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ACCOUNTING FINANCE\9. TAXATION (IAN)\BUDGETING\_FY127-129 Budget Preparation\Form Budget (Share to all Dept)\"/>
    </mc:Choice>
  </mc:AlternateContent>
  <xr:revisionPtr revIDLastSave="0" documentId="13_ncr:1_{618494FF-7264-40DC-8473-A6033A094D57}" xr6:coauthVersionLast="47" xr6:coauthVersionMax="47" xr10:uidLastSave="{00000000-0000-0000-0000-000000000000}"/>
  <bookViews>
    <workbookView xWindow="-108" yWindow="-108" windowWidth="23256" windowHeight="12456" xr2:uid="{DBC91B5C-E501-473C-9992-DED489074C07}"/>
  </bookViews>
  <sheets>
    <sheet name="Data" sheetId="3" r:id="rId1"/>
    <sheet name="V1" sheetId="9" state="hidden" r:id="rId2"/>
    <sheet name="Password" sheetId="7" state="hidden" r:id="rId3"/>
    <sheet name="Priority" sheetId="8" r:id="rId4"/>
    <sheet name="Master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j102" localSheetId="3">#REF!</definedName>
    <definedName name="__j102">#REF!</definedName>
    <definedName name="_1">#N/A</definedName>
    <definedName name="_Fill" hidden="1">#REF!</definedName>
    <definedName name="_xlnm._FilterDatabase" localSheetId="0" hidden="1">Data!$H$1:$O$1</definedName>
    <definedName name="_xlnm._FilterDatabase" localSheetId="3" hidden="1">[1]金具工程見出し!$A$9:$K$9</definedName>
    <definedName name="_xlnm._FilterDatabase" hidden="1">[2]金具工程見出し!$A$9:$K$9</definedName>
    <definedName name="_j102" localSheetId="0">#REF!</definedName>
    <definedName name="_j102" localSheetId="3">#REF!</definedName>
    <definedName name="_j102">#REF!</definedName>
    <definedName name="_Key1" localSheetId="0" hidden="1">#REF!</definedName>
    <definedName name="_Key1" hidden="1">#REF!</definedName>
    <definedName name="_Order1" hidden="1">255</definedName>
    <definedName name="_Sort" localSheetId="0" hidden="1">#REF!</definedName>
    <definedName name="_Sort" localSheetId="3" hidden="1">#REF!</definedName>
    <definedName name="_Sort" hidden="1">#REF!</definedName>
    <definedName name="aa" localSheetId="0">#REF!</definedName>
    <definedName name="aa">#REF!</definedName>
    <definedName name="AB" localSheetId="0">#REF!</definedName>
    <definedName name="AB">#REF!</definedName>
    <definedName name="ai" localSheetId="0">#REF!</definedName>
    <definedName name="ai">#REF!</definedName>
    <definedName name="as" localSheetId="0">#REF!</definedName>
    <definedName name="as">#REF!</definedName>
    <definedName name="assit" localSheetId="0">#REF!</definedName>
    <definedName name="assit">#REF!</definedName>
    <definedName name="b" localSheetId="0">#REF!</definedName>
    <definedName name="b">#REF!</definedName>
    <definedName name="BC" localSheetId="0">#REF!</definedName>
    <definedName name="BC">#REF!</definedName>
    <definedName name="BI" localSheetId="0">#REF!</definedName>
    <definedName name="BI">#REF!</definedName>
    <definedName name="BO" localSheetId="0">#REF!</definedName>
    <definedName name="BO">#REF!</definedName>
    <definedName name="cc" localSheetId="0">#REF!</definedName>
    <definedName name="cc">#REF!</definedName>
    <definedName name="ccc" localSheetId="0" hidden="1">#REF!</definedName>
    <definedName name="ccc" hidden="1">#REF!</definedName>
    <definedName name="CH" localSheetId="0">#REF!</definedName>
    <definedName name="CH">#REF!</definedName>
    <definedName name="CI" localSheetId="0">#REF!</definedName>
    <definedName name="CI">#REF!</definedName>
    <definedName name="Ck_for" localSheetId="0">#REF!</definedName>
    <definedName name="Ck_for">#REF!</definedName>
    <definedName name="Ck_in" localSheetId="0">#REF!</definedName>
    <definedName name="Ck_in">#REF!</definedName>
    <definedName name="Ck_out" localSheetId="0">#REF!</definedName>
    <definedName name="Ck_out">#REF!</definedName>
    <definedName name="d" localSheetId="0">#REF!</definedName>
    <definedName name="d">#REF!</definedName>
    <definedName name="_xlnm.Database" localSheetId="0">#REF!</definedName>
    <definedName name="_xlnm.Database">#REF!</definedName>
    <definedName name="dd" localSheetId="0">#REF!</definedName>
    <definedName name="dd">#REF!</definedName>
    <definedName name="ddd" localSheetId="0" hidden="1">#REF!</definedName>
    <definedName name="ddd" hidden="1">#REF!</definedName>
    <definedName name="DF" localSheetId="0">#REF!</definedName>
    <definedName name="DF">#REF!</definedName>
    <definedName name="e" localSheetId="0">#REF!</definedName>
    <definedName name="e">#REF!</definedName>
    <definedName name="edy">#REF!</definedName>
    <definedName name="ee" localSheetId="0">#REF!</definedName>
    <definedName name="ee">#REF!</definedName>
    <definedName name="eXCRATE" localSheetId="0">#REF!</definedName>
    <definedName name="eXCRATE">#REF!</definedName>
    <definedName name="exrate" localSheetId="0">#REF!</definedName>
    <definedName name="exrate">#REF!</definedName>
    <definedName name="F" localSheetId="0">#REF!</definedName>
    <definedName name="F">#REF!</definedName>
    <definedName name="fcb" localSheetId="0">#REF!</definedName>
    <definedName name="fcb">#REF!</definedName>
    <definedName name="FG" localSheetId="0">#REF!</definedName>
    <definedName name="FG">#REF!</definedName>
    <definedName name="g" localSheetId="0">#REF!</definedName>
    <definedName name="g">#REF!</definedName>
    <definedName name="gg" localSheetId="0">#REF!</definedName>
    <definedName name="gg">#REF!</definedName>
    <definedName name="HF" localSheetId="0">#REF!</definedName>
    <definedName name="HF">#REF!</definedName>
    <definedName name="HTML_CodePage" hidden="1">1252</definedName>
    <definedName name="HTML_Control" localSheetId="0" hidden="1">{"'Stock November   ' 99'!$A$1:$AF$46"}</definedName>
    <definedName name="HTML_Control" localSheetId="3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 localSheetId="0">#REF!</definedName>
    <definedName name="kissa" localSheetId="3">#REF!</definedName>
    <definedName name="kissa">#REF!</definedName>
    <definedName name="kissakei" localSheetId="0">#REF!</definedName>
    <definedName name="kissakei">#REF!</definedName>
    <definedName name="kk" localSheetId="0">#REF!</definedName>
    <definedName name="kk">#REF!</definedName>
    <definedName name="kkk" localSheetId="0">#REF!</definedName>
    <definedName name="kkk">#REF!</definedName>
    <definedName name="kkkk" localSheetId="0">#REF!</definedName>
    <definedName name="kkkk">#REF!</definedName>
    <definedName name="l" localSheetId="0">#REF!</definedName>
    <definedName name="l">#REF!</definedName>
    <definedName name="L_01" localSheetId="0">#REF!</definedName>
    <definedName name="L_01">#REF!</definedName>
    <definedName name="LIA" localSheetId="0">#REF!</definedName>
    <definedName name="LIA">#REF!</definedName>
    <definedName name="LILI" localSheetId="0">#REF!</definedName>
    <definedName name="LILI">#REF!</definedName>
    <definedName name="LINA" localSheetId="0">#REF!</definedName>
    <definedName name="LINA">#REF!</definedName>
    <definedName name="m" localSheetId="0">#REF!</definedName>
    <definedName name="m">#REF!</definedName>
    <definedName name="Manufacturing" localSheetId="0">#REF!</definedName>
    <definedName name="Manufacturing">#REF!</definedName>
    <definedName name="MR" localSheetId="0">#REF!</definedName>
    <definedName name="MR">#REF!</definedName>
    <definedName name="nittk" localSheetId="0">#REF!</definedName>
    <definedName name="nittk">#REF!</definedName>
    <definedName name="nittk_ok" localSheetId="0">#REF!</definedName>
    <definedName name="nittk_ok">#REF!</definedName>
    <definedName name="nittoukei" localSheetId="0">#REF!</definedName>
    <definedName name="nittoukei">#REF!</definedName>
    <definedName name="Plan" hidden="1">[2]金具工程見出し!$A$9:$K$9</definedName>
    <definedName name="_xlnm.Print_Area">[2]金具工程見出し!$B$1:$K$65536</definedName>
    <definedName name="Print_Area_MI" localSheetId="0">#REF!</definedName>
    <definedName name="PRINT_AREA_MI" localSheetId="3">#REF!</definedName>
    <definedName name="Print_Area_MI">#REF!</definedName>
    <definedName name="_xlnm.Print_Titles">#N/A</definedName>
    <definedName name="PRINT_TITLES_MI" localSheetId="3">#REF!</definedName>
    <definedName name="PRINT_TITLES_MI">#REF!</definedName>
    <definedName name="ry" localSheetId="0">#REF!</definedName>
    <definedName name="ry">#REF!</definedName>
    <definedName name="ryohikei" localSheetId="0">#REF!</definedName>
    <definedName name="ryohikei">#REF!</definedName>
    <definedName name="S" localSheetId="0">#REF!</definedName>
    <definedName name="S">#REF!</definedName>
    <definedName name="sais" localSheetId="0">#REF!</definedName>
    <definedName name="sais">#REF!</definedName>
    <definedName name="saisyuu" localSheetId="0">#REF!</definedName>
    <definedName name="saisyuu">#REF!</definedName>
    <definedName name="se" localSheetId="0">#REF!</definedName>
    <definedName name="se">#REF!</definedName>
    <definedName name="sett" localSheetId="0">#REF!</definedName>
    <definedName name="sett">#REF!</definedName>
    <definedName name="setta" localSheetId="0">#REF!</definedName>
    <definedName name="setta">#REF!</definedName>
    <definedName name="settaihikei" localSheetId="0">#REF!</definedName>
    <definedName name="settaihikei">#REF!</definedName>
    <definedName name="settaikousai" localSheetId="0">#REF!</definedName>
    <definedName name="settaikousai">#REF!</definedName>
    <definedName name="SEX" localSheetId="0">#REF!</definedName>
    <definedName name="SEX">#REF!</definedName>
    <definedName name="shu" localSheetId="0">#REF!</definedName>
    <definedName name="shu">#REF!</definedName>
    <definedName name="shukuhakukei" localSheetId="0">#REF!</definedName>
    <definedName name="shukuhakukei">#REF!</definedName>
    <definedName name="so" localSheetId="0">#REF!</definedName>
    <definedName name="so">#REF!</definedName>
    <definedName name="son" localSheetId="0">#REF!</definedName>
    <definedName name="son">#REF!</definedName>
    <definedName name="sonot" localSheetId="0">#REF!</definedName>
    <definedName name="sonot">#REF!</definedName>
    <definedName name="sonotakei" localSheetId="0">#REF!</definedName>
    <definedName name="sonotakei">#REF!</definedName>
    <definedName name="ST" localSheetId="0">#REF!</definedName>
    <definedName name="ST">#REF!</definedName>
    <definedName name="stt" localSheetId="0">#REF!</definedName>
    <definedName name="stt">#REF!</definedName>
    <definedName name="SX" localSheetId="0">#REF!</definedName>
    <definedName name="SX">#REF!</definedName>
    <definedName name="sxx" localSheetId="0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0">#REF!</definedName>
    <definedName name="Tgl" localSheetId="3">#REF!</definedName>
    <definedName name="Tgl">#REF!</definedName>
    <definedName name="tgll" localSheetId="0">#REF!</definedName>
    <definedName name="tgll">#REF!</definedName>
    <definedName name="tr" localSheetId="0">#REF!</definedName>
    <definedName name="tr">#REF!</definedName>
    <definedName name="train" localSheetId="0">#REF!</definedName>
    <definedName name="train">#REF!</definedName>
    <definedName name="TRIAL" localSheetId="0">#REF!</definedName>
    <definedName name="TRIAL">#REF!</definedName>
    <definedName name="tttttttttttt" localSheetId="0">#REF!</definedName>
    <definedName name="tttttttttttt">#REF!</definedName>
    <definedName name="tu" localSheetId="0">#REF!</definedName>
    <definedName name="tu">#REF!</definedName>
    <definedName name="tuusinhikei" localSheetId="0">#REF!</definedName>
    <definedName name="tuusinhikei">#REF!</definedName>
    <definedName name="u" localSheetId="0">#REF!</definedName>
    <definedName name="u">#REF!</definedName>
    <definedName name="uj" localSheetId="0" hidden="1">{"'Stock November   ' 99'!$A$1:$AF$46"}</definedName>
    <definedName name="uj" localSheetId="3" hidden="1">{"'Stock November   ' 99'!$A$1:$AF$46"}</definedName>
    <definedName name="uj" hidden="1">{"'Stock November   ' 99'!$A$1:$AF$46"}</definedName>
    <definedName name="uji" localSheetId="0" hidden="1">{"'Stock November   ' 99'!$A$1:$AF$46"}</definedName>
    <definedName name="uji" localSheetId="3" hidden="1">{"'Stock November   ' 99'!$A$1:$AF$46"}</definedName>
    <definedName name="uji" hidden="1">{"'Stock November   ' 99'!$A$1:$AF$46"}</definedName>
    <definedName name="UT" localSheetId="0">#REF!</definedName>
    <definedName name="UT">#REF!</definedName>
    <definedName name="uu" localSheetId="0">#REF!</definedName>
    <definedName name="uu">#REF!</definedName>
    <definedName name="ww" localSheetId="0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0">#REF!</definedName>
    <definedName name="ﾃﾞｰﾀ海市" localSheetId="3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0">#REF!</definedName>
    <definedName name="ルピア" localSheetId="3">#REF!</definedName>
    <definedName name="ルピア">#REF!</definedName>
    <definedName name="予算ﾚｰﾄ" localSheetId="0">#REF!</definedName>
    <definedName name="予算ﾚｰﾄ">#REF!</definedName>
    <definedName name="今" localSheetId="0">#REF!</definedName>
    <definedName name="今">#REF!</definedName>
    <definedName name="仲介" localSheetId="0">#REF!</definedName>
    <definedName name="仲介">#REF!</definedName>
    <definedName name="元" localSheetId="0">#REF!</definedName>
    <definedName name="元">#REF!</definedName>
    <definedName name="円" localSheetId="0">#REF!</definedName>
    <definedName name="円">#REF!</definedName>
    <definedName name="円vsドル_レート" localSheetId="0">#REF!</definedName>
    <definedName name="円vsドル_レート">#REF!</definedName>
    <definedName name="出発" localSheetId="3">[6]支援計画・０４!$G$4:$G$171</definedName>
    <definedName name="出発">[7]支援計画・０４!$G$4:$G$171</definedName>
    <definedName name="到着" localSheetId="3">[6]支援計画・０４!$F$4:$F$171</definedName>
    <definedName name="到着">[7]支援計画・０４!$F$4:$F$171</definedName>
    <definedName name="印刷領域" localSheetId="0">#REF!</definedName>
    <definedName name="印刷領域" localSheetId="3">#REF!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 localSheetId="0">#REF!</definedName>
    <definedName name="品種別実績" localSheetId="3">#REF!</definedName>
    <definedName name="品種別実績">#REF!</definedName>
    <definedName name="商品群" localSheetId="3">[8]テーブル!$B$2:$B$7</definedName>
    <definedName name="商品群">[9]テーブル!$B$2:$B$7</definedName>
    <definedName name="実績レート" localSheetId="0">#REF!</definedName>
    <definedName name="実績レート" localSheetId="3">#REF!</definedName>
    <definedName name="実績レート">#REF!</definedName>
    <definedName name="対象日数" localSheetId="0">#REF!</definedName>
    <definedName name="対象日数">#REF!</definedName>
    <definedName name="技術開発経費181" localSheetId="0">#REF!</definedName>
    <definedName name="技術開発経費181">#REF!</definedName>
    <definedName name="技術開発経費182" localSheetId="0">#REF!</definedName>
    <definedName name="技術開発経費182">#REF!</definedName>
    <definedName name="担当者" localSheetId="3">[8]テーブル!$F$2:$F$24</definedName>
    <definedName name="担当者">[9]テーブル!$F$2:$F$24</definedName>
    <definedName name="支援まとめ">'[10]予定日別1-6'!$U$4:$GV$4</definedName>
    <definedName name="日付" localSheetId="3">[6]支援計画・０４!$J$4:$CW$4</definedName>
    <definedName name="日付">[7]支援計画・０４!$J$4:$CW$4</definedName>
    <definedName name="日数" localSheetId="0">#REF!</definedName>
    <definedName name="日数" localSheetId="3">#REF!</definedName>
    <definedName name="日数">#REF!</definedName>
    <definedName name="期" localSheetId="0">#REF!</definedName>
    <definedName name="期">#REF!</definedName>
    <definedName name="梱包_Ｍ３">'[11]KB,MOLD ESTIMATE.00'!$F$13:$X$13</definedName>
    <definedName name="機能分類リスト" localSheetId="0">[12]開発計画品番リスト!#REF!</definedName>
    <definedName name="機能分類リスト">[12]開発計画品番リスト!#REF!</definedName>
    <definedName name="比率" localSheetId="0">[13]調達計画!#REF!</definedName>
    <definedName name="比率">[13]調達計画!#REF!</definedName>
    <definedName name="決算期区分" localSheetId="0">#REF!</definedName>
    <definedName name="決算期区分" localSheetId="3">#REF!</definedName>
    <definedName name="決算期区分">#REF!</definedName>
    <definedName name="為替" localSheetId="0">#REF!</definedName>
    <definedName name="為替">#REF!</definedName>
    <definedName name="為替レートEU" localSheetId="0">#REF!</definedName>
    <definedName name="為替レートEU">#REF!</definedName>
    <definedName name="為替レートUS" localSheetId="0">#REF!</definedName>
    <definedName name="為替レートUS">#REF!</definedName>
    <definedName name="生産拠点" localSheetId="3">[8]テーブル!$C$2:$C$6</definedName>
    <definedName name="生産拠点">[9]テーブル!$C$2:$C$6</definedName>
    <definedName name="直販ｺｰﾄﾞ">'[4]ｺﾋﾟｰ用（直セ）'!$F$1:$AN$263</definedName>
    <definedName name="立上年" localSheetId="3">[8]テーブル!$A$2:$A$11</definedName>
    <definedName name="立上年">[9]テーブル!$A$2:$A$11</definedName>
    <definedName name="立上月" localSheetId="3">[8]テーブル!$D$2:$D$13</definedName>
    <definedName name="立上月">[9]テーブル!$D$2:$D$13</definedName>
    <definedName name="補助部門比率" localSheetId="0">#REF!</definedName>
    <definedName name="補助部門比率" localSheetId="3">#REF!</definedName>
    <definedName name="補助部門比率">#REF!</definedName>
    <definedName name="補助部門費_設計以外181" localSheetId="0">#REF!</definedName>
    <definedName name="補助部門費_設計以外181">#REF!</definedName>
    <definedName name="補助部門費_設計以外182" localSheetId="0">#REF!</definedName>
    <definedName name="補助部門費_設計以外182">#REF!</definedName>
    <definedName name="販管費率" localSheetId="0">#REF!</definedName>
    <definedName name="販管費率">#REF!</definedName>
    <definedName name="輸入" localSheetId="0">#REF!</definedName>
    <definedName name="輸入">#REF!</definedName>
    <definedName name="配布先" localSheetId="0">#REF!</definedName>
    <definedName name="配布先">#REF!</definedName>
    <definedName name="開発経費合計181" localSheetId="0">#REF!</definedName>
    <definedName name="開発経費合計181">#REF!</definedName>
    <definedName name="開発経費合計182" localSheetId="0">#REF!</definedName>
    <definedName name="開発経費合計182">#REF!</definedName>
    <definedName name="雇用" localSheetId="0">#REF!</definedName>
    <definedName name="雇用">#REF!</definedName>
    <definedName name="電話代補助" localSheetId="0">#REF!</definedName>
    <definedName name="電話代補助">#REF!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500" i="3" l="1"/>
  <c r="P2499" i="3"/>
  <c r="P2498" i="3"/>
  <c r="P2497" i="3"/>
  <c r="P2496" i="3"/>
  <c r="P2495" i="3"/>
  <c r="P2494" i="3"/>
  <c r="P2493" i="3"/>
  <c r="P2492" i="3"/>
  <c r="P2491" i="3"/>
  <c r="P2490" i="3"/>
  <c r="P2489" i="3"/>
  <c r="P2488" i="3"/>
  <c r="P2487" i="3"/>
  <c r="P2486" i="3"/>
  <c r="P2485" i="3"/>
  <c r="P2484" i="3"/>
  <c r="P2483" i="3"/>
  <c r="P2482" i="3"/>
  <c r="P2481" i="3"/>
  <c r="P2480" i="3"/>
  <c r="P2479" i="3"/>
  <c r="P2478" i="3"/>
  <c r="P2477" i="3"/>
  <c r="P2476" i="3"/>
  <c r="P2475" i="3"/>
  <c r="P2474" i="3"/>
  <c r="P2473" i="3"/>
  <c r="P2472" i="3"/>
  <c r="P2471" i="3"/>
  <c r="P2470" i="3"/>
  <c r="P2469" i="3"/>
  <c r="P2468" i="3"/>
  <c r="P2467" i="3"/>
  <c r="P2466" i="3"/>
  <c r="P2465" i="3"/>
  <c r="P2464" i="3"/>
  <c r="P2463" i="3"/>
  <c r="P2462" i="3"/>
  <c r="P2461" i="3"/>
  <c r="P2460" i="3"/>
  <c r="P2459" i="3"/>
  <c r="P2458" i="3"/>
  <c r="P2457" i="3"/>
  <c r="P2456" i="3"/>
  <c r="P2455" i="3"/>
  <c r="P2454" i="3"/>
  <c r="P2453" i="3"/>
  <c r="P2452" i="3"/>
  <c r="P2451" i="3"/>
  <c r="P2450" i="3"/>
  <c r="P2449" i="3"/>
  <c r="P2448" i="3"/>
  <c r="P2447" i="3"/>
  <c r="P2446" i="3"/>
  <c r="P2445" i="3"/>
  <c r="P2444" i="3"/>
  <c r="P2443" i="3"/>
  <c r="P2442" i="3"/>
  <c r="P2441" i="3"/>
  <c r="P2440" i="3"/>
  <c r="P2439" i="3"/>
  <c r="P2438" i="3"/>
  <c r="P2437" i="3"/>
  <c r="P2436" i="3"/>
  <c r="P2435" i="3"/>
  <c r="P2434" i="3"/>
  <c r="P2433" i="3"/>
  <c r="P2432" i="3"/>
  <c r="P2431" i="3"/>
  <c r="P2430" i="3"/>
  <c r="P2429" i="3"/>
  <c r="P2428" i="3"/>
  <c r="P2427" i="3"/>
  <c r="P2426" i="3"/>
  <c r="P2425" i="3"/>
  <c r="P2424" i="3"/>
  <c r="P2423" i="3"/>
  <c r="P2422" i="3"/>
  <c r="P2421" i="3"/>
  <c r="P2420" i="3"/>
  <c r="P2419" i="3"/>
  <c r="P2418" i="3"/>
  <c r="P2417" i="3"/>
  <c r="P2416" i="3"/>
  <c r="P2415" i="3"/>
  <c r="P2414" i="3"/>
  <c r="P2413" i="3"/>
  <c r="P2412" i="3"/>
  <c r="P2411" i="3"/>
  <c r="P2410" i="3"/>
  <c r="P2409" i="3"/>
  <c r="P2408" i="3"/>
  <c r="P2407" i="3"/>
  <c r="P2406" i="3"/>
  <c r="P2405" i="3"/>
  <c r="P2404" i="3"/>
  <c r="P2403" i="3"/>
  <c r="P2402" i="3"/>
  <c r="P2401" i="3"/>
  <c r="P2400" i="3"/>
  <c r="P2399" i="3"/>
  <c r="P2398" i="3"/>
  <c r="P2397" i="3"/>
  <c r="P2396" i="3"/>
  <c r="P2395" i="3"/>
  <c r="P2394" i="3"/>
  <c r="P2393" i="3"/>
  <c r="P2392" i="3"/>
  <c r="P2391" i="3"/>
  <c r="P2390" i="3"/>
  <c r="P2389" i="3"/>
  <c r="P2388" i="3"/>
  <c r="P2387" i="3"/>
  <c r="P2386" i="3"/>
  <c r="P2385" i="3"/>
  <c r="P2384" i="3"/>
  <c r="P2383" i="3"/>
  <c r="P2382" i="3"/>
  <c r="P2381" i="3"/>
  <c r="P2380" i="3"/>
  <c r="P2379" i="3"/>
  <c r="P2378" i="3"/>
  <c r="P2377" i="3"/>
  <c r="P2376" i="3"/>
  <c r="P2375" i="3"/>
  <c r="P2374" i="3"/>
  <c r="P2373" i="3"/>
  <c r="P2372" i="3"/>
  <c r="P2371" i="3"/>
  <c r="P2370" i="3"/>
  <c r="P2369" i="3"/>
  <c r="P2368" i="3"/>
  <c r="P2367" i="3"/>
  <c r="P2366" i="3"/>
  <c r="P2365" i="3"/>
  <c r="P2364" i="3"/>
  <c r="P2363" i="3"/>
  <c r="P2362" i="3"/>
  <c r="P2361" i="3"/>
  <c r="P2360" i="3"/>
  <c r="P2359" i="3"/>
  <c r="P2358" i="3"/>
  <c r="P2357" i="3"/>
  <c r="P2356" i="3"/>
  <c r="P2355" i="3"/>
  <c r="P2354" i="3"/>
  <c r="P2353" i="3"/>
  <c r="P2352" i="3"/>
  <c r="P2351" i="3"/>
  <c r="P2350" i="3"/>
  <c r="P2349" i="3"/>
  <c r="P2348" i="3"/>
  <c r="P2347" i="3"/>
  <c r="P2346" i="3"/>
  <c r="P2345" i="3"/>
  <c r="P2344" i="3"/>
  <c r="P2343" i="3"/>
  <c r="P2342" i="3"/>
  <c r="P2341" i="3"/>
  <c r="P2340" i="3"/>
  <c r="P2339" i="3"/>
  <c r="P2338" i="3"/>
  <c r="P2337" i="3"/>
  <c r="P2336" i="3"/>
  <c r="P2335" i="3"/>
  <c r="P2334" i="3"/>
  <c r="P2333" i="3"/>
  <c r="P2332" i="3"/>
  <c r="P2331" i="3"/>
  <c r="P2330" i="3"/>
  <c r="P2329" i="3"/>
  <c r="P2328" i="3"/>
  <c r="P2327" i="3"/>
  <c r="P2326" i="3"/>
  <c r="P2325" i="3"/>
  <c r="P2324" i="3"/>
  <c r="P2323" i="3"/>
  <c r="P2322" i="3"/>
  <c r="P2321" i="3"/>
  <c r="P2320" i="3"/>
  <c r="P2319" i="3"/>
  <c r="P2318" i="3"/>
  <c r="P2317" i="3"/>
  <c r="P2316" i="3"/>
  <c r="P2315" i="3"/>
  <c r="P2314" i="3"/>
  <c r="P2313" i="3"/>
  <c r="P2312" i="3"/>
  <c r="P2311" i="3"/>
  <c r="P2310" i="3"/>
  <c r="P2309" i="3"/>
  <c r="P2308" i="3"/>
  <c r="P2307" i="3"/>
  <c r="P2306" i="3"/>
  <c r="P2305" i="3"/>
  <c r="P2304" i="3"/>
  <c r="P2303" i="3"/>
  <c r="P2302" i="3"/>
  <c r="P2301" i="3"/>
  <c r="P2300" i="3"/>
  <c r="P2299" i="3"/>
  <c r="P2298" i="3"/>
  <c r="P2297" i="3"/>
  <c r="P2296" i="3"/>
  <c r="P2295" i="3"/>
  <c r="P2294" i="3"/>
  <c r="P2293" i="3"/>
  <c r="P2292" i="3"/>
  <c r="P2291" i="3"/>
  <c r="P2290" i="3"/>
  <c r="P2289" i="3"/>
  <c r="P2288" i="3"/>
  <c r="P2287" i="3"/>
  <c r="P2286" i="3"/>
  <c r="P2285" i="3"/>
  <c r="P2284" i="3"/>
  <c r="P2283" i="3"/>
  <c r="P2282" i="3"/>
  <c r="P2281" i="3"/>
  <c r="P2280" i="3"/>
  <c r="P2279" i="3"/>
  <c r="P2278" i="3"/>
  <c r="P2277" i="3"/>
  <c r="P2276" i="3"/>
  <c r="P2275" i="3"/>
  <c r="P2274" i="3"/>
  <c r="P2273" i="3"/>
  <c r="P2272" i="3"/>
  <c r="P2271" i="3"/>
  <c r="P2270" i="3"/>
  <c r="P2269" i="3"/>
  <c r="P2268" i="3"/>
  <c r="P2267" i="3"/>
  <c r="P2266" i="3"/>
  <c r="P2265" i="3"/>
  <c r="P2264" i="3"/>
  <c r="P2263" i="3"/>
  <c r="P2262" i="3"/>
  <c r="P2261" i="3"/>
  <c r="P2260" i="3"/>
  <c r="P2259" i="3"/>
  <c r="P2258" i="3"/>
  <c r="P2257" i="3"/>
  <c r="P2256" i="3"/>
  <c r="P2255" i="3"/>
  <c r="P2254" i="3"/>
  <c r="P2253" i="3"/>
  <c r="P2252" i="3"/>
  <c r="P2251" i="3"/>
  <c r="P2250" i="3"/>
  <c r="P2249" i="3"/>
  <c r="P2248" i="3"/>
  <c r="P2247" i="3"/>
  <c r="P2246" i="3"/>
  <c r="P2245" i="3"/>
  <c r="P2244" i="3"/>
  <c r="P2243" i="3"/>
  <c r="P2242" i="3"/>
  <c r="P2241" i="3"/>
  <c r="P2240" i="3"/>
  <c r="P2239" i="3"/>
  <c r="P2238" i="3"/>
  <c r="P2237" i="3"/>
  <c r="P2236" i="3"/>
  <c r="P2235" i="3"/>
  <c r="P2234" i="3"/>
  <c r="P2233" i="3"/>
  <c r="P2232" i="3"/>
  <c r="P2231" i="3"/>
  <c r="P2230" i="3"/>
  <c r="P2229" i="3"/>
  <c r="P2228" i="3"/>
  <c r="P2227" i="3"/>
  <c r="P2226" i="3"/>
  <c r="P2225" i="3"/>
  <c r="P2224" i="3"/>
  <c r="P2223" i="3"/>
  <c r="P2222" i="3"/>
  <c r="P2221" i="3"/>
  <c r="P2220" i="3"/>
  <c r="P2219" i="3"/>
  <c r="P2218" i="3"/>
  <c r="P2217" i="3"/>
  <c r="P2216" i="3"/>
  <c r="P2215" i="3"/>
  <c r="P2214" i="3"/>
  <c r="P2213" i="3"/>
  <c r="P2212" i="3"/>
  <c r="P2211" i="3"/>
  <c r="P2210" i="3"/>
  <c r="P2209" i="3"/>
  <c r="P2208" i="3"/>
  <c r="P2207" i="3"/>
  <c r="P2206" i="3"/>
  <c r="P2205" i="3"/>
  <c r="P2204" i="3"/>
  <c r="P2203" i="3"/>
  <c r="P2202" i="3"/>
  <c r="P2201" i="3"/>
  <c r="P2200" i="3"/>
  <c r="P2199" i="3"/>
  <c r="P2198" i="3"/>
  <c r="P2197" i="3"/>
  <c r="P2196" i="3"/>
  <c r="P2195" i="3"/>
  <c r="P2194" i="3"/>
  <c r="P2193" i="3"/>
  <c r="P2192" i="3"/>
  <c r="P2191" i="3"/>
  <c r="P2190" i="3"/>
  <c r="P2189" i="3"/>
  <c r="P2188" i="3"/>
  <c r="P2187" i="3"/>
  <c r="P2186" i="3"/>
  <c r="P2185" i="3"/>
  <c r="P2184" i="3"/>
  <c r="P2183" i="3"/>
  <c r="P2182" i="3"/>
  <c r="P2181" i="3"/>
  <c r="P2180" i="3"/>
  <c r="P2179" i="3"/>
  <c r="P2178" i="3"/>
  <c r="P2177" i="3"/>
  <c r="P2176" i="3"/>
  <c r="P2175" i="3"/>
  <c r="P2174" i="3"/>
  <c r="P2173" i="3"/>
  <c r="P2172" i="3"/>
  <c r="P2171" i="3"/>
  <c r="P2170" i="3"/>
  <c r="P2169" i="3"/>
  <c r="P2168" i="3"/>
  <c r="P2167" i="3"/>
  <c r="P2166" i="3"/>
  <c r="P2165" i="3"/>
  <c r="P2164" i="3"/>
  <c r="P2163" i="3"/>
  <c r="P2162" i="3"/>
  <c r="P2161" i="3"/>
  <c r="P2160" i="3"/>
  <c r="P2159" i="3"/>
  <c r="P2158" i="3"/>
  <c r="P2157" i="3"/>
  <c r="P2156" i="3"/>
  <c r="P2155" i="3"/>
  <c r="P2154" i="3"/>
  <c r="P2153" i="3"/>
  <c r="P2152" i="3"/>
  <c r="P2151" i="3"/>
  <c r="P2150" i="3"/>
  <c r="P2149" i="3"/>
  <c r="P2148" i="3"/>
  <c r="P2147" i="3"/>
  <c r="P2146" i="3"/>
  <c r="P2145" i="3"/>
  <c r="P2144" i="3"/>
  <c r="P2143" i="3"/>
  <c r="P2142" i="3"/>
  <c r="P2141" i="3"/>
  <c r="P2140" i="3"/>
  <c r="P2139" i="3"/>
  <c r="P2138" i="3"/>
  <c r="P2137" i="3"/>
  <c r="P2136" i="3"/>
  <c r="P2135" i="3"/>
  <c r="P2134" i="3"/>
  <c r="P2133" i="3"/>
  <c r="P2132" i="3"/>
  <c r="P2131" i="3"/>
  <c r="P2130" i="3"/>
  <c r="P2129" i="3"/>
  <c r="P2128" i="3"/>
  <c r="P2127" i="3"/>
  <c r="P2126" i="3"/>
  <c r="P2125" i="3"/>
  <c r="P2124" i="3"/>
  <c r="P2123" i="3"/>
  <c r="P2122" i="3"/>
  <c r="P2121" i="3"/>
  <c r="P2120" i="3"/>
  <c r="P2119" i="3"/>
  <c r="P2118" i="3"/>
  <c r="P2117" i="3"/>
  <c r="P2116" i="3"/>
  <c r="P2115" i="3"/>
  <c r="P2114" i="3"/>
  <c r="P2113" i="3"/>
  <c r="P2112" i="3"/>
  <c r="P2111" i="3"/>
  <c r="P2110" i="3"/>
  <c r="P2109" i="3"/>
  <c r="P2108" i="3"/>
  <c r="P2107" i="3"/>
  <c r="P2106" i="3"/>
  <c r="P2105" i="3"/>
  <c r="P2104" i="3"/>
  <c r="P2103" i="3"/>
  <c r="P2102" i="3"/>
  <c r="P2101" i="3"/>
  <c r="P2100" i="3"/>
  <c r="P2099" i="3"/>
  <c r="P2098" i="3"/>
  <c r="P2097" i="3"/>
  <c r="P2096" i="3"/>
  <c r="P2095" i="3"/>
  <c r="P2094" i="3"/>
  <c r="P2093" i="3"/>
  <c r="P2092" i="3"/>
  <c r="P2091" i="3"/>
  <c r="P2090" i="3"/>
  <c r="P2089" i="3"/>
  <c r="P2088" i="3"/>
  <c r="P2087" i="3"/>
  <c r="P2086" i="3"/>
  <c r="P2085" i="3"/>
  <c r="P2084" i="3"/>
  <c r="P2083" i="3"/>
  <c r="P2082" i="3"/>
  <c r="P2081" i="3"/>
  <c r="P2080" i="3"/>
  <c r="P2079" i="3"/>
  <c r="P2078" i="3"/>
  <c r="P2077" i="3"/>
  <c r="P2076" i="3"/>
  <c r="P2075" i="3"/>
  <c r="P2074" i="3"/>
  <c r="P2073" i="3"/>
  <c r="P2072" i="3"/>
  <c r="P2071" i="3"/>
  <c r="P2070" i="3"/>
  <c r="P2069" i="3"/>
  <c r="P2068" i="3"/>
  <c r="P2067" i="3"/>
  <c r="P2066" i="3"/>
  <c r="P2065" i="3"/>
  <c r="P2064" i="3"/>
  <c r="P2063" i="3"/>
  <c r="P2062" i="3"/>
  <c r="P2061" i="3"/>
  <c r="P2060" i="3"/>
  <c r="P2059" i="3"/>
  <c r="P2058" i="3"/>
  <c r="P2057" i="3"/>
  <c r="P2056" i="3"/>
  <c r="P2055" i="3"/>
  <c r="P2054" i="3"/>
  <c r="P2053" i="3"/>
  <c r="P2052" i="3"/>
  <c r="P2051" i="3"/>
  <c r="P2050" i="3"/>
  <c r="P2049" i="3"/>
  <c r="P2048" i="3"/>
  <c r="P2047" i="3"/>
  <c r="P2046" i="3"/>
  <c r="P2045" i="3"/>
  <c r="P2044" i="3"/>
  <c r="P2043" i="3"/>
  <c r="P2042" i="3"/>
  <c r="P2041" i="3"/>
  <c r="P2040" i="3"/>
  <c r="P2039" i="3"/>
  <c r="P2038" i="3"/>
  <c r="P2037" i="3"/>
  <c r="P2036" i="3"/>
  <c r="P2035" i="3"/>
  <c r="P2034" i="3"/>
  <c r="P2033" i="3"/>
  <c r="P2032" i="3"/>
  <c r="P2031" i="3"/>
  <c r="P2030" i="3"/>
  <c r="P2029" i="3"/>
  <c r="P2028" i="3"/>
  <c r="P2027" i="3"/>
  <c r="P2026" i="3"/>
  <c r="P2025" i="3"/>
  <c r="P2024" i="3"/>
  <c r="P2023" i="3"/>
  <c r="P2022" i="3"/>
  <c r="P2021" i="3"/>
  <c r="P2020" i="3"/>
  <c r="P2019" i="3"/>
  <c r="P2018" i="3"/>
  <c r="P2017" i="3"/>
  <c r="P2016" i="3"/>
  <c r="P2015" i="3"/>
  <c r="P2014" i="3"/>
  <c r="P2013" i="3"/>
  <c r="P2012" i="3"/>
  <c r="P2011" i="3"/>
  <c r="P2010" i="3"/>
  <c r="P2009" i="3"/>
  <c r="P2008" i="3"/>
  <c r="P2007" i="3"/>
  <c r="P2006" i="3"/>
  <c r="P2005" i="3"/>
  <c r="P2004" i="3"/>
  <c r="P2003" i="3"/>
  <c r="P2002" i="3"/>
  <c r="P2001" i="3"/>
  <c r="P2000" i="3"/>
  <c r="P1999" i="3"/>
  <c r="P1998" i="3"/>
  <c r="P1997" i="3"/>
  <c r="P1996" i="3"/>
  <c r="P1995" i="3"/>
  <c r="P1994" i="3"/>
  <c r="P1993" i="3"/>
  <c r="P1992" i="3"/>
  <c r="P1991" i="3"/>
  <c r="P1990" i="3"/>
  <c r="P1989" i="3"/>
  <c r="P1988" i="3"/>
  <c r="P1987" i="3"/>
  <c r="P1986" i="3"/>
  <c r="P1985" i="3"/>
  <c r="P1984" i="3"/>
  <c r="P1983" i="3"/>
  <c r="P1982" i="3"/>
  <c r="P1981" i="3"/>
  <c r="P1980" i="3"/>
  <c r="P1979" i="3"/>
  <c r="P1978" i="3"/>
  <c r="P1977" i="3"/>
  <c r="P1976" i="3"/>
  <c r="P1975" i="3"/>
  <c r="P1974" i="3"/>
  <c r="P1973" i="3"/>
  <c r="P1972" i="3"/>
  <c r="P1971" i="3"/>
  <c r="P1970" i="3"/>
  <c r="P1969" i="3"/>
  <c r="P1968" i="3"/>
  <c r="P1967" i="3"/>
  <c r="P1966" i="3"/>
  <c r="P1965" i="3"/>
  <c r="P1964" i="3"/>
  <c r="P1963" i="3"/>
  <c r="P1962" i="3"/>
  <c r="P1961" i="3"/>
  <c r="P1960" i="3"/>
  <c r="P1959" i="3"/>
  <c r="P1958" i="3"/>
  <c r="P1957" i="3"/>
  <c r="P1956" i="3"/>
  <c r="P1955" i="3"/>
  <c r="P1954" i="3"/>
  <c r="P1953" i="3"/>
  <c r="P1952" i="3"/>
  <c r="P1951" i="3"/>
  <c r="P1950" i="3"/>
  <c r="P1949" i="3"/>
  <c r="P1948" i="3"/>
  <c r="P1947" i="3"/>
  <c r="P1946" i="3"/>
  <c r="P1945" i="3"/>
  <c r="P1944" i="3"/>
  <c r="P1943" i="3"/>
  <c r="P1942" i="3"/>
  <c r="P1941" i="3"/>
  <c r="P1940" i="3"/>
  <c r="P1939" i="3"/>
  <c r="P1938" i="3"/>
  <c r="P1937" i="3"/>
  <c r="P1936" i="3"/>
  <c r="P1935" i="3"/>
  <c r="P1934" i="3"/>
  <c r="P1933" i="3"/>
  <c r="P1932" i="3"/>
  <c r="P1931" i="3"/>
  <c r="P1930" i="3"/>
  <c r="P1929" i="3"/>
  <c r="P1928" i="3"/>
  <c r="P1927" i="3"/>
  <c r="P1926" i="3"/>
  <c r="P1925" i="3"/>
  <c r="P1924" i="3"/>
  <c r="P1923" i="3"/>
  <c r="P1922" i="3"/>
  <c r="P1921" i="3"/>
  <c r="P1920" i="3"/>
  <c r="P1919" i="3"/>
  <c r="P1918" i="3"/>
  <c r="P1917" i="3"/>
  <c r="P1916" i="3"/>
  <c r="P1915" i="3"/>
  <c r="P1914" i="3"/>
  <c r="P1913" i="3"/>
  <c r="P1912" i="3"/>
  <c r="P1911" i="3"/>
  <c r="P1910" i="3"/>
  <c r="P1909" i="3"/>
  <c r="P1908" i="3"/>
  <c r="P1907" i="3"/>
  <c r="P1906" i="3"/>
  <c r="P1905" i="3"/>
  <c r="P1904" i="3"/>
  <c r="P1903" i="3"/>
  <c r="P1902" i="3"/>
  <c r="P1901" i="3"/>
  <c r="P1900" i="3"/>
  <c r="P1899" i="3"/>
  <c r="P1898" i="3"/>
  <c r="P1897" i="3"/>
  <c r="P1896" i="3"/>
  <c r="P1895" i="3"/>
  <c r="P1894" i="3"/>
  <c r="P1893" i="3"/>
  <c r="P1892" i="3"/>
  <c r="P1891" i="3"/>
  <c r="P1890" i="3"/>
  <c r="P1889" i="3"/>
  <c r="P1888" i="3"/>
  <c r="P1887" i="3"/>
  <c r="P1886" i="3"/>
  <c r="P1885" i="3"/>
  <c r="P1884" i="3"/>
  <c r="P1883" i="3"/>
  <c r="P1882" i="3"/>
  <c r="P1881" i="3"/>
  <c r="P1880" i="3"/>
  <c r="P1879" i="3"/>
  <c r="P1878" i="3"/>
  <c r="P1877" i="3"/>
  <c r="P1876" i="3"/>
  <c r="P1875" i="3"/>
  <c r="P1874" i="3"/>
  <c r="P1873" i="3"/>
  <c r="P1872" i="3"/>
  <c r="P1871" i="3"/>
  <c r="P1870" i="3"/>
  <c r="P1869" i="3"/>
  <c r="P1868" i="3"/>
  <c r="P1867" i="3"/>
  <c r="P1866" i="3"/>
  <c r="P1865" i="3"/>
  <c r="P1864" i="3"/>
  <c r="P1863" i="3"/>
  <c r="P1862" i="3"/>
  <c r="P1861" i="3"/>
  <c r="P1860" i="3"/>
  <c r="P1859" i="3"/>
  <c r="P1858" i="3"/>
  <c r="P1857" i="3"/>
  <c r="P1856" i="3"/>
  <c r="P1855" i="3"/>
  <c r="P1854" i="3"/>
  <c r="P1853" i="3"/>
  <c r="P1852" i="3"/>
  <c r="P1851" i="3"/>
  <c r="P1850" i="3"/>
  <c r="P1849" i="3"/>
  <c r="P1848" i="3"/>
  <c r="P1847" i="3"/>
  <c r="P1846" i="3"/>
  <c r="P1845" i="3"/>
  <c r="P1844" i="3"/>
  <c r="P1843" i="3"/>
  <c r="P1842" i="3"/>
  <c r="P1841" i="3"/>
  <c r="P1840" i="3"/>
  <c r="P1839" i="3"/>
  <c r="P1838" i="3"/>
  <c r="P1837" i="3"/>
  <c r="P1836" i="3"/>
  <c r="P1835" i="3"/>
  <c r="P1834" i="3"/>
  <c r="P1833" i="3"/>
  <c r="P1832" i="3"/>
  <c r="P1831" i="3"/>
  <c r="P1830" i="3"/>
  <c r="P1829" i="3"/>
  <c r="P1828" i="3"/>
  <c r="P1827" i="3"/>
  <c r="P1826" i="3"/>
  <c r="P1825" i="3"/>
  <c r="P1824" i="3"/>
  <c r="P1823" i="3"/>
  <c r="P1822" i="3"/>
  <c r="P1821" i="3"/>
  <c r="P1820" i="3"/>
  <c r="P1819" i="3"/>
  <c r="P1818" i="3"/>
  <c r="P1817" i="3"/>
  <c r="P1816" i="3"/>
  <c r="P1815" i="3"/>
  <c r="P1814" i="3"/>
  <c r="P1813" i="3"/>
  <c r="P1812" i="3"/>
  <c r="P1811" i="3"/>
  <c r="P1810" i="3"/>
  <c r="P1809" i="3"/>
  <c r="P1808" i="3"/>
  <c r="P1807" i="3"/>
  <c r="P1806" i="3"/>
  <c r="P1805" i="3"/>
  <c r="P1804" i="3"/>
  <c r="P1803" i="3"/>
  <c r="P1802" i="3"/>
  <c r="P1801" i="3"/>
  <c r="P1800" i="3"/>
  <c r="P1799" i="3"/>
  <c r="P1798" i="3"/>
  <c r="P1797" i="3"/>
  <c r="P1796" i="3"/>
  <c r="P1795" i="3"/>
  <c r="P1794" i="3"/>
  <c r="P1793" i="3"/>
  <c r="P1792" i="3"/>
  <c r="P1791" i="3"/>
  <c r="P1790" i="3"/>
  <c r="P1789" i="3"/>
  <c r="P1788" i="3"/>
  <c r="P1787" i="3"/>
  <c r="P1786" i="3"/>
  <c r="P1785" i="3"/>
  <c r="P1784" i="3"/>
  <c r="P1783" i="3"/>
  <c r="P1782" i="3"/>
  <c r="P1781" i="3"/>
  <c r="P1780" i="3"/>
  <c r="P1779" i="3"/>
  <c r="P1778" i="3"/>
  <c r="P1777" i="3"/>
  <c r="P1776" i="3"/>
  <c r="P1775" i="3"/>
  <c r="P1774" i="3"/>
  <c r="P1773" i="3"/>
  <c r="P1772" i="3"/>
  <c r="P1771" i="3"/>
  <c r="P1770" i="3"/>
  <c r="P1769" i="3"/>
  <c r="P1768" i="3"/>
  <c r="P1767" i="3"/>
  <c r="P1766" i="3"/>
  <c r="P1765" i="3"/>
  <c r="P1764" i="3"/>
  <c r="P1763" i="3"/>
  <c r="P1762" i="3"/>
  <c r="P1761" i="3"/>
  <c r="P1760" i="3"/>
  <c r="P1759" i="3"/>
  <c r="P1758" i="3"/>
  <c r="P1757" i="3"/>
  <c r="P1756" i="3"/>
  <c r="P1755" i="3"/>
  <c r="P1754" i="3"/>
  <c r="P1753" i="3"/>
  <c r="P1752" i="3"/>
  <c r="P1751" i="3"/>
  <c r="P1750" i="3"/>
  <c r="P1749" i="3"/>
  <c r="P1748" i="3"/>
  <c r="P1747" i="3"/>
  <c r="P1746" i="3"/>
  <c r="P1745" i="3"/>
  <c r="P1744" i="3"/>
  <c r="P1743" i="3"/>
  <c r="P1742" i="3"/>
  <c r="P1741" i="3"/>
  <c r="P1740" i="3"/>
  <c r="P1739" i="3"/>
  <c r="P1738" i="3"/>
  <c r="P1737" i="3"/>
  <c r="P1736" i="3"/>
  <c r="P1735" i="3"/>
  <c r="P1734" i="3"/>
  <c r="P1733" i="3"/>
  <c r="P1732" i="3"/>
  <c r="P1731" i="3"/>
  <c r="P1730" i="3"/>
  <c r="P1729" i="3"/>
  <c r="P1728" i="3"/>
  <c r="P1727" i="3"/>
  <c r="P1726" i="3"/>
  <c r="P1725" i="3"/>
  <c r="P1724" i="3"/>
  <c r="P1723" i="3"/>
  <c r="P1722" i="3"/>
  <c r="P1721" i="3"/>
  <c r="P1720" i="3"/>
  <c r="P1719" i="3"/>
  <c r="P1718" i="3"/>
  <c r="P1717" i="3"/>
  <c r="P1716" i="3"/>
  <c r="P1715" i="3"/>
  <c r="P1714" i="3"/>
  <c r="P1713" i="3"/>
  <c r="P1712" i="3"/>
  <c r="P1711" i="3"/>
  <c r="P1710" i="3"/>
  <c r="P1709" i="3"/>
  <c r="P1708" i="3"/>
  <c r="P1707" i="3"/>
  <c r="P1706" i="3"/>
  <c r="P1705" i="3"/>
  <c r="P1704" i="3"/>
  <c r="P1703" i="3"/>
  <c r="P1702" i="3"/>
  <c r="P1701" i="3"/>
  <c r="P1700" i="3"/>
  <c r="P1699" i="3"/>
  <c r="P1698" i="3"/>
  <c r="P1697" i="3"/>
  <c r="P1696" i="3"/>
  <c r="P1695" i="3"/>
  <c r="P1694" i="3"/>
  <c r="P1693" i="3"/>
  <c r="P1692" i="3"/>
  <c r="P1691" i="3"/>
  <c r="P1690" i="3"/>
  <c r="P1689" i="3"/>
  <c r="P1688" i="3"/>
  <c r="P1687" i="3"/>
  <c r="P1686" i="3"/>
  <c r="P1685" i="3"/>
  <c r="P1684" i="3"/>
  <c r="P1683" i="3"/>
  <c r="P1682" i="3"/>
  <c r="P1681" i="3"/>
  <c r="P1680" i="3"/>
  <c r="P1679" i="3"/>
  <c r="P1678" i="3"/>
  <c r="P1677" i="3"/>
  <c r="P1676" i="3"/>
  <c r="P1675" i="3"/>
  <c r="P1674" i="3"/>
  <c r="P1673" i="3"/>
  <c r="P1672" i="3"/>
  <c r="P1671" i="3"/>
  <c r="P1670" i="3"/>
  <c r="P1669" i="3"/>
  <c r="P1668" i="3"/>
  <c r="P1667" i="3"/>
  <c r="P1666" i="3"/>
  <c r="P1665" i="3"/>
  <c r="P1664" i="3"/>
  <c r="P1663" i="3"/>
  <c r="P1662" i="3"/>
  <c r="P1661" i="3"/>
  <c r="P1660" i="3"/>
  <c r="P1659" i="3"/>
  <c r="P1658" i="3"/>
  <c r="P1657" i="3"/>
  <c r="P1656" i="3"/>
  <c r="P1655" i="3"/>
  <c r="P1654" i="3"/>
  <c r="P1653" i="3"/>
  <c r="P1652" i="3"/>
  <c r="P1651" i="3"/>
  <c r="P1650" i="3"/>
  <c r="P1649" i="3"/>
  <c r="P1648" i="3"/>
  <c r="P1647" i="3"/>
  <c r="P1646" i="3"/>
  <c r="P1645" i="3"/>
  <c r="P1644" i="3"/>
  <c r="P1643" i="3"/>
  <c r="P1642" i="3"/>
  <c r="P1641" i="3"/>
  <c r="P1640" i="3"/>
  <c r="P1639" i="3"/>
  <c r="P1638" i="3"/>
  <c r="P1637" i="3"/>
  <c r="P1636" i="3"/>
  <c r="P1635" i="3"/>
  <c r="P1634" i="3"/>
  <c r="P1633" i="3"/>
  <c r="P1632" i="3"/>
  <c r="P1631" i="3"/>
  <c r="P1630" i="3"/>
  <c r="P1629" i="3"/>
  <c r="P1628" i="3"/>
  <c r="P1627" i="3"/>
  <c r="P1626" i="3"/>
  <c r="P1625" i="3"/>
  <c r="P1624" i="3"/>
  <c r="P1623" i="3"/>
  <c r="P1622" i="3"/>
  <c r="P1621" i="3"/>
  <c r="P1620" i="3"/>
  <c r="P1619" i="3"/>
  <c r="P1618" i="3"/>
  <c r="P1617" i="3"/>
  <c r="P1616" i="3"/>
  <c r="P1615" i="3"/>
  <c r="P1614" i="3"/>
  <c r="P1613" i="3"/>
  <c r="P1612" i="3"/>
  <c r="P1611" i="3"/>
  <c r="P1610" i="3"/>
  <c r="P1609" i="3"/>
  <c r="P1608" i="3"/>
  <c r="P1607" i="3"/>
  <c r="P1606" i="3"/>
  <c r="P1605" i="3"/>
  <c r="P1604" i="3"/>
  <c r="P1603" i="3"/>
  <c r="P1602" i="3"/>
  <c r="P1601" i="3"/>
  <c r="P1600" i="3"/>
  <c r="P1599" i="3"/>
  <c r="P1598" i="3"/>
  <c r="P1597" i="3"/>
  <c r="P1596" i="3"/>
  <c r="P1595" i="3"/>
  <c r="P1594" i="3"/>
  <c r="P1593" i="3"/>
  <c r="P1592" i="3"/>
  <c r="P1591" i="3"/>
  <c r="P1590" i="3"/>
  <c r="P1589" i="3"/>
  <c r="P1588" i="3"/>
  <c r="P1587" i="3"/>
  <c r="P1586" i="3"/>
  <c r="P1585" i="3"/>
  <c r="P1584" i="3"/>
  <c r="P1583" i="3"/>
  <c r="P1582" i="3"/>
  <c r="P1581" i="3"/>
  <c r="P1580" i="3"/>
  <c r="P1579" i="3"/>
  <c r="P1578" i="3"/>
  <c r="P1577" i="3"/>
  <c r="P1576" i="3"/>
  <c r="P1575" i="3"/>
  <c r="P1574" i="3"/>
  <c r="P1573" i="3"/>
  <c r="P1572" i="3"/>
  <c r="P1571" i="3"/>
  <c r="P1570" i="3"/>
  <c r="P1569" i="3"/>
  <c r="P1568" i="3"/>
  <c r="P1567" i="3"/>
  <c r="P1566" i="3"/>
  <c r="P1565" i="3"/>
  <c r="P1564" i="3"/>
  <c r="P1563" i="3"/>
  <c r="P1562" i="3"/>
  <c r="P1561" i="3"/>
  <c r="P1560" i="3"/>
  <c r="P1559" i="3"/>
  <c r="P1558" i="3"/>
  <c r="P1557" i="3"/>
  <c r="P1556" i="3"/>
  <c r="P1555" i="3"/>
  <c r="P1554" i="3"/>
  <c r="P1553" i="3"/>
  <c r="P1552" i="3"/>
  <c r="P1551" i="3"/>
  <c r="P1550" i="3"/>
  <c r="P1549" i="3"/>
  <c r="P1548" i="3"/>
  <c r="P1547" i="3"/>
  <c r="P1546" i="3"/>
  <c r="P1545" i="3"/>
  <c r="P1544" i="3"/>
  <c r="P1543" i="3"/>
  <c r="P1542" i="3"/>
  <c r="P1541" i="3"/>
  <c r="P1540" i="3"/>
  <c r="P1539" i="3"/>
  <c r="P1538" i="3"/>
  <c r="P1537" i="3"/>
  <c r="P1536" i="3"/>
  <c r="P1535" i="3"/>
  <c r="P1534" i="3"/>
  <c r="P1533" i="3"/>
  <c r="P1532" i="3"/>
  <c r="P1531" i="3"/>
  <c r="P1530" i="3"/>
  <c r="P1529" i="3"/>
  <c r="P1528" i="3"/>
  <c r="P1527" i="3"/>
  <c r="P1526" i="3"/>
  <c r="P1525" i="3"/>
  <c r="P1524" i="3"/>
  <c r="P1523" i="3"/>
  <c r="P1522" i="3"/>
  <c r="P1521" i="3"/>
  <c r="P1520" i="3"/>
  <c r="P1519" i="3"/>
  <c r="P1518" i="3"/>
  <c r="P1517" i="3"/>
  <c r="P1516" i="3"/>
  <c r="P1515" i="3"/>
  <c r="P1514" i="3"/>
  <c r="P1513" i="3"/>
  <c r="P1512" i="3"/>
  <c r="P1511" i="3"/>
  <c r="P1510" i="3"/>
  <c r="P1509" i="3"/>
  <c r="P1508" i="3"/>
  <c r="P1507" i="3"/>
  <c r="P1506" i="3"/>
  <c r="P1505" i="3"/>
  <c r="P1504" i="3"/>
  <c r="P1503" i="3"/>
  <c r="P1502" i="3"/>
  <c r="P1501" i="3"/>
  <c r="P1500" i="3"/>
  <c r="P1499" i="3"/>
  <c r="P1498" i="3"/>
  <c r="P1497" i="3"/>
  <c r="P1496" i="3"/>
  <c r="P1495" i="3"/>
  <c r="P1494" i="3"/>
  <c r="P1493" i="3"/>
  <c r="P1492" i="3"/>
  <c r="P1491" i="3"/>
  <c r="P1490" i="3"/>
  <c r="P1489" i="3"/>
  <c r="P1488" i="3"/>
  <c r="P1487" i="3"/>
  <c r="P1486" i="3"/>
  <c r="P1485" i="3"/>
  <c r="P1484" i="3"/>
  <c r="P1483" i="3"/>
  <c r="P1482" i="3"/>
  <c r="P1481" i="3"/>
  <c r="P1480" i="3"/>
  <c r="P1479" i="3"/>
  <c r="P1478" i="3"/>
  <c r="P1477" i="3"/>
  <c r="P1476" i="3"/>
  <c r="P1475" i="3"/>
  <c r="P1474" i="3"/>
  <c r="P1473" i="3"/>
  <c r="P1472" i="3"/>
  <c r="P1471" i="3"/>
  <c r="P1470" i="3"/>
  <c r="P1469" i="3"/>
  <c r="P1468" i="3"/>
  <c r="P1467" i="3"/>
  <c r="P1466" i="3"/>
  <c r="P1465" i="3"/>
  <c r="P1464" i="3"/>
  <c r="P1463" i="3"/>
  <c r="P1462" i="3"/>
  <c r="P1461" i="3"/>
  <c r="P1460" i="3"/>
  <c r="P1459" i="3"/>
  <c r="P1458" i="3"/>
  <c r="P1457" i="3"/>
  <c r="P1456" i="3"/>
  <c r="P1455" i="3"/>
  <c r="P1454" i="3"/>
  <c r="P1453" i="3"/>
  <c r="P1452" i="3"/>
  <c r="P1451" i="3"/>
  <c r="P1450" i="3"/>
  <c r="P1449" i="3"/>
  <c r="P1448" i="3"/>
  <c r="P1447" i="3"/>
  <c r="P1446" i="3"/>
  <c r="P1445" i="3"/>
  <c r="P1444" i="3"/>
  <c r="P1443" i="3"/>
  <c r="P1442" i="3"/>
  <c r="P1441" i="3"/>
  <c r="P1440" i="3"/>
  <c r="P1439" i="3"/>
  <c r="P1438" i="3"/>
  <c r="P1437" i="3"/>
  <c r="P1436" i="3"/>
  <c r="P1435" i="3"/>
  <c r="P1434" i="3"/>
  <c r="P1433" i="3"/>
  <c r="P1432" i="3"/>
  <c r="P1431" i="3"/>
  <c r="P1430" i="3"/>
  <c r="P1429" i="3"/>
  <c r="P1428" i="3"/>
  <c r="P1427" i="3"/>
  <c r="P1426" i="3"/>
  <c r="P1425" i="3"/>
  <c r="P1424" i="3"/>
  <c r="P1423" i="3"/>
  <c r="P1422" i="3"/>
  <c r="P1421" i="3"/>
  <c r="P1420" i="3"/>
  <c r="P1419" i="3"/>
  <c r="P1418" i="3"/>
  <c r="P1417" i="3"/>
  <c r="P1416" i="3"/>
  <c r="P1415" i="3"/>
  <c r="P1414" i="3"/>
  <c r="P1413" i="3"/>
  <c r="P1412" i="3"/>
  <c r="P1411" i="3"/>
  <c r="P1410" i="3"/>
  <c r="P1409" i="3"/>
  <c r="P1408" i="3"/>
  <c r="P1407" i="3"/>
  <c r="P1406" i="3"/>
  <c r="P1405" i="3"/>
  <c r="P1404" i="3"/>
  <c r="P1403" i="3"/>
  <c r="P1402" i="3"/>
  <c r="P1401" i="3"/>
  <c r="P1400" i="3"/>
  <c r="P1399" i="3"/>
  <c r="P1398" i="3"/>
  <c r="P1397" i="3"/>
  <c r="P1396" i="3"/>
  <c r="P1395" i="3"/>
  <c r="P1394" i="3"/>
  <c r="P1393" i="3"/>
  <c r="P1392" i="3"/>
  <c r="P1391" i="3"/>
  <c r="P1390" i="3"/>
  <c r="P1389" i="3"/>
  <c r="P1388" i="3"/>
  <c r="P1387" i="3"/>
  <c r="P1386" i="3"/>
  <c r="P1385" i="3"/>
  <c r="P1384" i="3"/>
  <c r="P1383" i="3"/>
  <c r="P1382" i="3"/>
  <c r="P1381" i="3"/>
  <c r="P1380" i="3"/>
  <c r="P1379" i="3"/>
  <c r="P1378" i="3"/>
  <c r="P1377" i="3"/>
  <c r="P1376" i="3"/>
  <c r="P1375" i="3"/>
  <c r="P1374" i="3"/>
  <c r="P1373" i="3"/>
  <c r="P1372" i="3"/>
  <c r="P1371" i="3"/>
  <c r="P1370" i="3"/>
  <c r="P1369" i="3"/>
  <c r="P1368" i="3"/>
  <c r="P1367" i="3"/>
  <c r="P1366" i="3"/>
  <c r="P1365" i="3"/>
  <c r="P1364" i="3"/>
  <c r="P1363" i="3"/>
  <c r="P1362" i="3"/>
  <c r="P1361" i="3"/>
  <c r="P1360" i="3"/>
  <c r="P1359" i="3"/>
  <c r="P1358" i="3"/>
  <c r="P1357" i="3"/>
  <c r="P1356" i="3"/>
  <c r="P1355" i="3"/>
  <c r="P1354" i="3"/>
  <c r="P1353" i="3"/>
  <c r="P1352" i="3"/>
  <c r="P1351" i="3"/>
  <c r="P1350" i="3"/>
  <c r="P1349" i="3"/>
  <c r="P1348" i="3"/>
  <c r="P1347" i="3"/>
  <c r="P1346" i="3"/>
  <c r="P1345" i="3"/>
  <c r="P1344" i="3"/>
  <c r="P1343" i="3"/>
  <c r="P1342" i="3"/>
  <c r="P1341" i="3"/>
  <c r="P1340" i="3"/>
  <c r="P1339" i="3"/>
  <c r="P1338" i="3"/>
  <c r="P1337" i="3"/>
  <c r="P1336" i="3"/>
  <c r="P1335" i="3"/>
  <c r="P1334" i="3"/>
  <c r="P1333" i="3"/>
  <c r="P1332" i="3"/>
  <c r="P1331" i="3"/>
  <c r="P1330" i="3"/>
  <c r="P1329" i="3"/>
  <c r="P1328" i="3"/>
  <c r="P1327" i="3"/>
  <c r="P1326" i="3"/>
  <c r="P1325" i="3"/>
  <c r="P1324" i="3"/>
  <c r="P1323" i="3"/>
  <c r="P1322" i="3"/>
  <c r="P1321" i="3"/>
  <c r="P1320" i="3"/>
  <c r="P1319" i="3"/>
  <c r="P1318" i="3"/>
  <c r="P1317" i="3"/>
  <c r="P1316" i="3"/>
  <c r="P1315" i="3"/>
  <c r="P1314" i="3"/>
  <c r="P1313" i="3"/>
  <c r="P1312" i="3"/>
  <c r="P1311" i="3"/>
  <c r="P1310" i="3"/>
  <c r="P1309" i="3"/>
  <c r="P1308" i="3"/>
  <c r="P1307" i="3"/>
  <c r="P1306" i="3"/>
  <c r="P1305" i="3"/>
  <c r="P1304" i="3"/>
  <c r="P1303" i="3"/>
  <c r="P1302" i="3"/>
  <c r="P1301" i="3"/>
  <c r="P1300" i="3"/>
  <c r="P1299" i="3"/>
  <c r="P1298" i="3"/>
  <c r="P1297" i="3"/>
  <c r="P1296" i="3"/>
  <c r="P1295" i="3"/>
  <c r="P1294" i="3"/>
  <c r="P1293" i="3"/>
  <c r="P1292" i="3"/>
  <c r="P1291" i="3"/>
  <c r="P1290" i="3"/>
  <c r="P1289" i="3"/>
  <c r="P1288" i="3"/>
  <c r="P1287" i="3"/>
  <c r="P1286" i="3"/>
  <c r="P1285" i="3"/>
  <c r="P1284" i="3"/>
  <c r="P1283" i="3"/>
  <c r="P1282" i="3"/>
  <c r="P1281" i="3"/>
  <c r="P1280" i="3"/>
  <c r="P1279" i="3"/>
  <c r="P1278" i="3"/>
  <c r="P1277" i="3"/>
  <c r="P1276" i="3"/>
  <c r="P1275" i="3"/>
  <c r="P1274" i="3"/>
  <c r="P1273" i="3"/>
  <c r="P1272" i="3"/>
  <c r="P1271" i="3"/>
  <c r="P1270" i="3"/>
  <c r="P1269" i="3"/>
  <c r="P1268" i="3"/>
  <c r="P1267" i="3"/>
  <c r="P1266" i="3"/>
  <c r="P1265" i="3"/>
  <c r="P1264" i="3"/>
  <c r="P1263" i="3"/>
  <c r="P1262" i="3"/>
  <c r="P1261" i="3"/>
  <c r="P1260" i="3"/>
  <c r="P1259" i="3"/>
  <c r="P1258" i="3"/>
  <c r="P1257" i="3"/>
  <c r="P1256" i="3"/>
  <c r="P1255" i="3"/>
  <c r="P1254" i="3"/>
  <c r="P1253" i="3"/>
  <c r="P1252" i="3"/>
  <c r="P1251" i="3"/>
  <c r="P1250" i="3"/>
  <c r="P1249" i="3"/>
  <c r="P1248" i="3"/>
  <c r="P1247" i="3"/>
  <c r="P1246" i="3"/>
  <c r="P1245" i="3"/>
  <c r="P1244" i="3"/>
  <c r="P1243" i="3"/>
  <c r="P1242" i="3"/>
  <c r="P1241" i="3"/>
  <c r="P1240" i="3"/>
  <c r="P1239" i="3"/>
  <c r="P1238" i="3"/>
  <c r="P1237" i="3"/>
  <c r="P1236" i="3"/>
  <c r="P1235" i="3"/>
  <c r="P1234" i="3"/>
  <c r="P1233" i="3"/>
  <c r="P1232" i="3"/>
  <c r="P1231" i="3"/>
  <c r="P1230" i="3"/>
  <c r="P1229" i="3"/>
  <c r="P1228" i="3"/>
  <c r="P1227" i="3"/>
  <c r="P1226" i="3"/>
  <c r="P1225" i="3"/>
  <c r="P1224" i="3"/>
  <c r="P1223" i="3"/>
  <c r="P1222" i="3"/>
  <c r="P1221" i="3"/>
  <c r="P1220" i="3"/>
  <c r="P1219" i="3"/>
  <c r="P1218" i="3"/>
  <c r="P1217" i="3"/>
  <c r="P1216" i="3"/>
  <c r="P1215" i="3"/>
  <c r="P1214" i="3"/>
  <c r="P1213" i="3"/>
  <c r="P1212" i="3"/>
  <c r="P1211" i="3"/>
  <c r="P1210" i="3"/>
  <c r="P1209" i="3"/>
  <c r="P1208" i="3"/>
  <c r="P1207" i="3"/>
  <c r="P1206" i="3"/>
  <c r="P1205" i="3"/>
  <c r="P1204" i="3"/>
  <c r="P1203" i="3"/>
  <c r="P1202" i="3"/>
  <c r="P1201" i="3"/>
  <c r="P1200" i="3"/>
  <c r="P1199" i="3"/>
  <c r="P1198" i="3"/>
  <c r="P1197" i="3"/>
  <c r="P1196" i="3"/>
  <c r="P1195" i="3"/>
  <c r="P1194" i="3"/>
  <c r="P1193" i="3"/>
  <c r="P1192" i="3"/>
  <c r="P1191" i="3"/>
  <c r="P1190" i="3"/>
  <c r="P1189" i="3"/>
  <c r="P1188" i="3"/>
  <c r="P1187" i="3"/>
  <c r="P1186" i="3"/>
  <c r="P1185" i="3"/>
  <c r="P1184" i="3"/>
  <c r="P1183" i="3"/>
  <c r="P1182" i="3"/>
  <c r="P1181" i="3"/>
  <c r="P1180" i="3"/>
  <c r="P1179" i="3"/>
  <c r="P1178" i="3"/>
  <c r="P1177" i="3"/>
  <c r="P1176" i="3"/>
  <c r="P1175" i="3"/>
  <c r="P1174" i="3"/>
  <c r="P1173" i="3"/>
  <c r="P1172" i="3"/>
  <c r="P1171" i="3"/>
  <c r="P1170" i="3"/>
  <c r="P1169" i="3"/>
  <c r="P1168" i="3"/>
  <c r="P1167" i="3"/>
  <c r="P1166" i="3"/>
  <c r="P1165" i="3"/>
  <c r="P1164" i="3"/>
  <c r="P1163" i="3"/>
  <c r="P1162" i="3"/>
  <c r="P1161" i="3"/>
  <c r="P1160" i="3"/>
  <c r="P1159" i="3"/>
  <c r="P1158" i="3"/>
  <c r="P1157" i="3"/>
  <c r="P1156" i="3"/>
  <c r="P1155" i="3"/>
  <c r="P1154" i="3"/>
  <c r="P1153" i="3"/>
  <c r="P1152" i="3"/>
  <c r="P1151" i="3"/>
  <c r="P1150" i="3"/>
  <c r="P1149" i="3"/>
  <c r="P1148" i="3"/>
  <c r="P1147" i="3"/>
  <c r="P1146" i="3"/>
  <c r="P1145" i="3"/>
  <c r="P1144" i="3"/>
  <c r="P1143" i="3"/>
  <c r="P1142" i="3"/>
  <c r="P1141" i="3"/>
  <c r="P1140" i="3"/>
  <c r="P1139" i="3"/>
  <c r="P1138" i="3"/>
  <c r="P1137" i="3"/>
  <c r="P1136" i="3"/>
  <c r="P1135" i="3"/>
  <c r="P1134" i="3"/>
  <c r="P1133" i="3"/>
  <c r="P1132" i="3"/>
  <c r="P1131" i="3"/>
  <c r="P1130" i="3"/>
  <c r="P1129" i="3"/>
  <c r="P1128" i="3"/>
  <c r="P1127" i="3"/>
  <c r="P1126" i="3"/>
  <c r="P1125" i="3"/>
  <c r="P1124" i="3"/>
  <c r="P1123" i="3"/>
  <c r="P1122" i="3"/>
  <c r="P1121" i="3"/>
  <c r="P1120" i="3"/>
  <c r="P1119" i="3"/>
  <c r="P1118" i="3"/>
  <c r="P1117" i="3"/>
  <c r="P1116" i="3"/>
  <c r="P1115" i="3"/>
  <c r="P1114" i="3"/>
  <c r="P1113" i="3"/>
  <c r="P1112" i="3"/>
  <c r="P1111" i="3"/>
  <c r="P1110" i="3"/>
  <c r="P1109" i="3"/>
  <c r="P1108" i="3"/>
  <c r="P1107" i="3"/>
  <c r="P1106" i="3"/>
  <c r="P1105" i="3"/>
  <c r="P1104" i="3"/>
  <c r="P1103" i="3"/>
  <c r="P1102" i="3"/>
  <c r="P1101" i="3"/>
  <c r="P1100" i="3"/>
  <c r="P1099" i="3"/>
  <c r="P1098" i="3"/>
  <c r="P1097" i="3"/>
  <c r="P1096" i="3"/>
  <c r="P1095" i="3"/>
  <c r="P1094" i="3"/>
  <c r="P1093" i="3"/>
  <c r="P1092" i="3"/>
  <c r="P1091" i="3"/>
  <c r="P1090" i="3"/>
  <c r="P1089" i="3"/>
  <c r="P1088" i="3"/>
  <c r="P1087" i="3"/>
  <c r="P1086" i="3"/>
  <c r="P1085" i="3"/>
  <c r="P1084" i="3"/>
  <c r="P1083" i="3"/>
  <c r="P1082" i="3"/>
  <c r="P1081" i="3"/>
  <c r="P1080" i="3"/>
  <c r="P1079" i="3"/>
  <c r="P1078" i="3"/>
  <c r="P1077" i="3"/>
  <c r="P1076" i="3"/>
  <c r="P1075" i="3"/>
  <c r="P1074" i="3"/>
  <c r="P1073" i="3"/>
  <c r="P1072" i="3"/>
  <c r="P1071" i="3"/>
  <c r="P1070" i="3"/>
  <c r="P1069" i="3"/>
  <c r="P1068" i="3"/>
  <c r="P1067" i="3"/>
  <c r="P1066" i="3"/>
  <c r="P1065" i="3"/>
  <c r="P1064" i="3"/>
  <c r="P1063" i="3"/>
  <c r="P1062" i="3"/>
  <c r="P1061" i="3"/>
  <c r="P1060" i="3"/>
  <c r="P1059" i="3"/>
  <c r="P1058" i="3"/>
  <c r="P1057" i="3"/>
  <c r="P1056" i="3"/>
  <c r="P1055" i="3"/>
  <c r="P1054" i="3"/>
  <c r="P1053" i="3"/>
  <c r="P1052" i="3"/>
  <c r="P1051" i="3"/>
  <c r="P1050" i="3"/>
  <c r="P1049" i="3"/>
  <c r="P1048" i="3"/>
  <c r="P1047" i="3"/>
  <c r="P1046" i="3"/>
  <c r="P1045" i="3"/>
  <c r="P1044" i="3"/>
  <c r="P1043" i="3"/>
  <c r="P1042" i="3"/>
  <c r="P1041" i="3"/>
  <c r="P1040" i="3"/>
  <c r="P1039" i="3"/>
  <c r="P1038" i="3"/>
  <c r="P1037" i="3"/>
  <c r="P1036" i="3"/>
  <c r="P1035" i="3"/>
  <c r="P1034" i="3"/>
  <c r="P1033" i="3"/>
  <c r="P1032" i="3"/>
  <c r="P1031" i="3"/>
  <c r="P1030" i="3"/>
  <c r="P1029" i="3"/>
  <c r="P1028" i="3"/>
  <c r="P1027" i="3"/>
  <c r="P1026" i="3"/>
  <c r="P1025" i="3"/>
  <c r="P1024" i="3"/>
  <c r="P1023" i="3"/>
  <c r="P1022" i="3"/>
  <c r="P1021" i="3"/>
  <c r="P1020" i="3"/>
  <c r="P1019" i="3"/>
  <c r="P1018" i="3"/>
  <c r="P1017" i="3"/>
  <c r="P1016" i="3"/>
  <c r="P1015" i="3"/>
  <c r="P1014" i="3"/>
  <c r="P1013" i="3"/>
  <c r="P1012" i="3"/>
  <c r="P1011" i="3"/>
  <c r="P1010" i="3"/>
  <c r="P1009" i="3"/>
  <c r="P1008" i="3"/>
  <c r="P1007" i="3"/>
  <c r="P1006" i="3"/>
  <c r="P1005" i="3"/>
  <c r="P1004" i="3"/>
  <c r="P1003" i="3"/>
  <c r="P1002" i="3"/>
  <c r="P1001" i="3"/>
  <c r="P1000" i="3"/>
  <c r="P999" i="3"/>
  <c r="P998" i="3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D2500" i="3"/>
  <c r="D2499" i="3"/>
  <c r="D2498" i="3"/>
  <c r="D2497" i="3"/>
  <c r="D2496" i="3"/>
  <c r="D2495" i="3"/>
  <c r="D2494" i="3"/>
  <c r="I2494" i="3" s="1"/>
  <c r="D2493" i="3"/>
  <c r="J2493" i="3" s="1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I2478" i="3" s="1"/>
  <c r="D2477" i="3"/>
  <c r="I2477" i="3" s="1"/>
  <c r="D2476" i="3"/>
  <c r="D2475" i="3"/>
  <c r="D2474" i="3"/>
  <c r="D2473" i="3"/>
  <c r="D2472" i="3"/>
  <c r="D2471" i="3"/>
  <c r="D2470" i="3"/>
  <c r="D2469" i="3"/>
  <c r="J2469" i="3" s="1"/>
  <c r="D2468" i="3"/>
  <c r="D2467" i="3"/>
  <c r="D2466" i="3"/>
  <c r="D2465" i="3"/>
  <c r="D2464" i="3"/>
  <c r="D2463" i="3"/>
  <c r="D2462" i="3"/>
  <c r="I2462" i="3" s="1"/>
  <c r="D2461" i="3"/>
  <c r="D2460" i="3"/>
  <c r="I2460" i="3" s="1"/>
  <c r="D2459" i="3"/>
  <c r="D2458" i="3"/>
  <c r="J2458" i="3" s="1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I2446" i="3" s="1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I2430" i="3" s="1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I2414" i="3" s="1"/>
  <c r="D2413" i="3"/>
  <c r="D2412" i="3"/>
  <c r="D2411" i="3"/>
  <c r="D2410" i="3"/>
  <c r="D2409" i="3"/>
  <c r="D2408" i="3"/>
  <c r="D2407" i="3"/>
  <c r="D2406" i="3"/>
  <c r="D2405" i="3"/>
  <c r="J2405" i="3" s="1"/>
  <c r="D2404" i="3"/>
  <c r="D2403" i="3"/>
  <c r="D2402" i="3"/>
  <c r="D2401" i="3"/>
  <c r="D2400" i="3"/>
  <c r="D2399" i="3"/>
  <c r="J2399" i="3" s="1"/>
  <c r="D2398" i="3"/>
  <c r="I2398" i="3" s="1"/>
  <c r="D2397" i="3"/>
  <c r="D2396" i="3"/>
  <c r="D2395" i="3"/>
  <c r="D2394" i="3"/>
  <c r="I2394" i="3" s="1"/>
  <c r="D2393" i="3"/>
  <c r="D2392" i="3"/>
  <c r="D2391" i="3"/>
  <c r="D2390" i="3"/>
  <c r="D2389" i="3"/>
  <c r="I2389" i="3" s="1"/>
  <c r="D2388" i="3"/>
  <c r="D2387" i="3"/>
  <c r="D2386" i="3"/>
  <c r="D2385" i="3"/>
  <c r="D2384" i="3"/>
  <c r="D2383" i="3"/>
  <c r="J2383" i="3" s="1"/>
  <c r="D2382" i="3"/>
  <c r="I2382" i="3" s="1"/>
  <c r="D2381" i="3"/>
  <c r="J2381" i="3" s="1"/>
  <c r="D2380" i="3"/>
  <c r="D2379" i="3"/>
  <c r="D2378" i="3"/>
  <c r="D2377" i="3"/>
  <c r="I2377" i="3" s="1"/>
  <c r="D2376" i="3"/>
  <c r="D2375" i="3"/>
  <c r="D2374" i="3"/>
  <c r="D2373" i="3"/>
  <c r="D2372" i="3"/>
  <c r="D2371" i="3"/>
  <c r="D2370" i="3"/>
  <c r="D2369" i="3"/>
  <c r="D2368" i="3"/>
  <c r="D2367" i="3"/>
  <c r="D2366" i="3"/>
  <c r="I2366" i="3" s="1"/>
  <c r="D2365" i="3"/>
  <c r="J2365" i="3" s="1"/>
  <c r="D2364" i="3"/>
  <c r="D2363" i="3"/>
  <c r="D2362" i="3"/>
  <c r="D2361" i="3"/>
  <c r="D2360" i="3"/>
  <c r="I2360" i="3" s="1"/>
  <c r="D2359" i="3"/>
  <c r="D2358" i="3"/>
  <c r="D2357" i="3"/>
  <c r="D2356" i="3"/>
  <c r="D2355" i="3"/>
  <c r="D2354" i="3"/>
  <c r="D2353" i="3"/>
  <c r="D2352" i="3"/>
  <c r="D2351" i="3"/>
  <c r="D2350" i="3"/>
  <c r="I2350" i="3" s="1"/>
  <c r="D2349" i="3"/>
  <c r="I2349" i="3" s="1"/>
  <c r="D2348" i="3"/>
  <c r="D2347" i="3"/>
  <c r="D2346" i="3"/>
  <c r="D2345" i="3"/>
  <c r="I2345" i="3" s="1"/>
  <c r="D2344" i="3"/>
  <c r="J2344" i="3" s="1"/>
  <c r="D2343" i="3"/>
  <c r="J2343" i="3" s="1"/>
  <c r="D2342" i="3"/>
  <c r="I2342" i="3" s="1"/>
  <c r="D2341" i="3"/>
  <c r="D2340" i="3"/>
  <c r="D2339" i="3"/>
  <c r="D2338" i="3"/>
  <c r="D2337" i="3"/>
  <c r="D2336" i="3"/>
  <c r="D2335" i="3"/>
  <c r="D2334" i="3"/>
  <c r="I2334" i="3" s="1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I2318" i="3" s="1"/>
  <c r="D2317" i="3"/>
  <c r="D2316" i="3"/>
  <c r="D2315" i="3"/>
  <c r="D2314" i="3"/>
  <c r="D2313" i="3"/>
  <c r="D2312" i="3"/>
  <c r="D2311" i="3"/>
  <c r="J2311" i="3" s="1"/>
  <c r="D2310" i="3"/>
  <c r="I2310" i="3" s="1"/>
  <c r="D2309" i="3"/>
  <c r="D2308" i="3"/>
  <c r="D2307" i="3"/>
  <c r="D2306" i="3"/>
  <c r="D2305" i="3"/>
  <c r="D2304" i="3"/>
  <c r="D2303" i="3"/>
  <c r="D2302" i="3"/>
  <c r="I2302" i="3" s="1"/>
  <c r="D2301" i="3"/>
  <c r="D2300" i="3"/>
  <c r="D2299" i="3"/>
  <c r="J2299" i="3" s="1"/>
  <c r="D2298" i="3"/>
  <c r="I2298" i="3" s="1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I2286" i="3" s="1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J2271" i="3" s="1"/>
  <c r="D2270" i="3"/>
  <c r="I2270" i="3" s="1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J2255" i="3" s="1"/>
  <c r="D2254" i="3"/>
  <c r="I2254" i="3" s="1"/>
  <c r="D2253" i="3"/>
  <c r="J2253" i="3" s="1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I2222" i="3" s="1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I2200" i="3" s="1"/>
  <c r="D2199" i="3"/>
  <c r="D2198" i="3"/>
  <c r="D2197" i="3"/>
  <c r="J2197" i="3" s="1"/>
  <c r="D2196" i="3"/>
  <c r="D2195" i="3"/>
  <c r="D2194" i="3"/>
  <c r="D2193" i="3"/>
  <c r="D2192" i="3"/>
  <c r="D2191" i="3"/>
  <c r="D2190" i="3"/>
  <c r="I2190" i="3" s="1"/>
  <c r="D2189" i="3"/>
  <c r="J2189" i="3" s="1"/>
  <c r="D2188" i="3"/>
  <c r="I2188" i="3" s="1"/>
  <c r="D2187" i="3"/>
  <c r="D2186" i="3"/>
  <c r="D2185" i="3"/>
  <c r="D2184" i="3"/>
  <c r="J2184" i="3" s="1"/>
  <c r="D2183" i="3"/>
  <c r="D2182" i="3"/>
  <c r="D2181" i="3"/>
  <c r="D2180" i="3"/>
  <c r="D2179" i="3"/>
  <c r="D2178" i="3"/>
  <c r="D2177" i="3"/>
  <c r="D2176" i="3"/>
  <c r="D2175" i="3"/>
  <c r="D2174" i="3"/>
  <c r="I2174" i="3" s="1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I2158" i="3" s="1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I2142" i="3" s="1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J2106" i="3" s="1"/>
  <c r="D2105" i="3"/>
  <c r="I2105" i="3" s="1"/>
  <c r="D2104" i="3"/>
  <c r="D2103" i="3"/>
  <c r="D2102" i="3"/>
  <c r="D2101" i="3"/>
  <c r="D2100" i="3"/>
  <c r="D2099" i="3"/>
  <c r="D2098" i="3"/>
  <c r="D2097" i="3"/>
  <c r="D2096" i="3"/>
  <c r="D2095" i="3"/>
  <c r="D2094" i="3"/>
  <c r="I2094" i="3" s="1"/>
  <c r="D2093" i="3"/>
  <c r="D2092" i="3"/>
  <c r="D2091" i="3"/>
  <c r="D2090" i="3"/>
  <c r="D2089" i="3"/>
  <c r="D2088" i="3"/>
  <c r="J2088" i="3" s="1"/>
  <c r="D2087" i="3"/>
  <c r="D2086" i="3"/>
  <c r="D2085" i="3"/>
  <c r="D2084" i="3"/>
  <c r="D2083" i="3"/>
  <c r="D2082" i="3"/>
  <c r="D2081" i="3"/>
  <c r="D2080" i="3"/>
  <c r="D2079" i="3"/>
  <c r="D2078" i="3"/>
  <c r="I2078" i="3" s="1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J2055" i="3" s="1"/>
  <c r="D2054" i="3"/>
  <c r="D2053" i="3"/>
  <c r="D2052" i="3"/>
  <c r="D2051" i="3"/>
  <c r="D2050" i="3"/>
  <c r="D2049" i="3"/>
  <c r="D2048" i="3"/>
  <c r="D2047" i="3"/>
  <c r="D2046" i="3"/>
  <c r="I2046" i="3" s="1"/>
  <c r="D2045" i="3"/>
  <c r="D2044" i="3"/>
  <c r="D2043" i="3"/>
  <c r="D2042" i="3"/>
  <c r="D2041" i="3"/>
  <c r="J2041" i="3" s="1"/>
  <c r="D2040" i="3"/>
  <c r="D2039" i="3"/>
  <c r="D2038" i="3"/>
  <c r="D2037" i="3"/>
  <c r="D2036" i="3"/>
  <c r="D2035" i="3"/>
  <c r="D2034" i="3"/>
  <c r="D2033" i="3"/>
  <c r="D2032" i="3"/>
  <c r="D2031" i="3"/>
  <c r="D2030" i="3"/>
  <c r="I2030" i="3" s="1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I2016" i="3" s="1"/>
  <c r="D2015" i="3"/>
  <c r="D2014" i="3"/>
  <c r="I2014" i="3" s="1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I1999" i="3" s="1"/>
  <c r="D1998" i="3"/>
  <c r="I1998" i="3" s="1"/>
  <c r="D1997" i="3"/>
  <c r="D1996" i="3"/>
  <c r="D1995" i="3"/>
  <c r="D1994" i="3"/>
  <c r="D1993" i="3"/>
  <c r="I1993" i="3" s="1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I1966" i="3" s="1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I1950" i="3" s="1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I1934" i="3" s="1"/>
  <c r="D1933" i="3"/>
  <c r="D1932" i="3"/>
  <c r="J1932" i="3" s="1"/>
  <c r="D1931" i="3"/>
  <c r="D1930" i="3"/>
  <c r="J1930" i="3" s="1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I1918" i="3" s="1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J1898" i="3" s="1"/>
  <c r="D1897" i="3"/>
  <c r="I1897" i="3" s="1"/>
  <c r="D1896" i="3"/>
  <c r="D1895" i="3"/>
  <c r="D1894" i="3"/>
  <c r="D1893" i="3"/>
  <c r="D1892" i="3"/>
  <c r="D1891" i="3"/>
  <c r="D1890" i="3"/>
  <c r="D1889" i="3"/>
  <c r="D1888" i="3"/>
  <c r="I1888" i="3" s="1"/>
  <c r="D1887" i="3"/>
  <c r="D1886" i="3"/>
  <c r="I1886" i="3" s="1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I1871" i="3" s="1"/>
  <c r="D1870" i="3"/>
  <c r="I1870" i="3" s="1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J1856" i="3" s="1"/>
  <c r="D1855" i="3"/>
  <c r="D1854" i="3"/>
  <c r="I1854" i="3" s="1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I1822" i="3" s="1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J1802" i="3" s="1"/>
  <c r="D1801" i="3"/>
  <c r="J1801" i="3" s="1"/>
  <c r="D1800" i="3"/>
  <c r="I1800" i="3" s="1"/>
  <c r="D1799" i="3"/>
  <c r="I1799" i="3" s="1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J1782" i="3" s="1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J1735" i="3" s="1"/>
  <c r="D1734" i="3"/>
  <c r="I1734" i="3" s="1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J1706" i="3" s="1"/>
  <c r="D1705" i="3"/>
  <c r="J1705" i="3" s="1"/>
  <c r="D1704" i="3"/>
  <c r="D1703" i="3"/>
  <c r="D1702" i="3"/>
  <c r="D1701" i="3"/>
  <c r="D1700" i="3"/>
  <c r="D1699" i="3"/>
  <c r="D1698" i="3"/>
  <c r="D1697" i="3"/>
  <c r="D1696" i="3"/>
  <c r="J1696" i="3" s="1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I1680" i="3" s="1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J1664" i="3" s="1"/>
  <c r="D1663" i="3"/>
  <c r="D1662" i="3"/>
  <c r="D1661" i="3"/>
  <c r="D1660" i="3"/>
  <c r="D1659" i="3"/>
  <c r="D1658" i="3"/>
  <c r="D1657" i="3"/>
  <c r="D1656" i="3"/>
  <c r="D1655" i="3"/>
  <c r="D1654" i="3"/>
  <c r="D1653" i="3"/>
  <c r="J1653" i="3" s="1"/>
  <c r="D1652" i="3"/>
  <c r="D1651" i="3"/>
  <c r="D1650" i="3"/>
  <c r="D1649" i="3"/>
  <c r="D1648" i="3"/>
  <c r="I1648" i="3" s="1"/>
  <c r="D1647" i="3"/>
  <c r="D1646" i="3"/>
  <c r="D1645" i="3"/>
  <c r="D1644" i="3"/>
  <c r="D1643" i="3"/>
  <c r="J1643" i="3" s="1"/>
  <c r="D1642" i="3"/>
  <c r="J1642" i="3" s="1"/>
  <c r="D1641" i="3"/>
  <c r="I1641" i="3" s="1"/>
  <c r="D1640" i="3"/>
  <c r="D1639" i="3"/>
  <c r="D1638" i="3"/>
  <c r="D1637" i="3"/>
  <c r="D1636" i="3"/>
  <c r="D1635" i="3"/>
  <c r="D1634" i="3"/>
  <c r="D1633" i="3"/>
  <c r="D1632" i="3"/>
  <c r="D1631" i="3"/>
  <c r="D1630" i="3"/>
  <c r="J1630" i="3" s="1"/>
  <c r="D1629" i="3"/>
  <c r="I1629" i="3" s="1"/>
  <c r="D1628" i="3"/>
  <c r="D1627" i="3"/>
  <c r="D1626" i="3"/>
  <c r="D1625" i="3"/>
  <c r="J1625" i="3" s="1"/>
  <c r="D1624" i="3"/>
  <c r="D1623" i="3"/>
  <c r="D1622" i="3"/>
  <c r="D1621" i="3"/>
  <c r="D1620" i="3"/>
  <c r="D1619" i="3"/>
  <c r="D1618" i="3"/>
  <c r="D1617" i="3"/>
  <c r="D1616" i="3"/>
  <c r="D1615" i="3"/>
  <c r="D1614" i="3"/>
  <c r="I1614" i="3" s="1"/>
  <c r="D1613" i="3"/>
  <c r="D1612" i="3"/>
  <c r="D1611" i="3"/>
  <c r="D1610" i="3"/>
  <c r="D1609" i="3"/>
  <c r="D1608" i="3"/>
  <c r="D1607" i="3"/>
  <c r="I1607" i="3" s="1"/>
  <c r="D1606" i="3"/>
  <c r="D1605" i="3"/>
  <c r="D1604" i="3"/>
  <c r="D1603" i="3"/>
  <c r="D1602" i="3"/>
  <c r="D1601" i="3"/>
  <c r="D1600" i="3"/>
  <c r="D1599" i="3"/>
  <c r="D1598" i="3"/>
  <c r="J1598" i="3" s="1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I1582" i="3" s="1"/>
  <c r="D1581" i="3"/>
  <c r="D1580" i="3"/>
  <c r="D1579" i="3"/>
  <c r="D1578" i="3"/>
  <c r="D1577" i="3"/>
  <c r="D1576" i="3"/>
  <c r="I1576" i="3" s="1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J1559" i="3" s="1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J1546" i="3" s="1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J1526" i="3" s="1"/>
  <c r="D1525" i="3"/>
  <c r="D1524" i="3"/>
  <c r="D1523" i="3"/>
  <c r="D1522" i="3"/>
  <c r="D1521" i="3"/>
  <c r="D1520" i="3"/>
  <c r="D1519" i="3"/>
  <c r="D1518" i="3"/>
  <c r="D1517" i="3"/>
  <c r="J1517" i="3" s="1"/>
  <c r="D1516" i="3"/>
  <c r="I1516" i="3" s="1"/>
  <c r="D1515" i="3"/>
  <c r="J1515" i="3" s="1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J1500" i="3" s="1"/>
  <c r="D1499" i="3"/>
  <c r="D1498" i="3"/>
  <c r="I1498" i="3" s="1"/>
  <c r="D1497" i="3"/>
  <c r="I1497" i="3" s="1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I1465" i="3" s="1"/>
  <c r="D1464" i="3"/>
  <c r="I1464" i="3" s="1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J1437" i="3" s="1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J1405" i="3" s="1"/>
  <c r="D1404" i="3"/>
  <c r="I1404" i="3" s="1"/>
  <c r="D1403" i="3"/>
  <c r="D1402" i="3"/>
  <c r="D1401" i="3"/>
  <c r="D1400" i="3"/>
  <c r="D1399" i="3"/>
  <c r="I1399" i="3" s="1"/>
  <c r="D1398" i="3"/>
  <c r="D1397" i="3"/>
  <c r="D1396" i="3"/>
  <c r="D1395" i="3"/>
  <c r="D1394" i="3"/>
  <c r="D1393" i="3"/>
  <c r="D1392" i="3"/>
  <c r="D1391" i="3"/>
  <c r="D1390" i="3"/>
  <c r="D1389" i="3"/>
  <c r="D1388" i="3"/>
  <c r="J1388" i="3" s="1"/>
  <c r="D1387" i="3"/>
  <c r="J1387" i="3" s="1"/>
  <c r="D1386" i="3"/>
  <c r="J1386" i="3" s="1"/>
  <c r="D1385" i="3"/>
  <c r="I1385" i="3" s="1"/>
  <c r="D1384" i="3"/>
  <c r="I1384" i="3" s="1"/>
  <c r="D1383" i="3"/>
  <c r="D1382" i="3"/>
  <c r="D1381" i="3"/>
  <c r="D1380" i="3"/>
  <c r="D1379" i="3"/>
  <c r="D1378" i="3"/>
  <c r="D1377" i="3"/>
  <c r="D1376" i="3"/>
  <c r="D1375" i="3"/>
  <c r="D1374" i="3"/>
  <c r="J1374" i="3" s="1"/>
  <c r="D1373" i="3"/>
  <c r="I1373" i="3" s="1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I1358" i="3" s="1"/>
  <c r="D1357" i="3"/>
  <c r="D1356" i="3"/>
  <c r="D1355" i="3"/>
  <c r="D1354" i="3"/>
  <c r="D1353" i="3"/>
  <c r="D1352" i="3"/>
  <c r="D1351" i="3"/>
  <c r="I1351" i="3" s="1"/>
  <c r="D1350" i="3"/>
  <c r="D1349" i="3"/>
  <c r="D1348" i="3"/>
  <c r="D1347" i="3"/>
  <c r="D1346" i="3"/>
  <c r="D1345" i="3"/>
  <c r="D1344" i="3"/>
  <c r="D1343" i="3"/>
  <c r="D1342" i="3"/>
  <c r="J1342" i="3" s="1"/>
  <c r="D1341" i="3"/>
  <c r="D1340" i="3"/>
  <c r="D1339" i="3"/>
  <c r="D1338" i="3"/>
  <c r="D1337" i="3"/>
  <c r="D1336" i="3"/>
  <c r="I1336" i="3" s="1"/>
  <c r="D1335" i="3"/>
  <c r="D1334" i="3"/>
  <c r="D1333" i="3"/>
  <c r="D1332" i="3"/>
  <c r="D1331" i="3"/>
  <c r="D1330" i="3"/>
  <c r="D1329" i="3"/>
  <c r="D1328" i="3"/>
  <c r="D1327" i="3"/>
  <c r="D1326" i="3"/>
  <c r="I1326" i="3" s="1"/>
  <c r="D1325" i="3"/>
  <c r="D1324" i="3"/>
  <c r="D1323" i="3"/>
  <c r="D1322" i="3"/>
  <c r="J1322" i="3" s="1"/>
  <c r="D1321" i="3"/>
  <c r="I1321" i="3" s="1"/>
  <c r="D1320" i="3"/>
  <c r="J1320" i="3" s="1"/>
  <c r="D1319" i="3"/>
  <c r="J1319" i="3" s="1"/>
  <c r="D1318" i="3"/>
  <c r="I1318" i="3" s="1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I1302" i="3" s="1"/>
  <c r="D1301" i="3"/>
  <c r="D1300" i="3"/>
  <c r="D1299" i="3"/>
  <c r="D1298" i="3"/>
  <c r="D1297" i="3"/>
  <c r="D1296" i="3"/>
  <c r="D1295" i="3"/>
  <c r="D1294" i="3"/>
  <c r="D1293" i="3"/>
  <c r="I1293" i="3" s="1"/>
  <c r="D1292" i="3"/>
  <c r="I1292" i="3" s="1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J1239" i="3" s="1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J1208" i="3" s="1"/>
  <c r="D1207" i="3"/>
  <c r="I1207" i="3" s="1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I1194" i="3" s="1"/>
  <c r="D1193" i="3"/>
  <c r="D1192" i="3"/>
  <c r="J1192" i="3" s="1"/>
  <c r="D1191" i="3"/>
  <c r="D1190" i="3"/>
  <c r="I1190" i="3" s="1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J1163" i="3" s="1"/>
  <c r="D1162" i="3"/>
  <c r="I1162" i="3" s="1"/>
  <c r="D1161" i="3"/>
  <c r="I1161" i="3" s="1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J1147" i="3" s="1"/>
  <c r="D1146" i="3"/>
  <c r="J1146" i="3" s="1"/>
  <c r="D1145" i="3"/>
  <c r="I1145" i="3" s="1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J1117" i="3" s="1"/>
  <c r="D1116" i="3"/>
  <c r="I1116" i="3" s="1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J1098" i="3" s="1"/>
  <c r="D1097" i="3"/>
  <c r="I1097" i="3" s="1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J1066" i="3" s="1"/>
  <c r="D1065" i="3"/>
  <c r="J1065" i="3" s="1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J1049" i="3" s="1"/>
  <c r="D1048" i="3"/>
  <c r="J1048" i="3" s="1"/>
  <c r="D1047" i="3"/>
  <c r="J1047" i="3" s="1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J1017" i="3" s="1"/>
  <c r="D1016" i="3"/>
  <c r="J1016" i="3" s="1"/>
  <c r="D1015" i="3"/>
  <c r="I1015" i="3" s="1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I1000" i="3" s="1"/>
  <c r="D999" i="3"/>
  <c r="I999" i="3" s="1"/>
  <c r="D998" i="3"/>
  <c r="I998" i="3" s="1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J972" i="3" s="1"/>
  <c r="D971" i="3"/>
  <c r="D970" i="3"/>
  <c r="D969" i="3"/>
  <c r="J969" i="3" s="1"/>
  <c r="D968" i="3"/>
  <c r="I968" i="3" s="1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I950" i="3" s="1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J922" i="3" s="1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J908" i="3" s="1"/>
  <c r="D907" i="3"/>
  <c r="J907" i="3" s="1"/>
  <c r="D906" i="3"/>
  <c r="I906" i="3" s="1"/>
  <c r="D905" i="3"/>
  <c r="J905" i="3" s="1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J877" i="3" s="1"/>
  <c r="D876" i="3"/>
  <c r="D875" i="3"/>
  <c r="D874" i="3"/>
  <c r="D873" i="3"/>
  <c r="D872" i="3"/>
  <c r="J872" i="3" s="1"/>
  <c r="D871" i="3"/>
  <c r="D870" i="3"/>
  <c r="J870" i="3" s="1"/>
  <c r="D869" i="3"/>
  <c r="D868" i="3"/>
  <c r="D867" i="3"/>
  <c r="D866" i="3"/>
  <c r="D865" i="3"/>
  <c r="D864" i="3"/>
  <c r="D863" i="3"/>
  <c r="D862" i="3"/>
  <c r="D861" i="3"/>
  <c r="D860" i="3"/>
  <c r="I860" i="3" s="1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I841" i="3" s="1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I823" i="3" s="1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I806" i="3" s="1"/>
  <c r="D805" i="3"/>
  <c r="D804" i="3"/>
  <c r="D803" i="3"/>
  <c r="D802" i="3"/>
  <c r="D801" i="3"/>
  <c r="D800" i="3"/>
  <c r="D799" i="3"/>
  <c r="D798" i="3"/>
  <c r="D797" i="3"/>
  <c r="J797" i="3" s="1"/>
  <c r="D796" i="3"/>
  <c r="D795" i="3"/>
  <c r="D794" i="3"/>
  <c r="D793" i="3"/>
  <c r="J793" i="3" s="1"/>
  <c r="D792" i="3"/>
  <c r="J792" i="3" s="1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J776" i="3" s="1"/>
  <c r="D775" i="3"/>
  <c r="I775" i="3" s="1"/>
  <c r="D774" i="3"/>
  <c r="D773" i="3"/>
  <c r="D772" i="3"/>
  <c r="D771" i="3"/>
  <c r="D770" i="3"/>
  <c r="D769" i="3"/>
  <c r="D768" i="3"/>
  <c r="D767" i="3"/>
  <c r="D766" i="3"/>
  <c r="D765" i="3"/>
  <c r="D764" i="3"/>
  <c r="I764" i="3" s="1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J749" i="3" s="1"/>
  <c r="D748" i="3"/>
  <c r="J748" i="3" s="1"/>
  <c r="D747" i="3"/>
  <c r="J747" i="3" s="1"/>
  <c r="D746" i="3"/>
  <c r="D745" i="3"/>
  <c r="D744" i="3"/>
  <c r="D743" i="3"/>
  <c r="I743" i="3" s="1"/>
  <c r="D742" i="3"/>
  <c r="J742" i="3" s="1"/>
  <c r="D741" i="3"/>
  <c r="D740" i="3"/>
  <c r="D739" i="3"/>
  <c r="D738" i="3"/>
  <c r="D737" i="3"/>
  <c r="D736" i="3"/>
  <c r="D735" i="3"/>
  <c r="D734" i="3"/>
  <c r="D733" i="3"/>
  <c r="I733" i="3" s="1"/>
  <c r="D732" i="3"/>
  <c r="D731" i="3"/>
  <c r="D730" i="3"/>
  <c r="D729" i="3"/>
  <c r="D728" i="3"/>
  <c r="D727" i="3"/>
  <c r="D726" i="3"/>
  <c r="J726" i="3" s="1"/>
  <c r="D725" i="3"/>
  <c r="J725" i="3" s="1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I710" i="3" s="1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I697" i="3" s="1"/>
  <c r="D696" i="3"/>
  <c r="D695" i="3"/>
  <c r="D694" i="3"/>
  <c r="J694" i="3" s="1"/>
  <c r="D693" i="3"/>
  <c r="D692" i="3"/>
  <c r="D691" i="3"/>
  <c r="D690" i="3"/>
  <c r="D689" i="3"/>
  <c r="D688" i="3"/>
  <c r="D687" i="3"/>
  <c r="D686" i="3"/>
  <c r="D685" i="3"/>
  <c r="J685" i="3" s="1"/>
  <c r="D684" i="3"/>
  <c r="J684" i="3" s="1"/>
  <c r="D683" i="3"/>
  <c r="J683" i="3" s="1"/>
  <c r="D682" i="3"/>
  <c r="I682" i="3" s="1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J667" i="3" s="1"/>
  <c r="D666" i="3"/>
  <c r="J666" i="3" s="1"/>
  <c r="D665" i="3"/>
  <c r="J665" i="3" s="1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J647" i="3" s="1"/>
  <c r="D646" i="3"/>
  <c r="J646" i="3" s="1"/>
  <c r="D645" i="3"/>
  <c r="D644" i="3"/>
  <c r="D643" i="3"/>
  <c r="D642" i="3"/>
  <c r="D641" i="3"/>
  <c r="D640" i="3"/>
  <c r="D639" i="3"/>
  <c r="D638" i="3"/>
  <c r="D637" i="3"/>
  <c r="D636" i="3"/>
  <c r="D635" i="3"/>
  <c r="J635" i="3" s="1"/>
  <c r="D634" i="3"/>
  <c r="D633" i="3"/>
  <c r="D632" i="3"/>
  <c r="D631" i="3"/>
  <c r="J631" i="3" s="1"/>
  <c r="D630" i="3"/>
  <c r="J630" i="3" s="1"/>
  <c r="D629" i="3"/>
  <c r="D628" i="3"/>
  <c r="D627" i="3"/>
  <c r="D626" i="3"/>
  <c r="D625" i="3"/>
  <c r="D624" i="3"/>
  <c r="D623" i="3"/>
  <c r="D622" i="3"/>
  <c r="D621" i="3"/>
  <c r="D620" i="3"/>
  <c r="D619" i="3"/>
  <c r="D618" i="3"/>
  <c r="I618" i="3" s="1"/>
  <c r="D617" i="3"/>
  <c r="D616" i="3"/>
  <c r="D615" i="3"/>
  <c r="D614" i="3"/>
  <c r="J614" i="3" s="1"/>
  <c r="D613" i="3"/>
  <c r="D612" i="3"/>
  <c r="D611" i="3"/>
  <c r="D610" i="3"/>
  <c r="D609" i="3"/>
  <c r="D608" i="3"/>
  <c r="D607" i="3"/>
  <c r="D606" i="3"/>
  <c r="D605" i="3"/>
  <c r="J605" i="3" s="1"/>
  <c r="D604" i="3"/>
  <c r="J604" i="3" s="1"/>
  <c r="D603" i="3"/>
  <c r="J603" i="3" s="1"/>
  <c r="D602" i="3"/>
  <c r="J602" i="3" s="1"/>
  <c r="D601" i="3"/>
  <c r="D600" i="3"/>
  <c r="D599" i="3"/>
  <c r="D598" i="3"/>
  <c r="J598" i="3" s="1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I585" i="3" s="1"/>
  <c r="D584" i="3"/>
  <c r="D583" i="3"/>
  <c r="D582" i="3"/>
  <c r="D581" i="3"/>
  <c r="J581" i="3" s="1"/>
  <c r="D580" i="3"/>
  <c r="D579" i="3"/>
  <c r="D578" i="3"/>
  <c r="D577" i="3"/>
  <c r="D576" i="3"/>
  <c r="D575" i="3"/>
  <c r="D574" i="3"/>
  <c r="D573" i="3"/>
  <c r="D572" i="3"/>
  <c r="I572" i="3" s="1"/>
  <c r="D571" i="3"/>
  <c r="J571" i="3" s="1"/>
  <c r="D570" i="3"/>
  <c r="J570" i="3" s="1"/>
  <c r="D569" i="3"/>
  <c r="I569" i="3" s="1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J554" i="3" s="1"/>
  <c r="D553" i="3"/>
  <c r="J553" i="3" s="1"/>
  <c r="D552" i="3"/>
  <c r="I552" i="3" s="1"/>
  <c r="D551" i="3"/>
  <c r="D550" i="3"/>
  <c r="D549" i="3"/>
  <c r="D548" i="3"/>
  <c r="D547" i="3"/>
  <c r="D546" i="3"/>
  <c r="D545" i="3"/>
  <c r="D544" i="3"/>
  <c r="D543" i="3"/>
  <c r="D542" i="3"/>
  <c r="D541" i="3"/>
  <c r="D540" i="3"/>
  <c r="I540" i="3" s="1"/>
  <c r="D539" i="3"/>
  <c r="J539" i="3" s="1"/>
  <c r="D538" i="3"/>
  <c r="I538" i="3" s="1"/>
  <c r="D537" i="3"/>
  <c r="J537" i="3" s="1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J524" i="3" s="1"/>
  <c r="D523" i="3"/>
  <c r="J523" i="3" s="1"/>
  <c r="D522" i="3"/>
  <c r="D521" i="3"/>
  <c r="D520" i="3"/>
  <c r="D519" i="3"/>
  <c r="J519" i="3" s="1"/>
  <c r="D518" i="3"/>
  <c r="D517" i="3"/>
  <c r="D516" i="3"/>
  <c r="D515" i="3"/>
  <c r="D514" i="3"/>
  <c r="D513" i="3"/>
  <c r="D512" i="3"/>
  <c r="D511" i="3"/>
  <c r="D510" i="3"/>
  <c r="D509" i="3"/>
  <c r="I509" i="3" s="1"/>
  <c r="D508" i="3"/>
  <c r="D507" i="3"/>
  <c r="J507" i="3" s="1"/>
  <c r="D506" i="3"/>
  <c r="J506" i="3" s="1"/>
  <c r="D505" i="3"/>
  <c r="I505" i="3" s="1"/>
  <c r="D504" i="3"/>
  <c r="J504" i="3" s="1"/>
  <c r="D503" i="3"/>
  <c r="I503" i="3" s="1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J489" i="3" s="1"/>
  <c r="D488" i="3"/>
  <c r="J488" i="3" s="1"/>
  <c r="D487" i="3"/>
  <c r="I487" i="3" s="1"/>
  <c r="D486" i="3"/>
  <c r="J486" i="3" s="1"/>
  <c r="D485" i="3"/>
  <c r="D484" i="3"/>
  <c r="D483" i="3"/>
  <c r="D482" i="3"/>
  <c r="D481" i="3"/>
  <c r="D480" i="3"/>
  <c r="D479" i="3"/>
  <c r="D478" i="3"/>
  <c r="D477" i="3"/>
  <c r="D476" i="3"/>
  <c r="I476" i="3" s="1"/>
  <c r="D475" i="3"/>
  <c r="D474" i="3"/>
  <c r="J474" i="3" s="1"/>
  <c r="D473" i="3"/>
  <c r="I473" i="3" s="1"/>
  <c r="D472" i="3"/>
  <c r="J472" i="3" s="1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J457" i="3" s="1"/>
  <c r="D456" i="3"/>
  <c r="J456" i="3" s="1"/>
  <c r="D455" i="3"/>
  <c r="I455" i="3" s="1"/>
  <c r="D454" i="3"/>
  <c r="I454" i="3" s="1"/>
  <c r="D453" i="3"/>
  <c r="D452" i="3"/>
  <c r="D451" i="3"/>
  <c r="D450" i="3"/>
  <c r="D449" i="3"/>
  <c r="D448" i="3"/>
  <c r="D447" i="3"/>
  <c r="D446" i="3"/>
  <c r="D445" i="3"/>
  <c r="D444" i="3"/>
  <c r="D443" i="3"/>
  <c r="J443" i="3" s="1"/>
  <c r="D442" i="3"/>
  <c r="D441" i="3"/>
  <c r="D440" i="3"/>
  <c r="D439" i="3"/>
  <c r="D438" i="3"/>
  <c r="D437" i="3"/>
  <c r="I437" i="3" s="1"/>
  <c r="D436" i="3"/>
  <c r="D435" i="3"/>
  <c r="D434" i="3"/>
  <c r="D433" i="3"/>
  <c r="D432" i="3"/>
  <c r="D431" i="3"/>
  <c r="D430" i="3"/>
  <c r="D429" i="3"/>
  <c r="D428" i="3"/>
  <c r="I428" i="3" s="1"/>
  <c r="D427" i="3"/>
  <c r="D426" i="3"/>
  <c r="I426" i="3" s="1"/>
  <c r="D425" i="3"/>
  <c r="D424" i="3"/>
  <c r="J424" i="3" s="1"/>
  <c r="D423" i="3"/>
  <c r="J423" i="3" s="1"/>
  <c r="D422" i="3"/>
  <c r="I422" i="3" s="1"/>
  <c r="D421" i="3"/>
  <c r="D420" i="3"/>
  <c r="D419" i="3"/>
  <c r="D418" i="3"/>
  <c r="D417" i="3"/>
  <c r="D416" i="3"/>
  <c r="D415" i="3"/>
  <c r="D414" i="3"/>
  <c r="D413" i="3"/>
  <c r="D412" i="3"/>
  <c r="J412" i="3" s="1"/>
  <c r="D411" i="3"/>
  <c r="D410" i="3"/>
  <c r="J410" i="3" s="1"/>
  <c r="D409" i="3"/>
  <c r="D408" i="3"/>
  <c r="J408" i="3" s="1"/>
  <c r="D407" i="3"/>
  <c r="I407" i="3" s="1"/>
  <c r="D406" i="3"/>
  <c r="I406" i="3" s="1"/>
  <c r="D405" i="3"/>
  <c r="D404" i="3"/>
  <c r="D403" i="3"/>
  <c r="D402" i="3"/>
  <c r="D401" i="3"/>
  <c r="D400" i="3"/>
  <c r="D399" i="3"/>
  <c r="D398" i="3"/>
  <c r="D397" i="3"/>
  <c r="D396" i="3"/>
  <c r="D395" i="3"/>
  <c r="J395" i="3" s="1"/>
  <c r="D394" i="3"/>
  <c r="D393" i="3"/>
  <c r="D392" i="3"/>
  <c r="D391" i="3"/>
  <c r="D390" i="3"/>
  <c r="J390" i="3" s="1"/>
  <c r="D389" i="3"/>
  <c r="D388" i="3"/>
  <c r="D387" i="3"/>
  <c r="D386" i="3"/>
  <c r="D385" i="3"/>
  <c r="D384" i="3"/>
  <c r="D383" i="3"/>
  <c r="D382" i="3"/>
  <c r="D381" i="3"/>
  <c r="J381" i="3" s="1"/>
  <c r="D380" i="3"/>
  <c r="J380" i="3" s="1"/>
  <c r="D379" i="3"/>
  <c r="J379" i="3" s="1"/>
  <c r="D378" i="3"/>
  <c r="I378" i="3" s="1"/>
  <c r="D377" i="3"/>
  <c r="J377" i="3" s="1"/>
  <c r="D376" i="3"/>
  <c r="D375" i="3"/>
  <c r="J375" i="3" s="1"/>
  <c r="D374" i="3"/>
  <c r="D373" i="3"/>
  <c r="D372" i="3"/>
  <c r="D371" i="3"/>
  <c r="D370" i="3"/>
  <c r="D369" i="3"/>
  <c r="D368" i="3"/>
  <c r="D367" i="3"/>
  <c r="D366" i="3"/>
  <c r="D365" i="3"/>
  <c r="I365" i="3" s="1"/>
  <c r="D364" i="3"/>
  <c r="D363" i="3"/>
  <c r="D362" i="3"/>
  <c r="D361" i="3"/>
  <c r="D360" i="3"/>
  <c r="I360" i="3" s="1"/>
  <c r="D359" i="3"/>
  <c r="D358" i="3"/>
  <c r="I358" i="3" s="1"/>
  <c r="D357" i="3"/>
  <c r="D356" i="3"/>
  <c r="D355" i="3"/>
  <c r="D354" i="3"/>
  <c r="D353" i="3"/>
  <c r="D352" i="3"/>
  <c r="D351" i="3"/>
  <c r="D350" i="3"/>
  <c r="D349" i="3"/>
  <c r="J349" i="3" s="1"/>
  <c r="D348" i="3"/>
  <c r="J348" i="3" s="1"/>
  <c r="D347" i="3"/>
  <c r="J347" i="3" s="1"/>
  <c r="D346" i="3"/>
  <c r="I346" i="3" s="1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J333" i="3" s="1"/>
  <c r="D332" i="3"/>
  <c r="D331" i="3"/>
  <c r="J331" i="3" s="1"/>
  <c r="D330" i="3"/>
  <c r="D329" i="3"/>
  <c r="D328" i="3"/>
  <c r="D327" i="3"/>
  <c r="I327" i="3" s="1"/>
  <c r="D326" i="3"/>
  <c r="D325" i="3"/>
  <c r="D324" i="3"/>
  <c r="D323" i="3"/>
  <c r="D322" i="3"/>
  <c r="D321" i="3"/>
  <c r="D320" i="3"/>
  <c r="D319" i="3"/>
  <c r="D318" i="3"/>
  <c r="D317" i="3"/>
  <c r="J317" i="3" s="1"/>
  <c r="D316" i="3"/>
  <c r="I316" i="3" s="1"/>
  <c r="D315" i="3"/>
  <c r="D314" i="3"/>
  <c r="D313" i="3"/>
  <c r="J313" i="3" s="1"/>
  <c r="D312" i="3"/>
  <c r="I312" i="3" s="1"/>
  <c r="D311" i="3"/>
  <c r="J311" i="3" s="1"/>
  <c r="D310" i="3"/>
  <c r="D309" i="3"/>
  <c r="D308" i="3"/>
  <c r="D307" i="3"/>
  <c r="D306" i="3"/>
  <c r="D305" i="3"/>
  <c r="D304" i="3"/>
  <c r="D303" i="3"/>
  <c r="D302" i="3"/>
  <c r="D301" i="3"/>
  <c r="J301" i="3" s="1"/>
  <c r="D300" i="3"/>
  <c r="J300" i="3" s="1"/>
  <c r="D299" i="3"/>
  <c r="J299" i="3" s="1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I285" i="3" s="1"/>
  <c r="D284" i="3"/>
  <c r="D283" i="3"/>
  <c r="D282" i="3"/>
  <c r="I282" i="3" s="1"/>
  <c r="D281" i="3"/>
  <c r="J281" i="3" s="1"/>
  <c r="D280" i="3"/>
  <c r="J280" i="3" s="1"/>
  <c r="D279" i="3"/>
  <c r="I279" i="3" s="1"/>
  <c r="D278" i="3"/>
  <c r="D277" i="3"/>
  <c r="D276" i="3"/>
  <c r="D275" i="3"/>
  <c r="D274" i="3"/>
  <c r="D273" i="3"/>
  <c r="D272" i="3"/>
  <c r="D271" i="3"/>
  <c r="D270" i="3"/>
  <c r="D269" i="3"/>
  <c r="J269" i="3" s="1"/>
  <c r="D268" i="3"/>
  <c r="J268" i="3" s="1"/>
  <c r="D267" i="3"/>
  <c r="J267" i="3" s="1"/>
  <c r="D266" i="3"/>
  <c r="D265" i="3"/>
  <c r="D264" i="3"/>
  <c r="J264" i="3" s="1"/>
  <c r="D263" i="3"/>
  <c r="D262" i="3"/>
  <c r="I262" i="3" s="1"/>
  <c r="D261" i="3"/>
  <c r="D260" i="3"/>
  <c r="D259" i="3"/>
  <c r="D258" i="3"/>
  <c r="D257" i="3"/>
  <c r="D256" i="3"/>
  <c r="D255" i="3"/>
  <c r="D254" i="3"/>
  <c r="D253" i="3"/>
  <c r="I253" i="3" s="1"/>
  <c r="D252" i="3"/>
  <c r="I252" i="3" s="1"/>
  <c r="D251" i="3"/>
  <c r="J251" i="3" s="1"/>
  <c r="D250" i="3"/>
  <c r="J250" i="3" s="1"/>
  <c r="D249" i="3"/>
  <c r="J249" i="3" s="1"/>
  <c r="D248" i="3"/>
  <c r="J248" i="3" s="1"/>
  <c r="D247" i="3"/>
  <c r="J247" i="3" s="1"/>
  <c r="D246" i="3"/>
  <c r="D245" i="3"/>
  <c r="D244" i="3"/>
  <c r="D243" i="3"/>
  <c r="D242" i="3"/>
  <c r="D241" i="3"/>
  <c r="D240" i="3"/>
  <c r="D239" i="3"/>
  <c r="D238" i="3"/>
  <c r="D237" i="3"/>
  <c r="D236" i="3"/>
  <c r="J236" i="3" s="1"/>
  <c r="D235" i="3"/>
  <c r="D234" i="3"/>
  <c r="D233" i="3"/>
  <c r="D232" i="3"/>
  <c r="D231" i="3"/>
  <c r="J231" i="3" s="1"/>
  <c r="D230" i="3"/>
  <c r="D229" i="3"/>
  <c r="D228" i="3"/>
  <c r="D227" i="3"/>
  <c r="D226" i="3"/>
  <c r="D225" i="3"/>
  <c r="D224" i="3"/>
  <c r="D223" i="3"/>
  <c r="D222" i="3"/>
  <c r="D221" i="3"/>
  <c r="I221" i="3" s="1"/>
  <c r="D220" i="3"/>
  <c r="I220" i="3" s="1"/>
  <c r="D219" i="3"/>
  <c r="J219" i="3" s="1"/>
  <c r="D218" i="3"/>
  <c r="J218" i="3" s="1"/>
  <c r="D217" i="3"/>
  <c r="D216" i="3"/>
  <c r="J216" i="3" s="1"/>
  <c r="D215" i="3"/>
  <c r="J215" i="3" s="1"/>
  <c r="D214" i="3"/>
  <c r="D213" i="3"/>
  <c r="J213" i="3" s="1"/>
  <c r="D212" i="3"/>
  <c r="D211" i="3"/>
  <c r="D210" i="3"/>
  <c r="D209" i="3"/>
  <c r="D208" i="3"/>
  <c r="D207" i="3"/>
  <c r="D206" i="3"/>
  <c r="D205" i="3"/>
  <c r="D204" i="3"/>
  <c r="J204" i="3" s="1"/>
  <c r="D203" i="3"/>
  <c r="D202" i="3"/>
  <c r="I202" i="3" s="1"/>
  <c r="D201" i="3"/>
  <c r="J201" i="3" s="1"/>
  <c r="D200" i="3"/>
  <c r="J200" i="3" s="1"/>
  <c r="D199" i="3"/>
  <c r="D198" i="3"/>
  <c r="D197" i="3"/>
  <c r="D196" i="3"/>
  <c r="D195" i="3"/>
  <c r="D194" i="3"/>
  <c r="D193" i="3"/>
  <c r="D192" i="3"/>
  <c r="D191" i="3"/>
  <c r="D190" i="3"/>
  <c r="D189" i="3"/>
  <c r="D188" i="3"/>
  <c r="I188" i="3" s="1"/>
  <c r="D187" i="3"/>
  <c r="J187" i="3" s="1"/>
  <c r="D186" i="3"/>
  <c r="J186" i="3" s="1"/>
  <c r="D185" i="3"/>
  <c r="J185" i="3" s="1"/>
  <c r="D184" i="3"/>
  <c r="D183" i="3"/>
  <c r="I183" i="3" s="1"/>
  <c r="D182" i="3"/>
  <c r="D181" i="3"/>
  <c r="D180" i="3"/>
  <c r="D179" i="3"/>
  <c r="D178" i="3"/>
  <c r="D177" i="3"/>
  <c r="D176" i="3"/>
  <c r="D175" i="3"/>
  <c r="D174" i="3"/>
  <c r="D173" i="3"/>
  <c r="D172" i="3"/>
  <c r="J172" i="3" s="1"/>
  <c r="D171" i="3"/>
  <c r="D170" i="3"/>
  <c r="I170" i="3" s="1"/>
  <c r="D169" i="3"/>
  <c r="I169" i="3" s="1"/>
  <c r="D168" i="3"/>
  <c r="I168" i="3" s="1"/>
  <c r="D167" i="3"/>
  <c r="J167" i="3" s="1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J153" i="3" s="1"/>
  <c r="D152" i="3"/>
  <c r="J152" i="3" s="1"/>
  <c r="D151" i="3"/>
  <c r="J151" i="3" s="1"/>
  <c r="D150" i="3"/>
  <c r="D149" i="3"/>
  <c r="D148" i="3"/>
  <c r="D147" i="3"/>
  <c r="D146" i="3"/>
  <c r="D145" i="3"/>
  <c r="D144" i="3"/>
  <c r="D143" i="3"/>
  <c r="D142" i="3"/>
  <c r="D141" i="3"/>
  <c r="I141" i="3" s="1"/>
  <c r="D140" i="3"/>
  <c r="J140" i="3" s="1"/>
  <c r="D139" i="3"/>
  <c r="J139" i="3" s="1"/>
  <c r="D138" i="3"/>
  <c r="I138" i="3" s="1"/>
  <c r="D137" i="3"/>
  <c r="I137" i="3" s="1"/>
  <c r="D136" i="3"/>
  <c r="I136" i="3" s="1"/>
  <c r="D135" i="3"/>
  <c r="D134" i="3"/>
  <c r="J134" i="3" s="1"/>
  <c r="D133" i="3"/>
  <c r="I133" i="3" s="1"/>
  <c r="D132" i="3"/>
  <c r="D131" i="3"/>
  <c r="D130" i="3"/>
  <c r="D129" i="3"/>
  <c r="D128" i="3"/>
  <c r="D127" i="3"/>
  <c r="D126" i="3"/>
  <c r="D125" i="3"/>
  <c r="I125" i="3" s="1"/>
  <c r="D124" i="3"/>
  <c r="J124" i="3" s="1"/>
  <c r="D123" i="3"/>
  <c r="J123" i="3" s="1"/>
  <c r="D122" i="3"/>
  <c r="J122" i="3" s="1"/>
  <c r="D121" i="3"/>
  <c r="J121" i="3" s="1"/>
  <c r="D120" i="3"/>
  <c r="J120" i="3" s="1"/>
  <c r="D119" i="3"/>
  <c r="J119" i="3" s="1"/>
  <c r="D118" i="3"/>
  <c r="D117" i="3"/>
  <c r="D116" i="3"/>
  <c r="D115" i="3"/>
  <c r="D114" i="3"/>
  <c r="D113" i="3"/>
  <c r="D112" i="3"/>
  <c r="D111" i="3"/>
  <c r="D110" i="3"/>
  <c r="D109" i="3"/>
  <c r="D108" i="3"/>
  <c r="D107" i="3"/>
  <c r="J107" i="3" s="1"/>
  <c r="D106" i="3"/>
  <c r="D105" i="3"/>
  <c r="D104" i="3"/>
  <c r="I104" i="3" s="1"/>
  <c r="D103" i="3"/>
  <c r="I103" i="3" s="1"/>
  <c r="D102" i="3"/>
  <c r="D101" i="3"/>
  <c r="D100" i="3"/>
  <c r="D99" i="3"/>
  <c r="D98" i="3"/>
  <c r="D97" i="3"/>
  <c r="D96" i="3"/>
  <c r="D95" i="3"/>
  <c r="D94" i="3"/>
  <c r="D93" i="3"/>
  <c r="J93" i="3" s="1"/>
  <c r="D92" i="3"/>
  <c r="I92" i="3" s="1"/>
  <c r="D91" i="3"/>
  <c r="D90" i="3"/>
  <c r="J90" i="3" s="1"/>
  <c r="D89" i="3"/>
  <c r="J89" i="3" s="1"/>
  <c r="D88" i="3"/>
  <c r="J88" i="3" s="1"/>
  <c r="D87" i="3"/>
  <c r="J87" i="3" s="1"/>
  <c r="D86" i="3"/>
  <c r="J86" i="3" s="1"/>
  <c r="D85" i="3"/>
  <c r="I85" i="3" s="1"/>
  <c r="D84" i="3"/>
  <c r="D83" i="3"/>
  <c r="D82" i="3"/>
  <c r="D81" i="3"/>
  <c r="D80" i="3"/>
  <c r="D79" i="3"/>
  <c r="D78" i="3"/>
  <c r="D77" i="3"/>
  <c r="I77" i="3" s="1"/>
  <c r="D76" i="3"/>
  <c r="J76" i="3" s="1"/>
  <c r="D75" i="3"/>
  <c r="J75" i="3" s="1"/>
  <c r="D74" i="3"/>
  <c r="I74" i="3" s="1"/>
  <c r="D73" i="3"/>
  <c r="J73" i="3" s="1"/>
  <c r="D72" i="3"/>
  <c r="J72" i="3" s="1"/>
  <c r="D71" i="3"/>
  <c r="J71" i="3" s="1"/>
  <c r="D70" i="3"/>
  <c r="D69" i="3"/>
  <c r="D68" i="3"/>
  <c r="D67" i="3"/>
  <c r="D66" i="3"/>
  <c r="D65" i="3"/>
  <c r="D64" i="3"/>
  <c r="D63" i="3"/>
  <c r="D62" i="3"/>
  <c r="D61" i="3"/>
  <c r="D60" i="3"/>
  <c r="D59" i="3"/>
  <c r="J59" i="3" s="1"/>
  <c r="D58" i="3"/>
  <c r="J58" i="3" s="1"/>
  <c r="D57" i="3"/>
  <c r="D56" i="3"/>
  <c r="J56" i="3" s="1"/>
  <c r="D55" i="3"/>
  <c r="I55" i="3" s="1"/>
  <c r="D54" i="3"/>
  <c r="D53" i="3"/>
  <c r="D52" i="3"/>
  <c r="D51" i="3"/>
  <c r="D50" i="3"/>
  <c r="D49" i="3"/>
  <c r="D48" i="3"/>
  <c r="D47" i="3"/>
  <c r="D46" i="3"/>
  <c r="D45" i="3"/>
  <c r="D44" i="3"/>
  <c r="D43" i="3"/>
  <c r="J43" i="3" s="1"/>
  <c r="D42" i="3"/>
  <c r="D41" i="3"/>
  <c r="I41" i="3" s="1"/>
  <c r="D40" i="3"/>
  <c r="J40" i="3" s="1"/>
  <c r="D39" i="3"/>
  <c r="J39" i="3" s="1"/>
  <c r="D38" i="3"/>
  <c r="D37" i="3"/>
  <c r="D36" i="3"/>
  <c r="D35" i="3"/>
  <c r="D34" i="3"/>
  <c r="D33" i="3"/>
  <c r="D32" i="3"/>
  <c r="D31" i="3"/>
  <c r="D30" i="3"/>
  <c r="D29" i="3"/>
  <c r="J29" i="3" s="1"/>
  <c r="D28" i="3"/>
  <c r="D27" i="3"/>
  <c r="J27" i="3" s="1"/>
  <c r="D26" i="3"/>
  <c r="D25" i="3"/>
  <c r="D24" i="3"/>
  <c r="D23" i="3"/>
  <c r="I23" i="3" s="1"/>
  <c r="D22" i="3"/>
  <c r="D21" i="3"/>
  <c r="D20" i="3"/>
  <c r="D19" i="3"/>
  <c r="D18" i="3"/>
  <c r="D17" i="3"/>
  <c r="D16" i="3"/>
  <c r="D15" i="3"/>
  <c r="D14" i="3"/>
  <c r="D13" i="3"/>
  <c r="J13" i="3" s="1"/>
  <c r="D12" i="3"/>
  <c r="I12" i="3" s="1"/>
  <c r="D11" i="3"/>
  <c r="J11" i="3" s="1"/>
  <c r="D10" i="3"/>
  <c r="I10" i="3" s="1"/>
  <c r="D9" i="3"/>
  <c r="J9" i="3" s="1"/>
  <c r="D8" i="3"/>
  <c r="I8" i="3" s="1"/>
  <c r="D7" i="3"/>
  <c r="J7" i="3" s="1"/>
  <c r="D6" i="3"/>
  <c r="J6" i="3" s="1"/>
  <c r="D5" i="3"/>
  <c r="D4" i="3"/>
  <c r="D3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J2500" i="3"/>
  <c r="I2500" i="3"/>
  <c r="J2499" i="3"/>
  <c r="I2499" i="3"/>
  <c r="J2498" i="3"/>
  <c r="I2498" i="3"/>
  <c r="J2497" i="3"/>
  <c r="I2497" i="3"/>
  <c r="J2496" i="3"/>
  <c r="I2496" i="3"/>
  <c r="J2495" i="3"/>
  <c r="I2495" i="3"/>
  <c r="J2484" i="3"/>
  <c r="I2484" i="3"/>
  <c r="J2483" i="3"/>
  <c r="I2483" i="3"/>
  <c r="J2482" i="3"/>
  <c r="I2482" i="3"/>
  <c r="J2481" i="3"/>
  <c r="I2481" i="3"/>
  <c r="J2480" i="3"/>
  <c r="I2480" i="3"/>
  <c r="J2479" i="3"/>
  <c r="I2479" i="3"/>
  <c r="J2478" i="3"/>
  <c r="J2477" i="3"/>
  <c r="I2469" i="3"/>
  <c r="J2468" i="3"/>
  <c r="I2468" i="3"/>
  <c r="J2467" i="3"/>
  <c r="I2467" i="3"/>
  <c r="J2466" i="3"/>
  <c r="I2466" i="3"/>
  <c r="J2465" i="3"/>
  <c r="I2465" i="3"/>
  <c r="J2464" i="3"/>
  <c r="I2464" i="3"/>
  <c r="J2463" i="3"/>
  <c r="I2463" i="3"/>
  <c r="J2462" i="3"/>
  <c r="J2461" i="3"/>
  <c r="I2461" i="3"/>
  <c r="J2460" i="3"/>
  <c r="I2458" i="3"/>
  <c r="J2452" i="3"/>
  <c r="I2452" i="3"/>
  <c r="J2451" i="3"/>
  <c r="I2451" i="3"/>
  <c r="J2450" i="3"/>
  <c r="I2450" i="3"/>
  <c r="J2449" i="3"/>
  <c r="I2449" i="3"/>
  <c r="J2448" i="3"/>
  <c r="I2448" i="3"/>
  <c r="J2447" i="3"/>
  <c r="I2447" i="3"/>
  <c r="J2446" i="3"/>
  <c r="J2445" i="3"/>
  <c r="I2445" i="3"/>
  <c r="J2436" i="3"/>
  <c r="I2436" i="3"/>
  <c r="J2435" i="3"/>
  <c r="I2435" i="3"/>
  <c r="J2434" i="3"/>
  <c r="I2434" i="3"/>
  <c r="J2433" i="3"/>
  <c r="I2433" i="3"/>
  <c r="J2432" i="3"/>
  <c r="I2432" i="3"/>
  <c r="J2431" i="3"/>
  <c r="I2431" i="3"/>
  <c r="J2430" i="3"/>
  <c r="J2429" i="3"/>
  <c r="I2429" i="3"/>
  <c r="J2420" i="3"/>
  <c r="I2420" i="3"/>
  <c r="J2419" i="3"/>
  <c r="I2419" i="3"/>
  <c r="J2418" i="3"/>
  <c r="I2418" i="3"/>
  <c r="J2417" i="3"/>
  <c r="I2417" i="3"/>
  <c r="J2416" i="3"/>
  <c r="I2416" i="3"/>
  <c r="J2415" i="3"/>
  <c r="I2415" i="3"/>
  <c r="J2414" i="3"/>
  <c r="J2413" i="3"/>
  <c r="I2413" i="3"/>
  <c r="I2405" i="3"/>
  <c r="J2404" i="3"/>
  <c r="I2404" i="3"/>
  <c r="J2403" i="3"/>
  <c r="I2403" i="3"/>
  <c r="J2402" i="3"/>
  <c r="I2402" i="3"/>
  <c r="J2401" i="3"/>
  <c r="I2401" i="3"/>
  <c r="J2400" i="3"/>
  <c r="I2400" i="3"/>
  <c r="J2398" i="3"/>
  <c r="J2397" i="3"/>
  <c r="I2397" i="3"/>
  <c r="J2395" i="3"/>
  <c r="I2395" i="3"/>
  <c r="J2394" i="3"/>
  <c r="J2389" i="3"/>
  <c r="J2388" i="3"/>
  <c r="I2388" i="3"/>
  <c r="J2387" i="3"/>
  <c r="I2387" i="3"/>
  <c r="J2386" i="3"/>
  <c r="I2386" i="3"/>
  <c r="J2385" i="3"/>
  <c r="I2385" i="3"/>
  <c r="J2384" i="3"/>
  <c r="I2384" i="3"/>
  <c r="I2381" i="3"/>
  <c r="J2378" i="3"/>
  <c r="I2378" i="3"/>
  <c r="J2377" i="3"/>
  <c r="J2372" i="3"/>
  <c r="I2372" i="3"/>
  <c r="J2371" i="3"/>
  <c r="I2371" i="3"/>
  <c r="J2370" i="3"/>
  <c r="I2370" i="3"/>
  <c r="J2369" i="3"/>
  <c r="I2369" i="3"/>
  <c r="J2368" i="3"/>
  <c r="I2368" i="3"/>
  <c r="J2367" i="3"/>
  <c r="I2367" i="3"/>
  <c r="J2356" i="3"/>
  <c r="I2356" i="3"/>
  <c r="J2355" i="3"/>
  <c r="I2355" i="3"/>
  <c r="J2354" i="3"/>
  <c r="I2354" i="3"/>
  <c r="J2353" i="3"/>
  <c r="I2353" i="3"/>
  <c r="J2352" i="3"/>
  <c r="I2352" i="3"/>
  <c r="J2351" i="3"/>
  <c r="I2351" i="3"/>
  <c r="J2350" i="3"/>
  <c r="J2349" i="3"/>
  <c r="I2343" i="3"/>
  <c r="J2342" i="3"/>
  <c r="J2340" i="3"/>
  <c r="I2340" i="3"/>
  <c r="J2339" i="3"/>
  <c r="I2339" i="3"/>
  <c r="J2338" i="3"/>
  <c r="I2338" i="3"/>
  <c r="J2337" i="3"/>
  <c r="I2337" i="3"/>
  <c r="J2336" i="3"/>
  <c r="I2336" i="3"/>
  <c r="J2335" i="3"/>
  <c r="I2335" i="3"/>
  <c r="J2334" i="3"/>
  <c r="J2333" i="3"/>
  <c r="I2333" i="3"/>
  <c r="J2324" i="3"/>
  <c r="I2324" i="3"/>
  <c r="J2323" i="3"/>
  <c r="I2323" i="3"/>
  <c r="J2322" i="3"/>
  <c r="I2322" i="3"/>
  <c r="J2321" i="3"/>
  <c r="I2321" i="3"/>
  <c r="J2320" i="3"/>
  <c r="I2320" i="3"/>
  <c r="J2319" i="3"/>
  <c r="I2319" i="3"/>
  <c r="J2318" i="3"/>
  <c r="J2317" i="3"/>
  <c r="I2317" i="3"/>
  <c r="I2311" i="3"/>
  <c r="J2310" i="3"/>
  <c r="J2308" i="3"/>
  <c r="I2308" i="3"/>
  <c r="J2307" i="3"/>
  <c r="I2307" i="3"/>
  <c r="J2306" i="3"/>
  <c r="I2306" i="3"/>
  <c r="J2305" i="3"/>
  <c r="I2305" i="3"/>
  <c r="J2304" i="3"/>
  <c r="I2304" i="3"/>
  <c r="J2303" i="3"/>
  <c r="I2303" i="3"/>
  <c r="J2302" i="3"/>
  <c r="J2301" i="3"/>
  <c r="I2301" i="3"/>
  <c r="I2299" i="3"/>
  <c r="J2298" i="3"/>
  <c r="J2292" i="3"/>
  <c r="I2292" i="3"/>
  <c r="J2291" i="3"/>
  <c r="I2291" i="3"/>
  <c r="J2290" i="3"/>
  <c r="I2290" i="3"/>
  <c r="J2289" i="3"/>
  <c r="I2289" i="3"/>
  <c r="J2288" i="3"/>
  <c r="I2288" i="3"/>
  <c r="J2287" i="3"/>
  <c r="I2287" i="3"/>
  <c r="J2286" i="3"/>
  <c r="J2285" i="3"/>
  <c r="I2285" i="3"/>
  <c r="J2276" i="3"/>
  <c r="I2276" i="3"/>
  <c r="J2275" i="3"/>
  <c r="I2275" i="3"/>
  <c r="J2274" i="3"/>
  <c r="I2274" i="3"/>
  <c r="J2273" i="3"/>
  <c r="I2273" i="3"/>
  <c r="J2272" i="3"/>
  <c r="I2272" i="3"/>
  <c r="J2270" i="3"/>
  <c r="J2269" i="3"/>
  <c r="I2269" i="3"/>
  <c r="J2260" i="3"/>
  <c r="I2260" i="3"/>
  <c r="J2259" i="3"/>
  <c r="I2259" i="3"/>
  <c r="J2258" i="3"/>
  <c r="I2258" i="3"/>
  <c r="J2257" i="3"/>
  <c r="I2257" i="3"/>
  <c r="J2256" i="3"/>
  <c r="I2256" i="3"/>
  <c r="I2253" i="3"/>
  <c r="J2244" i="3"/>
  <c r="I2244" i="3"/>
  <c r="J2243" i="3"/>
  <c r="I2243" i="3"/>
  <c r="J2242" i="3"/>
  <c r="I2242" i="3"/>
  <c r="J2241" i="3"/>
  <c r="I2241" i="3"/>
  <c r="J2240" i="3"/>
  <c r="I2240" i="3"/>
  <c r="J2239" i="3"/>
  <c r="I2239" i="3"/>
  <c r="J2228" i="3"/>
  <c r="I2228" i="3"/>
  <c r="J2227" i="3"/>
  <c r="I2227" i="3"/>
  <c r="J2226" i="3"/>
  <c r="I2226" i="3"/>
  <c r="J2225" i="3"/>
  <c r="I2225" i="3"/>
  <c r="J2224" i="3"/>
  <c r="I2224" i="3"/>
  <c r="J2223" i="3"/>
  <c r="I2223" i="3"/>
  <c r="J2222" i="3"/>
  <c r="J2212" i="3"/>
  <c r="I2212" i="3"/>
  <c r="J2211" i="3"/>
  <c r="I2211" i="3"/>
  <c r="J2210" i="3"/>
  <c r="I2210" i="3"/>
  <c r="J2209" i="3"/>
  <c r="I2209" i="3"/>
  <c r="J2208" i="3"/>
  <c r="I2208" i="3"/>
  <c r="J2207" i="3"/>
  <c r="I2207" i="3"/>
  <c r="J2200" i="3"/>
  <c r="J2196" i="3"/>
  <c r="I2196" i="3"/>
  <c r="J2195" i="3"/>
  <c r="I2195" i="3"/>
  <c r="J2194" i="3"/>
  <c r="I2194" i="3"/>
  <c r="J2193" i="3"/>
  <c r="I2193" i="3"/>
  <c r="J2192" i="3"/>
  <c r="I2192" i="3"/>
  <c r="J2191" i="3"/>
  <c r="I2191" i="3"/>
  <c r="J2190" i="3"/>
  <c r="I2189" i="3"/>
  <c r="J2188" i="3"/>
  <c r="I2184" i="3"/>
  <c r="J2180" i="3"/>
  <c r="I2180" i="3"/>
  <c r="J2179" i="3"/>
  <c r="I2179" i="3"/>
  <c r="J2178" i="3"/>
  <c r="I2178" i="3"/>
  <c r="J2177" i="3"/>
  <c r="I2177" i="3"/>
  <c r="J2176" i="3"/>
  <c r="I2176" i="3"/>
  <c r="J2175" i="3"/>
  <c r="I2175" i="3"/>
  <c r="J2174" i="3"/>
  <c r="J2164" i="3"/>
  <c r="I2164" i="3"/>
  <c r="J2163" i="3"/>
  <c r="I2163" i="3"/>
  <c r="J2162" i="3"/>
  <c r="I2162" i="3"/>
  <c r="J2161" i="3"/>
  <c r="I2161" i="3"/>
  <c r="J2159" i="3"/>
  <c r="I2159" i="3"/>
  <c r="J2158" i="3"/>
  <c r="J2148" i="3"/>
  <c r="I2148" i="3"/>
  <c r="J2147" i="3"/>
  <c r="I2147" i="3"/>
  <c r="J2146" i="3"/>
  <c r="I2146" i="3"/>
  <c r="J2145" i="3"/>
  <c r="I2145" i="3"/>
  <c r="J2142" i="3"/>
  <c r="J2132" i="3"/>
  <c r="I2132" i="3"/>
  <c r="J2131" i="3"/>
  <c r="I2131" i="3"/>
  <c r="J2130" i="3"/>
  <c r="I2130" i="3"/>
  <c r="J2129" i="3"/>
  <c r="I2129" i="3"/>
  <c r="J2128" i="3"/>
  <c r="I2128" i="3"/>
  <c r="J2116" i="3"/>
  <c r="I2116" i="3"/>
  <c r="J2115" i="3"/>
  <c r="I2115" i="3"/>
  <c r="J2114" i="3"/>
  <c r="I2114" i="3"/>
  <c r="J2113" i="3"/>
  <c r="I2113" i="3"/>
  <c r="J2112" i="3"/>
  <c r="I2112" i="3"/>
  <c r="J2111" i="3"/>
  <c r="I2111" i="3"/>
  <c r="J2100" i="3"/>
  <c r="I2100" i="3"/>
  <c r="J2099" i="3"/>
  <c r="I2099" i="3"/>
  <c r="J2098" i="3"/>
  <c r="I2098" i="3"/>
  <c r="J2097" i="3"/>
  <c r="I2097" i="3"/>
  <c r="J2096" i="3"/>
  <c r="I2096" i="3"/>
  <c r="J2095" i="3"/>
  <c r="I2095" i="3"/>
  <c r="J2094" i="3"/>
  <c r="J2084" i="3"/>
  <c r="I2084" i="3"/>
  <c r="J2083" i="3"/>
  <c r="I2083" i="3"/>
  <c r="J2082" i="3"/>
  <c r="I2082" i="3"/>
  <c r="J2081" i="3"/>
  <c r="I2081" i="3"/>
  <c r="J2080" i="3"/>
  <c r="I2080" i="3"/>
  <c r="J2079" i="3"/>
  <c r="I2079" i="3"/>
  <c r="J2078" i="3"/>
  <c r="J2068" i="3"/>
  <c r="I2068" i="3"/>
  <c r="J2067" i="3"/>
  <c r="I2067" i="3"/>
  <c r="J2066" i="3"/>
  <c r="I2066" i="3"/>
  <c r="J2065" i="3"/>
  <c r="I2065" i="3"/>
  <c r="J2064" i="3"/>
  <c r="I2064" i="3"/>
  <c r="J2063" i="3"/>
  <c r="I2063" i="3"/>
  <c r="I2055" i="3"/>
  <c r="J2052" i="3"/>
  <c r="I2052" i="3"/>
  <c r="J2051" i="3"/>
  <c r="I2051" i="3"/>
  <c r="J2050" i="3"/>
  <c r="I2050" i="3"/>
  <c r="J2049" i="3"/>
  <c r="I2049" i="3"/>
  <c r="J2048" i="3"/>
  <c r="I2048" i="3"/>
  <c r="J2047" i="3"/>
  <c r="I2047" i="3"/>
  <c r="J2046" i="3"/>
  <c r="J2042" i="3"/>
  <c r="I2042" i="3"/>
  <c r="I2041" i="3"/>
  <c r="J2036" i="3"/>
  <c r="I2036" i="3"/>
  <c r="J2035" i="3"/>
  <c r="I2035" i="3"/>
  <c r="J2034" i="3"/>
  <c r="I2034" i="3"/>
  <c r="J2033" i="3"/>
  <c r="I2033" i="3"/>
  <c r="J2032" i="3"/>
  <c r="I2032" i="3"/>
  <c r="J2031" i="3"/>
  <c r="I2031" i="3"/>
  <c r="J2030" i="3"/>
  <c r="J2020" i="3"/>
  <c r="I2020" i="3"/>
  <c r="J2019" i="3"/>
  <c r="I2019" i="3"/>
  <c r="J2018" i="3"/>
  <c r="I2018" i="3"/>
  <c r="J2017" i="3"/>
  <c r="I2017" i="3"/>
  <c r="J2016" i="3"/>
  <c r="J2015" i="3"/>
  <c r="I2015" i="3"/>
  <c r="J2014" i="3"/>
  <c r="J2004" i="3"/>
  <c r="I2004" i="3"/>
  <c r="J2003" i="3"/>
  <c r="I2003" i="3"/>
  <c r="J2002" i="3"/>
  <c r="I2002" i="3"/>
  <c r="J2001" i="3"/>
  <c r="I2001" i="3"/>
  <c r="J2000" i="3"/>
  <c r="I2000" i="3"/>
  <c r="J1999" i="3"/>
  <c r="J1998" i="3"/>
  <c r="J1988" i="3"/>
  <c r="I1988" i="3"/>
  <c r="J1987" i="3"/>
  <c r="I1987" i="3"/>
  <c r="J1986" i="3"/>
  <c r="I1986" i="3"/>
  <c r="J1985" i="3"/>
  <c r="I1985" i="3"/>
  <c r="J1984" i="3"/>
  <c r="I1984" i="3"/>
  <c r="J1983" i="3"/>
  <c r="I1983" i="3"/>
  <c r="J1972" i="3"/>
  <c r="I1972" i="3"/>
  <c r="J1971" i="3"/>
  <c r="I1971" i="3"/>
  <c r="J1970" i="3"/>
  <c r="I1970" i="3"/>
  <c r="J1969" i="3"/>
  <c r="I1969" i="3"/>
  <c r="J1968" i="3"/>
  <c r="I1968" i="3"/>
  <c r="J1967" i="3"/>
  <c r="I1967" i="3"/>
  <c r="J1966" i="3"/>
  <c r="J1956" i="3"/>
  <c r="I1956" i="3"/>
  <c r="J1955" i="3"/>
  <c r="I1955" i="3"/>
  <c r="J1954" i="3"/>
  <c r="I1954" i="3"/>
  <c r="J1953" i="3"/>
  <c r="I1953" i="3"/>
  <c r="J1952" i="3"/>
  <c r="I1952" i="3"/>
  <c r="J1951" i="3"/>
  <c r="I1951" i="3"/>
  <c r="J1950" i="3"/>
  <c r="J1940" i="3"/>
  <c r="I1940" i="3"/>
  <c r="J1939" i="3"/>
  <c r="I1939" i="3"/>
  <c r="J1938" i="3"/>
  <c r="I1938" i="3"/>
  <c r="J1937" i="3"/>
  <c r="I1937" i="3"/>
  <c r="J1936" i="3"/>
  <c r="I1936" i="3"/>
  <c r="J1935" i="3"/>
  <c r="I1935" i="3"/>
  <c r="J1934" i="3"/>
  <c r="I1932" i="3"/>
  <c r="J1931" i="3"/>
  <c r="I1931" i="3"/>
  <c r="I1930" i="3"/>
  <c r="J1924" i="3"/>
  <c r="I1924" i="3"/>
  <c r="J1923" i="3"/>
  <c r="I1923" i="3"/>
  <c r="J1922" i="3"/>
  <c r="I1922" i="3"/>
  <c r="J1921" i="3"/>
  <c r="I1921" i="3"/>
  <c r="J1920" i="3"/>
  <c r="I1920" i="3"/>
  <c r="J1919" i="3"/>
  <c r="I1919" i="3"/>
  <c r="J1918" i="3"/>
  <c r="J1908" i="3"/>
  <c r="I1908" i="3"/>
  <c r="J1907" i="3"/>
  <c r="I1907" i="3"/>
  <c r="J1906" i="3"/>
  <c r="I1906" i="3"/>
  <c r="J1905" i="3"/>
  <c r="I1905" i="3"/>
  <c r="J1904" i="3"/>
  <c r="I1904" i="3"/>
  <c r="J1903" i="3"/>
  <c r="I1903" i="3"/>
  <c r="J1892" i="3"/>
  <c r="I1892" i="3"/>
  <c r="J1891" i="3"/>
  <c r="I1891" i="3"/>
  <c r="J1890" i="3"/>
  <c r="I1890" i="3"/>
  <c r="J1889" i="3"/>
  <c r="I1889" i="3"/>
  <c r="J1888" i="3"/>
  <c r="J1887" i="3"/>
  <c r="I1887" i="3"/>
  <c r="J1886" i="3"/>
  <c r="J1876" i="3"/>
  <c r="I1876" i="3"/>
  <c r="J1875" i="3"/>
  <c r="I1875" i="3"/>
  <c r="J1874" i="3"/>
  <c r="I1874" i="3"/>
  <c r="J1873" i="3"/>
  <c r="I1873" i="3"/>
  <c r="J1872" i="3"/>
  <c r="I1872" i="3"/>
  <c r="J1871" i="3"/>
  <c r="J1870" i="3"/>
  <c r="J1860" i="3"/>
  <c r="I1860" i="3"/>
  <c r="J1859" i="3"/>
  <c r="I1859" i="3"/>
  <c r="J1858" i="3"/>
  <c r="I1858" i="3"/>
  <c r="J1857" i="3"/>
  <c r="I1857" i="3"/>
  <c r="I1856" i="3"/>
  <c r="J1855" i="3"/>
  <c r="I1855" i="3"/>
  <c r="J1854" i="3"/>
  <c r="J1844" i="3"/>
  <c r="I1844" i="3"/>
  <c r="J1843" i="3"/>
  <c r="I1843" i="3"/>
  <c r="J1842" i="3"/>
  <c r="I1842" i="3"/>
  <c r="J1841" i="3"/>
  <c r="I1841" i="3"/>
  <c r="J1840" i="3"/>
  <c r="I1840" i="3"/>
  <c r="J1839" i="3"/>
  <c r="I1839" i="3"/>
  <c r="J1828" i="3"/>
  <c r="I1828" i="3"/>
  <c r="J1827" i="3"/>
  <c r="I1827" i="3"/>
  <c r="J1826" i="3"/>
  <c r="I1826" i="3"/>
  <c r="J1825" i="3"/>
  <c r="I1825" i="3"/>
  <c r="J1824" i="3"/>
  <c r="I1824" i="3"/>
  <c r="J1823" i="3"/>
  <c r="I1823" i="3"/>
  <c r="J1822" i="3"/>
  <c r="J1812" i="3"/>
  <c r="I1812" i="3"/>
  <c r="J1811" i="3"/>
  <c r="I1811" i="3"/>
  <c r="J1810" i="3"/>
  <c r="I1810" i="3"/>
  <c r="J1809" i="3"/>
  <c r="I1809" i="3"/>
  <c r="J1808" i="3"/>
  <c r="I1808" i="3"/>
  <c r="J1807" i="3"/>
  <c r="I1807" i="3"/>
  <c r="J1806" i="3"/>
  <c r="I1806" i="3"/>
  <c r="J1796" i="3"/>
  <c r="I1796" i="3"/>
  <c r="J1795" i="3"/>
  <c r="I1795" i="3"/>
  <c r="J1794" i="3"/>
  <c r="I1794" i="3"/>
  <c r="J1793" i="3"/>
  <c r="I1793" i="3"/>
  <c r="J1792" i="3"/>
  <c r="I1792" i="3"/>
  <c r="J1791" i="3"/>
  <c r="I1791" i="3"/>
  <c r="J1790" i="3"/>
  <c r="I1790" i="3"/>
  <c r="J1780" i="3"/>
  <c r="I1780" i="3"/>
  <c r="J1779" i="3"/>
  <c r="I1779" i="3"/>
  <c r="J1778" i="3"/>
  <c r="I1778" i="3"/>
  <c r="J1777" i="3"/>
  <c r="I1777" i="3"/>
  <c r="J1776" i="3"/>
  <c r="I1776" i="3"/>
  <c r="J1775" i="3"/>
  <c r="I1775" i="3"/>
  <c r="J1774" i="3"/>
  <c r="I1774" i="3"/>
  <c r="J1773" i="3"/>
  <c r="I1773" i="3"/>
  <c r="J1764" i="3"/>
  <c r="I1764" i="3"/>
  <c r="J1763" i="3"/>
  <c r="I1763" i="3"/>
  <c r="J1762" i="3"/>
  <c r="I1762" i="3"/>
  <c r="J1761" i="3"/>
  <c r="I1761" i="3"/>
  <c r="J1760" i="3"/>
  <c r="I1760" i="3"/>
  <c r="J1759" i="3"/>
  <c r="I1759" i="3"/>
  <c r="J1758" i="3"/>
  <c r="I1758" i="3"/>
  <c r="J1748" i="3"/>
  <c r="I1748" i="3"/>
  <c r="J1747" i="3"/>
  <c r="I1747" i="3"/>
  <c r="J1746" i="3"/>
  <c r="I1746" i="3"/>
  <c r="J1745" i="3"/>
  <c r="I1745" i="3"/>
  <c r="J1744" i="3"/>
  <c r="I1744" i="3"/>
  <c r="J1743" i="3"/>
  <c r="I1743" i="3"/>
  <c r="J1742" i="3"/>
  <c r="I1742" i="3"/>
  <c r="J1732" i="3"/>
  <c r="I1732" i="3"/>
  <c r="J1731" i="3"/>
  <c r="I1731" i="3"/>
  <c r="J1730" i="3"/>
  <c r="I1730" i="3"/>
  <c r="J1729" i="3"/>
  <c r="I1729" i="3"/>
  <c r="J1728" i="3"/>
  <c r="I1728" i="3"/>
  <c r="J1727" i="3"/>
  <c r="I1727" i="3"/>
  <c r="J1726" i="3"/>
  <c r="I1726" i="3"/>
  <c r="J1716" i="3"/>
  <c r="I1716" i="3"/>
  <c r="J1715" i="3"/>
  <c r="I1715" i="3"/>
  <c r="J1714" i="3"/>
  <c r="I1714" i="3"/>
  <c r="J1713" i="3"/>
  <c r="I1713" i="3"/>
  <c r="J1712" i="3"/>
  <c r="I1712" i="3"/>
  <c r="J1711" i="3"/>
  <c r="I1711" i="3"/>
  <c r="J1710" i="3"/>
  <c r="I1710" i="3"/>
  <c r="J1700" i="3"/>
  <c r="I1700" i="3"/>
  <c r="J1699" i="3"/>
  <c r="I1699" i="3"/>
  <c r="J1698" i="3"/>
  <c r="I1698" i="3"/>
  <c r="J1697" i="3"/>
  <c r="I1697" i="3"/>
  <c r="I1696" i="3"/>
  <c r="J1695" i="3"/>
  <c r="I1695" i="3"/>
  <c r="J1694" i="3"/>
  <c r="I1694" i="3"/>
  <c r="J1684" i="3"/>
  <c r="I1684" i="3"/>
  <c r="J1683" i="3"/>
  <c r="I1683" i="3"/>
  <c r="J1682" i="3"/>
  <c r="I1682" i="3"/>
  <c r="J1681" i="3"/>
  <c r="I1681" i="3"/>
  <c r="J1680" i="3"/>
  <c r="J1679" i="3"/>
  <c r="I1679" i="3"/>
  <c r="J1678" i="3"/>
  <c r="I1678" i="3"/>
  <c r="J1668" i="3"/>
  <c r="I1668" i="3"/>
  <c r="J1667" i="3"/>
  <c r="I1667" i="3"/>
  <c r="J1666" i="3"/>
  <c r="I1666" i="3"/>
  <c r="J1665" i="3"/>
  <c r="I1665" i="3"/>
  <c r="I1664" i="3"/>
  <c r="J1663" i="3"/>
  <c r="I1663" i="3"/>
  <c r="J1662" i="3"/>
  <c r="I1662" i="3"/>
  <c r="J1652" i="3"/>
  <c r="I1652" i="3"/>
  <c r="J1651" i="3"/>
  <c r="I1651" i="3"/>
  <c r="J1650" i="3"/>
  <c r="I1650" i="3"/>
  <c r="J1649" i="3"/>
  <c r="I1649" i="3"/>
  <c r="J1648" i="3"/>
  <c r="J1647" i="3"/>
  <c r="I1647" i="3"/>
  <c r="J1646" i="3"/>
  <c r="I1646" i="3"/>
  <c r="J1644" i="3"/>
  <c r="I1644" i="3"/>
  <c r="I1643" i="3"/>
  <c r="J1636" i="3"/>
  <c r="I1636" i="3"/>
  <c r="J1635" i="3"/>
  <c r="I1635" i="3"/>
  <c r="J1634" i="3"/>
  <c r="I1634" i="3"/>
  <c r="J1633" i="3"/>
  <c r="I1633" i="3"/>
  <c r="J1632" i="3"/>
  <c r="I1632" i="3"/>
  <c r="J1631" i="3"/>
  <c r="I1631" i="3"/>
  <c r="I1630" i="3"/>
  <c r="J1620" i="3"/>
  <c r="I1620" i="3"/>
  <c r="J1619" i="3"/>
  <c r="I1619" i="3"/>
  <c r="J1618" i="3"/>
  <c r="I1618" i="3"/>
  <c r="J1617" i="3"/>
  <c r="I1617" i="3"/>
  <c r="J1616" i="3"/>
  <c r="I1616" i="3"/>
  <c r="J1615" i="3"/>
  <c r="I1615" i="3"/>
  <c r="J1614" i="3"/>
  <c r="J1607" i="3"/>
  <c r="J1604" i="3"/>
  <c r="I1604" i="3"/>
  <c r="J1603" i="3"/>
  <c r="I1603" i="3"/>
  <c r="J1602" i="3"/>
  <c r="I1602" i="3"/>
  <c r="J1601" i="3"/>
  <c r="I1601" i="3"/>
  <c r="J1600" i="3"/>
  <c r="I1600" i="3"/>
  <c r="J1599" i="3"/>
  <c r="I1599" i="3"/>
  <c r="I1598" i="3"/>
  <c r="J1588" i="3"/>
  <c r="I1588" i="3"/>
  <c r="J1587" i="3"/>
  <c r="I1587" i="3"/>
  <c r="J1586" i="3"/>
  <c r="I1586" i="3"/>
  <c r="J1585" i="3"/>
  <c r="I1585" i="3"/>
  <c r="J1584" i="3"/>
  <c r="I1584" i="3"/>
  <c r="J1583" i="3"/>
  <c r="I1583" i="3"/>
  <c r="J1582" i="3"/>
  <c r="J1578" i="3"/>
  <c r="I1578" i="3"/>
  <c r="J1577" i="3"/>
  <c r="I1577" i="3"/>
  <c r="J1576" i="3"/>
  <c r="J1572" i="3"/>
  <c r="I1572" i="3"/>
  <c r="J1571" i="3"/>
  <c r="I1571" i="3"/>
  <c r="J1570" i="3"/>
  <c r="I1570" i="3"/>
  <c r="J1569" i="3"/>
  <c r="I1569" i="3"/>
  <c r="J1568" i="3"/>
  <c r="I1568" i="3"/>
  <c r="J1567" i="3"/>
  <c r="I1567" i="3"/>
  <c r="J1566" i="3"/>
  <c r="I1566" i="3"/>
  <c r="J1560" i="3"/>
  <c r="I1560" i="3"/>
  <c r="J1556" i="3"/>
  <c r="I1556" i="3"/>
  <c r="J1555" i="3"/>
  <c r="I1555" i="3"/>
  <c r="J1554" i="3"/>
  <c r="I1554" i="3"/>
  <c r="J1553" i="3"/>
  <c r="I1553" i="3"/>
  <c r="J1552" i="3"/>
  <c r="I1552" i="3"/>
  <c r="J1551" i="3"/>
  <c r="I1551" i="3"/>
  <c r="J1550" i="3"/>
  <c r="I1550" i="3"/>
  <c r="J1540" i="3"/>
  <c r="I1540" i="3"/>
  <c r="J1539" i="3"/>
  <c r="I1539" i="3"/>
  <c r="J1538" i="3"/>
  <c r="I1538" i="3"/>
  <c r="J1537" i="3"/>
  <c r="I1537" i="3"/>
  <c r="J1536" i="3"/>
  <c r="I1536" i="3"/>
  <c r="J1535" i="3"/>
  <c r="I1535" i="3"/>
  <c r="J1534" i="3"/>
  <c r="I1534" i="3"/>
  <c r="I1526" i="3"/>
  <c r="J1524" i="3"/>
  <c r="I1524" i="3"/>
  <c r="J1523" i="3"/>
  <c r="I1523" i="3"/>
  <c r="J1522" i="3"/>
  <c r="I1522" i="3"/>
  <c r="J1521" i="3"/>
  <c r="I1521" i="3"/>
  <c r="J1520" i="3"/>
  <c r="I1520" i="3"/>
  <c r="J1519" i="3"/>
  <c r="I1519" i="3"/>
  <c r="J1518" i="3"/>
  <c r="I1518" i="3"/>
  <c r="J1508" i="3"/>
  <c r="I1508" i="3"/>
  <c r="J1507" i="3"/>
  <c r="I1507" i="3"/>
  <c r="J1506" i="3"/>
  <c r="I1506" i="3"/>
  <c r="J1505" i="3"/>
  <c r="I1505" i="3"/>
  <c r="J1504" i="3"/>
  <c r="I1504" i="3"/>
  <c r="J1503" i="3"/>
  <c r="I1503" i="3"/>
  <c r="J1502" i="3"/>
  <c r="I1502" i="3"/>
  <c r="J1492" i="3"/>
  <c r="I1492" i="3"/>
  <c r="J1491" i="3"/>
  <c r="I1491" i="3"/>
  <c r="J1490" i="3"/>
  <c r="I1490" i="3"/>
  <c r="J1489" i="3"/>
  <c r="I1489" i="3"/>
  <c r="J1488" i="3"/>
  <c r="I1488" i="3"/>
  <c r="J1487" i="3"/>
  <c r="I1487" i="3"/>
  <c r="J1486" i="3"/>
  <c r="I1486" i="3"/>
  <c r="J1476" i="3"/>
  <c r="I1476" i="3"/>
  <c r="J1475" i="3"/>
  <c r="I1475" i="3"/>
  <c r="J1474" i="3"/>
  <c r="I1474" i="3"/>
  <c r="J1473" i="3"/>
  <c r="I1473" i="3"/>
  <c r="J1472" i="3"/>
  <c r="I1472" i="3"/>
  <c r="J1471" i="3"/>
  <c r="I1471" i="3"/>
  <c r="J1470" i="3"/>
  <c r="I1470" i="3"/>
  <c r="J1460" i="3"/>
  <c r="I1460" i="3"/>
  <c r="J1459" i="3"/>
  <c r="I1459" i="3"/>
  <c r="J1458" i="3"/>
  <c r="I1458" i="3"/>
  <c r="J1457" i="3"/>
  <c r="I1457" i="3"/>
  <c r="J1456" i="3"/>
  <c r="I1456" i="3"/>
  <c r="J1455" i="3"/>
  <c r="I1455" i="3"/>
  <c r="J1454" i="3"/>
  <c r="I1454" i="3"/>
  <c r="J1444" i="3"/>
  <c r="I1444" i="3"/>
  <c r="J1443" i="3"/>
  <c r="I1443" i="3"/>
  <c r="J1442" i="3"/>
  <c r="I1442" i="3"/>
  <c r="J1441" i="3"/>
  <c r="I1441" i="3"/>
  <c r="J1440" i="3"/>
  <c r="I1440" i="3"/>
  <c r="J1439" i="3"/>
  <c r="I1439" i="3"/>
  <c r="J1438" i="3"/>
  <c r="I1438" i="3"/>
  <c r="J1428" i="3"/>
  <c r="I1428" i="3"/>
  <c r="J1427" i="3"/>
  <c r="I1427" i="3"/>
  <c r="J1426" i="3"/>
  <c r="I1426" i="3"/>
  <c r="J1425" i="3"/>
  <c r="I1425" i="3"/>
  <c r="J1424" i="3"/>
  <c r="I1424" i="3"/>
  <c r="J1423" i="3"/>
  <c r="I1423" i="3"/>
  <c r="J1422" i="3"/>
  <c r="I1422" i="3"/>
  <c r="J1412" i="3"/>
  <c r="I1412" i="3"/>
  <c r="J1411" i="3"/>
  <c r="I1411" i="3"/>
  <c r="J1410" i="3"/>
  <c r="I1410" i="3"/>
  <c r="J1409" i="3"/>
  <c r="I1409" i="3"/>
  <c r="J1408" i="3"/>
  <c r="I1408" i="3"/>
  <c r="J1407" i="3"/>
  <c r="I1407" i="3"/>
  <c r="J1406" i="3"/>
  <c r="I1406" i="3"/>
  <c r="J1396" i="3"/>
  <c r="I1396" i="3"/>
  <c r="J1395" i="3"/>
  <c r="I1395" i="3"/>
  <c r="J1394" i="3"/>
  <c r="I1394" i="3"/>
  <c r="J1393" i="3"/>
  <c r="I1393" i="3"/>
  <c r="J1392" i="3"/>
  <c r="I1392" i="3"/>
  <c r="J1391" i="3"/>
  <c r="I1391" i="3"/>
  <c r="J1390" i="3"/>
  <c r="I1390" i="3"/>
  <c r="J1380" i="3"/>
  <c r="I1380" i="3"/>
  <c r="J1379" i="3"/>
  <c r="I1379" i="3"/>
  <c r="J1378" i="3"/>
  <c r="I1378" i="3"/>
  <c r="J1377" i="3"/>
  <c r="I1377" i="3"/>
  <c r="J1376" i="3"/>
  <c r="I1376" i="3"/>
  <c r="J1375" i="3"/>
  <c r="I1375" i="3"/>
  <c r="I1374" i="3"/>
  <c r="J1373" i="3"/>
  <c r="J1364" i="3"/>
  <c r="I1364" i="3"/>
  <c r="J1363" i="3"/>
  <c r="I1363" i="3"/>
  <c r="J1362" i="3"/>
  <c r="I1362" i="3"/>
  <c r="J1361" i="3"/>
  <c r="I1361" i="3"/>
  <c r="J1360" i="3"/>
  <c r="I1360" i="3"/>
  <c r="J1359" i="3"/>
  <c r="I1359" i="3"/>
  <c r="J1358" i="3"/>
  <c r="J1348" i="3"/>
  <c r="I1348" i="3"/>
  <c r="J1347" i="3"/>
  <c r="I1347" i="3"/>
  <c r="J1346" i="3"/>
  <c r="I1346" i="3"/>
  <c r="J1345" i="3"/>
  <c r="I1345" i="3"/>
  <c r="J1344" i="3"/>
  <c r="I1344" i="3"/>
  <c r="J1343" i="3"/>
  <c r="I1343" i="3"/>
  <c r="I1342" i="3"/>
  <c r="J1332" i="3"/>
  <c r="I1332" i="3"/>
  <c r="J1331" i="3"/>
  <c r="I1331" i="3"/>
  <c r="J1330" i="3"/>
  <c r="I1330" i="3"/>
  <c r="J1329" i="3"/>
  <c r="I1329" i="3"/>
  <c r="J1328" i="3"/>
  <c r="I1328" i="3"/>
  <c r="J1327" i="3"/>
  <c r="I1327" i="3"/>
  <c r="J1326" i="3"/>
  <c r="J1316" i="3"/>
  <c r="I1316" i="3"/>
  <c r="J1315" i="3"/>
  <c r="I1315" i="3"/>
  <c r="J1314" i="3"/>
  <c r="I1314" i="3"/>
  <c r="J1313" i="3"/>
  <c r="I1313" i="3"/>
  <c r="J1312" i="3"/>
  <c r="I1312" i="3"/>
  <c r="J1311" i="3"/>
  <c r="I1311" i="3"/>
  <c r="J1310" i="3"/>
  <c r="I1310" i="3"/>
  <c r="J1300" i="3"/>
  <c r="I1300" i="3"/>
  <c r="J1299" i="3"/>
  <c r="I1299" i="3"/>
  <c r="J1298" i="3"/>
  <c r="I1298" i="3"/>
  <c r="J1297" i="3"/>
  <c r="I1297" i="3"/>
  <c r="J1296" i="3"/>
  <c r="I1296" i="3"/>
  <c r="J1295" i="3"/>
  <c r="I1295" i="3"/>
  <c r="J1294" i="3"/>
  <c r="I1294" i="3"/>
  <c r="J1293" i="3"/>
  <c r="J1292" i="3"/>
  <c r="J1284" i="3"/>
  <c r="I1284" i="3"/>
  <c r="J1283" i="3"/>
  <c r="I1283" i="3"/>
  <c r="J1282" i="3"/>
  <c r="I1282" i="3"/>
  <c r="J1281" i="3"/>
  <c r="I1281" i="3"/>
  <c r="J1280" i="3"/>
  <c r="I1280" i="3"/>
  <c r="J1279" i="3"/>
  <c r="I1279" i="3"/>
  <c r="J1278" i="3"/>
  <c r="I1278" i="3"/>
  <c r="J1268" i="3"/>
  <c r="I1268" i="3"/>
  <c r="J1267" i="3"/>
  <c r="I1267" i="3"/>
  <c r="J1266" i="3"/>
  <c r="I1266" i="3"/>
  <c r="J1265" i="3"/>
  <c r="I1265" i="3"/>
  <c r="J1264" i="3"/>
  <c r="I1264" i="3"/>
  <c r="J1263" i="3"/>
  <c r="I1263" i="3"/>
  <c r="J1262" i="3"/>
  <c r="I1262" i="3"/>
  <c r="J1261" i="3"/>
  <c r="I1261" i="3"/>
  <c r="J1252" i="3"/>
  <c r="I1252" i="3"/>
  <c r="J1251" i="3"/>
  <c r="I1251" i="3"/>
  <c r="J1250" i="3"/>
  <c r="I1250" i="3"/>
  <c r="J1249" i="3"/>
  <c r="I1249" i="3"/>
  <c r="J1248" i="3"/>
  <c r="I1248" i="3"/>
  <c r="J1247" i="3"/>
  <c r="I1247" i="3"/>
  <c r="J1246" i="3"/>
  <c r="I1246" i="3"/>
  <c r="J1236" i="3"/>
  <c r="I1236" i="3"/>
  <c r="J1235" i="3"/>
  <c r="I1235" i="3"/>
  <c r="J1234" i="3"/>
  <c r="I1234" i="3"/>
  <c r="J1233" i="3"/>
  <c r="I1233" i="3"/>
  <c r="J1232" i="3"/>
  <c r="I1232" i="3"/>
  <c r="J1231" i="3"/>
  <c r="I1231" i="3"/>
  <c r="J1230" i="3"/>
  <c r="I1230" i="3"/>
  <c r="J1220" i="3"/>
  <c r="I1220" i="3"/>
  <c r="J1219" i="3"/>
  <c r="I1219" i="3"/>
  <c r="J1218" i="3"/>
  <c r="I1218" i="3"/>
  <c r="J1217" i="3"/>
  <c r="I1217" i="3"/>
  <c r="J1216" i="3"/>
  <c r="I1216" i="3"/>
  <c r="J1215" i="3"/>
  <c r="I1215" i="3"/>
  <c r="J1214" i="3"/>
  <c r="I1214" i="3"/>
  <c r="J1204" i="3"/>
  <c r="I1204" i="3"/>
  <c r="J1203" i="3"/>
  <c r="I1203" i="3"/>
  <c r="J1202" i="3"/>
  <c r="I1202" i="3"/>
  <c r="J1201" i="3"/>
  <c r="I1201" i="3"/>
  <c r="J1200" i="3"/>
  <c r="I1200" i="3"/>
  <c r="J1199" i="3"/>
  <c r="I1199" i="3"/>
  <c r="J1198" i="3"/>
  <c r="I1198" i="3"/>
  <c r="J1194" i="3"/>
  <c r="I1192" i="3"/>
  <c r="J1191" i="3"/>
  <c r="I1191" i="3"/>
  <c r="J1190" i="3"/>
  <c r="J1188" i="3"/>
  <c r="I1188" i="3"/>
  <c r="J1187" i="3"/>
  <c r="I1187" i="3"/>
  <c r="J1186" i="3"/>
  <c r="I1186" i="3"/>
  <c r="J1185" i="3"/>
  <c r="I1185" i="3"/>
  <c r="J1184" i="3"/>
  <c r="I1184" i="3"/>
  <c r="J1183" i="3"/>
  <c r="I1183" i="3"/>
  <c r="J1182" i="3"/>
  <c r="I1182" i="3"/>
  <c r="J1172" i="3"/>
  <c r="I1172" i="3"/>
  <c r="J1171" i="3"/>
  <c r="I1171" i="3"/>
  <c r="J1170" i="3"/>
  <c r="I1170" i="3"/>
  <c r="J1169" i="3"/>
  <c r="I1169" i="3"/>
  <c r="J1168" i="3"/>
  <c r="I1168" i="3"/>
  <c r="J1167" i="3"/>
  <c r="I1167" i="3"/>
  <c r="J1166" i="3"/>
  <c r="I1166" i="3"/>
  <c r="J1164" i="3"/>
  <c r="I1164" i="3"/>
  <c r="I1163" i="3"/>
  <c r="J1162" i="3"/>
  <c r="J1156" i="3"/>
  <c r="I1156" i="3"/>
  <c r="J1155" i="3"/>
  <c r="I1155" i="3"/>
  <c r="J1154" i="3"/>
  <c r="I1154" i="3"/>
  <c r="J1153" i="3"/>
  <c r="I1153" i="3"/>
  <c r="J1152" i="3"/>
  <c r="I1152" i="3"/>
  <c r="J1151" i="3"/>
  <c r="I1151" i="3"/>
  <c r="J1150" i="3"/>
  <c r="I1150" i="3"/>
  <c r="J1140" i="3"/>
  <c r="I1140" i="3"/>
  <c r="J1139" i="3"/>
  <c r="I1139" i="3"/>
  <c r="J1138" i="3"/>
  <c r="I1138" i="3"/>
  <c r="J1137" i="3"/>
  <c r="I1137" i="3"/>
  <c r="J1136" i="3"/>
  <c r="I1136" i="3"/>
  <c r="J1135" i="3"/>
  <c r="I1135" i="3"/>
  <c r="J1134" i="3"/>
  <c r="I1134" i="3"/>
  <c r="J1124" i="3"/>
  <c r="I1124" i="3"/>
  <c r="J1123" i="3"/>
  <c r="I1123" i="3"/>
  <c r="J1122" i="3"/>
  <c r="I1122" i="3"/>
  <c r="J1121" i="3"/>
  <c r="I1121" i="3"/>
  <c r="J1120" i="3"/>
  <c r="I1120" i="3"/>
  <c r="J1119" i="3"/>
  <c r="I1119" i="3"/>
  <c r="J1118" i="3"/>
  <c r="I1118" i="3"/>
  <c r="J1108" i="3"/>
  <c r="I1108" i="3"/>
  <c r="J1107" i="3"/>
  <c r="I1107" i="3"/>
  <c r="J1106" i="3"/>
  <c r="I1106" i="3"/>
  <c r="J1105" i="3"/>
  <c r="I1105" i="3"/>
  <c r="J1104" i="3"/>
  <c r="I1104" i="3"/>
  <c r="J1103" i="3"/>
  <c r="I1103" i="3"/>
  <c r="J1102" i="3"/>
  <c r="I1102" i="3"/>
  <c r="J1092" i="3"/>
  <c r="I1092" i="3"/>
  <c r="J1091" i="3"/>
  <c r="I1091" i="3"/>
  <c r="J1090" i="3"/>
  <c r="I1090" i="3"/>
  <c r="J1089" i="3"/>
  <c r="I1089" i="3"/>
  <c r="J1088" i="3"/>
  <c r="I1088" i="3"/>
  <c r="J1087" i="3"/>
  <c r="I1087" i="3"/>
  <c r="J1086" i="3"/>
  <c r="I1086" i="3"/>
  <c r="J1076" i="3"/>
  <c r="I1076" i="3"/>
  <c r="J1075" i="3"/>
  <c r="I1075" i="3"/>
  <c r="J1074" i="3"/>
  <c r="I1074" i="3"/>
  <c r="J1073" i="3"/>
  <c r="I1073" i="3"/>
  <c r="J1072" i="3"/>
  <c r="I1072" i="3"/>
  <c r="J1071" i="3"/>
  <c r="I1071" i="3"/>
  <c r="J1070" i="3"/>
  <c r="I1070" i="3"/>
  <c r="I1066" i="3"/>
  <c r="J1060" i="3"/>
  <c r="I1060" i="3"/>
  <c r="J1059" i="3"/>
  <c r="I1059" i="3"/>
  <c r="J1058" i="3"/>
  <c r="I1058" i="3"/>
  <c r="J1057" i="3"/>
  <c r="I1057" i="3"/>
  <c r="J1056" i="3"/>
  <c r="I1056" i="3"/>
  <c r="J1055" i="3"/>
  <c r="I1055" i="3"/>
  <c r="J1054" i="3"/>
  <c r="I1054" i="3"/>
  <c r="J1044" i="3"/>
  <c r="I1044" i="3"/>
  <c r="J1043" i="3"/>
  <c r="I1043" i="3"/>
  <c r="J1042" i="3"/>
  <c r="I1042" i="3"/>
  <c r="J1041" i="3"/>
  <c r="I1041" i="3"/>
  <c r="J1040" i="3"/>
  <c r="I1040" i="3"/>
  <c r="J1039" i="3"/>
  <c r="I1039" i="3"/>
  <c r="J1038" i="3"/>
  <c r="I1038" i="3"/>
  <c r="J1028" i="3"/>
  <c r="I1028" i="3"/>
  <c r="J1027" i="3"/>
  <c r="I1027" i="3"/>
  <c r="J1026" i="3"/>
  <c r="I1026" i="3"/>
  <c r="J1025" i="3"/>
  <c r="I1025" i="3"/>
  <c r="J1024" i="3"/>
  <c r="I1024" i="3"/>
  <c r="J1023" i="3"/>
  <c r="I1023" i="3"/>
  <c r="J1022" i="3"/>
  <c r="I1022" i="3"/>
  <c r="J1012" i="3"/>
  <c r="I1012" i="3"/>
  <c r="J1011" i="3"/>
  <c r="I1011" i="3"/>
  <c r="J1010" i="3"/>
  <c r="I1010" i="3"/>
  <c r="J1009" i="3"/>
  <c r="I1009" i="3"/>
  <c r="J1008" i="3"/>
  <c r="I1008" i="3"/>
  <c r="J1007" i="3"/>
  <c r="I1007" i="3"/>
  <c r="J1006" i="3"/>
  <c r="I1006" i="3"/>
  <c r="J996" i="3"/>
  <c r="I996" i="3"/>
  <c r="J995" i="3"/>
  <c r="I995" i="3"/>
  <c r="J994" i="3"/>
  <c r="I994" i="3"/>
  <c r="J993" i="3"/>
  <c r="I993" i="3"/>
  <c r="J992" i="3"/>
  <c r="I992" i="3"/>
  <c r="J991" i="3"/>
  <c r="I991" i="3"/>
  <c r="J990" i="3"/>
  <c r="I990" i="3"/>
  <c r="J980" i="3"/>
  <c r="I980" i="3"/>
  <c r="J979" i="3"/>
  <c r="I979" i="3"/>
  <c r="J978" i="3"/>
  <c r="I978" i="3"/>
  <c r="J977" i="3"/>
  <c r="I977" i="3"/>
  <c r="J976" i="3"/>
  <c r="I976" i="3"/>
  <c r="J975" i="3"/>
  <c r="I975" i="3"/>
  <c r="J974" i="3"/>
  <c r="I974" i="3"/>
  <c r="J964" i="3"/>
  <c r="I964" i="3"/>
  <c r="J963" i="3"/>
  <c r="I963" i="3"/>
  <c r="J962" i="3"/>
  <c r="I962" i="3"/>
  <c r="J961" i="3"/>
  <c r="I961" i="3"/>
  <c r="J960" i="3"/>
  <c r="I960" i="3"/>
  <c r="J959" i="3"/>
  <c r="I959" i="3"/>
  <c r="J958" i="3"/>
  <c r="I958" i="3"/>
  <c r="J948" i="3"/>
  <c r="I948" i="3"/>
  <c r="J947" i="3"/>
  <c r="I947" i="3"/>
  <c r="J946" i="3"/>
  <c r="I946" i="3"/>
  <c r="J945" i="3"/>
  <c r="I945" i="3"/>
  <c r="J944" i="3"/>
  <c r="I944" i="3"/>
  <c r="J943" i="3"/>
  <c r="I943" i="3"/>
  <c r="J942" i="3"/>
  <c r="I942" i="3"/>
  <c r="J932" i="3"/>
  <c r="I932" i="3"/>
  <c r="J931" i="3"/>
  <c r="I931" i="3"/>
  <c r="J930" i="3"/>
  <c r="I930" i="3"/>
  <c r="J929" i="3"/>
  <c r="I929" i="3"/>
  <c r="J928" i="3"/>
  <c r="I928" i="3"/>
  <c r="J927" i="3"/>
  <c r="I927" i="3"/>
  <c r="J926" i="3"/>
  <c r="I926" i="3"/>
  <c r="J916" i="3"/>
  <c r="I916" i="3"/>
  <c r="J915" i="3"/>
  <c r="I915" i="3"/>
  <c r="J914" i="3"/>
  <c r="I914" i="3"/>
  <c r="J913" i="3"/>
  <c r="I913" i="3"/>
  <c r="J912" i="3"/>
  <c r="I912" i="3"/>
  <c r="J911" i="3"/>
  <c r="I911" i="3"/>
  <c r="J910" i="3"/>
  <c r="I910" i="3"/>
  <c r="J900" i="3"/>
  <c r="I900" i="3"/>
  <c r="J899" i="3"/>
  <c r="I899" i="3"/>
  <c r="J898" i="3"/>
  <c r="I898" i="3"/>
  <c r="J897" i="3"/>
  <c r="I897" i="3"/>
  <c r="J896" i="3"/>
  <c r="I896" i="3"/>
  <c r="J895" i="3"/>
  <c r="I895" i="3"/>
  <c r="J894" i="3"/>
  <c r="I894" i="3"/>
  <c r="J884" i="3"/>
  <c r="I884" i="3"/>
  <c r="J883" i="3"/>
  <c r="I883" i="3"/>
  <c r="J882" i="3"/>
  <c r="I882" i="3"/>
  <c r="J881" i="3"/>
  <c r="I881" i="3"/>
  <c r="J880" i="3"/>
  <c r="I880" i="3"/>
  <c r="J879" i="3"/>
  <c r="I879" i="3"/>
  <c r="J878" i="3"/>
  <c r="I878" i="3"/>
  <c r="I877" i="3"/>
  <c r="J876" i="3"/>
  <c r="I876" i="3"/>
  <c r="J868" i="3"/>
  <c r="I868" i="3"/>
  <c r="J867" i="3"/>
  <c r="I867" i="3"/>
  <c r="J866" i="3"/>
  <c r="I866" i="3"/>
  <c r="J865" i="3"/>
  <c r="I865" i="3"/>
  <c r="J864" i="3"/>
  <c r="I864" i="3"/>
  <c r="J863" i="3"/>
  <c r="I863" i="3"/>
  <c r="J862" i="3"/>
  <c r="I862" i="3"/>
  <c r="J861" i="3"/>
  <c r="I861" i="3"/>
  <c r="J860" i="3"/>
  <c r="J852" i="3"/>
  <c r="I852" i="3"/>
  <c r="J851" i="3"/>
  <c r="I851" i="3"/>
  <c r="J850" i="3"/>
  <c r="I850" i="3"/>
  <c r="J849" i="3"/>
  <c r="I849" i="3"/>
  <c r="J848" i="3"/>
  <c r="I848" i="3"/>
  <c r="J847" i="3"/>
  <c r="I847" i="3"/>
  <c r="J846" i="3"/>
  <c r="I846" i="3"/>
  <c r="J841" i="3"/>
  <c r="J836" i="3"/>
  <c r="I836" i="3"/>
  <c r="J835" i="3"/>
  <c r="I835" i="3"/>
  <c r="J834" i="3"/>
  <c r="I834" i="3"/>
  <c r="J833" i="3"/>
  <c r="I833" i="3"/>
  <c r="J832" i="3"/>
  <c r="I832" i="3"/>
  <c r="J831" i="3"/>
  <c r="I831" i="3"/>
  <c r="J830" i="3"/>
  <c r="I830" i="3"/>
  <c r="J824" i="3"/>
  <c r="I824" i="3"/>
  <c r="J823" i="3"/>
  <c r="J820" i="3"/>
  <c r="I820" i="3"/>
  <c r="J819" i="3"/>
  <c r="I819" i="3"/>
  <c r="J818" i="3"/>
  <c r="I818" i="3"/>
  <c r="J817" i="3"/>
  <c r="I817" i="3"/>
  <c r="J816" i="3"/>
  <c r="I816" i="3"/>
  <c r="J815" i="3"/>
  <c r="I815" i="3"/>
  <c r="J814" i="3"/>
  <c r="I814" i="3"/>
  <c r="J807" i="3"/>
  <c r="I807" i="3"/>
  <c r="J806" i="3"/>
  <c r="J804" i="3"/>
  <c r="I804" i="3"/>
  <c r="J803" i="3"/>
  <c r="I803" i="3"/>
  <c r="J802" i="3"/>
  <c r="I802" i="3"/>
  <c r="J801" i="3"/>
  <c r="I801" i="3"/>
  <c r="J800" i="3"/>
  <c r="I800" i="3"/>
  <c r="J799" i="3"/>
  <c r="I799" i="3"/>
  <c r="J798" i="3"/>
  <c r="I798" i="3"/>
  <c r="J788" i="3"/>
  <c r="I788" i="3"/>
  <c r="J787" i="3"/>
  <c r="I787" i="3"/>
  <c r="J786" i="3"/>
  <c r="I786" i="3"/>
  <c r="J785" i="3"/>
  <c r="I785" i="3"/>
  <c r="J784" i="3"/>
  <c r="I784" i="3"/>
  <c r="J783" i="3"/>
  <c r="I783" i="3"/>
  <c r="J782" i="3"/>
  <c r="I782" i="3"/>
  <c r="J772" i="3"/>
  <c r="I772" i="3"/>
  <c r="J771" i="3"/>
  <c r="I771" i="3"/>
  <c r="J770" i="3"/>
  <c r="I770" i="3"/>
  <c r="J769" i="3"/>
  <c r="I769" i="3"/>
  <c r="J768" i="3"/>
  <c r="I768" i="3"/>
  <c r="J767" i="3"/>
  <c r="I767" i="3"/>
  <c r="J766" i="3"/>
  <c r="I766" i="3"/>
  <c r="J756" i="3"/>
  <c r="I756" i="3"/>
  <c r="J755" i="3"/>
  <c r="I755" i="3"/>
  <c r="J754" i="3"/>
  <c r="I754" i="3"/>
  <c r="J753" i="3"/>
  <c r="I753" i="3"/>
  <c r="J752" i="3"/>
  <c r="I752" i="3"/>
  <c r="J751" i="3"/>
  <c r="I751" i="3"/>
  <c r="J750" i="3"/>
  <c r="I750" i="3"/>
  <c r="J740" i="3"/>
  <c r="I740" i="3"/>
  <c r="J739" i="3"/>
  <c r="I739" i="3"/>
  <c r="J738" i="3"/>
  <c r="I738" i="3"/>
  <c r="J737" i="3"/>
  <c r="I737" i="3"/>
  <c r="J736" i="3"/>
  <c r="I736" i="3"/>
  <c r="J735" i="3"/>
  <c r="I735" i="3"/>
  <c r="J734" i="3"/>
  <c r="I734" i="3"/>
  <c r="J733" i="3"/>
  <c r="J724" i="3"/>
  <c r="I724" i="3"/>
  <c r="J723" i="3"/>
  <c r="I723" i="3"/>
  <c r="J722" i="3"/>
  <c r="I722" i="3"/>
  <c r="J721" i="3"/>
  <c r="I721" i="3"/>
  <c r="J720" i="3"/>
  <c r="I720" i="3"/>
  <c r="J719" i="3"/>
  <c r="I719" i="3"/>
  <c r="J718" i="3"/>
  <c r="I718" i="3"/>
  <c r="J717" i="3"/>
  <c r="I717" i="3"/>
  <c r="J708" i="3"/>
  <c r="I708" i="3"/>
  <c r="J707" i="3"/>
  <c r="I707" i="3"/>
  <c r="J706" i="3"/>
  <c r="I706" i="3"/>
  <c r="J705" i="3"/>
  <c r="I705" i="3"/>
  <c r="J704" i="3"/>
  <c r="I704" i="3"/>
  <c r="J703" i="3"/>
  <c r="I703" i="3"/>
  <c r="J702" i="3"/>
  <c r="I702" i="3"/>
  <c r="J697" i="3"/>
  <c r="J692" i="3"/>
  <c r="I692" i="3"/>
  <c r="J691" i="3"/>
  <c r="I691" i="3"/>
  <c r="J690" i="3"/>
  <c r="I690" i="3"/>
  <c r="J689" i="3"/>
  <c r="I689" i="3"/>
  <c r="J688" i="3"/>
  <c r="I688" i="3"/>
  <c r="J687" i="3"/>
  <c r="I687" i="3"/>
  <c r="J686" i="3"/>
  <c r="I686" i="3"/>
  <c r="J676" i="3"/>
  <c r="I676" i="3"/>
  <c r="J675" i="3"/>
  <c r="I675" i="3"/>
  <c r="J674" i="3"/>
  <c r="I674" i="3"/>
  <c r="J673" i="3"/>
  <c r="I673" i="3"/>
  <c r="J672" i="3"/>
  <c r="I672" i="3"/>
  <c r="J671" i="3"/>
  <c r="I671" i="3"/>
  <c r="J670" i="3"/>
  <c r="I670" i="3"/>
  <c r="J660" i="3"/>
  <c r="I660" i="3"/>
  <c r="J659" i="3"/>
  <c r="I659" i="3"/>
  <c r="J658" i="3"/>
  <c r="I658" i="3"/>
  <c r="J657" i="3"/>
  <c r="I657" i="3"/>
  <c r="J656" i="3"/>
  <c r="I656" i="3"/>
  <c r="J655" i="3"/>
  <c r="I655" i="3"/>
  <c r="J654" i="3"/>
  <c r="I654" i="3"/>
  <c r="J644" i="3"/>
  <c r="I644" i="3"/>
  <c r="J643" i="3"/>
  <c r="I643" i="3"/>
  <c r="J642" i="3"/>
  <c r="I642" i="3"/>
  <c r="J641" i="3"/>
  <c r="I641" i="3"/>
  <c r="J640" i="3"/>
  <c r="I640" i="3"/>
  <c r="J639" i="3"/>
  <c r="I639" i="3"/>
  <c r="J638" i="3"/>
  <c r="I638" i="3"/>
  <c r="J637" i="3"/>
  <c r="I637" i="3"/>
  <c r="J636" i="3"/>
  <c r="I636" i="3"/>
  <c r="I635" i="3"/>
  <c r="J628" i="3"/>
  <c r="I628" i="3"/>
  <c r="J627" i="3"/>
  <c r="I627" i="3"/>
  <c r="J626" i="3"/>
  <c r="I626" i="3"/>
  <c r="J625" i="3"/>
  <c r="I625" i="3"/>
  <c r="J624" i="3"/>
  <c r="I624" i="3"/>
  <c r="J623" i="3"/>
  <c r="I623" i="3"/>
  <c r="J622" i="3"/>
  <c r="I622" i="3"/>
  <c r="J612" i="3"/>
  <c r="I612" i="3"/>
  <c r="J611" i="3"/>
  <c r="I611" i="3"/>
  <c r="J610" i="3"/>
  <c r="I610" i="3"/>
  <c r="J609" i="3"/>
  <c r="I609" i="3"/>
  <c r="J608" i="3"/>
  <c r="I608" i="3"/>
  <c r="J607" i="3"/>
  <c r="I607" i="3"/>
  <c r="J606" i="3"/>
  <c r="I606" i="3"/>
  <c r="I602" i="3"/>
  <c r="J596" i="3"/>
  <c r="I596" i="3"/>
  <c r="J595" i="3"/>
  <c r="I595" i="3"/>
  <c r="J594" i="3"/>
  <c r="I594" i="3"/>
  <c r="J593" i="3"/>
  <c r="I593" i="3"/>
  <c r="J592" i="3"/>
  <c r="I592" i="3"/>
  <c r="J591" i="3"/>
  <c r="I591" i="3"/>
  <c r="J590" i="3"/>
  <c r="I590" i="3"/>
  <c r="J586" i="3"/>
  <c r="I586" i="3"/>
  <c r="J585" i="3"/>
  <c r="J580" i="3"/>
  <c r="I580" i="3"/>
  <c r="J579" i="3"/>
  <c r="I579" i="3"/>
  <c r="J578" i="3"/>
  <c r="I578" i="3"/>
  <c r="J577" i="3"/>
  <c r="I577" i="3"/>
  <c r="J576" i="3"/>
  <c r="I576" i="3"/>
  <c r="J575" i="3"/>
  <c r="I575" i="3"/>
  <c r="J574" i="3"/>
  <c r="I574" i="3"/>
  <c r="J573" i="3"/>
  <c r="I573" i="3"/>
  <c r="J572" i="3"/>
  <c r="J564" i="3"/>
  <c r="I564" i="3"/>
  <c r="J563" i="3"/>
  <c r="I563" i="3"/>
  <c r="J562" i="3"/>
  <c r="I562" i="3"/>
  <c r="J561" i="3"/>
  <c r="I561" i="3"/>
  <c r="J560" i="3"/>
  <c r="I560" i="3"/>
  <c r="J559" i="3"/>
  <c r="I559" i="3"/>
  <c r="J558" i="3"/>
  <c r="I558" i="3"/>
  <c r="J548" i="3"/>
  <c r="I548" i="3"/>
  <c r="J547" i="3"/>
  <c r="I547" i="3"/>
  <c r="J546" i="3"/>
  <c r="I546" i="3"/>
  <c r="J545" i="3"/>
  <c r="I545" i="3"/>
  <c r="J544" i="3"/>
  <c r="I544" i="3"/>
  <c r="J543" i="3"/>
  <c r="I543" i="3"/>
  <c r="J542" i="3"/>
  <c r="I542" i="3"/>
  <c r="I537" i="3"/>
  <c r="J536" i="3"/>
  <c r="I536" i="3"/>
  <c r="J532" i="3"/>
  <c r="I532" i="3"/>
  <c r="J531" i="3"/>
  <c r="I531" i="3"/>
  <c r="J530" i="3"/>
  <c r="I530" i="3"/>
  <c r="J529" i="3"/>
  <c r="I529" i="3"/>
  <c r="J528" i="3"/>
  <c r="I528" i="3"/>
  <c r="J527" i="3"/>
  <c r="I527" i="3"/>
  <c r="J526" i="3"/>
  <c r="I526" i="3"/>
  <c r="I524" i="3"/>
  <c r="I523" i="3"/>
  <c r="J520" i="3"/>
  <c r="I520" i="3"/>
  <c r="J516" i="3"/>
  <c r="I516" i="3"/>
  <c r="J515" i="3"/>
  <c r="I515" i="3"/>
  <c r="J514" i="3"/>
  <c r="I514" i="3"/>
  <c r="J513" i="3"/>
  <c r="I513" i="3"/>
  <c r="J512" i="3"/>
  <c r="I512" i="3"/>
  <c r="J511" i="3"/>
  <c r="I511" i="3"/>
  <c r="J510" i="3"/>
  <c r="I510" i="3"/>
  <c r="J500" i="3"/>
  <c r="I500" i="3"/>
  <c r="J499" i="3"/>
  <c r="I499" i="3"/>
  <c r="J498" i="3"/>
  <c r="I498" i="3"/>
  <c r="J497" i="3"/>
  <c r="I497" i="3"/>
  <c r="J496" i="3"/>
  <c r="I496" i="3"/>
  <c r="J495" i="3"/>
  <c r="I495" i="3"/>
  <c r="J494" i="3"/>
  <c r="I494" i="3"/>
  <c r="I486" i="3"/>
  <c r="J484" i="3"/>
  <c r="I484" i="3"/>
  <c r="J483" i="3"/>
  <c r="I483" i="3"/>
  <c r="J482" i="3"/>
  <c r="I482" i="3"/>
  <c r="J481" i="3"/>
  <c r="I481" i="3"/>
  <c r="J480" i="3"/>
  <c r="I480" i="3"/>
  <c r="J479" i="3"/>
  <c r="I479" i="3"/>
  <c r="J478" i="3"/>
  <c r="I478" i="3"/>
  <c r="J476" i="3"/>
  <c r="I474" i="3"/>
  <c r="J473" i="3"/>
  <c r="J468" i="3"/>
  <c r="I468" i="3"/>
  <c r="J467" i="3"/>
  <c r="I467" i="3"/>
  <c r="J466" i="3"/>
  <c r="I466" i="3"/>
  <c r="J465" i="3"/>
  <c r="I465" i="3"/>
  <c r="J464" i="3"/>
  <c r="I464" i="3"/>
  <c r="J463" i="3"/>
  <c r="I463" i="3"/>
  <c r="J462" i="3"/>
  <c r="I462" i="3"/>
  <c r="J452" i="3"/>
  <c r="I452" i="3"/>
  <c r="J451" i="3"/>
  <c r="I451" i="3"/>
  <c r="J450" i="3"/>
  <c r="I450" i="3"/>
  <c r="J449" i="3"/>
  <c r="I449" i="3"/>
  <c r="J448" i="3"/>
  <c r="I448" i="3"/>
  <c r="J447" i="3"/>
  <c r="I447" i="3"/>
  <c r="J446" i="3"/>
  <c r="I446" i="3"/>
  <c r="J445" i="3"/>
  <c r="I445" i="3"/>
  <c r="I443" i="3"/>
  <c r="J436" i="3"/>
  <c r="I436" i="3"/>
  <c r="J435" i="3"/>
  <c r="I435" i="3"/>
  <c r="J434" i="3"/>
  <c r="I434" i="3"/>
  <c r="J433" i="3"/>
  <c r="I433" i="3"/>
  <c r="J432" i="3"/>
  <c r="I432" i="3"/>
  <c r="J431" i="3"/>
  <c r="I431" i="3"/>
  <c r="J430" i="3"/>
  <c r="I430" i="3"/>
  <c r="J429" i="3"/>
  <c r="I429" i="3"/>
  <c r="J420" i="3"/>
  <c r="I420" i="3"/>
  <c r="J419" i="3"/>
  <c r="I419" i="3"/>
  <c r="J418" i="3"/>
  <c r="I418" i="3"/>
  <c r="J417" i="3"/>
  <c r="I417" i="3"/>
  <c r="J416" i="3"/>
  <c r="I416" i="3"/>
  <c r="J415" i="3"/>
  <c r="I415" i="3"/>
  <c r="J414" i="3"/>
  <c r="I414" i="3"/>
  <c r="J404" i="3"/>
  <c r="I404" i="3"/>
  <c r="J403" i="3"/>
  <c r="I403" i="3"/>
  <c r="J402" i="3"/>
  <c r="I402" i="3"/>
  <c r="J401" i="3"/>
  <c r="I401" i="3"/>
  <c r="J400" i="3"/>
  <c r="I400" i="3"/>
  <c r="J399" i="3"/>
  <c r="I399" i="3"/>
  <c r="J398" i="3"/>
  <c r="I398" i="3"/>
  <c r="J397" i="3"/>
  <c r="I397" i="3"/>
  <c r="J396" i="3"/>
  <c r="I396" i="3"/>
  <c r="J388" i="3"/>
  <c r="I388" i="3"/>
  <c r="J387" i="3"/>
  <c r="I387" i="3"/>
  <c r="J386" i="3"/>
  <c r="I386" i="3"/>
  <c r="J385" i="3"/>
  <c r="I385" i="3"/>
  <c r="J384" i="3"/>
  <c r="I384" i="3"/>
  <c r="J383" i="3"/>
  <c r="I383" i="3"/>
  <c r="J382" i="3"/>
  <c r="I382" i="3"/>
  <c r="J372" i="3"/>
  <c r="I372" i="3"/>
  <c r="J371" i="3"/>
  <c r="I371" i="3"/>
  <c r="J370" i="3"/>
  <c r="I370" i="3"/>
  <c r="J369" i="3"/>
  <c r="I369" i="3"/>
  <c r="J368" i="3"/>
  <c r="I368" i="3"/>
  <c r="J367" i="3"/>
  <c r="I367" i="3"/>
  <c r="J366" i="3"/>
  <c r="I366" i="3"/>
  <c r="J365" i="3"/>
  <c r="J362" i="3"/>
  <c r="I362" i="3"/>
  <c r="J360" i="3"/>
  <c r="J358" i="3"/>
  <c r="J356" i="3"/>
  <c r="I356" i="3"/>
  <c r="J355" i="3"/>
  <c r="I355" i="3"/>
  <c r="J354" i="3"/>
  <c r="I354" i="3"/>
  <c r="J353" i="3"/>
  <c r="I353" i="3"/>
  <c r="J352" i="3"/>
  <c r="I352" i="3"/>
  <c r="J351" i="3"/>
  <c r="I351" i="3"/>
  <c r="J350" i="3"/>
  <c r="I350" i="3"/>
  <c r="J340" i="3"/>
  <c r="I340" i="3"/>
  <c r="J339" i="3"/>
  <c r="I339" i="3"/>
  <c r="J338" i="3"/>
  <c r="I338" i="3"/>
  <c r="J337" i="3"/>
  <c r="I337" i="3"/>
  <c r="J336" i="3"/>
  <c r="I336" i="3"/>
  <c r="J335" i="3"/>
  <c r="I335" i="3"/>
  <c r="J334" i="3"/>
  <c r="I334" i="3"/>
  <c r="I333" i="3"/>
  <c r="J332" i="3"/>
  <c r="I332" i="3"/>
  <c r="I331" i="3"/>
  <c r="J330" i="3"/>
  <c r="I330" i="3"/>
  <c r="J329" i="3"/>
  <c r="I329" i="3"/>
  <c r="J327" i="3"/>
  <c r="J324" i="3"/>
  <c r="I324" i="3"/>
  <c r="J323" i="3"/>
  <c r="I323" i="3"/>
  <c r="J322" i="3"/>
  <c r="I322" i="3"/>
  <c r="J321" i="3"/>
  <c r="I321" i="3"/>
  <c r="J320" i="3"/>
  <c r="I320" i="3"/>
  <c r="J319" i="3"/>
  <c r="I319" i="3"/>
  <c r="J318" i="3"/>
  <c r="I318" i="3"/>
  <c r="J308" i="3"/>
  <c r="I308" i="3"/>
  <c r="J307" i="3"/>
  <c r="I307" i="3"/>
  <c r="J306" i="3"/>
  <c r="I306" i="3"/>
  <c r="J305" i="3"/>
  <c r="I305" i="3"/>
  <c r="J304" i="3"/>
  <c r="I304" i="3"/>
  <c r="J303" i="3"/>
  <c r="I303" i="3"/>
  <c r="J302" i="3"/>
  <c r="I302" i="3"/>
  <c r="I300" i="3"/>
  <c r="I299" i="3"/>
  <c r="J298" i="3"/>
  <c r="I298" i="3"/>
  <c r="J297" i="3"/>
  <c r="I297" i="3"/>
  <c r="J296" i="3"/>
  <c r="I296" i="3"/>
  <c r="J292" i="3"/>
  <c r="I292" i="3"/>
  <c r="J291" i="3"/>
  <c r="I291" i="3"/>
  <c r="J290" i="3"/>
  <c r="I290" i="3"/>
  <c r="J289" i="3"/>
  <c r="I289" i="3"/>
  <c r="J288" i="3"/>
  <c r="I288" i="3"/>
  <c r="J287" i="3"/>
  <c r="I287" i="3"/>
  <c r="J286" i="3"/>
  <c r="I286" i="3"/>
  <c r="J285" i="3"/>
  <c r="J282" i="3"/>
  <c r="J276" i="3"/>
  <c r="I276" i="3"/>
  <c r="J275" i="3"/>
  <c r="I275" i="3"/>
  <c r="J274" i="3"/>
  <c r="I274" i="3"/>
  <c r="J273" i="3"/>
  <c r="I273" i="3"/>
  <c r="J272" i="3"/>
  <c r="I272" i="3"/>
  <c r="J271" i="3"/>
  <c r="I271" i="3"/>
  <c r="J270" i="3"/>
  <c r="I270" i="3"/>
  <c r="I269" i="3"/>
  <c r="I268" i="3"/>
  <c r="I267" i="3"/>
  <c r="J266" i="3"/>
  <c r="I266" i="3"/>
  <c r="I264" i="3"/>
  <c r="J263" i="3"/>
  <c r="I263" i="3"/>
  <c r="J262" i="3"/>
  <c r="J260" i="3"/>
  <c r="I260" i="3"/>
  <c r="J259" i="3"/>
  <c r="I259" i="3"/>
  <c r="J258" i="3"/>
  <c r="I258" i="3"/>
  <c r="J257" i="3"/>
  <c r="I257" i="3"/>
  <c r="J256" i="3"/>
  <c r="I256" i="3"/>
  <c r="J255" i="3"/>
  <c r="I255" i="3"/>
  <c r="J254" i="3"/>
  <c r="I254" i="3"/>
  <c r="J253" i="3"/>
  <c r="J244" i="3"/>
  <c r="I244" i="3"/>
  <c r="J243" i="3"/>
  <c r="I243" i="3"/>
  <c r="J242" i="3"/>
  <c r="I242" i="3"/>
  <c r="J241" i="3"/>
  <c r="I241" i="3"/>
  <c r="J240" i="3"/>
  <c r="I240" i="3"/>
  <c r="J239" i="3"/>
  <c r="I239" i="3"/>
  <c r="J238" i="3"/>
  <c r="I238" i="3"/>
  <c r="I236" i="3"/>
  <c r="J234" i="3"/>
  <c r="I234" i="3"/>
  <c r="J233" i="3"/>
  <c r="I233" i="3"/>
  <c r="J232" i="3"/>
  <c r="I232" i="3"/>
  <c r="J228" i="3"/>
  <c r="I228" i="3"/>
  <c r="J227" i="3"/>
  <c r="I227" i="3"/>
  <c r="J226" i="3"/>
  <c r="I226" i="3"/>
  <c r="J225" i="3"/>
  <c r="I225" i="3"/>
  <c r="J224" i="3"/>
  <c r="I224" i="3"/>
  <c r="J223" i="3"/>
  <c r="I223" i="3"/>
  <c r="J222" i="3"/>
  <c r="I222" i="3"/>
  <c r="J212" i="3"/>
  <c r="I212" i="3"/>
  <c r="J211" i="3"/>
  <c r="I211" i="3"/>
  <c r="J210" i="3"/>
  <c r="I210" i="3"/>
  <c r="J209" i="3"/>
  <c r="I209" i="3"/>
  <c r="J208" i="3"/>
  <c r="I208" i="3"/>
  <c r="J207" i="3"/>
  <c r="I207" i="3"/>
  <c r="J206" i="3"/>
  <c r="I206" i="3"/>
  <c r="J205" i="3"/>
  <c r="I205" i="3"/>
  <c r="I204" i="3"/>
  <c r="J196" i="3"/>
  <c r="I196" i="3"/>
  <c r="J195" i="3"/>
  <c r="I195" i="3"/>
  <c r="J194" i="3"/>
  <c r="I194" i="3"/>
  <c r="J193" i="3"/>
  <c r="I193" i="3"/>
  <c r="J192" i="3"/>
  <c r="I192" i="3"/>
  <c r="J191" i="3"/>
  <c r="I191" i="3"/>
  <c r="J190" i="3"/>
  <c r="I190" i="3"/>
  <c r="J189" i="3"/>
  <c r="I189" i="3"/>
  <c r="J188" i="3"/>
  <c r="I187" i="3"/>
  <c r="I186" i="3"/>
  <c r="I185" i="3"/>
  <c r="J184" i="3"/>
  <c r="I184" i="3"/>
  <c r="J183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I153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I140" i="3"/>
  <c r="I139" i="3"/>
  <c r="J138" i="3"/>
  <c r="J137" i="3"/>
  <c r="J136" i="3"/>
  <c r="I134" i="3"/>
  <c r="J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8" i="3"/>
  <c r="I108" i="3"/>
  <c r="I107" i="3"/>
  <c r="J106" i="3"/>
  <c r="I106" i="3"/>
  <c r="J105" i="3"/>
  <c r="I105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I88" i="3"/>
  <c r="I87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I43" i="3"/>
  <c r="J42" i="3"/>
  <c r="I42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I29" i="3"/>
  <c r="J28" i="3"/>
  <c r="I28" i="3"/>
  <c r="I27" i="3"/>
  <c r="J26" i="3"/>
  <c r="I26" i="3"/>
  <c r="J25" i="3"/>
  <c r="I25" i="3"/>
  <c r="J23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I9" i="3"/>
  <c r="J8" i="3"/>
  <c r="I7" i="3"/>
  <c r="J4" i="3"/>
  <c r="I4" i="3"/>
  <c r="J3" i="3"/>
  <c r="I3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9" i="3"/>
  <c r="L2458" i="3"/>
  <c r="L2457" i="3"/>
  <c r="L2456" i="3"/>
  <c r="L2455" i="3"/>
  <c r="L2454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40" i="3"/>
  <c r="L2439" i="3"/>
  <c r="L2438" i="3"/>
  <c r="L2437" i="3"/>
  <c r="L2436" i="3"/>
  <c r="L2435" i="3"/>
  <c r="L2434" i="3"/>
  <c r="L2433" i="3"/>
  <c r="L2432" i="3"/>
  <c r="L2431" i="3"/>
  <c r="L2430" i="3"/>
  <c r="L2429" i="3"/>
  <c r="L2428" i="3"/>
  <c r="L2427" i="3"/>
  <c r="L2426" i="3"/>
  <c r="L2425" i="3"/>
  <c r="L2424" i="3"/>
  <c r="L2423" i="3"/>
  <c r="L2422" i="3"/>
  <c r="L2421" i="3"/>
  <c r="L2420" i="3"/>
  <c r="L2419" i="3"/>
  <c r="L2418" i="3"/>
  <c r="L2417" i="3"/>
  <c r="L2416" i="3"/>
  <c r="L2415" i="3"/>
  <c r="L2414" i="3"/>
  <c r="L2413" i="3"/>
  <c r="L2412" i="3"/>
  <c r="L2411" i="3"/>
  <c r="L2410" i="3"/>
  <c r="L2409" i="3"/>
  <c r="L2408" i="3"/>
  <c r="L2407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94" i="3"/>
  <c r="L2393" i="3"/>
  <c r="L2392" i="3"/>
  <c r="L2391" i="3"/>
  <c r="L2390" i="3"/>
  <c r="L2389" i="3"/>
  <c r="L2388" i="3"/>
  <c r="L2387" i="3"/>
  <c r="L2386" i="3"/>
  <c r="L2385" i="3"/>
  <c r="L2384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59" i="3"/>
  <c r="L2358" i="3"/>
  <c r="L2357" i="3"/>
  <c r="L2356" i="3"/>
  <c r="L2355" i="3"/>
  <c r="L2354" i="3"/>
  <c r="L2353" i="3"/>
  <c r="L2352" i="3"/>
  <c r="L2351" i="3"/>
  <c r="L2350" i="3"/>
  <c r="L2349" i="3"/>
  <c r="L2348" i="3"/>
  <c r="L2347" i="3"/>
  <c r="L2346" i="3"/>
  <c r="L2345" i="3"/>
  <c r="L2344" i="3"/>
  <c r="L2343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9" i="3"/>
  <c r="L2318" i="3"/>
  <c r="L2317" i="3"/>
  <c r="L2316" i="3"/>
  <c r="L2315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67" i="3"/>
  <c r="L2266" i="3"/>
  <c r="L2265" i="3"/>
  <c r="L2264" i="3"/>
  <c r="L2263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8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6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6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2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7" i="3"/>
  <c r="L2106" i="3"/>
  <c r="L2105" i="3"/>
  <c r="L2104" i="3"/>
  <c r="L2103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Q2500" i="3"/>
  <c r="Q2499" i="3"/>
  <c r="Q2498" i="3"/>
  <c r="Q2497" i="3"/>
  <c r="Q2496" i="3"/>
  <c r="Q2495" i="3"/>
  <c r="Q2494" i="3"/>
  <c r="Q2493" i="3"/>
  <c r="Q2492" i="3"/>
  <c r="Q2491" i="3"/>
  <c r="Q2490" i="3"/>
  <c r="Q2489" i="3"/>
  <c r="Q2488" i="3"/>
  <c r="Q2487" i="3"/>
  <c r="Q2486" i="3"/>
  <c r="Q2485" i="3"/>
  <c r="Q2484" i="3"/>
  <c r="Q2483" i="3"/>
  <c r="Q2482" i="3"/>
  <c r="Q2481" i="3"/>
  <c r="Q2480" i="3"/>
  <c r="Q2479" i="3"/>
  <c r="Q2478" i="3"/>
  <c r="Q2477" i="3"/>
  <c r="Q2476" i="3"/>
  <c r="Q2475" i="3"/>
  <c r="Q2474" i="3"/>
  <c r="Q2473" i="3"/>
  <c r="Q2472" i="3"/>
  <c r="Q2471" i="3"/>
  <c r="Q2470" i="3"/>
  <c r="Q2469" i="3"/>
  <c r="Q2468" i="3"/>
  <c r="Q2467" i="3"/>
  <c r="Q2466" i="3"/>
  <c r="Q2465" i="3"/>
  <c r="Q2464" i="3"/>
  <c r="Q2463" i="3"/>
  <c r="Q2462" i="3"/>
  <c r="Q2461" i="3"/>
  <c r="Q2460" i="3"/>
  <c r="Q2459" i="3"/>
  <c r="Q2458" i="3"/>
  <c r="Q2457" i="3"/>
  <c r="Q2456" i="3"/>
  <c r="Q2455" i="3"/>
  <c r="Q2454" i="3"/>
  <c r="Q2453" i="3"/>
  <c r="Q2452" i="3"/>
  <c r="Q2451" i="3"/>
  <c r="Q2450" i="3"/>
  <c r="Q2449" i="3"/>
  <c r="Q2448" i="3"/>
  <c r="Q2447" i="3"/>
  <c r="Q2446" i="3"/>
  <c r="Q2445" i="3"/>
  <c r="Q2444" i="3"/>
  <c r="Q2443" i="3"/>
  <c r="Q2442" i="3"/>
  <c r="Q2441" i="3"/>
  <c r="Q2440" i="3"/>
  <c r="Q2439" i="3"/>
  <c r="Q2438" i="3"/>
  <c r="Q2437" i="3"/>
  <c r="Q2436" i="3"/>
  <c r="Q2435" i="3"/>
  <c r="Q2434" i="3"/>
  <c r="Q2433" i="3"/>
  <c r="Q2432" i="3"/>
  <c r="Q2431" i="3"/>
  <c r="Q2430" i="3"/>
  <c r="Q2429" i="3"/>
  <c r="Q2428" i="3"/>
  <c r="Q2427" i="3"/>
  <c r="Q2426" i="3"/>
  <c r="Q2425" i="3"/>
  <c r="Q2424" i="3"/>
  <c r="Q2423" i="3"/>
  <c r="Q2422" i="3"/>
  <c r="Q2421" i="3"/>
  <c r="Q2420" i="3"/>
  <c r="Q2419" i="3"/>
  <c r="Q2418" i="3"/>
  <c r="Q2417" i="3"/>
  <c r="Q2416" i="3"/>
  <c r="Q2415" i="3"/>
  <c r="Q2414" i="3"/>
  <c r="Q2413" i="3"/>
  <c r="Q2412" i="3"/>
  <c r="Q2411" i="3"/>
  <c r="Q2410" i="3"/>
  <c r="Q2409" i="3"/>
  <c r="Q2408" i="3"/>
  <c r="Q2407" i="3"/>
  <c r="Q2406" i="3"/>
  <c r="Q2405" i="3"/>
  <c r="Q2404" i="3"/>
  <c r="Q2403" i="3"/>
  <c r="Q2402" i="3"/>
  <c r="Q2401" i="3"/>
  <c r="Q2400" i="3"/>
  <c r="Q2399" i="3"/>
  <c r="Q2398" i="3"/>
  <c r="Q2397" i="3"/>
  <c r="Q2396" i="3"/>
  <c r="Q2395" i="3"/>
  <c r="Q2394" i="3"/>
  <c r="Q2393" i="3"/>
  <c r="Q2392" i="3"/>
  <c r="Q2391" i="3"/>
  <c r="Q2390" i="3"/>
  <c r="Q2389" i="3"/>
  <c r="Q2388" i="3"/>
  <c r="Q2387" i="3"/>
  <c r="Q2386" i="3"/>
  <c r="Q2385" i="3"/>
  <c r="Q2384" i="3"/>
  <c r="Q2383" i="3"/>
  <c r="Q2382" i="3"/>
  <c r="Q2381" i="3"/>
  <c r="Q2380" i="3"/>
  <c r="Q2379" i="3"/>
  <c r="Q2378" i="3"/>
  <c r="Q2377" i="3"/>
  <c r="Q2376" i="3"/>
  <c r="Q2375" i="3"/>
  <c r="Q2374" i="3"/>
  <c r="Q2373" i="3"/>
  <c r="Q2372" i="3"/>
  <c r="Q2371" i="3"/>
  <c r="Q2370" i="3"/>
  <c r="Q2369" i="3"/>
  <c r="Q2368" i="3"/>
  <c r="Q2367" i="3"/>
  <c r="Q2366" i="3"/>
  <c r="Q2365" i="3"/>
  <c r="Q2364" i="3"/>
  <c r="Q2363" i="3"/>
  <c r="Q2362" i="3"/>
  <c r="Q2361" i="3"/>
  <c r="Q2360" i="3"/>
  <c r="Q2359" i="3"/>
  <c r="Q2358" i="3"/>
  <c r="Q2357" i="3"/>
  <c r="Q2356" i="3"/>
  <c r="Q2355" i="3"/>
  <c r="Q2354" i="3"/>
  <c r="Q2353" i="3"/>
  <c r="Q2352" i="3"/>
  <c r="Q2351" i="3"/>
  <c r="Q2350" i="3"/>
  <c r="Q2349" i="3"/>
  <c r="Q2348" i="3"/>
  <c r="Q2347" i="3"/>
  <c r="Q2346" i="3"/>
  <c r="Q2345" i="3"/>
  <c r="Q2344" i="3"/>
  <c r="Q2343" i="3"/>
  <c r="Q2342" i="3"/>
  <c r="Q2341" i="3"/>
  <c r="Q2340" i="3"/>
  <c r="Q2339" i="3"/>
  <c r="Q2338" i="3"/>
  <c r="Q2337" i="3"/>
  <c r="Q2336" i="3"/>
  <c r="Q2335" i="3"/>
  <c r="Q2334" i="3"/>
  <c r="Q2333" i="3"/>
  <c r="Q2332" i="3"/>
  <c r="Q2331" i="3"/>
  <c r="Q2330" i="3"/>
  <c r="Q2329" i="3"/>
  <c r="Q2328" i="3"/>
  <c r="Q2327" i="3"/>
  <c r="Q2326" i="3"/>
  <c r="Q2325" i="3"/>
  <c r="Q2324" i="3"/>
  <c r="Q2323" i="3"/>
  <c r="Q2322" i="3"/>
  <c r="Q2321" i="3"/>
  <c r="Q2320" i="3"/>
  <c r="Q2319" i="3"/>
  <c r="Q2318" i="3"/>
  <c r="Q2317" i="3"/>
  <c r="Q2316" i="3"/>
  <c r="Q2315" i="3"/>
  <c r="Q2314" i="3"/>
  <c r="Q2313" i="3"/>
  <c r="Q2312" i="3"/>
  <c r="Q2311" i="3"/>
  <c r="Q2310" i="3"/>
  <c r="Q2309" i="3"/>
  <c r="Q2308" i="3"/>
  <c r="Q2307" i="3"/>
  <c r="Q2306" i="3"/>
  <c r="Q2305" i="3"/>
  <c r="Q2304" i="3"/>
  <c r="Q2303" i="3"/>
  <c r="Q2302" i="3"/>
  <c r="Q2301" i="3"/>
  <c r="Q2300" i="3"/>
  <c r="Q2299" i="3"/>
  <c r="Q2298" i="3"/>
  <c r="Q2297" i="3"/>
  <c r="Q2296" i="3"/>
  <c r="Q2295" i="3"/>
  <c r="Q2294" i="3"/>
  <c r="Q2293" i="3"/>
  <c r="Q2292" i="3"/>
  <c r="Q2291" i="3"/>
  <c r="Q2290" i="3"/>
  <c r="Q2289" i="3"/>
  <c r="Q2288" i="3"/>
  <c r="Q2287" i="3"/>
  <c r="Q2286" i="3"/>
  <c r="Q2285" i="3"/>
  <c r="Q2284" i="3"/>
  <c r="Q2283" i="3"/>
  <c r="Q2282" i="3"/>
  <c r="Q2281" i="3"/>
  <c r="Q2280" i="3"/>
  <c r="Q2279" i="3"/>
  <c r="Q2278" i="3"/>
  <c r="Q2277" i="3"/>
  <c r="Q2276" i="3"/>
  <c r="Q2275" i="3"/>
  <c r="Q2274" i="3"/>
  <c r="Q2273" i="3"/>
  <c r="Q2272" i="3"/>
  <c r="Q2271" i="3"/>
  <c r="Q2270" i="3"/>
  <c r="Q2269" i="3"/>
  <c r="Q2268" i="3"/>
  <c r="Q2267" i="3"/>
  <c r="Q2266" i="3"/>
  <c r="Q2265" i="3"/>
  <c r="Q2264" i="3"/>
  <c r="Q2263" i="3"/>
  <c r="Q2262" i="3"/>
  <c r="Q2261" i="3"/>
  <c r="Q2260" i="3"/>
  <c r="Q2259" i="3"/>
  <c r="Q2258" i="3"/>
  <c r="Q2257" i="3"/>
  <c r="Q2256" i="3"/>
  <c r="Q2255" i="3"/>
  <c r="Q2254" i="3"/>
  <c r="Q2253" i="3"/>
  <c r="Q2252" i="3"/>
  <c r="Q2251" i="3"/>
  <c r="Q2250" i="3"/>
  <c r="Q2249" i="3"/>
  <c r="Q2248" i="3"/>
  <c r="Q2247" i="3"/>
  <c r="Q2246" i="3"/>
  <c r="Q2245" i="3"/>
  <c r="Q2244" i="3"/>
  <c r="Q2243" i="3"/>
  <c r="Q2242" i="3"/>
  <c r="Q2241" i="3"/>
  <c r="Q2240" i="3"/>
  <c r="Q2239" i="3"/>
  <c r="Q2238" i="3"/>
  <c r="Q2237" i="3"/>
  <c r="Q2236" i="3"/>
  <c r="Q2235" i="3"/>
  <c r="Q2234" i="3"/>
  <c r="Q2233" i="3"/>
  <c r="Q2232" i="3"/>
  <c r="Q2231" i="3"/>
  <c r="Q2230" i="3"/>
  <c r="Q2229" i="3"/>
  <c r="Q2228" i="3"/>
  <c r="Q2227" i="3"/>
  <c r="Q2226" i="3"/>
  <c r="Q2225" i="3"/>
  <c r="Q2224" i="3"/>
  <c r="Q2223" i="3"/>
  <c r="Q2222" i="3"/>
  <c r="Q2221" i="3"/>
  <c r="Q2220" i="3"/>
  <c r="Q2219" i="3"/>
  <c r="Q2218" i="3"/>
  <c r="Q2217" i="3"/>
  <c r="Q2216" i="3"/>
  <c r="Q2215" i="3"/>
  <c r="Q2214" i="3"/>
  <c r="Q2213" i="3"/>
  <c r="Q2212" i="3"/>
  <c r="Q2211" i="3"/>
  <c r="Q2210" i="3"/>
  <c r="Q2209" i="3"/>
  <c r="Q2208" i="3"/>
  <c r="Q2207" i="3"/>
  <c r="Q2206" i="3"/>
  <c r="Q2205" i="3"/>
  <c r="Q2204" i="3"/>
  <c r="Q2203" i="3"/>
  <c r="Q2202" i="3"/>
  <c r="Q2201" i="3"/>
  <c r="Q2200" i="3"/>
  <c r="Q2199" i="3"/>
  <c r="Q2198" i="3"/>
  <c r="Q2197" i="3"/>
  <c r="Q2196" i="3"/>
  <c r="Q2195" i="3"/>
  <c r="Q2194" i="3"/>
  <c r="Q2193" i="3"/>
  <c r="Q2192" i="3"/>
  <c r="Q2191" i="3"/>
  <c r="Q2190" i="3"/>
  <c r="Q2189" i="3"/>
  <c r="Q2188" i="3"/>
  <c r="Q2187" i="3"/>
  <c r="Q2186" i="3"/>
  <c r="Q2185" i="3"/>
  <c r="Q2184" i="3"/>
  <c r="Q2183" i="3"/>
  <c r="Q2182" i="3"/>
  <c r="Q2181" i="3"/>
  <c r="Q2180" i="3"/>
  <c r="Q2179" i="3"/>
  <c r="Q2178" i="3"/>
  <c r="Q2177" i="3"/>
  <c r="Q2176" i="3"/>
  <c r="Q2175" i="3"/>
  <c r="Q2174" i="3"/>
  <c r="Q2173" i="3"/>
  <c r="Q2172" i="3"/>
  <c r="Q2171" i="3"/>
  <c r="Q2170" i="3"/>
  <c r="Q2169" i="3"/>
  <c r="Q2168" i="3"/>
  <c r="Q2167" i="3"/>
  <c r="Q2166" i="3"/>
  <c r="Q2165" i="3"/>
  <c r="Q2164" i="3"/>
  <c r="Q2163" i="3"/>
  <c r="Q2162" i="3"/>
  <c r="Q2161" i="3"/>
  <c r="Q2160" i="3"/>
  <c r="Q2159" i="3"/>
  <c r="Q2158" i="3"/>
  <c r="Q2157" i="3"/>
  <c r="Q2156" i="3"/>
  <c r="Q2155" i="3"/>
  <c r="Q2154" i="3"/>
  <c r="Q2153" i="3"/>
  <c r="Q2152" i="3"/>
  <c r="Q2151" i="3"/>
  <c r="Q2150" i="3"/>
  <c r="Q2149" i="3"/>
  <c r="Q2148" i="3"/>
  <c r="Q2147" i="3"/>
  <c r="Q2146" i="3"/>
  <c r="Q2145" i="3"/>
  <c r="Q2144" i="3"/>
  <c r="Q2143" i="3"/>
  <c r="Q2142" i="3"/>
  <c r="Q2141" i="3"/>
  <c r="Q2140" i="3"/>
  <c r="Q2139" i="3"/>
  <c r="Q2138" i="3"/>
  <c r="Q2137" i="3"/>
  <c r="Q2136" i="3"/>
  <c r="Q2135" i="3"/>
  <c r="Q2134" i="3"/>
  <c r="Q2133" i="3"/>
  <c r="Q2132" i="3"/>
  <c r="Q2131" i="3"/>
  <c r="Q2130" i="3"/>
  <c r="Q2129" i="3"/>
  <c r="Q2128" i="3"/>
  <c r="Q2127" i="3"/>
  <c r="Q2126" i="3"/>
  <c r="Q2125" i="3"/>
  <c r="Q2124" i="3"/>
  <c r="Q2123" i="3"/>
  <c r="Q2122" i="3"/>
  <c r="Q2121" i="3"/>
  <c r="Q2120" i="3"/>
  <c r="Q2119" i="3"/>
  <c r="Q2118" i="3"/>
  <c r="Q2117" i="3"/>
  <c r="Q2116" i="3"/>
  <c r="Q2115" i="3"/>
  <c r="Q2114" i="3"/>
  <c r="Q2113" i="3"/>
  <c r="Q2112" i="3"/>
  <c r="Q2111" i="3"/>
  <c r="Q2110" i="3"/>
  <c r="Q2109" i="3"/>
  <c r="Q2108" i="3"/>
  <c r="Q2107" i="3"/>
  <c r="Q2106" i="3"/>
  <c r="Q2105" i="3"/>
  <c r="Q2104" i="3"/>
  <c r="Q2103" i="3"/>
  <c r="Q2102" i="3"/>
  <c r="Q2101" i="3"/>
  <c r="Q2100" i="3"/>
  <c r="Q2099" i="3"/>
  <c r="Q2098" i="3"/>
  <c r="Q2097" i="3"/>
  <c r="Q2096" i="3"/>
  <c r="Q2095" i="3"/>
  <c r="Q2094" i="3"/>
  <c r="Q2093" i="3"/>
  <c r="Q2092" i="3"/>
  <c r="Q2091" i="3"/>
  <c r="Q2090" i="3"/>
  <c r="Q2089" i="3"/>
  <c r="Q2088" i="3"/>
  <c r="Q2087" i="3"/>
  <c r="Q2086" i="3"/>
  <c r="Q2085" i="3"/>
  <c r="Q2084" i="3"/>
  <c r="Q2083" i="3"/>
  <c r="Q2082" i="3"/>
  <c r="Q2081" i="3"/>
  <c r="Q2080" i="3"/>
  <c r="Q2079" i="3"/>
  <c r="Q2078" i="3"/>
  <c r="Q2077" i="3"/>
  <c r="Q2076" i="3"/>
  <c r="Q2075" i="3"/>
  <c r="Q2074" i="3"/>
  <c r="Q2073" i="3"/>
  <c r="Q2072" i="3"/>
  <c r="Q2071" i="3"/>
  <c r="Q2070" i="3"/>
  <c r="Q2069" i="3"/>
  <c r="Q2068" i="3"/>
  <c r="Q2067" i="3"/>
  <c r="Q2066" i="3"/>
  <c r="Q2065" i="3"/>
  <c r="Q2064" i="3"/>
  <c r="Q2063" i="3"/>
  <c r="Q2062" i="3"/>
  <c r="Q2061" i="3"/>
  <c r="Q2060" i="3"/>
  <c r="Q2059" i="3"/>
  <c r="Q2058" i="3"/>
  <c r="Q2057" i="3"/>
  <c r="Q2056" i="3"/>
  <c r="Q2055" i="3"/>
  <c r="Q2054" i="3"/>
  <c r="Q2053" i="3"/>
  <c r="Q2052" i="3"/>
  <c r="Q2051" i="3"/>
  <c r="Q2050" i="3"/>
  <c r="Q2049" i="3"/>
  <c r="Q2048" i="3"/>
  <c r="Q2047" i="3"/>
  <c r="Q2046" i="3"/>
  <c r="Q2045" i="3"/>
  <c r="Q2044" i="3"/>
  <c r="Q2043" i="3"/>
  <c r="Q2042" i="3"/>
  <c r="Q2041" i="3"/>
  <c r="Q2040" i="3"/>
  <c r="Q2039" i="3"/>
  <c r="Q2038" i="3"/>
  <c r="Q2037" i="3"/>
  <c r="Q2036" i="3"/>
  <c r="Q2035" i="3"/>
  <c r="Q2034" i="3"/>
  <c r="Q2033" i="3"/>
  <c r="Q2032" i="3"/>
  <c r="Q2031" i="3"/>
  <c r="Q2030" i="3"/>
  <c r="Q2029" i="3"/>
  <c r="Q2028" i="3"/>
  <c r="Q2027" i="3"/>
  <c r="Q2026" i="3"/>
  <c r="Q2025" i="3"/>
  <c r="Q2024" i="3"/>
  <c r="Q2023" i="3"/>
  <c r="Q2022" i="3"/>
  <c r="Q2021" i="3"/>
  <c r="Q2020" i="3"/>
  <c r="Q2019" i="3"/>
  <c r="Q2018" i="3"/>
  <c r="Q2017" i="3"/>
  <c r="Q2016" i="3"/>
  <c r="Q2015" i="3"/>
  <c r="Q2014" i="3"/>
  <c r="Q2013" i="3"/>
  <c r="Q2012" i="3"/>
  <c r="Q2011" i="3"/>
  <c r="Q2010" i="3"/>
  <c r="Q2009" i="3"/>
  <c r="Q2008" i="3"/>
  <c r="Q2007" i="3"/>
  <c r="Q2006" i="3"/>
  <c r="Q2005" i="3"/>
  <c r="Q2004" i="3"/>
  <c r="Q2003" i="3"/>
  <c r="Q2002" i="3"/>
  <c r="Q2001" i="3"/>
  <c r="Q2000" i="3"/>
  <c r="Q1999" i="3"/>
  <c r="Q1998" i="3"/>
  <c r="Q1997" i="3"/>
  <c r="Q1996" i="3"/>
  <c r="Q1995" i="3"/>
  <c r="Q1994" i="3"/>
  <c r="Q1993" i="3"/>
  <c r="Q1992" i="3"/>
  <c r="Q1991" i="3"/>
  <c r="Q1990" i="3"/>
  <c r="Q1989" i="3"/>
  <c r="Q1988" i="3"/>
  <c r="Q1987" i="3"/>
  <c r="Q1986" i="3"/>
  <c r="Q1985" i="3"/>
  <c r="Q1984" i="3"/>
  <c r="Q1983" i="3"/>
  <c r="Q1982" i="3"/>
  <c r="Q1981" i="3"/>
  <c r="Q1980" i="3"/>
  <c r="Q1979" i="3"/>
  <c r="Q1978" i="3"/>
  <c r="Q1977" i="3"/>
  <c r="Q1976" i="3"/>
  <c r="Q1975" i="3"/>
  <c r="Q1974" i="3"/>
  <c r="Q1973" i="3"/>
  <c r="Q1972" i="3"/>
  <c r="Q1971" i="3"/>
  <c r="Q1970" i="3"/>
  <c r="Q1969" i="3"/>
  <c r="Q1968" i="3"/>
  <c r="Q1967" i="3"/>
  <c r="Q1966" i="3"/>
  <c r="Q1965" i="3"/>
  <c r="Q1964" i="3"/>
  <c r="Q1963" i="3"/>
  <c r="Q1962" i="3"/>
  <c r="Q1961" i="3"/>
  <c r="Q1960" i="3"/>
  <c r="Q1959" i="3"/>
  <c r="Q1958" i="3"/>
  <c r="Q1957" i="3"/>
  <c r="Q1956" i="3"/>
  <c r="Q1955" i="3"/>
  <c r="Q1954" i="3"/>
  <c r="Q1953" i="3"/>
  <c r="Q1952" i="3"/>
  <c r="Q1951" i="3"/>
  <c r="Q1950" i="3"/>
  <c r="Q1949" i="3"/>
  <c r="Q1948" i="3"/>
  <c r="Q1947" i="3"/>
  <c r="Q1946" i="3"/>
  <c r="Q1945" i="3"/>
  <c r="Q1944" i="3"/>
  <c r="Q1943" i="3"/>
  <c r="Q1942" i="3"/>
  <c r="Q1941" i="3"/>
  <c r="Q1940" i="3"/>
  <c r="Q1939" i="3"/>
  <c r="Q1938" i="3"/>
  <c r="Q1937" i="3"/>
  <c r="Q1936" i="3"/>
  <c r="Q1935" i="3"/>
  <c r="Q1934" i="3"/>
  <c r="Q1933" i="3"/>
  <c r="Q1932" i="3"/>
  <c r="Q1931" i="3"/>
  <c r="Q1930" i="3"/>
  <c r="Q1929" i="3"/>
  <c r="Q1928" i="3"/>
  <c r="Q1927" i="3"/>
  <c r="Q1926" i="3"/>
  <c r="Q1925" i="3"/>
  <c r="Q1924" i="3"/>
  <c r="Q1923" i="3"/>
  <c r="Q1922" i="3"/>
  <c r="Q1921" i="3"/>
  <c r="Q1920" i="3"/>
  <c r="Q1919" i="3"/>
  <c r="Q1918" i="3"/>
  <c r="Q1917" i="3"/>
  <c r="Q1916" i="3"/>
  <c r="Q1915" i="3"/>
  <c r="Q1914" i="3"/>
  <c r="Q1913" i="3"/>
  <c r="Q1912" i="3"/>
  <c r="Q1911" i="3"/>
  <c r="Q1910" i="3"/>
  <c r="Q1909" i="3"/>
  <c r="Q1908" i="3"/>
  <c r="Q1907" i="3"/>
  <c r="Q1906" i="3"/>
  <c r="Q1905" i="3"/>
  <c r="Q1904" i="3"/>
  <c r="Q1903" i="3"/>
  <c r="Q1902" i="3"/>
  <c r="Q1901" i="3"/>
  <c r="Q1900" i="3"/>
  <c r="Q1899" i="3"/>
  <c r="Q1898" i="3"/>
  <c r="Q1897" i="3"/>
  <c r="Q1896" i="3"/>
  <c r="Q1895" i="3"/>
  <c r="Q1894" i="3"/>
  <c r="Q1893" i="3"/>
  <c r="Q1892" i="3"/>
  <c r="Q1891" i="3"/>
  <c r="Q1890" i="3"/>
  <c r="Q1889" i="3"/>
  <c r="Q1888" i="3"/>
  <c r="Q1887" i="3"/>
  <c r="Q1886" i="3"/>
  <c r="Q1885" i="3"/>
  <c r="Q1884" i="3"/>
  <c r="Q1883" i="3"/>
  <c r="Q1882" i="3"/>
  <c r="Q1881" i="3"/>
  <c r="Q1880" i="3"/>
  <c r="Q1879" i="3"/>
  <c r="Q1878" i="3"/>
  <c r="Q1877" i="3"/>
  <c r="Q1876" i="3"/>
  <c r="Q1875" i="3"/>
  <c r="Q1874" i="3"/>
  <c r="Q1873" i="3"/>
  <c r="Q1872" i="3"/>
  <c r="Q1871" i="3"/>
  <c r="Q1870" i="3"/>
  <c r="Q1869" i="3"/>
  <c r="Q1868" i="3"/>
  <c r="Q1867" i="3"/>
  <c r="Q1866" i="3"/>
  <c r="Q1865" i="3"/>
  <c r="Q1864" i="3"/>
  <c r="Q1863" i="3"/>
  <c r="Q1862" i="3"/>
  <c r="Q1861" i="3"/>
  <c r="Q1860" i="3"/>
  <c r="Q1859" i="3"/>
  <c r="Q1858" i="3"/>
  <c r="Q1857" i="3"/>
  <c r="Q1856" i="3"/>
  <c r="Q1855" i="3"/>
  <c r="Q1854" i="3"/>
  <c r="Q1853" i="3"/>
  <c r="Q1852" i="3"/>
  <c r="Q1851" i="3"/>
  <c r="Q1850" i="3"/>
  <c r="Q1849" i="3"/>
  <c r="Q1848" i="3"/>
  <c r="Q1847" i="3"/>
  <c r="Q1846" i="3"/>
  <c r="Q1845" i="3"/>
  <c r="Q1844" i="3"/>
  <c r="Q1843" i="3"/>
  <c r="Q1842" i="3"/>
  <c r="Q1841" i="3"/>
  <c r="Q1840" i="3"/>
  <c r="Q1839" i="3"/>
  <c r="Q1838" i="3"/>
  <c r="Q1837" i="3"/>
  <c r="Q1836" i="3"/>
  <c r="Q1835" i="3"/>
  <c r="Q1834" i="3"/>
  <c r="Q1833" i="3"/>
  <c r="Q1832" i="3"/>
  <c r="Q1831" i="3"/>
  <c r="Q1830" i="3"/>
  <c r="Q1829" i="3"/>
  <c r="Q1828" i="3"/>
  <c r="Q1827" i="3"/>
  <c r="Q1826" i="3"/>
  <c r="Q1825" i="3"/>
  <c r="Q1824" i="3"/>
  <c r="Q1823" i="3"/>
  <c r="Q1822" i="3"/>
  <c r="Q1821" i="3"/>
  <c r="Q1820" i="3"/>
  <c r="Q1819" i="3"/>
  <c r="Q1818" i="3"/>
  <c r="Q1817" i="3"/>
  <c r="Q1816" i="3"/>
  <c r="Q1815" i="3"/>
  <c r="Q1814" i="3"/>
  <c r="Q1813" i="3"/>
  <c r="Q1812" i="3"/>
  <c r="Q1811" i="3"/>
  <c r="Q1810" i="3"/>
  <c r="Q1809" i="3"/>
  <c r="Q1808" i="3"/>
  <c r="Q1807" i="3"/>
  <c r="Q1806" i="3"/>
  <c r="Q1805" i="3"/>
  <c r="Q1804" i="3"/>
  <c r="Q1803" i="3"/>
  <c r="Q1802" i="3"/>
  <c r="Q1801" i="3"/>
  <c r="Q1800" i="3"/>
  <c r="Q1799" i="3"/>
  <c r="Q1798" i="3"/>
  <c r="Q1797" i="3"/>
  <c r="Q1796" i="3"/>
  <c r="Q1795" i="3"/>
  <c r="Q1794" i="3"/>
  <c r="Q1793" i="3"/>
  <c r="Q1792" i="3"/>
  <c r="Q1791" i="3"/>
  <c r="Q1790" i="3"/>
  <c r="Q1789" i="3"/>
  <c r="Q1788" i="3"/>
  <c r="Q1787" i="3"/>
  <c r="Q1786" i="3"/>
  <c r="Q1785" i="3"/>
  <c r="Q1784" i="3"/>
  <c r="Q1783" i="3"/>
  <c r="Q1782" i="3"/>
  <c r="Q1781" i="3"/>
  <c r="Q1780" i="3"/>
  <c r="Q1779" i="3"/>
  <c r="Q1778" i="3"/>
  <c r="Q1777" i="3"/>
  <c r="Q1776" i="3"/>
  <c r="Q1775" i="3"/>
  <c r="Q1774" i="3"/>
  <c r="Q1773" i="3"/>
  <c r="Q1772" i="3"/>
  <c r="Q1771" i="3"/>
  <c r="Q1770" i="3"/>
  <c r="Q1769" i="3"/>
  <c r="Q1768" i="3"/>
  <c r="Q1767" i="3"/>
  <c r="Q1766" i="3"/>
  <c r="Q1765" i="3"/>
  <c r="Q1764" i="3"/>
  <c r="Q1763" i="3"/>
  <c r="Q1762" i="3"/>
  <c r="Q1761" i="3"/>
  <c r="Q1760" i="3"/>
  <c r="Q1759" i="3"/>
  <c r="Q1758" i="3"/>
  <c r="Q1757" i="3"/>
  <c r="Q1756" i="3"/>
  <c r="Q1755" i="3"/>
  <c r="Q1754" i="3"/>
  <c r="Q1753" i="3"/>
  <c r="Q1752" i="3"/>
  <c r="Q1751" i="3"/>
  <c r="Q1750" i="3"/>
  <c r="Q1749" i="3"/>
  <c r="Q1748" i="3"/>
  <c r="Q1747" i="3"/>
  <c r="Q1746" i="3"/>
  <c r="Q1745" i="3"/>
  <c r="Q1744" i="3"/>
  <c r="Q1743" i="3"/>
  <c r="Q1742" i="3"/>
  <c r="Q1741" i="3"/>
  <c r="Q1740" i="3"/>
  <c r="Q1739" i="3"/>
  <c r="Q1738" i="3"/>
  <c r="Q1737" i="3"/>
  <c r="Q1736" i="3"/>
  <c r="Q1735" i="3"/>
  <c r="Q1734" i="3"/>
  <c r="Q1733" i="3"/>
  <c r="Q1732" i="3"/>
  <c r="Q1731" i="3"/>
  <c r="Q1730" i="3"/>
  <c r="Q1729" i="3"/>
  <c r="Q1728" i="3"/>
  <c r="Q1727" i="3"/>
  <c r="Q1726" i="3"/>
  <c r="Q1725" i="3"/>
  <c r="Q1724" i="3"/>
  <c r="Q1723" i="3"/>
  <c r="Q1722" i="3"/>
  <c r="Q1721" i="3"/>
  <c r="Q1720" i="3"/>
  <c r="Q1719" i="3"/>
  <c r="Q1718" i="3"/>
  <c r="Q1717" i="3"/>
  <c r="Q1716" i="3"/>
  <c r="Q1715" i="3"/>
  <c r="Q1714" i="3"/>
  <c r="Q1713" i="3"/>
  <c r="Q1712" i="3"/>
  <c r="Q1711" i="3"/>
  <c r="Q1710" i="3"/>
  <c r="Q1709" i="3"/>
  <c r="Q1708" i="3"/>
  <c r="Q1707" i="3"/>
  <c r="Q1706" i="3"/>
  <c r="Q1705" i="3"/>
  <c r="Q1704" i="3"/>
  <c r="Q1703" i="3"/>
  <c r="Q1702" i="3"/>
  <c r="Q1701" i="3"/>
  <c r="Q1700" i="3"/>
  <c r="Q1699" i="3"/>
  <c r="Q1698" i="3"/>
  <c r="Q1697" i="3"/>
  <c r="Q1696" i="3"/>
  <c r="Q1695" i="3"/>
  <c r="Q1694" i="3"/>
  <c r="Q1693" i="3"/>
  <c r="Q1692" i="3"/>
  <c r="Q1691" i="3"/>
  <c r="Q1690" i="3"/>
  <c r="Q1689" i="3"/>
  <c r="Q1688" i="3"/>
  <c r="Q1687" i="3"/>
  <c r="Q1686" i="3"/>
  <c r="Q1685" i="3"/>
  <c r="Q1684" i="3"/>
  <c r="Q1683" i="3"/>
  <c r="Q1682" i="3"/>
  <c r="Q1681" i="3"/>
  <c r="Q1680" i="3"/>
  <c r="Q1679" i="3"/>
  <c r="Q1678" i="3"/>
  <c r="Q1677" i="3"/>
  <c r="Q1676" i="3"/>
  <c r="Q1675" i="3"/>
  <c r="Q1674" i="3"/>
  <c r="Q1673" i="3"/>
  <c r="Q1672" i="3"/>
  <c r="Q1671" i="3"/>
  <c r="Q1670" i="3"/>
  <c r="Q1669" i="3"/>
  <c r="Q1668" i="3"/>
  <c r="Q1667" i="3"/>
  <c r="Q1666" i="3"/>
  <c r="Q1665" i="3"/>
  <c r="Q1664" i="3"/>
  <c r="Q1663" i="3"/>
  <c r="Q1662" i="3"/>
  <c r="Q1661" i="3"/>
  <c r="Q1660" i="3"/>
  <c r="Q1659" i="3"/>
  <c r="Q1658" i="3"/>
  <c r="Q1657" i="3"/>
  <c r="Q1656" i="3"/>
  <c r="Q1655" i="3"/>
  <c r="Q1654" i="3"/>
  <c r="Q1653" i="3"/>
  <c r="Q1652" i="3"/>
  <c r="Q1651" i="3"/>
  <c r="Q1650" i="3"/>
  <c r="Q1649" i="3"/>
  <c r="Q1648" i="3"/>
  <c r="Q1647" i="3"/>
  <c r="Q1646" i="3"/>
  <c r="Q1645" i="3"/>
  <c r="Q1644" i="3"/>
  <c r="Q1643" i="3"/>
  <c r="Q1642" i="3"/>
  <c r="Q1641" i="3"/>
  <c r="Q1640" i="3"/>
  <c r="Q1639" i="3"/>
  <c r="Q1638" i="3"/>
  <c r="Q1637" i="3"/>
  <c r="Q1636" i="3"/>
  <c r="Q1635" i="3"/>
  <c r="Q1634" i="3"/>
  <c r="Q1633" i="3"/>
  <c r="Q1632" i="3"/>
  <c r="Q1631" i="3"/>
  <c r="Q1630" i="3"/>
  <c r="Q1629" i="3"/>
  <c r="Q1628" i="3"/>
  <c r="Q1627" i="3"/>
  <c r="Q1626" i="3"/>
  <c r="Q1625" i="3"/>
  <c r="Q1624" i="3"/>
  <c r="Q1623" i="3"/>
  <c r="Q1622" i="3"/>
  <c r="Q1621" i="3"/>
  <c r="Q1620" i="3"/>
  <c r="Q1619" i="3"/>
  <c r="Q1618" i="3"/>
  <c r="Q1617" i="3"/>
  <c r="Q1616" i="3"/>
  <c r="Q1615" i="3"/>
  <c r="Q1614" i="3"/>
  <c r="Q1613" i="3"/>
  <c r="Q1612" i="3"/>
  <c r="Q1611" i="3"/>
  <c r="Q1610" i="3"/>
  <c r="Q1609" i="3"/>
  <c r="Q1608" i="3"/>
  <c r="Q1607" i="3"/>
  <c r="Q1606" i="3"/>
  <c r="Q1605" i="3"/>
  <c r="Q1604" i="3"/>
  <c r="Q1603" i="3"/>
  <c r="Q1602" i="3"/>
  <c r="Q1601" i="3"/>
  <c r="Q1600" i="3"/>
  <c r="Q1599" i="3"/>
  <c r="Q1598" i="3"/>
  <c r="Q1597" i="3"/>
  <c r="Q1596" i="3"/>
  <c r="Q1595" i="3"/>
  <c r="Q1594" i="3"/>
  <c r="Q1593" i="3"/>
  <c r="Q1592" i="3"/>
  <c r="Q1591" i="3"/>
  <c r="Q1590" i="3"/>
  <c r="Q1589" i="3"/>
  <c r="Q1588" i="3"/>
  <c r="Q1587" i="3"/>
  <c r="Q1586" i="3"/>
  <c r="Q1585" i="3"/>
  <c r="Q1584" i="3"/>
  <c r="Q1583" i="3"/>
  <c r="Q1582" i="3"/>
  <c r="Q1581" i="3"/>
  <c r="Q1580" i="3"/>
  <c r="Q1579" i="3"/>
  <c r="Q1578" i="3"/>
  <c r="Q1577" i="3"/>
  <c r="Q1576" i="3"/>
  <c r="Q1575" i="3"/>
  <c r="Q1574" i="3"/>
  <c r="Q1573" i="3"/>
  <c r="Q1572" i="3"/>
  <c r="Q1571" i="3"/>
  <c r="Q1570" i="3"/>
  <c r="Q1569" i="3"/>
  <c r="Q1568" i="3"/>
  <c r="Q1567" i="3"/>
  <c r="Q1566" i="3"/>
  <c r="Q1565" i="3"/>
  <c r="Q1564" i="3"/>
  <c r="Q1563" i="3"/>
  <c r="Q1562" i="3"/>
  <c r="Q1561" i="3"/>
  <c r="Q1560" i="3"/>
  <c r="Q1559" i="3"/>
  <c r="Q1558" i="3"/>
  <c r="Q1557" i="3"/>
  <c r="Q1556" i="3"/>
  <c r="Q1555" i="3"/>
  <c r="Q1554" i="3"/>
  <c r="Q1553" i="3"/>
  <c r="Q1552" i="3"/>
  <c r="Q1551" i="3"/>
  <c r="Q1550" i="3"/>
  <c r="Q1549" i="3"/>
  <c r="Q1548" i="3"/>
  <c r="Q1547" i="3"/>
  <c r="Q1546" i="3"/>
  <c r="Q1545" i="3"/>
  <c r="Q1544" i="3"/>
  <c r="Q1543" i="3"/>
  <c r="Q1542" i="3"/>
  <c r="Q1541" i="3"/>
  <c r="Q1540" i="3"/>
  <c r="Q1539" i="3"/>
  <c r="Q1538" i="3"/>
  <c r="Q1537" i="3"/>
  <c r="Q1536" i="3"/>
  <c r="Q1535" i="3"/>
  <c r="Q1534" i="3"/>
  <c r="Q1533" i="3"/>
  <c r="Q1532" i="3"/>
  <c r="Q1531" i="3"/>
  <c r="Q1530" i="3"/>
  <c r="Q1529" i="3"/>
  <c r="Q1528" i="3"/>
  <c r="Q1527" i="3"/>
  <c r="Q1526" i="3"/>
  <c r="Q1525" i="3"/>
  <c r="Q1524" i="3"/>
  <c r="Q1523" i="3"/>
  <c r="Q1522" i="3"/>
  <c r="Q1521" i="3"/>
  <c r="Q1520" i="3"/>
  <c r="Q1519" i="3"/>
  <c r="Q1518" i="3"/>
  <c r="Q1517" i="3"/>
  <c r="Q1516" i="3"/>
  <c r="Q1515" i="3"/>
  <c r="Q1514" i="3"/>
  <c r="Q1513" i="3"/>
  <c r="Q1512" i="3"/>
  <c r="Q1511" i="3"/>
  <c r="Q1510" i="3"/>
  <c r="Q1509" i="3"/>
  <c r="Q1508" i="3"/>
  <c r="Q1507" i="3"/>
  <c r="Q1506" i="3"/>
  <c r="Q1505" i="3"/>
  <c r="Q1504" i="3"/>
  <c r="Q1503" i="3"/>
  <c r="Q1502" i="3"/>
  <c r="Q1501" i="3"/>
  <c r="Q1500" i="3"/>
  <c r="Q1499" i="3"/>
  <c r="Q1498" i="3"/>
  <c r="Q1497" i="3"/>
  <c r="Q1496" i="3"/>
  <c r="Q1495" i="3"/>
  <c r="Q1494" i="3"/>
  <c r="Q1493" i="3"/>
  <c r="Q1492" i="3"/>
  <c r="Q1491" i="3"/>
  <c r="Q1490" i="3"/>
  <c r="Q1489" i="3"/>
  <c r="Q1488" i="3"/>
  <c r="Q1487" i="3"/>
  <c r="Q1486" i="3"/>
  <c r="Q1485" i="3"/>
  <c r="Q1484" i="3"/>
  <c r="Q1483" i="3"/>
  <c r="Q1482" i="3"/>
  <c r="Q1481" i="3"/>
  <c r="Q1480" i="3"/>
  <c r="Q1479" i="3"/>
  <c r="Q1478" i="3"/>
  <c r="Q1477" i="3"/>
  <c r="Q1476" i="3"/>
  <c r="Q1475" i="3"/>
  <c r="Q1474" i="3"/>
  <c r="Q1473" i="3"/>
  <c r="Q1472" i="3"/>
  <c r="Q1471" i="3"/>
  <c r="Q1470" i="3"/>
  <c r="Q1469" i="3"/>
  <c r="Q1468" i="3"/>
  <c r="Q1467" i="3"/>
  <c r="Q1466" i="3"/>
  <c r="Q1465" i="3"/>
  <c r="Q1464" i="3"/>
  <c r="Q1463" i="3"/>
  <c r="Q1462" i="3"/>
  <c r="Q1461" i="3"/>
  <c r="Q1460" i="3"/>
  <c r="Q1459" i="3"/>
  <c r="Q1458" i="3"/>
  <c r="Q1457" i="3"/>
  <c r="Q1456" i="3"/>
  <c r="Q1455" i="3"/>
  <c r="Q1454" i="3"/>
  <c r="Q1453" i="3"/>
  <c r="Q1452" i="3"/>
  <c r="Q1451" i="3"/>
  <c r="Q1450" i="3"/>
  <c r="Q1449" i="3"/>
  <c r="Q1448" i="3"/>
  <c r="Q1447" i="3"/>
  <c r="Q1446" i="3"/>
  <c r="Q1445" i="3"/>
  <c r="Q1444" i="3"/>
  <c r="Q1443" i="3"/>
  <c r="Q1442" i="3"/>
  <c r="Q1441" i="3"/>
  <c r="Q1440" i="3"/>
  <c r="Q1439" i="3"/>
  <c r="Q1438" i="3"/>
  <c r="Q1437" i="3"/>
  <c r="Q1436" i="3"/>
  <c r="Q1435" i="3"/>
  <c r="Q1434" i="3"/>
  <c r="Q1433" i="3"/>
  <c r="Q1432" i="3"/>
  <c r="Q1431" i="3"/>
  <c r="Q1430" i="3"/>
  <c r="Q1429" i="3"/>
  <c r="Q1428" i="3"/>
  <c r="Q1427" i="3"/>
  <c r="Q1426" i="3"/>
  <c r="Q1425" i="3"/>
  <c r="Q1424" i="3"/>
  <c r="Q1423" i="3"/>
  <c r="Q1422" i="3"/>
  <c r="Q1421" i="3"/>
  <c r="Q1420" i="3"/>
  <c r="Q1419" i="3"/>
  <c r="Q1418" i="3"/>
  <c r="Q1417" i="3"/>
  <c r="Q1416" i="3"/>
  <c r="Q1415" i="3"/>
  <c r="Q1414" i="3"/>
  <c r="Q1413" i="3"/>
  <c r="Q1412" i="3"/>
  <c r="Q1411" i="3"/>
  <c r="Q1410" i="3"/>
  <c r="Q1409" i="3"/>
  <c r="Q1408" i="3"/>
  <c r="Q1407" i="3"/>
  <c r="Q1406" i="3"/>
  <c r="Q1405" i="3"/>
  <c r="Q1404" i="3"/>
  <c r="Q1403" i="3"/>
  <c r="Q1402" i="3"/>
  <c r="Q1401" i="3"/>
  <c r="Q1400" i="3"/>
  <c r="Q1399" i="3"/>
  <c r="Q1398" i="3"/>
  <c r="Q1397" i="3"/>
  <c r="Q1396" i="3"/>
  <c r="Q1395" i="3"/>
  <c r="Q1394" i="3"/>
  <c r="Q1393" i="3"/>
  <c r="Q1392" i="3"/>
  <c r="Q1391" i="3"/>
  <c r="Q1390" i="3"/>
  <c r="Q1389" i="3"/>
  <c r="Q1388" i="3"/>
  <c r="Q1387" i="3"/>
  <c r="Q1386" i="3"/>
  <c r="Q1385" i="3"/>
  <c r="Q1384" i="3"/>
  <c r="Q1383" i="3"/>
  <c r="Q1382" i="3"/>
  <c r="Q1381" i="3"/>
  <c r="Q1380" i="3"/>
  <c r="Q1379" i="3"/>
  <c r="Q1378" i="3"/>
  <c r="Q1377" i="3"/>
  <c r="Q1376" i="3"/>
  <c r="Q1375" i="3"/>
  <c r="Q1374" i="3"/>
  <c r="Q1373" i="3"/>
  <c r="Q1372" i="3"/>
  <c r="Q1371" i="3"/>
  <c r="Q1370" i="3"/>
  <c r="Q1369" i="3"/>
  <c r="Q1368" i="3"/>
  <c r="Q1367" i="3"/>
  <c r="Q1366" i="3"/>
  <c r="Q1365" i="3"/>
  <c r="Q1364" i="3"/>
  <c r="Q1363" i="3"/>
  <c r="Q1362" i="3"/>
  <c r="Q1361" i="3"/>
  <c r="Q1360" i="3"/>
  <c r="Q1359" i="3"/>
  <c r="Q1358" i="3"/>
  <c r="Q1357" i="3"/>
  <c r="Q1356" i="3"/>
  <c r="Q1355" i="3"/>
  <c r="Q1354" i="3"/>
  <c r="Q1353" i="3"/>
  <c r="Q1352" i="3"/>
  <c r="Q1351" i="3"/>
  <c r="Q1350" i="3"/>
  <c r="Q1349" i="3"/>
  <c r="Q1348" i="3"/>
  <c r="Q1347" i="3"/>
  <c r="Q1346" i="3"/>
  <c r="Q1345" i="3"/>
  <c r="Q1344" i="3"/>
  <c r="Q1343" i="3"/>
  <c r="Q1342" i="3"/>
  <c r="Q1341" i="3"/>
  <c r="Q1340" i="3"/>
  <c r="Q1339" i="3"/>
  <c r="Q1338" i="3"/>
  <c r="Q1337" i="3"/>
  <c r="Q1336" i="3"/>
  <c r="Q1335" i="3"/>
  <c r="Q1334" i="3"/>
  <c r="Q1333" i="3"/>
  <c r="Q1332" i="3"/>
  <c r="Q1331" i="3"/>
  <c r="Q1330" i="3"/>
  <c r="Q1329" i="3"/>
  <c r="Q1328" i="3"/>
  <c r="Q1327" i="3"/>
  <c r="Q1326" i="3"/>
  <c r="Q1325" i="3"/>
  <c r="Q1324" i="3"/>
  <c r="Q1323" i="3"/>
  <c r="Q1322" i="3"/>
  <c r="Q1321" i="3"/>
  <c r="Q1320" i="3"/>
  <c r="Q1319" i="3"/>
  <c r="Q1318" i="3"/>
  <c r="Q1317" i="3"/>
  <c r="Q1316" i="3"/>
  <c r="Q1315" i="3"/>
  <c r="Q1314" i="3"/>
  <c r="Q1313" i="3"/>
  <c r="Q1312" i="3"/>
  <c r="Q1311" i="3"/>
  <c r="Q1310" i="3"/>
  <c r="Q1309" i="3"/>
  <c r="Q1308" i="3"/>
  <c r="Q1307" i="3"/>
  <c r="Q1306" i="3"/>
  <c r="Q1305" i="3"/>
  <c r="Q1304" i="3"/>
  <c r="Q1303" i="3"/>
  <c r="Q1302" i="3"/>
  <c r="Q1301" i="3"/>
  <c r="Q1300" i="3"/>
  <c r="Q1299" i="3"/>
  <c r="Q1298" i="3"/>
  <c r="Q1297" i="3"/>
  <c r="Q1296" i="3"/>
  <c r="Q1295" i="3"/>
  <c r="Q1294" i="3"/>
  <c r="Q1293" i="3"/>
  <c r="Q1292" i="3"/>
  <c r="Q1291" i="3"/>
  <c r="Q1290" i="3"/>
  <c r="Q1289" i="3"/>
  <c r="Q1288" i="3"/>
  <c r="Q1287" i="3"/>
  <c r="Q1286" i="3"/>
  <c r="Q1285" i="3"/>
  <c r="Q1284" i="3"/>
  <c r="Q1283" i="3"/>
  <c r="Q1282" i="3"/>
  <c r="Q1281" i="3"/>
  <c r="Q1280" i="3"/>
  <c r="Q1279" i="3"/>
  <c r="Q1278" i="3"/>
  <c r="Q1277" i="3"/>
  <c r="Q1276" i="3"/>
  <c r="Q1275" i="3"/>
  <c r="Q1274" i="3"/>
  <c r="Q1273" i="3"/>
  <c r="Q1272" i="3"/>
  <c r="Q1271" i="3"/>
  <c r="Q1270" i="3"/>
  <c r="Q1269" i="3"/>
  <c r="Q1268" i="3"/>
  <c r="Q1267" i="3"/>
  <c r="Q1266" i="3"/>
  <c r="Q1265" i="3"/>
  <c r="Q1264" i="3"/>
  <c r="Q1263" i="3"/>
  <c r="Q1262" i="3"/>
  <c r="Q1261" i="3"/>
  <c r="Q1260" i="3"/>
  <c r="Q1259" i="3"/>
  <c r="Q1258" i="3"/>
  <c r="Q1257" i="3"/>
  <c r="Q1256" i="3"/>
  <c r="Q1255" i="3"/>
  <c r="Q1254" i="3"/>
  <c r="Q1253" i="3"/>
  <c r="Q1252" i="3"/>
  <c r="Q1251" i="3"/>
  <c r="Q1250" i="3"/>
  <c r="Q1249" i="3"/>
  <c r="Q1248" i="3"/>
  <c r="Q1247" i="3"/>
  <c r="Q1246" i="3"/>
  <c r="Q1245" i="3"/>
  <c r="Q1244" i="3"/>
  <c r="Q1243" i="3"/>
  <c r="Q1242" i="3"/>
  <c r="Q1241" i="3"/>
  <c r="Q1240" i="3"/>
  <c r="Q1239" i="3"/>
  <c r="Q1238" i="3"/>
  <c r="Q1237" i="3"/>
  <c r="Q1236" i="3"/>
  <c r="Q1235" i="3"/>
  <c r="Q1234" i="3"/>
  <c r="Q1233" i="3"/>
  <c r="Q1232" i="3"/>
  <c r="Q1231" i="3"/>
  <c r="Q1230" i="3"/>
  <c r="Q1229" i="3"/>
  <c r="Q1228" i="3"/>
  <c r="Q1227" i="3"/>
  <c r="Q1226" i="3"/>
  <c r="Q1225" i="3"/>
  <c r="Q1224" i="3"/>
  <c r="Q1223" i="3"/>
  <c r="Q1222" i="3"/>
  <c r="Q1221" i="3"/>
  <c r="Q1220" i="3"/>
  <c r="Q1219" i="3"/>
  <c r="Q1218" i="3"/>
  <c r="Q1217" i="3"/>
  <c r="Q1216" i="3"/>
  <c r="Q1215" i="3"/>
  <c r="Q1214" i="3"/>
  <c r="Q1213" i="3"/>
  <c r="Q1212" i="3"/>
  <c r="Q1211" i="3"/>
  <c r="Q1210" i="3"/>
  <c r="Q1209" i="3"/>
  <c r="Q1208" i="3"/>
  <c r="Q1207" i="3"/>
  <c r="Q1206" i="3"/>
  <c r="Q1205" i="3"/>
  <c r="Q1204" i="3"/>
  <c r="Q1203" i="3"/>
  <c r="Q1202" i="3"/>
  <c r="Q1201" i="3"/>
  <c r="Q1200" i="3"/>
  <c r="Q1199" i="3"/>
  <c r="Q1198" i="3"/>
  <c r="Q1197" i="3"/>
  <c r="Q1196" i="3"/>
  <c r="Q1195" i="3"/>
  <c r="Q1194" i="3"/>
  <c r="Q1193" i="3"/>
  <c r="Q1192" i="3"/>
  <c r="Q1191" i="3"/>
  <c r="Q1190" i="3"/>
  <c r="Q1189" i="3"/>
  <c r="Q1188" i="3"/>
  <c r="Q1187" i="3"/>
  <c r="Q1186" i="3"/>
  <c r="Q1185" i="3"/>
  <c r="Q1184" i="3"/>
  <c r="Q1183" i="3"/>
  <c r="Q1182" i="3"/>
  <c r="Q1181" i="3"/>
  <c r="Q1180" i="3"/>
  <c r="Q1179" i="3"/>
  <c r="Q1178" i="3"/>
  <c r="Q1177" i="3"/>
  <c r="Q1176" i="3"/>
  <c r="Q1175" i="3"/>
  <c r="Q1174" i="3"/>
  <c r="Q1173" i="3"/>
  <c r="Q1172" i="3"/>
  <c r="Q1171" i="3"/>
  <c r="Q1170" i="3"/>
  <c r="Q1169" i="3"/>
  <c r="Q1168" i="3"/>
  <c r="Q1167" i="3"/>
  <c r="Q1166" i="3"/>
  <c r="Q1165" i="3"/>
  <c r="Q1164" i="3"/>
  <c r="Q1163" i="3"/>
  <c r="Q1162" i="3"/>
  <c r="Q1161" i="3"/>
  <c r="Q1160" i="3"/>
  <c r="Q1159" i="3"/>
  <c r="Q1158" i="3"/>
  <c r="Q1157" i="3"/>
  <c r="Q1156" i="3"/>
  <c r="Q1155" i="3"/>
  <c r="Q1154" i="3"/>
  <c r="Q1153" i="3"/>
  <c r="Q1152" i="3"/>
  <c r="Q1151" i="3"/>
  <c r="Q1150" i="3"/>
  <c r="Q1149" i="3"/>
  <c r="Q1148" i="3"/>
  <c r="Q1147" i="3"/>
  <c r="Q1146" i="3"/>
  <c r="Q1145" i="3"/>
  <c r="Q1144" i="3"/>
  <c r="Q1143" i="3"/>
  <c r="Q1142" i="3"/>
  <c r="Q1141" i="3"/>
  <c r="Q1140" i="3"/>
  <c r="Q1139" i="3"/>
  <c r="Q1138" i="3"/>
  <c r="Q1137" i="3"/>
  <c r="Q1136" i="3"/>
  <c r="Q1135" i="3"/>
  <c r="Q1134" i="3"/>
  <c r="Q1133" i="3"/>
  <c r="Q1132" i="3"/>
  <c r="Q1131" i="3"/>
  <c r="Q1130" i="3"/>
  <c r="Q1129" i="3"/>
  <c r="Q1128" i="3"/>
  <c r="Q1127" i="3"/>
  <c r="Q1126" i="3"/>
  <c r="Q1125" i="3"/>
  <c r="Q1124" i="3"/>
  <c r="Q1123" i="3"/>
  <c r="Q1122" i="3"/>
  <c r="Q1121" i="3"/>
  <c r="Q1120" i="3"/>
  <c r="Q1119" i="3"/>
  <c r="Q1118" i="3"/>
  <c r="Q1117" i="3"/>
  <c r="Q1116" i="3"/>
  <c r="Q1115" i="3"/>
  <c r="Q1114" i="3"/>
  <c r="Q1113" i="3"/>
  <c r="Q1112" i="3"/>
  <c r="Q1111" i="3"/>
  <c r="Q1110" i="3"/>
  <c r="Q1109" i="3"/>
  <c r="Q1108" i="3"/>
  <c r="Q1107" i="3"/>
  <c r="Q1106" i="3"/>
  <c r="Q1105" i="3"/>
  <c r="Q1104" i="3"/>
  <c r="Q1103" i="3"/>
  <c r="Q1102" i="3"/>
  <c r="Q1101" i="3"/>
  <c r="Q1100" i="3"/>
  <c r="Q1099" i="3"/>
  <c r="Q1098" i="3"/>
  <c r="Q1097" i="3"/>
  <c r="Q1096" i="3"/>
  <c r="Q1095" i="3"/>
  <c r="Q1094" i="3"/>
  <c r="Q1093" i="3"/>
  <c r="Q1092" i="3"/>
  <c r="Q1091" i="3"/>
  <c r="Q1090" i="3"/>
  <c r="Q1089" i="3"/>
  <c r="Q1088" i="3"/>
  <c r="Q1087" i="3"/>
  <c r="Q1086" i="3"/>
  <c r="Q1085" i="3"/>
  <c r="Q1084" i="3"/>
  <c r="Q1083" i="3"/>
  <c r="Q1082" i="3"/>
  <c r="Q1081" i="3"/>
  <c r="Q1080" i="3"/>
  <c r="Q1079" i="3"/>
  <c r="Q1078" i="3"/>
  <c r="Q1077" i="3"/>
  <c r="Q1076" i="3"/>
  <c r="Q1075" i="3"/>
  <c r="Q1074" i="3"/>
  <c r="Q1073" i="3"/>
  <c r="Q1072" i="3"/>
  <c r="Q1071" i="3"/>
  <c r="Q1070" i="3"/>
  <c r="Q1069" i="3"/>
  <c r="Q1068" i="3"/>
  <c r="Q1067" i="3"/>
  <c r="Q1066" i="3"/>
  <c r="Q1065" i="3"/>
  <c r="Q1064" i="3"/>
  <c r="Q1063" i="3"/>
  <c r="Q1062" i="3"/>
  <c r="Q1061" i="3"/>
  <c r="Q1060" i="3"/>
  <c r="Q1059" i="3"/>
  <c r="Q1058" i="3"/>
  <c r="Q1057" i="3"/>
  <c r="Q1056" i="3"/>
  <c r="Q1055" i="3"/>
  <c r="Q1054" i="3"/>
  <c r="Q1053" i="3"/>
  <c r="Q1052" i="3"/>
  <c r="Q1051" i="3"/>
  <c r="Q1050" i="3"/>
  <c r="Q1049" i="3"/>
  <c r="Q1048" i="3"/>
  <c r="Q1047" i="3"/>
  <c r="Q1046" i="3"/>
  <c r="Q1045" i="3"/>
  <c r="Q1044" i="3"/>
  <c r="Q1043" i="3"/>
  <c r="Q1042" i="3"/>
  <c r="Q1041" i="3"/>
  <c r="Q1040" i="3"/>
  <c r="Q1039" i="3"/>
  <c r="Q1038" i="3"/>
  <c r="Q1037" i="3"/>
  <c r="Q1036" i="3"/>
  <c r="Q1035" i="3"/>
  <c r="Q1034" i="3"/>
  <c r="Q1033" i="3"/>
  <c r="Q1032" i="3"/>
  <c r="Q1031" i="3"/>
  <c r="Q1030" i="3"/>
  <c r="Q1029" i="3"/>
  <c r="Q1028" i="3"/>
  <c r="Q1027" i="3"/>
  <c r="Q1026" i="3"/>
  <c r="Q1025" i="3"/>
  <c r="Q1024" i="3"/>
  <c r="Q1023" i="3"/>
  <c r="Q1022" i="3"/>
  <c r="Q1021" i="3"/>
  <c r="Q1020" i="3"/>
  <c r="Q1019" i="3"/>
  <c r="Q1018" i="3"/>
  <c r="Q1017" i="3"/>
  <c r="Q1016" i="3"/>
  <c r="Q1015" i="3"/>
  <c r="Q1014" i="3"/>
  <c r="Q1013" i="3"/>
  <c r="Q1012" i="3"/>
  <c r="Q1011" i="3"/>
  <c r="Q1010" i="3"/>
  <c r="Q1009" i="3"/>
  <c r="Q1008" i="3"/>
  <c r="Q1007" i="3"/>
  <c r="Q1006" i="3"/>
  <c r="Q1005" i="3"/>
  <c r="Q1004" i="3"/>
  <c r="Q1003" i="3"/>
  <c r="Q1002" i="3"/>
  <c r="Q1001" i="3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3" i="3"/>
  <c r="Q972" i="3"/>
  <c r="Q971" i="3"/>
  <c r="Q970" i="3"/>
  <c r="Q969" i="3"/>
  <c r="Q968" i="3"/>
  <c r="Q967" i="3"/>
  <c r="Q966" i="3"/>
  <c r="Q965" i="3"/>
  <c r="Q964" i="3"/>
  <c r="Q963" i="3"/>
  <c r="Q962" i="3"/>
  <c r="Q961" i="3"/>
  <c r="Q960" i="3"/>
  <c r="Q959" i="3"/>
  <c r="Q958" i="3"/>
  <c r="Q957" i="3"/>
  <c r="Q956" i="3"/>
  <c r="Q955" i="3"/>
  <c r="Q954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L2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J245" i="3" l="1"/>
  <c r="I245" i="3"/>
  <c r="J357" i="3"/>
  <c r="I357" i="3"/>
  <c r="I469" i="3"/>
  <c r="J469" i="3"/>
  <c r="J549" i="3"/>
  <c r="I549" i="3"/>
  <c r="I645" i="3"/>
  <c r="J645" i="3"/>
  <c r="J837" i="3"/>
  <c r="I837" i="3"/>
  <c r="J949" i="3"/>
  <c r="I949" i="3"/>
  <c r="J1061" i="3"/>
  <c r="I1061" i="3"/>
  <c r="J1173" i="3"/>
  <c r="I1173" i="3"/>
  <c r="J1285" i="3"/>
  <c r="I1285" i="3"/>
  <c r="J1397" i="3"/>
  <c r="I1397" i="3"/>
  <c r="J1493" i="3"/>
  <c r="I1493" i="3"/>
  <c r="J1637" i="3"/>
  <c r="I1637" i="3"/>
  <c r="I1733" i="3"/>
  <c r="J1733" i="3"/>
  <c r="J1893" i="3"/>
  <c r="I1893" i="3"/>
  <c r="I70" i="3"/>
  <c r="J70" i="3"/>
  <c r="J182" i="3"/>
  <c r="I182" i="3"/>
  <c r="J437" i="3"/>
  <c r="J37" i="3"/>
  <c r="I37" i="3"/>
  <c r="J181" i="3"/>
  <c r="I181" i="3"/>
  <c r="J789" i="3"/>
  <c r="I789" i="3"/>
  <c r="J901" i="3"/>
  <c r="I901" i="3"/>
  <c r="J997" i="3"/>
  <c r="I997" i="3"/>
  <c r="J1109" i="3"/>
  <c r="I1109" i="3"/>
  <c r="J1221" i="3"/>
  <c r="I1221" i="3"/>
  <c r="J1349" i="3"/>
  <c r="I1349" i="3"/>
  <c r="J1461" i="3"/>
  <c r="I1461" i="3"/>
  <c r="J1573" i="3"/>
  <c r="I1573" i="3"/>
  <c r="J1669" i="3"/>
  <c r="I1669" i="3"/>
  <c r="J1749" i="3"/>
  <c r="I1749" i="3"/>
  <c r="J1829" i="3"/>
  <c r="I1829" i="3"/>
  <c r="J1925" i="3"/>
  <c r="I1925" i="3"/>
  <c r="J2021" i="3"/>
  <c r="I2021" i="3"/>
  <c r="I166" i="3"/>
  <c r="J166" i="3"/>
  <c r="J278" i="3"/>
  <c r="I278" i="3"/>
  <c r="J438" i="3"/>
  <c r="I438" i="3"/>
  <c r="I581" i="3"/>
  <c r="I6" i="3"/>
  <c r="J85" i="3"/>
  <c r="J69" i="3"/>
  <c r="I69" i="3"/>
  <c r="I149" i="3"/>
  <c r="J149" i="3"/>
  <c r="I261" i="3"/>
  <c r="J261" i="3"/>
  <c r="J341" i="3"/>
  <c r="I341" i="3"/>
  <c r="J421" i="3"/>
  <c r="I421" i="3"/>
  <c r="J501" i="3"/>
  <c r="I501" i="3"/>
  <c r="J597" i="3"/>
  <c r="I597" i="3"/>
  <c r="J693" i="3"/>
  <c r="I693" i="3"/>
  <c r="J805" i="3"/>
  <c r="I805" i="3"/>
  <c r="J917" i="3"/>
  <c r="I917" i="3"/>
  <c r="J1045" i="3"/>
  <c r="I1045" i="3"/>
  <c r="J1157" i="3"/>
  <c r="I1157" i="3"/>
  <c r="I1269" i="3"/>
  <c r="J1269" i="3"/>
  <c r="I1381" i="3"/>
  <c r="J1381" i="3"/>
  <c r="I1557" i="3"/>
  <c r="J1557" i="3"/>
  <c r="I2085" i="3"/>
  <c r="J2085" i="3"/>
  <c r="J2149" i="3"/>
  <c r="I2149" i="3"/>
  <c r="J102" i="3"/>
  <c r="I102" i="3"/>
  <c r="I198" i="3"/>
  <c r="J198" i="3"/>
  <c r="J310" i="3"/>
  <c r="I310" i="3"/>
  <c r="I86" i="3"/>
  <c r="I197" i="3"/>
  <c r="J197" i="3"/>
  <c r="J309" i="3"/>
  <c r="I309" i="3"/>
  <c r="J533" i="3"/>
  <c r="I533" i="3"/>
  <c r="J629" i="3"/>
  <c r="I629" i="3"/>
  <c r="I741" i="3"/>
  <c r="J741" i="3"/>
  <c r="J853" i="3"/>
  <c r="I853" i="3"/>
  <c r="J981" i="3"/>
  <c r="I981" i="3"/>
  <c r="J1093" i="3"/>
  <c r="I1093" i="3"/>
  <c r="J1205" i="3"/>
  <c r="I1205" i="3"/>
  <c r="J1317" i="3"/>
  <c r="I1317" i="3"/>
  <c r="J1445" i="3"/>
  <c r="I1445" i="3"/>
  <c r="J1541" i="3"/>
  <c r="I1541" i="3"/>
  <c r="J1621" i="3"/>
  <c r="I1621" i="3"/>
  <c r="J1717" i="3"/>
  <c r="I1717" i="3"/>
  <c r="I1813" i="3"/>
  <c r="J1813" i="3"/>
  <c r="J1909" i="3"/>
  <c r="I1909" i="3"/>
  <c r="J1989" i="3"/>
  <c r="I1989" i="3"/>
  <c r="J2069" i="3"/>
  <c r="I2069" i="3"/>
  <c r="J2165" i="3"/>
  <c r="I2165" i="3"/>
  <c r="J54" i="3"/>
  <c r="I54" i="3"/>
  <c r="I294" i="3"/>
  <c r="J294" i="3"/>
  <c r="I2197" i="3"/>
  <c r="I1653" i="3"/>
  <c r="J5" i="3"/>
  <c r="I5" i="3"/>
  <c r="J117" i="3"/>
  <c r="I117" i="3"/>
  <c r="I229" i="3"/>
  <c r="J229" i="3"/>
  <c r="J325" i="3"/>
  <c r="I325" i="3"/>
  <c r="J405" i="3"/>
  <c r="I405" i="3"/>
  <c r="J485" i="3"/>
  <c r="I485" i="3"/>
  <c r="J565" i="3"/>
  <c r="I565" i="3"/>
  <c r="J661" i="3"/>
  <c r="I661" i="3"/>
  <c r="J773" i="3"/>
  <c r="I773" i="3"/>
  <c r="J885" i="3"/>
  <c r="I885" i="3"/>
  <c r="J1013" i="3"/>
  <c r="I1013" i="3"/>
  <c r="J1141" i="3"/>
  <c r="I1141" i="3"/>
  <c r="J1253" i="3"/>
  <c r="I1253" i="3"/>
  <c r="J1365" i="3"/>
  <c r="I1365" i="3"/>
  <c r="J1477" i="3"/>
  <c r="I1477" i="3"/>
  <c r="I1765" i="3"/>
  <c r="J1765" i="3"/>
  <c r="J1877" i="3"/>
  <c r="I1877" i="3"/>
  <c r="J1957" i="3"/>
  <c r="I1957" i="3"/>
  <c r="J2037" i="3"/>
  <c r="I2037" i="3"/>
  <c r="J2117" i="3"/>
  <c r="I2117" i="3"/>
  <c r="J2213" i="3"/>
  <c r="I2213" i="3"/>
  <c r="J230" i="3"/>
  <c r="I230" i="3"/>
  <c r="I374" i="3"/>
  <c r="J374" i="3"/>
  <c r="I53" i="3"/>
  <c r="J53" i="3"/>
  <c r="J293" i="3"/>
  <c r="I293" i="3"/>
  <c r="I373" i="3"/>
  <c r="J373" i="3"/>
  <c r="J453" i="3"/>
  <c r="I453" i="3"/>
  <c r="I517" i="3"/>
  <c r="J517" i="3"/>
  <c r="J613" i="3"/>
  <c r="I613" i="3"/>
  <c r="J709" i="3"/>
  <c r="I709" i="3"/>
  <c r="I821" i="3"/>
  <c r="J821" i="3"/>
  <c r="J933" i="3"/>
  <c r="I933" i="3"/>
  <c r="I1029" i="3"/>
  <c r="J1029" i="3"/>
  <c r="J1125" i="3"/>
  <c r="I1125" i="3"/>
  <c r="J1237" i="3"/>
  <c r="I1237" i="3"/>
  <c r="I1333" i="3"/>
  <c r="J1333" i="3"/>
  <c r="J1429" i="3"/>
  <c r="I1429" i="3"/>
  <c r="J1525" i="3"/>
  <c r="I1525" i="3"/>
  <c r="I1589" i="3"/>
  <c r="J1589" i="3"/>
  <c r="J1685" i="3"/>
  <c r="I1685" i="3"/>
  <c r="J1781" i="3"/>
  <c r="I1781" i="3"/>
  <c r="I1845" i="3"/>
  <c r="J1845" i="3"/>
  <c r="J1941" i="3"/>
  <c r="I1941" i="3"/>
  <c r="J2005" i="3"/>
  <c r="I2005" i="3"/>
  <c r="J2101" i="3"/>
  <c r="I2101" i="3"/>
  <c r="I2181" i="3"/>
  <c r="J2181" i="3"/>
  <c r="J38" i="3"/>
  <c r="I38" i="3"/>
  <c r="I118" i="3"/>
  <c r="J118" i="3"/>
  <c r="I214" i="3"/>
  <c r="J214" i="3"/>
  <c r="J342" i="3"/>
  <c r="I342" i="3"/>
  <c r="I213" i="3"/>
  <c r="I725" i="3"/>
  <c r="J21" i="3"/>
  <c r="I21" i="3"/>
  <c r="J101" i="3"/>
  <c r="I101" i="3"/>
  <c r="I165" i="3"/>
  <c r="J165" i="3"/>
  <c r="J277" i="3"/>
  <c r="I277" i="3"/>
  <c r="J389" i="3"/>
  <c r="I389" i="3"/>
  <c r="J677" i="3"/>
  <c r="I677" i="3"/>
  <c r="J757" i="3"/>
  <c r="I757" i="3"/>
  <c r="J869" i="3"/>
  <c r="I869" i="3"/>
  <c r="J965" i="3"/>
  <c r="I965" i="3"/>
  <c r="J1077" i="3"/>
  <c r="I1077" i="3"/>
  <c r="J1189" i="3"/>
  <c r="I1189" i="3"/>
  <c r="I1301" i="3"/>
  <c r="J1301" i="3"/>
  <c r="J1413" i="3"/>
  <c r="I1413" i="3"/>
  <c r="J1509" i="3"/>
  <c r="I1509" i="3"/>
  <c r="J1605" i="3"/>
  <c r="I1605" i="3"/>
  <c r="I1701" i="3"/>
  <c r="J1701" i="3"/>
  <c r="J1797" i="3"/>
  <c r="I1797" i="3"/>
  <c r="J1861" i="3"/>
  <c r="I1861" i="3"/>
  <c r="I1973" i="3"/>
  <c r="J1973" i="3"/>
  <c r="J2053" i="3"/>
  <c r="I2053" i="3"/>
  <c r="J2133" i="3"/>
  <c r="I2133" i="3"/>
  <c r="J2229" i="3"/>
  <c r="I2229" i="3"/>
  <c r="J22" i="3"/>
  <c r="I22" i="3"/>
  <c r="J150" i="3"/>
  <c r="I150" i="3"/>
  <c r="J246" i="3"/>
  <c r="I246" i="3"/>
  <c r="J326" i="3"/>
  <c r="I326" i="3"/>
  <c r="J2245" i="3"/>
  <c r="I2245" i="3"/>
  <c r="J2261" i="3"/>
  <c r="I2261" i="3"/>
  <c r="I2277" i="3"/>
  <c r="J2277" i="3"/>
  <c r="J2293" i="3"/>
  <c r="I2293" i="3"/>
  <c r="J2309" i="3"/>
  <c r="I2309" i="3"/>
  <c r="J2325" i="3"/>
  <c r="I2325" i="3"/>
  <c r="J2341" i="3"/>
  <c r="I2341" i="3"/>
  <c r="J2357" i="3"/>
  <c r="I2357" i="3"/>
  <c r="J2373" i="3"/>
  <c r="I2373" i="3"/>
  <c r="J2421" i="3"/>
  <c r="I2421" i="3"/>
  <c r="J2437" i="3"/>
  <c r="I2437" i="3"/>
  <c r="J2453" i="3"/>
  <c r="I2453" i="3"/>
  <c r="J2485" i="3"/>
  <c r="I2485" i="3"/>
  <c r="J550" i="3"/>
  <c r="I550" i="3"/>
  <c r="J934" i="3"/>
  <c r="I934" i="3"/>
  <c r="J1030" i="3"/>
  <c r="I1030" i="3"/>
  <c r="I1254" i="3"/>
  <c r="J1254" i="3"/>
  <c r="J1350" i="3"/>
  <c r="I1350" i="3"/>
  <c r="I1622" i="3"/>
  <c r="J1622" i="3"/>
  <c r="J1702" i="3"/>
  <c r="I1702" i="3"/>
  <c r="I1798" i="3"/>
  <c r="J1798" i="3"/>
  <c r="I1910" i="3"/>
  <c r="J1910" i="3"/>
  <c r="I2006" i="3"/>
  <c r="J2006" i="3"/>
  <c r="I2102" i="3"/>
  <c r="J2102" i="3"/>
  <c r="I2182" i="3"/>
  <c r="J2182" i="3"/>
  <c r="I2262" i="3"/>
  <c r="J2262" i="3"/>
  <c r="I2294" i="3"/>
  <c r="J2294" i="3"/>
  <c r="I2358" i="3"/>
  <c r="J2358" i="3"/>
  <c r="I2422" i="3"/>
  <c r="J2422" i="3"/>
  <c r="I726" i="3"/>
  <c r="J599" i="3"/>
  <c r="I599" i="3"/>
  <c r="J679" i="3"/>
  <c r="I679" i="3"/>
  <c r="J759" i="3"/>
  <c r="I759" i="3"/>
  <c r="J871" i="3"/>
  <c r="I871" i="3"/>
  <c r="J1031" i="3"/>
  <c r="I1031" i="3"/>
  <c r="J1143" i="3"/>
  <c r="I1143" i="3"/>
  <c r="J1415" i="3"/>
  <c r="I1415" i="3"/>
  <c r="J1527" i="3"/>
  <c r="I1527" i="3"/>
  <c r="I1623" i="3"/>
  <c r="J1623" i="3"/>
  <c r="J1719" i="3"/>
  <c r="I1719" i="3"/>
  <c r="J1831" i="3"/>
  <c r="I1831" i="3"/>
  <c r="J1927" i="3"/>
  <c r="I1927" i="3"/>
  <c r="J2023" i="3"/>
  <c r="I2023" i="3"/>
  <c r="J2135" i="3"/>
  <c r="I2135" i="3"/>
  <c r="J2231" i="3"/>
  <c r="I2231" i="3"/>
  <c r="J2327" i="3"/>
  <c r="I2327" i="3"/>
  <c r="J2487" i="3"/>
  <c r="I2487" i="3"/>
  <c r="J392" i="3"/>
  <c r="I392" i="3"/>
  <c r="J584" i="3"/>
  <c r="I584" i="3"/>
  <c r="J680" i="3"/>
  <c r="I680" i="3"/>
  <c r="J1064" i="3"/>
  <c r="I1064" i="3"/>
  <c r="J1144" i="3"/>
  <c r="I1144" i="3"/>
  <c r="J1224" i="3"/>
  <c r="I1224" i="3"/>
  <c r="I1400" i="3"/>
  <c r="J1400" i="3"/>
  <c r="I1496" i="3"/>
  <c r="J1496" i="3"/>
  <c r="J1592" i="3"/>
  <c r="I1592" i="3"/>
  <c r="I1688" i="3"/>
  <c r="J1688" i="3"/>
  <c r="J1960" i="3"/>
  <c r="I1960" i="3"/>
  <c r="J2056" i="3"/>
  <c r="I2056" i="3"/>
  <c r="J2120" i="3"/>
  <c r="I2120" i="3"/>
  <c r="I2216" i="3"/>
  <c r="J2216" i="3"/>
  <c r="J2296" i="3"/>
  <c r="I2296" i="3"/>
  <c r="I2392" i="3"/>
  <c r="J2392" i="3"/>
  <c r="J2408" i="3"/>
  <c r="I2408" i="3"/>
  <c r="J487" i="3"/>
  <c r="I870" i="3"/>
  <c r="J441" i="3"/>
  <c r="I441" i="3"/>
  <c r="J953" i="3"/>
  <c r="I953" i="3"/>
  <c r="J1177" i="3"/>
  <c r="I1177" i="3"/>
  <c r="J1305" i="3"/>
  <c r="I1305" i="3"/>
  <c r="J2121" i="3"/>
  <c r="I2121" i="3"/>
  <c r="J2201" i="3"/>
  <c r="I2201" i="3"/>
  <c r="I2409" i="3"/>
  <c r="J2409" i="3"/>
  <c r="I646" i="3"/>
  <c r="J394" i="3"/>
  <c r="I394" i="3"/>
  <c r="J458" i="3"/>
  <c r="I458" i="3"/>
  <c r="J522" i="3"/>
  <c r="I522" i="3"/>
  <c r="J746" i="3"/>
  <c r="I746" i="3"/>
  <c r="J826" i="3"/>
  <c r="I826" i="3"/>
  <c r="J1226" i="3"/>
  <c r="I1226" i="3"/>
  <c r="J1290" i="3"/>
  <c r="I1290" i="3"/>
  <c r="J1786" i="3"/>
  <c r="I1786" i="3"/>
  <c r="J1866" i="3"/>
  <c r="I1866" i="3"/>
  <c r="J1946" i="3"/>
  <c r="I1946" i="3"/>
  <c r="J2202" i="3"/>
  <c r="I2202" i="3"/>
  <c r="J2266" i="3"/>
  <c r="I2266" i="3"/>
  <c r="J2330" i="3"/>
  <c r="I2330" i="3"/>
  <c r="J2362" i="3"/>
  <c r="I2362" i="3"/>
  <c r="J2442" i="3"/>
  <c r="I2442" i="3"/>
  <c r="I247" i="3"/>
  <c r="J2411" i="3"/>
  <c r="I2411" i="3"/>
  <c r="J10" i="3"/>
  <c r="I167" i="3"/>
  <c r="I1320" i="3"/>
  <c r="J2428" i="3"/>
  <c r="I2428" i="3"/>
  <c r="I248" i="3"/>
  <c r="J378" i="3"/>
  <c r="J493" i="3"/>
  <c r="I493" i="3"/>
  <c r="J669" i="3"/>
  <c r="I669" i="3"/>
  <c r="J909" i="3"/>
  <c r="I909" i="3"/>
  <c r="J12" i="3"/>
  <c r="J55" i="3"/>
  <c r="I73" i="3"/>
  <c r="I93" i="3"/>
  <c r="I122" i="3"/>
  <c r="J141" i="3"/>
  <c r="J168" i="3"/>
  <c r="I219" i="3"/>
  <c r="I249" i="3"/>
  <c r="J279" i="3"/>
  <c r="J312" i="3"/>
  <c r="I347" i="3"/>
  <c r="I380" i="3"/>
  <c r="I412" i="3"/>
  <c r="I423" i="3"/>
  <c r="J455" i="3"/>
  <c r="J505" i="3"/>
  <c r="J540" i="3"/>
  <c r="I553" i="3"/>
  <c r="I605" i="3"/>
  <c r="I667" i="3"/>
  <c r="I683" i="3"/>
  <c r="I749" i="3"/>
  <c r="J764" i="3"/>
  <c r="I776" i="3"/>
  <c r="I792" i="3"/>
  <c r="I907" i="3"/>
  <c r="I922" i="3"/>
  <c r="J1000" i="3"/>
  <c r="J1015" i="3"/>
  <c r="I1047" i="3"/>
  <c r="J1321" i="3"/>
  <c r="J1336" i="3"/>
  <c r="I1387" i="3"/>
  <c r="J1399" i="3"/>
  <c r="J1497" i="3"/>
  <c r="I1802" i="3"/>
  <c r="J1993" i="3"/>
  <c r="I2088" i="3"/>
  <c r="I502" i="3"/>
  <c r="J502" i="3"/>
  <c r="J582" i="3"/>
  <c r="I582" i="3"/>
  <c r="J790" i="3"/>
  <c r="I790" i="3"/>
  <c r="J1094" i="3"/>
  <c r="I1094" i="3"/>
  <c r="J1174" i="3"/>
  <c r="I1174" i="3"/>
  <c r="J1398" i="3"/>
  <c r="I1398" i="3"/>
  <c r="J1446" i="3"/>
  <c r="I1446" i="3"/>
  <c r="J1510" i="3"/>
  <c r="I1510" i="3"/>
  <c r="J1606" i="3"/>
  <c r="I1606" i="3"/>
  <c r="J1670" i="3"/>
  <c r="I1670" i="3"/>
  <c r="J1750" i="3"/>
  <c r="I1750" i="3"/>
  <c r="I1846" i="3"/>
  <c r="J1846" i="3"/>
  <c r="I1942" i="3"/>
  <c r="J1942" i="3"/>
  <c r="I2070" i="3"/>
  <c r="J2070" i="3"/>
  <c r="I2438" i="3"/>
  <c r="J2438" i="3"/>
  <c r="J199" i="3"/>
  <c r="I199" i="3"/>
  <c r="J359" i="3"/>
  <c r="I359" i="3"/>
  <c r="J439" i="3"/>
  <c r="I439" i="3"/>
  <c r="J535" i="3"/>
  <c r="I535" i="3"/>
  <c r="J583" i="3"/>
  <c r="I583" i="3"/>
  <c r="J695" i="3"/>
  <c r="I695" i="3"/>
  <c r="J919" i="3"/>
  <c r="I919" i="3"/>
  <c r="J1111" i="3"/>
  <c r="I1111" i="3"/>
  <c r="J1303" i="3"/>
  <c r="I1303" i="3"/>
  <c r="J1383" i="3"/>
  <c r="I1383" i="3"/>
  <c r="J1479" i="3"/>
  <c r="I1479" i="3"/>
  <c r="J1671" i="3"/>
  <c r="I1671" i="3"/>
  <c r="J1751" i="3"/>
  <c r="I1751" i="3"/>
  <c r="J1863" i="3"/>
  <c r="I1863" i="3"/>
  <c r="J1959" i="3"/>
  <c r="I1959" i="3"/>
  <c r="J2039" i="3"/>
  <c r="I2039" i="3"/>
  <c r="I2119" i="3"/>
  <c r="J2119" i="3"/>
  <c r="J2215" i="3"/>
  <c r="I2215" i="3"/>
  <c r="J2295" i="3"/>
  <c r="I2295" i="3"/>
  <c r="J2391" i="3"/>
  <c r="I2391" i="3"/>
  <c r="J2439" i="3"/>
  <c r="I2439" i="3"/>
  <c r="J632" i="3"/>
  <c r="I632" i="3"/>
  <c r="J744" i="3"/>
  <c r="I744" i="3"/>
  <c r="J904" i="3"/>
  <c r="I904" i="3"/>
  <c r="J1096" i="3"/>
  <c r="I1096" i="3"/>
  <c r="J1160" i="3"/>
  <c r="I1160" i="3"/>
  <c r="J1288" i="3"/>
  <c r="I1288" i="3"/>
  <c r="J1368" i="3"/>
  <c r="I1368" i="3"/>
  <c r="J1448" i="3"/>
  <c r="I1448" i="3"/>
  <c r="J1528" i="3"/>
  <c r="I1528" i="3"/>
  <c r="J1624" i="3"/>
  <c r="I1624" i="3"/>
  <c r="J1720" i="3"/>
  <c r="I1720" i="3"/>
  <c r="J1832" i="3"/>
  <c r="I1832" i="3"/>
  <c r="J1912" i="3"/>
  <c r="I1912" i="3"/>
  <c r="I2136" i="3"/>
  <c r="J2136" i="3"/>
  <c r="J2232" i="3"/>
  <c r="I2232" i="3"/>
  <c r="J2312" i="3"/>
  <c r="I2312" i="3"/>
  <c r="J2456" i="3"/>
  <c r="I2456" i="3"/>
  <c r="J1207" i="3"/>
  <c r="I2344" i="3"/>
  <c r="I393" i="3"/>
  <c r="J393" i="3"/>
  <c r="J521" i="3"/>
  <c r="I521" i="3"/>
  <c r="J777" i="3"/>
  <c r="I777" i="3"/>
  <c r="J873" i="3"/>
  <c r="I873" i="3"/>
  <c r="J937" i="3"/>
  <c r="I937" i="3"/>
  <c r="J1001" i="3"/>
  <c r="I1001" i="3"/>
  <c r="J1129" i="3"/>
  <c r="I1129" i="3"/>
  <c r="J1209" i="3"/>
  <c r="I1209" i="3"/>
  <c r="I1257" i="3"/>
  <c r="J1257" i="3"/>
  <c r="J1401" i="3"/>
  <c r="I1401" i="3"/>
  <c r="J1449" i="3"/>
  <c r="I1449" i="3"/>
  <c r="I1513" i="3"/>
  <c r="J1513" i="3"/>
  <c r="J1561" i="3"/>
  <c r="I1561" i="3"/>
  <c r="J1593" i="3"/>
  <c r="I1593" i="3"/>
  <c r="J1657" i="3"/>
  <c r="I1657" i="3"/>
  <c r="J1721" i="3"/>
  <c r="I1721" i="3"/>
  <c r="J1785" i="3"/>
  <c r="I1785" i="3"/>
  <c r="J1881" i="3"/>
  <c r="I1881" i="3"/>
  <c r="J2073" i="3"/>
  <c r="I2073" i="3"/>
  <c r="I2153" i="3"/>
  <c r="J2153" i="3"/>
  <c r="J2233" i="3"/>
  <c r="I2233" i="3"/>
  <c r="J2297" i="3"/>
  <c r="I2297" i="3"/>
  <c r="J2361" i="3"/>
  <c r="I2361" i="3"/>
  <c r="J2489" i="3"/>
  <c r="I2489" i="3"/>
  <c r="J406" i="3"/>
  <c r="I1319" i="3"/>
  <c r="J314" i="3"/>
  <c r="I314" i="3"/>
  <c r="J650" i="3"/>
  <c r="I650" i="3"/>
  <c r="J762" i="3"/>
  <c r="I762" i="3"/>
  <c r="J874" i="3"/>
  <c r="I874" i="3"/>
  <c r="J970" i="3"/>
  <c r="I970" i="3"/>
  <c r="J1050" i="3"/>
  <c r="I1050" i="3"/>
  <c r="J1130" i="3"/>
  <c r="I1130" i="3"/>
  <c r="J1210" i="3"/>
  <c r="I1210" i="3"/>
  <c r="J1274" i="3"/>
  <c r="I1274" i="3"/>
  <c r="I1354" i="3"/>
  <c r="J1354" i="3"/>
  <c r="J1434" i="3"/>
  <c r="I1434" i="3"/>
  <c r="J1482" i="3"/>
  <c r="I1482" i="3"/>
  <c r="J1562" i="3"/>
  <c r="I1562" i="3"/>
  <c r="J1658" i="3"/>
  <c r="I1658" i="3"/>
  <c r="I2010" i="3"/>
  <c r="J2010" i="3"/>
  <c r="I2074" i="3"/>
  <c r="J2074" i="3"/>
  <c r="J2122" i="3"/>
  <c r="I2122" i="3"/>
  <c r="J2250" i="3"/>
  <c r="I2250" i="3"/>
  <c r="J2410" i="3"/>
  <c r="I2410" i="3"/>
  <c r="J491" i="3"/>
  <c r="I491" i="3"/>
  <c r="J731" i="3"/>
  <c r="I731" i="3"/>
  <c r="J779" i="3"/>
  <c r="I779" i="3"/>
  <c r="J971" i="3"/>
  <c r="I971" i="3"/>
  <c r="J1035" i="3"/>
  <c r="I1035" i="3"/>
  <c r="J1099" i="3"/>
  <c r="I1099" i="3"/>
  <c r="J1227" i="3"/>
  <c r="I1227" i="3"/>
  <c r="J1291" i="3"/>
  <c r="I1291" i="3"/>
  <c r="J1355" i="3"/>
  <c r="I1355" i="3"/>
  <c r="J1419" i="3"/>
  <c r="I1419" i="3"/>
  <c r="J1483" i="3"/>
  <c r="I1483" i="3"/>
  <c r="J1723" i="3"/>
  <c r="I1723" i="3"/>
  <c r="J1803" i="3"/>
  <c r="I1803" i="3"/>
  <c r="J1883" i="3"/>
  <c r="I1883" i="3"/>
  <c r="J1963" i="3"/>
  <c r="I1963" i="3"/>
  <c r="J2011" i="3"/>
  <c r="I2011" i="3"/>
  <c r="J2091" i="3"/>
  <c r="I2091" i="3"/>
  <c r="J2171" i="3"/>
  <c r="I2171" i="3"/>
  <c r="J2235" i="3"/>
  <c r="I2235" i="3"/>
  <c r="I2315" i="3"/>
  <c r="J2315" i="3"/>
  <c r="J2475" i="3"/>
  <c r="I2475" i="3"/>
  <c r="I504" i="3"/>
  <c r="J538" i="3"/>
  <c r="J1385" i="3"/>
  <c r="I1735" i="3"/>
  <c r="J2345" i="3"/>
  <c r="J284" i="3"/>
  <c r="I284" i="3"/>
  <c r="J620" i="3"/>
  <c r="I620" i="3"/>
  <c r="J1036" i="3"/>
  <c r="I1036" i="3"/>
  <c r="J1100" i="3"/>
  <c r="I1100" i="3"/>
  <c r="I1180" i="3"/>
  <c r="J1180" i="3"/>
  <c r="J1228" i="3"/>
  <c r="I1228" i="3"/>
  <c r="I1260" i="3"/>
  <c r="J1260" i="3"/>
  <c r="J1324" i="3"/>
  <c r="I1324" i="3"/>
  <c r="J1484" i="3"/>
  <c r="I1484" i="3"/>
  <c r="I1548" i="3"/>
  <c r="J1548" i="3"/>
  <c r="J1596" i="3"/>
  <c r="I1596" i="3"/>
  <c r="J1708" i="3"/>
  <c r="I1708" i="3"/>
  <c r="I1772" i="3"/>
  <c r="J1772" i="3"/>
  <c r="J1836" i="3"/>
  <c r="I1836" i="3"/>
  <c r="J2012" i="3"/>
  <c r="I2012" i="3"/>
  <c r="I2076" i="3"/>
  <c r="J2076" i="3"/>
  <c r="J2140" i="3"/>
  <c r="I2140" i="3"/>
  <c r="I2204" i="3"/>
  <c r="J2204" i="3"/>
  <c r="J2268" i="3"/>
  <c r="I2268" i="3"/>
  <c r="J2348" i="3"/>
  <c r="I2348" i="3"/>
  <c r="J2412" i="3"/>
  <c r="I2412" i="3"/>
  <c r="J2492" i="3"/>
  <c r="I2492" i="3"/>
  <c r="I408" i="3"/>
  <c r="J454" i="3"/>
  <c r="I539" i="3"/>
  <c r="I666" i="3"/>
  <c r="I748" i="3"/>
  <c r="I1386" i="3"/>
  <c r="I461" i="3"/>
  <c r="J461" i="3"/>
  <c r="J541" i="3"/>
  <c r="I541" i="3"/>
  <c r="I813" i="3"/>
  <c r="J813" i="3"/>
  <c r="J925" i="3"/>
  <c r="I925" i="3"/>
  <c r="J989" i="3"/>
  <c r="I989" i="3"/>
  <c r="J1053" i="3"/>
  <c r="I1053" i="3"/>
  <c r="J1101" i="3"/>
  <c r="I1101" i="3"/>
  <c r="J1165" i="3"/>
  <c r="I1165" i="3"/>
  <c r="J1213" i="3"/>
  <c r="I1213" i="3"/>
  <c r="J1421" i="3"/>
  <c r="I1421" i="3"/>
  <c r="J1469" i="3"/>
  <c r="I1469" i="3"/>
  <c r="I1581" i="3"/>
  <c r="J1581" i="3"/>
  <c r="J1645" i="3"/>
  <c r="I1645" i="3"/>
  <c r="I1693" i="3"/>
  <c r="J1693" i="3"/>
  <c r="I1757" i="3"/>
  <c r="J1757" i="3"/>
  <c r="J1837" i="3"/>
  <c r="I1837" i="3"/>
  <c r="J1885" i="3"/>
  <c r="I1885" i="3"/>
  <c r="J1949" i="3"/>
  <c r="I1949" i="3"/>
  <c r="I2013" i="3"/>
  <c r="J2013" i="3"/>
  <c r="J2109" i="3"/>
  <c r="I2109" i="3"/>
  <c r="J346" i="3"/>
  <c r="J682" i="3"/>
  <c r="J906" i="3"/>
  <c r="J1351" i="3"/>
  <c r="I2106" i="3"/>
  <c r="J169" i="3"/>
  <c r="I200" i="3"/>
  <c r="J220" i="3"/>
  <c r="I280" i="3"/>
  <c r="I313" i="3"/>
  <c r="I348" i="3"/>
  <c r="I456" i="3"/>
  <c r="I506" i="3"/>
  <c r="J569" i="3"/>
  <c r="I684" i="3"/>
  <c r="I908" i="3"/>
  <c r="I1016" i="3"/>
  <c r="I1322" i="3"/>
  <c r="I1388" i="3"/>
  <c r="J1404" i="3"/>
  <c r="J1498" i="3"/>
  <c r="J518" i="3"/>
  <c r="I518" i="3"/>
  <c r="J678" i="3"/>
  <c r="I678" i="3"/>
  <c r="J774" i="3"/>
  <c r="I774" i="3"/>
  <c r="J854" i="3"/>
  <c r="I854" i="3"/>
  <c r="J918" i="3"/>
  <c r="I918" i="3"/>
  <c r="J1014" i="3"/>
  <c r="I1014" i="3"/>
  <c r="J1078" i="3"/>
  <c r="I1078" i="3"/>
  <c r="J1158" i="3"/>
  <c r="I1158" i="3"/>
  <c r="J1238" i="3"/>
  <c r="I1238" i="3"/>
  <c r="J1382" i="3"/>
  <c r="I1382" i="3"/>
  <c r="J1462" i="3"/>
  <c r="I1462" i="3"/>
  <c r="I1558" i="3"/>
  <c r="J1558" i="3"/>
  <c r="I1830" i="3"/>
  <c r="J1830" i="3"/>
  <c r="I1926" i="3"/>
  <c r="J1926" i="3"/>
  <c r="I2022" i="3"/>
  <c r="J2022" i="3"/>
  <c r="I2134" i="3"/>
  <c r="J2134" i="3"/>
  <c r="I2230" i="3"/>
  <c r="J2230" i="3"/>
  <c r="I2374" i="3"/>
  <c r="J2374" i="3"/>
  <c r="I2486" i="3"/>
  <c r="J2486" i="3"/>
  <c r="J551" i="3"/>
  <c r="I551" i="3"/>
  <c r="J615" i="3"/>
  <c r="I615" i="3"/>
  <c r="J711" i="3"/>
  <c r="I711" i="3"/>
  <c r="J791" i="3"/>
  <c r="I791" i="3"/>
  <c r="J887" i="3"/>
  <c r="I887" i="3"/>
  <c r="I967" i="3"/>
  <c r="J967" i="3"/>
  <c r="J1063" i="3"/>
  <c r="I1063" i="3"/>
  <c r="J1159" i="3"/>
  <c r="I1159" i="3"/>
  <c r="J1255" i="3"/>
  <c r="I1255" i="3"/>
  <c r="J1335" i="3"/>
  <c r="I1335" i="3"/>
  <c r="J1431" i="3"/>
  <c r="I1431" i="3"/>
  <c r="J1511" i="3"/>
  <c r="I1511" i="3"/>
  <c r="J1591" i="3"/>
  <c r="I1591" i="3"/>
  <c r="J1687" i="3"/>
  <c r="I1687" i="3"/>
  <c r="J1783" i="3"/>
  <c r="I1783" i="3"/>
  <c r="J1879" i="3"/>
  <c r="I1879" i="3"/>
  <c r="J2151" i="3"/>
  <c r="I2151" i="3"/>
  <c r="J2471" i="3"/>
  <c r="I2471" i="3"/>
  <c r="I742" i="3"/>
  <c r="J376" i="3"/>
  <c r="I376" i="3"/>
  <c r="J568" i="3"/>
  <c r="I568" i="3"/>
  <c r="I664" i="3"/>
  <c r="J664" i="3"/>
  <c r="J760" i="3"/>
  <c r="I760" i="3"/>
  <c r="J840" i="3"/>
  <c r="I840" i="3"/>
  <c r="J920" i="3"/>
  <c r="I920" i="3"/>
  <c r="J1112" i="3"/>
  <c r="I1112" i="3"/>
  <c r="J1304" i="3"/>
  <c r="I1304" i="3"/>
  <c r="I1656" i="3"/>
  <c r="J1656" i="3"/>
  <c r="J1752" i="3"/>
  <c r="I1752" i="3"/>
  <c r="J1848" i="3"/>
  <c r="I1848" i="3"/>
  <c r="I1944" i="3"/>
  <c r="J1944" i="3"/>
  <c r="J2008" i="3"/>
  <c r="I2008" i="3"/>
  <c r="J2440" i="3"/>
  <c r="I2440" i="3"/>
  <c r="J1318" i="3"/>
  <c r="J409" i="3"/>
  <c r="I409" i="3"/>
  <c r="J649" i="3"/>
  <c r="I649" i="3"/>
  <c r="J889" i="3"/>
  <c r="I889" i="3"/>
  <c r="J1241" i="3"/>
  <c r="I1241" i="3"/>
  <c r="J1353" i="3"/>
  <c r="I1353" i="3"/>
  <c r="J1529" i="3"/>
  <c r="I1529" i="3"/>
  <c r="J1673" i="3"/>
  <c r="I1673" i="3"/>
  <c r="J1737" i="3"/>
  <c r="I1737" i="3"/>
  <c r="I1929" i="3"/>
  <c r="J1929" i="3"/>
  <c r="J1977" i="3"/>
  <c r="I1977" i="3"/>
  <c r="J2185" i="3"/>
  <c r="I2185" i="3"/>
  <c r="J2265" i="3"/>
  <c r="I2265" i="3"/>
  <c r="I2457" i="3"/>
  <c r="J2457" i="3"/>
  <c r="I89" i="3"/>
  <c r="J1302" i="3"/>
  <c r="J1799" i="3"/>
  <c r="J442" i="3"/>
  <c r="I442" i="3"/>
  <c r="J698" i="3"/>
  <c r="I698" i="3"/>
  <c r="J794" i="3"/>
  <c r="I794" i="3"/>
  <c r="J890" i="3"/>
  <c r="I890" i="3"/>
  <c r="J986" i="3"/>
  <c r="I986" i="3"/>
  <c r="J1402" i="3"/>
  <c r="I1402" i="3"/>
  <c r="J1626" i="3"/>
  <c r="I1626" i="3"/>
  <c r="J1690" i="3"/>
  <c r="I1690" i="3"/>
  <c r="J1770" i="3"/>
  <c r="I1770" i="3"/>
  <c r="J1850" i="3"/>
  <c r="I1850" i="3"/>
  <c r="J1962" i="3"/>
  <c r="I1962" i="3"/>
  <c r="J2026" i="3"/>
  <c r="I2026" i="3"/>
  <c r="I2170" i="3"/>
  <c r="J2170" i="3"/>
  <c r="J2490" i="3"/>
  <c r="I2490" i="3"/>
  <c r="J503" i="3"/>
  <c r="I665" i="3"/>
  <c r="J743" i="3"/>
  <c r="J998" i="3"/>
  <c r="J171" i="3"/>
  <c r="I171" i="3"/>
  <c r="J475" i="3"/>
  <c r="I475" i="3"/>
  <c r="J619" i="3"/>
  <c r="I619" i="3"/>
  <c r="J811" i="3"/>
  <c r="I811" i="3"/>
  <c r="J891" i="3"/>
  <c r="I891" i="3"/>
  <c r="J955" i="3"/>
  <c r="I955" i="3"/>
  <c r="J1019" i="3"/>
  <c r="I1019" i="3"/>
  <c r="J1083" i="3"/>
  <c r="I1083" i="3"/>
  <c r="J1131" i="3"/>
  <c r="I1131" i="3"/>
  <c r="J1195" i="3"/>
  <c r="I1195" i="3"/>
  <c r="J1275" i="3"/>
  <c r="I1275" i="3"/>
  <c r="J1451" i="3"/>
  <c r="I1451" i="3"/>
  <c r="J1531" i="3"/>
  <c r="I1531" i="3"/>
  <c r="J1595" i="3"/>
  <c r="I1595" i="3"/>
  <c r="J1675" i="3"/>
  <c r="I1675" i="3"/>
  <c r="J1771" i="3"/>
  <c r="I1771" i="3"/>
  <c r="J1867" i="3"/>
  <c r="I1867" i="3"/>
  <c r="J1947" i="3"/>
  <c r="I1947" i="3"/>
  <c r="J2027" i="3"/>
  <c r="I2027" i="3"/>
  <c r="J2107" i="3"/>
  <c r="I2107" i="3"/>
  <c r="J2203" i="3"/>
  <c r="I2203" i="3"/>
  <c r="I2267" i="3"/>
  <c r="J2267" i="3"/>
  <c r="J2363" i="3"/>
  <c r="I2363" i="3"/>
  <c r="I2427" i="3"/>
  <c r="J2427" i="3"/>
  <c r="I90" i="3"/>
  <c r="I377" i="3"/>
  <c r="J1800" i="3"/>
  <c r="J364" i="3"/>
  <c r="I364" i="3"/>
  <c r="J556" i="3"/>
  <c r="I556" i="3"/>
  <c r="J652" i="3"/>
  <c r="I652" i="3"/>
  <c r="J700" i="3"/>
  <c r="I700" i="3"/>
  <c r="I780" i="3"/>
  <c r="J780" i="3"/>
  <c r="J828" i="3"/>
  <c r="I828" i="3"/>
  <c r="J956" i="3"/>
  <c r="I956" i="3"/>
  <c r="J1020" i="3"/>
  <c r="I1020" i="3"/>
  <c r="J1068" i="3"/>
  <c r="I1068" i="3"/>
  <c r="J1148" i="3"/>
  <c r="I1148" i="3"/>
  <c r="J1356" i="3"/>
  <c r="I1356" i="3"/>
  <c r="J1420" i="3"/>
  <c r="I1420" i="3"/>
  <c r="J1580" i="3"/>
  <c r="I1580" i="3"/>
  <c r="J1660" i="3"/>
  <c r="I1660" i="3"/>
  <c r="J1756" i="3"/>
  <c r="I1756" i="3"/>
  <c r="J1820" i="3"/>
  <c r="I1820" i="3"/>
  <c r="J1884" i="3"/>
  <c r="I1884" i="3"/>
  <c r="J1964" i="3"/>
  <c r="I1964" i="3"/>
  <c r="J2044" i="3"/>
  <c r="I2044" i="3"/>
  <c r="J2108" i="3"/>
  <c r="I2108" i="3"/>
  <c r="J2172" i="3"/>
  <c r="I2172" i="3"/>
  <c r="J2236" i="3"/>
  <c r="I2236" i="3"/>
  <c r="J2316" i="3"/>
  <c r="I2316" i="3"/>
  <c r="J2380" i="3"/>
  <c r="I2380" i="3"/>
  <c r="I2444" i="3"/>
  <c r="J2444" i="3"/>
  <c r="I1705" i="3"/>
  <c r="I1801" i="3"/>
  <c r="J109" i="3"/>
  <c r="I109" i="3"/>
  <c r="J765" i="3"/>
  <c r="I765" i="3"/>
  <c r="J973" i="3"/>
  <c r="I973" i="3"/>
  <c r="J1037" i="3"/>
  <c r="I1037" i="3"/>
  <c r="J1085" i="3"/>
  <c r="I1085" i="3"/>
  <c r="J1149" i="3"/>
  <c r="I1149" i="3"/>
  <c r="J1197" i="3"/>
  <c r="I1197" i="3"/>
  <c r="J1245" i="3"/>
  <c r="I1245" i="3"/>
  <c r="J1309" i="3"/>
  <c r="I1309" i="3"/>
  <c r="J1341" i="3"/>
  <c r="I1341" i="3"/>
  <c r="J1389" i="3"/>
  <c r="I1389" i="3"/>
  <c r="J1501" i="3"/>
  <c r="I1501" i="3"/>
  <c r="J1565" i="3"/>
  <c r="I1565" i="3"/>
  <c r="J1613" i="3"/>
  <c r="I1613" i="3"/>
  <c r="I1725" i="3"/>
  <c r="J1725" i="3"/>
  <c r="I1805" i="3"/>
  <c r="J1805" i="3"/>
  <c r="J1901" i="3"/>
  <c r="I1901" i="3"/>
  <c r="J1965" i="3"/>
  <c r="I1965" i="3"/>
  <c r="J2029" i="3"/>
  <c r="I2029" i="3"/>
  <c r="J2077" i="3"/>
  <c r="I2077" i="3"/>
  <c r="J2125" i="3"/>
  <c r="I2125" i="3"/>
  <c r="I2141" i="3"/>
  <c r="J2141" i="3"/>
  <c r="J2173" i="3"/>
  <c r="I2173" i="3"/>
  <c r="J2205" i="3"/>
  <c r="I2205" i="3"/>
  <c r="J2237" i="3"/>
  <c r="I2237" i="3"/>
  <c r="I13" i="3"/>
  <c r="I56" i="3"/>
  <c r="J74" i="3"/>
  <c r="I39" i="3"/>
  <c r="I75" i="3"/>
  <c r="I123" i="3"/>
  <c r="J170" i="3"/>
  <c r="J221" i="3"/>
  <c r="I250" i="3"/>
  <c r="I381" i="3"/>
  <c r="I424" i="3"/>
  <c r="I554" i="3"/>
  <c r="I570" i="3"/>
  <c r="I614" i="3"/>
  <c r="I793" i="3"/>
  <c r="I1048" i="3"/>
  <c r="J1145" i="3"/>
  <c r="I1405" i="3"/>
  <c r="I1437" i="3"/>
  <c r="J1464" i="3"/>
  <c r="I1500" i="3"/>
  <c r="I1515" i="3"/>
  <c r="J470" i="3"/>
  <c r="I470" i="3"/>
  <c r="J822" i="3"/>
  <c r="I822" i="3"/>
  <c r="J886" i="3"/>
  <c r="I886" i="3"/>
  <c r="J966" i="3"/>
  <c r="I966" i="3"/>
  <c r="J1046" i="3"/>
  <c r="I1046" i="3"/>
  <c r="J1110" i="3"/>
  <c r="I1110" i="3"/>
  <c r="J1206" i="3"/>
  <c r="I1206" i="3"/>
  <c r="J1270" i="3"/>
  <c r="I1270" i="3"/>
  <c r="I1334" i="3"/>
  <c r="J1334" i="3"/>
  <c r="J1414" i="3"/>
  <c r="I1414" i="3"/>
  <c r="I1478" i="3"/>
  <c r="J1478" i="3"/>
  <c r="J1542" i="3"/>
  <c r="I1542" i="3"/>
  <c r="J1638" i="3"/>
  <c r="I1638" i="3"/>
  <c r="I1862" i="3"/>
  <c r="J1862" i="3"/>
  <c r="I1958" i="3"/>
  <c r="J1958" i="3"/>
  <c r="I2038" i="3"/>
  <c r="J2038" i="3"/>
  <c r="I2118" i="3"/>
  <c r="J2118" i="3"/>
  <c r="I2198" i="3"/>
  <c r="J2198" i="3"/>
  <c r="I2406" i="3"/>
  <c r="J2406" i="3"/>
  <c r="J135" i="3"/>
  <c r="I135" i="3"/>
  <c r="J343" i="3"/>
  <c r="I343" i="3"/>
  <c r="I855" i="3"/>
  <c r="J855" i="3"/>
  <c r="J935" i="3"/>
  <c r="I935" i="3"/>
  <c r="I1095" i="3"/>
  <c r="J1095" i="3"/>
  <c r="J1287" i="3"/>
  <c r="I1287" i="3"/>
  <c r="J1495" i="3"/>
  <c r="I1495" i="3"/>
  <c r="J1639" i="3"/>
  <c r="I1639" i="3"/>
  <c r="J1703" i="3"/>
  <c r="I1703" i="3"/>
  <c r="J1767" i="3"/>
  <c r="I1767" i="3"/>
  <c r="J1847" i="3"/>
  <c r="I1847" i="3"/>
  <c r="J1943" i="3"/>
  <c r="I1943" i="3"/>
  <c r="J2007" i="3"/>
  <c r="I2007" i="3"/>
  <c r="J2103" i="3"/>
  <c r="I2103" i="3"/>
  <c r="J2199" i="3"/>
  <c r="I2199" i="3"/>
  <c r="J2279" i="3"/>
  <c r="I2279" i="3"/>
  <c r="J2359" i="3"/>
  <c r="I2359" i="3"/>
  <c r="I2423" i="3"/>
  <c r="J2423" i="3"/>
  <c r="J24" i="3"/>
  <c r="I24" i="3"/>
  <c r="J648" i="3"/>
  <c r="I648" i="3"/>
  <c r="J712" i="3"/>
  <c r="I712" i="3"/>
  <c r="J952" i="3"/>
  <c r="I952" i="3"/>
  <c r="J1256" i="3"/>
  <c r="I1256" i="3"/>
  <c r="J1416" i="3"/>
  <c r="I1416" i="3"/>
  <c r="J1480" i="3"/>
  <c r="I1480" i="3"/>
  <c r="J1544" i="3"/>
  <c r="I1544" i="3"/>
  <c r="J1640" i="3"/>
  <c r="I1640" i="3"/>
  <c r="J1736" i="3"/>
  <c r="I1736" i="3"/>
  <c r="J1816" i="3"/>
  <c r="I1816" i="3"/>
  <c r="J1880" i="3"/>
  <c r="I1880" i="3"/>
  <c r="I1976" i="3"/>
  <c r="J1976" i="3"/>
  <c r="J2040" i="3"/>
  <c r="I2040" i="3"/>
  <c r="I2104" i="3"/>
  <c r="J2104" i="3"/>
  <c r="J2168" i="3"/>
  <c r="I2168" i="3"/>
  <c r="I2264" i="3"/>
  <c r="J2264" i="3"/>
  <c r="J2328" i="3"/>
  <c r="I2328" i="3"/>
  <c r="J2488" i="3"/>
  <c r="I2488" i="3"/>
  <c r="J57" i="3"/>
  <c r="I57" i="3"/>
  <c r="J217" i="3"/>
  <c r="I217" i="3"/>
  <c r="J361" i="3"/>
  <c r="I361" i="3"/>
  <c r="J425" i="3"/>
  <c r="I425" i="3"/>
  <c r="J633" i="3"/>
  <c r="I633" i="3"/>
  <c r="J713" i="3"/>
  <c r="I713" i="3"/>
  <c r="J761" i="3"/>
  <c r="I761" i="3"/>
  <c r="J825" i="3"/>
  <c r="I825" i="3"/>
  <c r="J1033" i="3"/>
  <c r="I1033" i="3"/>
  <c r="J1225" i="3"/>
  <c r="I1225" i="3"/>
  <c r="I1289" i="3"/>
  <c r="J1289" i="3"/>
  <c r="J1369" i="3"/>
  <c r="I1369" i="3"/>
  <c r="I1417" i="3"/>
  <c r="J1417" i="3"/>
  <c r="J1609" i="3"/>
  <c r="I1609" i="3"/>
  <c r="J1753" i="3"/>
  <c r="I1753" i="3"/>
  <c r="I1817" i="3"/>
  <c r="J1817" i="3"/>
  <c r="J1849" i="3"/>
  <c r="I1849" i="3"/>
  <c r="J1913" i="3"/>
  <c r="I1913" i="3"/>
  <c r="J1961" i="3"/>
  <c r="I1961" i="3"/>
  <c r="J2025" i="3"/>
  <c r="I2025" i="3"/>
  <c r="J2057" i="3"/>
  <c r="I2057" i="3"/>
  <c r="J2137" i="3"/>
  <c r="I2137" i="3"/>
  <c r="J2217" i="3"/>
  <c r="I2217" i="3"/>
  <c r="I2281" i="3"/>
  <c r="J2281" i="3"/>
  <c r="I2329" i="3"/>
  <c r="J2329" i="3"/>
  <c r="J2393" i="3"/>
  <c r="I2393" i="3"/>
  <c r="J2425" i="3"/>
  <c r="I2425" i="3"/>
  <c r="I488" i="3"/>
  <c r="I1208" i="3"/>
  <c r="J1384" i="3"/>
  <c r="J154" i="3"/>
  <c r="I154" i="3"/>
  <c r="J490" i="3"/>
  <c r="I490" i="3"/>
  <c r="J778" i="3"/>
  <c r="I778" i="3"/>
  <c r="J858" i="3"/>
  <c r="I858" i="3"/>
  <c r="J954" i="3"/>
  <c r="I954" i="3"/>
  <c r="J1002" i="3"/>
  <c r="I1002" i="3"/>
  <c r="J1082" i="3"/>
  <c r="I1082" i="3"/>
  <c r="I1242" i="3"/>
  <c r="J1242" i="3"/>
  <c r="J1738" i="3"/>
  <c r="I1738" i="3"/>
  <c r="J1818" i="3"/>
  <c r="I1818" i="3"/>
  <c r="J1882" i="3"/>
  <c r="I1882" i="3"/>
  <c r="J1978" i="3"/>
  <c r="I1978" i="3"/>
  <c r="I2154" i="3"/>
  <c r="J2154" i="3"/>
  <c r="J2218" i="3"/>
  <c r="I2218" i="3"/>
  <c r="I2282" i="3"/>
  <c r="J2282" i="3"/>
  <c r="J2346" i="3"/>
  <c r="I2346" i="3"/>
  <c r="I905" i="3"/>
  <c r="J1897" i="3"/>
  <c r="J283" i="3"/>
  <c r="I283" i="3"/>
  <c r="J315" i="3"/>
  <c r="I315" i="3"/>
  <c r="J363" i="3"/>
  <c r="I363" i="3"/>
  <c r="J763" i="3"/>
  <c r="I763" i="3"/>
  <c r="J827" i="3"/>
  <c r="I827" i="3"/>
  <c r="J875" i="3"/>
  <c r="I875" i="3"/>
  <c r="J923" i="3"/>
  <c r="I923" i="3"/>
  <c r="J987" i="3"/>
  <c r="I987" i="3"/>
  <c r="J1051" i="3"/>
  <c r="I1051" i="3"/>
  <c r="J1211" i="3"/>
  <c r="I1211" i="3"/>
  <c r="J1259" i="3"/>
  <c r="I1259" i="3"/>
  <c r="J1307" i="3"/>
  <c r="I1307" i="3"/>
  <c r="J1339" i="3"/>
  <c r="I1339" i="3"/>
  <c r="J1403" i="3"/>
  <c r="I1403" i="3"/>
  <c r="J1563" i="3"/>
  <c r="I1563" i="3"/>
  <c r="J1627" i="3"/>
  <c r="I1627" i="3"/>
  <c r="J1707" i="3"/>
  <c r="I1707" i="3"/>
  <c r="J1787" i="3"/>
  <c r="I1787" i="3"/>
  <c r="I1851" i="3"/>
  <c r="J1851" i="3"/>
  <c r="J1915" i="3"/>
  <c r="I1915" i="3"/>
  <c r="J1995" i="3"/>
  <c r="I1995" i="3"/>
  <c r="J2075" i="3"/>
  <c r="I2075" i="3"/>
  <c r="J2155" i="3"/>
  <c r="I2155" i="3"/>
  <c r="J2219" i="3"/>
  <c r="I2219" i="3"/>
  <c r="J2283" i="3"/>
  <c r="I2283" i="3"/>
  <c r="J2331" i="3"/>
  <c r="I2331" i="3"/>
  <c r="J2459" i="3"/>
  <c r="I2459" i="3"/>
  <c r="I119" i="3"/>
  <c r="J407" i="3"/>
  <c r="I489" i="3"/>
  <c r="I603" i="3"/>
  <c r="I647" i="3"/>
  <c r="I747" i="3"/>
  <c r="J460" i="3"/>
  <c r="I460" i="3"/>
  <c r="J668" i="3"/>
  <c r="I668" i="3"/>
  <c r="J732" i="3"/>
  <c r="I732" i="3"/>
  <c r="J796" i="3"/>
  <c r="I796" i="3"/>
  <c r="J940" i="3"/>
  <c r="I940" i="3"/>
  <c r="J1004" i="3"/>
  <c r="I1004" i="3"/>
  <c r="J1052" i="3"/>
  <c r="I1052" i="3"/>
  <c r="J1084" i="3"/>
  <c r="I1084" i="3"/>
  <c r="J1132" i="3"/>
  <c r="I1132" i="3"/>
  <c r="J1196" i="3"/>
  <c r="I1196" i="3"/>
  <c r="J1244" i="3"/>
  <c r="I1244" i="3"/>
  <c r="J1276" i="3"/>
  <c r="I1276" i="3"/>
  <c r="J1340" i="3"/>
  <c r="I1340" i="3"/>
  <c r="J1372" i="3"/>
  <c r="I1372" i="3"/>
  <c r="J1436" i="3"/>
  <c r="I1436" i="3"/>
  <c r="J1564" i="3"/>
  <c r="I1564" i="3"/>
  <c r="J1628" i="3"/>
  <c r="I1628" i="3"/>
  <c r="J1692" i="3"/>
  <c r="I1692" i="3"/>
  <c r="I1724" i="3"/>
  <c r="J1724" i="3"/>
  <c r="J1804" i="3"/>
  <c r="I1804" i="3"/>
  <c r="J1868" i="3"/>
  <c r="I1868" i="3"/>
  <c r="J1900" i="3"/>
  <c r="I1900" i="3"/>
  <c r="J1980" i="3"/>
  <c r="I1980" i="3"/>
  <c r="I2028" i="3"/>
  <c r="J2028" i="3"/>
  <c r="I2060" i="3"/>
  <c r="J2060" i="3"/>
  <c r="J2124" i="3"/>
  <c r="I2124" i="3"/>
  <c r="J2156" i="3"/>
  <c r="I2156" i="3"/>
  <c r="J2220" i="3"/>
  <c r="I2220" i="3"/>
  <c r="J2300" i="3"/>
  <c r="I2300" i="3"/>
  <c r="J2364" i="3"/>
  <c r="I2364" i="3"/>
  <c r="I969" i="3"/>
  <c r="J999" i="3"/>
  <c r="J2105" i="3"/>
  <c r="J173" i="3"/>
  <c r="I173" i="3"/>
  <c r="J237" i="3"/>
  <c r="I237" i="3"/>
  <c r="J413" i="3"/>
  <c r="I413" i="3"/>
  <c r="J477" i="3"/>
  <c r="I477" i="3"/>
  <c r="J525" i="3"/>
  <c r="I525" i="3"/>
  <c r="J589" i="3"/>
  <c r="I589" i="3"/>
  <c r="J653" i="3"/>
  <c r="I653" i="3"/>
  <c r="J829" i="3"/>
  <c r="I829" i="3"/>
  <c r="J893" i="3"/>
  <c r="I893" i="3"/>
  <c r="J957" i="3"/>
  <c r="I957" i="3"/>
  <c r="I1021" i="3"/>
  <c r="J1021" i="3"/>
  <c r="J1181" i="3"/>
  <c r="I1181" i="3"/>
  <c r="J1229" i="3"/>
  <c r="I1229" i="3"/>
  <c r="J1277" i="3"/>
  <c r="I1277" i="3"/>
  <c r="I1325" i="3"/>
  <c r="J1325" i="3"/>
  <c r="J1357" i="3"/>
  <c r="I1357" i="3"/>
  <c r="J1453" i="3"/>
  <c r="I1453" i="3"/>
  <c r="J1485" i="3"/>
  <c r="I1485" i="3"/>
  <c r="I1549" i="3"/>
  <c r="J1549" i="3"/>
  <c r="J1597" i="3"/>
  <c r="I1597" i="3"/>
  <c r="I1661" i="3"/>
  <c r="J1661" i="3"/>
  <c r="J1709" i="3"/>
  <c r="I1709" i="3"/>
  <c r="J1821" i="3"/>
  <c r="I1821" i="3"/>
  <c r="I1869" i="3"/>
  <c r="J1869" i="3"/>
  <c r="J1933" i="3"/>
  <c r="I1933" i="3"/>
  <c r="J1997" i="3"/>
  <c r="I1997" i="3"/>
  <c r="J2061" i="3"/>
  <c r="I2061" i="3"/>
  <c r="I2157" i="3"/>
  <c r="J2157" i="3"/>
  <c r="I311" i="3"/>
  <c r="J775" i="3"/>
  <c r="I1706" i="3"/>
  <c r="I58" i="3"/>
  <c r="I76" i="3"/>
  <c r="I124" i="3"/>
  <c r="I151" i="3"/>
  <c r="I172" i="3"/>
  <c r="I201" i="3"/>
  <c r="I281" i="3"/>
  <c r="J316" i="3"/>
  <c r="I349" i="3"/>
  <c r="I457" i="3"/>
  <c r="I472" i="3"/>
  <c r="I507" i="3"/>
  <c r="I630" i="3"/>
  <c r="I685" i="3"/>
  <c r="I797" i="3"/>
  <c r="I1017" i="3"/>
  <c r="J1097" i="3"/>
  <c r="J1116" i="3"/>
  <c r="I1146" i="3"/>
  <c r="J1465" i="3"/>
  <c r="J1516" i="3"/>
  <c r="J1641" i="3"/>
  <c r="J534" i="3"/>
  <c r="I534" i="3"/>
  <c r="J662" i="3"/>
  <c r="I662" i="3"/>
  <c r="J758" i="3"/>
  <c r="I758" i="3"/>
  <c r="J838" i="3"/>
  <c r="I838" i="3"/>
  <c r="J902" i="3"/>
  <c r="I902" i="3"/>
  <c r="J982" i="3"/>
  <c r="I982" i="3"/>
  <c r="I1062" i="3"/>
  <c r="J1062" i="3"/>
  <c r="J1126" i="3"/>
  <c r="I1126" i="3"/>
  <c r="J1222" i="3"/>
  <c r="I1222" i="3"/>
  <c r="I1286" i="3"/>
  <c r="J1286" i="3"/>
  <c r="I1366" i="3"/>
  <c r="J1366" i="3"/>
  <c r="J1430" i="3"/>
  <c r="I1430" i="3"/>
  <c r="J1494" i="3"/>
  <c r="I1494" i="3"/>
  <c r="J1574" i="3"/>
  <c r="I1574" i="3"/>
  <c r="J1654" i="3"/>
  <c r="I1654" i="3"/>
  <c r="J1718" i="3"/>
  <c r="I1718" i="3"/>
  <c r="J1814" i="3"/>
  <c r="I1814" i="3"/>
  <c r="I1894" i="3"/>
  <c r="J1894" i="3"/>
  <c r="I1990" i="3"/>
  <c r="J1990" i="3"/>
  <c r="I2086" i="3"/>
  <c r="J2086" i="3"/>
  <c r="I2166" i="3"/>
  <c r="J2166" i="3"/>
  <c r="I2214" i="3"/>
  <c r="J2214" i="3"/>
  <c r="I2278" i="3"/>
  <c r="J2278" i="3"/>
  <c r="I2326" i="3"/>
  <c r="J2326" i="3"/>
  <c r="I2390" i="3"/>
  <c r="J2390" i="3"/>
  <c r="I2470" i="3"/>
  <c r="J2470" i="3"/>
  <c r="J295" i="3"/>
  <c r="I295" i="3"/>
  <c r="J391" i="3"/>
  <c r="I391" i="3"/>
  <c r="J471" i="3"/>
  <c r="I471" i="3"/>
  <c r="J727" i="3"/>
  <c r="I727" i="3"/>
  <c r="J903" i="3"/>
  <c r="I903" i="3"/>
  <c r="J983" i="3"/>
  <c r="I983" i="3"/>
  <c r="J1079" i="3"/>
  <c r="I1079" i="3"/>
  <c r="J1175" i="3"/>
  <c r="I1175" i="3"/>
  <c r="J1271" i="3"/>
  <c r="I1271" i="3"/>
  <c r="I1367" i="3"/>
  <c r="J1367" i="3"/>
  <c r="J1463" i="3"/>
  <c r="I1463" i="3"/>
  <c r="J1575" i="3"/>
  <c r="I1575" i="3"/>
  <c r="J1815" i="3"/>
  <c r="I1815" i="3"/>
  <c r="J1911" i="3"/>
  <c r="I1911" i="3"/>
  <c r="J1991" i="3"/>
  <c r="I1991" i="3"/>
  <c r="J2087" i="3"/>
  <c r="I2087" i="3"/>
  <c r="J2183" i="3"/>
  <c r="I2183" i="3"/>
  <c r="J2263" i="3"/>
  <c r="I2263" i="3"/>
  <c r="I2375" i="3"/>
  <c r="J2375" i="3"/>
  <c r="J2455" i="3"/>
  <c r="I2455" i="3"/>
  <c r="I1239" i="3"/>
  <c r="J328" i="3"/>
  <c r="I328" i="3"/>
  <c r="J600" i="3"/>
  <c r="I600" i="3"/>
  <c r="J696" i="3"/>
  <c r="I696" i="3"/>
  <c r="J856" i="3"/>
  <c r="I856" i="3"/>
  <c r="J936" i="3"/>
  <c r="I936" i="3"/>
  <c r="J1032" i="3"/>
  <c r="I1032" i="3"/>
  <c r="I1128" i="3"/>
  <c r="J1128" i="3"/>
  <c r="J1240" i="3"/>
  <c r="I1240" i="3"/>
  <c r="J1672" i="3"/>
  <c r="I1672" i="3"/>
  <c r="J1768" i="3"/>
  <c r="I1768" i="3"/>
  <c r="J1864" i="3"/>
  <c r="I1864" i="3"/>
  <c r="J1928" i="3"/>
  <c r="I1928" i="3"/>
  <c r="J2024" i="3"/>
  <c r="I2024" i="3"/>
  <c r="J2280" i="3"/>
  <c r="I2280" i="3"/>
  <c r="J2424" i="3"/>
  <c r="I2424" i="3"/>
  <c r="I598" i="3"/>
  <c r="J617" i="3"/>
  <c r="I617" i="3"/>
  <c r="J729" i="3"/>
  <c r="I729" i="3"/>
  <c r="J809" i="3"/>
  <c r="I809" i="3"/>
  <c r="J1081" i="3"/>
  <c r="I1081" i="3"/>
  <c r="J2473" i="3"/>
  <c r="I2473" i="3"/>
  <c r="J634" i="3"/>
  <c r="I634" i="3"/>
  <c r="I730" i="3"/>
  <c r="J730" i="3"/>
  <c r="J842" i="3"/>
  <c r="I842" i="3"/>
  <c r="I938" i="3"/>
  <c r="J938" i="3"/>
  <c r="J1034" i="3"/>
  <c r="I1034" i="3"/>
  <c r="J1258" i="3"/>
  <c r="I1258" i="3"/>
  <c r="J1338" i="3"/>
  <c r="I1338" i="3"/>
  <c r="J1418" i="3"/>
  <c r="I1418" i="3"/>
  <c r="I1466" i="3"/>
  <c r="J1466" i="3"/>
  <c r="J1530" i="3"/>
  <c r="I1530" i="3"/>
  <c r="J1594" i="3"/>
  <c r="I1594" i="3"/>
  <c r="J1674" i="3"/>
  <c r="I1674" i="3"/>
  <c r="J1754" i="3"/>
  <c r="I1754" i="3"/>
  <c r="J1914" i="3"/>
  <c r="I1914" i="3"/>
  <c r="J1994" i="3"/>
  <c r="I1994" i="3"/>
  <c r="J2058" i="3"/>
  <c r="I2058" i="3"/>
  <c r="J2138" i="3"/>
  <c r="I2138" i="3"/>
  <c r="J2234" i="3"/>
  <c r="I2234" i="3"/>
  <c r="J2314" i="3"/>
  <c r="I2314" i="3"/>
  <c r="J2474" i="3"/>
  <c r="I2474" i="3"/>
  <c r="J1734" i="3"/>
  <c r="I1782" i="3"/>
  <c r="J2360" i="3"/>
  <c r="J91" i="3"/>
  <c r="I91" i="3"/>
  <c r="J155" i="3"/>
  <c r="I155" i="3"/>
  <c r="J203" i="3"/>
  <c r="I203" i="3"/>
  <c r="J235" i="3"/>
  <c r="I235" i="3"/>
  <c r="J411" i="3"/>
  <c r="I411" i="3"/>
  <c r="J427" i="3"/>
  <c r="I427" i="3"/>
  <c r="J459" i="3"/>
  <c r="I459" i="3"/>
  <c r="J699" i="3"/>
  <c r="I699" i="3"/>
  <c r="J843" i="3"/>
  <c r="I843" i="3"/>
  <c r="J1467" i="3"/>
  <c r="I1467" i="3"/>
  <c r="J1547" i="3"/>
  <c r="I1547" i="3"/>
  <c r="J1611" i="3"/>
  <c r="I1611" i="3"/>
  <c r="J1691" i="3"/>
  <c r="I1691" i="3"/>
  <c r="J1739" i="3"/>
  <c r="I1739" i="3"/>
  <c r="J1819" i="3"/>
  <c r="I1819" i="3"/>
  <c r="J1899" i="3"/>
  <c r="I1899" i="3"/>
  <c r="J1979" i="3"/>
  <c r="I1979" i="3"/>
  <c r="J2059" i="3"/>
  <c r="I2059" i="3"/>
  <c r="J2139" i="3"/>
  <c r="I2139" i="3"/>
  <c r="J2379" i="3"/>
  <c r="I2379" i="3"/>
  <c r="I2443" i="3"/>
  <c r="J2443" i="3"/>
  <c r="I1898" i="3"/>
  <c r="J492" i="3"/>
  <c r="I492" i="3"/>
  <c r="J716" i="3"/>
  <c r="I716" i="3"/>
  <c r="J892" i="3"/>
  <c r="I892" i="3"/>
  <c r="J2252" i="3"/>
  <c r="I2252" i="3"/>
  <c r="I379" i="3"/>
  <c r="I410" i="3"/>
  <c r="I40" i="3"/>
  <c r="J103" i="3"/>
  <c r="I231" i="3"/>
  <c r="I251" i="3"/>
  <c r="I317" i="3"/>
  <c r="I390" i="3"/>
  <c r="J426" i="3"/>
  <c r="J509" i="3"/>
  <c r="I519" i="3"/>
  <c r="I571" i="3"/>
  <c r="J618" i="3"/>
  <c r="I1049" i="3"/>
  <c r="I1065" i="3"/>
  <c r="I1098" i="3"/>
  <c r="I1117" i="3"/>
  <c r="J1161" i="3"/>
  <c r="I1517" i="3"/>
  <c r="I1559" i="3"/>
  <c r="I1625" i="3"/>
  <c r="I1642" i="3"/>
  <c r="J566" i="3"/>
  <c r="I566" i="3"/>
  <c r="J1142" i="3"/>
  <c r="I1142" i="3"/>
  <c r="I1590" i="3"/>
  <c r="J1590" i="3"/>
  <c r="I1686" i="3"/>
  <c r="J1686" i="3"/>
  <c r="J1766" i="3"/>
  <c r="I1766" i="3"/>
  <c r="I1878" i="3"/>
  <c r="J1878" i="3"/>
  <c r="I1974" i="3"/>
  <c r="J1974" i="3"/>
  <c r="I2054" i="3"/>
  <c r="J2054" i="3"/>
  <c r="I2150" i="3"/>
  <c r="J2150" i="3"/>
  <c r="I2246" i="3"/>
  <c r="J2246" i="3"/>
  <c r="I2454" i="3"/>
  <c r="J2454" i="3"/>
  <c r="J567" i="3"/>
  <c r="I567" i="3"/>
  <c r="J663" i="3"/>
  <c r="I663" i="3"/>
  <c r="I839" i="3"/>
  <c r="J839" i="3"/>
  <c r="J951" i="3"/>
  <c r="I951" i="3"/>
  <c r="J1127" i="3"/>
  <c r="I1127" i="3"/>
  <c r="J1223" i="3"/>
  <c r="I1223" i="3"/>
  <c r="J1447" i="3"/>
  <c r="I1447" i="3"/>
  <c r="I1543" i="3"/>
  <c r="J1543" i="3"/>
  <c r="I1655" i="3"/>
  <c r="J1655" i="3"/>
  <c r="J1895" i="3"/>
  <c r="I1895" i="3"/>
  <c r="J1975" i="3"/>
  <c r="I1975" i="3"/>
  <c r="J2071" i="3"/>
  <c r="I2071" i="3"/>
  <c r="I2167" i="3"/>
  <c r="J2167" i="3"/>
  <c r="I2247" i="3"/>
  <c r="J2247" i="3"/>
  <c r="J2407" i="3"/>
  <c r="I2407" i="3"/>
  <c r="J344" i="3"/>
  <c r="I344" i="3"/>
  <c r="J440" i="3"/>
  <c r="I440" i="3"/>
  <c r="J616" i="3"/>
  <c r="I616" i="3"/>
  <c r="J728" i="3"/>
  <c r="I728" i="3"/>
  <c r="J808" i="3"/>
  <c r="I808" i="3"/>
  <c r="I888" i="3"/>
  <c r="J888" i="3"/>
  <c r="J984" i="3"/>
  <c r="I984" i="3"/>
  <c r="J1080" i="3"/>
  <c r="I1080" i="3"/>
  <c r="J1176" i="3"/>
  <c r="I1176" i="3"/>
  <c r="J1272" i="3"/>
  <c r="I1272" i="3"/>
  <c r="J1352" i="3"/>
  <c r="I1352" i="3"/>
  <c r="I1432" i="3"/>
  <c r="J1432" i="3"/>
  <c r="J1512" i="3"/>
  <c r="I1512" i="3"/>
  <c r="J1608" i="3"/>
  <c r="I1608" i="3"/>
  <c r="J1704" i="3"/>
  <c r="I1704" i="3"/>
  <c r="J1784" i="3"/>
  <c r="I1784" i="3"/>
  <c r="J1896" i="3"/>
  <c r="I1896" i="3"/>
  <c r="I1992" i="3"/>
  <c r="J1992" i="3"/>
  <c r="I2072" i="3"/>
  <c r="J2072" i="3"/>
  <c r="J2152" i="3"/>
  <c r="I2152" i="3"/>
  <c r="J2248" i="3"/>
  <c r="I2248" i="3"/>
  <c r="J2376" i="3"/>
  <c r="I2376" i="3"/>
  <c r="I2472" i="3"/>
  <c r="J2472" i="3"/>
  <c r="J265" i="3"/>
  <c r="I265" i="3"/>
  <c r="I345" i="3"/>
  <c r="J345" i="3"/>
  <c r="J601" i="3"/>
  <c r="I601" i="3"/>
  <c r="J681" i="3"/>
  <c r="I681" i="3"/>
  <c r="J745" i="3"/>
  <c r="I745" i="3"/>
  <c r="I857" i="3"/>
  <c r="J857" i="3"/>
  <c r="J921" i="3"/>
  <c r="I921" i="3"/>
  <c r="J985" i="3"/>
  <c r="I985" i="3"/>
  <c r="J1113" i="3"/>
  <c r="I1113" i="3"/>
  <c r="J1193" i="3"/>
  <c r="I1193" i="3"/>
  <c r="J1273" i="3"/>
  <c r="I1273" i="3"/>
  <c r="J1337" i="3"/>
  <c r="I1337" i="3"/>
  <c r="I1433" i="3"/>
  <c r="J1433" i="3"/>
  <c r="J1481" i="3"/>
  <c r="I1481" i="3"/>
  <c r="J1545" i="3"/>
  <c r="I1545" i="3"/>
  <c r="I1689" i="3"/>
  <c r="J1689" i="3"/>
  <c r="I1769" i="3"/>
  <c r="J1769" i="3"/>
  <c r="I1833" i="3"/>
  <c r="J1833" i="3"/>
  <c r="J1865" i="3"/>
  <c r="I1865" i="3"/>
  <c r="J1945" i="3"/>
  <c r="I1945" i="3"/>
  <c r="J2009" i="3"/>
  <c r="I2009" i="3"/>
  <c r="J2089" i="3"/>
  <c r="I2089" i="3"/>
  <c r="J2169" i="3"/>
  <c r="I2169" i="3"/>
  <c r="I2249" i="3"/>
  <c r="J2249" i="3"/>
  <c r="J2313" i="3"/>
  <c r="I2313" i="3"/>
  <c r="J2441" i="3"/>
  <c r="I2441" i="3"/>
  <c r="I215" i="3"/>
  <c r="I872" i="3"/>
  <c r="J714" i="3"/>
  <c r="I714" i="3"/>
  <c r="J810" i="3"/>
  <c r="I810" i="3"/>
  <c r="J1018" i="3"/>
  <c r="I1018" i="3"/>
  <c r="J1114" i="3"/>
  <c r="I1114" i="3"/>
  <c r="J1178" i="3"/>
  <c r="I1178" i="3"/>
  <c r="J1306" i="3"/>
  <c r="I1306" i="3"/>
  <c r="J1370" i="3"/>
  <c r="I1370" i="3"/>
  <c r="J1450" i="3"/>
  <c r="I1450" i="3"/>
  <c r="J1514" i="3"/>
  <c r="I1514" i="3"/>
  <c r="J1610" i="3"/>
  <c r="I1610" i="3"/>
  <c r="I1722" i="3"/>
  <c r="J1722" i="3"/>
  <c r="J1834" i="3"/>
  <c r="I1834" i="3"/>
  <c r="I2090" i="3"/>
  <c r="J2090" i="3"/>
  <c r="J2186" i="3"/>
  <c r="I2186" i="3"/>
  <c r="I2426" i="3"/>
  <c r="J2426" i="3"/>
  <c r="I71" i="3"/>
  <c r="I375" i="3"/>
  <c r="J555" i="3"/>
  <c r="I555" i="3"/>
  <c r="J587" i="3"/>
  <c r="I587" i="3"/>
  <c r="J651" i="3"/>
  <c r="I651" i="3"/>
  <c r="J715" i="3"/>
  <c r="I715" i="3"/>
  <c r="J795" i="3"/>
  <c r="I795" i="3"/>
  <c r="J859" i="3"/>
  <c r="I859" i="3"/>
  <c r="J939" i="3"/>
  <c r="I939" i="3"/>
  <c r="J1003" i="3"/>
  <c r="I1003" i="3"/>
  <c r="J1067" i="3"/>
  <c r="I1067" i="3"/>
  <c r="J1115" i="3"/>
  <c r="I1115" i="3"/>
  <c r="J1179" i="3"/>
  <c r="I1179" i="3"/>
  <c r="J1243" i="3"/>
  <c r="I1243" i="3"/>
  <c r="J1323" i="3"/>
  <c r="I1323" i="3"/>
  <c r="J1371" i="3"/>
  <c r="I1371" i="3"/>
  <c r="J1435" i="3"/>
  <c r="I1435" i="3"/>
  <c r="J1499" i="3"/>
  <c r="I1499" i="3"/>
  <c r="J1579" i="3"/>
  <c r="I1579" i="3"/>
  <c r="J1659" i="3"/>
  <c r="I1659" i="3"/>
  <c r="J1755" i="3"/>
  <c r="I1755" i="3"/>
  <c r="J1835" i="3"/>
  <c r="I1835" i="3"/>
  <c r="J2043" i="3"/>
  <c r="I2043" i="3"/>
  <c r="I2123" i="3"/>
  <c r="J2123" i="3"/>
  <c r="I2187" i="3"/>
  <c r="J2187" i="3"/>
  <c r="I2251" i="3"/>
  <c r="J2251" i="3"/>
  <c r="J2347" i="3"/>
  <c r="I2347" i="3"/>
  <c r="J2491" i="3"/>
  <c r="I2491" i="3"/>
  <c r="I216" i="3"/>
  <c r="J968" i="3"/>
  <c r="J444" i="3"/>
  <c r="I444" i="3"/>
  <c r="J508" i="3"/>
  <c r="I508" i="3"/>
  <c r="J588" i="3"/>
  <c r="I588" i="3"/>
  <c r="J812" i="3"/>
  <c r="I812" i="3"/>
  <c r="J844" i="3"/>
  <c r="I844" i="3"/>
  <c r="J924" i="3"/>
  <c r="I924" i="3"/>
  <c r="I988" i="3"/>
  <c r="J988" i="3"/>
  <c r="J1212" i="3"/>
  <c r="I1212" i="3"/>
  <c r="J1308" i="3"/>
  <c r="I1308" i="3"/>
  <c r="J1452" i="3"/>
  <c r="I1452" i="3"/>
  <c r="J1468" i="3"/>
  <c r="I1468" i="3"/>
  <c r="J1532" i="3"/>
  <c r="I1532" i="3"/>
  <c r="J1612" i="3"/>
  <c r="I1612" i="3"/>
  <c r="J1676" i="3"/>
  <c r="I1676" i="3"/>
  <c r="J1740" i="3"/>
  <c r="I1740" i="3"/>
  <c r="J1788" i="3"/>
  <c r="I1788" i="3"/>
  <c r="I1852" i="3"/>
  <c r="J1852" i="3"/>
  <c r="J1916" i="3"/>
  <c r="I1916" i="3"/>
  <c r="J1948" i="3"/>
  <c r="I1948" i="3"/>
  <c r="J1996" i="3"/>
  <c r="I1996" i="3"/>
  <c r="J2092" i="3"/>
  <c r="I2092" i="3"/>
  <c r="I2284" i="3"/>
  <c r="J2284" i="3"/>
  <c r="I2332" i="3"/>
  <c r="J2332" i="3"/>
  <c r="J2396" i="3"/>
  <c r="I2396" i="3"/>
  <c r="J2476" i="3"/>
  <c r="I2476" i="3"/>
  <c r="I11" i="3"/>
  <c r="I72" i="3"/>
  <c r="I120" i="3"/>
  <c r="I604" i="3"/>
  <c r="J950" i="3"/>
  <c r="J557" i="3"/>
  <c r="I557" i="3"/>
  <c r="J621" i="3"/>
  <c r="I621" i="3"/>
  <c r="J701" i="3"/>
  <c r="I701" i="3"/>
  <c r="J781" i="3"/>
  <c r="I781" i="3"/>
  <c r="J845" i="3"/>
  <c r="I845" i="3"/>
  <c r="J941" i="3"/>
  <c r="I941" i="3"/>
  <c r="J1005" i="3"/>
  <c r="I1005" i="3"/>
  <c r="J1069" i="3"/>
  <c r="I1069" i="3"/>
  <c r="J1133" i="3"/>
  <c r="I1133" i="3"/>
  <c r="J1533" i="3"/>
  <c r="I1533" i="3"/>
  <c r="J1677" i="3"/>
  <c r="I1677" i="3"/>
  <c r="J1741" i="3"/>
  <c r="I1741" i="3"/>
  <c r="J1789" i="3"/>
  <c r="I1789" i="3"/>
  <c r="J1853" i="3"/>
  <c r="I1853" i="3"/>
  <c r="I1917" i="3"/>
  <c r="J1917" i="3"/>
  <c r="J1981" i="3"/>
  <c r="I1981" i="3"/>
  <c r="J2045" i="3"/>
  <c r="I2045" i="3"/>
  <c r="I2093" i="3"/>
  <c r="J2093" i="3"/>
  <c r="I2221" i="3"/>
  <c r="J2221" i="3"/>
  <c r="J92" i="3"/>
  <c r="I121" i="3"/>
  <c r="I218" i="3"/>
  <c r="I301" i="3"/>
  <c r="J422" i="3"/>
  <c r="J552" i="3"/>
  <c r="I972" i="3"/>
  <c r="J41" i="3"/>
  <c r="I59" i="3"/>
  <c r="J104" i="3"/>
  <c r="I152" i="3"/>
  <c r="J202" i="3"/>
  <c r="J252" i="3"/>
  <c r="I395" i="3"/>
  <c r="J428" i="3"/>
  <c r="I631" i="3"/>
  <c r="I694" i="3"/>
  <c r="J710" i="3"/>
  <c r="I1147" i="3"/>
  <c r="I1546" i="3"/>
  <c r="J1629" i="3"/>
  <c r="I1838" i="3"/>
  <c r="J1838" i="3"/>
  <c r="I1902" i="3"/>
  <c r="J1902" i="3"/>
  <c r="I1982" i="3"/>
  <c r="J1982" i="3"/>
  <c r="I2062" i="3"/>
  <c r="J2062" i="3"/>
  <c r="I2110" i="3"/>
  <c r="J2110" i="3"/>
  <c r="I2126" i="3"/>
  <c r="J2126" i="3"/>
  <c r="I2206" i="3"/>
  <c r="J2206" i="3"/>
  <c r="I2238" i="3"/>
  <c r="J2238" i="3"/>
  <c r="J2127" i="3"/>
  <c r="I2127" i="3"/>
  <c r="J2143" i="3"/>
  <c r="I2143" i="3"/>
  <c r="J2144" i="3"/>
  <c r="I2144" i="3"/>
  <c r="J2160" i="3"/>
  <c r="I2160" i="3"/>
  <c r="I2271" i="3"/>
  <c r="I2399" i="3"/>
  <c r="J2254" i="3"/>
  <c r="I2365" i="3"/>
  <c r="J2382" i="3"/>
  <c r="I2493" i="3"/>
  <c r="I2255" i="3"/>
  <c r="I2383" i="3"/>
  <c r="J2366" i="3"/>
  <c r="J2494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B2" i="3"/>
  <c r="D2" i="3"/>
  <c r="J2" i="3" s="1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I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Wiyani</author>
    <author>Ian Yustiar Irsyadi</author>
  </authors>
  <commentList>
    <comment ref="A1" authorId="0" shapeId="0" xr:uid="{E409E520-7F27-4AAE-ABCE-C4154D77FA89}">
      <text>
        <r>
          <rPr>
            <b/>
            <sz val="9"/>
            <color indexed="81"/>
            <rFont val="Tahoma"/>
            <family val="2"/>
          </rPr>
          <t>FA:</t>
        </r>
        <r>
          <rPr>
            <sz val="9"/>
            <color indexed="81"/>
            <rFont val="Tahoma"/>
            <family val="2"/>
          </rPr>
          <t xml:space="preserve">
Pilihlah kategori asal asset tersebut.
-  BIP untuk new investment
-  CIP untuk asset yang sudah ada di list CIP (Construction In Progress) yang akan didistribusikan oleh FA department
-  CFA untuk Current Fixed Assets (Existing Assets)</t>
        </r>
      </text>
    </comment>
    <comment ref="E1" authorId="0" shapeId="0" xr:uid="{4F72E581-0048-481D-8496-7D646B127666}">
      <text>
        <r>
          <rPr>
            <b/>
            <sz val="9"/>
            <color indexed="81"/>
            <rFont val="Tahoma"/>
            <family val="2"/>
          </rPr>
          <t>FA:</t>
        </r>
        <r>
          <rPr>
            <sz val="9"/>
            <color indexed="81"/>
            <rFont val="Tahoma"/>
            <family val="2"/>
          </rPr>
          <t xml:space="preserve">
Isi dengan departemen yang akan menggunakan asset</t>
        </r>
      </text>
    </comment>
    <comment ref="H1" authorId="1" shapeId="0" xr:uid="{867AA1D0-F4F3-438E-AB89-F60B2DEC725B}">
      <text>
        <r>
          <rPr>
            <b/>
            <sz val="9"/>
            <color indexed="81"/>
            <rFont val="Tahoma"/>
            <family val="2"/>
          </rPr>
          <t>FA:</t>
        </r>
        <r>
          <rPr>
            <sz val="9"/>
            <color indexed="81"/>
            <rFont val="Tahoma"/>
            <family val="2"/>
          </rPr>
          <t xml:space="preserve">
Masukkan daftar asset yang akan di akuisisi pada periode berikut ini:
1. </t>
        </r>
        <r>
          <rPr>
            <b/>
            <sz val="9"/>
            <color indexed="81"/>
            <rFont val="Tahoma"/>
            <family val="2"/>
          </rPr>
          <t>Nov 2024 - Maret 2025</t>
        </r>
        <r>
          <rPr>
            <sz val="9"/>
            <color indexed="81"/>
            <rFont val="Tahoma"/>
            <family val="2"/>
          </rPr>
          <t xml:space="preserve">
2. FY126 (Apr 2025 - Mar 2026)
3. FY127 (Apr 2026 - Mar 2027)
4. FY128 (Apr 2027 - Mar 2028)</t>
        </r>
      </text>
    </comment>
    <comment ref="K1" authorId="0" shapeId="0" xr:uid="{22A4F3B0-E307-45E0-8B5A-9D1E5F1535C2}">
      <text>
        <r>
          <rPr>
            <b/>
            <sz val="9"/>
            <color indexed="81"/>
            <rFont val="Tahoma"/>
            <family val="2"/>
          </rPr>
          <t>FA:</t>
        </r>
        <r>
          <rPr>
            <sz val="9"/>
            <color indexed="81"/>
            <rFont val="Tahoma"/>
            <family val="2"/>
          </rPr>
          <t xml:space="preserve">
Isikan kolom ini dengan nilai asset secara keseluruhan, contoh; nilai mesin + jasa instalasi + biaya trial + dll
Untuk asset yang akan dialokasikan kebeberapa departemen, harap cantumkan nilai total asset (tidak perlu dibagi secara manual)</t>
        </r>
      </text>
    </comment>
    <comment ref="M1" authorId="0" shapeId="0" xr:uid="{D897555E-DAB9-462E-8345-D1D1E5CCB8D5}">
      <text>
        <r>
          <rPr>
            <b/>
            <sz val="9"/>
            <color indexed="81"/>
            <rFont val="Tahoma"/>
            <family val="2"/>
          </rPr>
          <t>FA:</t>
        </r>
        <r>
          <rPr>
            <sz val="9"/>
            <color indexed="81"/>
            <rFont val="Tahoma"/>
            <family val="2"/>
          </rPr>
          <t xml:space="preserve">
Isi dengan persentase, pembagian untuk asset yang dialokasikan ke beberapa departemen</t>
        </r>
      </text>
    </comment>
    <comment ref="N1" authorId="0" shapeId="0" xr:uid="{81CBBDAE-34B1-4CB7-856D-CC9DFD57C8DC}">
      <text>
        <r>
          <rPr>
            <b/>
            <sz val="9"/>
            <color indexed="81"/>
            <rFont val="Tahoma"/>
            <family val="2"/>
          </rPr>
          <t>FA:</t>
        </r>
        <r>
          <rPr>
            <sz val="9"/>
            <color indexed="81"/>
            <rFont val="Tahoma"/>
            <family val="2"/>
          </rPr>
          <t xml:space="preserve">
Isikan dengan tanggal, kapan asset tersebut akan mulai digunakan 
Format = MM/DD/YYYY</t>
        </r>
      </text>
    </comment>
  </commentList>
</comments>
</file>

<file path=xl/sharedStrings.xml><?xml version="1.0" encoding="utf-8"?>
<sst xmlns="http://schemas.openxmlformats.org/spreadsheetml/2006/main" count="1054" uniqueCount="544">
  <si>
    <t>Group Cost</t>
  </si>
  <si>
    <t>UNIQ</t>
  </si>
  <si>
    <t>COA Budget</t>
  </si>
  <si>
    <t>Description</t>
  </si>
  <si>
    <t>Salary for Commissioner</t>
  </si>
  <si>
    <t>SGA</t>
  </si>
  <si>
    <t>A502</t>
  </si>
  <si>
    <t>Salary for Director</t>
  </si>
  <si>
    <t>Salary for Director &amp; Expat</t>
  </si>
  <si>
    <t>A501</t>
  </si>
  <si>
    <t>Basic Salary of permanent employee</t>
  </si>
  <si>
    <t>Staff Labor - Allowance</t>
  </si>
  <si>
    <t>Employee allowance</t>
  </si>
  <si>
    <t>Staff Labor - Tax allowance (art.21)</t>
  </si>
  <si>
    <t>Empployee Tax allowance</t>
  </si>
  <si>
    <t>Staff Labor - BPJS JK &amp; JKK (1.19%)</t>
  </si>
  <si>
    <t>BPJS JK &amp; JKK (death warrant, Accident Insurance)</t>
  </si>
  <si>
    <t>Staff Labor - BPJS Kesehatan (4%)</t>
  </si>
  <si>
    <t>BPJS health insurance</t>
  </si>
  <si>
    <t>Staff Overtime</t>
  </si>
  <si>
    <t>A503</t>
  </si>
  <si>
    <t>Overtime permanent employee</t>
  </si>
  <si>
    <t>Staff Welfare - BPJS Dana pensiun (2%)</t>
  </si>
  <si>
    <t>A504</t>
  </si>
  <si>
    <t>BPJS pension fund</t>
  </si>
  <si>
    <t>Staff Welfare - BPJS JHT (3.7%)</t>
  </si>
  <si>
    <t>BPJS Pension plan</t>
  </si>
  <si>
    <t>Staff Bonus / TAT</t>
  </si>
  <si>
    <t>Year-end allowance &amp; Alpha</t>
  </si>
  <si>
    <t>Staff Ramadhan / THR</t>
  </si>
  <si>
    <t>Lebaran bonus</t>
  </si>
  <si>
    <t>Staff Welfare - Outpatient (Medical)</t>
  </si>
  <si>
    <t>outpatient treatment costs</t>
  </si>
  <si>
    <t>Staff Welfare - Hospitalization</t>
  </si>
  <si>
    <t>hospitalization costs</t>
  </si>
  <si>
    <t>Staff Welfare - Glasses</t>
  </si>
  <si>
    <t>glasses costs</t>
  </si>
  <si>
    <t>Staff Welfare - Dental</t>
  </si>
  <si>
    <t>dental costs</t>
  </si>
  <si>
    <t>Staff Welfare - Medical Check Up</t>
  </si>
  <si>
    <t>Medical Check Up cost</t>
  </si>
  <si>
    <t>Staff Welfare - Uniform</t>
  </si>
  <si>
    <t>uniform costs</t>
  </si>
  <si>
    <t>Staff Welfare - Family Gathering / Anniversary</t>
  </si>
  <si>
    <t>Family Gathering / Anniversary</t>
  </si>
  <si>
    <t>Staff Welfare - Meals of canteen &amp; other meals</t>
  </si>
  <si>
    <t>Meals of canteen &amp; other meals cost</t>
  </si>
  <si>
    <t>Staff Welfare - Kaizen &amp; QCC reward</t>
  </si>
  <si>
    <t>an expense, arising from Kaizen and QCC acitivity</t>
  </si>
  <si>
    <t>Staff Welfare - Welfare Others</t>
  </si>
  <si>
    <t>an other welfare expense, arising besides the above welfare expense</t>
  </si>
  <si>
    <t>Retirement Allowance</t>
  </si>
  <si>
    <t>employee retirement provission costs</t>
  </si>
  <si>
    <t>House Rent Allowance</t>
  </si>
  <si>
    <t>House Rent Allowance for expat</t>
  </si>
  <si>
    <t>Casual Staff Labor - Basic Salary</t>
  </si>
  <si>
    <t>All benefit for temporary worker</t>
  </si>
  <si>
    <t>Casual Staff Labor - Overtime</t>
  </si>
  <si>
    <t>Overtime temporary worker</t>
  </si>
  <si>
    <t>Personnel expense transferred</t>
  </si>
  <si>
    <t>Transfer Labor cost from one section into another section</t>
  </si>
  <si>
    <t>Depreciation-Building</t>
  </si>
  <si>
    <t>A601</t>
  </si>
  <si>
    <t>the amount of depreciation of tangible assets for building</t>
  </si>
  <si>
    <t>Depreciation-Machiney &amp; equipment</t>
  </si>
  <si>
    <t>the amount of depreciation of tangible assets for machinery &amp; factory equipment</t>
  </si>
  <si>
    <t>Depreciation-Vehicles</t>
  </si>
  <si>
    <t>the amount of depreciation of tangible assets for vehicles</t>
  </si>
  <si>
    <t>Depreciation-Tools, furniture &amp; office equipment</t>
  </si>
  <si>
    <t>the amount of depreciation of tangible assets for office tools, furniture &amp; office equipment</t>
  </si>
  <si>
    <t>Depreciation-Software</t>
  </si>
  <si>
    <t>Rental car</t>
  </si>
  <si>
    <t>A801</t>
  </si>
  <si>
    <t>The expenses of car rent</t>
  </si>
  <si>
    <t>A701</t>
  </si>
  <si>
    <t>The expenses of rent beside car rent, such as copy machine, dispenser, etc.</t>
  </si>
  <si>
    <t>Electricity Charge</t>
  </si>
  <si>
    <t>A1003</t>
  </si>
  <si>
    <t xml:space="preserve">Electricity consumption </t>
  </si>
  <si>
    <t>Water Supply Charge</t>
  </si>
  <si>
    <t>A1004</t>
  </si>
  <si>
    <t xml:space="preserve">Water consumption </t>
  </si>
  <si>
    <t>Repair Building</t>
  </si>
  <si>
    <t>A1002</t>
  </si>
  <si>
    <t>expenses for repair and maintenance asset building</t>
  </si>
  <si>
    <t>Repair of Equipment</t>
  </si>
  <si>
    <t>expenses for repair and maintenance tangible assets, intangible assets and other assets beside building</t>
  </si>
  <si>
    <t>Factory Supply Expense</t>
  </si>
  <si>
    <t>A1099</t>
  </si>
  <si>
    <t xml:space="preserve">All cost that arrising to support factory acitivity </t>
  </si>
  <si>
    <t>Calibration Cost</t>
  </si>
  <si>
    <t>Cost of calibration for tools and equipment of factory and others</t>
  </si>
  <si>
    <t>Transportation Fee for employee</t>
  </si>
  <si>
    <t>Gasoline of company cars &amp; expense for Local transportation</t>
  </si>
  <si>
    <t>Travel Expense-Domestic</t>
  </si>
  <si>
    <t>expenses for business trip, including allowance for business trip to an employee only for domestic travel</t>
  </si>
  <si>
    <t>Travel Expense-Oversea</t>
  </si>
  <si>
    <t>expenses for business trip, including allowance for business trip to an employee only for overseas travel</t>
  </si>
  <si>
    <t>Entertainment</t>
  </si>
  <si>
    <t>A1001</t>
  </si>
  <si>
    <t>the amount of expenses for the act of entertaining the business partner</t>
  </si>
  <si>
    <t>Amortization of Land &amp; Building tax (PBB)</t>
  </si>
  <si>
    <t>the amount of depreciation of intangible of Land &amp; Building Tax (PBB)</t>
  </si>
  <si>
    <t>License fee</t>
  </si>
  <si>
    <t>The expense related with the documentation process, such as : KIR, Car lisence, company lisence, etc.</t>
  </si>
  <si>
    <t>Insurance Premium</t>
  </si>
  <si>
    <t>expenses for risk management with no premium at the end of the term, such as fire insurance for plants and inventories</t>
  </si>
  <si>
    <t>Office supply &amp; Stationary Expense</t>
  </si>
  <si>
    <t>the amount of supplies for office, such as stationery. Small office equipment included</t>
  </si>
  <si>
    <t>Communication expenses</t>
  </si>
  <si>
    <t>expenses for communication with a people in remote place, such as expense for telephone and postage</t>
  </si>
  <si>
    <t>IT Expense</t>
  </si>
  <si>
    <t>A1005</t>
  </si>
  <si>
    <t>the amount of supplies for IT tools</t>
  </si>
  <si>
    <t>Stamp/Post Fee</t>
  </si>
  <si>
    <t>The expenses related with stamp duty</t>
  </si>
  <si>
    <t>Consultancy/Professional Fee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</si>
  <si>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</si>
  <si>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</si>
  <si>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</si>
  <si>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All fees that paid to NGK group</t>
  </si>
  <si>
    <t>Ticket &amp; accomodation of trainer (from NGK Group)</t>
  </si>
  <si>
    <t>The expenses related with the person who come from NGK Group that will provide training to NGK Busi</t>
  </si>
  <si>
    <t>Miscellaneous Expense</t>
  </si>
  <si>
    <t>others operational expense</t>
  </si>
  <si>
    <t>Publishing Expense</t>
  </si>
  <si>
    <t>News paper, magazine, and other publishing cost</t>
  </si>
  <si>
    <t>Cleaning Expense</t>
  </si>
  <si>
    <t>The expenses related with the tools or other for cleaning activity</t>
  </si>
  <si>
    <t>Training Expense</t>
  </si>
  <si>
    <t>A1006</t>
  </si>
  <si>
    <t>Training cost</t>
  </si>
  <si>
    <t>Recruitment Fee</t>
  </si>
  <si>
    <t>Cost for recruitment process</t>
  </si>
  <si>
    <t>Expatriate expenses exclude labor cost</t>
  </si>
  <si>
    <t>Incidental costs related to expatriete</t>
  </si>
  <si>
    <t>Expatriate fee Tax (BADORA)</t>
  </si>
  <si>
    <t>Tax income from expatriete</t>
  </si>
  <si>
    <t>Freights and Export expense</t>
  </si>
  <si>
    <t>A201</t>
  </si>
  <si>
    <t>an expense, arising from export transaction such as; insurance, pallet, freight cost</t>
  </si>
  <si>
    <t>Transportation for Goods</t>
  </si>
  <si>
    <t>A202</t>
  </si>
  <si>
    <t>Transportion expense of local goods sales</t>
  </si>
  <si>
    <t>Packing for Sale</t>
  </si>
  <si>
    <t>A203</t>
  </si>
  <si>
    <t>Packing expense for local good sales</t>
  </si>
  <si>
    <t>Advertising expenses</t>
  </si>
  <si>
    <t>A401</t>
  </si>
  <si>
    <t>an expense for advertise or publication of goods</t>
  </si>
  <si>
    <t>A499</t>
  </si>
  <si>
    <t>Sample expense</t>
  </si>
  <si>
    <t>Sales - Insurance of Delivery or Shipment</t>
  </si>
  <si>
    <t>Sales - Insurance of AR (Credit Insurance)</t>
  </si>
  <si>
    <t>Sales - Royalty to NGK Group</t>
  </si>
  <si>
    <t>Sales - Royalty to Independence Party</t>
  </si>
  <si>
    <t>Import Duty-purchased FG from NGK group</t>
  </si>
  <si>
    <t>MFG</t>
  </si>
  <si>
    <t>Import Duty-purchased KD&amp;RM from NGK Japan</t>
  </si>
  <si>
    <t>Import Duty-purchased KD&amp;RM from NGK Group(Not fromJP)</t>
  </si>
  <si>
    <t>Import Duty-purchased Comp Parts&amp;RM from outside supplier</t>
  </si>
  <si>
    <t>Import Expense-purchased FG from NGK group</t>
  </si>
  <si>
    <t>Import Expense-purchased KD&amp;RM from NGK Japan</t>
  </si>
  <si>
    <t>Import Expense-purchased KD&amp;RM from NGK Group(Not fromJP)</t>
  </si>
  <si>
    <t>Import Expense-purchased Comp Parts&amp;RM from outside supplier</t>
  </si>
  <si>
    <t>Cost of Factory Supply</t>
  </si>
  <si>
    <t>The expenses of Chemicals consumption</t>
  </si>
  <si>
    <t>Cost of Packaging</t>
  </si>
  <si>
    <t>Cost of Tooling</t>
  </si>
  <si>
    <t>The expenses of Tooling consumption</t>
  </si>
  <si>
    <t>Cost of Machinery parts</t>
  </si>
  <si>
    <t>The expenses of Spare Parts consumption</t>
  </si>
  <si>
    <t>Others - Miscellaneous Waste</t>
  </si>
  <si>
    <t>OTH</t>
  </si>
  <si>
    <t>Others - Miscellaneous Tax</t>
  </si>
  <si>
    <t>Others - Sport Activity</t>
  </si>
  <si>
    <t>Others - Retribution / Garbage Cost</t>
  </si>
  <si>
    <t>Others - Miscellaneous Non Operational Expense</t>
  </si>
  <si>
    <t>Other Income</t>
  </si>
  <si>
    <t>BNGK</t>
  </si>
  <si>
    <t>GROUP COST</t>
  </si>
  <si>
    <t>GROUP SECTION</t>
  </si>
  <si>
    <t>COA Assets</t>
  </si>
  <si>
    <t>Name of Asset</t>
  </si>
  <si>
    <t>COA Depre</t>
  </si>
  <si>
    <t>Name of Depre</t>
  </si>
  <si>
    <t>Top Management</t>
  </si>
  <si>
    <t>B1000</t>
  </si>
  <si>
    <t>ADM</t>
  </si>
  <si>
    <t>Commissioner</t>
  </si>
  <si>
    <t>B1001</t>
  </si>
  <si>
    <t>Admin &amp; HR</t>
  </si>
  <si>
    <t>B2200</t>
  </si>
  <si>
    <t>Vehicles</t>
  </si>
  <si>
    <t>General Affair</t>
  </si>
  <si>
    <t>B2210</t>
  </si>
  <si>
    <t>Tools, furniture &amp; office equipment</t>
  </si>
  <si>
    <t>Human Resource</t>
  </si>
  <si>
    <t>B2220</t>
  </si>
  <si>
    <t>Software</t>
  </si>
  <si>
    <t>Health, Safety &amp; Environment</t>
  </si>
  <si>
    <t>B2230</t>
  </si>
  <si>
    <t>Accounting &amp; Finance</t>
  </si>
  <si>
    <t>B2300</t>
  </si>
  <si>
    <t>Information Technology</t>
  </si>
  <si>
    <t>B2400</t>
  </si>
  <si>
    <t>Sales &amp; MKTG Dept.- Automotive</t>
  </si>
  <si>
    <t>B3100</t>
  </si>
  <si>
    <t>Marketing</t>
  </si>
  <si>
    <t>B3160</t>
  </si>
  <si>
    <t>Sales - OEM</t>
  </si>
  <si>
    <t>B3110</t>
  </si>
  <si>
    <t>Sales - OES</t>
  </si>
  <si>
    <t>B3120</t>
  </si>
  <si>
    <t>Sales - IAM</t>
  </si>
  <si>
    <t>B3130</t>
  </si>
  <si>
    <t>SP PD- CF</t>
  </si>
  <si>
    <t>B4101</t>
  </si>
  <si>
    <t>DIR</t>
  </si>
  <si>
    <t>SP PD- CM</t>
  </si>
  <si>
    <t>B4102</t>
  </si>
  <si>
    <t>SP PD- WT</t>
  </si>
  <si>
    <t>B4103</t>
  </si>
  <si>
    <t>SP PD- Plating</t>
  </si>
  <si>
    <t>B4105</t>
  </si>
  <si>
    <t>SP PD- MS Insp.</t>
  </si>
  <si>
    <t>B4109</t>
  </si>
  <si>
    <t>SP PD- Assy</t>
  </si>
  <si>
    <t>B4110</t>
  </si>
  <si>
    <t>SP-PD-Assy-Auto Assembly</t>
  </si>
  <si>
    <t>B4115</t>
  </si>
  <si>
    <t>SP PD- Bending</t>
  </si>
  <si>
    <t>B4114</t>
  </si>
  <si>
    <t>SP PD- Final Inspection</t>
  </si>
  <si>
    <t>B4120</t>
  </si>
  <si>
    <t>SP PD- QC - OEM</t>
  </si>
  <si>
    <t>B4121</t>
  </si>
  <si>
    <t>PC PD- Injection</t>
  </si>
  <si>
    <t>B4410</t>
  </si>
  <si>
    <t>PC PD- Assy</t>
  </si>
  <si>
    <t>B4430</t>
  </si>
  <si>
    <t>PC PD- QC</t>
  </si>
  <si>
    <t>B4440</t>
  </si>
  <si>
    <t>Plant Operation (Indirect Mfg)</t>
  </si>
  <si>
    <t>B5000</t>
  </si>
  <si>
    <t>IND</t>
  </si>
  <si>
    <t>Production Office</t>
  </si>
  <si>
    <t>B5100</t>
  </si>
  <si>
    <t>Production Office (SP)</t>
  </si>
  <si>
    <t>B5101</t>
  </si>
  <si>
    <t>Production Office (PC)</t>
  </si>
  <si>
    <t>B5104</t>
  </si>
  <si>
    <t>Quality Assurance</t>
  </si>
  <si>
    <t>B5800</t>
  </si>
  <si>
    <t>Quality Control</t>
  </si>
  <si>
    <t>B5900</t>
  </si>
  <si>
    <t>Maintenance</t>
  </si>
  <si>
    <t>B5500</t>
  </si>
  <si>
    <t>Production Engineering</t>
  </si>
  <si>
    <t>B5600</t>
  </si>
  <si>
    <t>Supply Procurement</t>
  </si>
  <si>
    <t>B5130</t>
  </si>
  <si>
    <t>Inventory Control</t>
  </si>
  <si>
    <t>B5200</t>
  </si>
  <si>
    <t>WH Dept.- KD &amp; RM</t>
  </si>
  <si>
    <t>B5710</t>
  </si>
  <si>
    <t>SCM - FG WH</t>
  </si>
  <si>
    <t>B3150</t>
  </si>
  <si>
    <t>Continuous Improvement</t>
  </si>
  <si>
    <t>B5007</t>
  </si>
  <si>
    <t>Asset Name</t>
  </si>
  <si>
    <t>Coa Name</t>
  </si>
  <si>
    <t>Coa ID</t>
  </si>
  <si>
    <t>Acquisition Value</t>
  </si>
  <si>
    <t>Useful Life</t>
  </si>
  <si>
    <t>Allocation %</t>
  </si>
  <si>
    <t>Depre Start</t>
  </si>
  <si>
    <t>BIP</t>
  </si>
  <si>
    <t>CIP</t>
  </si>
  <si>
    <t>A</t>
  </si>
  <si>
    <t>Must</t>
  </si>
  <si>
    <t>If this is not done, the company or our team cannot continue its business.</t>
  </si>
  <si>
    <t>B</t>
  </si>
  <si>
    <t>Want to</t>
  </si>
  <si>
    <t>We want to do it as a team this term. we need it.</t>
  </si>
  <si>
    <t>C</t>
  </si>
  <si>
    <t>Challenge</t>
  </si>
  <si>
    <t>We want to do it for this term or the future. But it doesn't matter if it's not this term.</t>
  </si>
  <si>
    <t>Priority Code</t>
  </si>
  <si>
    <t>Priority Name</t>
  </si>
  <si>
    <t>Budget Allocation</t>
  </si>
  <si>
    <t>Staff Welfare - Safety Shoes</t>
  </si>
  <si>
    <t>Depreciation-Lease Machinery &amp; equipment</t>
  </si>
  <si>
    <t>the amount of depreciation of tangible assets for machinery &amp; factory equipment (Leases)</t>
  </si>
  <si>
    <t>Depreciation - Right of use Assets</t>
  </si>
  <si>
    <t>the amount of depreciation of right of use assets</t>
  </si>
  <si>
    <t>All</t>
  </si>
  <si>
    <t>Audit Fee</t>
  </si>
  <si>
    <t>a fee for external auditor of accounting assessment</t>
  </si>
  <si>
    <t>Security Guard</t>
  </si>
  <si>
    <t>Fee for security from outsourcing company</t>
  </si>
  <si>
    <t>Service Fee (Canteen Meal &amp; other service for staff)</t>
  </si>
  <si>
    <t>Expense for canteen</t>
  </si>
  <si>
    <t>Import Duty-purchased FG from outside supplier</t>
  </si>
  <si>
    <t>Import Expense-purchased FG from outside supplier</t>
  </si>
  <si>
    <t>Expense-purchased Packaging material from outside supplier</t>
  </si>
  <si>
    <t>Subcontracting Cost</t>
  </si>
  <si>
    <t>Indirect material costs</t>
  </si>
  <si>
    <t>Cost of Oil</t>
  </si>
  <si>
    <t>To Section (Code)</t>
  </si>
  <si>
    <t>To Section (Name)</t>
  </si>
  <si>
    <t>Section From (Code)</t>
  </si>
  <si>
    <t>Section From (Name)</t>
  </si>
  <si>
    <t>Budget_Period</t>
  </si>
  <si>
    <t>Budget Type</t>
  </si>
  <si>
    <t>Group Section</t>
  </si>
  <si>
    <t>CFA</t>
  </si>
  <si>
    <t>Machinery &amp; Equipment - New</t>
  </si>
  <si>
    <t>Machinery &amp; Equipment - Second</t>
  </si>
  <si>
    <t>a construction such as a factory that has a roof and walls and Structure a construction fixed on land other than a building.</t>
  </si>
  <si>
    <t>Devices that used for production, such as cold forming equipment, an assembly machine, and All Factory Equiptment (new)</t>
  </si>
  <si>
    <t>Devices that used for production, such as cold forming equipment, an assembly machine, and All Factory Equiptment (second)</t>
  </si>
  <si>
    <t>things that used for surface-transporting people or goods, such as cars, trucks and forklifts.</t>
  </si>
  <si>
    <t>&gt; 5.000.000</t>
  </si>
  <si>
    <t>furniture that we used in office and factory, and Office equipment, such as fax machine, printer, komputer, note book, etc</t>
  </si>
  <si>
    <t>Value</t>
  </si>
  <si>
    <t>Sales &amp; MKTG Dept.- DID Chain</t>
  </si>
  <si>
    <t>B3172</t>
  </si>
  <si>
    <t>B4130</t>
  </si>
  <si>
    <t>Password protect sheet = budget</t>
  </si>
  <si>
    <t>This is used for version checking on portal, do not delete!.</t>
  </si>
  <si>
    <t>SP PD - Insulator Sealing</t>
  </si>
  <si>
    <t>Name COA D365</t>
  </si>
  <si>
    <t>COA D365</t>
  </si>
  <si>
    <t>&gt; 50.000.000</t>
  </si>
  <si>
    <t>&gt; 100.000.000</t>
  </si>
  <si>
    <t>&gt; 250.000.000</t>
  </si>
  <si>
    <t>&gt; 25.000.000</t>
  </si>
  <si>
    <t>PT Niterra Mobility Indonesia</t>
  </si>
  <si>
    <r>
      <rPr>
        <b/>
        <sz val="10"/>
        <color theme="0"/>
        <rFont val="Tahoma"/>
        <family val="2"/>
      </rPr>
      <t>Name</t>
    </r>
  </si>
  <si>
    <t>Name</t>
  </si>
  <si>
    <t>Code</t>
  </si>
  <si>
    <t>SGA-7511101</t>
  </si>
  <si>
    <t>SGA-7511102</t>
  </si>
  <si>
    <t>Staff Labor - Basic Salary</t>
  </si>
  <si>
    <t>SGA-7511103</t>
  </si>
  <si>
    <t>SGA-7511111</t>
  </si>
  <si>
    <t>SGA-7511112</t>
  </si>
  <si>
    <t>SGA-7511121</t>
  </si>
  <si>
    <t>SGA-7511122</t>
  </si>
  <si>
    <t>SGA-7511201</t>
  </si>
  <si>
    <t>SGA-7512111</t>
  </si>
  <si>
    <t>SGA-7512112</t>
  </si>
  <si>
    <t>SGA-7514101</t>
  </si>
  <si>
    <t>SGA-7514102</t>
  </si>
  <si>
    <t>SGA-7515401</t>
  </si>
  <si>
    <t>SGA-7515402</t>
  </si>
  <si>
    <t>SGA-7515403</t>
  </si>
  <si>
    <t>SGA-7515404</t>
  </si>
  <si>
    <t>SGA-7515405</t>
  </si>
  <si>
    <t>SGA-7515406</t>
  </si>
  <si>
    <t>SGA-7515407</t>
  </si>
  <si>
    <t>Safety shoes costs</t>
  </si>
  <si>
    <t>SGA-7515408</t>
  </si>
  <si>
    <t>SGA-7515409</t>
  </si>
  <si>
    <t>SGA-7515410</t>
  </si>
  <si>
    <t>SGA-7515499</t>
  </si>
  <si>
    <t>SGA-7516102</t>
  </si>
  <si>
    <r>
      <rPr>
        <sz val="10"/>
        <color rgb="FF0033CC"/>
        <rFont val="Tahoma"/>
        <family val="2"/>
      </rPr>
      <t>A505</t>
    </r>
  </si>
  <si>
    <t>SGA-7519101</t>
  </si>
  <si>
    <t>SGA-7521101</t>
  </si>
  <si>
    <t>SGA-7521102</t>
  </si>
  <si>
    <t>SGA-7571101</t>
  </si>
  <si>
    <r>
      <rPr>
        <sz val="10"/>
        <color rgb="FF0033CC"/>
        <rFont val="Tahoma"/>
        <family val="2"/>
      </rPr>
      <t>A506</t>
    </r>
  </si>
  <si>
    <t>SGA-7611100</t>
  </si>
  <si>
    <t>SGA-7611300</t>
  </si>
  <si>
    <t>SGA-7611400</t>
  </si>
  <si>
    <t>SGA-7611500</t>
  </si>
  <si>
    <t>SGA-7611600</t>
  </si>
  <si>
    <t>SGA-7611700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</si>
  <si>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</si>
  <si>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SGA-7611800</t>
  </si>
  <si>
    <t>SGA-7621101</t>
  </si>
  <si>
    <t>Other Rental Fee</t>
  </si>
  <si>
    <t>SGA-7621199</t>
  </si>
  <si>
    <t>SGA-7631101</t>
  </si>
  <si>
    <t>SGA-7631102</t>
  </si>
  <si>
    <t>SGA-7641101</t>
  </si>
  <si>
    <t>SGA-7641102</t>
  </si>
  <si>
    <t>SGA-7641103</t>
  </si>
  <si>
    <t>SGA-7641104</t>
  </si>
  <si>
    <t>SGA-7651101</t>
  </si>
  <si>
    <t>SGA-7651102</t>
  </si>
  <si>
    <t>SGA-7651103</t>
  </si>
  <si>
    <t>SGA-7661101</t>
  </si>
  <si>
    <t>SGA-7671102</t>
  </si>
  <si>
    <t>SGA-7671103</t>
  </si>
  <si>
    <t>SGA-7681101</t>
  </si>
  <si>
    <t>SGA-7691000</t>
  </si>
  <si>
    <t>SGA-7711101</t>
  </si>
  <si>
    <t>SGA-7711102</t>
  </si>
  <si>
    <t>SGA-7711103</t>
  </si>
  <si>
    <t>SGA-7721101</t>
  </si>
  <si>
    <t>SGA-7729101</t>
  </si>
  <si>
    <t>SGA-7729103</t>
  </si>
  <si>
    <t>A1101</t>
  </si>
  <si>
    <t>SGA-7729105</t>
  </si>
  <si>
    <t>SGA-7781101</t>
  </si>
  <si>
    <t>SGA-7781103</t>
  </si>
  <si>
    <t>SGA-7781104</t>
  </si>
  <si>
    <t>SGA-7781105</t>
  </si>
  <si>
    <t>SGA-7781106</t>
  </si>
  <si>
    <t>SGA-7781107</t>
  </si>
  <si>
    <t>SGA-7781111</t>
  </si>
  <si>
    <t>SGA-7781112</t>
  </si>
  <si>
    <t>SGA-7781113</t>
  </si>
  <si>
    <t>SGA-7411101</t>
  </si>
  <si>
    <t>SGA-7411103</t>
  </si>
  <si>
    <t>SGA-7411104</t>
  </si>
  <si>
    <t>SGA-7431101</t>
  </si>
  <si>
    <t>Sale Promotion-Coupon</t>
  </si>
  <si>
    <t>SGA-7451101</t>
  </si>
  <si>
    <r>
      <rPr>
        <sz val="10"/>
        <color rgb="FF0033CC"/>
        <rFont val="Tahoma"/>
        <family val="2"/>
      </rPr>
      <t>A402</t>
    </r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</si>
  <si>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</si>
  <si>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 Goods</t>
  </si>
  <si>
    <t>SGA-7451102</t>
  </si>
  <si>
    <t>A403</t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</si>
  <si>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</si>
  <si>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Promotion-Activity</t>
  </si>
  <si>
    <t>SGA-7451103</t>
  </si>
  <si>
    <t>A404</t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</si>
  <si>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</si>
  <si>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SGA-7461101</t>
  </si>
  <si>
    <t>SGA-7411105</t>
  </si>
  <si>
    <t>A299</t>
  </si>
  <si>
    <t>SGA-7471201</t>
  </si>
  <si>
    <t>A1016</t>
  </si>
  <si>
    <t>SGA-7751101</t>
  </si>
  <si>
    <t>A1201</t>
  </si>
  <si>
    <t>SGA-7751102</t>
  </si>
  <si>
    <t>MFG-7111211</t>
  </si>
  <si>
    <t>MFG-7111212</t>
  </si>
  <si>
    <t>MFG-7111221</t>
  </si>
  <si>
    <t>MFG-7111222</t>
  </si>
  <si>
    <t>MFG-7111223</t>
  </si>
  <si>
    <t>MFG-7111311</t>
  </si>
  <si>
    <t>MFG-7111312</t>
  </si>
  <si>
    <t>MFG-7111321</t>
  </si>
  <si>
    <t>MFG-7111322</t>
  </si>
  <si>
    <t>MFG-7111323</t>
  </si>
  <si>
    <t>MFG-7111411</t>
  </si>
  <si>
    <t>MFG-7151101</t>
  </si>
  <si>
    <t>MFG-7200000</t>
  </si>
  <si>
    <t>MFG-7211101</t>
  </si>
  <si>
    <t>Cost of Chemical</t>
  </si>
  <si>
    <t>MFG-7211102</t>
  </si>
  <si>
    <t>MFG-7211103</t>
  </si>
  <si>
    <t>MFG-7211104</t>
  </si>
  <si>
    <t>MFG-7221101</t>
  </si>
  <si>
    <t>MFG-7221102</t>
  </si>
  <si>
    <t>MFG-7511101</t>
  </si>
  <si>
    <t>MFG-7511102</t>
  </si>
  <si>
    <t>MFG-7511103</t>
  </si>
  <si>
    <t>MFG-7511111</t>
  </si>
  <si>
    <t>MFG-7511112</t>
  </si>
  <si>
    <t>MFG-7511121</t>
  </si>
  <si>
    <t>MFG-7511122</t>
  </si>
  <si>
    <t>MFG-7511201</t>
  </si>
  <si>
    <t>MFG-7512111</t>
  </si>
  <si>
    <t>MFG-7512112</t>
  </si>
  <si>
    <t>MFG-7514101</t>
  </si>
  <si>
    <t>MFG-7514102</t>
  </si>
  <si>
    <t>MFG-7515401</t>
  </si>
  <si>
    <t>MFG-7515402</t>
  </si>
  <si>
    <t>MFG-7515403</t>
  </si>
  <si>
    <t>MFG-7515404</t>
  </si>
  <si>
    <t>MFG-7515405</t>
  </si>
  <si>
    <t>MFG-7515406</t>
  </si>
  <si>
    <t>MFG-7515407</t>
  </si>
  <si>
    <t>MFG-7515408</t>
  </si>
  <si>
    <t>MFG-7515409</t>
  </si>
  <si>
    <t>MFG-7515410</t>
  </si>
  <si>
    <t>MFG-7515499</t>
  </si>
  <si>
    <t>MFG-7516102</t>
  </si>
  <si>
    <t>MFG-7519101</t>
  </si>
  <si>
    <t>MFG-7521101</t>
  </si>
  <si>
    <t>MFG-7521102</t>
  </si>
  <si>
    <t>MFG-7571101</t>
  </si>
  <si>
    <t>MFG-7611100</t>
  </si>
  <si>
    <t>MFG-7611300</t>
  </si>
  <si>
    <t>MFG-7611400</t>
  </si>
  <si>
    <t>MFG-7611500</t>
  </si>
  <si>
    <t>MFG-7611600</t>
  </si>
  <si>
    <t>MFG-7611700</t>
  </si>
  <si>
    <t>MFG-7611800</t>
  </si>
  <si>
    <t>MFG-7621101</t>
  </si>
  <si>
    <t>MFG-7621199</t>
  </si>
  <si>
    <t>MFG-7631101</t>
  </si>
  <si>
    <t>MFG-7631102</t>
  </si>
  <si>
    <t>MFG-7641101</t>
  </si>
  <si>
    <t>MFG-7641102</t>
  </si>
  <si>
    <t>MFG-7641103</t>
  </si>
  <si>
    <t>MFG-7641104</t>
  </si>
  <si>
    <t>MFG-7651101</t>
  </si>
  <si>
    <t>MFG-7651102</t>
  </si>
  <si>
    <t>MFG-7651103</t>
  </si>
  <si>
    <t>MFG-7661101</t>
  </si>
  <si>
    <t>MFG-7671102</t>
  </si>
  <si>
    <t>MFG-7671103</t>
  </si>
  <si>
    <t>MFG-7681101</t>
  </si>
  <si>
    <t>MFG-7691000</t>
  </si>
  <si>
    <t>MFG-7711101</t>
  </si>
  <si>
    <t>MFG-7711102</t>
  </si>
  <si>
    <t>MFG-7711103</t>
  </si>
  <si>
    <t>MFG-7721101</t>
  </si>
  <si>
    <t>MFG-7729101</t>
  </si>
  <si>
    <t>MFG-7729103</t>
  </si>
  <si>
    <t>MFG-7729105</t>
  </si>
  <si>
    <t>MFG-7781101</t>
  </si>
  <si>
    <t>MFG-7781103</t>
  </si>
  <si>
    <t>MFG-7781104</t>
  </si>
  <si>
    <t>MFG-7781105</t>
  </si>
  <si>
    <t>MFG-7781106</t>
  </si>
  <si>
    <t>MFG-7781107</t>
  </si>
  <si>
    <t>MFG-7781111</t>
  </si>
  <si>
    <t>MFG-7781112</t>
  </si>
  <si>
    <t>MFG-7781113</t>
  </si>
  <si>
    <t>OTH-8291101</t>
  </si>
  <si>
    <t>OTH-8291102</t>
  </si>
  <si>
    <t>OTH-8291201</t>
  </si>
  <si>
    <t>OTH-8291202</t>
  </si>
  <si>
    <t>OTH-8291203</t>
  </si>
  <si>
    <t>OTH-8191101</t>
  </si>
  <si>
    <t>Interest Income</t>
  </si>
  <si>
    <t>OTH-8311101</t>
  </si>
  <si>
    <t>Interest expenses - Lease</t>
  </si>
  <si>
    <t>OTH-8413101</t>
  </si>
  <si>
    <t>Purchasing</t>
  </si>
  <si>
    <t>B6100</t>
  </si>
  <si>
    <t>Budget Investment Plan</t>
  </si>
  <si>
    <t>Construction In Progress</t>
  </si>
  <si>
    <t>Current Fixed Assets</t>
  </si>
  <si>
    <t>Building (20 years)</t>
  </si>
  <si>
    <t>Building (10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</si>
</sst>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0"/>
      <name val="Calibri"/>
      <family val="2"/>
      <scheme val="minor"/>
    </font>
    <font>
      <b/>
      <sz val="10"/>
      <color theme="0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6"/>
      <name val="Calibri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  <xf numFmtId="0" fontId="12" fillId="6" borderId="0"/>
    <xf numFmtId="0" fontId="21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</cellStyleXfs>
  <cellXfs count="55">
    <xf numFmtId="0" fontId="0" fillId="0" borderId="0" xfId="0"/>
    <xf numFmtId="0" fontId="10" fillId="0" borderId="0" xfId="4" applyFont="1" applyAlignment="1">
      <alignment horizontal="center" vertical="center"/>
    </xf>
    <xf numFmtId="0" fontId="13" fillId="0" borderId="1" xfId="5" applyFont="1" applyFill="1" applyBorder="1" applyAlignment="1">
      <alignment vertical="center"/>
    </xf>
    <xf numFmtId="0" fontId="13" fillId="0" borderId="1" xfId="5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0" borderId="0" xfId="1" applyNumberFormat="1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left" vertical="top"/>
    </xf>
    <xf numFmtId="164" fontId="15" fillId="0" borderId="0" xfId="1" applyNumberFormat="1" applyFont="1" applyFill="1" applyAlignment="1">
      <alignment vertical="center"/>
    </xf>
    <xf numFmtId="164" fontId="15" fillId="0" borderId="0" xfId="1" applyNumberFormat="1" applyFont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0" borderId="0" xfId="8" applyFont="1" applyAlignment="1">
      <alignment vertical="center" wrapText="1"/>
    </xf>
    <xf numFmtId="0" fontId="6" fillId="0" borderId="0" xfId="8" applyFont="1">
      <alignment vertical="center"/>
    </xf>
    <xf numFmtId="0" fontId="6" fillId="0" borderId="0" xfId="8" applyFont="1" applyAlignment="1">
      <alignment horizontal="center" vertical="center"/>
    </xf>
    <xf numFmtId="0" fontId="7" fillId="0" borderId="0" xfId="8" applyFont="1" applyAlignment="1">
      <alignment horizontal="center" vertical="center"/>
    </xf>
    <xf numFmtId="0" fontId="6" fillId="7" borderId="0" xfId="8" applyFont="1" applyFill="1">
      <alignment vertical="center"/>
    </xf>
    <xf numFmtId="0" fontId="14" fillId="0" borderId="1" xfId="8" applyFont="1" applyBorder="1">
      <alignment vertical="center"/>
    </xf>
    <xf numFmtId="0" fontId="6" fillId="0" borderId="1" xfId="8" applyFont="1" applyBorder="1">
      <alignment vertical="center"/>
    </xf>
    <xf numFmtId="0" fontId="9" fillId="0" borderId="0" xfId="8" applyFont="1" applyAlignment="1">
      <alignment horizontal="center" vertical="center"/>
    </xf>
    <xf numFmtId="0" fontId="9" fillId="4" borderId="0" xfId="8" applyFont="1" applyFill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164" fontId="15" fillId="9" borderId="0" xfId="1" applyNumberFormat="1" applyFont="1" applyFill="1" applyBorder="1" applyAlignment="1">
      <alignment vertical="center"/>
    </xf>
    <xf numFmtId="164" fontId="15" fillId="0" borderId="0" xfId="1" applyNumberFormat="1" applyFont="1" applyFill="1" applyBorder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9" fontId="15" fillId="0" borderId="0" xfId="2" applyFont="1" applyFill="1" applyBorder="1" applyAlignment="1" applyProtection="1">
      <alignment vertical="center"/>
      <protection locked="0"/>
    </xf>
    <xf numFmtId="165" fontId="15" fillId="0" borderId="0" xfId="0" applyNumberFormat="1" applyFont="1" applyAlignment="1" applyProtection="1">
      <alignment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>
      <alignment vertical="top" wrapText="1"/>
    </xf>
    <xf numFmtId="0" fontId="19" fillId="10" borderId="0" xfId="0" applyFont="1" applyFill="1" applyAlignment="1" applyProtection="1">
      <alignment horizontal="center" vertical="top" wrapText="1"/>
      <protection locked="0"/>
    </xf>
    <xf numFmtId="0" fontId="19" fillId="10" borderId="0" xfId="0" applyFont="1" applyFill="1" applyAlignment="1">
      <alignment horizontal="center" vertical="top" wrapText="1"/>
    </xf>
    <xf numFmtId="164" fontId="19" fillId="10" borderId="0" xfId="1" applyNumberFormat="1" applyFont="1" applyFill="1" applyBorder="1" applyAlignment="1">
      <alignment horizontal="center" vertical="top" wrapText="1"/>
    </xf>
    <xf numFmtId="164" fontId="19" fillId="10" borderId="0" xfId="1" applyNumberFormat="1" applyFont="1" applyFill="1" applyBorder="1" applyAlignment="1" applyProtection="1">
      <alignment horizontal="center" vertical="top" wrapText="1"/>
      <protection locked="0"/>
    </xf>
    <xf numFmtId="9" fontId="19" fillId="10" borderId="0" xfId="2" applyFont="1" applyFill="1" applyBorder="1" applyAlignment="1" applyProtection="1">
      <alignment horizontal="center" vertical="top" wrapText="1"/>
      <protection locked="0"/>
    </xf>
    <xf numFmtId="165" fontId="19" fillId="10" borderId="0" xfId="0" applyNumberFormat="1" applyFont="1" applyFill="1" applyAlignment="1" applyProtection="1">
      <alignment horizontal="center" vertical="top" wrapText="1"/>
      <protection locked="0"/>
    </xf>
    <xf numFmtId="164" fontId="19" fillId="10" borderId="0" xfId="1" applyNumberFormat="1" applyFont="1" applyFill="1" applyAlignment="1">
      <alignment vertical="top" wrapText="1"/>
    </xf>
    <xf numFmtId="0" fontId="13" fillId="3" borderId="1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3" fillId="11" borderId="1" xfId="5" applyFont="1" applyFill="1" applyBorder="1" applyAlignment="1">
      <alignment vertical="center"/>
    </xf>
    <xf numFmtId="0" fontId="13" fillId="11" borderId="1" xfId="5" applyFont="1" applyFill="1" applyBorder="1" applyAlignment="1">
      <alignment horizontal="center" vertical="center"/>
    </xf>
    <xf numFmtId="0" fontId="6" fillId="11" borderId="1" xfId="8" applyFont="1" applyFill="1" applyBorder="1">
      <alignment vertical="center"/>
    </xf>
    <xf numFmtId="0" fontId="14" fillId="8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Continuous" vertical="center"/>
    </xf>
  </cellXfs>
  <cellStyles count="10">
    <cellStyle name="Comma" xfId="1" builtinId="3"/>
    <cellStyle name="Comma 3 2" xfId="7" xr:uid="{BDF3CC1A-D45E-486A-AF90-DA506EE3AB88}"/>
    <cellStyle name="Normal" xfId="0" builtinId="0"/>
    <cellStyle name="Normal 2" xfId="3" xr:uid="{D0D1230D-BB5C-46B9-A32E-5621CE411B76}"/>
    <cellStyle name="Normal 2 2" xfId="8" xr:uid="{ADB9C855-0262-4ACB-BA30-02FEFD8893D8}"/>
    <cellStyle name="Normal 20" xfId="6" xr:uid="{125DC8AC-BF0B-497B-AC05-35793C1AF6F9}"/>
    <cellStyle name="Normal 3 3" xfId="4" xr:uid="{0F0BDEAB-4BF8-46D3-9F0B-44F6E0812104}"/>
    <cellStyle name="Normal 3 3 2 2 4" xfId="9" xr:uid="{D1E986E0-2BDF-4861-AFB0-11E61CFDAFF8}"/>
    <cellStyle name="Percent" xfId="2" builtinId="5"/>
    <cellStyle name="標準 2 2" xfId="5" xr:uid="{2993C973-C45A-484E-A994-6D971E3D8809}"/>
  </cellStyles>
  <dxfs count="3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WINNT\Profiles\ichikawa\Personal\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DOCUME~1\osumi\LOCALS~1\Temp\notesFFF692\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  <sheetName val="supplier"/>
      <sheetName val="DEPT&amp;SEC"/>
      <sheetName val="Master Data"/>
      <sheetName val="マスタ"/>
      <sheetName val="マスタ２"/>
      <sheetName val="Master"/>
      <sheetName val="Master_Sectio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  <sheetName val="monthly_report (1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  <sheetName val="予定日別1-6"/>
      <sheetName val="CodeMetaData"/>
      <sheetName val="System"/>
      <sheetName val="EE"/>
      <sheetName val="Master"/>
      <sheetName val="◆為替レート"/>
      <sheetName val="生産能力"/>
      <sheetName val="求償データ"/>
      <sheetName val="抽出_401_J3データ"/>
      <sheetName val="FIAT"/>
      <sheetName val="出力②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  <sheetName val="COM"/>
      <sheetName val="IndirectCostAssessment"/>
      <sheetName val="TB"/>
      <sheetName val="CA設備投資計画書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  <sheetData sheetId="20">
        <row r="1">
          <cell r="C1" t="str">
            <v>SectionID</v>
          </cell>
        </row>
      </sheetData>
      <sheetData sheetId="21"/>
      <sheetData sheetId="22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  <sheetName val="開発計画品番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  <sheetData sheetId="3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調達計画"/>
      <sheetName val="ｺﾋﾟｰ用（直セ）"/>
      <sheetName val="ｺﾋﾟｰ用（海プ）"/>
      <sheetName val="ｺﾋﾟｰ用（全社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  <sheetName val="直製(集計)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テンプレート"/>
      <sheetName val="リスト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  <sheetName val="支援計画・０４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  <sheetName val="Kaizen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F172-4F7E-4F8C-81F6-B959C5A7DE76}">
  <sheetPr>
    <tabColor rgb="FFFFFF00"/>
  </sheetPr>
  <dimension ref="A1:Q2500"/>
  <sheetViews>
    <sheetView tabSelected="1" zoomScale="85" zoomScaleNormal="85" workbookViewId="0"/>
  </sheetViews>
  <sheetFormatPr defaultColWidth="8.5546875" defaultRowHeight="15" customHeight="1"/>
  <cols>
    <col min="1" max="1" width="6.88671875" style="29" bestFit="1" customWidth="1"/>
    <col min="2" max="2" width="11.6640625" style="4" bestFit="1" customWidth="1"/>
    <col min="3" max="3" width="25.33203125" style="29" bestFit="1" customWidth="1"/>
    <col min="4" max="4" width="9.88671875" style="5" bestFit="1" customWidth="1"/>
    <col min="5" max="5" width="25.33203125" style="29" bestFit="1" customWidth="1"/>
    <col min="6" max="6" width="8.33203125" style="6" bestFit="1" customWidth="1"/>
    <col min="7" max="7" width="29.5546875" style="29" bestFit="1" customWidth="1"/>
    <col min="8" max="8" width="72.5546875" style="29" bestFit="1" customWidth="1"/>
    <col min="9" max="9" width="17" style="4" bestFit="1" customWidth="1"/>
    <col min="10" max="10" width="14.6640625" style="4" bestFit="1" customWidth="1"/>
    <col min="11" max="11" width="19.5546875" style="28" bestFit="1" customWidth="1"/>
    <col min="12" max="12" width="11.33203125" style="5" bestFit="1" customWidth="1"/>
    <col min="13" max="13" width="15.44140625" style="30" bestFit="1" customWidth="1"/>
    <col min="14" max="14" width="14.6640625" style="31" bestFit="1" customWidth="1"/>
    <col min="15" max="15" width="16.109375" style="32" bestFit="1" customWidth="1"/>
    <col min="16" max="16" width="13" style="6" bestFit="1" customWidth="1"/>
    <col min="17" max="17" width="15.88671875" style="14" bestFit="1" customWidth="1"/>
    <col min="18" max="16384" width="8.5546875" style="4"/>
  </cols>
  <sheetData>
    <row r="1" spans="1:17" s="33" customFormat="1" ht="36" customHeight="1">
      <c r="A1" s="34" t="s">
        <v>314</v>
      </c>
      <c r="B1" s="35" t="s">
        <v>311</v>
      </c>
      <c r="C1" s="34" t="s">
        <v>312</v>
      </c>
      <c r="D1" s="36" t="s">
        <v>309</v>
      </c>
      <c r="E1" s="34" t="s">
        <v>310</v>
      </c>
      <c r="F1" s="35" t="s">
        <v>272</v>
      </c>
      <c r="G1" s="34" t="s">
        <v>271</v>
      </c>
      <c r="H1" s="34" t="s">
        <v>270</v>
      </c>
      <c r="I1" s="35" t="s">
        <v>315</v>
      </c>
      <c r="J1" s="35" t="s">
        <v>0</v>
      </c>
      <c r="K1" s="37" t="s">
        <v>273</v>
      </c>
      <c r="L1" s="36" t="s">
        <v>274</v>
      </c>
      <c r="M1" s="38" t="s">
        <v>275</v>
      </c>
      <c r="N1" s="39" t="s">
        <v>276</v>
      </c>
      <c r="O1" s="34" t="s">
        <v>288</v>
      </c>
      <c r="P1" s="35" t="s">
        <v>313</v>
      </c>
      <c r="Q1" s="40" t="s">
        <v>290</v>
      </c>
    </row>
    <row r="2" spans="1:17" ht="15" customHeight="1">
      <c r="B2" s="5" t="str">
        <f>_xlfn.IFNA(VLOOKUP(C2,Master!$H:$I,2,FALSE),"")</f>
        <v/>
      </c>
      <c r="D2" s="5" t="str">
        <f>_xlfn.IFNA(VLOOKUP(E2,Master!$H:$I,2,FALSE),"")</f>
        <v/>
      </c>
      <c r="F2" s="26" t="str">
        <f>+_xlfn.XLOOKUP(G2,Master!$V$2:$V$8,Master!$U$2:$U$8,"")</f>
        <v/>
      </c>
      <c r="I2" s="4" t="str">
        <f>_xlfn.IFNA(VLOOKUP(D2,Master!$I:$K,2,FALSE),"")</f>
        <v/>
      </c>
      <c r="J2" s="4" t="str">
        <f>_xlfn.IFNA(VLOOKUP(D2,Master!$I:$K,3,FALSE),"")</f>
        <v/>
      </c>
      <c r="L2" s="27" t="str">
        <f>IF(A2&lt;&gt;"CFA",_xlfn.IFNA(VLOOKUP($G2,Master!$V$2:$Z$8,5,0),""),"")</f>
        <v/>
      </c>
      <c r="P2" s="6" t="str">
        <f t="shared" ref="P2:P54" si="0">IF(N2&lt;&gt;"",IF(MONTH(N2)&gt;=4,"FY1"&amp;RIGHT(YEAR(N2)+1,2),"FY1"&amp;RIGHT(YEAR(N2),2)),"")</f>
        <v/>
      </c>
      <c r="Q2" s="13">
        <f t="shared" ref="Q2:Q54" si="1">IF(K2&gt;0&amp;M2&gt;0,K2*M2,"")</f>
        <v>0</v>
      </c>
    </row>
    <row r="3" spans="1:17" ht="15" customHeight="1">
      <c r="B3" s="5" t="str">
        <f>_xlfn.IFNA(VLOOKUP(C3,Master!$H:$I,2,FALSE),"")</f>
        <v/>
      </c>
      <c r="D3" s="5" t="str">
        <f>_xlfn.IFNA(VLOOKUP(E3,Master!$H:$I,2,FALSE),"")</f>
        <v/>
      </c>
      <c r="F3" s="26" t="str">
        <f>+_xlfn.XLOOKUP(G3,Master!$V$2:$V$8,Master!$U$2:$U$8,"")</f>
        <v/>
      </c>
      <c r="I3" s="4" t="str">
        <f>_xlfn.IFNA(VLOOKUP(D3,Master!$I:$K,2,FALSE),"")</f>
        <v/>
      </c>
      <c r="J3" s="4" t="str">
        <f>_xlfn.IFNA(VLOOKUP(D3,Master!$I:$K,3,FALSE),"")</f>
        <v/>
      </c>
      <c r="L3" s="27" t="str">
        <f>IF(A3&lt;&gt;"CFA",_xlfn.IFNA(VLOOKUP($G3,Master!$V$2:$Z$8,5,0),""),"")</f>
        <v/>
      </c>
      <c r="P3" s="6" t="str">
        <f t="shared" si="0"/>
        <v/>
      </c>
      <c r="Q3" s="13">
        <f t="shared" si="1"/>
        <v>0</v>
      </c>
    </row>
    <row r="4" spans="1:17" ht="15" customHeight="1">
      <c r="B4" s="5" t="str">
        <f>_xlfn.IFNA(VLOOKUP(C4,Master!$H:$I,2,FALSE),"")</f>
        <v/>
      </c>
      <c r="D4" s="5" t="str">
        <f>_xlfn.IFNA(VLOOKUP(E4,Master!$H:$I,2,FALSE),"")</f>
        <v/>
      </c>
      <c r="F4" s="26" t="str">
        <f>+_xlfn.XLOOKUP(G4,Master!$V$2:$V$8,Master!$U$2:$U$8,"")</f>
        <v/>
      </c>
      <c r="I4" s="4" t="str">
        <f>_xlfn.IFNA(VLOOKUP(D4,Master!$I:$K,2,FALSE),"")</f>
        <v/>
      </c>
      <c r="J4" s="4" t="str">
        <f>_xlfn.IFNA(VLOOKUP(D4,Master!$I:$K,3,FALSE),"")</f>
        <v/>
      </c>
      <c r="L4" s="27" t="str">
        <f>IF(A4&lt;&gt;"CFA",_xlfn.IFNA(VLOOKUP($G4,Master!$V$2:$Z$8,5,0),""),"")</f>
        <v/>
      </c>
      <c r="P4" s="6" t="str">
        <f t="shared" si="0"/>
        <v/>
      </c>
      <c r="Q4" s="13">
        <f t="shared" si="1"/>
        <v>0</v>
      </c>
    </row>
    <row r="5" spans="1:17" ht="15" customHeight="1">
      <c r="B5" s="5" t="str">
        <f>_xlfn.IFNA(VLOOKUP(C5,Master!$H:$I,2,FALSE),"")</f>
        <v/>
      </c>
      <c r="D5" s="5" t="str">
        <f>_xlfn.IFNA(VLOOKUP(E5,Master!$H:$I,2,FALSE),"")</f>
        <v/>
      </c>
      <c r="F5" s="26" t="str">
        <f>+_xlfn.XLOOKUP(G5,Master!$V$2:$V$8,Master!$U$2:$U$8,"")</f>
        <v/>
      </c>
      <c r="I5" s="4" t="str">
        <f>_xlfn.IFNA(VLOOKUP(D5,Master!$I:$K,2,FALSE),"")</f>
        <v/>
      </c>
      <c r="J5" s="4" t="str">
        <f>_xlfn.IFNA(VLOOKUP(D5,Master!$I:$K,3,FALSE),"")</f>
        <v/>
      </c>
      <c r="L5" s="27" t="str">
        <f>IF(A5&lt;&gt;"CFA",_xlfn.IFNA(VLOOKUP($G5,Master!$V$2:$Z$8,5,0),""),"")</f>
        <v/>
      </c>
      <c r="P5" s="6" t="str">
        <f t="shared" si="0"/>
        <v/>
      </c>
      <c r="Q5" s="13">
        <f t="shared" si="1"/>
        <v>0</v>
      </c>
    </row>
    <row r="6" spans="1:17" ht="15" customHeight="1">
      <c r="B6" s="5" t="str">
        <f>_xlfn.IFNA(VLOOKUP(C6,Master!$H:$I,2,FALSE),"")</f>
        <v/>
      </c>
      <c r="D6" s="5" t="str">
        <f>_xlfn.IFNA(VLOOKUP(E6,Master!$H:$I,2,FALSE),"")</f>
        <v/>
      </c>
      <c r="F6" s="26" t="str">
        <f>+_xlfn.XLOOKUP(G6,Master!$V$2:$V$8,Master!$U$2:$U$8,"")</f>
        <v/>
      </c>
      <c r="I6" s="4" t="str">
        <f>_xlfn.IFNA(VLOOKUP(D6,Master!$I:$K,2,FALSE),"")</f>
        <v/>
      </c>
      <c r="J6" s="4" t="str">
        <f>_xlfn.IFNA(VLOOKUP(D6,Master!$I:$K,3,FALSE),"")</f>
        <v/>
      </c>
      <c r="L6" s="27" t="str">
        <f>IF(A6&lt;&gt;"CFA",_xlfn.IFNA(VLOOKUP($G6,Master!$V$2:$Z$8,5,0),""),"")</f>
        <v/>
      </c>
      <c r="P6" s="6" t="str">
        <f t="shared" si="0"/>
        <v/>
      </c>
      <c r="Q6" s="13">
        <f t="shared" si="1"/>
        <v>0</v>
      </c>
    </row>
    <row r="7" spans="1:17" ht="15" customHeight="1">
      <c r="B7" s="5" t="str">
        <f>_xlfn.IFNA(VLOOKUP(C7,Master!$H:$I,2,FALSE),"")</f>
        <v/>
      </c>
      <c r="D7" s="5" t="str">
        <f>_xlfn.IFNA(VLOOKUP(E7,Master!$H:$I,2,FALSE),"")</f>
        <v/>
      </c>
      <c r="F7" s="26" t="str">
        <f>+_xlfn.XLOOKUP(G7,Master!$V$2:$V$8,Master!$U$2:$U$8,"")</f>
        <v/>
      </c>
      <c r="I7" s="4" t="str">
        <f>_xlfn.IFNA(VLOOKUP(D7,Master!$I:$K,2,FALSE),"")</f>
        <v/>
      </c>
      <c r="J7" s="4" t="str">
        <f>_xlfn.IFNA(VLOOKUP(D7,Master!$I:$K,3,FALSE),"")</f>
        <v/>
      </c>
      <c r="L7" s="27" t="str">
        <f>IF(A7&lt;&gt;"CFA",_xlfn.IFNA(VLOOKUP($G7,Master!$V$2:$Z$8,5,0),""),"")</f>
        <v/>
      </c>
      <c r="P7" s="6" t="str">
        <f t="shared" si="0"/>
        <v/>
      </c>
      <c r="Q7" s="13">
        <f>IF(K7&gt;0&amp;M7&gt;0,K7*M7,"")</f>
        <v>0</v>
      </c>
    </row>
    <row r="8" spans="1:17" ht="15" customHeight="1">
      <c r="B8" s="5" t="str">
        <f>_xlfn.IFNA(VLOOKUP(C8,Master!$H:$I,2,FALSE),"")</f>
        <v/>
      </c>
      <c r="D8" s="5" t="str">
        <f>_xlfn.IFNA(VLOOKUP(E8,Master!$H:$I,2,FALSE),"")</f>
        <v/>
      </c>
      <c r="F8" s="26" t="str">
        <f>+_xlfn.XLOOKUP(G8,Master!$V$2:$V$8,Master!$U$2:$U$8,"")</f>
        <v/>
      </c>
      <c r="I8" s="4" t="str">
        <f>_xlfn.IFNA(VLOOKUP(D8,Master!$I:$K,2,FALSE),"")</f>
        <v/>
      </c>
      <c r="J8" s="4" t="str">
        <f>_xlfn.IFNA(VLOOKUP(D8,Master!$I:$K,3,FALSE),"")</f>
        <v/>
      </c>
      <c r="L8" s="27" t="str">
        <f>IF(A8&lt;&gt;"CFA",_xlfn.IFNA(VLOOKUP($G8,Master!$V$2:$Z$8,5,0),""),"")</f>
        <v/>
      </c>
      <c r="P8" s="6" t="str">
        <f t="shared" si="0"/>
        <v/>
      </c>
      <c r="Q8" s="13">
        <f>IF(K8&gt;0&amp;M8&gt;0,K8*M8,"")</f>
        <v>0</v>
      </c>
    </row>
    <row r="9" spans="1:17" ht="15" customHeight="1">
      <c r="B9" s="5" t="str">
        <f>_xlfn.IFNA(VLOOKUP(C9,Master!$H:$I,2,FALSE),"")</f>
        <v/>
      </c>
      <c r="D9" s="5" t="str">
        <f>_xlfn.IFNA(VLOOKUP(E9,Master!$H:$I,2,FALSE),"")</f>
        <v/>
      </c>
      <c r="F9" s="26" t="str">
        <f>+_xlfn.XLOOKUP(G9,Master!$V$2:$V$8,Master!$U$2:$U$8,"")</f>
        <v/>
      </c>
      <c r="I9" s="4" t="str">
        <f>_xlfn.IFNA(VLOOKUP(D9,Master!$I:$K,2,FALSE),"")</f>
        <v/>
      </c>
      <c r="J9" s="4" t="str">
        <f>_xlfn.IFNA(VLOOKUP(D9,Master!$I:$K,3,FALSE),"")</f>
        <v/>
      </c>
      <c r="L9" s="27" t="str">
        <f>IF(A9&lt;&gt;"CFA",_xlfn.IFNA(VLOOKUP($G9,Master!$V$2:$Z$8,5,0),""),"")</f>
        <v/>
      </c>
      <c r="P9" s="6" t="str">
        <f t="shared" si="0"/>
        <v/>
      </c>
      <c r="Q9" s="13">
        <f>IF(K9&gt;0&amp;M9&gt;0,K9*M9,"")</f>
        <v>0</v>
      </c>
    </row>
    <row r="10" spans="1:17" ht="15" customHeight="1">
      <c r="B10" s="5" t="str">
        <f>_xlfn.IFNA(VLOOKUP(C10,Master!$H:$I,2,FALSE),"")</f>
        <v/>
      </c>
      <c r="D10" s="5" t="str">
        <f>_xlfn.IFNA(VLOOKUP(E10,Master!$H:$I,2,FALSE),"")</f>
        <v/>
      </c>
      <c r="F10" s="26" t="str">
        <f>+_xlfn.XLOOKUP(G10,Master!$V$2:$V$8,Master!$U$2:$U$8,"")</f>
        <v/>
      </c>
      <c r="I10" s="4" t="str">
        <f>_xlfn.IFNA(VLOOKUP(D10,Master!$I:$K,2,FALSE),"")</f>
        <v/>
      </c>
      <c r="J10" s="4" t="str">
        <f>_xlfn.IFNA(VLOOKUP(D10,Master!$I:$K,3,FALSE),"")</f>
        <v/>
      </c>
      <c r="L10" s="27" t="str">
        <f>IF(A10&lt;&gt;"CFA",_xlfn.IFNA(VLOOKUP($G10,Master!$V$2:$Z$8,5,0),""),"")</f>
        <v/>
      </c>
      <c r="P10" s="6" t="str">
        <f t="shared" si="0"/>
        <v/>
      </c>
      <c r="Q10" s="13">
        <f t="shared" si="1"/>
        <v>0</v>
      </c>
    </row>
    <row r="11" spans="1:17" ht="15" customHeight="1">
      <c r="B11" s="5" t="str">
        <f>_xlfn.IFNA(VLOOKUP(C11,Master!$H:$I,2,FALSE),"")</f>
        <v/>
      </c>
      <c r="D11" s="5" t="str">
        <f>_xlfn.IFNA(VLOOKUP(E11,Master!$H:$I,2,FALSE),"")</f>
        <v/>
      </c>
      <c r="F11" s="26" t="str">
        <f>+_xlfn.XLOOKUP(G11,Master!$V$2:$V$8,Master!$U$2:$U$8,"")</f>
        <v/>
      </c>
      <c r="I11" s="4" t="str">
        <f>_xlfn.IFNA(VLOOKUP(D11,Master!$I:$K,2,FALSE),"")</f>
        <v/>
      </c>
      <c r="J11" s="4" t="str">
        <f>_xlfn.IFNA(VLOOKUP(D11,Master!$I:$K,3,FALSE),"")</f>
        <v/>
      </c>
      <c r="L11" s="27" t="str">
        <f>IF(A11&lt;&gt;"CFA",_xlfn.IFNA(VLOOKUP($G11,Master!$V$2:$Z$8,5,0),""),"")</f>
        <v/>
      </c>
      <c r="P11" s="6" t="str">
        <f t="shared" si="0"/>
        <v/>
      </c>
      <c r="Q11" s="13">
        <f t="shared" si="1"/>
        <v>0</v>
      </c>
    </row>
    <row r="12" spans="1:17" ht="15" customHeight="1">
      <c r="B12" s="5" t="str">
        <f>_xlfn.IFNA(VLOOKUP(C12,Master!$H:$I,2,FALSE),"")</f>
        <v/>
      </c>
      <c r="D12" s="5" t="str">
        <f>_xlfn.IFNA(VLOOKUP(E12,Master!$H:$I,2,FALSE),"")</f>
        <v/>
      </c>
      <c r="F12" s="26" t="str">
        <f>+_xlfn.XLOOKUP(G12,Master!$V$2:$V$8,Master!$U$2:$U$8,"")</f>
        <v/>
      </c>
      <c r="I12" s="4" t="str">
        <f>_xlfn.IFNA(VLOOKUP(D12,Master!$I:$K,2,FALSE),"")</f>
        <v/>
      </c>
      <c r="J12" s="4" t="str">
        <f>_xlfn.IFNA(VLOOKUP(D12,Master!$I:$K,3,FALSE),"")</f>
        <v/>
      </c>
      <c r="L12" s="27" t="str">
        <f>IF(A12&lt;&gt;"CFA",_xlfn.IFNA(VLOOKUP($G12,Master!$V$2:$Z$8,5,0),""),"")</f>
        <v/>
      </c>
      <c r="P12" s="6" t="str">
        <f t="shared" si="0"/>
        <v/>
      </c>
      <c r="Q12" s="13">
        <f t="shared" si="1"/>
        <v>0</v>
      </c>
    </row>
    <row r="13" spans="1:17" ht="15" customHeight="1">
      <c r="B13" s="5" t="str">
        <f>_xlfn.IFNA(VLOOKUP(C13,Master!$H:$I,2,FALSE),"")</f>
        <v/>
      </c>
      <c r="D13" s="5" t="str">
        <f>_xlfn.IFNA(VLOOKUP(E13,Master!$H:$I,2,FALSE),"")</f>
        <v/>
      </c>
      <c r="F13" s="26" t="str">
        <f>+_xlfn.XLOOKUP(G13,Master!$V$2:$V$8,Master!$U$2:$U$8,"")</f>
        <v/>
      </c>
      <c r="I13" s="4" t="str">
        <f>_xlfn.IFNA(VLOOKUP(D13,Master!$I:$K,2,FALSE),"")</f>
        <v/>
      </c>
      <c r="J13" s="4" t="str">
        <f>_xlfn.IFNA(VLOOKUP(D13,Master!$I:$K,3,FALSE),"")</f>
        <v/>
      </c>
      <c r="L13" s="27" t="str">
        <f>IF(A13&lt;&gt;"CFA",_xlfn.IFNA(VLOOKUP($G13,Master!$V$2:$Z$8,5,0),""),"")</f>
        <v/>
      </c>
      <c r="P13" s="6" t="str">
        <f t="shared" si="0"/>
        <v/>
      </c>
      <c r="Q13" s="13">
        <f t="shared" si="1"/>
        <v>0</v>
      </c>
    </row>
    <row r="14" spans="1:17" ht="15" customHeight="1">
      <c r="B14" s="5" t="str">
        <f>_xlfn.IFNA(VLOOKUP(C14,Master!$H:$I,2,FALSE),"")</f>
        <v/>
      </c>
      <c r="D14" s="5" t="str">
        <f>_xlfn.IFNA(VLOOKUP(E14,Master!$H:$I,2,FALSE),"")</f>
        <v/>
      </c>
      <c r="F14" s="26" t="str">
        <f>+_xlfn.XLOOKUP(G14,Master!$V$2:$V$8,Master!$U$2:$U$8,"")</f>
        <v/>
      </c>
      <c r="I14" s="4" t="str">
        <f>_xlfn.IFNA(VLOOKUP(D14,Master!$I:$K,2,FALSE),"")</f>
        <v/>
      </c>
      <c r="J14" s="4" t="str">
        <f>_xlfn.IFNA(VLOOKUP(D14,Master!$I:$K,3,FALSE),"")</f>
        <v/>
      </c>
      <c r="L14" s="27" t="str">
        <f>IF(A14&lt;&gt;"CFA",_xlfn.IFNA(VLOOKUP($G14,Master!$V$2:$Z$8,5,0),""),"")</f>
        <v/>
      </c>
      <c r="P14" s="6" t="str">
        <f t="shared" si="0"/>
        <v/>
      </c>
      <c r="Q14" s="13">
        <f t="shared" si="1"/>
        <v>0</v>
      </c>
    </row>
    <row r="15" spans="1:17" ht="15" customHeight="1">
      <c r="B15" s="5" t="str">
        <f>_xlfn.IFNA(VLOOKUP(C15,Master!$H:$I,2,FALSE),"")</f>
        <v/>
      </c>
      <c r="D15" s="5" t="str">
        <f>_xlfn.IFNA(VLOOKUP(E15,Master!$H:$I,2,FALSE),"")</f>
        <v/>
      </c>
      <c r="F15" s="26" t="str">
        <f>+_xlfn.XLOOKUP(G15,Master!$V$2:$V$8,Master!$U$2:$U$8,"")</f>
        <v/>
      </c>
      <c r="I15" s="4" t="str">
        <f>_xlfn.IFNA(VLOOKUP(D15,Master!$I:$K,2,FALSE),"")</f>
        <v/>
      </c>
      <c r="J15" s="4" t="str">
        <f>_xlfn.IFNA(VLOOKUP(D15,Master!$I:$K,3,FALSE),"")</f>
        <v/>
      </c>
      <c r="L15" s="27" t="str">
        <f>IF(A15&lt;&gt;"CFA",_xlfn.IFNA(VLOOKUP($G15,Master!$V$2:$Z$8,5,0),""),"")</f>
        <v/>
      </c>
      <c r="P15" s="6" t="str">
        <f t="shared" si="0"/>
        <v/>
      </c>
      <c r="Q15" s="13">
        <f t="shared" si="1"/>
        <v>0</v>
      </c>
    </row>
    <row r="16" spans="1:17" ht="15" customHeight="1">
      <c r="B16" s="5" t="str">
        <f>_xlfn.IFNA(VLOOKUP(C16,Master!$H:$I,2,FALSE),"")</f>
        <v/>
      </c>
      <c r="D16" s="5" t="str">
        <f>_xlfn.IFNA(VLOOKUP(E16,Master!$H:$I,2,FALSE),"")</f>
        <v/>
      </c>
      <c r="F16" s="26" t="str">
        <f>+_xlfn.XLOOKUP(G16,Master!$V$2:$V$8,Master!$U$2:$U$8,"")</f>
        <v/>
      </c>
      <c r="I16" s="4" t="str">
        <f>_xlfn.IFNA(VLOOKUP(D16,Master!$I:$K,2,FALSE),"")</f>
        <v/>
      </c>
      <c r="J16" s="4" t="str">
        <f>_xlfn.IFNA(VLOOKUP(D16,Master!$I:$K,3,FALSE),"")</f>
        <v/>
      </c>
      <c r="L16" s="27" t="str">
        <f>IF(A16&lt;&gt;"CFA",_xlfn.IFNA(VLOOKUP($G16,Master!$V$2:$Z$8,5,0),""),"")</f>
        <v/>
      </c>
      <c r="P16" s="6" t="str">
        <f t="shared" si="0"/>
        <v/>
      </c>
      <c r="Q16" s="13">
        <f t="shared" si="1"/>
        <v>0</v>
      </c>
    </row>
    <row r="17" spans="2:17" ht="15" customHeight="1">
      <c r="B17" s="5" t="str">
        <f>_xlfn.IFNA(VLOOKUP(C17,Master!$H:$I,2,FALSE),"")</f>
        <v/>
      </c>
      <c r="D17" s="5" t="str">
        <f>_xlfn.IFNA(VLOOKUP(E17,Master!$H:$I,2,FALSE),"")</f>
        <v/>
      </c>
      <c r="F17" s="26" t="str">
        <f>+_xlfn.XLOOKUP(G17,Master!$V$2:$V$8,Master!$U$2:$U$8,"")</f>
        <v/>
      </c>
      <c r="I17" s="4" t="str">
        <f>_xlfn.IFNA(VLOOKUP(D17,Master!$I:$K,2,FALSE),"")</f>
        <v/>
      </c>
      <c r="J17" s="4" t="str">
        <f>_xlfn.IFNA(VLOOKUP(D17,Master!$I:$K,3,FALSE),"")</f>
        <v/>
      </c>
      <c r="L17" s="27" t="str">
        <f>IF(A17&lt;&gt;"CFA",_xlfn.IFNA(VLOOKUP($G17,Master!$V$2:$Z$8,5,0),""),"")</f>
        <v/>
      </c>
      <c r="P17" s="6" t="str">
        <f t="shared" si="0"/>
        <v/>
      </c>
      <c r="Q17" s="13">
        <f t="shared" si="1"/>
        <v>0</v>
      </c>
    </row>
    <row r="18" spans="2:17" ht="15" customHeight="1">
      <c r="B18" s="5" t="str">
        <f>_xlfn.IFNA(VLOOKUP(C18,Master!$H:$I,2,FALSE),"")</f>
        <v/>
      </c>
      <c r="D18" s="5" t="str">
        <f>_xlfn.IFNA(VLOOKUP(E18,Master!$H:$I,2,FALSE),"")</f>
        <v/>
      </c>
      <c r="F18" s="26" t="str">
        <f>+_xlfn.XLOOKUP(G18,Master!$V$2:$V$8,Master!$U$2:$U$8,"")</f>
        <v/>
      </c>
      <c r="I18" s="4" t="str">
        <f>_xlfn.IFNA(VLOOKUP(D18,Master!$I:$K,2,FALSE),"")</f>
        <v/>
      </c>
      <c r="J18" s="4" t="str">
        <f>_xlfn.IFNA(VLOOKUP(D18,Master!$I:$K,3,FALSE),"")</f>
        <v/>
      </c>
      <c r="L18" s="27" t="str">
        <f>IF(A18&lt;&gt;"CFA",_xlfn.IFNA(VLOOKUP($G18,Master!$V$2:$Z$8,5,0),""),"")</f>
        <v/>
      </c>
      <c r="P18" s="6" t="str">
        <f t="shared" si="0"/>
        <v/>
      </c>
      <c r="Q18" s="13">
        <f t="shared" si="1"/>
        <v>0</v>
      </c>
    </row>
    <row r="19" spans="2:17" ht="15" customHeight="1">
      <c r="B19" s="5" t="str">
        <f>_xlfn.IFNA(VLOOKUP(C19,Master!$H:$I,2,FALSE),"")</f>
        <v/>
      </c>
      <c r="D19" s="5" t="str">
        <f>_xlfn.IFNA(VLOOKUP(E19,Master!$H:$I,2,FALSE),"")</f>
        <v/>
      </c>
      <c r="F19" s="26" t="str">
        <f>+_xlfn.XLOOKUP(G19,Master!$V$2:$V$8,Master!$U$2:$U$8,"")</f>
        <v/>
      </c>
      <c r="I19" s="4" t="str">
        <f>_xlfn.IFNA(VLOOKUP(D19,Master!$I:$K,2,FALSE),"")</f>
        <v/>
      </c>
      <c r="J19" s="4" t="str">
        <f>_xlfn.IFNA(VLOOKUP(D19,Master!$I:$K,3,FALSE),"")</f>
        <v/>
      </c>
      <c r="L19" s="27" t="str">
        <f>IF(A19&lt;&gt;"CFA",_xlfn.IFNA(VLOOKUP($G19,Master!$V$2:$Z$8,5,0),""),"")</f>
        <v/>
      </c>
      <c r="P19" s="6" t="str">
        <f t="shared" si="0"/>
        <v/>
      </c>
      <c r="Q19" s="13">
        <f t="shared" si="1"/>
        <v>0</v>
      </c>
    </row>
    <row r="20" spans="2:17" ht="15" customHeight="1">
      <c r="B20" s="5" t="str">
        <f>_xlfn.IFNA(VLOOKUP(C20,Master!$H:$I,2,FALSE),"")</f>
        <v/>
      </c>
      <c r="D20" s="5" t="str">
        <f>_xlfn.IFNA(VLOOKUP(E20,Master!$H:$I,2,FALSE),"")</f>
        <v/>
      </c>
      <c r="F20" s="26" t="str">
        <f>+_xlfn.XLOOKUP(G20,Master!$V$2:$V$8,Master!$U$2:$U$8,"")</f>
        <v/>
      </c>
      <c r="I20" s="4" t="str">
        <f>_xlfn.IFNA(VLOOKUP(D20,Master!$I:$K,2,FALSE),"")</f>
        <v/>
      </c>
      <c r="J20" s="4" t="str">
        <f>_xlfn.IFNA(VLOOKUP(D20,Master!$I:$K,3,FALSE),"")</f>
        <v/>
      </c>
      <c r="L20" s="27" t="str">
        <f>IF(A20&lt;&gt;"CFA",_xlfn.IFNA(VLOOKUP($G20,Master!$V$2:$Z$8,5,0),""),"")</f>
        <v/>
      </c>
      <c r="P20" s="6" t="str">
        <f t="shared" si="0"/>
        <v/>
      </c>
      <c r="Q20" s="13">
        <f t="shared" si="1"/>
        <v>0</v>
      </c>
    </row>
    <row r="21" spans="2:17" ht="15" customHeight="1">
      <c r="B21" s="5" t="str">
        <f>_xlfn.IFNA(VLOOKUP(C21,Master!$H:$I,2,FALSE),"")</f>
        <v/>
      </c>
      <c r="D21" s="5" t="str">
        <f>_xlfn.IFNA(VLOOKUP(E21,Master!$H:$I,2,FALSE),"")</f>
        <v/>
      </c>
      <c r="F21" s="26" t="str">
        <f>+_xlfn.XLOOKUP(G21,Master!$V$2:$V$8,Master!$U$2:$U$8,"")</f>
        <v/>
      </c>
      <c r="I21" s="4" t="str">
        <f>_xlfn.IFNA(VLOOKUP(D21,Master!$I:$K,2,FALSE),"")</f>
        <v/>
      </c>
      <c r="J21" s="4" t="str">
        <f>_xlfn.IFNA(VLOOKUP(D21,Master!$I:$K,3,FALSE),"")</f>
        <v/>
      </c>
      <c r="L21" s="27" t="str">
        <f>IF(A21&lt;&gt;"CFA",_xlfn.IFNA(VLOOKUP($G21,Master!$V$2:$Z$8,5,0),""),"")</f>
        <v/>
      </c>
      <c r="P21" s="6" t="str">
        <f t="shared" si="0"/>
        <v/>
      </c>
      <c r="Q21" s="13">
        <f t="shared" si="1"/>
        <v>0</v>
      </c>
    </row>
    <row r="22" spans="2:17" ht="15" customHeight="1">
      <c r="B22" s="5" t="str">
        <f>_xlfn.IFNA(VLOOKUP(C22,Master!$H:$I,2,FALSE),"")</f>
        <v/>
      </c>
      <c r="D22" s="5" t="str">
        <f>_xlfn.IFNA(VLOOKUP(E22,Master!$H:$I,2,FALSE),"")</f>
        <v/>
      </c>
      <c r="F22" s="26" t="str">
        <f>+_xlfn.XLOOKUP(G22,Master!$V$2:$V$8,Master!$U$2:$U$8,"")</f>
        <v/>
      </c>
      <c r="I22" s="4" t="str">
        <f>_xlfn.IFNA(VLOOKUP(D22,Master!$I:$K,2,FALSE),"")</f>
        <v/>
      </c>
      <c r="J22" s="4" t="str">
        <f>_xlfn.IFNA(VLOOKUP(D22,Master!$I:$K,3,FALSE),"")</f>
        <v/>
      </c>
      <c r="L22" s="27" t="str">
        <f>IF(A22&lt;&gt;"CFA",_xlfn.IFNA(VLOOKUP($G22,Master!$V$2:$Z$8,5,0),""),"")</f>
        <v/>
      </c>
      <c r="P22" s="6" t="str">
        <f t="shared" si="0"/>
        <v/>
      </c>
      <c r="Q22" s="13">
        <f t="shared" si="1"/>
        <v>0</v>
      </c>
    </row>
    <row r="23" spans="2:17" ht="15" customHeight="1">
      <c r="B23" s="5" t="str">
        <f>_xlfn.IFNA(VLOOKUP(C23,Master!$H:$I,2,FALSE),"")</f>
        <v/>
      </c>
      <c r="D23" s="5" t="str">
        <f>_xlfn.IFNA(VLOOKUP(E23,Master!$H:$I,2,FALSE),"")</f>
        <v/>
      </c>
      <c r="F23" s="26" t="str">
        <f>+_xlfn.XLOOKUP(G23,Master!$V$2:$V$8,Master!$U$2:$U$8,"")</f>
        <v/>
      </c>
      <c r="I23" s="4" t="str">
        <f>_xlfn.IFNA(VLOOKUP(D23,Master!$I:$K,2,FALSE),"")</f>
        <v/>
      </c>
      <c r="J23" s="4" t="str">
        <f>_xlfn.IFNA(VLOOKUP(D23,Master!$I:$K,3,FALSE),"")</f>
        <v/>
      </c>
      <c r="L23" s="27" t="str">
        <f>IF(A23&lt;&gt;"CFA",_xlfn.IFNA(VLOOKUP($G23,Master!$V$2:$Z$8,5,0),""),"")</f>
        <v/>
      </c>
      <c r="P23" s="6" t="str">
        <f t="shared" si="0"/>
        <v/>
      </c>
      <c r="Q23" s="13">
        <f t="shared" si="1"/>
        <v>0</v>
      </c>
    </row>
    <row r="24" spans="2:17" ht="15" customHeight="1">
      <c r="B24" s="5" t="str">
        <f>_xlfn.IFNA(VLOOKUP(C24,Master!$H:$I,2,FALSE),"")</f>
        <v/>
      </c>
      <c r="D24" s="5" t="str">
        <f>_xlfn.IFNA(VLOOKUP(E24,Master!$H:$I,2,FALSE),"")</f>
        <v/>
      </c>
      <c r="F24" s="26" t="str">
        <f>+_xlfn.XLOOKUP(G24,Master!$V$2:$V$8,Master!$U$2:$U$8,"")</f>
        <v/>
      </c>
      <c r="I24" s="4" t="str">
        <f>_xlfn.IFNA(VLOOKUP(D24,Master!$I:$K,2,FALSE),"")</f>
        <v/>
      </c>
      <c r="J24" s="4" t="str">
        <f>_xlfn.IFNA(VLOOKUP(D24,Master!$I:$K,3,FALSE),"")</f>
        <v/>
      </c>
      <c r="L24" s="27" t="str">
        <f>IF(A24&lt;&gt;"CFA",_xlfn.IFNA(VLOOKUP($G24,Master!$V$2:$Z$8,5,0),""),"")</f>
        <v/>
      </c>
      <c r="P24" s="6" t="str">
        <f t="shared" si="0"/>
        <v/>
      </c>
      <c r="Q24" s="13">
        <f t="shared" si="1"/>
        <v>0</v>
      </c>
    </row>
    <row r="25" spans="2:17" ht="15" customHeight="1">
      <c r="B25" s="5" t="str">
        <f>_xlfn.IFNA(VLOOKUP(C25,Master!$H:$I,2,FALSE),"")</f>
        <v/>
      </c>
      <c r="D25" s="5" t="str">
        <f>_xlfn.IFNA(VLOOKUP(E25,Master!$H:$I,2,FALSE),"")</f>
        <v/>
      </c>
      <c r="F25" s="26" t="str">
        <f>+_xlfn.XLOOKUP(G25,Master!$V$2:$V$8,Master!$U$2:$U$8,"")</f>
        <v/>
      </c>
      <c r="I25" s="4" t="str">
        <f>_xlfn.IFNA(VLOOKUP(D25,Master!$I:$K,2,FALSE),"")</f>
        <v/>
      </c>
      <c r="J25" s="4" t="str">
        <f>_xlfn.IFNA(VLOOKUP(D25,Master!$I:$K,3,FALSE),"")</f>
        <v/>
      </c>
      <c r="L25" s="27" t="str">
        <f>IF(A25&lt;&gt;"CFA",_xlfn.IFNA(VLOOKUP($G25,Master!$V$2:$Z$8,5,0),""),"")</f>
        <v/>
      </c>
      <c r="P25" s="6" t="str">
        <f t="shared" si="0"/>
        <v/>
      </c>
      <c r="Q25" s="13">
        <f t="shared" si="1"/>
        <v>0</v>
      </c>
    </row>
    <row r="26" spans="2:17" ht="15" customHeight="1">
      <c r="B26" s="5" t="str">
        <f>_xlfn.IFNA(VLOOKUP(C26,Master!$H:$I,2,FALSE),"")</f>
        <v/>
      </c>
      <c r="D26" s="5" t="str">
        <f>_xlfn.IFNA(VLOOKUP(E26,Master!$H:$I,2,FALSE),"")</f>
        <v/>
      </c>
      <c r="F26" s="26" t="str">
        <f>+_xlfn.XLOOKUP(G26,Master!$V$2:$V$8,Master!$U$2:$U$8,"")</f>
        <v/>
      </c>
      <c r="I26" s="4" t="str">
        <f>_xlfn.IFNA(VLOOKUP(D26,Master!$I:$K,2,FALSE),"")</f>
        <v/>
      </c>
      <c r="J26" s="4" t="str">
        <f>_xlfn.IFNA(VLOOKUP(D26,Master!$I:$K,3,FALSE),"")</f>
        <v/>
      </c>
      <c r="L26" s="27" t="str">
        <f>IF(A26&lt;&gt;"CFA",_xlfn.IFNA(VLOOKUP($G26,Master!$V$2:$Z$8,5,0),""),"")</f>
        <v/>
      </c>
      <c r="P26" s="6" t="str">
        <f t="shared" si="0"/>
        <v/>
      </c>
      <c r="Q26" s="13">
        <f t="shared" si="1"/>
        <v>0</v>
      </c>
    </row>
    <row r="27" spans="2:17" ht="15" customHeight="1">
      <c r="B27" s="5" t="str">
        <f>_xlfn.IFNA(VLOOKUP(C27,Master!$H:$I,2,FALSE),"")</f>
        <v/>
      </c>
      <c r="D27" s="5" t="str">
        <f>_xlfn.IFNA(VLOOKUP(E27,Master!$H:$I,2,FALSE),"")</f>
        <v/>
      </c>
      <c r="F27" s="26" t="str">
        <f>+_xlfn.XLOOKUP(G27,Master!$V$2:$V$8,Master!$U$2:$U$8,"")</f>
        <v/>
      </c>
      <c r="I27" s="4" t="str">
        <f>_xlfn.IFNA(VLOOKUP(D27,Master!$I:$K,2,FALSE),"")</f>
        <v/>
      </c>
      <c r="J27" s="4" t="str">
        <f>_xlfn.IFNA(VLOOKUP(D27,Master!$I:$K,3,FALSE),"")</f>
        <v/>
      </c>
      <c r="L27" s="27" t="str">
        <f>IF(A27&lt;&gt;"CFA",_xlfn.IFNA(VLOOKUP($G27,Master!$V$2:$Z$8,5,0),""),"")</f>
        <v/>
      </c>
      <c r="P27" s="6" t="str">
        <f t="shared" si="0"/>
        <v/>
      </c>
      <c r="Q27" s="13">
        <f t="shared" si="1"/>
        <v>0</v>
      </c>
    </row>
    <row r="28" spans="2:17" ht="15" customHeight="1">
      <c r="B28" s="5" t="str">
        <f>_xlfn.IFNA(VLOOKUP(C28,Master!$H:$I,2,FALSE),"")</f>
        <v/>
      </c>
      <c r="D28" s="5" t="str">
        <f>_xlfn.IFNA(VLOOKUP(E28,Master!$H:$I,2,FALSE),"")</f>
        <v/>
      </c>
      <c r="F28" s="26" t="str">
        <f>+_xlfn.XLOOKUP(G28,Master!$V$2:$V$8,Master!$U$2:$U$8,"")</f>
        <v/>
      </c>
      <c r="I28" s="4" t="str">
        <f>_xlfn.IFNA(VLOOKUP(D28,Master!$I:$K,2,FALSE),"")</f>
        <v/>
      </c>
      <c r="J28" s="4" t="str">
        <f>_xlfn.IFNA(VLOOKUP(D28,Master!$I:$K,3,FALSE),"")</f>
        <v/>
      </c>
      <c r="L28" s="27" t="str">
        <f>IF(A28&lt;&gt;"CFA",_xlfn.IFNA(VLOOKUP($G28,Master!$V$2:$Z$8,5,0),""),"")</f>
        <v/>
      </c>
      <c r="P28" s="6" t="str">
        <f t="shared" si="0"/>
        <v/>
      </c>
      <c r="Q28" s="13">
        <f t="shared" si="1"/>
        <v>0</v>
      </c>
    </row>
    <row r="29" spans="2:17" ht="15" customHeight="1">
      <c r="B29" s="5" t="str">
        <f>_xlfn.IFNA(VLOOKUP(C29,Master!$H:$I,2,FALSE),"")</f>
        <v/>
      </c>
      <c r="D29" s="5" t="str">
        <f>_xlfn.IFNA(VLOOKUP(E29,Master!$H:$I,2,FALSE),"")</f>
        <v/>
      </c>
      <c r="F29" s="26" t="str">
        <f>+_xlfn.XLOOKUP(G29,Master!$V$2:$V$8,Master!$U$2:$U$8,"")</f>
        <v/>
      </c>
      <c r="I29" s="4" t="str">
        <f>_xlfn.IFNA(VLOOKUP(D29,Master!$I:$K,2,FALSE),"")</f>
        <v/>
      </c>
      <c r="J29" s="4" t="str">
        <f>_xlfn.IFNA(VLOOKUP(D29,Master!$I:$K,3,FALSE),"")</f>
        <v/>
      </c>
      <c r="L29" s="27" t="str">
        <f>IF(A29&lt;&gt;"CFA",_xlfn.IFNA(VLOOKUP($G29,Master!$V$2:$Z$8,5,0),""),"")</f>
        <v/>
      </c>
      <c r="P29" s="6" t="str">
        <f t="shared" si="0"/>
        <v/>
      </c>
      <c r="Q29" s="13">
        <f t="shared" si="1"/>
        <v>0</v>
      </c>
    </row>
    <row r="30" spans="2:17" ht="15" customHeight="1">
      <c r="B30" s="5" t="str">
        <f>_xlfn.IFNA(VLOOKUP(C30,Master!$H:$I,2,FALSE),"")</f>
        <v/>
      </c>
      <c r="D30" s="5" t="str">
        <f>_xlfn.IFNA(VLOOKUP(E30,Master!$H:$I,2,FALSE),"")</f>
        <v/>
      </c>
      <c r="F30" s="26" t="str">
        <f>+_xlfn.XLOOKUP(G30,Master!$V$2:$V$8,Master!$U$2:$U$8,"")</f>
        <v/>
      </c>
      <c r="I30" s="4" t="str">
        <f>_xlfn.IFNA(VLOOKUP(D30,Master!$I:$K,2,FALSE),"")</f>
        <v/>
      </c>
      <c r="J30" s="4" t="str">
        <f>_xlfn.IFNA(VLOOKUP(D30,Master!$I:$K,3,FALSE),"")</f>
        <v/>
      </c>
      <c r="L30" s="27" t="str">
        <f>IF(A30&lt;&gt;"CFA",_xlfn.IFNA(VLOOKUP($G30,Master!$V$2:$Z$8,5,0),""),"")</f>
        <v/>
      </c>
      <c r="P30" s="6" t="str">
        <f t="shared" si="0"/>
        <v/>
      </c>
      <c r="Q30" s="13">
        <f t="shared" si="1"/>
        <v>0</v>
      </c>
    </row>
    <row r="31" spans="2:17" ht="15" customHeight="1">
      <c r="B31" s="5" t="str">
        <f>_xlfn.IFNA(VLOOKUP(C31,Master!$H:$I,2,FALSE),"")</f>
        <v/>
      </c>
      <c r="D31" s="5" t="str">
        <f>_xlfn.IFNA(VLOOKUP(E31,Master!$H:$I,2,FALSE),"")</f>
        <v/>
      </c>
      <c r="F31" s="26" t="str">
        <f>+_xlfn.XLOOKUP(G31,Master!$V$2:$V$8,Master!$U$2:$U$8,"")</f>
        <v/>
      </c>
      <c r="I31" s="4" t="str">
        <f>_xlfn.IFNA(VLOOKUP(D31,Master!$I:$K,2,FALSE),"")</f>
        <v/>
      </c>
      <c r="J31" s="4" t="str">
        <f>_xlfn.IFNA(VLOOKUP(D31,Master!$I:$K,3,FALSE),"")</f>
        <v/>
      </c>
      <c r="L31" s="27" t="str">
        <f>IF(A31&lt;&gt;"CFA",_xlfn.IFNA(VLOOKUP($G31,Master!$V$2:$Z$8,5,0),""),"")</f>
        <v/>
      </c>
      <c r="P31" s="6" t="str">
        <f t="shared" si="0"/>
        <v/>
      </c>
      <c r="Q31" s="13">
        <f t="shared" si="1"/>
        <v>0</v>
      </c>
    </row>
    <row r="32" spans="2:17" ht="15" customHeight="1">
      <c r="B32" s="5" t="str">
        <f>_xlfn.IFNA(VLOOKUP(C32,Master!$H:$I,2,FALSE),"")</f>
        <v/>
      </c>
      <c r="D32" s="5" t="str">
        <f>_xlfn.IFNA(VLOOKUP(E32,Master!$H:$I,2,FALSE),"")</f>
        <v/>
      </c>
      <c r="F32" s="26" t="str">
        <f>+_xlfn.XLOOKUP(G32,Master!$V$2:$V$8,Master!$U$2:$U$8,"")</f>
        <v/>
      </c>
      <c r="I32" s="4" t="str">
        <f>_xlfn.IFNA(VLOOKUP(D32,Master!$I:$K,2,FALSE),"")</f>
        <v/>
      </c>
      <c r="J32" s="4" t="str">
        <f>_xlfn.IFNA(VLOOKUP(D32,Master!$I:$K,3,FALSE),"")</f>
        <v/>
      </c>
      <c r="L32" s="27" t="str">
        <f>IF(A32&lt;&gt;"CFA",_xlfn.IFNA(VLOOKUP($G32,Master!$V$2:$Z$8,5,0),""),"")</f>
        <v/>
      </c>
      <c r="P32" s="6" t="str">
        <f t="shared" si="0"/>
        <v/>
      </c>
      <c r="Q32" s="13">
        <f t="shared" si="1"/>
        <v>0</v>
      </c>
    </row>
    <row r="33" spans="2:17" ht="15" customHeight="1">
      <c r="B33" s="5" t="str">
        <f>_xlfn.IFNA(VLOOKUP(C33,Master!$H:$I,2,FALSE),"")</f>
        <v/>
      </c>
      <c r="D33" s="5" t="str">
        <f>_xlfn.IFNA(VLOOKUP(E33,Master!$H:$I,2,FALSE),"")</f>
        <v/>
      </c>
      <c r="F33" s="26" t="str">
        <f>+_xlfn.XLOOKUP(G33,Master!$V$2:$V$8,Master!$U$2:$U$8,"")</f>
        <v/>
      </c>
      <c r="I33" s="4" t="str">
        <f>_xlfn.IFNA(VLOOKUP(D33,Master!$I:$K,2,FALSE),"")</f>
        <v/>
      </c>
      <c r="J33" s="4" t="str">
        <f>_xlfn.IFNA(VLOOKUP(D33,Master!$I:$K,3,FALSE),"")</f>
        <v/>
      </c>
      <c r="L33" s="27" t="str">
        <f>IF(A33&lt;&gt;"CFA",_xlfn.IFNA(VLOOKUP($G33,Master!$V$2:$Z$8,5,0),""),"")</f>
        <v/>
      </c>
      <c r="P33" s="6" t="str">
        <f t="shared" si="0"/>
        <v/>
      </c>
      <c r="Q33" s="13">
        <f t="shared" si="1"/>
        <v>0</v>
      </c>
    </row>
    <row r="34" spans="2:17" ht="15" customHeight="1">
      <c r="B34" s="5" t="str">
        <f>_xlfn.IFNA(VLOOKUP(C34,Master!$H:$I,2,FALSE),"")</f>
        <v/>
      </c>
      <c r="D34" s="5" t="str">
        <f>_xlfn.IFNA(VLOOKUP(E34,Master!$H:$I,2,FALSE),"")</f>
        <v/>
      </c>
      <c r="F34" s="26" t="str">
        <f>+_xlfn.XLOOKUP(G34,Master!$V$2:$V$8,Master!$U$2:$U$8,"")</f>
        <v/>
      </c>
      <c r="I34" s="4" t="str">
        <f>_xlfn.IFNA(VLOOKUP(D34,Master!$I:$K,2,FALSE),"")</f>
        <v/>
      </c>
      <c r="J34" s="4" t="str">
        <f>_xlfn.IFNA(VLOOKUP(D34,Master!$I:$K,3,FALSE),"")</f>
        <v/>
      </c>
      <c r="L34" s="27" t="str">
        <f>IF(A34&lt;&gt;"CFA",_xlfn.IFNA(VLOOKUP($G34,Master!$V$2:$Z$8,5,0),""),"")</f>
        <v/>
      </c>
      <c r="P34" s="6" t="str">
        <f t="shared" si="0"/>
        <v/>
      </c>
      <c r="Q34" s="13">
        <f t="shared" si="1"/>
        <v>0</v>
      </c>
    </row>
    <row r="35" spans="2:17" ht="15" customHeight="1">
      <c r="B35" s="5" t="str">
        <f>_xlfn.IFNA(VLOOKUP(C35,Master!$H:$I,2,FALSE),"")</f>
        <v/>
      </c>
      <c r="D35" s="5" t="str">
        <f>_xlfn.IFNA(VLOOKUP(E35,Master!$H:$I,2,FALSE),"")</f>
        <v/>
      </c>
      <c r="F35" s="26" t="str">
        <f>+_xlfn.XLOOKUP(G35,Master!$V$2:$V$8,Master!$U$2:$U$8,"")</f>
        <v/>
      </c>
      <c r="I35" s="4" t="str">
        <f>_xlfn.IFNA(VLOOKUP(D35,Master!$I:$K,2,FALSE),"")</f>
        <v/>
      </c>
      <c r="J35" s="4" t="str">
        <f>_xlfn.IFNA(VLOOKUP(D35,Master!$I:$K,3,FALSE),"")</f>
        <v/>
      </c>
      <c r="L35" s="27" t="str">
        <f>IF(A35&lt;&gt;"CFA",_xlfn.IFNA(VLOOKUP($G35,Master!$V$2:$Z$8,5,0),""),"")</f>
        <v/>
      </c>
      <c r="P35" s="6" t="str">
        <f t="shared" si="0"/>
        <v/>
      </c>
      <c r="Q35" s="13">
        <f t="shared" si="1"/>
        <v>0</v>
      </c>
    </row>
    <row r="36" spans="2:17" ht="15" customHeight="1">
      <c r="B36" s="5" t="str">
        <f>_xlfn.IFNA(VLOOKUP(C36,Master!$H:$I,2,FALSE),"")</f>
        <v/>
      </c>
      <c r="D36" s="5" t="str">
        <f>_xlfn.IFNA(VLOOKUP(E36,Master!$H:$I,2,FALSE),"")</f>
        <v/>
      </c>
      <c r="F36" s="26" t="str">
        <f>+_xlfn.XLOOKUP(G36,Master!$V$2:$V$8,Master!$U$2:$U$8,"")</f>
        <v/>
      </c>
      <c r="I36" s="4" t="str">
        <f>_xlfn.IFNA(VLOOKUP(D36,Master!$I:$K,2,FALSE),"")</f>
        <v/>
      </c>
      <c r="J36" s="4" t="str">
        <f>_xlfn.IFNA(VLOOKUP(D36,Master!$I:$K,3,FALSE),"")</f>
        <v/>
      </c>
      <c r="L36" s="27" t="str">
        <f>IF(A36&lt;&gt;"CFA",_xlfn.IFNA(VLOOKUP($G36,Master!$V$2:$Z$8,5,0),""),"")</f>
        <v/>
      </c>
      <c r="P36" s="6" t="str">
        <f t="shared" si="0"/>
        <v/>
      </c>
      <c r="Q36" s="13">
        <f t="shared" si="1"/>
        <v>0</v>
      </c>
    </row>
    <row r="37" spans="2:17" ht="15" customHeight="1">
      <c r="B37" s="5" t="str">
        <f>_xlfn.IFNA(VLOOKUP(C37,Master!$H:$I,2,FALSE),"")</f>
        <v/>
      </c>
      <c r="D37" s="5" t="str">
        <f>_xlfn.IFNA(VLOOKUP(E37,Master!$H:$I,2,FALSE),"")</f>
        <v/>
      </c>
      <c r="F37" s="26" t="str">
        <f>+_xlfn.XLOOKUP(G37,Master!$V$2:$V$8,Master!$U$2:$U$8,"")</f>
        <v/>
      </c>
      <c r="I37" s="4" t="str">
        <f>_xlfn.IFNA(VLOOKUP(D37,Master!$I:$K,2,FALSE),"")</f>
        <v/>
      </c>
      <c r="J37" s="4" t="str">
        <f>_xlfn.IFNA(VLOOKUP(D37,Master!$I:$K,3,FALSE),"")</f>
        <v/>
      </c>
      <c r="L37" s="27" t="str">
        <f>IF(A37&lt;&gt;"CFA",_xlfn.IFNA(VLOOKUP($G37,Master!$V$2:$Z$8,5,0),""),"")</f>
        <v/>
      </c>
      <c r="P37" s="6" t="str">
        <f t="shared" si="0"/>
        <v/>
      </c>
      <c r="Q37" s="13">
        <f t="shared" si="1"/>
        <v>0</v>
      </c>
    </row>
    <row r="38" spans="2:17" ht="15" customHeight="1">
      <c r="B38" s="5" t="str">
        <f>_xlfn.IFNA(VLOOKUP(C38,Master!$H:$I,2,FALSE),"")</f>
        <v/>
      </c>
      <c r="D38" s="5" t="str">
        <f>_xlfn.IFNA(VLOOKUP(E38,Master!$H:$I,2,FALSE),"")</f>
        <v/>
      </c>
      <c r="F38" s="26" t="str">
        <f>+_xlfn.XLOOKUP(G38,Master!$V$2:$V$8,Master!$U$2:$U$8,"")</f>
        <v/>
      </c>
      <c r="I38" s="4" t="str">
        <f>_xlfn.IFNA(VLOOKUP(D38,Master!$I:$K,2,FALSE),"")</f>
        <v/>
      </c>
      <c r="J38" s="4" t="str">
        <f>_xlfn.IFNA(VLOOKUP(D38,Master!$I:$K,3,FALSE),"")</f>
        <v/>
      </c>
      <c r="L38" s="27" t="str">
        <f>IF(A38&lt;&gt;"CFA",_xlfn.IFNA(VLOOKUP($G38,Master!$V$2:$Z$8,5,0),""),"")</f>
        <v/>
      </c>
      <c r="P38" s="6" t="str">
        <f t="shared" si="0"/>
        <v/>
      </c>
      <c r="Q38" s="13">
        <f t="shared" si="1"/>
        <v>0</v>
      </c>
    </row>
    <row r="39" spans="2:17" ht="15" customHeight="1">
      <c r="B39" s="5" t="str">
        <f>_xlfn.IFNA(VLOOKUP(C39,Master!$H:$I,2,FALSE),"")</f>
        <v/>
      </c>
      <c r="D39" s="5" t="str">
        <f>_xlfn.IFNA(VLOOKUP(E39,Master!$H:$I,2,FALSE),"")</f>
        <v/>
      </c>
      <c r="F39" s="26" t="str">
        <f>+_xlfn.XLOOKUP(G39,Master!$V$2:$V$8,Master!$U$2:$U$8,"")</f>
        <v/>
      </c>
      <c r="I39" s="4" t="str">
        <f>_xlfn.IFNA(VLOOKUP(D39,Master!$I:$K,2,FALSE),"")</f>
        <v/>
      </c>
      <c r="J39" s="4" t="str">
        <f>_xlfn.IFNA(VLOOKUP(D39,Master!$I:$K,3,FALSE),"")</f>
        <v/>
      </c>
      <c r="L39" s="27" t="str">
        <f>IF(A39&lt;&gt;"CFA",_xlfn.IFNA(VLOOKUP($G39,Master!$V$2:$Z$8,5,0),""),"")</f>
        <v/>
      </c>
      <c r="P39" s="6" t="str">
        <f t="shared" si="0"/>
        <v/>
      </c>
      <c r="Q39" s="13">
        <f t="shared" si="1"/>
        <v>0</v>
      </c>
    </row>
    <row r="40" spans="2:17" ht="15" customHeight="1">
      <c r="B40" s="5" t="str">
        <f>_xlfn.IFNA(VLOOKUP(C40,Master!$H:$I,2,FALSE),"")</f>
        <v/>
      </c>
      <c r="D40" s="5" t="str">
        <f>_xlfn.IFNA(VLOOKUP(E40,Master!$H:$I,2,FALSE),"")</f>
        <v/>
      </c>
      <c r="F40" s="26" t="str">
        <f>+_xlfn.XLOOKUP(G40,Master!$V$2:$V$8,Master!$U$2:$U$8,"")</f>
        <v/>
      </c>
      <c r="I40" s="4" t="str">
        <f>_xlfn.IFNA(VLOOKUP(D40,Master!$I:$K,2,FALSE),"")</f>
        <v/>
      </c>
      <c r="J40" s="4" t="str">
        <f>_xlfn.IFNA(VLOOKUP(D40,Master!$I:$K,3,FALSE),"")</f>
        <v/>
      </c>
      <c r="L40" s="27" t="str">
        <f>IF(A40&lt;&gt;"CFA",_xlfn.IFNA(VLOOKUP($G40,Master!$V$2:$Z$8,5,0),""),"")</f>
        <v/>
      </c>
      <c r="P40" s="6" t="str">
        <f t="shared" si="0"/>
        <v/>
      </c>
      <c r="Q40" s="13">
        <f t="shared" si="1"/>
        <v>0</v>
      </c>
    </row>
    <row r="41" spans="2:17" ht="15" customHeight="1">
      <c r="B41" s="5" t="str">
        <f>_xlfn.IFNA(VLOOKUP(C41,Master!$H:$I,2,FALSE),"")</f>
        <v/>
      </c>
      <c r="D41" s="5" t="str">
        <f>_xlfn.IFNA(VLOOKUP(E41,Master!$H:$I,2,FALSE),"")</f>
        <v/>
      </c>
      <c r="F41" s="26" t="str">
        <f>+_xlfn.XLOOKUP(G41,Master!$V$2:$V$8,Master!$U$2:$U$8,"")</f>
        <v/>
      </c>
      <c r="I41" s="4" t="str">
        <f>_xlfn.IFNA(VLOOKUP(D41,Master!$I:$K,2,FALSE),"")</f>
        <v/>
      </c>
      <c r="J41" s="4" t="str">
        <f>_xlfn.IFNA(VLOOKUP(D41,Master!$I:$K,3,FALSE),"")</f>
        <v/>
      </c>
      <c r="L41" s="27" t="str">
        <f>IF(A41&lt;&gt;"CFA",_xlfn.IFNA(VLOOKUP($G41,Master!$V$2:$Z$8,5,0),""),"")</f>
        <v/>
      </c>
      <c r="P41" s="6" t="str">
        <f t="shared" si="0"/>
        <v/>
      </c>
      <c r="Q41" s="13">
        <f t="shared" si="1"/>
        <v>0</v>
      </c>
    </row>
    <row r="42" spans="2:17" ht="15" customHeight="1">
      <c r="B42" s="5" t="str">
        <f>_xlfn.IFNA(VLOOKUP(C42,Master!$H:$I,2,FALSE),"")</f>
        <v/>
      </c>
      <c r="D42" s="5" t="str">
        <f>_xlfn.IFNA(VLOOKUP(E42,Master!$H:$I,2,FALSE),"")</f>
        <v/>
      </c>
      <c r="F42" s="26" t="str">
        <f>+_xlfn.XLOOKUP(G42,Master!$V$2:$V$8,Master!$U$2:$U$8,"")</f>
        <v/>
      </c>
      <c r="I42" s="4" t="str">
        <f>_xlfn.IFNA(VLOOKUP(D42,Master!$I:$K,2,FALSE),"")</f>
        <v/>
      </c>
      <c r="J42" s="4" t="str">
        <f>_xlfn.IFNA(VLOOKUP(D42,Master!$I:$K,3,FALSE),"")</f>
        <v/>
      </c>
      <c r="L42" s="27" t="str">
        <f>IF(A42&lt;&gt;"CFA",_xlfn.IFNA(VLOOKUP($G42,Master!$V$2:$Z$8,5,0),""),"")</f>
        <v/>
      </c>
      <c r="P42" s="6" t="str">
        <f t="shared" si="0"/>
        <v/>
      </c>
      <c r="Q42" s="13">
        <f t="shared" si="1"/>
        <v>0</v>
      </c>
    </row>
    <row r="43" spans="2:17" ht="15" customHeight="1">
      <c r="B43" s="5" t="str">
        <f>_xlfn.IFNA(VLOOKUP(C43,Master!$H:$I,2,FALSE),"")</f>
        <v/>
      </c>
      <c r="D43" s="5" t="str">
        <f>_xlfn.IFNA(VLOOKUP(E43,Master!$H:$I,2,FALSE),"")</f>
        <v/>
      </c>
      <c r="F43" s="26" t="str">
        <f>+_xlfn.XLOOKUP(G43,Master!$V$2:$V$8,Master!$U$2:$U$8,"")</f>
        <v/>
      </c>
      <c r="I43" s="4" t="str">
        <f>_xlfn.IFNA(VLOOKUP(D43,Master!$I:$K,2,FALSE),"")</f>
        <v/>
      </c>
      <c r="J43" s="4" t="str">
        <f>_xlfn.IFNA(VLOOKUP(D43,Master!$I:$K,3,FALSE),"")</f>
        <v/>
      </c>
      <c r="L43" s="27" t="str">
        <f>IF(A43&lt;&gt;"CFA",_xlfn.IFNA(VLOOKUP($G43,Master!$V$2:$Z$8,5,0),""),"")</f>
        <v/>
      </c>
      <c r="P43" s="6" t="str">
        <f t="shared" si="0"/>
        <v/>
      </c>
      <c r="Q43" s="13">
        <f t="shared" si="1"/>
        <v>0</v>
      </c>
    </row>
    <row r="44" spans="2:17" ht="15" customHeight="1">
      <c r="B44" s="5" t="str">
        <f>_xlfn.IFNA(VLOOKUP(C44,Master!$H:$I,2,FALSE),"")</f>
        <v/>
      </c>
      <c r="D44" s="5" t="str">
        <f>_xlfn.IFNA(VLOOKUP(E44,Master!$H:$I,2,FALSE),"")</f>
        <v/>
      </c>
      <c r="F44" s="26" t="str">
        <f>+_xlfn.XLOOKUP(G44,Master!$V$2:$V$8,Master!$U$2:$U$8,"")</f>
        <v/>
      </c>
      <c r="I44" s="4" t="str">
        <f>_xlfn.IFNA(VLOOKUP(D44,Master!$I:$K,2,FALSE),"")</f>
        <v/>
      </c>
      <c r="J44" s="4" t="str">
        <f>_xlfn.IFNA(VLOOKUP(D44,Master!$I:$K,3,FALSE),"")</f>
        <v/>
      </c>
      <c r="L44" s="27" t="str">
        <f>IF(A44&lt;&gt;"CFA",_xlfn.IFNA(VLOOKUP($G44,Master!$V$2:$Z$8,5,0),""),"")</f>
        <v/>
      </c>
      <c r="P44" s="6" t="str">
        <f t="shared" si="0"/>
        <v/>
      </c>
      <c r="Q44" s="13">
        <f t="shared" si="1"/>
        <v>0</v>
      </c>
    </row>
    <row r="45" spans="2:17" ht="15" customHeight="1">
      <c r="B45" s="5" t="str">
        <f>_xlfn.IFNA(VLOOKUP(C45,Master!$H:$I,2,FALSE),"")</f>
        <v/>
      </c>
      <c r="D45" s="5" t="str">
        <f>_xlfn.IFNA(VLOOKUP(E45,Master!$H:$I,2,FALSE),"")</f>
        <v/>
      </c>
      <c r="F45" s="26" t="str">
        <f>+_xlfn.XLOOKUP(G45,Master!$V$2:$V$8,Master!$U$2:$U$8,"")</f>
        <v/>
      </c>
      <c r="I45" s="4" t="str">
        <f>_xlfn.IFNA(VLOOKUP(D45,Master!$I:$K,2,FALSE),"")</f>
        <v/>
      </c>
      <c r="J45" s="4" t="str">
        <f>_xlfn.IFNA(VLOOKUP(D45,Master!$I:$K,3,FALSE),"")</f>
        <v/>
      </c>
      <c r="L45" s="27" t="str">
        <f>IF(A45&lt;&gt;"CFA",_xlfn.IFNA(VLOOKUP($G45,Master!$V$2:$Z$8,5,0),""),"")</f>
        <v/>
      </c>
      <c r="P45" s="6" t="str">
        <f t="shared" si="0"/>
        <v/>
      </c>
      <c r="Q45" s="13">
        <f t="shared" si="1"/>
        <v>0</v>
      </c>
    </row>
    <row r="46" spans="2:17" ht="15" customHeight="1">
      <c r="B46" s="5" t="str">
        <f>_xlfn.IFNA(VLOOKUP(C46,Master!$H:$I,2,FALSE),"")</f>
        <v/>
      </c>
      <c r="D46" s="5" t="str">
        <f>_xlfn.IFNA(VLOOKUP(E46,Master!$H:$I,2,FALSE),"")</f>
        <v/>
      </c>
      <c r="F46" s="26" t="str">
        <f>+_xlfn.XLOOKUP(G46,Master!$V$2:$V$8,Master!$U$2:$U$8,"")</f>
        <v/>
      </c>
      <c r="I46" s="4" t="str">
        <f>_xlfn.IFNA(VLOOKUP(D46,Master!$I:$K,2,FALSE),"")</f>
        <v/>
      </c>
      <c r="J46" s="4" t="str">
        <f>_xlfn.IFNA(VLOOKUP(D46,Master!$I:$K,3,FALSE),"")</f>
        <v/>
      </c>
      <c r="L46" s="27" t="str">
        <f>IF(A46&lt;&gt;"CFA",_xlfn.IFNA(VLOOKUP($G46,Master!$V$2:$Z$8,5,0),""),"")</f>
        <v/>
      </c>
      <c r="P46" s="6" t="str">
        <f t="shared" si="0"/>
        <v/>
      </c>
      <c r="Q46" s="13">
        <f t="shared" si="1"/>
        <v>0</v>
      </c>
    </row>
    <row r="47" spans="2:17" ht="15" customHeight="1">
      <c r="B47" s="5" t="str">
        <f>_xlfn.IFNA(VLOOKUP(C47,Master!$H:$I,2,FALSE),"")</f>
        <v/>
      </c>
      <c r="D47" s="5" t="str">
        <f>_xlfn.IFNA(VLOOKUP(E47,Master!$H:$I,2,FALSE),"")</f>
        <v/>
      </c>
      <c r="F47" s="26" t="str">
        <f>+_xlfn.XLOOKUP(G47,Master!$V$2:$V$8,Master!$U$2:$U$8,"")</f>
        <v/>
      </c>
      <c r="I47" s="4" t="str">
        <f>_xlfn.IFNA(VLOOKUP(D47,Master!$I:$K,2,FALSE),"")</f>
        <v/>
      </c>
      <c r="J47" s="4" t="str">
        <f>_xlfn.IFNA(VLOOKUP(D47,Master!$I:$K,3,FALSE),"")</f>
        <v/>
      </c>
      <c r="L47" s="27" t="str">
        <f>IF(A47&lt;&gt;"CFA",_xlfn.IFNA(VLOOKUP($G47,Master!$V$2:$Z$8,5,0),""),"")</f>
        <v/>
      </c>
      <c r="P47" s="6" t="str">
        <f t="shared" si="0"/>
        <v/>
      </c>
      <c r="Q47" s="13">
        <f t="shared" si="1"/>
        <v>0</v>
      </c>
    </row>
    <row r="48" spans="2:17" ht="15" customHeight="1">
      <c r="B48" s="5" t="str">
        <f>_xlfn.IFNA(VLOOKUP(C48,Master!$H:$I,2,FALSE),"")</f>
        <v/>
      </c>
      <c r="D48" s="5" t="str">
        <f>_xlfn.IFNA(VLOOKUP(E48,Master!$H:$I,2,FALSE),"")</f>
        <v/>
      </c>
      <c r="F48" s="26" t="str">
        <f>+_xlfn.XLOOKUP(G48,Master!$V$2:$V$8,Master!$U$2:$U$8,"")</f>
        <v/>
      </c>
      <c r="I48" s="4" t="str">
        <f>_xlfn.IFNA(VLOOKUP(D48,Master!$I:$K,2,FALSE),"")</f>
        <v/>
      </c>
      <c r="J48" s="4" t="str">
        <f>_xlfn.IFNA(VLOOKUP(D48,Master!$I:$K,3,FALSE),"")</f>
        <v/>
      </c>
      <c r="L48" s="27" t="str">
        <f>IF(A48&lt;&gt;"CFA",_xlfn.IFNA(VLOOKUP($G48,Master!$V$2:$Z$8,5,0),""),"")</f>
        <v/>
      </c>
      <c r="P48" s="6" t="str">
        <f t="shared" si="0"/>
        <v/>
      </c>
      <c r="Q48" s="13">
        <f t="shared" si="1"/>
        <v>0</v>
      </c>
    </row>
    <row r="49" spans="2:17" ht="15" customHeight="1">
      <c r="B49" s="5" t="str">
        <f>_xlfn.IFNA(VLOOKUP(C49,Master!$H:$I,2,FALSE),"")</f>
        <v/>
      </c>
      <c r="D49" s="5" t="str">
        <f>_xlfn.IFNA(VLOOKUP(E49,Master!$H:$I,2,FALSE),"")</f>
        <v/>
      </c>
      <c r="F49" s="26" t="str">
        <f>+_xlfn.XLOOKUP(G49,Master!$V$2:$V$8,Master!$U$2:$U$8,"")</f>
        <v/>
      </c>
      <c r="I49" s="4" t="str">
        <f>_xlfn.IFNA(VLOOKUP(D49,Master!$I:$K,2,FALSE),"")</f>
        <v/>
      </c>
      <c r="J49" s="4" t="str">
        <f>_xlfn.IFNA(VLOOKUP(D49,Master!$I:$K,3,FALSE),"")</f>
        <v/>
      </c>
      <c r="L49" s="27" t="str">
        <f>IF(A49&lt;&gt;"CFA",_xlfn.IFNA(VLOOKUP($G49,Master!$V$2:$Z$8,5,0),""),"")</f>
        <v/>
      </c>
      <c r="P49" s="6" t="str">
        <f t="shared" si="0"/>
        <v/>
      </c>
      <c r="Q49" s="13">
        <f t="shared" si="1"/>
        <v>0</v>
      </c>
    </row>
    <row r="50" spans="2:17" ht="15" customHeight="1">
      <c r="B50" s="5" t="str">
        <f>_xlfn.IFNA(VLOOKUP(C50,Master!$H:$I,2,FALSE),"")</f>
        <v/>
      </c>
      <c r="D50" s="5" t="str">
        <f>_xlfn.IFNA(VLOOKUP(E50,Master!$H:$I,2,FALSE),"")</f>
        <v/>
      </c>
      <c r="F50" s="26" t="str">
        <f>+_xlfn.XLOOKUP(G50,Master!$V$2:$V$8,Master!$U$2:$U$8,"")</f>
        <v/>
      </c>
      <c r="I50" s="4" t="str">
        <f>_xlfn.IFNA(VLOOKUP(D50,Master!$I:$K,2,FALSE),"")</f>
        <v/>
      </c>
      <c r="J50" s="4" t="str">
        <f>_xlfn.IFNA(VLOOKUP(D50,Master!$I:$K,3,FALSE),"")</f>
        <v/>
      </c>
      <c r="L50" s="27" t="str">
        <f>IF(A50&lt;&gt;"CFA",_xlfn.IFNA(VLOOKUP($G50,Master!$V$2:$Z$8,5,0),""),"")</f>
        <v/>
      </c>
      <c r="P50" s="6" t="str">
        <f t="shared" si="0"/>
        <v/>
      </c>
      <c r="Q50" s="13">
        <f t="shared" si="1"/>
        <v>0</v>
      </c>
    </row>
    <row r="51" spans="2:17" ht="15" customHeight="1">
      <c r="B51" s="5" t="str">
        <f>_xlfn.IFNA(VLOOKUP(C51,Master!$H:$I,2,FALSE),"")</f>
        <v/>
      </c>
      <c r="D51" s="5" t="str">
        <f>_xlfn.IFNA(VLOOKUP(E51,Master!$H:$I,2,FALSE),"")</f>
        <v/>
      </c>
      <c r="F51" s="26" t="str">
        <f>+_xlfn.XLOOKUP(G51,Master!$V$2:$V$8,Master!$U$2:$U$8,"")</f>
        <v/>
      </c>
      <c r="I51" s="4" t="str">
        <f>_xlfn.IFNA(VLOOKUP(D51,Master!$I:$K,2,FALSE),"")</f>
        <v/>
      </c>
      <c r="J51" s="4" t="str">
        <f>_xlfn.IFNA(VLOOKUP(D51,Master!$I:$K,3,FALSE),"")</f>
        <v/>
      </c>
      <c r="L51" s="27" t="str">
        <f>IF(A51&lt;&gt;"CFA",_xlfn.IFNA(VLOOKUP($G51,Master!$V$2:$Z$8,5,0),""),"")</f>
        <v/>
      </c>
      <c r="P51" s="6" t="str">
        <f t="shared" si="0"/>
        <v/>
      </c>
      <c r="Q51" s="13">
        <f t="shared" si="1"/>
        <v>0</v>
      </c>
    </row>
    <row r="52" spans="2:17" ht="15" customHeight="1">
      <c r="B52" s="5" t="str">
        <f>_xlfn.IFNA(VLOOKUP(C52,Master!$H:$I,2,FALSE),"")</f>
        <v/>
      </c>
      <c r="D52" s="5" t="str">
        <f>_xlfn.IFNA(VLOOKUP(E52,Master!$H:$I,2,FALSE),"")</f>
        <v/>
      </c>
      <c r="F52" s="26" t="str">
        <f>+_xlfn.XLOOKUP(G52,Master!$V$2:$V$8,Master!$U$2:$U$8,"")</f>
        <v/>
      </c>
      <c r="I52" s="4" t="str">
        <f>_xlfn.IFNA(VLOOKUP(D52,Master!$I:$K,2,FALSE),"")</f>
        <v/>
      </c>
      <c r="J52" s="4" t="str">
        <f>_xlfn.IFNA(VLOOKUP(D52,Master!$I:$K,3,FALSE),"")</f>
        <v/>
      </c>
      <c r="L52" s="27" t="str">
        <f>IF(A52&lt;&gt;"CFA",_xlfn.IFNA(VLOOKUP($G52,Master!$V$2:$Z$8,5,0),""),"")</f>
        <v/>
      </c>
      <c r="P52" s="6" t="str">
        <f t="shared" si="0"/>
        <v/>
      </c>
      <c r="Q52" s="13">
        <f t="shared" si="1"/>
        <v>0</v>
      </c>
    </row>
    <row r="53" spans="2:17" ht="15" customHeight="1">
      <c r="B53" s="5" t="str">
        <f>_xlfn.IFNA(VLOOKUP(C53,Master!$H:$I,2,FALSE),"")</f>
        <v/>
      </c>
      <c r="D53" s="5" t="str">
        <f>_xlfn.IFNA(VLOOKUP(E53,Master!$H:$I,2,FALSE),"")</f>
        <v/>
      </c>
      <c r="F53" s="26" t="str">
        <f>+_xlfn.XLOOKUP(G53,Master!$V$2:$V$8,Master!$U$2:$U$8,"")</f>
        <v/>
      </c>
      <c r="I53" s="4" t="str">
        <f>_xlfn.IFNA(VLOOKUP(D53,Master!$I:$K,2,FALSE),"")</f>
        <v/>
      </c>
      <c r="J53" s="4" t="str">
        <f>_xlfn.IFNA(VLOOKUP(D53,Master!$I:$K,3,FALSE),"")</f>
        <v/>
      </c>
      <c r="L53" s="27" t="str">
        <f>IF(A53&lt;&gt;"CFA",_xlfn.IFNA(VLOOKUP($G53,Master!$V$2:$Z$8,5,0),""),"")</f>
        <v/>
      </c>
      <c r="P53" s="6" t="str">
        <f t="shared" si="0"/>
        <v/>
      </c>
      <c r="Q53" s="13">
        <f t="shared" si="1"/>
        <v>0</v>
      </c>
    </row>
    <row r="54" spans="2:17" ht="15" customHeight="1">
      <c r="B54" s="5" t="str">
        <f>_xlfn.IFNA(VLOOKUP(C54,Master!$H:$I,2,FALSE),"")</f>
        <v/>
      </c>
      <c r="D54" s="5" t="str">
        <f>_xlfn.IFNA(VLOOKUP(E54,Master!$H:$I,2,FALSE),"")</f>
        <v/>
      </c>
      <c r="F54" s="26" t="str">
        <f>+_xlfn.XLOOKUP(G54,Master!$V$2:$V$8,Master!$U$2:$U$8,"")</f>
        <v/>
      </c>
      <c r="I54" s="4" t="str">
        <f>_xlfn.IFNA(VLOOKUP(D54,Master!$I:$K,2,FALSE),"")</f>
        <v/>
      </c>
      <c r="J54" s="4" t="str">
        <f>_xlfn.IFNA(VLOOKUP(D54,Master!$I:$K,3,FALSE),"")</f>
        <v/>
      </c>
      <c r="L54" s="27" t="str">
        <f>IF(A54&lt;&gt;"CFA",_xlfn.IFNA(VLOOKUP($G54,Master!$V$2:$Z$8,5,0),""),"")</f>
        <v/>
      </c>
      <c r="P54" s="6" t="str">
        <f t="shared" si="0"/>
        <v/>
      </c>
      <c r="Q54" s="13">
        <f t="shared" si="1"/>
        <v>0</v>
      </c>
    </row>
    <row r="55" spans="2:17" ht="15" customHeight="1">
      <c r="B55" s="5" t="str">
        <f>_xlfn.IFNA(VLOOKUP(C55,Master!$H:$I,2,FALSE),"")</f>
        <v/>
      </c>
      <c r="D55" s="5" t="str">
        <f>_xlfn.IFNA(VLOOKUP(E55,Master!$H:$I,2,FALSE),"")</f>
        <v/>
      </c>
      <c r="F55" s="26" t="str">
        <f>+_xlfn.XLOOKUP(G55,Master!$V$2:$V$8,Master!$U$2:$U$8,"")</f>
        <v/>
      </c>
      <c r="I55" s="4" t="str">
        <f>_xlfn.IFNA(VLOOKUP(D55,Master!$I:$K,2,FALSE),"")</f>
        <v/>
      </c>
      <c r="J55" s="4" t="str">
        <f>_xlfn.IFNA(VLOOKUP(D55,Master!$I:$K,3,FALSE),"")</f>
        <v/>
      </c>
      <c r="L55" s="27" t="str">
        <f>IF(A55&lt;&gt;"CFA",_xlfn.IFNA(VLOOKUP($G55,Master!$V$2:$Z$8,5,0),""),"")</f>
        <v/>
      </c>
      <c r="P55" s="6" t="str">
        <f t="shared" ref="P55:P118" si="2">IF(N55&lt;&gt;"",IF(MONTH(N55)&gt;=4,"FY1"&amp;RIGHT(YEAR(N55)+1,2),"FY1"&amp;RIGHT(YEAR(N55),2)),"")</f>
        <v/>
      </c>
      <c r="Q55" s="13">
        <f t="shared" ref="Q55:Q118" si="3">IF(K55&gt;0&amp;M55&gt;0,K55*M55,"")</f>
        <v>0</v>
      </c>
    </row>
    <row r="56" spans="2:17" ht="15" customHeight="1">
      <c r="B56" s="5" t="str">
        <f>_xlfn.IFNA(VLOOKUP(C56,Master!$H:$I,2,FALSE),"")</f>
        <v/>
      </c>
      <c r="D56" s="5" t="str">
        <f>_xlfn.IFNA(VLOOKUP(E56,Master!$H:$I,2,FALSE),"")</f>
        <v/>
      </c>
      <c r="F56" s="26" t="str">
        <f>+_xlfn.XLOOKUP(G56,Master!$V$2:$V$8,Master!$U$2:$U$8,"")</f>
        <v/>
      </c>
      <c r="I56" s="4" t="str">
        <f>_xlfn.IFNA(VLOOKUP(D56,Master!$I:$K,2,FALSE),"")</f>
        <v/>
      </c>
      <c r="J56" s="4" t="str">
        <f>_xlfn.IFNA(VLOOKUP(D56,Master!$I:$K,3,FALSE),"")</f>
        <v/>
      </c>
      <c r="L56" s="27" t="str">
        <f>IF(A56&lt;&gt;"CFA",_xlfn.IFNA(VLOOKUP($G56,Master!$V$2:$Z$8,5,0),""),"")</f>
        <v/>
      </c>
      <c r="P56" s="6" t="str">
        <f t="shared" si="2"/>
        <v/>
      </c>
      <c r="Q56" s="13">
        <f t="shared" si="3"/>
        <v>0</v>
      </c>
    </row>
    <row r="57" spans="2:17" ht="15" customHeight="1">
      <c r="B57" s="5" t="str">
        <f>_xlfn.IFNA(VLOOKUP(C57,Master!$H:$I,2,FALSE),"")</f>
        <v/>
      </c>
      <c r="D57" s="5" t="str">
        <f>_xlfn.IFNA(VLOOKUP(E57,Master!$H:$I,2,FALSE),"")</f>
        <v/>
      </c>
      <c r="F57" s="26" t="str">
        <f>+_xlfn.XLOOKUP(G57,Master!$V$2:$V$8,Master!$U$2:$U$8,"")</f>
        <v/>
      </c>
      <c r="I57" s="4" t="str">
        <f>_xlfn.IFNA(VLOOKUP(D57,Master!$I:$K,2,FALSE),"")</f>
        <v/>
      </c>
      <c r="J57" s="4" t="str">
        <f>_xlfn.IFNA(VLOOKUP(D57,Master!$I:$K,3,FALSE),"")</f>
        <v/>
      </c>
      <c r="L57" s="27" t="str">
        <f>IF(A57&lt;&gt;"CFA",_xlfn.IFNA(VLOOKUP($G57,Master!$V$2:$Z$8,5,0),""),"")</f>
        <v/>
      </c>
      <c r="P57" s="6" t="str">
        <f t="shared" si="2"/>
        <v/>
      </c>
      <c r="Q57" s="13">
        <f t="shared" si="3"/>
        <v>0</v>
      </c>
    </row>
    <row r="58" spans="2:17" ht="15" customHeight="1">
      <c r="B58" s="5" t="str">
        <f>_xlfn.IFNA(VLOOKUP(C58,Master!$H:$I,2,FALSE),"")</f>
        <v/>
      </c>
      <c r="D58" s="5" t="str">
        <f>_xlfn.IFNA(VLOOKUP(E58,Master!$H:$I,2,FALSE),"")</f>
        <v/>
      </c>
      <c r="F58" s="26" t="str">
        <f>+_xlfn.XLOOKUP(G58,Master!$V$2:$V$8,Master!$U$2:$U$8,"")</f>
        <v/>
      </c>
      <c r="I58" s="4" t="str">
        <f>_xlfn.IFNA(VLOOKUP(D58,Master!$I:$K,2,FALSE),"")</f>
        <v/>
      </c>
      <c r="J58" s="4" t="str">
        <f>_xlfn.IFNA(VLOOKUP(D58,Master!$I:$K,3,FALSE),"")</f>
        <v/>
      </c>
      <c r="L58" s="27" t="str">
        <f>IF(A58&lt;&gt;"CFA",_xlfn.IFNA(VLOOKUP($G58,Master!$V$2:$Z$8,5,0),""),"")</f>
        <v/>
      </c>
      <c r="P58" s="6" t="str">
        <f t="shared" si="2"/>
        <v/>
      </c>
      <c r="Q58" s="13">
        <f t="shared" si="3"/>
        <v>0</v>
      </c>
    </row>
    <row r="59" spans="2:17" ht="15" customHeight="1">
      <c r="B59" s="5" t="str">
        <f>_xlfn.IFNA(VLOOKUP(C59,Master!$H:$I,2,FALSE),"")</f>
        <v/>
      </c>
      <c r="D59" s="5" t="str">
        <f>_xlfn.IFNA(VLOOKUP(E59,Master!$H:$I,2,FALSE),"")</f>
        <v/>
      </c>
      <c r="F59" s="26" t="str">
        <f>+_xlfn.XLOOKUP(G59,Master!$V$2:$V$8,Master!$U$2:$U$8,"")</f>
        <v/>
      </c>
      <c r="I59" s="4" t="str">
        <f>_xlfn.IFNA(VLOOKUP(D59,Master!$I:$K,2,FALSE),"")</f>
        <v/>
      </c>
      <c r="J59" s="4" t="str">
        <f>_xlfn.IFNA(VLOOKUP(D59,Master!$I:$K,3,FALSE),"")</f>
        <v/>
      </c>
      <c r="L59" s="27" t="str">
        <f>IF(A59&lt;&gt;"CFA",_xlfn.IFNA(VLOOKUP($G59,Master!$V$2:$Z$8,5,0),""),"")</f>
        <v/>
      </c>
      <c r="P59" s="6" t="str">
        <f t="shared" si="2"/>
        <v/>
      </c>
      <c r="Q59" s="13">
        <f t="shared" si="3"/>
        <v>0</v>
      </c>
    </row>
    <row r="60" spans="2:17" ht="15" customHeight="1">
      <c r="B60" s="5" t="str">
        <f>_xlfn.IFNA(VLOOKUP(C60,Master!$H:$I,2,FALSE),"")</f>
        <v/>
      </c>
      <c r="D60" s="5" t="str">
        <f>_xlfn.IFNA(VLOOKUP(E60,Master!$H:$I,2,FALSE),"")</f>
        <v/>
      </c>
      <c r="F60" s="26" t="str">
        <f>+_xlfn.XLOOKUP(G60,Master!$V$2:$V$8,Master!$U$2:$U$8,"")</f>
        <v/>
      </c>
      <c r="I60" s="4" t="str">
        <f>_xlfn.IFNA(VLOOKUP(D60,Master!$I:$K,2,FALSE),"")</f>
        <v/>
      </c>
      <c r="J60" s="4" t="str">
        <f>_xlfn.IFNA(VLOOKUP(D60,Master!$I:$K,3,FALSE),"")</f>
        <v/>
      </c>
      <c r="L60" s="27" t="str">
        <f>IF(A60&lt;&gt;"CFA",_xlfn.IFNA(VLOOKUP($G60,Master!$V$2:$Z$8,5,0),""),"")</f>
        <v/>
      </c>
      <c r="P60" s="6" t="str">
        <f t="shared" si="2"/>
        <v/>
      </c>
      <c r="Q60" s="13">
        <f t="shared" si="3"/>
        <v>0</v>
      </c>
    </row>
    <row r="61" spans="2:17" ht="15" customHeight="1">
      <c r="B61" s="5" t="str">
        <f>_xlfn.IFNA(VLOOKUP(C61,Master!$H:$I,2,FALSE),"")</f>
        <v/>
      </c>
      <c r="D61" s="5" t="str">
        <f>_xlfn.IFNA(VLOOKUP(E61,Master!$H:$I,2,FALSE),"")</f>
        <v/>
      </c>
      <c r="F61" s="26" t="str">
        <f>+_xlfn.XLOOKUP(G61,Master!$V$2:$V$8,Master!$U$2:$U$8,"")</f>
        <v/>
      </c>
      <c r="I61" s="4" t="str">
        <f>_xlfn.IFNA(VLOOKUP(D61,Master!$I:$K,2,FALSE),"")</f>
        <v/>
      </c>
      <c r="J61" s="4" t="str">
        <f>_xlfn.IFNA(VLOOKUP(D61,Master!$I:$K,3,FALSE),"")</f>
        <v/>
      </c>
      <c r="L61" s="27" t="str">
        <f>IF(A61&lt;&gt;"CFA",_xlfn.IFNA(VLOOKUP($G61,Master!$V$2:$Z$8,5,0),""),"")</f>
        <v/>
      </c>
      <c r="P61" s="6" t="str">
        <f t="shared" si="2"/>
        <v/>
      </c>
      <c r="Q61" s="13">
        <f t="shared" si="3"/>
        <v>0</v>
      </c>
    </row>
    <row r="62" spans="2:17" ht="15" customHeight="1">
      <c r="B62" s="5" t="str">
        <f>_xlfn.IFNA(VLOOKUP(C62,Master!$H:$I,2,FALSE),"")</f>
        <v/>
      </c>
      <c r="D62" s="5" t="str">
        <f>_xlfn.IFNA(VLOOKUP(E62,Master!$H:$I,2,FALSE),"")</f>
        <v/>
      </c>
      <c r="F62" s="26" t="str">
        <f>+_xlfn.XLOOKUP(G62,Master!$V$2:$V$8,Master!$U$2:$U$8,"")</f>
        <v/>
      </c>
      <c r="I62" s="4" t="str">
        <f>_xlfn.IFNA(VLOOKUP(D62,Master!$I:$K,2,FALSE),"")</f>
        <v/>
      </c>
      <c r="J62" s="4" t="str">
        <f>_xlfn.IFNA(VLOOKUP(D62,Master!$I:$K,3,FALSE),"")</f>
        <v/>
      </c>
      <c r="L62" s="27" t="str">
        <f>IF(A62&lt;&gt;"CFA",_xlfn.IFNA(VLOOKUP($G62,Master!$V$2:$Z$8,5,0),""),"")</f>
        <v/>
      </c>
      <c r="P62" s="6" t="str">
        <f t="shared" si="2"/>
        <v/>
      </c>
      <c r="Q62" s="13">
        <f t="shared" si="3"/>
        <v>0</v>
      </c>
    </row>
    <row r="63" spans="2:17" ht="15" customHeight="1">
      <c r="B63" s="5" t="str">
        <f>_xlfn.IFNA(VLOOKUP(C63,Master!$H:$I,2,FALSE),"")</f>
        <v/>
      </c>
      <c r="D63" s="5" t="str">
        <f>_xlfn.IFNA(VLOOKUP(E63,Master!$H:$I,2,FALSE),"")</f>
        <v/>
      </c>
      <c r="F63" s="26" t="str">
        <f>+_xlfn.XLOOKUP(G63,Master!$V$2:$V$8,Master!$U$2:$U$8,"")</f>
        <v/>
      </c>
      <c r="I63" s="4" t="str">
        <f>_xlfn.IFNA(VLOOKUP(D63,Master!$I:$K,2,FALSE),"")</f>
        <v/>
      </c>
      <c r="J63" s="4" t="str">
        <f>_xlfn.IFNA(VLOOKUP(D63,Master!$I:$K,3,FALSE),"")</f>
        <v/>
      </c>
      <c r="L63" s="27" t="str">
        <f>IF(A63&lt;&gt;"CFA",_xlfn.IFNA(VLOOKUP($G63,Master!$V$2:$Z$8,5,0),""),"")</f>
        <v/>
      </c>
      <c r="P63" s="6" t="str">
        <f t="shared" si="2"/>
        <v/>
      </c>
      <c r="Q63" s="13">
        <f t="shared" si="3"/>
        <v>0</v>
      </c>
    </row>
    <row r="64" spans="2:17" ht="15" customHeight="1">
      <c r="B64" s="5" t="str">
        <f>_xlfn.IFNA(VLOOKUP(C64,Master!$H:$I,2,FALSE),"")</f>
        <v/>
      </c>
      <c r="D64" s="5" t="str">
        <f>_xlfn.IFNA(VLOOKUP(E64,Master!$H:$I,2,FALSE),"")</f>
        <v/>
      </c>
      <c r="F64" s="26" t="str">
        <f>+_xlfn.XLOOKUP(G64,Master!$V$2:$V$8,Master!$U$2:$U$8,"")</f>
        <v/>
      </c>
      <c r="I64" s="4" t="str">
        <f>_xlfn.IFNA(VLOOKUP(D64,Master!$I:$K,2,FALSE),"")</f>
        <v/>
      </c>
      <c r="J64" s="4" t="str">
        <f>_xlfn.IFNA(VLOOKUP(D64,Master!$I:$K,3,FALSE),"")</f>
        <v/>
      </c>
      <c r="L64" s="27" t="str">
        <f>IF(A64&lt;&gt;"CFA",_xlfn.IFNA(VLOOKUP($G64,Master!$V$2:$Z$8,5,0),""),"")</f>
        <v/>
      </c>
      <c r="P64" s="6" t="str">
        <f t="shared" si="2"/>
        <v/>
      </c>
      <c r="Q64" s="13">
        <f t="shared" si="3"/>
        <v>0</v>
      </c>
    </row>
    <row r="65" spans="2:17" ht="15" customHeight="1">
      <c r="B65" s="5" t="str">
        <f>_xlfn.IFNA(VLOOKUP(C65,Master!$H:$I,2,FALSE),"")</f>
        <v/>
      </c>
      <c r="D65" s="5" t="str">
        <f>_xlfn.IFNA(VLOOKUP(E65,Master!$H:$I,2,FALSE),"")</f>
        <v/>
      </c>
      <c r="F65" s="26" t="str">
        <f>+_xlfn.XLOOKUP(G65,Master!$V$2:$V$8,Master!$U$2:$U$8,"")</f>
        <v/>
      </c>
      <c r="I65" s="4" t="str">
        <f>_xlfn.IFNA(VLOOKUP(D65,Master!$I:$K,2,FALSE),"")</f>
        <v/>
      </c>
      <c r="J65" s="4" t="str">
        <f>_xlfn.IFNA(VLOOKUP(D65,Master!$I:$K,3,FALSE),"")</f>
        <v/>
      </c>
      <c r="L65" s="27" t="str">
        <f>IF(A65&lt;&gt;"CFA",_xlfn.IFNA(VLOOKUP($G65,Master!$V$2:$Z$8,5,0),""),"")</f>
        <v/>
      </c>
      <c r="P65" s="6" t="str">
        <f t="shared" si="2"/>
        <v/>
      </c>
      <c r="Q65" s="13">
        <f t="shared" si="3"/>
        <v>0</v>
      </c>
    </row>
    <row r="66" spans="2:17" ht="15" customHeight="1">
      <c r="B66" s="5" t="str">
        <f>_xlfn.IFNA(VLOOKUP(C66,Master!$H:$I,2,FALSE),"")</f>
        <v/>
      </c>
      <c r="D66" s="5" t="str">
        <f>_xlfn.IFNA(VLOOKUP(E66,Master!$H:$I,2,FALSE),"")</f>
        <v/>
      </c>
      <c r="F66" s="26" t="str">
        <f>+_xlfn.XLOOKUP(G66,Master!$V$2:$V$8,Master!$U$2:$U$8,"")</f>
        <v/>
      </c>
      <c r="I66" s="4" t="str">
        <f>_xlfn.IFNA(VLOOKUP(D66,Master!$I:$K,2,FALSE),"")</f>
        <v/>
      </c>
      <c r="J66" s="4" t="str">
        <f>_xlfn.IFNA(VLOOKUP(D66,Master!$I:$K,3,FALSE),"")</f>
        <v/>
      </c>
      <c r="L66" s="27" t="str">
        <f>IF(A66&lt;&gt;"CFA",_xlfn.IFNA(VLOOKUP($G66,Master!$V$2:$Z$8,5,0),""),"")</f>
        <v/>
      </c>
      <c r="P66" s="6" t="str">
        <f t="shared" si="2"/>
        <v/>
      </c>
      <c r="Q66" s="13">
        <f t="shared" si="3"/>
        <v>0</v>
      </c>
    </row>
    <row r="67" spans="2:17" ht="15" customHeight="1">
      <c r="B67" s="5" t="str">
        <f>_xlfn.IFNA(VLOOKUP(C67,Master!$H:$I,2,FALSE),"")</f>
        <v/>
      </c>
      <c r="D67" s="5" t="str">
        <f>_xlfn.IFNA(VLOOKUP(E67,Master!$H:$I,2,FALSE),"")</f>
        <v/>
      </c>
      <c r="F67" s="26" t="str">
        <f>+_xlfn.XLOOKUP(G67,Master!$V$2:$V$8,Master!$U$2:$U$8,"")</f>
        <v/>
      </c>
      <c r="I67" s="4" t="str">
        <f>_xlfn.IFNA(VLOOKUP(D67,Master!$I:$K,2,FALSE),"")</f>
        <v/>
      </c>
      <c r="J67" s="4" t="str">
        <f>_xlfn.IFNA(VLOOKUP(D67,Master!$I:$K,3,FALSE),"")</f>
        <v/>
      </c>
      <c r="L67" s="27" t="str">
        <f>IF(A67&lt;&gt;"CFA",_xlfn.IFNA(VLOOKUP($G67,Master!$V$2:$Z$8,5,0),""),"")</f>
        <v/>
      </c>
      <c r="P67" s="6" t="str">
        <f t="shared" si="2"/>
        <v/>
      </c>
      <c r="Q67" s="13">
        <f t="shared" si="3"/>
        <v>0</v>
      </c>
    </row>
    <row r="68" spans="2:17" ht="15" customHeight="1">
      <c r="B68" s="5" t="str">
        <f>_xlfn.IFNA(VLOOKUP(C68,Master!$H:$I,2,FALSE),"")</f>
        <v/>
      </c>
      <c r="D68" s="5" t="str">
        <f>_xlfn.IFNA(VLOOKUP(E68,Master!$H:$I,2,FALSE),"")</f>
        <v/>
      </c>
      <c r="F68" s="26" t="str">
        <f>+_xlfn.XLOOKUP(G68,Master!$V$2:$V$8,Master!$U$2:$U$8,"")</f>
        <v/>
      </c>
      <c r="I68" s="4" t="str">
        <f>_xlfn.IFNA(VLOOKUP(D68,Master!$I:$K,2,FALSE),"")</f>
        <v/>
      </c>
      <c r="J68" s="4" t="str">
        <f>_xlfn.IFNA(VLOOKUP(D68,Master!$I:$K,3,FALSE),"")</f>
        <v/>
      </c>
      <c r="L68" s="27" t="str">
        <f>IF(A68&lt;&gt;"CFA",_xlfn.IFNA(VLOOKUP($G68,Master!$V$2:$Z$8,5,0),""),"")</f>
        <v/>
      </c>
      <c r="P68" s="6" t="str">
        <f t="shared" si="2"/>
        <v/>
      </c>
      <c r="Q68" s="13">
        <f t="shared" si="3"/>
        <v>0</v>
      </c>
    </row>
    <row r="69" spans="2:17" ht="15" customHeight="1">
      <c r="B69" s="5" t="str">
        <f>_xlfn.IFNA(VLOOKUP(C69,Master!$H:$I,2,FALSE),"")</f>
        <v/>
      </c>
      <c r="D69" s="5" t="str">
        <f>_xlfn.IFNA(VLOOKUP(E69,Master!$H:$I,2,FALSE),"")</f>
        <v/>
      </c>
      <c r="F69" s="26" t="str">
        <f>+_xlfn.XLOOKUP(G69,Master!$V$2:$V$8,Master!$U$2:$U$8,"")</f>
        <v/>
      </c>
      <c r="I69" s="4" t="str">
        <f>_xlfn.IFNA(VLOOKUP(D69,Master!$I:$K,2,FALSE),"")</f>
        <v/>
      </c>
      <c r="J69" s="4" t="str">
        <f>_xlfn.IFNA(VLOOKUP(D69,Master!$I:$K,3,FALSE),"")</f>
        <v/>
      </c>
      <c r="L69" s="27" t="str">
        <f>IF(A69&lt;&gt;"CFA",_xlfn.IFNA(VLOOKUP($G69,Master!$V$2:$Z$8,5,0),""),"")</f>
        <v/>
      </c>
      <c r="P69" s="6" t="str">
        <f t="shared" si="2"/>
        <v/>
      </c>
      <c r="Q69" s="13">
        <f t="shared" si="3"/>
        <v>0</v>
      </c>
    </row>
    <row r="70" spans="2:17" ht="15" customHeight="1">
      <c r="B70" s="5" t="str">
        <f>_xlfn.IFNA(VLOOKUP(C70,Master!$H:$I,2,FALSE),"")</f>
        <v/>
      </c>
      <c r="D70" s="5" t="str">
        <f>_xlfn.IFNA(VLOOKUP(E70,Master!$H:$I,2,FALSE),"")</f>
        <v/>
      </c>
      <c r="F70" s="26" t="str">
        <f>+_xlfn.XLOOKUP(G70,Master!$V$2:$V$8,Master!$U$2:$U$8,"")</f>
        <v/>
      </c>
      <c r="I70" s="4" t="str">
        <f>_xlfn.IFNA(VLOOKUP(D70,Master!$I:$K,2,FALSE),"")</f>
        <v/>
      </c>
      <c r="J70" s="4" t="str">
        <f>_xlfn.IFNA(VLOOKUP(D70,Master!$I:$K,3,FALSE),"")</f>
        <v/>
      </c>
      <c r="L70" s="27" t="str">
        <f>IF(A70&lt;&gt;"CFA",_xlfn.IFNA(VLOOKUP($G70,Master!$V$2:$Z$8,5,0),""),"")</f>
        <v/>
      </c>
      <c r="P70" s="6" t="str">
        <f t="shared" si="2"/>
        <v/>
      </c>
      <c r="Q70" s="13">
        <f t="shared" si="3"/>
        <v>0</v>
      </c>
    </row>
    <row r="71" spans="2:17" ht="15" customHeight="1">
      <c r="B71" s="5" t="str">
        <f>_xlfn.IFNA(VLOOKUP(C71,Master!$H:$I,2,FALSE),"")</f>
        <v/>
      </c>
      <c r="D71" s="5" t="str">
        <f>_xlfn.IFNA(VLOOKUP(E71,Master!$H:$I,2,FALSE),"")</f>
        <v/>
      </c>
      <c r="F71" s="26" t="str">
        <f>+_xlfn.XLOOKUP(G71,Master!$V$2:$V$8,Master!$U$2:$U$8,"")</f>
        <v/>
      </c>
      <c r="I71" s="4" t="str">
        <f>_xlfn.IFNA(VLOOKUP(D71,Master!$I:$K,2,FALSE),"")</f>
        <v/>
      </c>
      <c r="J71" s="4" t="str">
        <f>_xlfn.IFNA(VLOOKUP(D71,Master!$I:$K,3,FALSE),"")</f>
        <v/>
      </c>
      <c r="L71" s="27" t="str">
        <f>IF(A71&lt;&gt;"CFA",_xlfn.IFNA(VLOOKUP($G71,Master!$V$2:$Z$8,5,0),""),"")</f>
        <v/>
      </c>
      <c r="P71" s="6" t="str">
        <f t="shared" si="2"/>
        <v/>
      </c>
      <c r="Q71" s="13">
        <f t="shared" si="3"/>
        <v>0</v>
      </c>
    </row>
    <row r="72" spans="2:17" ht="15" customHeight="1">
      <c r="B72" s="5" t="str">
        <f>_xlfn.IFNA(VLOOKUP(C72,Master!$H:$I,2,FALSE),"")</f>
        <v/>
      </c>
      <c r="D72" s="5" t="str">
        <f>_xlfn.IFNA(VLOOKUP(E72,Master!$H:$I,2,FALSE),"")</f>
        <v/>
      </c>
      <c r="F72" s="26" t="str">
        <f>+_xlfn.XLOOKUP(G72,Master!$V$2:$V$8,Master!$U$2:$U$8,"")</f>
        <v/>
      </c>
      <c r="I72" s="4" t="str">
        <f>_xlfn.IFNA(VLOOKUP(D72,Master!$I:$K,2,FALSE),"")</f>
        <v/>
      </c>
      <c r="J72" s="4" t="str">
        <f>_xlfn.IFNA(VLOOKUP(D72,Master!$I:$K,3,FALSE),"")</f>
        <v/>
      </c>
      <c r="L72" s="27" t="str">
        <f>IF(A72&lt;&gt;"CFA",_xlfn.IFNA(VLOOKUP($G72,Master!$V$2:$Z$8,5,0),""),"")</f>
        <v/>
      </c>
      <c r="P72" s="6" t="str">
        <f t="shared" si="2"/>
        <v/>
      </c>
      <c r="Q72" s="13">
        <f t="shared" si="3"/>
        <v>0</v>
      </c>
    </row>
    <row r="73" spans="2:17" ht="15" customHeight="1">
      <c r="B73" s="5" t="str">
        <f>_xlfn.IFNA(VLOOKUP(C73,Master!$H:$I,2,FALSE),"")</f>
        <v/>
      </c>
      <c r="D73" s="5" t="str">
        <f>_xlfn.IFNA(VLOOKUP(E73,Master!$H:$I,2,FALSE),"")</f>
        <v/>
      </c>
      <c r="F73" s="26" t="str">
        <f>+_xlfn.XLOOKUP(G73,Master!$V$2:$V$8,Master!$U$2:$U$8,"")</f>
        <v/>
      </c>
      <c r="I73" s="4" t="str">
        <f>_xlfn.IFNA(VLOOKUP(D73,Master!$I:$K,2,FALSE),"")</f>
        <v/>
      </c>
      <c r="J73" s="4" t="str">
        <f>_xlfn.IFNA(VLOOKUP(D73,Master!$I:$K,3,FALSE),"")</f>
        <v/>
      </c>
      <c r="L73" s="27" t="str">
        <f>IF(A73&lt;&gt;"CFA",_xlfn.IFNA(VLOOKUP($G73,Master!$V$2:$Z$8,5,0),""),"")</f>
        <v/>
      </c>
      <c r="P73" s="6" t="str">
        <f t="shared" si="2"/>
        <v/>
      </c>
      <c r="Q73" s="13">
        <f t="shared" si="3"/>
        <v>0</v>
      </c>
    </row>
    <row r="74" spans="2:17" ht="15" customHeight="1">
      <c r="B74" s="5" t="str">
        <f>_xlfn.IFNA(VLOOKUP(C74,Master!$H:$I,2,FALSE),"")</f>
        <v/>
      </c>
      <c r="D74" s="5" t="str">
        <f>_xlfn.IFNA(VLOOKUP(E74,Master!$H:$I,2,FALSE),"")</f>
        <v/>
      </c>
      <c r="F74" s="26" t="str">
        <f>+_xlfn.XLOOKUP(G74,Master!$V$2:$V$8,Master!$U$2:$U$8,"")</f>
        <v/>
      </c>
      <c r="I74" s="4" t="str">
        <f>_xlfn.IFNA(VLOOKUP(D74,Master!$I:$K,2,FALSE),"")</f>
        <v/>
      </c>
      <c r="J74" s="4" t="str">
        <f>_xlfn.IFNA(VLOOKUP(D74,Master!$I:$K,3,FALSE),"")</f>
        <v/>
      </c>
      <c r="L74" s="27" t="str">
        <f>IF(A74&lt;&gt;"CFA",_xlfn.IFNA(VLOOKUP($G74,Master!$V$2:$Z$8,5,0),""),"")</f>
        <v/>
      </c>
      <c r="P74" s="6" t="str">
        <f t="shared" si="2"/>
        <v/>
      </c>
      <c r="Q74" s="13">
        <f t="shared" si="3"/>
        <v>0</v>
      </c>
    </row>
    <row r="75" spans="2:17" ht="15" customHeight="1">
      <c r="B75" s="5" t="str">
        <f>_xlfn.IFNA(VLOOKUP(C75,Master!$H:$I,2,FALSE),"")</f>
        <v/>
      </c>
      <c r="D75" s="5" t="str">
        <f>_xlfn.IFNA(VLOOKUP(E75,Master!$H:$I,2,FALSE),"")</f>
        <v/>
      </c>
      <c r="F75" s="26" t="str">
        <f>+_xlfn.XLOOKUP(G75,Master!$V$2:$V$8,Master!$U$2:$U$8,"")</f>
        <v/>
      </c>
      <c r="I75" s="4" t="str">
        <f>_xlfn.IFNA(VLOOKUP(D75,Master!$I:$K,2,FALSE),"")</f>
        <v/>
      </c>
      <c r="J75" s="4" t="str">
        <f>_xlfn.IFNA(VLOOKUP(D75,Master!$I:$K,3,FALSE),"")</f>
        <v/>
      </c>
      <c r="L75" s="27" t="str">
        <f>IF(A75&lt;&gt;"CFA",_xlfn.IFNA(VLOOKUP($G75,Master!$V$2:$Z$8,5,0),""),"")</f>
        <v/>
      </c>
      <c r="P75" s="6" t="str">
        <f t="shared" si="2"/>
        <v/>
      </c>
      <c r="Q75" s="13">
        <f t="shared" si="3"/>
        <v>0</v>
      </c>
    </row>
    <row r="76" spans="2:17" ht="15" customHeight="1">
      <c r="B76" s="5" t="str">
        <f>_xlfn.IFNA(VLOOKUP(C76,Master!$H:$I,2,FALSE),"")</f>
        <v/>
      </c>
      <c r="D76" s="5" t="str">
        <f>_xlfn.IFNA(VLOOKUP(E76,Master!$H:$I,2,FALSE),"")</f>
        <v/>
      </c>
      <c r="F76" s="26" t="str">
        <f>+_xlfn.XLOOKUP(G76,Master!$V$2:$V$8,Master!$U$2:$U$8,"")</f>
        <v/>
      </c>
      <c r="I76" s="4" t="str">
        <f>_xlfn.IFNA(VLOOKUP(D76,Master!$I:$K,2,FALSE),"")</f>
        <v/>
      </c>
      <c r="J76" s="4" t="str">
        <f>_xlfn.IFNA(VLOOKUP(D76,Master!$I:$K,3,FALSE),"")</f>
        <v/>
      </c>
      <c r="L76" s="27" t="str">
        <f>IF(A76&lt;&gt;"CFA",_xlfn.IFNA(VLOOKUP($G76,Master!$V$2:$Z$8,5,0),""),"")</f>
        <v/>
      </c>
      <c r="P76" s="6" t="str">
        <f t="shared" si="2"/>
        <v/>
      </c>
      <c r="Q76" s="13">
        <f t="shared" si="3"/>
        <v>0</v>
      </c>
    </row>
    <row r="77" spans="2:17" ht="15" customHeight="1">
      <c r="B77" s="5" t="str">
        <f>_xlfn.IFNA(VLOOKUP(C77,Master!$H:$I,2,FALSE),"")</f>
        <v/>
      </c>
      <c r="D77" s="5" t="str">
        <f>_xlfn.IFNA(VLOOKUP(E77,Master!$H:$I,2,FALSE),"")</f>
        <v/>
      </c>
      <c r="F77" s="26" t="str">
        <f>+_xlfn.XLOOKUP(G77,Master!$V$2:$V$8,Master!$U$2:$U$8,"")</f>
        <v/>
      </c>
      <c r="I77" s="4" t="str">
        <f>_xlfn.IFNA(VLOOKUP(D77,Master!$I:$K,2,FALSE),"")</f>
        <v/>
      </c>
      <c r="J77" s="4" t="str">
        <f>_xlfn.IFNA(VLOOKUP(D77,Master!$I:$K,3,FALSE),"")</f>
        <v/>
      </c>
      <c r="L77" s="27" t="str">
        <f>IF(A77&lt;&gt;"CFA",_xlfn.IFNA(VLOOKUP($G77,Master!$V$2:$Z$8,5,0),""),"")</f>
        <v/>
      </c>
      <c r="P77" s="6" t="str">
        <f t="shared" si="2"/>
        <v/>
      </c>
      <c r="Q77" s="13">
        <f t="shared" si="3"/>
        <v>0</v>
      </c>
    </row>
    <row r="78" spans="2:17" ht="15" customHeight="1">
      <c r="B78" s="5" t="str">
        <f>_xlfn.IFNA(VLOOKUP(C78,Master!$H:$I,2,FALSE),"")</f>
        <v/>
      </c>
      <c r="D78" s="5" t="str">
        <f>_xlfn.IFNA(VLOOKUP(E78,Master!$H:$I,2,FALSE),"")</f>
        <v/>
      </c>
      <c r="F78" s="26" t="str">
        <f>+_xlfn.XLOOKUP(G78,Master!$V$2:$V$8,Master!$U$2:$U$8,"")</f>
        <v/>
      </c>
      <c r="I78" s="4" t="str">
        <f>_xlfn.IFNA(VLOOKUP(D78,Master!$I:$K,2,FALSE),"")</f>
        <v/>
      </c>
      <c r="J78" s="4" t="str">
        <f>_xlfn.IFNA(VLOOKUP(D78,Master!$I:$K,3,FALSE),"")</f>
        <v/>
      </c>
      <c r="L78" s="27" t="str">
        <f>IF(A78&lt;&gt;"CFA",_xlfn.IFNA(VLOOKUP($G78,Master!$V$2:$Z$8,5,0),""),"")</f>
        <v/>
      </c>
      <c r="P78" s="6" t="str">
        <f t="shared" si="2"/>
        <v/>
      </c>
      <c r="Q78" s="13">
        <f t="shared" si="3"/>
        <v>0</v>
      </c>
    </row>
    <row r="79" spans="2:17" ht="15" customHeight="1">
      <c r="B79" s="5" t="str">
        <f>_xlfn.IFNA(VLOOKUP(C79,Master!$H:$I,2,FALSE),"")</f>
        <v/>
      </c>
      <c r="D79" s="5" t="str">
        <f>_xlfn.IFNA(VLOOKUP(E79,Master!$H:$I,2,FALSE),"")</f>
        <v/>
      </c>
      <c r="F79" s="26" t="str">
        <f>+_xlfn.XLOOKUP(G79,Master!$V$2:$V$8,Master!$U$2:$U$8,"")</f>
        <v/>
      </c>
      <c r="I79" s="4" t="str">
        <f>_xlfn.IFNA(VLOOKUP(D79,Master!$I:$K,2,FALSE),"")</f>
        <v/>
      </c>
      <c r="J79" s="4" t="str">
        <f>_xlfn.IFNA(VLOOKUP(D79,Master!$I:$K,3,FALSE),"")</f>
        <v/>
      </c>
      <c r="L79" s="27" t="str">
        <f>IF(A79&lt;&gt;"CFA",_xlfn.IFNA(VLOOKUP($G79,Master!$V$2:$Z$8,5,0),""),"")</f>
        <v/>
      </c>
      <c r="P79" s="6" t="str">
        <f t="shared" si="2"/>
        <v/>
      </c>
      <c r="Q79" s="13">
        <f t="shared" si="3"/>
        <v>0</v>
      </c>
    </row>
    <row r="80" spans="2:17" ht="15" customHeight="1">
      <c r="B80" s="5" t="str">
        <f>_xlfn.IFNA(VLOOKUP(C80,Master!$H:$I,2,FALSE),"")</f>
        <v/>
      </c>
      <c r="D80" s="5" t="str">
        <f>_xlfn.IFNA(VLOOKUP(E80,Master!$H:$I,2,FALSE),"")</f>
        <v/>
      </c>
      <c r="F80" s="26" t="str">
        <f>+_xlfn.XLOOKUP(G80,Master!$V$2:$V$8,Master!$U$2:$U$8,"")</f>
        <v/>
      </c>
      <c r="I80" s="4" t="str">
        <f>_xlfn.IFNA(VLOOKUP(D80,Master!$I:$K,2,FALSE),"")</f>
        <v/>
      </c>
      <c r="J80" s="4" t="str">
        <f>_xlfn.IFNA(VLOOKUP(D80,Master!$I:$K,3,FALSE),"")</f>
        <v/>
      </c>
      <c r="L80" s="27" t="str">
        <f>IF(A80&lt;&gt;"CFA",_xlfn.IFNA(VLOOKUP($G80,Master!$V$2:$Z$8,5,0),""),"")</f>
        <v/>
      </c>
      <c r="P80" s="6" t="str">
        <f t="shared" si="2"/>
        <v/>
      </c>
      <c r="Q80" s="13">
        <f t="shared" si="3"/>
        <v>0</v>
      </c>
    </row>
    <row r="81" spans="2:17" ht="15" customHeight="1">
      <c r="B81" s="5" t="str">
        <f>_xlfn.IFNA(VLOOKUP(C81,Master!$H:$I,2,FALSE),"")</f>
        <v/>
      </c>
      <c r="D81" s="5" t="str">
        <f>_xlfn.IFNA(VLOOKUP(E81,Master!$H:$I,2,FALSE),"")</f>
        <v/>
      </c>
      <c r="F81" s="26" t="str">
        <f>+_xlfn.XLOOKUP(G81,Master!$V$2:$V$8,Master!$U$2:$U$8,"")</f>
        <v/>
      </c>
      <c r="I81" s="4" t="str">
        <f>_xlfn.IFNA(VLOOKUP(D81,Master!$I:$K,2,FALSE),"")</f>
        <v/>
      </c>
      <c r="J81" s="4" t="str">
        <f>_xlfn.IFNA(VLOOKUP(D81,Master!$I:$K,3,FALSE),"")</f>
        <v/>
      </c>
      <c r="L81" s="27" t="str">
        <f>IF(A81&lt;&gt;"CFA",_xlfn.IFNA(VLOOKUP($G81,Master!$V$2:$Z$8,5,0),""),"")</f>
        <v/>
      </c>
      <c r="P81" s="6" t="str">
        <f t="shared" si="2"/>
        <v/>
      </c>
      <c r="Q81" s="13">
        <f t="shared" si="3"/>
        <v>0</v>
      </c>
    </row>
    <row r="82" spans="2:17" ht="15" customHeight="1">
      <c r="B82" s="5" t="str">
        <f>_xlfn.IFNA(VLOOKUP(C82,Master!$H:$I,2,FALSE),"")</f>
        <v/>
      </c>
      <c r="D82" s="5" t="str">
        <f>_xlfn.IFNA(VLOOKUP(E82,Master!$H:$I,2,FALSE),"")</f>
        <v/>
      </c>
      <c r="F82" s="26" t="str">
        <f>+_xlfn.XLOOKUP(G82,Master!$V$2:$V$8,Master!$U$2:$U$8,"")</f>
        <v/>
      </c>
      <c r="I82" s="4" t="str">
        <f>_xlfn.IFNA(VLOOKUP(D82,Master!$I:$K,2,FALSE),"")</f>
        <v/>
      </c>
      <c r="J82" s="4" t="str">
        <f>_xlfn.IFNA(VLOOKUP(D82,Master!$I:$K,3,FALSE),"")</f>
        <v/>
      </c>
      <c r="L82" s="27" t="str">
        <f>IF(A82&lt;&gt;"CFA",_xlfn.IFNA(VLOOKUP($G82,Master!$V$2:$Z$8,5,0),""),"")</f>
        <v/>
      </c>
      <c r="P82" s="6" t="str">
        <f t="shared" si="2"/>
        <v/>
      </c>
      <c r="Q82" s="13">
        <f t="shared" si="3"/>
        <v>0</v>
      </c>
    </row>
    <row r="83" spans="2:17" ht="15" customHeight="1">
      <c r="B83" s="5" t="str">
        <f>_xlfn.IFNA(VLOOKUP(C83,Master!$H:$I,2,FALSE),"")</f>
        <v/>
      </c>
      <c r="D83" s="5" t="str">
        <f>_xlfn.IFNA(VLOOKUP(E83,Master!$H:$I,2,FALSE),"")</f>
        <v/>
      </c>
      <c r="F83" s="26" t="str">
        <f>+_xlfn.XLOOKUP(G83,Master!$V$2:$V$8,Master!$U$2:$U$8,"")</f>
        <v/>
      </c>
      <c r="I83" s="4" t="str">
        <f>_xlfn.IFNA(VLOOKUP(D83,Master!$I:$K,2,FALSE),"")</f>
        <v/>
      </c>
      <c r="J83" s="4" t="str">
        <f>_xlfn.IFNA(VLOOKUP(D83,Master!$I:$K,3,FALSE),"")</f>
        <v/>
      </c>
      <c r="L83" s="27" t="str">
        <f>IF(A83&lt;&gt;"CFA",_xlfn.IFNA(VLOOKUP($G83,Master!$V$2:$Z$8,5,0),""),"")</f>
        <v/>
      </c>
      <c r="P83" s="6" t="str">
        <f t="shared" si="2"/>
        <v/>
      </c>
      <c r="Q83" s="13">
        <f t="shared" si="3"/>
        <v>0</v>
      </c>
    </row>
    <row r="84" spans="2:17" ht="15" customHeight="1">
      <c r="B84" s="5" t="str">
        <f>_xlfn.IFNA(VLOOKUP(C84,Master!$H:$I,2,FALSE),"")</f>
        <v/>
      </c>
      <c r="D84" s="5" t="str">
        <f>_xlfn.IFNA(VLOOKUP(E84,Master!$H:$I,2,FALSE),"")</f>
        <v/>
      </c>
      <c r="F84" s="26" t="str">
        <f>+_xlfn.XLOOKUP(G84,Master!$V$2:$V$8,Master!$U$2:$U$8,"")</f>
        <v/>
      </c>
      <c r="I84" s="4" t="str">
        <f>_xlfn.IFNA(VLOOKUP(D84,Master!$I:$K,2,FALSE),"")</f>
        <v/>
      </c>
      <c r="J84" s="4" t="str">
        <f>_xlfn.IFNA(VLOOKUP(D84,Master!$I:$K,3,FALSE),"")</f>
        <v/>
      </c>
      <c r="L84" s="27" t="str">
        <f>IF(A84&lt;&gt;"CFA",_xlfn.IFNA(VLOOKUP($G84,Master!$V$2:$Z$8,5,0),""),"")</f>
        <v/>
      </c>
      <c r="P84" s="6" t="str">
        <f t="shared" si="2"/>
        <v/>
      </c>
      <c r="Q84" s="13">
        <f t="shared" si="3"/>
        <v>0</v>
      </c>
    </row>
    <row r="85" spans="2:17" ht="15" customHeight="1">
      <c r="B85" s="5" t="str">
        <f>_xlfn.IFNA(VLOOKUP(C85,Master!$H:$I,2,FALSE),"")</f>
        <v/>
      </c>
      <c r="D85" s="5" t="str">
        <f>_xlfn.IFNA(VLOOKUP(E85,Master!$H:$I,2,FALSE),"")</f>
        <v/>
      </c>
      <c r="F85" s="26" t="str">
        <f>+_xlfn.XLOOKUP(G85,Master!$V$2:$V$8,Master!$U$2:$U$8,"")</f>
        <v/>
      </c>
      <c r="I85" s="4" t="str">
        <f>_xlfn.IFNA(VLOOKUP(D85,Master!$I:$K,2,FALSE),"")</f>
        <v/>
      </c>
      <c r="J85" s="4" t="str">
        <f>_xlfn.IFNA(VLOOKUP(D85,Master!$I:$K,3,FALSE),"")</f>
        <v/>
      </c>
      <c r="L85" s="27" t="str">
        <f>IF(A85&lt;&gt;"CFA",_xlfn.IFNA(VLOOKUP($G85,Master!$V$2:$Z$8,5,0),""),"")</f>
        <v/>
      </c>
      <c r="P85" s="6" t="str">
        <f t="shared" si="2"/>
        <v/>
      </c>
      <c r="Q85" s="13">
        <f t="shared" si="3"/>
        <v>0</v>
      </c>
    </row>
    <row r="86" spans="2:17" ht="15" customHeight="1">
      <c r="B86" s="5" t="str">
        <f>_xlfn.IFNA(VLOOKUP(C86,Master!$H:$I,2,FALSE),"")</f>
        <v/>
      </c>
      <c r="D86" s="5" t="str">
        <f>_xlfn.IFNA(VLOOKUP(E86,Master!$H:$I,2,FALSE),"")</f>
        <v/>
      </c>
      <c r="F86" s="26" t="str">
        <f>+_xlfn.XLOOKUP(G86,Master!$V$2:$V$8,Master!$U$2:$U$8,"")</f>
        <v/>
      </c>
      <c r="I86" s="4" t="str">
        <f>_xlfn.IFNA(VLOOKUP(D86,Master!$I:$K,2,FALSE),"")</f>
        <v/>
      </c>
      <c r="J86" s="4" t="str">
        <f>_xlfn.IFNA(VLOOKUP(D86,Master!$I:$K,3,FALSE),"")</f>
        <v/>
      </c>
      <c r="L86" s="27" t="str">
        <f>IF(A86&lt;&gt;"CFA",_xlfn.IFNA(VLOOKUP($G86,Master!$V$2:$Z$8,5,0),""),"")</f>
        <v/>
      </c>
      <c r="P86" s="6" t="str">
        <f t="shared" si="2"/>
        <v/>
      </c>
      <c r="Q86" s="13">
        <f t="shared" si="3"/>
        <v>0</v>
      </c>
    </row>
    <row r="87" spans="2:17" ht="15" customHeight="1">
      <c r="B87" s="5" t="str">
        <f>_xlfn.IFNA(VLOOKUP(C87,Master!$H:$I,2,FALSE),"")</f>
        <v/>
      </c>
      <c r="D87" s="5" t="str">
        <f>_xlfn.IFNA(VLOOKUP(E87,Master!$H:$I,2,FALSE),"")</f>
        <v/>
      </c>
      <c r="F87" s="26" t="str">
        <f>+_xlfn.XLOOKUP(G87,Master!$V$2:$V$8,Master!$U$2:$U$8,"")</f>
        <v/>
      </c>
      <c r="I87" s="4" t="str">
        <f>_xlfn.IFNA(VLOOKUP(D87,Master!$I:$K,2,FALSE),"")</f>
        <v/>
      </c>
      <c r="J87" s="4" t="str">
        <f>_xlfn.IFNA(VLOOKUP(D87,Master!$I:$K,3,FALSE),"")</f>
        <v/>
      </c>
      <c r="L87" s="27" t="str">
        <f>IF(A87&lt;&gt;"CFA",_xlfn.IFNA(VLOOKUP($G87,Master!$V$2:$Z$8,5,0),""),"")</f>
        <v/>
      </c>
      <c r="P87" s="6" t="str">
        <f t="shared" si="2"/>
        <v/>
      </c>
      <c r="Q87" s="13">
        <f t="shared" si="3"/>
        <v>0</v>
      </c>
    </row>
    <row r="88" spans="2:17" ht="15" customHeight="1">
      <c r="B88" s="5" t="str">
        <f>_xlfn.IFNA(VLOOKUP(C88,Master!$H:$I,2,FALSE),"")</f>
        <v/>
      </c>
      <c r="D88" s="5" t="str">
        <f>_xlfn.IFNA(VLOOKUP(E88,Master!$H:$I,2,FALSE),"")</f>
        <v/>
      </c>
      <c r="F88" s="26" t="str">
        <f>+_xlfn.XLOOKUP(G88,Master!$V$2:$V$8,Master!$U$2:$U$8,"")</f>
        <v/>
      </c>
      <c r="I88" s="4" t="str">
        <f>_xlfn.IFNA(VLOOKUP(D88,Master!$I:$K,2,FALSE),"")</f>
        <v/>
      </c>
      <c r="J88" s="4" t="str">
        <f>_xlfn.IFNA(VLOOKUP(D88,Master!$I:$K,3,FALSE),"")</f>
        <v/>
      </c>
      <c r="L88" s="27" t="str">
        <f>IF(A88&lt;&gt;"CFA",_xlfn.IFNA(VLOOKUP($G88,Master!$V$2:$Z$8,5,0),""),"")</f>
        <v/>
      </c>
      <c r="P88" s="6" t="str">
        <f t="shared" si="2"/>
        <v/>
      </c>
      <c r="Q88" s="13">
        <f t="shared" si="3"/>
        <v>0</v>
      </c>
    </row>
    <row r="89" spans="2:17" ht="15" customHeight="1">
      <c r="B89" s="5" t="str">
        <f>_xlfn.IFNA(VLOOKUP(C89,Master!$H:$I,2,FALSE),"")</f>
        <v/>
      </c>
      <c r="D89" s="5" t="str">
        <f>_xlfn.IFNA(VLOOKUP(E89,Master!$H:$I,2,FALSE),"")</f>
        <v/>
      </c>
      <c r="F89" s="26" t="str">
        <f>+_xlfn.XLOOKUP(G89,Master!$V$2:$V$8,Master!$U$2:$U$8,"")</f>
        <v/>
      </c>
      <c r="I89" s="4" t="str">
        <f>_xlfn.IFNA(VLOOKUP(D89,Master!$I:$K,2,FALSE),"")</f>
        <v/>
      </c>
      <c r="J89" s="4" t="str">
        <f>_xlfn.IFNA(VLOOKUP(D89,Master!$I:$K,3,FALSE),"")</f>
        <v/>
      </c>
      <c r="L89" s="27" t="str">
        <f>IF(A89&lt;&gt;"CFA",_xlfn.IFNA(VLOOKUP($G89,Master!$V$2:$Z$8,5,0),""),"")</f>
        <v/>
      </c>
      <c r="P89" s="6" t="str">
        <f t="shared" si="2"/>
        <v/>
      </c>
      <c r="Q89" s="13">
        <f t="shared" si="3"/>
        <v>0</v>
      </c>
    </row>
    <row r="90" spans="2:17" ht="15" customHeight="1">
      <c r="B90" s="5" t="str">
        <f>_xlfn.IFNA(VLOOKUP(C90,Master!$H:$I,2,FALSE),"")</f>
        <v/>
      </c>
      <c r="D90" s="5" t="str">
        <f>_xlfn.IFNA(VLOOKUP(E90,Master!$H:$I,2,FALSE),"")</f>
        <v/>
      </c>
      <c r="F90" s="26" t="str">
        <f>+_xlfn.XLOOKUP(G90,Master!$V$2:$V$8,Master!$U$2:$U$8,"")</f>
        <v/>
      </c>
      <c r="I90" s="4" t="str">
        <f>_xlfn.IFNA(VLOOKUP(D90,Master!$I:$K,2,FALSE),"")</f>
        <v/>
      </c>
      <c r="J90" s="4" t="str">
        <f>_xlfn.IFNA(VLOOKUP(D90,Master!$I:$K,3,FALSE),"")</f>
        <v/>
      </c>
      <c r="L90" s="27" t="str">
        <f>IF(A90&lt;&gt;"CFA",_xlfn.IFNA(VLOOKUP($G90,Master!$V$2:$Z$8,5,0),""),"")</f>
        <v/>
      </c>
      <c r="P90" s="6" t="str">
        <f t="shared" si="2"/>
        <v/>
      </c>
      <c r="Q90" s="13">
        <f t="shared" si="3"/>
        <v>0</v>
      </c>
    </row>
    <row r="91" spans="2:17" ht="15" customHeight="1">
      <c r="B91" s="5" t="str">
        <f>_xlfn.IFNA(VLOOKUP(C91,Master!$H:$I,2,FALSE),"")</f>
        <v/>
      </c>
      <c r="D91" s="5" t="str">
        <f>_xlfn.IFNA(VLOOKUP(E91,Master!$H:$I,2,FALSE),"")</f>
        <v/>
      </c>
      <c r="F91" s="26" t="str">
        <f>+_xlfn.XLOOKUP(G91,Master!$V$2:$V$8,Master!$U$2:$U$8,"")</f>
        <v/>
      </c>
      <c r="I91" s="4" t="str">
        <f>_xlfn.IFNA(VLOOKUP(D91,Master!$I:$K,2,FALSE),"")</f>
        <v/>
      </c>
      <c r="J91" s="4" t="str">
        <f>_xlfn.IFNA(VLOOKUP(D91,Master!$I:$K,3,FALSE),"")</f>
        <v/>
      </c>
      <c r="L91" s="27" t="str">
        <f>IF(A91&lt;&gt;"CFA",_xlfn.IFNA(VLOOKUP($G91,Master!$V$2:$Z$8,5,0),""),"")</f>
        <v/>
      </c>
      <c r="P91" s="6" t="str">
        <f t="shared" si="2"/>
        <v/>
      </c>
      <c r="Q91" s="13">
        <f t="shared" si="3"/>
        <v>0</v>
      </c>
    </row>
    <row r="92" spans="2:17" ht="15" customHeight="1">
      <c r="B92" s="5" t="str">
        <f>_xlfn.IFNA(VLOOKUP(C92,Master!$H:$I,2,FALSE),"")</f>
        <v/>
      </c>
      <c r="D92" s="5" t="str">
        <f>_xlfn.IFNA(VLOOKUP(E92,Master!$H:$I,2,FALSE),"")</f>
        <v/>
      </c>
      <c r="F92" s="26" t="str">
        <f>+_xlfn.XLOOKUP(G92,Master!$V$2:$V$8,Master!$U$2:$U$8,"")</f>
        <v/>
      </c>
      <c r="I92" s="4" t="str">
        <f>_xlfn.IFNA(VLOOKUP(D92,Master!$I:$K,2,FALSE),"")</f>
        <v/>
      </c>
      <c r="J92" s="4" t="str">
        <f>_xlfn.IFNA(VLOOKUP(D92,Master!$I:$K,3,FALSE),"")</f>
        <v/>
      </c>
      <c r="L92" s="27" t="str">
        <f>IF(A92&lt;&gt;"CFA",_xlfn.IFNA(VLOOKUP($G92,Master!$V$2:$Z$8,5,0),""),"")</f>
        <v/>
      </c>
      <c r="P92" s="6" t="str">
        <f t="shared" si="2"/>
        <v/>
      </c>
      <c r="Q92" s="13">
        <f t="shared" si="3"/>
        <v>0</v>
      </c>
    </row>
    <row r="93" spans="2:17" ht="15" customHeight="1">
      <c r="B93" s="5" t="str">
        <f>_xlfn.IFNA(VLOOKUP(C93,Master!$H:$I,2,FALSE),"")</f>
        <v/>
      </c>
      <c r="D93" s="5" t="str">
        <f>_xlfn.IFNA(VLOOKUP(E93,Master!$H:$I,2,FALSE),"")</f>
        <v/>
      </c>
      <c r="F93" s="26" t="str">
        <f>+_xlfn.XLOOKUP(G93,Master!$V$2:$V$8,Master!$U$2:$U$8,"")</f>
        <v/>
      </c>
      <c r="I93" s="4" t="str">
        <f>_xlfn.IFNA(VLOOKUP(D93,Master!$I:$K,2,FALSE),"")</f>
        <v/>
      </c>
      <c r="J93" s="4" t="str">
        <f>_xlfn.IFNA(VLOOKUP(D93,Master!$I:$K,3,FALSE),"")</f>
        <v/>
      </c>
      <c r="L93" s="27" t="str">
        <f>IF(A93&lt;&gt;"CFA",_xlfn.IFNA(VLOOKUP($G93,Master!$V$2:$Z$8,5,0),""),"")</f>
        <v/>
      </c>
      <c r="P93" s="6" t="str">
        <f t="shared" si="2"/>
        <v/>
      </c>
      <c r="Q93" s="13">
        <f t="shared" si="3"/>
        <v>0</v>
      </c>
    </row>
    <row r="94" spans="2:17" ht="15" customHeight="1">
      <c r="B94" s="5" t="str">
        <f>_xlfn.IFNA(VLOOKUP(C94,Master!$H:$I,2,FALSE),"")</f>
        <v/>
      </c>
      <c r="D94" s="5" t="str">
        <f>_xlfn.IFNA(VLOOKUP(E94,Master!$H:$I,2,FALSE),"")</f>
        <v/>
      </c>
      <c r="F94" s="26" t="str">
        <f>+_xlfn.XLOOKUP(G94,Master!$V$2:$V$8,Master!$U$2:$U$8,"")</f>
        <v/>
      </c>
      <c r="I94" s="4" t="str">
        <f>_xlfn.IFNA(VLOOKUP(D94,Master!$I:$K,2,FALSE),"")</f>
        <v/>
      </c>
      <c r="J94" s="4" t="str">
        <f>_xlfn.IFNA(VLOOKUP(D94,Master!$I:$K,3,FALSE),"")</f>
        <v/>
      </c>
      <c r="L94" s="27" t="str">
        <f>IF(A94&lt;&gt;"CFA",_xlfn.IFNA(VLOOKUP($G94,Master!$V$2:$Z$8,5,0),""),"")</f>
        <v/>
      </c>
      <c r="P94" s="6" t="str">
        <f t="shared" si="2"/>
        <v/>
      </c>
      <c r="Q94" s="13">
        <f t="shared" si="3"/>
        <v>0</v>
      </c>
    </row>
    <row r="95" spans="2:17" ht="15" customHeight="1">
      <c r="B95" s="5" t="str">
        <f>_xlfn.IFNA(VLOOKUP(C95,Master!$H:$I,2,FALSE),"")</f>
        <v/>
      </c>
      <c r="D95" s="5" t="str">
        <f>_xlfn.IFNA(VLOOKUP(E95,Master!$H:$I,2,FALSE),"")</f>
        <v/>
      </c>
      <c r="F95" s="26" t="str">
        <f>+_xlfn.XLOOKUP(G95,Master!$V$2:$V$8,Master!$U$2:$U$8,"")</f>
        <v/>
      </c>
      <c r="I95" s="4" t="str">
        <f>_xlfn.IFNA(VLOOKUP(D95,Master!$I:$K,2,FALSE),"")</f>
        <v/>
      </c>
      <c r="J95" s="4" t="str">
        <f>_xlfn.IFNA(VLOOKUP(D95,Master!$I:$K,3,FALSE),"")</f>
        <v/>
      </c>
      <c r="L95" s="27" t="str">
        <f>IF(A95&lt;&gt;"CFA",_xlfn.IFNA(VLOOKUP($G95,Master!$V$2:$Z$8,5,0),""),"")</f>
        <v/>
      </c>
      <c r="P95" s="6" t="str">
        <f t="shared" si="2"/>
        <v/>
      </c>
      <c r="Q95" s="13">
        <f t="shared" si="3"/>
        <v>0</v>
      </c>
    </row>
    <row r="96" spans="2:17" ht="15" customHeight="1">
      <c r="B96" s="5" t="str">
        <f>_xlfn.IFNA(VLOOKUP(C96,Master!$H:$I,2,FALSE),"")</f>
        <v/>
      </c>
      <c r="D96" s="5" t="str">
        <f>_xlfn.IFNA(VLOOKUP(E96,Master!$H:$I,2,FALSE),"")</f>
        <v/>
      </c>
      <c r="F96" s="26" t="str">
        <f>+_xlfn.XLOOKUP(G96,Master!$V$2:$V$8,Master!$U$2:$U$8,"")</f>
        <v/>
      </c>
      <c r="I96" s="4" t="str">
        <f>_xlfn.IFNA(VLOOKUP(D96,Master!$I:$K,2,FALSE),"")</f>
        <v/>
      </c>
      <c r="J96" s="4" t="str">
        <f>_xlfn.IFNA(VLOOKUP(D96,Master!$I:$K,3,FALSE),"")</f>
        <v/>
      </c>
      <c r="L96" s="27" t="str">
        <f>IF(A96&lt;&gt;"CFA",_xlfn.IFNA(VLOOKUP($G96,Master!$V$2:$Z$8,5,0),""),"")</f>
        <v/>
      </c>
      <c r="P96" s="6" t="str">
        <f t="shared" si="2"/>
        <v/>
      </c>
      <c r="Q96" s="13">
        <f t="shared" si="3"/>
        <v>0</v>
      </c>
    </row>
    <row r="97" spans="2:17" ht="15" customHeight="1">
      <c r="B97" s="5" t="str">
        <f>_xlfn.IFNA(VLOOKUP(C97,Master!$H:$I,2,FALSE),"")</f>
        <v/>
      </c>
      <c r="D97" s="5" t="str">
        <f>_xlfn.IFNA(VLOOKUP(E97,Master!$H:$I,2,FALSE),"")</f>
        <v/>
      </c>
      <c r="F97" s="26" t="str">
        <f>+_xlfn.XLOOKUP(G97,Master!$V$2:$V$8,Master!$U$2:$U$8,"")</f>
        <v/>
      </c>
      <c r="I97" s="4" t="str">
        <f>_xlfn.IFNA(VLOOKUP(D97,Master!$I:$K,2,FALSE),"")</f>
        <v/>
      </c>
      <c r="J97" s="4" t="str">
        <f>_xlfn.IFNA(VLOOKUP(D97,Master!$I:$K,3,FALSE),"")</f>
        <v/>
      </c>
      <c r="L97" s="27" t="str">
        <f>IF(A97&lt;&gt;"CFA",_xlfn.IFNA(VLOOKUP($G97,Master!$V$2:$Z$8,5,0),""),"")</f>
        <v/>
      </c>
      <c r="P97" s="6" t="str">
        <f t="shared" si="2"/>
        <v/>
      </c>
      <c r="Q97" s="13">
        <f t="shared" si="3"/>
        <v>0</v>
      </c>
    </row>
    <row r="98" spans="2:17" ht="15" customHeight="1">
      <c r="B98" s="5" t="str">
        <f>_xlfn.IFNA(VLOOKUP(C98,Master!$H:$I,2,FALSE),"")</f>
        <v/>
      </c>
      <c r="D98" s="5" t="str">
        <f>_xlfn.IFNA(VLOOKUP(E98,Master!$H:$I,2,FALSE),"")</f>
        <v/>
      </c>
      <c r="F98" s="26" t="str">
        <f>+_xlfn.XLOOKUP(G98,Master!$V$2:$V$8,Master!$U$2:$U$8,"")</f>
        <v/>
      </c>
      <c r="I98" s="4" t="str">
        <f>_xlfn.IFNA(VLOOKUP(D98,Master!$I:$K,2,FALSE),"")</f>
        <v/>
      </c>
      <c r="J98" s="4" t="str">
        <f>_xlfn.IFNA(VLOOKUP(D98,Master!$I:$K,3,FALSE),"")</f>
        <v/>
      </c>
      <c r="L98" s="27" t="str">
        <f>IF(A98&lt;&gt;"CFA",_xlfn.IFNA(VLOOKUP($G98,Master!$V$2:$Z$8,5,0),""),"")</f>
        <v/>
      </c>
      <c r="P98" s="6" t="str">
        <f t="shared" si="2"/>
        <v/>
      </c>
      <c r="Q98" s="13">
        <f t="shared" si="3"/>
        <v>0</v>
      </c>
    </row>
    <row r="99" spans="2:17" ht="15" customHeight="1">
      <c r="B99" s="5" t="str">
        <f>_xlfn.IFNA(VLOOKUP(C99,Master!$H:$I,2,FALSE),"")</f>
        <v/>
      </c>
      <c r="D99" s="5" t="str">
        <f>_xlfn.IFNA(VLOOKUP(E99,Master!$H:$I,2,FALSE),"")</f>
        <v/>
      </c>
      <c r="F99" s="26" t="str">
        <f>+_xlfn.XLOOKUP(G99,Master!$V$2:$V$8,Master!$U$2:$U$8,"")</f>
        <v/>
      </c>
      <c r="I99" s="4" t="str">
        <f>_xlfn.IFNA(VLOOKUP(D99,Master!$I:$K,2,FALSE),"")</f>
        <v/>
      </c>
      <c r="J99" s="4" t="str">
        <f>_xlfn.IFNA(VLOOKUP(D99,Master!$I:$K,3,FALSE),"")</f>
        <v/>
      </c>
      <c r="L99" s="27" t="str">
        <f>IF(A99&lt;&gt;"CFA",_xlfn.IFNA(VLOOKUP($G99,Master!$V$2:$Z$8,5,0),""),"")</f>
        <v/>
      </c>
      <c r="P99" s="6" t="str">
        <f t="shared" si="2"/>
        <v/>
      </c>
      <c r="Q99" s="13">
        <f t="shared" si="3"/>
        <v>0</v>
      </c>
    </row>
    <row r="100" spans="2:17" ht="15" customHeight="1">
      <c r="B100" s="5" t="str">
        <f>_xlfn.IFNA(VLOOKUP(C100,Master!$H:$I,2,FALSE),"")</f>
        <v/>
      </c>
      <c r="D100" s="5" t="str">
        <f>_xlfn.IFNA(VLOOKUP(E100,Master!$H:$I,2,FALSE),"")</f>
        <v/>
      </c>
      <c r="F100" s="26" t="str">
        <f>+_xlfn.XLOOKUP(G100,Master!$V$2:$V$8,Master!$U$2:$U$8,"")</f>
        <v/>
      </c>
      <c r="I100" s="4" t="str">
        <f>_xlfn.IFNA(VLOOKUP(D100,Master!$I:$K,2,FALSE),"")</f>
        <v/>
      </c>
      <c r="J100" s="4" t="str">
        <f>_xlfn.IFNA(VLOOKUP(D100,Master!$I:$K,3,FALSE),"")</f>
        <v/>
      </c>
      <c r="L100" s="27" t="str">
        <f>IF(A100&lt;&gt;"CFA",_xlfn.IFNA(VLOOKUP($G100,Master!$V$2:$Z$8,5,0),""),"")</f>
        <v/>
      </c>
      <c r="P100" s="6" t="str">
        <f t="shared" si="2"/>
        <v/>
      </c>
      <c r="Q100" s="13">
        <f t="shared" si="3"/>
        <v>0</v>
      </c>
    </row>
    <row r="101" spans="2:17" ht="15" customHeight="1">
      <c r="B101" s="5" t="str">
        <f>_xlfn.IFNA(VLOOKUP(C101,Master!$H:$I,2,FALSE),"")</f>
        <v/>
      </c>
      <c r="D101" s="5" t="str">
        <f>_xlfn.IFNA(VLOOKUP(E101,Master!$H:$I,2,FALSE),"")</f>
        <v/>
      </c>
      <c r="F101" s="26" t="str">
        <f>+_xlfn.XLOOKUP(G101,Master!$V$2:$V$8,Master!$U$2:$U$8,"")</f>
        <v/>
      </c>
      <c r="I101" s="4" t="str">
        <f>_xlfn.IFNA(VLOOKUP(D101,Master!$I:$K,2,FALSE),"")</f>
        <v/>
      </c>
      <c r="J101" s="4" t="str">
        <f>_xlfn.IFNA(VLOOKUP(D101,Master!$I:$K,3,FALSE),"")</f>
        <v/>
      </c>
      <c r="L101" s="27" t="str">
        <f>IF(A101&lt;&gt;"CFA",_xlfn.IFNA(VLOOKUP($G101,Master!$V$2:$Z$8,5,0),""),"")</f>
        <v/>
      </c>
      <c r="P101" s="6" t="str">
        <f t="shared" si="2"/>
        <v/>
      </c>
      <c r="Q101" s="13">
        <f t="shared" si="3"/>
        <v>0</v>
      </c>
    </row>
    <row r="102" spans="2:17" ht="15" customHeight="1">
      <c r="B102" s="5" t="str">
        <f>_xlfn.IFNA(VLOOKUP(C102,Master!$H:$I,2,FALSE),"")</f>
        <v/>
      </c>
      <c r="D102" s="5" t="str">
        <f>_xlfn.IFNA(VLOOKUP(E102,Master!$H:$I,2,FALSE),"")</f>
        <v/>
      </c>
      <c r="F102" s="26" t="str">
        <f>+_xlfn.XLOOKUP(G102,Master!$V$2:$V$8,Master!$U$2:$U$8,"")</f>
        <v/>
      </c>
      <c r="I102" s="4" t="str">
        <f>_xlfn.IFNA(VLOOKUP(D102,Master!$I:$K,2,FALSE),"")</f>
        <v/>
      </c>
      <c r="J102" s="4" t="str">
        <f>_xlfn.IFNA(VLOOKUP(D102,Master!$I:$K,3,FALSE),"")</f>
        <v/>
      </c>
      <c r="L102" s="27" t="str">
        <f>IF(A102&lt;&gt;"CFA",_xlfn.IFNA(VLOOKUP($G102,Master!$V$2:$Z$8,5,0),""),"")</f>
        <v/>
      </c>
      <c r="P102" s="6" t="str">
        <f t="shared" si="2"/>
        <v/>
      </c>
      <c r="Q102" s="13">
        <f t="shared" si="3"/>
        <v>0</v>
      </c>
    </row>
    <row r="103" spans="2:17" ht="15" customHeight="1">
      <c r="B103" s="5" t="str">
        <f>_xlfn.IFNA(VLOOKUP(C103,Master!$H:$I,2,FALSE),"")</f>
        <v/>
      </c>
      <c r="D103" s="5" t="str">
        <f>_xlfn.IFNA(VLOOKUP(E103,Master!$H:$I,2,FALSE),"")</f>
        <v/>
      </c>
      <c r="F103" s="26" t="str">
        <f>+_xlfn.XLOOKUP(G103,Master!$V$2:$V$8,Master!$U$2:$U$8,"")</f>
        <v/>
      </c>
      <c r="I103" s="4" t="str">
        <f>_xlfn.IFNA(VLOOKUP(D103,Master!$I:$K,2,FALSE),"")</f>
        <v/>
      </c>
      <c r="J103" s="4" t="str">
        <f>_xlfn.IFNA(VLOOKUP(D103,Master!$I:$K,3,FALSE),"")</f>
        <v/>
      </c>
      <c r="L103" s="27" t="str">
        <f>IF(A103&lt;&gt;"CFA",_xlfn.IFNA(VLOOKUP($G103,Master!$V$2:$Z$8,5,0),""),"")</f>
        <v/>
      </c>
      <c r="P103" s="6" t="str">
        <f t="shared" si="2"/>
        <v/>
      </c>
      <c r="Q103" s="13">
        <f t="shared" si="3"/>
        <v>0</v>
      </c>
    </row>
    <row r="104" spans="2:17" ht="15" customHeight="1">
      <c r="B104" s="5" t="str">
        <f>_xlfn.IFNA(VLOOKUP(C104,Master!$H:$I,2,FALSE),"")</f>
        <v/>
      </c>
      <c r="D104" s="5" t="str">
        <f>_xlfn.IFNA(VLOOKUP(E104,Master!$H:$I,2,FALSE),"")</f>
        <v/>
      </c>
      <c r="F104" s="26" t="str">
        <f>+_xlfn.XLOOKUP(G104,Master!$V$2:$V$8,Master!$U$2:$U$8,"")</f>
        <v/>
      </c>
      <c r="I104" s="4" t="str">
        <f>_xlfn.IFNA(VLOOKUP(D104,Master!$I:$K,2,FALSE),"")</f>
        <v/>
      </c>
      <c r="J104" s="4" t="str">
        <f>_xlfn.IFNA(VLOOKUP(D104,Master!$I:$K,3,FALSE),"")</f>
        <v/>
      </c>
      <c r="L104" s="27" t="str">
        <f>IF(A104&lt;&gt;"CFA",_xlfn.IFNA(VLOOKUP($G104,Master!$V$2:$Z$8,5,0),""),"")</f>
        <v/>
      </c>
      <c r="P104" s="6" t="str">
        <f t="shared" si="2"/>
        <v/>
      </c>
      <c r="Q104" s="13">
        <f t="shared" si="3"/>
        <v>0</v>
      </c>
    </row>
    <row r="105" spans="2:17" ht="15" customHeight="1">
      <c r="B105" s="5" t="str">
        <f>_xlfn.IFNA(VLOOKUP(C105,Master!$H:$I,2,FALSE),"")</f>
        <v/>
      </c>
      <c r="D105" s="5" t="str">
        <f>_xlfn.IFNA(VLOOKUP(E105,Master!$H:$I,2,FALSE),"")</f>
        <v/>
      </c>
      <c r="F105" s="26" t="str">
        <f>+_xlfn.XLOOKUP(G105,Master!$V$2:$V$8,Master!$U$2:$U$8,"")</f>
        <v/>
      </c>
      <c r="I105" s="4" t="str">
        <f>_xlfn.IFNA(VLOOKUP(D105,Master!$I:$K,2,FALSE),"")</f>
        <v/>
      </c>
      <c r="J105" s="4" t="str">
        <f>_xlfn.IFNA(VLOOKUP(D105,Master!$I:$K,3,FALSE),"")</f>
        <v/>
      </c>
      <c r="L105" s="27" t="str">
        <f>IF(A105&lt;&gt;"CFA",_xlfn.IFNA(VLOOKUP($G105,Master!$V$2:$Z$8,5,0),""),"")</f>
        <v/>
      </c>
      <c r="P105" s="6" t="str">
        <f t="shared" si="2"/>
        <v/>
      </c>
      <c r="Q105" s="13">
        <f t="shared" si="3"/>
        <v>0</v>
      </c>
    </row>
    <row r="106" spans="2:17" ht="15" customHeight="1">
      <c r="B106" s="5" t="str">
        <f>_xlfn.IFNA(VLOOKUP(C106,Master!$H:$I,2,FALSE),"")</f>
        <v/>
      </c>
      <c r="D106" s="5" t="str">
        <f>_xlfn.IFNA(VLOOKUP(E106,Master!$H:$I,2,FALSE),"")</f>
        <v/>
      </c>
      <c r="F106" s="26" t="str">
        <f>+_xlfn.XLOOKUP(G106,Master!$V$2:$V$8,Master!$U$2:$U$8,"")</f>
        <v/>
      </c>
      <c r="I106" s="4" t="str">
        <f>_xlfn.IFNA(VLOOKUP(D106,Master!$I:$K,2,FALSE),"")</f>
        <v/>
      </c>
      <c r="J106" s="4" t="str">
        <f>_xlfn.IFNA(VLOOKUP(D106,Master!$I:$K,3,FALSE),"")</f>
        <v/>
      </c>
      <c r="L106" s="27" t="str">
        <f>IF(A106&lt;&gt;"CFA",_xlfn.IFNA(VLOOKUP($G106,Master!$V$2:$Z$8,5,0),""),"")</f>
        <v/>
      </c>
      <c r="P106" s="6" t="str">
        <f t="shared" si="2"/>
        <v/>
      </c>
      <c r="Q106" s="13">
        <f t="shared" si="3"/>
        <v>0</v>
      </c>
    </row>
    <row r="107" spans="2:17" ht="15" customHeight="1">
      <c r="B107" s="5" t="str">
        <f>_xlfn.IFNA(VLOOKUP(C107,Master!$H:$I,2,FALSE),"")</f>
        <v/>
      </c>
      <c r="D107" s="5" t="str">
        <f>_xlfn.IFNA(VLOOKUP(E107,Master!$H:$I,2,FALSE),"")</f>
        <v/>
      </c>
      <c r="F107" s="26" t="str">
        <f>+_xlfn.XLOOKUP(G107,Master!$V$2:$V$8,Master!$U$2:$U$8,"")</f>
        <v/>
      </c>
      <c r="I107" s="4" t="str">
        <f>_xlfn.IFNA(VLOOKUP(D107,Master!$I:$K,2,FALSE),"")</f>
        <v/>
      </c>
      <c r="J107" s="4" t="str">
        <f>_xlfn.IFNA(VLOOKUP(D107,Master!$I:$K,3,FALSE),"")</f>
        <v/>
      </c>
      <c r="L107" s="27" t="str">
        <f>IF(A107&lt;&gt;"CFA",_xlfn.IFNA(VLOOKUP($G107,Master!$V$2:$Z$8,5,0),""),"")</f>
        <v/>
      </c>
      <c r="P107" s="6" t="str">
        <f t="shared" si="2"/>
        <v/>
      </c>
      <c r="Q107" s="13">
        <f t="shared" si="3"/>
        <v>0</v>
      </c>
    </row>
    <row r="108" spans="2:17" ht="15" customHeight="1">
      <c r="B108" s="5" t="str">
        <f>_xlfn.IFNA(VLOOKUP(C108,Master!$H:$I,2,FALSE),"")</f>
        <v/>
      </c>
      <c r="D108" s="5" t="str">
        <f>_xlfn.IFNA(VLOOKUP(E108,Master!$H:$I,2,FALSE),"")</f>
        <v/>
      </c>
      <c r="F108" s="26" t="str">
        <f>+_xlfn.XLOOKUP(G108,Master!$V$2:$V$8,Master!$U$2:$U$8,"")</f>
        <v/>
      </c>
      <c r="I108" s="4" t="str">
        <f>_xlfn.IFNA(VLOOKUP(D108,Master!$I:$K,2,FALSE),"")</f>
        <v/>
      </c>
      <c r="J108" s="4" t="str">
        <f>_xlfn.IFNA(VLOOKUP(D108,Master!$I:$K,3,FALSE),"")</f>
        <v/>
      </c>
      <c r="L108" s="27" t="str">
        <f>IF(A108&lt;&gt;"CFA",_xlfn.IFNA(VLOOKUP($G108,Master!$V$2:$Z$8,5,0),""),"")</f>
        <v/>
      </c>
      <c r="P108" s="6" t="str">
        <f t="shared" si="2"/>
        <v/>
      </c>
      <c r="Q108" s="13">
        <f t="shared" si="3"/>
        <v>0</v>
      </c>
    </row>
    <row r="109" spans="2:17" ht="15" customHeight="1">
      <c r="B109" s="5" t="str">
        <f>_xlfn.IFNA(VLOOKUP(C109,Master!$H:$I,2,FALSE),"")</f>
        <v/>
      </c>
      <c r="D109" s="5" t="str">
        <f>_xlfn.IFNA(VLOOKUP(E109,Master!$H:$I,2,FALSE),"")</f>
        <v/>
      </c>
      <c r="F109" s="26" t="str">
        <f>+_xlfn.XLOOKUP(G109,Master!$V$2:$V$8,Master!$U$2:$U$8,"")</f>
        <v/>
      </c>
      <c r="I109" s="4" t="str">
        <f>_xlfn.IFNA(VLOOKUP(D109,Master!$I:$K,2,FALSE),"")</f>
        <v/>
      </c>
      <c r="J109" s="4" t="str">
        <f>_xlfn.IFNA(VLOOKUP(D109,Master!$I:$K,3,FALSE),"")</f>
        <v/>
      </c>
      <c r="L109" s="27" t="str">
        <f>IF(A109&lt;&gt;"CFA",_xlfn.IFNA(VLOOKUP($G109,Master!$V$2:$Z$8,5,0),""),"")</f>
        <v/>
      </c>
      <c r="P109" s="6" t="str">
        <f t="shared" si="2"/>
        <v/>
      </c>
      <c r="Q109" s="13">
        <f t="shared" si="3"/>
        <v>0</v>
      </c>
    </row>
    <row r="110" spans="2:17" ht="15" customHeight="1">
      <c r="B110" s="5" t="str">
        <f>_xlfn.IFNA(VLOOKUP(C110,Master!$H:$I,2,FALSE),"")</f>
        <v/>
      </c>
      <c r="D110" s="5" t="str">
        <f>_xlfn.IFNA(VLOOKUP(E110,Master!$H:$I,2,FALSE),"")</f>
        <v/>
      </c>
      <c r="F110" s="26" t="str">
        <f>+_xlfn.XLOOKUP(G110,Master!$V$2:$V$8,Master!$U$2:$U$8,"")</f>
        <v/>
      </c>
      <c r="I110" s="4" t="str">
        <f>_xlfn.IFNA(VLOOKUP(D110,Master!$I:$K,2,FALSE),"")</f>
        <v/>
      </c>
      <c r="J110" s="4" t="str">
        <f>_xlfn.IFNA(VLOOKUP(D110,Master!$I:$K,3,FALSE),"")</f>
        <v/>
      </c>
      <c r="L110" s="27" t="str">
        <f>IF(A110&lt;&gt;"CFA",_xlfn.IFNA(VLOOKUP($G110,Master!$V$2:$Z$8,5,0),""),"")</f>
        <v/>
      </c>
      <c r="P110" s="6" t="str">
        <f t="shared" si="2"/>
        <v/>
      </c>
      <c r="Q110" s="13">
        <f t="shared" si="3"/>
        <v>0</v>
      </c>
    </row>
    <row r="111" spans="2:17" ht="15" customHeight="1">
      <c r="B111" s="5" t="str">
        <f>_xlfn.IFNA(VLOOKUP(C111,Master!$H:$I,2,FALSE),"")</f>
        <v/>
      </c>
      <c r="D111" s="5" t="str">
        <f>_xlfn.IFNA(VLOOKUP(E111,Master!$H:$I,2,FALSE),"")</f>
        <v/>
      </c>
      <c r="F111" s="26" t="str">
        <f>+_xlfn.XLOOKUP(G111,Master!$V$2:$V$8,Master!$U$2:$U$8,"")</f>
        <v/>
      </c>
      <c r="I111" s="4" t="str">
        <f>_xlfn.IFNA(VLOOKUP(D111,Master!$I:$K,2,FALSE),"")</f>
        <v/>
      </c>
      <c r="J111" s="4" t="str">
        <f>_xlfn.IFNA(VLOOKUP(D111,Master!$I:$K,3,FALSE),"")</f>
        <v/>
      </c>
      <c r="L111" s="27" t="str">
        <f>IF(A111&lt;&gt;"CFA",_xlfn.IFNA(VLOOKUP($G111,Master!$V$2:$Z$8,5,0),""),"")</f>
        <v/>
      </c>
      <c r="P111" s="6" t="str">
        <f t="shared" si="2"/>
        <v/>
      </c>
      <c r="Q111" s="13">
        <f t="shared" si="3"/>
        <v>0</v>
      </c>
    </row>
    <row r="112" spans="2:17" ht="15" customHeight="1">
      <c r="B112" s="5" t="str">
        <f>_xlfn.IFNA(VLOOKUP(C112,Master!$H:$I,2,FALSE),"")</f>
        <v/>
      </c>
      <c r="D112" s="5" t="str">
        <f>_xlfn.IFNA(VLOOKUP(E112,Master!$H:$I,2,FALSE),"")</f>
        <v/>
      </c>
      <c r="F112" s="26" t="str">
        <f>+_xlfn.XLOOKUP(G112,Master!$V$2:$V$8,Master!$U$2:$U$8,"")</f>
        <v/>
      </c>
      <c r="I112" s="4" t="str">
        <f>_xlfn.IFNA(VLOOKUP(D112,Master!$I:$K,2,FALSE),"")</f>
        <v/>
      </c>
      <c r="J112" s="4" t="str">
        <f>_xlfn.IFNA(VLOOKUP(D112,Master!$I:$K,3,FALSE),"")</f>
        <v/>
      </c>
      <c r="L112" s="27" t="str">
        <f>IF(A112&lt;&gt;"CFA",_xlfn.IFNA(VLOOKUP($G112,Master!$V$2:$Z$8,5,0),""),"")</f>
        <v/>
      </c>
      <c r="P112" s="6" t="str">
        <f t="shared" si="2"/>
        <v/>
      </c>
      <c r="Q112" s="13">
        <f t="shared" si="3"/>
        <v>0</v>
      </c>
    </row>
    <row r="113" spans="2:17" ht="15" customHeight="1">
      <c r="B113" s="5" t="str">
        <f>_xlfn.IFNA(VLOOKUP(C113,Master!$H:$I,2,FALSE),"")</f>
        <v/>
      </c>
      <c r="D113" s="5" t="str">
        <f>_xlfn.IFNA(VLOOKUP(E113,Master!$H:$I,2,FALSE),"")</f>
        <v/>
      </c>
      <c r="F113" s="26" t="str">
        <f>+_xlfn.XLOOKUP(G113,Master!$V$2:$V$8,Master!$U$2:$U$8,"")</f>
        <v/>
      </c>
      <c r="I113" s="4" t="str">
        <f>_xlfn.IFNA(VLOOKUP(D113,Master!$I:$K,2,FALSE),"")</f>
        <v/>
      </c>
      <c r="J113" s="4" t="str">
        <f>_xlfn.IFNA(VLOOKUP(D113,Master!$I:$K,3,FALSE),"")</f>
        <v/>
      </c>
      <c r="L113" s="27" t="str">
        <f>IF(A113&lt;&gt;"CFA",_xlfn.IFNA(VLOOKUP($G113,Master!$V$2:$Z$8,5,0),""),"")</f>
        <v/>
      </c>
      <c r="P113" s="6" t="str">
        <f t="shared" si="2"/>
        <v/>
      </c>
      <c r="Q113" s="13">
        <f t="shared" si="3"/>
        <v>0</v>
      </c>
    </row>
    <row r="114" spans="2:17" ht="15" customHeight="1">
      <c r="B114" s="5" t="str">
        <f>_xlfn.IFNA(VLOOKUP(C114,Master!$H:$I,2,FALSE),"")</f>
        <v/>
      </c>
      <c r="D114" s="5" t="str">
        <f>_xlfn.IFNA(VLOOKUP(E114,Master!$H:$I,2,FALSE),"")</f>
        <v/>
      </c>
      <c r="F114" s="26" t="str">
        <f>+_xlfn.XLOOKUP(G114,Master!$V$2:$V$8,Master!$U$2:$U$8,"")</f>
        <v/>
      </c>
      <c r="I114" s="4" t="str">
        <f>_xlfn.IFNA(VLOOKUP(D114,Master!$I:$K,2,FALSE),"")</f>
        <v/>
      </c>
      <c r="J114" s="4" t="str">
        <f>_xlfn.IFNA(VLOOKUP(D114,Master!$I:$K,3,FALSE),"")</f>
        <v/>
      </c>
      <c r="L114" s="27" t="str">
        <f>IF(A114&lt;&gt;"CFA",_xlfn.IFNA(VLOOKUP($G114,Master!$V$2:$Z$8,5,0),""),"")</f>
        <v/>
      </c>
      <c r="P114" s="6" t="str">
        <f t="shared" si="2"/>
        <v/>
      </c>
      <c r="Q114" s="13">
        <f t="shared" si="3"/>
        <v>0</v>
      </c>
    </row>
    <row r="115" spans="2:17" ht="15" customHeight="1">
      <c r="B115" s="5" t="str">
        <f>_xlfn.IFNA(VLOOKUP(C115,Master!$H:$I,2,FALSE),"")</f>
        <v/>
      </c>
      <c r="D115" s="5" t="str">
        <f>_xlfn.IFNA(VLOOKUP(E115,Master!$H:$I,2,FALSE),"")</f>
        <v/>
      </c>
      <c r="F115" s="26" t="str">
        <f>+_xlfn.XLOOKUP(G115,Master!$V$2:$V$8,Master!$U$2:$U$8,"")</f>
        <v/>
      </c>
      <c r="I115" s="4" t="str">
        <f>_xlfn.IFNA(VLOOKUP(D115,Master!$I:$K,2,FALSE),"")</f>
        <v/>
      </c>
      <c r="J115" s="4" t="str">
        <f>_xlfn.IFNA(VLOOKUP(D115,Master!$I:$K,3,FALSE),"")</f>
        <v/>
      </c>
      <c r="L115" s="27" t="str">
        <f>IF(A115&lt;&gt;"CFA",_xlfn.IFNA(VLOOKUP($G115,Master!$V$2:$Z$8,5,0),""),"")</f>
        <v/>
      </c>
      <c r="P115" s="6" t="str">
        <f t="shared" si="2"/>
        <v/>
      </c>
      <c r="Q115" s="13">
        <f t="shared" si="3"/>
        <v>0</v>
      </c>
    </row>
    <row r="116" spans="2:17" ht="15" customHeight="1">
      <c r="B116" s="5" t="str">
        <f>_xlfn.IFNA(VLOOKUP(C116,Master!$H:$I,2,FALSE),"")</f>
        <v/>
      </c>
      <c r="D116" s="5" t="str">
        <f>_xlfn.IFNA(VLOOKUP(E116,Master!$H:$I,2,FALSE),"")</f>
        <v/>
      </c>
      <c r="F116" s="26" t="str">
        <f>+_xlfn.XLOOKUP(G116,Master!$V$2:$V$8,Master!$U$2:$U$8,"")</f>
        <v/>
      </c>
      <c r="I116" s="4" t="str">
        <f>_xlfn.IFNA(VLOOKUP(D116,Master!$I:$K,2,FALSE),"")</f>
        <v/>
      </c>
      <c r="J116" s="4" t="str">
        <f>_xlfn.IFNA(VLOOKUP(D116,Master!$I:$K,3,FALSE),"")</f>
        <v/>
      </c>
      <c r="L116" s="27" t="str">
        <f>IF(A116&lt;&gt;"CFA",_xlfn.IFNA(VLOOKUP($G116,Master!$V$2:$Z$8,5,0),""),"")</f>
        <v/>
      </c>
      <c r="P116" s="6" t="str">
        <f t="shared" si="2"/>
        <v/>
      </c>
      <c r="Q116" s="13">
        <f t="shared" si="3"/>
        <v>0</v>
      </c>
    </row>
    <row r="117" spans="2:17" ht="15" customHeight="1">
      <c r="B117" s="5" t="str">
        <f>_xlfn.IFNA(VLOOKUP(C117,Master!$H:$I,2,FALSE),"")</f>
        <v/>
      </c>
      <c r="D117" s="5" t="str">
        <f>_xlfn.IFNA(VLOOKUP(E117,Master!$H:$I,2,FALSE),"")</f>
        <v/>
      </c>
      <c r="F117" s="26" t="str">
        <f>+_xlfn.XLOOKUP(G117,Master!$V$2:$V$8,Master!$U$2:$U$8,"")</f>
        <v/>
      </c>
      <c r="I117" s="4" t="str">
        <f>_xlfn.IFNA(VLOOKUP(D117,Master!$I:$K,2,FALSE),"")</f>
        <v/>
      </c>
      <c r="J117" s="4" t="str">
        <f>_xlfn.IFNA(VLOOKUP(D117,Master!$I:$K,3,FALSE),"")</f>
        <v/>
      </c>
      <c r="L117" s="27" t="str">
        <f>IF(A117&lt;&gt;"CFA",_xlfn.IFNA(VLOOKUP($G117,Master!$V$2:$Z$8,5,0),""),"")</f>
        <v/>
      </c>
      <c r="P117" s="6" t="str">
        <f t="shared" si="2"/>
        <v/>
      </c>
      <c r="Q117" s="13">
        <f t="shared" si="3"/>
        <v>0</v>
      </c>
    </row>
    <row r="118" spans="2:17" ht="15" customHeight="1">
      <c r="B118" s="5" t="str">
        <f>_xlfn.IFNA(VLOOKUP(C118,Master!$H:$I,2,FALSE),"")</f>
        <v/>
      </c>
      <c r="D118" s="5" t="str">
        <f>_xlfn.IFNA(VLOOKUP(E118,Master!$H:$I,2,FALSE),"")</f>
        <v/>
      </c>
      <c r="F118" s="26" t="str">
        <f>+_xlfn.XLOOKUP(G118,Master!$V$2:$V$8,Master!$U$2:$U$8,"")</f>
        <v/>
      </c>
      <c r="I118" s="4" t="str">
        <f>_xlfn.IFNA(VLOOKUP(D118,Master!$I:$K,2,FALSE),"")</f>
        <v/>
      </c>
      <c r="J118" s="4" t="str">
        <f>_xlfn.IFNA(VLOOKUP(D118,Master!$I:$K,3,FALSE),"")</f>
        <v/>
      </c>
      <c r="L118" s="27" t="str">
        <f>IF(A118&lt;&gt;"CFA",_xlfn.IFNA(VLOOKUP($G118,Master!$V$2:$Z$8,5,0),""),"")</f>
        <v/>
      </c>
      <c r="P118" s="6" t="str">
        <f t="shared" si="2"/>
        <v/>
      </c>
      <c r="Q118" s="13">
        <f t="shared" si="3"/>
        <v>0</v>
      </c>
    </row>
    <row r="119" spans="2:17" ht="15" customHeight="1">
      <c r="B119" s="5" t="str">
        <f>_xlfn.IFNA(VLOOKUP(C119,Master!$H:$I,2,FALSE),"")</f>
        <v/>
      </c>
      <c r="D119" s="5" t="str">
        <f>_xlfn.IFNA(VLOOKUP(E119,Master!$H:$I,2,FALSE),"")</f>
        <v/>
      </c>
      <c r="F119" s="26" t="str">
        <f>+_xlfn.XLOOKUP(G119,Master!$V$2:$V$8,Master!$U$2:$U$8,"")</f>
        <v/>
      </c>
      <c r="I119" s="4" t="str">
        <f>_xlfn.IFNA(VLOOKUP(D119,Master!$I:$K,2,FALSE),"")</f>
        <v/>
      </c>
      <c r="J119" s="4" t="str">
        <f>_xlfn.IFNA(VLOOKUP(D119,Master!$I:$K,3,FALSE),"")</f>
        <v/>
      </c>
      <c r="L119" s="27" t="str">
        <f>IF(A119&lt;&gt;"CFA",_xlfn.IFNA(VLOOKUP($G119,Master!$V$2:$Z$8,5,0),""),"")</f>
        <v/>
      </c>
      <c r="P119" s="6" t="str">
        <f t="shared" ref="P119:P182" si="4">IF(N119&lt;&gt;"",IF(MONTH(N119)&gt;=4,"FY1"&amp;RIGHT(YEAR(N119)+1,2),"FY1"&amp;RIGHT(YEAR(N119),2)),"")</f>
        <v/>
      </c>
      <c r="Q119" s="13">
        <f t="shared" ref="Q119:Q182" si="5">IF(K119&gt;0&amp;M119&gt;0,K119*M119,"")</f>
        <v>0</v>
      </c>
    </row>
    <row r="120" spans="2:17" ht="15" customHeight="1">
      <c r="B120" s="5" t="str">
        <f>_xlfn.IFNA(VLOOKUP(C120,Master!$H:$I,2,FALSE),"")</f>
        <v/>
      </c>
      <c r="D120" s="5" t="str">
        <f>_xlfn.IFNA(VLOOKUP(E120,Master!$H:$I,2,FALSE),"")</f>
        <v/>
      </c>
      <c r="F120" s="26" t="str">
        <f>+_xlfn.XLOOKUP(G120,Master!$V$2:$V$8,Master!$U$2:$U$8,"")</f>
        <v/>
      </c>
      <c r="I120" s="4" t="str">
        <f>_xlfn.IFNA(VLOOKUP(D120,Master!$I:$K,2,FALSE),"")</f>
        <v/>
      </c>
      <c r="J120" s="4" t="str">
        <f>_xlfn.IFNA(VLOOKUP(D120,Master!$I:$K,3,FALSE),"")</f>
        <v/>
      </c>
      <c r="L120" s="27" t="str">
        <f>IF(A120&lt;&gt;"CFA",_xlfn.IFNA(VLOOKUP($G120,Master!$V$2:$Z$8,5,0),""),"")</f>
        <v/>
      </c>
      <c r="P120" s="6" t="str">
        <f t="shared" si="4"/>
        <v/>
      </c>
      <c r="Q120" s="13">
        <f t="shared" si="5"/>
        <v>0</v>
      </c>
    </row>
    <row r="121" spans="2:17" ht="15" customHeight="1">
      <c r="B121" s="5" t="str">
        <f>_xlfn.IFNA(VLOOKUP(C121,Master!$H:$I,2,FALSE),"")</f>
        <v/>
      </c>
      <c r="D121" s="5" t="str">
        <f>_xlfn.IFNA(VLOOKUP(E121,Master!$H:$I,2,FALSE),"")</f>
        <v/>
      </c>
      <c r="F121" s="26" t="str">
        <f>+_xlfn.XLOOKUP(G121,Master!$V$2:$V$8,Master!$U$2:$U$8,"")</f>
        <v/>
      </c>
      <c r="I121" s="4" t="str">
        <f>_xlfn.IFNA(VLOOKUP(D121,Master!$I:$K,2,FALSE),"")</f>
        <v/>
      </c>
      <c r="J121" s="4" t="str">
        <f>_xlfn.IFNA(VLOOKUP(D121,Master!$I:$K,3,FALSE),"")</f>
        <v/>
      </c>
      <c r="L121" s="27" t="str">
        <f>IF(A121&lt;&gt;"CFA",_xlfn.IFNA(VLOOKUP($G121,Master!$V$2:$Z$8,5,0),""),"")</f>
        <v/>
      </c>
      <c r="P121" s="6" t="str">
        <f t="shared" si="4"/>
        <v/>
      </c>
      <c r="Q121" s="13">
        <f t="shared" si="5"/>
        <v>0</v>
      </c>
    </row>
    <row r="122" spans="2:17" ht="15" customHeight="1">
      <c r="B122" s="5" t="str">
        <f>_xlfn.IFNA(VLOOKUP(C122,Master!$H:$I,2,FALSE),"")</f>
        <v/>
      </c>
      <c r="D122" s="5" t="str">
        <f>_xlfn.IFNA(VLOOKUP(E122,Master!$H:$I,2,FALSE),"")</f>
        <v/>
      </c>
      <c r="F122" s="26" t="str">
        <f>+_xlfn.XLOOKUP(G122,Master!$V$2:$V$8,Master!$U$2:$U$8,"")</f>
        <v/>
      </c>
      <c r="I122" s="4" t="str">
        <f>_xlfn.IFNA(VLOOKUP(D122,Master!$I:$K,2,FALSE),"")</f>
        <v/>
      </c>
      <c r="J122" s="4" t="str">
        <f>_xlfn.IFNA(VLOOKUP(D122,Master!$I:$K,3,FALSE),"")</f>
        <v/>
      </c>
      <c r="L122" s="27" t="str">
        <f>IF(A122&lt;&gt;"CFA",_xlfn.IFNA(VLOOKUP($G122,Master!$V$2:$Z$8,5,0),""),"")</f>
        <v/>
      </c>
      <c r="P122" s="6" t="str">
        <f t="shared" si="4"/>
        <v/>
      </c>
      <c r="Q122" s="13">
        <f t="shared" si="5"/>
        <v>0</v>
      </c>
    </row>
    <row r="123" spans="2:17" ht="15" customHeight="1">
      <c r="B123" s="5" t="str">
        <f>_xlfn.IFNA(VLOOKUP(C123,Master!$H:$I,2,FALSE),"")</f>
        <v/>
      </c>
      <c r="D123" s="5" t="str">
        <f>_xlfn.IFNA(VLOOKUP(E123,Master!$H:$I,2,FALSE),"")</f>
        <v/>
      </c>
      <c r="F123" s="26" t="str">
        <f>+_xlfn.XLOOKUP(G123,Master!$V$2:$V$8,Master!$U$2:$U$8,"")</f>
        <v/>
      </c>
      <c r="I123" s="4" t="str">
        <f>_xlfn.IFNA(VLOOKUP(D123,Master!$I:$K,2,FALSE),"")</f>
        <v/>
      </c>
      <c r="J123" s="4" t="str">
        <f>_xlfn.IFNA(VLOOKUP(D123,Master!$I:$K,3,FALSE),"")</f>
        <v/>
      </c>
      <c r="L123" s="27" t="str">
        <f>IF(A123&lt;&gt;"CFA",_xlfn.IFNA(VLOOKUP($G123,Master!$V$2:$Z$8,5,0),""),"")</f>
        <v/>
      </c>
      <c r="P123" s="6" t="str">
        <f t="shared" si="4"/>
        <v/>
      </c>
      <c r="Q123" s="13">
        <f t="shared" si="5"/>
        <v>0</v>
      </c>
    </row>
    <row r="124" spans="2:17" ht="15" customHeight="1">
      <c r="B124" s="5" t="str">
        <f>_xlfn.IFNA(VLOOKUP(C124,Master!$H:$I,2,FALSE),"")</f>
        <v/>
      </c>
      <c r="D124" s="5" t="str">
        <f>_xlfn.IFNA(VLOOKUP(E124,Master!$H:$I,2,FALSE),"")</f>
        <v/>
      </c>
      <c r="F124" s="26" t="str">
        <f>+_xlfn.XLOOKUP(G124,Master!$V$2:$V$8,Master!$U$2:$U$8,"")</f>
        <v/>
      </c>
      <c r="I124" s="4" t="str">
        <f>_xlfn.IFNA(VLOOKUP(D124,Master!$I:$K,2,FALSE),"")</f>
        <v/>
      </c>
      <c r="J124" s="4" t="str">
        <f>_xlfn.IFNA(VLOOKUP(D124,Master!$I:$K,3,FALSE),"")</f>
        <v/>
      </c>
      <c r="L124" s="27" t="str">
        <f>IF(A124&lt;&gt;"CFA",_xlfn.IFNA(VLOOKUP($G124,Master!$V$2:$Z$8,5,0),""),"")</f>
        <v/>
      </c>
      <c r="P124" s="6" t="str">
        <f t="shared" si="4"/>
        <v/>
      </c>
      <c r="Q124" s="13">
        <f t="shared" si="5"/>
        <v>0</v>
      </c>
    </row>
    <row r="125" spans="2:17" ht="15" customHeight="1">
      <c r="B125" s="5" t="str">
        <f>_xlfn.IFNA(VLOOKUP(C125,Master!$H:$I,2,FALSE),"")</f>
        <v/>
      </c>
      <c r="D125" s="5" t="str">
        <f>_xlfn.IFNA(VLOOKUP(E125,Master!$H:$I,2,FALSE),"")</f>
        <v/>
      </c>
      <c r="F125" s="26" t="str">
        <f>+_xlfn.XLOOKUP(G125,Master!$V$2:$V$8,Master!$U$2:$U$8,"")</f>
        <v/>
      </c>
      <c r="I125" s="4" t="str">
        <f>_xlfn.IFNA(VLOOKUP(D125,Master!$I:$K,2,FALSE),"")</f>
        <v/>
      </c>
      <c r="J125" s="4" t="str">
        <f>_xlfn.IFNA(VLOOKUP(D125,Master!$I:$K,3,FALSE),"")</f>
        <v/>
      </c>
      <c r="L125" s="27" t="str">
        <f>IF(A125&lt;&gt;"CFA",_xlfn.IFNA(VLOOKUP($G125,Master!$V$2:$Z$8,5,0),""),"")</f>
        <v/>
      </c>
      <c r="P125" s="6" t="str">
        <f t="shared" si="4"/>
        <v/>
      </c>
      <c r="Q125" s="13">
        <f t="shared" si="5"/>
        <v>0</v>
      </c>
    </row>
    <row r="126" spans="2:17" ht="15" customHeight="1">
      <c r="B126" s="5" t="str">
        <f>_xlfn.IFNA(VLOOKUP(C126,Master!$H:$I,2,FALSE),"")</f>
        <v/>
      </c>
      <c r="D126" s="5" t="str">
        <f>_xlfn.IFNA(VLOOKUP(E126,Master!$H:$I,2,FALSE),"")</f>
        <v/>
      </c>
      <c r="F126" s="26" t="str">
        <f>+_xlfn.XLOOKUP(G126,Master!$V$2:$V$8,Master!$U$2:$U$8,"")</f>
        <v/>
      </c>
      <c r="I126" s="4" t="str">
        <f>_xlfn.IFNA(VLOOKUP(D126,Master!$I:$K,2,FALSE),"")</f>
        <v/>
      </c>
      <c r="J126" s="4" t="str">
        <f>_xlfn.IFNA(VLOOKUP(D126,Master!$I:$K,3,FALSE),"")</f>
        <v/>
      </c>
      <c r="L126" s="27" t="str">
        <f>IF(A126&lt;&gt;"CFA",_xlfn.IFNA(VLOOKUP($G126,Master!$V$2:$Z$8,5,0),""),"")</f>
        <v/>
      </c>
      <c r="P126" s="6" t="str">
        <f t="shared" si="4"/>
        <v/>
      </c>
      <c r="Q126" s="13">
        <f t="shared" si="5"/>
        <v>0</v>
      </c>
    </row>
    <row r="127" spans="2:17" ht="15" customHeight="1">
      <c r="B127" s="5" t="str">
        <f>_xlfn.IFNA(VLOOKUP(C127,Master!$H:$I,2,FALSE),"")</f>
        <v/>
      </c>
      <c r="D127" s="5" t="str">
        <f>_xlfn.IFNA(VLOOKUP(E127,Master!$H:$I,2,FALSE),"")</f>
        <v/>
      </c>
      <c r="F127" s="26" t="str">
        <f>+_xlfn.XLOOKUP(G127,Master!$V$2:$V$8,Master!$U$2:$U$8,"")</f>
        <v/>
      </c>
      <c r="I127" s="4" t="str">
        <f>_xlfn.IFNA(VLOOKUP(D127,Master!$I:$K,2,FALSE),"")</f>
        <v/>
      </c>
      <c r="J127" s="4" t="str">
        <f>_xlfn.IFNA(VLOOKUP(D127,Master!$I:$K,3,FALSE),"")</f>
        <v/>
      </c>
      <c r="L127" s="27" t="str">
        <f>IF(A127&lt;&gt;"CFA",_xlfn.IFNA(VLOOKUP($G127,Master!$V$2:$Z$8,5,0),""),"")</f>
        <v/>
      </c>
      <c r="P127" s="6" t="str">
        <f t="shared" si="4"/>
        <v/>
      </c>
      <c r="Q127" s="13">
        <f t="shared" si="5"/>
        <v>0</v>
      </c>
    </row>
    <row r="128" spans="2:17" ht="15" customHeight="1">
      <c r="B128" s="5" t="str">
        <f>_xlfn.IFNA(VLOOKUP(C128,Master!$H:$I,2,FALSE),"")</f>
        <v/>
      </c>
      <c r="D128" s="5" t="str">
        <f>_xlfn.IFNA(VLOOKUP(E128,Master!$H:$I,2,FALSE),"")</f>
        <v/>
      </c>
      <c r="F128" s="26" t="str">
        <f>+_xlfn.XLOOKUP(G128,Master!$V$2:$V$8,Master!$U$2:$U$8,"")</f>
        <v/>
      </c>
      <c r="I128" s="4" t="str">
        <f>_xlfn.IFNA(VLOOKUP(D128,Master!$I:$K,2,FALSE),"")</f>
        <v/>
      </c>
      <c r="J128" s="4" t="str">
        <f>_xlfn.IFNA(VLOOKUP(D128,Master!$I:$K,3,FALSE),"")</f>
        <v/>
      </c>
      <c r="L128" s="27" t="str">
        <f>IF(A128&lt;&gt;"CFA",_xlfn.IFNA(VLOOKUP($G128,Master!$V$2:$Z$8,5,0),""),"")</f>
        <v/>
      </c>
      <c r="P128" s="6" t="str">
        <f t="shared" si="4"/>
        <v/>
      </c>
      <c r="Q128" s="13">
        <f t="shared" si="5"/>
        <v>0</v>
      </c>
    </row>
    <row r="129" spans="2:17" ht="15" customHeight="1">
      <c r="B129" s="5" t="str">
        <f>_xlfn.IFNA(VLOOKUP(C129,Master!$H:$I,2,FALSE),"")</f>
        <v/>
      </c>
      <c r="D129" s="5" t="str">
        <f>_xlfn.IFNA(VLOOKUP(E129,Master!$H:$I,2,FALSE),"")</f>
        <v/>
      </c>
      <c r="F129" s="26" t="str">
        <f>+_xlfn.XLOOKUP(G129,Master!$V$2:$V$8,Master!$U$2:$U$8,"")</f>
        <v/>
      </c>
      <c r="I129" s="4" t="str">
        <f>_xlfn.IFNA(VLOOKUP(D129,Master!$I:$K,2,FALSE),"")</f>
        <v/>
      </c>
      <c r="J129" s="4" t="str">
        <f>_xlfn.IFNA(VLOOKUP(D129,Master!$I:$K,3,FALSE),"")</f>
        <v/>
      </c>
      <c r="L129" s="27" t="str">
        <f>IF(A129&lt;&gt;"CFA",_xlfn.IFNA(VLOOKUP($G129,Master!$V$2:$Z$8,5,0),""),"")</f>
        <v/>
      </c>
      <c r="P129" s="6" t="str">
        <f t="shared" si="4"/>
        <v/>
      </c>
      <c r="Q129" s="13">
        <f t="shared" si="5"/>
        <v>0</v>
      </c>
    </row>
    <row r="130" spans="2:17" ht="15" customHeight="1">
      <c r="B130" s="5" t="str">
        <f>_xlfn.IFNA(VLOOKUP(C130,Master!$H:$I,2,FALSE),"")</f>
        <v/>
      </c>
      <c r="D130" s="5" t="str">
        <f>_xlfn.IFNA(VLOOKUP(E130,Master!$H:$I,2,FALSE),"")</f>
        <v/>
      </c>
      <c r="F130" s="26" t="str">
        <f>+_xlfn.XLOOKUP(G130,Master!$V$2:$V$8,Master!$U$2:$U$8,"")</f>
        <v/>
      </c>
      <c r="I130" s="4" t="str">
        <f>_xlfn.IFNA(VLOOKUP(D130,Master!$I:$K,2,FALSE),"")</f>
        <v/>
      </c>
      <c r="J130" s="4" t="str">
        <f>_xlfn.IFNA(VLOOKUP(D130,Master!$I:$K,3,FALSE),"")</f>
        <v/>
      </c>
      <c r="L130" s="27" t="str">
        <f>IF(A130&lt;&gt;"CFA",_xlfn.IFNA(VLOOKUP($G130,Master!$V$2:$Z$8,5,0),""),"")</f>
        <v/>
      </c>
      <c r="P130" s="6" t="str">
        <f t="shared" si="4"/>
        <v/>
      </c>
      <c r="Q130" s="13">
        <f t="shared" si="5"/>
        <v>0</v>
      </c>
    </row>
    <row r="131" spans="2:17" ht="15" customHeight="1">
      <c r="B131" s="5" t="str">
        <f>_xlfn.IFNA(VLOOKUP(C131,Master!$H:$I,2,FALSE),"")</f>
        <v/>
      </c>
      <c r="D131" s="5" t="str">
        <f>_xlfn.IFNA(VLOOKUP(E131,Master!$H:$I,2,FALSE),"")</f>
        <v/>
      </c>
      <c r="F131" s="26" t="str">
        <f>+_xlfn.XLOOKUP(G131,Master!$V$2:$V$8,Master!$U$2:$U$8,"")</f>
        <v/>
      </c>
      <c r="I131" s="4" t="str">
        <f>_xlfn.IFNA(VLOOKUP(D131,Master!$I:$K,2,FALSE),"")</f>
        <v/>
      </c>
      <c r="J131" s="4" t="str">
        <f>_xlfn.IFNA(VLOOKUP(D131,Master!$I:$K,3,FALSE),"")</f>
        <v/>
      </c>
      <c r="L131" s="27" t="str">
        <f>IF(A131&lt;&gt;"CFA",_xlfn.IFNA(VLOOKUP($G131,Master!$V$2:$Z$8,5,0),""),"")</f>
        <v/>
      </c>
      <c r="P131" s="6" t="str">
        <f t="shared" si="4"/>
        <v/>
      </c>
      <c r="Q131" s="13">
        <f t="shared" si="5"/>
        <v>0</v>
      </c>
    </row>
    <row r="132" spans="2:17" ht="15" customHeight="1">
      <c r="B132" s="5" t="str">
        <f>_xlfn.IFNA(VLOOKUP(C132,Master!$H:$I,2,FALSE),"")</f>
        <v/>
      </c>
      <c r="D132" s="5" t="str">
        <f>_xlfn.IFNA(VLOOKUP(E132,Master!$H:$I,2,FALSE),"")</f>
        <v/>
      </c>
      <c r="F132" s="26" t="str">
        <f>+_xlfn.XLOOKUP(G132,Master!$V$2:$V$8,Master!$U$2:$U$8,"")</f>
        <v/>
      </c>
      <c r="I132" s="4" t="str">
        <f>_xlfn.IFNA(VLOOKUP(D132,Master!$I:$K,2,FALSE),"")</f>
        <v/>
      </c>
      <c r="J132" s="4" t="str">
        <f>_xlfn.IFNA(VLOOKUP(D132,Master!$I:$K,3,FALSE),"")</f>
        <v/>
      </c>
      <c r="L132" s="27" t="str">
        <f>IF(A132&lt;&gt;"CFA",_xlfn.IFNA(VLOOKUP($G132,Master!$V$2:$Z$8,5,0),""),"")</f>
        <v/>
      </c>
      <c r="P132" s="6" t="str">
        <f t="shared" si="4"/>
        <v/>
      </c>
      <c r="Q132" s="13">
        <f t="shared" si="5"/>
        <v>0</v>
      </c>
    </row>
    <row r="133" spans="2:17" ht="15" customHeight="1">
      <c r="B133" s="5" t="str">
        <f>_xlfn.IFNA(VLOOKUP(C133,Master!$H:$I,2,FALSE),"")</f>
        <v/>
      </c>
      <c r="D133" s="5" t="str">
        <f>_xlfn.IFNA(VLOOKUP(E133,Master!$H:$I,2,FALSE),"")</f>
        <v/>
      </c>
      <c r="F133" s="26" t="str">
        <f>+_xlfn.XLOOKUP(G133,Master!$V$2:$V$8,Master!$U$2:$U$8,"")</f>
        <v/>
      </c>
      <c r="I133" s="4" t="str">
        <f>_xlfn.IFNA(VLOOKUP(D133,Master!$I:$K,2,FALSE),"")</f>
        <v/>
      </c>
      <c r="J133" s="4" t="str">
        <f>_xlfn.IFNA(VLOOKUP(D133,Master!$I:$K,3,FALSE),"")</f>
        <v/>
      </c>
      <c r="L133" s="27" t="str">
        <f>IF(A133&lt;&gt;"CFA",_xlfn.IFNA(VLOOKUP($G133,Master!$V$2:$Z$8,5,0),""),"")</f>
        <v/>
      </c>
      <c r="P133" s="6" t="str">
        <f t="shared" si="4"/>
        <v/>
      </c>
      <c r="Q133" s="13">
        <f t="shared" si="5"/>
        <v>0</v>
      </c>
    </row>
    <row r="134" spans="2:17" ht="15" customHeight="1">
      <c r="B134" s="5" t="str">
        <f>_xlfn.IFNA(VLOOKUP(C134,Master!$H:$I,2,FALSE),"")</f>
        <v/>
      </c>
      <c r="D134" s="5" t="str">
        <f>_xlfn.IFNA(VLOOKUP(E134,Master!$H:$I,2,FALSE),"")</f>
        <v/>
      </c>
      <c r="F134" s="26" t="str">
        <f>+_xlfn.XLOOKUP(G134,Master!$V$2:$V$8,Master!$U$2:$U$8,"")</f>
        <v/>
      </c>
      <c r="I134" s="4" t="str">
        <f>_xlfn.IFNA(VLOOKUP(D134,Master!$I:$K,2,FALSE),"")</f>
        <v/>
      </c>
      <c r="J134" s="4" t="str">
        <f>_xlfn.IFNA(VLOOKUP(D134,Master!$I:$K,3,FALSE),"")</f>
        <v/>
      </c>
      <c r="L134" s="27" t="str">
        <f>IF(A134&lt;&gt;"CFA",_xlfn.IFNA(VLOOKUP($G134,Master!$V$2:$Z$8,5,0),""),"")</f>
        <v/>
      </c>
      <c r="P134" s="6" t="str">
        <f t="shared" si="4"/>
        <v/>
      </c>
      <c r="Q134" s="13">
        <f t="shared" si="5"/>
        <v>0</v>
      </c>
    </row>
    <row r="135" spans="2:17" ht="15" customHeight="1">
      <c r="B135" s="5" t="str">
        <f>_xlfn.IFNA(VLOOKUP(C135,Master!$H:$I,2,FALSE),"")</f>
        <v/>
      </c>
      <c r="D135" s="5" t="str">
        <f>_xlfn.IFNA(VLOOKUP(E135,Master!$H:$I,2,FALSE),"")</f>
        <v/>
      </c>
      <c r="F135" s="26" t="str">
        <f>+_xlfn.XLOOKUP(G135,Master!$V$2:$V$8,Master!$U$2:$U$8,"")</f>
        <v/>
      </c>
      <c r="I135" s="4" t="str">
        <f>_xlfn.IFNA(VLOOKUP(D135,Master!$I:$K,2,FALSE),"")</f>
        <v/>
      </c>
      <c r="J135" s="4" t="str">
        <f>_xlfn.IFNA(VLOOKUP(D135,Master!$I:$K,3,FALSE),"")</f>
        <v/>
      </c>
      <c r="L135" s="27" t="str">
        <f>IF(A135&lt;&gt;"CFA",_xlfn.IFNA(VLOOKUP($G135,Master!$V$2:$Z$8,5,0),""),"")</f>
        <v/>
      </c>
      <c r="P135" s="6" t="str">
        <f t="shared" si="4"/>
        <v/>
      </c>
      <c r="Q135" s="13">
        <f t="shared" si="5"/>
        <v>0</v>
      </c>
    </row>
    <row r="136" spans="2:17" ht="15" customHeight="1">
      <c r="B136" s="5" t="str">
        <f>_xlfn.IFNA(VLOOKUP(C136,Master!$H:$I,2,FALSE),"")</f>
        <v/>
      </c>
      <c r="D136" s="5" t="str">
        <f>_xlfn.IFNA(VLOOKUP(E136,Master!$H:$I,2,FALSE),"")</f>
        <v/>
      </c>
      <c r="F136" s="26" t="str">
        <f>+_xlfn.XLOOKUP(G136,Master!$V$2:$V$8,Master!$U$2:$U$8,"")</f>
        <v/>
      </c>
      <c r="I136" s="4" t="str">
        <f>_xlfn.IFNA(VLOOKUP(D136,Master!$I:$K,2,FALSE),"")</f>
        <v/>
      </c>
      <c r="J136" s="4" t="str">
        <f>_xlfn.IFNA(VLOOKUP(D136,Master!$I:$K,3,FALSE),"")</f>
        <v/>
      </c>
      <c r="L136" s="27" t="str">
        <f>IF(A136&lt;&gt;"CFA",_xlfn.IFNA(VLOOKUP($G136,Master!$V$2:$Z$8,5,0),""),"")</f>
        <v/>
      </c>
      <c r="P136" s="6" t="str">
        <f t="shared" si="4"/>
        <v/>
      </c>
      <c r="Q136" s="13">
        <f t="shared" si="5"/>
        <v>0</v>
      </c>
    </row>
    <row r="137" spans="2:17" ht="15" customHeight="1">
      <c r="B137" s="5" t="str">
        <f>_xlfn.IFNA(VLOOKUP(C137,Master!$H:$I,2,FALSE),"")</f>
        <v/>
      </c>
      <c r="D137" s="5" t="str">
        <f>_xlfn.IFNA(VLOOKUP(E137,Master!$H:$I,2,FALSE),"")</f>
        <v/>
      </c>
      <c r="F137" s="26" t="str">
        <f>+_xlfn.XLOOKUP(G137,Master!$V$2:$V$8,Master!$U$2:$U$8,"")</f>
        <v/>
      </c>
      <c r="I137" s="4" t="str">
        <f>_xlfn.IFNA(VLOOKUP(D137,Master!$I:$K,2,FALSE),"")</f>
        <v/>
      </c>
      <c r="J137" s="4" t="str">
        <f>_xlfn.IFNA(VLOOKUP(D137,Master!$I:$K,3,FALSE),"")</f>
        <v/>
      </c>
      <c r="L137" s="27" t="str">
        <f>IF(A137&lt;&gt;"CFA",_xlfn.IFNA(VLOOKUP($G137,Master!$V$2:$Z$8,5,0),""),"")</f>
        <v/>
      </c>
      <c r="P137" s="6" t="str">
        <f t="shared" si="4"/>
        <v/>
      </c>
      <c r="Q137" s="13">
        <f t="shared" si="5"/>
        <v>0</v>
      </c>
    </row>
    <row r="138" spans="2:17" ht="15" customHeight="1">
      <c r="B138" s="5" t="str">
        <f>_xlfn.IFNA(VLOOKUP(C138,Master!$H:$I,2,FALSE),"")</f>
        <v/>
      </c>
      <c r="D138" s="5" t="str">
        <f>_xlfn.IFNA(VLOOKUP(E138,Master!$H:$I,2,FALSE),"")</f>
        <v/>
      </c>
      <c r="F138" s="26" t="str">
        <f>+_xlfn.XLOOKUP(G138,Master!$V$2:$V$8,Master!$U$2:$U$8,"")</f>
        <v/>
      </c>
      <c r="I138" s="4" t="str">
        <f>_xlfn.IFNA(VLOOKUP(D138,Master!$I:$K,2,FALSE),"")</f>
        <v/>
      </c>
      <c r="J138" s="4" t="str">
        <f>_xlfn.IFNA(VLOOKUP(D138,Master!$I:$K,3,FALSE),"")</f>
        <v/>
      </c>
      <c r="L138" s="27" t="str">
        <f>IF(A138&lt;&gt;"CFA",_xlfn.IFNA(VLOOKUP($G138,Master!$V$2:$Z$8,5,0),""),"")</f>
        <v/>
      </c>
      <c r="P138" s="6" t="str">
        <f t="shared" si="4"/>
        <v/>
      </c>
      <c r="Q138" s="13">
        <f t="shared" si="5"/>
        <v>0</v>
      </c>
    </row>
    <row r="139" spans="2:17" ht="15" customHeight="1">
      <c r="B139" s="5" t="str">
        <f>_xlfn.IFNA(VLOOKUP(C139,Master!$H:$I,2,FALSE),"")</f>
        <v/>
      </c>
      <c r="D139" s="5" t="str">
        <f>_xlfn.IFNA(VLOOKUP(E139,Master!$H:$I,2,FALSE),"")</f>
        <v/>
      </c>
      <c r="F139" s="26" t="str">
        <f>+_xlfn.XLOOKUP(G139,Master!$V$2:$V$8,Master!$U$2:$U$8,"")</f>
        <v/>
      </c>
      <c r="I139" s="4" t="str">
        <f>_xlfn.IFNA(VLOOKUP(D139,Master!$I:$K,2,FALSE),"")</f>
        <v/>
      </c>
      <c r="J139" s="4" t="str">
        <f>_xlfn.IFNA(VLOOKUP(D139,Master!$I:$K,3,FALSE),"")</f>
        <v/>
      </c>
      <c r="L139" s="27" t="str">
        <f>IF(A139&lt;&gt;"CFA",_xlfn.IFNA(VLOOKUP($G139,Master!$V$2:$Z$8,5,0),""),"")</f>
        <v/>
      </c>
      <c r="P139" s="6" t="str">
        <f t="shared" si="4"/>
        <v/>
      </c>
      <c r="Q139" s="13">
        <f t="shared" si="5"/>
        <v>0</v>
      </c>
    </row>
    <row r="140" spans="2:17" ht="15" customHeight="1">
      <c r="B140" s="5" t="str">
        <f>_xlfn.IFNA(VLOOKUP(C140,Master!$H:$I,2,FALSE),"")</f>
        <v/>
      </c>
      <c r="D140" s="5" t="str">
        <f>_xlfn.IFNA(VLOOKUP(E140,Master!$H:$I,2,FALSE),"")</f>
        <v/>
      </c>
      <c r="F140" s="26" t="str">
        <f>+_xlfn.XLOOKUP(G140,Master!$V$2:$V$8,Master!$U$2:$U$8,"")</f>
        <v/>
      </c>
      <c r="I140" s="4" t="str">
        <f>_xlfn.IFNA(VLOOKUP(D140,Master!$I:$K,2,FALSE),"")</f>
        <v/>
      </c>
      <c r="J140" s="4" t="str">
        <f>_xlfn.IFNA(VLOOKUP(D140,Master!$I:$K,3,FALSE),"")</f>
        <v/>
      </c>
      <c r="L140" s="27" t="str">
        <f>IF(A140&lt;&gt;"CFA",_xlfn.IFNA(VLOOKUP($G140,Master!$V$2:$Z$8,5,0),""),"")</f>
        <v/>
      </c>
      <c r="P140" s="6" t="str">
        <f t="shared" si="4"/>
        <v/>
      </c>
      <c r="Q140" s="13">
        <f t="shared" si="5"/>
        <v>0</v>
      </c>
    </row>
    <row r="141" spans="2:17" ht="15" customHeight="1">
      <c r="B141" s="5" t="str">
        <f>_xlfn.IFNA(VLOOKUP(C141,Master!$H:$I,2,FALSE),"")</f>
        <v/>
      </c>
      <c r="D141" s="5" t="str">
        <f>_xlfn.IFNA(VLOOKUP(E141,Master!$H:$I,2,FALSE),"")</f>
        <v/>
      </c>
      <c r="F141" s="26" t="str">
        <f>+_xlfn.XLOOKUP(G141,Master!$V$2:$V$8,Master!$U$2:$U$8,"")</f>
        <v/>
      </c>
      <c r="I141" s="4" t="str">
        <f>_xlfn.IFNA(VLOOKUP(D141,Master!$I:$K,2,FALSE),"")</f>
        <v/>
      </c>
      <c r="J141" s="4" t="str">
        <f>_xlfn.IFNA(VLOOKUP(D141,Master!$I:$K,3,FALSE),"")</f>
        <v/>
      </c>
      <c r="L141" s="27" t="str">
        <f>IF(A141&lt;&gt;"CFA",_xlfn.IFNA(VLOOKUP($G141,Master!$V$2:$Z$8,5,0),""),"")</f>
        <v/>
      </c>
      <c r="P141" s="6" t="str">
        <f t="shared" si="4"/>
        <v/>
      </c>
      <c r="Q141" s="13">
        <f t="shared" si="5"/>
        <v>0</v>
      </c>
    </row>
    <row r="142" spans="2:17" ht="15" customHeight="1">
      <c r="B142" s="5" t="str">
        <f>_xlfn.IFNA(VLOOKUP(C142,Master!$H:$I,2,FALSE),"")</f>
        <v/>
      </c>
      <c r="D142" s="5" t="str">
        <f>_xlfn.IFNA(VLOOKUP(E142,Master!$H:$I,2,FALSE),"")</f>
        <v/>
      </c>
      <c r="F142" s="26" t="str">
        <f>+_xlfn.XLOOKUP(G142,Master!$V$2:$V$8,Master!$U$2:$U$8,"")</f>
        <v/>
      </c>
      <c r="I142" s="4" t="str">
        <f>_xlfn.IFNA(VLOOKUP(D142,Master!$I:$K,2,FALSE),"")</f>
        <v/>
      </c>
      <c r="J142" s="4" t="str">
        <f>_xlfn.IFNA(VLOOKUP(D142,Master!$I:$K,3,FALSE),"")</f>
        <v/>
      </c>
      <c r="L142" s="27" t="str">
        <f>IF(A142&lt;&gt;"CFA",_xlfn.IFNA(VLOOKUP($G142,Master!$V$2:$Z$8,5,0),""),"")</f>
        <v/>
      </c>
      <c r="P142" s="6" t="str">
        <f t="shared" si="4"/>
        <v/>
      </c>
      <c r="Q142" s="13">
        <f t="shared" si="5"/>
        <v>0</v>
      </c>
    </row>
    <row r="143" spans="2:17" ht="15" customHeight="1">
      <c r="B143" s="5" t="str">
        <f>_xlfn.IFNA(VLOOKUP(C143,Master!$H:$I,2,FALSE),"")</f>
        <v/>
      </c>
      <c r="D143" s="5" t="str">
        <f>_xlfn.IFNA(VLOOKUP(E143,Master!$H:$I,2,FALSE),"")</f>
        <v/>
      </c>
      <c r="F143" s="26" t="str">
        <f>+_xlfn.XLOOKUP(G143,Master!$V$2:$V$8,Master!$U$2:$U$8,"")</f>
        <v/>
      </c>
      <c r="I143" s="4" t="str">
        <f>_xlfn.IFNA(VLOOKUP(D143,Master!$I:$K,2,FALSE),"")</f>
        <v/>
      </c>
      <c r="J143" s="4" t="str">
        <f>_xlfn.IFNA(VLOOKUP(D143,Master!$I:$K,3,FALSE),"")</f>
        <v/>
      </c>
      <c r="L143" s="27" t="str">
        <f>IF(A143&lt;&gt;"CFA",_xlfn.IFNA(VLOOKUP($G143,Master!$V$2:$Z$8,5,0),""),"")</f>
        <v/>
      </c>
      <c r="P143" s="6" t="str">
        <f t="shared" si="4"/>
        <v/>
      </c>
      <c r="Q143" s="13">
        <f t="shared" si="5"/>
        <v>0</v>
      </c>
    </row>
    <row r="144" spans="2:17" ht="15" customHeight="1">
      <c r="B144" s="5" t="str">
        <f>_xlfn.IFNA(VLOOKUP(C144,Master!$H:$I,2,FALSE),"")</f>
        <v/>
      </c>
      <c r="D144" s="5" t="str">
        <f>_xlfn.IFNA(VLOOKUP(E144,Master!$H:$I,2,FALSE),"")</f>
        <v/>
      </c>
      <c r="F144" s="26" t="str">
        <f>+_xlfn.XLOOKUP(G144,Master!$V$2:$V$8,Master!$U$2:$U$8,"")</f>
        <v/>
      </c>
      <c r="I144" s="4" t="str">
        <f>_xlfn.IFNA(VLOOKUP(D144,Master!$I:$K,2,FALSE),"")</f>
        <v/>
      </c>
      <c r="J144" s="4" t="str">
        <f>_xlfn.IFNA(VLOOKUP(D144,Master!$I:$K,3,FALSE),"")</f>
        <v/>
      </c>
      <c r="L144" s="27" t="str">
        <f>IF(A144&lt;&gt;"CFA",_xlfn.IFNA(VLOOKUP($G144,Master!$V$2:$Z$8,5,0),""),"")</f>
        <v/>
      </c>
      <c r="P144" s="6" t="str">
        <f t="shared" si="4"/>
        <v/>
      </c>
      <c r="Q144" s="13">
        <f t="shared" si="5"/>
        <v>0</v>
      </c>
    </row>
    <row r="145" spans="2:17" ht="15" customHeight="1">
      <c r="B145" s="5" t="str">
        <f>_xlfn.IFNA(VLOOKUP(C145,Master!$H:$I,2,FALSE),"")</f>
        <v/>
      </c>
      <c r="D145" s="5" t="str">
        <f>_xlfn.IFNA(VLOOKUP(E145,Master!$H:$I,2,FALSE),"")</f>
        <v/>
      </c>
      <c r="F145" s="26" t="str">
        <f>+_xlfn.XLOOKUP(G145,Master!$V$2:$V$8,Master!$U$2:$U$8,"")</f>
        <v/>
      </c>
      <c r="I145" s="4" t="str">
        <f>_xlfn.IFNA(VLOOKUP(D145,Master!$I:$K,2,FALSE),"")</f>
        <v/>
      </c>
      <c r="J145" s="4" t="str">
        <f>_xlfn.IFNA(VLOOKUP(D145,Master!$I:$K,3,FALSE),"")</f>
        <v/>
      </c>
      <c r="L145" s="27" t="str">
        <f>IF(A145&lt;&gt;"CFA",_xlfn.IFNA(VLOOKUP($G145,Master!$V$2:$Z$8,5,0),""),"")</f>
        <v/>
      </c>
      <c r="P145" s="6" t="str">
        <f t="shared" si="4"/>
        <v/>
      </c>
      <c r="Q145" s="13">
        <f t="shared" si="5"/>
        <v>0</v>
      </c>
    </row>
    <row r="146" spans="2:17" ht="15" customHeight="1">
      <c r="B146" s="5" t="str">
        <f>_xlfn.IFNA(VLOOKUP(C146,Master!$H:$I,2,FALSE),"")</f>
        <v/>
      </c>
      <c r="D146" s="5" t="str">
        <f>_xlfn.IFNA(VLOOKUP(E146,Master!$H:$I,2,FALSE),"")</f>
        <v/>
      </c>
      <c r="F146" s="26" t="str">
        <f>+_xlfn.XLOOKUP(G146,Master!$V$2:$V$8,Master!$U$2:$U$8,"")</f>
        <v/>
      </c>
      <c r="I146" s="4" t="str">
        <f>_xlfn.IFNA(VLOOKUP(D146,Master!$I:$K,2,FALSE),"")</f>
        <v/>
      </c>
      <c r="J146" s="4" t="str">
        <f>_xlfn.IFNA(VLOOKUP(D146,Master!$I:$K,3,FALSE),"")</f>
        <v/>
      </c>
      <c r="L146" s="27" t="str">
        <f>IF(A146&lt;&gt;"CFA",_xlfn.IFNA(VLOOKUP($G146,Master!$V$2:$Z$8,5,0),""),"")</f>
        <v/>
      </c>
      <c r="P146" s="6" t="str">
        <f t="shared" si="4"/>
        <v/>
      </c>
      <c r="Q146" s="13">
        <f t="shared" si="5"/>
        <v>0</v>
      </c>
    </row>
    <row r="147" spans="2:17" ht="15" customHeight="1">
      <c r="B147" s="5" t="str">
        <f>_xlfn.IFNA(VLOOKUP(C147,Master!$H:$I,2,FALSE),"")</f>
        <v/>
      </c>
      <c r="D147" s="5" t="str">
        <f>_xlfn.IFNA(VLOOKUP(E147,Master!$H:$I,2,FALSE),"")</f>
        <v/>
      </c>
      <c r="F147" s="26" t="str">
        <f>+_xlfn.XLOOKUP(G147,Master!$V$2:$V$8,Master!$U$2:$U$8,"")</f>
        <v/>
      </c>
      <c r="I147" s="4" t="str">
        <f>_xlfn.IFNA(VLOOKUP(D147,Master!$I:$K,2,FALSE),"")</f>
        <v/>
      </c>
      <c r="J147" s="4" t="str">
        <f>_xlfn.IFNA(VLOOKUP(D147,Master!$I:$K,3,FALSE),"")</f>
        <v/>
      </c>
      <c r="L147" s="27" t="str">
        <f>IF(A147&lt;&gt;"CFA",_xlfn.IFNA(VLOOKUP($G147,Master!$V$2:$Z$8,5,0),""),"")</f>
        <v/>
      </c>
      <c r="P147" s="6" t="str">
        <f t="shared" si="4"/>
        <v/>
      </c>
      <c r="Q147" s="13">
        <f t="shared" si="5"/>
        <v>0</v>
      </c>
    </row>
    <row r="148" spans="2:17" ht="15" customHeight="1">
      <c r="B148" s="5" t="str">
        <f>_xlfn.IFNA(VLOOKUP(C148,Master!$H:$I,2,FALSE),"")</f>
        <v/>
      </c>
      <c r="D148" s="5" t="str">
        <f>_xlfn.IFNA(VLOOKUP(E148,Master!$H:$I,2,FALSE),"")</f>
        <v/>
      </c>
      <c r="F148" s="26" t="str">
        <f>+_xlfn.XLOOKUP(G148,Master!$V$2:$V$8,Master!$U$2:$U$8,"")</f>
        <v/>
      </c>
      <c r="I148" s="4" t="str">
        <f>_xlfn.IFNA(VLOOKUP(D148,Master!$I:$K,2,FALSE),"")</f>
        <v/>
      </c>
      <c r="J148" s="4" t="str">
        <f>_xlfn.IFNA(VLOOKUP(D148,Master!$I:$K,3,FALSE),"")</f>
        <v/>
      </c>
      <c r="L148" s="27" t="str">
        <f>IF(A148&lt;&gt;"CFA",_xlfn.IFNA(VLOOKUP($G148,Master!$V$2:$Z$8,5,0),""),"")</f>
        <v/>
      </c>
      <c r="P148" s="6" t="str">
        <f t="shared" si="4"/>
        <v/>
      </c>
      <c r="Q148" s="13">
        <f t="shared" si="5"/>
        <v>0</v>
      </c>
    </row>
    <row r="149" spans="2:17" ht="15" customHeight="1">
      <c r="B149" s="5" t="str">
        <f>_xlfn.IFNA(VLOOKUP(C149,Master!$H:$I,2,FALSE),"")</f>
        <v/>
      </c>
      <c r="D149" s="5" t="str">
        <f>_xlfn.IFNA(VLOOKUP(E149,Master!$H:$I,2,FALSE),"")</f>
        <v/>
      </c>
      <c r="F149" s="26" t="str">
        <f>+_xlfn.XLOOKUP(G149,Master!$V$2:$V$8,Master!$U$2:$U$8,"")</f>
        <v/>
      </c>
      <c r="I149" s="4" t="str">
        <f>_xlfn.IFNA(VLOOKUP(D149,Master!$I:$K,2,FALSE),"")</f>
        <v/>
      </c>
      <c r="J149" s="4" t="str">
        <f>_xlfn.IFNA(VLOOKUP(D149,Master!$I:$K,3,FALSE),"")</f>
        <v/>
      </c>
      <c r="L149" s="27" t="str">
        <f>IF(A149&lt;&gt;"CFA",_xlfn.IFNA(VLOOKUP($G149,Master!$V$2:$Z$8,5,0),""),"")</f>
        <v/>
      </c>
      <c r="P149" s="6" t="str">
        <f t="shared" si="4"/>
        <v/>
      </c>
      <c r="Q149" s="13">
        <f t="shared" si="5"/>
        <v>0</v>
      </c>
    </row>
    <row r="150" spans="2:17" ht="15" customHeight="1">
      <c r="B150" s="5" t="str">
        <f>_xlfn.IFNA(VLOOKUP(C150,Master!$H:$I,2,FALSE),"")</f>
        <v/>
      </c>
      <c r="D150" s="5" t="str">
        <f>_xlfn.IFNA(VLOOKUP(E150,Master!$H:$I,2,FALSE),"")</f>
        <v/>
      </c>
      <c r="F150" s="26" t="str">
        <f>+_xlfn.XLOOKUP(G150,Master!$V$2:$V$8,Master!$U$2:$U$8,"")</f>
        <v/>
      </c>
      <c r="I150" s="4" t="str">
        <f>_xlfn.IFNA(VLOOKUP(D150,Master!$I:$K,2,FALSE),"")</f>
        <v/>
      </c>
      <c r="J150" s="4" t="str">
        <f>_xlfn.IFNA(VLOOKUP(D150,Master!$I:$K,3,FALSE),"")</f>
        <v/>
      </c>
      <c r="L150" s="27" t="str">
        <f>IF(A150&lt;&gt;"CFA",_xlfn.IFNA(VLOOKUP($G150,Master!$V$2:$Z$8,5,0),""),"")</f>
        <v/>
      </c>
      <c r="P150" s="6" t="str">
        <f t="shared" si="4"/>
        <v/>
      </c>
      <c r="Q150" s="13">
        <f t="shared" si="5"/>
        <v>0</v>
      </c>
    </row>
    <row r="151" spans="2:17" ht="15" customHeight="1">
      <c r="B151" s="5" t="str">
        <f>_xlfn.IFNA(VLOOKUP(C151,Master!$H:$I,2,FALSE),"")</f>
        <v/>
      </c>
      <c r="D151" s="5" t="str">
        <f>_xlfn.IFNA(VLOOKUP(E151,Master!$H:$I,2,FALSE),"")</f>
        <v/>
      </c>
      <c r="F151" s="26" t="str">
        <f>+_xlfn.XLOOKUP(G151,Master!$V$2:$V$8,Master!$U$2:$U$8,"")</f>
        <v/>
      </c>
      <c r="I151" s="4" t="str">
        <f>_xlfn.IFNA(VLOOKUP(D151,Master!$I:$K,2,FALSE),"")</f>
        <v/>
      </c>
      <c r="J151" s="4" t="str">
        <f>_xlfn.IFNA(VLOOKUP(D151,Master!$I:$K,3,FALSE),"")</f>
        <v/>
      </c>
      <c r="L151" s="27" t="str">
        <f>IF(A151&lt;&gt;"CFA",_xlfn.IFNA(VLOOKUP($G151,Master!$V$2:$Z$8,5,0),""),"")</f>
        <v/>
      </c>
      <c r="P151" s="6" t="str">
        <f t="shared" si="4"/>
        <v/>
      </c>
      <c r="Q151" s="13">
        <f t="shared" si="5"/>
        <v>0</v>
      </c>
    </row>
    <row r="152" spans="2:17" ht="15" customHeight="1">
      <c r="B152" s="5" t="str">
        <f>_xlfn.IFNA(VLOOKUP(C152,Master!$H:$I,2,FALSE),"")</f>
        <v/>
      </c>
      <c r="D152" s="5" t="str">
        <f>_xlfn.IFNA(VLOOKUP(E152,Master!$H:$I,2,FALSE),"")</f>
        <v/>
      </c>
      <c r="F152" s="26" t="str">
        <f>+_xlfn.XLOOKUP(G152,Master!$V$2:$V$8,Master!$U$2:$U$8,"")</f>
        <v/>
      </c>
      <c r="I152" s="4" t="str">
        <f>_xlfn.IFNA(VLOOKUP(D152,Master!$I:$K,2,FALSE),"")</f>
        <v/>
      </c>
      <c r="J152" s="4" t="str">
        <f>_xlfn.IFNA(VLOOKUP(D152,Master!$I:$K,3,FALSE),"")</f>
        <v/>
      </c>
      <c r="L152" s="27" t="str">
        <f>IF(A152&lt;&gt;"CFA",_xlfn.IFNA(VLOOKUP($G152,Master!$V$2:$Z$8,5,0),""),"")</f>
        <v/>
      </c>
      <c r="P152" s="6" t="str">
        <f t="shared" si="4"/>
        <v/>
      </c>
      <c r="Q152" s="13">
        <f t="shared" si="5"/>
        <v>0</v>
      </c>
    </row>
    <row r="153" spans="2:17" ht="15" customHeight="1">
      <c r="B153" s="5" t="str">
        <f>_xlfn.IFNA(VLOOKUP(C153,Master!$H:$I,2,FALSE),"")</f>
        <v/>
      </c>
      <c r="D153" s="5" t="str">
        <f>_xlfn.IFNA(VLOOKUP(E153,Master!$H:$I,2,FALSE),"")</f>
        <v/>
      </c>
      <c r="F153" s="26" t="str">
        <f>+_xlfn.XLOOKUP(G153,Master!$V$2:$V$8,Master!$U$2:$U$8,"")</f>
        <v/>
      </c>
      <c r="I153" s="4" t="str">
        <f>_xlfn.IFNA(VLOOKUP(D153,Master!$I:$K,2,FALSE),"")</f>
        <v/>
      </c>
      <c r="J153" s="4" t="str">
        <f>_xlfn.IFNA(VLOOKUP(D153,Master!$I:$K,3,FALSE),"")</f>
        <v/>
      </c>
      <c r="L153" s="27" t="str">
        <f>IF(A153&lt;&gt;"CFA",_xlfn.IFNA(VLOOKUP($G153,Master!$V$2:$Z$8,5,0),""),"")</f>
        <v/>
      </c>
      <c r="P153" s="6" t="str">
        <f t="shared" si="4"/>
        <v/>
      </c>
      <c r="Q153" s="13">
        <f t="shared" si="5"/>
        <v>0</v>
      </c>
    </row>
    <row r="154" spans="2:17" ht="15" customHeight="1">
      <c r="B154" s="5" t="str">
        <f>_xlfn.IFNA(VLOOKUP(C154,Master!$H:$I,2,FALSE),"")</f>
        <v/>
      </c>
      <c r="D154" s="5" t="str">
        <f>_xlfn.IFNA(VLOOKUP(E154,Master!$H:$I,2,FALSE),"")</f>
        <v/>
      </c>
      <c r="F154" s="26" t="str">
        <f>+_xlfn.XLOOKUP(G154,Master!$V$2:$V$8,Master!$U$2:$U$8,"")</f>
        <v/>
      </c>
      <c r="I154" s="4" t="str">
        <f>_xlfn.IFNA(VLOOKUP(D154,Master!$I:$K,2,FALSE),"")</f>
        <v/>
      </c>
      <c r="J154" s="4" t="str">
        <f>_xlfn.IFNA(VLOOKUP(D154,Master!$I:$K,3,FALSE),"")</f>
        <v/>
      </c>
      <c r="L154" s="27" t="str">
        <f>IF(A154&lt;&gt;"CFA",_xlfn.IFNA(VLOOKUP($G154,Master!$V$2:$Z$8,5,0),""),"")</f>
        <v/>
      </c>
      <c r="P154" s="6" t="str">
        <f t="shared" si="4"/>
        <v/>
      </c>
      <c r="Q154" s="13">
        <f t="shared" si="5"/>
        <v>0</v>
      </c>
    </row>
    <row r="155" spans="2:17" ht="15" customHeight="1">
      <c r="B155" s="5" t="str">
        <f>_xlfn.IFNA(VLOOKUP(C155,Master!$H:$I,2,FALSE),"")</f>
        <v/>
      </c>
      <c r="D155" s="5" t="str">
        <f>_xlfn.IFNA(VLOOKUP(E155,Master!$H:$I,2,FALSE),"")</f>
        <v/>
      </c>
      <c r="F155" s="26" t="str">
        <f>+_xlfn.XLOOKUP(G155,Master!$V$2:$V$8,Master!$U$2:$U$8,"")</f>
        <v/>
      </c>
      <c r="I155" s="4" t="str">
        <f>_xlfn.IFNA(VLOOKUP(D155,Master!$I:$K,2,FALSE),"")</f>
        <v/>
      </c>
      <c r="J155" s="4" t="str">
        <f>_xlfn.IFNA(VLOOKUP(D155,Master!$I:$K,3,FALSE),"")</f>
        <v/>
      </c>
      <c r="L155" s="27" t="str">
        <f>IF(A155&lt;&gt;"CFA",_xlfn.IFNA(VLOOKUP($G155,Master!$V$2:$Z$8,5,0),""),"")</f>
        <v/>
      </c>
      <c r="P155" s="6" t="str">
        <f t="shared" si="4"/>
        <v/>
      </c>
      <c r="Q155" s="13">
        <f t="shared" si="5"/>
        <v>0</v>
      </c>
    </row>
    <row r="156" spans="2:17" ht="15" customHeight="1">
      <c r="B156" s="5" t="str">
        <f>_xlfn.IFNA(VLOOKUP(C156,Master!$H:$I,2,FALSE),"")</f>
        <v/>
      </c>
      <c r="D156" s="5" t="str">
        <f>_xlfn.IFNA(VLOOKUP(E156,Master!$H:$I,2,FALSE),"")</f>
        <v/>
      </c>
      <c r="F156" s="26" t="str">
        <f>+_xlfn.XLOOKUP(G156,Master!$V$2:$V$8,Master!$U$2:$U$8,"")</f>
        <v/>
      </c>
      <c r="I156" s="4" t="str">
        <f>_xlfn.IFNA(VLOOKUP(D156,Master!$I:$K,2,FALSE),"")</f>
        <v/>
      </c>
      <c r="J156" s="4" t="str">
        <f>_xlfn.IFNA(VLOOKUP(D156,Master!$I:$K,3,FALSE),"")</f>
        <v/>
      </c>
      <c r="L156" s="27" t="str">
        <f>IF(A156&lt;&gt;"CFA",_xlfn.IFNA(VLOOKUP($G156,Master!$V$2:$Z$8,5,0),""),"")</f>
        <v/>
      </c>
      <c r="P156" s="6" t="str">
        <f t="shared" si="4"/>
        <v/>
      </c>
      <c r="Q156" s="13">
        <f t="shared" si="5"/>
        <v>0</v>
      </c>
    </row>
    <row r="157" spans="2:17" ht="15" customHeight="1">
      <c r="B157" s="5" t="str">
        <f>_xlfn.IFNA(VLOOKUP(C157,Master!$H:$I,2,FALSE),"")</f>
        <v/>
      </c>
      <c r="D157" s="5" t="str">
        <f>_xlfn.IFNA(VLOOKUP(E157,Master!$H:$I,2,FALSE),"")</f>
        <v/>
      </c>
      <c r="F157" s="26" t="str">
        <f>+_xlfn.XLOOKUP(G157,Master!$V$2:$V$8,Master!$U$2:$U$8,"")</f>
        <v/>
      </c>
      <c r="I157" s="4" t="str">
        <f>_xlfn.IFNA(VLOOKUP(D157,Master!$I:$K,2,FALSE),"")</f>
        <v/>
      </c>
      <c r="J157" s="4" t="str">
        <f>_xlfn.IFNA(VLOOKUP(D157,Master!$I:$K,3,FALSE),"")</f>
        <v/>
      </c>
      <c r="L157" s="27" t="str">
        <f>IF(A157&lt;&gt;"CFA",_xlfn.IFNA(VLOOKUP($G157,Master!$V$2:$Z$8,5,0),""),"")</f>
        <v/>
      </c>
      <c r="P157" s="6" t="str">
        <f t="shared" si="4"/>
        <v/>
      </c>
      <c r="Q157" s="13">
        <f t="shared" si="5"/>
        <v>0</v>
      </c>
    </row>
    <row r="158" spans="2:17" ht="15" customHeight="1">
      <c r="B158" s="5" t="str">
        <f>_xlfn.IFNA(VLOOKUP(C158,Master!$H:$I,2,FALSE),"")</f>
        <v/>
      </c>
      <c r="D158" s="5" t="str">
        <f>_xlfn.IFNA(VLOOKUP(E158,Master!$H:$I,2,FALSE),"")</f>
        <v/>
      </c>
      <c r="F158" s="26" t="str">
        <f>+_xlfn.XLOOKUP(G158,Master!$V$2:$V$8,Master!$U$2:$U$8,"")</f>
        <v/>
      </c>
      <c r="I158" s="4" t="str">
        <f>_xlfn.IFNA(VLOOKUP(D158,Master!$I:$K,2,FALSE),"")</f>
        <v/>
      </c>
      <c r="J158" s="4" t="str">
        <f>_xlfn.IFNA(VLOOKUP(D158,Master!$I:$K,3,FALSE),"")</f>
        <v/>
      </c>
      <c r="L158" s="27" t="str">
        <f>IF(A158&lt;&gt;"CFA",_xlfn.IFNA(VLOOKUP($G158,Master!$V$2:$Z$8,5,0),""),"")</f>
        <v/>
      </c>
      <c r="P158" s="6" t="str">
        <f t="shared" si="4"/>
        <v/>
      </c>
      <c r="Q158" s="13">
        <f t="shared" si="5"/>
        <v>0</v>
      </c>
    </row>
    <row r="159" spans="2:17" ht="15" customHeight="1">
      <c r="B159" s="5" t="str">
        <f>_xlfn.IFNA(VLOOKUP(C159,Master!$H:$I,2,FALSE),"")</f>
        <v/>
      </c>
      <c r="D159" s="5" t="str">
        <f>_xlfn.IFNA(VLOOKUP(E159,Master!$H:$I,2,FALSE),"")</f>
        <v/>
      </c>
      <c r="F159" s="26" t="str">
        <f>+_xlfn.XLOOKUP(G159,Master!$V$2:$V$8,Master!$U$2:$U$8,"")</f>
        <v/>
      </c>
      <c r="I159" s="4" t="str">
        <f>_xlfn.IFNA(VLOOKUP(D159,Master!$I:$K,2,FALSE),"")</f>
        <v/>
      </c>
      <c r="J159" s="4" t="str">
        <f>_xlfn.IFNA(VLOOKUP(D159,Master!$I:$K,3,FALSE),"")</f>
        <v/>
      </c>
      <c r="L159" s="27" t="str">
        <f>IF(A159&lt;&gt;"CFA",_xlfn.IFNA(VLOOKUP($G159,Master!$V$2:$Z$8,5,0),""),"")</f>
        <v/>
      </c>
      <c r="P159" s="6" t="str">
        <f t="shared" si="4"/>
        <v/>
      </c>
      <c r="Q159" s="13">
        <f t="shared" si="5"/>
        <v>0</v>
      </c>
    </row>
    <row r="160" spans="2:17" ht="15" customHeight="1">
      <c r="B160" s="5" t="str">
        <f>_xlfn.IFNA(VLOOKUP(C160,Master!$H:$I,2,FALSE),"")</f>
        <v/>
      </c>
      <c r="D160" s="5" t="str">
        <f>_xlfn.IFNA(VLOOKUP(E160,Master!$H:$I,2,FALSE),"")</f>
        <v/>
      </c>
      <c r="F160" s="26" t="str">
        <f>+_xlfn.XLOOKUP(G160,Master!$V$2:$V$8,Master!$U$2:$U$8,"")</f>
        <v/>
      </c>
      <c r="I160" s="4" t="str">
        <f>_xlfn.IFNA(VLOOKUP(D160,Master!$I:$K,2,FALSE),"")</f>
        <v/>
      </c>
      <c r="J160" s="4" t="str">
        <f>_xlfn.IFNA(VLOOKUP(D160,Master!$I:$K,3,FALSE),"")</f>
        <v/>
      </c>
      <c r="L160" s="27" t="str">
        <f>IF(A160&lt;&gt;"CFA",_xlfn.IFNA(VLOOKUP($G160,Master!$V$2:$Z$8,5,0),""),"")</f>
        <v/>
      </c>
      <c r="P160" s="6" t="str">
        <f t="shared" si="4"/>
        <v/>
      </c>
      <c r="Q160" s="13">
        <f t="shared" si="5"/>
        <v>0</v>
      </c>
    </row>
    <row r="161" spans="2:17" ht="15" customHeight="1">
      <c r="B161" s="5" t="str">
        <f>_xlfn.IFNA(VLOOKUP(C161,Master!$H:$I,2,FALSE),"")</f>
        <v/>
      </c>
      <c r="D161" s="5" t="str">
        <f>_xlfn.IFNA(VLOOKUP(E161,Master!$H:$I,2,FALSE),"")</f>
        <v/>
      </c>
      <c r="F161" s="26" t="str">
        <f>+_xlfn.XLOOKUP(G161,Master!$V$2:$V$8,Master!$U$2:$U$8,"")</f>
        <v/>
      </c>
      <c r="I161" s="4" t="str">
        <f>_xlfn.IFNA(VLOOKUP(D161,Master!$I:$K,2,FALSE),"")</f>
        <v/>
      </c>
      <c r="J161" s="4" t="str">
        <f>_xlfn.IFNA(VLOOKUP(D161,Master!$I:$K,3,FALSE),"")</f>
        <v/>
      </c>
      <c r="L161" s="27" t="str">
        <f>IF(A161&lt;&gt;"CFA",_xlfn.IFNA(VLOOKUP($G161,Master!$V$2:$Z$8,5,0),""),"")</f>
        <v/>
      </c>
      <c r="P161" s="6" t="str">
        <f t="shared" si="4"/>
        <v/>
      </c>
      <c r="Q161" s="13">
        <f t="shared" si="5"/>
        <v>0</v>
      </c>
    </row>
    <row r="162" spans="2:17" ht="15" customHeight="1">
      <c r="B162" s="5" t="str">
        <f>_xlfn.IFNA(VLOOKUP(C162,Master!$H:$I,2,FALSE),"")</f>
        <v/>
      </c>
      <c r="D162" s="5" t="str">
        <f>_xlfn.IFNA(VLOOKUP(E162,Master!$H:$I,2,FALSE),"")</f>
        <v/>
      </c>
      <c r="F162" s="26" t="str">
        <f>+_xlfn.XLOOKUP(G162,Master!$V$2:$V$8,Master!$U$2:$U$8,"")</f>
        <v/>
      </c>
      <c r="I162" s="4" t="str">
        <f>_xlfn.IFNA(VLOOKUP(D162,Master!$I:$K,2,FALSE),"")</f>
        <v/>
      </c>
      <c r="J162" s="4" t="str">
        <f>_xlfn.IFNA(VLOOKUP(D162,Master!$I:$K,3,FALSE),"")</f>
        <v/>
      </c>
      <c r="L162" s="27" t="str">
        <f>IF(A162&lt;&gt;"CFA",_xlfn.IFNA(VLOOKUP($G162,Master!$V$2:$Z$8,5,0),""),"")</f>
        <v/>
      </c>
      <c r="P162" s="6" t="str">
        <f t="shared" si="4"/>
        <v/>
      </c>
      <c r="Q162" s="13">
        <f t="shared" si="5"/>
        <v>0</v>
      </c>
    </row>
    <row r="163" spans="2:17" ht="15" customHeight="1">
      <c r="B163" s="5" t="str">
        <f>_xlfn.IFNA(VLOOKUP(C163,Master!$H:$I,2,FALSE),"")</f>
        <v/>
      </c>
      <c r="D163" s="5" t="str">
        <f>_xlfn.IFNA(VLOOKUP(E163,Master!$H:$I,2,FALSE),"")</f>
        <v/>
      </c>
      <c r="F163" s="26" t="str">
        <f>+_xlfn.XLOOKUP(G163,Master!$V$2:$V$8,Master!$U$2:$U$8,"")</f>
        <v/>
      </c>
      <c r="I163" s="4" t="str">
        <f>_xlfn.IFNA(VLOOKUP(D163,Master!$I:$K,2,FALSE),"")</f>
        <v/>
      </c>
      <c r="J163" s="4" t="str">
        <f>_xlfn.IFNA(VLOOKUP(D163,Master!$I:$K,3,FALSE),"")</f>
        <v/>
      </c>
      <c r="L163" s="27" t="str">
        <f>IF(A163&lt;&gt;"CFA",_xlfn.IFNA(VLOOKUP($G163,Master!$V$2:$Z$8,5,0),""),"")</f>
        <v/>
      </c>
      <c r="P163" s="6" t="str">
        <f t="shared" si="4"/>
        <v/>
      </c>
      <c r="Q163" s="13">
        <f t="shared" si="5"/>
        <v>0</v>
      </c>
    </row>
    <row r="164" spans="2:17" ht="15" customHeight="1">
      <c r="B164" s="5" t="str">
        <f>_xlfn.IFNA(VLOOKUP(C164,Master!$H:$I,2,FALSE),"")</f>
        <v/>
      </c>
      <c r="D164" s="5" t="str">
        <f>_xlfn.IFNA(VLOOKUP(E164,Master!$H:$I,2,FALSE),"")</f>
        <v/>
      </c>
      <c r="F164" s="26" t="str">
        <f>+_xlfn.XLOOKUP(G164,Master!$V$2:$V$8,Master!$U$2:$U$8,"")</f>
        <v/>
      </c>
      <c r="I164" s="4" t="str">
        <f>_xlfn.IFNA(VLOOKUP(D164,Master!$I:$K,2,FALSE),"")</f>
        <v/>
      </c>
      <c r="J164" s="4" t="str">
        <f>_xlfn.IFNA(VLOOKUP(D164,Master!$I:$K,3,FALSE),"")</f>
        <v/>
      </c>
      <c r="L164" s="27" t="str">
        <f>IF(A164&lt;&gt;"CFA",_xlfn.IFNA(VLOOKUP($G164,Master!$V$2:$Z$8,5,0),""),"")</f>
        <v/>
      </c>
      <c r="P164" s="6" t="str">
        <f t="shared" si="4"/>
        <v/>
      </c>
      <c r="Q164" s="13">
        <f t="shared" si="5"/>
        <v>0</v>
      </c>
    </row>
    <row r="165" spans="2:17" ht="15" customHeight="1">
      <c r="B165" s="5" t="str">
        <f>_xlfn.IFNA(VLOOKUP(C165,Master!$H:$I,2,FALSE),"")</f>
        <v/>
      </c>
      <c r="D165" s="5" t="str">
        <f>_xlfn.IFNA(VLOOKUP(E165,Master!$H:$I,2,FALSE),"")</f>
        <v/>
      </c>
      <c r="F165" s="26" t="str">
        <f>+_xlfn.XLOOKUP(G165,Master!$V$2:$V$8,Master!$U$2:$U$8,"")</f>
        <v/>
      </c>
      <c r="I165" s="4" t="str">
        <f>_xlfn.IFNA(VLOOKUP(D165,Master!$I:$K,2,FALSE),"")</f>
        <v/>
      </c>
      <c r="J165" s="4" t="str">
        <f>_xlfn.IFNA(VLOOKUP(D165,Master!$I:$K,3,FALSE),"")</f>
        <v/>
      </c>
      <c r="L165" s="27" t="str">
        <f>IF(A165&lt;&gt;"CFA",_xlfn.IFNA(VLOOKUP($G165,Master!$V$2:$Z$8,5,0),""),"")</f>
        <v/>
      </c>
      <c r="P165" s="6" t="str">
        <f t="shared" si="4"/>
        <v/>
      </c>
      <c r="Q165" s="13">
        <f t="shared" si="5"/>
        <v>0</v>
      </c>
    </row>
    <row r="166" spans="2:17" ht="15" customHeight="1">
      <c r="B166" s="5" t="str">
        <f>_xlfn.IFNA(VLOOKUP(C166,Master!$H:$I,2,FALSE),"")</f>
        <v/>
      </c>
      <c r="D166" s="5" t="str">
        <f>_xlfn.IFNA(VLOOKUP(E166,Master!$H:$I,2,FALSE),"")</f>
        <v/>
      </c>
      <c r="F166" s="26" t="str">
        <f>+_xlfn.XLOOKUP(G166,Master!$V$2:$V$8,Master!$U$2:$U$8,"")</f>
        <v/>
      </c>
      <c r="I166" s="4" t="str">
        <f>_xlfn.IFNA(VLOOKUP(D166,Master!$I:$K,2,FALSE),"")</f>
        <v/>
      </c>
      <c r="J166" s="4" t="str">
        <f>_xlfn.IFNA(VLOOKUP(D166,Master!$I:$K,3,FALSE),"")</f>
        <v/>
      </c>
      <c r="L166" s="27" t="str">
        <f>IF(A166&lt;&gt;"CFA",_xlfn.IFNA(VLOOKUP($G166,Master!$V$2:$Z$8,5,0),""),"")</f>
        <v/>
      </c>
      <c r="P166" s="6" t="str">
        <f t="shared" si="4"/>
        <v/>
      </c>
      <c r="Q166" s="13">
        <f t="shared" si="5"/>
        <v>0</v>
      </c>
    </row>
    <row r="167" spans="2:17" ht="15" customHeight="1">
      <c r="B167" s="5" t="str">
        <f>_xlfn.IFNA(VLOOKUP(C167,Master!$H:$I,2,FALSE),"")</f>
        <v/>
      </c>
      <c r="D167" s="5" t="str">
        <f>_xlfn.IFNA(VLOOKUP(E167,Master!$H:$I,2,FALSE),"")</f>
        <v/>
      </c>
      <c r="F167" s="26" t="str">
        <f>+_xlfn.XLOOKUP(G167,Master!$V$2:$V$8,Master!$U$2:$U$8,"")</f>
        <v/>
      </c>
      <c r="I167" s="4" t="str">
        <f>_xlfn.IFNA(VLOOKUP(D167,Master!$I:$K,2,FALSE),"")</f>
        <v/>
      </c>
      <c r="J167" s="4" t="str">
        <f>_xlfn.IFNA(VLOOKUP(D167,Master!$I:$K,3,FALSE),"")</f>
        <v/>
      </c>
      <c r="L167" s="27" t="str">
        <f>IF(A167&lt;&gt;"CFA",_xlfn.IFNA(VLOOKUP($G167,Master!$V$2:$Z$8,5,0),""),"")</f>
        <v/>
      </c>
      <c r="P167" s="6" t="str">
        <f t="shared" si="4"/>
        <v/>
      </c>
      <c r="Q167" s="13">
        <f t="shared" si="5"/>
        <v>0</v>
      </c>
    </row>
    <row r="168" spans="2:17" ht="15" customHeight="1">
      <c r="B168" s="5" t="str">
        <f>_xlfn.IFNA(VLOOKUP(C168,Master!$H:$I,2,FALSE),"")</f>
        <v/>
      </c>
      <c r="D168" s="5" t="str">
        <f>_xlfn.IFNA(VLOOKUP(E168,Master!$H:$I,2,FALSE),"")</f>
        <v/>
      </c>
      <c r="F168" s="26" t="str">
        <f>+_xlfn.XLOOKUP(G168,Master!$V$2:$V$8,Master!$U$2:$U$8,"")</f>
        <v/>
      </c>
      <c r="I168" s="4" t="str">
        <f>_xlfn.IFNA(VLOOKUP(D168,Master!$I:$K,2,FALSE),"")</f>
        <v/>
      </c>
      <c r="J168" s="4" t="str">
        <f>_xlfn.IFNA(VLOOKUP(D168,Master!$I:$K,3,FALSE),"")</f>
        <v/>
      </c>
      <c r="L168" s="27" t="str">
        <f>IF(A168&lt;&gt;"CFA",_xlfn.IFNA(VLOOKUP($G168,Master!$V$2:$Z$8,5,0),""),"")</f>
        <v/>
      </c>
      <c r="P168" s="6" t="str">
        <f t="shared" si="4"/>
        <v/>
      </c>
      <c r="Q168" s="13">
        <f t="shared" si="5"/>
        <v>0</v>
      </c>
    </row>
    <row r="169" spans="2:17" ht="15" customHeight="1">
      <c r="B169" s="5" t="str">
        <f>_xlfn.IFNA(VLOOKUP(C169,Master!$H:$I,2,FALSE),"")</f>
        <v/>
      </c>
      <c r="D169" s="5" t="str">
        <f>_xlfn.IFNA(VLOOKUP(E169,Master!$H:$I,2,FALSE),"")</f>
        <v/>
      </c>
      <c r="F169" s="26" t="str">
        <f>+_xlfn.XLOOKUP(G169,Master!$V$2:$V$8,Master!$U$2:$U$8,"")</f>
        <v/>
      </c>
      <c r="I169" s="4" t="str">
        <f>_xlfn.IFNA(VLOOKUP(D169,Master!$I:$K,2,FALSE),"")</f>
        <v/>
      </c>
      <c r="J169" s="4" t="str">
        <f>_xlfn.IFNA(VLOOKUP(D169,Master!$I:$K,3,FALSE),"")</f>
        <v/>
      </c>
      <c r="L169" s="27" t="str">
        <f>IF(A169&lt;&gt;"CFA",_xlfn.IFNA(VLOOKUP($G169,Master!$V$2:$Z$8,5,0),""),"")</f>
        <v/>
      </c>
      <c r="P169" s="6" t="str">
        <f t="shared" si="4"/>
        <v/>
      </c>
      <c r="Q169" s="13">
        <f t="shared" si="5"/>
        <v>0</v>
      </c>
    </row>
    <row r="170" spans="2:17" ht="15" customHeight="1">
      <c r="B170" s="5" t="str">
        <f>_xlfn.IFNA(VLOOKUP(C170,Master!$H:$I,2,FALSE),"")</f>
        <v/>
      </c>
      <c r="D170" s="5" t="str">
        <f>_xlfn.IFNA(VLOOKUP(E170,Master!$H:$I,2,FALSE),"")</f>
        <v/>
      </c>
      <c r="F170" s="26" t="str">
        <f>+_xlfn.XLOOKUP(G170,Master!$V$2:$V$8,Master!$U$2:$U$8,"")</f>
        <v/>
      </c>
      <c r="I170" s="4" t="str">
        <f>_xlfn.IFNA(VLOOKUP(D170,Master!$I:$K,2,FALSE),"")</f>
        <v/>
      </c>
      <c r="J170" s="4" t="str">
        <f>_xlfn.IFNA(VLOOKUP(D170,Master!$I:$K,3,FALSE),"")</f>
        <v/>
      </c>
      <c r="L170" s="27" t="str">
        <f>IF(A170&lt;&gt;"CFA",_xlfn.IFNA(VLOOKUP($G170,Master!$V$2:$Z$8,5,0),""),"")</f>
        <v/>
      </c>
      <c r="P170" s="6" t="str">
        <f t="shared" si="4"/>
        <v/>
      </c>
      <c r="Q170" s="13">
        <f t="shared" si="5"/>
        <v>0</v>
      </c>
    </row>
    <row r="171" spans="2:17" ht="15" customHeight="1">
      <c r="B171" s="5" t="str">
        <f>_xlfn.IFNA(VLOOKUP(C171,Master!$H:$I,2,FALSE),"")</f>
        <v/>
      </c>
      <c r="D171" s="5" t="str">
        <f>_xlfn.IFNA(VLOOKUP(E171,Master!$H:$I,2,FALSE),"")</f>
        <v/>
      </c>
      <c r="F171" s="26" t="str">
        <f>+_xlfn.XLOOKUP(G171,Master!$V$2:$V$8,Master!$U$2:$U$8,"")</f>
        <v/>
      </c>
      <c r="I171" s="4" t="str">
        <f>_xlfn.IFNA(VLOOKUP(D171,Master!$I:$K,2,FALSE),"")</f>
        <v/>
      </c>
      <c r="J171" s="4" t="str">
        <f>_xlfn.IFNA(VLOOKUP(D171,Master!$I:$K,3,FALSE),"")</f>
        <v/>
      </c>
      <c r="L171" s="27" t="str">
        <f>IF(A171&lt;&gt;"CFA",_xlfn.IFNA(VLOOKUP($G171,Master!$V$2:$Z$8,5,0),""),"")</f>
        <v/>
      </c>
      <c r="P171" s="6" t="str">
        <f t="shared" si="4"/>
        <v/>
      </c>
      <c r="Q171" s="13">
        <f t="shared" si="5"/>
        <v>0</v>
      </c>
    </row>
    <row r="172" spans="2:17" ht="15" customHeight="1">
      <c r="B172" s="5" t="str">
        <f>_xlfn.IFNA(VLOOKUP(C172,Master!$H:$I,2,FALSE),"")</f>
        <v/>
      </c>
      <c r="D172" s="5" t="str">
        <f>_xlfn.IFNA(VLOOKUP(E172,Master!$H:$I,2,FALSE),"")</f>
        <v/>
      </c>
      <c r="F172" s="26" t="str">
        <f>+_xlfn.XLOOKUP(G172,Master!$V$2:$V$8,Master!$U$2:$U$8,"")</f>
        <v/>
      </c>
      <c r="I172" s="4" t="str">
        <f>_xlfn.IFNA(VLOOKUP(D172,Master!$I:$K,2,FALSE),"")</f>
        <v/>
      </c>
      <c r="J172" s="4" t="str">
        <f>_xlfn.IFNA(VLOOKUP(D172,Master!$I:$K,3,FALSE),"")</f>
        <v/>
      </c>
      <c r="L172" s="27" t="str">
        <f>IF(A172&lt;&gt;"CFA",_xlfn.IFNA(VLOOKUP($G172,Master!$V$2:$Z$8,5,0),""),"")</f>
        <v/>
      </c>
      <c r="P172" s="6" t="str">
        <f t="shared" si="4"/>
        <v/>
      </c>
      <c r="Q172" s="13">
        <f t="shared" si="5"/>
        <v>0</v>
      </c>
    </row>
    <row r="173" spans="2:17" ht="15" customHeight="1">
      <c r="B173" s="5" t="str">
        <f>_xlfn.IFNA(VLOOKUP(C173,Master!$H:$I,2,FALSE),"")</f>
        <v/>
      </c>
      <c r="D173" s="5" t="str">
        <f>_xlfn.IFNA(VLOOKUP(E173,Master!$H:$I,2,FALSE),"")</f>
        <v/>
      </c>
      <c r="F173" s="26" t="str">
        <f>+_xlfn.XLOOKUP(G173,Master!$V$2:$V$8,Master!$U$2:$U$8,"")</f>
        <v/>
      </c>
      <c r="I173" s="4" t="str">
        <f>_xlfn.IFNA(VLOOKUP(D173,Master!$I:$K,2,FALSE),"")</f>
        <v/>
      </c>
      <c r="J173" s="4" t="str">
        <f>_xlfn.IFNA(VLOOKUP(D173,Master!$I:$K,3,FALSE),"")</f>
        <v/>
      </c>
      <c r="L173" s="27" t="str">
        <f>IF(A173&lt;&gt;"CFA",_xlfn.IFNA(VLOOKUP($G173,Master!$V$2:$Z$8,5,0),""),"")</f>
        <v/>
      </c>
      <c r="P173" s="6" t="str">
        <f t="shared" si="4"/>
        <v/>
      </c>
      <c r="Q173" s="13">
        <f t="shared" si="5"/>
        <v>0</v>
      </c>
    </row>
    <row r="174" spans="2:17" ht="15" customHeight="1">
      <c r="B174" s="5" t="str">
        <f>_xlfn.IFNA(VLOOKUP(C174,Master!$H:$I,2,FALSE),"")</f>
        <v/>
      </c>
      <c r="D174" s="5" t="str">
        <f>_xlfn.IFNA(VLOOKUP(E174,Master!$H:$I,2,FALSE),"")</f>
        <v/>
      </c>
      <c r="F174" s="26" t="str">
        <f>+_xlfn.XLOOKUP(G174,Master!$V$2:$V$8,Master!$U$2:$U$8,"")</f>
        <v/>
      </c>
      <c r="I174" s="4" t="str">
        <f>_xlfn.IFNA(VLOOKUP(D174,Master!$I:$K,2,FALSE),"")</f>
        <v/>
      </c>
      <c r="J174" s="4" t="str">
        <f>_xlfn.IFNA(VLOOKUP(D174,Master!$I:$K,3,FALSE),"")</f>
        <v/>
      </c>
      <c r="L174" s="27" t="str">
        <f>IF(A174&lt;&gt;"CFA",_xlfn.IFNA(VLOOKUP($G174,Master!$V$2:$Z$8,5,0),""),"")</f>
        <v/>
      </c>
      <c r="P174" s="6" t="str">
        <f t="shared" si="4"/>
        <v/>
      </c>
      <c r="Q174" s="13">
        <f t="shared" si="5"/>
        <v>0</v>
      </c>
    </row>
    <row r="175" spans="2:17" ht="15" customHeight="1">
      <c r="B175" s="5" t="str">
        <f>_xlfn.IFNA(VLOOKUP(C175,Master!$H:$I,2,FALSE),"")</f>
        <v/>
      </c>
      <c r="D175" s="5" t="str">
        <f>_xlfn.IFNA(VLOOKUP(E175,Master!$H:$I,2,FALSE),"")</f>
        <v/>
      </c>
      <c r="F175" s="26" t="str">
        <f>+_xlfn.XLOOKUP(G175,Master!$V$2:$V$8,Master!$U$2:$U$8,"")</f>
        <v/>
      </c>
      <c r="I175" s="4" t="str">
        <f>_xlfn.IFNA(VLOOKUP(D175,Master!$I:$K,2,FALSE),"")</f>
        <v/>
      </c>
      <c r="J175" s="4" t="str">
        <f>_xlfn.IFNA(VLOOKUP(D175,Master!$I:$K,3,FALSE),"")</f>
        <v/>
      </c>
      <c r="L175" s="27" t="str">
        <f>IF(A175&lt;&gt;"CFA",_xlfn.IFNA(VLOOKUP($G175,Master!$V$2:$Z$8,5,0),""),"")</f>
        <v/>
      </c>
      <c r="P175" s="6" t="str">
        <f t="shared" si="4"/>
        <v/>
      </c>
      <c r="Q175" s="13">
        <f t="shared" si="5"/>
        <v>0</v>
      </c>
    </row>
    <row r="176" spans="2:17" ht="15" customHeight="1">
      <c r="B176" s="5" t="str">
        <f>_xlfn.IFNA(VLOOKUP(C176,Master!$H:$I,2,FALSE),"")</f>
        <v/>
      </c>
      <c r="D176" s="5" t="str">
        <f>_xlfn.IFNA(VLOOKUP(E176,Master!$H:$I,2,FALSE),"")</f>
        <v/>
      </c>
      <c r="F176" s="26" t="str">
        <f>+_xlfn.XLOOKUP(G176,Master!$V$2:$V$8,Master!$U$2:$U$8,"")</f>
        <v/>
      </c>
      <c r="I176" s="4" t="str">
        <f>_xlfn.IFNA(VLOOKUP(D176,Master!$I:$K,2,FALSE),"")</f>
        <v/>
      </c>
      <c r="J176" s="4" t="str">
        <f>_xlfn.IFNA(VLOOKUP(D176,Master!$I:$K,3,FALSE),"")</f>
        <v/>
      </c>
      <c r="L176" s="27" t="str">
        <f>IF(A176&lt;&gt;"CFA",_xlfn.IFNA(VLOOKUP($G176,Master!$V$2:$Z$8,5,0),""),"")</f>
        <v/>
      </c>
      <c r="P176" s="6" t="str">
        <f t="shared" si="4"/>
        <v/>
      </c>
      <c r="Q176" s="13">
        <f t="shared" si="5"/>
        <v>0</v>
      </c>
    </row>
    <row r="177" spans="2:17" ht="15" customHeight="1">
      <c r="B177" s="5" t="str">
        <f>_xlfn.IFNA(VLOOKUP(C177,Master!$H:$I,2,FALSE),"")</f>
        <v/>
      </c>
      <c r="D177" s="5" t="str">
        <f>_xlfn.IFNA(VLOOKUP(E177,Master!$H:$I,2,FALSE),"")</f>
        <v/>
      </c>
      <c r="F177" s="26" t="str">
        <f>+_xlfn.XLOOKUP(G177,Master!$V$2:$V$8,Master!$U$2:$U$8,"")</f>
        <v/>
      </c>
      <c r="I177" s="4" t="str">
        <f>_xlfn.IFNA(VLOOKUP(D177,Master!$I:$K,2,FALSE),"")</f>
        <v/>
      </c>
      <c r="J177" s="4" t="str">
        <f>_xlfn.IFNA(VLOOKUP(D177,Master!$I:$K,3,FALSE),"")</f>
        <v/>
      </c>
      <c r="L177" s="27" t="str">
        <f>IF(A177&lt;&gt;"CFA",_xlfn.IFNA(VLOOKUP($G177,Master!$V$2:$Z$8,5,0),""),"")</f>
        <v/>
      </c>
      <c r="P177" s="6" t="str">
        <f t="shared" si="4"/>
        <v/>
      </c>
      <c r="Q177" s="13">
        <f t="shared" si="5"/>
        <v>0</v>
      </c>
    </row>
    <row r="178" spans="2:17" ht="15" customHeight="1">
      <c r="B178" s="5" t="str">
        <f>_xlfn.IFNA(VLOOKUP(C178,Master!$H:$I,2,FALSE),"")</f>
        <v/>
      </c>
      <c r="D178" s="5" t="str">
        <f>_xlfn.IFNA(VLOOKUP(E178,Master!$H:$I,2,FALSE),"")</f>
        <v/>
      </c>
      <c r="F178" s="26" t="str">
        <f>+_xlfn.XLOOKUP(G178,Master!$V$2:$V$8,Master!$U$2:$U$8,"")</f>
        <v/>
      </c>
      <c r="I178" s="4" t="str">
        <f>_xlfn.IFNA(VLOOKUP(D178,Master!$I:$K,2,FALSE),"")</f>
        <v/>
      </c>
      <c r="J178" s="4" t="str">
        <f>_xlfn.IFNA(VLOOKUP(D178,Master!$I:$K,3,FALSE),"")</f>
        <v/>
      </c>
      <c r="L178" s="27" t="str">
        <f>IF(A178&lt;&gt;"CFA",_xlfn.IFNA(VLOOKUP($G178,Master!$V$2:$Z$8,5,0),""),"")</f>
        <v/>
      </c>
      <c r="P178" s="6" t="str">
        <f t="shared" si="4"/>
        <v/>
      </c>
      <c r="Q178" s="13">
        <f t="shared" si="5"/>
        <v>0</v>
      </c>
    </row>
    <row r="179" spans="2:17" ht="15" customHeight="1">
      <c r="B179" s="5" t="str">
        <f>_xlfn.IFNA(VLOOKUP(C179,Master!$H:$I,2,FALSE),"")</f>
        <v/>
      </c>
      <c r="D179" s="5" t="str">
        <f>_xlfn.IFNA(VLOOKUP(E179,Master!$H:$I,2,FALSE),"")</f>
        <v/>
      </c>
      <c r="F179" s="26" t="str">
        <f>+_xlfn.XLOOKUP(G179,Master!$V$2:$V$8,Master!$U$2:$U$8,"")</f>
        <v/>
      </c>
      <c r="I179" s="4" t="str">
        <f>_xlfn.IFNA(VLOOKUP(D179,Master!$I:$K,2,FALSE),"")</f>
        <v/>
      </c>
      <c r="J179" s="4" t="str">
        <f>_xlfn.IFNA(VLOOKUP(D179,Master!$I:$K,3,FALSE),"")</f>
        <v/>
      </c>
      <c r="L179" s="27" t="str">
        <f>IF(A179&lt;&gt;"CFA",_xlfn.IFNA(VLOOKUP($G179,Master!$V$2:$Z$8,5,0),""),"")</f>
        <v/>
      </c>
      <c r="P179" s="6" t="str">
        <f t="shared" si="4"/>
        <v/>
      </c>
      <c r="Q179" s="13">
        <f t="shared" si="5"/>
        <v>0</v>
      </c>
    </row>
    <row r="180" spans="2:17" ht="15" customHeight="1">
      <c r="B180" s="5" t="str">
        <f>_xlfn.IFNA(VLOOKUP(C180,Master!$H:$I,2,FALSE),"")</f>
        <v/>
      </c>
      <c r="D180" s="5" t="str">
        <f>_xlfn.IFNA(VLOOKUP(E180,Master!$H:$I,2,FALSE),"")</f>
        <v/>
      </c>
      <c r="F180" s="26" t="str">
        <f>+_xlfn.XLOOKUP(G180,Master!$V$2:$V$8,Master!$U$2:$U$8,"")</f>
        <v/>
      </c>
      <c r="I180" s="4" t="str">
        <f>_xlfn.IFNA(VLOOKUP(D180,Master!$I:$K,2,FALSE),"")</f>
        <v/>
      </c>
      <c r="J180" s="4" t="str">
        <f>_xlfn.IFNA(VLOOKUP(D180,Master!$I:$K,3,FALSE),"")</f>
        <v/>
      </c>
      <c r="L180" s="27" t="str">
        <f>IF(A180&lt;&gt;"CFA",_xlfn.IFNA(VLOOKUP($G180,Master!$V$2:$Z$8,5,0),""),"")</f>
        <v/>
      </c>
      <c r="P180" s="6" t="str">
        <f t="shared" si="4"/>
        <v/>
      </c>
      <c r="Q180" s="13">
        <f t="shared" si="5"/>
        <v>0</v>
      </c>
    </row>
    <row r="181" spans="2:17" ht="15" customHeight="1">
      <c r="B181" s="5" t="str">
        <f>_xlfn.IFNA(VLOOKUP(C181,Master!$H:$I,2,FALSE),"")</f>
        <v/>
      </c>
      <c r="D181" s="5" t="str">
        <f>_xlfn.IFNA(VLOOKUP(E181,Master!$H:$I,2,FALSE),"")</f>
        <v/>
      </c>
      <c r="F181" s="26" t="str">
        <f>+_xlfn.XLOOKUP(G181,Master!$V$2:$V$8,Master!$U$2:$U$8,"")</f>
        <v/>
      </c>
      <c r="I181" s="4" t="str">
        <f>_xlfn.IFNA(VLOOKUP(D181,Master!$I:$K,2,FALSE),"")</f>
        <v/>
      </c>
      <c r="J181" s="4" t="str">
        <f>_xlfn.IFNA(VLOOKUP(D181,Master!$I:$K,3,FALSE),"")</f>
        <v/>
      </c>
      <c r="L181" s="27" t="str">
        <f>IF(A181&lt;&gt;"CFA",_xlfn.IFNA(VLOOKUP($G181,Master!$V$2:$Z$8,5,0),""),"")</f>
        <v/>
      </c>
      <c r="P181" s="6" t="str">
        <f t="shared" si="4"/>
        <v/>
      </c>
      <c r="Q181" s="13">
        <f t="shared" si="5"/>
        <v>0</v>
      </c>
    </row>
    <row r="182" spans="2:17" ht="15" customHeight="1">
      <c r="B182" s="5" t="str">
        <f>_xlfn.IFNA(VLOOKUP(C182,Master!$H:$I,2,FALSE),"")</f>
        <v/>
      </c>
      <c r="D182" s="5" t="str">
        <f>_xlfn.IFNA(VLOOKUP(E182,Master!$H:$I,2,FALSE),"")</f>
        <v/>
      </c>
      <c r="F182" s="26" t="str">
        <f>+_xlfn.XLOOKUP(G182,Master!$V$2:$V$8,Master!$U$2:$U$8,"")</f>
        <v/>
      </c>
      <c r="I182" s="4" t="str">
        <f>_xlfn.IFNA(VLOOKUP(D182,Master!$I:$K,2,FALSE),"")</f>
        <v/>
      </c>
      <c r="J182" s="4" t="str">
        <f>_xlfn.IFNA(VLOOKUP(D182,Master!$I:$K,3,FALSE),"")</f>
        <v/>
      </c>
      <c r="L182" s="27" t="str">
        <f>IF(A182&lt;&gt;"CFA",_xlfn.IFNA(VLOOKUP($G182,Master!$V$2:$Z$8,5,0),""),"")</f>
        <v/>
      </c>
      <c r="P182" s="6" t="str">
        <f t="shared" si="4"/>
        <v/>
      </c>
      <c r="Q182" s="13">
        <f t="shared" si="5"/>
        <v>0</v>
      </c>
    </row>
    <row r="183" spans="2:17" ht="15" customHeight="1">
      <c r="B183" s="5" t="str">
        <f>_xlfn.IFNA(VLOOKUP(C183,Master!$H:$I,2,FALSE),"")</f>
        <v/>
      </c>
      <c r="D183" s="5" t="str">
        <f>_xlfn.IFNA(VLOOKUP(E183,Master!$H:$I,2,FALSE),"")</f>
        <v/>
      </c>
      <c r="F183" s="26" t="str">
        <f>+_xlfn.XLOOKUP(G183,Master!$V$2:$V$8,Master!$U$2:$U$8,"")</f>
        <v/>
      </c>
      <c r="I183" s="4" t="str">
        <f>_xlfn.IFNA(VLOOKUP(D183,Master!$I:$K,2,FALSE),"")</f>
        <v/>
      </c>
      <c r="J183" s="4" t="str">
        <f>_xlfn.IFNA(VLOOKUP(D183,Master!$I:$K,3,FALSE),"")</f>
        <v/>
      </c>
      <c r="L183" s="27" t="str">
        <f>IF(A183&lt;&gt;"CFA",_xlfn.IFNA(VLOOKUP($G183,Master!$V$2:$Z$8,5,0),""),"")</f>
        <v/>
      </c>
      <c r="P183" s="6" t="str">
        <f t="shared" ref="P183:P246" si="6">IF(N183&lt;&gt;"",IF(MONTH(N183)&gt;=4,"FY1"&amp;RIGHT(YEAR(N183)+1,2),"FY1"&amp;RIGHT(YEAR(N183),2)),"")</f>
        <v/>
      </c>
      <c r="Q183" s="13">
        <f t="shared" ref="Q183:Q246" si="7">IF(K183&gt;0&amp;M183&gt;0,K183*M183,"")</f>
        <v>0</v>
      </c>
    </row>
    <row r="184" spans="2:17" ht="15" customHeight="1">
      <c r="B184" s="5" t="str">
        <f>_xlfn.IFNA(VLOOKUP(C184,Master!$H:$I,2,FALSE),"")</f>
        <v/>
      </c>
      <c r="D184" s="5" t="str">
        <f>_xlfn.IFNA(VLOOKUP(E184,Master!$H:$I,2,FALSE),"")</f>
        <v/>
      </c>
      <c r="F184" s="26" t="str">
        <f>+_xlfn.XLOOKUP(G184,Master!$V$2:$V$8,Master!$U$2:$U$8,"")</f>
        <v/>
      </c>
      <c r="I184" s="4" t="str">
        <f>_xlfn.IFNA(VLOOKUP(D184,Master!$I:$K,2,FALSE),"")</f>
        <v/>
      </c>
      <c r="J184" s="4" t="str">
        <f>_xlfn.IFNA(VLOOKUP(D184,Master!$I:$K,3,FALSE),"")</f>
        <v/>
      </c>
      <c r="L184" s="27" t="str">
        <f>IF(A184&lt;&gt;"CFA",_xlfn.IFNA(VLOOKUP($G184,Master!$V$2:$Z$8,5,0),""),"")</f>
        <v/>
      </c>
      <c r="P184" s="6" t="str">
        <f t="shared" si="6"/>
        <v/>
      </c>
      <c r="Q184" s="13">
        <f t="shared" si="7"/>
        <v>0</v>
      </c>
    </row>
    <row r="185" spans="2:17" ht="15" customHeight="1">
      <c r="B185" s="5" t="str">
        <f>_xlfn.IFNA(VLOOKUP(C185,Master!$H:$I,2,FALSE),"")</f>
        <v/>
      </c>
      <c r="D185" s="5" t="str">
        <f>_xlfn.IFNA(VLOOKUP(E185,Master!$H:$I,2,FALSE),"")</f>
        <v/>
      </c>
      <c r="F185" s="26" t="str">
        <f>+_xlfn.XLOOKUP(G185,Master!$V$2:$V$8,Master!$U$2:$U$8,"")</f>
        <v/>
      </c>
      <c r="I185" s="4" t="str">
        <f>_xlfn.IFNA(VLOOKUP(D185,Master!$I:$K,2,FALSE),"")</f>
        <v/>
      </c>
      <c r="J185" s="4" t="str">
        <f>_xlfn.IFNA(VLOOKUP(D185,Master!$I:$K,3,FALSE),"")</f>
        <v/>
      </c>
      <c r="L185" s="27" t="str">
        <f>IF(A185&lt;&gt;"CFA",_xlfn.IFNA(VLOOKUP($G185,Master!$V$2:$Z$8,5,0),""),"")</f>
        <v/>
      </c>
      <c r="P185" s="6" t="str">
        <f t="shared" si="6"/>
        <v/>
      </c>
      <c r="Q185" s="13">
        <f t="shared" si="7"/>
        <v>0</v>
      </c>
    </row>
    <row r="186" spans="2:17" ht="15" customHeight="1">
      <c r="B186" s="5" t="str">
        <f>_xlfn.IFNA(VLOOKUP(C186,Master!$H:$I,2,FALSE),"")</f>
        <v/>
      </c>
      <c r="D186" s="5" t="str">
        <f>_xlfn.IFNA(VLOOKUP(E186,Master!$H:$I,2,FALSE),"")</f>
        <v/>
      </c>
      <c r="F186" s="26" t="str">
        <f>+_xlfn.XLOOKUP(G186,Master!$V$2:$V$8,Master!$U$2:$U$8,"")</f>
        <v/>
      </c>
      <c r="I186" s="4" t="str">
        <f>_xlfn.IFNA(VLOOKUP(D186,Master!$I:$K,2,FALSE),"")</f>
        <v/>
      </c>
      <c r="J186" s="4" t="str">
        <f>_xlfn.IFNA(VLOOKUP(D186,Master!$I:$K,3,FALSE),"")</f>
        <v/>
      </c>
      <c r="L186" s="27" t="str">
        <f>IF(A186&lt;&gt;"CFA",_xlfn.IFNA(VLOOKUP($G186,Master!$V$2:$Z$8,5,0),""),"")</f>
        <v/>
      </c>
      <c r="P186" s="6" t="str">
        <f t="shared" si="6"/>
        <v/>
      </c>
      <c r="Q186" s="13">
        <f t="shared" si="7"/>
        <v>0</v>
      </c>
    </row>
    <row r="187" spans="2:17" ht="15" customHeight="1">
      <c r="B187" s="5" t="str">
        <f>_xlfn.IFNA(VLOOKUP(C187,Master!$H:$I,2,FALSE),"")</f>
        <v/>
      </c>
      <c r="D187" s="5" t="str">
        <f>_xlfn.IFNA(VLOOKUP(E187,Master!$H:$I,2,FALSE),"")</f>
        <v/>
      </c>
      <c r="F187" s="26" t="str">
        <f>+_xlfn.XLOOKUP(G187,Master!$V$2:$V$8,Master!$U$2:$U$8,"")</f>
        <v/>
      </c>
      <c r="I187" s="4" t="str">
        <f>_xlfn.IFNA(VLOOKUP(D187,Master!$I:$K,2,FALSE),"")</f>
        <v/>
      </c>
      <c r="J187" s="4" t="str">
        <f>_xlfn.IFNA(VLOOKUP(D187,Master!$I:$K,3,FALSE),"")</f>
        <v/>
      </c>
      <c r="L187" s="27" t="str">
        <f>IF(A187&lt;&gt;"CFA",_xlfn.IFNA(VLOOKUP($G187,Master!$V$2:$Z$8,5,0),""),"")</f>
        <v/>
      </c>
      <c r="P187" s="6" t="str">
        <f t="shared" si="6"/>
        <v/>
      </c>
      <c r="Q187" s="13">
        <f t="shared" si="7"/>
        <v>0</v>
      </c>
    </row>
    <row r="188" spans="2:17" ht="15" customHeight="1">
      <c r="B188" s="5" t="str">
        <f>_xlfn.IFNA(VLOOKUP(C188,Master!$H:$I,2,FALSE),"")</f>
        <v/>
      </c>
      <c r="D188" s="5" t="str">
        <f>_xlfn.IFNA(VLOOKUP(E188,Master!$H:$I,2,FALSE),"")</f>
        <v/>
      </c>
      <c r="F188" s="26" t="str">
        <f>+_xlfn.XLOOKUP(G188,Master!$V$2:$V$8,Master!$U$2:$U$8,"")</f>
        <v/>
      </c>
      <c r="I188" s="4" t="str">
        <f>_xlfn.IFNA(VLOOKUP(D188,Master!$I:$K,2,FALSE),"")</f>
        <v/>
      </c>
      <c r="J188" s="4" t="str">
        <f>_xlfn.IFNA(VLOOKUP(D188,Master!$I:$K,3,FALSE),"")</f>
        <v/>
      </c>
      <c r="L188" s="27" t="str">
        <f>IF(A188&lt;&gt;"CFA",_xlfn.IFNA(VLOOKUP($G188,Master!$V$2:$Z$8,5,0),""),"")</f>
        <v/>
      </c>
      <c r="P188" s="6" t="str">
        <f t="shared" si="6"/>
        <v/>
      </c>
      <c r="Q188" s="13">
        <f t="shared" si="7"/>
        <v>0</v>
      </c>
    </row>
    <row r="189" spans="2:17" ht="15" customHeight="1">
      <c r="B189" s="5" t="str">
        <f>_xlfn.IFNA(VLOOKUP(C189,Master!$H:$I,2,FALSE),"")</f>
        <v/>
      </c>
      <c r="D189" s="5" t="str">
        <f>_xlfn.IFNA(VLOOKUP(E189,Master!$H:$I,2,FALSE),"")</f>
        <v/>
      </c>
      <c r="F189" s="26" t="str">
        <f>+_xlfn.XLOOKUP(G189,Master!$V$2:$V$8,Master!$U$2:$U$8,"")</f>
        <v/>
      </c>
      <c r="I189" s="4" t="str">
        <f>_xlfn.IFNA(VLOOKUP(D189,Master!$I:$K,2,FALSE),"")</f>
        <v/>
      </c>
      <c r="J189" s="4" t="str">
        <f>_xlfn.IFNA(VLOOKUP(D189,Master!$I:$K,3,FALSE),"")</f>
        <v/>
      </c>
      <c r="L189" s="27" t="str">
        <f>IF(A189&lt;&gt;"CFA",_xlfn.IFNA(VLOOKUP($G189,Master!$V$2:$Z$8,5,0),""),"")</f>
        <v/>
      </c>
      <c r="P189" s="6" t="str">
        <f t="shared" si="6"/>
        <v/>
      </c>
      <c r="Q189" s="13">
        <f t="shared" si="7"/>
        <v>0</v>
      </c>
    </row>
    <row r="190" spans="2:17" ht="15" customHeight="1">
      <c r="B190" s="5" t="str">
        <f>_xlfn.IFNA(VLOOKUP(C190,Master!$H:$I,2,FALSE),"")</f>
        <v/>
      </c>
      <c r="D190" s="5" t="str">
        <f>_xlfn.IFNA(VLOOKUP(E190,Master!$H:$I,2,FALSE),"")</f>
        <v/>
      </c>
      <c r="F190" s="26" t="str">
        <f>+_xlfn.XLOOKUP(G190,Master!$V$2:$V$8,Master!$U$2:$U$8,"")</f>
        <v/>
      </c>
      <c r="I190" s="4" t="str">
        <f>_xlfn.IFNA(VLOOKUP(D190,Master!$I:$K,2,FALSE),"")</f>
        <v/>
      </c>
      <c r="J190" s="4" t="str">
        <f>_xlfn.IFNA(VLOOKUP(D190,Master!$I:$K,3,FALSE),"")</f>
        <v/>
      </c>
      <c r="L190" s="27" t="str">
        <f>IF(A190&lt;&gt;"CFA",_xlfn.IFNA(VLOOKUP($G190,Master!$V$2:$Z$8,5,0),""),"")</f>
        <v/>
      </c>
      <c r="P190" s="6" t="str">
        <f t="shared" si="6"/>
        <v/>
      </c>
      <c r="Q190" s="13">
        <f t="shared" si="7"/>
        <v>0</v>
      </c>
    </row>
    <row r="191" spans="2:17" ht="15" customHeight="1">
      <c r="B191" s="5" t="str">
        <f>_xlfn.IFNA(VLOOKUP(C191,Master!$H:$I,2,FALSE),"")</f>
        <v/>
      </c>
      <c r="D191" s="5" t="str">
        <f>_xlfn.IFNA(VLOOKUP(E191,Master!$H:$I,2,FALSE),"")</f>
        <v/>
      </c>
      <c r="F191" s="26" t="str">
        <f>+_xlfn.XLOOKUP(G191,Master!$V$2:$V$8,Master!$U$2:$U$8,"")</f>
        <v/>
      </c>
      <c r="I191" s="4" t="str">
        <f>_xlfn.IFNA(VLOOKUP(D191,Master!$I:$K,2,FALSE),"")</f>
        <v/>
      </c>
      <c r="J191" s="4" t="str">
        <f>_xlfn.IFNA(VLOOKUP(D191,Master!$I:$K,3,FALSE),"")</f>
        <v/>
      </c>
      <c r="L191" s="27" t="str">
        <f>IF(A191&lt;&gt;"CFA",_xlfn.IFNA(VLOOKUP($G191,Master!$V$2:$Z$8,5,0),""),"")</f>
        <v/>
      </c>
      <c r="P191" s="6" t="str">
        <f t="shared" si="6"/>
        <v/>
      </c>
      <c r="Q191" s="13">
        <f t="shared" si="7"/>
        <v>0</v>
      </c>
    </row>
    <row r="192" spans="2:17" ht="15" customHeight="1">
      <c r="B192" s="5" t="str">
        <f>_xlfn.IFNA(VLOOKUP(C192,Master!$H:$I,2,FALSE),"")</f>
        <v/>
      </c>
      <c r="D192" s="5" t="str">
        <f>_xlfn.IFNA(VLOOKUP(E192,Master!$H:$I,2,FALSE),"")</f>
        <v/>
      </c>
      <c r="F192" s="26" t="str">
        <f>+_xlfn.XLOOKUP(G192,Master!$V$2:$V$8,Master!$U$2:$U$8,"")</f>
        <v/>
      </c>
      <c r="I192" s="4" t="str">
        <f>_xlfn.IFNA(VLOOKUP(D192,Master!$I:$K,2,FALSE),"")</f>
        <v/>
      </c>
      <c r="J192" s="4" t="str">
        <f>_xlfn.IFNA(VLOOKUP(D192,Master!$I:$K,3,FALSE),"")</f>
        <v/>
      </c>
      <c r="L192" s="27" t="str">
        <f>IF(A192&lt;&gt;"CFA",_xlfn.IFNA(VLOOKUP($G192,Master!$V$2:$Z$8,5,0),""),"")</f>
        <v/>
      </c>
      <c r="P192" s="6" t="str">
        <f t="shared" si="6"/>
        <v/>
      </c>
      <c r="Q192" s="13">
        <f t="shared" si="7"/>
        <v>0</v>
      </c>
    </row>
    <row r="193" spans="2:17" ht="15" customHeight="1">
      <c r="B193" s="5" t="str">
        <f>_xlfn.IFNA(VLOOKUP(C193,Master!$H:$I,2,FALSE),"")</f>
        <v/>
      </c>
      <c r="D193" s="5" t="str">
        <f>_xlfn.IFNA(VLOOKUP(E193,Master!$H:$I,2,FALSE),"")</f>
        <v/>
      </c>
      <c r="F193" s="26" t="str">
        <f>+_xlfn.XLOOKUP(G193,Master!$V$2:$V$8,Master!$U$2:$U$8,"")</f>
        <v/>
      </c>
      <c r="I193" s="4" t="str">
        <f>_xlfn.IFNA(VLOOKUP(D193,Master!$I:$K,2,FALSE),"")</f>
        <v/>
      </c>
      <c r="J193" s="4" t="str">
        <f>_xlfn.IFNA(VLOOKUP(D193,Master!$I:$K,3,FALSE),"")</f>
        <v/>
      </c>
      <c r="L193" s="27" t="str">
        <f>IF(A193&lt;&gt;"CFA",_xlfn.IFNA(VLOOKUP($G193,Master!$V$2:$Z$8,5,0),""),"")</f>
        <v/>
      </c>
      <c r="P193" s="6" t="str">
        <f t="shared" si="6"/>
        <v/>
      </c>
      <c r="Q193" s="13">
        <f t="shared" si="7"/>
        <v>0</v>
      </c>
    </row>
    <row r="194" spans="2:17" ht="15" customHeight="1">
      <c r="B194" s="5" t="str">
        <f>_xlfn.IFNA(VLOOKUP(C194,Master!$H:$I,2,FALSE),"")</f>
        <v/>
      </c>
      <c r="D194" s="5" t="str">
        <f>_xlfn.IFNA(VLOOKUP(E194,Master!$H:$I,2,FALSE),"")</f>
        <v/>
      </c>
      <c r="F194" s="26" t="str">
        <f>+_xlfn.XLOOKUP(G194,Master!$V$2:$V$8,Master!$U$2:$U$8,"")</f>
        <v/>
      </c>
      <c r="I194" s="4" t="str">
        <f>_xlfn.IFNA(VLOOKUP(D194,Master!$I:$K,2,FALSE),"")</f>
        <v/>
      </c>
      <c r="J194" s="4" t="str">
        <f>_xlfn.IFNA(VLOOKUP(D194,Master!$I:$K,3,FALSE),"")</f>
        <v/>
      </c>
      <c r="L194" s="27" t="str">
        <f>IF(A194&lt;&gt;"CFA",_xlfn.IFNA(VLOOKUP($G194,Master!$V$2:$Z$8,5,0),""),"")</f>
        <v/>
      </c>
      <c r="P194" s="6" t="str">
        <f t="shared" si="6"/>
        <v/>
      </c>
      <c r="Q194" s="13">
        <f t="shared" si="7"/>
        <v>0</v>
      </c>
    </row>
    <row r="195" spans="2:17" ht="15" customHeight="1">
      <c r="B195" s="5" t="str">
        <f>_xlfn.IFNA(VLOOKUP(C195,Master!$H:$I,2,FALSE),"")</f>
        <v/>
      </c>
      <c r="D195" s="5" t="str">
        <f>_xlfn.IFNA(VLOOKUP(E195,Master!$H:$I,2,FALSE),"")</f>
        <v/>
      </c>
      <c r="F195" s="26" t="str">
        <f>+_xlfn.XLOOKUP(G195,Master!$V$2:$V$8,Master!$U$2:$U$8,"")</f>
        <v/>
      </c>
      <c r="I195" s="4" t="str">
        <f>_xlfn.IFNA(VLOOKUP(D195,Master!$I:$K,2,FALSE),"")</f>
        <v/>
      </c>
      <c r="J195" s="4" t="str">
        <f>_xlfn.IFNA(VLOOKUP(D195,Master!$I:$K,3,FALSE),"")</f>
        <v/>
      </c>
      <c r="L195" s="27" t="str">
        <f>IF(A195&lt;&gt;"CFA",_xlfn.IFNA(VLOOKUP($G195,Master!$V$2:$Z$8,5,0),""),"")</f>
        <v/>
      </c>
      <c r="P195" s="6" t="str">
        <f t="shared" si="6"/>
        <v/>
      </c>
      <c r="Q195" s="13">
        <f t="shared" si="7"/>
        <v>0</v>
      </c>
    </row>
    <row r="196" spans="2:17" ht="15" customHeight="1">
      <c r="B196" s="5" t="str">
        <f>_xlfn.IFNA(VLOOKUP(C196,Master!$H:$I,2,FALSE),"")</f>
        <v/>
      </c>
      <c r="D196" s="5" t="str">
        <f>_xlfn.IFNA(VLOOKUP(E196,Master!$H:$I,2,FALSE),"")</f>
        <v/>
      </c>
      <c r="F196" s="26" t="str">
        <f>+_xlfn.XLOOKUP(G196,Master!$V$2:$V$8,Master!$U$2:$U$8,"")</f>
        <v/>
      </c>
      <c r="I196" s="4" t="str">
        <f>_xlfn.IFNA(VLOOKUP(D196,Master!$I:$K,2,FALSE),"")</f>
        <v/>
      </c>
      <c r="J196" s="4" t="str">
        <f>_xlfn.IFNA(VLOOKUP(D196,Master!$I:$K,3,FALSE),"")</f>
        <v/>
      </c>
      <c r="L196" s="27" t="str">
        <f>IF(A196&lt;&gt;"CFA",_xlfn.IFNA(VLOOKUP($G196,Master!$V$2:$Z$8,5,0),""),"")</f>
        <v/>
      </c>
      <c r="P196" s="6" t="str">
        <f t="shared" si="6"/>
        <v/>
      </c>
      <c r="Q196" s="13">
        <f t="shared" si="7"/>
        <v>0</v>
      </c>
    </row>
    <row r="197" spans="2:17" ht="15" customHeight="1">
      <c r="B197" s="5" t="str">
        <f>_xlfn.IFNA(VLOOKUP(C197,Master!$H:$I,2,FALSE),"")</f>
        <v/>
      </c>
      <c r="D197" s="5" t="str">
        <f>_xlfn.IFNA(VLOOKUP(E197,Master!$H:$I,2,FALSE),"")</f>
        <v/>
      </c>
      <c r="F197" s="26" t="str">
        <f>+_xlfn.XLOOKUP(G197,Master!$V$2:$V$8,Master!$U$2:$U$8,"")</f>
        <v/>
      </c>
      <c r="I197" s="4" t="str">
        <f>_xlfn.IFNA(VLOOKUP(D197,Master!$I:$K,2,FALSE),"")</f>
        <v/>
      </c>
      <c r="J197" s="4" t="str">
        <f>_xlfn.IFNA(VLOOKUP(D197,Master!$I:$K,3,FALSE),"")</f>
        <v/>
      </c>
      <c r="L197" s="27" t="str">
        <f>IF(A197&lt;&gt;"CFA",_xlfn.IFNA(VLOOKUP($G197,Master!$V$2:$Z$8,5,0),""),"")</f>
        <v/>
      </c>
      <c r="P197" s="6" t="str">
        <f t="shared" si="6"/>
        <v/>
      </c>
      <c r="Q197" s="13">
        <f t="shared" si="7"/>
        <v>0</v>
      </c>
    </row>
    <row r="198" spans="2:17" ht="15" customHeight="1">
      <c r="B198" s="5" t="str">
        <f>_xlfn.IFNA(VLOOKUP(C198,Master!$H:$I,2,FALSE),"")</f>
        <v/>
      </c>
      <c r="D198" s="5" t="str">
        <f>_xlfn.IFNA(VLOOKUP(E198,Master!$H:$I,2,FALSE),"")</f>
        <v/>
      </c>
      <c r="F198" s="26" t="str">
        <f>+_xlfn.XLOOKUP(G198,Master!$V$2:$V$8,Master!$U$2:$U$8,"")</f>
        <v/>
      </c>
      <c r="I198" s="4" t="str">
        <f>_xlfn.IFNA(VLOOKUP(D198,Master!$I:$K,2,FALSE),"")</f>
        <v/>
      </c>
      <c r="J198" s="4" t="str">
        <f>_xlfn.IFNA(VLOOKUP(D198,Master!$I:$K,3,FALSE),"")</f>
        <v/>
      </c>
      <c r="L198" s="27" t="str">
        <f>IF(A198&lt;&gt;"CFA",_xlfn.IFNA(VLOOKUP($G198,Master!$V$2:$Z$8,5,0),""),"")</f>
        <v/>
      </c>
      <c r="P198" s="6" t="str">
        <f t="shared" si="6"/>
        <v/>
      </c>
      <c r="Q198" s="13">
        <f t="shared" si="7"/>
        <v>0</v>
      </c>
    </row>
    <row r="199" spans="2:17" ht="15" customHeight="1">
      <c r="B199" s="5" t="str">
        <f>_xlfn.IFNA(VLOOKUP(C199,Master!$H:$I,2,FALSE),"")</f>
        <v/>
      </c>
      <c r="D199" s="5" t="str">
        <f>_xlfn.IFNA(VLOOKUP(E199,Master!$H:$I,2,FALSE),"")</f>
        <v/>
      </c>
      <c r="F199" s="26" t="str">
        <f>+_xlfn.XLOOKUP(G199,Master!$V$2:$V$8,Master!$U$2:$U$8,"")</f>
        <v/>
      </c>
      <c r="I199" s="4" t="str">
        <f>_xlfn.IFNA(VLOOKUP(D199,Master!$I:$K,2,FALSE),"")</f>
        <v/>
      </c>
      <c r="J199" s="4" t="str">
        <f>_xlfn.IFNA(VLOOKUP(D199,Master!$I:$K,3,FALSE),"")</f>
        <v/>
      </c>
      <c r="L199" s="27" t="str">
        <f>IF(A199&lt;&gt;"CFA",_xlfn.IFNA(VLOOKUP($G199,Master!$V$2:$Z$8,5,0),""),"")</f>
        <v/>
      </c>
      <c r="P199" s="6" t="str">
        <f t="shared" si="6"/>
        <v/>
      </c>
      <c r="Q199" s="13">
        <f t="shared" si="7"/>
        <v>0</v>
      </c>
    </row>
    <row r="200" spans="2:17" ht="15" customHeight="1">
      <c r="B200" s="5" t="str">
        <f>_xlfn.IFNA(VLOOKUP(C200,Master!$H:$I,2,FALSE),"")</f>
        <v/>
      </c>
      <c r="D200" s="5" t="str">
        <f>_xlfn.IFNA(VLOOKUP(E200,Master!$H:$I,2,FALSE),"")</f>
        <v/>
      </c>
      <c r="F200" s="26" t="str">
        <f>+_xlfn.XLOOKUP(G200,Master!$V$2:$V$8,Master!$U$2:$U$8,"")</f>
        <v/>
      </c>
      <c r="I200" s="4" t="str">
        <f>_xlfn.IFNA(VLOOKUP(D200,Master!$I:$K,2,FALSE),"")</f>
        <v/>
      </c>
      <c r="J200" s="4" t="str">
        <f>_xlfn.IFNA(VLOOKUP(D200,Master!$I:$K,3,FALSE),"")</f>
        <v/>
      </c>
      <c r="L200" s="27" t="str">
        <f>IF(A200&lt;&gt;"CFA",_xlfn.IFNA(VLOOKUP($G200,Master!$V$2:$Z$8,5,0),""),"")</f>
        <v/>
      </c>
      <c r="P200" s="6" t="str">
        <f t="shared" si="6"/>
        <v/>
      </c>
      <c r="Q200" s="13">
        <f t="shared" si="7"/>
        <v>0</v>
      </c>
    </row>
    <row r="201" spans="2:17" ht="15" customHeight="1">
      <c r="B201" s="5" t="str">
        <f>_xlfn.IFNA(VLOOKUP(C201,Master!$H:$I,2,FALSE),"")</f>
        <v/>
      </c>
      <c r="D201" s="5" t="str">
        <f>_xlfn.IFNA(VLOOKUP(E201,Master!$H:$I,2,FALSE),"")</f>
        <v/>
      </c>
      <c r="F201" s="26" t="str">
        <f>+_xlfn.XLOOKUP(G201,Master!$V$2:$V$8,Master!$U$2:$U$8,"")</f>
        <v/>
      </c>
      <c r="I201" s="4" t="str">
        <f>_xlfn.IFNA(VLOOKUP(D201,Master!$I:$K,2,FALSE),"")</f>
        <v/>
      </c>
      <c r="J201" s="4" t="str">
        <f>_xlfn.IFNA(VLOOKUP(D201,Master!$I:$K,3,FALSE),"")</f>
        <v/>
      </c>
      <c r="L201" s="27" t="str">
        <f>IF(A201&lt;&gt;"CFA",_xlfn.IFNA(VLOOKUP($G201,Master!$V$2:$Z$8,5,0),""),"")</f>
        <v/>
      </c>
      <c r="P201" s="6" t="str">
        <f t="shared" si="6"/>
        <v/>
      </c>
      <c r="Q201" s="13">
        <f t="shared" si="7"/>
        <v>0</v>
      </c>
    </row>
    <row r="202" spans="2:17" ht="15" customHeight="1">
      <c r="B202" s="5" t="str">
        <f>_xlfn.IFNA(VLOOKUP(C202,Master!$H:$I,2,FALSE),"")</f>
        <v/>
      </c>
      <c r="D202" s="5" t="str">
        <f>_xlfn.IFNA(VLOOKUP(E202,Master!$H:$I,2,FALSE),"")</f>
        <v/>
      </c>
      <c r="F202" s="26" t="str">
        <f>+_xlfn.XLOOKUP(G202,Master!$V$2:$V$8,Master!$U$2:$U$8,"")</f>
        <v/>
      </c>
      <c r="I202" s="4" t="str">
        <f>_xlfn.IFNA(VLOOKUP(D202,Master!$I:$K,2,FALSE),"")</f>
        <v/>
      </c>
      <c r="J202" s="4" t="str">
        <f>_xlfn.IFNA(VLOOKUP(D202,Master!$I:$K,3,FALSE),"")</f>
        <v/>
      </c>
      <c r="L202" s="27" t="str">
        <f>IF(A202&lt;&gt;"CFA",_xlfn.IFNA(VLOOKUP($G202,Master!$V$2:$Z$8,5,0),""),"")</f>
        <v/>
      </c>
      <c r="P202" s="6" t="str">
        <f t="shared" si="6"/>
        <v/>
      </c>
      <c r="Q202" s="13">
        <f t="shared" si="7"/>
        <v>0</v>
      </c>
    </row>
    <row r="203" spans="2:17" ht="15" customHeight="1">
      <c r="B203" s="5" t="str">
        <f>_xlfn.IFNA(VLOOKUP(C203,Master!$H:$I,2,FALSE),"")</f>
        <v/>
      </c>
      <c r="D203" s="5" t="str">
        <f>_xlfn.IFNA(VLOOKUP(E203,Master!$H:$I,2,FALSE),"")</f>
        <v/>
      </c>
      <c r="F203" s="26" t="str">
        <f>+_xlfn.XLOOKUP(G203,Master!$V$2:$V$8,Master!$U$2:$U$8,"")</f>
        <v/>
      </c>
      <c r="I203" s="4" t="str">
        <f>_xlfn.IFNA(VLOOKUP(D203,Master!$I:$K,2,FALSE),"")</f>
        <v/>
      </c>
      <c r="J203" s="4" t="str">
        <f>_xlfn.IFNA(VLOOKUP(D203,Master!$I:$K,3,FALSE),"")</f>
        <v/>
      </c>
      <c r="L203" s="27" t="str">
        <f>IF(A203&lt;&gt;"CFA",_xlfn.IFNA(VLOOKUP($G203,Master!$V$2:$Z$8,5,0),""),"")</f>
        <v/>
      </c>
      <c r="P203" s="6" t="str">
        <f t="shared" si="6"/>
        <v/>
      </c>
      <c r="Q203" s="13">
        <f t="shared" si="7"/>
        <v>0</v>
      </c>
    </row>
    <row r="204" spans="2:17" ht="15" customHeight="1">
      <c r="B204" s="5" t="str">
        <f>_xlfn.IFNA(VLOOKUP(C204,Master!$H:$I,2,FALSE),"")</f>
        <v/>
      </c>
      <c r="D204" s="5" t="str">
        <f>_xlfn.IFNA(VLOOKUP(E204,Master!$H:$I,2,FALSE),"")</f>
        <v/>
      </c>
      <c r="F204" s="26" t="str">
        <f>+_xlfn.XLOOKUP(G204,Master!$V$2:$V$8,Master!$U$2:$U$8,"")</f>
        <v/>
      </c>
      <c r="I204" s="4" t="str">
        <f>_xlfn.IFNA(VLOOKUP(D204,Master!$I:$K,2,FALSE),"")</f>
        <v/>
      </c>
      <c r="J204" s="4" t="str">
        <f>_xlfn.IFNA(VLOOKUP(D204,Master!$I:$K,3,FALSE),"")</f>
        <v/>
      </c>
      <c r="L204" s="27" t="str">
        <f>IF(A204&lt;&gt;"CFA",_xlfn.IFNA(VLOOKUP($G204,Master!$V$2:$Z$8,5,0),""),"")</f>
        <v/>
      </c>
      <c r="P204" s="6" t="str">
        <f t="shared" si="6"/>
        <v/>
      </c>
      <c r="Q204" s="13">
        <f t="shared" si="7"/>
        <v>0</v>
      </c>
    </row>
    <row r="205" spans="2:17" ht="15" customHeight="1">
      <c r="B205" s="5" t="str">
        <f>_xlfn.IFNA(VLOOKUP(C205,Master!$H:$I,2,FALSE),"")</f>
        <v/>
      </c>
      <c r="D205" s="5" t="str">
        <f>_xlfn.IFNA(VLOOKUP(E205,Master!$H:$I,2,FALSE),"")</f>
        <v/>
      </c>
      <c r="F205" s="26" t="str">
        <f>+_xlfn.XLOOKUP(G205,Master!$V$2:$V$8,Master!$U$2:$U$8,"")</f>
        <v/>
      </c>
      <c r="I205" s="4" t="str">
        <f>_xlfn.IFNA(VLOOKUP(D205,Master!$I:$K,2,FALSE),"")</f>
        <v/>
      </c>
      <c r="J205" s="4" t="str">
        <f>_xlfn.IFNA(VLOOKUP(D205,Master!$I:$K,3,FALSE),"")</f>
        <v/>
      </c>
      <c r="L205" s="27" t="str">
        <f>IF(A205&lt;&gt;"CFA",_xlfn.IFNA(VLOOKUP($G205,Master!$V$2:$Z$8,5,0),""),"")</f>
        <v/>
      </c>
      <c r="P205" s="6" t="str">
        <f t="shared" si="6"/>
        <v/>
      </c>
      <c r="Q205" s="13">
        <f t="shared" si="7"/>
        <v>0</v>
      </c>
    </row>
    <row r="206" spans="2:17" ht="15" customHeight="1">
      <c r="B206" s="5" t="str">
        <f>_xlfn.IFNA(VLOOKUP(C206,Master!$H:$I,2,FALSE),"")</f>
        <v/>
      </c>
      <c r="D206" s="5" t="str">
        <f>_xlfn.IFNA(VLOOKUP(E206,Master!$H:$I,2,FALSE),"")</f>
        <v/>
      </c>
      <c r="F206" s="26" t="str">
        <f>+_xlfn.XLOOKUP(G206,Master!$V$2:$V$8,Master!$U$2:$U$8,"")</f>
        <v/>
      </c>
      <c r="I206" s="4" t="str">
        <f>_xlfn.IFNA(VLOOKUP(D206,Master!$I:$K,2,FALSE),"")</f>
        <v/>
      </c>
      <c r="J206" s="4" t="str">
        <f>_xlfn.IFNA(VLOOKUP(D206,Master!$I:$K,3,FALSE),"")</f>
        <v/>
      </c>
      <c r="L206" s="27" t="str">
        <f>IF(A206&lt;&gt;"CFA",_xlfn.IFNA(VLOOKUP($G206,Master!$V$2:$Z$8,5,0),""),"")</f>
        <v/>
      </c>
      <c r="P206" s="6" t="str">
        <f t="shared" si="6"/>
        <v/>
      </c>
      <c r="Q206" s="13">
        <f t="shared" si="7"/>
        <v>0</v>
      </c>
    </row>
    <row r="207" spans="2:17" ht="15" customHeight="1">
      <c r="B207" s="5" t="str">
        <f>_xlfn.IFNA(VLOOKUP(C207,Master!$H:$I,2,FALSE),"")</f>
        <v/>
      </c>
      <c r="D207" s="5" t="str">
        <f>_xlfn.IFNA(VLOOKUP(E207,Master!$H:$I,2,FALSE),"")</f>
        <v/>
      </c>
      <c r="F207" s="26" t="str">
        <f>+_xlfn.XLOOKUP(G207,Master!$V$2:$V$8,Master!$U$2:$U$8,"")</f>
        <v/>
      </c>
      <c r="I207" s="4" t="str">
        <f>_xlfn.IFNA(VLOOKUP(D207,Master!$I:$K,2,FALSE),"")</f>
        <v/>
      </c>
      <c r="J207" s="4" t="str">
        <f>_xlfn.IFNA(VLOOKUP(D207,Master!$I:$K,3,FALSE),"")</f>
        <v/>
      </c>
      <c r="L207" s="27" t="str">
        <f>IF(A207&lt;&gt;"CFA",_xlfn.IFNA(VLOOKUP($G207,Master!$V$2:$Z$8,5,0),""),"")</f>
        <v/>
      </c>
      <c r="P207" s="6" t="str">
        <f t="shared" si="6"/>
        <v/>
      </c>
      <c r="Q207" s="13">
        <f t="shared" si="7"/>
        <v>0</v>
      </c>
    </row>
    <row r="208" spans="2:17" ht="15" customHeight="1">
      <c r="B208" s="5" t="str">
        <f>_xlfn.IFNA(VLOOKUP(C208,Master!$H:$I,2,FALSE),"")</f>
        <v/>
      </c>
      <c r="D208" s="5" t="str">
        <f>_xlfn.IFNA(VLOOKUP(E208,Master!$H:$I,2,FALSE),"")</f>
        <v/>
      </c>
      <c r="F208" s="26" t="str">
        <f>+_xlfn.XLOOKUP(G208,Master!$V$2:$V$8,Master!$U$2:$U$8,"")</f>
        <v/>
      </c>
      <c r="I208" s="4" t="str">
        <f>_xlfn.IFNA(VLOOKUP(D208,Master!$I:$K,2,FALSE),"")</f>
        <v/>
      </c>
      <c r="J208" s="4" t="str">
        <f>_xlfn.IFNA(VLOOKUP(D208,Master!$I:$K,3,FALSE),"")</f>
        <v/>
      </c>
      <c r="L208" s="27" t="str">
        <f>IF(A208&lt;&gt;"CFA",_xlfn.IFNA(VLOOKUP($G208,Master!$V$2:$Z$8,5,0),""),"")</f>
        <v/>
      </c>
      <c r="P208" s="6" t="str">
        <f t="shared" si="6"/>
        <v/>
      </c>
      <c r="Q208" s="13">
        <f t="shared" si="7"/>
        <v>0</v>
      </c>
    </row>
    <row r="209" spans="2:17" ht="15" customHeight="1">
      <c r="B209" s="5" t="str">
        <f>_xlfn.IFNA(VLOOKUP(C209,Master!$H:$I,2,FALSE),"")</f>
        <v/>
      </c>
      <c r="D209" s="5" t="str">
        <f>_xlfn.IFNA(VLOOKUP(E209,Master!$H:$I,2,FALSE),"")</f>
        <v/>
      </c>
      <c r="F209" s="26" t="str">
        <f>+_xlfn.XLOOKUP(G209,Master!$V$2:$V$8,Master!$U$2:$U$8,"")</f>
        <v/>
      </c>
      <c r="I209" s="4" t="str">
        <f>_xlfn.IFNA(VLOOKUP(D209,Master!$I:$K,2,FALSE),"")</f>
        <v/>
      </c>
      <c r="J209" s="4" t="str">
        <f>_xlfn.IFNA(VLOOKUP(D209,Master!$I:$K,3,FALSE),"")</f>
        <v/>
      </c>
      <c r="L209" s="27" t="str">
        <f>IF(A209&lt;&gt;"CFA",_xlfn.IFNA(VLOOKUP($G209,Master!$V$2:$Z$8,5,0),""),"")</f>
        <v/>
      </c>
      <c r="P209" s="6" t="str">
        <f t="shared" si="6"/>
        <v/>
      </c>
      <c r="Q209" s="13">
        <f t="shared" si="7"/>
        <v>0</v>
      </c>
    </row>
    <row r="210" spans="2:17" ht="15" customHeight="1">
      <c r="B210" s="5" t="str">
        <f>_xlfn.IFNA(VLOOKUP(C210,Master!$H:$I,2,FALSE),"")</f>
        <v/>
      </c>
      <c r="D210" s="5" t="str">
        <f>_xlfn.IFNA(VLOOKUP(E210,Master!$H:$I,2,FALSE),"")</f>
        <v/>
      </c>
      <c r="F210" s="26" t="str">
        <f>+_xlfn.XLOOKUP(G210,Master!$V$2:$V$8,Master!$U$2:$U$8,"")</f>
        <v/>
      </c>
      <c r="I210" s="4" t="str">
        <f>_xlfn.IFNA(VLOOKUP(D210,Master!$I:$K,2,FALSE),"")</f>
        <v/>
      </c>
      <c r="J210" s="4" t="str">
        <f>_xlfn.IFNA(VLOOKUP(D210,Master!$I:$K,3,FALSE),"")</f>
        <v/>
      </c>
      <c r="L210" s="27" t="str">
        <f>IF(A210&lt;&gt;"CFA",_xlfn.IFNA(VLOOKUP($G210,Master!$V$2:$Z$8,5,0),""),"")</f>
        <v/>
      </c>
      <c r="P210" s="6" t="str">
        <f t="shared" si="6"/>
        <v/>
      </c>
      <c r="Q210" s="13">
        <f t="shared" si="7"/>
        <v>0</v>
      </c>
    </row>
    <row r="211" spans="2:17" ht="15" customHeight="1">
      <c r="B211" s="5" t="str">
        <f>_xlfn.IFNA(VLOOKUP(C211,Master!$H:$I,2,FALSE),"")</f>
        <v/>
      </c>
      <c r="D211" s="5" t="str">
        <f>_xlfn.IFNA(VLOOKUP(E211,Master!$H:$I,2,FALSE),"")</f>
        <v/>
      </c>
      <c r="F211" s="26" t="str">
        <f>+_xlfn.XLOOKUP(G211,Master!$V$2:$V$8,Master!$U$2:$U$8,"")</f>
        <v/>
      </c>
      <c r="I211" s="4" t="str">
        <f>_xlfn.IFNA(VLOOKUP(D211,Master!$I:$K,2,FALSE),"")</f>
        <v/>
      </c>
      <c r="J211" s="4" t="str">
        <f>_xlfn.IFNA(VLOOKUP(D211,Master!$I:$K,3,FALSE),"")</f>
        <v/>
      </c>
      <c r="L211" s="27" t="str">
        <f>IF(A211&lt;&gt;"CFA",_xlfn.IFNA(VLOOKUP($G211,Master!$V$2:$Z$8,5,0),""),"")</f>
        <v/>
      </c>
      <c r="P211" s="6" t="str">
        <f t="shared" si="6"/>
        <v/>
      </c>
      <c r="Q211" s="13">
        <f t="shared" si="7"/>
        <v>0</v>
      </c>
    </row>
    <row r="212" spans="2:17" ht="15" customHeight="1">
      <c r="B212" s="5" t="str">
        <f>_xlfn.IFNA(VLOOKUP(C212,Master!$H:$I,2,FALSE),"")</f>
        <v/>
      </c>
      <c r="D212" s="5" t="str">
        <f>_xlfn.IFNA(VLOOKUP(E212,Master!$H:$I,2,FALSE),"")</f>
        <v/>
      </c>
      <c r="F212" s="26" t="str">
        <f>+_xlfn.XLOOKUP(G212,Master!$V$2:$V$8,Master!$U$2:$U$8,"")</f>
        <v/>
      </c>
      <c r="I212" s="4" t="str">
        <f>_xlfn.IFNA(VLOOKUP(D212,Master!$I:$K,2,FALSE),"")</f>
        <v/>
      </c>
      <c r="J212" s="4" t="str">
        <f>_xlfn.IFNA(VLOOKUP(D212,Master!$I:$K,3,FALSE),"")</f>
        <v/>
      </c>
      <c r="L212" s="27" t="str">
        <f>IF(A212&lt;&gt;"CFA",_xlfn.IFNA(VLOOKUP($G212,Master!$V$2:$Z$8,5,0),""),"")</f>
        <v/>
      </c>
      <c r="P212" s="6" t="str">
        <f t="shared" si="6"/>
        <v/>
      </c>
      <c r="Q212" s="13">
        <f t="shared" si="7"/>
        <v>0</v>
      </c>
    </row>
    <row r="213" spans="2:17" ht="15" customHeight="1">
      <c r="B213" s="5" t="str">
        <f>_xlfn.IFNA(VLOOKUP(C213,Master!$H:$I,2,FALSE),"")</f>
        <v/>
      </c>
      <c r="D213" s="5" t="str">
        <f>_xlfn.IFNA(VLOOKUP(E213,Master!$H:$I,2,FALSE),"")</f>
        <v/>
      </c>
      <c r="F213" s="26" t="str">
        <f>+_xlfn.XLOOKUP(G213,Master!$V$2:$V$8,Master!$U$2:$U$8,"")</f>
        <v/>
      </c>
      <c r="I213" s="4" t="str">
        <f>_xlfn.IFNA(VLOOKUP(D213,Master!$I:$K,2,FALSE),"")</f>
        <v/>
      </c>
      <c r="J213" s="4" t="str">
        <f>_xlfn.IFNA(VLOOKUP(D213,Master!$I:$K,3,FALSE),"")</f>
        <v/>
      </c>
      <c r="L213" s="27" t="str">
        <f>IF(A213&lt;&gt;"CFA",_xlfn.IFNA(VLOOKUP($G213,Master!$V$2:$Z$8,5,0),""),"")</f>
        <v/>
      </c>
      <c r="P213" s="6" t="str">
        <f t="shared" si="6"/>
        <v/>
      </c>
      <c r="Q213" s="13">
        <f t="shared" si="7"/>
        <v>0</v>
      </c>
    </row>
    <row r="214" spans="2:17" ht="15" customHeight="1">
      <c r="B214" s="5" t="str">
        <f>_xlfn.IFNA(VLOOKUP(C214,Master!$H:$I,2,FALSE),"")</f>
        <v/>
      </c>
      <c r="D214" s="5" t="str">
        <f>_xlfn.IFNA(VLOOKUP(E214,Master!$H:$I,2,FALSE),"")</f>
        <v/>
      </c>
      <c r="F214" s="26" t="str">
        <f>+_xlfn.XLOOKUP(G214,Master!$V$2:$V$8,Master!$U$2:$U$8,"")</f>
        <v/>
      </c>
      <c r="I214" s="4" t="str">
        <f>_xlfn.IFNA(VLOOKUP(D214,Master!$I:$K,2,FALSE),"")</f>
        <v/>
      </c>
      <c r="J214" s="4" t="str">
        <f>_xlfn.IFNA(VLOOKUP(D214,Master!$I:$K,3,FALSE),"")</f>
        <v/>
      </c>
      <c r="L214" s="27" t="str">
        <f>IF(A214&lt;&gt;"CFA",_xlfn.IFNA(VLOOKUP($G214,Master!$V$2:$Z$8,5,0),""),"")</f>
        <v/>
      </c>
      <c r="P214" s="6" t="str">
        <f t="shared" si="6"/>
        <v/>
      </c>
      <c r="Q214" s="13">
        <f t="shared" si="7"/>
        <v>0</v>
      </c>
    </row>
    <row r="215" spans="2:17" ht="15" customHeight="1">
      <c r="B215" s="5" t="str">
        <f>_xlfn.IFNA(VLOOKUP(C215,Master!$H:$I,2,FALSE),"")</f>
        <v/>
      </c>
      <c r="D215" s="5" t="str">
        <f>_xlfn.IFNA(VLOOKUP(E215,Master!$H:$I,2,FALSE),"")</f>
        <v/>
      </c>
      <c r="F215" s="26" t="str">
        <f>+_xlfn.XLOOKUP(G215,Master!$V$2:$V$8,Master!$U$2:$U$8,"")</f>
        <v/>
      </c>
      <c r="I215" s="4" t="str">
        <f>_xlfn.IFNA(VLOOKUP(D215,Master!$I:$K,2,FALSE),"")</f>
        <v/>
      </c>
      <c r="J215" s="4" t="str">
        <f>_xlfn.IFNA(VLOOKUP(D215,Master!$I:$K,3,FALSE),"")</f>
        <v/>
      </c>
      <c r="L215" s="27" t="str">
        <f>IF(A215&lt;&gt;"CFA",_xlfn.IFNA(VLOOKUP($G215,Master!$V$2:$Z$8,5,0),""),"")</f>
        <v/>
      </c>
      <c r="P215" s="6" t="str">
        <f t="shared" si="6"/>
        <v/>
      </c>
      <c r="Q215" s="13">
        <f t="shared" si="7"/>
        <v>0</v>
      </c>
    </row>
    <row r="216" spans="2:17" ht="15" customHeight="1">
      <c r="B216" s="5" t="str">
        <f>_xlfn.IFNA(VLOOKUP(C216,Master!$H:$I,2,FALSE),"")</f>
        <v/>
      </c>
      <c r="D216" s="5" t="str">
        <f>_xlfn.IFNA(VLOOKUP(E216,Master!$H:$I,2,FALSE),"")</f>
        <v/>
      </c>
      <c r="F216" s="26" t="str">
        <f>+_xlfn.XLOOKUP(G216,Master!$V$2:$V$8,Master!$U$2:$U$8,"")</f>
        <v/>
      </c>
      <c r="I216" s="4" t="str">
        <f>_xlfn.IFNA(VLOOKUP(D216,Master!$I:$K,2,FALSE),"")</f>
        <v/>
      </c>
      <c r="J216" s="4" t="str">
        <f>_xlfn.IFNA(VLOOKUP(D216,Master!$I:$K,3,FALSE),"")</f>
        <v/>
      </c>
      <c r="L216" s="27" t="str">
        <f>IF(A216&lt;&gt;"CFA",_xlfn.IFNA(VLOOKUP($G216,Master!$V$2:$Z$8,5,0),""),"")</f>
        <v/>
      </c>
      <c r="P216" s="6" t="str">
        <f t="shared" si="6"/>
        <v/>
      </c>
      <c r="Q216" s="13">
        <f t="shared" si="7"/>
        <v>0</v>
      </c>
    </row>
    <row r="217" spans="2:17" ht="15" customHeight="1">
      <c r="B217" s="5" t="str">
        <f>_xlfn.IFNA(VLOOKUP(C217,Master!$H:$I,2,FALSE),"")</f>
        <v/>
      </c>
      <c r="D217" s="5" t="str">
        <f>_xlfn.IFNA(VLOOKUP(E217,Master!$H:$I,2,FALSE),"")</f>
        <v/>
      </c>
      <c r="F217" s="26" t="str">
        <f>+_xlfn.XLOOKUP(G217,Master!$V$2:$V$8,Master!$U$2:$U$8,"")</f>
        <v/>
      </c>
      <c r="I217" s="4" t="str">
        <f>_xlfn.IFNA(VLOOKUP(D217,Master!$I:$K,2,FALSE),"")</f>
        <v/>
      </c>
      <c r="J217" s="4" t="str">
        <f>_xlfn.IFNA(VLOOKUP(D217,Master!$I:$K,3,FALSE),"")</f>
        <v/>
      </c>
      <c r="L217" s="27" t="str">
        <f>IF(A217&lt;&gt;"CFA",_xlfn.IFNA(VLOOKUP($G217,Master!$V$2:$Z$8,5,0),""),"")</f>
        <v/>
      </c>
      <c r="P217" s="6" t="str">
        <f t="shared" si="6"/>
        <v/>
      </c>
      <c r="Q217" s="13">
        <f t="shared" si="7"/>
        <v>0</v>
      </c>
    </row>
    <row r="218" spans="2:17" ht="15" customHeight="1">
      <c r="B218" s="5" t="str">
        <f>_xlfn.IFNA(VLOOKUP(C218,Master!$H:$I,2,FALSE),"")</f>
        <v/>
      </c>
      <c r="D218" s="5" t="str">
        <f>_xlfn.IFNA(VLOOKUP(E218,Master!$H:$I,2,FALSE),"")</f>
        <v/>
      </c>
      <c r="F218" s="26" t="str">
        <f>+_xlfn.XLOOKUP(G218,Master!$V$2:$V$8,Master!$U$2:$U$8,"")</f>
        <v/>
      </c>
      <c r="I218" s="4" t="str">
        <f>_xlfn.IFNA(VLOOKUP(D218,Master!$I:$K,2,FALSE),"")</f>
        <v/>
      </c>
      <c r="J218" s="4" t="str">
        <f>_xlfn.IFNA(VLOOKUP(D218,Master!$I:$K,3,FALSE),"")</f>
        <v/>
      </c>
      <c r="L218" s="27" t="str">
        <f>IF(A218&lt;&gt;"CFA",_xlfn.IFNA(VLOOKUP($G218,Master!$V$2:$Z$8,5,0),""),"")</f>
        <v/>
      </c>
      <c r="P218" s="6" t="str">
        <f t="shared" si="6"/>
        <v/>
      </c>
      <c r="Q218" s="13">
        <f t="shared" si="7"/>
        <v>0</v>
      </c>
    </row>
    <row r="219" spans="2:17" ht="15" customHeight="1">
      <c r="B219" s="5" t="str">
        <f>_xlfn.IFNA(VLOOKUP(C219,Master!$H:$I,2,FALSE),"")</f>
        <v/>
      </c>
      <c r="D219" s="5" t="str">
        <f>_xlfn.IFNA(VLOOKUP(E219,Master!$H:$I,2,FALSE),"")</f>
        <v/>
      </c>
      <c r="F219" s="26" t="str">
        <f>+_xlfn.XLOOKUP(G219,Master!$V$2:$V$8,Master!$U$2:$U$8,"")</f>
        <v/>
      </c>
      <c r="I219" s="4" t="str">
        <f>_xlfn.IFNA(VLOOKUP(D219,Master!$I:$K,2,FALSE),"")</f>
        <v/>
      </c>
      <c r="J219" s="4" t="str">
        <f>_xlfn.IFNA(VLOOKUP(D219,Master!$I:$K,3,FALSE),"")</f>
        <v/>
      </c>
      <c r="L219" s="27" t="str">
        <f>IF(A219&lt;&gt;"CFA",_xlfn.IFNA(VLOOKUP($G219,Master!$V$2:$Z$8,5,0),""),"")</f>
        <v/>
      </c>
      <c r="P219" s="6" t="str">
        <f t="shared" si="6"/>
        <v/>
      </c>
      <c r="Q219" s="13">
        <f t="shared" si="7"/>
        <v>0</v>
      </c>
    </row>
    <row r="220" spans="2:17" ht="15" customHeight="1">
      <c r="B220" s="5" t="str">
        <f>_xlfn.IFNA(VLOOKUP(C220,Master!$H:$I,2,FALSE),"")</f>
        <v/>
      </c>
      <c r="D220" s="5" t="str">
        <f>_xlfn.IFNA(VLOOKUP(E220,Master!$H:$I,2,FALSE),"")</f>
        <v/>
      </c>
      <c r="F220" s="26" t="str">
        <f>+_xlfn.XLOOKUP(G220,Master!$V$2:$V$8,Master!$U$2:$U$8,"")</f>
        <v/>
      </c>
      <c r="I220" s="4" t="str">
        <f>_xlfn.IFNA(VLOOKUP(D220,Master!$I:$K,2,FALSE),"")</f>
        <v/>
      </c>
      <c r="J220" s="4" t="str">
        <f>_xlfn.IFNA(VLOOKUP(D220,Master!$I:$K,3,FALSE),"")</f>
        <v/>
      </c>
      <c r="L220" s="27" t="str">
        <f>IF(A220&lt;&gt;"CFA",_xlfn.IFNA(VLOOKUP($G220,Master!$V$2:$Z$8,5,0),""),"")</f>
        <v/>
      </c>
      <c r="P220" s="6" t="str">
        <f t="shared" si="6"/>
        <v/>
      </c>
      <c r="Q220" s="13">
        <f t="shared" si="7"/>
        <v>0</v>
      </c>
    </row>
    <row r="221" spans="2:17" ht="15" customHeight="1">
      <c r="B221" s="5" t="str">
        <f>_xlfn.IFNA(VLOOKUP(C221,Master!$H:$I,2,FALSE),"")</f>
        <v/>
      </c>
      <c r="D221" s="5" t="str">
        <f>_xlfn.IFNA(VLOOKUP(E221,Master!$H:$I,2,FALSE),"")</f>
        <v/>
      </c>
      <c r="F221" s="26" t="str">
        <f>+_xlfn.XLOOKUP(G221,Master!$V$2:$V$8,Master!$U$2:$U$8,"")</f>
        <v/>
      </c>
      <c r="I221" s="4" t="str">
        <f>_xlfn.IFNA(VLOOKUP(D221,Master!$I:$K,2,FALSE),"")</f>
        <v/>
      </c>
      <c r="J221" s="4" t="str">
        <f>_xlfn.IFNA(VLOOKUP(D221,Master!$I:$K,3,FALSE),"")</f>
        <v/>
      </c>
      <c r="L221" s="27" t="str">
        <f>IF(A221&lt;&gt;"CFA",_xlfn.IFNA(VLOOKUP($G221,Master!$V$2:$Z$8,5,0),""),"")</f>
        <v/>
      </c>
      <c r="P221" s="6" t="str">
        <f t="shared" si="6"/>
        <v/>
      </c>
      <c r="Q221" s="13">
        <f t="shared" si="7"/>
        <v>0</v>
      </c>
    </row>
    <row r="222" spans="2:17" ht="15" customHeight="1">
      <c r="B222" s="5" t="str">
        <f>_xlfn.IFNA(VLOOKUP(C222,Master!$H:$I,2,FALSE),"")</f>
        <v/>
      </c>
      <c r="D222" s="5" t="str">
        <f>_xlfn.IFNA(VLOOKUP(E222,Master!$H:$I,2,FALSE),"")</f>
        <v/>
      </c>
      <c r="F222" s="26" t="str">
        <f>+_xlfn.XLOOKUP(G222,Master!$V$2:$V$8,Master!$U$2:$U$8,"")</f>
        <v/>
      </c>
      <c r="I222" s="4" t="str">
        <f>_xlfn.IFNA(VLOOKUP(D222,Master!$I:$K,2,FALSE),"")</f>
        <v/>
      </c>
      <c r="J222" s="4" t="str">
        <f>_xlfn.IFNA(VLOOKUP(D222,Master!$I:$K,3,FALSE),"")</f>
        <v/>
      </c>
      <c r="L222" s="27" t="str">
        <f>IF(A222&lt;&gt;"CFA",_xlfn.IFNA(VLOOKUP($G222,Master!$V$2:$Z$8,5,0),""),"")</f>
        <v/>
      </c>
      <c r="P222" s="6" t="str">
        <f t="shared" si="6"/>
        <v/>
      </c>
      <c r="Q222" s="13">
        <f t="shared" si="7"/>
        <v>0</v>
      </c>
    </row>
    <row r="223" spans="2:17" ht="15" customHeight="1">
      <c r="B223" s="5" t="str">
        <f>_xlfn.IFNA(VLOOKUP(C223,Master!$H:$I,2,FALSE),"")</f>
        <v/>
      </c>
      <c r="D223" s="5" t="str">
        <f>_xlfn.IFNA(VLOOKUP(E223,Master!$H:$I,2,FALSE),"")</f>
        <v/>
      </c>
      <c r="F223" s="26" t="str">
        <f>+_xlfn.XLOOKUP(G223,Master!$V$2:$V$8,Master!$U$2:$U$8,"")</f>
        <v/>
      </c>
      <c r="I223" s="4" t="str">
        <f>_xlfn.IFNA(VLOOKUP(D223,Master!$I:$K,2,FALSE),"")</f>
        <v/>
      </c>
      <c r="J223" s="4" t="str">
        <f>_xlfn.IFNA(VLOOKUP(D223,Master!$I:$K,3,FALSE),"")</f>
        <v/>
      </c>
      <c r="L223" s="27" t="str">
        <f>IF(A223&lt;&gt;"CFA",_xlfn.IFNA(VLOOKUP($G223,Master!$V$2:$Z$8,5,0),""),"")</f>
        <v/>
      </c>
      <c r="P223" s="6" t="str">
        <f t="shared" si="6"/>
        <v/>
      </c>
      <c r="Q223" s="13">
        <f t="shared" si="7"/>
        <v>0</v>
      </c>
    </row>
    <row r="224" spans="2:17" ht="15" customHeight="1">
      <c r="B224" s="5" t="str">
        <f>_xlfn.IFNA(VLOOKUP(C224,Master!$H:$I,2,FALSE),"")</f>
        <v/>
      </c>
      <c r="D224" s="5" t="str">
        <f>_xlfn.IFNA(VLOOKUP(E224,Master!$H:$I,2,FALSE),"")</f>
        <v/>
      </c>
      <c r="F224" s="26" t="str">
        <f>+_xlfn.XLOOKUP(G224,Master!$V$2:$V$8,Master!$U$2:$U$8,"")</f>
        <v/>
      </c>
      <c r="I224" s="4" t="str">
        <f>_xlfn.IFNA(VLOOKUP(D224,Master!$I:$K,2,FALSE),"")</f>
        <v/>
      </c>
      <c r="J224" s="4" t="str">
        <f>_xlfn.IFNA(VLOOKUP(D224,Master!$I:$K,3,FALSE),"")</f>
        <v/>
      </c>
      <c r="L224" s="27" t="str">
        <f>IF(A224&lt;&gt;"CFA",_xlfn.IFNA(VLOOKUP($G224,Master!$V$2:$Z$8,5,0),""),"")</f>
        <v/>
      </c>
      <c r="P224" s="6" t="str">
        <f t="shared" si="6"/>
        <v/>
      </c>
      <c r="Q224" s="13">
        <f t="shared" si="7"/>
        <v>0</v>
      </c>
    </row>
    <row r="225" spans="2:17" ht="15" customHeight="1">
      <c r="B225" s="5" t="str">
        <f>_xlfn.IFNA(VLOOKUP(C225,Master!$H:$I,2,FALSE),"")</f>
        <v/>
      </c>
      <c r="D225" s="5" t="str">
        <f>_xlfn.IFNA(VLOOKUP(E225,Master!$H:$I,2,FALSE),"")</f>
        <v/>
      </c>
      <c r="F225" s="26" t="str">
        <f>+_xlfn.XLOOKUP(G225,Master!$V$2:$V$8,Master!$U$2:$U$8,"")</f>
        <v/>
      </c>
      <c r="I225" s="4" t="str">
        <f>_xlfn.IFNA(VLOOKUP(D225,Master!$I:$K,2,FALSE),"")</f>
        <v/>
      </c>
      <c r="J225" s="4" t="str">
        <f>_xlfn.IFNA(VLOOKUP(D225,Master!$I:$K,3,FALSE),"")</f>
        <v/>
      </c>
      <c r="L225" s="27" t="str">
        <f>IF(A225&lt;&gt;"CFA",_xlfn.IFNA(VLOOKUP($G225,Master!$V$2:$Z$8,5,0),""),"")</f>
        <v/>
      </c>
      <c r="P225" s="6" t="str">
        <f t="shared" si="6"/>
        <v/>
      </c>
      <c r="Q225" s="13">
        <f t="shared" si="7"/>
        <v>0</v>
      </c>
    </row>
    <row r="226" spans="2:17" ht="15" customHeight="1">
      <c r="B226" s="5" t="str">
        <f>_xlfn.IFNA(VLOOKUP(C226,Master!$H:$I,2,FALSE),"")</f>
        <v/>
      </c>
      <c r="D226" s="5" t="str">
        <f>_xlfn.IFNA(VLOOKUP(E226,Master!$H:$I,2,FALSE),"")</f>
        <v/>
      </c>
      <c r="F226" s="26" t="str">
        <f>+_xlfn.XLOOKUP(G226,Master!$V$2:$V$8,Master!$U$2:$U$8,"")</f>
        <v/>
      </c>
      <c r="I226" s="4" t="str">
        <f>_xlfn.IFNA(VLOOKUP(D226,Master!$I:$K,2,FALSE),"")</f>
        <v/>
      </c>
      <c r="J226" s="4" t="str">
        <f>_xlfn.IFNA(VLOOKUP(D226,Master!$I:$K,3,FALSE),"")</f>
        <v/>
      </c>
      <c r="L226" s="27" t="str">
        <f>IF(A226&lt;&gt;"CFA",_xlfn.IFNA(VLOOKUP($G226,Master!$V$2:$Z$8,5,0),""),"")</f>
        <v/>
      </c>
      <c r="P226" s="6" t="str">
        <f t="shared" si="6"/>
        <v/>
      </c>
      <c r="Q226" s="13">
        <f t="shared" si="7"/>
        <v>0</v>
      </c>
    </row>
    <row r="227" spans="2:17" ht="15" customHeight="1">
      <c r="B227" s="5" t="str">
        <f>_xlfn.IFNA(VLOOKUP(C227,Master!$H:$I,2,FALSE),"")</f>
        <v/>
      </c>
      <c r="D227" s="5" t="str">
        <f>_xlfn.IFNA(VLOOKUP(E227,Master!$H:$I,2,FALSE),"")</f>
        <v/>
      </c>
      <c r="F227" s="26" t="str">
        <f>+_xlfn.XLOOKUP(G227,Master!$V$2:$V$8,Master!$U$2:$U$8,"")</f>
        <v/>
      </c>
      <c r="I227" s="4" t="str">
        <f>_xlfn.IFNA(VLOOKUP(D227,Master!$I:$K,2,FALSE),"")</f>
        <v/>
      </c>
      <c r="J227" s="4" t="str">
        <f>_xlfn.IFNA(VLOOKUP(D227,Master!$I:$K,3,FALSE),"")</f>
        <v/>
      </c>
      <c r="L227" s="27" t="str">
        <f>IF(A227&lt;&gt;"CFA",_xlfn.IFNA(VLOOKUP($G227,Master!$V$2:$Z$8,5,0),""),"")</f>
        <v/>
      </c>
      <c r="P227" s="6" t="str">
        <f t="shared" si="6"/>
        <v/>
      </c>
      <c r="Q227" s="13">
        <f t="shared" si="7"/>
        <v>0</v>
      </c>
    </row>
    <row r="228" spans="2:17" ht="15" customHeight="1">
      <c r="B228" s="5" t="str">
        <f>_xlfn.IFNA(VLOOKUP(C228,Master!$H:$I,2,FALSE),"")</f>
        <v/>
      </c>
      <c r="D228" s="5" t="str">
        <f>_xlfn.IFNA(VLOOKUP(E228,Master!$H:$I,2,FALSE),"")</f>
        <v/>
      </c>
      <c r="F228" s="26" t="str">
        <f>+_xlfn.XLOOKUP(G228,Master!$V$2:$V$8,Master!$U$2:$U$8,"")</f>
        <v/>
      </c>
      <c r="I228" s="4" t="str">
        <f>_xlfn.IFNA(VLOOKUP(D228,Master!$I:$K,2,FALSE),"")</f>
        <v/>
      </c>
      <c r="J228" s="4" t="str">
        <f>_xlfn.IFNA(VLOOKUP(D228,Master!$I:$K,3,FALSE),"")</f>
        <v/>
      </c>
      <c r="L228" s="27" t="str">
        <f>IF(A228&lt;&gt;"CFA",_xlfn.IFNA(VLOOKUP($G228,Master!$V$2:$Z$8,5,0),""),"")</f>
        <v/>
      </c>
      <c r="P228" s="6" t="str">
        <f t="shared" si="6"/>
        <v/>
      </c>
      <c r="Q228" s="13">
        <f t="shared" si="7"/>
        <v>0</v>
      </c>
    </row>
    <row r="229" spans="2:17" ht="15" customHeight="1">
      <c r="B229" s="5" t="str">
        <f>_xlfn.IFNA(VLOOKUP(C229,Master!$H:$I,2,FALSE),"")</f>
        <v/>
      </c>
      <c r="D229" s="5" t="str">
        <f>_xlfn.IFNA(VLOOKUP(E229,Master!$H:$I,2,FALSE),"")</f>
        <v/>
      </c>
      <c r="F229" s="26" t="str">
        <f>+_xlfn.XLOOKUP(G229,Master!$V$2:$V$8,Master!$U$2:$U$8,"")</f>
        <v/>
      </c>
      <c r="I229" s="4" t="str">
        <f>_xlfn.IFNA(VLOOKUP(D229,Master!$I:$K,2,FALSE),"")</f>
        <v/>
      </c>
      <c r="J229" s="4" t="str">
        <f>_xlfn.IFNA(VLOOKUP(D229,Master!$I:$K,3,FALSE),"")</f>
        <v/>
      </c>
      <c r="L229" s="27" t="str">
        <f>IF(A229&lt;&gt;"CFA",_xlfn.IFNA(VLOOKUP($G229,Master!$V$2:$Z$8,5,0),""),"")</f>
        <v/>
      </c>
      <c r="P229" s="6" t="str">
        <f t="shared" si="6"/>
        <v/>
      </c>
      <c r="Q229" s="13">
        <f t="shared" si="7"/>
        <v>0</v>
      </c>
    </row>
    <row r="230" spans="2:17" ht="15" customHeight="1">
      <c r="B230" s="5" t="str">
        <f>_xlfn.IFNA(VLOOKUP(C230,Master!$H:$I,2,FALSE),"")</f>
        <v/>
      </c>
      <c r="D230" s="5" t="str">
        <f>_xlfn.IFNA(VLOOKUP(E230,Master!$H:$I,2,FALSE),"")</f>
        <v/>
      </c>
      <c r="F230" s="26" t="str">
        <f>+_xlfn.XLOOKUP(G230,Master!$V$2:$V$8,Master!$U$2:$U$8,"")</f>
        <v/>
      </c>
      <c r="I230" s="4" t="str">
        <f>_xlfn.IFNA(VLOOKUP(D230,Master!$I:$K,2,FALSE),"")</f>
        <v/>
      </c>
      <c r="J230" s="4" t="str">
        <f>_xlfn.IFNA(VLOOKUP(D230,Master!$I:$K,3,FALSE),"")</f>
        <v/>
      </c>
      <c r="L230" s="27" t="str">
        <f>IF(A230&lt;&gt;"CFA",_xlfn.IFNA(VLOOKUP($G230,Master!$V$2:$Z$8,5,0),""),"")</f>
        <v/>
      </c>
      <c r="P230" s="6" t="str">
        <f t="shared" si="6"/>
        <v/>
      </c>
      <c r="Q230" s="13">
        <f t="shared" si="7"/>
        <v>0</v>
      </c>
    </row>
    <row r="231" spans="2:17" ht="15" customHeight="1">
      <c r="B231" s="5" t="str">
        <f>_xlfn.IFNA(VLOOKUP(C231,Master!$H:$I,2,FALSE),"")</f>
        <v/>
      </c>
      <c r="D231" s="5" t="str">
        <f>_xlfn.IFNA(VLOOKUP(E231,Master!$H:$I,2,FALSE),"")</f>
        <v/>
      </c>
      <c r="F231" s="26" t="str">
        <f>+_xlfn.XLOOKUP(G231,Master!$V$2:$V$8,Master!$U$2:$U$8,"")</f>
        <v/>
      </c>
      <c r="I231" s="4" t="str">
        <f>_xlfn.IFNA(VLOOKUP(D231,Master!$I:$K,2,FALSE),"")</f>
        <v/>
      </c>
      <c r="J231" s="4" t="str">
        <f>_xlfn.IFNA(VLOOKUP(D231,Master!$I:$K,3,FALSE),"")</f>
        <v/>
      </c>
      <c r="L231" s="27" t="str">
        <f>IF(A231&lt;&gt;"CFA",_xlfn.IFNA(VLOOKUP($G231,Master!$V$2:$Z$8,5,0),""),"")</f>
        <v/>
      </c>
      <c r="P231" s="6" t="str">
        <f t="shared" si="6"/>
        <v/>
      </c>
      <c r="Q231" s="13">
        <f t="shared" si="7"/>
        <v>0</v>
      </c>
    </row>
    <row r="232" spans="2:17" ht="15" customHeight="1">
      <c r="B232" s="5" t="str">
        <f>_xlfn.IFNA(VLOOKUP(C232,Master!$H:$I,2,FALSE),"")</f>
        <v/>
      </c>
      <c r="D232" s="5" t="str">
        <f>_xlfn.IFNA(VLOOKUP(E232,Master!$H:$I,2,FALSE),"")</f>
        <v/>
      </c>
      <c r="F232" s="26" t="str">
        <f>+_xlfn.XLOOKUP(G232,Master!$V$2:$V$8,Master!$U$2:$U$8,"")</f>
        <v/>
      </c>
      <c r="I232" s="4" t="str">
        <f>_xlfn.IFNA(VLOOKUP(D232,Master!$I:$K,2,FALSE),"")</f>
        <v/>
      </c>
      <c r="J232" s="4" t="str">
        <f>_xlfn.IFNA(VLOOKUP(D232,Master!$I:$K,3,FALSE),"")</f>
        <v/>
      </c>
      <c r="L232" s="27" t="str">
        <f>IF(A232&lt;&gt;"CFA",_xlfn.IFNA(VLOOKUP($G232,Master!$V$2:$Z$8,5,0),""),"")</f>
        <v/>
      </c>
      <c r="P232" s="6" t="str">
        <f t="shared" si="6"/>
        <v/>
      </c>
      <c r="Q232" s="13">
        <f t="shared" si="7"/>
        <v>0</v>
      </c>
    </row>
    <row r="233" spans="2:17" ht="15" customHeight="1">
      <c r="B233" s="5" t="str">
        <f>_xlfn.IFNA(VLOOKUP(C233,Master!$H:$I,2,FALSE),"")</f>
        <v/>
      </c>
      <c r="D233" s="5" t="str">
        <f>_xlfn.IFNA(VLOOKUP(E233,Master!$H:$I,2,FALSE),"")</f>
        <v/>
      </c>
      <c r="F233" s="26" t="str">
        <f>+_xlfn.XLOOKUP(G233,Master!$V$2:$V$8,Master!$U$2:$U$8,"")</f>
        <v/>
      </c>
      <c r="I233" s="4" t="str">
        <f>_xlfn.IFNA(VLOOKUP(D233,Master!$I:$K,2,FALSE),"")</f>
        <v/>
      </c>
      <c r="J233" s="4" t="str">
        <f>_xlfn.IFNA(VLOOKUP(D233,Master!$I:$K,3,FALSE),"")</f>
        <v/>
      </c>
      <c r="L233" s="27" t="str">
        <f>IF(A233&lt;&gt;"CFA",_xlfn.IFNA(VLOOKUP($G233,Master!$V$2:$Z$8,5,0),""),"")</f>
        <v/>
      </c>
      <c r="P233" s="6" t="str">
        <f t="shared" si="6"/>
        <v/>
      </c>
      <c r="Q233" s="13">
        <f t="shared" si="7"/>
        <v>0</v>
      </c>
    </row>
    <row r="234" spans="2:17" ht="15" customHeight="1">
      <c r="B234" s="5" t="str">
        <f>_xlfn.IFNA(VLOOKUP(C234,Master!$H:$I,2,FALSE),"")</f>
        <v/>
      </c>
      <c r="D234" s="5" t="str">
        <f>_xlfn.IFNA(VLOOKUP(E234,Master!$H:$I,2,FALSE),"")</f>
        <v/>
      </c>
      <c r="F234" s="26" t="str">
        <f>+_xlfn.XLOOKUP(G234,Master!$V$2:$V$8,Master!$U$2:$U$8,"")</f>
        <v/>
      </c>
      <c r="I234" s="4" t="str">
        <f>_xlfn.IFNA(VLOOKUP(D234,Master!$I:$K,2,FALSE),"")</f>
        <v/>
      </c>
      <c r="J234" s="4" t="str">
        <f>_xlfn.IFNA(VLOOKUP(D234,Master!$I:$K,3,FALSE),"")</f>
        <v/>
      </c>
      <c r="L234" s="27" t="str">
        <f>IF(A234&lt;&gt;"CFA",_xlfn.IFNA(VLOOKUP($G234,Master!$V$2:$Z$8,5,0),""),"")</f>
        <v/>
      </c>
      <c r="P234" s="6" t="str">
        <f t="shared" si="6"/>
        <v/>
      </c>
      <c r="Q234" s="13">
        <f t="shared" si="7"/>
        <v>0</v>
      </c>
    </row>
    <row r="235" spans="2:17" ht="15" customHeight="1">
      <c r="B235" s="5" t="str">
        <f>_xlfn.IFNA(VLOOKUP(C235,Master!$H:$I,2,FALSE),"")</f>
        <v/>
      </c>
      <c r="D235" s="5" t="str">
        <f>_xlfn.IFNA(VLOOKUP(E235,Master!$H:$I,2,FALSE),"")</f>
        <v/>
      </c>
      <c r="F235" s="26" t="str">
        <f>+_xlfn.XLOOKUP(G235,Master!$V$2:$V$8,Master!$U$2:$U$8,"")</f>
        <v/>
      </c>
      <c r="I235" s="4" t="str">
        <f>_xlfn.IFNA(VLOOKUP(D235,Master!$I:$K,2,FALSE),"")</f>
        <v/>
      </c>
      <c r="J235" s="4" t="str">
        <f>_xlfn.IFNA(VLOOKUP(D235,Master!$I:$K,3,FALSE),"")</f>
        <v/>
      </c>
      <c r="L235" s="27" t="str">
        <f>IF(A235&lt;&gt;"CFA",_xlfn.IFNA(VLOOKUP($G235,Master!$V$2:$Z$8,5,0),""),"")</f>
        <v/>
      </c>
      <c r="P235" s="6" t="str">
        <f t="shared" si="6"/>
        <v/>
      </c>
      <c r="Q235" s="13">
        <f t="shared" si="7"/>
        <v>0</v>
      </c>
    </row>
    <row r="236" spans="2:17" ht="15" customHeight="1">
      <c r="B236" s="5" t="str">
        <f>_xlfn.IFNA(VLOOKUP(C236,Master!$H:$I,2,FALSE),"")</f>
        <v/>
      </c>
      <c r="D236" s="5" t="str">
        <f>_xlfn.IFNA(VLOOKUP(E236,Master!$H:$I,2,FALSE),"")</f>
        <v/>
      </c>
      <c r="F236" s="26" t="str">
        <f>+_xlfn.XLOOKUP(G236,Master!$V$2:$V$8,Master!$U$2:$U$8,"")</f>
        <v/>
      </c>
      <c r="I236" s="4" t="str">
        <f>_xlfn.IFNA(VLOOKUP(D236,Master!$I:$K,2,FALSE),"")</f>
        <v/>
      </c>
      <c r="J236" s="4" t="str">
        <f>_xlfn.IFNA(VLOOKUP(D236,Master!$I:$K,3,FALSE),"")</f>
        <v/>
      </c>
      <c r="L236" s="27" t="str">
        <f>IF(A236&lt;&gt;"CFA",_xlfn.IFNA(VLOOKUP($G236,Master!$V$2:$Z$8,5,0),""),"")</f>
        <v/>
      </c>
      <c r="P236" s="6" t="str">
        <f t="shared" si="6"/>
        <v/>
      </c>
      <c r="Q236" s="13">
        <f t="shared" si="7"/>
        <v>0</v>
      </c>
    </row>
    <row r="237" spans="2:17" ht="15" customHeight="1">
      <c r="B237" s="5" t="str">
        <f>_xlfn.IFNA(VLOOKUP(C237,Master!$H:$I,2,FALSE),"")</f>
        <v/>
      </c>
      <c r="D237" s="5" t="str">
        <f>_xlfn.IFNA(VLOOKUP(E237,Master!$H:$I,2,FALSE),"")</f>
        <v/>
      </c>
      <c r="F237" s="26" t="str">
        <f>+_xlfn.XLOOKUP(G237,Master!$V$2:$V$8,Master!$U$2:$U$8,"")</f>
        <v/>
      </c>
      <c r="I237" s="4" t="str">
        <f>_xlfn.IFNA(VLOOKUP(D237,Master!$I:$K,2,FALSE),"")</f>
        <v/>
      </c>
      <c r="J237" s="4" t="str">
        <f>_xlfn.IFNA(VLOOKUP(D237,Master!$I:$K,3,FALSE),"")</f>
        <v/>
      </c>
      <c r="L237" s="27" t="str">
        <f>IF(A237&lt;&gt;"CFA",_xlfn.IFNA(VLOOKUP($G237,Master!$V$2:$Z$8,5,0),""),"")</f>
        <v/>
      </c>
      <c r="P237" s="6" t="str">
        <f t="shared" si="6"/>
        <v/>
      </c>
      <c r="Q237" s="13">
        <f t="shared" si="7"/>
        <v>0</v>
      </c>
    </row>
    <row r="238" spans="2:17" ht="15" customHeight="1">
      <c r="B238" s="5" t="str">
        <f>_xlfn.IFNA(VLOOKUP(C238,Master!$H:$I,2,FALSE),"")</f>
        <v/>
      </c>
      <c r="D238" s="5" t="str">
        <f>_xlfn.IFNA(VLOOKUP(E238,Master!$H:$I,2,FALSE),"")</f>
        <v/>
      </c>
      <c r="F238" s="26" t="str">
        <f>+_xlfn.XLOOKUP(G238,Master!$V$2:$V$8,Master!$U$2:$U$8,"")</f>
        <v/>
      </c>
      <c r="I238" s="4" t="str">
        <f>_xlfn.IFNA(VLOOKUP(D238,Master!$I:$K,2,FALSE),"")</f>
        <v/>
      </c>
      <c r="J238" s="4" t="str">
        <f>_xlfn.IFNA(VLOOKUP(D238,Master!$I:$K,3,FALSE),"")</f>
        <v/>
      </c>
      <c r="L238" s="27" t="str">
        <f>IF(A238&lt;&gt;"CFA",_xlfn.IFNA(VLOOKUP($G238,Master!$V$2:$Z$8,5,0),""),"")</f>
        <v/>
      </c>
      <c r="P238" s="6" t="str">
        <f t="shared" si="6"/>
        <v/>
      </c>
      <c r="Q238" s="13">
        <f t="shared" si="7"/>
        <v>0</v>
      </c>
    </row>
    <row r="239" spans="2:17" ht="15" customHeight="1">
      <c r="B239" s="5" t="str">
        <f>_xlfn.IFNA(VLOOKUP(C239,Master!$H:$I,2,FALSE),"")</f>
        <v/>
      </c>
      <c r="D239" s="5" t="str">
        <f>_xlfn.IFNA(VLOOKUP(E239,Master!$H:$I,2,FALSE),"")</f>
        <v/>
      </c>
      <c r="F239" s="26" t="str">
        <f>+_xlfn.XLOOKUP(G239,Master!$V$2:$V$8,Master!$U$2:$U$8,"")</f>
        <v/>
      </c>
      <c r="I239" s="4" t="str">
        <f>_xlfn.IFNA(VLOOKUP(D239,Master!$I:$K,2,FALSE),"")</f>
        <v/>
      </c>
      <c r="J239" s="4" t="str">
        <f>_xlfn.IFNA(VLOOKUP(D239,Master!$I:$K,3,FALSE),"")</f>
        <v/>
      </c>
      <c r="L239" s="27" t="str">
        <f>IF(A239&lt;&gt;"CFA",_xlfn.IFNA(VLOOKUP($G239,Master!$V$2:$Z$8,5,0),""),"")</f>
        <v/>
      </c>
      <c r="P239" s="6" t="str">
        <f t="shared" si="6"/>
        <v/>
      </c>
      <c r="Q239" s="13">
        <f t="shared" si="7"/>
        <v>0</v>
      </c>
    </row>
    <row r="240" spans="2:17" ht="15" customHeight="1">
      <c r="B240" s="5" t="str">
        <f>_xlfn.IFNA(VLOOKUP(C240,Master!$H:$I,2,FALSE),"")</f>
        <v/>
      </c>
      <c r="D240" s="5" t="str">
        <f>_xlfn.IFNA(VLOOKUP(E240,Master!$H:$I,2,FALSE),"")</f>
        <v/>
      </c>
      <c r="F240" s="26" t="str">
        <f>+_xlfn.XLOOKUP(G240,Master!$V$2:$V$8,Master!$U$2:$U$8,"")</f>
        <v/>
      </c>
      <c r="I240" s="4" t="str">
        <f>_xlfn.IFNA(VLOOKUP(D240,Master!$I:$K,2,FALSE),"")</f>
        <v/>
      </c>
      <c r="J240" s="4" t="str">
        <f>_xlfn.IFNA(VLOOKUP(D240,Master!$I:$K,3,FALSE),"")</f>
        <v/>
      </c>
      <c r="L240" s="27" t="str">
        <f>IF(A240&lt;&gt;"CFA",_xlfn.IFNA(VLOOKUP($G240,Master!$V$2:$Z$8,5,0),""),"")</f>
        <v/>
      </c>
      <c r="P240" s="6" t="str">
        <f t="shared" si="6"/>
        <v/>
      </c>
      <c r="Q240" s="13">
        <f t="shared" si="7"/>
        <v>0</v>
      </c>
    </row>
    <row r="241" spans="2:17" ht="15" customHeight="1">
      <c r="B241" s="5" t="str">
        <f>_xlfn.IFNA(VLOOKUP(C241,Master!$H:$I,2,FALSE),"")</f>
        <v/>
      </c>
      <c r="D241" s="5" t="str">
        <f>_xlfn.IFNA(VLOOKUP(E241,Master!$H:$I,2,FALSE),"")</f>
        <v/>
      </c>
      <c r="F241" s="26" t="str">
        <f>+_xlfn.XLOOKUP(G241,Master!$V$2:$V$8,Master!$U$2:$U$8,"")</f>
        <v/>
      </c>
      <c r="I241" s="4" t="str">
        <f>_xlfn.IFNA(VLOOKUP(D241,Master!$I:$K,2,FALSE),"")</f>
        <v/>
      </c>
      <c r="J241" s="4" t="str">
        <f>_xlfn.IFNA(VLOOKUP(D241,Master!$I:$K,3,FALSE),"")</f>
        <v/>
      </c>
      <c r="L241" s="27" t="str">
        <f>IF(A241&lt;&gt;"CFA",_xlfn.IFNA(VLOOKUP($G241,Master!$V$2:$Z$8,5,0),""),"")</f>
        <v/>
      </c>
      <c r="P241" s="6" t="str">
        <f t="shared" si="6"/>
        <v/>
      </c>
      <c r="Q241" s="13">
        <f t="shared" si="7"/>
        <v>0</v>
      </c>
    </row>
    <row r="242" spans="2:17" ht="15" customHeight="1">
      <c r="B242" s="5" t="str">
        <f>_xlfn.IFNA(VLOOKUP(C242,Master!$H:$I,2,FALSE),"")</f>
        <v/>
      </c>
      <c r="D242" s="5" t="str">
        <f>_xlfn.IFNA(VLOOKUP(E242,Master!$H:$I,2,FALSE),"")</f>
        <v/>
      </c>
      <c r="F242" s="26" t="str">
        <f>+_xlfn.XLOOKUP(G242,Master!$V$2:$V$8,Master!$U$2:$U$8,"")</f>
        <v/>
      </c>
      <c r="I242" s="4" t="str">
        <f>_xlfn.IFNA(VLOOKUP(D242,Master!$I:$K,2,FALSE),"")</f>
        <v/>
      </c>
      <c r="J242" s="4" t="str">
        <f>_xlfn.IFNA(VLOOKUP(D242,Master!$I:$K,3,FALSE),"")</f>
        <v/>
      </c>
      <c r="L242" s="27" t="str">
        <f>IF(A242&lt;&gt;"CFA",_xlfn.IFNA(VLOOKUP($G242,Master!$V$2:$Z$8,5,0),""),"")</f>
        <v/>
      </c>
      <c r="P242" s="6" t="str">
        <f t="shared" si="6"/>
        <v/>
      </c>
      <c r="Q242" s="13">
        <f t="shared" si="7"/>
        <v>0</v>
      </c>
    </row>
    <row r="243" spans="2:17" ht="15" customHeight="1">
      <c r="B243" s="5" t="str">
        <f>_xlfn.IFNA(VLOOKUP(C243,Master!$H:$I,2,FALSE),"")</f>
        <v/>
      </c>
      <c r="D243" s="5" t="str">
        <f>_xlfn.IFNA(VLOOKUP(E243,Master!$H:$I,2,FALSE),"")</f>
        <v/>
      </c>
      <c r="F243" s="26" t="str">
        <f>+_xlfn.XLOOKUP(G243,Master!$V$2:$V$8,Master!$U$2:$U$8,"")</f>
        <v/>
      </c>
      <c r="I243" s="4" t="str">
        <f>_xlfn.IFNA(VLOOKUP(D243,Master!$I:$K,2,FALSE),"")</f>
        <v/>
      </c>
      <c r="J243" s="4" t="str">
        <f>_xlfn.IFNA(VLOOKUP(D243,Master!$I:$K,3,FALSE),"")</f>
        <v/>
      </c>
      <c r="L243" s="27" t="str">
        <f>IF(A243&lt;&gt;"CFA",_xlfn.IFNA(VLOOKUP($G243,Master!$V$2:$Z$8,5,0),""),"")</f>
        <v/>
      </c>
      <c r="P243" s="6" t="str">
        <f t="shared" si="6"/>
        <v/>
      </c>
      <c r="Q243" s="13">
        <f t="shared" si="7"/>
        <v>0</v>
      </c>
    </row>
    <row r="244" spans="2:17" ht="15" customHeight="1">
      <c r="B244" s="5" t="str">
        <f>_xlfn.IFNA(VLOOKUP(C244,Master!$H:$I,2,FALSE),"")</f>
        <v/>
      </c>
      <c r="D244" s="5" t="str">
        <f>_xlfn.IFNA(VLOOKUP(E244,Master!$H:$I,2,FALSE),"")</f>
        <v/>
      </c>
      <c r="F244" s="26" t="str">
        <f>+_xlfn.XLOOKUP(G244,Master!$V$2:$V$8,Master!$U$2:$U$8,"")</f>
        <v/>
      </c>
      <c r="I244" s="4" t="str">
        <f>_xlfn.IFNA(VLOOKUP(D244,Master!$I:$K,2,FALSE),"")</f>
        <v/>
      </c>
      <c r="J244" s="4" t="str">
        <f>_xlfn.IFNA(VLOOKUP(D244,Master!$I:$K,3,FALSE),"")</f>
        <v/>
      </c>
      <c r="L244" s="27" t="str">
        <f>IF(A244&lt;&gt;"CFA",_xlfn.IFNA(VLOOKUP($G244,Master!$V$2:$Z$8,5,0),""),"")</f>
        <v/>
      </c>
      <c r="P244" s="6" t="str">
        <f t="shared" si="6"/>
        <v/>
      </c>
      <c r="Q244" s="13">
        <f t="shared" si="7"/>
        <v>0</v>
      </c>
    </row>
    <row r="245" spans="2:17" ht="15" customHeight="1">
      <c r="B245" s="5" t="str">
        <f>_xlfn.IFNA(VLOOKUP(C245,Master!$H:$I,2,FALSE),"")</f>
        <v/>
      </c>
      <c r="D245" s="5" t="str">
        <f>_xlfn.IFNA(VLOOKUP(E245,Master!$H:$I,2,FALSE),"")</f>
        <v/>
      </c>
      <c r="F245" s="26" t="str">
        <f>+_xlfn.XLOOKUP(G245,Master!$V$2:$V$8,Master!$U$2:$U$8,"")</f>
        <v/>
      </c>
      <c r="I245" s="4" t="str">
        <f>_xlfn.IFNA(VLOOKUP(D245,Master!$I:$K,2,FALSE),"")</f>
        <v/>
      </c>
      <c r="J245" s="4" t="str">
        <f>_xlfn.IFNA(VLOOKUP(D245,Master!$I:$K,3,FALSE),"")</f>
        <v/>
      </c>
      <c r="L245" s="27" t="str">
        <f>IF(A245&lt;&gt;"CFA",_xlfn.IFNA(VLOOKUP($G245,Master!$V$2:$Z$8,5,0),""),"")</f>
        <v/>
      </c>
      <c r="P245" s="6" t="str">
        <f t="shared" si="6"/>
        <v/>
      </c>
      <c r="Q245" s="13">
        <f t="shared" si="7"/>
        <v>0</v>
      </c>
    </row>
    <row r="246" spans="2:17" ht="15" customHeight="1">
      <c r="B246" s="5" t="str">
        <f>_xlfn.IFNA(VLOOKUP(C246,Master!$H:$I,2,FALSE),"")</f>
        <v/>
      </c>
      <c r="D246" s="5" t="str">
        <f>_xlfn.IFNA(VLOOKUP(E246,Master!$H:$I,2,FALSE),"")</f>
        <v/>
      </c>
      <c r="F246" s="26" t="str">
        <f>+_xlfn.XLOOKUP(G246,Master!$V$2:$V$8,Master!$U$2:$U$8,"")</f>
        <v/>
      </c>
      <c r="I246" s="4" t="str">
        <f>_xlfn.IFNA(VLOOKUP(D246,Master!$I:$K,2,FALSE),"")</f>
        <v/>
      </c>
      <c r="J246" s="4" t="str">
        <f>_xlfn.IFNA(VLOOKUP(D246,Master!$I:$K,3,FALSE),"")</f>
        <v/>
      </c>
      <c r="L246" s="27" t="str">
        <f>IF(A246&lt;&gt;"CFA",_xlfn.IFNA(VLOOKUP($G246,Master!$V$2:$Z$8,5,0),""),"")</f>
        <v/>
      </c>
      <c r="P246" s="6" t="str">
        <f t="shared" si="6"/>
        <v/>
      </c>
      <c r="Q246" s="13">
        <f t="shared" si="7"/>
        <v>0</v>
      </c>
    </row>
    <row r="247" spans="2:17" ht="15" customHeight="1">
      <c r="B247" s="5" t="str">
        <f>_xlfn.IFNA(VLOOKUP(C247,Master!$H:$I,2,FALSE),"")</f>
        <v/>
      </c>
      <c r="D247" s="5" t="str">
        <f>_xlfn.IFNA(VLOOKUP(E247,Master!$H:$I,2,FALSE),"")</f>
        <v/>
      </c>
      <c r="F247" s="26" t="str">
        <f>+_xlfn.XLOOKUP(G247,Master!$V$2:$V$8,Master!$U$2:$U$8,"")</f>
        <v/>
      </c>
      <c r="I247" s="4" t="str">
        <f>_xlfn.IFNA(VLOOKUP(D247,Master!$I:$K,2,FALSE),"")</f>
        <v/>
      </c>
      <c r="J247" s="4" t="str">
        <f>_xlfn.IFNA(VLOOKUP(D247,Master!$I:$K,3,FALSE),"")</f>
        <v/>
      </c>
      <c r="L247" s="27" t="str">
        <f>IF(A247&lt;&gt;"CFA",_xlfn.IFNA(VLOOKUP($G247,Master!$V$2:$Z$8,5,0),""),"")</f>
        <v/>
      </c>
      <c r="P247" s="6" t="str">
        <f t="shared" ref="P247:P310" si="8">IF(N247&lt;&gt;"",IF(MONTH(N247)&gt;=4,"FY1"&amp;RIGHT(YEAR(N247)+1,2),"FY1"&amp;RIGHT(YEAR(N247),2)),"")</f>
        <v/>
      </c>
      <c r="Q247" s="13">
        <f t="shared" ref="Q247:Q310" si="9">IF(K247&gt;0&amp;M247&gt;0,K247*M247,"")</f>
        <v>0</v>
      </c>
    </row>
    <row r="248" spans="2:17" ht="15" customHeight="1">
      <c r="B248" s="5" t="str">
        <f>_xlfn.IFNA(VLOOKUP(C248,Master!$H:$I,2,FALSE),"")</f>
        <v/>
      </c>
      <c r="D248" s="5" t="str">
        <f>_xlfn.IFNA(VLOOKUP(E248,Master!$H:$I,2,FALSE),"")</f>
        <v/>
      </c>
      <c r="F248" s="26" t="str">
        <f>+_xlfn.XLOOKUP(G248,Master!$V$2:$V$8,Master!$U$2:$U$8,"")</f>
        <v/>
      </c>
      <c r="I248" s="4" t="str">
        <f>_xlfn.IFNA(VLOOKUP(D248,Master!$I:$K,2,FALSE),"")</f>
        <v/>
      </c>
      <c r="J248" s="4" t="str">
        <f>_xlfn.IFNA(VLOOKUP(D248,Master!$I:$K,3,FALSE),"")</f>
        <v/>
      </c>
      <c r="L248" s="27" t="str">
        <f>IF(A248&lt;&gt;"CFA",_xlfn.IFNA(VLOOKUP($G248,Master!$V$2:$Z$8,5,0),""),"")</f>
        <v/>
      </c>
      <c r="P248" s="6" t="str">
        <f t="shared" si="8"/>
        <v/>
      </c>
      <c r="Q248" s="13">
        <f t="shared" si="9"/>
        <v>0</v>
      </c>
    </row>
    <row r="249" spans="2:17" ht="15" customHeight="1">
      <c r="B249" s="5" t="str">
        <f>_xlfn.IFNA(VLOOKUP(C249,Master!$H:$I,2,FALSE),"")</f>
        <v/>
      </c>
      <c r="D249" s="5" t="str">
        <f>_xlfn.IFNA(VLOOKUP(E249,Master!$H:$I,2,FALSE),"")</f>
        <v/>
      </c>
      <c r="F249" s="26" t="str">
        <f>+_xlfn.XLOOKUP(G249,Master!$V$2:$V$8,Master!$U$2:$U$8,"")</f>
        <v/>
      </c>
      <c r="I249" s="4" t="str">
        <f>_xlfn.IFNA(VLOOKUP(D249,Master!$I:$K,2,FALSE),"")</f>
        <v/>
      </c>
      <c r="J249" s="4" t="str">
        <f>_xlfn.IFNA(VLOOKUP(D249,Master!$I:$K,3,FALSE),"")</f>
        <v/>
      </c>
      <c r="L249" s="27" t="str">
        <f>IF(A249&lt;&gt;"CFA",_xlfn.IFNA(VLOOKUP($G249,Master!$V$2:$Z$8,5,0),""),"")</f>
        <v/>
      </c>
      <c r="P249" s="6" t="str">
        <f t="shared" si="8"/>
        <v/>
      </c>
      <c r="Q249" s="13">
        <f t="shared" si="9"/>
        <v>0</v>
      </c>
    </row>
    <row r="250" spans="2:17" ht="15" customHeight="1">
      <c r="B250" s="5" t="str">
        <f>_xlfn.IFNA(VLOOKUP(C250,Master!$H:$I,2,FALSE),"")</f>
        <v/>
      </c>
      <c r="D250" s="5" t="str">
        <f>_xlfn.IFNA(VLOOKUP(E250,Master!$H:$I,2,FALSE),"")</f>
        <v/>
      </c>
      <c r="F250" s="26" t="str">
        <f>+_xlfn.XLOOKUP(G250,Master!$V$2:$V$8,Master!$U$2:$U$8,"")</f>
        <v/>
      </c>
      <c r="I250" s="4" t="str">
        <f>_xlfn.IFNA(VLOOKUP(D250,Master!$I:$K,2,FALSE),"")</f>
        <v/>
      </c>
      <c r="J250" s="4" t="str">
        <f>_xlfn.IFNA(VLOOKUP(D250,Master!$I:$K,3,FALSE),"")</f>
        <v/>
      </c>
      <c r="L250" s="27" t="str">
        <f>IF(A250&lt;&gt;"CFA",_xlfn.IFNA(VLOOKUP($G250,Master!$V$2:$Z$8,5,0),""),"")</f>
        <v/>
      </c>
      <c r="P250" s="6" t="str">
        <f t="shared" si="8"/>
        <v/>
      </c>
      <c r="Q250" s="13">
        <f t="shared" si="9"/>
        <v>0</v>
      </c>
    </row>
    <row r="251" spans="2:17" ht="15" customHeight="1">
      <c r="B251" s="5" t="str">
        <f>_xlfn.IFNA(VLOOKUP(C251,Master!$H:$I,2,FALSE),"")</f>
        <v/>
      </c>
      <c r="D251" s="5" t="str">
        <f>_xlfn.IFNA(VLOOKUP(E251,Master!$H:$I,2,FALSE),"")</f>
        <v/>
      </c>
      <c r="F251" s="26" t="str">
        <f>+_xlfn.XLOOKUP(G251,Master!$V$2:$V$8,Master!$U$2:$U$8,"")</f>
        <v/>
      </c>
      <c r="I251" s="4" t="str">
        <f>_xlfn.IFNA(VLOOKUP(D251,Master!$I:$K,2,FALSE),"")</f>
        <v/>
      </c>
      <c r="J251" s="4" t="str">
        <f>_xlfn.IFNA(VLOOKUP(D251,Master!$I:$K,3,FALSE),"")</f>
        <v/>
      </c>
      <c r="L251" s="27" t="str">
        <f>IF(A251&lt;&gt;"CFA",_xlfn.IFNA(VLOOKUP($G251,Master!$V$2:$Z$8,5,0),""),"")</f>
        <v/>
      </c>
      <c r="P251" s="6" t="str">
        <f t="shared" si="8"/>
        <v/>
      </c>
      <c r="Q251" s="13">
        <f t="shared" si="9"/>
        <v>0</v>
      </c>
    </row>
    <row r="252" spans="2:17" ht="15" customHeight="1">
      <c r="B252" s="5" t="str">
        <f>_xlfn.IFNA(VLOOKUP(C252,Master!$H:$I,2,FALSE),"")</f>
        <v/>
      </c>
      <c r="D252" s="5" t="str">
        <f>_xlfn.IFNA(VLOOKUP(E252,Master!$H:$I,2,FALSE),"")</f>
        <v/>
      </c>
      <c r="F252" s="26" t="str">
        <f>+_xlfn.XLOOKUP(G252,Master!$V$2:$V$8,Master!$U$2:$U$8,"")</f>
        <v/>
      </c>
      <c r="I252" s="4" t="str">
        <f>_xlfn.IFNA(VLOOKUP(D252,Master!$I:$K,2,FALSE),"")</f>
        <v/>
      </c>
      <c r="J252" s="4" t="str">
        <f>_xlfn.IFNA(VLOOKUP(D252,Master!$I:$K,3,FALSE),"")</f>
        <v/>
      </c>
      <c r="L252" s="27" t="str">
        <f>IF(A252&lt;&gt;"CFA",_xlfn.IFNA(VLOOKUP($G252,Master!$V$2:$Z$8,5,0),""),"")</f>
        <v/>
      </c>
      <c r="P252" s="6" t="str">
        <f t="shared" si="8"/>
        <v/>
      </c>
      <c r="Q252" s="13">
        <f t="shared" si="9"/>
        <v>0</v>
      </c>
    </row>
    <row r="253" spans="2:17" ht="15" customHeight="1">
      <c r="B253" s="5" t="str">
        <f>_xlfn.IFNA(VLOOKUP(C253,Master!$H:$I,2,FALSE),"")</f>
        <v/>
      </c>
      <c r="D253" s="5" t="str">
        <f>_xlfn.IFNA(VLOOKUP(E253,Master!$H:$I,2,FALSE),"")</f>
        <v/>
      </c>
      <c r="F253" s="26" t="str">
        <f>+_xlfn.XLOOKUP(G253,Master!$V$2:$V$8,Master!$U$2:$U$8,"")</f>
        <v/>
      </c>
      <c r="I253" s="4" t="str">
        <f>_xlfn.IFNA(VLOOKUP(D253,Master!$I:$K,2,FALSE),"")</f>
        <v/>
      </c>
      <c r="J253" s="4" t="str">
        <f>_xlfn.IFNA(VLOOKUP(D253,Master!$I:$K,3,FALSE),"")</f>
        <v/>
      </c>
      <c r="L253" s="27" t="str">
        <f>IF(A253&lt;&gt;"CFA",_xlfn.IFNA(VLOOKUP($G253,Master!$V$2:$Z$8,5,0),""),"")</f>
        <v/>
      </c>
      <c r="P253" s="6" t="str">
        <f t="shared" si="8"/>
        <v/>
      </c>
      <c r="Q253" s="13">
        <f t="shared" si="9"/>
        <v>0</v>
      </c>
    </row>
    <row r="254" spans="2:17" ht="15" customHeight="1">
      <c r="B254" s="5" t="str">
        <f>_xlfn.IFNA(VLOOKUP(C254,Master!$H:$I,2,FALSE),"")</f>
        <v/>
      </c>
      <c r="D254" s="5" t="str">
        <f>_xlfn.IFNA(VLOOKUP(E254,Master!$H:$I,2,FALSE),"")</f>
        <v/>
      </c>
      <c r="F254" s="26" t="str">
        <f>+_xlfn.XLOOKUP(G254,Master!$V$2:$V$8,Master!$U$2:$U$8,"")</f>
        <v/>
      </c>
      <c r="I254" s="4" t="str">
        <f>_xlfn.IFNA(VLOOKUP(D254,Master!$I:$K,2,FALSE),"")</f>
        <v/>
      </c>
      <c r="J254" s="4" t="str">
        <f>_xlfn.IFNA(VLOOKUP(D254,Master!$I:$K,3,FALSE),"")</f>
        <v/>
      </c>
      <c r="L254" s="27" t="str">
        <f>IF(A254&lt;&gt;"CFA",_xlfn.IFNA(VLOOKUP($G254,Master!$V$2:$Z$8,5,0),""),"")</f>
        <v/>
      </c>
      <c r="P254" s="6" t="str">
        <f t="shared" si="8"/>
        <v/>
      </c>
      <c r="Q254" s="13">
        <f t="shared" si="9"/>
        <v>0</v>
      </c>
    </row>
    <row r="255" spans="2:17" ht="15" customHeight="1">
      <c r="B255" s="5" t="str">
        <f>_xlfn.IFNA(VLOOKUP(C255,Master!$H:$I,2,FALSE),"")</f>
        <v/>
      </c>
      <c r="D255" s="5" t="str">
        <f>_xlfn.IFNA(VLOOKUP(E255,Master!$H:$I,2,FALSE),"")</f>
        <v/>
      </c>
      <c r="F255" s="26" t="str">
        <f>+_xlfn.XLOOKUP(G255,Master!$V$2:$V$8,Master!$U$2:$U$8,"")</f>
        <v/>
      </c>
      <c r="I255" s="4" t="str">
        <f>_xlfn.IFNA(VLOOKUP(D255,Master!$I:$K,2,FALSE),"")</f>
        <v/>
      </c>
      <c r="J255" s="4" t="str">
        <f>_xlfn.IFNA(VLOOKUP(D255,Master!$I:$K,3,FALSE),"")</f>
        <v/>
      </c>
      <c r="L255" s="27" t="str">
        <f>IF(A255&lt;&gt;"CFA",_xlfn.IFNA(VLOOKUP($G255,Master!$V$2:$Z$8,5,0),""),"")</f>
        <v/>
      </c>
      <c r="P255" s="6" t="str">
        <f t="shared" si="8"/>
        <v/>
      </c>
      <c r="Q255" s="13">
        <f t="shared" si="9"/>
        <v>0</v>
      </c>
    </row>
    <row r="256" spans="2:17" ht="15" customHeight="1">
      <c r="B256" s="5" t="str">
        <f>_xlfn.IFNA(VLOOKUP(C256,Master!$H:$I,2,FALSE),"")</f>
        <v/>
      </c>
      <c r="D256" s="5" t="str">
        <f>_xlfn.IFNA(VLOOKUP(E256,Master!$H:$I,2,FALSE),"")</f>
        <v/>
      </c>
      <c r="F256" s="26" t="str">
        <f>+_xlfn.XLOOKUP(G256,Master!$V$2:$V$8,Master!$U$2:$U$8,"")</f>
        <v/>
      </c>
      <c r="I256" s="4" t="str">
        <f>_xlfn.IFNA(VLOOKUP(D256,Master!$I:$K,2,FALSE),"")</f>
        <v/>
      </c>
      <c r="J256" s="4" t="str">
        <f>_xlfn.IFNA(VLOOKUP(D256,Master!$I:$K,3,FALSE),"")</f>
        <v/>
      </c>
      <c r="L256" s="27" t="str">
        <f>IF(A256&lt;&gt;"CFA",_xlfn.IFNA(VLOOKUP($G256,Master!$V$2:$Z$8,5,0),""),"")</f>
        <v/>
      </c>
      <c r="P256" s="6" t="str">
        <f t="shared" si="8"/>
        <v/>
      </c>
      <c r="Q256" s="13">
        <f t="shared" si="9"/>
        <v>0</v>
      </c>
    </row>
    <row r="257" spans="2:17" ht="15" customHeight="1">
      <c r="B257" s="5" t="str">
        <f>_xlfn.IFNA(VLOOKUP(C257,Master!$H:$I,2,FALSE),"")</f>
        <v/>
      </c>
      <c r="D257" s="5" t="str">
        <f>_xlfn.IFNA(VLOOKUP(E257,Master!$H:$I,2,FALSE),"")</f>
        <v/>
      </c>
      <c r="F257" s="26" t="str">
        <f>+_xlfn.XLOOKUP(G257,Master!$V$2:$V$8,Master!$U$2:$U$8,"")</f>
        <v/>
      </c>
      <c r="I257" s="4" t="str">
        <f>_xlfn.IFNA(VLOOKUP(D257,Master!$I:$K,2,FALSE),"")</f>
        <v/>
      </c>
      <c r="J257" s="4" t="str">
        <f>_xlfn.IFNA(VLOOKUP(D257,Master!$I:$K,3,FALSE),"")</f>
        <v/>
      </c>
      <c r="L257" s="27" t="str">
        <f>IF(A257&lt;&gt;"CFA",_xlfn.IFNA(VLOOKUP($G257,Master!$V$2:$Z$8,5,0),""),"")</f>
        <v/>
      </c>
      <c r="P257" s="6" t="str">
        <f t="shared" si="8"/>
        <v/>
      </c>
      <c r="Q257" s="13">
        <f t="shared" si="9"/>
        <v>0</v>
      </c>
    </row>
    <row r="258" spans="2:17" ht="15" customHeight="1">
      <c r="B258" s="5" t="str">
        <f>_xlfn.IFNA(VLOOKUP(C258,Master!$H:$I,2,FALSE),"")</f>
        <v/>
      </c>
      <c r="D258" s="5" t="str">
        <f>_xlfn.IFNA(VLOOKUP(E258,Master!$H:$I,2,FALSE),"")</f>
        <v/>
      </c>
      <c r="F258" s="26" t="str">
        <f>+_xlfn.XLOOKUP(G258,Master!$V$2:$V$8,Master!$U$2:$U$8,"")</f>
        <v/>
      </c>
      <c r="I258" s="4" t="str">
        <f>_xlfn.IFNA(VLOOKUP(D258,Master!$I:$K,2,FALSE),"")</f>
        <v/>
      </c>
      <c r="J258" s="4" t="str">
        <f>_xlfn.IFNA(VLOOKUP(D258,Master!$I:$K,3,FALSE),"")</f>
        <v/>
      </c>
      <c r="L258" s="27" t="str">
        <f>IF(A258&lt;&gt;"CFA",_xlfn.IFNA(VLOOKUP($G258,Master!$V$2:$Z$8,5,0),""),"")</f>
        <v/>
      </c>
      <c r="P258" s="6" t="str">
        <f t="shared" si="8"/>
        <v/>
      </c>
      <c r="Q258" s="13">
        <f t="shared" si="9"/>
        <v>0</v>
      </c>
    </row>
    <row r="259" spans="2:17" ht="15" customHeight="1">
      <c r="B259" s="5" t="str">
        <f>_xlfn.IFNA(VLOOKUP(C259,Master!$H:$I,2,FALSE),"")</f>
        <v/>
      </c>
      <c r="D259" s="5" t="str">
        <f>_xlfn.IFNA(VLOOKUP(E259,Master!$H:$I,2,FALSE),"")</f>
        <v/>
      </c>
      <c r="F259" s="26" t="str">
        <f>+_xlfn.XLOOKUP(G259,Master!$V$2:$V$8,Master!$U$2:$U$8,"")</f>
        <v/>
      </c>
      <c r="I259" s="4" t="str">
        <f>_xlfn.IFNA(VLOOKUP(D259,Master!$I:$K,2,FALSE),"")</f>
        <v/>
      </c>
      <c r="J259" s="4" t="str">
        <f>_xlfn.IFNA(VLOOKUP(D259,Master!$I:$K,3,FALSE),"")</f>
        <v/>
      </c>
      <c r="L259" s="27" t="str">
        <f>IF(A259&lt;&gt;"CFA",_xlfn.IFNA(VLOOKUP($G259,Master!$V$2:$Z$8,5,0),""),"")</f>
        <v/>
      </c>
      <c r="P259" s="6" t="str">
        <f t="shared" si="8"/>
        <v/>
      </c>
      <c r="Q259" s="13">
        <f t="shared" si="9"/>
        <v>0</v>
      </c>
    </row>
    <row r="260" spans="2:17" ht="15" customHeight="1">
      <c r="B260" s="5" t="str">
        <f>_xlfn.IFNA(VLOOKUP(C260,Master!$H:$I,2,FALSE),"")</f>
        <v/>
      </c>
      <c r="D260" s="5" t="str">
        <f>_xlfn.IFNA(VLOOKUP(E260,Master!$H:$I,2,FALSE),"")</f>
        <v/>
      </c>
      <c r="F260" s="26" t="str">
        <f>+_xlfn.XLOOKUP(G260,Master!$V$2:$V$8,Master!$U$2:$U$8,"")</f>
        <v/>
      </c>
      <c r="I260" s="4" t="str">
        <f>_xlfn.IFNA(VLOOKUP(D260,Master!$I:$K,2,FALSE),"")</f>
        <v/>
      </c>
      <c r="J260" s="4" t="str">
        <f>_xlfn.IFNA(VLOOKUP(D260,Master!$I:$K,3,FALSE),"")</f>
        <v/>
      </c>
      <c r="L260" s="27" t="str">
        <f>IF(A260&lt;&gt;"CFA",_xlfn.IFNA(VLOOKUP($G260,Master!$V$2:$Z$8,5,0),""),"")</f>
        <v/>
      </c>
      <c r="P260" s="6" t="str">
        <f t="shared" si="8"/>
        <v/>
      </c>
      <c r="Q260" s="13">
        <f t="shared" si="9"/>
        <v>0</v>
      </c>
    </row>
    <row r="261" spans="2:17" ht="15" customHeight="1">
      <c r="B261" s="5" t="str">
        <f>_xlfn.IFNA(VLOOKUP(C261,Master!$H:$I,2,FALSE),"")</f>
        <v/>
      </c>
      <c r="D261" s="5" t="str">
        <f>_xlfn.IFNA(VLOOKUP(E261,Master!$H:$I,2,FALSE),"")</f>
        <v/>
      </c>
      <c r="F261" s="26" t="str">
        <f>+_xlfn.XLOOKUP(G261,Master!$V$2:$V$8,Master!$U$2:$U$8,"")</f>
        <v/>
      </c>
      <c r="I261" s="4" t="str">
        <f>_xlfn.IFNA(VLOOKUP(D261,Master!$I:$K,2,FALSE),"")</f>
        <v/>
      </c>
      <c r="J261" s="4" t="str">
        <f>_xlfn.IFNA(VLOOKUP(D261,Master!$I:$K,3,FALSE),"")</f>
        <v/>
      </c>
      <c r="L261" s="27" t="str">
        <f>IF(A261&lt;&gt;"CFA",_xlfn.IFNA(VLOOKUP($G261,Master!$V$2:$Z$8,5,0),""),"")</f>
        <v/>
      </c>
      <c r="P261" s="6" t="str">
        <f t="shared" si="8"/>
        <v/>
      </c>
      <c r="Q261" s="13">
        <f t="shared" si="9"/>
        <v>0</v>
      </c>
    </row>
    <row r="262" spans="2:17" ht="15" customHeight="1">
      <c r="B262" s="5" t="str">
        <f>_xlfn.IFNA(VLOOKUP(C262,Master!$H:$I,2,FALSE),"")</f>
        <v/>
      </c>
      <c r="D262" s="5" t="str">
        <f>_xlfn.IFNA(VLOOKUP(E262,Master!$H:$I,2,FALSE),"")</f>
        <v/>
      </c>
      <c r="F262" s="26" t="str">
        <f>+_xlfn.XLOOKUP(G262,Master!$V$2:$V$8,Master!$U$2:$U$8,"")</f>
        <v/>
      </c>
      <c r="I262" s="4" t="str">
        <f>_xlfn.IFNA(VLOOKUP(D262,Master!$I:$K,2,FALSE),"")</f>
        <v/>
      </c>
      <c r="J262" s="4" t="str">
        <f>_xlfn.IFNA(VLOOKUP(D262,Master!$I:$K,3,FALSE),"")</f>
        <v/>
      </c>
      <c r="L262" s="27" t="str">
        <f>IF(A262&lt;&gt;"CFA",_xlfn.IFNA(VLOOKUP($G262,Master!$V$2:$Z$8,5,0),""),"")</f>
        <v/>
      </c>
      <c r="P262" s="6" t="str">
        <f t="shared" si="8"/>
        <v/>
      </c>
      <c r="Q262" s="13">
        <f t="shared" si="9"/>
        <v>0</v>
      </c>
    </row>
    <row r="263" spans="2:17" ht="15" customHeight="1">
      <c r="B263" s="5" t="str">
        <f>_xlfn.IFNA(VLOOKUP(C263,Master!$H:$I,2,FALSE),"")</f>
        <v/>
      </c>
      <c r="D263" s="5" t="str">
        <f>_xlfn.IFNA(VLOOKUP(E263,Master!$H:$I,2,FALSE),"")</f>
        <v/>
      </c>
      <c r="F263" s="26" t="str">
        <f>+_xlfn.XLOOKUP(G263,Master!$V$2:$V$8,Master!$U$2:$U$8,"")</f>
        <v/>
      </c>
      <c r="I263" s="4" t="str">
        <f>_xlfn.IFNA(VLOOKUP(D263,Master!$I:$K,2,FALSE),"")</f>
        <v/>
      </c>
      <c r="J263" s="4" t="str">
        <f>_xlfn.IFNA(VLOOKUP(D263,Master!$I:$K,3,FALSE),"")</f>
        <v/>
      </c>
      <c r="L263" s="27" t="str">
        <f>IF(A263&lt;&gt;"CFA",_xlfn.IFNA(VLOOKUP($G263,Master!$V$2:$Z$8,5,0),""),"")</f>
        <v/>
      </c>
      <c r="P263" s="6" t="str">
        <f t="shared" si="8"/>
        <v/>
      </c>
      <c r="Q263" s="13">
        <f t="shared" si="9"/>
        <v>0</v>
      </c>
    </row>
    <row r="264" spans="2:17" ht="15" customHeight="1">
      <c r="B264" s="5" t="str">
        <f>_xlfn.IFNA(VLOOKUP(C264,Master!$H:$I,2,FALSE),"")</f>
        <v/>
      </c>
      <c r="D264" s="5" t="str">
        <f>_xlfn.IFNA(VLOOKUP(E264,Master!$H:$I,2,FALSE),"")</f>
        <v/>
      </c>
      <c r="F264" s="26" t="str">
        <f>+_xlfn.XLOOKUP(G264,Master!$V$2:$V$8,Master!$U$2:$U$8,"")</f>
        <v/>
      </c>
      <c r="I264" s="4" t="str">
        <f>_xlfn.IFNA(VLOOKUP(D264,Master!$I:$K,2,FALSE),"")</f>
        <v/>
      </c>
      <c r="J264" s="4" t="str">
        <f>_xlfn.IFNA(VLOOKUP(D264,Master!$I:$K,3,FALSE),"")</f>
        <v/>
      </c>
      <c r="L264" s="27" t="str">
        <f>IF(A264&lt;&gt;"CFA",_xlfn.IFNA(VLOOKUP($G264,Master!$V$2:$Z$8,5,0),""),"")</f>
        <v/>
      </c>
      <c r="P264" s="6" t="str">
        <f t="shared" si="8"/>
        <v/>
      </c>
      <c r="Q264" s="13">
        <f t="shared" si="9"/>
        <v>0</v>
      </c>
    </row>
    <row r="265" spans="2:17" ht="15" customHeight="1">
      <c r="B265" s="5" t="str">
        <f>_xlfn.IFNA(VLOOKUP(C265,Master!$H:$I,2,FALSE),"")</f>
        <v/>
      </c>
      <c r="D265" s="5" t="str">
        <f>_xlfn.IFNA(VLOOKUP(E265,Master!$H:$I,2,FALSE),"")</f>
        <v/>
      </c>
      <c r="F265" s="26" t="str">
        <f>+_xlfn.XLOOKUP(G265,Master!$V$2:$V$8,Master!$U$2:$U$8,"")</f>
        <v/>
      </c>
      <c r="I265" s="4" t="str">
        <f>_xlfn.IFNA(VLOOKUP(D265,Master!$I:$K,2,FALSE),"")</f>
        <v/>
      </c>
      <c r="J265" s="4" t="str">
        <f>_xlfn.IFNA(VLOOKUP(D265,Master!$I:$K,3,FALSE),"")</f>
        <v/>
      </c>
      <c r="L265" s="27" t="str">
        <f>IF(A265&lt;&gt;"CFA",_xlfn.IFNA(VLOOKUP($G265,Master!$V$2:$Z$8,5,0),""),"")</f>
        <v/>
      </c>
      <c r="P265" s="6" t="str">
        <f t="shared" si="8"/>
        <v/>
      </c>
      <c r="Q265" s="13">
        <f t="shared" si="9"/>
        <v>0</v>
      </c>
    </row>
    <row r="266" spans="2:17" ht="15" customHeight="1">
      <c r="B266" s="5" t="str">
        <f>_xlfn.IFNA(VLOOKUP(C266,Master!$H:$I,2,FALSE),"")</f>
        <v/>
      </c>
      <c r="D266" s="5" t="str">
        <f>_xlfn.IFNA(VLOOKUP(E266,Master!$H:$I,2,FALSE),"")</f>
        <v/>
      </c>
      <c r="F266" s="26" t="str">
        <f>+_xlfn.XLOOKUP(G266,Master!$V$2:$V$8,Master!$U$2:$U$8,"")</f>
        <v/>
      </c>
      <c r="I266" s="4" t="str">
        <f>_xlfn.IFNA(VLOOKUP(D266,Master!$I:$K,2,FALSE),"")</f>
        <v/>
      </c>
      <c r="J266" s="4" t="str">
        <f>_xlfn.IFNA(VLOOKUP(D266,Master!$I:$K,3,FALSE),"")</f>
        <v/>
      </c>
      <c r="L266" s="27" t="str">
        <f>IF(A266&lt;&gt;"CFA",_xlfn.IFNA(VLOOKUP($G266,Master!$V$2:$Z$8,5,0),""),"")</f>
        <v/>
      </c>
      <c r="P266" s="6" t="str">
        <f t="shared" si="8"/>
        <v/>
      </c>
      <c r="Q266" s="13">
        <f t="shared" si="9"/>
        <v>0</v>
      </c>
    </row>
    <row r="267" spans="2:17" ht="15" customHeight="1">
      <c r="B267" s="5" t="str">
        <f>_xlfn.IFNA(VLOOKUP(C267,Master!$H:$I,2,FALSE),"")</f>
        <v/>
      </c>
      <c r="D267" s="5" t="str">
        <f>_xlfn.IFNA(VLOOKUP(E267,Master!$H:$I,2,FALSE),"")</f>
        <v/>
      </c>
      <c r="F267" s="26" t="str">
        <f>+_xlfn.XLOOKUP(G267,Master!$V$2:$V$8,Master!$U$2:$U$8,"")</f>
        <v/>
      </c>
      <c r="I267" s="4" t="str">
        <f>_xlfn.IFNA(VLOOKUP(D267,Master!$I:$K,2,FALSE),"")</f>
        <v/>
      </c>
      <c r="J267" s="4" t="str">
        <f>_xlfn.IFNA(VLOOKUP(D267,Master!$I:$K,3,FALSE),"")</f>
        <v/>
      </c>
      <c r="L267" s="27" t="str">
        <f>IF(A267&lt;&gt;"CFA",_xlfn.IFNA(VLOOKUP($G267,Master!$V$2:$Z$8,5,0),""),"")</f>
        <v/>
      </c>
      <c r="P267" s="6" t="str">
        <f t="shared" si="8"/>
        <v/>
      </c>
      <c r="Q267" s="13">
        <f t="shared" si="9"/>
        <v>0</v>
      </c>
    </row>
    <row r="268" spans="2:17" ht="15" customHeight="1">
      <c r="B268" s="5" t="str">
        <f>_xlfn.IFNA(VLOOKUP(C268,Master!$H:$I,2,FALSE),"")</f>
        <v/>
      </c>
      <c r="D268" s="5" t="str">
        <f>_xlfn.IFNA(VLOOKUP(E268,Master!$H:$I,2,FALSE),"")</f>
        <v/>
      </c>
      <c r="F268" s="26" t="str">
        <f>+_xlfn.XLOOKUP(G268,Master!$V$2:$V$8,Master!$U$2:$U$8,"")</f>
        <v/>
      </c>
      <c r="I268" s="4" t="str">
        <f>_xlfn.IFNA(VLOOKUP(D268,Master!$I:$K,2,FALSE),"")</f>
        <v/>
      </c>
      <c r="J268" s="4" t="str">
        <f>_xlfn.IFNA(VLOOKUP(D268,Master!$I:$K,3,FALSE),"")</f>
        <v/>
      </c>
      <c r="L268" s="27" t="str">
        <f>IF(A268&lt;&gt;"CFA",_xlfn.IFNA(VLOOKUP($G268,Master!$V$2:$Z$8,5,0),""),"")</f>
        <v/>
      </c>
      <c r="P268" s="6" t="str">
        <f t="shared" si="8"/>
        <v/>
      </c>
      <c r="Q268" s="13">
        <f t="shared" si="9"/>
        <v>0</v>
      </c>
    </row>
    <row r="269" spans="2:17" ht="15" customHeight="1">
      <c r="B269" s="5" t="str">
        <f>_xlfn.IFNA(VLOOKUP(C269,Master!$H:$I,2,FALSE),"")</f>
        <v/>
      </c>
      <c r="D269" s="5" t="str">
        <f>_xlfn.IFNA(VLOOKUP(E269,Master!$H:$I,2,FALSE),"")</f>
        <v/>
      </c>
      <c r="F269" s="26" t="str">
        <f>+_xlfn.XLOOKUP(G269,Master!$V$2:$V$8,Master!$U$2:$U$8,"")</f>
        <v/>
      </c>
      <c r="I269" s="4" t="str">
        <f>_xlfn.IFNA(VLOOKUP(D269,Master!$I:$K,2,FALSE),"")</f>
        <v/>
      </c>
      <c r="J269" s="4" t="str">
        <f>_xlfn.IFNA(VLOOKUP(D269,Master!$I:$K,3,FALSE),"")</f>
        <v/>
      </c>
      <c r="L269" s="27" t="str">
        <f>IF(A269&lt;&gt;"CFA",_xlfn.IFNA(VLOOKUP($G269,Master!$V$2:$Z$8,5,0),""),"")</f>
        <v/>
      </c>
      <c r="P269" s="6" t="str">
        <f t="shared" si="8"/>
        <v/>
      </c>
      <c r="Q269" s="13">
        <f t="shared" si="9"/>
        <v>0</v>
      </c>
    </row>
    <row r="270" spans="2:17" ht="15" customHeight="1">
      <c r="B270" s="5" t="str">
        <f>_xlfn.IFNA(VLOOKUP(C270,Master!$H:$I,2,FALSE),"")</f>
        <v/>
      </c>
      <c r="D270" s="5" t="str">
        <f>_xlfn.IFNA(VLOOKUP(E270,Master!$H:$I,2,FALSE),"")</f>
        <v/>
      </c>
      <c r="F270" s="26" t="str">
        <f>+_xlfn.XLOOKUP(G270,Master!$V$2:$V$8,Master!$U$2:$U$8,"")</f>
        <v/>
      </c>
      <c r="I270" s="4" t="str">
        <f>_xlfn.IFNA(VLOOKUP(D270,Master!$I:$K,2,FALSE),"")</f>
        <v/>
      </c>
      <c r="J270" s="4" t="str">
        <f>_xlfn.IFNA(VLOOKUP(D270,Master!$I:$K,3,FALSE),"")</f>
        <v/>
      </c>
      <c r="L270" s="27" t="str">
        <f>IF(A270&lt;&gt;"CFA",_xlfn.IFNA(VLOOKUP($G270,Master!$V$2:$Z$8,5,0),""),"")</f>
        <v/>
      </c>
      <c r="P270" s="6" t="str">
        <f t="shared" si="8"/>
        <v/>
      </c>
      <c r="Q270" s="13">
        <f t="shared" si="9"/>
        <v>0</v>
      </c>
    </row>
    <row r="271" spans="2:17" ht="15" customHeight="1">
      <c r="B271" s="5" t="str">
        <f>_xlfn.IFNA(VLOOKUP(C271,Master!$H:$I,2,FALSE),"")</f>
        <v/>
      </c>
      <c r="D271" s="5" t="str">
        <f>_xlfn.IFNA(VLOOKUP(E271,Master!$H:$I,2,FALSE),"")</f>
        <v/>
      </c>
      <c r="F271" s="26" t="str">
        <f>+_xlfn.XLOOKUP(G271,Master!$V$2:$V$8,Master!$U$2:$U$8,"")</f>
        <v/>
      </c>
      <c r="I271" s="4" t="str">
        <f>_xlfn.IFNA(VLOOKUP(D271,Master!$I:$K,2,FALSE),"")</f>
        <v/>
      </c>
      <c r="J271" s="4" t="str">
        <f>_xlfn.IFNA(VLOOKUP(D271,Master!$I:$K,3,FALSE),"")</f>
        <v/>
      </c>
      <c r="L271" s="27" t="str">
        <f>IF(A271&lt;&gt;"CFA",_xlfn.IFNA(VLOOKUP($G271,Master!$V$2:$Z$8,5,0),""),"")</f>
        <v/>
      </c>
      <c r="P271" s="6" t="str">
        <f t="shared" si="8"/>
        <v/>
      </c>
      <c r="Q271" s="13">
        <f t="shared" si="9"/>
        <v>0</v>
      </c>
    </row>
    <row r="272" spans="2:17" ht="15" customHeight="1">
      <c r="B272" s="5" t="str">
        <f>_xlfn.IFNA(VLOOKUP(C272,Master!$H:$I,2,FALSE),"")</f>
        <v/>
      </c>
      <c r="D272" s="5" t="str">
        <f>_xlfn.IFNA(VLOOKUP(E272,Master!$H:$I,2,FALSE),"")</f>
        <v/>
      </c>
      <c r="F272" s="26" t="str">
        <f>+_xlfn.XLOOKUP(G272,Master!$V$2:$V$8,Master!$U$2:$U$8,"")</f>
        <v/>
      </c>
      <c r="I272" s="4" t="str">
        <f>_xlfn.IFNA(VLOOKUP(D272,Master!$I:$K,2,FALSE),"")</f>
        <v/>
      </c>
      <c r="J272" s="4" t="str">
        <f>_xlfn.IFNA(VLOOKUP(D272,Master!$I:$K,3,FALSE),"")</f>
        <v/>
      </c>
      <c r="L272" s="27" t="str">
        <f>IF(A272&lt;&gt;"CFA",_xlfn.IFNA(VLOOKUP($G272,Master!$V$2:$Z$8,5,0),""),"")</f>
        <v/>
      </c>
      <c r="P272" s="6" t="str">
        <f t="shared" si="8"/>
        <v/>
      </c>
      <c r="Q272" s="13">
        <f t="shared" si="9"/>
        <v>0</v>
      </c>
    </row>
    <row r="273" spans="2:17" ht="15" customHeight="1">
      <c r="B273" s="5" t="str">
        <f>_xlfn.IFNA(VLOOKUP(C273,Master!$H:$I,2,FALSE),"")</f>
        <v/>
      </c>
      <c r="D273" s="5" t="str">
        <f>_xlfn.IFNA(VLOOKUP(E273,Master!$H:$I,2,FALSE),"")</f>
        <v/>
      </c>
      <c r="F273" s="26" t="str">
        <f>+_xlfn.XLOOKUP(G273,Master!$V$2:$V$8,Master!$U$2:$U$8,"")</f>
        <v/>
      </c>
      <c r="I273" s="4" t="str">
        <f>_xlfn.IFNA(VLOOKUP(D273,Master!$I:$K,2,FALSE),"")</f>
        <v/>
      </c>
      <c r="J273" s="4" t="str">
        <f>_xlfn.IFNA(VLOOKUP(D273,Master!$I:$K,3,FALSE),"")</f>
        <v/>
      </c>
      <c r="L273" s="27" t="str">
        <f>IF(A273&lt;&gt;"CFA",_xlfn.IFNA(VLOOKUP($G273,Master!$V$2:$Z$8,5,0),""),"")</f>
        <v/>
      </c>
      <c r="P273" s="6" t="str">
        <f t="shared" si="8"/>
        <v/>
      </c>
      <c r="Q273" s="13">
        <f t="shared" si="9"/>
        <v>0</v>
      </c>
    </row>
    <row r="274" spans="2:17" ht="15" customHeight="1">
      <c r="B274" s="5" t="str">
        <f>_xlfn.IFNA(VLOOKUP(C274,Master!$H:$I,2,FALSE),"")</f>
        <v/>
      </c>
      <c r="D274" s="5" t="str">
        <f>_xlfn.IFNA(VLOOKUP(E274,Master!$H:$I,2,FALSE),"")</f>
        <v/>
      </c>
      <c r="F274" s="26" t="str">
        <f>+_xlfn.XLOOKUP(G274,Master!$V$2:$V$8,Master!$U$2:$U$8,"")</f>
        <v/>
      </c>
      <c r="I274" s="4" t="str">
        <f>_xlfn.IFNA(VLOOKUP(D274,Master!$I:$K,2,FALSE),"")</f>
        <v/>
      </c>
      <c r="J274" s="4" t="str">
        <f>_xlfn.IFNA(VLOOKUP(D274,Master!$I:$K,3,FALSE),"")</f>
        <v/>
      </c>
      <c r="L274" s="27" t="str">
        <f>IF(A274&lt;&gt;"CFA",_xlfn.IFNA(VLOOKUP($G274,Master!$V$2:$Z$8,5,0),""),"")</f>
        <v/>
      </c>
      <c r="P274" s="6" t="str">
        <f t="shared" si="8"/>
        <v/>
      </c>
      <c r="Q274" s="13">
        <f t="shared" si="9"/>
        <v>0</v>
      </c>
    </row>
    <row r="275" spans="2:17" ht="15" customHeight="1">
      <c r="B275" s="5" t="str">
        <f>_xlfn.IFNA(VLOOKUP(C275,Master!$H:$I,2,FALSE),"")</f>
        <v/>
      </c>
      <c r="D275" s="5" t="str">
        <f>_xlfn.IFNA(VLOOKUP(E275,Master!$H:$I,2,FALSE),"")</f>
        <v/>
      </c>
      <c r="F275" s="26" t="str">
        <f>+_xlfn.XLOOKUP(G275,Master!$V$2:$V$8,Master!$U$2:$U$8,"")</f>
        <v/>
      </c>
      <c r="I275" s="4" t="str">
        <f>_xlfn.IFNA(VLOOKUP(D275,Master!$I:$K,2,FALSE),"")</f>
        <v/>
      </c>
      <c r="J275" s="4" t="str">
        <f>_xlfn.IFNA(VLOOKUP(D275,Master!$I:$K,3,FALSE),"")</f>
        <v/>
      </c>
      <c r="L275" s="27" t="str">
        <f>IF(A275&lt;&gt;"CFA",_xlfn.IFNA(VLOOKUP($G275,Master!$V$2:$Z$8,5,0),""),"")</f>
        <v/>
      </c>
      <c r="P275" s="6" t="str">
        <f t="shared" si="8"/>
        <v/>
      </c>
      <c r="Q275" s="13">
        <f t="shared" si="9"/>
        <v>0</v>
      </c>
    </row>
    <row r="276" spans="2:17" ht="15" customHeight="1">
      <c r="B276" s="5" t="str">
        <f>_xlfn.IFNA(VLOOKUP(C276,Master!$H:$I,2,FALSE),"")</f>
        <v/>
      </c>
      <c r="D276" s="5" t="str">
        <f>_xlfn.IFNA(VLOOKUP(E276,Master!$H:$I,2,FALSE),"")</f>
        <v/>
      </c>
      <c r="F276" s="26" t="str">
        <f>+_xlfn.XLOOKUP(G276,Master!$V$2:$V$8,Master!$U$2:$U$8,"")</f>
        <v/>
      </c>
      <c r="I276" s="4" t="str">
        <f>_xlfn.IFNA(VLOOKUP(D276,Master!$I:$K,2,FALSE),"")</f>
        <v/>
      </c>
      <c r="J276" s="4" t="str">
        <f>_xlfn.IFNA(VLOOKUP(D276,Master!$I:$K,3,FALSE),"")</f>
        <v/>
      </c>
      <c r="L276" s="27" t="str">
        <f>IF(A276&lt;&gt;"CFA",_xlfn.IFNA(VLOOKUP($G276,Master!$V$2:$Z$8,5,0),""),"")</f>
        <v/>
      </c>
      <c r="P276" s="6" t="str">
        <f t="shared" si="8"/>
        <v/>
      </c>
      <c r="Q276" s="13">
        <f t="shared" si="9"/>
        <v>0</v>
      </c>
    </row>
    <row r="277" spans="2:17" ht="15" customHeight="1">
      <c r="B277" s="5" t="str">
        <f>_xlfn.IFNA(VLOOKUP(C277,Master!$H:$I,2,FALSE),"")</f>
        <v/>
      </c>
      <c r="D277" s="5" t="str">
        <f>_xlfn.IFNA(VLOOKUP(E277,Master!$H:$I,2,FALSE),"")</f>
        <v/>
      </c>
      <c r="F277" s="26" t="str">
        <f>+_xlfn.XLOOKUP(G277,Master!$V$2:$V$8,Master!$U$2:$U$8,"")</f>
        <v/>
      </c>
      <c r="I277" s="4" t="str">
        <f>_xlfn.IFNA(VLOOKUP(D277,Master!$I:$K,2,FALSE),"")</f>
        <v/>
      </c>
      <c r="J277" s="4" t="str">
        <f>_xlfn.IFNA(VLOOKUP(D277,Master!$I:$K,3,FALSE),"")</f>
        <v/>
      </c>
      <c r="L277" s="27" t="str">
        <f>IF(A277&lt;&gt;"CFA",_xlfn.IFNA(VLOOKUP($G277,Master!$V$2:$Z$8,5,0),""),"")</f>
        <v/>
      </c>
      <c r="P277" s="6" t="str">
        <f t="shared" si="8"/>
        <v/>
      </c>
      <c r="Q277" s="13">
        <f t="shared" si="9"/>
        <v>0</v>
      </c>
    </row>
    <row r="278" spans="2:17" ht="15" customHeight="1">
      <c r="B278" s="5" t="str">
        <f>_xlfn.IFNA(VLOOKUP(C278,Master!$H:$I,2,FALSE),"")</f>
        <v/>
      </c>
      <c r="D278" s="5" t="str">
        <f>_xlfn.IFNA(VLOOKUP(E278,Master!$H:$I,2,FALSE),"")</f>
        <v/>
      </c>
      <c r="F278" s="26" t="str">
        <f>+_xlfn.XLOOKUP(G278,Master!$V$2:$V$8,Master!$U$2:$U$8,"")</f>
        <v/>
      </c>
      <c r="I278" s="4" t="str">
        <f>_xlfn.IFNA(VLOOKUP(D278,Master!$I:$K,2,FALSE),"")</f>
        <v/>
      </c>
      <c r="J278" s="4" t="str">
        <f>_xlfn.IFNA(VLOOKUP(D278,Master!$I:$K,3,FALSE),"")</f>
        <v/>
      </c>
      <c r="L278" s="27" t="str">
        <f>IF(A278&lt;&gt;"CFA",_xlfn.IFNA(VLOOKUP($G278,Master!$V$2:$Z$8,5,0),""),"")</f>
        <v/>
      </c>
      <c r="P278" s="6" t="str">
        <f t="shared" si="8"/>
        <v/>
      </c>
      <c r="Q278" s="13">
        <f t="shared" si="9"/>
        <v>0</v>
      </c>
    </row>
    <row r="279" spans="2:17" ht="15" customHeight="1">
      <c r="B279" s="5" t="str">
        <f>_xlfn.IFNA(VLOOKUP(C279,Master!$H:$I,2,FALSE),"")</f>
        <v/>
      </c>
      <c r="D279" s="5" t="str">
        <f>_xlfn.IFNA(VLOOKUP(E279,Master!$H:$I,2,FALSE),"")</f>
        <v/>
      </c>
      <c r="F279" s="26" t="str">
        <f>+_xlfn.XLOOKUP(G279,Master!$V$2:$V$8,Master!$U$2:$U$8,"")</f>
        <v/>
      </c>
      <c r="I279" s="4" t="str">
        <f>_xlfn.IFNA(VLOOKUP(D279,Master!$I:$K,2,FALSE),"")</f>
        <v/>
      </c>
      <c r="J279" s="4" t="str">
        <f>_xlfn.IFNA(VLOOKUP(D279,Master!$I:$K,3,FALSE),"")</f>
        <v/>
      </c>
      <c r="L279" s="27" t="str">
        <f>IF(A279&lt;&gt;"CFA",_xlfn.IFNA(VLOOKUP($G279,Master!$V$2:$Z$8,5,0),""),"")</f>
        <v/>
      </c>
      <c r="P279" s="6" t="str">
        <f t="shared" si="8"/>
        <v/>
      </c>
      <c r="Q279" s="13">
        <f t="shared" si="9"/>
        <v>0</v>
      </c>
    </row>
    <row r="280" spans="2:17" ht="15" customHeight="1">
      <c r="B280" s="5" t="str">
        <f>_xlfn.IFNA(VLOOKUP(C280,Master!$H:$I,2,FALSE),"")</f>
        <v/>
      </c>
      <c r="D280" s="5" t="str">
        <f>_xlfn.IFNA(VLOOKUP(E280,Master!$H:$I,2,FALSE),"")</f>
        <v/>
      </c>
      <c r="F280" s="26" t="str">
        <f>+_xlfn.XLOOKUP(G280,Master!$V$2:$V$8,Master!$U$2:$U$8,"")</f>
        <v/>
      </c>
      <c r="I280" s="4" t="str">
        <f>_xlfn.IFNA(VLOOKUP(D280,Master!$I:$K,2,FALSE),"")</f>
        <v/>
      </c>
      <c r="J280" s="4" t="str">
        <f>_xlfn.IFNA(VLOOKUP(D280,Master!$I:$K,3,FALSE),"")</f>
        <v/>
      </c>
      <c r="L280" s="27" t="str">
        <f>IF(A280&lt;&gt;"CFA",_xlfn.IFNA(VLOOKUP($G280,Master!$V$2:$Z$8,5,0),""),"")</f>
        <v/>
      </c>
      <c r="P280" s="6" t="str">
        <f t="shared" si="8"/>
        <v/>
      </c>
      <c r="Q280" s="13">
        <f t="shared" si="9"/>
        <v>0</v>
      </c>
    </row>
    <row r="281" spans="2:17" ht="15" customHeight="1">
      <c r="B281" s="5" t="str">
        <f>_xlfn.IFNA(VLOOKUP(C281,Master!$H:$I,2,FALSE),"")</f>
        <v/>
      </c>
      <c r="D281" s="5" t="str">
        <f>_xlfn.IFNA(VLOOKUP(E281,Master!$H:$I,2,FALSE),"")</f>
        <v/>
      </c>
      <c r="F281" s="26" t="str">
        <f>+_xlfn.XLOOKUP(G281,Master!$V$2:$V$8,Master!$U$2:$U$8,"")</f>
        <v/>
      </c>
      <c r="I281" s="4" t="str">
        <f>_xlfn.IFNA(VLOOKUP(D281,Master!$I:$K,2,FALSE),"")</f>
        <v/>
      </c>
      <c r="J281" s="4" t="str">
        <f>_xlfn.IFNA(VLOOKUP(D281,Master!$I:$K,3,FALSE),"")</f>
        <v/>
      </c>
      <c r="L281" s="27" t="str">
        <f>IF(A281&lt;&gt;"CFA",_xlfn.IFNA(VLOOKUP($G281,Master!$V$2:$Z$8,5,0),""),"")</f>
        <v/>
      </c>
      <c r="P281" s="6" t="str">
        <f t="shared" si="8"/>
        <v/>
      </c>
      <c r="Q281" s="13">
        <f t="shared" si="9"/>
        <v>0</v>
      </c>
    </row>
    <row r="282" spans="2:17" ht="15" customHeight="1">
      <c r="B282" s="5" t="str">
        <f>_xlfn.IFNA(VLOOKUP(C282,Master!$H:$I,2,FALSE),"")</f>
        <v/>
      </c>
      <c r="D282" s="5" t="str">
        <f>_xlfn.IFNA(VLOOKUP(E282,Master!$H:$I,2,FALSE),"")</f>
        <v/>
      </c>
      <c r="F282" s="26" t="str">
        <f>+_xlfn.XLOOKUP(G282,Master!$V$2:$V$8,Master!$U$2:$U$8,"")</f>
        <v/>
      </c>
      <c r="I282" s="4" t="str">
        <f>_xlfn.IFNA(VLOOKUP(D282,Master!$I:$K,2,FALSE),"")</f>
        <v/>
      </c>
      <c r="J282" s="4" t="str">
        <f>_xlfn.IFNA(VLOOKUP(D282,Master!$I:$K,3,FALSE),"")</f>
        <v/>
      </c>
      <c r="L282" s="27" t="str">
        <f>IF(A282&lt;&gt;"CFA",_xlfn.IFNA(VLOOKUP($G282,Master!$V$2:$Z$8,5,0),""),"")</f>
        <v/>
      </c>
      <c r="P282" s="6" t="str">
        <f t="shared" si="8"/>
        <v/>
      </c>
      <c r="Q282" s="13">
        <f t="shared" si="9"/>
        <v>0</v>
      </c>
    </row>
    <row r="283" spans="2:17" ht="15" customHeight="1">
      <c r="B283" s="5" t="str">
        <f>_xlfn.IFNA(VLOOKUP(C283,Master!$H:$I,2,FALSE),"")</f>
        <v/>
      </c>
      <c r="D283" s="5" t="str">
        <f>_xlfn.IFNA(VLOOKUP(E283,Master!$H:$I,2,FALSE),"")</f>
        <v/>
      </c>
      <c r="F283" s="26" t="str">
        <f>+_xlfn.XLOOKUP(G283,Master!$V$2:$V$8,Master!$U$2:$U$8,"")</f>
        <v/>
      </c>
      <c r="I283" s="4" t="str">
        <f>_xlfn.IFNA(VLOOKUP(D283,Master!$I:$K,2,FALSE),"")</f>
        <v/>
      </c>
      <c r="J283" s="4" t="str">
        <f>_xlfn.IFNA(VLOOKUP(D283,Master!$I:$K,3,FALSE),"")</f>
        <v/>
      </c>
      <c r="L283" s="27" t="str">
        <f>IF(A283&lt;&gt;"CFA",_xlfn.IFNA(VLOOKUP($G283,Master!$V$2:$Z$8,5,0),""),"")</f>
        <v/>
      </c>
      <c r="P283" s="6" t="str">
        <f t="shared" si="8"/>
        <v/>
      </c>
      <c r="Q283" s="13">
        <f t="shared" si="9"/>
        <v>0</v>
      </c>
    </row>
    <row r="284" spans="2:17" ht="15" customHeight="1">
      <c r="B284" s="5" t="str">
        <f>_xlfn.IFNA(VLOOKUP(C284,Master!$H:$I,2,FALSE),"")</f>
        <v/>
      </c>
      <c r="D284" s="5" t="str">
        <f>_xlfn.IFNA(VLOOKUP(E284,Master!$H:$I,2,FALSE),"")</f>
        <v/>
      </c>
      <c r="F284" s="26" t="str">
        <f>+_xlfn.XLOOKUP(G284,Master!$V$2:$V$8,Master!$U$2:$U$8,"")</f>
        <v/>
      </c>
      <c r="I284" s="4" t="str">
        <f>_xlfn.IFNA(VLOOKUP(D284,Master!$I:$K,2,FALSE),"")</f>
        <v/>
      </c>
      <c r="J284" s="4" t="str">
        <f>_xlfn.IFNA(VLOOKUP(D284,Master!$I:$K,3,FALSE),"")</f>
        <v/>
      </c>
      <c r="L284" s="27" t="str">
        <f>IF(A284&lt;&gt;"CFA",_xlfn.IFNA(VLOOKUP($G284,Master!$V$2:$Z$8,5,0),""),"")</f>
        <v/>
      </c>
      <c r="P284" s="6" t="str">
        <f t="shared" si="8"/>
        <v/>
      </c>
      <c r="Q284" s="13">
        <f t="shared" si="9"/>
        <v>0</v>
      </c>
    </row>
    <row r="285" spans="2:17" ht="15" customHeight="1">
      <c r="B285" s="5" t="str">
        <f>_xlfn.IFNA(VLOOKUP(C285,Master!$H:$I,2,FALSE),"")</f>
        <v/>
      </c>
      <c r="D285" s="5" t="str">
        <f>_xlfn.IFNA(VLOOKUP(E285,Master!$H:$I,2,FALSE),"")</f>
        <v/>
      </c>
      <c r="F285" s="26" t="str">
        <f>+_xlfn.XLOOKUP(G285,Master!$V$2:$V$8,Master!$U$2:$U$8,"")</f>
        <v/>
      </c>
      <c r="I285" s="4" t="str">
        <f>_xlfn.IFNA(VLOOKUP(D285,Master!$I:$K,2,FALSE),"")</f>
        <v/>
      </c>
      <c r="J285" s="4" t="str">
        <f>_xlfn.IFNA(VLOOKUP(D285,Master!$I:$K,3,FALSE),"")</f>
        <v/>
      </c>
      <c r="L285" s="27" t="str">
        <f>IF(A285&lt;&gt;"CFA",_xlfn.IFNA(VLOOKUP($G285,Master!$V$2:$Z$8,5,0),""),"")</f>
        <v/>
      </c>
      <c r="P285" s="6" t="str">
        <f t="shared" si="8"/>
        <v/>
      </c>
      <c r="Q285" s="13">
        <f t="shared" si="9"/>
        <v>0</v>
      </c>
    </row>
    <row r="286" spans="2:17" ht="15" customHeight="1">
      <c r="B286" s="5" t="str">
        <f>_xlfn.IFNA(VLOOKUP(C286,Master!$H:$I,2,FALSE),"")</f>
        <v/>
      </c>
      <c r="D286" s="5" t="str">
        <f>_xlfn.IFNA(VLOOKUP(E286,Master!$H:$I,2,FALSE),"")</f>
        <v/>
      </c>
      <c r="F286" s="26" t="str">
        <f>+_xlfn.XLOOKUP(G286,Master!$V$2:$V$8,Master!$U$2:$U$8,"")</f>
        <v/>
      </c>
      <c r="I286" s="4" t="str">
        <f>_xlfn.IFNA(VLOOKUP(D286,Master!$I:$K,2,FALSE),"")</f>
        <v/>
      </c>
      <c r="J286" s="4" t="str">
        <f>_xlfn.IFNA(VLOOKUP(D286,Master!$I:$K,3,FALSE),"")</f>
        <v/>
      </c>
      <c r="L286" s="27" t="str">
        <f>IF(A286&lt;&gt;"CFA",_xlfn.IFNA(VLOOKUP($G286,Master!$V$2:$Z$8,5,0),""),"")</f>
        <v/>
      </c>
      <c r="P286" s="6" t="str">
        <f t="shared" si="8"/>
        <v/>
      </c>
      <c r="Q286" s="13">
        <f t="shared" si="9"/>
        <v>0</v>
      </c>
    </row>
    <row r="287" spans="2:17" ht="15" customHeight="1">
      <c r="B287" s="5" t="str">
        <f>_xlfn.IFNA(VLOOKUP(C287,Master!$H:$I,2,FALSE),"")</f>
        <v/>
      </c>
      <c r="D287" s="5" t="str">
        <f>_xlfn.IFNA(VLOOKUP(E287,Master!$H:$I,2,FALSE),"")</f>
        <v/>
      </c>
      <c r="F287" s="26" t="str">
        <f>+_xlfn.XLOOKUP(G287,Master!$V$2:$V$8,Master!$U$2:$U$8,"")</f>
        <v/>
      </c>
      <c r="I287" s="4" t="str">
        <f>_xlfn.IFNA(VLOOKUP(D287,Master!$I:$K,2,FALSE),"")</f>
        <v/>
      </c>
      <c r="J287" s="4" t="str">
        <f>_xlfn.IFNA(VLOOKUP(D287,Master!$I:$K,3,FALSE),"")</f>
        <v/>
      </c>
      <c r="L287" s="27" t="str">
        <f>IF(A287&lt;&gt;"CFA",_xlfn.IFNA(VLOOKUP($G287,Master!$V$2:$Z$8,5,0),""),"")</f>
        <v/>
      </c>
      <c r="P287" s="6" t="str">
        <f t="shared" si="8"/>
        <v/>
      </c>
      <c r="Q287" s="13">
        <f t="shared" si="9"/>
        <v>0</v>
      </c>
    </row>
    <row r="288" spans="2:17" ht="15" customHeight="1">
      <c r="B288" s="5" t="str">
        <f>_xlfn.IFNA(VLOOKUP(C288,Master!$H:$I,2,FALSE),"")</f>
        <v/>
      </c>
      <c r="D288" s="5" t="str">
        <f>_xlfn.IFNA(VLOOKUP(E288,Master!$H:$I,2,FALSE),"")</f>
        <v/>
      </c>
      <c r="F288" s="26" t="str">
        <f>+_xlfn.XLOOKUP(G288,Master!$V$2:$V$8,Master!$U$2:$U$8,"")</f>
        <v/>
      </c>
      <c r="I288" s="4" t="str">
        <f>_xlfn.IFNA(VLOOKUP(D288,Master!$I:$K,2,FALSE),"")</f>
        <v/>
      </c>
      <c r="J288" s="4" t="str">
        <f>_xlfn.IFNA(VLOOKUP(D288,Master!$I:$K,3,FALSE),"")</f>
        <v/>
      </c>
      <c r="L288" s="27" t="str">
        <f>IF(A288&lt;&gt;"CFA",_xlfn.IFNA(VLOOKUP($G288,Master!$V$2:$Z$8,5,0),""),"")</f>
        <v/>
      </c>
      <c r="P288" s="6" t="str">
        <f t="shared" si="8"/>
        <v/>
      </c>
      <c r="Q288" s="13">
        <f t="shared" si="9"/>
        <v>0</v>
      </c>
    </row>
    <row r="289" spans="2:17" ht="15" customHeight="1">
      <c r="B289" s="5" t="str">
        <f>_xlfn.IFNA(VLOOKUP(C289,Master!$H:$I,2,FALSE),"")</f>
        <v/>
      </c>
      <c r="D289" s="5" t="str">
        <f>_xlfn.IFNA(VLOOKUP(E289,Master!$H:$I,2,FALSE),"")</f>
        <v/>
      </c>
      <c r="F289" s="26" t="str">
        <f>+_xlfn.XLOOKUP(G289,Master!$V$2:$V$8,Master!$U$2:$U$8,"")</f>
        <v/>
      </c>
      <c r="I289" s="4" t="str">
        <f>_xlfn.IFNA(VLOOKUP(D289,Master!$I:$K,2,FALSE),"")</f>
        <v/>
      </c>
      <c r="J289" s="4" t="str">
        <f>_xlfn.IFNA(VLOOKUP(D289,Master!$I:$K,3,FALSE),"")</f>
        <v/>
      </c>
      <c r="L289" s="27" t="str">
        <f>IF(A289&lt;&gt;"CFA",_xlfn.IFNA(VLOOKUP($G289,Master!$V$2:$Z$8,5,0),""),"")</f>
        <v/>
      </c>
      <c r="P289" s="6" t="str">
        <f t="shared" si="8"/>
        <v/>
      </c>
      <c r="Q289" s="13">
        <f t="shared" si="9"/>
        <v>0</v>
      </c>
    </row>
    <row r="290" spans="2:17" ht="15" customHeight="1">
      <c r="B290" s="5" t="str">
        <f>_xlfn.IFNA(VLOOKUP(C290,Master!$H:$I,2,FALSE),"")</f>
        <v/>
      </c>
      <c r="D290" s="5" t="str">
        <f>_xlfn.IFNA(VLOOKUP(E290,Master!$H:$I,2,FALSE),"")</f>
        <v/>
      </c>
      <c r="F290" s="26" t="str">
        <f>+_xlfn.XLOOKUP(G290,Master!$V$2:$V$8,Master!$U$2:$U$8,"")</f>
        <v/>
      </c>
      <c r="I290" s="4" t="str">
        <f>_xlfn.IFNA(VLOOKUP(D290,Master!$I:$K,2,FALSE),"")</f>
        <v/>
      </c>
      <c r="J290" s="4" t="str">
        <f>_xlfn.IFNA(VLOOKUP(D290,Master!$I:$K,3,FALSE),"")</f>
        <v/>
      </c>
      <c r="L290" s="27" t="str">
        <f>IF(A290&lt;&gt;"CFA",_xlfn.IFNA(VLOOKUP($G290,Master!$V$2:$Z$8,5,0),""),"")</f>
        <v/>
      </c>
      <c r="P290" s="6" t="str">
        <f t="shared" si="8"/>
        <v/>
      </c>
      <c r="Q290" s="13">
        <f t="shared" si="9"/>
        <v>0</v>
      </c>
    </row>
    <row r="291" spans="2:17" ht="15" customHeight="1">
      <c r="B291" s="5" t="str">
        <f>_xlfn.IFNA(VLOOKUP(C291,Master!$H:$I,2,FALSE),"")</f>
        <v/>
      </c>
      <c r="D291" s="5" t="str">
        <f>_xlfn.IFNA(VLOOKUP(E291,Master!$H:$I,2,FALSE),"")</f>
        <v/>
      </c>
      <c r="F291" s="26" t="str">
        <f>+_xlfn.XLOOKUP(G291,Master!$V$2:$V$8,Master!$U$2:$U$8,"")</f>
        <v/>
      </c>
      <c r="I291" s="4" t="str">
        <f>_xlfn.IFNA(VLOOKUP(D291,Master!$I:$K,2,FALSE),"")</f>
        <v/>
      </c>
      <c r="J291" s="4" t="str">
        <f>_xlfn.IFNA(VLOOKUP(D291,Master!$I:$K,3,FALSE),"")</f>
        <v/>
      </c>
      <c r="L291" s="27" t="str">
        <f>IF(A291&lt;&gt;"CFA",_xlfn.IFNA(VLOOKUP($G291,Master!$V$2:$Z$8,5,0),""),"")</f>
        <v/>
      </c>
      <c r="P291" s="6" t="str">
        <f t="shared" si="8"/>
        <v/>
      </c>
      <c r="Q291" s="13">
        <f t="shared" si="9"/>
        <v>0</v>
      </c>
    </row>
    <row r="292" spans="2:17" ht="15" customHeight="1">
      <c r="B292" s="5" t="str">
        <f>_xlfn.IFNA(VLOOKUP(C292,Master!$H:$I,2,FALSE),"")</f>
        <v/>
      </c>
      <c r="D292" s="5" t="str">
        <f>_xlfn.IFNA(VLOOKUP(E292,Master!$H:$I,2,FALSE),"")</f>
        <v/>
      </c>
      <c r="F292" s="26" t="str">
        <f>+_xlfn.XLOOKUP(G292,Master!$V$2:$V$8,Master!$U$2:$U$8,"")</f>
        <v/>
      </c>
      <c r="I292" s="4" t="str">
        <f>_xlfn.IFNA(VLOOKUP(D292,Master!$I:$K,2,FALSE),"")</f>
        <v/>
      </c>
      <c r="J292" s="4" t="str">
        <f>_xlfn.IFNA(VLOOKUP(D292,Master!$I:$K,3,FALSE),"")</f>
        <v/>
      </c>
      <c r="L292" s="27" t="str">
        <f>IF(A292&lt;&gt;"CFA",_xlfn.IFNA(VLOOKUP($G292,Master!$V$2:$Z$8,5,0),""),"")</f>
        <v/>
      </c>
      <c r="P292" s="6" t="str">
        <f t="shared" si="8"/>
        <v/>
      </c>
      <c r="Q292" s="13">
        <f t="shared" si="9"/>
        <v>0</v>
      </c>
    </row>
    <row r="293" spans="2:17" ht="15" customHeight="1">
      <c r="B293" s="5" t="str">
        <f>_xlfn.IFNA(VLOOKUP(C293,Master!$H:$I,2,FALSE),"")</f>
        <v/>
      </c>
      <c r="D293" s="5" t="str">
        <f>_xlfn.IFNA(VLOOKUP(E293,Master!$H:$I,2,FALSE),"")</f>
        <v/>
      </c>
      <c r="F293" s="26" t="str">
        <f>+_xlfn.XLOOKUP(G293,Master!$V$2:$V$8,Master!$U$2:$U$8,"")</f>
        <v/>
      </c>
      <c r="I293" s="4" t="str">
        <f>_xlfn.IFNA(VLOOKUP(D293,Master!$I:$K,2,FALSE),"")</f>
        <v/>
      </c>
      <c r="J293" s="4" t="str">
        <f>_xlfn.IFNA(VLOOKUP(D293,Master!$I:$K,3,FALSE),"")</f>
        <v/>
      </c>
      <c r="L293" s="27" t="str">
        <f>IF(A293&lt;&gt;"CFA",_xlfn.IFNA(VLOOKUP($G293,Master!$V$2:$Z$8,5,0),""),"")</f>
        <v/>
      </c>
      <c r="P293" s="6" t="str">
        <f t="shared" si="8"/>
        <v/>
      </c>
      <c r="Q293" s="13">
        <f t="shared" si="9"/>
        <v>0</v>
      </c>
    </row>
    <row r="294" spans="2:17" ht="15" customHeight="1">
      <c r="B294" s="5" t="str">
        <f>_xlfn.IFNA(VLOOKUP(C294,Master!$H:$I,2,FALSE),"")</f>
        <v/>
      </c>
      <c r="D294" s="5" t="str">
        <f>_xlfn.IFNA(VLOOKUP(E294,Master!$H:$I,2,FALSE),"")</f>
        <v/>
      </c>
      <c r="F294" s="26" t="str">
        <f>+_xlfn.XLOOKUP(G294,Master!$V$2:$V$8,Master!$U$2:$U$8,"")</f>
        <v/>
      </c>
      <c r="I294" s="4" t="str">
        <f>_xlfn.IFNA(VLOOKUP(D294,Master!$I:$K,2,FALSE),"")</f>
        <v/>
      </c>
      <c r="J294" s="4" t="str">
        <f>_xlfn.IFNA(VLOOKUP(D294,Master!$I:$K,3,FALSE),"")</f>
        <v/>
      </c>
      <c r="L294" s="27" t="str">
        <f>IF(A294&lt;&gt;"CFA",_xlfn.IFNA(VLOOKUP($G294,Master!$V$2:$Z$8,5,0),""),"")</f>
        <v/>
      </c>
      <c r="P294" s="6" t="str">
        <f t="shared" si="8"/>
        <v/>
      </c>
      <c r="Q294" s="13">
        <f t="shared" si="9"/>
        <v>0</v>
      </c>
    </row>
    <row r="295" spans="2:17" ht="15" customHeight="1">
      <c r="B295" s="5" t="str">
        <f>_xlfn.IFNA(VLOOKUP(C295,Master!$H:$I,2,FALSE),"")</f>
        <v/>
      </c>
      <c r="D295" s="5" t="str">
        <f>_xlfn.IFNA(VLOOKUP(E295,Master!$H:$I,2,FALSE),"")</f>
        <v/>
      </c>
      <c r="F295" s="26" t="str">
        <f>+_xlfn.XLOOKUP(G295,Master!$V$2:$V$8,Master!$U$2:$U$8,"")</f>
        <v/>
      </c>
      <c r="I295" s="4" t="str">
        <f>_xlfn.IFNA(VLOOKUP(D295,Master!$I:$K,2,FALSE),"")</f>
        <v/>
      </c>
      <c r="J295" s="4" t="str">
        <f>_xlfn.IFNA(VLOOKUP(D295,Master!$I:$K,3,FALSE),"")</f>
        <v/>
      </c>
      <c r="L295" s="27" t="str">
        <f>IF(A295&lt;&gt;"CFA",_xlfn.IFNA(VLOOKUP($G295,Master!$V$2:$Z$8,5,0),""),"")</f>
        <v/>
      </c>
      <c r="P295" s="6" t="str">
        <f t="shared" si="8"/>
        <v/>
      </c>
      <c r="Q295" s="13">
        <f t="shared" si="9"/>
        <v>0</v>
      </c>
    </row>
    <row r="296" spans="2:17" ht="15" customHeight="1">
      <c r="B296" s="5" t="str">
        <f>_xlfn.IFNA(VLOOKUP(C296,Master!$H:$I,2,FALSE),"")</f>
        <v/>
      </c>
      <c r="D296" s="5" t="str">
        <f>_xlfn.IFNA(VLOOKUP(E296,Master!$H:$I,2,FALSE),"")</f>
        <v/>
      </c>
      <c r="F296" s="26" t="str">
        <f>+_xlfn.XLOOKUP(G296,Master!$V$2:$V$8,Master!$U$2:$U$8,"")</f>
        <v/>
      </c>
      <c r="I296" s="4" t="str">
        <f>_xlfn.IFNA(VLOOKUP(D296,Master!$I:$K,2,FALSE),"")</f>
        <v/>
      </c>
      <c r="J296" s="4" t="str">
        <f>_xlfn.IFNA(VLOOKUP(D296,Master!$I:$K,3,FALSE),"")</f>
        <v/>
      </c>
      <c r="L296" s="27" t="str">
        <f>IF(A296&lt;&gt;"CFA",_xlfn.IFNA(VLOOKUP($G296,Master!$V$2:$Z$8,5,0),""),"")</f>
        <v/>
      </c>
      <c r="P296" s="6" t="str">
        <f t="shared" si="8"/>
        <v/>
      </c>
      <c r="Q296" s="13">
        <f t="shared" si="9"/>
        <v>0</v>
      </c>
    </row>
    <row r="297" spans="2:17" ht="15" customHeight="1">
      <c r="B297" s="5" t="str">
        <f>_xlfn.IFNA(VLOOKUP(C297,Master!$H:$I,2,FALSE),"")</f>
        <v/>
      </c>
      <c r="D297" s="5" t="str">
        <f>_xlfn.IFNA(VLOOKUP(E297,Master!$H:$I,2,FALSE),"")</f>
        <v/>
      </c>
      <c r="F297" s="26" t="str">
        <f>+_xlfn.XLOOKUP(G297,Master!$V$2:$V$8,Master!$U$2:$U$8,"")</f>
        <v/>
      </c>
      <c r="I297" s="4" t="str">
        <f>_xlfn.IFNA(VLOOKUP(D297,Master!$I:$K,2,FALSE),"")</f>
        <v/>
      </c>
      <c r="J297" s="4" t="str">
        <f>_xlfn.IFNA(VLOOKUP(D297,Master!$I:$K,3,FALSE),"")</f>
        <v/>
      </c>
      <c r="L297" s="27" t="str">
        <f>IF(A297&lt;&gt;"CFA",_xlfn.IFNA(VLOOKUP($G297,Master!$V$2:$Z$8,5,0),""),"")</f>
        <v/>
      </c>
      <c r="P297" s="6" t="str">
        <f t="shared" si="8"/>
        <v/>
      </c>
      <c r="Q297" s="13">
        <f t="shared" si="9"/>
        <v>0</v>
      </c>
    </row>
    <row r="298" spans="2:17" ht="15" customHeight="1">
      <c r="B298" s="5" t="str">
        <f>_xlfn.IFNA(VLOOKUP(C298,Master!$H:$I,2,FALSE),"")</f>
        <v/>
      </c>
      <c r="D298" s="5" t="str">
        <f>_xlfn.IFNA(VLOOKUP(E298,Master!$H:$I,2,FALSE),"")</f>
        <v/>
      </c>
      <c r="F298" s="26" t="str">
        <f>+_xlfn.XLOOKUP(G298,Master!$V$2:$V$8,Master!$U$2:$U$8,"")</f>
        <v/>
      </c>
      <c r="I298" s="4" t="str">
        <f>_xlfn.IFNA(VLOOKUP(D298,Master!$I:$K,2,FALSE),"")</f>
        <v/>
      </c>
      <c r="J298" s="4" t="str">
        <f>_xlfn.IFNA(VLOOKUP(D298,Master!$I:$K,3,FALSE),"")</f>
        <v/>
      </c>
      <c r="L298" s="27" t="str">
        <f>IF(A298&lt;&gt;"CFA",_xlfn.IFNA(VLOOKUP($G298,Master!$V$2:$Z$8,5,0),""),"")</f>
        <v/>
      </c>
      <c r="P298" s="6" t="str">
        <f t="shared" si="8"/>
        <v/>
      </c>
      <c r="Q298" s="13">
        <f t="shared" si="9"/>
        <v>0</v>
      </c>
    </row>
    <row r="299" spans="2:17" ht="15" customHeight="1">
      <c r="B299" s="5" t="str">
        <f>_xlfn.IFNA(VLOOKUP(C299,Master!$H:$I,2,FALSE),"")</f>
        <v/>
      </c>
      <c r="D299" s="5" t="str">
        <f>_xlfn.IFNA(VLOOKUP(E299,Master!$H:$I,2,FALSE),"")</f>
        <v/>
      </c>
      <c r="F299" s="26" t="str">
        <f>+_xlfn.XLOOKUP(G299,Master!$V$2:$V$8,Master!$U$2:$U$8,"")</f>
        <v/>
      </c>
      <c r="I299" s="4" t="str">
        <f>_xlfn.IFNA(VLOOKUP(D299,Master!$I:$K,2,FALSE),"")</f>
        <v/>
      </c>
      <c r="J299" s="4" t="str">
        <f>_xlfn.IFNA(VLOOKUP(D299,Master!$I:$K,3,FALSE),"")</f>
        <v/>
      </c>
      <c r="L299" s="27" t="str">
        <f>IF(A299&lt;&gt;"CFA",_xlfn.IFNA(VLOOKUP($G299,Master!$V$2:$Z$8,5,0),""),"")</f>
        <v/>
      </c>
      <c r="P299" s="6" t="str">
        <f t="shared" si="8"/>
        <v/>
      </c>
      <c r="Q299" s="13">
        <f t="shared" si="9"/>
        <v>0</v>
      </c>
    </row>
    <row r="300" spans="2:17" ht="15" customHeight="1">
      <c r="B300" s="5" t="str">
        <f>_xlfn.IFNA(VLOOKUP(C300,Master!$H:$I,2,FALSE),"")</f>
        <v/>
      </c>
      <c r="D300" s="5" t="str">
        <f>_xlfn.IFNA(VLOOKUP(E300,Master!$H:$I,2,FALSE),"")</f>
        <v/>
      </c>
      <c r="F300" s="26" t="str">
        <f>+_xlfn.XLOOKUP(G300,Master!$V$2:$V$8,Master!$U$2:$U$8,"")</f>
        <v/>
      </c>
      <c r="I300" s="4" t="str">
        <f>_xlfn.IFNA(VLOOKUP(D300,Master!$I:$K,2,FALSE),"")</f>
        <v/>
      </c>
      <c r="J300" s="4" t="str">
        <f>_xlfn.IFNA(VLOOKUP(D300,Master!$I:$K,3,FALSE),"")</f>
        <v/>
      </c>
      <c r="L300" s="27" t="str">
        <f>IF(A300&lt;&gt;"CFA",_xlfn.IFNA(VLOOKUP($G300,Master!$V$2:$Z$8,5,0),""),"")</f>
        <v/>
      </c>
      <c r="P300" s="6" t="str">
        <f t="shared" si="8"/>
        <v/>
      </c>
      <c r="Q300" s="13">
        <f t="shared" si="9"/>
        <v>0</v>
      </c>
    </row>
    <row r="301" spans="2:17" ht="15" customHeight="1">
      <c r="B301" s="5" t="str">
        <f>_xlfn.IFNA(VLOOKUP(C301,Master!$H:$I,2,FALSE),"")</f>
        <v/>
      </c>
      <c r="D301" s="5" t="str">
        <f>_xlfn.IFNA(VLOOKUP(E301,Master!$H:$I,2,FALSE),"")</f>
        <v/>
      </c>
      <c r="F301" s="26" t="str">
        <f>+_xlfn.XLOOKUP(G301,Master!$V$2:$V$8,Master!$U$2:$U$8,"")</f>
        <v/>
      </c>
      <c r="I301" s="4" t="str">
        <f>_xlfn.IFNA(VLOOKUP(D301,Master!$I:$K,2,FALSE),"")</f>
        <v/>
      </c>
      <c r="J301" s="4" t="str">
        <f>_xlfn.IFNA(VLOOKUP(D301,Master!$I:$K,3,FALSE),"")</f>
        <v/>
      </c>
      <c r="L301" s="27" t="str">
        <f>IF(A301&lt;&gt;"CFA",_xlfn.IFNA(VLOOKUP($G301,Master!$V$2:$Z$8,5,0),""),"")</f>
        <v/>
      </c>
      <c r="P301" s="6" t="str">
        <f t="shared" si="8"/>
        <v/>
      </c>
      <c r="Q301" s="13">
        <f t="shared" si="9"/>
        <v>0</v>
      </c>
    </row>
    <row r="302" spans="2:17" ht="15" customHeight="1">
      <c r="B302" s="5" t="str">
        <f>_xlfn.IFNA(VLOOKUP(C302,Master!$H:$I,2,FALSE),"")</f>
        <v/>
      </c>
      <c r="D302" s="5" t="str">
        <f>_xlfn.IFNA(VLOOKUP(E302,Master!$H:$I,2,FALSE),"")</f>
        <v/>
      </c>
      <c r="F302" s="26" t="str">
        <f>+_xlfn.XLOOKUP(G302,Master!$V$2:$V$8,Master!$U$2:$U$8,"")</f>
        <v/>
      </c>
      <c r="I302" s="4" t="str">
        <f>_xlfn.IFNA(VLOOKUP(D302,Master!$I:$K,2,FALSE),"")</f>
        <v/>
      </c>
      <c r="J302" s="4" t="str">
        <f>_xlfn.IFNA(VLOOKUP(D302,Master!$I:$K,3,FALSE),"")</f>
        <v/>
      </c>
      <c r="L302" s="27" t="str">
        <f>IF(A302&lt;&gt;"CFA",_xlfn.IFNA(VLOOKUP($G302,Master!$V$2:$Z$8,5,0),""),"")</f>
        <v/>
      </c>
      <c r="P302" s="6" t="str">
        <f t="shared" si="8"/>
        <v/>
      </c>
      <c r="Q302" s="13">
        <f t="shared" si="9"/>
        <v>0</v>
      </c>
    </row>
    <row r="303" spans="2:17" ht="15" customHeight="1">
      <c r="B303" s="5" t="str">
        <f>_xlfn.IFNA(VLOOKUP(C303,Master!$H:$I,2,FALSE),"")</f>
        <v/>
      </c>
      <c r="D303" s="5" t="str">
        <f>_xlfn.IFNA(VLOOKUP(E303,Master!$H:$I,2,FALSE),"")</f>
        <v/>
      </c>
      <c r="F303" s="26" t="str">
        <f>+_xlfn.XLOOKUP(G303,Master!$V$2:$V$8,Master!$U$2:$U$8,"")</f>
        <v/>
      </c>
      <c r="I303" s="4" t="str">
        <f>_xlfn.IFNA(VLOOKUP(D303,Master!$I:$K,2,FALSE),"")</f>
        <v/>
      </c>
      <c r="J303" s="4" t="str">
        <f>_xlfn.IFNA(VLOOKUP(D303,Master!$I:$K,3,FALSE),"")</f>
        <v/>
      </c>
      <c r="L303" s="27" t="str">
        <f>IF(A303&lt;&gt;"CFA",_xlfn.IFNA(VLOOKUP($G303,Master!$V$2:$Z$8,5,0),""),"")</f>
        <v/>
      </c>
      <c r="P303" s="6" t="str">
        <f t="shared" si="8"/>
        <v/>
      </c>
      <c r="Q303" s="13">
        <f t="shared" si="9"/>
        <v>0</v>
      </c>
    </row>
    <row r="304" spans="2:17" ht="15" customHeight="1">
      <c r="B304" s="5" t="str">
        <f>_xlfn.IFNA(VLOOKUP(C304,Master!$H:$I,2,FALSE),"")</f>
        <v/>
      </c>
      <c r="D304" s="5" t="str">
        <f>_xlfn.IFNA(VLOOKUP(E304,Master!$H:$I,2,FALSE),"")</f>
        <v/>
      </c>
      <c r="F304" s="26" t="str">
        <f>+_xlfn.XLOOKUP(G304,Master!$V$2:$V$8,Master!$U$2:$U$8,"")</f>
        <v/>
      </c>
      <c r="I304" s="4" t="str">
        <f>_xlfn.IFNA(VLOOKUP(D304,Master!$I:$K,2,FALSE),"")</f>
        <v/>
      </c>
      <c r="J304" s="4" t="str">
        <f>_xlfn.IFNA(VLOOKUP(D304,Master!$I:$K,3,FALSE),"")</f>
        <v/>
      </c>
      <c r="L304" s="27" t="str">
        <f>IF(A304&lt;&gt;"CFA",_xlfn.IFNA(VLOOKUP($G304,Master!$V$2:$Z$8,5,0),""),"")</f>
        <v/>
      </c>
      <c r="P304" s="6" t="str">
        <f t="shared" si="8"/>
        <v/>
      </c>
      <c r="Q304" s="13">
        <f t="shared" si="9"/>
        <v>0</v>
      </c>
    </row>
    <row r="305" spans="2:17" ht="15" customHeight="1">
      <c r="B305" s="5" t="str">
        <f>_xlfn.IFNA(VLOOKUP(C305,Master!$H:$I,2,FALSE),"")</f>
        <v/>
      </c>
      <c r="D305" s="5" t="str">
        <f>_xlfn.IFNA(VLOOKUP(E305,Master!$H:$I,2,FALSE),"")</f>
        <v/>
      </c>
      <c r="F305" s="26" t="str">
        <f>+_xlfn.XLOOKUP(G305,Master!$V$2:$V$8,Master!$U$2:$U$8,"")</f>
        <v/>
      </c>
      <c r="I305" s="4" t="str">
        <f>_xlfn.IFNA(VLOOKUP(D305,Master!$I:$K,2,FALSE),"")</f>
        <v/>
      </c>
      <c r="J305" s="4" t="str">
        <f>_xlfn.IFNA(VLOOKUP(D305,Master!$I:$K,3,FALSE),"")</f>
        <v/>
      </c>
      <c r="L305" s="27" t="str">
        <f>IF(A305&lt;&gt;"CFA",_xlfn.IFNA(VLOOKUP($G305,Master!$V$2:$Z$8,5,0),""),"")</f>
        <v/>
      </c>
      <c r="P305" s="6" t="str">
        <f t="shared" si="8"/>
        <v/>
      </c>
      <c r="Q305" s="13">
        <f t="shared" si="9"/>
        <v>0</v>
      </c>
    </row>
    <row r="306" spans="2:17" ht="15" customHeight="1">
      <c r="B306" s="5" t="str">
        <f>_xlfn.IFNA(VLOOKUP(C306,Master!$H:$I,2,FALSE),"")</f>
        <v/>
      </c>
      <c r="D306" s="5" t="str">
        <f>_xlfn.IFNA(VLOOKUP(E306,Master!$H:$I,2,FALSE),"")</f>
        <v/>
      </c>
      <c r="F306" s="26" t="str">
        <f>+_xlfn.XLOOKUP(G306,Master!$V$2:$V$8,Master!$U$2:$U$8,"")</f>
        <v/>
      </c>
      <c r="I306" s="4" t="str">
        <f>_xlfn.IFNA(VLOOKUP(D306,Master!$I:$K,2,FALSE),"")</f>
        <v/>
      </c>
      <c r="J306" s="4" t="str">
        <f>_xlfn.IFNA(VLOOKUP(D306,Master!$I:$K,3,FALSE),"")</f>
        <v/>
      </c>
      <c r="L306" s="27" t="str">
        <f>IF(A306&lt;&gt;"CFA",_xlfn.IFNA(VLOOKUP($G306,Master!$V$2:$Z$8,5,0),""),"")</f>
        <v/>
      </c>
      <c r="P306" s="6" t="str">
        <f t="shared" si="8"/>
        <v/>
      </c>
      <c r="Q306" s="13">
        <f t="shared" si="9"/>
        <v>0</v>
      </c>
    </row>
    <row r="307" spans="2:17" ht="15" customHeight="1">
      <c r="B307" s="5" t="str">
        <f>_xlfn.IFNA(VLOOKUP(C307,Master!$H:$I,2,FALSE),"")</f>
        <v/>
      </c>
      <c r="D307" s="5" t="str">
        <f>_xlfn.IFNA(VLOOKUP(E307,Master!$H:$I,2,FALSE),"")</f>
        <v/>
      </c>
      <c r="F307" s="26" t="str">
        <f>+_xlfn.XLOOKUP(G307,Master!$V$2:$V$8,Master!$U$2:$U$8,"")</f>
        <v/>
      </c>
      <c r="I307" s="4" t="str">
        <f>_xlfn.IFNA(VLOOKUP(D307,Master!$I:$K,2,FALSE),"")</f>
        <v/>
      </c>
      <c r="J307" s="4" t="str">
        <f>_xlfn.IFNA(VLOOKUP(D307,Master!$I:$K,3,FALSE),"")</f>
        <v/>
      </c>
      <c r="L307" s="27" t="str">
        <f>IF(A307&lt;&gt;"CFA",_xlfn.IFNA(VLOOKUP($G307,Master!$V$2:$Z$8,5,0),""),"")</f>
        <v/>
      </c>
      <c r="P307" s="6" t="str">
        <f t="shared" si="8"/>
        <v/>
      </c>
      <c r="Q307" s="13">
        <f t="shared" si="9"/>
        <v>0</v>
      </c>
    </row>
    <row r="308" spans="2:17" ht="15" customHeight="1">
      <c r="B308" s="5" t="str">
        <f>_xlfn.IFNA(VLOOKUP(C308,Master!$H:$I,2,FALSE),"")</f>
        <v/>
      </c>
      <c r="D308" s="5" t="str">
        <f>_xlfn.IFNA(VLOOKUP(E308,Master!$H:$I,2,FALSE),"")</f>
        <v/>
      </c>
      <c r="F308" s="26" t="str">
        <f>+_xlfn.XLOOKUP(G308,Master!$V$2:$V$8,Master!$U$2:$U$8,"")</f>
        <v/>
      </c>
      <c r="I308" s="4" t="str">
        <f>_xlfn.IFNA(VLOOKUP(D308,Master!$I:$K,2,FALSE),"")</f>
        <v/>
      </c>
      <c r="J308" s="4" t="str">
        <f>_xlfn.IFNA(VLOOKUP(D308,Master!$I:$K,3,FALSE),"")</f>
        <v/>
      </c>
      <c r="L308" s="27" t="str">
        <f>IF(A308&lt;&gt;"CFA",_xlfn.IFNA(VLOOKUP($G308,Master!$V$2:$Z$8,5,0),""),"")</f>
        <v/>
      </c>
      <c r="P308" s="6" t="str">
        <f t="shared" si="8"/>
        <v/>
      </c>
      <c r="Q308" s="13">
        <f t="shared" si="9"/>
        <v>0</v>
      </c>
    </row>
    <row r="309" spans="2:17" ht="15" customHeight="1">
      <c r="B309" s="5" t="str">
        <f>_xlfn.IFNA(VLOOKUP(C309,Master!$H:$I,2,FALSE),"")</f>
        <v/>
      </c>
      <c r="D309" s="5" t="str">
        <f>_xlfn.IFNA(VLOOKUP(E309,Master!$H:$I,2,FALSE),"")</f>
        <v/>
      </c>
      <c r="F309" s="26" t="str">
        <f>+_xlfn.XLOOKUP(G309,Master!$V$2:$V$8,Master!$U$2:$U$8,"")</f>
        <v/>
      </c>
      <c r="I309" s="4" t="str">
        <f>_xlfn.IFNA(VLOOKUP(D309,Master!$I:$K,2,FALSE),"")</f>
        <v/>
      </c>
      <c r="J309" s="4" t="str">
        <f>_xlfn.IFNA(VLOOKUP(D309,Master!$I:$K,3,FALSE),"")</f>
        <v/>
      </c>
      <c r="L309" s="27" t="str">
        <f>IF(A309&lt;&gt;"CFA",_xlfn.IFNA(VLOOKUP($G309,Master!$V$2:$Z$8,5,0),""),"")</f>
        <v/>
      </c>
      <c r="P309" s="6" t="str">
        <f t="shared" si="8"/>
        <v/>
      </c>
      <c r="Q309" s="13">
        <f t="shared" si="9"/>
        <v>0</v>
      </c>
    </row>
    <row r="310" spans="2:17" ht="15" customHeight="1">
      <c r="B310" s="5" t="str">
        <f>_xlfn.IFNA(VLOOKUP(C310,Master!$H:$I,2,FALSE),"")</f>
        <v/>
      </c>
      <c r="D310" s="5" t="str">
        <f>_xlfn.IFNA(VLOOKUP(E310,Master!$H:$I,2,FALSE),"")</f>
        <v/>
      </c>
      <c r="F310" s="26" t="str">
        <f>+_xlfn.XLOOKUP(G310,Master!$V$2:$V$8,Master!$U$2:$U$8,"")</f>
        <v/>
      </c>
      <c r="I310" s="4" t="str">
        <f>_xlfn.IFNA(VLOOKUP(D310,Master!$I:$K,2,FALSE),"")</f>
        <v/>
      </c>
      <c r="J310" s="4" t="str">
        <f>_xlfn.IFNA(VLOOKUP(D310,Master!$I:$K,3,FALSE),"")</f>
        <v/>
      </c>
      <c r="L310" s="27" t="str">
        <f>IF(A310&lt;&gt;"CFA",_xlfn.IFNA(VLOOKUP($G310,Master!$V$2:$Z$8,5,0),""),"")</f>
        <v/>
      </c>
      <c r="P310" s="6" t="str">
        <f t="shared" si="8"/>
        <v/>
      </c>
      <c r="Q310" s="13">
        <f t="shared" si="9"/>
        <v>0</v>
      </c>
    </row>
    <row r="311" spans="2:17" ht="15" customHeight="1">
      <c r="B311" s="5" t="str">
        <f>_xlfn.IFNA(VLOOKUP(C311,Master!$H:$I,2,FALSE),"")</f>
        <v/>
      </c>
      <c r="D311" s="5" t="str">
        <f>_xlfn.IFNA(VLOOKUP(E311,Master!$H:$I,2,FALSE),"")</f>
        <v/>
      </c>
      <c r="F311" s="26" t="str">
        <f>+_xlfn.XLOOKUP(G311,Master!$V$2:$V$8,Master!$U$2:$U$8,"")</f>
        <v/>
      </c>
      <c r="I311" s="4" t="str">
        <f>_xlfn.IFNA(VLOOKUP(D311,Master!$I:$K,2,FALSE),"")</f>
        <v/>
      </c>
      <c r="J311" s="4" t="str">
        <f>_xlfn.IFNA(VLOOKUP(D311,Master!$I:$K,3,FALSE),"")</f>
        <v/>
      </c>
      <c r="L311" s="27" t="str">
        <f>IF(A311&lt;&gt;"CFA",_xlfn.IFNA(VLOOKUP($G311,Master!$V$2:$Z$8,5,0),""),"")</f>
        <v/>
      </c>
      <c r="P311" s="6" t="str">
        <f t="shared" ref="P311:P374" si="10">IF(N311&lt;&gt;"",IF(MONTH(N311)&gt;=4,"FY1"&amp;RIGHT(YEAR(N311)+1,2),"FY1"&amp;RIGHT(YEAR(N311),2)),"")</f>
        <v/>
      </c>
      <c r="Q311" s="13">
        <f t="shared" ref="Q311:Q374" si="11">IF(K311&gt;0&amp;M311&gt;0,K311*M311,"")</f>
        <v>0</v>
      </c>
    </row>
    <row r="312" spans="2:17" ht="15" customHeight="1">
      <c r="B312" s="5" t="str">
        <f>_xlfn.IFNA(VLOOKUP(C312,Master!$H:$I,2,FALSE),"")</f>
        <v/>
      </c>
      <c r="D312" s="5" t="str">
        <f>_xlfn.IFNA(VLOOKUP(E312,Master!$H:$I,2,FALSE),"")</f>
        <v/>
      </c>
      <c r="F312" s="26" t="str">
        <f>+_xlfn.XLOOKUP(G312,Master!$V$2:$V$8,Master!$U$2:$U$8,"")</f>
        <v/>
      </c>
      <c r="I312" s="4" t="str">
        <f>_xlfn.IFNA(VLOOKUP(D312,Master!$I:$K,2,FALSE),"")</f>
        <v/>
      </c>
      <c r="J312" s="4" t="str">
        <f>_xlfn.IFNA(VLOOKUP(D312,Master!$I:$K,3,FALSE),"")</f>
        <v/>
      </c>
      <c r="L312" s="27" t="str">
        <f>IF(A312&lt;&gt;"CFA",_xlfn.IFNA(VLOOKUP($G312,Master!$V$2:$Z$8,5,0),""),"")</f>
        <v/>
      </c>
      <c r="P312" s="6" t="str">
        <f t="shared" si="10"/>
        <v/>
      </c>
      <c r="Q312" s="13">
        <f t="shared" si="11"/>
        <v>0</v>
      </c>
    </row>
    <row r="313" spans="2:17" ht="15" customHeight="1">
      <c r="B313" s="5" t="str">
        <f>_xlfn.IFNA(VLOOKUP(C313,Master!$H:$I,2,FALSE),"")</f>
        <v/>
      </c>
      <c r="D313" s="5" t="str">
        <f>_xlfn.IFNA(VLOOKUP(E313,Master!$H:$I,2,FALSE),"")</f>
        <v/>
      </c>
      <c r="F313" s="26" t="str">
        <f>+_xlfn.XLOOKUP(G313,Master!$V$2:$V$8,Master!$U$2:$U$8,"")</f>
        <v/>
      </c>
      <c r="I313" s="4" t="str">
        <f>_xlfn.IFNA(VLOOKUP(D313,Master!$I:$K,2,FALSE),"")</f>
        <v/>
      </c>
      <c r="J313" s="4" t="str">
        <f>_xlfn.IFNA(VLOOKUP(D313,Master!$I:$K,3,FALSE),"")</f>
        <v/>
      </c>
      <c r="L313" s="27" t="str">
        <f>IF(A313&lt;&gt;"CFA",_xlfn.IFNA(VLOOKUP($G313,Master!$V$2:$Z$8,5,0),""),"")</f>
        <v/>
      </c>
      <c r="P313" s="6" t="str">
        <f t="shared" si="10"/>
        <v/>
      </c>
      <c r="Q313" s="13">
        <f t="shared" si="11"/>
        <v>0</v>
      </c>
    </row>
    <row r="314" spans="2:17" ht="15" customHeight="1">
      <c r="B314" s="5" t="str">
        <f>_xlfn.IFNA(VLOOKUP(C314,Master!$H:$I,2,FALSE),"")</f>
        <v/>
      </c>
      <c r="D314" s="5" t="str">
        <f>_xlfn.IFNA(VLOOKUP(E314,Master!$H:$I,2,FALSE),"")</f>
        <v/>
      </c>
      <c r="F314" s="26" t="str">
        <f>+_xlfn.XLOOKUP(G314,Master!$V$2:$V$8,Master!$U$2:$U$8,"")</f>
        <v/>
      </c>
      <c r="I314" s="4" t="str">
        <f>_xlfn.IFNA(VLOOKUP(D314,Master!$I:$K,2,FALSE),"")</f>
        <v/>
      </c>
      <c r="J314" s="4" t="str">
        <f>_xlfn.IFNA(VLOOKUP(D314,Master!$I:$K,3,FALSE),"")</f>
        <v/>
      </c>
      <c r="L314" s="27" t="str">
        <f>IF(A314&lt;&gt;"CFA",_xlfn.IFNA(VLOOKUP($G314,Master!$V$2:$Z$8,5,0),""),"")</f>
        <v/>
      </c>
      <c r="P314" s="6" t="str">
        <f t="shared" si="10"/>
        <v/>
      </c>
      <c r="Q314" s="13">
        <f t="shared" si="11"/>
        <v>0</v>
      </c>
    </row>
    <row r="315" spans="2:17" ht="15" customHeight="1">
      <c r="B315" s="5" t="str">
        <f>_xlfn.IFNA(VLOOKUP(C315,Master!$H:$I,2,FALSE),"")</f>
        <v/>
      </c>
      <c r="D315" s="5" t="str">
        <f>_xlfn.IFNA(VLOOKUP(E315,Master!$H:$I,2,FALSE),"")</f>
        <v/>
      </c>
      <c r="F315" s="26" t="str">
        <f>+_xlfn.XLOOKUP(G315,Master!$V$2:$V$8,Master!$U$2:$U$8,"")</f>
        <v/>
      </c>
      <c r="I315" s="4" t="str">
        <f>_xlfn.IFNA(VLOOKUP(D315,Master!$I:$K,2,FALSE),"")</f>
        <v/>
      </c>
      <c r="J315" s="4" t="str">
        <f>_xlfn.IFNA(VLOOKUP(D315,Master!$I:$K,3,FALSE),"")</f>
        <v/>
      </c>
      <c r="L315" s="27" t="str">
        <f>IF(A315&lt;&gt;"CFA",_xlfn.IFNA(VLOOKUP($G315,Master!$V$2:$Z$8,5,0),""),"")</f>
        <v/>
      </c>
      <c r="P315" s="6" t="str">
        <f t="shared" si="10"/>
        <v/>
      </c>
      <c r="Q315" s="13">
        <f t="shared" si="11"/>
        <v>0</v>
      </c>
    </row>
    <row r="316" spans="2:17" ht="15" customHeight="1">
      <c r="B316" s="5" t="str">
        <f>_xlfn.IFNA(VLOOKUP(C316,Master!$H:$I,2,FALSE),"")</f>
        <v/>
      </c>
      <c r="D316" s="5" t="str">
        <f>_xlfn.IFNA(VLOOKUP(E316,Master!$H:$I,2,FALSE),"")</f>
        <v/>
      </c>
      <c r="F316" s="26" t="str">
        <f>+_xlfn.XLOOKUP(G316,Master!$V$2:$V$8,Master!$U$2:$U$8,"")</f>
        <v/>
      </c>
      <c r="I316" s="4" t="str">
        <f>_xlfn.IFNA(VLOOKUP(D316,Master!$I:$K,2,FALSE),"")</f>
        <v/>
      </c>
      <c r="J316" s="4" t="str">
        <f>_xlfn.IFNA(VLOOKUP(D316,Master!$I:$K,3,FALSE),"")</f>
        <v/>
      </c>
      <c r="L316" s="27" t="str">
        <f>IF(A316&lt;&gt;"CFA",_xlfn.IFNA(VLOOKUP($G316,Master!$V$2:$Z$8,5,0),""),"")</f>
        <v/>
      </c>
      <c r="P316" s="6" t="str">
        <f t="shared" si="10"/>
        <v/>
      </c>
      <c r="Q316" s="13">
        <f t="shared" si="11"/>
        <v>0</v>
      </c>
    </row>
    <row r="317" spans="2:17" ht="15" customHeight="1">
      <c r="B317" s="5" t="str">
        <f>_xlfn.IFNA(VLOOKUP(C317,Master!$H:$I,2,FALSE),"")</f>
        <v/>
      </c>
      <c r="D317" s="5" t="str">
        <f>_xlfn.IFNA(VLOOKUP(E317,Master!$H:$I,2,FALSE),"")</f>
        <v/>
      </c>
      <c r="F317" s="26" t="str">
        <f>+_xlfn.XLOOKUP(G317,Master!$V$2:$V$8,Master!$U$2:$U$8,"")</f>
        <v/>
      </c>
      <c r="I317" s="4" t="str">
        <f>_xlfn.IFNA(VLOOKUP(D317,Master!$I:$K,2,FALSE),"")</f>
        <v/>
      </c>
      <c r="J317" s="4" t="str">
        <f>_xlfn.IFNA(VLOOKUP(D317,Master!$I:$K,3,FALSE),"")</f>
        <v/>
      </c>
      <c r="L317" s="27" t="str">
        <f>IF(A317&lt;&gt;"CFA",_xlfn.IFNA(VLOOKUP($G317,Master!$V$2:$Z$8,5,0),""),"")</f>
        <v/>
      </c>
      <c r="P317" s="6" t="str">
        <f t="shared" si="10"/>
        <v/>
      </c>
      <c r="Q317" s="13">
        <f t="shared" si="11"/>
        <v>0</v>
      </c>
    </row>
    <row r="318" spans="2:17" ht="15" customHeight="1">
      <c r="B318" s="5" t="str">
        <f>_xlfn.IFNA(VLOOKUP(C318,Master!$H:$I,2,FALSE),"")</f>
        <v/>
      </c>
      <c r="D318" s="5" t="str">
        <f>_xlfn.IFNA(VLOOKUP(E318,Master!$H:$I,2,FALSE),"")</f>
        <v/>
      </c>
      <c r="F318" s="26" t="str">
        <f>+_xlfn.XLOOKUP(G318,Master!$V$2:$V$8,Master!$U$2:$U$8,"")</f>
        <v/>
      </c>
      <c r="I318" s="4" t="str">
        <f>_xlfn.IFNA(VLOOKUP(D318,Master!$I:$K,2,FALSE),"")</f>
        <v/>
      </c>
      <c r="J318" s="4" t="str">
        <f>_xlfn.IFNA(VLOOKUP(D318,Master!$I:$K,3,FALSE),"")</f>
        <v/>
      </c>
      <c r="L318" s="27" t="str">
        <f>IF(A318&lt;&gt;"CFA",_xlfn.IFNA(VLOOKUP($G318,Master!$V$2:$Z$8,5,0),""),"")</f>
        <v/>
      </c>
      <c r="P318" s="6" t="str">
        <f t="shared" si="10"/>
        <v/>
      </c>
      <c r="Q318" s="13">
        <f t="shared" si="11"/>
        <v>0</v>
      </c>
    </row>
    <row r="319" spans="2:17" ht="15" customHeight="1">
      <c r="B319" s="5" t="str">
        <f>_xlfn.IFNA(VLOOKUP(C319,Master!$H:$I,2,FALSE),"")</f>
        <v/>
      </c>
      <c r="D319" s="5" t="str">
        <f>_xlfn.IFNA(VLOOKUP(E319,Master!$H:$I,2,FALSE),"")</f>
        <v/>
      </c>
      <c r="F319" s="26" t="str">
        <f>+_xlfn.XLOOKUP(G319,Master!$V$2:$V$8,Master!$U$2:$U$8,"")</f>
        <v/>
      </c>
      <c r="I319" s="4" t="str">
        <f>_xlfn.IFNA(VLOOKUP(D319,Master!$I:$K,2,FALSE),"")</f>
        <v/>
      </c>
      <c r="J319" s="4" t="str">
        <f>_xlfn.IFNA(VLOOKUP(D319,Master!$I:$K,3,FALSE),"")</f>
        <v/>
      </c>
      <c r="L319" s="27" t="str">
        <f>IF(A319&lt;&gt;"CFA",_xlfn.IFNA(VLOOKUP($G319,Master!$V$2:$Z$8,5,0),""),"")</f>
        <v/>
      </c>
      <c r="P319" s="6" t="str">
        <f t="shared" si="10"/>
        <v/>
      </c>
      <c r="Q319" s="13">
        <f t="shared" si="11"/>
        <v>0</v>
      </c>
    </row>
    <row r="320" spans="2:17" ht="15" customHeight="1">
      <c r="B320" s="5" t="str">
        <f>_xlfn.IFNA(VLOOKUP(C320,Master!$H:$I,2,FALSE),"")</f>
        <v/>
      </c>
      <c r="D320" s="5" t="str">
        <f>_xlfn.IFNA(VLOOKUP(E320,Master!$H:$I,2,FALSE),"")</f>
        <v/>
      </c>
      <c r="F320" s="26" t="str">
        <f>+_xlfn.XLOOKUP(G320,Master!$V$2:$V$8,Master!$U$2:$U$8,"")</f>
        <v/>
      </c>
      <c r="I320" s="4" t="str">
        <f>_xlfn.IFNA(VLOOKUP(D320,Master!$I:$K,2,FALSE),"")</f>
        <v/>
      </c>
      <c r="J320" s="4" t="str">
        <f>_xlfn.IFNA(VLOOKUP(D320,Master!$I:$K,3,FALSE),"")</f>
        <v/>
      </c>
      <c r="L320" s="27" t="str">
        <f>IF(A320&lt;&gt;"CFA",_xlfn.IFNA(VLOOKUP($G320,Master!$V$2:$Z$8,5,0),""),"")</f>
        <v/>
      </c>
      <c r="P320" s="6" t="str">
        <f t="shared" si="10"/>
        <v/>
      </c>
      <c r="Q320" s="13">
        <f t="shared" si="11"/>
        <v>0</v>
      </c>
    </row>
    <row r="321" spans="2:17" ht="15" customHeight="1">
      <c r="B321" s="5" t="str">
        <f>_xlfn.IFNA(VLOOKUP(C321,Master!$H:$I,2,FALSE),"")</f>
        <v/>
      </c>
      <c r="D321" s="5" t="str">
        <f>_xlfn.IFNA(VLOOKUP(E321,Master!$H:$I,2,FALSE),"")</f>
        <v/>
      </c>
      <c r="F321" s="26" t="str">
        <f>+_xlfn.XLOOKUP(G321,Master!$V$2:$V$8,Master!$U$2:$U$8,"")</f>
        <v/>
      </c>
      <c r="I321" s="4" t="str">
        <f>_xlfn.IFNA(VLOOKUP(D321,Master!$I:$K,2,FALSE),"")</f>
        <v/>
      </c>
      <c r="J321" s="4" t="str">
        <f>_xlfn.IFNA(VLOOKUP(D321,Master!$I:$K,3,FALSE),"")</f>
        <v/>
      </c>
      <c r="L321" s="27" t="str">
        <f>IF(A321&lt;&gt;"CFA",_xlfn.IFNA(VLOOKUP($G321,Master!$V$2:$Z$8,5,0),""),"")</f>
        <v/>
      </c>
      <c r="P321" s="6" t="str">
        <f t="shared" si="10"/>
        <v/>
      </c>
      <c r="Q321" s="13">
        <f t="shared" si="11"/>
        <v>0</v>
      </c>
    </row>
    <row r="322" spans="2:17" ht="15" customHeight="1">
      <c r="B322" s="5" t="str">
        <f>_xlfn.IFNA(VLOOKUP(C322,Master!$H:$I,2,FALSE),"")</f>
        <v/>
      </c>
      <c r="D322" s="5" t="str">
        <f>_xlfn.IFNA(VLOOKUP(E322,Master!$H:$I,2,FALSE),"")</f>
        <v/>
      </c>
      <c r="F322" s="26" t="str">
        <f>+_xlfn.XLOOKUP(G322,Master!$V$2:$V$8,Master!$U$2:$U$8,"")</f>
        <v/>
      </c>
      <c r="I322" s="4" t="str">
        <f>_xlfn.IFNA(VLOOKUP(D322,Master!$I:$K,2,FALSE),"")</f>
        <v/>
      </c>
      <c r="J322" s="4" t="str">
        <f>_xlfn.IFNA(VLOOKUP(D322,Master!$I:$K,3,FALSE),"")</f>
        <v/>
      </c>
      <c r="L322" s="27" t="str">
        <f>IF(A322&lt;&gt;"CFA",_xlfn.IFNA(VLOOKUP($G322,Master!$V$2:$Z$8,5,0),""),"")</f>
        <v/>
      </c>
      <c r="P322" s="6" t="str">
        <f t="shared" si="10"/>
        <v/>
      </c>
      <c r="Q322" s="13">
        <f t="shared" si="11"/>
        <v>0</v>
      </c>
    </row>
    <row r="323" spans="2:17" ht="15" customHeight="1">
      <c r="B323" s="5" t="str">
        <f>_xlfn.IFNA(VLOOKUP(C323,Master!$H:$I,2,FALSE),"")</f>
        <v/>
      </c>
      <c r="D323" s="5" t="str">
        <f>_xlfn.IFNA(VLOOKUP(E323,Master!$H:$I,2,FALSE),"")</f>
        <v/>
      </c>
      <c r="F323" s="26" t="str">
        <f>+_xlfn.XLOOKUP(G323,Master!$V$2:$V$8,Master!$U$2:$U$8,"")</f>
        <v/>
      </c>
      <c r="I323" s="4" t="str">
        <f>_xlfn.IFNA(VLOOKUP(D323,Master!$I:$K,2,FALSE),"")</f>
        <v/>
      </c>
      <c r="J323" s="4" t="str">
        <f>_xlfn.IFNA(VLOOKUP(D323,Master!$I:$K,3,FALSE),"")</f>
        <v/>
      </c>
      <c r="L323" s="27" t="str">
        <f>IF(A323&lt;&gt;"CFA",_xlfn.IFNA(VLOOKUP($G323,Master!$V$2:$Z$8,5,0),""),"")</f>
        <v/>
      </c>
      <c r="P323" s="6" t="str">
        <f t="shared" si="10"/>
        <v/>
      </c>
      <c r="Q323" s="13">
        <f t="shared" si="11"/>
        <v>0</v>
      </c>
    </row>
    <row r="324" spans="2:17" ht="15" customHeight="1">
      <c r="B324" s="5" t="str">
        <f>_xlfn.IFNA(VLOOKUP(C324,Master!$H:$I,2,FALSE),"")</f>
        <v/>
      </c>
      <c r="D324" s="5" t="str">
        <f>_xlfn.IFNA(VLOOKUP(E324,Master!$H:$I,2,FALSE),"")</f>
        <v/>
      </c>
      <c r="F324" s="26" t="str">
        <f>+_xlfn.XLOOKUP(G324,Master!$V$2:$V$8,Master!$U$2:$U$8,"")</f>
        <v/>
      </c>
      <c r="I324" s="4" t="str">
        <f>_xlfn.IFNA(VLOOKUP(D324,Master!$I:$K,2,FALSE),"")</f>
        <v/>
      </c>
      <c r="J324" s="4" t="str">
        <f>_xlfn.IFNA(VLOOKUP(D324,Master!$I:$K,3,FALSE),"")</f>
        <v/>
      </c>
      <c r="L324" s="27" t="str">
        <f>IF(A324&lt;&gt;"CFA",_xlfn.IFNA(VLOOKUP($G324,Master!$V$2:$Z$8,5,0),""),"")</f>
        <v/>
      </c>
      <c r="P324" s="6" t="str">
        <f t="shared" si="10"/>
        <v/>
      </c>
      <c r="Q324" s="13">
        <f t="shared" si="11"/>
        <v>0</v>
      </c>
    </row>
    <row r="325" spans="2:17" ht="15" customHeight="1">
      <c r="B325" s="5" t="str">
        <f>_xlfn.IFNA(VLOOKUP(C325,Master!$H:$I,2,FALSE),"")</f>
        <v/>
      </c>
      <c r="D325" s="5" t="str">
        <f>_xlfn.IFNA(VLOOKUP(E325,Master!$H:$I,2,FALSE),"")</f>
        <v/>
      </c>
      <c r="F325" s="26" t="str">
        <f>+_xlfn.XLOOKUP(G325,Master!$V$2:$V$8,Master!$U$2:$U$8,"")</f>
        <v/>
      </c>
      <c r="I325" s="4" t="str">
        <f>_xlfn.IFNA(VLOOKUP(D325,Master!$I:$K,2,FALSE),"")</f>
        <v/>
      </c>
      <c r="J325" s="4" t="str">
        <f>_xlfn.IFNA(VLOOKUP(D325,Master!$I:$K,3,FALSE),"")</f>
        <v/>
      </c>
      <c r="L325" s="27" t="str">
        <f>IF(A325&lt;&gt;"CFA",_xlfn.IFNA(VLOOKUP($G325,Master!$V$2:$Z$8,5,0),""),"")</f>
        <v/>
      </c>
      <c r="P325" s="6" t="str">
        <f t="shared" si="10"/>
        <v/>
      </c>
      <c r="Q325" s="13">
        <f t="shared" si="11"/>
        <v>0</v>
      </c>
    </row>
    <row r="326" spans="2:17" ht="15" customHeight="1">
      <c r="B326" s="5" t="str">
        <f>_xlfn.IFNA(VLOOKUP(C326,Master!$H:$I,2,FALSE),"")</f>
        <v/>
      </c>
      <c r="D326" s="5" t="str">
        <f>_xlfn.IFNA(VLOOKUP(E326,Master!$H:$I,2,FALSE),"")</f>
        <v/>
      </c>
      <c r="F326" s="26" t="str">
        <f>+_xlfn.XLOOKUP(G326,Master!$V$2:$V$8,Master!$U$2:$U$8,"")</f>
        <v/>
      </c>
      <c r="I326" s="4" t="str">
        <f>_xlfn.IFNA(VLOOKUP(D326,Master!$I:$K,2,FALSE),"")</f>
        <v/>
      </c>
      <c r="J326" s="4" t="str">
        <f>_xlfn.IFNA(VLOOKUP(D326,Master!$I:$K,3,FALSE),"")</f>
        <v/>
      </c>
      <c r="L326" s="27" t="str">
        <f>IF(A326&lt;&gt;"CFA",_xlfn.IFNA(VLOOKUP($G326,Master!$V$2:$Z$8,5,0),""),"")</f>
        <v/>
      </c>
      <c r="P326" s="6" t="str">
        <f t="shared" si="10"/>
        <v/>
      </c>
      <c r="Q326" s="13">
        <f t="shared" si="11"/>
        <v>0</v>
      </c>
    </row>
    <row r="327" spans="2:17" ht="15" customHeight="1">
      <c r="B327" s="5" t="str">
        <f>_xlfn.IFNA(VLOOKUP(C327,Master!$H:$I,2,FALSE),"")</f>
        <v/>
      </c>
      <c r="D327" s="5" t="str">
        <f>_xlfn.IFNA(VLOOKUP(E327,Master!$H:$I,2,FALSE),"")</f>
        <v/>
      </c>
      <c r="F327" s="26" t="str">
        <f>+_xlfn.XLOOKUP(G327,Master!$V$2:$V$8,Master!$U$2:$U$8,"")</f>
        <v/>
      </c>
      <c r="I327" s="4" t="str">
        <f>_xlfn.IFNA(VLOOKUP(D327,Master!$I:$K,2,FALSE),"")</f>
        <v/>
      </c>
      <c r="J327" s="4" t="str">
        <f>_xlfn.IFNA(VLOOKUP(D327,Master!$I:$K,3,FALSE),"")</f>
        <v/>
      </c>
      <c r="L327" s="27" t="str">
        <f>IF(A327&lt;&gt;"CFA",_xlfn.IFNA(VLOOKUP($G327,Master!$V$2:$Z$8,5,0),""),"")</f>
        <v/>
      </c>
      <c r="P327" s="6" t="str">
        <f t="shared" si="10"/>
        <v/>
      </c>
      <c r="Q327" s="13">
        <f t="shared" si="11"/>
        <v>0</v>
      </c>
    </row>
    <row r="328" spans="2:17" ht="15" customHeight="1">
      <c r="B328" s="5" t="str">
        <f>_xlfn.IFNA(VLOOKUP(C328,Master!$H:$I,2,FALSE),"")</f>
        <v/>
      </c>
      <c r="D328" s="5" t="str">
        <f>_xlfn.IFNA(VLOOKUP(E328,Master!$H:$I,2,FALSE),"")</f>
        <v/>
      </c>
      <c r="F328" s="26" t="str">
        <f>+_xlfn.XLOOKUP(G328,Master!$V$2:$V$8,Master!$U$2:$U$8,"")</f>
        <v/>
      </c>
      <c r="I328" s="4" t="str">
        <f>_xlfn.IFNA(VLOOKUP(D328,Master!$I:$K,2,FALSE),"")</f>
        <v/>
      </c>
      <c r="J328" s="4" t="str">
        <f>_xlfn.IFNA(VLOOKUP(D328,Master!$I:$K,3,FALSE),"")</f>
        <v/>
      </c>
      <c r="L328" s="27" t="str">
        <f>IF(A328&lt;&gt;"CFA",_xlfn.IFNA(VLOOKUP($G328,Master!$V$2:$Z$8,5,0),""),"")</f>
        <v/>
      </c>
      <c r="P328" s="6" t="str">
        <f t="shared" si="10"/>
        <v/>
      </c>
      <c r="Q328" s="13">
        <f t="shared" si="11"/>
        <v>0</v>
      </c>
    </row>
    <row r="329" spans="2:17" ht="15" customHeight="1">
      <c r="B329" s="5" t="str">
        <f>_xlfn.IFNA(VLOOKUP(C329,Master!$H:$I,2,FALSE),"")</f>
        <v/>
      </c>
      <c r="D329" s="5" t="str">
        <f>_xlfn.IFNA(VLOOKUP(E329,Master!$H:$I,2,FALSE),"")</f>
        <v/>
      </c>
      <c r="F329" s="26" t="str">
        <f>+_xlfn.XLOOKUP(G329,Master!$V$2:$V$8,Master!$U$2:$U$8,"")</f>
        <v/>
      </c>
      <c r="I329" s="4" t="str">
        <f>_xlfn.IFNA(VLOOKUP(D329,Master!$I:$K,2,FALSE),"")</f>
        <v/>
      </c>
      <c r="J329" s="4" t="str">
        <f>_xlfn.IFNA(VLOOKUP(D329,Master!$I:$K,3,FALSE),"")</f>
        <v/>
      </c>
      <c r="L329" s="27" t="str">
        <f>IF(A329&lt;&gt;"CFA",_xlfn.IFNA(VLOOKUP($G329,Master!$V$2:$Z$8,5,0),""),"")</f>
        <v/>
      </c>
      <c r="P329" s="6" t="str">
        <f t="shared" si="10"/>
        <v/>
      </c>
      <c r="Q329" s="13">
        <f t="shared" si="11"/>
        <v>0</v>
      </c>
    </row>
    <row r="330" spans="2:17" ht="15" customHeight="1">
      <c r="B330" s="5" t="str">
        <f>_xlfn.IFNA(VLOOKUP(C330,Master!$H:$I,2,FALSE),"")</f>
        <v/>
      </c>
      <c r="D330" s="5" t="str">
        <f>_xlfn.IFNA(VLOOKUP(E330,Master!$H:$I,2,FALSE),"")</f>
        <v/>
      </c>
      <c r="F330" s="26" t="str">
        <f>+_xlfn.XLOOKUP(G330,Master!$V$2:$V$8,Master!$U$2:$U$8,"")</f>
        <v/>
      </c>
      <c r="I330" s="4" t="str">
        <f>_xlfn.IFNA(VLOOKUP(D330,Master!$I:$K,2,FALSE),"")</f>
        <v/>
      </c>
      <c r="J330" s="4" t="str">
        <f>_xlfn.IFNA(VLOOKUP(D330,Master!$I:$K,3,FALSE),"")</f>
        <v/>
      </c>
      <c r="L330" s="27" t="str">
        <f>IF(A330&lt;&gt;"CFA",_xlfn.IFNA(VLOOKUP($G330,Master!$V$2:$Z$8,5,0),""),"")</f>
        <v/>
      </c>
      <c r="P330" s="6" t="str">
        <f t="shared" si="10"/>
        <v/>
      </c>
      <c r="Q330" s="13">
        <f t="shared" si="11"/>
        <v>0</v>
      </c>
    </row>
    <row r="331" spans="2:17" ht="15" customHeight="1">
      <c r="B331" s="5" t="str">
        <f>_xlfn.IFNA(VLOOKUP(C331,Master!$H:$I,2,FALSE),"")</f>
        <v/>
      </c>
      <c r="D331" s="5" t="str">
        <f>_xlfn.IFNA(VLOOKUP(E331,Master!$H:$I,2,FALSE),"")</f>
        <v/>
      </c>
      <c r="F331" s="26" t="str">
        <f>+_xlfn.XLOOKUP(G331,Master!$V$2:$V$8,Master!$U$2:$U$8,"")</f>
        <v/>
      </c>
      <c r="I331" s="4" t="str">
        <f>_xlfn.IFNA(VLOOKUP(D331,Master!$I:$K,2,FALSE),"")</f>
        <v/>
      </c>
      <c r="J331" s="4" t="str">
        <f>_xlfn.IFNA(VLOOKUP(D331,Master!$I:$K,3,FALSE),"")</f>
        <v/>
      </c>
      <c r="L331" s="27" t="str">
        <f>IF(A331&lt;&gt;"CFA",_xlfn.IFNA(VLOOKUP($G331,Master!$V$2:$Z$8,5,0),""),"")</f>
        <v/>
      </c>
      <c r="P331" s="6" t="str">
        <f t="shared" si="10"/>
        <v/>
      </c>
      <c r="Q331" s="13">
        <f t="shared" si="11"/>
        <v>0</v>
      </c>
    </row>
    <row r="332" spans="2:17" ht="15" customHeight="1">
      <c r="B332" s="5" t="str">
        <f>_xlfn.IFNA(VLOOKUP(C332,Master!$H:$I,2,FALSE),"")</f>
        <v/>
      </c>
      <c r="D332" s="5" t="str">
        <f>_xlfn.IFNA(VLOOKUP(E332,Master!$H:$I,2,FALSE),"")</f>
        <v/>
      </c>
      <c r="F332" s="26" t="str">
        <f>+_xlfn.XLOOKUP(G332,Master!$V$2:$V$8,Master!$U$2:$U$8,"")</f>
        <v/>
      </c>
      <c r="I332" s="4" t="str">
        <f>_xlfn.IFNA(VLOOKUP(D332,Master!$I:$K,2,FALSE),"")</f>
        <v/>
      </c>
      <c r="J332" s="4" t="str">
        <f>_xlfn.IFNA(VLOOKUP(D332,Master!$I:$K,3,FALSE),"")</f>
        <v/>
      </c>
      <c r="L332" s="27" t="str">
        <f>IF(A332&lt;&gt;"CFA",_xlfn.IFNA(VLOOKUP($G332,Master!$V$2:$Z$8,5,0),""),"")</f>
        <v/>
      </c>
      <c r="P332" s="6" t="str">
        <f t="shared" si="10"/>
        <v/>
      </c>
      <c r="Q332" s="13">
        <f t="shared" si="11"/>
        <v>0</v>
      </c>
    </row>
    <row r="333" spans="2:17" ht="15" customHeight="1">
      <c r="B333" s="5" t="str">
        <f>_xlfn.IFNA(VLOOKUP(C333,Master!$H:$I,2,FALSE),"")</f>
        <v/>
      </c>
      <c r="D333" s="5" t="str">
        <f>_xlfn.IFNA(VLOOKUP(E333,Master!$H:$I,2,FALSE),"")</f>
        <v/>
      </c>
      <c r="F333" s="26" t="str">
        <f>+_xlfn.XLOOKUP(G333,Master!$V$2:$V$8,Master!$U$2:$U$8,"")</f>
        <v/>
      </c>
      <c r="I333" s="4" t="str">
        <f>_xlfn.IFNA(VLOOKUP(D333,Master!$I:$K,2,FALSE),"")</f>
        <v/>
      </c>
      <c r="J333" s="4" t="str">
        <f>_xlfn.IFNA(VLOOKUP(D333,Master!$I:$K,3,FALSE),"")</f>
        <v/>
      </c>
      <c r="L333" s="27" t="str">
        <f>IF(A333&lt;&gt;"CFA",_xlfn.IFNA(VLOOKUP($G333,Master!$V$2:$Z$8,5,0),""),"")</f>
        <v/>
      </c>
      <c r="P333" s="6" t="str">
        <f t="shared" si="10"/>
        <v/>
      </c>
      <c r="Q333" s="13">
        <f t="shared" si="11"/>
        <v>0</v>
      </c>
    </row>
    <row r="334" spans="2:17" ht="15" customHeight="1">
      <c r="B334" s="5" t="str">
        <f>_xlfn.IFNA(VLOOKUP(C334,Master!$H:$I,2,FALSE),"")</f>
        <v/>
      </c>
      <c r="D334" s="5" t="str">
        <f>_xlfn.IFNA(VLOOKUP(E334,Master!$H:$I,2,FALSE),"")</f>
        <v/>
      </c>
      <c r="F334" s="26" t="str">
        <f>+_xlfn.XLOOKUP(G334,Master!$V$2:$V$8,Master!$U$2:$U$8,"")</f>
        <v/>
      </c>
      <c r="I334" s="4" t="str">
        <f>_xlfn.IFNA(VLOOKUP(D334,Master!$I:$K,2,FALSE),"")</f>
        <v/>
      </c>
      <c r="J334" s="4" t="str">
        <f>_xlfn.IFNA(VLOOKUP(D334,Master!$I:$K,3,FALSE),"")</f>
        <v/>
      </c>
      <c r="L334" s="27" t="str">
        <f>IF(A334&lt;&gt;"CFA",_xlfn.IFNA(VLOOKUP($G334,Master!$V$2:$Z$8,5,0),""),"")</f>
        <v/>
      </c>
      <c r="P334" s="6" t="str">
        <f t="shared" si="10"/>
        <v/>
      </c>
      <c r="Q334" s="13">
        <f t="shared" si="11"/>
        <v>0</v>
      </c>
    </row>
    <row r="335" spans="2:17" ht="15" customHeight="1">
      <c r="B335" s="5" t="str">
        <f>_xlfn.IFNA(VLOOKUP(C335,Master!$H:$I,2,FALSE),"")</f>
        <v/>
      </c>
      <c r="D335" s="5" t="str">
        <f>_xlfn.IFNA(VLOOKUP(E335,Master!$H:$I,2,FALSE),"")</f>
        <v/>
      </c>
      <c r="F335" s="26" t="str">
        <f>+_xlfn.XLOOKUP(G335,Master!$V$2:$V$8,Master!$U$2:$U$8,"")</f>
        <v/>
      </c>
      <c r="I335" s="4" t="str">
        <f>_xlfn.IFNA(VLOOKUP(D335,Master!$I:$K,2,FALSE),"")</f>
        <v/>
      </c>
      <c r="J335" s="4" t="str">
        <f>_xlfn.IFNA(VLOOKUP(D335,Master!$I:$K,3,FALSE),"")</f>
        <v/>
      </c>
      <c r="L335" s="27" t="str">
        <f>IF(A335&lt;&gt;"CFA",_xlfn.IFNA(VLOOKUP($G335,Master!$V$2:$Z$8,5,0),""),"")</f>
        <v/>
      </c>
      <c r="P335" s="6" t="str">
        <f t="shared" si="10"/>
        <v/>
      </c>
      <c r="Q335" s="13">
        <f t="shared" si="11"/>
        <v>0</v>
      </c>
    </row>
    <row r="336" spans="2:17" ht="15" customHeight="1">
      <c r="B336" s="5" t="str">
        <f>_xlfn.IFNA(VLOOKUP(C336,Master!$H:$I,2,FALSE),"")</f>
        <v/>
      </c>
      <c r="D336" s="5" t="str">
        <f>_xlfn.IFNA(VLOOKUP(E336,Master!$H:$I,2,FALSE),"")</f>
        <v/>
      </c>
      <c r="F336" s="26" t="str">
        <f>+_xlfn.XLOOKUP(G336,Master!$V$2:$V$8,Master!$U$2:$U$8,"")</f>
        <v/>
      </c>
      <c r="I336" s="4" t="str">
        <f>_xlfn.IFNA(VLOOKUP(D336,Master!$I:$K,2,FALSE),"")</f>
        <v/>
      </c>
      <c r="J336" s="4" t="str">
        <f>_xlfn.IFNA(VLOOKUP(D336,Master!$I:$K,3,FALSE),"")</f>
        <v/>
      </c>
      <c r="L336" s="27" t="str">
        <f>IF(A336&lt;&gt;"CFA",_xlfn.IFNA(VLOOKUP($G336,Master!$V$2:$Z$8,5,0),""),"")</f>
        <v/>
      </c>
      <c r="P336" s="6" t="str">
        <f t="shared" si="10"/>
        <v/>
      </c>
      <c r="Q336" s="13">
        <f t="shared" si="11"/>
        <v>0</v>
      </c>
    </row>
    <row r="337" spans="2:17" ht="15" customHeight="1">
      <c r="B337" s="5" t="str">
        <f>_xlfn.IFNA(VLOOKUP(C337,Master!$H:$I,2,FALSE),"")</f>
        <v/>
      </c>
      <c r="D337" s="5" t="str">
        <f>_xlfn.IFNA(VLOOKUP(E337,Master!$H:$I,2,FALSE),"")</f>
        <v/>
      </c>
      <c r="F337" s="26" t="str">
        <f>+_xlfn.XLOOKUP(G337,Master!$V$2:$V$8,Master!$U$2:$U$8,"")</f>
        <v/>
      </c>
      <c r="I337" s="4" t="str">
        <f>_xlfn.IFNA(VLOOKUP(D337,Master!$I:$K,2,FALSE),"")</f>
        <v/>
      </c>
      <c r="J337" s="4" t="str">
        <f>_xlfn.IFNA(VLOOKUP(D337,Master!$I:$K,3,FALSE),"")</f>
        <v/>
      </c>
      <c r="L337" s="27" t="str">
        <f>IF(A337&lt;&gt;"CFA",_xlfn.IFNA(VLOOKUP($G337,Master!$V$2:$Z$8,5,0),""),"")</f>
        <v/>
      </c>
      <c r="P337" s="6" t="str">
        <f t="shared" si="10"/>
        <v/>
      </c>
      <c r="Q337" s="13">
        <f t="shared" si="11"/>
        <v>0</v>
      </c>
    </row>
    <row r="338" spans="2:17" ht="15" customHeight="1">
      <c r="B338" s="5" t="str">
        <f>_xlfn.IFNA(VLOOKUP(C338,Master!$H:$I,2,FALSE),"")</f>
        <v/>
      </c>
      <c r="D338" s="5" t="str">
        <f>_xlfn.IFNA(VLOOKUP(E338,Master!$H:$I,2,FALSE),"")</f>
        <v/>
      </c>
      <c r="F338" s="26" t="str">
        <f>+_xlfn.XLOOKUP(G338,Master!$V$2:$V$8,Master!$U$2:$U$8,"")</f>
        <v/>
      </c>
      <c r="I338" s="4" t="str">
        <f>_xlfn.IFNA(VLOOKUP(D338,Master!$I:$K,2,FALSE),"")</f>
        <v/>
      </c>
      <c r="J338" s="4" t="str">
        <f>_xlfn.IFNA(VLOOKUP(D338,Master!$I:$K,3,FALSE),"")</f>
        <v/>
      </c>
      <c r="L338" s="27" t="str">
        <f>IF(A338&lt;&gt;"CFA",_xlfn.IFNA(VLOOKUP($G338,Master!$V$2:$Z$8,5,0),""),"")</f>
        <v/>
      </c>
      <c r="P338" s="6" t="str">
        <f t="shared" si="10"/>
        <v/>
      </c>
      <c r="Q338" s="13">
        <f t="shared" si="11"/>
        <v>0</v>
      </c>
    </row>
    <row r="339" spans="2:17" ht="15" customHeight="1">
      <c r="B339" s="5" t="str">
        <f>_xlfn.IFNA(VLOOKUP(C339,Master!$H:$I,2,FALSE),"")</f>
        <v/>
      </c>
      <c r="D339" s="5" t="str">
        <f>_xlfn.IFNA(VLOOKUP(E339,Master!$H:$I,2,FALSE),"")</f>
        <v/>
      </c>
      <c r="F339" s="26" t="str">
        <f>+_xlfn.XLOOKUP(G339,Master!$V$2:$V$8,Master!$U$2:$U$8,"")</f>
        <v/>
      </c>
      <c r="I339" s="4" t="str">
        <f>_xlfn.IFNA(VLOOKUP(D339,Master!$I:$K,2,FALSE),"")</f>
        <v/>
      </c>
      <c r="J339" s="4" t="str">
        <f>_xlfn.IFNA(VLOOKUP(D339,Master!$I:$K,3,FALSE),"")</f>
        <v/>
      </c>
      <c r="L339" s="27" t="str">
        <f>IF(A339&lt;&gt;"CFA",_xlfn.IFNA(VLOOKUP($G339,Master!$V$2:$Z$8,5,0),""),"")</f>
        <v/>
      </c>
      <c r="P339" s="6" t="str">
        <f t="shared" si="10"/>
        <v/>
      </c>
      <c r="Q339" s="13">
        <f t="shared" si="11"/>
        <v>0</v>
      </c>
    </row>
    <row r="340" spans="2:17" ht="15" customHeight="1">
      <c r="B340" s="5" t="str">
        <f>_xlfn.IFNA(VLOOKUP(C340,Master!$H:$I,2,FALSE),"")</f>
        <v/>
      </c>
      <c r="D340" s="5" t="str">
        <f>_xlfn.IFNA(VLOOKUP(E340,Master!$H:$I,2,FALSE),"")</f>
        <v/>
      </c>
      <c r="F340" s="26" t="str">
        <f>+_xlfn.XLOOKUP(G340,Master!$V$2:$V$8,Master!$U$2:$U$8,"")</f>
        <v/>
      </c>
      <c r="I340" s="4" t="str">
        <f>_xlfn.IFNA(VLOOKUP(D340,Master!$I:$K,2,FALSE),"")</f>
        <v/>
      </c>
      <c r="J340" s="4" t="str">
        <f>_xlfn.IFNA(VLOOKUP(D340,Master!$I:$K,3,FALSE),"")</f>
        <v/>
      </c>
      <c r="L340" s="27" t="str">
        <f>IF(A340&lt;&gt;"CFA",_xlfn.IFNA(VLOOKUP($G340,Master!$V$2:$Z$8,5,0),""),"")</f>
        <v/>
      </c>
      <c r="P340" s="6" t="str">
        <f t="shared" si="10"/>
        <v/>
      </c>
      <c r="Q340" s="13">
        <f t="shared" si="11"/>
        <v>0</v>
      </c>
    </row>
    <row r="341" spans="2:17" ht="15" customHeight="1">
      <c r="B341" s="5" t="str">
        <f>_xlfn.IFNA(VLOOKUP(C341,Master!$H:$I,2,FALSE),"")</f>
        <v/>
      </c>
      <c r="D341" s="5" t="str">
        <f>_xlfn.IFNA(VLOOKUP(E341,Master!$H:$I,2,FALSE),"")</f>
        <v/>
      </c>
      <c r="F341" s="26" t="str">
        <f>+_xlfn.XLOOKUP(G341,Master!$V$2:$V$8,Master!$U$2:$U$8,"")</f>
        <v/>
      </c>
      <c r="I341" s="4" t="str">
        <f>_xlfn.IFNA(VLOOKUP(D341,Master!$I:$K,2,FALSE),"")</f>
        <v/>
      </c>
      <c r="J341" s="4" t="str">
        <f>_xlfn.IFNA(VLOOKUP(D341,Master!$I:$K,3,FALSE),"")</f>
        <v/>
      </c>
      <c r="L341" s="27" t="str">
        <f>IF(A341&lt;&gt;"CFA",_xlfn.IFNA(VLOOKUP($G341,Master!$V$2:$Z$8,5,0),""),"")</f>
        <v/>
      </c>
      <c r="P341" s="6" t="str">
        <f t="shared" si="10"/>
        <v/>
      </c>
      <c r="Q341" s="13">
        <f t="shared" si="11"/>
        <v>0</v>
      </c>
    </row>
    <row r="342" spans="2:17" ht="15" customHeight="1">
      <c r="B342" s="5" t="str">
        <f>_xlfn.IFNA(VLOOKUP(C342,Master!$H:$I,2,FALSE),"")</f>
        <v/>
      </c>
      <c r="D342" s="5" t="str">
        <f>_xlfn.IFNA(VLOOKUP(E342,Master!$H:$I,2,FALSE),"")</f>
        <v/>
      </c>
      <c r="F342" s="26" t="str">
        <f>+_xlfn.XLOOKUP(G342,Master!$V$2:$V$8,Master!$U$2:$U$8,"")</f>
        <v/>
      </c>
      <c r="I342" s="4" t="str">
        <f>_xlfn.IFNA(VLOOKUP(D342,Master!$I:$K,2,FALSE),"")</f>
        <v/>
      </c>
      <c r="J342" s="4" t="str">
        <f>_xlfn.IFNA(VLOOKUP(D342,Master!$I:$K,3,FALSE),"")</f>
        <v/>
      </c>
      <c r="L342" s="27" t="str">
        <f>IF(A342&lt;&gt;"CFA",_xlfn.IFNA(VLOOKUP($G342,Master!$V$2:$Z$8,5,0),""),"")</f>
        <v/>
      </c>
      <c r="P342" s="6" t="str">
        <f t="shared" si="10"/>
        <v/>
      </c>
      <c r="Q342" s="13">
        <f t="shared" si="11"/>
        <v>0</v>
      </c>
    </row>
    <row r="343" spans="2:17" ht="15" customHeight="1">
      <c r="B343" s="5" t="str">
        <f>_xlfn.IFNA(VLOOKUP(C343,Master!$H:$I,2,FALSE),"")</f>
        <v/>
      </c>
      <c r="D343" s="5" t="str">
        <f>_xlfn.IFNA(VLOOKUP(E343,Master!$H:$I,2,FALSE),"")</f>
        <v/>
      </c>
      <c r="F343" s="26" t="str">
        <f>+_xlfn.XLOOKUP(G343,Master!$V$2:$V$8,Master!$U$2:$U$8,"")</f>
        <v/>
      </c>
      <c r="I343" s="4" t="str">
        <f>_xlfn.IFNA(VLOOKUP(D343,Master!$I:$K,2,FALSE),"")</f>
        <v/>
      </c>
      <c r="J343" s="4" t="str">
        <f>_xlfn.IFNA(VLOOKUP(D343,Master!$I:$K,3,FALSE),"")</f>
        <v/>
      </c>
      <c r="L343" s="27" t="str">
        <f>IF(A343&lt;&gt;"CFA",_xlfn.IFNA(VLOOKUP($G343,Master!$V$2:$Z$8,5,0),""),"")</f>
        <v/>
      </c>
      <c r="P343" s="6" t="str">
        <f t="shared" si="10"/>
        <v/>
      </c>
      <c r="Q343" s="13">
        <f t="shared" si="11"/>
        <v>0</v>
      </c>
    </row>
    <row r="344" spans="2:17" ht="15" customHeight="1">
      <c r="B344" s="5" t="str">
        <f>_xlfn.IFNA(VLOOKUP(C344,Master!$H:$I,2,FALSE),"")</f>
        <v/>
      </c>
      <c r="D344" s="5" t="str">
        <f>_xlfn.IFNA(VLOOKUP(E344,Master!$H:$I,2,FALSE),"")</f>
        <v/>
      </c>
      <c r="F344" s="26" t="str">
        <f>+_xlfn.XLOOKUP(G344,Master!$V$2:$V$8,Master!$U$2:$U$8,"")</f>
        <v/>
      </c>
      <c r="I344" s="4" t="str">
        <f>_xlfn.IFNA(VLOOKUP(D344,Master!$I:$K,2,FALSE),"")</f>
        <v/>
      </c>
      <c r="J344" s="4" t="str">
        <f>_xlfn.IFNA(VLOOKUP(D344,Master!$I:$K,3,FALSE),"")</f>
        <v/>
      </c>
      <c r="L344" s="27" t="str">
        <f>IF(A344&lt;&gt;"CFA",_xlfn.IFNA(VLOOKUP($G344,Master!$V$2:$Z$8,5,0),""),"")</f>
        <v/>
      </c>
      <c r="P344" s="6" t="str">
        <f t="shared" si="10"/>
        <v/>
      </c>
      <c r="Q344" s="13">
        <f t="shared" si="11"/>
        <v>0</v>
      </c>
    </row>
    <row r="345" spans="2:17" ht="15" customHeight="1">
      <c r="B345" s="5" t="str">
        <f>_xlfn.IFNA(VLOOKUP(C345,Master!$H:$I,2,FALSE),"")</f>
        <v/>
      </c>
      <c r="D345" s="5" t="str">
        <f>_xlfn.IFNA(VLOOKUP(E345,Master!$H:$I,2,FALSE),"")</f>
        <v/>
      </c>
      <c r="F345" s="26" t="str">
        <f>+_xlfn.XLOOKUP(G345,Master!$V$2:$V$8,Master!$U$2:$U$8,"")</f>
        <v/>
      </c>
      <c r="I345" s="4" t="str">
        <f>_xlfn.IFNA(VLOOKUP(D345,Master!$I:$K,2,FALSE),"")</f>
        <v/>
      </c>
      <c r="J345" s="4" t="str">
        <f>_xlfn.IFNA(VLOOKUP(D345,Master!$I:$K,3,FALSE),"")</f>
        <v/>
      </c>
      <c r="L345" s="27" t="str">
        <f>IF(A345&lt;&gt;"CFA",_xlfn.IFNA(VLOOKUP($G345,Master!$V$2:$Z$8,5,0),""),"")</f>
        <v/>
      </c>
      <c r="P345" s="6" t="str">
        <f t="shared" si="10"/>
        <v/>
      </c>
      <c r="Q345" s="13">
        <f t="shared" si="11"/>
        <v>0</v>
      </c>
    </row>
    <row r="346" spans="2:17" ht="15" customHeight="1">
      <c r="B346" s="5" t="str">
        <f>_xlfn.IFNA(VLOOKUP(C346,Master!$H:$I,2,FALSE),"")</f>
        <v/>
      </c>
      <c r="D346" s="5" t="str">
        <f>_xlfn.IFNA(VLOOKUP(E346,Master!$H:$I,2,FALSE),"")</f>
        <v/>
      </c>
      <c r="F346" s="26" t="str">
        <f>+_xlfn.XLOOKUP(G346,Master!$V$2:$V$8,Master!$U$2:$U$8,"")</f>
        <v/>
      </c>
      <c r="I346" s="4" t="str">
        <f>_xlfn.IFNA(VLOOKUP(D346,Master!$I:$K,2,FALSE),"")</f>
        <v/>
      </c>
      <c r="J346" s="4" t="str">
        <f>_xlfn.IFNA(VLOOKUP(D346,Master!$I:$K,3,FALSE),"")</f>
        <v/>
      </c>
      <c r="L346" s="27" t="str">
        <f>IF(A346&lt;&gt;"CFA",_xlfn.IFNA(VLOOKUP($G346,Master!$V$2:$Z$8,5,0),""),"")</f>
        <v/>
      </c>
      <c r="P346" s="6" t="str">
        <f t="shared" si="10"/>
        <v/>
      </c>
      <c r="Q346" s="13">
        <f t="shared" si="11"/>
        <v>0</v>
      </c>
    </row>
    <row r="347" spans="2:17" ht="15" customHeight="1">
      <c r="B347" s="5" t="str">
        <f>_xlfn.IFNA(VLOOKUP(C347,Master!$H:$I,2,FALSE),"")</f>
        <v/>
      </c>
      <c r="D347" s="5" t="str">
        <f>_xlfn.IFNA(VLOOKUP(E347,Master!$H:$I,2,FALSE),"")</f>
        <v/>
      </c>
      <c r="F347" s="26" t="str">
        <f>+_xlfn.XLOOKUP(G347,Master!$V$2:$V$8,Master!$U$2:$U$8,"")</f>
        <v/>
      </c>
      <c r="I347" s="4" t="str">
        <f>_xlfn.IFNA(VLOOKUP(D347,Master!$I:$K,2,FALSE),"")</f>
        <v/>
      </c>
      <c r="J347" s="4" t="str">
        <f>_xlfn.IFNA(VLOOKUP(D347,Master!$I:$K,3,FALSE),"")</f>
        <v/>
      </c>
      <c r="L347" s="27" t="str">
        <f>IF(A347&lt;&gt;"CFA",_xlfn.IFNA(VLOOKUP($G347,Master!$V$2:$Z$8,5,0),""),"")</f>
        <v/>
      </c>
      <c r="P347" s="6" t="str">
        <f t="shared" si="10"/>
        <v/>
      </c>
      <c r="Q347" s="13">
        <f t="shared" si="11"/>
        <v>0</v>
      </c>
    </row>
    <row r="348" spans="2:17" ht="15" customHeight="1">
      <c r="B348" s="5" t="str">
        <f>_xlfn.IFNA(VLOOKUP(C348,Master!$H:$I,2,FALSE),"")</f>
        <v/>
      </c>
      <c r="D348" s="5" t="str">
        <f>_xlfn.IFNA(VLOOKUP(E348,Master!$H:$I,2,FALSE),"")</f>
        <v/>
      </c>
      <c r="F348" s="26" t="str">
        <f>+_xlfn.XLOOKUP(G348,Master!$V$2:$V$8,Master!$U$2:$U$8,"")</f>
        <v/>
      </c>
      <c r="I348" s="4" t="str">
        <f>_xlfn.IFNA(VLOOKUP(D348,Master!$I:$K,2,FALSE),"")</f>
        <v/>
      </c>
      <c r="J348" s="4" t="str">
        <f>_xlfn.IFNA(VLOOKUP(D348,Master!$I:$K,3,FALSE),"")</f>
        <v/>
      </c>
      <c r="L348" s="27" t="str">
        <f>IF(A348&lt;&gt;"CFA",_xlfn.IFNA(VLOOKUP($G348,Master!$V$2:$Z$8,5,0),""),"")</f>
        <v/>
      </c>
      <c r="P348" s="6" t="str">
        <f t="shared" si="10"/>
        <v/>
      </c>
      <c r="Q348" s="13">
        <f t="shared" si="11"/>
        <v>0</v>
      </c>
    </row>
    <row r="349" spans="2:17" ht="15" customHeight="1">
      <c r="B349" s="5" t="str">
        <f>_xlfn.IFNA(VLOOKUP(C349,Master!$H:$I,2,FALSE),"")</f>
        <v/>
      </c>
      <c r="D349" s="5" t="str">
        <f>_xlfn.IFNA(VLOOKUP(E349,Master!$H:$I,2,FALSE),"")</f>
        <v/>
      </c>
      <c r="F349" s="26" t="str">
        <f>+_xlfn.XLOOKUP(G349,Master!$V$2:$V$8,Master!$U$2:$U$8,"")</f>
        <v/>
      </c>
      <c r="I349" s="4" t="str">
        <f>_xlfn.IFNA(VLOOKUP(D349,Master!$I:$K,2,FALSE),"")</f>
        <v/>
      </c>
      <c r="J349" s="4" t="str">
        <f>_xlfn.IFNA(VLOOKUP(D349,Master!$I:$K,3,FALSE),"")</f>
        <v/>
      </c>
      <c r="L349" s="27" t="str">
        <f>IF(A349&lt;&gt;"CFA",_xlfn.IFNA(VLOOKUP($G349,Master!$V$2:$Z$8,5,0),""),"")</f>
        <v/>
      </c>
      <c r="P349" s="6" t="str">
        <f t="shared" si="10"/>
        <v/>
      </c>
      <c r="Q349" s="13">
        <f t="shared" si="11"/>
        <v>0</v>
      </c>
    </row>
    <row r="350" spans="2:17" ht="15" customHeight="1">
      <c r="B350" s="5" t="str">
        <f>_xlfn.IFNA(VLOOKUP(C350,Master!$H:$I,2,FALSE),"")</f>
        <v/>
      </c>
      <c r="D350" s="5" t="str">
        <f>_xlfn.IFNA(VLOOKUP(E350,Master!$H:$I,2,FALSE),"")</f>
        <v/>
      </c>
      <c r="F350" s="26" t="str">
        <f>+_xlfn.XLOOKUP(G350,Master!$V$2:$V$8,Master!$U$2:$U$8,"")</f>
        <v/>
      </c>
      <c r="I350" s="4" t="str">
        <f>_xlfn.IFNA(VLOOKUP(D350,Master!$I:$K,2,FALSE),"")</f>
        <v/>
      </c>
      <c r="J350" s="4" t="str">
        <f>_xlfn.IFNA(VLOOKUP(D350,Master!$I:$K,3,FALSE),"")</f>
        <v/>
      </c>
      <c r="L350" s="27" t="str">
        <f>IF(A350&lt;&gt;"CFA",_xlfn.IFNA(VLOOKUP($G350,Master!$V$2:$Z$8,5,0),""),"")</f>
        <v/>
      </c>
      <c r="P350" s="6" t="str">
        <f t="shared" si="10"/>
        <v/>
      </c>
      <c r="Q350" s="13">
        <f t="shared" si="11"/>
        <v>0</v>
      </c>
    </row>
    <row r="351" spans="2:17" ht="15" customHeight="1">
      <c r="B351" s="5" t="str">
        <f>_xlfn.IFNA(VLOOKUP(C351,Master!$H:$I,2,FALSE),"")</f>
        <v/>
      </c>
      <c r="D351" s="5" t="str">
        <f>_xlfn.IFNA(VLOOKUP(E351,Master!$H:$I,2,FALSE),"")</f>
        <v/>
      </c>
      <c r="F351" s="26" t="str">
        <f>+_xlfn.XLOOKUP(G351,Master!$V$2:$V$8,Master!$U$2:$U$8,"")</f>
        <v/>
      </c>
      <c r="I351" s="4" t="str">
        <f>_xlfn.IFNA(VLOOKUP(D351,Master!$I:$K,2,FALSE),"")</f>
        <v/>
      </c>
      <c r="J351" s="4" t="str">
        <f>_xlfn.IFNA(VLOOKUP(D351,Master!$I:$K,3,FALSE),"")</f>
        <v/>
      </c>
      <c r="L351" s="27" t="str">
        <f>IF(A351&lt;&gt;"CFA",_xlfn.IFNA(VLOOKUP($G351,Master!$V$2:$Z$8,5,0),""),"")</f>
        <v/>
      </c>
      <c r="P351" s="6" t="str">
        <f t="shared" si="10"/>
        <v/>
      </c>
      <c r="Q351" s="13">
        <f t="shared" si="11"/>
        <v>0</v>
      </c>
    </row>
    <row r="352" spans="2:17" ht="15" customHeight="1">
      <c r="B352" s="5" t="str">
        <f>_xlfn.IFNA(VLOOKUP(C352,Master!$H:$I,2,FALSE),"")</f>
        <v/>
      </c>
      <c r="D352" s="5" t="str">
        <f>_xlfn.IFNA(VLOOKUP(E352,Master!$H:$I,2,FALSE),"")</f>
        <v/>
      </c>
      <c r="F352" s="26" t="str">
        <f>+_xlfn.XLOOKUP(G352,Master!$V$2:$V$8,Master!$U$2:$U$8,"")</f>
        <v/>
      </c>
      <c r="I352" s="4" t="str">
        <f>_xlfn.IFNA(VLOOKUP(D352,Master!$I:$K,2,FALSE),"")</f>
        <v/>
      </c>
      <c r="J352" s="4" t="str">
        <f>_xlfn.IFNA(VLOOKUP(D352,Master!$I:$K,3,FALSE),"")</f>
        <v/>
      </c>
      <c r="L352" s="27" t="str">
        <f>IF(A352&lt;&gt;"CFA",_xlfn.IFNA(VLOOKUP($G352,Master!$V$2:$Z$8,5,0),""),"")</f>
        <v/>
      </c>
      <c r="P352" s="6" t="str">
        <f t="shared" si="10"/>
        <v/>
      </c>
      <c r="Q352" s="13">
        <f t="shared" si="11"/>
        <v>0</v>
      </c>
    </row>
    <row r="353" spans="2:17" ht="15" customHeight="1">
      <c r="B353" s="5" t="str">
        <f>_xlfn.IFNA(VLOOKUP(C353,Master!$H:$I,2,FALSE),"")</f>
        <v/>
      </c>
      <c r="D353" s="5" t="str">
        <f>_xlfn.IFNA(VLOOKUP(E353,Master!$H:$I,2,FALSE),"")</f>
        <v/>
      </c>
      <c r="F353" s="26" t="str">
        <f>+_xlfn.XLOOKUP(G353,Master!$V$2:$V$8,Master!$U$2:$U$8,"")</f>
        <v/>
      </c>
      <c r="I353" s="4" t="str">
        <f>_xlfn.IFNA(VLOOKUP(D353,Master!$I:$K,2,FALSE),"")</f>
        <v/>
      </c>
      <c r="J353" s="4" t="str">
        <f>_xlfn.IFNA(VLOOKUP(D353,Master!$I:$K,3,FALSE),"")</f>
        <v/>
      </c>
      <c r="L353" s="27" t="str">
        <f>IF(A353&lt;&gt;"CFA",_xlfn.IFNA(VLOOKUP($G353,Master!$V$2:$Z$8,5,0),""),"")</f>
        <v/>
      </c>
      <c r="P353" s="6" t="str">
        <f t="shared" si="10"/>
        <v/>
      </c>
      <c r="Q353" s="13">
        <f t="shared" si="11"/>
        <v>0</v>
      </c>
    </row>
    <row r="354" spans="2:17" ht="15" customHeight="1">
      <c r="B354" s="5" t="str">
        <f>_xlfn.IFNA(VLOOKUP(C354,Master!$H:$I,2,FALSE),"")</f>
        <v/>
      </c>
      <c r="D354" s="5" t="str">
        <f>_xlfn.IFNA(VLOOKUP(E354,Master!$H:$I,2,FALSE),"")</f>
        <v/>
      </c>
      <c r="F354" s="26" t="str">
        <f>+_xlfn.XLOOKUP(G354,Master!$V$2:$V$8,Master!$U$2:$U$8,"")</f>
        <v/>
      </c>
      <c r="I354" s="4" t="str">
        <f>_xlfn.IFNA(VLOOKUP(D354,Master!$I:$K,2,FALSE),"")</f>
        <v/>
      </c>
      <c r="J354" s="4" t="str">
        <f>_xlfn.IFNA(VLOOKUP(D354,Master!$I:$K,3,FALSE),"")</f>
        <v/>
      </c>
      <c r="L354" s="27" t="str">
        <f>IF(A354&lt;&gt;"CFA",_xlfn.IFNA(VLOOKUP($G354,Master!$V$2:$Z$8,5,0),""),"")</f>
        <v/>
      </c>
      <c r="P354" s="6" t="str">
        <f t="shared" si="10"/>
        <v/>
      </c>
      <c r="Q354" s="13">
        <f t="shared" si="11"/>
        <v>0</v>
      </c>
    </row>
    <row r="355" spans="2:17" ht="15" customHeight="1">
      <c r="B355" s="5" t="str">
        <f>_xlfn.IFNA(VLOOKUP(C355,Master!$H:$I,2,FALSE),"")</f>
        <v/>
      </c>
      <c r="D355" s="5" t="str">
        <f>_xlfn.IFNA(VLOOKUP(E355,Master!$H:$I,2,FALSE),"")</f>
        <v/>
      </c>
      <c r="F355" s="26" t="str">
        <f>+_xlfn.XLOOKUP(G355,Master!$V$2:$V$8,Master!$U$2:$U$8,"")</f>
        <v/>
      </c>
      <c r="I355" s="4" t="str">
        <f>_xlfn.IFNA(VLOOKUP(D355,Master!$I:$K,2,FALSE),"")</f>
        <v/>
      </c>
      <c r="J355" s="4" t="str">
        <f>_xlfn.IFNA(VLOOKUP(D355,Master!$I:$K,3,FALSE),"")</f>
        <v/>
      </c>
      <c r="L355" s="27" t="str">
        <f>IF(A355&lt;&gt;"CFA",_xlfn.IFNA(VLOOKUP($G355,Master!$V$2:$Z$8,5,0),""),"")</f>
        <v/>
      </c>
      <c r="P355" s="6" t="str">
        <f t="shared" si="10"/>
        <v/>
      </c>
      <c r="Q355" s="13">
        <f t="shared" si="11"/>
        <v>0</v>
      </c>
    </row>
    <row r="356" spans="2:17" ht="15" customHeight="1">
      <c r="B356" s="5" t="str">
        <f>_xlfn.IFNA(VLOOKUP(C356,Master!$H:$I,2,FALSE),"")</f>
        <v/>
      </c>
      <c r="D356" s="5" t="str">
        <f>_xlfn.IFNA(VLOOKUP(E356,Master!$H:$I,2,FALSE),"")</f>
        <v/>
      </c>
      <c r="F356" s="26" t="str">
        <f>+_xlfn.XLOOKUP(G356,Master!$V$2:$V$8,Master!$U$2:$U$8,"")</f>
        <v/>
      </c>
      <c r="I356" s="4" t="str">
        <f>_xlfn.IFNA(VLOOKUP(D356,Master!$I:$K,2,FALSE),"")</f>
        <v/>
      </c>
      <c r="J356" s="4" t="str">
        <f>_xlfn.IFNA(VLOOKUP(D356,Master!$I:$K,3,FALSE),"")</f>
        <v/>
      </c>
      <c r="L356" s="27" t="str">
        <f>IF(A356&lt;&gt;"CFA",_xlfn.IFNA(VLOOKUP($G356,Master!$V$2:$Z$8,5,0),""),"")</f>
        <v/>
      </c>
      <c r="P356" s="6" t="str">
        <f t="shared" si="10"/>
        <v/>
      </c>
      <c r="Q356" s="13">
        <f t="shared" si="11"/>
        <v>0</v>
      </c>
    </row>
    <row r="357" spans="2:17" ht="15" customHeight="1">
      <c r="B357" s="5" t="str">
        <f>_xlfn.IFNA(VLOOKUP(C357,Master!$H:$I,2,FALSE),"")</f>
        <v/>
      </c>
      <c r="D357" s="5" t="str">
        <f>_xlfn.IFNA(VLOOKUP(E357,Master!$H:$I,2,FALSE),"")</f>
        <v/>
      </c>
      <c r="F357" s="26" t="str">
        <f>+_xlfn.XLOOKUP(G357,Master!$V$2:$V$8,Master!$U$2:$U$8,"")</f>
        <v/>
      </c>
      <c r="I357" s="4" t="str">
        <f>_xlfn.IFNA(VLOOKUP(D357,Master!$I:$K,2,FALSE),"")</f>
        <v/>
      </c>
      <c r="J357" s="4" t="str">
        <f>_xlfn.IFNA(VLOOKUP(D357,Master!$I:$K,3,FALSE),"")</f>
        <v/>
      </c>
      <c r="L357" s="27" t="str">
        <f>IF(A357&lt;&gt;"CFA",_xlfn.IFNA(VLOOKUP($G357,Master!$V$2:$Z$8,5,0),""),"")</f>
        <v/>
      </c>
      <c r="P357" s="6" t="str">
        <f t="shared" si="10"/>
        <v/>
      </c>
      <c r="Q357" s="13">
        <f t="shared" si="11"/>
        <v>0</v>
      </c>
    </row>
    <row r="358" spans="2:17" ht="15" customHeight="1">
      <c r="B358" s="5" t="str">
        <f>_xlfn.IFNA(VLOOKUP(C358,Master!$H:$I,2,FALSE),"")</f>
        <v/>
      </c>
      <c r="D358" s="5" t="str">
        <f>_xlfn.IFNA(VLOOKUP(E358,Master!$H:$I,2,FALSE),"")</f>
        <v/>
      </c>
      <c r="F358" s="26" t="str">
        <f>+_xlfn.XLOOKUP(G358,Master!$V$2:$V$8,Master!$U$2:$U$8,"")</f>
        <v/>
      </c>
      <c r="I358" s="4" t="str">
        <f>_xlfn.IFNA(VLOOKUP(D358,Master!$I:$K,2,FALSE),"")</f>
        <v/>
      </c>
      <c r="J358" s="4" t="str">
        <f>_xlfn.IFNA(VLOOKUP(D358,Master!$I:$K,3,FALSE),"")</f>
        <v/>
      </c>
      <c r="L358" s="27" t="str">
        <f>IF(A358&lt;&gt;"CFA",_xlfn.IFNA(VLOOKUP($G358,Master!$V$2:$Z$8,5,0),""),"")</f>
        <v/>
      </c>
      <c r="P358" s="6" t="str">
        <f t="shared" si="10"/>
        <v/>
      </c>
      <c r="Q358" s="13">
        <f t="shared" si="11"/>
        <v>0</v>
      </c>
    </row>
    <row r="359" spans="2:17" ht="15" customHeight="1">
      <c r="B359" s="5" t="str">
        <f>_xlfn.IFNA(VLOOKUP(C359,Master!$H:$I,2,FALSE),"")</f>
        <v/>
      </c>
      <c r="D359" s="5" t="str">
        <f>_xlfn.IFNA(VLOOKUP(E359,Master!$H:$I,2,FALSE),"")</f>
        <v/>
      </c>
      <c r="F359" s="26" t="str">
        <f>+_xlfn.XLOOKUP(G359,Master!$V$2:$V$8,Master!$U$2:$U$8,"")</f>
        <v/>
      </c>
      <c r="I359" s="4" t="str">
        <f>_xlfn.IFNA(VLOOKUP(D359,Master!$I:$K,2,FALSE),"")</f>
        <v/>
      </c>
      <c r="J359" s="4" t="str">
        <f>_xlfn.IFNA(VLOOKUP(D359,Master!$I:$K,3,FALSE),"")</f>
        <v/>
      </c>
      <c r="L359" s="27" t="str">
        <f>IF(A359&lt;&gt;"CFA",_xlfn.IFNA(VLOOKUP($G359,Master!$V$2:$Z$8,5,0),""),"")</f>
        <v/>
      </c>
      <c r="P359" s="6" t="str">
        <f t="shared" si="10"/>
        <v/>
      </c>
      <c r="Q359" s="13">
        <f t="shared" si="11"/>
        <v>0</v>
      </c>
    </row>
    <row r="360" spans="2:17" ht="15" customHeight="1">
      <c r="B360" s="5" t="str">
        <f>_xlfn.IFNA(VLOOKUP(C360,Master!$H:$I,2,FALSE),"")</f>
        <v/>
      </c>
      <c r="D360" s="5" t="str">
        <f>_xlfn.IFNA(VLOOKUP(E360,Master!$H:$I,2,FALSE),"")</f>
        <v/>
      </c>
      <c r="F360" s="26" t="str">
        <f>+_xlfn.XLOOKUP(G360,Master!$V$2:$V$8,Master!$U$2:$U$8,"")</f>
        <v/>
      </c>
      <c r="I360" s="4" t="str">
        <f>_xlfn.IFNA(VLOOKUP(D360,Master!$I:$K,2,FALSE),"")</f>
        <v/>
      </c>
      <c r="J360" s="4" t="str">
        <f>_xlfn.IFNA(VLOOKUP(D360,Master!$I:$K,3,FALSE),"")</f>
        <v/>
      </c>
      <c r="L360" s="27" t="str">
        <f>IF(A360&lt;&gt;"CFA",_xlfn.IFNA(VLOOKUP($G360,Master!$V$2:$Z$8,5,0),""),"")</f>
        <v/>
      </c>
      <c r="P360" s="6" t="str">
        <f t="shared" si="10"/>
        <v/>
      </c>
      <c r="Q360" s="13">
        <f t="shared" si="11"/>
        <v>0</v>
      </c>
    </row>
    <row r="361" spans="2:17" ht="15" customHeight="1">
      <c r="B361" s="5" t="str">
        <f>_xlfn.IFNA(VLOOKUP(C361,Master!$H:$I,2,FALSE),"")</f>
        <v/>
      </c>
      <c r="D361" s="5" t="str">
        <f>_xlfn.IFNA(VLOOKUP(E361,Master!$H:$I,2,FALSE),"")</f>
        <v/>
      </c>
      <c r="F361" s="26" t="str">
        <f>+_xlfn.XLOOKUP(G361,Master!$V$2:$V$8,Master!$U$2:$U$8,"")</f>
        <v/>
      </c>
      <c r="I361" s="4" t="str">
        <f>_xlfn.IFNA(VLOOKUP(D361,Master!$I:$K,2,FALSE),"")</f>
        <v/>
      </c>
      <c r="J361" s="4" t="str">
        <f>_xlfn.IFNA(VLOOKUP(D361,Master!$I:$K,3,FALSE),"")</f>
        <v/>
      </c>
      <c r="L361" s="27" t="str">
        <f>IF(A361&lt;&gt;"CFA",_xlfn.IFNA(VLOOKUP($G361,Master!$V$2:$Z$8,5,0),""),"")</f>
        <v/>
      </c>
      <c r="P361" s="6" t="str">
        <f t="shared" si="10"/>
        <v/>
      </c>
      <c r="Q361" s="13">
        <f t="shared" si="11"/>
        <v>0</v>
      </c>
    </row>
    <row r="362" spans="2:17" ht="15" customHeight="1">
      <c r="B362" s="5" t="str">
        <f>_xlfn.IFNA(VLOOKUP(C362,Master!$H:$I,2,FALSE),"")</f>
        <v/>
      </c>
      <c r="D362" s="5" t="str">
        <f>_xlfn.IFNA(VLOOKUP(E362,Master!$H:$I,2,FALSE),"")</f>
        <v/>
      </c>
      <c r="F362" s="26" t="str">
        <f>+_xlfn.XLOOKUP(G362,Master!$V$2:$V$8,Master!$U$2:$U$8,"")</f>
        <v/>
      </c>
      <c r="I362" s="4" t="str">
        <f>_xlfn.IFNA(VLOOKUP(D362,Master!$I:$K,2,FALSE),"")</f>
        <v/>
      </c>
      <c r="J362" s="4" t="str">
        <f>_xlfn.IFNA(VLOOKUP(D362,Master!$I:$K,3,FALSE),"")</f>
        <v/>
      </c>
      <c r="L362" s="27" t="str">
        <f>IF(A362&lt;&gt;"CFA",_xlfn.IFNA(VLOOKUP($G362,Master!$V$2:$Z$8,5,0),""),"")</f>
        <v/>
      </c>
      <c r="P362" s="6" t="str">
        <f t="shared" si="10"/>
        <v/>
      </c>
      <c r="Q362" s="13">
        <f t="shared" si="11"/>
        <v>0</v>
      </c>
    </row>
    <row r="363" spans="2:17" ht="15" customHeight="1">
      <c r="B363" s="5" t="str">
        <f>_xlfn.IFNA(VLOOKUP(C363,Master!$H:$I,2,FALSE),"")</f>
        <v/>
      </c>
      <c r="D363" s="5" t="str">
        <f>_xlfn.IFNA(VLOOKUP(E363,Master!$H:$I,2,FALSE),"")</f>
        <v/>
      </c>
      <c r="F363" s="26" t="str">
        <f>+_xlfn.XLOOKUP(G363,Master!$V$2:$V$8,Master!$U$2:$U$8,"")</f>
        <v/>
      </c>
      <c r="I363" s="4" t="str">
        <f>_xlfn.IFNA(VLOOKUP(D363,Master!$I:$K,2,FALSE),"")</f>
        <v/>
      </c>
      <c r="J363" s="4" t="str">
        <f>_xlfn.IFNA(VLOOKUP(D363,Master!$I:$K,3,FALSE),"")</f>
        <v/>
      </c>
      <c r="L363" s="27" t="str">
        <f>IF(A363&lt;&gt;"CFA",_xlfn.IFNA(VLOOKUP($G363,Master!$V$2:$Z$8,5,0),""),"")</f>
        <v/>
      </c>
      <c r="P363" s="6" t="str">
        <f t="shared" si="10"/>
        <v/>
      </c>
      <c r="Q363" s="13">
        <f t="shared" si="11"/>
        <v>0</v>
      </c>
    </row>
    <row r="364" spans="2:17" ht="15" customHeight="1">
      <c r="B364" s="5" t="str">
        <f>_xlfn.IFNA(VLOOKUP(C364,Master!$H:$I,2,FALSE),"")</f>
        <v/>
      </c>
      <c r="D364" s="5" t="str">
        <f>_xlfn.IFNA(VLOOKUP(E364,Master!$H:$I,2,FALSE),"")</f>
        <v/>
      </c>
      <c r="F364" s="26" t="str">
        <f>+_xlfn.XLOOKUP(G364,Master!$V$2:$V$8,Master!$U$2:$U$8,"")</f>
        <v/>
      </c>
      <c r="I364" s="4" t="str">
        <f>_xlfn.IFNA(VLOOKUP(D364,Master!$I:$K,2,FALSE),"")</f>
        <v/>
      </c>
      <c r="J364" s="4" t="str">
        <f>_xlfn.IFNA(VLOOKUP(D364,Master!$I:$K,3,FALSE),"")</f>
        <v/>
      </c>
      <c r="L364" s="27" t="str">
        <f>IF(A364&lt;&gt;"CFA",_xlfn.IFNA(VLOOKUP($G364,Master!$V$2:$Z$8,5,0),""),"")</f>
        <v/>
      </c>
      <c r="P364" s="6" t="str">
        <f t="shared" si="10"/>
        <v/>
      </c>
      <c r="Q364" s="13">
        <f t="shared" si="11"/>
        <v>0</v>
      </c>
    </row>
    <row r="365" spans="2:17" ht="15" customHeight="1">
      <c r="B365" s="5" t="str">
        <f>_xlfn.IFNA(VLOOKUP(C365,Master!$H:$I,2,FALSE),"")</f>
        <v/>
      </c>
      <c r="D365" s="5" t="str">
        <f>_xlfn.IFNA(VLOOKUP(E365,Master!$H:$I,2,FALSE),"")</f>
        <v/>
      </c>
      <c r="F365" s="26" t="str">
        <f>+_xlfn.XLOOKUP(G365,Master!$V$2:$V$8,Master!$U$2:$U$8,"")</f>
        <v/>
      </c>
      <c r="I365" s="4" t="str">
        <f>_xlfn.IFNA(VLOOKUP(D365,Master!$I:$K,2,FALSE),"")</f>
        <v/>
      </c>
      <c r="J365" s="4" t="str">
        <f>_xlfn.IFNA(VLOOKUP(D365,Master!$I:$K,3,FALSE),"")</f>
        <v/>
      </c>
      <c r="L365" s="27" t="str">
        <f>IF(A365&lt;&gt;"CFA",_xlfn.IFNA(VLOOKUP($G365,Master!$V$2:$Z$8,5,0),""),"")</f>
        <v/>
      </c>
      <c r="P365" s="6" t="str">
        <f t="shared" si="10"/>
        <v/>
      </c>
      <c r="Q365" s="13">
        <f t="shared" si="11"/>
        <v>0</v>
      </c>
    </row>
    <row r="366" spans="2:17" ht="15" customHeight="1">
      <c r="B366" s="5" t="str">
        <f>_xlfn.IFNA(VLOOKUP(C366,Master!$H:$I,2,FALSE),"")</f>
        <v/>
      </c>
      <c r="D366" s="5" t="str">
        <f>_xlfn.IFNA(VLOOKUP(E366,Master!$H:$I,2,FALSE),"")</f>
        <v/>
      </c>
      <c r="F366" s="26" t="str">
        <f>+_xlfn.XLOOKUP(G366,Master!$V$2:$V$8,Master!$U$2:$U$8,"")</f>
        <v/>
      </c>
      <c r="I366" s="4" t="str">
        <f>_xlfn.IFNA(VLOOKUP(D366,Master!$I:$K,2,FALSE),"")</f>
        <v/>
      </c>
      <c r="J366" s="4" t="str">
        <f>_xlfn.IFNA(VLOOKUP(D366,Master!$I:$K,3,FALSE),"")</f>
        <v/>
      </c>
      <c r="L366" s="27" t="str">
        <f>IF(A366&lt;&gt;"CFA",_xlfn.IFNA(VLOOKUP($G366,Master!$V$2:$Z$8,5,0),""),"")</f>
        <v/>
      </c>
      <c r="P366" s="6" t="str">
        <f t="shared" si="10"/>
        <v/>
      </c>
      <c r="Q366" s="13">
        <f t="shared" si="11"/>
        <v>0</v>
      </c>
    </row>
    <row r="367" spans="2:17" ht="15" customHeight="1">
      <c r="B367" s="5" t="str">
        <f>_xlfn.IFNA(VLOOKUP(C367,Master!$H:$I,2,FALSE),"")</f>
        <v/>
      </c>
      <c r="D367" s="5" t="str">
        <f>_xlfn.IFNA(VLOOKUP(E367,Master!$H:$I,2,FALSE),"")</f>
        <v/>
      </c>
      <c r="F367" s="26" t="str">
        <f>+_xlfn.XLOOKUP(G367,Master!$V$2:$V$8,Master!$U$2:$U$8,"")</f>
        <v/>
      </c>
      <c r="I367" s="4" t="str">
        <f>_xlfn.IFNA(VLOOKUP(D367,Master!$I:$K,2,FALSE),"")</f>
        <v/>
      </c>
      <c r="J367" s="4" t="str">
        <f>_xlfn.IFNA(VLOOKUP(D367,Master!$I:$K,3,FALSE),"")</f>
        <v/>
      </c>
      <c r="L367" s="27" t="str">
        <f>IF(A367&lt;&gt;"CFA",_xlfn.IFNA(VLOOKUP($G367,Master!$V$2:$Z$8,5,0),""),"")</f>
        <v/>
      </c>
      <c r="P367" s="6" t="str">
        <f t="shared" si="10"/>
        <v/>
      </c>
      <c r="Q367" s="13">
        <f t="shared" si="11"/>
        <v>0</v>
      </c>
    </row>
    <row r="368" spans="2:17" ht="15" customHeight="1">
      <c r="B368" s="5" t="str">
        <f>_xlfn.IFNA(VLOOKUP(C368,Master!$H:$I,2,FALSE),"")</f>
        <v/>
      </c>
      <c r="D368" s="5" t="str">
        <f>_xlfn.IFNA(VLOOKUP(E368,Master!$H:$I,2,FALSE),"")</f>
        <v/>
      </c>
      <c r="F368" s="26" t="str">
        <f>+_xlfn.XLOOKUP(G368,Master!$V$2:$V$8,Master!$U$2:$U$8,"")</f>
        <v/>
      </c>
      <c r="I368" s="4" t="str">
        <f>_xlfn.IFNA(VLOOKUP(D368,Master!$I:$K,2,FALSE),"")</f>
        <v/>
      </c>
      <c r="J368" s="4" t="str">
        <f>_xlfn.IFNA(VLOOKUP(D368,Master!$I:$K,3,FALSE),"")</f>
        <v/>
      </c>
      <c r="L368" s="27" t="str">
        <f>IF(A368&lt;&gt;"CFA",_xlfn.IFNA(VLOOKUP($G368,Master!$V$2:$Z$8,5,0),""),"")</f>
        <v/>
      </c>
      <c r="P368" s="6" t="str">
        <f t="shared" si="10"/>
        <v/>
      </c>
      <c r="Q368" s="13">
        <f t="shared" si="11"/>
        <v>0</v>
      </c>
    </row>
    <row r="369" spans="2:17" ht="15" customHeight="1">
      <c r="B369" s="5" t="str">
        <f>_xlfn.IFNA(VLOOKUP(C369,Master!$H:$I,2,FALSE),"")</f>
        <v/>
      </c>
      <c r="D369" s="5" t="str">
        <f>_xlfn.IFNA(VLOOKUP(E369,Master!$H:$I,2,FALSE),"")</f>
        <v/>
      </c>
      <c r="F369" s="26" t="str">
        <f>+_xlfn.XLOOKUP(G369,Master!$V$2:$V$8,Master!$U$2:$U$8,"")</f>
        <v/>
      </c>
      <c r="I369" s="4" t="str">
        <f>_xlfn.IFNA(VLOOKUP(D369,Master!$I:$K,2,FALSE),"")</f>
        <v/>
      </c>
      <c r="J369" s="4" t="str">
        <f>_xlfn.IFNA(VLOOKUP(D369,Master!$I:$K,3,FALSE),"")</f>
        <v/>
      </c>
      <c r="L369" s="27" t="str">
        <f>IF(A369&lt;&gt;"CFA",_xlfn.IFNA(VLOOKUP($G369,Master!$V$2:$Z$8,5,0),""),"")</f>
        <v/>
      </c>
      <c r="P369" s="6" t="str">
        <f t="shared" si="10"/>
        <v/>
      </c>
      <c r="Q369" s="13">
        <f t="shared" si="11"/>
        <v>0</v>
      </c>
    </row>
    <row r="370" spans="2:17" ht="15" customHeight="1">
      <c r="B370" s="5" t="str">
        <f>_xlfn.IFNA(VLOOKUP(C370,Master!$H:$I,2,FALSE),"")</f>
        <v/>
      </c>
      <c r="D370" s="5" t="str">
        <f>_xlfn.IFNA(VLOOKUP(E370,Master!$H:$I,2,FALSE),"")</f>
        <v/>
      </c>
      <c r="F370" s="26" t="str">
        <f>+_xlfn.XLOOKUP(G370,Master!$V$2:$V$8,Master!$U$2:$U$8,"")</f>
        <v/>
      </c>
      <c r="I370" s="4" t="str">
        <f>_xlfn.IFNA(VLOOKUP(D370,Master!$I:$K,2,FALSE),"")</f>
        <v/>
      </c>
      <c r="J370" s="4" t="str">
        <f>_xlfn.IFNA(VLOOKUP(D370,Master!$I:$K,3,FALSE),"")</f>
        <v/>
      </c>
      <c r="L370" s="27" t="str">
        <f>IF(A370&lt;&gt;"CFA",_xlfn.IFNA(VLOOKUP($G370,Master!$V$2:$Z$8,5,0),""),"")</f>
        <v/>
      </c>
      <c r="P370" s="6" t="str">
        <f t="shared" si="10"/>
        <v/>
      </c>
      <c r="Q370" s="13">
        <f t="shared" si="11"/>
        <v>0</v>
      </c>
    </row>
    <row r="371" spans="2:17" ht="15" customHeight="1">
      <c r="B371" s="5" t="str">
        <f>_xlfn.IFNA(VLOOKUP(C371,Master!$H:$I,2,FALSE),"")</f>
        <v/>
      </c>
      <c r="D371" s="5" t="str">
        <f>_xlfn.IFNA(VLOOKUP(E371,Master!$H:$I,2,FALSE),"")</f>
        <v/>
      </c>
      <c r="F371" s="26" t="str">
        <f>+_xlfn.XLOOKUP(G371,Master!$V$2:$V$8,Master!$U$2:$U$8,"")</f>
        <v/>
      </c>
      <c r="I371" s="4" t="str">
        <f>_xlfn.IFNA(VLOOKUP(D371,Master!$I:$K,2,FALSE),"")</f>
        <v/>
      </c>
      <c r="J371" s="4" t="str">
        <f>_xlfn.IFNA(VLOOKUP(D371,Master!$I:$K,3,FALSE),"")</f>
        <v/>
      </c>
      <c r="L371" s="27" t="str">
        <f>IF(A371&lt;&gt;"CFA",_xlfn.IFNA(VLOOKUP($G371,Master!$V$2:$Z$8,5,0),""),"")</f>
        <v/>
      </c>
      <c r="P371" s="6" t="str">
        <f t="shared" si="10"/>
        <v/>
      </c>
      <c r="Q371" s="13">
        <f t="shared" si="11"/>
        <v>0</v>
      </c>
    </row>
    <row r="372" spans="2:17" ht="15" customHeight="1">
      <c r="B372" s="5" t="str">
        <f>_xlfn.IFNA(VLOOKUP(C372,Master!$H:$I,2,FALSE),"")</f>
        <v/>
      </c>
      <c r="D372" s="5" t="str">
        <f>_xlfn.IFNA(VLOOKUP(E372,Master!$H:$I,2,FALSE),"")</f>
        <v/>
      </c>
      <c r="F372" s="26" t="str">
        <f>+_xlfn.XLOOKUP(G372,Master!$V$2:$V$8,Master!$U$2:$U$8,"")</f>
        <v/>
      </c>
      <c r="I372" s="4" t="str">
        <f>_xlfn.IFNA(VLOOKUP(D372,Master!$I:$K,2,FALSE),"")</f>
        <v/>
      </c>
      <c r="J372" s="4" t="str">
        <f>_xlfn.IFNA(VLOOKUP(D372,Master!$I:$K,3,FALSE),"")</f>
        <v/>
      </c>
      <c r="L372" s="27" t="str">
        <f>IF(A372&lt;&gt;"CFA",_xlfn.IFNA(VLOOKUP($G372,Master!$V$2:$Z$8,5,0),""),"")</f>
        <v/>
      </c>
      <c r="P372" s="6" t="str">
        <f t="shared" si="10"/>
        <v/>
      </c>
      <c r="Q372" s="13">
        <f t="shared" si="11"/>
        <v>0</v>
      </c>
    </row>
    <row r="373" spans="2:17" ht="15" customHeight="1">
      <c r="B373" s="5" t="str">
        <f>_xlfn.IFNA(VLOOKUP(C373,Master!$H:$I,2,FALSE),"")</f>
        <v/>
      </c>
      <c r="D373" s="5" t="str">
        <f>_xlfn.IFNA(VLOOKUP(E373,Master!$H:$I,2,FALSE),"")</f>
        <v/>
      </c>
      <c r="F373" s="26" t="str">
        <f>+_xlfn.XLOOKUP(G373,Master!$V$2:$V$8,Master!$U$2:$U$8,"")</f>
        <v/>
      </c>
      <c r="I373" s="4" t="str">
        <f>_xlfn.IFNA(VLOOKUP(D373,Master!$I:$K,2,FALSE),"")</f>
        <v/>
      </c>
      <c r="J373" s="4" t="str">
        <f>_xlfn.IFNA(VLOOKUP(D373,Master!$I:$K,3,FALSE),"")</f>
        <v/>
      </c>
      <c r="L373" s="27" t="str">
        <f>IF(A373&lt;&gt;"CFA",_xlfn.IFNA(VLOOKUP($G373,Master!$V$2:$Z$8,5,0),""),"")</f>
        <v/>
      </c>
      <c r="P373" s="6" t="str">
        <f t="shared" si="10"/>
        <v/>
      </c>
      <c r="Q373" s="13">
        <f t="shared" si="11"/>
        <v>0</v>
      </c>
    </row>
    <row r="374" spans="2:17" ht="15" customHeight="1">
      <c r="B374" s="5" t="str">
        <f>_xlfn.IFNA(VLOOKUP(C374,Master!$H:$I,2,FALSE),"")</f>
        <v/>
      </c>
      <c r="D374" s="5" t="str">
        <f>_xlfn.IFNA(VLOOKUP(E374,Master!$H:$I,2,FALSE),"")</f>
        <v/>
      </c>
      <c r="F374" s="26" t="str">
        <f>+_xlfn.XLOOKUP(G374,Master!$V$2:$V$8,Master!$U$2:$U$8,"")</f>
        <v/>
      </c>
      <c r="I374" s="4" t="str">
        <f>_xlfn.IFNA(VLOOKUP(D374,Master!$I:$K,2,FALSE),"")</f>
        <v/>
      </c>
      <c r="J374" s="4" t="str">
        <f>_xlfn.IFNA(VLOOKUP(D374,Master!$I:$K,3,FALSE),"")</f>
        <v/>
      </c>
      <c r="L374" s="27" t="str">
        <f>IF(A374&lt;&gt;"CFA",_xlfn.IFNA(VLOOKUP($G374,Master!$V$2:$Z$8,5,0),""),"")</f>
        <v/>
      </c>
      <c r="P374" s="6" t="str">
        <f t="shared" si="10"/>
        <v/>
      </c>
      <c r="Q374" s="13">
        <f t="shared" si="11"/>
        <v>0</v>
      </c>
    </row>
    <row r="375" spans="2:17" ht="15" customHeight="1">
      <c r="B375" s="5" t="str">
        <f>_xlfn.IFNA(VLOOKUP(C375,Master!$H:$I,2,FALSE),"")</f>
        <v/>
      </c>
      <c r="D375" s="5" t="str">
        <f>_xlfn.IFNA(VLOOKUP(E375,Master!$H:$I,2,FALSE),"")</f>
        <v/>
      </c>
      <c r="F375" s="26" t="str">
        <f>+_xlfn.XLOOKUP(G375,Master!$V$2:$V$8,Master!$U$2:$U$8,"")</f>
        <v/>
      </c>
      <c r="I375" s="4" t="str">
        <f>_xlfn.IFNA(VLOOKUP(D375,Master!$I:$K,2,FALSE),"")</f>
        <v/>
      </c>
      <c r="J375" s="4" t="str">
        <f>_xlfn.IFNA(VLOOKUP(D375,Master!$I:$K,3,FALSE),"")</f>
        <v/>
      </c>
      <c r="L375" s="27" t="str">
        <f>IF(A375&lt;&gt;"CFA",_xlfn.IFNA(VLOOKUP($G375,Master!$V$2:$Z$8,5,0),""),"")</f>
        <v/>
      </c>
      <c r="P375" s="6" t="str">
        <f t="shared" ref="P375:P438" si="12">IF(N375&lt;&gt;"",IF(MONTH(N375)&gt;=4,"FY1"&amp;RIGHT(YEAR(N375)+1,2),"FY1"&amp;RIGHT(YEAR(N375),2)),"")</f>
        <v/>
      </c>
      <c r="Q375" s="13">
        <f t="shared" ref="Q375:Q438" si="13">IF(K375&gt;0&amp;M375&gt;0,K375*M375,"")</f>
        <v>0</v>
      </c>
    </row>
    <row r="376" spans="2:17" ht="15" customHeight="1">
      <c r="B376" s="5" t="str">
        <f>_xlfn.IFNA(VLOOKUP(C376,Master!$H:$I,2,FALSE),"")</f>
        <v/>
      </c>
      <c r="D376" s="5" t="str">
        <f>_xlfn.IFNA(VLOOKUP(E376,Master!$H:$I,2,FALSE),"")</f>
        <v/>
      </c>
      <c r="F376" s="26" t="str">
        <f>+_xlfn.XLOOKUP(G376,Master!$V$2:$V$8,Master!$U$2:$U$8,"")</f>
        <v/>
      </c>
      <c r="I376" s="4" t="str">
        <f>_xlfn.IFNA(VLOOKUP(D376,Master!$I:$K,2,FALSE),"")</f>
        <v/>
      </c>
      <c r="J376" s="4" t="str">
        <f>_xlfn.IFNA(VLOOKUP(D376,Master!$I:$K,3,FALSE),"")</f>
        <v/>
      </c>
      <c r="L376" s="27" t="str">
        <f>IF(A376&lt;&gt;"CFA",_xlfn.IFNA(VLOOKUP($G376,Master!$V$2:$Z$8,5,0),""),"")</f>
        <v/>
      </c>
      <c r="P376" s="6" t="str">
        <f t="shared" si="12"/>
        <v/>
      </c>
      <c r="Q376" s="13">
        <f t="shared" si="13"/>
        <v>0</v>
      </c>
    </row>
    <row r="377" spans="2:17" ht="15" customHeight="1">
      <c r="B377" s="5" t="str">
        <f>_xlfn.IFNA(VLOOKUP(C377,Master!$H:$I,2,FALSE),"")</f>
        <v/>
      </c>
      <c r="D377" s="5" t="str">
        <f>_xlfn.IFNA(VLOOKUP(E377,Master!$H:$I,2,FALSE),"")</f>
        <v/>
      </c>
      <c r="F377" s="26" t="str">
        <f>+_xlfn.XLOOKUP(G377,Master!$V$2:$V$8,Master!$U$2:$U$8,"")</f>
        <v/>
      </c>
      <c r="I377" s="4" t="str">
        <f>_xlfn.IFNA(VLOOKUP(D377,Master!$I:$K,2,FALSE),"")</f>
        <v/>
      </c>
      <c r="J377" s="4" t="str">
        <f>_xlfn.IFNA(VLOOKUP(D377,Master!$I:$K,3,FALSE),"")</f>
        <v/>
      </c>
      <c r="L377" s="27" t="str">
        <f>IF(A377&lt;&gt;"CFA",_xlfn.IFNA(VLOOKUP($G377,Master!$V$2:$Z$8,5,0),""),"")</f>
        <v/>
      </c>
      <c r="P377" s="6" t="str">
        <f t="shared" si="12"/>
        <v/>
      </c>
      <c r="Q377" s="13">
        <f t="shared" si="13"/>
        <v>0</v>
      </c>
    </row>
    <row r="378" spans="2:17" ht="15" customHeight="1">
      <c r="B378" s="5" t="str">
        <f>_xlfn.IFNA(VLOOKUP(C378,Master!$H:$I,2,FALSE),"")</f>
        <v/>
      </c>
      <c r="D378" s="5" t="str">
        <f>_xlfn.IFNA(VLOOKUP(E378,Master!$H:$I,2,FALSE),"")</f>
        <v/>
      </c>
      <c r="F378" s="26" t="str">
        <f>+_xlfn.XLOOKUP(G378,Master!$V$2:$V$8,Master!$U$2:$U$8,"")</f>
        <v/>
      </c>
      <c r="I378" s="4" t="str">
        <f>_xlfn.IFNA(VLOOKUP(D378,Master!$I:$K,2,FALSE),"")</f>
        <v/>
      </c>
      <c r="J378" s="4" t="str">
        <f>_xlfn.IFNA(VLOOKUP(D378,Master!$I:$K,3,FALSE),"")</f>
        <v/>
      </c>
      <c r="L378" s="27" t="str">
        <f>IF(A378&lt;&gt;"CFA",_xlfn.IFNA(VLOOKUP($G378,Master!$V$2:$Z$8,5,0),""),"")</f>
        <v/>
      </c>
      <c r="P378" s="6" t="str">
        <f t="shared" si="12"/>
        <v/>
      </c>
      <c r="Q378" s="13">
        <f t="shared" si="13"/>
        <v>0</v>
      </c>
    </row>
    <row r="379" spans="2:17" ht="15" customHeight="1">
      <c r="B379" s="5" t="str">
        <f>_xlfn.IFNA(VLOOKUP(C379,Master!$H:$I,2,FALSE),"")</f>
        <v/>
      </c>
      <c r="D379" s="5" t="str">
        <f>_xlfn.IFNA(VLOOKUP(E379,Master!$H:$I,2,FALSE),"")</f>
        <v/>
      </c>
      <c r="F379" s="26" t="str">
        <f>+_xlfn.XLOOKUP(G379,Master!$V$2:$V$8,Master!$U$2:$U$8,"")</f>
        <v/>
      </c>
      <c r="I379" s="4" t="str">
        <f>_xlfn.IFNA(VLOOKUP(D379,Master!$I:$K,2,FALSE),"")</f>
        <v/>
      </c>
      <c r="J379" s="4" t="str">
        <f>_xlfn.IFNA(VLOOKUP(D379,Master!$I:$K,3,FALSE),"")</f>
        <v/>
      </c>
      <c r="L379" s="27" t="str">
        <f>IF(A379&lt;&gt;"CFA",_xlfn.IFNA(VLOOKUP($G379,Master!$V$2:$Z$8,5,0),""),"")</f>
        <v/>
      </c>
      <c r="P379" s="6" t="str">
        <f t="shared" si="12"/>
        <v/>
      </c>
      <c r="Q379" s="13">
        <f t="shared" si="13"/>
        <v>0</v>
      </c>
    </row>
    <row r="380" spans="2:17" ht="15" customHeight="1">
      <c r="B380" s="5" t="str">
        <f>_xlfn.IFNA(VLOOKUP(C380,Master!$H:$I,2,FALSE),"")</f>
        <v/>
      </c>
      <c r="D380" s="5" t="str">
        <f>_xlfn.IFNA(VLOOKUP(E380,Master!$H:$I,2,FALSE),"")</f>
        <v/>
      </c>
      <c r="F380" s="26" t="str">
        <f>+_xlfn.XLOOKUP(G380,Master!$V$2:$V$8,Master!$U$2:$U$8,"")</f>
        <v/>
      </c>
      <c r="I380" s="4" t="str">
        <f>_xlfn.IFNA(VLOOKUP(D380,Master!$I:$K,2,FALSE),"")</f>
        <v/>
      </c>
      <c r="J380" s="4" t="str">
        <f>_xlfn.IFNA(VLOOKUP(D380,Master!$I:$K,3,FALSE),"")</f>
        <v/>
      </c>
      <c r="L380" s="27" t="str">
        <f>IF(A380&lt;&gt;"CFA",_xlfn.IFNA(VLOOKUP($G380,Master!$V$2:$Z$8,5,0),""),"")</f>
        <v/>
      </c>
      <c r="P380" s="6" t="str">
        <f t="shared" si="12"/>
        <v/>
      </c>
      <c r="Q380" s="13">
        <f t="shared" si="13"/>
        <v>0</v>
      </c>
    </row>
    <row r="381" spans="2:17" ht="15" customHeight="1">
      <c r="B381" s="5" t="str">
        <f>_xlfn.IFNA(VLOOKUP(C381,Master!$H:$I,2,FALSE),"")</f>
        <v/>
      </c>
      <c r="D381" s="5" t="str">
        <f>_xlfn.IFNA(VLOOKUP(E381,Master!$H:$I,2,FALSE),"")</f>
        <v/>
      </c>
      <c r="F381" s="26" t="str">
        <f>+_xlfn.XLOOKUP(G381,Master!$V$2:$V$8,Master!$U$2:$U$8,"")</f>
        <v/>
      </c>
      <c r="I381" s="4" t="str">
        <f>_xlfn.IFNA(VLOOKUP(D381,Master!$I:$K,2,FALSE),"")</f>
        <v/>
      </c>
      <c r="J381" s="4" t="str">
        <f>_xlfn.IFNA(VLOOKUP(D381,Master!$I:$K,3,FALSE),"")</f>
        <v/>
      </c>
      <c r="L381" s="27" t="str">
        <f>IF(A381&lt;&gt;"CFA",_xlfn.IFNA(VLOOKUP($G381,Master!$V$2:$Z$8,5,0),""),"")</f>
        <v/>
      </c>
      <c r="P381" s="6" t="str">
        <f t="shared" si="12"/>
        <v/>
      </c>
      <c r="Q381" s="13">
        <f t="shared" si="13"/>
        <v>0</v>
      </c>
    </row>
    <row r="382" spans="2:17" ht="15" customHeight="1">
      <c r="B382" s="5" t="str">
        <f>_xlfn.IFNA(VLOOKUP(C382,Master!$H:$I,2,FALSE),"")</f>
        <v/>
      </c>
      <c r="D382" s="5" t="str">
        <f>_xlfn.IFNA(VLOOKUP(E382,Master!$H:$I,2,FALSE),"")</f>
        <v/>
      </c>
      <c r="F382" s="26" t="str">
        <f>+_xlfn.XLOOKUP(G382,Master!$V$2:$V$8,Master!$U$2:$U$8,"")</f>
        <v/>
      </c>
      <c r="I382" s="4" t="str">
        <f>_xlfn.IFNA(VLOOKUP(D382,Master!$I:$K,2,FALSE),"")</f>
        <v/>
      </c>
      <c r="J382" s="4" t="str">
        <f>_xlfn.IFNA(VLOOKUP(D382,Master!$I:$K,3,FALSE),"")</f>
        <v/>
      </c>
      <c r="L382" s="27" t="str">
        <f>IF(A382&lt;&gt;"CFA",_xlfn.IFNA(VLOOKUP($G382,Master!$V$2:$Z$8,5,0),""),"")</f>
        <v/>
      </c>
      <c r="P382" s="6" t="str">
        <f t="shared" si="12"/>
        <v/>
      </c>
      <c r="Q382" s="13">
        <f t="shared" si="13"/>
        <v>0</v>
      </c>
    </row>
    <row r="383" spans="2:17" ht="15" customHeight="1">
      <c r="B383" s="5" t="str">
        <f>_xlfn.IFNA(VLOOKUP(C383,Master!$H:$I,2,FALSE),"")</f>
        <v/>
      </c>
      <c r="D383" s="5" t="str">
        <f>_xlfn.IFNA(VLOOKUP(E383,Master!$H:$I,2,FALSE),"")</f>
        <v/>
      </c>
      <c r="F383" s="26" t="str">
        <f>+_xlfn.XLOOKUP(G383,Master!$V$2:$V$8,Master!$U$2:$U$8,"")</f>
        <v/>
      </c>
      <c r="I383" s="4" t="str">
        <f>_xlfn.IFNA(VLOOKUP(D383,Master!$I:$K,2,FALSE),"")</f>
        <v/>
      </c>
      <c r="J383" s="4" t="str">
        <f>_xlfn.IFNA(VLOOKUP(D383,Master!$I:$K,3,FALSE),"")</f>
        <v/>
      </c>
      <c r="L383" s="27" t="str">
        <f>IF(A383&lt;&gt;"CFA",_xlfn.IFNA(VLOOKUP($G383,Master!$V$2:$Z$8,5,0),""),"")</f>
        <v/>
      </c>
      <c r="P383" s="6" t="str">
        <f t="shared" si="12"/>
        <v/>
      </c>
      <c r="Q383" s="13">
        <f t="shared" si="13"/>
        <v>0</v>
      </c>
    </row>
    <row r="384" spans="2:17" ht="15" customHeight="1">
      <c r="B384" s="5" t="str">
        <f>_xlfn.IFNA(VLOOKUP(C384,Master!$H:$I,2,FALSE),"")</f>
        <v/>
      </c>
      <c r="D384" s="5" t="str">
        <f>_xlfn.IFNA(VLOOKUP(E384,Master!$H:$I,2,FALSE),"")</f>
        <v/>
      </c>
      <c r="F384" s="26" t="str">
        <f>+_xlfn.XLOOKUP(G384,Master!$V$2:$V$8,Master!$U$2:$U$8,"")</f>
        <v/>
      </c>
      <c r="I384" s="4" t="str">
        <f>_xlfn.IFNA(VLOOKUP(D384,Master!$I:$K,2,FALSE),"")</f>
        <v/>
      </c>
      <c r="J384" s="4" t="str">
        <f>_xlfn.IFNA(VLOOKUP(D384,Master!$I:$K,3,FALSE),"")</f>
        <v/>
      </c>
      <c r="L384" s="27" t="str">
        <f>IF(A384&lt;&gt;"CFA",_xlfn.IFNA(VLOOKUP($G384,Master!$V$2:$Z$8,5,0),""),"")</f>
        <v/>
      </c>
      <c r="P384" s="6" t="str">
        <f t="shared" si="12"/>
        <v/>
      </c>
      <c r="Q384" s="13">
        <f t="shared" si="13"/>
        <v>0</v>
      </c>
    </row>
    <row r="385" spans="2:17" ht="15" customHeight="1">
      <c r="B385" s="5" t="str">
        <f>_xlfn.IFNA(VLOOKUP(C385,Master!$H:$I,2,FALSE),"")</f>
        <v/>
      </c>
      <c r="D385" s="5" t="str">
        <f>_xlfn.IFNA(VLOOKUP(E385,Master!$H:$I,2,FALSE),"")</f>
        <v/>
      </c>
      <c r="F385" s="26" t="str">
        <f>+_xlfn.XLOOKUP(G385,Master!$V$2:$V$8,Master!$U$2:$U$8,"")</f>
        <v/>
      </c>
      <c r="I385" s="4" t="str">
        <f>_xlfn.IFNA(VLOOKUP(D385,Master!$I:$K,2,FALSE),"")</f>
        <v/>
      </c>
      <c r="J385" s="4" t="str">
        <f>_xlfn.IFNA(VLOOKUP(D385,Master!$I:$K,3,FALSE),"")</f>
        <v/>
      </c>
      <c r="L385" s="27" t="str">
        <f>IF(A385&lt;&gt;"CFA",_xlfn.IFNA(VLOOKUP($G385,Master!$V$2:$Z$8,5,0),""),"")</f>
        <v/>
      </c>
      <c r="P385" s="6" t="str">
        <f t="shared" si="12"/>
        <v/>
      </c>
      <c r="Q385" s="13">
        <f t="shared" si="13"/>
        <v>0</v>
      </c>
    </row>
    <row r="386" spans="2:17" ht="15" customHeight="1">
      <c r="B386" s="5" t="str">
        <f>_xlfn.IFNA(VLOOKUP(C386,Master!$H:$I,2,FALSE),"")</f>
        <v/>
      </c>
      <c r="D386" s="5" t="str">
        <f>_xlfn.IFNA(VLOOKUP(E386,Master!$H:$I,2,FALSE),"")</f>
        <v/>
      </c>
      <c r="F386" s="26" t="str">
        <f>+_xlfn.XLOOKUP(G386,Master!$V$2:$V$8,Master!$U$2:$U$8,"")</f>
        <v/>
      </c>
      <c r="I386" s="4" t="str">
        <f>_xlfn.IFNA(VLOOKUP(D386,Master!$I:$K,2,FALSE),"")</f>
        <v/>
      </c>
      <c r="J386" s="4" t="str">
        <f>_xlfn.IFNA(VLOOKUP(D386,Master!$I:$K,3,FALSE),"")</f>
        <v/>
      </c>
      <c r="L386" s="27" t="str">
        <f>IF(A386&lt;&gt;"CFA",_xlfn.IFNA(VLOOKUP($G386,Master!$V$2:$Z$8,5,0),""),"")</f>
        <v/>
      </c>
      <c r="P386" s="6" t="str">
        <f t="shared" si="12"/>
        <v/>
      </c>
      <c r="Q386" s="13">
        <f t="shared" si="13"/>
        <v>0</v>
      </c>
    </row>
    <row r="387" spans="2:17" ht="15" customHeight="1">
      <c r="B387" s="5" t="str">
        <f>_xlfn.IFNA(VLOOKUP(C387,Master!$H:$I,2,FALSE),"")</f>
        <v/>
      </c>
      <c r="D387" s="5" t="str">
        <f>_xlfn.IFNA(VLOOKUP(E387,Master!$H:$I,2,FALSE),"")</f>
        <v/>
      </c>
      <c r="F387" s="26" t="str">
        <f>+_xlfn.XLOOKUP(G387,Master!$V$2:$V$8,Master!$U$2:$U$8,"")</f>
        <v/>
      </c>
      <c r="I387" s="4" t="str">
        <f>_xlfn.IFNA(VLOOKUP(D387,Master!$I:$K,2,FALSE),"")</f>
        <v/>
      </c>
      <c r="J387" s="4" t="str">
        <f>_xlfn.IFNA(VLOOKUP(D387,Master!$I:$K,3,FALSE),"")</f>
        <v/>
      </c>
      <c r="L387" s="27" t="str">
        <f>IF(A387&lt;&gt;"CFA",_xlfn.IFNA(VLOOKUP($G387,Master!$V$2:$Z$8,5,0),""),"")</f>
        <v/>
      </c>
      <c r="P387" s="6" t="str">
        <f t="shared" si="12"/>
        <v/>
      </c>
      <c r="Q387" s="13">
        <f t="shared" si="13"/>
        <v>0</v>
      </c>
    </row>
    <row r="388" spans="2:17" ht="15" customHeight="1">
      <c r="B388" s="5" t="str">
        <f>_xlfn.IFNA(VLOOKUP(C388,Master!$H:$I,2,FALSE),"")</f>
        <v/>
      </c>
      <c r="D388" s="5" t="str">
        <f>_xlfn.IFNA(VLOOKUP(E388,Master!$H:$I,2,FALSE),"")</f>
        <v/>
      </c>
      <c r="F388" s="26" t="str">
        <f>+_xlfn.XLOOKUP(G388,Master!$V$2:$V$8,Master!$U$2:$U$8,"")</f>
        <v/>
      </c>
      <c r="I388" s="4" t="str">
        <f>_xlfn.IFNA(VLOOKUP(D388,Master!$I:$K,2,FALSE),"")</f>
        <v/>
      </c>
      <c r="J388" s="4" t="str">
        <f>_xlfn.IFNA(VLOOKUP(D388,Master!$I:$K,3,FALSE),"")</f>
        <v/>
      </c>
      <c r="L388" s="27" t="str">
        <f>IF(A388&lt;&gt;"CFA",_xlfn.IFNA(VLOOKUP($G388,Master!$V$2:$Z$8,5,0),""),"")</f>
        <v/>
      </c>
      <c r="P388" s="6" t="str">
        <f t="shared" si="12"/>
        <v/>
      </c>
      <c r="Q388" s="13">
        <f t="shared" si="13"/>
        <v>0</v>
      </c>
    </row>
    <row r="389" spans="2:17" ht="15" customHeight="1">
      <c r="B389" s="5" t="str">
        <f>_xlfn.IFNA(VLOOKUP(C389,Master!$H:$I,2,FALSE),"")</f>
        <v/>
      </c>
      <c r="D389" s="5" t="str">
        <f>_xlfn.IFNA(VLOOKUP(E389,Master!$H:$I,2,FALSE),"")</f>
        <v/>
      </c>
      <c r="F389" s="26" t="str">
        <f>+_xlfn.XLOOKUP(G389,Master!$V$2:$V$8,Master!$U$2:$U$8,"")</f>
        <v/>
      </c>
      <c r="I389" s="4" t="str">
        <f>_xlfn.IFNA(VLOOKUP(D389,Master!$I:$K,2,FALSE),"")</f>
        <v/>
      </c>
      <c r="J389" s="4" t="str">
        <f>_xlfn.IFNA(VLOOKUP(D389,Master!$I:$K,3,FALSE),"")</f>
        <v/>
      </c>
      <c r="L389" s="27" t="str">
        <f>IF(A389&lt;&gt;"CFA",_xlfn.IFNA(VLOOKUP($G389,Master!$V$2:$Z$8,5,0),""),"")</f>
        <v/>
      </c>
      <c r="P389" s="6" t="str">
        <f t="shared" si="12"/>
        <v/>
      </c>
      <c r="Q389" s="13">
        <f t="shared" si="13"/>
        <v>0</v>
      </c>
    </row>
    <row r="390" spans="2:17" ht="15" customHeight="1">
      <c r="B390" s="5" t="str">
        <f>_xlfn.IFNA(VLOOKUP(C390,Master!$H:$I,2,FALSE),"")</f>
        <v/>
      </c>
      <c r="D390" s="5" t="str">
        <f>_xlfn.IFNA(VLOOKUP(E390,Master!$H:$I,2,FALSE),"")</f>
        <v/>
      </c>
      <c r="F390" s="26" t="str">
        <f>+_xlfn.XLOOKUP(G390,Master!$V$2:$V$8,Master!$U$2:$U$8,"")</f>
        <v/>
      </c>
      <c r="I390" s="4" t="str">
        <f>_xlfn.IFNA(VLOOKUP(D390,Master!$I:$K,2,FALSE),"")</f>
        <v/>
      </c>
      <c r="J390" s="4" t="str">
        <f>_xlfn.IFNA(VLOOKUP(D390,Master!$I:$K,3,FALSE),"")</f>
        <v/>
      </c>
      <c r="L390" s="27" t="str">
        <f>IF(A390&lt;&gt;"CFA",_xlfn.IFNA(VLOOKUP($G390,Master!$V$2:$Z$8,5,0),""),"")</f>
        <v/>
      </c>
      <c r="P390" s="6" t="str">
        <f t="shared" si="12"/>
        <v/>
      </c>
      <c r="Q390" s="13">
        <f t="shared" si="13"/>
        <v>0</v>
      </c>
    </row>
    <row r="391" spans="2:17" ht="15" customHeight="1">
      <c r="B391" s="5" t="str">
        <f>_xlfn.IFNA(VLOOKUP(C391,Master!$H:$I,2,FALSE),"")</f>
        <v/>
      </c>
      <c r="D391" s="5" t="str">
        <f>_xlfn.IFNA(VLOOKUP(E391,Master!$H:$I,2,FALSE),"")</f>
        <v/>
      </c>
      <c r="F391" s="26" t="str">
        <f>+_xlfn.XLOOKUP(G391,Master!$V$2:$V$8,Master!$U$2:$U$8,"")</f>
        <v/>
      </c>
      <c r="I391" s="4" t="str">
        <f>_xlfn.IFNA(VLOOKUP(D391,Master!$I:$K,2,FALSE),"")</f>
        <v/>
      </c>
      <c r="J391" s="4" t="str">
        <f>_xlfn.IFNA(VLOOKUP(D391,Master!$I:$K,3,FALSE),"")</f>
        <v/>
      </c>
      <c r="L391" s="27" t="str">
        <f>IF(A391&lt;&gt;"CFA",_xlfn.IFNA(VLOOKUP($G391,Master!$V$2:$Z$8,5,0),""),"")</f>
        <v/>
      </c>
      <c r="P391" s="6" t="str">
        <f t="shared" si="12"/>
        <v/>
      </c>
      <c r="Q391" s="13">
        <f t="shared" si="13"/>
        <v>0</v>
      </c>
    </row>
    <row r="392" spans="2:17" ht="15" customHeight="1">
      <c r="B392" s="5" t="str">
        <f>_xlfn.IFNA(VLOOKUP(C392,Master!$H:$I,2,FALSE),"")</f>
        <v/>
      </c>
      <c r="D392" s="5" t="str">
        <f>_xlfn.IFNA(VLOOKUP(E392,Master!$H:$I,2,FALSE),"")</f>
        <v/>
      </c>
      <c r="F392" s="26" t="str">
        <f>+_xlfn.XLOOKUP(G392,Master!$V$2:$V$8,Master!$U$2:$U$8,"")</f>
        <v/>
      </c>
      <c r="I392" s="4" t="str">
        <f>_xlfn.IFNA(VLOOKUP(D392,Master!$I:$K,2,FALSE),"")</f>
        <v/>
      </c>
      <c r="J392" s="4" t="str">
        <f>_xlfn.IFNA(VLOOKUP(D392,Master!$I:$K,3,FALSE),"")</f>
        <v/>
      </c>
      <c r="L392" s="27" t="str">
        <f>IF(A392&lt;&gt;"CFA",_xlfn.IFNA(VLOOKUP($G392,Master!$V$2:$Z$8,5,0),""),"")</f>
        <v/>
      </c>
      <c r="P392" s="6" t="str">
        <f t="shared" si="12"/>
        <v/>
      </c>
      <c r="Q392" s="13">
        <f t="shared" si="13"/>
        <v>0</v>
      </c>
    </row>
    <row r="393" spans="2:17" ht="15" customHeight="1">
      <c r="B393" s="5" t="str">
        <f>_xlfn.IFNA(VLOOKUP(C393,Master!$H:$I,2,FALSE),"")</f>
        <v/>
      </c>
      <c r="D393" s="5" t="str">
        <f>_xlfn.IFNA(VLOOKUP(E393,Master!$H:$I,2,FALSE),"")</f>
        <v/>
      </c>
      <c r="F393" s="26" t="str">
        <f>+_xlfn.XLOOKUP(G393,Master!$V$2:$V$8,Master!$U$2:$U$8,"")</f>
        <v/>
      </c>
      <c r="I393" s="4" t="str">
        <f>_xlfn.IFNA(VLOOKUP(D393,Master!$I:$K,2,FALSE),"")</f>
        <v/>
      </c>
      <c r="J393" s="4" t="str">
        <f>_xlfn.IFNA(VLOOKUP(D393,Master!$I:$K,3,FALSE),"")</f>
        <v/>
      </c>
      <c r="L393" s="27" t="str">
        <f>IF(A393&lt;&gt;"CFA",_xlfn.IFNA(VLOOKUP($G393,Master!$V$2:$Z$8,5,0),""),"")</f>
        <v/>
      </c>
      <c r="P393" s="6" t="str">
        <f t="shared" si="12"/>
        <v/>
      </c>
      <c r="Q393" s="13">
        <f t="shared" si="13"/>
        <v>0</v>
      </c>
    </row>
    <row r="394" spans="2:17" ht="15" customHeight="1">
      <c r="B394" s="5" t="str">
        <f>_xlfn.IFNA(VLOOKUP(C394,Master!$H:$I,2,FALSE),"")</f>
        <v/>
      </c>
      <c r="D394" s="5" t="str">
        <f>_xlfn.IFNA(VLOOKUP(E394,Master!$H:$I,2,FALSE),"")</f>
        <v/>
      </c>
      <c r="F394" s="26" t="str">
        <f>+_xlfn.XLOOKUP(G394,Master!$V$2:$V$8,Master!$U$2:$U$8,"")</f>
        <v/>
      </c>
      <c r="I394" s="4" t="str">
        <f>_xlfn.IFNA(VLOOKUP(D394,Master!$I:$K,2,FALSE),"")</f>
        <v/>
      </c>
      <c r="J394" s="4" t="str">
        <f>_xlfn.IFNA(VLOOKUP(D394,Master!$I:$K,3,FALSE),"")</f>
        <v/>
      </c>
      <c r="L394" s="27" t="str">
        <f>IF(A394&lt;&gt;"CFA",_xlfn.IFNA(VLOOKUP($G394,Master!$V$2:$Z$8,5,0),""),"")</f>
        <v/>
      </c>
      <c r="P394" s="6" t="str">
        <f t="shared" si="12"/>
        <v/>
      </c>
      <c r="Q394" s="13">
        <f t="shared" si="13"/>
        <v>0</v>
      </c>
    </row>
    <row r="395" spans="2:17" ht="15" customHeight="1">
      <c r="B395" s="5" t="str">
        <f>_xlfn.IFNA(VLOOKUP(C395,Master!$H:$I,2,FALSE),"")</f>
        <v/>
      </c>
      <c r="D395" s="5" t="str">
        <f>_xlfn.IFNA(VLOOKUP(E395,Master!$H:$I,2,FALSE),"")</f>
        <v/>
      </c>
      <c r="F395" s="26" t="str">
        <f>+_xlfn.XLOOKUP(G395,Master!$V$2:$V$8,Master!$U$2:$U$8,"")</f>
        <v/>
      </c>
      <c r="I395" s="4" t="str">
        <f>_xlfn.IFNA(VLOOKUP(D395,Master!$I:$K,2,FALSE),"")</f>
        <v/>
      </c>
      <c r="J395" s="4" t="str">
        <f>_xlfn.IFNA(VLOOKUP(D395,Master!$I:$K,3,FALSE),"")</f>
        <v/>
      </c>
      <c r="L395" s="27" t="str">
        <f>IF(A395&lt;&gt;"CFA",_xlfn.IFNA(VLOOKUP($G395,Master!$V$2:$Z$8,5,0),""),"")</f>
        <v/>
      </c>
      <c r="P395" s="6" t="str">
        <f t="shared" si="12"/>
        <v/>
      </c>
      <c r="Q395" s="13">
        <f t="shared" si="13"/>
        <v>0</v>
      </c>
    </row>
    <row r="396" spans="2:17" ht="15" customHeight="1">
      <c r="B396" s="5" t="str">
        <f>_xlfn.IFNA(VLOOKUP(C396,Master!$H:$I,2,FALSE),"")</f>
        <v/>
      </c>
      <c r="D396" s="5" t="str">
        <f>_xlfn.IFNA(VLOOKUP(E396,Master!$H:$I,2,FALSE),"")</f>
        <v/>
      </c>
      <c r="F396" s="26" t="str">
        <f>+_xlfn.XLOOKUP(G396,Master!$V$2:$V$8,Master!$U$2:$U$8,"")</f>
        <v/>
      </c>
      <c r="I396" s="4" t="str">
        <f>_xlfn.IFNA(VLOOKUP(D396,Master!$I:$K,2,FALSE),"")</f>
        <v/>
      </c>
      <c r="J396" s="4" t="str">
        <f>_xlfn.IFNA(VLOOKUP(D396,Master!$I:$K,3,FALSE),"")</f>
        <v/>
      </c>
      <c r="L396" s="27" t="str">
        <f>IF(A396&lt;&gt;"CFA",_xlfn.IFNA(VLOOKUP($G396,Master!$V$2:$Z$8,5,0),""),"")</f>
        <v/>
      </c>
      <c r="P396" s="6" t="str">
        <f t="shared" si="12"/>
        <v/>
      </c>
      <c r="Q396" s="13">
        <f t="shared" si="13"/>
        <v>0</v>
      </c>
    </row>
    <row r="397" spans="2:17" ht="15" customHeight="1">
      <c r="B397" s="5" t="str">
        <f>_xlfn.IFNA(VLOOKUP(C397,Master!$H:$I,2,FALSE),"")</f>
        <v/>
      </c>
      <c r="D397" s="5" t="str">
        <f>_xlfn.IFNA(VLOOKUP(E397,Master!$H:$I,2,FALSE),"")</f>
        <v/>
      </c>
      <c r="F397" s="26" t="str">
        <f>+_xlfn.XLOOKUP(G397,Master!$V$2:$V$8,Master!$U$2:$U$8,"")</f>
        <v/>
      </c>
      <c r="I397" s="4" t="str">
        <f>_xlfn.IFNA(VLOOKUP(D397,Master!$I:$K,2,FALSE),"")</f>
        <v/>
      </c>
      <c r="J397" s="4" t="str">
        <f>_xlfn.IFNA(VLOOKUP(D397,Master!$I:$K,3,FALSE),"")</f>
        <v/>
      </c>
      <c r="L397" s="27" t="str">
        <f>IF(A397&lt;&gt;"CFA",_xlfn.IFNA(VLOOKUP($G397,Master!$V$2:$Z$8,5,0),""),"")</f>
        <v/>
      </c>
      <c r="P397" s="6" t="str">
        <f t="shared" si="12"/>
        <v/>
      </c>
      <c r="Q397" s="13">
        <f t="shared" si="13"/>
        <v>0</v>
      </c>
    </row>
    <row r="398" spans="2:17" ht="15" customHeight="1">
      <c r="B398" s="5" t="str">
        <f>_xlfn.IFNA(VLOOKUP(C398,Master!$H:$I,2,FALSE),"")</f>
        <v/>
      </c>
      <c r="D398" s="5" t="str">
        <f>_xlfn.IFNA(VLOOKUP(E398,Master!$H:$I,2,FALSE),"")</f>
        <v/>
      </c>
      <c r="F398" s="26" t="str">
        <f>+_xlfn.XLOOKUP(G398,Master!$V$2:$V$8,Master!$U$2:$U$8,"")</f>
        <v/>
      </c>
      <c r="I398" s="4" t="str">
        <f>_xlfn.IFNA(VLOOKUP(D398,Master!$I:$K,2,FALSE),"")</f>
        <v/>
      </c>
      <c r="J398" s="4" t="str">
        <f>_xlfn.IFNA(VLOOKUP(D398,Master!$I:$K,3,FALSE),"")</f>
        <v/>
      </c>
      <c r="L398" s="27" t="str">
        <f>IF(A398&lt;&gt;"CFA",_xlfn.IFNA(VLOOKUP($G398,Master!$V$2:$Z$8,5,0),""),"")</f>
        <v/>
      </c>
      <c r="P398" s="6" t="str">
        <f t="shared" si="12"/>
        <v/>
      </c>
      <c r="Q398" s="13">
        <f t="shared" si="13"/>
        <v>0</v>
      </c>
    </row>
    <row r="399" spans="2:17" ht="15" customHeight="1">
      <c r="B399" s="5" t="str">
        <f>_xlfn.IFNA(VLOOKUP(C399,Master!$H:$I,2,FALSE),"")</f>
        <v/>
      </c>
      <c r="D399" s="5" t="str">
        <f>_xlfn.IFNA(VLOOKUP(E399,Master!$H:$I,2,FALSE),"")</f>
        <v/>
      </c>
      <c r="F399" s="26" t="str">
        <f>+_xlfn.XLOOKUP(G399,Master!$V$2:$V$8,Master!$U$2:$U$8,"")</f>
        <v/>
      </c>
      <c r="I399" s="4" t="str">
        <f>_xlfn.IFNA(VLOOKUP(D399,Master!$I:$K,2,FALSE),"")</f>
        <v/>
      </c>
      <c r="J399" s="4" t="str">
        <f>_xlfn.IFNA(VLOOKUP(D399,Master!$I:$K,3,FALSE),"")</f>
        <v/>
      </c>
      <c r="L399" s="27" t="str">
        <f>IF(A399&lt;&gt;"CFA",_xlfn.IFNA(VLOOKUP($G399,Master!$V$2:$Z$8,5,0),""),"")</f>
        <v/>
      </c>
      <c r="P399" s="6" t="str">
        <f t="shared" si="12"/>
        <v/>
      </c>
      <c r="Q399" s="13">
        <f t="shared" si="13"/>
        <v>0</v>
      </c>
    </row>
    <row r="400" spans="2:17" ht="15" customHeight="1">
      <c r="B400" s="5" t="str">
        <f>_xlfn.IFNA(VLOOKUP(C400,Master!$H:$I,2,FALSE),"")</f>
        <v/>
      </c>
      <c r="D400" s="5" t="str">
        <f>_xlfn.IFNA(VLOOKUP(E400,Master!$H:$I,2,FALSE),"")</f>
        <v/>
      </c>
      <c r="F400" s="26" t="str">
        <f>+_xlfn.XLOOKUP(G400,Master!$V$2:$V$8,Master!$U$2:$U$8,"")</f>
        <v/>
      </c>
      <c r="I400" s="4" t="str">
        <f>_xlfn.IFNA(VLOOKUP(D400,Master!$I:$K,2,FALSE),"")</f>
        <v/>
      </c>
      <c r="J400" s="4" t="str">
        <f>_xlfn.IFNA(VLOOKUP(D400,Master!$I:$K,3,FALSE),"")</f>
        <v/>
      </c>
      <c r="L400" s="27" t="str">
        <f>IF(A400&lt;&gt;"CFA",_xlfn.IFNA(VLOOKUP($G400,Master!$V$2:$Z$8,5,0),""),"")</f>
        <v/>
      </c>
      <c r="P400" s="6" t="str">
        <f t="shared" si="12"/>
        <v/>
      </c>
      <c r="Q400" s="13">
        <f t="shared" si="13"/>
        <v>0</v>
      </c>
    </row>
    <row r="401" spans="2:17" ht="15" customHeight="1">
      <c r="B401" s="5" t="str">
        <f>_xlfn.IFNA(VLOOKUP(C401,Master!$H:$I,2,FALSE),"")</f>
        <v/>
      </c>
      <c r="D401" s="5" t="str">
        <f>_xlfn.IFNA(VLOOKUP(E401,Master!$H:$I,2,FALSE),"")</f>
        <v/>
      </c>
      <c r="F401" s="26" t="str">
        <f>+_xlfn.XLOOKUP(G401,Master!$V$2:$V$8,Master!$U$2:$U$8,"")</f>
        <v/>
      </c>
      <c r="I401" s="4" t="str">
        <f>_xlfn.IFNA(VLOOKUP(D401,Master!$I:$K,2,FALSE),"")</f>
        <v/>
      </c>
      <c r="J401" s="4" t="str">
        <f>_xlfn.IFNA(VLOOKUP(D401,Master!$I:$K,3,FALSE),"")</f>
        <v/>
      </c>
      <c r="L401" s="27" t="str">
        <f>IF(A401&lt;&gt;"CFA",_xlfn.IFNA(VLOOKUP($G401,Master!$V$2:$Z$8,5,0),""),"")</f>
        <v/>
      </c>
      <c r="P401" s="6" t="str">
        <f t="shared" si="12"/>
        <v/>
      </c>
      <c r="Q401" s="13">
        <f t="shared" si="13"/>
        <v>0</v>
      </c>
    </row>
    <row r="402" spans="2:17" ht="15" customHeight="1">
      <c r="B402" s="5" t="str">
        <f>_xlfn.IFNA(VLOOKUP(C402,Master!$H:$I,2,FALSE),"")</f>
        <v/>
      </c>
      <c r="D402" s="5" t="str">
        <f>_xlfn.IFNA(VLOOKUP(E402,Master!$H:$I,2,FALSE),"")</f>
        <v/>
      </c>
      <c r="F402" s="26" t="str">
        <f>+_xlfn.XLOOKUP(G402,Master!$V$2:$V$8,Master!$U$2:$U$8,"")</f>
        <v/>
      </c>
      <c r="I402" s="4" t="str">
        <f>_xlfn.IFNA(VLOOKUP(D402,Master!$I:$K,2,FALSE),"")</f>
        <v/>
      </c>
      <c r="J402" s="4" t="str">
        <f>_xlfn.IFNA(VLOOKUP(D402,Master!$I:$K,3,FALSE),"")</f>
        <v/>
      </c>
      <c r="L402" s="27" t="str">
        <f>IF(A402&lt;&gt;"CFA",_xlfn.IFNA(VLOOKUP($G402,Master!$V$2:$Z$8,5,0),""),"")</f>
        <v/>
      </c>
      <c r="P402" s="6" t="str">
        <f t="shared" si="12"/>
        <v/>
      </c>
      <c r="Q402" s="13">
        <f t="shared" si="13"/>
        <v>0</v>
      </c>
    </row>
    <row r="403" spans="2:17" ht="15" customHeight="1">
      <c r="B403" s="5" t="str">
        <f>_xlfn.IFNA(VLOOKUP(C403,Master!$H:$I,2,FALSE),"")</f>
        <v/>
      </c>
      <c r="D403" s="5" t="str">
        <f>_xlfn.IFNA(VLOOKUP(E403,Master!$H:$I,2,FALSE),"")</f>
        <v/>
      </c>
      <c r="F403" s="26" t="str">
        <f>+_xlfn.XLOOKUP(G403,Master!$V$2:$V$8,Master!$U$2:$U$8,"")</f>
        <v/>
      </c>
      <c r="I403" s="4" t="str">
        <f>_xlfn.IFNA(VLOOKUP(D403,Master!$I:$K,2,FALSE),"")</f>
        <v/>
      </c>
      <c r="J403" s="4" t="str">
        <f>_xlfn.IFNA(VLOOKUP(D403,Master!$I:$K,3,FALSE),"")</f>
        <v/>
      </c>
      <c r="L403" s="27" t="str">
        <f>IF(A403&lt;&gt;"CFA",_xlfn.IFNA(VLOOKUP($G403,Master!$V$2:$Z$8,5,0),""),"")</f>
        <v/>
      </c>
      <c r="P403" s="6" t="str">
        <f t="shared" si="12"/>
        <v/>
      </c>
      <c r="Q403" s="13">
        <f t="shared" si="13"/>
        <v>0</v>
      </c>
    </row>
    <row r="404" spans="2:17" ht="15" customHeight="1">
      <c r="B404" s="5" t="str">
        <f>_xlfn.IFNA(VLOOKUP(C404,Master!$H:$I,2,FALSE),"")</f>
        <v/>
      </c>
      <c r="D404" s="5" t="str">
        <f>_xlfn.IFNA(VLOOKUP(E404,Master!$H:$I,2,FALSE),"")</f>
        <v/>
      </c>
      <c r="F404" s="26" t="str">
        <f>+_xlfn.XLOOKUP(G404,Master!$V$2:$V$8,Master!$U$2:$U$8,"")</f>
        <v/>
      </c>
      <c r="I404" s="4" t="str">
        <f>_xlfn.IFNA(VLOOKUP(D404,Master!$I:$K,2,FALSE),"")</f>
        <v/>
      </c>
      <c r="J404" s="4" t="str">
        <f>_xlfn.IFNA(VLOOKUP(D404,Master!$I:$K,3,FALSE),"")</f>
        <v/>
      </c>
      <c r="L404" s="27" t="str">
        <f>IF(A404&lt;&gt;"CFA",_xlfn.IFNA(VLOOKUP($G404,Master!$V$2:$Z$8,5,0),""),"")</f>
        <v/>
      </c>
      <c r="P404" s="6" t="str">
        <f t="shared" si="12"/>
        <v/>
      </c>
      <c r="Q404" s="13">
        <f t="shared" si="13"/>
        <v>0</v>
      </c>
    </row>
    <row r="405" spans="2:17" ht="15" customHeight="1">
      <c r="B405" s="5" t="str">
        <f>_xlfn.IFNA(VLOOKUP(C405,Master!$H:$I,2,FALSE),"")</f>
        <v/>
      </c>
      <c r="D405" s="5" t="str">
        <f>_xlfn.IFNA(VLOOKUP(E405,Master!$H:$I,2,FALSE),"")</f>
        <v/>
      </c>
      <c r="F405" s="26" t="str">
        <f>+_xlfn.XLOOKUP(G405,Master!$V$2:$V$8,Master!$U$2:$U$8,"")</f>
        <v/>
      </c>
      <c r="I405" s="4" t="str">
        <f>_xlfn.IFNA(VLOOKUP(D405,Master!$I:$K,2,FALSE),"")</f>
        <v/>
      </c>
      <c r="J405" s="4" t="str">
        <f>_xlfn.IFNA(VLOOKUP(D405,Master!$I:$K,3,FALSE),"")</f>
        <v/>
      </c>
      <c r="L405" s="27" t="str">
        <f>IF(A405&lt;&gt;"CFA",_xlfn.IFNA(VLOOKUP($G405,Master!$V$2:$Z$8,5,0),""),"")</f>
        <v/>
      </c>
      <c r="P405" s="6" t="str">
        <f t="shared" si="12"/>
        <v/>
      </c>
      <c r="Q405" s="13">
        <f t="shared" si="13"/>
        <v>0</v>
      </c>
    </row>
    <row r="406" spans="2:17" ht="15" customHeight="1">
      <c r="B406" s="5" t="str">
        <f>_xlfn.IFNA(VLOOKUP(C406,Master!$H:$I,2,FALSE),"")</f>
        <v/>
      </c>
      <c r="D406" s="5" t="str">
        <f>_xlfn.IFNA(VLOOKUP(E406,Master!$H:$I,2,FALSE),"")</f>
        <v/>
      </c>
      <c r="F406" s="26" t="str">
        <f>+_xlfn.XLOOKUP(G406,Master!$V$2:$V$8,Master!$U$2:$U$8,"")</f>
        <v/>
      </c>
      <c r="I406" s="4" t="str">
        <f>_xlfn.IFNA(VLOOKUP(D406,Master!$I:$K,2,FALSE),"")</f>
        <v/>
      </c>
      <c r="J406" s="4" t="str">
        <f>_xlfn.IFNA(VLOOKUP(D406,Master!$I:$K,3,FALSE),"")</f>
        <v/>
      </c>
      <c r="L406" s="27" t="str">
        <f>IF(A406&lt;&gt;"CFA",_xlfn.IFNA(VLOOKUP($G406,Master!$V$2:$Z$8,5,0),""),"")</f>
        <v/>
      </c>
      <c r="P406" s="6" t="str">
        <f t="shared" si="12"/>
        <v/>
      </c>
      <c r="Q406" s="13">
        <f t="shared" si="13"/>
        <v>0</v>
      </c>
    </row>
    <row r="407" spans="2:17" ht="15" customHeight="1">
      <c r="B407" s="5" t="str">
        <f>_xlfn.IFNA(VLOOKUP(C407,Master!$H:$I,2,FALSE),"")</f>
        <v/>
      </c>
      <c r="D407" s="5" t="str">
        <f>_xlfn.IFNA(VLOOKUP(E407,Master!$H:$I,2,FALSE),"")</f>
        <v/>
      </c>
      <c r="F407" s="26" t="str">
        <f>+_xlfn.XLOOKUP(G407,Master!$V$2:$V$8,Master!$U$2:$U$8,"")</f>
        <v/>
      </c>
      <c r="I407" s="4" t="str">
        <f>_xlfn.IFNA(VLOOKUP(D407,Master!$I:$K,2,FALSE),"")</f>
        <v/>
      </c>
      <c r="J407" s="4" t="str">
        <f>_xlfn.IFNA(VLOOKUP(D407,Master!$I:$K,3,FALSE),"")</f>
        <v/>
      </c>
      <c r="L407" s="27" t="str">
        <f>IF(A407&lt;&gt;"CFA",_xlfn.IFNA(VLOOKUP($G407,Master!$V$2:$Z$8,5,0),""),"")</f>
        <v/>
      </c>
      <c r="P407" s="6" t="str">
        <f t="shared" si="12"/>
        <v/>
      </c>
      <c r="Q407" s="13">
        <f t="shared" si="13"/>
        <v>0</v>
      </c>
    </row>
    <row r="408" spans="2:17" ht="15" customHeight="1">
      <c r="B408" s="5" t="str">
        <f>_xlfn.IFNA(VLOOKUP(C408,Master!$H:$I,2,FALSE),"")</f>
        <v/>
      </c>
      <c r="D408" s="5" t="str">
        <f>_xlfn.IFNA(VLOOKUP(E408,Master!$H:$I,2,FALSE),"")</f>
        <v/>
      </c>
      <c r="F408" s="26" t="str">
        <f>+_xlfn.XLOOKUP(G408,Master!$V$2:$V$8,Master!$U$2:$U$8,"")</f>
        <v/>
      </c>
      <c r="I408" s="4" t="str">
        <f>_xlfn.IFNA(VLOOKUP(D408,Master!$I:$K,2,FALSE),"")</f>
        <v/>
      </c>
      <c r="J408" s="4" t="str">
        <f>_xlfn.IFNA(VLOOKUP(D408,Master!$I:$K,3,FALSE),"")</f>
        <v/>
      </c>
      <c r="L408" s="27" t="str">
        <f>IF(A408&lt;&gt;"CFA",_xlfn.IFNA(VLOOKUP($G408,Master!$V$2:$Z$8,5,0),""),"")</f>
        <v/>
      </c>
      <c r="P408" s="6" t="str">
        <f t="shared" si="12"/>
        <v/>
      </c>
      <c r="Q408" s="13">
        <f t="shared" si="13"/>
        <v>0</v>
      </c>
    </row>
    <row r="409" spans="2:17" ht="15" customHeight="1">
      <c r="B409" s="5" t="str">
        <f>_xlfn.IFNA(VLOOKUP(C409,Master!$H:$I,2,FALSE),"")</f>
        <v/>
      </c>
      <c r="D409" s="5" t="str">
        <f>_xlfn.IFNA(VLOOKUP(E409,Master!$H:$I,2,FALSE),"")</f>
        <v/>
      </c>
      <c r="F409" s="26" t="str">
        <f>+_xlfn.XLOOKUP(G409,Master!$V$2:$V$8,Master!$U$2:$U$8,"")</f>
        <v/>
      </c>
      <c r="I409" s="4" t="str">
        <f>_xlfn.IFNA(VLOOKUP(D409,Master!$I:$K,2,FALSE),"")</f>
        <v/>
      </c>
      <c r="J409" s="4" t="str">
        <f>_xlfn.IFNA(VLOOKUP(D409,Master!$I:$K,3,FALSE),"")</f>
        <v/>
      </c>
      <c r="L409" s="27" t="str">
        <f>IF(A409&lt;&gt;"CFA",_xlfn.IFNA(VLOOKUP($G409,Master!$V$2:$Z$8,5,0),""),"")</f>
        <v/>
      </c>
      <c r="P409" s="6" t="str">
        <f t="shared" si="12"/>
        <v/>
      </c>
      <c r="Q409" s="13">
        <f t="shared" si="13"/>
        <v>0</v>
      </c>
    </row>
    <row r="410" spans="2:17" ht="15" customHeight="1">
      <c r="B410" s="5" t="str">
        <f>_xlfn.IFNA(VLOOKUP(C410,Master!$H:$I,2,FALSE),"")</f>
        <v/>
      </c>
      <c r="D410" s="5" t="str">
        <f>_xlfn.IFNA(VLOOKUP(E410,Master!$H:$I,2,FALSE),"")</f>
        <v/>
      </c>
      <c r="F410" s="26" t="str">
        <f>+_xlfn.XLOOKUP(G410,Master!$V$2:$V$8,Master!$U$2:$U$8,"")</f>
        <v/>
      </c>
      <c r="I410" s="4" t="str">
        <f>_xlfn.IFNA(VLOOKUP(D410,Master!$I:$K,2,FALSE),"")</f>
        <v/>
      </c>
      <c r="J410" s="4" t="str">
        <f>_xlfn.IFNA(VLOOKUP(D410,Master!$I:$K,3,FALSE),"")</f>
        <v/>
      </c>
      <c r="L410" s="27" t="str">
        <f>IF(A410&lt;&gt;"CFA",_xlfn.IFNA(VLOOKUP($G410,Master!$V$2:$Z$8,5,0),""),"")</f>
        <v/>
      </c>
      <c r="P410" s="6" t="str">
        <f t="shared" si="12"/>
        <v/>
      </c>
      <c r="Q410" s="13">
        <f t="shared" si="13"/>
        <v>0</v>
      </c>
    </row>
    <row r="411" spans="2:17" ht="15" customHeight="1">
      <c r="B411" s="5" t="str">
        <f>_xlfn.IFNA(VLOOKUP(C411,Master!$H:$I,2,FALSE),"")</f>
        <v/>
      </c>
      <c r="D411" s="5" t="str">
        <f>_xlfn.IFNA(VLOOKUP(E411,Master!$H:$I,2,FALSE),"")</f>
        <v/>
      </c>
      <c r="F411" s="26" t="str">
        <f>+_xlfn.XLOOKUP(G411,Master!$V$2:$V$8,Master!$U$2:$U$8,"")</f>
        <v/>
      </c>
      <c r="I411" s="4" t="str">
        <f>_xlfn.IFNA(VLOOKUP(D411,Master!$I:$K,2,FALSE),"")</f>
        <v/>
      </c>
      <c r="J411" s="4" t="str">
        <f>_xlfn.IFNA(VLOOKUP(D411,Master!$I:$K,3,FALSE),"")</f>
        <v/>
      </c>
      <c r="L411" s="27" t="str">
        <f>IF(A411&lt;&gt;"CFA",_xlfn.IFNA(VLOOKUP($G411,Master!$V$2:$Z$8,5,0),""),"")</f>
        <v/>
      </c>
      <c r="P411" s="6" t="str">
        <f t="shared" si="12"/>
        <v/>
      </c>
      <c r="Q411" s="13">
        <f t="shared" si="13"/>
        <v>0</v>
      </c>
    </row>
    <row r="412" spans="2:17" ht="15" customHeight="1">
      <c r="B412" s="5" t="str">
        <f>_xlfn.IFNA(VLOOKUP(C412,Master!$H:$I,2,FALSE),"")</f>
        <v/>
      </c>
      <c r="D412" s="5" t="str">
        <f>_xlfn.IFNA(VLOOKUP(E412,Master!$H:$I,2,FALSE),"")</f>
        <v/>
      </c>
      <c r="F412" s="26" t="str">
        <f>+_xlfn.XLOOKUP(G412,Master!$V$2:$V$8,Master!$U$2:$U$8,"")</f>
        <v/>
      </c>
      <c r="I412" s="4" t="str">
        <f>_xlfn.IFNA(VLOOKUP(D412,Master!$I:$K,2,FALSE),"")</f>
        <v/>
      </c>
      <c r="J412" s="4" t="str">
        <f>_xlfn.IFNA(VLOOKUP(D412,Master!$I:$K,3,FALSE),"")</f>
        <v/>
      </c>
      <c r="L412" s="27" t="str">
        <f>IF(A412&lt;&gt;"CFA",_xlfn.IFNA(VLOOKUP($G412,Master!$V$2:$Z$8,5,0),""),"")</f>
        <v/>
      </c>
      <c r="P412" s="6" t="str">
        <f t="shared" si="12"/>
        <v/>
      </c>
      <c r="Q412" s="13">
        <f t="shared" si="13"/>
        <v>0</v>
      </c>
    </row>
    <row r="413" spans="2:17" ht="15" customHeight="1">
      <c r="B413" s="5" t="str">
        <f>_xlfn.IFNA(VLOOKUP(C413,Master!$H:$I,2,FALSE),"")</f>
        <v/>
      </c>
      <c r="D413" s="5" t="str">
        <f>_xlfn.IFNA(VLOOKUP(E413,Master!$H:$I,2,FALSE),"")</f>
        <v/>
      </c>
      <c r="F413" s="26" t="str">
        <f>+_xlfn.XLOOKUP(G413,Master!$V$2:$V$8,Master!$U$2:$U$8,"")</f>
        <v/>
      </c>
      <c r="I413" s="4" t="str">
        <f>_xlfn.IFNA(VLOOKUP(D413,Master!$I:$K,2,FALSE),"")</f>
        <v/>
      </c>
      <c r="J413" s="4" t="str">
        <f>_xlfn.IFNA(VLOOKUP(D413,Master!$I:$K,3,FALSE),"")</f>
        <v/>
      </c>
      <c r="L413" s="27" t="str">
        <f>IF(A413&lt;&gt;"CFA",_xlfn.IFNA(VLOOKUP($G413,Master!$V$2:$Z$8,5,0),""),"")</f>
        <v/>
      </c>
      <c r="P413" s="6" t="str">
        <f t="shared" si="12"/>
        <v/>
      </c>
      <c r="Q413" s="13">
        <f t="shared" si="13"/>
        <v>0</v>
      </c>
    </row>
    <row r="414" spans="2:17" ht="15" customHeight="1">
      <c r="B414" s="5" t="str">
        <f>_xlfn.IFNA(VLOOKUP(C414,Master!$H:$I,2,FALSE),"")</f>
        <v/>
      </c>
      <c r="D414" s="5" t="str">
        <f>_xlfn.IFNA(VLOOKUP(E414,Master!$H:$I,2,FALSE),"")</f>
        <v/>
      </c>
      <c r="F414" s="26" t="str">
        <f>+_xlfn.XLOOKUP(G414,Master!$V$2:$V$8,Master!$U$2:$U$8,"")</f>
        <v/>
      </c>
      <c r="I414" s="4" t="str">
        <f>_xlfn.IFNA(VLOOKUP(D414,Master!$I:$K,2,FALSE),"")</f>
        <v/>
      </c>
      <c r="J414" s="4" t="str">
        <f>_xlfn.IFNA(VLOOKUP(D414,Master!$I:$K,3,FALSE),"")</f>
        <v/>
      </c>
      <c r="L414" s="27" t="str">
        <f>IF(A414&lt;&gt;"CFA",_xlfn.IFNA(VLOOKUP($G414,Master!$V$2:$Z$8,5,0),""),"")</f>
        <v/>
      </c>
      <c r="P414" s="6" t="str">
        <f t="shared" si="12"/>
        <v/>
      </c>
      <c r="Q414" s="13">
        <f t="shared" si="13"/>
        <v>0</v>
      </c>
    </row>
    <row r="415" spans="2:17" ht="15" customHeight="1">
      <c r="B415" s="5" t="str">
        <f>_xlfn.IFNA(VLOOKUP(C415,Master!$H:$I,2,FALSE),"")</f>
        <v/>
      </c>
      <c r="D415" s="5" t="str">
        <f>_xlfn.IFNA(VLOOKUP(E415,Master!$H:$I,2,FALSE),"")</f>
        <v/>
      </c>
      <c r="F415" s="26" t="str">
        <f>+_xlfn.XLOOKUP(G415,Master!$V$2:$V$8,Master!$U$2:$U$8,"")</f>
        <v/>
      </c>
      <c r="I415" s="4" t="str">
        <f>_xlfn.IFNA(VLOOKUP(D415,Master!$I:$K,2,FALSE),"")</f>
        <v/>
      </c>
      <c r="J415" s="4" t="str">
        <f>_xlfn.IFNA(VLOOKUP(D415,Master!$I:$K,3,FALSE),"")</f>
        <v/>
      </c>
      <c r="L415" s="27" t="str">
        <f>IF(A415&lt;&gt;"CFA",_xlfn.IFNA(VLOOKUP($G415,Master!$V$2:$Z$8,5,0),""),"")</f>
        <v/>
      </c>
      <c r="P415" s="6" t="str">
        <f t="shared" si="12"/>
        <v/>
      </c>
      <c r="Q415" s="13">
        <f t="shared" si="13"/>
        <v>0</v>
      </c>
    </row>
    <row r="416" spans="2:17" ht="15" customHeight="1">
      <c r="B416" s="5" t="str">
        <f>_xlfn.IFNA(VLOOKUP(C416,Master!$H:$I,2,FALSE),"")</f>
        <v/>
      </c>
      <c r="D416" s="5" t="str">
        <f>_xlfn.IFNA(VLOOKUP(E416,Master!$H:$I,2,FALSE),"")</f>
        <v/>
      </c>
      <c r="F416" s="26" t="str">
        <f>+_xlfn.XLOOKUP(G416,Master!$V$2:$V$8,Master!$U$2:$U$8,"")</f>
        <v/>
      </c>
      <c r="I416" s="4" t="str">
        <f>_xlfn.IFNA(VLOOKUP(D416,Master!$I:$K,2,FALSE),"")</f>
        <v/>
      </c>
      <c r="J416" s="4" t="str">
        <f>_xlfn.IFNA(VLOOKUP(D416,Master!$I:$K,3,FALSE),"")</f>
        <v/>
      </c>
      <c r="L416" s="27" t="str">
        <f>IF(A416&lt;&gt;"CFA",_xlfn.IFNA(VLOOKUP($G416,Master!$V$2:$Z$8,5,0),""),"")</f>
        <v/>
      </c>
      <c r="P416" s="6" t="str">
        <f t="shared" si="12"/>
        <v/>
      </c>
      <c r="Q416" s="13">
        <f t="shared" si="13"/>
        <v>0</v>
      </c>
    </row>
    <row r="417" spans="2:17" ht="15" customHeight="1">
      <c r="B417" s="5" t="str">
        <f>_xlfn.IFNA(VLOOKUP(C417,Master!$H:$I,2,FALSE),"")</f>
        <v/>
      </c>
      <c r="D417" s="5" t="str">
        <f>_xlfn.IFNA(VLOOKUP(E417,Master!$H:$I,2,FALSE),"")</f>
        <v/>
      </c>
      <c r="F417" s="26" t="str">
        <f>+_xlfn.XLOOKUP(G417,Master!$V$2:$V$8,Master!$U$2:$U$8,"")</f>
        <v/>
      </c>
      <c r="I417" s="4" t="str">
        <f>_xlfn.IFNA(VLOOKUP(D417,Master!$I:$K,2,FALSE),"")</f>
        <v/>
      </c>
      <c r="J417" s="4" t="str">
        <f>_xlfn.IFNA(VLOOKUP(D417,Master!$I:$K,3,FALSE),"")</f>
        <v/>
      </c>
      <c r="L417" s="27" t="str">
        <f>IF(A417&lt;&gt;"CFA",_xlfn.IFNA(VLOOKUP($G417,Master!$V$2:$Z$8,5,0),""),"")</f>
        <v/>
      </c>
      <c r="P417" s="6" t="str">
        <f t="shared" si="12"/>
        <v/>
      </c>
      <c r="Q417" s="13">
        <f t="shared" si="13"/>
        <v>0</v>
      </c>
    </row>
    <row r="418" spans="2:17" ht="15" customHeight="1">
      <c r="B418" s="5" t="str">
        <f>_xlfn.IFNA(VLOOKUP(C418,Master!$H:$I,2,FALSE),"")</f>
        <v/>
      </c>
      <c r="D418" s="5" t="str">
        <f>_xlfn.IFNA(VLOOKUP(E418,Master!$H:$I,2,FALSE),"")</f>
        <v/>
      </c>
      <c r="F418" s="26" t="str">
        <f>+_xlfn.XLOOKUP(G418,Master!$V$2:$V$8,Master!$U$2:$U$8,"")</f>
        <v/>
      </c>
      <c r="I418" s="4" t="str">
        <f>_xlfn.IFNA(VLOOKUP(D418,Master!$I:$K,2,FALSE),"")</f>
        <v/>
      </c>
      <c r="J418" s="4" t="str">
        <f>_xlfn.IFNA(VLOOKUP(D418,Master!$I:$K,3,FALSE),"")</f>
        <v/>
      </c>
      <c r="L418" s="27" t="str">
        <f>IF(A418&lt;&gt;"CFA",_xlfn.IFNA(VLOOKUP($G418,Master!$V$2:$Z$8,5,0),""),"")</f>
        <v/>
      </c>
      <c r="P418" s="6" t="str">
        <f t="shared" si="12"/>
        <v/>
      </c>
      <c r="Q418" s="13">
        <f t="shared" si="13"/>
        <v>0</v>
      </c>
    </row>
    <row r="419" spans="2:17" ht="15" customHeight="1">
      <c r="B419" s="5" t="str">
        <f>_xlfn.IFNA(VLOOKUP(C419,Master!$H:$I,2,FALSE),"")</f>
        <v/>
      </c>
      <c r="D419" s="5" t="str">
        <f>_xlfn.IFNA(VLOOKUP(E419,Master!$H:$I,2,FALSE),"")</f>
        <v/>
      </c>
      <c r="F419" s="26" t="str">
        <f>+_xlfn.XLOOKUP(G419,Master!$V$2:$V$8,Master!$U$2:$U$8,"")</f>
        <v/>
      </c>
      <c r="I419" s="4" t="str">
        <f>_xlfn.IFNA(VLOOKUP(D419,Master!$I:$K,2,FALSE),"")</f>
        <v/>
      </c>
      <c r="J419" s="4" t="str">
        <f>_xlfn.IFNA(VLOOKUP(D419,Master!$I:$K,3,FALSE),"")</f>
        <v/>
      </c>
      <c r="L419" s="27" t="str">
        <f>IF(A419&lt;&gt;"CFA",_xlfn.IFNA(VLOOKUP($G419,Master!$V$2:$Z$8,5,0),""),"")</f>
        <v/>
      </c>
      <c r="P419" s="6" t="str">
        <f t="shared" si="12"/>
        <v/>
      </c>
      <c r="Q419" s="13">
        <f t="shared" si="13"/>
        <v>0</v>
      </c>
    </row>
    <row r="420" spans="2:17" ht="15" customHeight="1">
      <c r="B420" s="5" t="str">
        <f>_xlfn.IFNA(VLOOKUP(C420,Master!$H:$I,2,FALSE),"")</f>
        <v/>
      </c>
      <c r="D420" s="5" t="str">
        <f>_xlfn.IFNA(VLOOKUP(E420,Master!$H:$I,2,FALSE),"")</f>
        <v/>
      </c>
      <c r="F420" s="26" t="str">
        <f>+_xlfn.XLOOKUP(G420,Master!$V$2:$V$8,Master!$U$2:$U$8,"")</f>
        <v/>
      </c>
      <c r="I420" s="4" t="str">
        <f>_xlfn.IFNA(VLOOKUP(D420,Master!$I:$K,2,FALSE),"")</f>
        <v/>
      </c>
      <c r="J420" s="4" t="str">
        <f>_xlfn.IFNA(VLOOKUP(D420,Master!$I:$K,3,FALSE),"")</f>
        <v/>
      </c>
      <c r="L420" s="27" t="str">
        <f>IF(A420&lt;&gt;"CFA",_xlfn.IFNA(VLOOKUP($G420,Master!$V$2:$Z$8,5,0),""),"")</f>
        <v/>
      </c>
      <c r="P420" s="6" t="str">
        <f t="shared" si="12"/>
        <v/>
      </c>
      <c r="Q420" s="13">
        <f t="shared" si="13"/>
        <v>0</v>
      </c>
    </row>
    <row r="421" spans="2:17" ht="15" customHeight="1">
      <c r="B421" s="5" t="str">
        <f>_xlfn.IFNA(VLOOKUP(C421,Master!$H:$I,2,FALSE),"")</f>
        <v/>
      </c>
      <c r="D421" s="5" t="str">
        <f>_xlfn.IFNA(VLOOKUP(E421,Master!$H:$I,2,FALSE),"")</f>
        <v/>
      </c>
      <c r="F421" s="26" t="str">
        <f>+_xlfn.XLOOKUP(G421,Master!$V$2:$V$8,Master!$U$2:$U$8,"")</f>
        <v/>
      </c>
      <c r="I421" s="4" t="str">
        <f>_xlfn.IFNA(VLOOKUP(D421,Master!$I:$K,2,FALSE),"")</f>
        <v/>
      </c>
      <c r="J421" s="4" t="str">
        <f>_xlfn.IFNA(VLOOKUP(D421,Master!$I:$K,3,FALSE),"")</f>
        <v/>
      </c>
      <c r="L421" s="27" t="str">
        <f>IF(A421&lt;&gt;"CFA",_xlfn.IFNA(VLOOKUP($G421,Master!$V$2:$Z$8,5,0),""),"")</f>
        <v/>
      </c>
      <c r="P421" s="6" t="str">
        <f t="shared" si="12"/>
        <v/>
      </c>
      <c r="Q421" s="13">
        <f t="shared" si="13"/>
        <v>0</v>
      </c>
    </row>
    <row r="422" spans="2:17" ht="15" customHeight="1">
      <c r="B422" s="5" t="str">
        <f>_xlfn.IFNA(VLOOKUP(C422,Master!$H:$I,2,FALSE),"")</f>
        <v/>
      </c>
      <c r="D422" s="5" t="str">
        <f>_xlfn.IFNA(VLOOKUP(E422,Master!$H:$I,2,FALSE),"")</f>
        <v/>
      </c>
      <c r="F422" s="26" t="str">
        <f>+_xlfn.XLOOKUP(G422,Master!$V$2:$V$8,Master!$U$2:$U$8,"")</f>
        <v/>
      </c>
      <c r="I422" s="4" t="str">
        <f>_xlfn.IFNA(VLOOKUP(D422,Master!$I:$K,2,FALSE),"")</f>
        <v/>
      </c>
      <c r="J422" s="4" t="str">
        <f>_xlfn.IFNA(VLOOKUP(D422,Master!$I:$K,3,FALSE),"")</f>
        <v/>
      </c>
      <c r="L422" s="27" t="str">
        <f>IF(A422&lt;&gt;"CFA",_xlfn.IFNA(VLOOKUP($G422,Master!$V$2:$Z$8,5,0),""),"")</f>
        <v/>
      </c>
      <c r="P422" s="6" t="str">
        <f t="shared" si="12"/>
        <v/>
      </c>
      <c r="Q422" s="13">
        <f t="shared" si="13"/>
        <v>0</v>
      </c>
    </row>
    <row r="423" spans="2:17" ht="15" customHeight="1">
      <c r="B423" s="5" t="str">
        <f>_xlfn.IFNA(VLOOKUP(C423,Master!$H:$I,2,FALSE),"")</f>
        <v/>
      </c>
      <c r="D423" s="5" t="str">
        <f>_xlfn.IFNA(VLOOKUP(E423,Master!$H:$I,2,FALSE),"")</f>
        <v/>
      </c>
      <c r="F423" s="26" t="str">
        <f>+_xlfn.XLOOKUP(G423,Master!$V$2:$V$8,Master!$U$2:$U$8,"")</f>
        <v/>
      </c>
      <c r="I423" s="4" t="str">
        <f>_xlfn.IFNA(VLOOKUP(D423,Master!$I:$K,2,FALSE),"")</f>
        <v/>
      </c>
      <c r="J423" s="4" t="str">
        <f>_xlfn.IFNA(VLOOKUP(D423,Master!$I:$K,3,FALSE),"")</f>
        <v/>
      </c>
      <c r="L423" s="27" t="str">
        <f>IF(A423&lt;&gt;"CFA",_xlfn.IFNA(VLOOKUP($G423,Master!$V$2:$Z$8,5,0),""),"")</f>
        <v/>
      </c>
      <c r="P423" s="6" t="str">
        <f t="shared" si="12"/>
        <v/>
      </c>
      <c r="Q423" s="13">
        <f t="shared" si="13"/>
        <v>0</v>
      </c>
    </row>
    <row r="424" spans="2:17" ht="15" customHeight="1">
      <c r="B424" s="5" t="str">
        <f>_xlfn.IFNA(VLOOKUP(C424,Master!$H:$I,2,FALSE),"")</f>
        <v/>
      </c>
      <c r="D424" s="5" t="str">
        <f>_xlfn.IFNA(VLOOKUP(E424,Master!$H:$I,2,FALSE),"")</f>
        <v/>
      </c>
      <c r="F424" s="26" t="str">
        <f>+_xlfn.XLOOKUP(G424,Master!$V$2:$V$8,Master!$U$2:$U$8,"")</f>
        <v/>
      </c>
      <c r="I424" s="4" t="str">
        <f>_xlfn.IFNA(VLOOKUP(D424,Master!$I:$K,2,FALSE),"")</f>
        <v/>
      </c>
      <c r="J424" s="4" t="str">
        <f>_xlfn.IFNA(VLOOKUP(D424,Master!$I:$K,3,FALSE),"")</f>
        <v/>
      </c>
      <c r="L424" s="27" t="str">
        <f>IF(A424&lt;&gt;"CFA",_xlfn.IFNA(VLOOKUP($G424,Master!$V$2:$Z$8,5,0),""),"")</f>
        <v/>
      </c>
      <c r="P424" s="6" t="str">
        <f t="shared" si="12"/>
        <v/>
      </c>
      <c r="Q424" s="13">
        <f t="shared" si="13"/>
        <v>0</v>
      </c>
    </row>
    <row r="425" spans="2:17" ht="15" customHeight="1">
      <c r="B425" s="5" t="str">
        <f>_xlfn.IFNA(VLOOKUP(C425,Master!$H:$I,2,FALSE),"")</f>
        <v/>
      </c>
      <c r="D425" s="5" t="str">
        <f>_xlfn.IFNA(VLOOKUP(E425,Master!$H:$I,2,FALSE),"")</f>
        <v/>
      </c>
      <c r="F425" s="26" t="str">
        <f>+_xlfn.XLOOKUP(G425,Master!$V$2:$V$8,Master!$U$2:$U$8,"")</f>
        <v/>
      </c>
      <c r="I425" s="4" t="str">
        <f>_xlfn.IFNA(VLOOKUP(D425,Master!$I:$K,2,FALSE),"")</f>
        <v/>
      </c>
      <c r="J425" s="4" t="str">
        <f>_xlfn.IFNA(VLOOKUP(D425,Master!$I:$K,3,FALSE),"")</f>
        <v/>
      </c>
      <c r="L425" s="27" t="str">
        <f>IF(A425&lt;&gt;"CFA",_xlfn.IFNA(VLOOKUP($G425,Master!$V$2:$Z$8,5,0),""),"")</f>
        <v/>
      </c>
      <c r="P425" s="6" t="str">
        <f t="shared" si="12"/>
        <v/>
      </c>
      <c r="Q425" s="13">
        <f t="shared" si="13"/>
        <v>0</v>
      </c>
    </row>
    <row r="426" spans="2:17" ht="15" customHeight="1">
      <c r="B426" s="5" t="str">
        <f>_xlfn.IFNA(VLOOKUP(C426,Master!$H:$I,2,FALSE),"")</f>
        <v/>
      </c>
      <c r="D426" s="5" t="str">
        <f>_xlfn.IFNA(VLOOKUP(E426,Master!$H:$I,2,FALSE),"")</f>
        <v/>
      </c>
      <c r="F426" s="26" t="str">
        <f>+_xlfn.XLOOKUP(G426,Master!$V$2:$V$8,Master!$U$2:$U$8,"")</f>
        <v/>
      </c>
      <c r="I426" s="4" t="str">
        <f>_xlfn.IFNA(VLOOKUP(D426,Master!$I:$K,2,FALSE),"")</f>
        <v/>
      </c>
      <c r="J426" s="4" t="str">
        <f>_xlfn.IFNA(VLOOKUP(D426,Master!$I:$K,3,FALSE),"")</f>
        <v/>
      </c>
      <c r="L426" s="27" t="str">
        <f>IF(A426&lt;&gt;"CFA",_xlfn.IFNA(VLOOKUP($G426,Master!$V$2:$Z$8,5,0),""),"")</f>
        <v/>
      </c>
      <c r="P426" s="6" t="str">
        <f t="shared" si="12"/>
        <v/>
      </c>
      <c r="Q426" s="13">
        <f t="shared" si="13"/>
        <v>0</v>
      </c>
    </row>
    <row r="427" spans="2:17" ht="15" customHeight="1">
      <c r="B427" s="5" t="str">
        <f>_xlfn.IFNA(VLOOKUP(C427,Master!$H:$I,2,FALSE),"")</f>
        <v/>
      </c>
      <c r="D427" s="5" t="str">
        <f>_xlfn.IFNA(VLOOKUP(E427,Master!$H:$I,2,FALSE),"")</f>
        <v/>
      </c>
      <c r="F427" s="26" t="str">
        <f>+_xlfn.XLOOKUP(G427,Master!$V$2:$V$8,Master!$U$2:$U$8,"")</f>
        <v/>
      </c>
      <c r="I427" s="4" t="str">
        <f>_xlfn.IFNA(VLOOKUP(D427,Master!$I:$K,2,FALSE),"")</f>
        <v/>
      </c>
      <c r="J427" s="4" t="str">
        <f>_xlfn.IFNA(VLOOKUP(D427,Master!$I:$K,3,FALSE),"")</f>
        <v/>
      </c>
      <c r="L427" s="27" t="str">
        <f>IF(A427&lt;&gt;"CFA",_xlfn.IFNA(VLOOKUP($G427,Master!$V$2:$Z$8,5,0),""),"")</f>
        <v/>
      </c>
      <c r="P427" s="6" t="str">
        <f t="shared" si="12"/>
        <v/>
      </c>
      <c r="Q427" s="13">
        <f t="shared" si="13"/>
        <v>0</v>
      </c>
    </row>
    <row r="428" spans="2:17" ht="15" customHeight="1">
      <c r="B428" s="5" t="str">
        <f>_xlfn.IFNA(VLOOKUP(C428,Master!$H:$I,2,FALSE),"")</f>
        <v/>
      </c>
      <c r="D428" s="5" t="str">
        <f>_xlfn.IFNA(VLOOKUP(E428,Master!$H:$I,2,FALSE),"")</f>
        <v/>
      </c>
      <c r="F428" s="26" t="str">
        <f>+_xlfn.XLOOKUP(G428,Master!$V$2:$V$8,Master!$U$2:$U$8,"")</f>
        <v/>
      </c>
      <c r="I428" s="4" t="str">
        <f>_xlfn.IFNA(VLOOKUP(D428,Master!$I:$K,2,FALSE),"")</f>
        <v/>
      </c>
      <c r="J428" s="4" t="str">
        <f>_xlfn.IFNA(VLOOKUP(D428,Master!$I:$K,3,FALSE),"")</f>
        <v/>
      </c>
      <c r="L428" s="27" t="str">
        <f>IF(A428&lt;&gt;"CFA",_xlfn.IFNA(VLOOKUP($G428,Master!$V$2:$Z$8,5,0),""),"")</f>
        <v/>
      </c>
      <c r="P428" s="6" t="str">
        <f t="shared" si="12"/>
        <v/>
      </c>
      <c r="Q428" s="13">
        <f t="shared" si="13"/>
        <v>0</v>
      </c>
    </row>
    <row r="429" spans="2:17" ht="15" customHeight="1">
      <c r="B429" s="5" t="str">
        <f>_xlfn.IFNA(VLOOKUP(C429,Master!$H:$I,2,FALSE),"")</f>
        <v/>
      </c>
      <c r="D429" s="5" t="str">
        <f>_xlfn.IFNA(VLOOKUP(E429,Master!$H:$I,2,FALSE),"")</f>
        <v/>
      </c>
      <c r="F429" s="26" t="str">
        <f>+_xlfn.XLOOKUP(G429,Master!$V$2:$V$8,Master!$U$2:$U$8,"")</f>
        <v/>
      </c>
      <c r="I429" s="4" t="str">
        <f>_xlfn.IFNA(VLOOKUP(D429,Master!$I:$K,2,FALSE),"")</f>
        <v/>
      </c>
      <c r="J429" s="4" t="str">
        <f>_xlfn.IFNA(VLOOKUP(D429,Master!$I:$K,3,FALSE),"")</f>
        <v/>
      </c>
      <c r="L429" s="27" t="str">
        <f>IF(A429&lt;&gt;"CFA",_xlfn.IFNA(VLOOKUP($G429,Master!$V$2:$Z$8,5,0),""),"")</f>
        <v/>
      </c>
      <c r="P429" s="6" t="str">
        <f t="shared" si="12"/>
        <v/>
      </c>
      <c r="Q429" s="13">
        <f t="shared" si="13"/>
        <v>0</v>
      </c>
    </row>
    <row r="430" spans="2:17" ht="15" customHeight="1">
      <c r="B430" s="5" t="str">
        <f>_xlfn.IFNA(VLOOKUP(C430,Master!$H:$I,2,FALSE),"")</f>
        <v/>
      </c>
      <c r="D430" s="5" t="str">
        <f>_xlfn.IFNA(VLOOKUP(E430,Master!$H:$I,2,FALSE),"")</f>
        <v/>
      </c>
      <c r="F430" s="26" t="str">
        <f>+_xlfn.XLOOKUP(G430,Master!$V$2:$V$8,Master!$U$2:$U$8,"")</f>
        <v/>
      </c>
      <c r="I430" s="4" t="str">
        <f>_xlfn.IFNA(VLOOKUP(D430,Master!$I:$K,2,FALSE),"")</f>
        <v/>
      </c>
      <c r="J430" s="4" t="str">
        <f>_xlfn.IFNA(VLOOKUP(D430,Master!$I:$K,3,FALSE),"")</f>
        <v/>
      </c>
      <c r="L430" s="27" t="str">
        <f>IF(A430&lt;&gt;"CFA",_xlfn.IFNA(VLOOKUP($G430,Master!$V$2:$Z$8,5,0),""),"")</f>
        <v/>
      </c>
      <c r="P430" s="6" t="str">
        <f t="shared" si="12"/>
        <v/>
      </c>
      <c r="Q430" s="13">
        <f t="shared" si="13"/>
        <v>0</v>
      </c>
    </row>
    <row r="431" spans="2:17" ht="15" customHeight="1">
      <c r="B431" s="5" t="str">
        <f>_xlfn.IFNA(VLOOKUP(C431,Master!$H:$I,2,FALSE),"")</f>
        <v/>
      </c>
      <c r="D431" s="5" t="str">
        <f>_xlfn.IFNA(VLOOKUP(E431,Master!$H:$I,2,FALSE),"")</f>
        <v/>
      </c>
      <c r="F431" s="26" t="str">
        <f>+_xlfn.XLOOKUP(G431,Master!$V$2:$V$8,Master!$U$2:$U$8,"")</f>
        <v/>
      </c>
      <c r="I431" s="4" t="str">
        <f>_xlfn.IFNA(VLOOKUP(D431,Master!$I:$K,2,FALSE),"")</f>
        <v/>
      </c>
      <c r="J431" s="4" t="str">
        <f>_xlfn.IFNA(VLOOKUP(D431,Master!$I:$K,3,FALSE),"")</f>
        <v/>
      </c>
      <c r="L431" s="27" t="str">
        <f>IF(A431&lt;&gt;"CFA",_xlfn.IFNA(VLOOKUP($G431,Master!$V$2:$Z$8,5,0),""),"")</f>
        <v/>
      </c>
      <c r="P431" s="6" t="str">
        <f t="shared" si="12"/>
        <v/>
      </c>
      <c r="Q431" s="13">
        <f t="shared" si="13"/>
        <v>0</v>
      </c>
    </row>
    <row r="432" spans="2:17" ht="15" customHeight="1">
      <c r="B432" s="5" t="str">
        <f>_xlfn.IFNA(VLOOKUP(C432,Master!$H:$I,2,FALSE),"")</f>
        <v/>
      </c>
      <c r="D432" s="5" t="str">
        <f>_xlfn.IFNA(VLOOKUP(E432,Master!$H:$I,2,FALSE),"")</f>
        <v/>
      </c>
      <c r="F432" s="26" t="str">
        <f>+_xlfn.XLOOKUP(G432,Master!$V$2:$V$8,Master!$U$2:$U$8,"")</f>
        <v/>
      </c>
      <c r="I432" s="4" t="str">
        <f>_xlfn.IFNA(VLOOKUP(D432,Master!$I:$K,2,FALSE),"")</f>
        <v/>
      </c>
      <c r="J432" s="4" t="str">
        <f>_xlfn.IFNA(VLOOKUP(D432,Master!$I:$K,3,FALSE),"")</f>
        <v/>
      </c>
      <c r="L432" s="27" t="str">
        <f>IF(A432&lt;&gt;"CFA",_xlfn.IFNA(VLOOKUP($G432,Master!$V$2:$Z$8,5,0),""),"")</f>
        <v/>
      </c>
      <c r="P432" s="6" t="str">
        <f t="shared" si="12"/>
        <v/>
      </c>
      <c r="Q432" s="13">
        <f t="shared" si="13"/>
        <v>0</v>
      </c>
    </row>
    <row r="433" spans="2:17" ht="15" customHeight="1">
      <c r="B433" s="5" t="str">
        <f>_xlfn.IFNA(VLOOKUP(C433,Master!$H:$I,2,FALSE),"")</f>
        <v/>
      </c>
      <c r="D433" s="5" t="str">
        <f>_xlfn.IFNA(VLOOKUP(E433,Master!$H:$I,2,FALSE),"")</f>
        <v/>
      </c>
      <c r="F433" s="26" t="str">
        <f>+_xlfn.XLOOKUP(G433,Master!$V$2:$V$8,Master!$U$2:$U$8,"")</f>
        <v/>
      </c>
      <c r="I433" s="4" t="str">
        <f>_xlfn.IFNA(VLOOKUP(D433,Master!$I:$K,2,FALSE),"")</f>
        <v/>
      </c>
      <c r="J433" s="4" t="str">
        <f>_xlfn.IFNA(VLOOKUP(D433,Master!$I:$K,3,FALSE),"")</f>
        <v/>
      </c>
      <c r="L433" s="27" t="str">
        <f>IF(A433&lt;&gt;"CFA",_xlfn.IFNA(VLOOKUP($G433,Master!$V$2:$Z$8,5,0),""),"")</f>
        <v/>
      </c>
      <c r="P433" s="6" t="str">
        <f t="shared" si="12"/>
        <v/>
      </c>
      <c r="Q433" s="13">
        <f t="shared" si="13"/>
        <v>0</v>
      </c>
    </row>
    <row r="434" spans="2:17" ht="15" customHeight="1">
      <c r="B434" s="5" t="str">
        <f>_xlfn.IFNA(VLOOKUP(C434,Master!$H:$I,2,FALSE),"")</f>
        <v/>
      </c>
      <c r="D434" s="5" t="str">
        <f>_xlfn.IFNA(VLOOKUP(E434,Master!$H:$I,2,FALSE),"")</f>
        <v/>
      </c>
      <c r="F434" s="26" t="str">
        <f>+_xlfn.XLOOKUP(G434,Master!$V$2:$V$8,Master!$U$2:$U$8,"")</f>
        <v/>
      </c>
      <c r="I434" s="4" t="str">
        <f>_xlfn.IFNA(VLOOKUP(D434,Master!$I:$K,2,FALSE),"")</f>
        <v/>
      </c>
      <c r="J434" s="4" t="str">
        <f>_xlfn.IFNA(VLOOKUP(D434,Master!$I:$K,3,FALSE),"")</f>
        <v/>
      </c>
      <c r="L434" s="27" t="str">
        <f>IF(A434&lt;&gt;"CFA",_xlfn.IFNA(VLOOKUP($G434,Master!$V$2:$Z$8,5,0),""),"")</f>
        <v/>
      </c>
      <c r="P434" s="6" t="str">
        <f t="shared" si="12"/>
        <v/>
      </c>
      <c r="Q434" s="13">
        <f t="shared" si="13"/>
        <v>0</v>
      </c>
    </row>
    <row r="435" spans="2:17" ht="15" customHeight="1">
      <c r="B435" s="5" t="str">
        <f>_xlfn.IFNA(VLOOKUP(C435,Master!$H:$I,2,FALSE),"")</f>
        <v/>
      </c>
      <c r="D435" s="5" t="str">
        <f>_xlfn.IFNA(VLOOKUP(E435,Master!$H:$I,2,FALSE),"")</f>
        <v/>
      </c>
      <c r="F435" s="26" t="str">
        <f>+_xlfn.XLOOKUP(G435,Master!$V$2:$V$8,Master!$U$2:$U$8,"")</f>
        <v/>
      </c>
      <c r="I435" s="4" t="str">
        <f>_xlfn.IFNA(VLOOKUP(D435,Master!$I:$K,2,FALSE),"")</f>
        <v/>
      </c>
      <c r="J435" s="4" t="str">
        <f>_xlfn.IFNA(VLOOKUP(D435,Master!$I:$K,3,FALSE),"")</f>
        <v/>
      </c>
      <c r="L435" s="27" t="str">
        <f>IF(A435&lt;&gt;"CFA",_xlfn.IFNA(VLOOKUP($G435,Master!$V$2:$Z$8,5,0),""),"")</f>
        <v/>
      </c>
      <c r="P435" s="6" t="str">
        <f t="shared" si="12"/>
        <v/>
      </c>
      <c r="Q435" s="13">
        <f t="shared" si="13"/>
        <v>0</v>
      </c>
    </row>
    <row r="436" spans="2:17" ht="15" customHeight="1">
      <c r="B436" s="5" t="str">
        <f>_xlfn.IFNA(VLOOKUP(C436,Master!$H:$I,2,FALSE),"")</f>
        <v/>
      </c>
      <c r="D436" s="5" t="str">
        <f>_xlfn.IFNA(VLOOKUP(E436,Master!$H:$I,2,FALSE),"")</f>
        <v/>
      </c>
      <c r="F436" s="26" t="str">
        <f>+_xlfn.XLOOKUP(G436,Master!$V$2:$V$8,Master!$U$2:$U$8,"")</f>
        <v/>
      </c>
      <c r="I436" s="4" t="str">
        <f>_xlfn.IFNA(VLOOKUP(D436,Master!$I:$K,2,FALSE),"")</f>
        <v/>
      </c>
      <c r="J436" s="4" t="str">
        <f>_xlfn.IFNA(VLOOKUP(D436,Master!$I:$K,3,FALSE),"")</f>
        <v/>
      </c>
      <c r="L436" s="27" t="str">
        <f>IF(A436&lt;&gt;"CFA",_xlfn.IFNA(VLOOKUP($G436,Master!$V$2:$Z$8,5,0),""),"")</f>
        <v/>
      </c>
      <c r="P436" s="6" t="str">
        <f t="shared" si="12"/>
        <v/>
      </c>
      <c r="Q436" s="13">
        <f t="shared" si="13"/>
        <v>0</v>
      </c>
    </row>
    <row r="437" spans="2:17" ht="15" customHeight="1">
      <c r="B437" s="5" t="str">
        <f>_xlfn.IFNA(VLOOKUP(C437,Master!$H:$I,2,FALSE),"")</f>
        <v/>
      </c>
      <c r="D437" s="5" t="str">
        <f>_xlfn.IFNA(VLOOKUP(E437,Master!$H:$I,2,FALSE),"")</f>
        <v/>
      </c>
      <c r="F437" s="26" t="str">
        <f>+_xlfn.XLOOKUP(G437,Master!$V$2:$V$8,Master!$U$2:$U$8,"")</f>
        <v/>
      </c>
      <c r="I437" s="4" t="str">
        <f>_xlfn.IFNA(VLOOKUP(D437,Master!$I:$K,2,FALSE),"")</f>
        <v/>
      </c>
      <c r="J437" s="4" t="str">
        <f>_xlfn.IFNA(VLOOKUP(D437,Master!$I:$K,3,FALSE),"")</f>
        <v/>
      </c>
      <c r="L437" s="27" t="str">
        <f>IF(A437&lt;&gt;"CFA",_xlfn.IFNA(VLOOKUP($G437,Master!$V$2:$Z$8,5,0),""),"")</f>
        <v/>
      </c>
      <c r="P437" s="6" t="str">
        <f t="shared" si="12"/>
        <v/>
      </c>
      <c r="Q437" s="13">
        <f t="shared" si="13"/>
        <v>0</v>
      </c>
    </row>
    <row r="438" spans="2:17" ht="15" customHeight="1">
      <c r="B438" s="5" t="str">
        <f>_xlfn.IFNA(VLOOKUP(C438,Master!$H:$I,2,FALSE),"")</f>
        <v/>
      </c>
      <c r="D438" s="5" t="str">
        <f>_xlfn.IFNA(VLOOKUP(E438,Master!$H:$I,2,FALSE),"")</f>
        <v/>
      </c>
      <c r="F438" s="26" t="str">
        <f>+_xlfn.XLOOKUP(G438,Master!$V$2:$V$8,Master!$U$2:$U$8,"")</f>
        <v/>
      </c>
      <c r="I438" s="4" t="str">
        <f>_xlfn.IFNA(VLOOKUP(D438,Master!$I:$K,2,FALSE),"")</f>
        <v/>
      </c>
      <c r="J438" s="4" t="str">
        <f>_xlfn.IFNA(VLOOKUP(D438,Master!$I:$K,3,FALSE),"")</f>
        <v/>
      </c>
      <c r="L438" s="27" t="str">
        <f>IF(A438&lt;&gt;"CFA",_xlfn.IFNA(VLOOKUP($G438,Master!$V$2:$Z$8,5,0),""),"")</f>
        <v/>
      </c>
      <c r="P438" s="6" t="str">
        <f t="shared" si="12"/>
        <v/>
      </c>
      <c r="Q438" s="13">
        <f t="shared" si="13"/>
        <v>0</v>
      </c>
    </row>
    <row r="439" spans="2:17" ht="15" customHeight="1">
      <c r="B439" s="5" t="str">
        <f>_xlfn.IFNA(VLOOKUP(C439,Master!$H:$I,2,FALSE),"")</f>
        <v/>
      </c>
      <c r="D439" s="5" t="str">
        <f>_xlfn.IFNA(VLOOKUP(E439,Master!$H:$I,2,FALSE),"")</f>
        <v/>
      </c>
      <c r="F439" s="26" t="str">
        <f>+_xlfn.XLOOKUP(G439,Master!$V$2:$V$8,Master!$U$2:$U$8,"")</f>
        <v/>
      </c>
      <c r="I439" s="4" t="str">
        <f>_xlfn.IFNA(VLOOKUP(D439,Master!$I:$K,2,FALSE),"")</f>
        <v/>
      </c>
      <c r="J439" s="4" t="str">
        <f>_xlfn.IFNA(VLOOKUP(D439,Master!$I:$K,3,FALSE),"")</f>
        <v/>
      </c>
      <c r="L439" s="27" t="str">
        <f>IF(A439&lt;&gt;"CFA",_xlfn.IFNA(VLOOKUP($G439,Master!$V$2:$Z$8,5,0),""),"")</f>
        <v/>
      </c>
      <c r="P439" s="6" t="str">
        <f t="shared" ref="P439:P502" si="14">IF(N439&lt;&gt;"",IF(MONTH(N439)&gt;=4,"FY1"&amp;RIGHT(YEAR(N439)+1,2),"FY1"&amp;RIGHT(YEAR(N439),2)),"")</f>
        <v/>
      </c>
      <c r="Q439" s="13">
        <f t="shared" ref="Q439:Q502" si="15">IF(K439&gt;0&amp;M439&gt;0,K439*M439,"")</f>
        <v>0</v>
      </c>
    </row>
    <row r="440" spans="2:17" ht="15" customHeight="1">
      <c r="B440" s="5" t="str">
        <f>_xlfn.IFNA(VLOOKUP(C440,Master!$H:$I,2,FALSE),"")</f>
        <v/>
      </c>
      <c r="D440" s="5" t="str">
        <f>_xlfn.IFNA(VLOOKUP(E440,Master!$H:$I,2,FALSE),"")</f>
        <v/>
      </c>
      <c r="F440" s="26" t="str">
        <f>+_xlfn.XLOOKUP(G440,Master!$V$2:$V$8,Master!$U$2:$U$8,"")</f>
        <v/>
      </c>
      <c r="I440" s="4" t="str">
        <f>_xlfn.IFNA(VLOOKUP(D440,Master!$I:$K,2,FALSE),"")</f>
        <v/>
      </c>
      <c r="J440" s="4" t="str">
        <f>_xlfn.IFNA(VLOOKUP(D440,Master!$I:$K,3,FALSE),"")</f>
        <v/>
      </c>
      <c r="L440" s="27" t="str">
        <f>IF(A440&lt;&gt;"CFA",_xlfn.IFNA(VLOOKUP($G440,Master!$V$2:$Z$8,5,0),""),"")</f>
        <v/>
      </c>
      <c r="P440" s="6" t="str">
        <f t="shared" si="14"/>
        <v/>
      </c>
      <c r="Q440" s="13">
        <f t="shared" si="15"/>
        <v>0</v>
      </c>
    </row>
    <row r="441" spans="2:17" ht="15" customHeight="1">
      <c r="B441" s="5" t="str">
        <f>_xlfn.IFNA(VLOOKUP(C441,Master!$H:$I,2,FALSE),"")</f>
        <v/>
      </c>
      <c r="D441" s="5" t="str">
        <f>_xlfn.IFNA(VLOOKUP(E441,Master!$H:$I,2,FALSE),"")</f>
        <v/>
      </c>
      <c r="F441" s="26" t="str">
        <f>+_xlfn.XLOOKUP(G441,Master!$V$2:$V$8,Master!$U$2:$U$8,"")</f>
        <v/>
      </c>
      <c r="I441" s="4" t="str">
        <f>_xlfn.IFNA(VLOOKUP(D441,Master!$I:$K,2,FALSE),"")</f>
        <v/>
      </c>
      <c r="J441" s="4" t="str">
        <f>_xlfn.IFNA(VLOOKUP(D441,Master!$I:$K,3,FALSE),"")</f>
        <v/>
      </c>
      <c r="L441" s="27" t="str">
        <f>IF(A441&lt;&gt;"CFA",_xlfn.IFNA(VLOOKUP($G441,Master!$V$2:$Z$8,5,0),""),"")</f>
        <v/>
      </c>
      <c r="P441" s="6" t="str">
        <f t="shared" si="14"/>
        <v/>
      </c>
      <c r="Q441" s="13">
        <f t="shared" si="15"/>
        <v>0</v>
      </c>
    </row>
    <row r="442" spans="2:17" ht="15" customHeight="1">
      <c r="B442" s="5" t="str">
        <f>_xlfn.IFNA(VLOOKUP(C442,Master!$H:$I,2,FALSE),"")</f>
        <v/>
      </c>
      <c r="D442" s="5" t="str">
        <f>_xlfn.IFNA(VLOOKUP(E442,Master!$H:$I,2,FALSE),"")</f>
        <v/>
      </c>
      <c r="F442" s="26" t="str">
        <f>+_xlfn.XLOOKUP(G442,Master!$V$2:$V$8,Master!$U$2:$U$8,"")</f>
        <v/>
      </c>
      <c r="I442" s="4" t="str">
        <f>_xlfn.IFNA(VLOOKUP(D442,Master!$I:$K,2,FALSE),"")</f>
        <v/>
      </c>
      <c r="J442" s="4" t="str">
        <f>_xlfn.IFNA(VLOOKUP(D442,Master!$I:$K,3,FALSE),"")</f>
        <v/>
      </c>
      <c r="L442" s="27" t="str">
        <f>IF(A442&lt;&gt;"CFA",_xlfn.IFNA(VLOOKUP($G442,Master!$V$2:$Z$8,5,0),""),"")</f>
        <v/>
      </c>
      <c r="P442" s="6" t="str">
        <f t="shared" si="14"/>
        <v/>
      </c>
      <c r="Q442" s="13">
        <f t="shared" si="15"/>
        <v>0</v>
      </c>
    </row>
    <row r="443" spans="2:17" ht="15" customHeight="1">
      <c r="B443" s="5" t="str">
        <f>_xlfn.IFNA(VLOOKUP(C443,Master!$H:$I,2,FALSE),"")</f>
        <v/>
      </c>
      <c r="D443" s="5" t="str">
        <f>_xlfn.IFNA(VLOOKUP(E443,Master!$H:$I,2,FALSE),"")</f>
        <v/>
      </c>
      <c r="F443" s="26" t="str">
        <f>+_xlfn.XLOOKUP(G443,Master!$V$2:$V$8,Master!$U$2:$U$8,"")</f>
        <v/>
      </c>
      <c r="I443" s="4" t="str">
        <f>_xlfn.IFNA(VLOOKUP(D443,Master!$I:$K,2,FALSE),"")</f>
        <v/>
      </c>
      <c r="J443" s="4" t="str">
        <f>_xlfn.IFNA(VLOOKUP(D443,Master!$I:$K,3,FALSE),"")</f>
        <v/>
      </c>
      <c r="L443" s="27" t="str">
        <f>IF(A443&lt;&gt;"CFA",_xlfn.IFNA(VLOOKUP($G443,Master!$V$2:$Z$8,5,0),""),"")</f>
        <v/>
      </c>
      <c r="P443" s="6" t="str">
        <f t="shared" si="14"/>
        <v/>
      </c>
      <c r="Q443" s="13">
        <f t="shared" si="15"/>
        <v>0</v>
      </c>
    </row>
    <row r="444" spans="2:17" ht="15" customHeight="1">
      <c r="B444" s="5" t="str">
        <f>_xlfn.IFNA(VLOOKUP(C444,Master!$H:$I,2,FALSE),"")</f>
        <v/>
      </c>
      <c r="D444" s="5" t="str">
        <f>_xlfn.IFNA(VLOOKUP(E444,Master!$H:$I,2,FALSE),"")</f>
        <v/>
      </c>
      <c r="F444" s="26" t="str">
        <f>+_xlfn.XLOOKUP(G444,Master!$V$2:$V$8,Master!$U$2:$U$8,"")</f>
        <v/>
      </c>
      <c r="I444" s="4" t="str">
        <f>_xlfn.IFNA(VLOOKUP(D444,Master!$I:$K,2,FALSE),"")</f>
        <v/>
      </c>
      <c r="J444" s="4" t="str">
        <f>_xlfn.IFNA(VLOOKUP(D444,Master!$I:$K,3,FALSE),"")</f>
        <v/>
      </c>
      <c r="L444" s="27" t="str">
        <f>IF(A444&lt;&gt;"CFA",_xlfn.IFNA(VLOOKUP($G444,Master!$V$2:$Z$8,5,0),""),"")</f>
        <v/>
      </c>
      <c r="P444" s="6" t="str">
        <f t="shared" si="14"/>
        <v/>
      </c>
      <c r="Q444" s="13">
        <f t="shared" si="15"/>
        <v>0</v>
      </c>
    </row>
    <row r="445" spans="2:17" ht="15" customHeight="1">
      <c r="B445" s="5" t="str">
        <f>_xlfn.IFNA(VLOOKUP(C445,Master!$H:$I,2,FALSE),"")</f>
        <v/>
      </c>
      <c r="D445" s="5" t="str">
        <f>_xlfn.IFNA(VLOOKUP(E445,Master!$H:$I,2,FALSE),"")</f>
        <v/>
      </c>
      <c r="F445" s="26" t="str">
        <f>+_xlfn.XLOOKUP(G445,Master!$V$2:$V$8,Master!$U$2:$U$8,"")</f>
        <v/>
      </c>
      <c r="I445" s="4" t="str">
        <f>_xlfn.IFNA(VLOOKUP(D445,Master!$I:$K,2,FALSE),"")</f>
        <v/>
      </c>
      <c r="J445" s="4" t="str">
        <f>_xlfn.IFNA(VLOOKUP(D445,Master!$I:$K,3,FALSE),"")</f>
        <v/>
      </c>
      <c r="L445" s="27" t="str">
        <f>IF(A445&lt;&gt;"CFA",_xlfn.IFNA(VLOOKUP($G445,Master!$V$2:$Z$8,5,0),""),"")</f>
        <v/>
      </c>
      <c r="P445" s="6" t="str">
        <f t="shared" si="14"/>
        <v/>
      </c>
      <c r="Q445" s="13">
        <f t="shared" si="15"/>
        <v>0</v>
      </c>
    </row>
    <row r="446" spans="2:17" ht="15" customHeight="1">
      <c r="B446" s="5" t="str">
        <f>_xlfn.IFNA(VLOOKUP(C446,Master!$H:$I,2,FALSE),"")</f>
        <v/>
      </c>
      <c r="D446" s="5" t="str">
        <f>_xlfn.IFNA(VLOOKUP(E446,Master!$H:$I,2,FALSE),"")</f>
        <v/>
      </c>
      <c r="F446" s="26" t="str">
        <f>+_xlfn.XLOOKUP(G446,Master!$V$2:$V$8,Master!$U$2:$U$8,"")</f>
        <v/>
      </c>
      <c r="I446" s="4" t="str">
        <f>_xlfn.IFNA(VLOOKUP(D446,Master!$I:$K,2,FALSE),"")</f>
        <v/>
      </c>
      <c r="J446" s="4" t="str">
        <f>_xlfn.IFNA(VLOOKUP(D446,Master!$I:$K,3,FALSE),"")</f>
        <v/>
      </c>
      <c r="L446" s="27" t="str">
        <f>IF(A446&lt;&gt;"CFA",_xlfn.IFNA(VLOOKUP($G446,Master!$V$2:$Z$8,5,0),""),"")</f>
        <v/>
      </c>
      <c r="P446" s="6" t="str">
        <f t="shared" si="14"/>
        <v/>
      </c>
      <c r="Q446" s="13">
        <f t="shared" si="15"/>
        <v>0</v>
      </c>
    </row>
    <row r="447" spans="2:17" ht="15" customHeight="1">
      <c r="B447" s="5" t="str">
        <f>_xlfn.IFNA(VLOOKUP(C447,Master!$H:$I,2,FALSE),"")</f>
        <v/>
      </c>
      <c r="D447" s="5" t="str">
        <f>_xlfn.IFNA(VLOOKUP(E447,Master!$H:$I,2,FALSE),"")</f>
        <v/>
      </c>
      <c r="F447" s="26" t="str">
        <f>+_xlfn.XLOOKUP(G447,Master!$V$2:$V$8,Master!$U$2:$U$8,"")</f>
        <v/>
      </c>
      <c r="I447" s="4" t="str">
        <f>_xlfn.IFNA(VLOOKUP(D447,Master!$I:$K,2,FALSE),"")</f>
        <v/>
      </c>
      <c r="J447" s="4" t="str">
        <f>_xlfn.IFNA(VLOOKUP(D447,Master!$I:$K,3,FALSE),"")</f>
        <v/>
      </c>
      <c r="L447" s="27" t="str">
        <f>IF(A447&lt;&gt;"CFA",_xlfn.IFNA(VLOOKUP($G447,Master!$V$2:$Z$8,5,0),""),"")</f>
        <v/>
      </c>
      <c r="P447" s="6" t="str">
        <f t="shared" si="14"/>
        <v/>
      </c>
      <c r="Q447" s="13">
        <f t="shared" si="15"/>
        <v>0</v>
      </c>
    </row>
    <row r="448" spans="2:17" ht="15" customHeight="1">
      <c r="B448" s="5" t="str">
        <f>_xlfn.IFNA(VLOOKUP(C448,Master!$H:$I,2,FALSE),"")</f>
        <v/>
      </c>
      <c r="D448" s="5" t="str">
        <f>_xlfn.IFNA(VLOOKUP(E448,Master!$H:$I,2,FALSE),"")</f>
        <v/>
      </c>
      <c r="F448" s="26" t="str">
        <f>+_xlfn.XLOOKUP(G448,Master!$V$2:$V$8,Master!$U$2:$U$8,"")</f>
        <v/>
      </c>
      <c r="I448" s="4" t="str">
        <f>_xlfn.IFNA(VLOOKUP(D448,Master!$I:$K,2,FALSE),"")</f>
        <v/>
      </c>
      <c r="J448" s="4" t="str">
        <f>_xlfn.IFNA(VLOOKUP(D448,Master!$I:$K,3,FALSE),"")</f>
        <v/>
      </c>
      <c r="L448" s="27" t="str">
        <f>IF(A448&lt;&gt;"CFA",_xlfn.IFNA(VLOOKUP($G448,Master!$V$2:$Z$8,5,0),""),"")</f>
        <v/>
      </c>
      <c r="P448" s="6" t="str">
        <f t="shared" si="14"/>
        <v/>
      </c>
      <c r="Q448" s="13">
        <f t="shared" si="15"/>
        <v>0</v>
      </c>
    </row>
    <row r="449" spans="2:17" ht="15" customHeight="1">
      <c r="B449" s="5" t="str">
        <f>_xlfn.IFNA(VLOOKUP(C449,Master!$H:$I,2,FALSE),"")</f>
        <v/>
      </c>
      <c r="D449" s="5" t="str">
        <f>_xlfn.IFNA(VLOOKUP(E449,Master!$H:$I,2,FALSE),"")</f>
        <v/>
      </c>
      <c r="F449" s="26" t="str">
        <f>+_xlfn.XLOOKUP(G449,Master!$V$2:$V$8,Master!$U$2:$U$8,"")</f>
        <v/>
      </c>
      <c r="I449" s="4" t="str">
        <f>_xlfn.IFNA(VLOOKUP(D449,Master!$I:$K,2,FALSE),"")</f>
        <v/>
      </c>
      <c r="J449" s="4" t="str">
        <f>_xlfn.IFNA(VLOOKUP(D449,Master!$I:$K,3,FALSE),"")</f>
        <v/>
      </c>
      <c r="L449" s="27" t="str">
        <f>IF(A449&lt;&gt;"CFA",_xlfn.IFNA(VLOOKUP($G449,Master!$V$2:$Z$8,5,0),""),"")</f>
        <v/>
      </c>
      <c r="P449" s="6" t="str">
        <f t="shared" si="14"/>
        <v/>
      </c>
      <c r="Q449" s="13">
        <f t="shared" si="15"/>
        <v>0</v>
      </c>
    </row>
    <row r="450" spans="2:17" ht="15" customHeight="1">
      <c r="B450" s="5" t="str">
        <f>_xlfn.IFNA(VLOOKUP(C450,Master!$H:$I,2,FALSE),"")</f>
        <v/>
      </c>
      <c r="D450" s="5" t="str">
        <f>_xlfn.IFNA(VLOOKUP(E450,Master!$H:$I,2,FALSE),"")</f>
        <v/>
      </c>
      <c r="F450" s="26" t="str">
        <f>+_xlfn.XLOOKUP(G450,Master!$V$2:$V$8,Master!$U$2:$U$8,"")</f>
        <v/>
      </c>
      <c r="I450" s="4" t="str">
        <f>_xlfn.IFNA(VLOOKUP(D450,Master!$I:$K,2,FALSE),"")</f>
        <v/>
      </c>
      <c r="J450" s="4" t="str">
        <f>_xlfn.IFNA(VLOOKUP(D450,Master!$I:$K,3,FALSE),"")</f>
        <v/>
      </c>
      <c r="L450" s="27" t="str">
        <f>IF(A450&lt;&gt;"CFA",_xlfn.IFNA(VLOOKUP($G450,Master!$V$2:$Z$8,5,0),""),"")</f>
        <v/>
      </c>
      <c r="P450" s="6" t="str">
        <f t="shared" si="14"/>
        <v/>
      </c>
      <c r="Q450" s="13">
        <f t="shared" si="15"/>
        <v>0</v>
      </c>
    </row>
    <row r="451" spans="2:17" ht="15" customHeight="1">
      <c r="B451" s="5" t="str">
        <f>_xlfn.IFNA(VLOOKUP(C451,Master!$H:$I,2,FALSE),"")</f>
        <v/>
      </c>
      <c r="D451" s="5" t="str">
        <f>_xlfn.IFNA(VLOOKUP(E451,Master!$H:$I,2,FALSE),"")</f>
        <v/>
      </c>
      <c r="F451" s="26" t="str">
        <f>+_xlfn.XLOOKUP(G451,Master!$V$2:$V$8,Master!$U$2:$U$8,"")</f>
        <v/>
      </c>
      <c r="I451" s="4" t="str">
        <f>_xlfn.IFNA(VLOOKUP(D451,Master!$I:$K,2,FALSE),"")</f>
        <v/>
      </c>
      <c r="J451" s="4" t="str">
        <f>_xlfn.IFNA(VLOOKUP(D451,Master!$I:$K,3,FALSE),"")</f>
        <v/>
      </c>
      <c r="L451" s="27" t="str">
        <f>IF(A451&lt;&gt;"CFA",_xlfn.IFNA(VLOOKUP($G451,Master!$V$2:$Z$8,5,0),""),"")</f>
        <v/>
      </c>
      <c r="P451" s="6" t="str">
        <f t="shared" si="14"/>
        <v/>
      </c>
      <c r="Q451" s="13">
        <f t="shared" si="15"/>
        <v>0</v>
      </c>
    </row>
    <row r="452" spans="2:17" ht="15" customHeight="1">
      <c r="B452" s="5" t="str">
        <f>_xlfn.IFNA(VLOOKUP(C452,Master!$H:$I,2,FALSE),"")</f>
        <v/>
      </c>
      <c r="D452" s="5" t="str">
        <f>_xlfn.IFNA(VLOOKUP(E452,Master!$H:$I,2,FALSE),"")</f>
        <v/>
      </c>
      <c r="F452" s="26" t="str">
        <f>+_xlfn.XLOOKUP(G452,Master!$V$2:$V$8,Master!$U$2:$U$8,"")</f>
        <v/>
      </c>
      <c r="I452" s="4" t="str">
        <f>_xlfn.IFNA(VLOOKUP(D452,Master!$I:$K,2,FALSE),"")</f>
        <v/>
      </c>
      <c r="J452" s="4" t="str">
        <f>_xlfn.IFNA(VLOOKUP(D452,Master!$I:$K,3,FALSE),"")</f>
        <v/>
      </c>
      <c r="L452" s="27" t="str">
        <f>IF(A452&lt;&gt;"CFA",_xlfn.IFNA(VLOOKUP($G452,Master!$V$2:$Z$8,5,0),""),"")</f>
        <v/>
      </c>
      <c r="P452" s="6" t="str">
        <f t="shared" si="14"/>
        <v/>
      </c>
      <c r="Q452" s="13">
        <f t="shared" si="15"/>
        <v>0</v>
      </c>
    </row>
    <row r="453" spans="2:17" ht="15" customHeight="1">
      <c r="B453" s="5" t="str">
        <f>_xlfn.IFNA(VLOOKUP(C453,Master!$H:$I,2,FALSE),"")</f>
        <v/>
      </c>
      <c r="D453" s="5" t="str">
        <f>_xlfn.IFNA(VLOOKUP(E453,Master!$H:$I,2,FALSE),"")</f>
        <v/>
      </c>
      <c r="F453" s="26" t="str">
        <f>+_xlfn.XLOOKUP(G453,Master!$V$2:$V$8,Master!$U$2:$U$8,"")</f>
        <v/>
      </c>
      <c r="I453" s="4" t="str">
        <f>_xlfn.IFNA(VLOOKUP(D453,Master!$I:$K,2,FALSE),"")</f>
        <v/>
      </c>
      <c r="J453" s="4" t="str">
        <f>_xlfn.IFNA(VLOOKUP(D453,Master!$I:$K,3,FALSE),"")</f>
        <v/>
      </c>
      <c r="L453" s="27" t="str">
        <f>IF(A453&lt;&gt;"CFA",_xlfn.IFNA(VLOOKUP($G453,Master!$V$2:$Z$8,5,0),""),"")</f>
        <v/>
      </c>
      <c r="P453" s="6" t="str">
        <f t="shared" si="14"/>
        <v/>
      </c>
      <c r="Q453" s="13">
        <f t="shared" si="15"/>
        <v>0</v>
      </c>
    </row>
    <row r="454" spans="2:17" ht="15" customHeight="1">
      <c r="B454" s="5" t="str">
        <f>_xlfn.IFNA(VLOOKUP(C454,Master!$H:$I,2,FALSE),"")</f>
        <v/>
      </c>
      <c r="D454" s="5" t="str">
        <f>_xlfn.IFNA(VLOOKUP(E454,Master!$H:$I,2,FALSE),"")</f>
        <v/>
      </c>
      <c r="F454" s="26" t="str">
        <f>+_xlfn.XLOOKUP(G454,Master!$V$2:$V$8,Master!$U$2:$U$8,"")</f>
        <v/>
      </c>
      <c r="I454" s="4" t="str">
        <f>_xlfn.IFNA(VLOOKUP(D454,Master!$I:$K,2,FALSE),"")</f>
        <v/>
      </c>
      <c r="J454" s="4" t="str">
        <f>_xlfn.IFNA(VLOOKUP(D454,Master!$I:$K,3,FALSE),"")</f>
        <v/>
      </c>
      <c r="L454" s="27" t="str">
        <f>IF(A454&lt;&gt;"CFA",_xlfn.IFNA(VLOOKUP($G454,Master!$V$2:$Z$8,5,0),""),"")</f>
        <v/>
      </c>
      <c r="P454" s="6" t="str">
        <f t="shared" si="14"/>
        <v/>
      </c>
      <c r="Q454" s="13">
        <f t="shared" si="15"/>
        <v>0</v>
      </c>
    </row>
    <row r="455" spans="2:17" ht="15" customHeight="1">
      <c r="B455" s="5" t="str">
        <f>_xlfn.IFNA(VLOOKUP(C455,Master!$H:$I,2,FALSE),"")</f>
        <v/>
      </c>
      <c r="D455" s="5" t="str">
        <f>_xlfn.IFNA(VLOOKUP(E455,Master!$H:$I,2,FALSE),"")</f>
        <v/>
      </c>
      <c r="F455" s="26" t="str">
        <f>+_xlfn.XLOOKUP(G455,Master!$V$2:$V$8,Master!$U$2:$U$8,"")</f>
        <v/>
      </c>
      <c r="I455" s="4" t="str">
        <f>_xlfn.IFNA(VLOOKUP(D455,Master!$I:$K,2,FALSE),"")</f>
        <v/>
      </c>
      <c r="J455" s="4" t="str">
        <f>_xlfn.IFNA(VLOOKUP(D455,Master!$I:$K,3,FALSE),"")</f>
        <v/>
      </c>
      <c r="L455" s="27" t="str">
        <f>IF(A455&lt;&gt;"CFA",_xlfn.IFNA(VLOOKUP($G455,Master!$V$2:$Z$8,5,0),""),"")</f>
        <v/>
      </c>
      <c r="P455" s="6" t="str">
        <f t="shared" si="14"/>
        <v/>
      </c>
      <c r="Q455" s="13">
        <f t="shared" si="15"/>
        <v>0</v>
      </c>
    </row>
    <row r="456" spans="2:17" ht="15" customHeight="1">
      <c r="B456" s="5" t="str">
        <f>_xlfn.IFNA(VLOOKUP(C456,Master!$H:$I,2,FALSE),"")</f>
        <v/>
      </c>
      <c r="D456" s="5" t="str">
        <f>_xlfn.IFNA(VLOOKUP(E456,Master!$H:$I,2,FALSE),"")</f>
        <v/>
      </c>
      <c r="F456" s="26" t="str">
        <f>+_xlfn.XLOOKUP(G456,Master!$V$2:$V$8,Master!$U$2:$U$8,"")</f>
        <v/>
      </c>
      <c r="I456" s="4" t="str">
        <f>_xlfn.IFNA(VLOOKUP(D456,Master!$I:$K,2,FALSE),"")</f>
        <v/>
      </c>
      <c r="J456" s="4" t="str">
        <f>_xlfn.IFNA(VLOOKUP(D456,Master!$I:$K,3,FALSE),"")</f>
        <v/>
      </c>
      <c r="L456" s="27" t="str">
        <f>IF(A456&lt;&gt;"CFA",_xlfn.IFNA(VLOOKUP($G456,Master!$V$2:$Z$8,5,0),""),"")</f>
        <v/>
      </c>
      <c r="P456" s="6" t="str">
        <f t="shared" si="14"/>
        <v/>
      </c>
      <c r="Q456" s="13">
        <f t="shared" si="15"/>
        <v>0</v>
      </c>
    </row>
    <row r="457" spans="2:17" ht="15" customHeight="1">
      <c r="B457" s="5" t="str">
        <f>_xlfn.IFNA(VLOOKUP(C457,Master!$H:$I,2,FALSE),"")</f>
        <v/>
      </c>
      <c r="D457" s="5" t="str">
        <f>_xlfn.IFNA(VLOOKUP(E457,Master!$H:$I,2,FALSE),"")</f>
        <v/>
      </c>
      <c r="F457" s="26" t="str">
        <f>+_xlfn.XLOOKUP(G457,Master!$V$2:$V$8,Master!$U$2:$U$8,"")</f>
        <v/>
      </c>
      <c r="I457" s="4" t="str">
        <f>_xlfn.IFNA(VLOOKUP(D457,Master!$I:$K,2,FALSE),"")</f>
        <v/>
      </c>
      <c r="J457" s="4" t="str">
        <f>_xlfn.IFNA(VLOOKUP(D457,Master!$I:$K,3,FALSE),"")</f>
        <v/>
      </c>
      <c r="L457" s="27" t="str">
        <f>IF(A457&lt;&gt;"CFA",_xlfn.IFNA(VLOOKUP($G457,Master!$V$2:$Z$8,5,0),""),"")</f>
        <v/>
      </c>
      <c r="P457" s="6" t="str">
        <f t="shared" si="14"/>
        <v/>
      </c>
      <c r="Q457" s="13">
        <f t="shared" si="15"/>
        <v>0</v>
      </c>
    </row>
    <row r="458" spans="2:17" ht="15" customHeight="1">
      <c r="B458" s="5" t="str">
        <f>_xlfn.IFNA(VLOOKUP(C458,Master!$H:$I,2,FALSE),"")</f>
        <v/>
      </c>
      <c r="D458" s="5" t="str">
        <f>_xlfn.IFNA(VLOOKUP(E458,Master!$H:$I,2,FALSE),"")</f>
        <v/>
      </c>
      <c r="F458" s="26" t="str">
        <f>+_xlfn.XLOOKUP(G458,Master!$V$2:$V$8,Master!$U$2:$U$8,"")</f>
        <v/>
      </c>
      <c r="I458" s="4" t="str">
        <f>_xlfn.IFNA(VLOOKUP(D458,Master!$I:$K,2,FALSE),"")</f>
        <v/>
      </c>
      <c r="J458" s="4" t="str">
        <f>_xlfn.IFNA(VLOOKUP(D458,Master!$I:$K,3,FALSE),"")</f>
        <v/>
      </c>
      <c r="L458" s="27" t="str">
        <f>IF(A458&lt;&gt;"CFA",_xlfn.IFNA(VLOOKUP($G458,Master!$V$2:$Z$8,5,0),""),"")</f>
        <v/>
      </c>
      <c r="P458" s="6" t="str">
        <f t="shared" si="14"/>
        <v/>
      </c>
      <c r="Q458" s="13">
        <f t="shared" si="15"/>
        <v>0</v>
      </c>
    </row>
    <row r="459" spans="2:17" ht="15" customHeight="1">
      <c r="B459" s="5" t="str">
        <f>_xlfn.IFNA(VLOOKUP(C459,Master!$H:$I,2,FALSE),"")</f>
        <v/>
      </c>
      <c r="D459" s="5" t="str">
        <f>_xlfn.IFNA(VLOOKUP(E459,Master!$H:$I,2,FALSE),"")</f>
        <v/>
      </c>
      <c r="F459" s="26" t="str">
        <f>+_xlfn.XLOOKUP(G459,Master!$V$2:$V$8,Master!$U$2:$U$8,"")</f>
        <v/>
      </c>
      <c r="I459" s="4" t="str">
        <f>_xlfn.IFNA(VLOOKUP(D459,Master!$I:$K,2,FALSE),"")</f>
        <v/>
      </c>
      <c r="J459" s="4" t="str">
        <f>_xlfn.IFNA(VLOOKUP(D459,Master!$I:$K,3,FALSE),"")</f>
        <v/>
      </c>
      <c r="L459" s="27" t="str">
        <f>IF(A459&lt;&gt;"CFA",_xlfn.IFNA(VLOOKUP($G459,Master!$V$2:$Z$8,5,0),""),"")</f>
        <v/>
      </c>
      <c r="P459" s="6" t="str">
        <f t="shared" si="14"/>
        <v/>
      </c>
      <c r="Q459" s="13">
        <f t="shared" si="15"/>
        <v>0</v>
      </c>
    </row>
    <row r="460" spans="2:17" ht="15" customHeight="1">
      <c r="B460" s="5" t="str">
        <f>_xlfn.IFNA(VLOOKUP(C460,Master!$H:$I,2,FALSE),"")</f>
        <v/>
      </c>
      <c r="D460" s="5" t="str">
        <f>_xlfn.IFNA(VLOOKUP(E460,Master!$H:$I,2,FALSE),"")</f>
        <v/>
      </c>
      <c r="F460" s="26" t="str">
        <f>+_xlfn.XLOOKUP(G460,Master!$V$2:$V$8,Master!$U$2:$U$8,"")</f>
        <v/>
      </c>
      <c r="I460" s="4" t="str">
        <f>_xlfn.IFNA(VLOOKUP(D460,Master!$I:$K,2,FALSE),"")</f>
        <v/>
      </c>
      <c r="J460" s="4" t="str">
        <f>_xlfn.IFNA(VLOOKUP(D460,Master!$I:$K,3,FALSE),"")</f>
        <v/>
      </c>
      <c r="L460" s="27" t="str">
        <f>IF(A460&lt;&gt;"CFA",_xlfn.IFNA(VLOOKUP($G460,Master!$V$2:$Z$8,5,0),""),"")</f>
        <v/>
      </c>
      <c r="P460" s="6" t="str">
        <f t="shared" si="14"/>
        <v/>
      </c>
      <c r="Q460" s="13">
        <f t="shared" si="15"/>
        <v>0</v>
      </c>
    </row>
    <row r="461" spans="2:17" ht="15" customHeight="1">
      <c r="B461" s="5" t="str">
        <f>_xlfn.IFNA(VLOOKUP(C461,Master!$H:$I,2,FALSE),"")</f>
        <v/>
      </c>
      <c r="D461" s="5" t="str">
        <f>_xlfn.IFNA(VLOOKUP(E461,Master!$H:$I,2,FALSE),"")</f>
        <v/>
      </c>
      <c r="F461" s="26" t="str">
        <f>+_xlfn.XLOOKUP(G461,Master!$V$2:$V$8,Master!$U$2:$U$8,"")</f>
        <v/>
      </c>
      <c r="I461" s="4" t="str">
        <f>_xlfn.IFNA(VLOOKUP(D461,Master!$I:$K,2,FALSE),"")</f>
        <v/>
      </c>
      <c r="J461" s="4" t="str">
        <f>_xlfn.IFNA(VLOOKUP(D461,Master!$I:$K,3,FALSE),"")</f>
        <v/>
      </c>
      <c r="L461" s="27" t="str">
        <f>IF(A461&lt;&gt;"CFA",_xlfn.IFNA(VLOOKUP($G461,Master!$V$2:$Z$8,5,0),""),"")</f>
        <v/>
      </c>
      <c r="P461" s="6" t="str">
        <f t="shared" si="14"/>
        <v/>
      </c>
      <c r="Q461" s="13">
        <f t="shared" si="15"/>
        <v>0</v>
      </c>
    </row>
    <row r="462" spans="2:17" ht="15" customHeight="1">
      <c r="B462" s="5" t="str">
        <f>_xlfn.IFNA(VLOOKUP(C462,Master!$H:$I,2,FALSE),"")</f>
        <v/>
      </c>
      <c r="D462" s="5" t="str">
        <f>_xlfn.IFNA(VLOOKUP(E462,Master!$H:$I,2,FALSE),"")</f>
        <v/>
      </c>
      <c r="F462" s="26" t="str">
        <f>+_xlfn.XLOOKUP(G462,Master!$V$2:$V$8,Master!$U$2:$U$8,"")</f>
        <v/>
      </c>
      <c r="I462" s="4" t="str">
        <f>_xlfn.IFNA(VLOOKUP(D462,Master!$I:$K,2,FALSE),"")</f>
        <v/>
      </c>
      <c r="J462" s="4" t="str">
        <f>_xlfn.IFNA(VLOOKUP(D462,Master!$I:$K,3,FALSE),"")</f>
        <v/>
      </c>
      <c r="L462" s="27" t="str">
        <f>IF(A462&lt;&gt;"CFA",_xlfn.IFNA(VLOOKUP($G462,Master!$V$2:$Z$8,5,0),""),"")</f>
        <v/>
      </c>
      <c r="P462" s="6" t="str">
        <f t="shared" si="14"/>
        <v/>
      </c>
      <c r="Q462" s="13">
        <f t="shared" si="15"/>
        <v>0</v>
      </c>
    </row>
    <row r="463" spans="2:17" ht="15" customHeight="1">
      <c r="B463" s="5" t="str">
        <f>_xlfn.IFNA(VLOOKUP(C463,Master!$H:$I,2,FALSE),"")</f>
        <v/>
      </c>
      <c r="D463" s="5" t="str">
        <f>_xlfn.IFNA(VLOOKUP(E463,Master!$H:$I,2,FALSE),"")</f>
        <v/>
      </c>
      <c r="F463" s="26" t="str">
        <f>+_xlfn.XLOOKUP(G463,Master!$V$2:$V$8,Master!$U$2:$U$8,"")</f>
        <v/>
      </c>
      <c r="I463" s="4" t="str">
        <f>_xlfn.IFNA(VLOOKUP(D463,Master!$I:$K,2,FALSE),"")</f>
        <v/>
      </c>
      <c r="J463" s="4" t="str">
        <f>_xlfn.IFNA(VLOOKUP(D463,Master!$I:$K,3,FALSE),"")</f>
        <v/>
      </c>
      <c r="L463" s="27" t="str">
        <f>IF(A463&lt;&gt;"CFA",_xlfn.IFNA(VLOOKUP($G463,Master!$V$2:$Z$8,5,0),""),"")</f>
        <v/>
      </c>
      <c r="P463" s="6" t="str">
        <f t="shared" si="14"/>
        <v/>
      </c>
      <c r="Q463" s="13">
        <f t="shared" si="15"/>
        <v>0</v>
      </c>
    </row>
    <row r="464" spans="2:17" ht="15" customHeight="1">
      <c r="B464" s="5" t="str">
        <f>_xlfn.IFNA(VLOOKUP(C464,Master!$H:$I,2,FALSE),"")</f>
        <v/>
      </c>
      <c r="D464" s="5" t="str">
        <f>_xlfn.IFNA(VLOOKUP(E464,Master!$H:$I,2,FALSE),"")</f>
        <v/>
      </c>
      <c r="F464" s="26" t="str">
        <f>+_xlfn.XLOOKUP(G464,Master!$V$2:$V$8,Master!$U$2:$U$8,"")</f>
        <v/>
      </c>
      <c r="I464" s="4" t="str">
        <f>_xlfn.IFNA(VLOOKUP(D464,Master!$I:$K,2,FALSE),"")</f>
        <v/>
      </c>
      <c r="J464" s="4" t="str">
        <f>_xlfn.IFNA(VLOOKUP(D464,Master!$I:$K,3,FALSE),"")</f>
        <v/>
      </c>
      <c r="L464" s="27" t="str">
        <f>IF(A464&lt;&gt;"CFA",_xlfn.IFNA(VLOOKUP($G464,Master!$V$2:$Z$8,5,0),""),"")</f>
        <v/>
      </c>
      <c r="P464" s="6" t="str">
        <f t="shared" si="14"/>
        <v/>
      </c>
      <c r="Q464" s="13">
        <f t="shared" si="15"/>
        <v>0</v>
      </c>
    </row>
    <row r="465" spans="2:17" ht="15" customHeight="1">
      <c r="B465" s="5" t="str">
        <f>_xlfn.IFNA(VLOOKUP(C465,Master!$H:$I,2,FALSE),"")</f>
        <v/>
      </c>
      <c r="D465" s="5" t="str">
        <f>_xlfn.IFNA(VLOOKUP(E465,Master!$H:$I,2,FALSE),"")</f>
        <v/>
      </c>
      <c r="F465" s="26" t="str">
        <f>+_xlfn.XLOOKUP(G465,Master!$V$2:$V$8,Master!$U$2:$U$8,"")</f>
        <v/>
      </c>
      <c r="I465" s="4" t="str">
        <f>_xlfn.IFNA(VLOOKUP(D465,Master!$I:$K,2,FALSE),"")</f>
        <v/>
      </c>
      <c r="J465" s="4" t="str">
        <f>_xlfn.IFNA(VLOOKUP(D465,Master!$I:$K,3,FALSE),"")</f>
        <v/>
      </c>
      <c r="L465" s="27" t="str">
        <f>IF(A465&lt;&gt;"CFA",_xlfn.IFNA(VLOOKUP($G465,Master!$V$2:$Z$8,5,0),""),"")</f>
        <v/>
      </c>
      <c r="P465" s="6" t="str">
        <f t="shared" si="14"/>
        <v/>
      </c>
      <c r="Q465" s="13">
        <f t="shared" si="15"/>
        <v>0</v>
      </c>
    </row>
    <row r="466" spans="2:17" ht="15" customHeight="1">
      <c r="B466" s="5" t="str">
        <f>_xlfn.IFNA(VLOOKUP(C466,Master!$H:$I,2,FALSE),"")</f>
        <v/>
      </c>
      <c r="D466" s="5" t="str">
        <f>_xlfn.IFNA(VLOOKUP(E466,Master!$H:$I,2,FALSE),"")</f>
        <v/>
      </c>
      <c r="F466" s="26" t="str">
        <f>+_xlfn.XLOOKUP(G466,Master!$V$2:$V$8,Master!$U$2:$U$8,"")</f>
        <v/>
      </c>
      <c r="I466" s="4" t="str">
        <f>_xlfn.IFNA(VLOOKUP(D466,Master!$I:$K,2,FALSE),"")</f>
        <v/>
      </c>
      <c r="J466" s="4" t="str">
        <f>_xlfn.IFNA(VLOOKUP(D466,Master!$I:$K,3,FALSE),"")</f>
        <v/>
      </c>
      <c r="L466" s="27" t="str">
        <f>IF(A466&lt;&gt;"CFA",_xlfn.IFNA(VLOOKUP($G466,Master!$V$2:$Z$8,5,0),""),"")</f>
        <v/>
      </c>
      <c r="P466" s="6" t="str">
        <f t="shared" si="14"/>
        <v/>
      </c>
      <c r="Q466" s="13">
        <f t="shared" si="15"/>
        <v>0</v>
      </c>
    </row>
    <row r="467" spans="2:17" ht="15" customHeight="1">
      <c r="B467" s="5" t="str">
        <f>_xlfn.IFNA(VLOOKUP(C467,Master!$H:$I,2,FALSE),"")</f>
        <v/>
      </c>
      <c r="D467" s="5" t="str">
        <f>_xlfn.IFNA(VLOOKUP(E467,Master!$H:$I,2,FALSE),"")</f>
        <v/>
      </c>
      <c r="F467" s="26" t="str">
        <f>+_xlfn.XLOOKUP(G467,Master!$V$2:$V$8,Master!$U$2:$U$8,"")</f>
        <v/>
      </c>
      <c r="I467" s="4" t="str">
        <f>_xlfn.IFNA(VLOOKUP(D467,Master!$I:$K,2,FALSE),"")</f>
        <v/>
      </c>
      <c r="J467" s="4" t="str">
        <f>_xlfn.IFNA(VLOOKUP(D467,Master!$I:$K,3,FALSE),"")</f>
        <v/>
      </c>
      <c r="L467" s="27" t="str">
        <f>IF(A467&lt;&gt;"CFA",_xlfn.IFNA(VLOOKUP($G467,Master!$V$2:$Z$8,5,0),""),"")</f>
        <v/>
      </c>
      <c r="P467" s="6" t="str">
        <f t="shared" si="14"/>
        <v/>
      </c>
      <c r="Q467" s="13">
        <f t="shared" si="15"/>
        <v>0</v>
      </c>
    </row>
    <row r="468" spans="2:17" ht="15" customHeight="1">
      <c r="B468" s="5" t="str">
        <f>_xlfn.IFNA(VLOOKUP(C468,Master!$H:$I,2,FALSE),"")</f>
        <v/>
      </c>
      <c r="D468" s="5" t="str">
        <f>_xlfn.IFNA(VLOOKUP(E468,Master!$H:$I,2,FALSE),"")</f>
        <v/>
      </c>
      <c r="F468" s="26" t="str">
        <f>+_xlfn.XLOOKUP(G468,Master!$V$2:$V$8,Master!$U$2:$U$8,"")</f>
        <v/>
      </c>
      <c r="I468" s="4" t="str">
        <f>_xlfn.IFNA(VLOOKUP(D468,Master!$I:$K,2,FALSE),"")</f>
        <v/>
      </c>
      <c r="J468" s="4" t="str">
        <f>_xlfn.IFNA(VLOOKUP(D468,Master!$I:$K,3,FALSE),"")</f>
        <v/>
      </c>
      <c r="L468" s="27" t="str">
        <f>IF(A468&lt;&gt;"CFA",_xlfn.IFNA(VLOOKUP($G468,Master!$V$2:$Z$8,5,0),""),"")</f>
        <v/>
      </c>
      <c r="P468" s="6" t="str">
        <f t="shared" si="14"/>
        <v/>
      </c>
      <c r="Q468" s="13">
        <f t="shared" si="15"/>
        <v>0</v>
      </c>
    </row>
    <row r="469" spans="2:17" ht="15" customHeight="1">
      <c r="B469" s="5" t="str">
        <f>_xlfn.IFNA(VLOOKUP(C469,Master!$H:$I,2,FALSE),"")</f>
        <v/>
      </c>
      <c r="D469" s="5" t="str">
        <f>_xlfn.IFNA(VLOOKUP(E469,Master!$H:$I,2,FALSE),"")</f>
        <v/>
      </c>
      <c r="F469" s="26" t="str">
        <f>+_xlfn.XLOOKUP(G469,Master!$V$2:$V$8,Master!$U$2:$U$8,"")</f>
        <v/>
      </c>
      <c r="I469" s="4" t="str">
        <f>_xlfn.IFNA(VLOOKUP(D469,Master!$I:$K,2,FALSE),"")</f>
        <v/>
      </c>
      <c r="J469" s="4" t="str">
        <f>_xlfn.IFNA(VLOOKUP(D469,Master!$I:$K,3,FALSE),"")</f>
        <v/>
      </c>
      <c r="L469" s="27" t="str">
        <f>IF(A469&lt;&gt;"CFA",_xlfn.IFNA(VLOOKUP($G469,Master!$V$2:$Z$8,5,0),""),"")</f>
        <v/>
      </c>
      <c r="P469" s="6" t="str">
        <f t="shared" si="14"/>
        <v/>
      </c>
      <c r="Q469" s="13">
        <f t="shared" si="15"/>
        <v>0</v>
      </c>
    </row>
    <row r="470" spans="2:17" ht="15" customHeight="1">
      <c r="B470" s="5" t="str">
        <f>_xlfn.IFNA(VLOOKUP(C470,Master!$H:$I,2,FALSE),"")</f>
        <v/>
      </c>
      <c r="D470" s="5" t="str">
        <f>_xlfn.IFNA(VLOOKUP(E470,Master!$H:$I,2,FALSE),"")</f>
        <v/>
      </c>
      <c r="F470" s="26" t="str">
        <f>+_xlfn.XLOOKUP(G470,Master!$V$2:$V$8,Master!$U$2:$U$8,"")</f>
        <v/>
      </c>
      <c r="I470" s="4" t="str">
        <f>_xlfn.IFNA(VLOOKUP(D470,Master!$I:$K,2,FALSE),"")</f>
        <v/>
      </c>
      <c r="J470" s="4" t="str">
        <f>_xlfn.IFNA(VLOOKUP(D470,Master!$I:$K,3,FALSE),"")</f>
        <v/>
      </c>
      <c r="L470" s="27" t="str">
        <f>IF(A470&lt;&gt;"CFA",_xlfn.IFNA(VLOOKUP($G470,Master!$V$2:$Z$8,5,0),""),"")</f>
        <v/>
      </c>
      <c r="P470" s="6" t="str">
        <f t="shared" si="14"/>
        <v/>
      </c>
      <c r="Q470" s="13">
        <f t="shared" si="15"/>
        <v>0</v>
      </c>
    </row>
    <row r="471" spans="2:17" ht="15" customHeight="1">
      <c r="B471" s="5" t="str">
        <f>_xlfn.IFNA(VLOOKUP(C471,Master!$H:$I,2,FALSE),"")</f>
        <v/>
      </c>
      <c r="D471" s="5" t="str">
        <f>_xlfn.IFNA(VLOOKUP(E471,Master!$H:$I,2,FALSE),"")</f>
        <v/>
      </c>
      <c r="F471" s="26" t="str">
        <f>+_xlfn.XLOOKUP(G471,Master!$V$2:$V$8,Master!$U$2:$U$8,"")</f>
        <v/>
      </c>
      <c r="I471" s="4" t="str">
        <f>_xlfn.IFNA(VLOOKUP(D471,Master!$I:$K,2,FALSE),"")</f>
        <v/>
      </c>
      <c r="J471" s="4" t="str">
        <f>_xlfn.IFNA(VLOOKUP(D471,Master!$I:$K,3,FALSE),"")</f>
        <v/>
      </c>
      <c r="L471" s="27" t="str">
        <f>IF(A471&lt;&gt;"CFA",_xlfn.IFNA(VLOOKUP($G471,Master!$V$2:$Z$8,5,0),""),"")</f>
        <v/>
      </c>
      <c r="P471" s="6" t="str">
        <f t="shared" si="14"/>
        <v/>
      </c>
      <c r="Q471" s="13">
        <f t="shared" si="15"/>
        <v>0</v>
      </c>
    </row>
    <row r="472" spans="2:17" ht="15" customHeight="1">
      <c r="B472" s="5" t="str">
        <f>_xlfn.IFNA(VLOOKUP(C472,Master!$H:$I,2,FALSE),"")</f>
        <v/>
      </c>
      <c r="D472" s="5" t="str">
        <f>_xlfn.IFNA(VLOOKUP(E472,Master!$H:$I,2,FALSE),"")</f>
        <v/>
      </c>
      <c r="F472" s="26" t="str">
        <f>+_xlfn.XLOOKUP(G472,Master!$V$2:$V$8,Master!$U$2:$U$8,"")</f>
        <v/>
      </c>
      <c r="I472" s="4" t="str">
        <f>_xlfn.IFNA(VLOOKUP(D472,Master!$I:$K,2,FALSE),"")</f>
        <v/>
      </c>
      <c r="J472" s="4" t="str">
        <f>_xlfn.IFNA(VLOOKUP(D472,Master!$I:$K,3,FALSE),"")</f>
        <v/>
      </c>
      <c r="L472" s="27" t="str">
        <f>IF(A472&lt;&gt;"CFA",_xlfn.IFNA(VLOOKUP($G472,Master!$V$2:$Z$8,5,0),""),"")</f>
        <v/>
      </c>
      <c r="P472" s="6" t="str">
        <f t="shared" si="14"/>
        <v/>
      </c>
      <c r="Q472" s="13">
        <f t="shared" si="15"/>
        <v>0</v>
      </c>
    </row>
    <row r="473" spans="2:17" ht="15" customHeight="1">
      <c r="B473" s="5" t="str">
        <f>_xlfn.IFNA(VLOOKUP(C473,Master!$H:$I,2,FALSE),"")</f>
        <v/>
      </c>
      <c r="D473" s="5" t="str">
        <f>_xlfn.IFNA(VLOOKUP(E473,Master!$H:$I,2,FALSE),"")</f>
        <v/>
      </c>
      <c r="F473" s="26" t="str">
        <f>+_xlfn.XLOOKUP(G473,Master!$V$2:$V$8,Master!$U$2:$U$8,"")</f>
        <v/>
      </c>
      <c r="I473" s="4" t="str">
        <f>_xlfn.IFNA(VLOOKUP(D473,Master!$I:$K,2,FALSE),"")</f>
        <v/>
      </c>
      <c r="J473" s="4" t="str">
        <f>_xlfn.IFNA(VLOOKUP(D473,Master!$I:$K,3,FALSE),"")</f>
        <v/>
      </c>
      <c r="L473" s="27" t="str">
        <f>IF(A473&lt;&gt;"CFA",_xlfn.IFNA(VLOOKUP($G473,Master!$V$2:$Z$8,5,0),""),"")</f>
        <v/>
      </c>
      <c r="P473" s="6" t="str">
        <f t="shared" si="14"/>
        <v/>
      </c>
      <c r="Q473" s="13">
        <f t="shared" si="15"/>
        <v>0</v>
      </c>
    </row>
    <row r="474" spans="2:17" ht="15" customHeight="1">
      <c r="B474" s="5" t="str">
        <f>_xlfn.IFNA(VLOOKUP(C474,Master!$H:$I,2,FALSE),"")</f>
        <v/>
      </c>
      <c r="D474" s="5" t="str">
        <f>_xlfn.IFNA(VLOOKUP(E474,Master!$H:$I,2,FALSE),"")</f>
        <v/>
      </c>
      <c r="F474" s="26" t="str">
        <f>+_xlfn.XLOOKUP(G474,Master!$V$2:$V$8,Master!$U$2:$U$8,"")</f>
        <v/>
      </c>
      <c r="I474" s="4" t="str">
        <f>_xlfn.IFNA(VLOOKUP(D474,Master!$I:$K,2,FALSE),"")</f>
        <v/>
      </c>
      <c r="J474" s="4" t="str">
        <f>_xlfn.IFNA(VLOOKUP(D474,Master!$I:$K,3,FALSE),"")</f>
        <v/>
      </c>
      <c r="L474" s="27" t="str">
        <f>IF(A474&lt;&gt;"CFA",_xlfn.IFNA(VLOOKUP($G474,Master!$V$2:$Z$8,5,0),""),"")</f>
        <v/>
      </c>
      <c r="P474" s="6" t="str">
        <f t="shared" si="14"/>
        <v/>
      </c>
      <c r="Q474" s="13">
        <f t="shared" si="15"/>
        <v>0</v>
      </c>
    </row>
    <row r="475" spans="2:17" ht="15" customHeight="1">
      <c r="B475" s="5" t="str">
        <f>_xlfn.IFNA(VLOOKUP(C475,Master!$H:$I,2,FALSE),"")</f>
        <v/>
      </c>
      <c r="D475" s="5" t="str">
        <f>_xlfn.IFNA(VLOOKUP(E475,Master!$H:$I,2,FALSE),"")</f>
        <v/>
      </c>
      <c r="F475" s="26" t="str">
        <f>+_xlfn.XLOOKUP(G475,Master!$V$2:$V$8,Master!$U$2:$U$8,"")</f>
        <v/>
      </c>
      <c r="I475" s="4" t="str">
        <f>_xlfn.IFNA(VLOOKUP(D475,Master!$I:$K,2,FALSE),"")</f>
        <v/>
      </c>
      <c r="J475" s="4" t="str">
        <f>_xlfn.IFNA(VLOOKUP(D475,Master!$I:$K,3,FALSE),"")</f>
        <v/>
      </c>
      <c r="L475" s="27" t="str">
        <f>IF(A475&lt;&gt;"CFA",_xlfn.IFNA(VLOOKUP($G475,Master!$V$2:$Z$8,5,0),""),"")</f>
        <v/>
      </c>
      <c r="P475" s="6" t="str">
        <f t="shared" si="14"/>
        <v/>
      </c>
      <c r="Q475" s="13">
        <f t="shared" si="15"/>
        <v>0</v>
      </c>
    </row>
    <row r="476" spans="2:17" ht="15" customHeight="1">
      <c r="B476" s="5" t="str">
        <f>_xlfn.IFNA(VLOOKUP(C476,Master!$H:$I,2,FALSE),"")</f>
        <v/>
      </c>
      <c r="D476" s="5" t="str">
        <f>_xlfn.IFNA(VLOOKUP(E476,Master!$H:$I,2,FALSE),"")</f>
        <v/>
      </c>
      <c r="F476" s="26" t="str">
        <f>+_xlfn.XLOOKUP(G476,Master!$V$2:$V$8,Master!$U$2:$U$8,"")</f>
        <v/>
      </c>
      <c r="I476" s="4" t="str">
        <f>_xlfn.IFNA(VLOOKUP(D476,Master!$I:$K,2,FALSE),"")</f>
        <v/>
      </c>
      <c r="J476" s="4" t="str">
        <f>_xlfn.IFNA(VLOOKUP(D476,Master!$I:$K,3,FALSE),"")</f>
        <v/>
      </c>
      <c r="L476" s="27" t="str">
        <f>IF(A476&lt;&gt;"CFA",_xlfn.IFNA(VLOOKUP($G476,Master!$V$2:$Z$8,5,0),""),"")</f>
        <v/>
      </c>
      <c r="P476" s="6" t="str">
        <f t="shared" si="14"/>
        <v/>
      </c>
      <c r="Q476" s="13">
        <f t="shared" si="15"/>
        <v>0</v>
      </c>
    </row>
    <row r="477" spans="2:17" ht="15" customHeight="1">
      <c r="B477" s="5" t="str">
        <f>_xlfn.IFNA(VLOOKUP(C477,Master!$H:$I,2,FALSE),"")</f>
        <v/>
      </c>
      <c r="D477" s="5" t="str">
        <f>_xlfn.IFNA(VLOOKUP(E477,Master!$H:$I,2,FALSE),"")</f>
        <v/>
      </c>
      <c r="F477" s="26" t="str">
        <f>+_xlfn.XLOOKUP(G477,Master!$V$2:$V$8,Master!$U$2:$U$8,"")</f>
        <v/>
      </c>
      <c r="I477" s="4" t="str">
        <f>_xlfn.IFNA(VLOOKUP(D477,Master!$I:$K,2,FALSE),"")</f>
        <v/>
      </c>
      <c r="J477" s="4" t="str">
        <f>_xlfn.IFNA(VLOOKUP(D477,Master!$I:$K,3,FALSE),"")</f>
        <v/>
      </c>
      <c r="L477" s="27" t="str">
        <f>IF(A477&lt;&gt;"CFA",_xlfn.IFNA(VLOOKUP($G477,Master!$V$2:$Z$8,5,0),""),"")</f>
        <v/>
      </c>
      <c r="P477" s="6" t="str">
        <f t="shared" si="14"/>
        <v/>
      </c>
      <c r="Q477" s="13">
        <f t="shared" si="15"/>
        <v>0</v>
      </c>
    </row>
    <row r="478" spans="2:17" ht="15" customHeight="1">
      <c r="B478" s="5" t="str">
        <f>_xlfn.IFNA(VLOOKUP(C478,Master!$H:$I,2,FALSE),"")</f>
        <v/>
      </c>
      <c r="D478" s="5" t="str">
        <f>_xlfn.IFNA(VLOOKUP(E478,Master!$H:$I,2,FALSE),"")</f>
        <v/>
      </c>
      <c r="F478" s="26" t="str">
        <f>+_xlfn.XLOOKUP(G478,Master!$V$2:$V$8,Master!$U$2:$U$8,"")</f>
        <v/>
      </c>
      <c r="I478" s="4" t="str">
        <f>_xlfn.IFNA(VLOOKUP(D478,Master!$I:$K,2,FALSE),"")</f>
        <v/>
      </c>
      <c r="J478" s="4" t="str">
        <f>_xlfn.IFNA(VLOOKUP(D478,Master!$I:$K,3,FALSE),"")</f>
        <v/>
      </c>
      <c r="L478" s="27" t="str">
        <f>IF(A478&lt;&gt;"CFA",_xlfn.IFNA(VLOOKUP($G478,Master!$V$2:$Z$8,5,0),""),"")</f>
        <v/>
      </c>
      <c r="P478" s="6" t="str">
        <f t="shared" si="14"/>
        <v/>
      </c>
      <c r="Q478" s="13">
        <f t="shared" si="15"/>
        <v>0</v>
      </c>
    </row>
    <row r="479" spans="2:17" ht="15" customHeight="1">
      <c r="B479" s="5" t="str">
        <f>_xlfn.IFNA(VLOOKUP(C479,Master!$H:$I,2,FALSE),"")</f>
        <v/>
      </c>
      <c r="D479" s="5" t="str">
        <f>_xlfn.IFNA(VLOOKUP(E479,Master!$H:$I,2,FALSE),"")</f>
        <v/>
      </c>
      <c r="F479" s="26" t="str">
        <f>+_xlfn.XLOOKUP(G479,Master!$V$2:$V$8,Master!$U$2:$U$8,"")</f>
        <v/>
      </c>
      <c r="I479" s="4" t="str">
        <f>_xlfn.IFNA(VLOOKUP(D479,Master!$I:$K,2,FALSE),"")</f>
        <v/>
      </c>
      <c r="J479" s="4" t="str">
        <f>_xlfn.IFNA(VLOOKUP(D479,Master!$I:$K,3,FALSE),"")</f>
        <v/>
      </c>
      <c r="L479" s="27" t="str">
        <f>IF(A479&lt;&gt;"CFA",_xlfn.IFNA(VLOOKUP($G479,Master!$V$2:$Z$8,5,0),""),"")</f>
        <v/>
      </c>
      <c r="P479" s="6" t="str">
        <f t="shared" si="14"/>
        <v/>
      </c>
      <c r="Q479" s="13">
        <f t="shared" si="15"/>
        <v>0</v>
      </c>
    </row>
    <row r="480" spans="2:17" ht="15" customHeight="1">
      <c r="B480" s="5" t="str">
        <f>_xlfn.IFNA(VLOOKUP(C480,Master!$H:$I,2,FALSE),"")</f>
        <v/>
      </c>
      <c r="D480" s="5" t="str">
        <f>_xlfn.IFNA(VLOOKUP(E480,Master!$H:$I,2,FALSE),"")</f>
        <v/>
      </c>
      <c r="F480" s="26" t="str">
        <f>+_xlfn.XLOOKUP(G480,Master!$V$2:$V$8,Master!$U$2:$U$8,"")</f>
        <v/>
      </c>
      <c r="I480" s="4" t="str">
        <f>_xlfn.IFNA(VLOOKUP(D480,Master!$I:$K,2,FALSE),"")</f>
        <v/>
      </c>
      <c r="J480" s="4" t="str">
        <f>_xlfn.IFNA(VLOOKUP(D480,Master!$I:$K,3,FALSE),"")</f>
        <v/>
      </c>
      <c r="L480" s="27" t="str">
        <f>IF(A480&lt;&gt;"CFA",_xlfn.IFNA(VLOOKUP($G480,Master!$V$2:$Z$8,5,0),""),"")</f>
        <v/>
      </c>
      <c r="P480" s="6" t="str">
        <f t="shared" si="14"/>
        <v/>
      </c>
      <c r="Q480" s="13">
        <f t="shared" si="15"/>
        <v>0</v>
      </c>
    </row>
    <row r="481" spans="2:17" ht="15" customHeight="1">
      <c r="B481" s="5" t="str">
        <f>_xlfn.IFNA(VLOOKUP(C481,Master!$H:$I,2,FALSE),"")</f>
        <v/>
      </c>
      <c r="D481" s="5" t="str">
        <f>_xlfn.IFNA(VLOOKUP(E481,Master!$H:$I,2,FALSE),"")</f>
        <v/>
      </c>
      <c r="F481" s="26" t="str">
        <f>+_xlfn.XLOOKUP(G481,Master!$V$2:$V$8,Master!$U$2:$U$8,"")</f>
        <v/>
      </c>
      <c r="I481" s="4" t="str">
        <f>_xlfn.IFNA(VLOOKUP(D481,Master!$I:$K,2,FALSE),"")</f>
        <v/>
      </c>
      <c r="J481" s="4" t="str">
        <f>_xlfn.IFNA(VLOOKUP(D481,Master!$I:$K,3,FALSE),"")</f>
        <v/>
      </c>
      <c r="L481" s="27" t="str">
        <f>IF(A481&lt;&gt;"CFA",_xlfn.IFNA(VLOOKUP($G481,Master!$V$2:$Z$8,5,0),""),"")</f>
        <v/>
      </c>
      <c r="P481" s="6" t="str">
        <f t="shared" si="14"/>
        <v/>
      </c>
      <c r="Q481" s="13">
        <f t="shared" si="15"/>
        <v>0</v>
      </c>
    </row>
    <row r="482" spans="2:17" ht="15" customHeight="1">
      <c r="B482" s="5" t="str">
        <f>_xlfn.IFNA(VLOOKUP(C482,Master!$H:$I,2,FALSE),"")</f>
        <v/>
      </c>
      <c r="D482" s="5" t="str">
        <f>_xlfn.IFNA(VLOOKUP(E482,Master!$H:$I,2,FALSE),"")</f>
        <v/>
      </c>
      <c r="F482" s="26" t="str">
        <f>+_xlfn.XLOOKUP(G482,Master!$V$2:$V$8,Master!$U$2:$U$8,"")</f>
        <v/>
      </c>
      <c r="I482" s="4" t="str">
        <f>_xlfn.IFNA(VLOOKUP(D482,Master!$I:$K,2,FALSE),"")</f>
        <v/>
      </c>
      <c r="J482" s="4" t="str">
        <f>_xlfn.IFNA(VLOOKUP(D482,Master!$I:$K,3,FALSE),"")</f>
        <v/>
      </c>
      <c r="L482" s="27" t="str">
        <f>IF(A482&lt;&gt;"CFA",_xlfn.IFNA(VLOOKUP($G482,Master!$V$2:$Z$8,5,0),""),"")</f>
        <v/>
      </c>
      <c r="P482" s="6" t="str">
        <f t="shared" si="14"/>
        <v/>
      </c>
      <c r="Q482" s="13">
        <f t="shared" si="15"/>
        <v>0</v>
      </c>
    </row>
    <row r="483" spans="2:17" ht="15" customHeight="1">
      <c r="B483" s="5" t="str">
        <f>_xlfn.IFNA(VLOOKUP(C483,Master!$H:$I,2,FALSE),"")</f>
        <v/>
      </c>
      <c r="D483" s="5" t="str">
        <f>_xlfn.IFNA(VLOOKUP(E483,Master!$H:$I,2,FALSE),"")</f>
        <v/>
      </c>
      <c r="F483" s="26" t="str">
        <f>+_xlfn.XLOOKUP(G483,Master!$V$2:$V$8,Master!$U$2:$U$8,"")</f>
        <v/>
      </c>
      <c r="I483" s="4" t="str">
        <f>_xlfn.IFNA(VLOOKUP(D483,Master!$I:$K,2,FALSE),"")</f>
        <v/>
      </c>
      <c r="J483" s="4" t="str">
        <f>_xlfn.IFNA(VLOOKUP(D483,Master!$I:$K,3,FALSE),"")</f>
        <v/>
      </c>
      <c r="L483" s="27" t="str">
        <f>IF(A483&lt;&gt;"CFA",_xlfn.IFNA(VLOOKUP($G483,Master!$V$2:$Z$8,5,0),""),"")</f>
        <v/>
      </c>
      <c r="P483" s="6" t="str">
        <f t="shared" si="14"/>
        <v/>
      </c>
      <c r="Q483" s="13">
        <f t="shared" si="15"/>
        <v>0</v>
      </c>
    </row>
    <row r="484" spans="2:17" ht="15" customHeight="1">
      <c r="B484" s="5" t="str">
        <f>_xlfn.IFNA(VLOOKUP(C484,Master!$H:$I,2,FALSE),"")</f>
        <v/>
      </c>
      <c r="D484" s="5" t="str">
        <f>_xlfn.IFNA(VLOOKUP(E484,Master!$H:$I,2,FALSE),"")</f>
        <v/>
      </c>
      <c r="F484" s="26" t="str">
        <f>+_xlfn.XLOOKUP(G484,Master!$V$2:$V$8,Master!$U$2:$U$8,"")</f>
        <v/>
      </c>
      <c r="I484" s="4" t="str">
        <f>_xlfn.IFNA(VLOOKUP(D484,Master!$I:$K,2,FALSE),"")</f>
        <v/>
      </c>
      <c r="J484" s="4" t="str">
        <f>_xlfn.IFNA(VLOOKUP(D484,Master!$I:$K,3,FALSE),"")</f>
        <v/>
      </c>
      <c r="L484" s="27" t="str">
        <f>IF(A484&lt;&gt;"CFA",_xlfn.IFNA(VLOOKUP($G484,Master!$V$2:$Z$8,5,0),""),"")</f>
        <v/>
      </c>
      <c r="P484" s="6" t="str">
        <f t="shared" si="14"/>
        <v/>
      </c>
      <c r="Q484" s="13">
        <f t="shared" si="15"/>
        <v>0</v>
      </c>
    </row>
    <row r="485" spans="2:17" ht="15" customHeight="1">
      <c r="B485" s="5" t="str">
        <f>_xlfn.IFNA(VLOOKUP(C485,Master!$H:$I,2,FALSE),"")</f>
        <v/>
      </c>
      <c r="D485" s="5" t="str">
        <f>_xlfn.IFNA(VLOOKUP(E485,Master!$H:$I,2,FALSE),"")</f>
        <v/>
      </c>
      <c r="F485" s="26" t="str">
        <f>+_xlfn.XLOOKUP(G485,Master!$V$2:$V$8,Master!$U$2:$U$8,"")</f>
        <v/>
      </c>
      <c r="I485" s="4" t="str">
        <f>_xlfn.IFNA(VLOOKUP(D485,Master!$I:$K,2,FALSE),"")</f>
        <v/>
      </c>
      <c r="J485" s="4" t="str">
        <f>_xlfn.IFNA(VLOOKUP(D485,Master!$I:$K,3,FALSE),"")</f>
        <v/>
      </c>
      <c r="L485" s="27" t="str">
        <f>IF(A485&lt;&gt;"CFA",_xlfn.IFNA(VLOOKUP($G485,Master!$V$2:$Z$8,5,0),""),"")</f>
        <v/>
      </c>
      <c r="P485" s="6" t="str">
        <f t="shared" si="14"/>
        <v/>
      </c>
      <c r="Q485" s="13">
        <f t="shared" si="15"/>
        <v>0</v>
      </c>
    </row>
    <row r="486" spans="2:17" ht="15" customHeight="1">
      <c r="B486" s="5" t="str">
        <f>_xlfn.IFNA(VLOOKUP(C486,Master!$H:$I,2,FALSE),"")</f>
        <v/>
      </c>
      <c r="D486" s="5" t="str">
        <f>_xlfn.IFNA(VLOOKUP(E486,Master!$H:$I,2,FALSE),"")</f>
        <v/>
      </c>
      <c r="F486" s="26" t="str">
        <f>+_xlfn.XLOOKUP(G486,Master!$V$2:$V$8,Master!$U$2:$U$8,"")</f>
        <v/>
      </c>
      <c r="I486" s="4" t="str">
        <f>_xlfn.IFNA(VLOOKUP(D486,Master!$I:$K,2,FALSE),"")</f>
        <v/>
      </c>
      <c r="J486" s="4" t="str">
        <f>_xlfn.IFNA(VLOOKUP(D486,Master!$I:$K,3,FALSE),"")</f>
        <v/>
      </c>
      <c r="L486" s="27" t="str">
        <f>IF(A486&lt;&gt;"CFA",_xlfn.IFNA(VLOOKUP($G486,Master!$V$2:$Z$8,5,0),""),"")</f>
        <v/>
      </c>
      <c r="P486" s="6" t="str">
        <f t="shared" si="14"/>
        <v/>
      </c>
      <c r="Q486" s="13">
        <f t="shared" si="15"/>
        <v>0</v>
      </c>
    </row>
    <row r="487" spans="2:17" ht="15" customHeight="1">
      <c r="B487" s="5" t="str">
        <f>_xlfn.IFNA(VLOOKUP(C487,Master!$H:$I,2,FALSE),"")</f>
        <v/>
      </c>
      <c r="D487" s="5" t="str">
        <f>_xlfn.IFNA(VLOOKUP(E487,Master!$H:$I,2,FALSE),"")</f>
        <v/>
      </c>
      <c r="F487" s="26" t="str">
        <f>+_xlfn.XLOOKUP(G487,Master!$V$2:$V$8,Master!$U$2:$U$8,"")</f>
        <v/>
      </c>
      <c r="I487" s="4" t="str">
        <f>_xlfn.IFNA(VLOOKUP(D487,Master!$I:$K,2,FALSE),"")</f>
        <v/>
      </c>
      <c r="J487" s="4" t="str">
        <f>_xlfn.IFNA(VLOOKUP(D487,Master!$I:$K,3,FALSE),"")</f>
        <v/>
      </c>
      <c r="L487" s="27" t="str">
        <f>IF(A487&lt;&gt;"CFA",_xlfn.IFNA(VLOOKUP($G487,Master!$V$2:$Z$8,5,0),""),"")</f>
        <v/>
      </c>
      <c r="P487" s="6" t="str">
        <f t="shared" si="14"/>
        <v/>
      </c>
      <c r="Q487" s="13">
        <f t="shared" si="15"/>
        <v>0</v>
      </c>
    </row>
    <row r="488" spans="2:17" ht="15" customHeight="1">
      <c r="B488" s="5" t="str">
        <f>_xlfn.IFNA(VLOOKUP(C488,Master!$H:$I,2,FALSE),"")</f>
        <v/>
      </c>
      <c r="D488" s="5" t="str">
        <f>_xlfn.IFNA(VLOOKUP(E488,Master!$H:$I,2,FALSE),"")</f>
        <v/>
      </c>
      <c r="F488" s="26" t="str">
        <f>+_xlfn.XLOOKUP(G488,Master!$V$2:$V$8,Master!$U$2:$U$8,"")</f>
        <v/>
      </c>
      <c r="I488" s="4" t="str">
        <f>_xlfn.IFNA(VLOOKUP(D488,Master!$I:$K,2,FALSE),"")</f>
        <v/>
      </c>
      <c r="J488" s="4" t="str">
        <f>_xlfn.IFNA(VLOOKUP(D488,Master!$I:$K,3,FALSE),"")</f>
        <v/>
      </c>
      <c r="L488" s="27" t="str">
        <f>IF(A488&lt;&gt;"CFA",_xlfn.IFNA(VLOOKUP($G488,Master!$V$2:$Z$8,5,0),""),"")</f>
        <v/>
      </c>
      <c r="P488" s="6" t="str">
        <f t="shared" si="14"/>
        <v/>
      </c>
      <c r="Q488" s="13">
        <f t="shared" si="15"/>
        <v>0</v>
      </c>
    </row>
    <row r="489" spans="2:17" ht="15" customHeight="1">
      <c r="B489" s="5" t="str">
        <f>_xlfn.IFNA(VLOOKUP(C489,Master!$H:$I,2,FALSE),"")</f>
        <v/>
      </c>
      <c r="D489" s="5" t="str">
        <f>_xlfn.IFNA(VLOOKUP(E489,Master!$H:$I,2,FALSE),"")</f>
        <v/>
      </c>
      <c r="F489" s="26" t="str">
        <f>+_xlfn.XLOOKUP(G489,Master!$V$2:$V$8,Master!$U$2:$U$8,"")</f>
        <v/>
      </c>
      <c r="I489" s="4" t="str">
        <f>_xlfn.IFNA(VLOOKUP(D489,Master!$I:$K,2,FALSE),"")</f>
        <v/>
      </c>
      <c r="J489" s="4" t="str">
        <f>_xlfn.IFNA(VLOOKUP(D489,Master!$I:$K,3,FALSE),"")</f>
        <v/>
      </c>
      <c r="L489" s="27" t="str">
        <f>IF(A489&lt;&gt;"CFA",_xlfn.IFNA(VLOOKUP($G489,Master!$V$2:$Z$8,5,0),""),"")</f>
        <v/>
      </c>
      <c r="P489" s="6" t="str">
        <f t="shared" si="14"/>
        <v/>
      </c>
      <c r="Q489" s="13">
        <f t="shared" si="15"/>
        <v>0</v>
      </c>
    </row>
    <row r="490" spans="2:17" ht="15" customHeight="1">
      <c r="B490" s="5" t="str">
        <f>_xlfn.IFNA(VLOOKUP(C490,Master!$H:$I,2,FALSE),"")</f>
        <v/>
      </c>
      <c r="D490" s="5" t="str">
        <f>_xlfn.IFNA(VLOOKUP(E490,Master!$H:$I,2,FALSE),"")</f>
        <v/>
      </c>
      <c r="F490" s="26" t="str">
        <f>+_xlfn.XLOOKUP(G490,Master!$V$2:$V$8,Master!$U$2:$U$8,"")</f>
        <v/>
      </c>
      <c r="I490" s="4" t="str">
        <f>_xlfn.IFNA(VLOOKUP(D490,Master!$I:$K,2,FALSE),"")</f>
        <v/>
      </c>
      <c r="J490" s="4" t="str">
        <f>_xlfn.IFNA(VLOOKUP(D490,Master!$I:$K,3,FALSE),"")</f>
        <v/>
      </c>
      <c r="L490" s="27" t="str">
        <f>IF(A490&lt;&gt;"CFA",_xlfn.IFNA(VLOOKUP($G490,Master!$V$2:$Z$8,5,0),""),"")</f>
        <v/>
      </c>
      <c r="P490" s="6" t="str">
        <f t="shared" si="14"/>
        <v/>
      </c>
      <c r="Q490" s="13">
        <f t="shared" si="15"/>
        <v>0</v>
      </c>
    </row>
    <row r="491" spans="2:17" ht="15" customHeight="1">
      <c r="B491" s="5" t="str">
        <f>_xlfn.IFNA(VLOOKUP(C491,Master!$H:$I,2,FALSE),"")</f>
        <v/>
      </c>
      <c r="D491" s="5" t="str">
        <f>_xlfn.IFNA(VLOOKUP(E491,Master!$H:$I,2,FALSE),"")</f>
        <v/>
      </c>
      <c r="F491" s="26" t="str">
        <f>+_xlfn.XLOOKUP(G491,Master!$V$2:$V$8,Master!$U$2:$U$8,"")</f>
        <v/>
      </c>
      <c r="I491" s="4" t="str">
        <f>_xlfn.IFNA(VLOOKUP(D491,Master!$I:$K,2,FALSE),"")</f>
        <v/>
      </c>
      <c r="J491" s="4" t="str">
        <f>_xlfn.IFNA(VLOOKUP(D491,Master!$I:$K,3,FALSE),"")</f>
        <v/>
      </c>
      <c r="L491" s="27" t="str">
        <f>IF(A491&lt;&gt;"CFA",_xlfn.IFNA(VLOOKUP($G491,Master!$V$2:$Z$8,5,0),""),"")</f>
        <v/>
      </c>
      <c r="P491" s="6" t="str">
        <f t="shared" si="14"/>
        <v/>
      </c>
      <c r="Q491" s="13">
        <f t="shared" si="15"/>
        <v>0</v>
      </c>
    </row>
    <row r="492" spans="2:17" ht="15" customHeight="1">
      <c r="B492" s="5" t="str">
        <f>_xlfn.IFNA(VLOOKUP(C492,Master!$H:$I,2,FALSE),"")</f>
        <v/>
      </c>
      <c r="D492" s="5" t="str">
        <f>_xlfn.IFNA(VLOOKUP(E492,Master!$H:$I,2,FALSE),"")</f>
        <v/>
      </c>
      <c r="F492" s="26" t="str">
        <f>+_xlfn.XLOOKUP(G492,Master!$V$2:$V$8,Master!$U$2:$U$8,"")</f>
        <v/>
      </c>
      <c r="I492" s="4" t="str">
        <f>_xlfn.IFNA(VLOOKUP(D492,Master!$I:$K,2,FALSE),"")</f>
        <v/>
      </c>
      <c r="J492" s="4" t="str">
        <f>_xlfn.IFNA(VLOOKUP(D492,Master!$I:$K,3,FALSE),"")</f>
        <v/>
      </c>
      <c r="L492" s="27" t="str">
        <f>IF(A492&lt;&gt;"CFA",_xlfn.IFNA(VLOOKUP($G492,Master!$V$2:$Z$8,5,0),""),"")</f>
        <v/>
      </c>
      <c r="P492" s="6" t="str">
        <f t="shared" si="14"/>
        <v/>
      </c>
      <c r="Q492" s="13">
        <f t="shared" si="15"/>
        <v>0</v>
      </c>
    </row>
    <row r="493" spans="2:17" ht="15" customHeight="1">
      <c r="B493" s="5" t="str">
        <f>_xlfn.IFNA(VLOOKUP(C493,Master!$H:$I,2,FALSE),"")</f>
        <v/>
      </c>
      <c r="D493" s="5" t="str">
        <f>_xlfn.IFNA(VLOOKUP(E493,Master!$H:$I,2,FALSE),"")</f>
        <v/>
      </c>
      <c r="F493" s="26" t="str">
        <f>+_xlfn.XLOOKUP(G493,Master!$V$2:$V$8,Master!$U$2:$U$8,"")</f>
        <v/>
      </c>
      <c r="I493" s="4" t="str">
        <f>_xlfn.IFNA(VLOOKUP(D493,Master!$I:$K,2,FALSE),"")</f>
        <v/>
      </c>
      <c r="J493" s="4" t="str">
        <f>_xlfn.IFNA(VLOOKUP(D493,Master!$I:$K,3,FALSE),"")</f>
        <v/>
      </c>
      <c r="L493" s="27" t="str">
        <f>IF(A493&lt;&gt;"CFA",_xlfn.IFNA(VLOOKUP($G493,Master!$V$2:$Z$8,5,0),""),"")</f>
        <v/>
      </c>
      <c r="P493" s="6" t="str">
        <f t="shared" si="14"/>
        <v/>
      </c>
      <c r="Q493" s="13">
        <f t="shared" si="15"/>
        <v>0</v>
      </c>
    </row>
    <row r="494" spans="2:17" ht="15" customHeight="1">
      <c r="B494" s="5" t="str">
        <f>_xlfn.IFNA(VLOOKUP(C494,Master!$H:$I,2,FALSE),"")</f>
        <v/>
      </c>
      <c r="D494" s="5" t="str">
        <f>_xlfn.IFNA(VLOOKUP(E494,Master!$H:$I,2,FALSE),"")</f>
        <v/>
      </c>
      <c r="F494" s="26" t="str">
        <f>+_xlfn.XLOOKUP(G494,Master!$V$2:$V$8,Master!$U$2:$U$8,"")</f>
        <v/>
      </c>
      <c r="I494" s="4" t="str">
        <f>_xlfn.IFNA(VLOOKUP(D494,Master!$I:$K,2,FALSE),"")</f>
        <v/>
      </c>
      <c r="J494" s="4" t="str">
        <f>_xlfn.IFNA(VLOOKUP(D494,Master!$I:$K,3,FALSE),"")</f>
        <v/>
      </c>
      <c r="L494" s="27" t="str">
        <f>IF(A494&lt;&gt;"CFA",_xlfn.IFNA(VLOOKUP($G494,Master!$V$2:$Z$8,5,0),""),"")</f>
        <v/>
      </c>
      <c r="P494" s="6" t="str">
        <f t="shared" si="14"/>
        <v/>
      </c>
      <c r="Q494" s="13">
        <f t="shared" si="15"/>
        <v>0</v>
      </c>
    </row>
    <row r="495" spans="2:17" ht="15" customHeight="1">
      <c r="B495" s="5" t="str">
        <f>_xlfn.IFNA(VLOOKUP(C495,Master!$H:$I,2,FALSE),"")</f>
        <v/>
      </c>
      <c r="D495" s="5" t="str">
        <f>_xlfn.IFNA(VLOOKUP(E495,Master!$H:$I,2,FALSE),"")</f>
        <v/>
      </c>
      <c r="F495" s="26" t="str">
        <f>+_xlfn.XLOOKUP(G495,Master!$V$2:$V$8,Master!$U$2:$U$8,"")</f>
        <v/>
      </c>
      <c r="I495" s="4" t="str">
        <f>_xlfn.IFNA(VLOOKUP(D495,Master!$I:$K,2,FALSE),"")</f>
        <v/>
      </c>
      <c r="J495" s="4" t="str">
        <f>_xlfn.IFNA(VLOOKUP(D495,Master!$I:$K,3,FALSE),"")</f>
        <v/>
      </c>
      <c r="L495" s="27" t="str">
        <f>IF(A495&lt;&gt;"CFA",_xlfn.IFNA(VLOOKUP($G495,Master!$V$2:$Z$8,5,0),""),"")</f>
        <v/>
      </c>
      <c r="P495" s="6" t="str">
        <f t="shared" si="14"/>
        <v/>
      </c>
      <c r="Q495" s="13">
        <f t="shared" si="15"/>
        <v>0</v>
      </c>
    </row>
    <row r="496" spans="2:17" ht="15" customHeight="1">
      <c r="B496" s="5" t="str">
        <f>_xlfn.IFNA(VLOOKUP(C496,Master!$H:$I,2,FALSE),"")</f>
        <v/>
      </c>
      <c r="D496" s="5" t="str">
        <f>_xlfn.IFNA(VLOOKUP(E496,Master!$H:$I,2,FALSE),"")</f>
        <v/>
      </c>
      <c r="F496" s="26" t="str">
        <f>+_xlfn.XLOOKUP(G496,Master!$V$2:$V$8,Master!$U$2:$U$8,"")</f>
        <v/>
      </c>
      <c r="I496" s="4" t="str">
        <f>_xlfn.IFNA(VLOOKUP(D496,Master!$I:$K,2,FALSE),"")</f>
        <v/>
      </c>
      <c r="J496" s="4" t="str">
        <f>_xlfn.IFNA(VLOOKUP(D496,Master!$I:$K,3,FALSE),"")</f>
        <v/>
      </c>
      <c r="L496" s="27" t="str">
        <f>IF(A496&lt;&gt;"CFA",_xlfn.IFNA(VLOOKUP($G496,Master!$V$2:$Z$8,5,0),""),"")</f>
        <v/>
      </c>
      <c r="P496" s="6" t="str">
        <f t="shared" si="14"/>
        <v/>
      </c>
      <c r="Q496" s="13">
        <f t="shared" si="15"/>
        <v>0</v>
      </c>
    </row>
    <row r="497" spans="2:17" ht="15" customHeight="1">
      <c r="B497" s="5" t="str">
        <f>_xlfn.IFNA(VLOOKUP(C497,Master!$H:$I,2,FALSE),"")</f>
        <v/>
      </c>
      <c r="D497" s="5" t="str">
        <f>_xlfn.IFNA(VLOOKUP(E497,Master!$H:$I,2,FALSE),"")</f>
        <v/>
      </c>
      <c r="F497" s="26" t="str">
        <f>+_xlfn.XLOOKUP(G497,Master!$V$2:$V$8,Master!$U$2:$U$8,"")</f>
        <v/>
      </c>
      <c r="I497" s="4" t="str">
        <f>_xlfn.IFNA(VLOOKUP(D497,Master!$I:$K,2,FALSE),"")</f>
        <v/>
      </c>
      <c r="J497" s="4" t="str">
        <f>_xlfn.IFNA(VLOOKUP(D497,Master!$I:$K,3,FALSE),"")</f>
        <v/>
      </c>
      <c r="L497" s="27" t="str">
        <f>IF(A497&lt;&gt;"CFA",_xlfn.IFNA(VLOOKUP($G497,Master!$V$2:$Z$8,5,0),""),"")</f>
        <v/>
      </c>
      <c r="P497" s="6" t="str">
        <f t="shared" si="14"/>
        <v/>
      </c>
      <c r="Q497" s="13">
        <f t="shared" si="15"/>
        <v>0</v>
      </c>
    </row>
    <row r="498" spans="2:17" ht="15" customHeight="1">
      <c r="B498" s="5" t="str">
        <f>_xlfn.IFNA(VLOOKUP(C498,Master!$H:$I,2,FALSE),"")</f>
        <v/>
      </c>
      <c r="D498" s="5" t="str">
        <f>_xlfn.IFNA(VLOOKUP(E498,Master!$H:$I,2,FALSE),"")</f>
        <v/>
      </c>
      <c r="F498" s="26" t="str">
        <f>+_xlfn.XLOOKUP(G498,Master!$V$2:$V$8,Master!$U$2:$U$8,"")</f>
        <v/>
      </c>
      <c r="I498" s="4" t="str">
        <f>_xlfn.IFNA(VLOOKUP(D498,Master!$I:$K,2,FALSE),"")</f>
        <v/>
      </c>
      <c r="J498" s="4" t="str">
        <f>_xlfn.IFNA(VLOOKUP(D498,Master!$I:$K,3,FALSE),"")</f>
        <v/>
      </c>
      <c r="L498" s="27" t="str">
        <f>IF(A498&lt;&gt;"CFA",_xlfn.IFNA(VLOOKUP($G498,Master!$V$2:$Z$8,5,0),""),"")</f>
        <v/>
      </c>
      <c r="P498" s="6" t="str">
        <f t="shared" si="14"/>
        <v/>
      </c>
      <c r="Q498" s="13">
        <f t="shared" si="15"/>
        <v>0</v>
      </c>
    </row>
    <row r="499" spans="2:17" ht="15" customHeight="1">
      <c r="B499" s="5" t="str">
        <f>_xlfn.IFNA(VLOOKUP(C499,Master!$H:$I,2,FALSE),"")</f>
        <v/>
      </c>
      <c r="D499" s="5" t="str">
        <f>_xlfn.IFNA(VLOOKUP(E499,Master!$H:$I,2,FALSE),"")</f>
        <v/>
      </c>
      <c r="F499" s="26" t="str">
        <f>+_xlfn.XLOOKUP(G499,Master!$V$2:$V$8,Master!$U$2:$U$8,"")</f>
        <v/>
      </c>
      <c r="I499" s="4" t="str">
        <f>_xlfn.IFNA(VLOOKUP(D499,Master!$I:$K,2,FALSE),"")</f>
        <v/>
      </c>
      <c r="J499" s="4" t="str">
        <f>_xlfn.IFNA(VLOOKUP(D499,Master!$I:$K,3,FALSE),"")</f>
        <v/>
      </c>
      <c r="L499" s="27" t="str">
        <f>IF(A499&lt;&gt;"CFA",_xlfn.IFNA(VLOOKUP($G499,Master!$V$2:$Z$8,5,0),""),"")</f>
        <v/>
      </c>
      <c r="P499" s="6" t="str">
        <f t="shared" si="14"/>
        <v/>
      </c>
      <c r="Q499" s="13">
        <f t="shared" si="15"/>
        <v>0</v>
      </c>
    </row>
    <row r="500" spans="2:17" ht="15" customHeight="1">
      <c r="B500" s="5" t="str">
        <f>_xlfn.IFNA(VLOOKUP(C500,Master!$H:$I,2,FALSE),"")</f>
        <v/>
      </c>
      <c r="D500" s="5" t="str">
        <f>_xlfn.IFNA(VLOOKUP(E500,Master!$H:$I,2,FALSE),"")</f>
        <v/>
      </c>
      <c r="F500" s="26" t="str">
        <f>+_xlfn.XLOOKUP(G500,Master!$V$2:$V$8,Master!$U$2:$U$8,"")</f>
        <v/>
      </c>
      <c r="I500" s="4" t="str">
        <f>_xlfn.IFNA(VLOOKUP(D500,Master!$I:$K,2,FALSE),"")</f>
        <v/>
      </c>
      <c r="J500" s="4" t="str">
        <f>_xlfn.IFNA(VLOOKUP(D500,Master!$I:$K,3,FALSE),"")</f>
        <v/>
      </c>
      <c r="L500" s="27" t="str">
        <f>IF(A500&lt;&gt;"CFA",_xlfn.IFNA(VLOOKUP($G500,Master!$V$2:$Z$8,5,0),""),"")</f>
        <v/>
      </c>
      <c r="P500" s="6" t="str">
        <f t="shared" si="14"/>
        <v/>
      </c>
      <c r="Q500" s="13">
        <f t="shared" si="15"/>
        <v>0</v>
      </c>
    </row>
    <row r="501" spans="2:17" ht="15" customHeight="1">
      <c r="B501" s="5" t="str">
        <f>_xlfn.IFNA(VLOOKUP(C501,Master!$H:$I,2,FALSE),"")</f>
        <v/>
      </c>
      <c r="D501" s="5" t="str">
        <f>_xlfn.IFNA(VLOOKUP(E501,Master!$H:$I,2,FALSE),"")</f>
        <v/>
      </c>
      <c r="F501" s="26" t="str">
        <f>+_xlfn.XLOOKUP(G501,Master!$V$2:$V$8,Master!$U$2:$U$8,"")</f>
        <v/>
      </c>
      <c r="I501" s="4" t="str">
        <f>_xlfn.IFNA(VLOOKUP(D501,Master!$I:$K,2,FALSE),"")</f>
        <v/>
      </c>
      <c r="J501" s="4" t="str">
        <f>_xlfn.IFNA(VLOOKUP(D501,Master!$I:$K,3,FALSE),"")</f>
        <v/>
      </c>
      <c r="L501" s="27" t="str">
        <f>IF(A501&lt;&gt;"CFA",_xlfn.IFNA(VLOOKUP($G501,Master!$V$2:$Z$8,5,0),""),"")</f>
        <v/>
      </c>
      <c r="P501" s="6" t="str">
        <f t="shared" si="14"/>
        <v/>
      </c>
      <c r="Q501" s="13">
        <f t="shared" si="15"/>
        <v>0</v>
      </c>
    </row>
    <row r="502" spans="2:17" ht="15" customHeight="1">
      <c r="B502" s="5" t="str">
        <f>_xlfn.IFNA(VLOOKUP(C502,Master!$H:$I,2,FALSE),"")</f>
        <v/>
      </c>
      <c r="D502" s="5" t="str">
        <f>_xlfn.IFNA(VLOOKUP(E502,Master!$H:$I,2,FALSE),"")</f>
        <v/>
      </c>
      <c r="F502" s="26" t="str">
        <f>+_xlfn.XLOOKUP(G502,Master!$V$2:$V$8,Master!$U$2:$U$8,"")</f>
        <v/>
      </c>
      <c r="I502" s="4" t="str">
        <f>_xlfn.IFNA(VLOOKUP(D502,Master!$I:$K,2,FALSE),"")</f>
        <v/>
      </c>
      <c r="J502" s="4" t="str">
        <f>_xlfn.IFNA(VLOOKUP(D502,Master!$I:$K,3,FALSE),"")</f>
        <v/>
      </c>
      <c r="L502" s="27" t="str">
        <f>IF(A502&lt;&gt;"CFA",_xlfn.IFNA(VLOOKUP($G502,Master!$V$2:$Z$8,5,0),""),"")</f>
        <v/>
      </c>
      <c r="P502" s="6" t="str">
        <f t="shared" si="14"/>
        <v/>
      </c>
      <c r="Q502" s="13">
        <f t="shared" si="15"/>
        <v>0</v>
      </c>
    </row>
    <row r="503" spans="2:17" ht="15" customHeight="1">
      <c r="B503" s="5" t="str">
        <f>_xlfn.IFNA(VLOOKUP(C503,Master!$H:$I,2,FALSE),"")</f>
        <v/>
      </c>
      <c r="D503" s="5" t="str">
        <f>_xlfn.IFNA(VLOOKUP(E503,Master!$H:$I,2,FALSE),"")</f>
        <v/>
      </c>
      <c r="F503" s="26" t="str">
        <f>+_xlfn.XLOOKUP(G503,Master!$V$2:$V$8,Master!$U$2:$U$8,"")</f>
        <v/>
      </c>
      <c r="I503" s="4" t="str">
        <f>_xlfn.IFNA(VLOOKUP(D503,Master!$I:$K,2,FALSE),"")</f>
        <v/>
      </c>
      <c r="J503" s="4" t="str">
        <f>_xlfn.IFNA(VLOOKUP(D503,Master!$I:$K,3,FALSE),"")</f>
        <v/>
      </c>
      <c r="L503" s="27" t="str">
        <f>IF(A503&lt;&gt;"CFA",_xlfn.IFNA(VLOOKUP($G503,Master!$V$2:$Z$8,5,0),""),"")</f>
        <v/>
      </c>
      <c r="P503" s="6" t="str">
        <f t="shared" ref="P503:P566" si="16">IF(N503&lt;&gt;"",IF(MONTH(N503)&gt;=4,"FY1"&amp;RIGHT(YEAR(N503)+1,2),"FY1"&amp;RIGHT(YEAR(N503),2)),"")</f>
        <v/>
      </c>
      <c r="Q503" s="13">
        <f t="shared" ref="Q503:Q566" si="17">IF(K503&gt;0&amp;M503&gt;0,K503*M503,"")</f>
        <v>0</v>
      </c>
    </row>
    <row r="504" spans="2:17" ht="15" customHeight="1">
      <c r="B504" s="5" t="str">
        <f>_xlfn.IFNA(VLOOKUP(C504,Master!$H:$I,2,FALSE),"")</f>
        <v/>
      </c>
      <c r="D504" s="5" t="str">
        <f>_xlfn.IFNA(VLOOKUP(E504,Master!$H:$I,2,FALSE),"")</f>
        <v/>
      </c>
      <c r="F504" s="26" t="str">
        <f>+_xlfn.XLOOKUP(G504,Master!$V$2:$V$8,Master!$U$2:$U$8,"")</f>
        <v/>
      </c>
      <c r="I504" s="4" t="str">
        <f>_xlfn.IFNA(VLOOKUP(D504,Master!$I:$K,2,FALSE),"")</f>
        <v/>
      </c>
      <c r="J504" s="4" t="str">
        <f>_xlfn.IFNA(VLOOKUP(D504,Master!$I:$K,3,FALSE),"")</f>
        <v/>
      </c>
      <c r="L504" s="27" t="str">
        <f>IF(A504&lt;&gt;"CFA",_xlfn.IFNA(VLOOKUP($G504,Master!$V$2:$Z$8,5,0),""),"")</f>
        <v/>
      </c>
      <c r="P504" s="6" t="str">
        <f t="shared" si="16"/>
        <v/>
      </c>
      <c r="Q504" s="13">
        <f t="shared" si="17"/>
        <v>0</v>
      </c>
    </row>
    <row r="505" spans="2:17" ht="15" customHeight="1">
      <c r="B505" s="5" t="str">
        <f>_xlfn.IFNA(VLOOKUP(C505,Master!$H:$I,2,FALSE),"")</f>
        <v/>
      </c>
      <c r="D505" s="5" t="str">
        <f>_xlfn.IFNA(VLOOKUP(E505,Master!$H:$I,2,FALSE),"")</f>
        <v/>
      </c>
      <c r="F505" s="26" t="str">
        <f>+_xlfn.XLOOKUP(G505,Master!$V$2:$V$8,Master!$U$2:$U$8,"")</f>
        <v/>
      </c>
      <c r="I505" s="4" t="str">
        <f>_xlfn.IFNA(VLOOKUP(D505,Master!$I:$K,2,FALSE),"")</f>
        <v/>
      </c>
      <c r="J505" s="4" t="str">
        <f>_xlfn.IFNA(VLOOKUP(D505,Master!$I:$K,3,FALSE),"")</f>
        <v/>
      </c>
      <c r="L505" s="27" t="str">
        <f>IF(A505&lt;&gt;"CFA",_xlfn.IFNA(VLOOKUP($G505,Master!$V$2:$Z$8,5,0),""),"")</f>
        <v/>
      </c>
      <c r="P505" s="6" t="str">
        <f t="shared" si="16"/>
        <v/>
      </c>
      <c r="Q505" s="13">
        <f t="shared" si="17"/>
        <v>0</v>
      </c>
    </row>
    <row r="506" spans="2:17" ht="15" customHeight="1">
      <c r="B506" s="5" t="str">
        <f>_xlfn.IFNA(VLOOKUP(C506,Master!$H:$I,2,FALSE),"")</f>
        <v/>
      </c>
      <c r="D506" s="5" t="str">
        <f>_xlfn.IFNA(VLOOKUP(E506,Master!$H:$I,2,FALSE),"")</f>
        <v/>
      </c>
      <c r="F506" s="26" t="str">
        <f>+_xlfn.XLOOKUP(G506,Master!$V$2:$V$8,Master!$U$2:$U$8,"")</f>
        <v/>
      </c>
      <c r="I506" s="4" t="str">
        <f>_xlfn.IFNA(VLOOKUP(D506,Master!$I:$K,2,FALSE),"")</f>
        <v/>
      </c>
      <c r="J506" s="4" t="str">
        <f>_xlfn.IFNA(VLOOKUP(D506,Master!$I:$K,3,FALSE),"")</f>
        <v/>
      </c>
      <c r="L506" s="27" t="str">
        <f>IF(A506&lt;&gt;"CFA",_xlfn.IFNA(VLOOKUP($G506,Master!$V$2:$Z$8,5,0),""),"")</f>
        <v/>
      </c>
      <c r="P506" s="6" t="str">
        <f t="shared" si="16"/>
        <v/>
      </c>
      <c r="Q506" s="13">
        <f t="shared" si="17"/>
        <v>0</v>
      </c>
    </row>
    <row r="507" spans="2:17" ht="15" customHeight="1">
      <c r="B507" s="5" t="str">
        <f>_xlfn.IFNA(VLOOKUP(C507,Master!$H:$I,2,FALSE),"")</f>
        <v/>
      </c>
      <c r="D507" s="5" t="str">
        <f>_xlfn.IFNA(VLOOKUP(E507,Master!$H:$I,2,FALSE),"")</f>
        <v/>
      </c>
      <c r="F507" s="26" t="str">
        <f>+_xlfn.XLOOKUP(G507,Master!$V$2:$V$8,Master!$U$2:$U$8,"")</f>
        <v/>
      </c>
      <c r="I507" s="4" t="str">
        <f>_xlfn.IFNA(VLOOKUP(D507,Master!$I:$K,2,FALSE),"")</f>
        <v/>
      </c>
      <c r="J507" s="4" t="str">
        <f>_xlfn.IFNA(VLOOKUP(D507,Master!$I:$K,3,FALSE),"")</f>
        <v/>
      </c>
      <c r="L507" s="27" t="str">
        <f>IF(A507&lt;&gt;"CFA",_xlfn.IFNA(VLOOKUP($G507,Master!$V$2:$Z$8,5,0),""),"")</f>
        <v/>
      </c>
      <c r="P507" s="6" t="str">
        <f t="shared" si="16"/>
        <v/>
      </c>
      <c r="Q507" s="13">
        <f t="shared" si="17"/>
        <v>0</v>
      </c>
    </row>
    <row r="508" spans="2:17" ht="15" customHeight="1">
      <c r="B508" s="5" t="str">
        <f>_xlfn.IFNA(VLOOKUP(C508,Master!$H:$I,2,FALSE),"")</f>
        <v/>
      </c>
      <c r="D508" s="5" t="str">
        <f>_xlfn.IFNA(VLOOKUP(E508,Master!$H:$I,2,FALSE),"")</f>
        <v/>
      </c>
      <c r="F508" s="26" t="str">
        <f>+_xlfn.XLOOKUP(G508,Master!$V$2:$V$8,Master!$U$2:$U$8,"")</f>
        <v/>
      </c>
      <c r="I508" s="4" t="str">
        <f>_xlfn.IFNA(VLOOKUP(D508,Master!$I:$K,2,FALSE),"")</f>
        <v/>
      </c>
      <c r="J508" s="4" t="str">
        <f>_xlfn.IFNA(VLOOKUP(D508,Master!$I:$K,3,FALSE),"")</f>
        <v/>
      </c>
      <c r="L508" s="27" t="str">
        <f>IF(A508&lt;&gt;"CFA",_xlfn.IFNA(VLOOKUP($G508,Master!$V$2:$Z$8,5,0),""),"")</f>
        <v/>
      </c>
      <c r="P508" s="6" t="str">
        <f t="shared" si="16"/>
        <v/>
      </c>
      <c r="Q508" s="13">
        <f t="shared" si="17"/>
        <v>0</v>
      </c>
    </row>
    <row r="509" spans="2:17" ht="15" customHeight="1">
      <c r="B509" s="5" t="str">
        <f>_xlfn.IFNA(VLOOKUP(C509,Master!$H:$I,2,FALSE),"")</f>
        <v/>
      </c>
      <c r="D509" s="5" t="str">
        <f>_xlfn.IFNA(VLOOKUP(E509,Master!$H:$I,2,FALSE),"")</f>
        <v/>
      </c>
      <c r="F509" s="26" t="str">
        <f>+_xlfn.XLOOKUP(G509,Master!$V$2:$V$8,Master!$U$2:$U$8,"")</f>
        <v/>
      </c>
      <c r="I509" s="4" t="str">
        <f>_xlfn.IFNA(VLOOKUP(D509,Master!$I:$K,2,FALSE),"")</f>
        <v/>
      </c>
      <c r="J509" s="4" t="str">
        <f>_xlfn.IFNA(VLOOKUP(D509,Master!$I:$K,3,FALSE),"")</f>
        <v/>
      </c>
      <c r="L509" s="27" t="str">
        <f>IF(A509&lt;&gt;"CFA",_xlfn.IFNA(VLOOKUP($G509,Master!$V$2:$Z$8,5,0),""),"")</f>
        <v/>
      </c>
      <c r="P509" s="6" t="str">
        <f t="shared" si="16"/>
        <v/>
      </c>
      <c r="Q509" s="13">
        <f t="shared" si="17"/>
        <v>0</v>
      </c>
    </row>
    <row r="510" spans="2:17" ht="15" customHeight="1">
      <c r="B510" s="5" t="str">
        <f>_xlfn.IFNA(VLOOKUP(C510,Master!$H:$I,2,FALSE),"")</f>
        <v/>
      </c>
      <c r="D510" s="5" t="str">
        <f>_xlfn.IFNA(VLOOKUP(E510,Master!$H:$I,2,FALSE),"")</f>
        <v/>
      </c>
      <c r="F510" s="26" t="str">
        <f>+_xlfn.XLOOKUP(G510,Master!$V$2:$V$8,Master!$U$2:$U$8,"")</f>
        <v/>
      </c>
      <c r="I510" s="4" t="str">
        <f>_xlfn.IFNA(VLOOKUP(D510,Master!$I:$K,2,FALSE),"")</f>
        <v/>
      </c>
      <c r="J510" s="4" t="str">
        <f>_xlfn.IFNA(VLOOKUP(D510,Master!$I:$K,3,FALSE),"")</f>
        <v/>
      </c>
      <c r="L510" s="27" t="str">
        <f>IF(A510&lt;&gt;"CFA",_xlfn.IFNA(VLOOKUP($G510,Master!$V$2:$Z$8,5,0),""),"")</f>
        <v/>
      </c>
      <c r="P510" s="6" t="str">
        <f t="shared" si="16"/>
        <v/>
      </c>
      <c r="Q510" s="13">
        <f t="shared" si="17"/>
        <v>0</v>
      </c>
    </row>
    <row r="511" spans="2:17" ht="15" customHeight="1">
      <c r="B511" s="5" t="str">
        <f>_xlfn.IFNA(VLOOKUP(C511,Master!$H:$I,2,FALSE),"")</f>
        <v/>
      </c>
      <c r="D511" s="5" t="str">
        <f>_xlfn.IFNA(VLOOKUP(E511,Master!$H:$I,2,FALSE),"")</f>
        <v/>
      </c>
      <c r="F511" s="26" t="str">
        <f>+_xlfn.XLOOKUP(G511,Master!$V$2:$V$8,Master!$U$2:$U$8,"")</f>
        <v/>
      </c>
      <c r="I511" s="4" t="str">
        <f>_xlfn.IFNA(VLOOKUP(D511,Master!$I:$K,2,FALSE),"")</f>
        <v/>
      </c>
      <c r="J511" s="4" t="str">
        <f>_xlfn.IFNA(VLOOKUP(D511,Master!$I:$K,3,FALSE),"")</f>
        <v/>
      </c>
      <c r="L511" s="27" t="str">
        <f>IF(A511&lt;&gt;"CFA",_xlfn.IFNA(VLOOKUP($G511,Master!$V$2:$Z$8,5,0),""),"")</f>
        <v/>
      </c>
      <c r="P511" s="6" t="str">
        <f t="shared" si="16"/>
        <v/>
      </c>
      <c r="Q511" s="13">
        <f t="shared" si="17"/>
        <v>0</v>
      </c>
    </row>
    <row r="512" spans="2:17" ht="15" customHeight="1">
      <c r="B512" s="5" t="str">
        <f>_xlfn.IFNA(VLOOKUP(C512,Master!$H:$I,2,FALSE),"")</f>
        <v/>
      </c>
      <c r="D512" s="5" t="str">
        <f>_xlfn.IFNA(VLOOKUP(E512,Master!$H:$I,2,FALSE),"")</f>
        <v/>
      </c>
      <c r="F512" s="26" t="str">
        <f>+_xlfn.XLOOKUP(G512,Master!$V$2:$V$8,Master!$U$2:$U$8,"")</f>
        <v/>
      </c>
      <c r="I512" s="4" t="str">
        <f>_xlfn.IFNA(VLOOKUP(D512,Master!$I:$K,2,FALSE),"")</f>
        <v/>
      </c>
      <c r="J512" s="4" t="str">
        <f>_xlfn.IFNA(VLOOKUP(D512,Master!$I:$K,3,FALSE),"")</f>
        <v/>
      </c>
      <c r="L512" s="27" t="str">
        <f>IF(A512&lt;&gt;"CFA",_xlfn.IFNA(VLOOKUP($G512,Master!$V$2:$Z$8,5,0),""),"")</f>
        <v/>
      </c>
      <c r="P512" s="6" t="str">
        <f t="shared" si="16"/>
        <v/>
      </c>
      <c r="Q512" s="13">
        <f t="shared" si="17"/>
        <v>0</v>
      </c>
    </row>
    <row r="513" spans="2:17" ht="15" customHeight="1">
      <c r="B513" s="5" t="str">
        <f>_xlfn.IFNA(VLOOKUP(C513,Master!$H:$I,2,FALSE),"")</f>
        <v/>
      </c>
      <c r="D513" s="5" t="str">
        <f>_xlfn.IFNA(VLOOKUP(E513,Master!$H:$I,2,FALSE),"")</f>
        <v/>
      </c>
      <c r="F513" s="26" t="str">
        <f>+_xlfn.XLOOKUP(G513,Master!$V$2:$V$8,Master!$U$2:$U$8,"")</f>
        <v/>
      </c>
      <c r="I513" s="4" t="str">
        <f>_xlfn.IFNA(VLOOKUP(D513,Master!$I:$K,2,FALSE),"")</f>
        <v/>
      </c>
      <c r="J513" s="4" t="str">
        <f>_xlfn.IFNA(VLOOKUP(D513,Master!$I:$K,3,FALSE),"")</f>
        <v/>
      </c>
      <c r="L513" s="27" t="str">
        <f>IF(A513&lt;&gt;"CFA",_xlfn.IFNA(VLOOKUP($G513,Master!$V$2:$Z$8,5,0),""),"")</f>
        <v/>
      </c>
      <c r="P513" s="6" t="str">
        <f t="shared" si="16"/>
        <v/>
      </c>
      <c r="Q513" s="13">
        <f t="shared" si="17"/>
        <v>0</v>
      </c>
    </row>
    <row r="514" spans="2:17" ht="15" customHeight="1">
      <c r="B514" s="5" t="str">
        <f>_xlfn.IFNA(VLOOKUP(C514,Master!$H:$I,2,FALSE),"")</f>
        <v/>
      </c>
      <c r="D514" s="5" t="str">
        <f>_xlfn.IFNA(VLOOKUP(E514,Master!$H:$I,2,FALSE),"")</f>
        <v/>
      </c>
      <c r="F514" s="26" t="str">
        <f>+_xlfn.XLOOKUP(G514,Master!$V$2:$V$8,Master!$U$2:$U$8,"")</f>
        <v/>
      </c>
      <c r="I514" s="4" t="str">
        <f>_xlfn.IFNA(VLOOKUP(D514,Master!$I:$K,2,FALSE),"")</f>
        <v/>
      </c>
      <c r="J514" s="4" t="str">
        <f>_xlfn.IFNA(VLOOKUP(D514,Master!$I:$K,3,FALSE),"")</f>
        <v/>
      </c>
      <c r="L514" s="27" t="str">
        <f>IF(A514&lt;&gt;"CFA",_xlfn.IFNA(VLOOKUP($G514,Master!$V$2:$Z$8,5,0),""),"")</f>
        <v/>
      </c>
      <c r="P514" s="6" t="str">
        <f t="shared" si="16"/>
        <v/>
      </c>
      <c r="Q514" s="13">
        <f t="shared" si="17"/>
        <v>0</v>
      </c>
    </row>
    <row r="515" spans="2:17" ht="15" customHeight="1">
      <c r="B515" s="5" t="str">
        <f>_xlfn.IFNA(VLOOKUP(C515,Master!$H:$I,2,FALSE),"")</f>
        <v/>
      </c>
      <c r="D515" s="5" t="str">
        <f>_xlfn.IFNA(VLOOKUP(E515,Master!$H:$I,2,FALSE),"")</f>
        <v/>
      </c>
      <c r="F515" s="26" t="str">
        <f>+_xlfn.XLOOKUP(G515,Master!$V$2:$V$8,Master!$U$2:$U$8,"")</f>
        <v/>
      </c>
      <c r="I515" s="4" t="str">
        <f>_xlfn.IFNA(VLOOKUP(D515,Master!$I:$K,2,FALSE),"")</f>
        <v/>
      </c>
      <c r="J515" s="4" t="str">
        <f>_xlfn.IFNA(VLOOKUP(D515,Master!$I:$K,3,FALSE),"")</f>
        <v/>
      </c>
      <c r="L515" s="27" t="str">
        <f>IF(A515&lt;&gt;"CFA",_xlfn.IFNA(VLOOKUP($G515,Master!$V$2:$Z$8,5,0),""),"")</f>
        <v/>
      </c>
      <c r="P515" s="6" t="str">
        <f t="shared" si="16"/>
        <v/>
      </c>
      <c r="Q515" s="13">
        <f t="shared" si="17"/>
        <v>0</v>
      </c>
    </row>
    <row r="516" spans="2:17" ht="15" customHeight="1">
      <c r="B516" s="5" t="str">
        <f>_xlfn.IFNA(VLOOKUP(C516,Master!$H:$I,2,FALSE),"")</f>
        <v/>
      </c>
      <c r="D516" s="5" t="str">
        <f>_xlfn.IFNA(VLOOKUP(E516,Master!$H:$I,2,FALSE),"")</f>
        <v/>
      </c>
      <c r="F516" s="26" t="str">
        <f>+_xlfn.XLOOKUP(G516,Master!$V$2:$V$8,Master!$U$2:$U$8,"")</f>
        <v/>
      </c>
      <c r="I516" s="4" t="str">
        <f>_xlfn.IFNA(VLOOKUP(D516,Master!$I:$K,2,FALSE),"")</f>
        <v/>
      </c>
      <c r="J516" s="4" t="str">
        <f>_xlfn.IFNA(VLOOKUP(D516,Master!$I:$K,3,FALSE),"")</f>
        <v/>
      </c>
      <c r="L516" s="27" t="str">
        <f>IF(A516&lt;&gt;"CFA",_xlfn.IFNA(VLOOKUP($G516,Master!$V$2:$Z$8,5,0),""),"")</f>
        <v/>
      </c>
      <c r="P516" s="6" t="str">
        <f t="shared" si="16"/>
        <v/>
      </c>
      <c r="Q516" s="13">
        <f t="shared" si="17"/>
        <v>0</v>
      </c>
    </row>
    <row r="517" spans="2:17" ht="15" customHeight="1">
      <c r="B517" s="5" t="str">
        <f>_xlfn.IFNA(VLOOKUP(C517,Master!$H:$I,2,FALSE),"")</f>
        <v/>
      </c>
      <c r="D517" s="5" t="str">
        <f>_xlfn.IFNA(VLOOKUP(E517,Master!$H:$I,2,FALSE),"")</f>
        <v/>
      </c>
      <c r="F517" s="26" t="str">
        <f>+_xlfn.XLOOKUP(G517,Master!$V$2:$V$8,Master!$U$2:$U$8,"")</f>
        <v/>
      </c>
      <c r="I517" s="4" t="str">
        <f>_xlfn.IFNA(VLOOKUP(D517,Master!$I:$K,2,FALSE),"")</f>
        <v/>
      </c>
      <c r="J517" s="4" t="str">
        <f>_xlfn.IFNA(VLOOKUP(D517,Master!$I:$K,3,FALSE),"")</f>
        <v/>
      </c>
      <c r="L517" s="27" t="str">
        <f>IF(A517&lt;&gt;"CFA",_xlfn.IFNA(VLOOKUP($G517,Master!$V$2:$Z$8,5,0),""),"")</f>
        <v/>
      </c>
      <c r="P517" s="6" t="str">
        <f t="shared" si="16"/>
        <v/>
      </c>
      <c r="Q517" s="13">
        <f t="shared" si="17"/>
        <v>0</v>
      </c>
    </row>
    <row r="518" spans="2:17" ht="15" customHeight="1">
      <c r="B518" s="5" t="str">
        <f>_xlfn.IFNA(VLOOKUP(C518,Master!$H:$I,2,FALSE),"")</f>
        <v/>
      </c>
      <c r="D518" s="5" t="str">
        <f>_xlfn.IFNA(VLOOKUP(E518,Master!$H:$I,2,FALSE),"")</f>
        <v/>
      </c>
      <c r="F518" s="26" t="str">
        <f>+_xlfn.XLOOKUP(G518,Master!$V$2:$V$8,Master!$U$2:$U$8,"")</f>
        <v/>
      </c>
      <c r="I518" s="4" t="str">
        <f>_xlfn.IFNA(VLOOKUP(D518,Master!$I:$K,2,FALSE),"")</f>
        <v/>
      </c>
      <c r="J518" s="4" t="str">
        <f>_xlfn.IFNA(VLOOKUP(D518,Master!$I:$K,3,FALSE),"")</f>
        <v/>
      </c>
      <c r="L518" s="27" t="str">
        <f>IF(A518&lt;&gt;"CFA",_xlfn.IFNA(VLOOKUP($G518,Master!$V$2:$Z$8,5,0),""),"")</f>
        <v/>
      </c>
      <c r="P518" s="6" t="str">
        <f t="shared" si="16"/>
        <v/>
      </c>
      <c r="Q518" s="13">
        <f t="shared" si="17"/>
        <v>0</v>
      </c>
    </row>
    <row r="519" spans="2:17" ht="15" customHeight="1">
      <c r="B519" s="5" t="str">
        <f>_xlfn.IFNA(VLOOKUP(C519,Master!$H:$I,2,FALSE),"")</f>
        <v/>
      </c>
      <c r="D519" s="5" t="str">
        <f>_xlfn.IFNA(VLOOKUP(E519,Master!$H:$I,2,FALSE),"")</f>
        <v/>
      </c>
      <c r="F519" s="26" t="str">
        <f>+_xlfn.XLOOKUP(G519,Master!$V$2:$V$8,Master!$U$2:$U$8,"")</f>
        <v/>
      </c>
      <c r="I519" s="4" t="str">
        <f>_xlfn.IFNA(VLOOKUP(D519,Master!$I:$K,2,FALSE),"")</f>
        <v/>
      </c>
      <c r="J519" s="4" t="str">
        <f>_xlfn.IFNA(VLOOKUP(D519,Master!$I:$K,3,FALSE),"")</f>
        <v/>
      </c>
      <c r="L519" s="27" t="str">
        <f>IF(A519&lt;&gt;"CFA",_xlfn.IFNA(VLOOKUP($G519,Master!$V$2:$Z$8,5,0),""),"")</f>
        <v/>
      </c>
      <c r="P519" s="6" t="str">
        <f t="shared" si="16"/>
        <v/>
      </c>
      <c r="Q519" s="13">
        <f t="shared" si="17"/>
        <v>0</v>
      </c>
    </row>
    <row r="520" spans="2:17" ht="15" customHeight="1">
      <c r="B520" s="5" t="str">
        <f>_xlfn.IFNA(VLOOKUP(C520,Master!$H:$I,2,FALSE),"")</f>
        <v/>
      </c>
      <c r="D520" s="5" t="str">
        <f>_xlfn.IFNA(VLOOKUP(E520,Master!$H:$I,2,FALSE),"")</f>
        <v/>
      </c>
      <c r="F520" s="26" t="str">
        <f>+_xlfn.XLOOKUP(G520,Master!$V$2:$V$8,Master!$U$2:$U$8,"")</f>
        <v/>
      </c>
      <c r="I520" s="4" t="str">
        <f>_xlfn.IFNA(VLOOKUP(D520,Master!$I:$K,2,FALSE),"")</f>
        <v/>
      </c>
      <c r="J520" s="4" t="str">
        <f>_xlfn.IFNA(VLOOKUP(D520,Master!$I:$K,3,FALSE),"")</f>
        <v/>
      </c>
      <c r="L520" s="27" t="str">
        <f>IF(A520&lt;&gt;"CFA",_xlfn.IFNA(VLOOKUP($G520,Master!$V$2:$Z$8,5,0),""),"")</f>
        <v/>
      </c>
      <c r="P520" s="6" t="str">
        <f t="shared" si="16"/>
        <v/>
      </c>
      <c r="Q520" s="13">
        <f t="shared" si="17"/>
        <v>0</v>
      </c>
    </row>
    <row r="521" spans="2:17" ht="15" customHeight="1">
      <c r="B521" s="5" t="str">
        <f>_xlfn.IFNA(VLOOKUP(C521,Master!$H:$I,2,FALSE),"")</f>
        <v/>
      </c>
      <c r="D521" s="5" t="str">
        <f>_xlfn.IFNA(VLOOKUP(E521,Master!$H:$I,2,FALSE),"")</f>
        <v/>
      </c>
      <c r="F521" s="26" t="str">
        <f>+_xlfn.XLOOKUP(G521,Master!$V$2:$V$8,Master!$U$2:$U$8,"")</f>
        <v/>
      </c>
      <c r="I521" s="4" t="str">
        <f>_xlfn.IFNA(VLOOKUP(D521,Master!$I:$K,2,FALSE),"")</f>
        <v/>
      </c>
      <c r="J521" s="4" t="str">
        <f>_xlfn.IFNA(VLOOKUP(D521,Master!$I:$K,3,FALSE),"")</f>
        <v/>
      </c>
      <c r="L521" s="27" t="str">
        <f>IF(A521&lt;&gt;"CFA",_xlfn.IFNA(VLOOKUP($G521,Master!$V$2:$Z$8,5,0),""),"")</f>
        <v/>
      </c>
      <c r="P521" s="6" t="str">
        <f t="shared" si="16"/>
        <v/>
      </c>
      <c r="Q521" s="13">
        <f t="shared" si="17"/>
        <v>0</v>
      </c>
    </row>
    <row r="522" spans="2:17" ht="15" customHeight="1">
      <c r="B522" s="5" t="str">
        <f>_xlfn.IFNA(VLOOKUP(C522,Master!$H:$I,2,FALSE),"")</f>
        <v/>
      </c>
      <c r="D522" s="5" t="str">
        <f>_xlfn.IFNA(VLOOKUP(E522,Master!$H:$I,2,FALSE),"")</f>
        <v/>
      </c>
      <c r="F522" s="26" t="str">
        <f>+_xlfn.XLOOKUP(G522,Master!$V$2:$V$8,Master!$U$2:$U$8,"")</f>
        <v/>
      </c>
      <c r="I522" s="4" t="str">
        <f>_xlfn.IFNA(VLOOKUP(D522,Master!$I:$K,2,FALSE),"")</f>
        <v/>
      </c>
      <c r="J522" s="4" t="str">
        <f>_xlfn.IFNA(VLOOKUP(D522,Master!$I:$K,3,FALSE),"")</f>
        <v/>
      </c>
      <c r="L522" s="27" t="str">
        <f>IF(A522&lt;&gt;"CFA",_xlfn.IFNA(VLOOKUP($G522,Master!$V$2:$Z$8,5,0),""),"")</f>
        <v/>
      </c>
      <c r="P522" s="6" t="str">
        <f t="shared" si="16"/>
        <v/>
      </c>
      <c r="Q522" s="13">
        <f t="shared" si="17"/>
        <v>0</v>
      </c>
    </row>
    <row r="523" spans="2:17" ht="15" customHeight="1">
      <c r="B523" s="5" t="str">
        <f>_xlfn.IFNA(VLOOKUP(C523,Master!$H:$I,2,FALSE),"")</f>
        <v/>
      </c>
      <c r="D523" s="5" t="str">
        <f>_xlfn.IFNA(VLOOKUP(E523,Master!$H:$I,2,FALSE),"")</f>
        <v/>
      </c>
      <c r="F523" s="26" t="str">
        <f>+_xlfn.XLOOKUP(G523,Master!$V$2:$V$8,Master!$U$2:$U$8,"")</f>
        <v/>
      </c>
      <c r="I523" s="4" t="str">
        <f>_xlfn.IFNA(VLOOKUP(D523,Master!$I:$K,2,FALSE),"")</f>
        <v/>
      </c>
      <c r="J523" s="4" t="str">
        <f>_xlfn.IFNA(VLOOKUP(D523,Master!$I:$K,3,FALSE),"")</f>
        <v/>
      </c>
      <c r="L523" s="27" t="str">
        <f>IF(A523&lt;&gt;"CFA",_xlfn.IFNA(VLOOKUP($G523,Master!$V$2:$Z$8,5,0),""),"")</f>
        <v/>
      </c>
      <c r="P523" s="6" t="str">
        <f t="shared" si="16"/>
        <v/>
      </c>
      <c r="Q523" s="13">
        <f t="shared" si="17"/>
        <v>0</v>
      </c>
    </row>
    <row r="524" spans="2:17" ht="15" customHeight="1">
      <c r="B524" s="5" t="str">
        <f>_xlfn.IFNA(VLOOKUP(C524,Master!$H:$I,2,FALSE),"")</f>
        <v/>
      </c>
      <c r="D524" s="5" t="str">
        <f>_xlfn.IFNA(VLOOKUP(E524,Master!$H:$I,2,FALSE),"")</f>
        <v/>
      </c>
      <c r="F524" s="26" t="str">
        <f>+_xlfn.XLOOKUP(G524,Master!$V$2:$V$8,Master!$U$2:$U$8,"")</f>
        <v/>
      </c>
      <c r="I524" s="4" t="str">
        <f>_xlfn.IFNA(VLOOKUP(D524,Master!$I:$K,2,FALSE),"")</f>
        <v/>
      </c>
      <c r="J524" s="4" t="str">
        <f>_xlfn.IFNA(VLOOKUP(D524,Master!$I:$K,3,FALSE),"")</f>
        <v/>
      </c>
      <c r="L524" s="27" t="str">
        <f>IF(A524&lt;&gt;"CFA",_xlfn.IFNA(VLOOKUP($G524,Master!$V$2:$Z$8,5,0),""),"")</f>
        <v/>
      </c>
      <c r="P524" s="6" t="str">
        <f t="shared" si="16"/>
        <v/>
      </c>
      <c r="Q524" s="13">
        <f t="shared" si="17"/>
        <v>0</v>
      </c>
    </row>
    <row r="525" spans="2:17" ht="15" customHeight="1">
      <c r="B525" s="5" t="str">
        <f>_xlfn.IFNA(VLOOKUP(C525,Master!$H:$I,2,FALSE),"")</f>
        <v/>
      </c>
      <c r="D525" s="5" t="str">
        <f>_xlfn.IFNA(VLOOKUP(E525,Master!$H:$I,2,FALSE),"")</f>
        <v/>
      </c>
      <c r="F525" s="26" t="str">
        <f>+_xlfn.XLOOKUP(G525,Master!$V$2:$V$8,Master!$U$2:$U$8,"")</f>
        <v/>
      </c>
      <c r="I525" s="4" t="str">
        <f>_xlfn.IFNA(VLOOKUP(D525,Master!$I:$K,2,FALSE),"")</f>
        <v/>
      </c>
      <c r="J525" s="4" t="str">
        <f>_xlfn.IFNA(VLOOKUP(D525,Master!$I:$K,3,FALSE),"")</f>
        <v/>
      </c>
      <c r="L525" s="27" t="str">
        <f>IF(A525&lt;&gt;"CFA",_xlfn.IFNA(VLOOKUP($G525,Master!$V$2:$Z$8,5,0),""),"")</f>
        <v/>
      </c>
      <c r="P525" s="6" t="str">
        <f t="shared" si="16"/>
        <v/>
      </c>
      <c r="Q525" s="13">
        <f t="shared" si="17"/>
        <v>0</v>
      </c>
    </row>
    <row r="526" spans="2:17" ht="15" customHeight="1">
      <c r="B526" s="5" t="str">
        <f>_xlfn.IFNA(VLOOKUP(C526,Master!$H:$I,2,FALSE),"")</f>
        <v/>
      </c>
      <c r="D526" s="5" t="str">
        <f>_xlfn.IFNA(VLOOKUP(E526,Master!$H:$I,2,FALSE),"")</f>
        <v/>
      </c>
      <c r="F526" s="26" t="str">
        <f>+_xlfn.XLOOKUP(G526,Master!$V$2:$V$8,Master!$U$2:$U$8,"")</f>
        <v/>
      </c>
      <c r="I526" s="4" t="str">
        <f>_xlfn.IFNA(VLOOKUP(D526,Master!$I:$K,2,FALSE),"")</f>
        <v/>
      </c>
      <c r="J526" s="4" t="str">
        <f>_xlfn.IFNA(VLOOKUP(D526,Master!$I:$K,3,FALSE),"")</f>
        <v/>
      </c>
      <c r="L526" s="27" t="str">
        <f>IF(A526&lt;&gt;"CFA",_xlfn.IFNA(VLOOKUP($G526,Master!$V$2:$Z$8,5,0),""),"")</f>
        <v/>
      </c>
      <c r="P526" s="6" t="str">
        <f t="shared" si="16"/>
        <v/>
      </c>
      <c r="Q526" s="13">
        <f t="shared" si="17"/>
        <v>0</v>
      </c>
    </row>
    <row r="527" spans="2:17" ht="15" customHeight="1">
      <c r="B527" s="5" t="str">
        <f>_xlfn.IFNA(VLOOKUP(C527,Master!$H:$I,2,FALSE),"")</f>
        <v/>
      </c>
      <c r="D527" s="5" t="str">
        <f>_xlfn.IFNA(VLOOKUP(E527,Master!$H:$I,2,FALSE),"")</f>
        <v/>
      </c>
      <c r="F527" s="26" t="str">
        <f>+_xlfn.XLOOKUP(G527,Master!$V$2:$V$8,Master!$U$2:$U$8,"")</f>
        <v/>
      </c>
      <c r="I527" s="4" t="str">
        <f>_xlfn.IFNA(VLOOKUP(D527,Master!$I:$K,2,FALSE),"")</f>
        <v/>
      </c>
      <c r="J527" s="4" t="str">
        <f>_xlfn.IFNA(VLOOKUP(D527,Master!$I:$K,3,FALSE),"")</f>
        <v/>
      </c>
      <c r="L527" s="27" t="str">
        <f>IF(A527&lt;&gt;"CFA",_xlfn.IFNA(VLOOKUP($G527,Master!$V$2:$Z$8,5,0),""),"")</f>
        <v/>
      </c>
      <c r="P527" s="6" t="str">
        <f t="shared" si="16"/>
        <v/>
      </c>
      <c r="Q527" s="13">
        <f t="shared" si="17"/>
        <v>0</v>
      </c>
    </row>
    <row r="528" spans="2:17" ht="15" customHeight="1">
      <c r="B528" s="5" t="str">
        <f>_xlfn.IFNA(VLOOKUP(C528,Master!$H:$I,2,FALSE),"")</f>
        <v/>
      </c>
      <c r="D528" s="5" t="str">
        <f>_xlfn.IFNA(VLOOKUP(E528,Master!$H:$I,2,FALSE),"")</f>
        <v/>
      </c>
      <c r="F528" s="26" t="str">
        <f>+_xlfn.XLOOKUP(G528,Master!$V$2:$V$8,Master!$U$2:$U$8,"")</f>
        <v/>
      </c>
      <c r="I528" s="4" t="str">
        <f>_xlfn.IFNA(VLOOKUP(D528,Master!$I:$K,2,FALSE),"")</f>
        <v/>
      </c>
      <c r="J528" s="4" t="str">
        <f>_xlfn.IFNA(VLOOKUP(D528,Master!$I:$K,3,FALSE),"")</f>
        <v/>
      </c>
      <c r="L528" s="27" t="str">
        <f>IF(A528&lt;&gt;"CFA",_xlfn.IFNA(VLOOKUP($G528,Master!$V$2:$Z$8,5,0),""),"")</f>
        <v/>
      </c>
      <c r="P528" s="6" t="str">
        <f t="shared" si="16"/>
        <v/>
      </c>
      <c r="Q528" s="13">
        <f t="shared" si="17"/>
        <v>0</v>
      </c>
    </row>
    <row r="529" spans="2:17" ht="15" customHeight="1">
      <c r="B529" s="5" t="str">
        <f>_xlfn.IFNA(VLOOKUP(C529,Master!$H:$I,2,FALSE),"")</f>
        <v/>
      </c>
      <c r="D529" s="5" t="str">
        <f>_xlfn.IFNA(VLOOKUP(E529,Master!$H:$I,2,FALSE),"")</f>
        <v/>
      </c>
      <c r="F529" s="26" t="str">
        <f>+_xlfn.XLOOKUP(G529,Master!$V$2:$V$8,Master!$U$2:$U$8,"")</f>
        <v/>
      </c>
      <c r="I529" s="4" t="str">
        <f>_xlfn.IFNA(VLOOKUP(D529,Master!$I:$K,2,FALSE),"")</f>
        <v/>
      </c>
      <c r="J529" s="4" t="str">
        <f>_xlfn.IFNA(VLOOKUP(D529,Master!$I:$K,3,FALSE),"")</f>
        <v/>
      </c>
      <c r="L529" s="27" t="str">
        <f>IF(A529&lt;&gt;"CFA",_xlfn.IFNA(VLOOKUP($G529,Master!$V$2:$Z$8,5,0),""),"")</f>
        <v/>
      </c>
      <c r="P529" s="6" t="str">
        <f t="shared" si="16"/>
        <v/>
      </c>
      <c r="Q529" s="13">
        <f t="shared" si="17"/>
        <v>0</v>
      </c>
    </row>
    <row r="530" spans="2:17" ht="15" customHeight="1">
      <c r="B530" s="5" t="str">
        <f>_xlfn.IFNA(VLOOKUP(C530,Master!$H:$I,2,FALSE),"")</f>
        <v/>
      </c>
      <c r="D530" s="5" t="str">
        <f>_xlfn.IFNA(VLOOKUP(E530,Master!$H:$I,2,FALSE),"")</f>
        <v/>
      </c>
      <c r="F530" s="26" t="str">
        <f>+_xlfn.XLOOKUP(G530,Master!$V$2:$V$8,Master!$U$2:$U$8,"")</f>
        <v/>
      </c>
      <c r="I530" s="4" t="str">
        <f>_xlfn.IFNA(VLOOKUP(D530,Master!$I:$K,2,FALSE),"")</f>
        <v/>
      </c>
      <c r="J530" s="4" t="str">
        <f>_xlfn.IFNA(VLOOKUP(D530,Master!$I:$K,3,FALSE),"")</f>
        <v/>
      </c>
      <c r="L530" s="27" t="str">
        <f>IF(A530&lt;&gt;"CFA",_xlfn.IFNA(VLOOKUP($G530,Master!$V$2:$Z$8,5,0),""),"")</f>
        <v/>
      </c>
      <c r="P530" s="6" t="str">
        <f t="shared" si="16"/>
        <v/>
      </c>
      <c r="Q530" s="13">
        <f t="shared" si="17"/>
        <v>0</v>
      </c>
    </row>
    <row r="531" spans="2:17" ht="15" customHeight="1">
      <c r="B531" s="5" t="str">
        <f>_xlfn.IFNA(VLOOKUP(C531,Master!$H:$I,2,FALSE),"")</f>
        <v/>
      </c>
      <c r="D531" s="5" t="str">
        <f>_xlfn.IFNA(VLOOKUP(E531,Master!$H:$I,2,FALSE),"")</f>
        <v/>
      </c>
      <c r="F531" s="26" t="str">
        <f>+_xlfn.XLOOKUP(G531,Master!$V$2:$V$8,Master!$U$2:$U$8,"")</f>
        <v/>
      </c>
      <c r="I531" s="4" t="str">
        <f>_xlfn.IFNA(VLOOKUP(D531,Master!$I:$K,2,FALSE),"")</f>
        <v/>
      </c>
      <c r="J531" s="4" t="str">
        <f>_xlfn.IFNA(VLOOKUP(D531,Master!$I:$K,3,FALSE),"")</f>
        <v/>
      </c>
      <c r="L531" s="27" t="str">
        <f>IF(A531&lt;&gt;"CFA",_xlfn.IFNA(VLOOKUP($G531,Master!$V$2:$Z$8,5,0),""),"")</f>
        <v/>
      </c>
      <c r="P531" s="6" t="str">
        <f t="shared" si="16"/>
        <v/>
      </c>
      <c r="Q531" s="13">
        <f t="shared" si="17"/>
        <v>0</v>
      </c>
    </row>
    <row r="532" spans="2:17" ht="15" customHeight="1">
      <c r="B532" s="5" t="str">
        <f>_xlfn.IFNA(VLOOKUP(C532,Master!$H:$I,2,FALSE),"")</f>
        <v/>
      </c>
      <c r="D532" s="5" t="str">
        <f>_xlfn.IFNA(VLOOKUP(E532,Master!$H:$I,2,FALSE),"")</f>
        <v/>
      </c>
      <c r="F532" s="26" t="str">
        <f>+_xlfn.XLOOKUP(G532,Master!$V$2:$V$8,Master!$U$2:$U$8,"")</f>
        <v/>
      </c>
      <c r="I532" s="4" t="str">
        <f>_xlfn.IFNA(VLOOKUP(D532,Master!$I:$K,2,FALSE),"")</f>
        <v/>
      </c>
      <c r="J532" s="4" t="str">
        <f>_xlfn.IFNA(VLOOKUP(D532,Master!$I:$K,3,FALSE),"")</f>
        <v/>
      </c>
      <c r="L532" s="27" t="str">
        <f>IF(A532&lt;&gt;"CFA",_xlfn.IFNA(VLOOKUP($G532,Master!$V$2:$Z$8,5,0),""),"")</f>
        <v/>
      </c>
      <c r="P532" s="6" t="str">
        <f t="shared" si="16"/>
        <v/>
      </c>
      <c r="Q532" s="13">
        <f t="shared" si="17"/>
        <v>0</v>
      </c>
    </row>
    <row r="533" spans="2:17" ht="15" customHeight="1">
      <c r="B533" s="5" t="str">
        <f>_xlfn.IFNA(VLOOKUP(C533,Master!$H:$I,2,FALSE),"")</f>
        <v/>
      </c>
      <c r="D533" s="5" t="str">
        <f>_xlfn.IFNA(VLOOKUP(E533,Master!$H:$I,2,FALSE),"")</f>
        <v/>
      </c>
      <c r="F533" s="26" t="str">
        <f>+_xlfn.XLOOKUP(G533,Master!$V$2:$V$8,Master!$U$2:$U$8,"")</f>
        <v/>
      </c>
      <c r="I533" s="4" t="str">
        <f>_xlfn.IFNA(VLOOKUP(D533,Master!$I:$K,2,FALSE),"")</f>
        <v/>
      </c>
      <c r="J533" s="4" t="str">
        <f>_xlfn.IFNA(VLOOKUP(D533,Master!$I:$K,3,FALSE),"")</f>
        <v/>
      </c>
      <c r="L533" s="27" t="str">
        <f>IF(A533&lt;&gt;"CFA",_xlfn.IFNA(VLOOKUP($G533,Master!$V$2:$Z$8,5,0),""),"")</f>
        <v/>
      </c>
      <c r="P533" s="6" t="str">
        <f t="shared" si="16"/>
        <v/>
      </c>
      <c r="Q533" s="13">
        <f t="shared" si="17"/>
        <v>0</v>
      </c>
    </row>
    <row r="534" spans="2:17" ht="15" customHeight="1">
      <c r="B534" s="5" t="str">
        <f>_xlfn.IFNA(VLOOKUP(C534,Master!$H:$I,2,FALSE),"")</f>
        <v/>
      </c>
      <c r="D534" s="5" t="str">
        <f>_xlfn.IFNA(VLOOKUP(E534,Master!$H:$I,2,FALSE),"")</f>
        <v/>
      </c>
      <c r="F534" s="26" t="str">
        <f>+_xlfn.XLOOKUP(G534,Master!$V$2:$V$8,Master!$U$2:$U$8,"")</f>
        <v/>
      </c>
      <c r="I534" s="4" t="str">
        <f>_xlfn.IFNA(VLOOKUP(D534,Master!$I:$K,2,FALSE),"")</f>
        <v/>
      </c>
      <c r="J534" s="4" t="str">
        <f>_xlfn.IFNA(VLOOKUP(D534,Master!$I:$K,3,FALSE),"")</f>
        <v/>
      </c>
      <c r="L534" s="27" t="str">
        <f>IF(A534&lt;&gt;"CFA",_xlfn.IFNA(VLOOKUP($G534,Master!$V$2:$Z$8,5,0),""),"")</f>
        <v/>
      </c>
      <c r="P534" s="6" t="str">
        <f t="shared" si="16"/>
        <v/>
      </c>
      <c r="Q534" s="13">
        <f t="shared" si="17"/>
        <v>0</v>
      </c>
    </row>
    <row r="535" spans="2:17" ht="15" customHeight="1">
      <c r="B535" s="5" t="str">
        <f>_xlfn.IFNA(VLOOKUP(C535,Master!$H:$I,2,FALSE),"")</f>
        <v/>
      </c>
      <c r="D535" s="5" t="str">
        <f>_xlfn.IFNA(VLOOKUP(E535,Master!$H:$I,2,FALSE),"")</f>
        <v/>
      </c>
      <c r="F535" s="26" t="str">
        <f>+_xlfn.XLOOKUP(G535,Master!$V$2:$V$8,Master!$U$2:$U$8,"")</f>
        <v/>
      </c>
      <c r="I535" s="4" t="str">
        <f>_xlfn.IFNA(VLOOKUP(D535,Master!$I:$K,2,FALSE),"")</f>
        <v/>
      </c>
      <c r="J535" s="4" t="str">
        <f>_xlfn.IFNA(VLOOKUP(D535,Master!$I:$K,3,FALSE),"")</f>
        <v/>
      </c>
      <c r="L535" s="27" t="str">
        <f>IF(A535&lt;&gt;"CFA",_xlfn.IFNA(VLOOKUP($G535,Master!$V$2:$Z$8,5,0),""),"")</f>
        <v/>
      </c>
      <c r="P535" s="6" t="str">
        <f t="shared" si="16"/>
        <v/>
      </c>
      <c r="Q535" s="13">
        <f t="shared" si="17"/>
        <v>0</v>
      </c>
    </row>
    <row r="536" spans="2:17" ht="15" customHeight="1">
      <c r="B536" s="5" t="str">
        <f>_xlfn.IFNA(VLOOKUP(C536,Master!$H:$I,2,FALSE),"")</f>
        <v/>
      </c>
      <c r="D536" s="5" t="str">
        <f>_xlfn.IFNA(VLOOKUP(E536,Master!$H:$I,2,FALSE),"")</f>
        <v/>
      </c>
      <c r="F536" s="26" t="str">
        <f>+_xlfn.XLOOKUP(G536,Master!$V$2:$V$8,Master!$U$2:$U$8,"")</f>
        <v/>
      </c>
      <c r="I536" s="4" t="str">
        <f>_xlfn.IFNA(VLOOKUP(D536,Master!$I:$K,2,FALSE),"")</f>
        <v/>
      </c>
      <c r="J536" s="4" t="str">
        <f>_xlfn.IFNA(VLOOKUP(D536,Master!$I:$K,3,FALSE),"")</f>
        <v/>
      </c>
      <c r="L536" s="27" t="str">
        <f>IF(A536&lt;&gt;"CFA",_xlfn.IFNA(VLOOKUP($G536,Master!$V$2:$Z$8,5,0),""),"")</f>
        <v/>
      </c>
      <c r="P536" s="6" t="str">
        <f t="shared" si="16"/>
        <v/>
      </c>
      <c r="Q536" s="13">
        <f t="shared" si="17"/>
        <v>0</v>
      </c>
    </row>
    <row r="537" spans="2:17" ht="15" customHeight="1">
      <c r="B537" s="5" t="str">
        <f>_xlfn.IFNA(VLOOKUP(C537,Master!$H:$I,2,FALSE),"")</f>
        <v/>
      </c>
      <c r="D537" s="5" t="str">
        <f>_xlfn.IFNA(VLOOKUP(E537,Master!$H:$I,2,FALSE),"")</f>
        <v/>
      </c>
      <c r="F537" s="26" t="str">
        <f>+_xlfn.XLOOKUP(G537,Master!$V$2:$V$8,Master!$U$2:$U$8,"")</f>
        <v/>
      </c>
      <c r="I537" s="4" t="str">
        <f>_xlfn.IFNA(VLOOKUP(D537,Master!$I:$K,2,FALSE),"")</f>
        <v/>
      </c>
      <c r="J537" s="4" t="str">
        <f>_xlfn.IFNA(VLOOKUP(D537,Master!$I:$K,3,FALSE),"")</f>
        <v/>
      </c>
      <c r="L537" s="27" t="str">
        <f>IF(A537&lt;&gt;"CFA",_xlfn.IFNA(VLOOKUP($G537,Master!$V$2:$Z$8,5,0),""),"")</f>
        <v/>
      </c>
      <c r="P537" s="6" t="str">
        <f t="shared" si="16"/>
        <v/>
      </c>
      <c r="Q537" s="13">
        <f t="shared" si="17"/>
        <v>0</v>
      </c>
    </row>
    <row r="538" spans="2:17" ht="15" customHeight="1">
      <c r="B538" s="5" t="str">
        <f>_xlfn.IFNA(VLOOKUP(C538,Master!$H:$I,2,FALSE),"")</f>
        <v/>
      </c>
      <c r="D538" s="5" t="str">
        <f>_xlfn.IFNA(VLOOKUP(E538,Master!$H:$I,2,FALSE),"")</f>
        <v/>
      </c>
      <c r="F538" s="26" t="str">
        <f>+_xlfn.XLOOKUP(G538,Master!$V$2:$V$8,Master!$U$2:$U$8,"")</f>
        <v/>
      </c>
      <c r="I538" s="4" t="str">
        <f>_xlfn.IFNA(VLOOKUP(D538,Master!$I:$K,2,FALSE),"")</f>
        <v/>
      </c>
      <c r="J538" s="4" t="str">
        <f>_xlfn.IFNA(VLOOKUP(D538,Master!$I:$K,3,FALSE),"")</f>
        <v/>
      </c>
      <c r="L538" s="27" t="str">
        <f>IF(A538&lt;&gt;"CFA",_xlfn.IFNA(VLOOKUP($G538,Master!$V$2:$Z$8,5,0),""),"")</f>
        <v/>
      </c>
      <c r="P538" s="6" t="str">
        <f t="shared" si="16"/>
        <v/>
      </c>
      <c r="Q538" s="13">
        <f t="shared" si="17"/>
        <v>0</v>
      </c>
    </row>
    <row r="539" spans="2:17" ht="15" customHeight="1">
      <c r="B539" s="5" t="str">
        <f>_xlfn.IFNA(VLOOKUP(C539,Master!$H:$I,2,FALSE),"")</f>
        <v/>
      </c>
      <c r="D539" s="5" t="str">
        <f>_xlfn.IFNA(VLOOKUP(E539,Master!$H:$I,2,FALSE),"")</f>
        <v/>
      </c>
      <c r="F539" s="26" t="str">
        <f>+_xlfn.XLOOKUP(G539,Master!$V$2:$V$8,Master!$U$2:$U$8,"")</f>
        <v/>
      </c>
      <c r="I539" s="4" t="str">
        <f>_xlfn.IFNA(VLOOKUP(D539,Master!$I:$K,2,FALSE),"")</f>
        <v/>
      </c>
      <c r="J539" s="4" t="str">
        <f>_xlfn.IFNA(VLOOKUP(D539,Master!$I:$K,3,FALSE),"")</f>
        <v/>
      </c>
      <c r="L539" s="27" t="str">
        <f>IF(A539&lt;&gt;"CFA",_xlfn.IFNA(VLOOKUP($G539,Master!$V$2:$Z$8,5,0),""),"")</f>
        <v/>
      </c>
      <c r="P539" s="6" t="str">
        <f t="shared" si="16"/>
        <v/>
      </c>
      <c r="Q539" s="13">
        <f t="shared" si="17"/>
        <v>0</v>
      </c>
    </row>
    <row r="540" spans="2:17" ht="15" customHeight="1">
      <c r="B540" s="5" t="str">
        <f>_xlfn.IFNA(VLOOKUP(C540,Master!$H:$I,2,FALSE),"")</f>
        <v/>
      </c>
      <c r="D540" s="5" t="str">
        <f>_xlfn.IFNA(VLOOKUP(E540,Master!$H:$I,2,FALSE),"")</f>
        <v/>
      </c>
      <c r="F540" s="26" t="str">
        <f>+_xlfn.XLOOKUP(G540,Master!$V$2:$V$8,Master!$U$2:$U$8,"")</f>
        <v/>
      </c>
      <c r="I540" s="4" t="str">
        <f>_xlfn.IFNA(VLOOKUP(D540,Master!$I:$K,2,FALSE),"")</f>
        <v/>
      </c>
      <c r="J540" s="4" t="str">
        <f>_xlfn.IFNA(VLOOKUP(D540,Master!$I:$K,3,FALSE),"")</f>
        <v/>
      </c>
      <c r="L540" s="27" t="str">
        <f>IF(A540&lt;&gt;"CFA",_xlfn.IFNA(VLOOKUP($G540,Master!$V$2:$Z$8,5,0),""),"")</f>
        <v/>
      </c>
      <c r="P540" s="6" t="str">
        <f t="shared" si="16"/>
        <v/>
      </c>
      <c r="Q540" s="13">
        <f t="shared" si="17"/>
        <v>0</v>
      </c>
    </row>
    <row r="541" spans="2:17" ht="15" customHeight="1">
      <c r="B541" s="5" t="str">
        <f>_xlfn.IFNA(VLOOKUP(C541,Master!$H:$I,2,FALSE),"")</f>
        <v/>
      </c>
      <c r="D541" s="5" t="str">
        <f>_xlfn.IFNA(VLOOKUP(E541,Master!$H:$I,2,FALSE),"")</f>
        <v/>
      </c>
      <c r="F541" s="26" t="str">
        <f>+_xlfn.XLOOKUP(G541,Master!$V$2:$V$8,Master!$U$2:$U$8,"")</f>
        <v/>
      </c>
      <c r="I541" s="4" t="str">
        <f>_xlfn.IFNA(VLOOKUP(D541,Master!$I:$K,2,FALSE),"")</f>
        <v/>
      </c>
      <c r="J541" s="4" t="str">
        <f>_xlfn.IFNA(VLOOKUP(D541,Master!$I:$K,3,FALSE),"")</f>
        <v/>
      </c>
      <c r="L541" s="27" t="str">
        <f>IF(A541&lt;&gt;"CFA",_xlfn.IFNA(VLOOKUP($G541,Master!$V$2:$Z$8,5,0),""),"")</f>
        <v/>
      </c>
      <c r="P541" s="6" t="str">
        <f t="shared" si="16"/>
        <v/>
      </c>
      <c r="Q541" s="13">
        <f t="shared" si="17"/>
        <v>0</v>
      </c>
    </row>
    <row r="542" spans="2:17" ht="15" customHeight="1">
      <c r="B542" s="5" t="str">
        <f>_xlfn.IFNA(VLOOKUP(C542,Master!$H:$I,2,FALSE),"")</f>
        <v/>
      </c>
      <c r="D542" s="5" t="str">
        <f>_xlfn.IFNA(VLOOKUP(E542,Master!$H:$I,2,FALSE),"")</f>
        <v/>
      </c>
      <c r="F542" s="26" t="str">
        <f>+_xlfn.XLOOKUP(G542,Master!$V$2:$V$8,Master!$U$2:$U$8,"")</f>
        <v/>
      </c>
      <c r="I542" s="4" t="str">
        <f>_xlfn.IFNA(VLOOKUP(D542,Master!$I:$K,2,FALSE),"")</f>
        <v/>
      </c>
      <c r="J542" s="4" t="str">
        <f>_xlfn.IFNA(VLOOKUP(D542,Master!$I:$K,3,FALSE),"")</f>
        <v/>
      </c>
      <c r="L542" s="27" t="str">
        <f>IF(A542&lt;&gt;"CFA",_xlfn.IFNA(VLOOKUP($G542,Master!$V$2:$Z$8,5,0),""),"")</f>
        <v/>
      </c>
      <c r="P542" s="6" t="str">
        <f t="shared" si="16"/>
        <v/>
      </c>
      <c r="Q542" s="13">
        <f t="shared" si="17"/>
        <v>0</v>
      </c>
    </row>
    <row r="543" spans="2:17" ht="15" customHeight="1">
      <c r="B543" s="5" t="str">
        <f>_xlfn.IFNA(VLOOKUP(C543,Master!$H:$I,2,FALSE),"")</f>
        <v/>
      </c>
      <c r="D543" s="5" t="str">
        <f>_xlfn.IFNA(VLOOKUP(E543,Master!$H:$I,2,FALSE),"")</f>
        <v/>
      </c>
      <c r="F543" s="26" t="str">
        <f>+_xlfn.XLOOKUP(G543,Master!$V$2:$V$8,Master!$U$2:$U$8,"")</f>
        <v/>
      </c>
      <c r="I543" s="4" t="str">
        <f>_xlfn.IFNA(VLOOKUP(D543,Master!$I:$K,2,FALSE),"")</f>
        <v/>
      </c>
      <c r="J543" s="4" t="str">
        <f>_xlfn.IFNA(VLOOKUP(D543,Master!$I:$K,3,FALSE),"")</f>
        <v/>
      </c>
      <c r="L543" s="27" t="str">
        <f>IF(A543&lt;&gt;"CFA",_xlfn.IFNA(VLOOKUP($G543,Master!$V$2:$Z$8,5,0),""),"")</f>
        <v/>
      </c>
      <c r="P543" s="6" t="str">
        <f t="shared" si="16"/>
        <v/>
      </c>
      <c r="Q543" s="13">
        <f t="shared" si="17"/>
        <v>0</v>
      </c>
    </row>
    <row r="544" spans="2:17" ht="15" customHeight="1">
      <c r="B544" s="5" t="str">
        <f>_xlfn.IFNA(VLOOKUP(C544,Master!$H:$I,2,FALSE),"")</f>
        <v/>
      </c>
      <c r="D544" s="5" t="str">
        <f>_xlfn.IFNA(VLOOKUP(E544,Master!$H:$I,2,FALSE),"")</f>
        <v/>
      </c>
      <c r="F544" s="26" t="str">
        <f>+_xlfn.XLOOKUP(G544,Master!$V$2:$V$8,Master!$U$2:$U$8,"")</f>
        <v/>
      </c>
      <c r="I544" s="4" t="str">
        <f>_xlfn.IFNA(VLOOKUP(D544,Master!$I:$K,2,FALSE),"")</f>
        <v/>
      </c>
      <c r="J544" s="4" t="str">
        <f>_xlfn.IFNA(VLOOKUP(D544,Master!$I:$K,3,FALSE),"")</f>
        <v/>
      </c>
      <c r="L544" s="27" t="str">
        <f>IF(A544&lt;&gt;"CFA",_xlfn.IFNA(VLOOKUP($G544,Master!$V$2:$Z$8,5,0),""),"")</f>
        <v/>
      </c>
      <c r="P544" s="6" t="str">
        <f t="shared" si="16"/>
        <v/>
      </c>
      <c r="Q544" s="13">
        <f t="shared" si="17"/>
        <v>0</v>
      </c>
    </row>
    <row r="545" spans="2:17" ht="15" customHeight="1">
      <c r="B545" s="5" t="str">
        <f>_xlfn.IFNA(VLOOKUP(C545,Master!$H:$I,2,FALSE),"")</f>
        <v/>
      </c>
      <c r="D545" s="5" t="str">
        <f>_xlfn.IFNA(VLOOKUP(E545,Master!$H:$I,2,FALSE),"")</f>
        <v/>
      </c>
      <c r="F545" s="26" t="str">
        <f>+_xlfn.XLOOKUP(G545,Master!$V$2:$V$8,Master!$U$2:$U$8,"")</f>
        <v/>
      </c>
      <c r="I545" s="4" t="str">
        <f>_xlfn.IFNA(VLOOKUP(D545,Master!$I:$K,2,FALSE),"")</f>
        <v/>
      </c>
      <c r="J545" s="4" t="str">
        <f>_xlfn.IFNA(VLOOKUP(D545,Master!$I:$K,3,FALSE),"")</f>
        <v/>
      </c>
      <c r="L545" s="27" t="str">
        <f>IF(A545&lt;&gt;"CFA",_xlfn.IFNA(VLOOKUP($G545,Master!$V$2:$Z$8,5,0),""),"")</f>
        <v/>
      </c>
      <c r="P545" s="6" t="str">
        <f t="shared" si="16"/>
        <v/>
      </c>
      <c r="Q545" s="13">
        <f t="shared" si="17"/>
        <v>0</v>
      </c>
    </row>
    <row r="546" spans="2:17" ht="15" customHeight="1">
      <c r="B546" s="5" t="str">
        <f>_xlfn.IFNA(VLOOKUP(C546,Master!$H:$I,2,FALSE),"")</f>
        <v/>
      </c>
      <c r="D546" s="5" t="str">
        <f>_xlfn.IFNA(VLOOKUP(E546,Master!$H:$I,2,FALSE),"")</f>
        <v/>
      </c>
      <c r="F546" s="26" t="str">
        <f>+_xlfn.XLOOKUP(G546,Master!$V$2:$V$8,Master!$U$2:$U$8,"")</f>
        <v/>
      </c>
      <c r="I546" s="4" t="str">
        <f>_xlfn.IFNA(VLOOKUP(D546,Master!$I:$K,2,FALSE),"")</f>
        <v/>
      </c>
      <c r="J546" s="4" t="str">
        <f>_xlfn.IFNA(VLOOKUP(D546,Master!$I:$K,3,FALSE),"")</f>
        <v/>
      </c>
      <c r="L546" s="27" t="str">
        <f>IF(A546&lt;&gt;"CFA",_xlfn.IFNA(VLOOKUP($G546,Master!$V$2:$Z$8,5,0),""),"")</f>
        <v/>
      </c>
      <c r="P546" s="6" t="str">
        <f t="shared" si="16"/>
        <v/>
      </c>
      <c r="Q546" s="13">
        <f t="shared" si="17"/>
        <v>0</v>
      </c>
    </row>
    <row r="547" spans="2:17" ht="15" customHeight="1">
      <c r="B547" s="5" t="str">
        <f>_xlfn.IFNA(VLOOKUP(C547,Master!$H:$I,2,FALSE),"")</f>
        <v/>
      </c>
      <c r="D547" s="5" t="str">
        <f>_xlfn.IFNA(VLOOKUP(E547,Master!$H:$I,2,FALSE),"")</f>
        <v/>
      </c>
      <c r="F547" s="26" t="str">
        <f>+_xlfn.XLOOKUP(G547,Master!$V$2:$V$8,Master!$U$2:$U$8,"")</f>
        <v/>
      </c>
      <c r="I547" s="4" t="str">
        <f>_xlfn.IFNA(VLOOKUP(D547,Master!$I:$K,2,FALSE),"")</f>
        <v/>
      </c>
      <c r="J547" s="4" t="str">
        <f>_xlfn.IFNA(VLOOKUP(D547,Master!$I:$K,3,FALSE),"")</f>
        <v/>
      </c>
      <c r="L547" s="27" t="str">
        <f>IF(A547&lt;&gt;"CFA",_xlfn.IFNA(VLOOKUP($G547,Master!$V$2:$Z$8,5,0),""),"")</f>
        <v/>
      </c>
      <c r="P547" s="6" t="str">
        <f t="shared" si="16"/>
        <v/>
      </c>
      <c r="Q547" s="13">
        <f t="shared" si="17"/>
        <v>0</v>
      </c>
    </row>
    <row r="548" spans="2:17" ht="15" customHeight="1">
      <c r="B548" s="5" t="str">
        <f>_xlfn.IFNA(VLOOKUP(C548,Master!$H:$I,2,FALSE),"")</f>
        <v/>
      </c>
      <c r="D548" s="5" t="str">
        <f>_xlfn.IFNA(VLOOKUP(E548,Master!$H:$I,2,FALSE),"")</f>
        <v/>
      </c>
      <c r="F548" s="26" t="str">
        <f>+_xlfn.XLOOKUP(G548,Master!$V$2:$V$8,Master!$U$2:$U$8,"")</f>
        <v/>
      </c>
      <c r="I548" s="4" t="str">
        <f>_xlfn.IFNA(VLOOKUP(D548,Master!$I:$K,2,FALSE),"")</f>
        <v/>
      </c>
      <c r="J548" s="4" t="str">
        <f>_xlfn.IFNA(VLOOKUP(D548,Master!$I:$K,3,FALSE),"")</f>
        <v/>
      </c>
      <c r="L548" s="27" t="str">
        <f>IF(A548&lt;&gt;"CFA",_xlfn.IFNA(VLOOKUP($G548,Master!$V$2:$Z$8,5,0),""),"")</f>
        <v/>
      </c>
      <c r="P548" s="6" t="str">
        <f t="shared" si="16"/>
        <v/>
      </c>
      <c r="Q548" s="13">
        <f t="shared" si="17"/>
        <v>0</v>
      </c>
    </row>
    <row r="549" spans="2:17" ht="15" customHeight="1">
      <c r="B549" s="5" t="str">
        <f>_xlfn.IFNA(VLOOKUP(C549,Master!$H:$I,2,FALSE),"")</f>
        <v/>
      </c>
      <c r="D549" s="5" t="str">
        <f>_xlfn.IFNA(VLOOKUP(E549,Master!$H:$I,2,FALSE),"")</f>
        <v/>
      </c>
      <c r="F549" s="26" t="str">
        <f>+_xlfn.XLOOKUP(G549,Master!$V$2:$V$8,Master!$U$2:$U$8,"")</f>
        <v/>
      </c>
      <c r="I549" s="4" t="str">
        <f>_xlfn.IFNA(VLOOKUP(D549,Master!$I:$K,2,FALSE),"")</f>
        <v/>
      </c>
      <c r="J549" s="4" t="str">
        <f>_xlfn.IFNA(VLOOKUP(D549,Master!$I:$K,3,FALSE),"")</f>
        <v/>
      </c>
      <c r="L549" s="27" t="str">
        <f>IF(A549&lt;&gt;"CFA",_xlfn.IFNA(VLOOKUP($G549,Master!$V$2:$Z$8,5,0),""),"")</f>
        <v/>
      </c>
      <c r="P549" s="6" t="str">
        <f t="shared" si="16"/>
        <v/>
      </c>
      <c r="Q549" s="13">
        <f t="shared" si="17"/>
        <v>0</v>
      </c>
    </row>
    <row r="550" spans="2:17" ht="15" customHeight="1">
      <c r="B550" s="5" t="str">
        <f>_xlfn.IFNA(VLOOKUP(C550,Master!$H:$I,2,FALSE),"")</f>
        <v/>
      </c>
      <c r="D550" s="5" t="str">
        <f>_xlfn.IFNA(VLOOKUP(E550,Master!$H:$I,2,FALSE),"")</f>
        <v/>
      </c>
      <c r="F550" s="26" t="str">
        <f>+_xlfn.XLOOKUP(G550,Master!$V$2:$V$8,Master!$U$2:$U$8,"")</f>
        <v/>
      </c>
      <c r="I550" s="4" t="str">
        <f>_xlfn.IFNA(VLOOKUP(D550,Master!$I:$K,2,FALSE),"")</f>
        <v/>
      </c>
      <c r="J550" s="4" t="str">
        <f>_xlfn.IFNA(VLOOKUP(D550,Master!$I:$K,3,FALSE),"")</f>
        <v/>
      </c>
      <c r="L550" s="27" t="str">
        <f>IF(A550&lt;&gt;"CFA",_xlfn.IFNA(VLOOKUP($G550,Master!$V$2:$Z$8,5,0),""),"")</f>
        <v/>
      </c>
      <c r="P550" s="6" t="str">
        <f t="shared" si="16"/>
        <v/>
      </c>
      <c r="Q550" s="13">
        <f t="shared" si="17"/>
        <v>0</v>
      </c>
    </row>
    <row r="551" spans="2:17" ht="15" customHeight="1">
      <c r="B551" s="5" t="str">
        <f>_xlfn.IFNA(VLOOKUP(C551,Master!$H:$I,2,FALSE),"")</f>
        <v/>
      </c>
      <c r="D551" s="5" t="str">
        <f>_xlfn.IFNA(VLOOKUP(E551,Master!$H:$I,2,FALSE),"")</f>
        <v/>
      </c>
      <c r="F551" s="26" t="str">
        <f>+_xlfn.XLOOKUP(G551,Master!$V$2:$V$8,Master!$U$2:$U$8,"")</f>
        <v/>
      </c>
      <c r="I551" s="4" t="str">
        <f>_xlfn.IFNA(VLOOKUP(D551,Master!$I:$K,2,FALSE),"")</f>
        <v/>
      </c>
      <c r="J551" s="4" t="str">
        <f>_xlfn.IFNA(VLOOKUP(D551,Master!$I:$K,3,FALSE),"")</f>
        <v/>
      </c>
      <c r="L551" s="27" t="str">
        <f>IF(A551&lt;&gt;"CFA",_xlfn.IFNA(VLOOKUP($G551,Master!$V$2:$Z$8,5,0),""),"")</f>
        <v/>
      </c>
      <c r="P551" s="6" t="str">
        <f t="shared" si="16"/>
        <v/>
      </c>
      <c r="Q551" s="13">
        <f t="shared" si="17"/>
        <v>0</v>
      </c>
    </row>
    <row r="552" spans="2:17" ht="15" customHeight="1">
      <c r="B552" s="5" t="str">
        <f>_xlfn.IFNA(VLOOKUP(C552,Master!$H:$I,2,FALSE),"")</f>
        <v/>
      </c>
      <c r="D552" s="5" t="str">
        <f>_xlfn.IFNA(VLOOKUP(E552,Master!$H:$I,2,FALSE),"")</f>
        <v/>
      </c>
      <c r="F552" s="26" t="str">
        <f>+_xlfn.XLOOKUP(G552,Master!$V$2:$V$8,Master!$U$2:$U$8,"")</f>
        <v/>
      </c>
      <c r="I552" s="4" t="str">
        <f>_xlfn.IFNA(VLOOKUP(D552,Master!$I:$K,2,FALSE),"")</f>
        <v/>
      </c>
      <c r="J552" s="4" t="str">
        <f>_xlfn.IFNA(VLOOKUP(D552,Master!$I:$K,3,FALSE),"")</f>
        <v/>
      </c>
      <c r="L552" s="27" t="str">
        <f>IF(A552&lt;&gt;"CFA",_xlfn.IFNA(VLOOKUP($G552,Master!$V$2:$Z$8,5,0),""),"")</f>
        <v/>
      </c>
      <c r="P552" s="6" t="str">
        <f t="shared" si="16"/>
        <v/>
      </c>
      <c r="Q552" s="13">
        <f t="shared" si="17"/>
        <v>0</v>
      </c>
    </row>
    <row r="553" spans="2:17" ht="15" customHeight="1">
      <c r="B553" s="5" t="str">
        <f>_xlfn.IFNA(VLOOKUP(C553,Master!$H:$I,2,FALSE),"")</f>
        <v/>
      </c>
      <c r="D553" s="5" t="str">
        <f>_xlfn.IFNA(VLOOKUP(E553,Master!$H:$I,2,FALSE),"")</f>
        <v/>
      </c>
      <c r="F553" s="26" t="str">
        <f>+_xlfn.XLOOKUP(G553,Master!$V$2:$V$8,Master!$U$2:$U$8,"")</f>
        <v/>
      </c>
      <c r="I553" s="4" t="str">
        <f>_xlfn.IFNA(VLOOKUP(D553,Master!$I:$K,2,FALSE),"")</f>
        <v/>
      </c>
      <c r="J553" s="4" t="str">
        <f>_xlfn.IFNA(VLOOKUP(D553,Master!$I:$K,3,FALSE),"")</f>
        <v/>
      </c>
      <c r="L553" s="27" t="str">
        <f>IF(A553&lt;&gt;"CFA",_xlfn.IFNA(VLOOKUP($G553,Master!$V$2:$Z$8,5,0),""),"")</f>
        <v/>
      </c>
      <c r="P553" s="6" t="str">
        <f t="shared" si="16"/>
        <v/>
      </c>
      <c r="Q553" s="13">
        <f t="shared" si="17"/>
        <v>0</v>
      </c>
    </row>
    <row r="554" spans="2:17" ht="15" customHeight="1">
      <c r="B554" s="5" t="str">
        <f>_xlfn.IFNA(VLOOKUP(C554,Master!$H:$I,2,FALSE),"")</f>
        <v/>
      </c>
      <c r="D554" s="5" t="str">
        <f>_xlfn.IFNA(VLOOKUP(E554,Master!$H:$I,2,FALSE),"")</f>
        <v/>
      </c>
      <c r="F554" s="26" t="str">
        <f>+_xlfn.XLOOKUP(G554,Master!$V$2:$V$8,Master!$U$2:$U$8,"")</f>
        <v/>
      </c>
      <c r="I554" s="4" t="str">
        <f>_xlfn.IFNA(VLOOKUP(D554,Master!$I:$K,2,FALSE),"")</f>
        <v/>
      </c>
      <c r="J554" s="4" t="str">
        <f>_xlfn.IFNA(VLOOKUP(D554,Master!$I:$K,3,FALSE),"")</f>
        <v/>
      </c>
      <c r="L554" s="27" t="str">
        <f>IF(A554&lt;&gt;"CFA",_xlfn.IFNA(VLOOKUP($G554,Master!$V$2:$Z$8,5,0),""),"")</f>
        <v/>
      </c>
      <c r="P554" s="6" t="str">
        <f t="shared" si="16"/>
        <v/>
      </c>
      <c r="Q554" s="13">
        <f t="shared" si="17"/>
        <v>0</v>
      </c>
    </row>
    <row r="555" spans="2:17" ht="15" customHeight="1">
      <c r="B555" s="5" t="str">
        <f>_xlfn.IFNA(VLOOKUP(C555,Master!$H:$I,2,FALSE),"")</f>
        <v/>
      </c>
      <c r="D555" s="5" t="str">
        <f>_xlfn.IFNA(VLOOKUP(E555,Master!$H:$I,2,FALSE),"")</f>
        <v/>
      </c>
      <c r="F555" s="26" t="str">
        <f>+_xlfn.XLOOKUP(G555,Master!$V$2:$V$8,Master!$U$2:$U$8,"")</f>
        <v/>
      </c>
      <c r="I555" s="4" t="str">
        <f>_xlfn.IFNA(VLOOKUP(D555,Master!$I:$K,2,FALSE),"")</f>
        <v/>
      </c>
      <c r="J555" s="4" t="str">
        <f>_xlfn.IFNA(VLOOKUP(D555,Master!$I:$K,3,FALSE),"")</f>
        <v/>
      </c>
      <c r="L555" s="27" t="str">
        <f>IF(A555&lt;&gt;"CFA",_xlfn.IFNA(VLOOKUP($G555,Master!$V$2:$Z$8,5,0),""),"")</f>
        <v/>
      </c>
      <c r="P555" s="6" t="str">
        <f t="shared" si="16"/>
        <v/>
      </c>
      <c r="Q555" s="13">
        <f t="shared" si="17"/>
        <v>0</v>
      </c>
    </row>
    <row r="556" spans="2:17" ht="15" customHeight="1">
      <c r="B556" s="5" t="str">
        <f>_xlfn.IFNA(VLOOKUP(C556,Master!$H:$I,2,FALSE),"")</f>
        <v/>
      </c>
      <c r="D556" s="5" t="str">
        <f>_xlfn.IFNA(VLOOKUP(E556,Master!$H:$I,2,FALSE),"")</f>
        <v/>
      </c>
      <c r="F556" s="26" t="str">
        <f>+_xlfn.XLOOKUP(G556,Master!$V$2:$V$8,Master!$U$2:$U$8,"")</f>
        <v/>
      </c>
      <c r="I556" s="4" t="str">
        <f>_xlfn.IFNA(VLOOKUP(D556,Master!$I:$K,2,FALSE),"")</f>
        <v/>
      </c>
      <c r="J556" s="4" t="str">
        <f>_xlfn.IFNA(VLOOKUP(D556,Master!$I:$K,3,FALSE),"")</f>
        <v/>
      </c>
      <c r="L556" s="27" t="str">
        <f>IF(A556&lt;&gt;"CFA",_xlfn.IFNA(VLOOKUP($G556,Master!$V$2:$Z$8,5,0),""),"")</f>
        <v/>
      </c>
      <c r="P556" s="6" t="str">
        <f t="shared" si="16"/>
        <v/>
      </c>
      <c r="Q556" s="13">
        <f t="shared" si="17"/>
        <v>0</v>
      </c>
    </row>
    <row r="557" spans="2:17" ht="15" customHeight="1">
      <c r="B557" s="5" t="str">
        <f>_xlfn.IFNA(VLOOKUP(C557,Master!$H:$I,2,FALSE),"")</f>
        <v/>
      </c>
      <c r="D557" s="5" t="str">
        <f>_xlfn.IFNA(VLOOKUP(E557,Master!$H:$I,2,FALSE),"")</f>
        <v/>
      </c>
      <c r="F557" s="26" t="str">
        <f>+_xlfn.XLOOKUP(G557,Master!$V$2:$V$8,Master!$U$2:$U$8,"")</f>
        <v/>
      </c>
      <c r="I557" s="4" t="str">
        <f>_xlfn.IFNA(VLOOKUP(D557,Master!$I:$K,2,FALSE),"")</f>
        <v/>
      </c>
      <c r="J557" s="4" t="str">
        <f>_xlfn.IFNA(VLOOKUP(D557,Master!$I:$K,3,FALSE),"")</f>
        <v/>
      </c>
      <c r="L557" s="27" t="str">
        <f>IF(A557&lt;&gt;"CFA",_xlfn.IFNA(VLOOKUP($G557,Master!$V$2:$Z$8,5,0),""),"")</f>
        <v/>
      </c>
      <c r="P557" s="6" t="str">
        <f t="shared" si="16"/>
        <v/>
      </c>
      <c r="Q557" s="13">
        <f t="shared" si="17"/>
        <v>0</v>
      </c>
    </row>
    <row r="558" spans="2:17" ht="15" customHeight="1">
      <c r="B558" s="5" t="str">
        <f>_xlfn.IFNA(VLOOKUP(C558,Master!$H:$I,2,FALSE),"")</f>
        <v/>
      </c>
      <c r="D558" s="5" t="str">
        <f>_xlfn.IFNA(VLOOKUP(E558,Master!$H:$I,2,FALSE),"")</f>
        <v/>
      </c>
      <c r="F558" s="26" t="str">
        <f>+_xlfn.XLOOKUP(G558,Master!$V$2:$V$8,Master!$U$2:$U$8,"")</f>
        <v/>
      </c>
      <c r="I558" s="4" t="str">
        <f>_xlfn.IFNA(VLOOKUP(D558,Master!$I:$K,2,FALSE),"")</f>
        <v/>
      </c>
      <c r="J558" s="4" t="str">
        <f>_xlfn.IFNA(VLOOKUP(D558,Master!$I:$K,3,FALSE),"")</f>
        <v/>
      </c>
      <c r="L558" s="27" t="str">
        <f>IF(A558&lt;&gt;"CFA",_xlfn.IFNA(VLOOKUP($G558,Master!$V$2:$Z$8,5,0),""),"")</f>
        <v/>
      </c>
      <c r="P558" s="6" t="str">
        <f t="shared" si="16"/>
        <v/>
      </c>
      <c r="Q558" s="13">
        <f t="shared" si="17"/>
        <v>0</v>
      </c>
    </row>
    <row r="559" spans="2:17" ht="15" customHeight="1">
      <c r="B559" s="5" t="str">
        <f>_xlfn.IFNA(VLOOKUP(C559,Master!$H:$I,2,FALSE),"")</f>
        <v/>
      </c>
      <c r="D559" s="5" t="str">
        <f>_xlfn.IFNA(VLOOKUP(E559,Master!$H:$I,2,FALSE),"")</f>
        <v/>
      </c>
      <c r="F559" s="26" t="str">
        <f>+_xlfn.XLOOKUP(G559,Master!$V$2:$V$8,Master!$U$2:$U$8,"")</f>
        <v/>
      </c>
      <c r="I559" s="4" t="str">
        <f>_xlfn.IFNA(VLOOKUP(D559,Master!$I:$K,2,FALSE),"")</f>
        <v/>
      </c>
      <c r="J559" s="4" t="str">
        <f>_xlfn.IFNA(VLOOKUP(D559,Master!$I:$K,3,FALSE),"")</f>
        <v/>
      </c>
      <c r="L559" s="27" t="str">
        <f>IF(A559&lt;&gt;"CFA",_xlfn.IFNA(VLOOKUP($G559,Master!$V$2:$Z$8,5,0),""),"")</f>
        <v/>
      </c>
      <c r="P559" s="6" t="str">
        <f t="shared" si="16"/>
        <v/>
      </c>
      <c r="Q559" s="13">
        <f t="shared" si="17"/>
        <v>0</v>
      </c>
    </row>
    <row r="560" spans="2:17" ht="15" customHeight="1">
      <c r="B560" s="5" t="str">
        <f>_xlfn.IFNA(VLOOKUP(C560,Master!$H:$I,2,FALSE),"")</f>
        <v/>
      </c>
      <c r="D560" s="5" t="str">
        <f>_xlfn.IFNA(VLOOKUP(E560,Master!$H:$I,2,FALSE),"")</f>
        <v/>
      </c>
      <c r="F560" s="26" t="str">
        <f>+_xlfn.XLOOKUP(G560,Master!$V$2:$V$8,Master!$U$2:$U$8,"")</f>
        <v/>
      </c>
      <c r="I560" s="4" t="str">
        <f>_xlfn.IFNA(VLOOKUP(D560,Master!$I:$K,2,FALSE),"")</f>
        <v/>
      </c>
      <c r="J560" s="4" t="str">
        <f>_xlfn.IFNA(VLOOKUP(D560,Master!$I:$K,3,FALSE),"")</f>
        <v/>
      </c>
      <c r="L560" s="27" t="str">
        <f>IF(A560&lt;&gt;"CFA",_xlfn.IFNA(VLOOKUP($G560,Master!$V$2:$Z$8,5,0),""),"")</f>
        <v/>
      </c>
      <c r="P560" s="6" t="str">
        <f t="shared" si="16"/>
        <v/>
      </c>
      <c r="Q560" s="13">
        <f t="shared" si="17"/>
        <v>0</v>
      </c>
    </row>
    <row r="561" spans="2:17" ht="15" customHeight="1">
      <c r="B561" s="5" t="str">
        <f>_xlfn.IFNA(VLOOKUP(C561,Master!$H:$I,2,FALSE),"")</f>
        <v/>
      </c>
      <c r="D561" s="5" t="str">
        <f>_xlfn.IFNA(VLOOKUP(E561,Master!$H:$I,2,FALSE),"")</f>
        <v/>
      </c>
      <c r="F561" s="26" t="str">
        <f>+_xlfn.XLOOKUP(G561,Master!$V$2:$V$8,Master!$U$2:$U$8,"")</f>
        <v/>
      </c>
      <c r="I561" s="4" t="str">
        <f>_xlfn.IFNA(VLOOKUP(D561,Master!$I:$K,2,FALSE),"")</f>
        <v/>
      </c>
      <c r="J561" s="4" t="str">
        <f>_xlfn.IFNA(VLOOKUP(D561,Master!$I:$K,3,FALSE),"")</f>
        <v/>
      </c>
      <c r="L561" s="27" t="str">
        <f>IF(A561&lt;&gt;"CFA",_xlfn.IFNA(VLOOKUP($G561,Master!$V$2:$Z$8,5,0),""),"")</f>
        <v/>
      </c>
      <c r="P561" s="6" t="str">
        <f t="shared" si="16"/>
        <v/>
      </c>
      <c r="Q561" s="13">
        <f t="shared" si="17"/>
        <v>0</v>
      </c>
    </row>
    <row r="562" spans="2:17" ht="15" customHeight="1">
      <c r="B562" s="5" t="str">
        <f>_xlfn.IFNA(VLOOKUP(C562,Master!$H:$I,2,FALSE),"")</f>
        <v/>
      </c>
      <c r="D562" s="5" t="str">
        <f>_xlfn.IFNA(VLOOKUP(E562,Master!$H:$I,2,FALSE),"")</f>
        <v/>
      </c>
      <c r="F562" s="26" t="str">
        <f>+_xlfn.XLOOKUP(G562,Master!$V$2:$V$8,Master!$U$2:$U$8,"")</f>
        <v/>
      </c>
      <c r="I562" s="4" t="str">
        <f>_xlfn.IFNA(VLOOKUP(D562,Master!$I:$K,2,FALSE),"")</f>
        <v/>
      </c>
      <c r="J562" s="4" t="str">
        <f>_xlfn.IFNA(VLOOKUP(D562,Master!$I:$K,3,FALSE),"")</f>
        <v/>
      </c>
      <c r="L562" s="27" t="str">
        <f>IF(A562&lt;&gt;"CFA",_xlfn.IFNA(VLOOKUP($G562,Master!$V$2:$Z$8,5,0),""),"")</f>
        <v/>
      </c>
      <c r="P562" s="6" t="str">
        <f t="shared" si="16"/>
        <v/>
      </c>
      <c r="Q562" s="13">
        <f t="shared" si="17"/>
        <v>0</v>
      </c>
    </row>
    <row r="563" spans="2:17" ht="15" customHeight="1">
      <c r="B563" s="5" t="str">
        <f>_xlfn.IFNA(VLOOKUP(C563,Master!$H:$I,2,FALSE),"")</f>
        <v/>
      </c>
      <c r="D563" s="5" t="str">
        <f>_xlfn.IFNA(VLOOKUP(E563,Master!$H:$I,2,FALSE),"")</f>
        <v/>
      </c>
      <c r="F563" s="26" t="str">
        <f>+_xlfn.XLOOKUP(G563,Master!$V$2:$V$8,Master!$U$2:$U$8,"")</f>
        <v/>
      </c>
      <c r="I563" s="4" t="str">
        <f>_xlfn.IFNA(VLOOKUP(D563,Master!$I:$K,2,FALSE),"")</f>
        <v/>
      </c>
      <c r="J563" s="4" t="str">
        <f>_xlfn.IFNA(VLOOKUP(D563,Master!$I:$K,3,FALSE),"")</f>
        <v/>
      </c>
      <c r="L563" s="27" t="str">
        <f>IF(A563&lt;&gt;"CFA",_xlfn.IFNA(VLOOKUP($G563,Master!$V$2:$Z$8,5,0),""),"")</f>
        <v/>
      </c>
      <c r="P563" s="6" t="str">
        <f t="shared" si="16"/>
        <v/>
      </c>
      <c r="Q563" s="13">
        <f t="shared" si="17"/>
        <v>0</v>
      </c>
    </row>
    <row r="564" spans="2:17" ht="15" customHeight="1">
      <c r="B564" s="5" t="str">
        <f>_xlfn.IFNA(VLOOKUP(C564,Master!$H:$I,2,FALSE),"")</f>
        <v/>
      </c>
      <c r="D564" s="5" t="str">
        <f>_xlfn.IFNA(VLOOKUP(E564,Master!$H:$I,2,FALSE),"")</f>
        <v/>
      </c>
      <c r="F564" s="26" t="str">
        <f>+_xlfn.XLOOKUP(G564,Master!$V$2:$V$8,Master!$U$2:$U$8,"")</f>
        <v/>
      </c>
      <c r="I564" s="4" t="str">
        <f>_xlfn.IFNA(VLOOKUP(D564,Master!$I:$K,2,FALSE),"")</f>
        <v/>
      </c>
      <c r="J564" s="4" t="str">
        <f>_xlfn.IFNA(VLOOKUP(D564,Master!$I:$K,3,FALSE),"")</f>
        <v/>
      </c>
      <c r="L564" s="27" t="str">
        <f>IF(A564&lt;&gt;"CFA",_xlfn.IFNA(VLOOKUP($G564,Master!$V$2:$Z$8,5,0),""),"")</f>
        <v/>
      </c>
      <c r="P564" s="6" t="str">
        <f t="shared" si="16"/>
        <v/>
      </c>
      <c r="Q564" s="13">
        <f t="shared" si="17"/>
        <v>0</v>
      </c>
    </row>
    <row r="565" spans="2:17" ht="15" customHeight="1">
      <c r="B565" s="5" t="str">
        <f>_xlfn.IFNA(VLOOKUP(C565,Master!$H:$I,2,FALSE),"")</f>
        <v/>
      </c>
      <c r="D565" s="5" t="str">
        <f>_xlfn.IFNA(VLOOKUP(E565,Master!$H:$I,2,FALSE),"")</f>
        <v/>
      </c>
      <c r="F565" s="26" t="str">
        <f>+_xlfn.XLOOKUP(G565,Master!$V$2:$V$8,Master!$U$2:$U$8,"")</f>
        <v/>
      </c>
      <c r="I565" s="4" t="str">
        <f>_xlfn.IFNA(VLOOKUP(D565,Master!$I:$K,2,FALSE),"")</f>
        <v/>
      </c>
      <c r="J565" s="4" t="str">
        <f>_xlfn.IFNA(VLOOKUP(D565,Master!$I:$K,3,FALSE),"")</f>
        <v/>
      </c>
      <c r="L565" s="27" t="str">
        <f>IF(A565&lt;&gt;"CFA",_xlfn.IFNA(VLOOKUP($G565,Master!$V$2:$Z$8,5,0),""),"")</f>
        <v/>
      </c>
      <c r="P565" s="6" t="str">
        <f t="shared" si="16"/>
        <v/>
      </c>
      <c r="Q565" s="13">
        <f t="shared" si="17"/>
        <v>0</v>
      </c>
    </row>
    <row r="566" spans="2:17" ht="15" customHeight="1">
      <c r="B566" s="5" t="str">
        <f>_xlfn.IFNA(VLOOKUP(C566,Master!$H:$I,2,FALSE),"")</f>
        <v/>
      </c>
      <c r="D566" s="5" t="str">
        <f>_xlfn.IFNA(VLOOKUP(E566,Master!$H:$I,2,FALSE),"")</f>
        <v/>
      </c>
      <c r="F566" s="26" t="str">
        <f>+_xlfn.XLOOKUP(G566,Master!$V$2:$V$8,Master!$U$2:$U$8,"")</f>
        <v/>
      </c>
      <c r="I566" s="4" t="str">
        <f>_xlfn.IFNA(VLOOKUP(D566,Master!$I:$K,2,FALSE),"")</f>
        <v/>
      </c>
      <c r="J566" s="4" t="str">
        <f>_xlfn.IFNA(VLOOKUP(D566,Master!$I:$K,3,FALSE),"")</f>
        <v/>
      </c>
      <c r="L566" s="27" t="str">
        <f>IF(A566&lt;&gt;"CFA",_xlfn.IFNA(VLOOKUP($G566,Master!$V$2:$Z$8,5,0),""),"")</f>
        <v/>
      </c>
      <c r="P566" s="6" t="str">
        <f t="shared" si="16"/>
        <v/>
      </c>
      <c r="Q566" s="13">
        <f t="shared" si="17"/>
        <v>0</v>
      </c>
    </row>
    <row r="567" spans="2:17" ht="15" customHeight="1">
      <c r="B567" s="5" t="str">
        <f>_xlfn.IFNA(VLOOKUP(C567,Master!$H:$I,2,FALSE),"")</f>
        <v/>
      </c>
      <c r="D567" s="5" t="str">
        <f>_xlfn.IFNA(VLOOKUP(E567,Master!$H:$I,2,FALSE),"")</f>
        <v/>
      </c>
      <c r="F567" s="26" t="str">
        <f>+_xlfn.XLOOKUP(G567,Master!$V$2:$V$8,Master!$U$2:$U$8,"")</f>
        <v/>
      </c>
      <c r="I567" s="4" t="str">
        <f>_xlfn.IFNA(VLOOKUP(D567,Master!$I:$K,2,FALSE),"")</f>
        <v/>
      </c>
      <c r="J567" s="4" t="str">
        <f>_xlfn.IFNA(VLOOKUP(D567,Master!$I:$K,3,FALSE),"")</f>
        <v/>
      </c>
      <c r="L567" s="27" t="str">
        <f>IF(A567&lt;&gt;"CFA",_xlfn.IFNA(VLOOKUP($G567,Master!$V$2:$Z$8,5,0),""),"")</f>
        <v/>
      </c>
      <c r="P567" s="6" t="str">
        <f t="shared" ref="P567:P630" si="18">IF(N567&lt;&gt;"",IF(MONTH(N567)&gt;=4,"FY1"&amp;RIGHT(YEAR(N567)+1,2),"FY1"&amp;RIGHT(YEAR(N567),2)),"")</f>
        <v/>
      </c>
      <c r="Q567" s="13">
        <f t="shared" ref="Q567:Q630" si="19">IF(K567&gt;0&amp;M567&gt;0,K567*M567,"")</f>
        <v>0</v>
      </c>
    </row>
    <row r="568" spans="2:17" ht="15" customHeight="1">
      <c r="B568" s="5" t="str">
        <f>_xlfn.IFNA(VLOOKUP(C568,Master!$H:$I,2,FALSE),"")</f>
        <v/>
      </c>
      <c r="D568" s="5" t="str">
        <f>_xlfn.IFNA(VLOOKUP(E568,Master!$H:$I,2,FALSE),"")</f>
        <v/>
      </c>
      <c r="F568" s="26" t="str">
        <f>+_xlfn.XLOOKUP(G568,Master!$V$2:$V$8,Master!$U$2:$U$8,"")</f>
        <v/>
      </c>
      <c r="I568" s="4" t="str">
        <f>_xlfn.IFNA(VLOOKUP(D568,Master!$I:$K,2,FALSE),"")</f>
        <v/>
      </c>
      <c r="J568" s="4" t="str">
        <f>_xlfn.IFNA(VLOOKUP(D568,Master!$I:$K,3,FALSE),"")</f>
        <v/>
      </c>
      <c r="L568" s="27" t="str">
        <f>IF(A568&lt;&gt;"CFA",_xlfn.IFNA(VLOOKUP($G568,Master!$V$2:$Z$8,5,0),""),"")</f>
        <v/>
      </c>
      <c r="P568" s="6" t="str">
        <f t="shared" si="18"/>
        <v/>
      </c>
      <c r="Q568" s="13">
        <f t="shared" si="19"/>
        <v>0</v>
      </c>
    </row>
    <row r="569" spans="2:17" ht="15" customHeight="1">
      <c r="B569" s="5" t="str">
        <f>_xlfn.IFNA(VLOOKUP(C569,Master!$H:$I,2,FALSE),"")</f>
        <v/>
      </c>
      <c r="D569" s="5" t="str">
        <f>_xlfn.IFNA(VLOOKUP(E569,Master!$H:$I,2,FALSE),"")</f>
        <v/>
      </c>
      <c r="F569" s="26" t="str">
        <f>+_xlfn.XLOOKUP(G569,Master!$V$2:$V$8,Master!$U$2:$U$8,"")</f>
        <v/>
      </c>
      <c r="I569" s="4" t="str">
        <f>_xlfn.IFNA(VLOOKUP(D569,Master!$I:$K,2,FALSE),"")</f>
        <v/>
      </c>
      <c r="J569" s="4" t="str">
        <f>_xlfn.IFNA(VLOOKUP(D569,Master!$I:$K,3,FALSE),"")</f>
        <v/>
      </c>
      <c r="L569" s="27" t="str">
        <f>IF(A569&lt;&gt;"CFA",_xlfn.IFNA(VLOOKUP($G569,Master!$V$2:$Z$8,5,0),""),"")</f>
        <v/>
      </c>
      <c r="P569" s="6" t="str">
        <f t="shared" si="18"/>
        <v/>
      </c>
      <c r="Q569" s="13">
        <f t="shared" si="19"/>
        <v>0</v>
      </c>
    </row>
    <row r="570" spans="2:17" ht="15" customHeight="1">
      <c r="B570" s="5" t="str">
        <f>_xlfn.IFNA(VLOOKUP(C570,Master!$H:$I,2,FALSE),"")</f>
        <v/>
      </c>
      <c r="D570" s="5" t="str">
        <f>_xlfn.IFNA(VLOOKUP(E570,Master!$H:$I,2,FALSE),"")</f>
        <v/>
      </c>
      <c r="F570" s="26" t="str">
        <f>+_xlfn.XLOOKUP(G570,Master!$V$2:$V$8,Master!$U$2:$U$8,"")</f>
        <v/>
      </c>
      <c r="I570" s="4" t="str">
        <f>_xlfn.IFNA(VLOOKUP(D570,Master!$I:$K,2,FALSE),"")</f>
        <v/>
      </c>
      <c r="J570" s="4" t="str">
        <f>_xlfn.IFNA(VLOOKUP(D570,Master!$I:$K,3,FALSE),"")</f>
        <v/>
      </c>
      <c r="L570" s="27" t="str">
        <f>IF(A570&lt;&gt;"CFA",_xlfn.IFNA(VLOOKUP($G570,Master!$V$2:$Z$8,5,0),""),"")</f>
        <v/>
      </c>
      <c r="P570" s="6" t="str">
        <f t="shared" si="18"/>
        <v/>
      </c>
      <c r="Q570" s="13">
        <f t="shared" si="19"/>
        <v>0</v>
      </c>
    </row>
    <row r="571" spans="2:17" ht="15" customHeight="1">
      <c r="B571" s="5" t="str">
        <f>_xlfn.IFNA(VLOOKUP(C571,Master!$H:$I,2,FALSE),"")</f>
        <v/>
      </c>
      <c r="D571" s="5" t="str">
        <f>_xlfn.IFNA(VLOOKUP(E571,Master!$H:$I,2,FALSE),"")</f>
        <v/>
      </c>
      <c r="F571" s="26" t="str">
        <f>+_xlfn.XLOOKUP(G571,Master!$V$2:$V$8,Master!$U$2:$U$8,"")</f>
        <v/>
      </c>
      <c r="I571" s="4" t="str">
        <f>_xlfn.IFNA(VLOOKUP(D571,Master!$I:$K,2,FALSE),"")</f>
        <v/>
      </c>
      <c r="J571" s="4" t="str">
        <f>_xlfn.IFNA(VLOOKUP(D571,Master!$I:$K,3,FALSE),"")</f>
        <v/>
      </c>
      <c r="L571" s="27" t="str">
        <f>IF(A571&lt;&gt;"CFA",_xlfn.IFNA(VLOOKUP($G571,Master!$V$2:$Z$8,5,0),""),"")</f>
        <v/>
      </c>
      <c r="P571" s="6" t="str">
        <f t="shared" si="18"/>
        <v/>
      </c>
      <c r="Q571" s="13">
        <f t="shared" si="19"/>
        <v>0</v>
      </c>
    </row>
    <row r="572" spans="2:17" ht="15" customHeight="1">
      <c r="B572" s="5" t="str">
        <f>_xlfn.IFNA(VLOOKUP(C572,Master!$H:$I,2,FALSE),"")</f>
        <v/>
      </c>
      <c r="D572" s="5" t="str">
        <f>_xlfn.IFNA(VLOOKUP(E572,Master!$H:$I,2,FALSE),"")</f>
        <v/>
      </c>
      <c r="F572" s="26" t="str">
        <f>+_xlfn.XLOOKUP(G572,Master!$V$2:$V$8,Master!$U$2:$U$8,"")</f>
        <v/>
      </c>
      <c r="I572" s="4" t="str">
        <f>_xlfn.IFNA(VLOOKUP(D572,Master!$I:$K,2,FALSE),"")</f>
        <v/>
      </c>
      <c r="J572" s="4" t="str">
        <f>_xlfn.IFNA(VLOOKUP(D572,Master!$I:$K,3,FALSE),"")</f>
        <v/>
      </c>
      <c r="L572" s="27" t="str">
        <f>IF(A572&lt;&gt;"CFA",_xlfn.IFNA(VLOOKUP($G572,Master!$V$2:$Z$8,5,0),""),"")</f>
        <v/>
      </c>
      <c r="P572" s="6" t="str">
        <f t="shared" si="18"/>
        <v/>
      </c>
      <c r="Q572" s="13">
        <f t="shared" si="19"/>
        <v>0</v>
      </c>
    </row>
    <row r="573" spans="2:17" ht="15" customHeight="1">
      <c r="B573" s="5" t="str">
        <f>_xlfn.IFNA(VLOOKUP(C573,Master!$H:$I,2,FALSE),"")</f>
        <v/>
      </c>
      <c r="D573" s="5" t="str">
        <f>_xlfn.IFNA(VLOOKUP(E573,Master!$H:$I,2,FALSE),"")</f>
        <v/>
      </c>
      <c r="F573" s="26" t="str">
        <f>+_xlfn.XLOOKUP(G573,Master!$V$2:$V$8,Master!$U$2:$U$8,"")</f>
        <v/>
      </c>
      <c r="I573" s="4" t="str">
        <f>_xlfn.IFNA(VLOOKUP(D573,Master!$I:$K,2,FALSE),"")</f>
        <v/>
      </c>
      <c r="J573" s="4" t="str">
        <f>_xlfn.IFNA(VLOOKUP(D573,Master!$I:$K,3,FALSE),"")</f>
        <v/>
      </c>
      <c r="L573" s="27" t="str">
        <f>IF(A573&lt;&gt;"CFA",_xlfn.IFNA(VLOOKUP($G573,Master!$V$2:$Z$8,5,0),""),"")</f>
        <v/>
      </c>
      <c r="P573" s="6" t="str">
        <f t="shared" si="18"/>
        <v/>
      </c>
      <c r="Q573" s="13">
        <f t="shared" si="19"/>
        <v>0</v>
      </c>
    </row>
    <row r="574" spans="2:17" ht="15" customHeight="1">
      <c r="B574" s="5" t="str">
        <f>_xlfn.IFNA(VLOOKUP(C574,Master!$H:$I,2,FALSE),"")</f>
        <v/>
      </c>
      <c r="D574" s="5" t="str">
        <f>_xlfn.IFNA(VLOOKUP(E574,Master!$H:$I,2,FALSE),"")</f>
        <v/>
      </c>
      <c r="F574" s="26" t="str">
        <f>+_xlfn.XLOOKUP(G574,Master!$V$2:$V$8,Master!$U$2:$U$8,"")</f>
        <v/>
      </c>
      <c r="I574" s="4" t="str">
        <f>_xlfn.IFNA(VLOOKUP(D574,Master!$I:$K,2,FALSE),"")</f>
        <v/>
      </c>
      <c r="J574" s="4" t="str">
        <f>_xlfn.IFNA(VLOOKUP(D574,Master!$I:$K,3,FALSE),"")</f>
        <v/>
      </c>
      <c r="L574" s="27" t="str">
        <f>IF(A574&lt;&gt;"CFA",_xlfn.IFNA(VLOOKUP($G574,Master!$V$2:$Z$8,5,0),""),"")</f>
        <v/>
      </c>
      <c r="P574" s="6" t="str">
        <f t="shared" si="18"/>
        <v/>
      </c>
      <c r="Q574" s="13">
        <f t="shared" si="19"/>
        <v>0</v>
      </c>
    </row>
    <row r="575" spans="2:17" ht="15" customHeight="1">
      <c r="B575" s="5" t="str">
        <f>_xlfn.IFNA(VLOOKUP(C575,Master!$H:$I,2,FALSE),"")</f>
        <v/>
      </c>
      <c r="D575" s="5" t="str">
        <f>_xlfn.IFNA(VLOOKUP(E575,Master!$H:$I,2,FALSE),"")</f>
        <v/>
      </c>
      <c r="F575" s="26" t="str">
        <f>+_xlfn.XLOOKUP(G575,Master!$V$2:$V$8,Master!$U$2:$U$8,"")</f>
        <v/>
      </c>
      <c r="I575" s="4" t="str">
        <f>_xlfn.IFNA(VLOOKUP(D575,Master!$I:$K,2,FALSE),"")</f>
        <v/>
      </c>
      <c r="J575" s="4" t="str">
        <f>_xlfn.IFNA(VLOOKUP(D575,Master!$I:$K,3,FALSE),"")</f>
        <v/>
      </c>
      <c r="L575" s="27" t="str">
        <f>IF(A575&lt;&gt;"CFA",_xlfn.IFNA(VLOOKUP($G575,Master!$V$2:$Z$8,5,0),""),"")</f>
        <v/>
      </c>
      <c r="P575" s="6" t="str">
        <f t="shared" si="18"/>
        <v/>
      </c>
      <c r="Q575" s="13">
        <f t="shared" si="19"/>
        <v>0</v>
      </c>
    </row>
    <row r="576" spans="2:17" ht="15" customHeight="1">
      <c r="B576" s="5" t="str">
        <f>_xlfn.IFNA(VLOOKUP(C576,Master!$H:$I,2,FALSE),"")</f>
        <v/>
      </c>
      <c r="D576" s="5" t="str">
        <f>_xlfn.IFNA(VLOOKUP(E576,Master!$H:$I,2,FALSE),"")</f>
        <v/>
      </c>
      <c r="F576" s="26" t="str">
        <f>+_xlfn.XLOOKUP(G576,Master!$V$2:$V$8,Master!$U$2:$U$8,"")</f>
        <v/>
      </c>
      <c r="I576" s="4" t="str">
        <f>_xlfn.IFNA(VLOOKUP(D576,Master!$I:$K,2,FALSE),"")</f>
        <v/>
      </c>
      <c r="J576" s="4" t="str">
        <f>_xlfn.IFNA(VLOOKUP(D576,Master!$I:$K,3,FALSE),"")</f>
        <v/>
      </c>
      <c r="L576" s="27" t="str">
        <f>IF(A576&lt;&gt;"CFA",_xlfn.IFNA(VLOOKUP($G576,Master!$V$2:$Z$8,5,0),""),"")</f>
        <v/>
      </c>
      <c r="P576" s="6" t="str">
        <f t="shared" si="18"/>
        <v/>
      </c>
      <c r="Q576" s="13">
        <f t="shared" si="19"/>
        <v>0</v>
      </c>
    </row>
    <row r="577" spans="2:17" ht="15" customHeight="1">
      <c r="B577" s="5" t="str">
        <f>_xlfn.IFNA(VLOOKUP(C577,Master!$H:$I,2,FALSE),"")</f>
        <v/>
      </c>
      <c r="D577" s="5" t="str">
        <f>_xlfn.IFNA(VLOOKUP(E577,Master!$H:$I,2,FALSE),"")</f>
        <v/>
      </c>
      <c r="F577" s="26" t="str">
        <f>+_xlfn.XLOOKUP(G577,Master!$V$2:$V$8,Master!$U$2:$U$8,"")</f>
        <v/>
      </c>
      <c r="I577" s="4" t="str">
        <f>_xlfn.IFNA(VLOOKUP(D577,Master!$I:$K,2,FALSE),"")</f>
        <v/>
      </c>
      <c r="J577" s="4" t="str">
        <f>_xlfn.IFNA(VLOOKUP(D577,Master!$I:$K,3,FALSE),"")</f>
        <v/>
      </c>
      <c r="L577" s="27" t="str">
        <f>IF(A577&lt;&gt;"CFA",_xlfn.IFNA(VLOOKUP($G577,Master!$V$2:$Z$8,5,0),""),"")</f>
        <v/>
      </c>
      <c r="P577" s="6" t="str">
        <f t="shared" si="18"/>
        <v/>
      </c>
      <c r="Q577" s="13">
        <f t="shared" si="19"/>
        <v>0</v>
      </c>
    </row>
    <row r="578" spans="2:17" ht="15" customHeight="1">
      <c r="B578" s="5" t="str">
        <f>_xlfn.IFNA(VLOOKUP(C578,Master!$H:$I,2,FALSE),"")</f>
        <v/>
      </c>
      <c r="D578" s="5" t="str">
        <f>_xlfn.IFNA(VLOOKUP(E578,Master!$H:$I,2,FALSE),"")</f>
        <v/>
      </c>
      <c r="F578" s="26" t="str">
        <f>+_xlfn.XLOOKUP(G578,Master!$V$2:$V$8,Master!$U$2:$U$8,"")</f>
        <v/>
      </c>
      <c r="I578" s="4" t="str">
        <f>_xlfn.IFNA(VLOOKUP(D578,Master!$I:$K,2,FALSE),"")</f>
        <v/>
      </c>
      <c r="J578" s="4" t="str">
        <f>_xlfn.IFNA(VLOOKUP(D578,Master!$I:$K,3,FALSE),"")</f>
        <v/>
      </c>
      <c r="L578" s="27" t="str">
        <f>IF(A578&lt;&gt;"CFA",_xlfn.IFNA(VLOOKUP($G578,Master!$V$2:$Z$8,5,0),""),"")</f>
        <v/>
      </c>
      <c r="P578" s="6" t="str">
        <f t="shared" si="18"/>
        <v/>
      </c>
      <c r="Q578" s="13">
        <f t="shared" si="19"/>
        <v>0</v>
      </c>
    </row>
    <row r="579" spans="2:17" ht="15" customHeight="1">
      <c r="B579" s="5" t="str">
        <f>_xlfn.IFNA(VLOOKUP(C579,Master!$H:$I,2,FALSE),"")</f>
        <v/>
      </c>
      <c r="D579" s="5" t="str">
        <f>_xlfn.IFNA(VLOOKUP(E579,Master!$H:$I,2,FALSE),"")</f>
        <v/>
      </c>
      <c r="F579" s="26" t="str">
        <f>+_xlfn.XLOOKUP(G579,Master!$V$2:$V$8,Master!$U$2:$U$8,"")</f>
        <v/>
      </c>
      <c r="I579" s="4" t="str">
        <f>_xlfn.IFNA(VLOOKUP(D579,Master!$I:$K,2,FALSE),"")</f>
        <v/>
      </c>
      <c r="J579" s="4" t="str">
        <f>_xlfn.IFNA(VLOOKUP(D579,Master!$I:$K,3,FALSE),"")</f>
        <v/>
      </c>
      <c r="L579" s="27" t="str">
        <f>IF(A579&lt;&gt;"CFA",_xlfn.IFNA(VLOOKUP($G579,Master!$V$2:$Z$8,5,0),""),"")</f>
        <v/>
      </c>
      <c r="P579" s="6" t="str">
        <f t="shared" si="18"/>
        <v/>
      </c>
      <c r="Q579" s="13">
        <f t="shared" si="19"/>
        <v>0</v>
      </c>
    </row>
    <row r="580" spans="2:17" ht="15" customHeight="1">
      <c r="B580" s="5" t="str">
        <f>_xlfn.IFNA(VLOOKUP(C580,Master!$H:$I,2,FALSE),"")</f>
        <v/>
      </c>
      <c r="D580" s="5" t="str">
        <f>_xlfn.IFNA(VLOOKUP(E580,Master!$H:$I,2,FALSE),"")</f>
        <v/>
      </c>
      <c r="F580" s="26" t="str">
        <f>+_xlfn.XLOOKUP(G580,Master!$V$2:$V$8,Master!$U$2:$U$8,"")</f>
        <v/>
      </c>
      <c r="I580" s="4" t="str">
        <f>_xlfn.IFNA(VLOOKUP(D580,Master!$I:$K,2,FALSE),"")</f>
        <v/>
      </c>
      <c r="J580" s="4" t="str">
        <f>_xlfn.IFNA(VLOOKUP(D580,Master!$I:$K,3,FALSE),"")</f>
        <v/>
      </c>
      <c r="L580" s="27" t="str">
        <f>IF(A580&lt;&gt;"CFA",_xlfn.IFNA(VLOOKUP($G580,Master!$V$2:$Z$8,5,0),""),"")</f>
        <v/>
      </c>
      <c r="P580" s="6" t="str">
        <f t="shared" si="18"/>
        <v/>
      </c>
      <c r="Q580" s="13">
        <f t="shared" si="19"/>
        <v>0</v>
      </c>
    </row>
    <row r="581" spans="2:17" ht="15" customHeight="1">
      <c r="B581" s="5" t="str">
        <f>_xlfn.IFNA(VLOOKUP(C581,Master!$H:$I,2,FALSE),"")</f>
        <v/>
      </c>
      <c r="D581" s="5" t="str">
        <f>_xlfn.IFNA(VLOOKUP(E581,Master!$H:$I,2,FALSE),"")</f>
        <v/>
      </c>
      <c r="F581" s="26" t="str">
        <f>+_xlfn.XLOOKUP(G581,Master!$V$2:$V$8,Master!$U$2:$U$8,"")</f>
        <v/>
      </c>
      <c r="I581" s="4" t="str">
        <f>_xlfn.IFNA(VLOOKUP(D581,Master!$I:$K,2,FALSE),"")</f>
        <v/>
      </c>
      <c r="J581" s="4" t="str">
        <f>_xlfn.IFNA(VLOOKUP(D581,Master!$I:$K,3,FALSE),"")</f>
        <v/>
      </c>
      <c r="L581" s="27" t="str">
        <f>IF(A581&lt;&gt;"CFA",_xlfn.IFNA(VLOOKUP($G581,Master!$V$2:$Z$8,5,0),""),"")</f>
        <v/>
      </c>
      <c r="P581" s="6" t="str">
        <f t="shared" si="18"/>
        <v/>
      </c>
      <c r="Q581" s="13">
        <f t="shared" si="19"/>
        <v>0</v>
      </c>
    </row>
    <row r="582" spans="2:17" ht="15" customHeight="1">
      <c r="B582" s="5" t="str">
        <f>_xlfn.IFNA(VLOOKUP(C582,Master!$H:$I,2,FALSE),"")</f>
        <v/>
      </c>
      <c r="D582" s="5" t="str">
        <f>_xlfn.IFNA(VLOOKUP(E582,Master!$H:$I,2,FALSE),"")</f>
        <v/>
      </c>
      <c r="F582" s="26" t="str">
        <f>+_xlfn.XLOOKUP(G582,Master!$V$2:$V$8,Master!$U$2:$U$8,"")</f>
        <v/>
      </c>
      <c r="I582" s="4" t="str">
        <f>_xlfn.IFNA(VLOOKUP(D582,Master!$I:$K,2,FALSE),"")</f>
        <v/>
      </c>
      <c r="J582" s="4" t="str">
        <f>_xlfn.IFNA(VLOOKUP(D582,Master!$I:$K,3,FALSE),"")</f>
        <v/>
      </c>
      <c r="L582" s="27" t="str">
        <f>IF(A582&lt;&gt;"CFA",_xlfn.IFNA(VLOOKUP($G582,Master!$V$2:$Z$8,5,0),""),"")</f>
        <v/>
      </c>
      <c r="P582" s="6" t="str">
        <f t="shared" si="18"/>
        <v/>
      </c>
      <c r="Q582" s="13">
        <f t="shared" si="19"/>
        <v>0</v>
      </c>
    </row>
    <row r="583" spans="2:17" ht="15" customHeight="1">
      <c r="B583" s="5" t="str">
        <f>_xlfn.IFNA(VLOOKUP(C583,Master!$H:$I,2,FALSE),"")</f>
        <v/>
      </c>
      <c r="D583" s="5" t="str">
        <f>_xlfn.IFNA(VLOOKUP(E583,Master!$H:$I,2,FALSE),"")</f>
        <v/>
      </c>
      <c r="F583" s="26" t="str">
        <f>+_xlfn.XLOOKUP(G583,Master!$V$2:$V$8,Master!$U$2:$U$8,"")</f>
        <v/>
      </c>
      <c r="I583" s="4" t="str">
        <f>_xlfn.IFNA(VLOOKUP(D583,Master!$I:$K,2,FALSE),"")</f>
        <v/>
      </c>
      <c r="J583" s="4" t="str">
        <f>_xlfn.IFNA(VLOOKUP(D583,Master!$I:$K,3,FALSE),"")</f>
        <v/>
      </c>
      <c r="L583" s="27" t="str">
        <f>IF(A583&lt;&gt;"CFA",_xlfn.IFNA(VLOOKUP($G583,Master!$V$2:$Z$8,5,0),""),"")</f>
        <v/>
      </c>
      <c r="P583" s="6" t="str">
        <f t="shared" si="18"/>
        <v/>
      </c>
      <c r="Q583" s="13">
        <f t="shared" si="19"/>
        <v>0</v>
      </c>
    </row>
    <row r="584" spans="2:17" ht="15" customHeight="1">
      <c r="B584" s="5" t="str">
        <f>_xlfn.IFNA(VLOOKUP(C584,Master!$H:$I,2,FALSE),"")</f>
        <v/>
      </c>
      <c r="D584" s="5" t="str">
        <f>_xlfn.IFNA(VLOOKUP(E584,Master!$H:$I,2,FALSE),"")</f>
        <v/>
      </c>
      <c r="F584" s="26" t="str">
        <f>+_xlfn.XLOOKUP(G584,Master!$V$2:$V$8,Master!$U$2:$U$8,"")</f>
        <v/>
      </c>
      <c r="I584" s="4" t="str">
        <f>_xlfn.IFNA(VLOOKUP(D584,Master!$I:$K,2,FALSE),"")</f>
        <v/>
      </c>
      <c r="J584" s="4" t="str">
        <f>_xlfn.IFNA(VLOOKUP(D584,Master!$I:$K,3,FALSE),"")</f>
        <v/>
      </c>
      <c r="L584" s="27" t="str">
        <f>IF(A584&lt;&gt;"CFA",_xlfn.IFNA(VLOOKUP($G584,Master!$V$2:$Z$8,5,0),""),"")</f>
        <v/>
      </c>
      <c r="P584" s="6" t="str">
        <f t="shared" si="18"/>
        <v/>
      </c>
      <c r="Q584" s="13">
        <f t="shared" si="19"/>
        <v>0</v>
      </c>
    </row>
    <row r="585" spans="2:17" ht="15" customHeight="1">
      <c r="B585" s="5" t="str">
        <f>_xlfn.IFNA(VLOOKUP(C585,Master!$H:$I,2,FALSE),"")</f>
        <v/>
      </c>
      <c r="D585" s="5" t="str">
        <f>_xlfn.IFNA(VLOOKUP(E585,Master!$H:$I,2,FALSE),"")</f>
        <v/>
      </c>
      <c r="F585" s="26" t="str">
        <f>+_xlfn.XLOOKUP(G585,Master!$V$2:$V$8,Master!$U$2:$U$8,"")</f>
        <v/>
      </c>
      <c r="I585" s="4" t="str">
        <f>_xlfn.IFNA(VLOOKUP(D585,Master!$I:$K,2,FALSE),"")</f>
        <v/>
      </c>
      <c r="J585" s="4" t="str">
        <f>_xlfn.IFNA(VLOOKUP(D585,Master!$I:$K,3,FALSE),"")</f>
        <v/>
      </c>
      <c r="L585" s="27" t="str">
        <f>IF(A585&lt;&gt;"CFA",_xlfn.IFNA(VLOOKUP($G585,Master!$V$2:$Z$8,5,0),""),"")</f>
        <v/>
      </c>
      <c r="P585" s="6" t="str">
        <f t="shared" si="18"/>
        <v/>
      </c>
      <c r="Q585" s="13">
        <f t="shared" si="19"/>
        <v>0</v>
      </c>
    </row>
    <row r="586" spans="2:17" ht="15" customHeight="1">
      <c r="B586" s="5" t="str">
        <f>_xlfn.IFNA(VLOOKUP(C586,Master!$H:$I,2,FALSE),"")</f>
        <v/>
      </c>
      <c r="D586" s="5" t="str">
        <f>_xlfn.IFNA(VLOOKUP(E586,Master!$H:$I,2,FALSE),"")</f>
        <v/>
      </c>
      <c r="F586" s="26" t="str">
        <f>+_xlfn.XLOOKUP(G586,Master!$V$2:$V$8,Master!$U$2:$U$8,"")</f>
        <v/>
      </c>
      <c r="I586" s="4" t="str">
        <f>_xlfn.IFNA(VLOOKUP(D586,Master!$I:$K,2,FALSE),"")</f>
        <v/>
      </c>
      <c r="J586" s="4" t="str">
        <f>_xlfn.IFNA(VLOOKUP(D586,Master!$I:$K,3,FALSE),"")</f>
        <v/>
      </c>
      <c r="L586" s="27" t="str">
        <f>IF(A586&lt;&gt;"CFA",_xlfn.IFNA(VLOOKUP($G586,Master!$V$2:$Z$8,5,0),""),"")</f>
        <v/>
      </c>
      <c r="P586" s="6" t="str">
        <f t="shared" si="18"/>
        <v/>
      </c>
      <c r="Q586" s="13">
        <f t="shared" si="19"/>
        <v>0</v>
      </c>
    </row>
    <row r="587" spans="2:17" ht="15" customHeight="1">
      <c r="B587" s="5" t="str">
        <f>_xlfn.IFNA(VLOOKUP(C587,Master!$H:$I,2,FALSE),"")</f>
        <v/>
      </c>
      <c r="D587" s="5" t="str">
        <f>_xlfn.IFNA(VLOOKUP(E587,Master!$H:$I,2,FALSE),"")</f>
        <v/>
      </c>
      <c r="F587" s="26" t="str">
        <f>+_xlfn.XLOOKUP(G587,Master!$V$2:$V$8,Master!$U$2:$U$8,"")</f>
        <v/>
      </c>
      <c r="I587" s="4" t="str">
        <f>_xlfn.IFNA(VLOOKUP(D587,Master!$I:$K,2,FALSE),"")</f>
        <v/>
      </c>
      <c r="J587" s="4" t="str">
        <f>_xlfn.IFNA(VLOOKUP(D587,Master!$I:$K,3,FALSE),"")</f>
        <v/>
      </c>
      <c r="L587" s="27" t="str">
        <f>IF(A587&lt;&gt;"CFA",_xlfn.IFNA(VLOOKUP($G587,Master!$V$2:$Z$8,5,0),""),"")</f>
        <v/>
      </c>
      <c r="P587" s="6" t="str">
        <f t="shared" si="18"/>
        <v/>
      </c>
      <c r="Q587" s="13">
        <f t="shared" si="19"/>
        <v>0</v>
      </c>
    </row>
    <row r="588" spans="2:17" ht="15" customHeight="1">
      <c r="B588" s="5" t="str">
        <f>_xlfn.IFNA(VLOOKUP(C588,Master!$H:$I,2,FALSE),"")</f>
        <v/>
      </c>
      <c r="D588" s="5" t="str">
        <f>_xlfn.IFNA(VLOOKUP(E588,Master!$H:$I,2,FALSE),"")</f>
        <v/>
      </c>
      <c r="F588" s="26" t="str">
        <f>+_xlfn.XLOOKUP(G588,Master!$V$2:$V$8,Master!$U$2:$U$8,"")</f>
        <v/>
      </c>
      <c r="I588" s="4" t="str">
        <f>_xlfn.IFNA(VLOOKUP(D588,Master!$I:$K,2,FALSE),"")</f>
        <v/>
      </c>
      <c r="J588" s="4" t="str">
        <f>_xlfn.IFNA(VLOOKUP(D588,Master!$I:$K,3,FALSE),"")</f>
        <v/>
      </c>
      <c r="L588" s="27" t="str">
        <f>IF(A588&lt;&gt;"CFA",_xlfn.IFNA(VLOOKUP($G588,Master!$V$2:$Z$8,5,0),""),"")</f>
        <v/>
      </c>
      <c r="P588" s="6" t="str">
        <f t="shared" si="18"/>
        <v/>
      </c>
      <c r="Q588" s="13">
        <f t="shared" si="19"/>
        <v>0</v>
      </c>
    </row>
    <row r="589" spans="2:17" ht="15" customHeight="1">
      <c r="B589" s="5" t="str">
        <f>_xlfn.IFNA(VLOOKUP(C589,Master!$H:$I,2,FALSE),"")</f>
        <v/>
      </c>
      <c r="D589" s="5" t="str">
        <f>_xlfn.IFNA(VLOOKUP(E589,Master!$H:$I,2,FALSE),"")</f>
        <v/>
      </c>
      <c r="F589" s="26" t="str">
        <f>+_xlfn.XLOOKUP(G589,Master!$V$2:$V$8,Master!$U$2:$U$8,"")</f>
        <v/>
      </c>
      <c r="I589" s="4" t="str">
        <f>_xlfn.IFNA(VLOOKUP(D589,Master!$I:$K,2,FALSE),"")</f>
        <v/>
      </c>
      <c r="J589" s="4" t="str">
        <f>_xlfn.IFNA(VLOOKUP(D589,Master!$I:$K,3,FALSE),"")</f>
        <v/>
      </c>
      <c r="L589" s="27" t="str">
        <f>IF(A589&lt;&gt;"CFA",_xlfn.IFNA(VLOOKUP($G589,Master!$V$2:$Z$8,5,0),""),"")</f>
        <v/>
      </c>
      <c r="P589" s="6" t="str">
        <f t="shared" si="18"/>
        <v/>
      </c>
      <c r="Q589" s="13">
        <f t="shared" si="19"/>
        <v>0</v>
      </c>
    </row>
    <row r="590" spans="2:17" ht="15" customHeight="1">
      <c r="B590" s="5" t="str">
        <f>_xlfn.IFNA(VLOOKUP(C590,Master!$H:$I,2,FALSE),"")</f>
        <v/>
      </c>
      <c r="D590" s="5" t="str">
        <f>_xlfn.IFNA(VLOOKUP(E590,Master!$H:$I,2,FALSE),"")</f>
        <v/>
      </c>
      <c r="F590" s="26" t="str">
        <f>+_xlfn.XLOOKUP(G590,Master!$V$2:$V$8,Master!$U$2:$U$8,"")</f>
        <v/>
      </c>
      <c r="I590" s="4" t="str">
        <f>_xlfn.IFNA(VLOOKUP(D590,Master!$I:$K,2,FALSE),"")</f>
        <v/>
      </c>
      <c r="J590" s="4" t="str">
        <f>_xlfn.IFNA(VLOOKUP(D590,Master!$I:$K,3,FALSE),"")</f>
        <v/>
      </c>
      <c r="L590" s="27" t="str">
        <f>IF(A590&lt;&gt;"CFA",_xlfn.IFNA(VLOOKUP($G590,Master!$V$2:$Z$8,5,0),""),"")</f>
        <v/>
      </c>
      <c r="P590" s="6" t="str">
        <f t="shared" si="18"/>
        <v/>
      </c>
      <c r="Q590" s="13">
        <f t="shared" si="19"/>
        <v>0</v>
      </c>
    </row>
    <row r="591" spans="2:17" ht="15" customHeight="1">
      <c r="B591" s="5" t="str">
        <f>_xlfn.IFNA(VLOOKUP(C591,Master!$H:$I,2,FALSE),"")</f>
        <v/>
      </c>
      <c r="D591" s="5" t="str">
        <f>_xlfn.IFNA(VLOOKUP(E591,Master!$H:$I,2,FALSE),"")</f>
        <v/>
      </c>
      <c r="F591" s="26" t="str">
        <f>+_xlfn.XLOOKUP(G591,Master!$V$2:$V$8,Master!$U$2:$U$8,"")</f>
        <v/>
      </c>
      <c r="I591" s="4" t="str">
        <f>_xlfn.IFNA(VLOOKUP(D591,Master!$I:$K,2,FALSE),"")</f>
        <v/>
      </c>
      <c r="J591" s="4" t="str">
        <f>_xlfn.IFNA(VLOOKUP(D591,Master!$I:$K,3,FALSE),"")</f>
        <v/>
      </c>
      <c r="L591" s="27" t="str">
        <f>IF(A591&lt;&gt;"CFA",_xlfn.IFNA(VLOOKUP($G591,Master!$V$2:$Z$8,5,0),""),"")</f>
        <v/>
      </c>
      <c r="P591" s="6" t="str">
        <f t="shared" si="18"/>
        <v/>
      </c>
      <c r="Q591" s="13">
        <f t="shared" si="19"/>
        <v>0</v>
      </c>
    </row>
    <row r="592" spans="2:17" ht="15" customHeight="1">
      <c r="B592" s="5" t="str">
        <f>_xlfn.IFNA(VLOOKUP(C592,Master!$H:$I,2,FALSE),"")</f>
        <v/>
      </c>
      <c r="D592" s="5" t="str">
        <f>_xlfn.IFNA(VLOOKUP(E592,Master!$H:$I,2,FALSE),"")</f>
        <v/>
      </c>
      <c r="F592" s="26" t="str">
        <f>+_xlfn.XLOOKUP(G592,Master!$V$2:$V$8,Master!$U$2:$U$8,"")</f>
        <v/>
      </c>
      <c r="I592" s="4" t="str">
        <f>_xlfn.IFNA(VLOOKUP(D592,Master!$I:$K,2,FALSE),"")</f>
        <v/>
      </c>
      <c r="J592" s="4" t="str">
        <f>_xlfn.IFNA(VLOOKUP(D592,Master!$I:$K,3,FALSE),"")</f>
        <v/>
      </c>
      <c r="L592" s="27" t="str">
        <f>IF(A592&lt;&gt;"CFA",_xlfn.IFNA(VLOOKUP($G592,Master!$V$2:$Z$8,5,0),""),"")</f>
        <v/>
      </c>
      <c r="P592" s="6" t="str">
        <f t="shared" si="18"/>
        <v/>
      </c>
      <c r="Q592" s="13">
        <f t="shared" si="19"/>
        <v>0</v>
      </c>
    </row>
    <row r="593" spans="2:17" ht="15" customHeight="1">
      <c r="B593" s="5" t="str">
        <f>_xlfn.IFNA(VLOOKUP(C593,Master!$H:$I,2,FALSE),"")</f>
        <v/>
      </c>
      <c r="D593" s="5" t="str">
        <f>_xlfn.IFNA(VLOOKUP(E593,Master!$H:$I,2,FALSE),"")</f>
        <v/>
      </c>
      <c r="F593" s="26" t="str">
        <f>+_xlfn.XLOOKUP(G593,Master!$V$2:$V$8,Master!$U$2:$U$8,"")</f>
        <v/>
      </c>
      <c r="I593" s="4" t="str">
        <f>_xlfn.IFNA(VLOOKUP(D593,Master!$I:$K,2,FALSE),"")</f>
        <v/>
      </c>
      <c r="J593" s="4" t="str">
        <f>_xlfn.IFNA(VLOOKUP(D593,Master!$I:$K,3,FALSE),"")</f>
        <v/>
      </c>
      <c r="L593" s="27" t="str">
        <f>IF(A593&lt;&gt;"CFA",_xlfn.IFNA(VLOOKUP($G593,Master!$V$2:$Z$8,5,0),""),"")</f>
        <v/>
      </c>
      <c r="P593" s="6" t="str">
        <f t="shared" si="18"/>
        <v/>
      </c>
      <c r="Q593" s="13">
        <f t="shared" si="19"/>
        <v>0</v>
      </c>
    </row>
    <row r="594" spans="2:17" ht="15" customHeight="1">
      <c r="B594" s="5" t="str">
        <f>_xlfn.IFNA(VLOOKUP(C594,Master!$H:$I,2,FALSE),"")</f>
        <v/>
      </c>
      <c r="D594" s="5" t="str">
        <f>_xlfn.IFNA(VLOOKUP(E594,Master!$H:$I,2,FALSE),"")</f>
        <v/>
      </c>
      <c r="F594" s="26" t="str">
        <f>+_xlfn.XLOOKUP(G594,Master!$V$2:$V$8,Master!$U$2:$U$8,"")</f>
        <v/>
      </c>
      <c r="I594" s="4" t="str">
        <f>_xlfn.IFNA(VLOOKUP(D594,Master!$I:$K,2,FALSE),"")</f>
        <v/>
      </c>
      <c r="J594" s="4" t="str">
        <f>_xlfn.IFNA(VLOOKUP(D594,Master!$I:$K,3,FALSE),"")</f>
        <v/>
      </c>
      <c r="L594" s="27" t="str">
        <f>IF(A594&lt;&gt;"CFA",_xlfn.IFNA(VLOOKUP($G594,Master!$V$2:$Z$8,5,0),""),"")</f>
        <v/>
      </c>
      <c r="P594" s="6" t="str">
        <f t="shared" si="18"/>
        <v/>
      </c>
      <c r="Q594" s="13">
        <f t="shared" si="19"/>
        <v>0</v>
      </c>
    </row>
    <row r="595" spans="2:17" ht="15" customHeight="1">
      <c r="B595" s="5" t="str">
        <f>_xlfn.IFNA(VLOOKUP(C595,Master!$H:$I,2,FALSE),"")</f>
        <v/>
      </c>
      <c r="D595" s="5" t="str">
        <f>_xlfn.IFNA(VLOOKUP(E595,Master!$H:$I,2,FALSE),"")</f>
        <v/>
      </c>
      <c r="F595" s="26" t="str">
        <f>+_xlfn.XLOOKUP(G595,Master!$V$2:$V$8,Master!$U$2:$U$8,"")</f>
        <v/>
      </c>
      <c r="I595" s="4" t="str">
        <f>_xlfn.IFNA(VLOOKUP(D595,Master!$I:$K,2,FALSE),"")</f>
        <v/>
      </c>
      <c r="J595" s="4" t="str">
        <f>_xlfn.IFNA(VLOOKUP(D595,Master!$I:$K,3,FALSE),"")</f>
        <v/>
      </c>
      <c r="L595" s="27" t="str">
        <f>IF(A595&lt;&gt;"CFA",_xlfn.IFNA(VLOOKUP($G595,Master!$V$2:$Z$8,5,0),""),"")</f>
        <v/>
      </c>
      <c r="P595" s="6" t="str">
        <f t="shared" si="18"/>
        <v/>
      </c>
      <c r="Q595" s="13">
        <f t="shared" si="19"/>
        <v>0</v>
      </c>
    </row>
    <row r="596" spans="2:17" ht="15" customHeight="1">
      <c r="B596" s="5" t="str">
        <f>_xlfn.IFNA(VLOOKUP(C596,Master!$H:$I,2,FALSE),"")</f>
        <v/>
      </c>
      <c r="D596" s="5" t="str">
        <f>_xlfn.IFNA(VLOOKUP(E596,Master!$H:$I,2,FALSE),"")</f>
        <v/>
      </c>
      <c r="F596" s="26" t="str">
        <f>+_xlfn.XLOOKUP(G596,Master!$V$2:$V$8,Master!$U$2:$U$8,"")</f>
        <v/>
      </c>
      <c r="I596" s="4" t="str">
        <f>_xlfn.IFNA(VLOOKUP(D596,Master!$I:$K,2,FALSE),"")</f>
        <v/>
      </c>
      <c r="J596" s="4" t="str">
        <f>_xlfn.IFNA(VLOOKUP(D596,Master!$I:$K,3,FALSE),"")</f>
        <v/>
      </c>
      <c r="L596" s="27" t="str">
        <f>IF(A596&lt;&gt;"CFA",_xlfn.IFNA(VLOOKUP($G596,Master!$V$2:$Z$8,5,0),""),"")</f>
        <v/>
      </c>
      <c r="P596" s="6" t="str">
        <f t="shared" si="18"/>
        <v/>
      </c>
      <c r="Q596" s="13">
        <f t="shared" si="19"/>
        <v>0</v>
      </c>
    </row>
    <row r="597" spans="2:17" ht="15" customHeight="1">
      <c r="B597" s="5" t="str">
        <f>_xlfn.IFNA(VLOOKUP(C597,Master!$H:$I,2,FALSE),"")</f>
        <v/>
      </c>
      <c r="D597" s="5" t="str">
        <f>_xlfn.IFNA(VLOOKUP(E597,Master!$H:$I,2,FALSE),"")</f>
        <v/>
      </c>
      <c r="F597" s="26" t="str">
        <f>+_xlfn.XLOOKUP(G597,Master!$V$2:$V$8,Master!$U$2:$U$8,"")</f>
        <v/>
      </c>
      <c r="I597" s="4" t="str">
        <f>_xlfn.IFNA(VLOOKUP(D597,Master!$I:$K,2,FALSE),"")</f>
        <v/>
      </c>
      <c r="J597" s="4" t="str">
        <f>_xlfn.IFNA(VLOOKUP(D597,Master!$I:$K,3,FALSE),"")</f>
        <v/>
      </c>
      <c r="L597" s="27" t="str">
        <f>IF(A597&lt;&gt;"CFA",_xlfn.IFNA(VLOOKUP($G597,Master!$V$2:$Z$8,5,0),""),"")</f>
        <v/>
      </c>
      <c r="P597" s="6" t="str">
        <f t="shared" si="18"/>
        <v/>
      </c>
      <c r="Q597" s="13">
        <f t="shared" si="19"/>
        <v>0</v>
      </c>
    </row>
    <row r="598" spans="2:17" ht="15" customHeight="1">
      <c r="B598" s="5" t="str">
        <f>_xlfn.IFNA(VLOOKUP(C598,Master!$H:$I,2,FALSE),"")</f>
        <v/>
      </c>
      <c r="D598" s="5" t="str">
        <f>_xlfn.IFNA(VLOOKUP(E598,Master!$H:$I,2,FALSE),"")</f>
        <v/>
      </c>
      <c r="F598" s="26" t="str">
        <f>+_xlfn.XLOOKUP(G598,Master!$V$2:$V$8,Master!$U$2:$U$8,"")</f>
        <v/>
      </c>
      <c r="I598" s="4" t="str">
        <f>_xlfn.IFNA(VLOOKUP(D598,Master!$I:$K,2,FALSE),"")</f>
        <v/>
      </c>
      <c r="J598" s="4" t="str">
        <f>_xlfn.IFNA(VLOOKUP(D598,Master!$I:$K,3,FALSE),"")</f>
        <v/>
      </c>
      <c r="L598" s="27" t="str">
        <f>IF(A598&lt;&gt;"CFA",_xlfn.IFNA(VLOOKUP($G598,Master!$V$2:$Z$8,5,0),""),"")</f>
        <v/>
      </c>
      <c r="P598" s="6" t="str">
        <f t="shared" si="18"/>
        <v/>
      </c>
      <c r="Q598" s="13">
        <f t="shared" si="19"/>
        <v>0</v>
      </c>
    </row>
    <row r="599" spans="2:17" ht="15" customHeight="1">
      <c r="B599" s="5" t="str">
        <f>_xlfn.IFNA(VLOOKUP(C599,Master!$H:$I,2,FALSE),"")</f>
        <v/>
      </c>
      <c r="D599" s="5" t="str">
        <f>_xlfn.IFNA(VLOOKUP(E599,Master!$H:$I,2,FALSE),"")</f>
        <v/>
      </c>
      <c r="F599" s="26" t="str">
        <f>+_xlfn.XLOOKUP(G599,Master!$V$2:$V$8,Master!$U$2:$U$8,"")</f>
        <v/>
      </c>
      <c r="I599" s="4" t="str">
        <f>_xlfn.IFNA(VLOOKUP(D599,Master!$I:$K,2,FALSE),"")</f>
        <v/>
      </c>
      <c r="J599" s="4" t="str">
        <f>_xlfn.IFNA(VLOOKUP(D599,Master!$I:$K,3,FALSE),"")</f>
        <v/>
      </c>
      <c r="L599" s="27" t="str">
        <f>IF(A599&lt;&gt;"CFA",_xlfn.IFNA(VLOOKUP($G599,Master!$V$2:$Z$8,5,0),""),"")</f>
        <v/>
      </c>
      <c r="P599" s="6" t="str">
        <f t="shared" si="18"/>
        <v/>
      </c>
      <c r="Q599" s="13">
        <f t="shared" si="19"/>
        <v>0</v>
      </c>
    </row>
    <row r="600" spans="2:17" ht="15" customHeight="1">
      <c r="B600" s="5" t="str">
        <f>_xlfn.IFNA(VLOOKUP(C600,Master!$H:$I,2,FALSE),"")</f>
        <v/>
      </c>
      <c r="D600" s="5" t="str">
        <f>_xlfn.IFNA(VLOOKUP(E600,Master!$H:$I,2,FALSE),"")</f>
        <v/>
      </c>
      <c r="F600" s="26" t="str">
        <f>+_xlfn.XLOOKUP(G600,Master!$V$2:$V$8,Master!$U$2:$U$8,"")</f>
        <v/>
      </c>
      <c r="I600" s="4" t="str">
        <f>_xlfn.IFNA(VLOOKUP(D600,Master!$I:$K,2,FALSE),"")</f>
        <v/>
      </c>
      <c r="J600" s="4" t="str">
        <f>_xlfn.IFNA(VLOOKUP(D600,Master!$I:$K,3,FALSE),"")</f>
        <v/>
      </c>
      <c r="L600" s="27" t="str">
        <f>IF(A600&lt;&gt;"CFA",_xlfn.IFNA(VLOOKUP($G600,Master!$V$2:$Z$8,5,0),""),"")</f>
        <v/>
      </c>
      <c r="P600" s="6" t="str">
        <f t="shared" si="18"/>
        <v/>
      </c>
      <c r="Q600" s="13">
        <f t="shared" si="19"/>
        <v>0</v>
      </c>
    </row>
    <row r="601" spans="2:17" ht="15" customHeight="1">
      <c r="B601" s="5" t="str">
        <f>_xlfn.IFNA(VLOOKUP(C601,Master!$H:$I,2,FALSE),"")</f>
        <v/>
      </c>
      <c r="D601" s="5" t="str">
        <f>_xlfn.IFNA(VLOOKUP(E601,Master!$H:$I,2,FALSE),"")</f>
        <v/>
      </c>
      <c r="F601" s="26" t="str">
        <f>+_xlfn.XLOOKUP(G601,Master!$V$2:$V$8,Master!$U$2:$U$8,"")</f>
        <v/>
      </c>
      <c r="I601" s="4" t="str">
        <f>_xlfn.IFNA(VLOOKUP(D601,Master!$I:$K,2,FALSE),"")</f>
        <v/>
      </c>
      <c r="J601" s="4" t="str">
        <f>_xlfn.IFNA(VLOOKUP(D601,Master!$I:$K,3,FALSE),"")</f>
        <v/>
      </c>
      <c r="L601" s="27" t="str">
        <f>IF(A601&lt;&gt;"CFA",_xlfn.IFNA(VLOOKUP($G601,Master!$V$2:$Z$8,5,0),""),"")</f>
        <v/>
      </c>
      <c r="P601" s="6" t="str">
        <f t="shared" si="18"/>
        <v/>
      </c>
      <c r="Q601" s="13">
        <f t="shared" si="19"/>
        <v>0</v>
      </c>
    </row>
    <row r="602" spans="2:17" ht="15" customHeight="1">
      <c r="B602" s="5" t="str">
        <f>_xlfn.IFNA(VLOOKUP(C602,Master!$H:$I,2,FALSE),"")</f>
        <v/>
      </c>
      <c r="D602" s="5" t="str">
        <f>_xlfn.IFNA(VLOOKUP(E602,Master!$H:$I,2,FALSE),"")</f>
        <v/>
      </c>
      <c r="F602" s="26" t="str">
        <f>+_xlfn.XLOOKUP(G602,Master!$V$2:$V$8,Master!$U$2:$U$8,"")</f>
        <v/>
      </c>
      <c r="I602" s="4" t="str">
        <f>_xlfn.IFNA(VLOOKUP(D602,Master!$I:$K,2,FALSE),"")</f>
        <v/>
      </c>
      <c r="J602" s="4" t="str">
        <f>_xlfn.IFNA(VLOOKUP(D602,Master!$I:$K,3,FALSE),"")</f>
        <v/>
      </c>
      <c r="L602" s="27" t="str">
        <f>IF(A602&lt;&gt;"CFA",_xlfn.IFNA(VLOOKUP($G602,Master!$V$2:$Z$8,5,0),""),"")</f>
        <v/>
      </c>
      <c r="P602" s="6" t="str">
        <f t="shared" si="18"/>
        <v/>
      </c>
      <c r="Q602" s="13">
        <f t="shared" si="19"/>
        <v>0</v>
      </c>
    </row>
    <row r="603" spans="2:17" ht="15" customHeight="1">
      <c r="B603" s="5" t="str">
        <f>_xlfn.IFNA(VLOOKUP(C603,Master!$H:$I,2,FALSE),"")</f>
        <v/>
      </c>
      <c r="D603" s="5" t="str">
        <f>_xlfn.IFNA(VLOOKUP(E603,Master!$H:$I,2,FALSE),"")</f>
        <v/>
      </c>
      <c r="F603" s="26" t="str">
        <f>+_xlfn.XLOOKUP(G603,Master!$V$2:$V$8,Master!$U$2:$U$8,"")</f>
        <v/>
      </c>
      <c r="I603" s="4" t="str">
        <f>_xlfn.IFNA(VLOOKUP(D603,Master!$I:$K,2,FALSE),"")</f>
        <v/>
      </c>
      <c r="J603" s="4" t="str">
        <f>_xlfn.IFNA(VLOOKUP(D603,Master!$I:$K,3,FALSE),"")</f>
        <v/>
      </c>
      <c r="L603" s="27" t="str">
        <f>IF(A603&lt;&gt;"CFA",_xlfn.IFNA(VLOOKUP($G603,Master!$V$2:$Z$8,5,0),""),"")</f>
        <v/>
      </c>
      <c r="P603" s="6" t="str">
        <f t="shared" si="18"/>
        <v/>
      </c>
      <c r="Q603" s="13">
        <f t="shared" si="19"/>
        <v>0</v>
      </c>
    </row>
    <row r="604" spans="2:17" ht="15" customHeight="1">
      <c r="B604" s="5" t="str">
        <f>_xlfn.IFNA(VLOOKUP(C604,Master!$H:$I,2,FALSE),"")</f>
        <v/>
      </c>
      <c r="D604" s="5" t="str">
        <f>_xlfn.IFNA(VLOOKUP(E604,Master!$H:$I,2,FALSE),"")</f>
        <v/>
      </c>
      <c r="F604" s="26" t="str">
        <f>+_xlfn.XLOOKUP(G604,Master!$V$2:$V$8,Master!$U$2:$U$8,"")</f>
        <v/>
      </c>
      <c r="I604" s="4" t="str">
        <f>_xlfn.IFNA(VLOOKUP(D604,Master!$I:$K,2,FALSE),"")</f>
        <v/>
      </c>
      <c r="J604" s="4" t="str">
        <f>_xlfn.IFNA(VLOOKUP(D604,Master!$I:$K,3,FALSE),"")</f>
        <v/>
      </c>
      <c r="L604" s="27" t="str">
        <f>IF(A604&lt;&gt;"CFA",_xlfn.IFNA(VLOOKUP($G604,Master!$V$2:$Z$8,5,0),""),"")</f>
        <v/>
      </c>
      <c r="P604" s="6" t="str">
        <f t="shared" si="18"/>
        <v/>
      </c>
      <c r="Q604" s="13">
        <f t="shared" si="19"/>
        <v>0</v>
      </c>
    </row>
    <row r="605" spans="2:17" ht="15" customHeight="1">
      <c r="B605" s="5" t="str">
        <f>_xlfn.IFNA(VLOOKUP(C605,Master!$H:$I,2,FALSE),"")</f>
        <v/>
      </c>
      <c r="D605" s="5" t="str">
        <f>_xlfn.IFNA(VLOOKUP(E605,Master!$H:$I,2,FALSE),"")</f>
        <v/>
      </c>
      <c r="F605" s="26" t="str">
        <f>+_xlfn.XLOOKUP(G605,Master!$V$2:$V$8,Master!$U$2:$U$8,"")</f>
        <v/>
      </c>
      <c r="I605" s="4" t="str">
        <f>_xlfn.IFNA(VLOOKUP(D605,Master!$I:$K,2,FALSE),"")</f>
        <v/>
      </c>
      <c r="J605" s="4" t="str">
        <f>_xlfn.IFNA(VLOOKUP(D605,Master!$I:$K,3,FALSE),"")</f>
        <v/>
      </c>
      <c r="L605" s="27" t="str">
        <f>IF(A605&lt;&gt;"CFA",_xlfn.IFNA(VLOOKUP($G605,Master!$V$2:$Z$8,5,0),""),"")</f>
        <v/>
      </c>
      <c r="P605" s="6" t="str">
        <f t="shared" si="18"/>
        <v/>
      </c>
      <c r="Q605" s="13">
        <f t="shared" si="19"/>
        <v>0</v>
      </c>
    </row>
    <row r="606" spans="2:17" ht="15" customHeight="1">
      <c r="B606" s="5" t="str">
        <f>_xlfn.IFNA(VLOOKUP(C606,Master!$H:$I,2,FALSE),"")</f>
        <v/>
      </c>
      <c r="D606" s="5" t="str">
        <f>_xlfn.IFNA(VLOOKUP(E606,Master!$H:$I,2,FALSE),"")</f>
        <v/>
      </c>
      <c r="F606" s="26" t="str">
        <f>+_xlfn.XLOOKUP(G606,Master!$V$2:$V$8,Master!$U$2:$U$8,"")</f>
        <v/>
      </c>
      <c r="I606" s="4" t="str">
        <f>_xlfn.IFNA(VLOOKUP(D606,Master!$I:$K,2,FALSE),"")</f>
        <v/>
      </c>
      <c r="J606" s="4" t="str">
        <f>_xlfn.IFNA(VLOOKUP(D606,Master!$I:$K,3,FALSE),"")</f>
        <v/>
      </c>
      <c r="L606" s="27" t="str">
        <f>IF(A606&lt;&gt;"CFA",_xlfn.IFNA(VLOOKUP($G606,Master!$V$2:$Z$8,5,0),""),"")</f>
        <v/>
      </c>
      <c r="P606" s="6" t="str">
        <f t="shared" si="18"/>
        <v/>
      </c>
      <c r="Q606" s="13">
        <f t="shared" si="19"/>
        <v>0</v>
      </c>
    </row>
    <row r="607" spans="2:17" ht="15" customHeight="1">
      <c r="B607" s="5" t="str">
        <f>_xlfn.IFNA(VLOOKUP(C607,Master!$H:$I,2,FALSE),"")</f>
        <v/>
      </c>
      <c r="D607" s="5" t="str">
        <f>_xlfn.IFNA(VLOOKUP(E607,Master!$H:$I,2,FALSE),"")</f>
        <v/>
      </c>
      <c r="F607" s="26" t="str">
        <f>+_xlfn.XLOOKUP(G607,Master!$V$2:$V$8,Master!$U$2:$U$8,"")</f>
        <v/>
      </c>
      <c r="I607" s="4" t="str">
        <f>_xlfn.IFNA(VLOOKUP(D607,Master!$I:$K,2,FALSE),"")</f>
        <v/>
      </c>
      <c r="J607" s="4" t="str">
        <f>_xlfn.IFNA(VLOOKUP(D607,Master!$I:$K,3,FALSE),"")</f>
        <v/>
      </c>
      <c r="L607" s="27" t="str">
        <f>IF(A607&lt;&gt;"CFA",_xlfn.IFNA(VLOOKUP($G607,Master!$V$2:$Z$8,5,0),""),"")</f>
        <v/>
      </c>
      <c r="P607" s="6" t="str">
        <f t="shared" si="18"/>
        <v/>
      </c>
      <c r="Q607" s="13">
        <f t="shared" si="19"/>
        <v>0</v>
      </c>
    </row>
    <row r="608" spans="2:17" ht="15" customHeight="1">
      <c r="B608" s="5" t="str">
        <f>_xlfn.IFNA(VLOOKUP(C608,Master!$H:$I,2,FALSE),"")</f>
        <v/>
      </c>
      <c r="D608" s="5" t="str">
        <f>_xlfn.IFNA(VLOOKUP(E608,Master!$H:$I,2,FALSE),"")</f>
        <v/>
      </c>
      <c r="F608" s="26" t="str">
        <f>+_xlfn.XLOOKUP(G608,Master!$V$2:$V$8,Master!$U$2:$U$8,"")</f>
        <v/>
      </c>
      <c r="I608" s="4" t="str">
        <f>_xlfn.IFNA(VLOOKUP(D608,Master!$I:$K,2,FALSE),"")</f>
        <v/>
      </c>
      <c r="J608" s="4" t="str">
        <f>_xlfn.IFNA(VLOOKUP(D608,Master!$I:$K,3,FALSE),"")</f>
        <v/>
      </c>
      <c r="L608" s="27" t="str">
        <f>IF(A608&lt;&gt;"CFA",_xlfn.IFNA(VLOOKUP($G608,Master!$V$2:$Z$8,5,0),""),"")</f>
        <v/>
      </c>
      <c r="P608" s="6" t="str">
        <f t="shared" si="18"/>
        <v/>
      </c>
      <c r="Q608" s="13">
        <f t="shared" si="19"/>
        <v>0</v>
      </c>
    </row>
    <row r="609" spans="2:17" ht="15" customHeight="1">
      <c r="B609" s="5" t="str">
        <f>_xlfn.IFNA(VLOOKUP(C609,Master!$H:$I,2,FALSE),"")</f>
        <v/>
      </c>
      <c r="D609" s="5" t="str">
        <f>_xlfn.IFNA(VLOOKUP(E609,Master!$H:$I,2,FALSE),"")</f>
        <v/>
      </c>
      <c r="F609" s="26" t="str">
        <f>+_xlfn.XLOOKUP(G609,Master!$V$2:$V$8,Master!$U$2:$U$8,"")</f>
        <v/>
      </c>
      <c r="I609" s="4" t="str">
        <f>_xlfn.IFNA(VLOOKUP(D609,Master!$I:$K,2,FALSE),"")</f>
        <v/>
      </c>
      <c r="J609" s="4" t="str">
        <f>_xlfn.IFNA(VLOOKUP(D609,Master!$I:$K,3,FALSE),"")</f>
        <v/>
      </c>
      <c r="L609" s="27" t="str">
        <f>IF(A609&lt;&gt;"CFA",_xlfn.IFNA(VLOOKUP($G609,Master!$V$2:$Z$8,5,0),""),"")</f>
        <v/>
      </c>
      <c r="P609" s="6" t="str">
        <f t="shared" si="18"/>
        <v/>
      </c>
      <c r="Q609" s="13">
        <f t="shared" si="19"/>
        <v>0</v>
      </c>
    </row>
    <row r="610" spans="2:17" ht="15" customHeight="1">
      <c r="B610" s="5" t="str">
        <f>_xlfn.IFNA(VLOOKUP(C610,Master!$H:$I,2,FALSE),"")</f>
        <v/>
      </c>
      <c r="D610" s="5" t="str">
        <f>_xlfn.IFNA(VLOOKUP(E610,Master!$H:$I,2,FALSE),"")</f>
        <v/>
      </c>
      <c r="F610" s="26" t="str">
        <f>+_xlfn.XLOOKUP(G610,Master!$V$2:$V$8,Master!$U$2:$U$8,"")</f>
        <v/>
      </c>
      <c r="I610" s="4" t="str">
        <f>_xlfn.IFNA(VLOOKUP(D610,Master!$I:$K,2,FALSE),"")</f>
        <v/>
      </c>
      <c r="J610" s="4" t="str">
        <f>_xlfn.IFNA(VLOOKUP(D610,Master!$I:$K,3,FALSE),"")</f>
        <v/>
      </c>
      <c r="L610" s="27" t="str">
        <f>IF(A610&lt;&gt;"CFA",_xlfn.IFNA(VLOOKUP($G610,Master!$V$2:$Z$8,5,0),""),"")</f>
        <v/>
      </c>
      <c r="P610" s="6" t="str">
        <f t="shared" si="18"/>
        <v/>
      </c>
      <c r="Q610" s="13">
        <f t="shared" si="19"/>
        <v>0</v>
      </c>
    </row>
    <row r="611" spans="2:17" ht="15" customHeight="1">
      <c r="B611" s="5" t="str">
        <f>_xlfn.IFNA(VLOOKUP(C611,Master!$H:$I,2,FALSE),"")</f>
        <v/>
      </c>
      <c r="D611" s="5" t="str">
        <f>_xlfn.IFNA(VLOOKUP(E611,Master!$H:$I,2,FALSE),"")</f>
        <v/>
      </c>
      <c r="F611" s="26" t="str">
        <f>+_xlfn.XLOOKUP(G611,Master!$V$2:$V$8,Master!$U$2:$U$8,"")</f>
        <v/>
      </c>
      <c r="I611" s="4" t="str">
        <f>_xlfn.IFNA(VLOOKUP(D611,Master!$I:$K,2,FALSE),"")</f>
        <v/>
      </c>
      <c r="J611" s="4" t="str">
        <f>_xlfn.IFNA(VLOOKUP(D611,Master!$I:$K,3,FALSE),"")</f>
        <v/>
      </c>
      <c r="L611" s="27" t="str">
        <f>IF(A611&lt;&gt;"CFA",_xlfn.IFNA(VLOOKUP($G611,Master!$V$2:$Z$8,5,0),""),"")</f>
        <v/>
      </c>
      <c r="P611" s="6" t="str">
        <f t="shared" si="18"/>
        <v/>
      </c>
      <c r="Q611" s="13">
        <f t="shared" si="19"/>
        <v>0</v>
      </c>
    </row>
    <row r="612" spans="2:17" ht="15" customHeight="1">
      <c r="B612" s="5" t="str">
        <f>_xlfn.IFNA(VLOOKUP(C612,Master!$H:$I,2,FALSE),"")</f>
        <v/>
      </c>
      <c r="D612" s="5" t="str">
        <f>_xlfn.IFNA(VLOOKUP(E612,Master!$H:$I,2,FALSE),"")</f>
        <v/>
      </c>
      <c r="F612" s="26" t="str">
        <f>+_xlfn.XLOOKUP(G612,Master!$V$2:$V$8,Master!$U$2:$U$8,"")</f>
        <v/>
      </c>
      <c r="I612" s="4" t="str">
        <f>_xlfn.IFNA(VLOOKUP(D612,Master!$I:$K,2,FALSE),"")</f>
        <v/>
      </c>
      <c r="J612" s="4" t="str">
        <f>_xlfn.IFNA(VLOOKUP(D612,Master!$I:$K,3,FALSE),"")</f>
        <v/>
      </c>
      <c r="L612" s="27" t="str">
        <f>IF(A612&lt;&gt;"CFA",_xlfn.IFNA(VLOOKUP($G612,Master!$V$2:$Z$8,5,0),""),"")</f>
        <v/>
      </c>
      <c r="P612" s="6" t="str">
        <f t="shared" si="18"/>
        <v/>
      </c>
      <c r="Q612" s="13">
        <f t="shared" si="19"/>
        <v>0</v>
      </c>
    </row>
    <row r="613" spans="2:17" ht="15" customHeight="1">
      <c r="B613" s="5" t="str">
        <f>_xlfn.IFNA(VLOOKUP(C613,Master!$H:$I,2,FALSE),"")</f>
        <v/>
      </c>
      <c r="D613" s="5" t="str">
        <f>_xlfn.IFNA(VLOOKUP(E613,Master!$H:$I,2,FALSE),"")</f>
        <v/>
      </c>
      <c r="F613" s="26" t="str">
        <f>+_xlfn.XLOOKUP(G613,Master!$V$2:$V$8,Master!$U$2:$U$8,"")</f>
        <v/>
      </c>
      <c r="I613" s="4" t="str">
        <f>_xlfn.IFNA(VLOOKUP(D613,Master!$I:$K,2,FALSE),"")</f>
        <v/>
      </c>
      <c r="J613" s="4" t="str">
        <f>_xlfn.IFNA(VLOOKUP(D613,Master!$I:$K,3,FALSE),"")</f>
        <v/>
      </c>
      <c r="L613" s="27" t="str">
        <f>IF(A613&lt;&gt;"CFA",_xlfn.IFNA(VLOOKUP($G613,Master!$V$2:$Z$8,5,0),""),"")</f>
        <v/>
      </c>
      <c r="P613" s="6" t="str">
        <f t="shared" si="18"/>
        <v/>
      </c>
      <c r="Q613" s="13">
        <f t="shared" si="19"/>
        <v>0</v>
      </c>
    </row>
    <row r="614" spans="2:17" ht="15" customHeight="1">
      <c r="B614" s="5" t="str">
        <f>_xlfn.IFNA(VLOOKUP(C614,Master!$H:$I,2,FALSE),"")</f>
        <v/>
      </c>
      <c r="D614" s="5" t="str">
        <f>_xlfn.IFNA(VLOOKUP(E614,Master!$H:$I,2,FALSE),"")</f>
        <v/>
      </c>
      <c r="F614" s="26" t="str">
        <f>+_xlfn.XLOOKUP(G614,Master!$V$2:$V$8,Master!$U$2:$U$8,"")</f>
        <v/>
      </c>
      <c r="I614" s="4" t="str">
        <f>_xlfn.IFNA(VLOOKUP(D614,Master!$I:$K,2,FALSE),"")</f>
        <v/>
      </c>
      <c r="J614" s="4" t="str">
        <f>_xlfn.IFNA(VLOOKUP(D614,Master!$I:$K,3,FALSE),"")</f>
        <v/>
      </c>
      <c r="L614" s="27" t="str">
        <f>IF(A614&lt;&gt;"CFA",_xlfn.IFNA(VLOOKUP($G614,Master!$V$2:$Z$8,5,0),""),"")</f>
        <v/>
      </c>
      <c r="P614" s="6" t="str">
        <f t="shared" si="18"/>
        <v/>
      </c>
      <c r="Q614" s="13">
        <f t="shared" si="19"/>
        <v>0</v>
      </c>
    </row>
    <row r="615" spans="2:17" ht="15" customHeight="1">
      <c r="B615" s="5" t="str">
        <f>_xlfn.IFNA(VLOOKUP(C615,Master!$H:$I,2,FALSE),"")</f>
        <v/>
      </c>
      <c r="D615" s="5" t="str">
        <f>_xlfn.IFNA(VLOOKUP(E615,Master!$H:$I,2,FALSE),"")</f>
        <v/>
      </c>
      <c r="F615" s="26" t="str">
        <f>+_xlfn.XLOOKUP(G615,Master!$V$2:$V$8,Master!$U$2:$U$8,"")</f>
        <v/>
      </c>
      <c r="I615" s="4" t="str">
        <f>_xlfn.IFNA(VLOOKUP(D615,Master!$I:$K,2,FALSE),"")</f>
        <v/>
      </c>
      <c r="J615" s="4" t="str">
        <f>_xlfn.IFNA(VLOOKUP(D615,Master!$I:$K,3,FALSE),"")</f>
        <v/>
      </c>
      <c r="L615" s="27" t="str">
        <f>IF(A615&lt;&gt;"CFA",_xlfn.IFNA(VLOOKUP($G615,Master!$V$2:$Z$8,5,0),""),"")</f>
        <v/>
      </c>
      <c r="P615" s="6" t="str">
        <f t="shared" si="18"/>
        <v/>
      </c>
      <c r="Q615" s="13">
        <f t="shared" si="19"/>
        <v>0</v>
      </c>
    </row>
    <row r="616" spans="2:17" ht="15" customHeight="1">
      <c r="B616" s="5" t="str">
        <f>_xlfn.IFNA(VLOOKUP(C616,Master!$H:$I,2,FALSE),"")</f>
        <v/>
      </c>
      <c r="D616" s="5" t="str">
        <f>_xlfn.IFNA(VLOOKUP(E616,Master!$H:$I,2,FALSE),"")</f>
        <v/>
      </c>
      <c r="F616" s="26" t="str">
        <f>+_xlfn.XLOOKUP(G616,Master!$V$2:$V$8,Master!$U$2:$U$8,"")</f>
        <v/>
      </c>
      <c r="I616" s="4" t="str">
        <f>_xlfn.IFNA(VLOOKUP(D616,Master!$I:$K,2,FALSE),"")</f>
        <v/>
      </c>
      <c r="J616" s="4" t="str">
        <f>_xlfn.IFNA(VLOOKUP(D616,Master!$I:$K,3,FALSE),"")</f>
        <v/>
      </c>
      <c r="L616" s="27" t="str">
        <f>IF(A616&lt;&gt;"CFA",_xlfn.IFNA(VLOOKUP($G616,Master!$V$2:$Z$8,5,0),""),"")</f>
        <v/>
      </c>
      <c r="P616" s="6" t="str">
        <f t="shared" si="18"/>
        <v/>
      </c>
      <c r="Q616" s="13">
        <f t="shared" si="19"/>
        <v>0</v>
      </c>
    </row>
    <row r="617" spans="2:17" ht="15" customHeight="1">
      <c r="B617" s="5" t="str">
        <f>_xlfn.IFNA(VLOOKUP(C617,Master!$H:$I,2,FALSE),"")</f>
        <v/>
      </c>
      <c r="D617" s="5" t="str">
        <f>_xlfn.IFNA(VLOOKUP(E617,Master!$H:$I,2,FALSE),"")</f>
        <v/>
      </c>
      <c r="F617" s="26" t="str">
        <f>+_xlfn.XLOOKUP(G617,Master!$V$2:$V$8,Master!$U$2:$U$8,"")</f>
        <v/>
      </c>
      <c r="I617" s="4" t="str">
        <f>_xlfn.IFNA(VLOOKUP(D617,Master!$I:$K,2,FALSE),"")</f>
        <v/>
      </c>
      <c r="J617" s="4" t="str">
        <f>_xlfn.IFNA(VLOOKUP(D617,Master!$I:$K,3,FALSE),"")</f>
        <v/>
      </c>
      <c r="L617" s="27" t="str">
        <f>IF(A617&lt;&gt;"CFA",_xlfn.IFNA(VLOOKUP($G617,Master!$V$2:$Z$8,5,0),""),"")</f>
        <v/>
      </c>
      <c r="P617" s="6" t="str">
        <f t="shared" si="18"/>
        <v/>
      </c>
      <c r="Q617" s="13">
        <f t="shared" si="19"/>
        <v>0</v>
      </c>
    </row>
    <row r="618" spans="2:17" ht="15" customHeight="1">
      <c r="B618" s="5" t="str">
        <f>_xlfn.IFNA(VLOOKUP(C618,Master!$H:$I,2,FALSE),"")</f>
        <v/>
      </c>
      <c r="D618" s="5" t="str">
        <f>_xlfn.IFNA(VLOOKUP(E618,Master!$H:$I,2,FALSE),"")</f>
        <v/>
      </c>
      <c r="F618" s="26" t="str">
        <f>+_xlfn.XLOOKUP(G618,Master!$V$2:$V$8,Master!$U$2:$U$8,"")</f>
        <v/>
      </c>
      <c r="I618" s="4" t="str">
        <f>_xlfn.IFNA(VLOOKUP(D618,Master!$I:$K,2,FALSE),"")</f>
        <v/>
      </c>
      <c r="J618" s="4" t="str">
        <f>_xlfn.IFNA(VLOOKUP(D618,Master!$I:$K,3,FALSE),"")</f>
        <v/>
      </c>
      <c r="L618" s="27" t="str">
        <f>IF(A618&lt;&gt;"CFA",_xlfn.IFNA(VLOOKUP($G618,Master!$V$2:$Z$8,5,0),""),"")</f>
        <v/>
      </c>
      <c r="P618" s="6" t="str">
        <f t="shared" si="18"/>
        <v/>
      </c>
      <c r="Q618" s="13">
        <f t="shared" si="19"/>
        <v>0</v>
      </c>
    </row>
    <row r="619" spans="2:17" ht="15" customHeight="1">
      <c r="B619" s="5" t="str">
        <f>_xlfn.IFNA(VLOOKUP(C619,Master!$H:$I,2,FALSE),"")</f>
        <v/>
      </c>
      <c r="D619" s="5" t="str">
        <f>_xlfn.IFNA(VLOOKUP(E619,Master!$H:$I,2,FALSE),"")</f>
        <v/>
      </c>
      <c r="F619" s="26" t="str">
        <f>+_xlfn.XLOOKUP(G619,Master!$V$2:$V$8,Master!$U$2:$U$8,"")</f>
        <v/>
      </c>
      <c r="I619" s="4" t="str">
        <f>_xlfn.IFNA(VLOOKUP(D619,Master!$I:$K,2,FALSE),"")</f>
        <v/>
      </c>
      <c r="J619" s="4" t="str">
        <f>_xlfn.IFNA(VLOOKUP(D619,Master!$I:$K,3,FALSE),"")</f>
        <v/>
      </c>
      <c r="L619" s="27" t="str">
        <f>IF(A619&lt;&gt;"CFA",_xlfn.IFNA(VLOOKUP($G619,Master!$V$2:$Z$8,5,0),""),"")</f>
        <v/>
      </c>
      <c r="P619" s="6" t="str">
        <f t="shared" si="18"/>
        <v/>
      </c>
      <c r="Q619" s="13">
        <f t="shared" si="19"/>
        <v>0</v>
      </c>
    </row>
    <row r="620" spans="2:17" ht="15" customHeight="1">
      <c r="B620" s="5" t="str">
        <f>_xlfn.IFNA(VLOOKUP(C620,Master!$H:$I,2,FALSE),"")</f>
        <v/>
      </c>
      <c r="D620" s="5" t="str">
        <f>_xlfn.IFNA(VLOOKUP(E620,Master!$H:$I,2,FALSE),"")</f>
        <v/>
      </c>
      <c r="F620" s="26" t="str">
        <f>+_xlfn.XLOOKUP(G620,Master!$V$2:$V$8,Master!$U$2:$U$8,"")</f>
        <v/>
      </c>
      <c r="I620" s="4" t="str">
        <f>_xlfn.IFNA(VLOOKUP(D620,Master!$I:$K,2,FALSE),"")</f>
        <v/>
      </c>
      <c r="J620" s="4" t="str">
        <f>_xlfn.IFNA(VLOOKUP(D620,Master!$I:$K,3,FALSE),"")</f>
        <v/>
      </c>
      <c r="L620" s="27" t="str">
        <f>IF(A620&lt;&gt;"CFA",_xlfn.IFNA(VLOOKUP($G620,Master!$V$2:$Z$8,5,0),""),"")</f>
        <v/>
      </c>
      <c r="P620" s="6" t="str">
        <f t="shared" si="18"/>
        <v/>
      </c>
      <c r="Q620" s="13">
        <f t="shared" si="19"/>
        <v>0</v>
      </c>
    </row>
    <row r="621" spans="2:17" ht="15" customHeight="1">
      <c r="B621" s="5" t="str">
        <f>_xlfn.IFNA(VLOOKUP(C621,Master!$H:$I,2,FALSE),"")</f>
        <v/>
      </c>
      <c r="D621" s="5" t="str">
        <f>_xlfn.IFNA(VLOOKUP(E621,Master!$H:$I,2,FALSE),"")</f>
        <v/>
      </c>
      <c r="F621" s="26" t="str">
        <f>+_xlfn.XLOOKUP(G621,Master!$V$2:$V$8,Master!$U$2:$U$8,"")</f>
        <v/>
      </c>
      <c r="I621" s="4" t="str">
        <f>_xlfn.IFNA(VLOOKUP(D621,Master!$I:$K,2,FALSE),"")</f>
        <v/>
      </c>
      <c r="J621" s="4" t="str">
        <f>_xlfn.IFNA(VLOOKUP(D621,Master!$I:$K,3,FALSE),"")</f>
        <v/>
      </c>
      <c r="L621" s="27" t="str">
        <f>IF(A621&lt;&gt;"CFA",_xlfn.IFNA(VLOOKUP($G621,Master!$V$2:$Z$8,5,0),""),"")</f>
        <v/>
      </c>
      <c r="P621" s="6" t="str">
        <f t="shared" si="18"/>
        <v/>
      </c>
      <c r="Q621" s="13">
        <f t="shared" si="19"/>
        <v>0</v>
      </c>
    </row>
    <row r="622" spans="2:17" ht="15" customHeight="1">
      <c r="B622" s="5" t="str">
        <f>_xlfn.IFNA(VLOOKUP(C622,Master!$H:$I,2,FALSE),"")</f>
        <v/>
      </c>
      <c r="D622" s="5" t="str">
        <f>_xlfn.IFNA(VLOOKUP(E622,Master!$H:$I,2,FALSE),"")</f>
        <v/>
      </c>
      <c r="F622" s="26" t="str">
        <f>+_xlfn.XLOOKUP(G622,Master!$V$2:$V$8,Master!$U$2:$U$8,"")</f>
        <v/>
      </c>
      <c r="I622" s="4" t="str">
        <f>_xlfn.IFNA(VLOOKUP(D622,Master!$I:$K,2,FALSE),"")</f>
        <v/>
      </c>
      <c r="J622" s="4" t="str">
        <f>_xlfn.IFNA(VLOOKUP(D622,Master!$I:$K,3,FALSE),"")</f>
        <v/>
      </c>
      <c r="L622" s="27" t="str">
        <f>IF(A622&lt;&gt;"CFA",_xlfn.IFNA(VLOOKUP($G622,Master!$V$2:$Z$8,5,0),""),"")</f>
        <v/>
      </c>
      <c r="P622" s="6" t="str">
        <f t="shared" si="18"/>
        <v/>
      </c>
      <c r="Q622" s="13">
        <f t="shared" si="19"/>
        <v>0</v>
      </c>
    </row>
    <row r="623" spans="2:17" ht="15" customHeight="1">
      <c r="B623" s="5" t="str">
        <f>_xlfn.IFNA(VLOOKUP(C623,Master!$H:$I,2,FALSE),"")</f>
        <v/>
      </c>
      <c r="D623" s="5" t="str">
        <f>_xlfn.IFNA(VLOOKUP(E623,Master!$H:$I,2,FALSE),"")</f>
        <v/>
      </c>
      <c r="F623" s="26" t="str">
        <f>+_xlfn.XLOOKUP(G623,Master!$V$2:$V$8,Master!$U$2:$U$8,"")</f>
        <v/>
      </c>
      <c r="I623" s="4" t="str">
        <f>_xlfn.IFNA(VLOOKUP(D623,Master!$I:$K,2,FALSE),"")</f>
        <v/>
      </c>
      <c r="J623" s="4" t="str">
        <f>_xlfn.IFNA(VLOOKUP(D623,Master!$I:$K,3,FALSE),"")</f>
        <v/>
      </c>
      <c r="L623" s="27" t="str">
        <f>IF(A623&lt;&gt;"CFA",_xlfn.IFNA(VLOOKUP($G623,Master!$V$2:$Z$8,5,0),""),"")</f>
        <v/>
      </c>
      <c r="P623" s="6" t="str">
        <f t="shared" si="18"/>
        <v/>
      </c>
      <c r="Q623" s="13">
        <f t="shared" si="19"/>
        <v>0</v>
      </c>
    </row>
    <row r="624" spans="2:17" ht="15" customHeight="1">
      <c r="B624" s="5" t="str">
        <f>_xlfn.IFNA(VLOOKUP(C624,Master!$H:$I,2,FALSE),"")</f>
        <v/>
      </c>
      <c r="D624" s="5" t="str">
        <f>_xlfn.IFNA(VLOOKUP(E624,Master!$H:$I,2,FALSE),"")</f>
        <v/>
      </c>
      <c r="F624" s="26" t="str">
        <f>+_xlfn.XLOOKUP(G624,Master!$V$2:$V$8,Master!$U$2:$U$8,"")</f>
        <v/>
      </c>
      <c r="I624" s="4" t="str">
        <f>_xlfn.IFNA(VLOOKUP(D624,Master!$I:$K,2,FALSE),"")</f>
        <v/>
      </c>
      <c r="J624" s="4" t="str">
        <f>_xlfn.IFNA(VLOOKUP(D624,Master!$I:$K,3,FALSE),"")</f>
        <v/>
      </c>
      <c r="L624" s="27" t="str">
        <f>IF(A624&lt;&gt;"CFA",_xlfn.IFNA(VLOOKUP($G624,Master!$V$2:$Z$8,5,0),""),"")</f>
        <v/>
      </c>
      <c r="P624" s="6" t="str">
        <f t="shared" si="18"/>
        <v/>
      </c>
      <c r="Q624" s="13">
        <f t="shared" si="19"/>
        <v>0</v>
      </c>
    </row>
    <row r="625" spans="2:17" ht="15" customHeight="1">
      <c r="B625" s="5" t="str">
        <f>_xlfn.IFNA(VLOOKUP(C625,Master!$H:$I,2,FALSE),"")</f>
        <v/>
      </c>
      <c r="D625" s="5" t="str">
        <f>_xlfn.IFNA(VLOOKUP(E625,Master!$H:$I,2,FALSE),"")</f>
        <v/>
      </c>
      <c r="F625" s="26" t="str">
        <f>+_xlfn.XLOOKUP(G625,Master!$V$2:$V$8,Master!$U$2:$U$8,"")</f>
        <v/>
      </c>
      <c r="I625" s="4" t="str">
        <f>_xlfn.IFNA(VLOOKUP(D625,Master!$I:$K,2,FALSE),"")</f>
        <v/>
      </c>
      <c r="J625" s="4" t="str">
        <f>_xlfn.IFNA(VLOOKUP(D625,Master!$I:$K,3,FALSE),"")</f>
        <v/>
      </c>
      <c r="L625" s="27" t="str">
        <f>IF(A625&lt;&gt;"CFA",_xlfn.IFNA(VLOOKUP($G625,Master!$V$2:$Z$8,5,0),""),"")</f>
        <v/>
      </c>
      <c r="P625" s="6" t="str">
        <f t="shared" si="18"/>
        <v/>
      </c>
      <c r="Q625" s="13">
        <f t="shared" si="19"/>
        <v>0</v>
      </c>
    </row>
    <row r="626" spans="2:17" ht="15" customHeight="1">
      <c r="B626" s="5" t="str">
        <f>_xlfn.IFNA(VLOOKUP(C626,Master!$H:$I,2,FALSE),"")</f>
        <v/>
      </c>
      <c r="D626" s="5" t="str">
        <f>_xlfn.IFNA(VLOOKUP(E626,Master!$H:$I,2,FALSE),"")</f>
        <v/>
      </c>
      <c r="F626" s="26" t="str">
        <f>+_xlfn.XLOOKUP(G626,Master!$V$2:$V$8,Master!$U$2:$U$8,"")</f>
        <v/>
      </c>
      <c r="I626" s="4" t="str">
        <f>_xlfn.IFNA(VLOOKUP(D626,Master!$I:$K,2,FALSE),"")</f>
        <v/>
      </c>
      <c r="J626" s="4" t="str">
        <f>_xlfn.IFNA(VLOOKUP(D626,Master!$I:$K,3,FALSE),"")</f>
        <v/>
      </c>
      <c r="L626" s="27" t="str">
        <f>IF(A626&lt;&gt;"CFA",_xlfn.IFNA(VLOOKUP($G626,Master!$V$2:$Z$8,5,0),""),"")</f>
        <v/>
      </c>
      <c r="P626" s="6" t="str">
        <f t="shared" si="18"/>
        <v/>
      </c>
      <c r="Q626" s="13">
        <f t="shared" si="19"/>
        <v>0</v>
      </c>
    </row>
    <row r="627" spans="2:17" ht="15" customHeight="1">
      <c r="B627" s="5" t="str">
        <f>_xlfn.IFNA(VLOOKUP(C627,Master!$H:$I,2,FALSE),"")</f>
        <v/>
      </c>
      <c r="D627" s="5" t="str">
        <f>_xlfn.IFNA(VLOOKUP(E627,Master!$H:$I,2,FALSE),"")</f>
        <v/>
      </c>
      <c r="F627" s="26" t="str">
        <f>+_xlfn.XLOOKUP(G627,Master!$V$2:$V$8,Master!$U$2:$U$8,"")</f>
        <v/>
      </c>
      <c r="I627" s="4" t="str">
        <f>_xlfn.IFNA(VLOOKUP(D627,Master!$I:$K,2,FALSE),"")</f>
        <v/>
      </c>
      <c r="J627" s="4" t="str">
        <f>_xlfn.IFNA(VLOOKUP(D627,Master!$I:$K,3,FALSE),"")</f>
        <v/>
      </c>
      <c r="L627" s="27" t="str">
        <f>IF(A627&lt;&gt;"CFA",_xlfn.IFNA(VLOOKUP($G627,Master!$V$2:$Z$8,5,0),""),"")</f>
        <v/>
      </c>
      <c r="P627" s="6" t="str">
        <f t="shared" si="18"/>
        <v/>
      </c>
      <c r="Q627" s="13">
        <f t="shared" si="19"/>
        <v>0</v>
      </c>
    </row>
    <row r="628" spans="2:17" ht="15" customHeight="1">
      <c r="B628" s="5" t="str">
        <f>_xlfn.IFNA(VLOOKUP(C628,Master!$H:$I,2,FALSE),"")</f>
        <v/>
      </c>
      <c r="D628" s="5" t="str">
        <f>_xlfn.IFNA(VLOOKUP(E628,Master!$H:$I,2,FALSE),"")</f>
        <v/>
      </c>
      <c r="F628" s="26" t="str">
        <f>+_xlfn.XLOOKUP(G628,Master!$V$2:$V$8,Master!$U$2:$U$8,"")</f>
        <v/>
      </c>
      <c r="I628" s="4" t="str">
        <f>_xlfn.IFNA(VLOOKUP(D628,Master!$I:$K,2,FALSE),"")</f>
        <v/>
      </c>
      <c r="J628" s="4" t="str">
        <f>_xlfn.IFNA(VLOOKUP(D628,Master!$I:$K,3,FALSE),"")</f>
        <v/>
      </c>
      <c r="L628" s="27" t="str">
        <f>IF(A628&lt;&gt;"CFA",_xlfn.IFNA(VLOOKUP($G628,Master!$V$2:$Z$8,5,0),""),"")</f>
        <v/>
      </c>
      <c r="P628" s="6" t="str">
        <f t="shared" si="18"/>
        <v/>
      </c>
      <c r="Q628" s="13">
        <f t="shared" si="19"/>
        <v>0</v>
      </c>
    </row>
    <row r="629" spans="2:17" ht="15" customHeight="1">
      <c r="B629" s="5" t="str">
        <f>_xlfn.IFNA(VLOOKUP(C629,Master!$H:$I,2,FALSE),"")</f>
        <v/>
      </c>
      <c r="D629" s="5" t="str">
        <f>_xlfn.IFNA(VLOOKUP(E629,Master!$H:$I,2,FALSE),"")</f>
        <v/>
      </c>
      <c r="F629" s="26" t="str">
        <f>+_xlfn.XLOOKUP(G629,Master!$V$2:$V$8,Master!$U$2:$U$8,"")</f>
        <v/>
      </c>
      <c r="I629" s="4" t="str">
        <f>_xlfn.IFNA(VLOOKUP(D629,Master!$I:$K,2,FALSE),"")</f>
        <v/>
      </c>
      <c r="J629" s="4" t="str">
        <f>_xlfn.IFNA(VLOOKUP(D629,Master!$I:$K,3,FALSE),"")</f>
        <v/>
      </c>
      <c r="L629" s="27" t="str">
        <f>IF(A629&lt;&gt;"CFA",_xlfn.IFNA(VLOOKUP($G629,Master!$V$2:$Z$8,5,0),""),"")</f>
        <v/>
      </c>
      <c r="P629" s="6" t="str">
        <f t="shared" si="18"/>
        <v/>
      </c>
      <c r="Q629" s="13">
        <f t="shared" si="19"/>
        <v>0</v>
      </c>
    </row>
    <row r="630" spans="2:17" ht="15" customHeight="1">
      <c r="B630" s="5" t="str">
        <f>_xlfn.IFNA(VLOOKUP(C630,Master!$H:$I,2,FALSE),"")</f>
        <v/>
      </c>
      <c r="D630" s="5" t="str">
        <f>_xlfn.IFNA(VLOOKUP(E630,Master!$H:$I,2,FALSE),"")</f>
        <v/>
      </c>
      <c r="F630" s="26" t="str">
        <f>+_xlfn.XLOOKUP(G630,Master!$V$2:$V$8,Master!$U$2:$U$8,"")</f>
        <v/>
      </c>
      <c r="I630" s="4" t="str">
        <f>_xlfn.IFNA(VLOOKUP(D630,Master!$I:$K,2,FALSE),"")</f>
        <v/>
      </c>
      <c r="J630" s="4" t="str">
        <f>_xlfn.IFNA(VLOOKUP(D630,Master!$I:$K,3,FALSE),"")</f>
        <v/>
      </c>
      <c r="L630" s="27" t="str">
        <f>IF(A630&lt;&gt;"CFA",_xlfn.IFNA(VLOOKUP($G630,Master!$V$2:$Z$8,5,0),""),"")</f>
        <v/>
      </c>
      <c r="P630" s="6" t="str">
        <f t="shared" si="18"/>
        <v/>
      </c>
      <c r="Q630" s="13">
        <f t="shared" si="19"/>
        <v>0</v>
      </c>
    </row>
    <row r="631" spans="2:17" ht="15" customHeight="1">
      <c r="B631" s="5" t="str">
        <f>_xlfn.IFNA(VLOOKUP(C631,Master!$H:$I,2,FALSE),"")</f>
        <v/>
      </c>
      <c r="D631" s="5" t="str">
        <f>_xlfn.IFNA(VLOOKUP(E631,Master!$H:$I,2,FALSE),"")</f>
        <v/>
      </c>
      <c r="F631" s="26" t="str">
        <f>+_xlfn.XLOOKUP(G631,Master!$V$2:$V$8,Master!$U$2:$U$8,"")</f>
        <v/>
      </c>
      <c r="I631" s="4" t="str">
        <f>_xlfn.IFNA(VLOOKUP(D631,Master!$I:$K,2,FALSE),"")</f>
        <v/>
      </c>
      <c r="J631" s="4" t="str">
        <f>_xlfn.IFNA(VLOOKUP(D631,Master!$I:$K,3,FALSE),"")</f>
        <v/>
      </c>
      <c r="L631" s="27" t="str">
        <f>IF(A631&lt;&gt;"CFA",_xlfn.IFNA(VLOOKUP($G631,Master!$V$2:$Z$8,5,0),""),"")</f>
        <v/>
      </c>
      <c r="P631" s="6" t="str">
        <f t="shared" ref="P631:P694" si="20">IF(N631&lt;&gt;"",IF(MONTH(N631)&gt;=4,"FY1"&amp;RIGHT(YEAR(N631)+1,2),"FY1"&amp;RIGHT(YEAR(N631),2)),"")</f>
        <v/>
      </c>
      <c r="Q631" s="13">
        <f t="shared" ref="Q631:Q694" si="21">IF(K631&gt;0&amp;M631&gt;0,K631*M631,"")</f>
        <v>0</v>
      </c>
    </row>
    <row r="632" spans="2:17" ht="15" customHeight="1">
      <c r="B632" s="5" t="str">
        <f>_xlfn.IFNA(VLOOKUP(C632,Master!$H:$I,2,FALSE),"")</f>
        <v/>
      </c>
      <c r="D632" s="5" t="str">
        <f>_xlfn.IFNA(VLOOKUP(E632,Master!$H:$I,2,FALSE),"")</f>
        <v/>
      </c>
      <c r="F632" s="26" t="str">
        <f>+_xlfn.XLOOKUP(G632,Master!$V$2:$V$8,Master!$U$2:$U$8,"")</f>
        <v/>
      </c>
      <c r="I632" s="4" t="str">
        <f>_xlfn.IFNA(VLOOKUP(D632,Master!$I:$K,2,FALSE),"")</f>
        <v/>
      </c>
      <c r="J632" s="4" t="str">
        <f>_xlfn.IFNA(VLOOKUP(D632,Master!$I:$K,3,FALSE),"")</f>
        <v/>
      </c>
      <c r="L632" s="27" t="str">
        <f>IF(A632&lt;&gt;"CFA",_xlfn.IFNA(VLOOKUP($G632,Master!$V$2:$Z$8,5,0),""),"")</f>
        <v/>
      </c>
      <c r="P632" s="6" t="str">
        <f t="shared" si="20"/>
        <v/>
      </c>
      <c r="Q632" s="13">
        <f t="shared" si="21"/>
        <v>0</v>
      </c>
    </row>
    <row r="633" spans="2:17" ht="15" customHeight="1">
      <c r="B633" s="5" t="str">
        <f>_xlfn.IFNA(VLOOKUP(C633,Master!$H:$I,2,FALSE),"")</f>
        <v/>
      </c>
      <c r="D633" s="5" t="str">
        <f>_xlfn.IFNA(VLOOKUP(E633,Master!$H:$I,2,FALSE),"")</f>
        <v/>
      </c>
      <c r="F633" s="26" t="str">
        <f>+_xlfn.XLOOKUP(G633,Master!$V$2:$V$8,Master!$U$2:$U$8,"")</f>
        <v/>
      </c>
      <c r="I633" s="4" t="str">
        <f>_xlfn.IFNA(VLOOKUP(D633,Master!$I:$K,2,FALSE),"")</f>
        <v/>
      </c>
      <c r="J633" s="4" t="str">
        <f>_xlfn.IFNA(VLOOKUP(D633,Master!$I:$K,3,FALSE),"")</f>
        <v/>
      </c>
      <c r="L633" s="27" t="str">
        <f>IF(A633&lt;&gt;"CFA",_xlfn.IFNA(VLOOKUP($G633,Master!$V$2:$Z$8,5,0),""),"")</f>
        <v/>
      </c>
      <c r="P633" s="6" t="str">
        <f t="shared" si="20"/>
        <v/>
      </c>
      <c r="Q633" s="13">
        <f t="shared" si="21"/>
        <v>0</v>
      </c>
    </row>
    <row r="634" spans="2:17" ht="15" customHeight="1">
      <c r="B634" s="5" t="str">
        <f>_xlfn.IFNA(VLOOKUP(C634,Master!$H:$I,2,FALSE),"")</f>
        <v/>
      </c>
      <c r="D634" s="5" t="str">
        <f>_xlfn.IFNA(VLOOKUP(E634,Master!$H:$I,2,FALSE),"")</f>
        <v/>
      </c>
      <c r="F634" s="26" t="str">
        <f>+_xlfn.XLOOKUP(G634,Master!$V$2:$V$8,Master!$U$2:$U$8,"")</f>
        <v/>
      </c>
      <c r="I634" s="4" t="str">
        <f>_xlfn.IFNA(VLOOKUP(D634,Master!$I:$K,2,FALSE),"")</f>
        <v/>
      </c>
      <c r="J634" s="4" t="str">
        <f>_xlfn.IFNA(VLOOKUP(D634,Master!$I:$K,3,FALSE),"")</f>
        <v/>
      </c>
      <c r="L634" s="27" t="str">
        <f>IF(A634&lt;&gt;"CFA",_xlfn.IFNA(VLOOKUP($G634,Master!$V$2:$Z$8,5,0),""),"")</f>
        <v/>
      </c>
      <c r="P634" s="6" t="str">
        <f t="shared" si="20"/>
        <v/>
      </c>
      <c r="Q634" s="13">
        <f t="shared" si="21"/>
        <v>0</v>
      </c>
    </row>
    <row r="635" spans="2:17" ht="15" customHeight="1">
      <c r="B635" s="5" t="str">
        <f>_xlfn.IFNA(VLOOKUP(C635,Master!$H:$I,2,FALSE),"")</f>
        <v/>
      </c>
      <c r="D635" s="5" t="str">
        <f>_xlfn.IFNA(VLOOKUP(E635,Master!$H:$I,2,FALSE),"")</f>
        <v/>
      </c>
      <c r="F635" s="26" t="str">
        <f>+_xlfn.XLOOKUP(G635,Master!$V$2:$V$8,Master!$U$2:$U$8,"")</f>
        <v/>
      </c>
      <c r="I635" s="4" t="str">
        <f>_xlfn.IFNA(VLOOKUP(D635,Master!$I:$K,2,FALSE),"")</f>
        <v/>
      </c>
      <c r="J635" s="4" t="str">
        <f>_xlfn.IFNA(VLOOKUP(D635,Master!$I:$K,3,FALSE),"")</f>
        <v/>
      </c>
      <c r="L635" s="27" t="str">
        <f>IF(A635&lt;&gt;"CFA",_xlfn.IFNA(VLOOKUP($G635,Master!$V$2:$Z$8,5,0),""),"")</f>
        <v/>
      </c>
      <c r="P635" s="6" t="str">
        <f t="shared" si="20"/>
        <v/>
      </c>
      <c r="Q635" s="13">
        <f t="shared" si="21"/>
        <v>0</v>
      </c>
    </row>
    <row r="636" spans="2:17" ht="15" customHeight="1">
      <c r="B636" s="5" t="str">
        <f>_xlfn.IFNA(VLOOKUP(C636,Master!$H:$I,2,FALSE),"")</f>
        <v/>
      </c>
      <c r="D636" s="5" t="str">
        <f>_xlfn.IFNA(VLOOKUP(E636,Master!$H:$I,2,FALSE),"")</f>
        <v/>
      </c>
      <c r="F636" s="26" t="str">
        <f>+_xlfn.XLOOKUP(G636,Master!$V$2:$V$8,Master!$U$2:$U$8,"")</f>
        <v/>
      </c>
      <c r="I636" s="4" t="str">
        <f>_xlfn.IFNA(VLOOKUP(D636,Master!$I:$K,2,FALSE),"")</f>
        <v/>
      </c>
      <c r="J636" s="4" t="str">
        <f>_xlfn.IFNA(VLOOKUP(D636,Master!$I:$K,3,FALSE),"")</f>
        <v/>
      </c>
      <c r="L636" s="27" t="str">
        <f>IF(A636&lt;&gt;"CFA",_xlfn.IFNA(VLOOKUP($G636,Master!$V$2:$Z$8,5,0),""),"")</f>
        <v/>
      </c>
      <c r="P636" s="6" t="str">
        <f t="shared" si="20"/>
        <v/>
      </c>
      <c r="Q636" s="13">
        <f t="shared" si="21"/>
        <v>0</v>
      </c>
    </row>
    <row r="637" spans="2:17" ht="15" customHeight="1">
      <c r="B637" s="5" t="str">
        <f>_xlfn.IFNA(VLOOKUP(C637,Master!$H:$I,2,FALSE),"")</f>
        <v/>
      </c>
      <c r="D637" s="5" t="str">
        <f>_xlfn.IFNA(VLOOKUP(E637,Master!$H:$I,2,FALSE),"")</f>
        <v/>
      </c>
      <c r="F637" s="26" t="str">
        <f>+_xlfn.XLOOKUP(G637,Master!$V$2:$V$8,Master!$U$2:$U$8,"")</f>
        <v/>
      </c>
      <c r="I637" s="4" t="str">
        <f>_xlfn.IFNA(VLOOKUP(D637,Master!$I:$K,2,FALSE),"")</f>
        <v/>
      </c>
      <c r="J637" s="4" t="str">
        <f>_xlfn.IFNA(VLOOKUP(D637,Master!$I:$K,3,FALSE),"")</f>
        <v/>
      </c>
      <c r="L637" s="27" t="str">
        <f>IF(A637&lt;&gt;"CFA",_xlfn.IFNA(VLOOKUP($G637,Master!$V$2:$Z$8,5,0),""),"")</f>
        <v/>
      </c>
      <c r="P637" s="6" t="str">
        <f t="shared" si="20"/>
        <v/>
      </c>
      <c r="Q637" s="13">
        <f t="shared" si="21"/>
        <v>0</v>
      </c>
    </row>
    <row r="638" spans="2:17" ht="15" customHeight="1">
      <c r="B638" s="5" t="str">
        <f>_xlfn.IFNA(VLOOKUP(C638,Master!$H:$I,2,FALSE),"")</f>
        <v/>
      </c>
      <c r="D638" s="5" t="str">
        <f>_xlfn.IFNA(VLOOKUP(E638,Master!$H:$I,2,FALSE),"")</f>
        <v/>
      </c>
      <c r="F638" s="26" t="str">
        <f>+_xlfn.XLOOKUP(G638,Master!$V$2:$V$8,Master!$U$2:$U$8,"")</f>
        <v/>
      </c>
      <c r="I638" s="4" t="str">
        <f>_xlfn.IFNA(VLOOKUP(D638,Master!$I:$K,2,FALSE),"")</f>
        <v/>
      </c>
      <c r="J638" s="4" t="str">
        <f>_xlfn.IFNA(VLOOKUP(D638,Master!$I:$K,3,FALSE),"")</f>
        <v/>
      </c>
      <c r="L638" s="27" t="str">
        <f>IF(A638&lt;&gt;"CFA",_xlfn.IFNA(VLOOKUP($G638,Master!$V$2:$Z$8,5,0),""),"")</f>
        <v/>
      </c>
      <c r="P638" s="6" t="str">
        <f t="shared" si="20"/>
        <v/>
      </c>
      <c r="Q638" s="13">
        <f t="shared" si="21"/>
        <v>0</v>
      </c>
    </row>
    <row r="639" spans="2:17" ht="15" customHeight="1">
      <c r="B639" s="5" t="str">
        <f>_xlfn.IFNA(VLOOKUP(C639,Master!$H:$I,2,FALSE),"")</f>
        <v/>
      </c>
      <c r="D639" s="5" t="str">
        <f>_xlfn.IFNA(VLOOKUP(E639,Master!$H:$I,2,FALSE),"")</f>
        <v/>
      </c>
      <c r="F639" s="26" t="str">
        <f>+_xlfn.XLOOKUP(G639,Master!$V$2:$V$8,Master!$U$2:$U$8,"")</f>
        <v/>
      </c>
      <c r="I639" s="4" t="str">
        <f>_xlfn.IFNA(VLOOKUP(D639,Master!$I:$K,2,FALSE),"")</f>
        <v/>
      </c>
      <c r="J639" s="4" t="str">
        <f>_xlfn.IFNA(VLOOKUP(D639,Master!$I:$K,3,FALSE),"")</f>
        <v/>
      </c>
      <c r="L639" s="27" t="str">
        <f>IF(A639&lt;&gt;"CFA",_xlfn.IFNA(VLOOKUP($G639,Master!$V$2:$Z$8,5,0),""),"")</f>
        <v/>
      </c>
      <c r="P639" s="6" t="str">
        <f t="shared" si="20"/>
        <v/>
      </c>
      <c r="Q639" s="13">
        <f t="shared" si="21"/>
        <v>0</v>
      </c>
    </row>
    <row r="640" spans="2:17" ht="15" customHeight="1">
      <c r="B640" s="5" t="str">
        <f>_xlfn.IFNA(VLOOKUP(C640,Master!$H:$I,2,FALSE),"")</f>
        <v/>
      </c>
      <c r="D640" s="5" t="str">
        <f>_xlfn.IFNA(VLOOKUP(E640,Master!$H:$I,2,FALSE),"")</f>
        <v/>
      </c>
      <c r="F640" s="26" t="str">
        <f>+_xlfn.XLOOKUP(G640,Master!$V$2:$V$8,Master!$U$2:$U$8,"")</f>
        <v/>
      </c>
      <c r="I640" s="4" t="str">
        <f>_xlfn.IFNA(VLOOKUP(D640,Master!$I:$K,2,FALSE),"")</f>
        <v/>
      </c>
      <c r="J640" s="4" t="str">
        <f>_xlfn.IFNA(VLOOKUP(D640,Master!$I:$K,3,FALSE),"")</f>
        <v/>
      </c>
      <c r="L640" s="27" t="str">
        <f>IF(A640&lt;&gt;"CFA",_xlfn.IFNA(VLOOKUP($G640,Master!$V$2:$Z$8,5,0),""),"")</f>
        <v/>
      </c>
      <c r="P640" s="6" t="str">
        <f t="shared" si="20"/>
        <v/>
      </c>
      <c r="Q640" s="13">
        <f t="shared" si="21"/>
        <v>0</v>
      </c>
    </row>
    <row r="641" spans="2:17" ht="15" customHeight="1">
      <c r="B641" s="5" t="str">
        <f>_xlfn.IFNA(VLOOKUP(C641,Master!$H:$I,2,FALSE),"")</f>
        <v/>
      </c>
      <c r="D641" s="5" t="str">
        <f>_xlfn.IFNA(VLOOKUP(E641,Master!$H:$I,2,FALSE),"")</f>
        <v/>
      </c>
      <c r="F641" s="26" t="str">
        <f>+_xlfn.XLOOKUP(G641,Master!$V$2:$V$8,Master!$U$2:$U$8,"")</f>
        <v/>
      </c>
      <c r="I641" s="4" t="str">
        <f>_xlfn.IFNA(VLOOKUP(D641,Master!$I:$K,2,FALSE),"")</f>
        <v/>
      </c>
      <c r="J641" s="4" t="str">
        <f>_xlfn.IFNA(VLOOKUP(D641,Master!$I:$K,3,FALSE),"")</f>
        <v/>
      </c>
      <c r="L641" s="27" t="str">
        <f>IF(A641&lt;&gt;"CFA",_xlfn.IFNA(VLOOKUP($G641,Master!$V$2:$Z$8,5,0),""),"")</f>
        <v/>
      </c>
      <c r="P641" s="6" t="str">
        <f t="shared" si="20"/>
        <v/>
      </c>
      <c r="Q641" s="13">
        <f t="shared" si="21"/>
        <v>0</v>
      </c>
    </row>
    <row r="642" spans="2:17" ht="15" customHeight="1">
      <c r="B642" s="5" t="str">
        <f>_xlfn.IFNA(VLOOKUP(C642,Master!$H:$I,2,FALSE),"")</f>
        <v/>
      </c>
      <c r="D642" s="5" t="str">
        <f>_xlfn.IFNA(VLOOKUP(E642,Master!$H:$I,2,FALSE),"")</f>
        <v/>
      </c>
      <c r="F642" s="26" t="str">
        <f>+_xlfn.XLOOKUP(G642,Master!$V$2:$V$8,Master!$U$2:$U$8,"")</f>
        <v/>
      </c>
      <c r="I642" s="4" t="str">
        <f>_xlfn.IFNA(VLOOKUP(D642,Master!$I:$K,2,FALSE),"")</f>
        <v/>
      </c>
      <c r="J642" s="4" t="str">
        <f>_xlfn.IFNA(VLOOKUP(D642,Master!$I:$K,3,FALSE),"")</f>
        <v/>
      </c>
      <c r="L642" s="27" t="str">
        <f>IF(A642&lt;&gt;"CFA",_xlfn.IFNA(VLOOKUP($G642,Master!$V$2:$Z$8,5,0),""),"")</f>
        <v/>
      </c>
      <c r="P642" s="6" t="str">
        <f t="shared" si="20"/>
        <v/>
      </c>
      <c r="Q642" s="13">
        <f t="shared" si="21"/>
        <v>0</v>
      </c>
    </row>
    <row r="643" spans="2:17" ht="15" customHeight="1">
      <c r="B643" s="5" t="str">
        <f>_xlfn.IFNA(VLOOKUP(C643,Master!$H:$I,2,FALSE),"")</f>
        <v/>
      </c>
      <c r="D643" s="5" t="str">
        <f>_xlfn.IFNA(VLOOKUP(E643,Master!$H:$I,2,FALSE),"")</f>
        <v/>
      </c>
      <c r="F643" s="26" t="str">
        <f>+_xlfn.XLOOKUP(G643,Master!$V$2:$V$8,Master!$U$2:$U$8,"")</f>
        <v/>
      </c>
      <c r="I643" s="4" t="str">
        <f>_xlfn.IFNA(VLOOKUP(D643,Master!$I:$K,2,FALSE),"")</f>
        <v/>
      </c>
      <c r="J643" s="4" t="str">
        <f>_xlfn.IFNA(VLOOKUP(D643,Master!$I:$K,3,FALSE),"")</f>
        <v/>
      </c>
      <c r="L643" s="27" t="str">
        <f>IF(A643&lt;&gt;"CFA",_xlfn.IFNA(VLOOKUP($G643,Master!$V$2:$Z$8,5,0),""),"")</f>
        <v/>
      </c>
      <c r="P643" s="6" t="str">
        <f t="shared" si="20"/>
        <v/>
      </c>
      <c r="Q643" s="13">
        <f t="shared" si="21"/>
        <v>0</v>
      </c>
    </row>
    <row r="644" spans="2:17" ht="15" customHeight="1">
      <c r="B644" s="5" t="str">
        <f>_xlfn.IFNA(VLOOKUP(C644,Master!$H:$I,2,FALSE),"")</f>
        <v/>
      </c>
      <c r="D644" s="5" t="str">
        <f>_xlfn.IFNA(VLOOKUP(E644,Master!$H:$I,2,FALSE),"")</f>
        <v/>
      </c>
      <c r="F644" s="26" t="str">
        <f>+_xlfn.XLOOKUP(G644,Master!$V$2:$V$8,Master!$U$2:$U$8,"")</f>
        <v/>
      </c>
      <c r="I644" s="4" t="str">
        <f>_xlfn.IFNA(VLOOKUP(D644,Master!$I:$K,2,FALSE),"")</f>
        <v/>
      </c>
      <c r="J644" s="4" t="str">
        <f>_xlfn.IFNA(VLOOKUP(D644,Master!$I:$K,3,FALSE),"")</f>
        <v/>
      </c>
      <c r="L644" s="27" t="str">
        <f>IF(A644&lt;&gt;"CFA",_xlfn.IFNA(VLOOKUP($G644,Master!$V$2:$Z$8,5,0),""),"")</f>
        <v/>
      </c>
      <c r="P644" s="6" t="str">
        <f t="shared" si="20"/>
        <v/>
      </c>
      <c r="Q644" s="13">
        <f t="shared" si="21"/>
        <v>0</v>
      </c>
    </row>
    <row r="645" spans="2:17" ht="15" customHeight="1">
      <c r="B645" s="5" t="str">
        <f>_xlfn.IFNA(VLOOKUP(C645,Master!$H:$I,2,FALSE),"")</f>
        <v/>
      </c>
      <c r="D645" s="5" t="str">
        <f>_xlfn.IFNA(VLOOKUP(E645,Master!$H:$I,2,FALSE),"")</f>
        <v/>
      </c>
      <c r="F645" s="26" t="str">
        <f>+_xlfn.XLOOKUP(G645,Master!$V$2:$V$8,Master!$U$2:$U$8,"")</f>
        <v/>
      </c>
      <c r="I645" s="4" t="str">
        <f>_xlfn.IFNA(VLOOKUP(D645,Master!$I:$K,2,FALSE),"")</f>
        <v/>
      </c>
      <c r="J645" s="4" t="str">
        <f>_xlfn.IFNA(VLOOKUP(D645,Master!$I:$K,3,FALSE),"")</f>
        <v/>
      </c>
      <c r="L645" s="27" t="str">
        <f>IF(A645&lt;&gt;"CFA",_xlfn.IFNA(VLOOKUP($G645,Master!$V$2:$Z$8,5,0),""),"")</f>
        <v/>
      </c>
      <c r="P645" s="6" t="str">
        <f t="shared" si="20"/>
        <v/>
      </c>
      <c r="Q645" s="13">
        <f t="shared" si="21"/>
        <v>0</v>
      </c>
    </row>
    <row r="646" spans="2:17" ht="15" customHeight="1">
      <c r="B646" s="5" t="str">
        <f>_xlfn.IFNA(VLOOKUP(C646,Master!$H:$I,2,FALSE),"")</f>
        <v/>
      </c>
      <c r="D646" s="5" t="str">
        <f>_xlfn.IFNA(VLOOKUP(E646,Master!$H:$I,2,FALSE),"")</f>
        <v/>
      </c>
      <c r="F646" s="26" t="str">
        <f>+_xlfn.XLOOKUP(G646,Master!$V$2:$V$8,Master!$U$2:$U$8,"")</f>
        <v/>
      </c>
      <c r="I646" s="4" t="str">
        <f>_xlfn.IFNA(VLOOKUP(D646,Master!$I:$K,2,FALSE),"")</f>
        <v/>
      </c>
      <c r="J646" s="4" t="str">
        <f>_xlfn.IFNA(VLOOKUP(D646,Master!$I:$K,3,FALSE),"")</f>
        <v/>
      </c>
      <c r="L646" s="27" t="str">
        <f>IF(A646&lt;&gt;"CFA",_xlfn.IFNA(VLOOKUP($G646,Master!$V$2:$Z$8,5,0),""),"")</f>
        <v/>
      </c>
      <c r="P646" s="6" t="str">
        <f t="shared" si="20"/>
        <v/>
      </c>
      <c r="Q646" s="13">
        <f t="shared" si="21"/>
        <v>0</v>
      </c>
    </row>
    <row r="647" spans="2:17" ht="15" customHeight="1">
      <c r="B647" s="5" t="str">
        <f>_xlfn.IFNA(VLOOKUP(C647,Master!$H:$I,2,FALSE),"")</f>
        <v/>
      </c>
      <c r="D647" s="5" t="str">
        <f>_xlfn.IFNA(VLOOKUP(E647,Master!$H:$I,2,FALSE),"")</f>
        <v/>
      </c>
      <c r="F647" s="26" t="str">
        <f>+_xlfn.XLOOKUP(G647,Master!$V$2:$V$8,Master!$U$2:$U$8,"")</f>
        <v/>
      </c>
      <c r="I647" s="4" t="str">
        <f>_xlfn.IFNA(VLOOKUP(D647,Master!$I:$K,2,FALSE),"")</f>
        <v/>
      </c>
      <c r="J647" s="4" t="str">
        <f>_xlfn.IFNA(VLOOKUP(D647,Master!$I:$K,3,FALSE),"")</f>
        <v/>
      </c>
      <c r="L647" s="27" t="str">
        <f>IF(A647&lt;&gt;"CFA",_xlfn.IFNA(VLOOKUP($G647,Master!$V$2:$Z$8,5,0),""),"")</f>
        <v/>
      </c>
      <c r="P647" s="6" t="str">
        <f t="shared" si="20"/>
        <v/>
      </c>
      <c r="Q647" s="13">
        <f t="shared" si="21"/>
        <v>0</v>
      </c>
    </row>
    <row r="648" spans="2:17" ht="15" customHeight="1">
      <c r="B648" s="5" t="str">
        <f>_xlfn.IFNA(VLOOKUP(C648,Master!$H:$I,2,FALSE),"")</f>
        <v/>
      </c>
      <c r="D648" s="5" t="str">
        <f>_xlfn.IFNA(VLOOKUP(E648,Master!$H:$I,2,FALSE),"")</f>
        <v/>
      </c>
      <c r="F648" s="26" t="str">
        <f>+_xlfn.XLOOKUP(G648,Master!$V$2:$V$8,Master!$U$2:$U$8,"")</f>
        <v/>
      </c>
      <c r="I648" s="4" t="str">
        <f>_xlfn.IFNA(VLOOKUP(D648,Master!$I:$K,2,FALSE),"")</f>
        <v/>
      </c>
      <c r="J648" s="4" t="str">
        <f>_xlfn.IFNA(VLOOKUP(D648,Master!$I:$K,3,FALSE),"")</f>
        <v/>
      </c>
      <c r="L648" s="27" t="str">
        <f>IF(A648&lt;&gt;"CFA",_xlfn.IFNA(VLOOKUP($G648,Master!$V$2:$Z$8,5,0),""),"")</f>
        <v/>
      </c>
      <c r="P648" s="6" t="str">
        <f t="shared" si="20"/>
        <v/>
      </c>
      <c r="Q648" s="13">
        <f t="shared" si="21"/>
        <v>0</v>
      </c>
    </row>
    <row r="649" spans="2:17" ht="15" customHeight="1">
      <c r="B649" s="5" t="str">
        <f>_xlfn.IFNA(VLOOKUP(C649,Master!$H:$I,2,FALSE),"")</f>
        <v/>
      </c>
      <c r="D649" s="5" t="str">
        <f>_xlfn.IFNA(VLOOKUP(E649,Master!$H:$I,2,FALSE),"")</f>
        <v/>
      </c>
      <c r="F649" s="26" t="str">
        <f>+_xlfn.XLOOKUP(G649,Master!$V$2:$V$8,Master!$U$2:$U$8,"")</f>
        <v/>
      </c>
      <c r="I649" s="4" t="str">
        <f>_xlfn.IFNA(VLOOKUP(D649,Master!$I:$K,2,FALSE),"")</f>
        <v/>
      </c>
      <c r="J649" s="4" t="str">
        <f>_xlfn.IFNA(VLOOKUP(D649,Master!$I:$K,3,FALSE),"")</f>
        <v/>
      </c>
      <c r="L649" s="27" t="str">
        <f>IF(A649&lt;&gt;"CFA",_xlfn.IFNA(VLOOKUP($G649,Master!$V$2:$Z$8,5,0),""),"")</f>
        <v/>
      </c>
      <c r="P649" s="6" t="str">
        <f t="shared" si="20"/>
        <v/>
      </c>
      <c r="Q649" s="13">
        <f t="shared" si="21"/>
        <v>0</v>
      </c>
    </row>
    <row r="650" spans="2:17" ht="15" customHeight="1">
      <c r="B650" s="5" t="str">
        <f>_xlfn.IFNA(VLOOKUP(C650,Master!$H:$I,2,FALSE),"")</f>
        <v/>
      </c>
      <c r="D650" s="5" t="str">
        <f>_xlfn.IFNA(VLOOKUP(E650,Master!$H:$I,2,FALSE),"")</f>
        <v/>
      </c>
      <c r="F650" s="26" t="str">
        <f>+_xlfn.XLOOKUP(G650,Master!$V$2:$V$8,Master!$U$2:$U$8,"")</f>
        <v/>
      </c>
      <c r="I650" s="4" t="str">
        <f>_xlfn.IFNA(VLOOKUP(D650,Master!$I:$K,2,FALSE),"")</f>
        <v/>
      </c>
      <c r="J650" s="4" t="str">
        <f>_xlfn.IFNA(VLOOKUP(D650,Master!$I:$K,3,FALSE),"")</f>
        <v/>
      </c>
      <c r="L650" s="27" t="str">
        <f>IF(A650&lt;&gt;"CFA",_xlfn.IFNA(VLOOKUP($G650,Master!$V$2:$Z$8,5,0),""),"")</f>
        <v/>
      </c>
      <c r="P650" s="6" t="str">
        <f t="shared" si="20"/>
        <v/>
      </c>
      <c r="Q650" s="13">
        <f t="shared" si="21"/>
        <v>0</v>
      </c>
    </row>
    <row r="651" spans="2:17" ht="15" customHeight="1">
      <c r="B651" s="5" t="str">
        <f>_xlfn.IFNA(VLOOKUP(C651,Master!$H:$I,2,FALSE),"")</f>
        <v/>
      </c>
      <c r="D651" s="5" t="str">
        <f>_xlfn.IFNA(VLOOKUP(E651,Master!$H:$I,2,FALSE),"")</f>
        <v/>
      </c>
      <c r="F651" s="26" t="str">
        <f>+_xlfn.XLOOKUP(G651,Master!$V$2:$V$8,Master!$U$2:$U$8,"")</f>
        <v/>
      </c>
      <c r="I651" s="4" t="str">
        <f>_xlfn.IFNA(VLOOKUP(D651,Master!$I:$K,2,FALSE),"")</f>
        <v/>
      </c>
      <c r="J651" s="4" t="str">
        <f>_xlfn.IFNA(VLOOKUP(D651,Master!$I:$K,3,FALSE),"")</f>
        <v/>
      </c>
      <c r="L651" s="27" t="str">
        <f>IF(A651&lt;&gt;"CFA",_xlfn.IFNA(VLOOKUP($G651,Master!$V$2:$Z$8,5,0),""),"")</f>
        <v/>
      </c>
      <c r="P651" s="6" t="str">
        <f t="shared" si="20"/>
        <v/>
      </c>
      <c r="Q651" s="13">
        <f t="shared" si="21"/>
        <v>0</v>
      </c>
    </row>
    <row r="652" spans="2:17" ht="15" customHeight="1">
      <c r="B652" s="5" t="str">
        <f>_xlfn.IFNA(VLOOKUP(C652,Master!$H:$I,2,FALSE),"")</f>
        <v/>
      </c>
      <c r="D652" s="5" t="str">
        <f>_xlfn.IFNA(VLOOKUP(E652,Master!$H:$I,2,FALSE),"")</f>
        <v/>
      </c>
      <c r="F652" s="26" t="str">
        <f>+_xlfn.XLOOKUP(G652,Master!$V$2:$V$8,Master!$U$2:$U$8,"")</f>
        <v/>
      </c>
      <c r="I652" s="4" t="str">
        <f>_xlfn.IFNA(VLOOKUP(D652,Master!$I:$K,2,FALSE),"")</f>
        <v/>
      </c>
      <c r="J652" s="4" t="str">
        <f>_xlfn.IFNA(VLOOKUP(D652,Master!$I:$K,3,FALSE),"")</f>
        <v/>
      </c>
      <c r="L652" s="27" t="str">
        <f>IF(A652&lt;&gt;"CFA",_xlfn.IFNA(VLOOKUP($G652,Master!$V$2:$Z$8,5,0),""),"")</f>
        <v/>
      </c>
      <c r="P652" s="6" t="str">
        <f t="shared" si="20"/>
        <v/>
      </c>
      <c r="Q652" s="13">
        <f t="shared" si="21"/>
        <v>0</v>
      </c>
    </row>
    <row r="653" spans="2:17" ht="15" customHeight="1">
      <c r="B653" s="5" t="str">
        <f>_xlfn.IFNA(VLOOKUP(C653,Master!$H:$I,2,FALSE),"")</f>
        <v/>
      </c>
      <c r="D653" s="5" t="str">
        <f>_xlfn.IFNA(VLOOKUP(E653,Master!$H:$I,2,FALSE),"")</f>
        <v/>
      </c>
      <c r="F653" s="26" t="str">
        <f>+_xlfn.XLOOKUP(G653,Master!$V$2:$V$8,Master!$U$2:$U$8,"")</f>
        <v/>
      </c>
      <c r="I653" s="4" t="str">
        <f>_xlfn.IFNA(VLOOKUP(D653,Master!$I:$K,2,FALSE),"")</f>
        <v/>
      </c>
      <c r="J653" s="4" t="str">
        <f>_xlfn.IFNA(VLOOKUP(D653,Master!$I:$K,3,FALSE),"")</f>
        <v/>
      </c>
      <c r="L653" s="27" t="str">
        <f>IF(A653&lt;&gt;"CFA",_xlfn.IFNA(VLOOKUP($G653,Master!$V$2:$Z$8,5,0),""),"")</f>
        <v/>
      </c>
      <c r="P653" s="6" t="str">
        <f t="shared" si="20"/>
        <v/>
      </c>
      <c r="Q653" s="13">
        <f t="shared" si="21"/>
        <v>0</v>
      </c>
    </row>
    <row r="654" spans="2:17" ht="15" customHeight="1">
      <c r="B654" s="5" t="str">
        <f>_xlfn.IFNA(VLOOKUP(C654,Master!$H:$I,2,FALSE),"")</f>
        <v/>
      </c>
      <c r="D654" s="5" t="str">
        <f>_xlfn.IFNA(VLOOKUP(E654,Master!$H:$I,2,FALSE),"")</f>
        <v/>
      </c>
      <c r="F654" s="26" t="str">
        <f>+_xlfn.XLOOKUP(G654,Master!$V$2:$V$8,Master!$U$2:$U$8,"")</f>
        <v/>
      </c>
      <c r="I654" s="4" t="str">
        <f>_xlfn.IFNA(VLOOKUP(D654,Master!$I:$K,2,FALSE),"")</f>
        <v/>
      </c>
      <c r="J654" s="4" t="str">
        <f>_xlfn.IFNA(VLOOKUP(D654,Master!$I:$K,3,FALSE),"")</f>
        <v/>
      </c>
      <c r="L654" s="27" t="str">
        <f>IF(A654&lt;&gt;"CFA",_xlfn.IFNA(VLOOKUP($G654,Master!$V$2:$Z$8,5,0),""),"")</f>
        <v/>
      </c>
      <c r="P654" s="6" t="str">
        <f t="shared" si="20"/>
        <v/>
      </c>
      <c r="Q654" s="13">
        <f t="shared" si="21"/>
        <v>0</v>
      </c>
    </row>
    <row r="655" spans="2:17" ht="15" customHeight="1">
      <c r="B655" s="5" t="str">
        <f>_xlfn.IFNA(VLOOKUP(C655,Master!$H:$I,2,FALSE),"")</f>
        <v/>
      </c>
      <c r="D655" s="5" t="str">
        <f>_xlfn.IFNA(VLOOKUP(E655,Master!$H:$I,2,FALSE),"")</f>
        <v/>
      </c>
      <c r="F655" s="26" t="str">
        <f>+_xlfn.XLOOKUP(G655,Master!$V$2:$V$8,Master!$U$2:$U$8,"")</f>
        <v/>
      </c>
      <c r="I655" s="4" t="str">
        <f>_xlfn.IFNA(VLOOKUP(D655,Master!$I:$K,2,FALSE),"")</f>
        <v/>
      </c>
      <c r="J655" s="4" t="str">
        <f>_xlfn.IFNA(VLOOKUP(D655,Master!$I:$K,3,FALSE),"")</f>
        <v/>
      </c>
      <c r="L655" s="27" t="str">
        <f>IF(A655&lt;&gt;"CFA",_xlfn.IFNA(VLOOKUP($G655,Master!$V$2:$Z$8,5,0),""),"")</f>
        <v/>
      </c>
      <c r="P655" s="6" t="str">
        <f t="shared" si="20"/>
        <v/>
      </c>
      <c r="Q655" s="13">
        <f t="shared" si="21"/>
        <v>0</v>
      </c>
    </row>
    <row r="656" spans="2:17" ht="15" customHeight="1">
      <c r="B656" s="5" t="str">
        <f>_xlfn.IFNA(VLOOKUP(C656,Master!$H:$I,2,FALSE),"")</f>
        <v/>
      </c>
      <c r="D656" s="5" t="str">
        <f>_xlfn.IFNA(VLOOKUP(E656,Master!$H:$I,2,FALSE),"")</f>
        <v/>
      </c>
      <c r="F656" s="26" t="str">
        <f>+_xlfn.XLOOKUP(G656,Master!$V$2:$V$8,Master!$U$2:$U$8,"")</f>
        <v/>
      </c>
      <c r="I656" s="4" t="str">
        <f>_xlfn.IFNA(VLOOKUP(D656,Master!$I:$K,2,FALSE),"")</f>
        <v/>
      </c>
      <c r="J656" s="4" t="str">
        <f>_xlfn.IFNA(VLOOKUP(D656,Master!$I:$K,3,FALSE),"")</f>
        <v/>
      </c>
      <c r="L656" s="27" t="str">
        <f>IF(A656&lt;&gt;"CFA",_xlfn.IFNA(VLOOKUP($G656,Master!$V$2:$Z$8,5,0),""),"")</f>
        <v/>
      </c>
      <c r="P656" s="6" t="str">
        <f t="shared" si="20"/>
        <v/>
      </c>
      <c r="Q656" s="13">
        <f t="shared" si="21"/>
        <v>0</v>
      </c>
    </row>
    <row r="657" spans="2:17" ht="15" customHeight="1">
      <c r="B657" s="5" t="str">
        <f>_xlfn.IFNA(VLOOKUP(C657,Master!$H:$I,2,FALSE),"")</f>
        <v/>
      </c>
      <c r="D657" s="5" t="str">
        <f>_xlfn.IFNA(VLOOKUP(E657,Master!$H:$I,2,FALSE),"")</f>
        <v/>
      </c>
      <c r="F657" s="26" t="str">
        <f>+_xlfn.XLOOKUP(G657,Master!$V$2:$V$8,Master!$U$2:$U$8,"")</f>
        <v/>
      </c>
      <c r="I657" s="4" t="str">
        <f>_xlfn.IFNA(VLOOKUP(D657,Master!$I:$K,2,FALSE),"")</f>
        <v/>
      </c>
      <c r="J657" s="4" t="str">
        <f>_xlfn.IFNA(VLOOKUP(D657,Master!$I:$K,3,FALSE),"")</f>
        <v/>
      </c>
      <c r="L657" s="27" t="str">
        <f>IF(A657&lt;&gt;"CFA",_xlfn.IFNA(VLOOKUP($G657,Master!$V$2:$Z$8,5,0),""),"")</f>
        <v/>
      </c>
      <c r="P657" s="6" t="str">
        <f t="shared" si="20"/>
        <v/>
      </c>
      <c r="Q657" s="13">
        <f t="shared" si="21"/>
        <v>0</v>
      </c>
    </row>
    <row r="658" spans="2:17" ht="15" customHeight="1">
      <c r="B658" s="5" t="str">
        <f>_xlfn.IFNA(VLOOKUP(C658,Master!$H:$I,2,FALSE),"")</f>
        <v/>
      </c>
      <c r="D658" s="5" t="str">
        <f>_xlfn.IFNA(VLOOKUP(E658,Master!$H:$I,2,FALSE),"")</f>
        <v/>
      </c>
      <c r="F658" s="26" t="str">
        <f>+_xlfn.XLOOKUP(G658,Master!$V$2:$V$8,Master!$U$2:$U$8,"")</f>
        <v/>
      </c>
      <c r="I658" s="4" t="str">
        <f>_xlfn.IFNA(VLOOKUP(D658,Master!$I:$K,2,FALSE),"")</f>
        <v/>
      </c>
      <c r="J658" s="4" t="str">
        <f>_xlfn.IFNA(VLOOKUP(D658,Master!$I:$K,3,FALSE),"")</f>
        <v/>
      </c>
      <c r="L658" s="27" t="str">
        <f>IF(A658&lt;&gt;"CFA",_xlfn.IFNA(VLOOKUP($G658,Master!$V$2:$Z$8,5,0),""),"")</f>
        <v/>
      </c>
      <c r="P658" s="6" t="str">
        <f t="shared" si="20"/>
        <v/>
      </c>
      <c r="Q658" s="13">
        <f t="shared" si="21"/>
        <v>0</v>
      </c>
    </row>
    <row r="659" spans="2:17" ht="15" customHeight="1">
      <c r="B659" s="5" t="str">
        <f>_xlfn.IFNA(VLOOKUP(C659,Master!$H:$I,2,FALSE),"")</f>
        <v/>
      </c>
      <c r="D659" s="5" t="str">
        <f>_xlfn.IFNA(VLOOKUP(E659,Master!$H:$I,2,FALSE),"")</f>
        <v/>
      </c>
      <c r="F659" s="26" t="str">
        <f>+_xlfn.XLOOKUP(G659,Master!$V$2:$V$8,Master!$U$2:$U$8,"")</f>
        <v/>
      </c>
      <c r="I659" s="4" t="str">
        <f>_xlfn.IFNA(VLOOKUP(D659,Master!$I:$K,2,FALSE),"")</f>
        <v/>
      </c>
      <c r="J659" s="4" t="str">
        <f>_xlfn.IFNA(VLOOKUP(D659,Master!$I:$K,3,FALSE),"")</f>
        <v/>
      </c>
      <c r="L659" s="27" t="str">
        <f>IF(A659&lt;&gt;"CFA",_xlfn.IFNA(VLOOKUP($G659,Master!$V$2:$Z$8,5,0),""),"")</f>
        <v/>
      </c>
      <c r="P659" s="6" t="str">
        <f t="shared" si="20"/>
        <v/>
      </c>
      <c r="Q659" s="13">
        <f t="shared" si="21"/>
        <v>0</v>
      </c>
    </row>
    <row r="660" spans="2:17" ht="15" customHeight="1">
      <c r="B660" s="5" t="str">
        <f>_xlfn.IFNA(VLOOKUP(C660,Master!$H:$I,2,FALSE),"")</f>
        <v/>
      </c>
      <c r="D660" s="5" t="str">
        <f>_xlfn.IFNA(VLOOKUP(E660,Master!$H:$I,2,FALSE),"")</f>
        <v/>
      </c>
      <c r="F660" s="26" t="str">
        <f>+_xlfn.XLOOKUP(G660,Master!$V$2:$V$8,Master!$U$2:$U$8,"")</f>
        <v/>
      </c>
      <c r="I660" s="4" t="str">
        <f>_xlfn.IFNA(VLOOKUP(D660,Master!$I:$K,2,FALSE),"")</f>
        <v/>
      </c>
      <c r="J660" s="4" t="str">
        <f>_xlfn.IFNA(VLOOKUP(D660,Master!$I:$K,3,FALSE),"")</f>
        <v/>
      </c>
      <c r="L660" s="27" t="str">
        <f>IF(A660&lt;&gt;"CFA",_xlfn.IFNA(VLOOKUP($G660,Master!$V$2:$Z$8,5,0),""),"")</f>
        <v/>
      </c>
      <c r="P660" s="6" t="str">
        <f t="shared" si="20"/>
        <v/>
      </c>
      <c r="Q660" s="13">
        <f t="shared" si="21"/>
        <v>0</v>
      </c>
    </row>
    <row r="661" spans="2:17" ht="15" customHeight="1">
      <c r="B661" s="5" t="str">
        <f>_xlfn.IFNA(VLOOKUP(C661,Master!$H:$I,2,FALSE),"")</f>
        <v/>
      </c>
      <c r="D661" s="5" t="str">
        <f>_xlfn.IFNA(VLOOKUP(E661,Master!$H:$I,2,FALSE),"")</f>
        <v/>
      </c>
      <c r="F661" s="26" t="str">
        <f>+_xlfn.XLOOKUP(G661,Master!$V$2:$V$8,Master!$U$2:$U$8,"")</f>
        <v/>
      </c>
      <c r="I661" s="4" t="str">
        <f>_xlfn.IFNA(VLOOKUP(D661,Master!$I:$K,2,FALSE),"")</f>
        <v/>
      </c>
      <c r="J661" s="4" t="str">
        <f>_xlfn.IFNA(VLOOKUP(D661,Master!$I:$K,3,FALSE),"")</f>
        <v/>
      </c>
      <c r="L661" s="27" t="str">
        <f>IF(A661&lt;&gt;"CFA",_xlfn.IFNA(VLOOKUP($G661,Master!$V$2:$Z$8,5,0),""),"")</f>
        <v/>
      </c>
      <c r="P661" s="6" t="str">
        <f t="shared" si="20"/>
        <v/>
      </c>
      <c r="Q661" s="13">
        <f t="shared" si="21"/>
        <v>0</v>
      </c>
    </row>
    <row r="662" spans="2:17" ht="15" customHeight="1">
      <c r="B662" s="5" t="str">
        <f>_xlfn.IFNA(VLOOKUP(C662,Master!$H:$I,2,FALSE),"")</f>
        <v/>
      </c>
      <c r="D662" s="5" t="str">
        <f>_xlfn.IFNA(VLOOKUP(E662,Master!$H:$I,2,FALSE),"")</f>
        <v/>
      </c>
      <c r="F662" s="26" t="str">
        <f>+_xlfn.XLOOKUP(G662,Master!$V$2:$V$8,Master!$U$2:$U$8,"")</f>
        <v/>
      </c>
      <c r="I662" s="4" t="str">
        <f>_xlfn.IFNA(VLOOKUP(D662,Master!$I:$K,2,FALSE),"")</f>
        <v/>
      </c>
      <c r="J662" s="4" t="str">
        <f>_xlfn.IFNA(VLOOKUP(D662,Master!$I:$K,3,FALSE),"")</f>
        <v/>
      </c>
      <c r="L662" s="27" t="str">
        <f>IF(A662&lt;&gt;"CFA",_xlfn.IFNA(VLOOKUP($G662,Master!$V$2:$Z$8,5,0),""),"")</f>
        <v/>
      </c>
      <c r="P662" s="6" t="str">
        <f t="shared" si="20"/>
        <v/>
      </c>
      <c r="Q662" s="13">
        <f t="shared" si="21"/>
        <v>0</v>
      </c>
    </row>
    <row r="663" spans="2:17" ht="15" customHeight="1">
      <c r="B663" s="5" t="str">
        <f>_xlfn.IFNA(VLOOKUP(C663,Master!$H:$I,2,FALSE),"")</f>
        <v/>
      </c>
      <c r="D663" s="5" t="str">
        <f>_xlfn.IFNA(VLOOKUP(E663,Master!$H:$I,2,FALSE),"")</f>
        <v/>
      </c>
      <c r="F663" s="26" t="str">
        <f>+_xlfn.XLOOKUP(G663,Master!$V$2:$V$8,Master!$U$2:$U$8,"")</f>
        <v/>
      </c>
      <c r="I663" s="4" t="str">
        <f>_xlfn.IFNA(VLOOKUP(D663,Master!$I:$K,2,FALSE),"")</f>
        <v/>
      </c>
      <c r="J663" s="4" t="str">
        <f>_xlfn.IFNA(VLOOKUP(D663,Master!$I:$K,3,FALSE),"")</f>
        <v/>
      </c>
      <c r="L663" s="27" t="str">
        <f>IF(A663&lt;&gt;"CFA",_xlfn.IFNA(VLOOKUP($G663,Master!$V$2:$Z$8,5,0),""),"")</f>
        <v/>
      </c>
      <c r="P663" s="6" t="str">
        <f t="shared" si="20"/>
        <v/>
      </c>
      <c r="Q663" s="13">
        <f t="shared" si="21"/>
        <v>0</v>
      </c>
    </row>
    <row r="664" spans="2:17" ht="15" customHeight="1">
      <c r="B664" s="5" t="str">
        <f>_xlfn.IFNA(VLOOKUP(C664,Master!$H:$I,2,FALSE),"")</f>
        <v/>
      </c>
      <c r="D664" s="5" t="str">
        <f>_xlfn.IFNA(VLOOKUP(E664,Master!$H:$I,2,FALSE),"")</f>
        <v/>
      </c>
      <c r="F664" s="26" t="str">
        <f>+_xlfn.XLOOKUP(G664,Master!$V$2:$V$8,Master!$U$2:$U$8,"")</f>
        <v/>
      </c>
      <c r="I664" s="4" t="str">
        <f>_xlfn.IFNA(VLOOKUP(D664,Master!$I:$K,2,FALSE),"")</f>
        <v/>
      </c>
      <c r="J664" s="4" t="str">
        <f>_xlfn.IFNA(VLOOKUP(D664,Master!$I:$K,3,FALSE),"")</f>
        <v/>
      </c>
      <c r="L664" s="27" t="str">
        <f>IF(A664&lt;&gt;"CFA",_xlfn.IFNA(VLOOKUP($G664,Master!$V$2:$Z$8,5,0),""),"")</f>
        <v/>
      </c>
      <c r="P664" s="6" t="str">
        <f t="shared" si="20"/>
        <v/>
      </c>
      <c r="Q664" s="13">
        <f t="shared" si="21"/>
        <v>0</v>
      </c>
    </row>
    <row r="665" spans="2:17" ht="15" customHeight="1">
      <c r="B665" s="5" t="str">
        <f>_xlfn.IFNA(VLOOKUP(C665,Master!$H:$I,2,FALSE),"")</f>
        <v/>
      </c>
      <c r="D665" s="5" t="str">
        <f>_xlfn.IFNA(VLOOKUP(E665,Master!$H:$I,2,FALSE),"")</f>
        <v/>
      </c>
      <c r="F665" s="26" t="str">
        <f>+_xlfn.XLOOKUP(G665,Master!$V$2:$V$8,Master!$U$2:$U$8,"")</f>
        <v/>
      </c>
      <c r="I665" s="4" t="str">
        <f>_xlfn.IFNA(VLOOKUP(D665,Master!$I:$K,2,FALSE),"")</f>
        <v/>
      </c>
      <c r="J665" s="4" t="str">
        <f>_xlfn.IFNA(VLOOKUP(D665,Master!$I:$K,3,FALSE),"")</f>
        <v/>
      </c>
      <c r="L665" s="27" t="str">
        <f>IF(A665&lt;&gt;"CFA",_xlfn.IFNA(VLOOKUP($G665,Master!$V$2:$Z$8,5,0),""),"")</f>
        <v/>
      </c>
      <c r="P665" s="6" t="str">
        <f t="shared" si="20"/>
        <v/>
      </c>
      <c r="Q665" s="13">
        <f t="shared" si="21"/>
        <v>0</v>
      </c>
    </row>
    <row r="666" spans="2:17" ht="15" customHeight="1">
      <c r="B666" s="5" t="str">
        <f>_xlfn.IFNA(VLOOKUP(C666,Master!$H:$I,2,FALSE),"")</f>
        <v/>
      </c>
      <c r="D666" s="5" t="str">
        <f>_xlfn.IFNA(VLOOKUP(E666,Master!$H:$I,2,FALSE),"")</f>
        <v/>
      </c>
      <c r="F666" s="26" t="str">
        <f>+_xlfn.XLOOKUP(G666,Master!$V$2:$V$8,Master!$U$2:$U$8,"")</f>
        <v/>
      </c>
      <c r="I666" s="4" t="str">
        <f>_xlfn.IFNA(VLOOKUP(D666,Master!$I:$K,2,FALSE),"")</f>
        <v/>
      </c>
      <c r="J666" s="4" t="str">
        <f>_xlfn.IFNA(VLOOKUP(D666,Master!$I:$K,3,FALSE),"")</f>
        <v/>
      </c>
      <c r="L666" s="27" t="str">
        <f>IF(A666&lt;&gt;"CFA",_xlfn.IFNA(VLOOKUP($G666,Master!$V$2:$Z$8,5,0),""),"")</f>
        <v/>
      </c>
      <c r="P666" s="6" t="str">
        <f t="shared" si="20"/>
        <v/>
      </c>
      <c r="Q666" s="13">
        <f t="shared" si="21"/>
        <v>0</v>
      </c>
    </row>
    <row r="667" spans="2:17" ht="15" customHeight="1">
      <c r="B667" s="5" t="str">
        <f>_xlfn.IFNA(VLOOKUP(C667,Master!$H:$I,2,FALSE),"")</f>
        <v/>
      </c>
      <c r="D667" s="5" t="str">
        <f>_xlfn.IFNA(VLOOKUP(E667,Master!$H:$I,2,FALSE),"")</f>
        <v/>
      </c>
      <c r="F667" s="26" t="str">
        <f>+_xlfn.XLOOKUP(G667,Master!$V$2:$V$8,Master!$U$2:$U$8,"")</f>
        <v/>
      </c>
      <c r="I667" s="4" t="str">
        <f>_xlfn.IFNA(VLOOKUP(D667,Master!$I:$K,2,FALSE),"")</f>
        <v/>
      </c>
      <c r="J667" s="4" t="str">
        <f>_xlfn.IFNA(VLOOKUP(D667,Master!$I:$K,3,FALSE),"")</f>
        <v/>
      </c>
      <c r="L667" s="27" t="str">
        <f>IF(A667&lt;&gt;"CFA",_xlfn.IFNA(VLOOKUP($G667,Master!$V$2:$Z$8,5,0),""),"")</f>
        <v/>
      </c>
      <c r="P667" s="6" t="str">
        <f t="shared" si="20"/>
        <v/>
      </c>
      <c r="Q667" s="13">
        <f t="shared" si="21"/>
        <v>0</v>
      </c>
    </row>
    <row r="668" spans="2:17" ht="15" customHeight="1">
      <c r="B668" s="5" t="str">
        <f>_xlfn.IFNA(VLOOKUP(C668,Master!$H:$I,2,FALSE),"")</f>
        <v/>
      </c>
      <c r="D668" s="5" t="str">
        <f>_xlfn.IFNA(VLOOKUP(E668,Master!$H:$I,2,FALSE),"")</f>
        <v/>
      </c>
      <c r="F668" s="26" t="str">
        <f>+_xlfn.XLOOKUP(G668,Master!$V$2:$V$8,Master!$U$2:$U$8,"")</f>
        <v/>
      </c>
      <c r="I668" s="4" t="str">
        <f>_xlfn.IFNA(VLOOKUP(D668,Master!$I:$K,2,FALSE),"")</f>
        <v/>
      </c>
      <c r="J668" s="4" t="str">
        <f>_xlfn.IFNA(VLOOKUP(D668,Master!$I:$K,3,FALSE),"")</f>
        <v/>
      </c>
      <c r="L668" s="27" t="str">
        <f>IF(A668&lt;&gt;"CFA",_xlfn.IFNA(VLOOKUP($G668,Master!$V$2:$Z$8,5,0),""),"")</f>
        <v/>
      </c>
      <c r="P668" s="6" t="str">
        <f t="shared" si="20"/>
        <v/>
      </c>
      <c r="Q668" s="13">
        <f t="shared" si="21"/>
        <v>0</v>
      </c>
    </row>
    <row r="669" spans="2:17" ht="15" customHeight="1">
      <c r="B669" s="5" t="str">
        <f>_xlfn.IFNA(VLOOKUP(C669,Master!$H:$I,2,FALSE),"")</f>
        <v/>
      </c>
      <c r="D669" s="5" t="str">
        <f>_xlfn.IFNA(VLOOKUP(E669,Master!$H:$I,2,FALSE),"")</f>
        <v/>
      </c>
      <c r="F669" s="26" t="str">
        <f>+_xlfn.XLOOKUP(G669,Master!$V$2:$V$8,Master!$U$2:$U$8,"")</f>
        <v/>
      </c>
      <c r="I669" s="4" t="str">
        <f>_xlfn.IFNA(VLOOKUP(D669,Master!$I:$K,2,FALSE),"")</f>
        <v/>
      </c>
      <c r="J669" s="4" t="str">
        <f>_xlfn.IFNA(VLOOKUP(D669,Master!$I:$K,3,FALSE),"")</f>
        <v/>
      </c>
      <c r="L669" s="27" t="str">
        <f>IF(A669&lt;&gt;"CFA",_xlfn.IFNA(VLOOKUP($G669,Master!$V$2:$Z$8,5,0),""),"")</f>
        <v/>
      </c>
      <c r="P669" s="6" t="str">
        <f t="shared" si="20"/>
        <v/>
      </c>
      <c r="Q669" s="13">
        <f t="shared" si="21"/>
        <v>0</v>
      </c>
    </row>
    <row r="670" spans="2:17" ht="15" customHeight="1">
      <c r="B670" s="5" t="str">
        <f>_xlfn.IFNA(VLOOKUP(C670,Master!$H:$I,2,FALSE),"")</f>
        <v/>
      </c>
      <c r="D670" s="5" t="str">
        <f>_xlfn.IFNA(VLOOKUP(E670,Master!$H:$I,2,FALSE),"")</f>
        <v/>
      </c>
      <c r="F670" s="26" t="str">
        <f>+_xlfn.XLOOKUP(G670,Master!$V$2:$V$8,Master!$U$2:$U$8,"")</f>
        <v/>
      </c>
      <c r="I670" s="4" t="str">
        <f>_xlfn.IFNA(VLOOKUP(D670,Master!$I:$K,2,FALSE),"")</f>
        <v/>
      </c>
      <c r="J670" s="4" t="str">
        <f>_xlfn.IFNA(VLOOKUP(D670,Master!$I:$K,3,FALSE),"")</f>
        <v/>
      </c>
      <c r="L670" s="27" t="str">
        <f>IF(A670&lt;&gt;"CFA",_xlfn.IFNA(VLOOKUP($G670,Master!$V$2:$Z$8,5,0),""),"")</f>
        <v/>
      </c>
      <c r="P670" s="6" t="str">
        <f t="shared" si="20"/>
        <v/>
      </c>
      <c r="Q670" s="13">
        <f t="shared" si="21"/>
        <v>0</v>
      </c>
    </row>
    <row r="671" spans="2:17" ht="15" customHeight="1">
      <c r="B671" s="5" t="str">
        <f>_xlfn.IFNA(VLOOKUP(C671,Master!$H:$I,2,FALSE),"")</f>
        <v/>
      </c>
      <c r="D671" s="5" t="str">
        <f>_xlfn.IFNA(VLOOKUP(E671,Master!$H:$I,2,FALSE),"")</f>
        <v/>
      </c>
      <c r="F671" s="26" t="str">
        <f>+_xlfn.XLOOKUP(G671,Master!$V$2:$V$8,Master!$U$2:$U$8,"")</f>
        <v/>
      </c>
      <c r="I671" s="4" t="str">
        <f>_xlfn.IFNA(VLOOKUP(D671,Master!$I:$K,2,FALSE),"")</f>
        <v/>
      </c>
      <c r="J671" s="4" t="str">
        <f>_xlfn.IFNA(VLOOKUP(D671,Master!$I:$K,3,FALSE),"")</f>
        <v/>
      </c>
      <c r="L671" s="27" t="str">
        <f>IF(A671&lt;&gt;"CFA",_xlfn.IFNA(VLOOKUP($G671,Master!$V$2:$Z$8,5,0),""),"")</f>
        <v/>
      </c>
      <c r="P671" s="6" t="str">
        <f t="shared" si="20"/>
        <v/>
      </c>
      <c r="Q671" s="13">
        <f t="shared" si="21"/>
        <v>0</v>
      </c>
    </row>
    <row r="672" spans="2:17" ht="15" customHeight="1">
      <c r="B672" s="5" t="str">
        <f>_xlfn.IFNA(VLOOKUP(C672,Master!$H:$I,2,FALSE),"")</f>
        <v/>
      </c>
      <c r="D672" s="5" t="str">
        <f>_xlfn.IFNA(VLOOKUP(E672,Master!$H:$I,2,FALSE),"")</f>
        <v/>
      </c>
      <c r="F672" s="26" t="str">
        <f>+_xlfn.XLOOKUP(G672,Master!$V$2:$V$8,Master!$U$2:$U$8,"")</f>
        <v/>
      </c>
      <c r="I672" s="4" t="str">
        <f>_xlfn.IFNA(VLOOKUP(D672,Master!$I:$K,2,FALSE),"")</f>
        <v/>
      </c>
      <c r="J672" s="4" t="str">
        <f>_xlfn.IFNA(VLOOKUP(D672,Master!$I:$K,3,FALSE),"")</f>
        <v/>
      </c>
      <c r="L672" s="27" t="str">
        <f>IF(A672&lt;&gt;"CFA",_xlfn.IFNA(VLOOKUP($G672,Master!$V$2:$Z$8,5,0),""),"")</f>
        <v/>
      </c>
      <c r="P672" s="6" t="str">
        <f t="shared" si="20"/>
        <v/>
      </c>
      <c r="Q672" s="13">
        <f t="shared" si="21"/>
        <v>0</v>
      </c>
    </row>
    <row r="673" spans="2:17" ht="15" customHeight="1">
      <c r="B673" s="5" t="str">
        <f>_xlfn.IFNA(VLOOKUP(C673,Master!$H:$I,2,FALSE),"")</f>
        <v/>
      </c>
      <c r="D673" s="5" t="str">
        <f>_xlfn.IFNA(VLOOKUP(E673,Master!$H:$I,2,FALSE),"")</f>
        <v/>
      </c>
      <c r="F673" s="26" t="str">
        <f>+_xlfn.XLOOKUP(G673,Master!$V$2:$V$8,Master!$U$2:$U$8,"")</f>
        <v/>
      </c>
      <c r="I673" s="4" t="str">
        <f>_xlfn.IFNA(VLOOKUP(D673,Master!$I:$K,2,FALSE),"")</f>
        <v/>
      </c>
      <c r="J673" s="4" t="str">
        <f>_xlfn.IFNA(VLOOKUP(D673,Master!$I:$K,3,FALSE),"")</f>
        <v/>
      </c>
      <c r="L673" s="27" t="str">
        <f>IF(A673&lt;&gt;"CFA",_xlfn.IFNA(VLOOKUP($G673,Master!$V$2:$Z$8,5,0),""),"")</f>
        <v/>
      </c>
      <c r="P673" s="6" t="str">
        <f t="shared" si="20"/>
        <v/>
      </c>
      <c r="Q673" s="13">
        <f t="shared" si="21"/>
        <v>0</v>
      </c>
    </row>
    <row r="674" spans="2:17" ht="15" customHeight="1">
      <c r="B674" s="5" t="str">
        <f>_xlfn.IFNA(VLOOKUP(C674,Master!$H:$I,2,FALSE),"")</f>
        <v/>
      </c>
      <c r="D674" s="5" t="str">
        <f>_xlfn.IFNA(VLOOKUP(E674,Master!$H:$I,2,FALSE),"")</f>
        <v/>
      </c>
      <c r="F674" s="26" t="str">
        <f>+_xlfn.XLOOKUP(G674,Master!$V$2:$V$8,Master!$U$2:$U$8,"")</f>
        <v/>
      </c>
      <c r="I674" s="4" t="str">
        <f>_xlfn.IFNA(VLOOKUP(D674,Master!$I:$K,2,FALSE),"")</f>
        <v/>
      </c>
      <c r="J674" s="4" t="str">
        <f>_xlfn.IFNA(VLOOKUP(D674,Master!$I:$K,3,FALSE),"")</f>
        <v/>
      </c>
      <c r="L674" s="27" t="str">
        <f>IF(A674&lt;&gt;"CFA",_xlfn.IFNA(VLOOKUP($G674,Master!$V$2:$Z$8,5,0),""),"")</f>
        <v/>
      </c>
      <c r="P674" s="6" t="str">
        <f t="shared" si="20"/>
        <v/>
      </c>
      <c r="Q674" s="13">
        <f t="shared" si="21"/>
        <v>0</v>
      </c>
    </row>
    <row r="675" spans="2:17" ht="15" customHeight="1">
      <c r="B675" s="5" t="str">
        <f>_xlfn.IFNA(VLOOKUP(C675,Master!$H:$I,2,FALSE),"")</f>
        <v/>
      </c>
      <c r="D675" s="5" t="str">
        <f>_xlfn.IFNA(VLOOKUP(E675,Master!$H:$I,2,FALSE),"")</f>
        <v/>
      </c>
      <c r="F675" s="26" t="str">
        <f>+_xlfn.XLOOKUP(G675,Master!$V$2:$V$8,Master!$U$2:$U$8,"")</f>
        <v/>
      </c>
      <c r="I675" s="4" t="str">
        <f>_xlfn.IFNA(VLOOKUP(D675,Master!$I:$K,2,FALSE),"")</f>
        <v/>
      </c>
      <c r="J675" s="4" t="str">
        <f>_xlfn.IFNA(VLOOKUP(D675,Master!$I:$K,3,FALSE),"")</f>
        <v/>
      </c>
      <c r="L675" s="27" t="str">
        <f>IF(A675&lt;&gt;"CFA",_xlfn.IFNA(VLOOKUP($G675,Master!$V$2:$Z$8,5,0),""),"")</f>
        <v/>
      </c>
      <c r="P675" s="6" t="str">
        <f t="shared" si="20"/>
        <v/>
      </c>
      <c r="Q675" s="13">
        <f t="shared" si="21"/>
        <v>0</v>
      </c>
    </row>
    <row r="676" spans="2:17" ht="15" customHeight="1">
      <c r="B676" s="5" t="str">
        <f>_xlfn.IFNA(VLOOKUP(C676,Master!$H:$I,2,FALSE),"")</f>
        <v/>
      </c>
      <c r="D676" s="5" t="str">
        <f>_xlfn.IFNA(VLOOKUP(E676,Master!$H:$I,2,FALSE),"")</f>
        <v/>
      </c>
      <c r="F676" s="26" t="str">
        <f>+_xlfn.XLOOKUP(G676,Master!$V$2:$V$8,Master!$U$2:$U$8,"")</f>
        <v/>
      </c>
      <c r="I676" s="4" t="str">
        <f>_xlfn.IFNA(VLOOKUP(D676,Master!$I:$K,2,FALSE),"")</f>
        <v/>
      </c>
      <c r="J676" s="4" t="str">
        <f>_xlfn.IFNA(VLOOKUP(D676,Master!$I:$K,3,FALSE),"")</f>
        <v/>
      </c>
      <c r="L676" s="27" t="str">
        <f>IF(A676&lt;&gt;"CFA",_xlfn.IFNA(VLOOKUP($G676,Master!$V$2:$Z$8,5,0),""),"")</f>
        <v/>
      </c>
      <c r="P676" s="6" t="str">
        <f t="shared" si="20"/>
        <v/>
      </c>
      <c r="Q676" s="13">
        <f t="shared" si="21"/>
        <v>0</v>
      </c>
    </row>
    <row r="677" spans="2:17" ht="15" customHeight="1">
      <c r="B677" s="5" t="str">
        <f>_xlfn.IFNA(VLOOKUP(C677,Master!$H:$I,2,FALSE),"")</f>
        <v/>
      </c>
      <c r="D677" s="5" t="str">
        <f>_xlfn.IFNA(VLOOKUP(E677,Master!$H:$I,2,FALSE),"")</f>
        <v/>
      </c>
      <c r="F677" s="26" t="str">
        <f>+_xlfn.XLOOKUP(G677,Master!$V$2:$V$8,Master!$U$2:$U$8,"")</f>
        <v/>
      </c>
      <c r="I677" s="4" t="str">
        <f>_xlfn.IFNA(VLOOKUP(D677,Master!$I:$K,2,FALSE),"")</f>
        <v/>
      </c>
      <c r="J677" s="4" t="str">
        <f>_xlfn.IFNA(VLOOKUP(D677,Master!$I:$K,3,FALSE),"")</f>
        <v/>
      </c>
      <c r="L677" s="27" t="str">
        <f>IF(A677&lt;&gt;"CFA",_xlfn.IFNA(VLOOKUP($G677,Master!$V$2:$Z$8,5,0),""),"")</f>
        <v/>
      </c>
      <c r="P677" s="6" t="str">
        <f t="shared" si="20"/>
        <v/>
      </c>
      <c r="Q677" s="13">
        <f t="shared" si="21"/>
        <v>0</v>
      </c>
    </row>
    <row r="678" spans="2:17" ht="15" customHeight="1">
      <c r="B678" s="5" t="str">
        <f>_xlfn.IFNA(VLOOKUP(C678,Master!$H:$I,2,FALSE),"")</f>
        <v/>
      </c>
      <c r="D678" s="5" t="str">
        <f>_xlfn.IFNA(VLOOKUP(E678,Master!$H:$I,2,FALSE),"")</f>
        <v/>
      </c>
      <c r="F678" s="26" t="str">
        <f>+_xlfn.XLOOKUP(G678,Master!$V$2:$V$8,Master!$U$2:$U$8,"")</f>
        <v/>
      </c>
      <c r="I678" s="4" t="str">
        <f>_xlfn.IFNA(VLOOKUP(D678,Master!$I:$K,2,FALSE),"")</f>
        <v/>
      </c>
      <c r="J678" s="4" t="str">
        <f>_xlfn.IFNA(VLOOKUP(D678,Master!$I:$K,3,FALSE),"")</f>
        <v/>
      </c>
      <c r="L678" s="27" t="str">
        <f>IF(A678&lt;&gt;"CFA",_xlfn.IFNA(VLOOKUP($G678,Master!$V$2:$Z$8,5,0),""),"")</f>
        <v/>
      </c>
      <c r="P678" s="6" t="str">
        <f t="shared" si="20"/>
        <v/>
      </c>
      <c r="Q678" s="13">
        <f t="shared" si="21"/>
        <v>0</v>
      </c>
    </row>
    <row r="679" spans="2:17" ht="15" customHeight="1">
      <c r="B679" s="5" t="str">
        <f>_xlfn.IFNA(VLOOKUP(C679,Master!$H:$I,2,FALSE),"")</f>
        <v/>
      </c>
      <c r="D679" s="5" t="str">
        <f>_xlfn.IFNA(VLOOKUP(E679,Master!$H:$I,2,FALSE),"")</f>
        <v/>
      </c>
      <c r="F679" s="26" t="str">
        <f>+_xlfn.XLOOKUP(G679,Master!$V$2:$V$8,Master!$U$2:$U$8,"")</f>
        <v/>
      </c>
      <c r="I679" s="4" t="str">
        <f>_xlfn.IFNA(VLOOKUP(D679,Master!$I:$K,2,FALSE),"")</f>
        <v/>
      </c>
      <c r="J679" s="4" t="str">
        <f>_xlfn.IFNA(VLOOKUP(D679,Master!$I:$K,3,FALSE),"")</f>
        <v/>
      </c>
      <c r="L679" s="27" t="str">
        <f>IF(A679&lt;&gt;"CFA",_xlfn.IFNA(VLOOKUP($G679,Master!$V$2:$Z$8,5,0),""),"")</f>
        <v/>
      </c>
      <c r="P679" s="6" t="str">
        <f t="shared" si="20"/>
        <v/>
      </c>
      <c r="Q679" s="13">
        <f t="shared" si="21"/>
        <v>0</v>
      </c>
    </row>
    <row r="680" spans="2:17" ht="15" customHeight="1">
      <c r="B680" s="5" t="str">
        <f>_xlfn.IFNA(VLOOKUP(C680,Master!$H:$I,2,FALSE),"")</f>
        <v/>
      </c>
      <c r="D680" s="5" t="str">
        <f>_xlfn.IFNA(VLOOKUP(E680,Master!$H:$I,2,FALSE),"")</f>
        <v/>
      </c>
      <c r="F680" s="26" t="str">
        <f>+_xlfn.XLOOKUP(G680,Master!$V$2:$V$8,Master!$U$2:$U$8,"")</f>
        <v/>
      </c>
      <c r="I680" s="4" t="str">
        <f>_xlfn.IFNA(VLOOKUP(D680,Master!$I:$K,2,FALSE),"")</f>
        <v/>
      </c>
      <c r="J680" s="4" t="str">
        <f>_xlfn.IFNA(VLOOKUP(D680,Master!$I:$K,3,FALSE),"")</f>
        <v/>
      </c>
      <c r="L680" s="27" t="str">
        <f>IF(A680&lt;&gt;"CFA",_xlfn.IFNA(VLOOKUP($G680,Master!$V$2:$Z$8,5,0),""),"")</f>
        <v/>
      </c>
      <c r="P680" s="6" t="str">
        <f t="shared" si="20"/>
        <v/>
      </c>
      <c r="Q680" s="13">
        <f t="shared" si="21"/>
        <v>0</v>
      </c>
    </row>
    <row r="681" spans="2:17" ht="15" customHeight="1">
      <c r="B681" s="5" t="str">
        <f>_xlfn.IFNA(VLOOKUP(C681,Master!$H:$I,2,FALSE),"")</f>
        <v/>
      </c>
      <c r="D681" s="5" t="str">
        <f>_xlfn.IFNA(VLOOKUP(E681,Master!$H:$I,2,FALSE),"")</f>
        <v/>
      </c>
      <c r="F681" s="26" t="str">
        <f>+_xlfn.XLOOKUP(G681,Master!$V$2:$V$8,Master!$U$2:$U$8,"")</f>
        <v/>
      </c>
      <c r="I681" s="4" t="str">
        <f>_xlfn.IFNA(VLOOKUP(D681,Master!$I:$K,2,FALSE),"")</f>
        <v/>
      </c>
      <c r="J681" s="4" t="str">
        <f>_xlfn.IFNA(VLOOKUP(D681,Master!$I:$K,3,FALSE),"")</f>
        <v/>
      </c>
      <c r="L681" s="27" t="str">
        <f>IF(A681&lt;&gt;"CFA",_xlfn.IFNA(VLOOKUP($G681,Master!$V$2:$Z$8,5,0),""),"")</f>
        <v/>
      </c>
      <c r="P681" s="6" t="str">
        <f t="shared" si="20"/>
        <v/>
      </c>
      <c r="Q681" s="13">
        <f t="shared" si="21"/>
        <v>0</v>
      </c>
    </row>
    <row r="682" spans="2:17" ht="15" customHeight="1">
      <c r="B682" s="5" t="str">
        <f>_xlfn.IFNA(VLOOKUP(C682,Master!$H:$I,2,FALSE),"")</f>
        <v/>
      </c>
      <c r="D682" s="5" t="str">
        <f>_xlfn.IFNA(VLOOKUP(E682,Master!$H:$I,2,FALSE),"")</f>
        <v/>
      </c>
      <c r="F682" s="26" t="str">
        <f>+_xlfn.XLOOKUP(G682,Master!$V$2:$V$8,Master!$U$2:$U$8,"")</f>
        <v/>
      </c>
      <c r="I682" s="4" t="str">
        <f>_xlfn.IFNA(VLOOKUP(D682,Master!$I:$K,2,FALSE),"")</f>
        <v/>
      </c>
      <c r="J682" s="4" t="str">
        <f>_xlfn.IFNA(VLOOKUP(D682,Master!$I:$K,3,FALSE),"")</f>
        <v/>
      </c>
      <c r="L682" s="27" t="str">
        <f>IF(A682&lt;&gt;"CFA",_xlfn.IFNA(VLOOKUP($G682,Master!$V$2:$Z$8,5,0),""),"")</f>
        <v/>
      </c>
      <c r="P682" s="6" t="str">
        <f t="shared" si="20"/>
        <v/>
      </c>
      <c r="Q682" s="13">
        <f t="shared" si="21"/>
        <v>0</v>
      </c>
    </row>
    <row r="683" spans="2:17" ht="15" customHeight="1">
      <c r="B683" s="5" t="str">
        <f>_xlfn.IFNA(VLOOKUP(C683,Master!$H:$I,2,FALSE),"")</f>
        <v/>
      </c>
      <c r="D683" s="5" t="str">
        <f>_xlfn.IFNA(VLOOKUP(E683,Master!$H:$I,2,FALSE),"")</f>
        <v/>
      </c>
      <c r="F683" s="26" t="str">
        <f>+_xlfn.XLOOKUP(G683,Master!$V$2:$V$8,Master!$U$2:$U$8,"")</f>
        <v/>
      </c>
      <c r="I683" s="4" t="str">
        <f>_xlfn.IFNA(VLOOKUP(D683,Master!$I:$K,2,FALSE),"")</f>
        <v/>
      </c>
      <c r="J683" s="4" t="str">
        <f>_xlfn.IFNA(VLOOKUP(D683,Master!$I:$K,3,FALSE),"")</f>
        <v/>
      </c>
      <c r="L683" s="27" t="str">
        <f>IF(A683&lt;&gt;"CFA",_xlfn.IFNA(VLOOKUP($G683,Master!$V$2:$Z$8,5,0),""),"")</f>
        <v/>
      </c>
      <c r="P683" s="6" t="str">
        <f t="shared" si="20"/>
        <v/>
      </c>
      <c r="Q683" s="13">
        <f t="shared" si="21"/>
        <v>0</v>
      </c>
    </row>
    <row r="684" spans="2:17" ht="15" customHeight="1">
      <c r="B684" s="5" t="str">
        <f>_xlfn.IFNA(VLOOKUP(C684,Master!$H:$I,2,FALSE),"")</f>
        <v/>
      </c>
      <c r="D684" s="5" t="str">
        <f>_xlfn.IFNA(VLOOKUP(E684,Master!$H:$I,2,FALSE),"")</f>
        <v/>
      </c>
      <c r="F684" s="26" t="str">
        <f>+_xlfn.XLOOKUP(G684,Master!$V$2:$V$8,Master!$U$2:$U$8,"")</f>
        <v/>
      </c>
      <c r="I684" s="4" t="str">
        <f>_xlfn.IFNA(VLOOKUP(D684,Master!$I:$K,2,FALSE),"")</f>
        <v/>
      </c>
      <c r="J684" s="4" t="str">
        <f>_xlfn.IFNA(VLOOKUP(D684,Master!$I:$K,3,FALSE),"")</f>
        <v/>
      </c>
      <c r="L684" s="27" t="str">
        <f>IF(A684&lt;&gt;"CFA",_xlfn.IFNA(VLOOKUP($G684,Master!$V$2:$Z$8,5,0),""),"")</f>
        <v/>
      </c>
      <c r="P684" s="6" t="str">
        <f t="shared" si="20"/>
        <v/>
      </c>
      <c r="Q684" s="13">
        <f t="shared" si="21"/>
        <v>0</v>
      </c>
    </row>
    <row r="685" spans="2:17" ht="15" customHeight="1">
      <c r="B685" s="5" t="str">
        <f>_xlfn.IFNA(VLOOKUP(C685,Master!$H:$I,2,FALSE),"")</f>
        <v/>
      </c>
      <c r="D685" s="5" t="str">
        <f>_xlfn.IFNA(VLOOKUP(E685,Master!$H:$I,2,FALSE),"")</f>
        <v/>
      </c>
      <c r="F685" s="26" t="str">
        <f>+_xlfn.XLOOKUP(G685,Master!$V$2:$V$8,Master!$U$2:$U$8,"")</f>
        <v/>
      </c>
      <c r="I685" s="4" t="str">
        <f>_xlfn.IFNA(VLOOKUP(D685,Master!$I:$K,2,FALSE),"")</f>
        <v/>
      </c>
      <c r="J685" s="4" t="str">
        <f>_xlfn.IFNA(VLOOKUP(D685,Master!$I:$K,3,FALSE),"")</f>
        <v/>
      </c>
      <c r="L685" s="27" t="str">
        <f>IF(A685&lt;&gt;"CFA",_xlfn.IFNA(VLOOKUP($G685,Master!$V$2:$Z$8,5,0),""),"")</f>
        <v/>
      </c>
      <c r="P685" s="6" t="str">
        <f t="shared" si="20"/>
        <v/>
      </c>
      <c r="Q685" s="13">
        <f t="shared" si="21"/>
        <v>0</v>
      </c>
    </row>
    <row r="686" spans="2:17" ht="15" customHeight="1">
      <c r="B686" s="5" t="str">
        <f>_xlfn.IFNA(VLOOKUP(C686,Master!$H:$I,2,FALSE),"")</f>
        <v/>
      </c>
      <c r="D686" s="5" t="str">
        <f>_xlfn.IFNA(VLOOKUP(E686,Master!$H:$I,2,FALSE),"")</f>
        <v/>
      </c>
      <c r="F686" s="26" t="str">
        <f>+_xlfn.XLOOKUP(G686,Master!$V$2:$V$8,Master!$U$2:$U$8,"")</f>
        <v/>
      </c>
      <c r="I686" s="4" t="str">
        <f>_xlfn.IFNA(VLOOKUP(D686,Master!$I:$K,2,FALSE),"")</f>
        <v/>
      </c>
      <c r="J686" s="4" t="str">
        <f>_xlfn.IFNA(VLOOKUP(D686,Master!$I:$K,3,FALSE),"")</f>
        <v/>
      </c>
      <c r="L686" s="27" t="str">
        <f>IF(A686&lt;&gt;"CFA",_xlfn.IFNA(VLOOKUP($G686,Master!$V$2:$Z$8,5,0),""),"")</f>
        <v/>
      </c>
      <c r="P686" s="6" t="str">
        <f t="shared" si="20"/>
        <v/>
      </c>
      <c r="Q686" s="13">
        <f t="shared" si="21"/>
        <v>0</v>
      </c>
    </row>
    <row r="687" spans="2:17" ht="15" customHeight="1">
      <c r="B687" s="5" t="str">
        <f>_xlfn.IFNA(VLOOKUP(C687,Master!$H:$I,2,FALSE),"")</f>
        <v/>
      </c>
      <c r="D687" s="5" t="str">
        <f>_xlfn.IFNA(VLOOKUP(E687,Master!$H:$I,2,FALSE),"")</f>
        <v/>
      </c>
      <c r="F687" s="26" t="str">
        <f>+_xlfn.XLOOKUP(G687,Master!$V$2:$V$8,Master!$U$2:$U$8,"")</f>
        <v/>
      </c>
      <c r="I687" s="4" t="str">
        <f>_xlfn.IFNA(VLOOKUP(D687,Master!$I:$K,2,FALSE),"")</f>
        <v/>
      </c>
      <c r="J687" s="4" t="str">
        <f>_xlfn.IFNA(VLOOKUP(D687,Master!$I:$K,3,FALSE),"")</f>
        <v/>
      </c>
      <c r="L687" s="27" t="str">
        <f>IF(A687&lt;&gt;"CFA",_xlfn.IFNA(VLOOKUP($G687,Master!$V$2:$Z$8,5,0),""),"")</f>
        <v/>
      </c>
      <c r="P687" s="6" t="str">
        <f t="shared" si="20"/>
        <v/>
      </c>
      <c r="Q687" s="13">
        <f t="shared" si="21"/>
        <v>0</v>
      </c>
    </row>
    <row r="688" spans="2:17" ht="15" customHeight="1">
      <c r="B688" s="5" t="str">
        <f>_xlfn.IFNA(VLOOKUP(C688,Master!$H:$I,2,FALSE),"")</f>
        <v/>
      </c>
      <c r="D688" s="5" t="str">
        <f>_xlfn.IFNA(VLOOKUP(E688,Master!$H:$I,2,FALSE),"")</f>
        <v/>
      </c>
      <c r="F688" s="26" t="str">
        <f>+_xlfn.XLOOKUP(G688,Master!$V$2:$V$8,Master!$U$2:$U$8,"")</f>
        <v/>
      </c>
      <c r="I688" s="4" t="str">
        <f>_xlfn.IFNA(VLOOKUP(D688,Master!$I:$K,2,FALSE),"")</f>
        <v/>
      </c>
      <c r="J688" s="4" t="str">
        <f>_xlfn.IFNA(VLOOKUP(D688,Master!$I:$K,3,FALSE),"")</f>
        <v/>
      </c>
      <c r="L688" s="27" t="str">
        <f>IF(A688&lt;&gt;"CFA",_xlfn.IFNA(VLOOKUP($G688,Master!$V$2:$Z$8,5,0),""),"")</f>
        <v/>
      </c>
      <c r="P688" s="6" t="str">
        <f t="shared" si="20"/>
        <v/>
      </c>
      <c r="Q688" s="13">
        <f t="shared" si="21"/>
        <v>0</v>
      </c>
    </row>
    <row r="689" spans="2:17" ht="15" customHeight="1">
      <c r="B689" s="5" t="str">
        <f>_xlfn.IFNA(VLOOKUP(C689,Master!$H:$I,2,FALSE),"")</f>
        <v/>
      </c>
      <c r="D689" s="5" t="str">
        <f>_xlfn.IFNA(VLOOKUP(E689,Master!$H:$I,2,FALSE),"")</f>
        <v/>
      </c>
      <c r="F689" s="26" t="str">
        <f>+_xlfn.XLOOKUP(G689,Master!$V$2:$V$8,Master!$U$2:$U$8,"")</f>
        <v/>
      </c>
      <c r="I689" s="4" t="str">
        <f>_xlfn.IFNA(VLOOKUP(D689,Master!$I:$K,2,FALSE),"")</f>
        <v/>
      </c>
      <c r="J689" s="4" t="str">
        <f>_xlfn.IFNA(VLOOKUP(D689,Master!$I:$K,3,FALSE),"")</f>
        <v/>
      </c>
      <c r="L689" s="27" t="str">
        <f>IF(A689&lt;&gt;"CFA",_xlfn.IFNA(VLOOKUP($G689,Master!$V$2:$Z$8,5,0),""),"")</f>
        <v/>
      </c>
      <c r="P689" s="6" t="str">
        <f t="shared" si="20"/>
        <v/>
      </c>
      <c r="Q689" s="13">
        <f t="shared" si="21"/>
        <v>0</v>
      </c>
    </row>
    <row r="690" spans="2:17" ht="15" customHeight="1">
      <c r="B690" s="5" t="str">
        <f>_xlfn.IFNA(VLOOKUP(C690,Master!$H:$I,2,FALSE),"")</f>
        <v/>
      </c>
      <c r="D690" s="5" t="str">
        <f>_xlfn.IFNA(VLOOKUP(E690,Master!$H:$I,2,FALSE),"")</f>
        <v/>
      </c>
      <c r="F690" s="26" t="str">
        <f>+_xlfn.XLOOKUP(G690,Master!$V$2:$V$8,Master!$U$2:$U$8,"")</f>
        <v/>
      </c>
      <c r="I690" s="4" t="str">
        <f>_xlfn.IFNA(VLOOKUP(D690,Master!$I:$K,2,FALSE),"")</f>
        <v/>
      </c>
      <c r="J690" s="4" t="str">
        <f>_xlfn.IFNA(VLOOKUP(D690,Master!$I:$K,3,FALSE),"")</f>
        <v/>
      </c>
      <c r="L690" s="27" t="str">
        <f>IF(A690&lt;&gt;"CFA",_xlfn.IFNA(VLOOKUP($G690,Master!$V$2:$Z$8,5,0),""),"")</f>
        <v/>
      </c>
      <c r="P690" s="6" t="str">
        <f t="shared" si="20"/>
        <v/>
      </c>
      <c r="Q690" s="13">
        <f t="shared" si="21"/>
        <v>0</v>
      </c>
    </row>
    <row r="691" spans="2:17" ht="15" customHeight="1">
      <c r="B691" s="5" t="str">
        <f>_xlfn.IFNA(VLOOKUP(C691,Master!$H:$I,2,FALSE),"")</f>
        <v/>
      </c>
      <c r="D691" s="5" t="str">
        <f>_xlfn.IFNA(VLOOKUP(E691,Master!$H:$I,2,FALSE),"")</f>
        <v/>
      </c>
      <c r="F691" s="26" t="str">
        <f>+_xlfn.XLOOKUP(G691,Master!$V$2:$V$8,Master!$U$2:$U$8,"")</f>
        <v/>
      </c>
      <c r="I691" s="4" t="str">
        <f>_xlfn.IFNA(VLOOKUP(D691,Master!$I:$K,2,FALSE),"")</f>
        <v/>
      </c>
      <c r="J691" s="4" t="str">
        <f>_xlfn.IFNA(VLOOKUP(D691,Master!$I:$K,3,FALSE),"")</f>
        <v/>
      </c>
      <c r="L691" s="27" t="str">
        <f>IF(A691&lt;&gt;"CFA",_xlfn.IFNA(VLOOKUP($G691,Master!$V$2:$Z$8,5,0),""),"")</f>
        <v/>
      </c>
      <c r="P691" s="6" t="str">
        <f t="shared" si="20"/>
        <v/>
      </c>
      <c r="Q691" s="13">
        <f t="shared" si="21"/>
        <v>0</v>
      </c>
    </row>
    <row r="692" spans="2:17" ht="15" customHeight="1">
      <c r="B692" s="5" t="str">
        <f>_xlfn.IFNA(VLOOKUP(C692,Master!$H:$I,2,FALSE),"")</f>
        <v/>
      </c>
      <c r="D692" s="5" t="str">
        <f>_xlfn.IFNA(VLOOKUP(E692,Master!$H:$I,2,FALSE),"")</f>
        <v/>
      </c>
      <c r="F692" s="26" t="str">
        <f>+_xlfn.XLOOKUP(G692,Master!$V$2:$V$8,Master!$U$2:$U$8,"")</f>
        <v/>
      </c>
      <c r="I692" s="4" t="str">
        <f>_xlfn.IFNA(VLOOKUP(D692,Master!$I:$K,2,FALSE),"")</f>
        <v/>
      </c>
      <c r="J692" s="4" t="str">
        <f>_xlfn.IFNA(VLOOKUP(D692,Master!$I:$K,3,FALSE),"")</f>
        <v/>
      </c>
      <c r="L692" s="27" t="str">
        <f>IF(A692&lt;&gt;"CFA",_xlfn.IFNA(VLOOKUP($G692,Master!$V$2:$Z$8,5,0),""),"")</f>
        <v/>
      </c>
      <c r="P692" s="6" t="str">
        <f t="shared" si="20"/>
        <v/>
      </c>
      <c r="Q692" s="13">
        <f t="shared" si="21"/>
        <v>0</v>
      </c>
    </row>
    <row r="693" spans="2:17" ht="15" customHeight="1">
      <c r="B693" s="5" t="str">
        <f>_xlfn.IFNA(VLOOKUP(C693,Master!$H:$I,2,FALSE),"")</f>
        <v/>
      </c>
      <c r="D693" s="5" t="str">
        <f>_xlfn.IFNA(VLOOKUP(E693,Master!$H:$I,2,FALSE),"")</f>
        <v/>
      </c>
      <c r="F693" s="26" t="str">
        <f>+_xlfn.XLOOKUP(G693,Master!$V$2:$V$8,Master!$U$2:$U$8,"")</f>
        <v/>
      </c>
      <c r="I693" s="4" t="str">
        <f>_xlfn.IFNA(VLOOKUP(D693,Master!$I:$K,2,FALSE),"")</f>
        <v/>
      </c>
      <c r="J693" s="4" t="str">
        <f>_xlfn.IFNA(VLOOKUP(D693,Master!$I:$K,3,FALSE),"")</f>
        <v/>
      </c>
      <c r="L693" s="27" t="str">
        <f>IF(A693&lt;&gt;"CFA",_xlfn.IFNA(VLOOKUP($G693,Master!$V$2:$Z$8,5,0),""),"")</f>
        <v/>
      </c>
      <c r="P693" s="6" t="str">
        <f t="shared" si="20"/>
        <v/>
      </c>
      <c r="Q693" s="13">
        <f t="shared" si="21"/>
        <v>0</v>
      </c>
    </row>
    <row r="694" spans="2:17" ht="15" customHeight="1">
      <c r="B694" s="5" t="str">
        <f>_xlfn.IFNA(VLOOKUP(C694,Master!$H:$I,2,FALSE),"")</f>
        <v/>
      </c>
      <c r="D694" s="5" t="str">
        <f>_xlfn.IFNA(VLOOKUP(E694,Master!$H:$I,2,FALSE),"")</f>
        <v/>
      </c>
      <c r="F694" s="26" t="str">
        <f>+_xlfn.XLOOKUP(G694,Master!$V$2:$V$8,Master!$U$2:$U$8,"")</f>
        <v/>
      </c>
      <c r="I694" s="4" t="str">
        <f>_xlfn.IFNA(VLOOKUP(D694,Master!$I:$K,2,FALSE),"")</f>
        <v/>
      </c>
      <c r="J694" s="4" t="str">
        <f>_xlfn.IFNA(VLOOKUP(D694,Master!$I:$K,3,FALSE),"")</f>
        <v/>
      </c>
      <c r="L694" s="27" t="str">
        <f>IF(A694&lt;&gt;"CFA",_xlfn.IFNA(VLOOKUP($G694,Master!$V$2:$Z$8,5,0),""),"")</f>
        <v/>
      </c>
      <c r="P694" s="6" t="str">
        <f t="shared" si="20"/>
        <v/>
      </c>
      <c r="Q694" s="13">
        <f t="shared" si="21"/>
        <v>0</v>
      </c>
    </row>
    <row r="695" spans="2:17" ht="15" customHeight="1">
      <c r="B695" s="5" t="str">
        <f>_xlfn.IFNA(VLOOKUP(C695,Master!$H:$I,2,FALSE),"")</f>
        <v/>
      </c>
      <c r="D695" s="5" t="str">
        <f>_xlfn.IFNA(VLOOKUP(E695,Master!$H:$I,2,FALSE),"")</f>
        <v/>
      </c>
      <c r="F695" s="26" t="str">
        <f>+_xlfn.XLOOKUP(G695,Master!$V$2:$V$8,Master!$U$2:$U$8,"")</f>
        <v/>
      </c>
      <c r="I695" s="4" t="str">
        <f>_xlfn.IFNA(VLOOKUP(D695,Master!$I:$K,2,FALSE),"")</f>
        <v/>
      </c>
      <c r="J695" s="4" t="str">
        <f>_xlfn.IFNA(VLOOKUP(D695,Master!$I:$K,3,FALSE),"")</f>
        <v/>
      </c>
      <c r="L695" s="27" t="str">
        <f>IF(A695&lt;&gt;"CFA",_xlfn.IFNA(VLOOKUP($G695,Master!$V$2:$Z$8,5,0),""),"")</f>
        <v/>
      </c>
      <c r="P695" s="6" t="str">
        <f t="shared" ref="P695:P758" si="22">IF(N695&lt;&gt;"",IF(MONTH(N695)&gt;=4,"FY1"&amp;RIGHT(YEAR(N695)+1,2),"FY1"&amp;RIGHT(YEAR(N695),2)),"")</f>
        <v/>
      </c>
      <c r="Q695" s="13">
        <f t="shared" ref="Q695:Q758" si="23">IF(K695&gt;0&amp;M695&gt;0,K695*M695,"")</f>
        <v>0</v>
      </c>
    </row>
    <row r="696" spans="2:17" ht="15" customHeight="1">
      <c r="B696" s="5" t="str">
        <f>_xlfn.IFNA(VLOOKUP(C696,Master!$H:$I,2,FALSE),"")</f>
        <v/>
      </c>
      <c r="D696" s="5" t="str">
        <f>_xlfn.IFNA(VLOOKUP(E696,Master!$H:$I,2,FALSE),"")</f>
        <v/>
      </c>
      <c r="F696" s="26" t="str">
        <f>+_xlfn.XLOOKUP(G696,Master!$V$2:$V$8,Master!$U$2:$U$8,"")</f>
        <v/>
      </c>
      <c r="I696" s="4" t="str">
        <f>_xlfn.IFNA(VLOOKUP(D696,Master!$I:$K,2,FALSE),"")</f>
        <v/>
      </c>
      <c r="J696" s="4" t="str">
        <f>_xlfn.IFNA(VLOOKUP(D696,Master!$I:$K,3,FALSE),"")</f>
        <v/>
      </c>
      <c r="L696" s="27" t="str">
        <f>IF(A696&lt;&gt;"CFA",_xlfn.IFNA(VLOOKUP($G696,Master!$V$2:$Z$8,5,0),""),"")</f>
        <v/>
      </c>
      <c r="P696" s="6" t="str">
        <f t="shared" si="22"/>
        <v/>
      </c>
      <c r="Q696" s="13">
        <f t="shared" si="23"/>
        <v>0</v>
      </c>
    </row>
    <row r="697" spans="2:17" ht="15" customHeight="1">
      <c r="B697" s="5" t="str">
        <f>_xlfn.IFNA(VLOOKUP(C697,Master!$H:$I,2,FALSE),"")</f>
        <v/>
      </c>
      <c r="D697" s="5" t="str">
        <f>_xlfn.IFNA(VLOOKUP(E697,Master!$H:$I,2,FALSE),"")</f>
        <v/>
      </c>
      <c r="F697" s="26" t="str">
        <f>+_xlfn.XLOOKUP(G697,Master!$V$2:$V$8,Master!$U$2:$U$8,"")</f>
        <v/>
      </c>
      <c r="I697" s="4" t="str">
        <f>_xlfn.IFNA(VLOOKUP(D697,Master!$I:$K,2,FALSE),"")</f>
        <v/>
      </c>
      <c r="J697" s="4" t="str">
        <f>_xlfn.IFNA(VLOOKUP(D697,Master!$I:$K,3,FALSE),"")</f>
        <v/>
      </c>
      <c r="L697" s="27" t="str">
        <f>IF(A697&lt;&gt;"CFA",_xlfn.IFNA(VLOOKUP($G697,Master!$V$2:$Z$8,5,0),""),"")</f>
        <v/>
      </c>
      <c r="P697" s="6" t="str">
        <f t="shared" si="22"/>
        <v/>
      </c>
      <c r="Q697" s="13">
        <f t="shared" si="23"/>
        <v>0</v>
      </c>
    </row>
    <row r="698" spans="2:17" ht="15" customHeight="1">
      <c r="B698" s="5" t="str">
        <f>_xlfn.IFNA(VLOOKUP(C698,Master!$H:$I,2,FALSE),"")</f>
        <v/>
      </c>
      <c r="D698" s="5" t="str">
        <f>_xlfn.IFNA(VLOOKUP(E698,Master!$H:$I,2,FALSE),"")</f>
        <v/>
      </c>
      <c r="F698" s="26" t="str">
        <f>+_xlfn.XLOOKUP(G698,Master!$V$2:$V$8,Master!$U$2:$U$8,"")</f>
        <v/>
      </c>
      <c r="I698" s="4" t="str">
        <f>_xlfn.IFNA(VLOOKUP(D698,Master!$I:$K,2,FALSE),"")</f>
        <v/>
      </c>
      <c r="J698" s="4" t="str">
        <f>_xlfn.IFNA(VLOOKUP(D698,Master!$I:$K,3,FALSE),"")</f>
        <v/>
      </c>
      <c r="L698" s="27" t="str">
        <f>IF(A698&lt;&gt;"CFA",_xlfn.IFNA(VLOOKUP($G698,Master!$V$2:$Z$8,5,0),""),"")</f>
        <v/>
      </c>
      <c r="P698" s="6" t="str">
        <f t="shared" si="22"/>
        <v/>
      </c>
      <c r="Q698" s="13">
        <f t="shared" si="23"/>
        <v>0</v>
      </c>
    </row>
    <row r="699" spans="2:17" ht="15" customHeight="1">
      <c r="B699" s="5" t="str">
        <f>_xlfn.IFNA(VLOOKUP(C699,Master!$H:$I,2,FALSE),"")</f>
        <v/>
      </c>
      <c r="D699" s="5" t="str">
        <f>_xlfn.IFNA(VLOOKUP(E699,Master!$H:$I,2,FALSE),"")</f>
        <v/>
      </c>
      <c r="F699" s="26" t="str">
        <f>+_xlfn.XLOOKUP(G699,Master!$V$2:$V$8,Master!$U$2:$U$8,"")</f>
        <v/>
      </c>
      <c r="I699" s="4" t="str">
        <f>_xlfn.IFNA(VLOOKUP(D699,Master!$I:$K,2,FALSE),"")</f>
        <v/>
      </c>
      <c r="J699" s="4" t="str">
        <f>_xlfn.IFNA(VLOOKUP(D699,Master!$I:$K,3,FALSE),"")</f>
        <v/>
      </c>
      <c r="L699" s="27" t="str">
        <f>IF(A699&lt;&gt;"CFA",_xlfn.IFNA(VLOOKUP($G699,Master!$V$2:$Z$8,5,0),""),"")</f>
        <v/>
      </c>
      <c r="P699" s="6" t="str">
        <f t="shared" si="22"/>
        <v/>
      </c>
      <c r="Q699" s="13">
        <f t="shared" si="23"/>
        <v>0</v>
      </c>
    </row>
    <row r="700" spans="2:17" ht="15" customHeight="1">
      <c r="B700" s="5" t="str">
        <f>_xlfn.IFNA(VLOOKUP(C700,Master!$H:$I,2,FALSE),"")</f>
        <v/>
      </c>
      <c r="D700" s="5" t="str">
        <f>_xlfn.IFNA(VLOOKUP(E700,Master!$H:$I,2,FALSE),"")</f>
        <v/>
      </c>
      <c r="F700" s="26" t="str">
        <f>+_xlfn.XLOOKUP(G700,Master!$V$2:$V$8,Master!$U$2:$U$8,"")</f>
        <v/>
      </c>
      <c r="I700" s="4" t="str">
        <f>_xlfn.IFNA(VLOOKUP(D700,Master!$I:$K,2,FALSE),"")</f>
        <v/>
      </c>
      <c r="J700" s="4" t="str">
        <f>_xlfn.IFNA(VLOOKUP(D700,Master!$I:$K,3,FALSE),"")</f>
        <v/>
      </c>
      <c r="L700" s="27" t="str">
        <f>IF(A700&lt;&gt;"CFA",_xlfn.IFNA(VLOOKUP($G700,Master!$V$2:$Z$8,5,0),""),"")</f>
        <v/>
      </c>
      <c r="P700" s="6" t="str">
        <f t="shared" si="22"/>
        <v/>
      </c>
      <c r="Q700" s="13">
        <f t="shared" si="23"/>
        <v>0</v>
      </c>
    </row>
    <row r="701" spans="2:17" ht="15" customHeight="1">
      <c r="B701" s="5" t="str">
        <f>_xlfn.IFNA(VLOOKUP(C701,Master!$H:$I,2,FALSE),"")</f>
        <v/>
      </c>
      <c r="D701" s="5" t="str">
        <f>_xlfn.IFNA(VLOOKUP(E701,Master!$H:$I,2,FALSE),"")</f>
        <v/>
      </c>
      <c r="F701" s="26" t="str">
        <f>+_xlfn.XLOOKUP(G701,Master!$V$2:$V$8,Master!$U$2:$U$8,"")</f>
        <v/>
      </c>
      <c r="I701" s="4" t="str">
        <f>_xlfn.IFNA(VLOOKUP(D701,Master!$I:$K,2,FALSE),"")</f>
        <v/>
      </c>
      <c r="J701" s="4" t="str">
        <f>_xlfn.IFNA(VLOOKUP(D701,Master!$I:$K,3,FALSE),"")</f>
        <v/>
      </c>
      <c r="L701" s="27" t="str">
        <f>IF(A701&lt;&gt;"CFA",_xlfn.IFNA(VLOOKUP($G701,Master!$V$2:$Z$8,5,0),""),"")</f>
        <v/>
      </c>
      <c r="P701" s="6" t="str">
        <f t="shared" si="22"/>
        <v/>
      </c>
      <c r="Q701" s="13">
        <f t="shared" si="23"/>
        <v>0</v>
      </c>
    </row>
    <row r="702" spans="2:17" ht="15" customHeight="1">
      <c r="B702" s="5" t="str">
        <f>_xlfn.IFNA(VLOOKUP(C702,Master!$H:$I,2,FALSE),"")</f>
        <v/>
      </c>
      <c r="D702" s="5" t="str">
        <f>_xlfn.IFNA(VLOOKUP(E702,Master!$H:$I,2,FALSE),"")</f>
        <v/>
      </c>
      <c r="F702" s="26" t="str">
        <f>+_xlfn.XLOOKUP(G702,Master!$V$2:$V$8,Master!$U$2:$U$8,"")</f>
        <v/>
      </c>
      <c r="I702" s="4" t="str">
        <f>_xlfn.IFNA(VLOOKUP(D702,Master!$I:$K,2,FALSE),"")</f>
        <v/>
      </c>
      <c r="J702" s="4" t="str">
        <f>_xlfn.IFNA(VLOOKUP(D702,Master!$I:$K,3,FALSE),"")</f>
        <v/>
      </c>
      <c r="L702" s="27" t="str">
        <f>IF(A702&lt;&gt;"CFA",_xlfn.IFNA(VLOOKUP($G702,Master!$V$2:$Z$8,5,0),""),"")</f>
        <v/>
      </c>
      <c r="P702" s="6" t="str">
        <f t="shared" si="22"/>
        <v/>
      </c>
      <c r="Q702" s="13">
        <f t="shared" si="23"/>
        <v>0</v>
      </c>
    </row>
    <row r="703" spans="2:17" ht="15" customHeight="1">
      <c r="B703" s="5" t="str">
        <f>_xlfn.IFNA(VLOOKUP(C703,Master!$H:$I,2,FALSE),"")</f>
        <v/>
      </c>
      <c r="D703" s="5" t="str">
        <f>_xlfn.IFNA(VLOOKUP(E703,Master!$H:$I,2,FALSE),"")</f>
        <v/>
      </c>
      <c r="F703" s="26" t="str">
        <f>+_xlfn.XLOOKUP(G703,Master!$V$2:$V$8,Master!$U$2:$U$8,"")</f>
        <v/>
      </c>
      <c r="I703" s="4" t="str">
        <f>_xlfn.IFNA(VLOOKUP(D703,Master!$I:$K,2,FALSE),"")</f>
        <v/>
      </c>
      <c r="J703" s="4" t="str">
        <f>_xlfn.IFNA(VLOOKUP(D703,Master!$I:$K,3,FALSE),"")</f>
        <v/>
      </c>
      <c r="L703" s="27" t="str">
        <f>IF(A703&lt;&gt;"CFA",_xlfn.IFNA(VLOOKUP($G703,Master!$V$2:$Z$8,5,0),""),"")</f>
        <v/>
      </c>
      <c r="P703" s="6" t="str">
        <f t="shared" si="22"/>
        <v/>
      </c>
      <c r="Q703" s="13">
        <f t="shared" si="23"/>
        <v>0</v>
      </c>
    </row>
    <row r="704" spans="2:17" ht="15" customHeight="1">
      <c r="B704" s="5" t="str">
        <f>_xlfn.IFNA(VLOOKUP(C704,Master!$H:$I,2,FALSE),"")</f>
        <v/>
      </c>
      <c r="D704" s="5" t="str">
        <f>_xlfn.IFNA(VLOOKUP(E704,Master!$H:$I,2,FALSE),"")</f>
        <v/>
      </c>
      <c r="F704" s="26" t="str">
        <f>+_xlfn.XLOOKUP(G704,Master!$V$2:$V$8,Master!$U$2:$U$8,"")</f>
        <v/>
      </c>
      <c r="I704" s="4" t="str">
        <f>_xlfn.IFNA(VLOOKUP(D704,Master!$I:$K,2,FALSE),"")</f>
        <v/>
      </c>
      <c r="J704" s="4" t="str">
        <f>_xlfn.IFNA(VLOOKUP(D704,Master!$I:$K,3,FALSE),"")</f>
        <v/>
      </c>
      <c r="L704" s="27" t="str">
        <f>IF(A704&lt;&gt;"CFA",_xlfn.IFNA(VLOOKUP($G704,Master!$V$2:$Z$8,5,0),""),"")</f>
        <v/>
      </c>
      <c r="P704" s="6" t="str">
        <f t="shared" si="22"/>
        <v/>
      </c>
      <c r="Q704" s="13">
        <f t="shared" si="23"/>
        <v>0</v>
      </c>
    </row>
    <row r="705" spans="2:17" ht="15" customHeight="1">
      <c r="B705" s="5" t="str">
        <f>_xlfn.IFNA(VLOOKUP(C705,Master!$H:$I,2,FALSE),"")</f>
        <v/>
      </c>
      <c r="D705" s="5" t="str">
        <f>_xlfn.IFNA(VLOOKUP(E705,Master!$H:$I,2,FALSE),"")</f>
        <v/>
      </c>
      <c r="F705" s="26" t="str">
        <f>+_xlfn.XLOOKUP(G705,Master!$V$2:$V$8,Master!$U$2:$U$8,"")</f>
        <v/>
      </c>
      <c r="I705" s="4" t="str">
        <f>_xlfn.IFNA(VLOOKUP(D705,Master!$I:$K,2,FALSE),"")</f>
        <v/>
      </c>
      <c r="J705" s="4" t="str">
        <f>_xlfn.IFNA(VLOOKUP(D705,Master!$I:$K,3,FALSE),"")</f>
        <v/>
      </c>
      <c r="L705" s="27" t="str">
        <f>IF(A705&lt;&gt;"CFA",_xlfn.IFNA(VLOOKUP($G705,Master!$V$2:$Z$8,5,0),""),"")</f>
        <v/>
      </c>
      <c r="P705" s="6" t="str">
        <f t="shared" si="22"/>
        <v/>
      </c>
      <c r="Q705" s="13">
        <f t="shared" si="23"/>
        <v>0</v>
      </c>
    </row>
    <row r="706" spans="2:17" ht="15" customHeight="1">
      <c r="B706" s="5" t="str">
        <f>_xlfn.IFNA(VLOOKUP(C706,Master!$H:$I,2,FALSE),"")</f>
        <v/>
      </c>
      <c r="D706" s="5" t="str">
        <f>_xlfn.IFNA(VLOOKUP(E706,Master!$H:$I,2,FALSE),"")</f>
        <v/>
      </c>
      <c r="F706" s="26" t="str">
        <f>+_xlfn.XLOOKUP(G706,Master!$V$2:$V$8,Master!$U$2:$U$8,"")</f>
        <v/>
      </c>
      <c r="I706" s="4" t="str">
        <f>_xlfn.IFNA(VLOOKUP(D706,Master!$I:$K,2,FALSE),"")</f>
        <v/>
      </c>
      <c r="J706" s="4" t="str">
        <f>_xlfn.IFNA(VLOOKUP(D706,Master!$I:$K,3,FALSE),"")</f>
        <v/>
      </c>
      <c r="L706" s="27" t="str">
        <f>IF(A706&lt;&gt;"CFA",_xlfn.IFNA(VLOOKUP($G706,Master!$V$2:$Z$8,5,0),""),"")</f>
        <v/>
      </c>
      <c r="P706" s="6" t="str">
        <f t="shared" si="22"/>
        <v/>
      </c>
      <c r="Q706" s="13">
        <f t="shared" si="23"/>
        <v>0</v>
      </c>
    </row>
    <row r="707" spans="2:17" ht="15" customHeight="1">
      <c r="B707" s="5" t="str">
        <f>_xlfn.IFNA(VLOOKUP(C707,Master!$H:$I,2,FALSE),"")</f>
        <v/>
      </c>
      <c r="D707" s="5" t="str">
        <f>_xlfn.IFNA(VLOOKUP(E707,Master!$H:$I,2,FALSE),"")</f>
        <v/>
      </c>
      <c r="F707" s="26" t="str">
        <f>+_xlfn.XLOOKUP(G707,Master!$V$2:$V$8,Master!$U$2:$U$8,"")</f>
        <v/>
      </c>
      <c r="I707" s="4" t="str">
        <f>_xlfn.IFNA(VLOOKUP(D707,Master!$I:$K,2,FALSE),"")</f>
        <v/>
      </c>
      <c r="J707" s="4" t="str">
        <f>_xlfn.IFNA(VLOOKUP(D707,Master!$I:$K,3,FALSE),"")</f>
        <v/>
      </c>
      <c r="L707" s="27" t="str">
        <f>IF(A707&lt;&gt;"CFA",_xlfn.IFNA(VLOOKUP($G707,Master!$V$2:$Z$8,5,0),""),"")</f>
        <v/>
      </c>
      <c r="P707" s="6" t="str">
        <f t="shared" si="22"/>
        <v/>
      </c>
      <c r="Q707" s="13">
        <f t="shared" si="23"/>
        <v>0</v>
      </c>
    </row>
    <row r="708" spans="2:17" ht="15" customHeight="1">
      <c r="B708" s="5" t="str">
        <f>_xlfn.IFNA(VLOOKUP(C708,Master!$H:$I,2,FALSE),"")</f>
        <v/>
      </c>
      <c r="D708" s="5" t="str">
        <f>_xlfn.IFNA(VLOOKUP(E708,Master!$H:$I,2,FALSE),"")</f>
        <v/>
      </c>
      <c r="F708" s="26" t="str">
        <f>+_xlfn.XLOOKUP(G708,Master!$V$2:$V$8,Master!$U$2:$U$8,"")</f>
        <v/>
      </c>
      <c r="I708" s="4" t="str">
        <f>_xlfn.IFNA(VLOOKUP(D708,Master!$I:$K,2,FALSE),"")</f>
        <v/>
      </c>
      <c r="J708" s="4" t="str">
        <f>_xlfn.IFNA(VLOOKUP(D708,Master!$I:$K,3,FALSE),"")</f>
        <v/>
      </c>
      <c r="L708" s="27" t="str">
        <f>IF(A708&lt;&gt;"CFA",_xlfn.IFNA(VLOOKUP($G708,Master!$V$2:$Z$8,5,0),""),"")</f>
        <v/>
      </c>
      <c r="P708" s="6" t="str">
        <f t="shared" si="22"/>
        <v/>
      </c>
      <c r="Q708" s="13">
        <f t="shared" si="23"/>
        <v>0</v>
      </c>
    </row>
    <row r="709" spans="2:17" ht="15" customHeight="1">
      <c r="B709" s="5" t="str">
        <f>_xlfn.IFNA(VLOOKUP(C709,Master!$H:$I,2,FALSE),"")</f>
        <v/>
      </c>
      <c r="D709" s="5" t="str">
        <f>_xlfn.IFNA(VLOOKUP(E709,Master!$H:$I,2,FALSE),"")</f>
        <v/>
      </c>
      <c r="F709" s="26" t="str">
        <f>+_xlfn.XLOOKUP(G709,Master!$V$2:$V$8,Master!$U$2:$U$8,"")</f>
        <v/>
      </c>
      <c r="I709" s="4" t="str">
        <f>_xlfn.IFNA(VLOOKUP(D709,Master!$I:$K,2,FALSE),"")</f>
        <v/>
      </c>
      <c r="J709" s="4" t="str">
        <f>_xlfn.IFNA(VLOOKUP(D709,Master!$I:$K,3,FALSE),"")</f>
        <v/>
      </c>
      <c r="L709" s="27" t="str">
        <f>IF(A709&lt;&gt;"CFA",_xlfn.IFNA(VLOOKUP($G709,Master!$V$2:$Z$8,5,0),""),"")</f>
        <v/>
      </c>
      <c r="P709" s="6" t="str">
        <f t="shared" si="22"/>
        <v/>
      </c>
      <c r="Q709" s="13">
        <f t="shared" si="23"/>
        <v>0</v>
      </c>
    </row>
    <row r="710" spans="2:17" ht="15" customHeight="1">
      <c r="B710" s="5" t="str">
        <f>_xlfn.IFNA(VLOOKUP(C710,Master!$H:$I,2,FALSE),"")</f>
        <v/>
      </c>
      <c r="D710" s="5" t="str">
        <f>_xlfn.IFNA(VLOOKUP(E710,Master!$H:$I,2,FALSE),"")</f>
        <v/>
      </c>
      <c r="F710" s="26" t="str">
        <f>+_xlfn.XLOOKUP(G710,Master!$V$2:$V$8,Master!$U$2:$U$8,"")</f>
        <v/>
      </c>
      <c r="I710" s="4" t="str">
        <f>_xlfn.IFNA(VLOOKUP(D710,Master!$I:$K,2,FALSE),"")</f>
        <v/>
      </c>
      <c r="J710" s="4" t="str">
        <f>_xlfn.IFNA(VLOOKUP(D710,Master!$I:$K,3,FALSE),"")</f>
        <v/>
      </c>
      <c r="L710" s="27" t="str">
        <f>IF(A710&lt;&gt;"CFA",_xlfn.IFNA(VLOOKUP($G710,Master!$V$2:$Z$8,5,0),""),"")</f>
        <v/>
      </c>
      <c r="P710" s="6" t="str">
        <f t="shared" si="22"/>
        <v/>
      </c>
      <c r="Q710" s="13">
        <f t="shared" si="23"/>
        <v>0</v>
      </c>
    </row>
    <row r="711" spans="2:17" ht="15" customHeight="1">
      <c r="B711" s="5" t="str">
        <f>_xlfn.IFNA(VLOOKUP(C711,Master!$H:$I,2,FALSE),"")</f>
        <v/>
      </c>
      <c r="D711" s="5" t="str">
        <f>_xlfn.IFNA(VLOOKUP(E711,Master!$H:$I,2,FALSE),"")</f>
        <v/>
      </c>
      <c r="F711" s="26" t="str">
        <f>+_xlfn.XLOOKUP(G711,Master!$V$2:$V$8,Master!$U$2:$U$8,"")</f>
        <v/>
      </c>
      <c r="I711" s="4" t="str">
        <f>_xlfn.IFNA(VLOOKUP(D711,Master!$I:$K,2,FALSE),"")</f>
        <v/>
      </c>
      <c r="J711" s="4" t="str">
        <f>_xlfn.IFNA(VLOOKUP(D711,Master!$I:$K,3,FALSE),"")</f>
        <v/>
      </c>
      <c r="L711" s="27" t="str">
        <f>IF(A711&lt;&gt;"CFA",_xlfn.IFNA(VLOOKUP($G711,Master!$V$2:$Z$8,5,0),""),"")</f>
        <v/>
      </c>
      <c r="P711" s="6" t="str">
        <f t="shared" si="22"/>
        <v/>
      </c>
      <c r="Q711" s="13">
        <f t="shared" si="23"/>
        <v>0</v>
      </c>
    </row>
    <row r="712" spans="2:17" ht="15" customHeight="1">
      <c r="B712" s="5" t="str">
        <f>_xlfn.IFNA(VLOOKUP(C712,Master!$H:$I,2,FALSE),"")</f>
        <v/>
      </c>
      <c r="D712" s="5" t="str">
        <f>_xlfn.IFNA(VLOOKUP(E712,Master!$H:$I,2,FALSE),"")</f>
        <v/>
      </c>
      <c r="F712" s="26" t="str">
        <f>+_xlfn.XLOOKUP(G712,Master!$V$2:$V$8,Master!$U$2:$U$8,"")</f>
        <v/>
      </c>
      <c r="I712" s="4" t="str">
        <f>_xlfn.IFNA(VLOOKUP(D712,Master!$I:$K,2,FALSE),"")</f>
        <v/>
      </c>
      <c r="J712" s="4" t="str">
        <f>_xlfn.IFNA(VLOOKUP(D712,Master!$I:$K,3,FALSE),"")</f>
        <v/>
      </c>
      <c r="L712" s="27" t="str">
        <f>IF(A712&lt;&gt;"CFA",_xlfn.IFNA(VLOOKUP($G712,Master!$V$2:$Z$8,5,0),""),"")</f>
        <v/>
      </c>
      <c r="P712" s="6" t="str">
        <f t="shared" si="22"/>
        <v/>
      </c>
      <c r="Q712" s="13">
        <f t="shared" si="23"/>
        <v>0</v>
      </c>
    </row>
    <row r="713" spans="2:17" ht="15" customHeight="1">
      <c r="B713" s="5" t="str">
        <f>_xlfn.IFNA(VLOOKUP(C713,Master!$H:$I,2,FALSE),"")</f>
        <v/>
      </c>
      <c r="D713" s="5" t="str">
        <f>_xlfn.IFNA(VLOOKUP(E713,Master!$H:$I,2,FALSE),"")</f>
        <v/>
      </c>
      <c r="F713" s="26" t="str">
        <f>+_xlfn.XLOOKUP(G713,Master!$V$2:$V$8,Master!$U$2:$U$8,"")</f>
        <v/>
      </c>
      <c r="I713" s="4" t="str">
        <f>_xlfn.IFNA(VLOOKUP(D713,Master!$I:$K,2,FALSE),"")</f>
        <v/>
      </c>
      <c r="J713" s="4" t="str">
        <f>_xlfn.IFNA(VLOOKUP(D713,Master!$I:$K,3,FALSE),"")</f>
        <v/>
      </c>
      <c r="L713" s="27" t="str">
        <f>IF(A713&lt;&gt;"CFA",_xlfn.IFNA(VLOOKUP($G713,Master!$V$2:$Z$8,5,0),""),"")</f>
        <v/>
      </c>
      <c r="P713" s="6" t="str">
        <f t="shared" si="22"/>
        <v/>
      </c>
      <c r="Q713" s="13">
        <f t="shared" si="23"/>
        <v>0</v>
      </c>
    </row>
    <row r="714" spans="2:17" ht="15" customHeight="1">
      <c r="B714" s="5" t="str">
        <f>_xlfn.IFNA(VLOOKUP(C714,Master!$H:$I,2,FALSE),"")</f>
        <v/>
      </c>
      <c r="D714" s="5" t="str">
        <f>_xlfn.IFNA(VLOOKUP(E714,Master!$H:$I,2,FALSE),"")</f>
        <v/>
      </c>
      <c r="F714" s="26" t="str">
        <f>+_xlfn.XLOOKUP(G714,Master!$V$2:$V$8,Master!$U$2:$U$8,"")</f>
        <v/>
      </c>
      <c r="I714" s="4" t="str">
        <f>_xlfn.IFNA(VLOOKUP(D714,Master!$I:$K,2,FALSE),"")</f>
        <v/>
      </c>
      <c r="J714" s="4" t="str">
        <f>_xlfn.IFNA(VLOOKUP(D714,Master!$I:$K,3,FALSE),"")</f>
        <v/>
      </c>
      <c r="L714" s="27" t="str">
        <f>IF(A714&lt;&gt;"CFA",_xlfn.IFNA(VLOOKUP($G714,Master!$V$2:$Z$8,5,0),""),"")</f>
        <v/>
      </c>
      <c r="P714" s="6" t="str">
        <f t="shared" si="22"/>
        <v/>
      </c>
      <c r="Q714" s="13">
        <f t="shared" si="23"/>
        <v>0</v>
      </c>
    </row>
    <row r="715" spans="2:17" ht="15" customHeight="1">
      <c r="B715" s="5" t="str">
        <f>_xlfn.IFNA(VLOOKUP(C715,Master!$H:$I,2,FALSE),"")</f>
        <v/>
      </c>
      <c r="D715" s="5" t="str">
        <f>_xlfn.IFNA(VLOOKUP(E715,Master!$H:$I,2,FALSE),"")</f>
        <v/>
      </c>
      <c r="F715" s="26" t="str">
        <f>+_xlfn.XLOOKUP(G715,Master!$V$2:$V$8,Master!$U$2:$U$8,"")</f>
        <v/>
      </c>
      <c r="I715" s="4" t="str">
        <f>_xlfn.IFNA(VLOOKUP(D715,Master!$I:$K,2,FALSE),"")</f>
        <v/>
      </c>
      <c r="J715" s="4" t="str">
        <f>_xlfn.IFNA(VLOOKUP(D715,Master!$I:$K,3,FALSE),"")</f>
        <v/>
      </c>
      <c r="L715" s="27" t="str">
        <f>IF(A715&lt;&gt;"CFA",_xlfn.IFNA(VLOOKUP($G715,Master!$V$2:$Z$8,5,0),""),"")</f>
        <v/>
      </c>
      <c r="P715" s="6" t="str">
        <f t="shared" si="22"/>
        <v/>
      </c>
      <c r="Q715" s="13">
        <f t="shared" si="23"/>
        <v>0</v>
      </c>
    </row>
    <row r="716" spans="2:17" ht="15" customHeight="1">
      <c r="B716" s="5" t="str">
        <f>_xlfn.IFNA(VLOOKUP(C716,Master!$H:$I,2,FALSE),"")</f>
        <v/>
      </c>
      <c r="D716" s="5" t="str">
        <f>_xlfn.IFNA(VLOOKUP(E716,Master!$H:$I,2,FALSE),"")</f>
        <v/>
      </c>
      <c r="F716" s="26" t="str">
        <f>+_xlfn.XLOOKUP(G716,Master!$V$2:$V$8,Master!$U$2:$U$8,"")</f>
        <v/>
      </c>
      <c r="I716" s="4" t="str">
        <f>_xlfn.IFNA(VLOOKUP(D716,Master!$I:$K,2,FALSE),"")</f>
        <v/>
      </c>
      <c r="J716" s="4" t="str">
        <f>_xlfn.IFNA(VLOOKUP(D716,Master!$I:$K,3,FALSE),"")</f>
        <v/>
      </c>
      <c r="L716" s="27" t="str">
        <f>IF(A716&lt;&gt;"CFA",_xlfn.IFNA(VLOOKUP($G716,Master!$V$2:$Z$8,5,0),""),"")</f>
        <v/>
      </c>
      <c r="P716" s="6" t="str">
        <f t="shared" si="22"/>
        <v/>
      </c>
      <c r="Q716" s="13">
        <f t="shared" si="23"/>
        <v>0</v>
      </c>
    </row>
    <row r="717" spans="2:17" ht="15" customHeight="1">
      <c r="B717" s="5" t="str">
        <f>_xlfn.IFNA(VLOOKUP(C717,Master!$H:$I,2,FALSE),"")</f>
        <v/>
      </c>
      <c r="D717" s="5" t="str">
        <f>_xlfn.IFNA(VLOOKUP(E717,Master!$H:$I,2,FALSE),"")</f>
        <v/>
      </c>
      <c r="F717" s="26" t="str">
        <f>+_xlfn.XLOOKUP(G717,Master!$V$2:$V$8,Master!$U$2:$U$8,"")</f>
        <v/>
      </c>
      <c r="I717" s="4" t="str">
        <f>_xlfn.IFNA(VLOOKUP(D717,Master!$I:$K,2,FALSE),"")</f>
        <v/>
      </c>
      <c r="J717" s="4" t="str">
        <f>_xlfn.IFNA(VLOOKUP(D717,Master!$I:$K,3,FALSE),"")</f>
        <v/>
      </c>
      <c r="L717" s="27" t="str">
        <f>IF(A717&lt;&gt;"CFA",_xlfn.IFNA(VLOOKUP($G717,Master!$V$2:$Z$8,5,0),""),"")</f>
        <v/>
      </c>
      <c r="P717" s="6" t="str">
        <f t="shared" si="22"/>
        <v/>
      </c>
      <c r="Q717" s="13">
        <f t="shared" si="23"/>
        <v>0</v>
      </c>
    </row>
    <row r="718" spans="2:17" ht="15" customHeight="1">
      <c r="B718" s="5" t="str">
        <f>_xlfn.IFNA(VLOOKUP(C718,Master!$H:$I,2,FALSE),"")</f>
        <v/>
      </c>
      <c r="D718" s="5" t="str">
        <f>_xlfn.IFNA(VLOOKUP(E718,Master!$H:$I,2,FALSE),"")</f>
        <v/>
      </c>
      <c r="F718" s="26" t="str">
        <f>+_xlfn.XLOOKUP(G718,Master!$V$2:$V$8,Master!$U$2:$U$8,"")</f>
        <v/>
      </c>
      <c r="I718" s="4" t="str">
        <f>_xlfn.IFNA(VLOOKUP(D718,Master!$I:$K,2,FALSE),"")</f>
        <v/>
      </c>
      <c r="J718" s="4" t="str">
        <f>_xlfn.IFNA(VLOOKUP(D718,Master!$I:$K,3,FALSE),"")</f>
        <v/>
      </c>
      <c r="L718" s="27" t="str">
        <f>IF(A718&lt;&gt;"CFA",_xlfn.IFNA(VLOOKUP($G718,Master!$V$2:$Z$8,5,0),""),"")</f>
        <v/>
      </c>
      <c r="P718" s="6" t="str">
        <f t="shared" si="22"/>
        <v/>
      </c>
      <c r="Q718" s="13">
        <f t="shared" si="23"/>
        <v>0</v>
      </c>
    </row>
    <row r="719" spans="2:17" ht="15" customHeight="1">
      <c r="B719" s="5" t="str">
        <f>_xlfn.IFNA(VLOOKUP(C719,Master!$H:$I,2,FALSE),"")</f>
        <v/>
      </c>
      <c r="D719" s="5" t="str">
        <f>_xlfn.IFNA(VLOOKUP(E719,Master!$H:$I,2,FALSE),"")</f>
        <v/>
      </c>
      <c r="F719" s="26" t="str">
        <f>+_xlfn.XLOOKUP(G719,Master!$V$2:$V$8,Master!$U$2:$U$8,"")</f>
        <v/>
      </c>
      <c r="I719" s="4" t="str">
        <f>_xlfn.IFNA(VLOOKUP(D719,Master!$I:$K,2,FALSE),"")</f>
        <v/>
      </c>
      <c r="J719" s="4" t="str">
        <f>_xlfn.IFNA(VLOOKUP(D719,Master!$I:$K,3,FALSE),"")</f>
        <v/>
      </c>
      <c r="L719" s="27" t="str">
        <f>IF(A719&lt;&gt;"CFA",_xlfn.IFNA(VLOOKUP($G719,Master!$V$2:$Z$8,5,0),""),"")</f>
        <v/>
      </c>
      <c r="P719" s="6" t="str">
        <f t="shared" si="22"/>
        <v/>
      </c>
      <c r="Q719" s="13">
        <f t="shared" si="23"/>
        <v>0</v>
      </c>
    </row>
    <row r="720" spans="2:17" ht="15" customHeight="1">
      <c r="B720" s="5" t="str">
        <f>_xlfn.IFNA(VLOOKUP(C720,Master!$H:$I,2,FALSE),"")</f>
        <v/>
      </c>
      <c r="D720" s="5" t="str">
        <f>_xlfn.IFNA(VLOOKUP(E720,Master!$H:$I,2,FALSE),"")</f>
        <v/>
      </c>
      <c r="F720" s="26" t="str">
        <f>+_xlfn.XLOOKUP(G720,Master!$V$2:$V$8,Master!$U$2:$U$8,"")</f>
        <v/>
      </c>
      <c r="I720" s="4" t="str">
        <f>_xlfn.IFNA(VLOOKUP(D720,Master!$I:$K,2,FALSE),"")</f>
        <v/>
      </c>
      <c r="J720" s="4" t="str">
        <f>_xlfn.IFNA(VLOOKUP(D720,Master!$I:$K,3,FALSE),"")</f>
        <v/>
      </c>
      <c r="L720" s="27" t="str">
        <f>IF(A720&lt;&gt;"CFA",_xlfn.IFNA(VLOOKUP($G720,Master!$V$2:$Z$8,5,0),""),"")</f>
        <v/>
      </c>
      <c r="P720" s="6" t="str">
        <f t="shared" si="22"/>
        <v/>
      </c>
      <c r="Q720" s="13">
        <f t="shared" si="23"/>
        <v>0</v>
      </c>
    </row>
    <row r="721" spans="2:17" ht="15" customHeight="1">
      <c r="B721" s="5" t="str">
        <f>_xlfn.IFNA(VLOOKUP(C721,Master!$H:$I,2,FALSE),"")</f>
        <v/>
      </c>
      <c r="D721" s="5" t="str">
        <f>_xlfn.IFNA(VLOOKUP(E721,Master!$H:$I,2,FALSE),"")</f>
        <v/>
      </c>
      <c r="F721" s="26" t="str">
        <f>+_xlfn.XLOOKUP(G721,Master!$V$2:$V$8,Master!$U$2:$U$8,"")</f>
        <v/>
      </c>
      <c r="I721" s="4" t="str">
        <f>_xlfn.IFNA(VLOOKUP(D721,Master!$I:$K,2,FALSE),"")</f>
        <v/>
      </c>
      <c r="J721" s="4" t="str">
        <f>_xlfn.IFNA(VLOOKUP(D721,Master!$I:$K,3,FALSE),"")</f>
        <v/>
      </c>
      <c r="L721" s="27" t="str">
        <f>IF(A721&lt;&gt;"CFA",_xlfn.IFNA(VLOOKUP($G721,Master!$V$2:$Z$8,5,0),""),"")</f>
        <v/>
      </c>
      <c r="P721" s="6" t="str">
        <f t="shared" si="22"/>
        <v/>
      </c>
      <c r="Q721" s="13">
        <f t="shared" si="23"/>
        <v>0</v>
      </c>
    </row>
    <row r="722" spans="2:17" ht="15" customHeight="1">
      <c r="B722" s="5" t="str">
        <f>_xlfn.IFNA(VLOOKUP(C722,Master!$H:$I,2,FALSE),"")</f>
        <v/>
      </c>
      <c r="D722" s="5" t="str">
        <f>_xlfn.IFNA(VLOOKUP(E722,Master!$H:$I,2,FALSE),"")</f>
        <v/>
      </c>
      <c r="F722" s="26" t="str">
        <f>+_xlfn.XLOOKUP(G722,Master!$V$2:$V$8,Master!$U$2:$U$8,"")</f>
        <v/>
      </c>
      <c r="I722" s="4" t="str">
        <f>_xlfn.IFNA(VLOOKUP(D722,Master!$I:$K,2,FALSE),"")</f>
        <v/>
      </c>
      <c r="J722" s="4" t="str">
        <f>_xlfn.IFNA(VLOOKUP(D722,Master!$I:$K,3,FALSE),"")</f>
        <v/>
      </c>
      <c r="L722" s="27" t="str">
        <f>IF(A722&lt;&gt;"CFA",_xlfn.IFNA(VLOOKUP($G722,Master!$V$2:$Z$8,5,0),""),"")</f>
        <v/>
      </c>
      <c r="P722" s="6" t="str">
        <f t="shared" si="22"/>
        <v/>
      </c>
      <c r="Q722" s="13">
        <f t="shared" si="23"/>
        <v>0</v>
      </c>
    </row>
    <row r="723" spans="2:17" ht="15" customHeight="1">
      <c r="B723" s="5" t="str">
        <f>_xlfn.IFNA(VLOOKUP(C723,Master!$H:$I,2,FALSE),"")</f>
        <v/>
      </c>
      <c r="D723" s="5" t="str">
        <f>_xlfn.IFNA(VLOOKUP(E723,Master!$H:$I,2,FALSE),"")</f>
        <v/>
      </c>
      <c r="F723" s="26" t="str">
        <f>+_xlfn.XLOOKUP(G723,Master!$V$2:$V$8,Master!$U$2:$U$8,"")</f>
        <v/>
      </c>
      <c r="I723" s="4" t="str">
        <f>_xlfn.IFNA(VLOOKUP(D723,Master!$I:$K,2,FALSE),"")</f>
        <v/>
      </c>
      <c r="J723" s="4" t="str">
        <f>_xlfn.IFNA(VLOOKUP(D723,Master!$I:$K,3,FALSE),"")</f>
        <v/>
      </c>
      <c r="L723" s="27" t="str">
        <f>IF(A723&lt;&gt;"CFA",_xlfn.IFNA(VLOOKUP($G723,Master!$V$2:$Z$8,5,0),""),"")</f>
        <v/>
      </c>
      <c r="P723" s="6" t="str">
        <f t="shared" si="22"/>
        <v/>
      </c>
      <c r="Q723" s="13">
        <f t="shared" si="23"/>
        <v>0</v>
      </c>
    </row>
    <row r="724" spans="2:17" ht="15" customHeight="1">
      <c r="B724" s="5" t="str">
        <f>_xlfn.IFNA(VLOOKUP(C724,Master!$H:$I,2,FALSE),"")</f>
        <v/>
      </c>
      <c r="D724" s="5" t="str">
        <f>_xlfn.IFNA(VLOOKUP(E724,Master!$H:$I,2,FALSE),"")</f>
        <v/>
      </c>
      <c r="F724" s="26" t="str">
        <f>+_xlfn.XLOOKUP(G724,Master!$V$2:$V$8,Master!$U$2:$U$8,"")</f>
        <v/>
      </c>
      <c r="I724" s="4" t="str">
        <f>_xlfn.IFNA(VLOOKUP(D724,Master!$I:$K,2,FALSE),"")</f>
        <v/>
      </c>
      <c r="J724" s="4" t="str">
        <f>_xlfn.IFNA(VLOOKUP(D724,Master!$I:$K,3,FALSE),"")</f>
        <v/>
      </c>
      <c r="L724" s="27" t="str">
        <f>IF(A724&lt;&gt;"CFA",_xlfn.IFNA(VLOOKUP($G724,Master!$V$2:$Z$8,5,0),""),"")</f>
        <v/>
      </c>
      <c r="P724" s="6" t="str">
        <f t="shared" si="22"/>
        <v/>
      </c>
      <c r="Q724" s="13">
        <f t="shared" si="23"/>
        <v>0</v>
      </c>
    </row>
    <row r="725" spans="2:17" ht="15" customHeight="1">
      <c r="B725" s="5" t="str">
        <f>_xlfn.IFNA(VLOOKUP(C725,Master!$H:$I,2,FALSE),"")</f>
        <v/>
      </c>
      <c r="D725" s="5" t="str">
        <f>_xlfn.IFNA(VLOOKUP(E725,Master!$H:$I,2,FALSE),"")</f>
        <v/>
      </c>
      <c r="F725" s="26" t="str">
        <f>+_xlfn.XLOOKUP(G725,Master!$V$2:$V$8,Master!$U$2:$U$8,"")</f>
        <v/>
      </c>
      <c r="I725" s="4" t="str">
        <f>_xlfn.IFNA(VLOOKUP(D725,Master!$I:$K,2,FALSE),"")</f>
        <v/>
      </c>
      <c r="J725" s="4" t="str">
        <f>_xlfn.IFNA(VLOOKUP(D725,Master!$I:$K,3,FALSE),"")</f>
        <v/>
      </c>
      <c r="L725" s="27" t="str">
        <f>IF(A725&lt;&gt;"CFA",_xlfn.IFNA(VLOOKUP($G725,Master!$V$2:$Z$8,5,0),""),"")</f>
        <v/>
      </c>
      <c r="P725" s="6" t="str">
        <f t="shared" si="22"/>
        <v/>
      </c>
      <c r="Q725" s="13">
        <f t="shared" si="23"/>
        <v>0</v>
      </c>
    </row>
    <row r="726" spans="2:17" ht="15" customHeight="1">
      <c r="B726" s="5" t="str">
        <f>_xlfn.IFNA(VLOOKUP(C726,Master!$H:$I,2,FALSE),"")</f>
        <v/>
      </c>
      <c r="D726" s="5" t="str">
        <f>_xlfn.IFNA(VLOOKUP(E726,Master!$H:$I,2,FALSE),"")</f>
        <v/>
      </c>
      <c r="F726" s="26" t="str">
        <f>+_xlfn.XLOOKUP(G726,Master!$V$2:$V$8,Master!$U$2:$U$8,"")</f>
        <v/>
      </c>
      <c r="I726" s="4" t="str">
        <f>_xlfn.IFNA(VLOOKUP(D726,Master!$I:$K,2,FALSE),"")</f>
        <v/>
      </c>
      <c r="J726" s="4" t="str">
        <f>_xlfn.IFNA(VLOOKUP(D726,Master!$I:$K,3,FALSE),"")</f>
        <v/>
      </c>
      <c r="L726" s="27" t="str">
        <f>IF(A726&lt;&gt;"CFA",_xlfn.IFNA(VLOOKUP($G726,Master!$V$2:$Z$8,5,0),""),"")</f>
        <v/>
      </c>
      <c r="P726" s="6" t="str">
        <f t="shared" si="22"/>
        <v/>
      </c>
      <c r="Q726" s="13">
        <f t="shared" si="23"/>
        <v>0</v>
      </c>
    </row>
    <row r="727" spans="2:17" ht="15" customHeight="1">
      <c r="B727" s="5" t="str">
        <f>_xlfn.IFNA(VLOOKUP(C727,Master!$H:$I,2,FALSE),"")</f>
        <v/>
      </c>
      <c r="D727" s="5" t="str">
        <f>_xlfn.IFNA(VLOOKUP(E727,Master!$H:$I,2,FALSE),"")</f>
        <v/>
      </c>
      <c r="F727" s="26" t="str">
        <f>+_xlfn.XLOOKUP(G727,Master!$V$2:$V$8,Master!$U$2:$U$8,"")</f>
        <v/>
      </c>
      <c r="I727" s="4" t="str">
        <f>_xlfn.IFNA(VLOOKUP(D727,Master!$I:$K,2,FALSE),"")</f>
        <v/>
      </c>
      <c r="J727" s="4" t="str">
        <f>_xlfn.IFNA(VLOOKUP(D727,Master!$I:$K,3,FALSE),"")</f>
        <v/>
      </c>
      <c r="L727" s="27" t="str">
        <f>IF(A727&lt;&gt;"CFA",_xlfn.IFNA(VLOOKUP($G727,Master!$V$2:$Z$8,5,0),""),"")</f>
        <v/>
      </c>
      <c r="P727" s="6" t="str">
        <f t="shared" si="22"/>
        <v/>
      </c>
      <c r="Q727" s="13">
        <f t="shared" si="23"/>
        <v>0</v>
      </c>
    </row>
    <row r="728" spans="2:17" ht="15" customHeight="1">
      <c r="B728" s="5" t="str">
        <f>_xlfn.IFNA(VLOOKUP(C728,Master!$H:$I,2,FALSE),"")</f>
        <v/>
      </c>
      <c r="D728" s="5" t="str">
        <f>_xlfn.IFNA(VLOOKUP(E728,Master!$H:$I,2,FALSE),"")</f>
        <v/>
      </c>
      <c r="F728" s="26" t="str">
        <f>+_xlfn.XLOOKUP(G728,Master!$V$2:$V$8,Master!$U$2:$U$8,"")</f>
        <v/>
      </c>
      <c r="I728" s="4" t="str">
        <f>_xlfn.IFNA(VLOOKUP(D728,Master!$I:$K,2,FALSE),"")</f>
        <v/>
      </c>
      <c r="J728" s="4" t="str">
        <f>_xlfn.IFNA(VLOOKUP(D728,Master!$I:$K,3,FALSE),"")</f>
        <v/>
      </c>
      <c r="L728" s="27" t="str">
        <f>IF(A728&lt;&gt;"CFA",_xlfn.IFNA(VLOOKUP($G728,Master!$V$2:$Z$8,5,0),""),"")</f>
        <v/>
      </c>
      <c r="P728" s="6" t="str">
        <f t="shared" si="22"/>
        <v/>
      </c>
      <c r="Q728" s="13">
        <f t="shared" si="23"/>
        <v>0</v>
      </c>
    </row>
    <row r="729" spans="2:17" ht="15" customHeight="1">
      <c r="B729" s="5" t="str">
        <f>_xlfn.IFNA(VLOOKUP(C729,Master!$H:$I,2,FALSE),"")</f>
        <v/>
      </c>
      <c r="D729" s="5" t="str">
        <f>_xlfn.IFNA(VLOOKUP(E729,Master!$H:$I,2,FALSE),"")</f>
        <v/>
      </c>
      <c r="F729" s="26" t="str">
        <f>+_xlfn.XLOOKUP(G729,Master!$V$2:$V$8,Master!$U$2:$U$8,"")</f>
        <v/>
      </c>
      <c r="I729" s="4" t="str">
        <f>_xlfn.IFNA(VLOOKUP(D729,Master!$I:$K,2,FALSE),"")</f>
        <v/>
      </c>
      <c r="J729" s="4" t="str">
        <f>_xlfn.IFNA(VLOOKUP(D729,Master!$I:$K,3,FALSE),"")</f>
        <v/>
      </c>
      <c r="L729" s="27" t="str">
        <f>IF(A729&lt;&gt;"CFA",_xlfn.IFNA(VLOOKUP($G729,Master!$V$2:$Z$8,5,0),""),"")</f>
        <v/>
      </c>
      <c r="P729" s="6" t="str">
        <f t="shared" si="22"/>
        <v/>
      </c>
      <c r="Q729" s="13">
        <f t="shared" si="23"/>
        <v>0</v>
      </c>
    </row>
    <row r="730" spans="2:17" ht="15" customHeight="1">
      <c r="B730" s="5" t="str">
        <f>_xlfn.IFNA(VLOOKUP(C730,Master!$H:$I,2,FALSE),"")</f>
        <v/>
      </c>
      <c r="D730" s="5" t="str">
        <f>_xlfn.IFNA(VLOOKUP(E730,Master!$H:$I,2,FALSE),"")</f>
        <v/>
      </c>
      <c r="F730" s="26" t="str">
        <f>+_xlfn.XLOOKUP(G730,Master!$V$2:$V$8,Master!$U$2:$U$8,"")</f>
        <v/>
      </c>
      <c r="I730" s="4" t="str">
        <f>_xlfn.IFNA(VLOOKUP(D730,Master!$I:$K,2,FALSE),"")</f>
        <v/>
      </c>
      <c r="J730" s="4" t="str">
        <f>_xlfn.IFNA(VLOOKUP(D730,Master!$I:$K,3,FALSE),"")</f>
        <v/>
      </c>
      <c r="L730" s="27" t="str">
        <f>IF(A730&lt;&gt;"CFA",_xlfn.IFNA(VLOOKUP($G730,Master!$V$2:$Z$8,5,0),""),"")</f>
        <v/>
      </c>
      <c r="P730" s="6" t="str">
        <f t="shared" si="22"/>
        <v/>
      </c>
      <c r="Q730" s="13">
        <f t="shared" si="23"/>
        <v>0</v>
      </c>
    </row>
    <row r="731" spans="2:17" ht="15" customHeight="1">
      <c r="B731" s="5" t="str">
        <f>_xlfn.IFNA(VLOOKUP(C731,Master!$H:$I,2,FALSE),"")</f>
        <v/>
      </c>
      <c r="D731" s="5" t="str">
        <f>_xlfn.IFNA(VLOOKUP(E731,Master!$H:$I,2,FALSE),"")</f>
        <v/>
      </c>
      <c r="F731" s="26" t="str">
        <f>+_xlfn.XLOOKUP(G731,Master!$V$2:$V$8,Master!$U$2:$U$8,"")</f>
        <v/>
      </c>
      <c r="I731" s="4" t="str">
        <f>_xlfn.IFNA(VLOOKUP(D731,Master!$I:$K,2,FALSE),"")</f>
        <v/>
      </c>
      <c r="J731" s="4" t="str">
        <f>_xlfn.IFNA(VLOOKUP(D731,Master!$I:$K,3,FALSE),"")</f>
        <v/>
      </c>
      <c r="L731" s="27" t="str">
        <f>IF(A731&lt;&gt;"CFA",_xlfn.IFNA(VLOOKUP($G731,Master!$V$2:$Z$8,5,0),""),"")</f>
        <v/>
      </c>
      <c r="P731" s="6" t="str">
        <f t="shared" si="22"/>
        <v/>
      </c>
      <c r="Q731" s="13">
        <f t="shared" si="23"/>
        <v>0</v>
      </c>
    </row>
    <row r="732" spans="2:17" ht="15" customHeight="1">
      <c r="B732" s="5" t="str">
        <f>_xlfn.IFNA(VLOOKUP(C732,Master!$H:$I,2,FALSE),"")</f>
        <v/>
      </c>
      <c r="D732" s="5" t="str">
        <f>_xlfn.IFNA(VLOOKUP(E732,Master!$H:$I,2,FALSE),"")</f>
        <v/>
      </c>
      <c r="F732" s="26" t="str">
        <f>+_xlfn.XLOOKUP(G732,Master!$V$2:$V$8,Master!$U$2:$U$8,"")</f>
        <v/>
      </c>
      <c r="I732" s="4" t="str">
        <f>_xlfn.IFNA(VLOOKUP(D732,Master!$I:$K,2,FALSE),"")</f>
        <v/>
      </c>
      <c r="J732" s="4" t="str">
        <f>_xlfn.IFNA(VLOOKUP(D732,Master!$I:$K,3,FALSE),"")</f>
        <v/>
      </c>
      <c r="L732" s="27" t="str">
        <f>IF(A732&lt;&gt;"CFA",_xlfn.IFNA(VLOOKUP($G732,Master!$V$2:$Z$8,5,0),""),"")</f>
        <v/>
      </c>
      <c r="P732" s="6" t="str">
        <f t="shared" si="22"/>
        <v/>
      </c>
      <c r="Q732" s="13">
        <f t="shared" si="23"/>
        <v>0</v>
      </c>
    </row>
    <row r="733" spans="2:17" ht="15" customHeight="1">
      <c r="B733" s="5" t="str">
        <f>_xlfn.IFNA(VLOOKUP(C733,Master!$H:$I,2,FALSE),"")</f>
        <v/>
      </c>
      <c r="D733" s="5" t="str">
        <f>_xlfn.IFNA(VLOOKUP(E733,Master!$H:$I,2,FALSE),"")</f>
        <v/>
      </c>
      <c r="F733" s="26" t="str">
        <f>+_xlfn.XLOOKUP(G733,Master!$V$2:$V$8,Master!$U$2:$U$8,"")</f>
        <v/>
      </c>
      <c r="I733" s="4" t="str">
        <f>_xlfn.IFNA(VLOOKUP(D733,Master!$I:$K,2,FALSE),"")</f>
        <v/>
      </c>
      <c r="J733" s="4" t="str">
        <f>_xlfn.IFNA(VLOOKUP(D733,Master!$I:$K,3,FALSE),"")</f>
        <v/>
      </c>
      <c r="L733" s="27" t="str">
        <f>IF(A733&lt;&gt;"CFA",_xlfn.IFNA(VLOOKUP($G733,Master!$V$2:$Z$8,5,0),""),"")</f>
        <v/>
      </c>
      <c r="P733" s="6" t="str">
        <f t="shared" si="22"/>
        <v/>
      </c>
      <c r="Q733" s="13">
        <f t="shared" si="23"/>
        <v>0</v>
      </c>
    </row>
    <row r="734" spans="2:17" ht="15" customHeight="1">
      <c r="B734" s="5" t="str">
        <f>_xlfn.IFNA(VLOOKUP(C734,Master!$H:$I,2,FALSE),"")</f>
        <v/>
      </c>
      <c r="D734" s="5" t="str">
        <f>_xlfn.IFNA(VLOOKUP(E734,Master!$H:$I,2,FALSE),"")</f>
        <v/>
      </c>
      <c r="F734" s="26" t="str">
        <f>+_xlfn.XLOOKUP(G734,Master!$V$2:$V$8,Master!$U$2:$U$8,"")</f>
        <v/>
      </c>
      <c r="I734" s="4" t="str">
        <f>_xlfn.IFNA(VLOOKUP(D734,Master!$I:$K,2,FALSE),"")</f>
        <v/>
      </c>
      <c r="J734" s="4" t="str">
        <f>_xlfn.IFNA(VLOOKUP(D734,Master!$I:$K,3,FALSE),"")</f>
        <v/>
      </c>
      <c r="L734" s="27" t="str">
        <f>IF(A734&lt;&gt;"CFA",_xlfn.IFNA(VLOOKUP($G734,Master!$V$2:$Z$8,5,0),""),"")</f>
        <v/>
      </c>
      <c r="P734" s="6" t="str">
        <f t="shared" si="22"/>
        <v/>
      </c>
      <c r="Q734" s="13">
        <f t="shared" si="23"/>
        <v>0</v>
      </c>
    </row>
    <row r="735" spans="2:17" ht="15" customHeight="1">
      <c r="B735" s="5" t="str">
        <f>_xlfn.IFNA(VLOOKUP(C735,Master!$H:$I,2,FALSE),"")</f>
        <v/>
      </c>
      <c r="D735" s="5" t="str">
        <f>_xlfn.IFNA(VLOOKUP(E735,Master!$H:$I,2,FALSE),"")</f>
        <v/>
      </c>
      <c r="F735" s="26" t="str">
        <f>+_xlfn.XLOOKUP(G735,Master!$V$2:$V$8,Master!$U$2:$U$8,"")</f>
        <v/>
      </c>
      <c r="I735" s="4" t="str">
        <f>_xlfn.IFNA(VLOOKUP(D735,Master!$I:$K,2,FALSE),"")</f>
        <v/>
      </c>
      <c r="J735" s="4" t="str">
        <f>_xlfn.IFNA(VLOOKUP(D735,Master!$I:$K,3,FALSE),"")</f>
        <v/>
      </c>
      <c r="L735" s="27" t="str">
        <f>IF(A735&lt;&gt;"CFA",_xlfn.IFNA(VLOOKUP($G735,Master!$V$2:$Z$8,5,0),""),"")</f>
        <v/>
      </c>
      <c r="P735" s="6" t="str">
        <f t="shared" si="22"/>
        <v/>
      </c>
      <c r="Q735" s="13">
        <f t="shared" si="23"/>
        <v>0</v>
      </c>
    </row>
    <row r="736" spans="2:17" ht="15" customHeight="1">
      <c r="B736" s="5" t="str">
        <f>_xlfn.IFNA(VLOOKUP(C736,Master!$H:$I,2,FALSE),"")</f>
        <v/>
      </c>
      <c r="D736" s="5" t="str">
        <f>_xlfn.IFNA(VLOOKUP(E736,Master!$H:$I,2,FALSE),"")</f>
        <v/>
      </c>
      <c r="F736" s="26" t="str">
        <f>+_xlfn.XLOOKUP(G736,Master!$V$2:$V$8,Master!$U$2:$U$8,"")</f>
        <v/>
      </c>
      <c r="I736" s="4" t="str">
        <f>_xlfn.IFNA(VLOOKUP(D736,Master!$I:$K,2,FALSE),"")</f>
        <v/>
      </c>
      <c r="J736" s="4" t="str">
        <f>_xlfn.IFNA(VLOOKUP(D736,Master!$I:$K,3,FALSE),"")</f>
        <v/>
      </c>
      <c r="L736" s="27" t="str">
        <f>IF(A736&lt;&gt;"CFA",_xlfn.IFNA(VLOOKUP($G736,Master!$V$2:$Z$8,5,0),""),"")</f>
        <v/>
      </c>
      <c r="P736" s="6" t="str">
        <f t="shared" si="22"/>
        <v/>
      </c>
      <c r="Q736" s="13">
        <f t="shared" si="23"/>
        <v>0</v>
      </c>
    </row>
    <row r="737" spans="2:17" ht="15" customHeight="1">
      <c r="B737" s="5" t="str">
        <f>_xlfn.IFNA(VLOOKUP(C737,Master!$H:$I,2,FALSE),"")</f>
        <v/>
      </c>
      <c r="D737" s="5" t="str">
        <f>_xlfn.IFNA(VLOOKUP(E737,Master!$H:$I,2,FALSE),"")</f>
        <v/>
      </c>
      <c r="F737" s="26" t="str">
        <f>+_xlfn.XLOOKUP(G737,Master!$V$2:$V$8,Master!$U$2:$U$8,"")</f>
        <v/>
      </c>
      <c r="I737" s="4" t="str">
        <f>_xlfn.IFNA(VLOOKUP(D737,Master!$I:$K,2,FALSE),"")</f>
        <v/>
      </c>
      <c r="J737" s="4" t="str">
        <f>_xlfn.IFNA(VLOOKUP(D737,Master!$I:$K,3,FALSE),"")</f>
        <v/>
      </c>
      <c r="L737" s="27" t="str">
        <f>IF(A737&lt;&gt;"CFA",_xlfn.IFNA(VLOOKUP($G737,Master!$V$2:$Z$8,5,0),""),"")</f>
        <v/>
      </c>
      <c r="P737" s="6" t="str">
        <f t="shared" si="22"/>
        <v/>
      </c>
      <c r="Q737" s="13">
        <f t="shared" si="23"/>
        <v>0</v>
      </c>
    </row>
    <row r="738" spans="2:17" ht="15" customHeight="1">
      <c r="B738" s="5" t="str">
        <f>_xlfn.IFNA(VLOOKUP(C738,Master!$H:$I,2,FALSE),"")</f>
        <v/>
      </c>
      <c r="D738" s="5" t="str">
        <f>_xlfn.IFNA(VLOOKUP(E738,Master!$H:$I,2,FALSE),"")</f>
        <v/>
      </c>
      <c r="F738" s="26" t="str">
        <f>+_xlfn.XLOOKUP(G738,Master!$V$2:$V$8,Master!$U$2:$U$8,"")</f>
        <v/>
      </c>
      <c r="I738" s="4" t="str">
        <f>_xlfn.IFNA(VLOOKUP(D738,Master!$I:$K,2,FALSE),"")</f>
        <v/>
      </c>
      <c r="J738" s="4" t="str">
        <f>_xlfn.IFNA(VLOOKUP(D738,Master!$I:$K,3,FALSE),"")</f>
        <v/>
      </c>
      <c r="L738" s="27" t="str">
        <f>IF(A738&lt;&gt;"CFA",_xlfn.IFNA(VLOOKUP($G738,Master!$V$2:$Z$8,5,0),""),"")</f>
        <v/>
      </c>
      <c r="P738" s="6" t="str">
        <f t="shared" si="22"/>
        <v/>
      </c>
      <c r="Q738" s="13">
        <f t="shared" si="23"/>
        <v>0</v>
      </c>
    </row>
    <row r="739" spans="2:17" ht="15" customHeight="1">
      <c r="B739" s="5" t="str">
        <f>_xlfn.IFNA(VLOOKUP(C739,Master!$H:$I,2,FALSE),"")</f>
        <v/>
      </c>
      <c r="D739" s="5" t="str">
        <f>_xlfn.IFNA(VLOOKUP(E739,Master!$H:$I,2,FALSE),"")</f>
        <v/>
      </c>
      <c r="F739" s="26" t="str">
        <f>+_xlfn.XLOOKUP(G739,Master!$V$2:$V$8,Master!$U$2:$U$8,"")</f>
        <v/>
      </c>
      <c r="I739" s="4" t="str">
        <f>_xlfn.IFNA(VLOOKUP(D739,Master!$I:$K,2,FALSE),"")</f>
        <v/>
      </c>
      <c r="J739" s="4" t="str">
        <f>_xlfn.IFNA(VLOOKUP(D739,Master!$I:$K,3,FALSE),"")</f>
        <v/>
      </c>
      <c r="L739" s="27" t="str">
        <f>IF(A739&lt;&gt;"CFA",_xlfn.IFNA(VLOOKUP($G739,Master!$V$2:$Z$8,5,0),""),"")</f>
        <v/>
      </c>
      <c r="P739" s="6" t="str">
        <f t="shared" si="22"/>
        <v/>
      </c>
      <c r="Q739" s="13">
        <f t="shared" si="23"/>
        <v>0</v>
      </c>
    </row>
    <row r="740" spans="2:17" ht="15" customHeight="1">
      <c r="B740" s="5" t="str">
        <f>_xlfn.IFNA(VLOOKUP(C740,Master!$H:$I,2,FALSE),"")</f>
        <v/>
      </c>
      <c r="D740" s="5" t="str">
        <f>_xlfn.IFNA(VLOOKUP(E740,Master!$H:$I,2,FALSE),"")</f>
        <v/>
      </c>
      <c r="F740" s="26" t="str">
        <f>+_xlfn.XLOOKUP(G740,Master!$V$2:$V$8,Master!$U$2:$U$8,"")</f>
        <v/>
      </c>
      <c r="I740" s="4" t="str">
        <f>_xlfn.IFNA(VLOOKUP(D740,Master!$I:$K,2,FALSE),"")</f>
        <v/>
      </c>
      <c r="J740" s="4" t="str">
        <f>_xlfn.IFNA(VLOOKUP(D740,Master!$I:$K,3,FALSE),"")</f>
        <v/>
      </c>
      <c r="L740" s="27" t="str">
        <f>IF(A740&lt;&gt;"CFA",_xlfn.IFNA(VLOOKUP($G740,Master!$V$2:$Z$8,5,0),""),"")</f>
        <v/>
      </c>
      <c r="P740" s="6" t="str">
        <f t="shared" si="22"/>
        <v/>
      </c>
      <c r="Q740" s="13">
        <f t="shared" si="23"/>
        <v>0</v>
      </c>
    </row>
    <row r="741" spans="2:17" ht="15" customHeight="1">
      <c r="B741" s="5" t="str">
        <f>_xlfn.IFNA(VLOOKUP(C741,Master!$H:$I,2,FALSE),"")</f>
        <v/>
      </c>
      <c r="D741" s="5" t="str">
        <f>_xlfn.IFNA(VLOOKUP(E741,Master!$H:$I,2,FALSE),"")</f>
        <v/>
      </c>
      <c r="F741" s="26" t="str">
        <f>+_xlfn.XLOOKUP(G741,Master!$V$2:$V$8,Master!$U$2:$U$8,"")</f>
        <v/>
      </c>
      <c r="I741" s="4" t="str">
        <f>_xlfn.IFNA(VLOOKUP(D741,Master!$I:$K,2,FALSE),"")</f>
        <v/>
      </c>
      <c r="J741" s="4" t="str">
        <f>_xlfn.IFNA(VLOOKUP(D741,Master!$I:$K,3,FALSE),"")</f>
        <v/>
      </c>
      <c r="L741" s="27" t="str">
        <f>IF(A741&lt;&gt;"CFA",_xlfn.IFNA(VLOOKUP($G741,Master!$V$2:$Z$8,5,0),""),"")</f>
        <v/>
      </c>
      <c r="P741" s="6" t="str">
        <f t="shared" si="22"/>
        <v/>
      </c>
      <c r="Q741" s="13">
        <f t="shared" si="23"/>
        <v>0</v>
      </c>
    </row>
    <row r="742" spans="2:17" ht="15" customHeight="1">
      <c r="B742" s="5" t="str">
        <f>_xlfn.IFNA(VLOOKUP(C742,Master!$H:$I,2,FALSE),"")</f>
        <v/>
      </c>
      <c r="D742" s="5" t="str">
        <f>_xlfn.IFNA(VLOOKUP(E742,Master!$H:$I,2,FALSE),"")</f>
        <v/>
      </c>
      <c r="F742" s="26" t="str">
        <f>+_xlfn.XLOOKUP(G742,Master!$V$2:$V$8,Master!$U$2:$U$8,"")</f>
        <v/>
      </c>
      <c r="I742" s="4" t="str">
        <f>_xlfn.IFNA(VLOOKUP(D742,Master!$I:$K,2,FALSE),"")</f>
        <v/>
      </c>
      <c r="J742" s="4" t="str">
        <f>_xlfn.IFNA(VLOOKUP(D742,Master!$I:$K,3,FALSE),"")</f>
        <v/>
      </c>
      <c r="L742" s="27" t="str">
        <f>IF(A742&lt;&gt;"CFA",_xlfn.IFNA(VLOOKUP($G742,Master!$V$2:$Z$8,5,0),""),"")</f>
        <v/>
      </c>
      <c r="P742" s="6" t="str">
        <f t="shared" si="22"/>
        <v/>
      </c>
      <c r="Q742" s="13">
        <f t="shared" si="23"/>
        <v>0</v>
      </c>
    </row>
    <row r="743" spans="2:17" ht="15" customHeight="1">
      <c r="B743" s="5" t="str">
        <f>_xlfn.IFNA(VLOOKUP(C743,Master!$H:$I,2,FALSE),"")</f>
        <v/>
      </c>
      <c r="D743" s="5" t="str">
        <f>_xlfn.IFNA(VLOOKUP(E743,Master!$H:$I,2,FALSE),"")</f>
        <v/>
      </c>
      <c r="F743" s="26" t="str">
        <f>+_xlfn.XLOOKUP(G743,Master!$V$2:$V$8,Master!$U$2:$U$8,"")</f>
        <v/>
      </c>
      <c r="I743" s="4" t="str">
        <f>_xlfn.IFNA(VLOOKUP(D743,Master!$I:$K,2,FALSE),"")</f>
        <v/>
      </c>
      <c r="J743" s="4" t="str">
        <f>_xlfn.IFNA(VLOOKUP(D743,Master!$I:$K,3,FALSE),"")</f>
        <v/>
      </c>
      <c r="L743" s="27" t="str">
        <f>IF(A743&lt;&gt;"CFA",_xlfn.IFNA(VLOOKUP($G743,Master!$V$2:$Z$8,5,0),""),"")</f>
        <v/>
      </c>
      <c r="P743" s="6" t="str">
        <f t="shared" si="22"/>
        <v/>
      </c>
      <c r="Q743" s="13">
        <f t="shared" si="23"/>
        <v>0</v>
      </c>
    </row>
    <row r="744" spans="2:17" ht="15" customHeight="1">
      <c r="B744" s="5" t="str">
        <f>_xlfn.IFNA(VLOOKUP(C744,Master!$H:$I,2,FALSE),"")</f>
        <v/>
      </c>
      <c r="D744" s="5" t="str">
        <f>_xlfn.IFNA(VLOOKUP(E744,Master!$H:$I,2,FALSE),"")</f>
        <v/>
      </c>
      <c r="F744" s="26" t="str">
        <f>+_xlfn.XLOOKUP(G744,Master!$V$2:$V$8,Master!$U$2:$U$8,"")</f>
        <v/>
      </c>
      <c r="I744" s="4" t="str">
        <f>_xlfn.IFNA(VLOOKUP(D744,Master!$I:$K,2,FALSE),"")</f>
        <v/>
      </c>
      <c r="J744" s="4" t="str">
        <f>_xlfn.IFNA(VLOOKUP(D744,Master!$I:$K,3,FALSE),"")</f>
        <v/>
      </c>
      <c r="L744" s="27" t="str">
        <f>IF(A744&lt;&gt;"CFA",_xlfn.IFNA(VLOOKUP($G744,Master!$V$2:$Z$8,5,0),""),"")</f>
        <v/>
      </c>
      <c r="P744" s="6" t="str">
        <f t="shared" si="22"/>
        <v/>
      </c>
      <c r="Q744" s="13">
        <f t="shared" si="23"/>
        <v>0</v>
      </c>
    </row>
    <row r="745" spans="2:17" ht="15" customHeight="1">
      <c r="B745" s="5" t="str">
        <f>_xlfn.IFNA(VLOOKUP(C745,Master!$H:$I,2,FALSE),"")</f>
        <v/>
      </c>
      <c r="D745" s="5" t="str">
        <f>_xlfn.IFNA(VLOOKUP(E745,Master!$H:$I,2,FALSE),"")</f>
        <v/>
      </c>
      <c r="F745" s="26" t="str">
        <f>+_xlfn.XLOOKUP(G745,Master!$V$2:$V$8,Master!$U$2:$U$8,"")</f>
        <v/>
      </c>
      <c r="I745" s="4" t="str">
        <f>_xlfn.IFNA(VLOOKUP(D745,Master!$I:$K,2,FALSE),"")</f>
        <v/>
      </c>
      <c r="J745" s="4" t="str">
        <f>_xlfn.IFNA(VLOOKUP(D745,Master!$I:$K,3,FALSE),"")</f>
        <v/>
      </c>
      <c r="L745" s="27" t="str">
        <f>IF(A745&lt;&gt;"CFA",_xlfn.IFNA(VLOOKUP($G745,Master!$V$2:$Z$8,5,0),""),"")</f>
        <v/>
      </c>
      <c r="P745" s="6" t="str">
        <f t="shared" si="22"/>
        <v/>
      </c>
      <c r="Q745" s="13">
        <f t="shared" si="23"/>
        <v>0</v>
      </c>
    </row>
    <row r="746" spans="2:17" ht="15" customHeight="1">
      <c r="B746" s="5" t="str">
        <f>_xlfn.IFNA(VLOOKUP(C746,Master!$H:$I,2,FALSE),"")</f>
        <v/>
      </c>
      <c r="D746" s="5" t="str">
        <f>_xlfn.IFNA(VLOOKUP(E746,Master!$H:$I,2,FALSE),"")</f>
        <v/>
      </c>
      <c r="F746" s="26" t="str">
        <f>+_xlfn.XLOOKUP(G746,Master!$V$2:$V$8,Master!$U$2:$U$8,"")</f>
        <v/>
      </c>
      <c r="I746" s="4" t="str">
        <f>_xlfn.IFNA(VLOOKUP(D746,Master!$I:$K,2,FALSE),"")</f>
        <v/>
      </c>
      <c r="J746" s="4" t="str">
        <f>_xlfn.IFNA(VLOOKUP(D746,Master!$I:$K,3,FALSE),"")</f>
        <v/>
      </c>
      <c r="L746" s="27" t="str">
        <f>IF(A746&lt;&gt;"CFA",_xlfn.IFNA(VLOOKUP($G746,Master!$V$2:$Z$8,5,0),""),"")</f>
        <v/>
      </c>
      <c r="P746" s="6" t="str">
        <f t="shared" si="22"/>
        <v/>
      </c>
      <c r="Q746" s="13">
        <f t="shared" si="23"/>
        <v>0</v>
      </c>
    </row>
    <row r="747" spans="2:17" ht="15" customHeight="1">
      <c r="B747" s="5" t="str">
        <f>_xlfn.IFNA(VLOOKUP(C747,Master!$H:$I,2,FALSE),"")</f>
        <v/>
      </c>
      <c r="D747" s="5" t="str">
        <f>_xlfn.IFNA(VLOOKUP(E747,Master!$H:$I,2,FALSE),"")</f>
        <v/>
      </c>
      <c r="F747" s="26" t="str">
        <f>+_xlfn.XLOOKUP(G747,Master!$V$2:$V$8,Master!$U$2:$U$8,"")</f>
        <v/>
      </c>
      <c r="I747" s="4" t="str">
        <f>_xlfn.IFNA(VLOOKUP(D747,Master!$I:$K,2,FALSE),"")</f>
        <v/>
      </c>
      <c r="J747" s="4" t="str">
        <f>_xlfn.IFNA(VLOOKUP(D747,Master!$I:$K,3,FALSE),"")</f>
        <v/>
      </c>
      <c r="L747" s="27" t="str">
        <f>IF(A747&lt;&gt;"CFA",_xlfn.IFNA(VLOOKUP($G747,Master!$V$2:$Z$8,5,0),""),"")</f>
        <v/>
      </c>
      <c r="P747" s="6" t="str">
        <f t="shared" si="22"/>
        <v/>
      </c>
      <c r="Q747" s="13">
        <f t="shared" si="23"/>
        <v>0</v>
      </c>
    </row>
    <row r="748" spans="2:17" ht="15" customHeight="1">
      <c r="B748" s="5" t="str">
        <f>_xlfn.IFNA(VLOOKUP(C748,Master!$H:$I,2,FALSE),"")</f>
        <v/>
      </c>
      <c r="D748" s="5" t="str">
        <f>_xlfn.IFNA(VLOOKUP(E748,Master!$H:$I,2,FALSE),"")</f>
        <v/>
      </c>
      <c r="F748" s="26" t="str">
        <f>+_xlfn.XLOOKUP(G748,Master!$V$2:$V$8,Master!$U$2:$U$8,"")</f>
        <v/>
      </c>
      <c r="I748" s="4" t="str">
        <f>_xlfn.IFNA(VLOOKUP(D748,Master!$I:$K,2,FALSE),"")</f>
        <v/>
      </c>
      <c r="J748" s="4" t="str">
        <f>_xlfn.IFNA(VLOOKUP(D748,Master!$I:$K,3,FALSE),"")</f>
        <v/>
      </c>
      <c r="L748" s="27" t="str">
        <f>IF(A748&lt;&gt;"CFA",_xlfn.IFNA(VLOOKUP($G748,Master!$V$2:$Z$8,5,0),""),"")</f>
        <v/>
      </c>
      <c r="P748" s="6" t="str">
        <f t="shared" si="22"/>
        <v/>
      </c>
      <c r="Q748" s="13">
        <f t="shared" si="23"/>
        <v>0</v>
      </c>
    </row>
    <row r="749" spans="2:17" ht="15" customHeight="1">
      <c r="B749" s="5" t="str">
        <f>_xlfn.IFNA(VLOOKUP(C749,Master!$H:$I,2,FALSE),"")</f>
        <v/>
      </c>
      <c r="D749" s="5" t="str">
        <f>_xlfn.IFNA(VLOOKUP(E749,Master!$H:$I,2,FALSE),"")</f>
        <v/>
      </c>
      <c r="F749" s="26" t="str">
        <f>+_xlfn.XLOOKUP(G749,Master!$V$2:$V$8,Master!$U$2:$U$8,"")</f>
        <v/>
      </c>
      <c r="I749" s="4" t="str">
        <f>_xlfn.IFNA(VLOOKUP(D749,Master!$I:$K,2,FALSE),"")</f>
        <v/>
      </c>
      <c r="J749" s="4" t="str">
        <f>_xlfn.IFNA(VLOOKUP(D749,Master!$I:$K,3,FALSE),"")</f>
        <v/>
      </c>
      <c r="L749" s="27" t="str">
        <f>IF(A749&lt;&gt;"CFA",_xlfn.IFNA(VLOOKUP($G749,Master!$V$2:$Z$8,5,0),""),"")</f>
        <v/>
      </c>
      <c r="P749" s="6" t="str">
        <f t="shared" si="22"/>
        <v/>
      </c>
      <c r="Q749" s="13">
        <f t="shared" si="23"/>
        <v>0</v>
      </c>
    </row>
    <row r="750" spans="2:17" ht="15" customHeight="1">
      <c r="B750" s="5" t="str">
        <f>_xlfn.IFNA(VLOOKUP(C750,Master!$H:$I,2,FALSE),"")</f>
        <v/>
      </c>
      <c r="D750" s="5" t="str">
        <f>_xlfn.IFNA(VLOOKUP(E750,Master!$H:$I,2,FALSE),"")</f>
        <v/>
      </c>
      <c r="F750" s="26" t="str">
        <f>+_xlfn.XLOOKUP(G750,Master!$V$2:$V$8,Master!$U$2:$U$8,"")</f>
        <v/>
      </c>
      <c r="I750" s="4" t="str">
        <f>_xlfn.IFNA(VLOOKUP(D750,Master!$I:$K,2,FALSE),"")</f>
        <v/>
      </c>
      <c r="J750" s="4" t="str">
        <f>_xlfn.IFNA(VLOOKUP(D750,Master!$I:$K,3,FALSE),"")</f>
        <v/>
      </c>
      <c r="L750" s="27" t="str">
        <f>IF(A750&lt;&gt;"CFA",_xlfn.IFNA(VLOOKUP($G750,Master!$V$2:$Z$8,5,0),""),"")</f>
        <v/>
      </c>
      <c r="P750" s="6" t="str">
        <f t="shared" si="22"/>
        <v/>
      </c>
      <c r="Q750" s="13">
        <f t="shared" si="23"/>
        <v>0</v>
      </c>
    </row>
    <row r="751" spans="2:17" ht="15" customHeight="1">
      <c r="B751" s="5" t="str">
        <f>_xlfn.IFNA(VLOOKUP(C751,Master!$H:$I,2,FALSE),"")</f>
        <v/>
      </c>
      <c r="D751" s="5" t="str">
        <f>_xlfn.IFNA(VLOOKUP(E751,Master!$H:$I,2,FALSE),"")</f>
        <v/>
      </c>
      <c r="F751" s="26" t="str">
        <f>+_xlfn.XLOOKUP(G751,Master!$V$2:$V$8,Master!$U$2:$U$8,"")</f>
        <v/>
      </c>
      <c r="I751" s="4" t="str">
        <f>_xlfn.IFNA(VLOOKUP(D751,Master!$I:$K,2,FALSE),"")</f>
        <v/>
      </c>
      <c r="J751" s="4" t="str">
        <f>_xlfn.IFNA(VLOOKUP(D751,Master!$I:$K,3,FALSE),"")</f>
        <v/>
      </c>
      <c r="L751" s="27" t="str">
        <f>IF(A751&lt;&gt;"CFA",_xlfn.IFNA(VLOOKUP($G751,Master!$V$2:$Z$8,5,0),""),"")</f>
        <v/>
      </c>
      <c r="P751" s="6" t="str">
        <f t="shared" si="22"/>
        <v/>
      </c>
      <c r="Q751" s="13">
        <f t="shared" si="23"/>
        <v>0</v>
      </c>
    </row>
    <row r="752" spans="2:17" ht="15" customHeight="1">
      <c r="B752" s="5" t="str">
        <f>_xlfn.IFNA(VLOOKUP(C752,Master!$H:$I,2,FALSE),"")</f>
        <v/>
      </c>
      <c r="D752" s="5" t="str">
        <f>_xlfn.IFNA(VLOOKUP(E752,Master!$H:$I,2,FALSE),"")</f>
        <v/>
      </c>
      <c r="F752" s="26" t="str">
        <f>+_xlfn.XLOOKUP(G752,Master!$V$2:$V$8,Master!$U$2:$U$8,"")</f>
        <v/>
      </c>
      <c r="I752" s="4" t="str">
        <f>_xlfn.IFNA(VLOOKUP(D752,Master!$I:$K,2,FALSE),"")</f>
        <v/>
      </c>
      <c r="J752" s="4" t="str">
        <f>_xlfn.IFNA(VLOOKUP(D752,Master!$I:$K,3,FALSE),"")</f>
        <v/>
      </c>
      <c r="L752" s="27" t="str">
        <f>IF(A752&lt;&gt;"CFA",_xlfn.IFNA(VLOOKUP($G752,Master!$V$2:$Z$8,5,0),""),"")</f>
        <v/>
      </c>
      <c r="P752" s="6" t="str">
        <f t="shared" si="22"/>
        <v/>
      </c>
      <c r="Q752" s="13">
        <f t="shared" si="23"/>
        <v>0</v>
      </c>
    </row>
    <row r="753" spans="2:17" ht="15" customHeight="1">
      <c r="B753" s="5" t="str">
        <f>_xlfn.IFNA(VLOOKUP(C753,Master!$H:$I,2,FALSE),"")</f>
        <v/>
      </c>
      <c r="D753" s="5" t="str">
        <f>_xlfn.IFNA(VLOOKUP(E753,Master!$H:$I,2,FALSE),"")</f>
        <v/>
      </c>
      <c r="F753" s="26" t="str">
        <f>+_xlfn.XLOOKUP(G753,Master!$V$2:$V$8,Master!$U$2:$U$8,"")</f>
        <v/>
      </c>
      <c r="I753" s="4" t="str">
        <f>_xlfn.IFNA(VLOOKUP(D753,Master!$I:$K,2,FALSE),"")</f>
        <v/>
      </c>
      <c r="J753" s="4" t="str">
        <f>_xlfn.IFNA(VLOOKUP(D753,Master!$I:$K,3,FALSE),"")</f>
        <v/>
      </c>
      <c r="L753" s="27" t="str">
        <f>IF(A753&lt;&gt;"CFA",_xlfn.IFNA(VLOOKUP($G753,Master!$V$2:$Z$8,5,0),""),"")</f>
        <v/>
      </c>
      <c r="P753" s="6" t="str">
        <f t="shared" si="22"/>
        <v/>
      </c>
      <c r="Q753" s="13">
        <f t="shared" si="23"/>
        <v>0</v>
      </c>
    </row>
    <row r="754" spans="2:17" ht="15" customHeight="1">
      <c r="B754" s="5" t="str">
        <f>_xlfn.IFNA(VLOOKUP(C754,Master!$H:$I,2,FALSE),"")</f>
        <v/>
      </c>
      <c r="D754" s="5" t="str">
        <f>_xlfn.IFNA(VLOOKUP(E754,Master!$H:$I,2,FALSE),"")</f>
        <v/>
      </c>
      <c r="F754" s="26" t="str">
        <f>+_xlfn.XLOOKUP(G754,Master!$V$2:$V$8,Master!$U$2:$U$8,"")</f>
        <v/>
      </c>
      <c r="I754" s="4" t="str">
        <f>_xlfn.IFNA(VLOOKUP(D754,Master!$I:$K,2,FALSE),"")</f>
        <v/>
      </c>
      <c r="J754" s="4" t="str">
        <f>_xlfn.IFNA(VLOOKUP(D754,Master!$I:$K,3,FALSE),"")</f>
        <v/>
      </c>
      <c r="L754" s="27" t="str">
        <f>IF(A754&lt;&gt;"CFA",_xlfn.IFNA(VLOOKUP($G754,Master!$V$2:$Z$8,5,0),""),"")</f>
        <v/>
      </c>
      <c r="P754" s="6" t="str">
        <f t="shared" si="22"/>
        <v/>
      </c>
      <c r="Q754" s="13">
        <f t="shared" si="23"/>
        <v>0</v>
      </c>
    </row>
    <row r="755" spans="2:17" ht="15" customHeight="1">
      <c r="B755" s="5" t="str">
        <f>_xlfn.IFNA(VLOOKUP(C755,Master!$H:$I,2,FALSE),"")</f>
        <v/>
      </c>
      <c r="D755" s="5" t="str">
        <f>_xlfn.IFNA(VLOOKUP(E755,Master!$H:$I,2,FALSE),"")</f>
        <v/>
      </c>
      <c r="F755" s="26" t="str">
        <f>+_xlfn.XLOOKUP(G755,Master!$V$2:$V$8,Master!$U$2:$U$8,"")</f>
        <v/>
      </c>
      <c r="I755" s="4" t="str">
        <f>_xlfn.IFNA(VLOOKUP(D755,Master!$I:$K,2,FALSE),"")</f>
        <v/>
      </c>
      <c r="J755" s="4" t="str">
        <f>_xlfn.IFNA(VLOOKUP(D755,Master!$I:$K,3,FALSE),"")</f>
        <v/>
      </c>
      <c r="L755" s="27" t="str">
        <f>IF(A755&lt;&gt;"CFA",_xlfn.IFNA(VLOOKUP($G755,Master!$V$2:$Z$8,5,0),""),"")</f>
        <v/>
      </c>
      <c r="P755" s="6" t="str">
        <f t="shared" si="22"/>
        <v/>
      </c>
      <c r="Q755" s="13">
        <f t="shared" si="23"/>
        <v>0</v>
      </c>
    </row>
    <row r="756" spans="2:17" ht="15" customHeight="1">
      <c r="B756" s="5" t="str">
        <f>_xlfn.IFNA(VLOOKUP(C756,Master!$H:$I,2,FALSE),"")</f>
        <v/>
      </c>
      <c r="D756" s="5" t="str">
        <f>_xlfn.IFNA(VLOOKUP(E756,Master!$H:$I,2,FALSE),"")</f>
        <v/>
      </c>
      <c r="F756" s="26" t="str">
        <f>+_xlfn.XLOOKUP(G756,Master!$V$2:$V$8,Master!$U$2:$U$8,"")</f>
        <v/>
      </c>
      <c r="I756" s="4" t="str">
        <f>_xlfn.IFNA(VLOOKUP(D756,Master!$I:$K,2,FALSE),"")</f>
        <v/>
      </c>
      <c r="J756" s="4" t="str">
        <f>_xlfn.IFNA(VLOOKUP(D756,Master!$I:$K,3,FALSE),"")</f>
        <v/>
      </c>
      <c r="L756" s="27" t="str">
        <f>IF(A756&lt;&gt;"CFA",_xlfn.IFNA(VLOOKUP($G756,Master!$V$2:$Z$8,5,0),""),"")</f>
        <v/>
      </c>
      <c r="P756" s="6" t="str">
        <f t="shared" si="22"/>
        <v/>
      </c>
      <c r="Q756" s="13">
        <f t="shared" si="23"/>
        <v>0</v>
      </c>
    </row>
    <row r="757" spans="2:17" ht="15" customHeight="1">
      <c r="B757" s="5" t="str">
        <f>_xlfn.IFNA(VLOOKUP(C757,Master!$H:$I,2,FALSE),"")</f>
        <v/>
      </c>
      <c r="D757" s="5" t="str">
        <f>_xlfn.IFNA(VLOOKUP(E757,Master!$H:$I,2,FALSE),"")</f>
        <v/>
      </c>
      <c r="F757" s="26" t="str">
        <f>+_xlfn.XLOOKUP(G757,Master!$V$2:$V$8,Master!$U$2:$U$8,"")</f>
        <v/>
      </c>
      <c r="I757" s="4" t="str">
        <f>_xlfn.IFNA(VLOOKUP(D757,Master!$I:$K,2,FALSE),"")</f>
        <v/>
      </c>
      <c r="J757" s="4" t="str">
        <f>_xlfn.IFNA(VLOOKUP(D757,Master!$I:$K,3,FALSE),"")</f>
        <v/>
      </c>
      <c r="L757" s="27" t="str">
        <f>IF(A757&lt;&gt;"CFA",_xlfn.IFNA(VLOOKUP($G757,Master!$V$2:$Z$8,5,0),""),"")</f>
        <v/>
      </c>
      <c r="P757" s="6" t="str">
        <f t="shared" si="22"/>
        <v/>
      </c>
      <c r="Q757" s="13">
        <f t="shared" si="23"/>
        <v>0</v>
      </c>
    </row>
    <row r="758" spans="2:17" ht="15" customHeight="1">
      <c r="B758" s="5" t="str">
        <f>_xlfn.IFNA(VLOOKUP(C758,Master!$H:$I,2,FALSE),"")</f>
        <v/>
      </c>
      <c r="D758" s="5" t="str">
        <f>_xlfn.IFNA(VLOOKUP(E758,Master!$H:$I,2,FALSE),"")</f>
        <v/>
      </c>
      <c r="F758" s="26" t="str">
        <f>+_xlfn.XLOOKUP(G758,Master!$V$2:$V$8,Master!$U$2:$U$8,"")</f>
        <v/>
      </c>
      <c r="I758" s="4" t="str">
        <f>_xlfn.IFNA(VLOOKUP(D758,Master!$I:$K,2,FALSE),"")</f>
        <v/>
      </c>
      <c r="J758" s="4" t="str">
        <f>_xlfn.IFNA(VLOOKUP(D758,Master!$I:$K,3,FALSE),"")</f>
        <v/>
      </c>
      <c r="L758" s="27" t="str">
        <f>IF(A758&lt;&gt;"CFA",_xlfn.IFNA(VLOOKUP($G758,Master!$V$2:$Z$8,5,0),""),"")</f>
        <v/>
      </c>
      <c r="P758" s="6" t="str">
        <f t="shared" si="22"/>
        <v/>
      </c>
      <c r="Q758" s="13">
        <f t="shared" si="23"/>
        <v>0</v>
      </c>
    </row>
    <row r="759" spans="2:17" ht="15" customHeight="1">
      <c r="B759" s="5" t="str">
        <f>_xlfn.IFNA(VLOOKUP(C759,Master!$H:$I,2,FALSE),"")</f>
        <v/>
      </c>
      <c r="D759" s="5" t="str">
        <f>_xlfn.IFNA(VLOOKUP(E759,Master!$H:$I,2,FALSE),"")</f>
        <v/>
      </c>
      <c r="F759" s="26" t="str">
        <f>+_xlfn.XLOOKUP(G759,Master!$V$2:$V$8,Master!$U$2:$U$8,"")</f>
        <v/>
      </c>
      <c r="I759" s="4" t="str">
        <f>_xlfn.IFNA(VLOOKUP(D759,Master!$I:$K,2,FALSE),"")</f>
        <v/>
      </c>
      <c r="J759" s="4" t="str">
        <f>_xlfn.IFNA(VLOOKUP(D759,Master!$I:$K,3,FALSE),"")</f>
        <v/>
      </c>
      <c r="L759" s="27" t="str">
        <f>IF(A759&lt;&gt;"CFA",_xlfn.IFNA(VLOOKUP($G759,Master!$V$2:$Z$8,5,0),""),"")</f>
        <v/>
      </c>
      <c r="P759" s="6" t="str">
        <f t="shared" ref="P759:P822" si="24">IF(N759&lt;&gt;"",IF(MONTH(N759)&gt;=4,"FY1"&amp;RIGHT(YEAR(N759)+1,2),"FY1"&amp;RIGHT(YEAR(N759),2)),"")</f>
        <v/>
      </c>
      <c r="Q759" s="13">
        <f t="shared" ref="Q759:Q822" si="25">IF(K759&gt;0&amp;M759&gt;0,K759*M759,"")</f>
        <v>0</v>
      </c>
    </row>
    <row r="760" spans="2:17" ht="15" customHeight="1">
      <c r="B760" s="5" t="str">
        <f>_xlfn.IFNA(VLOOKUP(C760,Master!$H:$I,2,FALSE),"")</f>
        <v/>
      </c>
      <c r="D760" s="5" t="str">
        <f>_xlfn.IFNA(VLOOKUP(E760,Master!$H:$I,2,FALSE),"")</f>
        <v/>
      </c>
      <c r="F760" s="26" t="str">
        <f>+_xlfn.XLOOKUP(G760,Master!$V$2:$V$8,Master!$U$2:$U$8,"")</f>
        <v/>
      </c>
      <c r="I760" s="4" t="str">
        <f>_xlfn.IFNA(VLOOKUP(D760,Master!$I:$K,2,FALSE),"")</f>
        <v/>
      </c>
      <c r="J760" s="4" t="str">
        <f>_xlfn.IFNA(VLOOKUP(D760,Master!$I:$K,3,FALSE),"")</f>
        <v/>
      </c>
      <c r="L760" s="27" t="str">
        <f>IF(A760&lt;&gt;"CFA",_xlfn.IFNA(VLOOKUP($G760,Master!$V$2:$Z$8,5,0),""),"")</f>
        <v/>
      </c>
      <c r="P760" s="6" t="str">
        <f t="shared" si="24"/>
        <v/>
      </c>
      <c r="Q760" s="13">
        <f t="shared" si="25"/>
        <v>0</v>
      </c>
    </row>
    <row r="761" spans="2:17" ht="15" customHeight="1">
      <c r="B761" s="5" t="str">
        <f>_xlfn.IFNA(VLOOKUP(C761,Master!$H:$I,2,FALSE),"")</f>
        <v/>
      </c>
      <c r="D761" s="5" t="str">
        <f>_xlfn.IFNA(VLOOKUP(E761,Master!$H:$I,2,FALSE),"")</f>
        <v/>
      </c>
      <c r="F761" s="26" t="str">
        <f>+_xlfn.XLOOKUP(G761,Master!$V$2:$V$8,Master!$U$2:$U$8,"")</f>
        <v/>
      </c>
      <c r="I761" s="4" t="str">
        <f>_xlfn.IFNA(VLOOKUP(D761,Master!$I:$K,2,FALSE),"")</f>
        <v/>
      </c>
      <c r="J761" s="4" t="str">
        <f>_xlfn.IFNA(VLOOKUP(D761,Master!$I:$K,3,FALSE),"")</f>
        <v/>
      </c>
      <c r="L761" s="27" t="str">
        <f>IF(A761&lt;&gt;"CFA",_xlfn.IFNA(VLOOKUP($G761,Master!$V$2:$Z$8,5,0),""),"")</f>
        <v/>
      </c>
      <c r="P761" s="6" t="str">
        <f t="shared" si="24"/>
        <v/>
      </c>
      <c r="Q761" s="13">
        <f t="shared" si="25"/>
        <v>0</v>
      </c>
    </row>
    <row r="762" spans="2:17" ht="15" customHeight="1">
      <c r="B762" s="5" t="str">
        <f>_xlfn.IFNA(VLOOKUP(C762,Master!$H:$I,2,FALSE),"")</f>
        <v/>
      </c>
      <c r="D762" s="5" t="str">
        <f>_xlfn.IFNA(VLOOKUP(E762,Master!$H:$I,2,FALSE),"")</f>
        <v/>
      </c>
      <c r="F762" s="26" t="str">
        <f>+_xlfn.XLOOKUP(G762,Master!$V$2:$V$8,Master!$U$2:$U$8,"")</f>
        <v/>
      </c>
      <c r="I762" s="4" t="str">
        <f>_xlfn.IFNA(VLOOKUP(D762,Master!$I:$K,2,FALSE),"")</f>
        <v/>
      </c>
      <c r="J762" s="4" t="str">
        <f>_xlfn.IFNA(VLOOKUP(D762,Master!$I:$K,3,FALSE),"")</f>
        <v/>
      </c>
      <c r="L762" s="27" t="str">
        <f>IF(A762&lt;&gt;"CFA",_xlfn.IFNA(VLOOKUP($G762,Master!$V$2:$Z$8,5,0),""),"")</f>
        <v/>
      </c>
      <c r="P762" s="6" t="str">
        <f t="shared" si="24"/>
        <v/>
      </c>
      <c r="Q762" s="13">
        <f t="shared" si="25"/>
        <v>0</v>
      </c>
    </row>
    <row r="763" spans="2:17" ht="15" customHeight="1">
      <c r="B763" s="5" t="str">
        <f>_xlfn.IFNA(VLOOKUP(C763,Master!$H:$I,2,FALSE),"")</f>
        <v/>
      </c>
      <c r="D763" s="5" t="str">
        <f>_xlfn.IFNA(VLOOKUP(E763,Master!$H:$I,2,FALSE),"")</f>
        <v/>
      </c>
      <c r="F763" s="26" t="str">
        <f>+_xlfn.XLOOKUP(G763,Master!$V$2:$V$8,Master!$U$2:$U$8,"")</f>
        <v/>
      </c>
      <c r="I763" s="4" t="str">
        <f>_xlfn.IFNA(VLOOKUP(D763,Master!$I:$K,2,FALSE),"")</f>
        <v/>
      </c>
      <c r="J763" s="4" t="str">
        <f>_xlfn.IFNA(VLOOKUP(D763,Master!$I:$K,3,FALSE),"")</f>
        <v/>
      </c>
      <c r="L763" s="27" t="str">
        <f>IF(A763&lt;&gt;"CFA",_xlfn.IFNA(VLOOKUP($G763,Master!$V$2:$Z$8,5,0),""),"")</f>
        <v/>
      </c>
      <c r="P763" s="6" t="str">
        <f t="shared" si="24"/>
        <v/>
      </c>
      <c r="Q763" s="13">
        <f t="shared" si="25"/>
        <v>0</v>
      </c>
    </row>
    <row r="764" spans="2:17" ht="15" customHeight="1">
      <c r="B764" s="5" t="str">
        <f>_xlfn.IFNA(VLOOKUP(C764,Master!$H:$I,2,FALSE),"")</f>
        <v/>
      </c>
      <c r="D764" s="5" t="str">
        <f>_xlfn.IFNA(VLOOKUP(E764,Master!$H:$I,2,FALSE),"")</f>
        <v/>
      </c>
      <c r="F764" s="26" t="str">
        <f>+_xlfn.XLOOKUP(G764,Master!$V$2:$V$8,Master!$U$2:$U$8,"")</f>
        <v/>
      </c>
      <c r="I764" s="4" t="str">
        <f>_xlfn.IFNA(VLOOKUP(D764,Master!$I:$K,2,FALSE),"")</f>
        <v/>
      </c>
      <c r="J764" s="4" t="str">
        <f>_xlfn.IFNA(VLOOKUP(D764,Master!$I:$K,3,FALSE),"")</f>
        <v/>
      </c>
      <c r="L764" s="27" t="str">
        <f>IF(A764&lt;&gt;"CFA",_xlfn.IFNA(VLOOKUP($G764,Master!$V$2:$Z$8,5,0),""),"")</f>
        <v/>
      </c>
      <c r="P764" s="6" t="str">
        <f t="shared" si="24"/>
        <v/>
      </c>
      <c r="Q764" s="13">
        <f t="shared" si="25"/>
        <v>0</v>
      </c>
    </row>
    <row r="765" spans="2:17" ht="15" customHeight="1">
      <c r="B765" s="5" t="str">
        <f>_xlfn.IFNA(VLOOKUP(C765,Master!$H:$I,2,FALSE),"")</f>
        <v/>
      </c>
      <c r="D765" s="5" t="str">
        <f>_xlfn.IFNA(VLOOKUP(E765,Master!$H:$I,2,FALSE),"")</f>
        <v/>
      </c>
      <c r="F765" s="26" t="str">
        <f>+_xlfn.XLOOKUP(G765,Master!$V$2:$V$8,Master!$U$2:$U$8,"")</f>
        <v/>
      </c>
      <c r="I765" s="4" t="str">
        <f>_xlfn.IFNA(VLOOKUP(D765,Master!$I:$K,2,FALSE),"")</f>
        <v/>
      </c>
      <c r="J765" s="4" t="str">
        <f>_xlfn.IFNA(VLOOKUP(D765,Master!$I:$K,3,FALSE),"")</f>
        <v/>
      </c>
      <c r="L765" s="27" t="str">
        <f>IF(A765&lt;&gt;"CFA",_xlfn.IFNA(VLOOKUP($G765,Master!$V$2:$Z$8,5,0),""),"")</f>
        <v/>
      </c>
      <c r="P765" s="6" t="str">
        <f t="shared" si="24"/>
        <v/>
      </c>
      <c r="Q765" s="13">
        <f t="shared" si="25"/>
        <v>0</v>
      </c>
    </row>
    <row r="766" spans="2:17" ht="15" customHeight="1">
      <c r="B766" s="5" t="str">
        <f>_xlfn.IFNA(VLOOKUP(C766,Master!$H:$I,2,FALSE),"")</f>
        <v/>
      </c>
      <c r="D766" s="5" t="str">
        <f>_xlfn.IFNA(VLOOKUP(E766,Master!$H:$I,2,FALSE),"")</f>
        <v/>
      </c>
      <c r="F766" s="26" t="str">
        <f>+_xlfn.XLOOKUP(G766,Master!$V$2:$V$8,Master!$U$2:$U$8,"")</f>
        <v/>
      </c>
      <c r="I766" s="4" t="str">
        <f>_xlfn.IFNA(VLOOKUP(D766,Master!$I:$K,2,FALSE),"")</f>
        <v/>
      </c>
      <c r="J766" s="4" t="str">
        <f>_xlfn.IFNA(VLOOKUP(D766,Master!$I:$K,3,FALSE),"")</f>
        <v/>
      </c>
      <c r="L766" s="27" t="str">
        <f>IF(A766&lt;&gt;"CFA",_xlfn.IFNA(VLOOKUP($G766,Master!$V$2:$Z$8,5,0),""),"")</f>
        <v/>
      </c>
      <c r="P766" s="6" t="str">
        <f t="shared" si="24"/>
        <v/>
      </c>
      <c r="Q766" s="13">
        <f t="shared" si="25"/>
        <v>0</v>
      </c>
    </row>
    <row r="767" spans="2:17" ht="15" customHeight="1">
      <c r="B767" s="5" t="str">
        <f>_xlfn.IFNA(VLOOKUP(C767,Master!$H:$I,2,FALSE),"")</f>
        <v/>
      </c>
      <c r="D767" s="5" t="str">
        <f>_xlfn.IFNA(VLOOKUP(E767,Master!$H:$I,2,FALSE),"")</f>
        <v/>
      </c>
      <c r="F767" s="26" t="str">
        <f>+_xlfn.XLOOKUP(G767,Master!$V$2:$V$8,Master!$U$2:$U$8,"")</f>
        <v/>
      </c>
      <c r="I767" s="4" t="str">
        <f>_xlfn.IFNA(VLOOKUP(D767,Master!$I:$K,2,FALSE),"")</f>
        <v/>
      </c>
      <c r="J767" s="4" t="str">
        <f>_xlfn.IFNA(VLOOKUP(D767,Master!$I:$K,3,FALSE),"")</f>
        <v/>
      </c>
      <c r="L767" s="27" t="str">
        <f>IF(A767&lt;&gt;"CFA",_xlfn.IFNA(VLOOKUP($G767,Master!$V$2:$Z$8,5,0),""),"")</f>
        <v/>
      </c>
      <c r="P767" s="6" t="str">
        <f t="shared" si="24"/>
        <v/>
      </c>
      <c r="Q767" s="13">
        <f t="shared" si="25"/>
        <v>0</v>
      </c>
    </row>
    <row r="768" spans="2:17" ht="15" customHeight="1">
      <c r="B768" s="5" t="str">
        <f>_xlfn.IFNA(VLOOKUP(C768,Master!$H:$I,2,FALSE),"")</f>
        <v/>
      </c>
      <c r="D768" s="5" t="str">
        <f>_xlfn.IFNA(VLOOKUP(E768,Master!$H:$I,2,FALSE),"")</f>
        <v/>
      </c>
      <c r="F768" s="26" t="str">
        <f>+_xlfn.XLOOKUP(G768,Master!$V$2:$V$8,Master!$U$2:$U$8,"")</f>
        <v/>
      </c>
      <c r="I768" s="4" t="str">
        <f>_xlfn.IFNA(VLOOKUP(D768,Master!$I:$K,2,FALSE),"")</f>
        <v/>
      </c>
      <c r="J768" s="4" t="str">
        <f>_xlfn.IFNA(VLOOKUP(D768,Master!$I:$K,3,FALSE),"")</f>
        <v/>
      </c>
      <c r="L768" s="27" t="str">
        <f>IF(A768&lt;&gt;"CFA",_xlfn.IFNA(VLOOKUP($G768,Master!$V$2:$Z$8,5,0),""),"")</f>
        <v/>
      </c>
      <c r="P768" s="6" t="str">
        <f t="shared" si="24"/>
        <v/>
      </c>
      <c r="Q768" s="13">
        <f t="shared" si="25"/>
        <v>0</v>
      </c>
    </row>
    <row r="769" spans="2:17" ht="15" customHeight="1">
      <c r="B769" s="5" t="str">
        <f>_xlfn.IFNA(VLOOKUP(C769,Master!$H:$I,2,FALSE),"")</f>
        <v/>
      </c>
      <c r="D769" s="5" t="str">
        <f>_xlfn.IFNA(VLOOKUP(E769,Master!$H:$I,2,FALSE),"")</f>
        <v/>
      </c>
      <c r="F769" s="26" t="str">
        <f>+_xlfn.XLOOKUP(G769,Master!$V$2:$V$8,Master!$U$2:$U$8,"")</f>
        <v/>
      </c>
      <c r="I769" s="4" t="str">
        <f>_xlfn.IFNA(VLOOKUP(D769,Master!$I:$K,2,FALSE),"")</f>
        <v/>
      </c>
      <c r="J769" s="4" t="str">
        <f>_xlfn.IFNA(VLOOKUP(D769,Master!$I:$K,3,FALSE),"")</f>
        <v/>
      </c>
      <c r="L769" s="27" t="str">
        <f>IF(A769&lt;&gt;"CFA",_xlfn.IFNA(VLOOKUP($G769,Master!$V$2:$Z$8,5,0),""),"")</f>
        <v/>
      </c>
      <c r="P769" s="6" t="str">
        <f t="shared" si="24"/>
        <v/>
      </c>
      <c r="Q769" s="13">
        <f t="shared" si="25"/>
        <v>0</v>
      </c>
    </row>
    <row r="770" spans="2:17" ht="15" customHeight="1">
      <c r="B770" s="5" t="str">
        <f>_xlfn.IFNA(VLOOKUP(C770,Master!$H:$I,2,FALSE),"")</f>
        <v/>
      </c>
      <c r="D770" s="5" t="str">
        <f>_xlfn.IFNA(VLOOKUP(E770,Master!$H:$I,2,FALSE),"")</f>
        <v/>
      </c>
      <c r="F770" s="26" t="str">
        <f>+_xlfn.XLOOKUP(G770,Master!$V$2:$V$8,Master!$U$2:$U$8,"")</f>
        <v/>
      </c>
      <c r="I770" s="4" t="str">
        <f>_xlfn.IFNA(VLOOKUP(D770,Master!$I:$K,2,FALSE),"")</f>
        <v/>
      </c>
      <c r="J770" s="4" t="str">
        <f>_xlfn.IFNA(VLOOKUP(D770,Master!$I:$K,3,FALSE),"")</f>
        <v/>
      </c>
      <c r="L770" s="27" t="str">
        <f>IF(A770&lt;&gt;"CFA",_xlfn.IFNA(VLOOKUP($G770,Master!$V$2:$Z$8,5,0),""),"")</f>
        <v/>
      </c>
      <c r="P770" s="6" t="str">
        <f t="shared" si="24"/>
        <v/>
      </c>
      <c r="Q770" s="13">
        <f t="shared" si="25"/>
        <v>0</v>
      </c>
    </row>
    <row r="771" spans="2:17" ht="15" customHeight="1">
      <c r="B771" s="5" t="str">
        <f>_xlfn.IFNA(VLOOKUP(C771,Master!$H:$I,2,FALSE),"")</f>
        <v/>
      </c>
      <c r="D771" s="5" t="str">
        <f>_xlfn.IFNA(VLOOKUP(E771,Master!$H:$I,2,FALSE),"")</f>
        <v/>
      </c>
      <c r="F771" s="26" t="str">
        <f>+_xlfn.XLOOKUP(G771,Master!$V$2:$V$8,Master!$U$2:$U$8,"")</f>
        <v/>
      </c>
      <c r="I771" s="4" t="str">
        <f>_xlfn.IFNA(VLOOKUP(D771,Master!$I:$K,2,FALSE),"")</f>
        <v/>
      </c>
      <c r="J771" s="4" t="str">
        <f>_xlfn.IFNA(VLOOKUP(D771,Master!$I:$K,3,FALSE),"")</f>
        <v/>
      </c>
      <c r="L771" s="27" t="str">
        <f>IF(A771&lt;&gt;"CFA",_xlfn.IFNA(VLOOKUP($G771,Master!$V$2:$Z$8,5,0),""),"")</f>
        <v/>
      </c>
      <c r="P771" s="6" t="str">
        <f t="shared" si="24"/>
        <v/>
      </c>
      <c r="Q771" s="13">
        <f t="shared" si="25"/>
        <v>0</v>
      </c>
    </row>
    <row r="772" spans="2:17" ht="15" customHeight="1">
      <c r="B772" s="5" t="str">
        <f>_xlfn.IFNA(VLOOKUP(C772,Master!$H:$I,2,FALSE),"")</f>
        <v/>
      </c>
      <c r="D772" s="5" t="str">
        <f>_xlfn.IFNA(VLOOKUP(E772,Master!$H:$I,2,FALSE),"")</f>
        <v/>
      </c>
      <c r="F772" s="26" t="str">
        <f>+_xlfn.XLOOKUP(G772,Master!$V$2:$V$8,Master!$U$2:$U$8,"")</f>
        <v/>
      </c>
      <c r="I772" s="4" t="str">
        <f>_xlfn.IFNA(VLOOKUP(D772,Master!$I:$K,2,FALSE),"")</f>
        <v/>
      </c>
      <c r="J772" s="4" t="str">
        <f>_xlfn.IFNA(VLOOKUP(D772,Master!$I:$K,3,FALSE),"")</f>
        <v/>
      </c>
      <c r="L772" s="27" t="str">
        <f>IF(A772&lt;&gt;"CFA",_xlfn.IFNA(VLOOKUP($G772,Master!$V$2:$Z$8,5,0),""),"")</f>
        <v/>
      </c>
      <c r="P772" s="6" t="str">
        <f t="shared" si="24"/>
        <v/>
      </c>
      <c r="Q772" s="13">
        <f t="shared" si="25"/>
        <v>0</v>
      </c>
    </row>
    <row r="773" spans="2:17" ht="15" customHeight="1">
      <c r="B773" s="5" t="str">
        <f>_xlfn.IFNA(VLOOKUP(C773,Master!$H:$I,2,FALSE),"")</f>
        <v/>
      </c>
      <c r="D773" s="5" t="str">
        <f>_xlfn.IFNA(VLOOKUP(E773,Master!$H:$I,2,FALSE),"")</f>
        <v/>
      </c>
      <c r="F773" s="26" t="str">
        <f>+_xlfn.XLOOKUP(G773,Master!$V$2:$V$8,Master!$U$2:$U$8,"")</f>
        <v/>
      </c>
      <c r="I773" s="4" t="str">
        <f>_xlfn.IFNA(VLOOKUP(D773,Master!$I:$K,2,FALSE),"")</f>
        <v/>
      </c>
      <c r="J773" s="4" t="str">
        <f>_xlfn.IFNA(VLOOKUP(D773,Master!$I:$K,3,FALSE),"")</f>
        <v/>
      </c>
      <c r="L773" s="27" t="str">
        <f>IF(A773&lt;&gt;"CFA",_xlfn.IFNA(VLOOKUP($G773,Master!$V$2:$Z$8,5,0),""),"")</f>
        <v/>
      </c>
      <c r="P773" s="6" t="str">
        <f t="shared" si="24"/>
        <v/>
      </c>
      <c r="Q773" s="13">
        <f t="shared" si="25"/>
        <v>0</v>
      </c>
    </row>
    <row r="774" spans="2:17" ht="15" customHeight="1">
      <c r="B774" s="5" t="str">
        <f>_xlfn.IFNA(VLOOKUP(C774,Master!$H:$I,2,FALSE),"")</f>
        <v/>
      </c>
      <c r="D774" s="5" t="str">
        <f>_xlfn.IFNA(VLOOKUP(E774,Master!$H:$I,2,FALSE),"")</f>
        <v/>
      </c>
      <c r="F774" s="26" t="str">
        <f>+_xlfn.XLOOKUP(G774,Master!$V$2:$V$8,Master!$U$2:$U$8,"")</f>
        <v/>
      </c>
      <c r="I774" s="4" t="str">
        <f>_xlfn.IFNA(VLOOKUP(D774,Master!$I:$K,2,FALSE),"")</f>
        <v/>
      </c>
      <c r="J774" s="4" t="str">
        <f>_xlfn.IFNA(VLOOKUP(D774,Master!$I:$K,3,FALSE),"")</f>
        <v/>
      </c>
      <c r="L774" s="27" t="str">
        <f>IF(A774&lt;&gt;"CFA",_xlfn.IFNA(VLOOKUP($G774,Master!$V$2:$Z$8,5,0),""),"")</f>
        <v/>
      </c>
      <c r="P774" s="6" t="str">
        <f t="shared" si="24"/>
        <v/>
      </c>
      <c r="Q774" s="13">
        <f t="shared" si="25"/>
        <v>0</v>
      </c>
    </row>
    <row r="775" spans="2:17" ht="15" customHeight="1">
      <c r="B775" s="5" t="str">
        <f>_xlfn.IFNA(VLOOKUP(C775,Master!$H:$I,2,FALSE),"")</f>
        <v/>
      </c>
      <c r="D775" s="5" t="str">
        <f>_xlfn.IFNA(VLOOKUP(E775,Master!$H:$I,2,FALSE),"")</f>
        <v/>
      </c>
      <c r="F775" s="26" t="str">
        <f>+_xlfn.XLOOKUP(G775,Master!$V$2:$V$8,Master!$U$2:$U$8,"")</f>
        <v/>
      </c>
      <c r="I775" s="4" t="str">
        <f>_xlfn.IFNA(VLOOKUP(D775,Master!$I:$K,2,FALSE),"")</f>
        <v/>
      </c>
      <c r="J775" s="4" t="str">
        <f>_xlfn.IFNA(VLOOKUP(D775,Master!$I:$K,3,FALSE),"")</f>
        <v/>
      </c>
      <c r="L775" s="27" t="str">
        <f>IF(A775&lt;&gt;"CFA",_xlfn.IFNA(VLOOKUP($G775,Master!$V$2:$Z$8,5,0),""),"")</f>
        <v/>
      </c>
      <c r="P775" s="6" t="str">
        <f t="shared" si="24"/>
        <v/>
      </c>
      <c r="Q775" s="13">
        <f t="shared" si="25"/>
        <v>0</v>
      </c>
    </row>
    <row r="776" spans="2:17" ht="15" customHeight="1">
      <c r="B776" s="5" t="str">
        <f>_xlfn.IFNA(VLOOKUP(C776,Master!$H:$I,2,FALSE),"")</f>
        <v/>
      </c>
      <c r="D776" s="5" t="str">
        <f>_xlfn.IFNA(VLOOKUP(E776,Master!$H:$I,2,FALSE),"")</f>
        <v/>
      </c>
      <c r="F776" s="26" t="str">
        <f>+_xlfn.XLOOKUP(G776,Master!$V$2:$V$8,Master!$U$2:$U$8,"")</f>
        <v/>
      </c>
      <c r="I776" s="4" t="str">
        <f>_xlfn.IFNA(VLOOKUP(D776,Master!$I:$K,2,FALSE),"")</f>
        <v/>
      </c>
      <c r="J776" s="4" t="str">
        <f>_xlfn.IFNA(VLOOKUP(D776,Master!$I:$K,3,FALSE),"")</f>
        <v/>
      </c>
      <c r="L776" s="27" t="str">
        <f>IF(A776&lt;&gt;"CFA",_xlfn.IFNA(VLOOKUP($G776,Master!$V$2:$Z$8,5,0),""),"")</f>
        <v/>
      </c>
      <c r="P776" s="6" t="str">
        <f t="shared" si="24"/>
        <v/>
      </c>
      <c r="Q776" s="13">
        <f t="shared" si="25"/>
        <v>0</v>
      </c>
    </row>
    <row r="777" spans="2:17" ht="15" customHeight="1">
      <c r="B777" s="5" t="str">
        <f>_xlfn.IFNA(VLOOKUP(C777,Master!$H:$I,2,FALSE),"")</f>
        <v/>
      </c>
      <c r="D777" s="5" t="str">
        <f>_xlfn.IFNA(VLOOKUP(E777,Master!$H:$I,2,FALSE),"")</f>
        <v/>
      </c>
      <c r="F777" s="26" t="str">
        <f>+_xlfn.XLOOKUP(G777,Master!$V$2:$V$8,Master!$U$2:$U$8,"")</f>
        <v/>
      </c>
      <c r="I777" s="4" t="str">
        <f>_xlfn.IFNA(VLOOKUP(D777,Master!$I:$K,2,FALSE),"")</f>
        <v/>
      </c>
      <c r="J777" s="4" t="str">
        <f>_xlfn.IFNA(VLOOKUP(D777,Master!$I:$K,3,FALSE),"")</f>
        <v/>
      </c>
      <c r="L777" s="27" t="str">
        <f>IF(A777&lt;&gt;"CFA",_xlfn.IFNA(VLOOKUP($G777,Master!$V$2:$Z$8,5,0),""),"")</f>
        <v/>
      </c>
      <c r="P777" s="6" t="str">
        <f t="shared" si="24"/>
        <v/>
      </c>
      <c r="Q777" s="13">
        <f t="shared" si="25"/>
        <v>0</v>
      </c>
    </row>
    <row r="778" spans="2:17" ht="15" customHeight="1">
      <c r="B778" s="5" t="str">
        <f>_xlfn.IFNA(VLOOKUP(C778,Master!$H:$I,2,FALSE),"")</f>
        <v/>
      </c>
      <c r="D778" s="5" t="str">
        <f>_xlfn.IFNA(VLOOKUP(E778,Master!$H:$I,2,FALSE),"")</f>
        <v/>
      </c>
      <c r="F778" s="26" t="str">
        <f>+_xlfn.XLOOKUP(G778,Master!$V$2:$V$8,Master!$U$2:$U$8,"")</f>
        <v/>
      </c>
      <c r="I778" s="4" t="str">
        <f>_xlfn.IFNA(VLOOKUP(D778,Master!$I:$K,2,FALSE),"")</f>
        <v/>
      </c>
      <c r="J778" s="4" t="str">
        <f>_xlfn.IFNA(VLOOKUP(D778,Master!$I:$K,3,FALSE),"")</f>
        <v/>
      </c>
      <c r="L778" s="27" t="str">
        <f>IF(A778&lt;&gt;"CFA",_xlfn.IFNA(VLOOKUP($G778,Master!$V$2:$Z$8,5,0),""),"")</f>
        <v/>
      </c>
      <c r="P778" s="6" t="str">
        <f t="shared" si="24"/>
        <v/>
      </c>
      <c r="Q778" s="13">
        <f t="shared" si="25"/>
        <v>0</v>
      </c>
    </row>
    <row r="779" spans="2:17" ht="15" customHeight="1">
      <c r="B779" s="5" t="str">
        <f>_xlfn.IFNA(VLOOKUP(C779,Master!$H:$I,2,FALSE),"")</f>
        <v/>
      </c>
      <c r="D779" s="5" t="str">
        <f>_xlfn.IFNA(VLOOKUP(E779,Master!$H:$I,2,FALSE),"")</f>
        <v/>
      </c>
      <c r="F779" s="26" t="str">
        <f>+_xlfn.XLOOKUP(G779,Master!$V$2:$V$8,Master!$U$2:$U$8,"")</f>
        <v/>
      </c>
      <c r="I779" s="4" t="str">
        <f>_xlfn.IFNA(VLOOKUP(D779,Master!$I:$K,2,FALSE),"")</f>
        <v/>
      </c>
      <c r="J779" s="4" t="str">
        <f>_xlfn.IFNA(VLOOKUP(D779,Master!$I:$K,3,FALSE),"")</f>
        <v/>
      </c>
      <c r="L779" s="27" t="str">
        <f>IF(A779&lt;&gt;"CFA",_xlfn.IFNA(VLOOKUP($G779,Master!$V$2:$Z$8,5,0),""),"")</f>
        <v/>
      </c>
      <c r="P779" s="6" t="str">
        <f t="shared" si="24"/>
        <v/>
      </c>
      <c r="Q779" s="13">
        <f t="shared" si="25"/>
        <v>0</v>
      </c>
    </row>
    <row r="780" spans="2:17" ht="15" customHeight="1">
      <c r="B780" s="5" t="str">
        <f>_xlfn.IFNA(VLOOKUP(C780,Master!$H:$I,2,FALSE),"")</f>
        <v/>
      </c>
      <c r="D780" s="5" t="str">
        <f>_xlfn.IFNA(VLOOKUP(E780,Master!$H:$I,2,FALSE),"")</f>
        <v/>
      </c>
      <c r="F780" s="26" t="str">
        <f>+_xlfn.XLOOKUP(G780,Master!$V$2:$V$8,Master!$U$2:$U$8,"")</f>
        <v/>
      </c>
      <c r="I780" s="4" t="str">
        <f>_xlfn.IFNA(VLOOKUP(D780,Master!$I:$K,2,FALSE),"")</f>
        <v/>
      </c>
      <c r="J780" s="4" t="str">
        <f>_xlfn.IFNA(VLOOKUP(D780,Master!$I:$K,3,FALSE),"")</f>
        <v/>
      </c>
      <c r="L780" s="27" t="str">
        <f>IF(A780&lt;&gt;"CFA",_xlfn.IFNA(VLOOKUP($G780,Master!$V$2:$Z$8,5,0),""),"")</f>
        <v/>
      </c>
      <c r="P780" s="6" t="str">
        <f t="shared" si="24"/>
        <v/>
      </c>
      <c r="Q780" s="13">
        <f t="shared" si="25"/>
        <v>0</v>
      </c>
    </row>
    <row r="781" spans="2:17" ht="15" customHeight="1">
      <c r="B781" s="5" t="str">
        <f>_xlfn.IFNA(VLOOKUP(C781,Master!$H:$I,2,FALSE),"")</f>
        <v/>
      </c>
      <c r="D781" s="5" t="str">
        <f>_xlfn.IFNA(VLOOKUP(E781,Master!$H:$I,2,FALSE),"")</f>
        <v/>
      </c>
      <c r="F781" s="26" t="str">
        <f>+_xlfn.XLOOKUP(G781,Master!$V$2:$V$8,Master!$U$2:$U$8,"")</f>
        <v/>
      </c>
      <c r="I781" s="4" t="str">
        <f>_xlfn.IFNA(VLOOKUP(D781,Master!$I:$K,2,FALSE),"")</f>
        <v/>
      </c>
      <c r="J781" s="4" t="str">
        <f>_xlfn.IFNA(VLOOKUP(D781,Master!$I:$K,3,FALSE),"")</f>
        <v/>
      </c>
      <c r="L781" s="27" t="str">
        <f>IF(A781&lt;&gt;"CFA",_xlfn.IFNA(VLOOKUP($G781,Master!$V$2:$Z$8,5,0),""),"")</f>
        <v/>
      </c>
      <c r="P781" s="6" t="str">
        <f t="shared" si="24"/>
        <v/>
      </c>
      <c r="Q781" s="13">
        <f t="shared" si="25"/>
        <v>0</v>
      </c>
    </row>
    <row r="782" spans="2:17" ht="15" customHeight="1">
      <c r="B782" s="5" t="str">
        <f>_xlfn.IFNA(VLOOKUP(C782,Master!$H:$I,2,FALSE),"")</f>
        <v/>
      </c>
      <c r="D782" s="5" t="str">
        <f>_xlfn.IFNA(VLOOKUP(E782,Master!$H:$I,2,FALSE),"")</f>
        <v/>
      </c>
      <c r="F782" s="26" t="str">
        <f>+_xlfn.XLOOKUP(G782,Master!$V$2:$V$8,Master!$U$2:$U$8,"")</f>
        <v/>
      </c>
      <c r="I782" s="4" t="str">
        <f>_xlfn.IFNA(VLOOKUP(D782,Master!$I:$K,2,FALSE),"")</f>
        <v/>
      </c>
      <c r="J782" s="4" t="str">
        <f>_xlfn.IFNA(VLOOKUP(D782,Master!$I:$K,3,FALSE),"")</f>
        <v/>
      </c>
      <c r="L782" s="27" t="str">
        <f>IF(A782&lt;&gt;"CFA",_xlfn.IFNA(VLOOKUP($G782,Master!$V$2:$Z$8,5,0),""),"")</f>
        <v/>
      </c>
      <c r="P782" s="6" t="str">
        <f t="shared" si="24"/>
        <v/>
      </c>
      <c r="Q782" s="13">
        <f t="shared" si="25"/>
        <v>0</v>
      </c>
    </row>
    <row r="783" spans="2:17" ht="15" customHeight="1">
      <c r="B783" s="5" t="str">
        <f>_xlfn.IFNA(VLOOKUP(C783,Master!$H:$I,2,FALSE),"")</f>
        <v/>
      </c>
      <c r="D783" s="5" t="str">
        <f>_xlfn.IFNA(VLOOKUP(E783,Master!$H:$I,2,FALSE),"")</f>
        <v/>
      </c>
      <c r="F783" s="26" t="str">
        <f>+_xlfn.XLOOKUP(G783,Master!$V$2:$V$8,Master!$U$2:$U$8,"")</f>
        <v/>
      </c>
      <c r="I783" s="4" t="str">
        <f>_xlfn.IFNA(VLOOKUP(D783,Master!$I:$K,2,FALSE),"")</f>
        <v/>
      </c>
      <c r="J783" s="4" t="str">
        <f>_xlfn.IFNA(VLOOKUP(D783,Master!$I:$K,3,FALSE),"")</f>
        <v/>
      </c>
      <c r="L783" s="27" t="str">
        <f>IF(A783&lt;&gt;"CFA",_xlfn.IFNA(VLOOKUP($G783,Master!$V$2:$Z$8,5,0),""),"")</f>
        <v/>
      </c>
      <c r="P783" s="6" t="str">
        <f t="shared" si="24"/>
        <v/>
      </c>
      <c r="Q783" s="13">
        <f t="shared" si="25"/>
        <v>0</v>
      </c>
    </row>
    <row r="784" spans="2:17" ht="15" customHeight="1">
      <c r="B784" s="5" t="str">
        <f>_xlfn.IFNA(VLOOKUP(C784,Master!$H:$I,2,FALSE),"")</f>
        <v/>
      </c>
      <c r="D784" s="5" t="str">
        <f>_xlfn.IFNA(VLOOKUP(E784,Master!$H:$I,2,FALSE),"")</f>
        <v/>
      </c>
      <c r="F784" s="26" t="str">
        <f>+_xlfn.XLOOKUP(G784,Master!$V$2:$V$8,Master!$U$2:$U$8,"")</f>
        <v/>
      </c>
      <c r="I784" s="4" t="str">
        <f>_xlfn.IFNA(VLOOKUP(D784,Master!$I:$K,2,FALSE),"")</f>
        <v/>
      </c>
      <c r="J784" s="4" t="str">
        <f>_xlfn.IFNA(VLOOKUP(D784,Master!$I:$K,3,FALSE),"")</f>
        <v/>
      </c>
      <c r="L784" s="27" t="str">
        <f>IF(A784&lt;&gt;"CFA",_xlfn.IFNA(VLOOKUP($G784,Master!$V$2:$Z$8,5,0),""),"")</f>
        <v/>
      </c>
      <c r="P784" s="6" t="str">
        <f t="shared" si="24"/>
        <v/>
      </c>
      <c r="Q784" s="13">
        <f t="shared" si="25"/>
        <v>0</v>
      </c>
    </row>
    <row r="785" spans="2:17" ht="15" customHeight="1">
      <c r="B785" s="5" t="str">
        <f>_xlfn.IFNA(VLOOKUP(C785,Master!$H:$I,2,FALSE),"")</f>
        <v/>
      </c>
      <c r="D785" s="5" t="str">
        <f>_xlfn.IFNA(VLOOKUP(E785,Master!$H:$I,2,FALSE),"")</f>
        <v/>
      </c>
      <c r="F785" s="26" t="str">
        <f>+_xlfn.XLOOKUP(G785,Master!$V$2:$V$8,Master!$U$2:$U$8,"")</f>
        <v/>
      </c>
      <c r="I785" s="4" t="str">
        <f>_xlfn.IFNA(VLOOKUP(D785,Master!$I:$K,2,FALSE),"")</f>
        <v/>
      </c>
      <c r="J785" s="4" t="str">
        <f>_xlfn.IFNA(VLOOKUP(D785,Master!$I:$K,3,FALSE),"")</f>
        <v/>
      </c>
      <c r="L785" s="27" t="str">
        <f>IF(A785&lt;&gt;"CFA",_xlfn.IFNA(VLOOKUP($G785,Master!$V$2:$Z$8,5,0),""),"")</f>
        <v/>
      </c>
      <c r="P785" s="6" t="str">
        <f t="shared" si="24"/>
        <v/>
      </c>
      <c r="Q785" s="13">
        <f t="shared" si="25"/>
        <v>0</v>
      </c>
    </row>
    <row r="786" spans="2:17" ht="15" customHeight="1">
      <c r="B786" s="5" t="str">
        <f>_xlfn.IFNA(VLOOKUP(C786,Master!$H:$I,2,FALSE),"")</f>
        <v/>
      </c>
      <c r="D786" s="5" t="str">
        <f>_xlfn.IFNA(VLOOKUP(E786,Master!$H:$I,2,FALSE),"")</f>
        <v/>
      </c>
      <c r="F786" s="26" t="str">
        <f>+_xlfn.XLOOKUP(G786,Master!$V$2:$V$8,Master!$U$2:$U$8,"")</f>
        <v/>
      </c>
      <c r="I786" s="4" t="str">
        <f>_xlfn.IFNA(VLOOKUP(D786,Master!$I:$K,2,FALSE),"")</f>
        <v/>
      </c>
      <c r="J786" s="4" t="str">
        <f>_xlfn.IFNA(VLOOKUP(D786,Master!$I:$K,3,FALSE),"")</f>
        <v/>
      </c>
      <c r="L786" s="27" t="str">
        <f>IF(A786&lt;&gt;"CFA",_xlfn.IFNA(VLOOKUP($G786,Master!$V$2:$Z$8,5,0),""),"")</f>
        <v/>
      </c>
      <c r="P786" s="6" t="str">
        <f t="shared" si="24"/>
        <v/>
      </c>
      <c r="Q786" s="13">
        <f t="shared" si="25"/>
        <v>0</v>
      </c>
    </row>
    <row r="787" spans="2:17" ht="15" customHeight="1">
      <c r="B787" s="5" t="str">
        <f>_xlfn.IFNA(VLOOKUP(C787,Master!$H:$I,2,FALSE),"")</f>
        <v/>
      </c>
      <c r="D787" s="5" t="str">
        <f>_xlfn.IFNA(VLOOKUP(E787,Master!$H:$I,2,FALSE),"")</f>
        <v/>
      </c>
      <c r="F787" s="26" t="str">
        <f>+_xlfn.XLOOKUP(G787,Master!$V$2:$V$8,Master!$U$2:$U$8,"")</f>
        <v/>
      </c>
      <c r="I787" s="4" t="str">
        <f>_xlfn.IFNA(VLOOKUP(D787,Master!$I:$K,2,FALSE),"")</f>
        <v/>
      </c>
      <c r="J787" s="4" t="str">
        <f>_xlfn.IFNA(VLOOKUP(D787,Master!$I:$K,3,FALSE),"")</f>
        <v/>
      </c>
      <c r="L787" s="27" t="str">
        <f>IF(A787&lt;&gt;"CFA",_xlfn.IFNA(VLOOKUP($G787,Master!$V$2:$Z$8,5,0),""),"")</f>
        <v/>
      </c>
      <c r="P787" s="6" t="str">
        <f t="shared" si="24"/>
        <v/>
      </c>
      <c r="Q787" s="13">
        <f t="shared" si="25"/>
        <v>0</v>
      </c>
    </row>
    <row r="788" spans="2:17" ht="15" customHeight="1">
      <c r="B788" s="5" t="str">
        <f>_xlfn.IFNA(VLOOKUP(C788,Master!$H:$I,2,FALSE),"")</f>
        <v/>
      </c>
      <c r="D788" s="5" t="str">
        <f>_xlfn.IFNA(VLOOKUP(E788,Master!$H:$I,2,FALSE),"")</f>
        <v/>
      </c>
      <c r="F788" s="26" t="str">
        <f>+_xlfn.XLOOKUP(G788,Master!$V$2:$V$8,Master!$U$2:$U$8,"")</f>
        <v/>
      </c>
      <c r="I788" s="4" t="str">
        <f>_xlfn.IFNA(VLOOKUP(D788,Master!$I:$K,2,FALSE),"")</f>
        <v/>
      </c>
      <c r="J788" s="4" t="str">
        <f>_xlfn.IFNA(VLOOKUP(D788,Master!$I:$K,3,FALSE),"")</f>
        <v/>
      </c>
      <c r="L788" s="27" t="str">
        <f>IF(A788&lt;&gt;"CFA",_xlfn.IFNA(VLOOKUP($G788,Master!$V$2:$Z$8,5,0),""),"")</f>
        <v/>
      </c>
      <c r="P788" s="6" t="str">
        <f t="shared" si="24"/>
        <v/>
      </c>
      <c r="Q788" s="13">
        <f t="shared" si="25"/>
        <v>0</v>
      </c>
    </row>
    <row r="789" spans="2:17" ht="15" customHeight="1">
      <c r="B789" s="5" t="str">
        <f>_xlfn.IFNA(VLOOKUP(C789,Master!$H:$I,2,FALSE),"")</f>
        <v/>
      </c>
      <c r="D789" s="5" t="str">
        <f>_xlfn.IFNA(VLOOKUP(E789,Master!$H:$I,2,FALSE),"")</f>
        <v/>
      </c>
      <c r="F789" s="26" t="str">
        <f>+_xlfn.XLOOKUP(G789,Master!$V$2:$V$8,Master!$U$2:$U$8,"")</f>
        <v/>
      </c>
      <c r="I789" s="4" t="str">
        <f>_xlfn.IFNA(VLOOKUP(D789,Master!$I:$K,2,FALSE),"")</f>
        <v/>
      </c>
      <c r="J789" s="4" t="str">
        <f>_xlfn.IFNA(VLOOKUP(D789,Master!$I:$K,3,FALSE),"")</f>
        <v/>
      </c>
      <c r="L789" s="27" t="str">
        <f>IF(A789&lt;&gt;"CFA",_xlfn.IFNA(VLOOKUP($G789,Master!$V$2:$Z$8,5,0),""),"")</f>
        <v/>
      </c>
      <c r="P789" s="6" t="str">
        <f t="shared" si="24"/>
        <v/>
      </c>
      <c r="Q789" s="13">
        <f t="shared" si="25"/>
        <v>0</v>
      </c>
    </row>
    <row r="790" spans="2:17" ht="15" customHeight="1">
      <c r="B790" s="5" t="str">
        <f>_xlfn.IFNA(VLOOKUP(C790,Master!$H:$I,2,FALSE),"")</f>
        <v/>
      </c>
      <c r="D790" s="5" t="str">
        <f>_xlfn.IFNA(VLOOKUP(E790,Master!$H:$I,2,FALSE),"")</f>
        <v/>
      </c>
      <c r="F790" s="26" t="str">
        <f>+_xlfn.XLOOKUP(G790,Master!$V$2:$V$8,Master!$U$2:$U$8,"")</f>
        <v/>
      </c>
      <c r="I790" s="4" t="str">
        <f>_xlfn.IFNA(VLOOKUP(D790,Master!$I:$K,2,FALSE),"")</f>
        <v/>
      </c>
      <c r="J790" s="4" t="str">
        <f>_xlfn.IFNA(VLOOKUP(D790,Master!$I:$K,3,FALSE),"")</f>
        <v/>
      </c>
      <c r="L790" s="27" t="str">
        <f>IF(A790&lt;&gt;"CFA",_xlfn.IFNA(VLOOKUP($G790,Master!$V$2:$Z$8,5,0),""),"")</f>
        <v/>
      </c>
      <c r="P790" s="6" t="str">
        <f t="shared" si="24"/>
        <v/>
      </c>
      <c r="Q790" s="13">
        <f t="shared" si="25"/>
        <v>0</v>
      </c>
    </row>
    <row r="791" spans="2:17" ht="15" customHeight="1">
      <c r="B791" s="5" t="str">
        <f>_xlfn.IFNA(VLOOKUP(C791,Master!$H:$I,2,FALSE),"")</f>
        <v/>
      </c>
      <c r="D791" s="5" t="str">
        <f>_xlfn.IFNA(VLOOKUP(E791,Master!$H:$I,2,FALSE),"")</f>
        <v/>
      </c>
      <c r="F791" s="26" t="str">
        <f>+_xlfn.XLOOKUP(G791,Master!$V$2:$V$8,Master!$U$2:$U$8,"")</f>
        <v/>
      </c>
      <c r="I791" s="4" t="str">
        <f>_xlfn.IFNA(VLOOKUP(D791,Master!$I:$K,2,FALSE),"")</f>
        <v/>
      </c>
      <c r="J791" s="4" t="str">
        <f>_xlfn.IFNA(VLOOKUP(D791,Master!$I:$K,3,FALSE),"")</f>
        <v/>
      </c>
      <c r="L791" s="27" t="str">
        <f>IF(A791&lt;&gt;"CFA",_xlfn.IFNA(VLOOKUP($G791,Master!$V$2:$Z$8,5,0),""),"")</f>
        <v/>
      </c>
      <c r="P791" s="6" t="str">
        <f t="shared" si="24"/>
        <v/>
      </c>
      <c r="Q791" s="13">
        <f t="shared" si="25"/>
        <v>0</v>
      </c>
    </row>
    <row r="792" spans="2:17" ht="15" customHeight="1">
      <c r="B792" s="5" t="str">
        <f>_xlfn.IFNA(VLOOKUP(C792,Master!$H:$I,2,FALSE),"")</f>
        <v/>
      </c>
      <c r="D792" s="5" t="str">
        <f>_xlfn.IFNA(VLOOKUP(E792,Master!$H:$I,2,FALSE),"")</f>
        <v/>
      </c>
      <c r="F792" s="26" t="str">
        <f>+_xlfn.XLOOKUP(G792,Master!$V$2:$V$8,Master!$U$2:$U$8,"")</f>
        <v/>
      </c>
      <c r="I792" s="4" t="str">
        <f>_xlfn.IFNA(VLOOKUP(D792,Master!$I:$K,2,FALSE),"")</f>
        <v/>
      </c>
      <c r="J792" s="4" t="str">
        <f>_xlfn.IFNA(VLOOKUP(D792,Master!$I:$K,3,FALSE),"")</f>
        <v/>
      </c>
      <c r="L792" s="27" t="str">
        <f>IF(A792&lt;&gt;"CFA",_xlfn.IFNA(VLOOKUP($G792,Master!$V$2:$Z$8,5,0),""),"")</f>
        <v/>
      </c>
      <c r="P792" s="6" t="str">
        <f t="shared" si="24"/>
        <v/>
      </c>
      <c r="Q792" s="13">
        <f t="shared" si="25"/>
        <v>0</v>
      </c>
    </row>
    <row r="793" spans="2:17" ht="15" customHeight="1">
      <c r="B793" s="5" t="str">
        <f>_xlfn.IFNA(VLOOKUP(C793,Master!$H:$I,2,FALSE),"")</f>
        <v/>
      </c>
      <c r="D793" s="5" t="str">
        <f>_xlfn.IFNA(VLOOKUP(E793,Master!$H:$I,2,FALSE),"")</f>
        <v/>
      </c>
      <c r="F793" s="26" t="str">
        <f>+_xlfn.XLOOKUP(G793,Master!$V$2:$V$8,Master!$U$2:$U$8,"")</f>
        <v/>
      </c>
      <c r="I793" s="4" t="str">
        <f>_xlfn.IFNA(VLOOKUP(D793,Master!$I:$K,2,FALSE),"")</f>
        <v/>
      </c>
      <c r="J793" s="4" t="str">
        <f>_xlfn.IFNA(VLOOKUP(D793,Master!$I:$K,3,FALSE),"")</f>
        <v/>
      </c>
      <c r="L793" s="27" t="str">
        <f>IF(A793&lt;&gt;"CFA",_xlfn.IFNA(VLOOKUP($G793,Master!$V$2:$Z$8,5,0),""),"")</f>
        <v/>
      </c>
      <c r="P793" s="6" t="str">
        <f t="shared" si="24"/>
        <v/>
      </c>
      <c r="Q793" s="13">
        <f t="shared" si="25"/>
        <v>0</v>
      </c>
    </row>
    <row r="794" spans="2:17" ht="15" customHeight="1">
      <c r="B794" s="5" t="str">
        <f>_xlfn.IFNA(VLOOKUP(C794,Master!$H:$I,2,FALSE),"")</f>
        <v/>
      </c>
      <c r="D794" s="5" t="str">
        <f>_xlfn.IFNA(VLOOKUP(E794,Master!$H:$I,2,FALSE),"")</f>
        <v/>
      </c>
      <c r="F794" s="26" t="str">
        <f>+_xlfn.XLOOKUP(G794,Master!$V$2:$V$8,Master!$U$2:$U$8,"")</f>
        <v/>
      </c>
      <c r="I794" s="4" t="str">
        <f>_xlfn.IFNA(VLOOKUP(D794,Master!$I:$K,2,FALSE),"")</f>
        <v/>
      </c>
      <c r="J794" s="4" t="str">
        <f>_xlfn.IFNA(VLOOKUP(D794,Master!$I:$K,3,FALSE),"")</f>
        <v/>
      </c>
      <c r="L794" s="27" t="str">
        <f>IF(A794&lt;&gt;"CFA",_xlfn.IFNA(VLOOKUP($G794,Master!$V$2:$Z$8,5,0),""),"")</f>
        <v/>
      </c>
      <c r="P794" s="6" t="str">
        <f t="shared" si="24"/>
        <v/>
      </c>
      <c r="Q794" s="13">
        <f t="shared" si="25"/>
        <v>0</v>
      </c>
    </row>
    <row r="795" spans="2:17" ht="15" customHeight="1">
      <c r="B795" s="5" t="str">
        <f>_xlfn.IFNA(VLOOKUP(C795,Master!$H:$I,2,FALSE),"")</f>
        <v/>
      </c>
      <c r="D795" s="5" t="str">
        <f>_xlfn.IFNA(VLOOKUP(E795,Master!$H:$I,2,FALSE),"")</f>
        <v/>
      </c>
      <c r="F795" s="26" t="str">
        <f>+_xlfn.XLOOKUP(G795,Master!$V$2:$V$8,Master!$U$2:$U$8,"")</f>
        <v/>
      </c>
      <c r="I795" s="4" t="str">
        <f>_xlfn.IFNA(VLOOKUP(D795,Master!$I:$K,2,FALSE),"")</f>
        <v/>
      </c>
      <c r="J795" s="4" t="str">
        <f>_xlfn.IFNA(VLOOKUP(D795,Master!$I:$K,3,FALSE),"")</f>
        <v/>
      </c>
      <c r="L795" s="27" t="str">
        <f>IF(A795&lt;&gt;"CFA",_xlfn.IFNA(VLOOKUP($G795,Master!$V$2:$Z$8,5,0),""),"")</f>
        <v/>
      </c>
      <c r="P795" s="6" t="str">
        <f t="shared" si="24"/>
        <v/>
      </c>
      <c r="Q795" s="13">
        <f t="shared" si="25"/>
        <v>0</v>
      </c>
    </row>
    <row r="796" spans="2:17" ht="15" customHeight="1">
      <c r="B796" s="5" t="str">
        <f>_xlfn.IFNA(VLOOKUP(C796,Master!$H:$I,2,FALSE),"")</f>
        <v/>
      </c>
      <c r="D796" s="5" t="str">
        <f>_xlfn.IFNA(VLOOKUP(E796,Master!$H:$I,2,FALSE),"")</f>
        <v/>
      </c>
      <c r="F796" s="26" t="str">
        <f>+_xlfn.XLOOKUP(G796,Master!$V$2:$V$8,Master!$U$2:$U$8,"")</f>
        <v/>
      </c>
      <c r="I796" s="4" t="str">
        <f>_xlfn.IFNA(VLOOKUP(D796,Master!$I:$K,2,FALSE),"")</f>
        <v/>
      </c>
      <c r="J796" s="4" t="str">
        <f>_xlfn.IFNA(VLOOKUP(D796,Master!$I:$K,3,FALSE),"")</f>
        <v/>
      </c>
      <c r="L796" s="27" t="str">
        <f>IF(A796&lt;&gt;"CFA",_xlfn.IFNA(VLOOKUP($G796,Master!$V$2:$Z$8,5,0),""),"")</f>
        <v/>
      </c>
      <c r="P796" s="6" t="str">
        <f t="shared" si="24"/>
        <v/>
      </c>
      <c r="Q796" s="13">
        <f t="shared" si="25"/>
        <v>0</v>
      </c>
    </row>
    <row r="797" spans="2:17" ht="15" customHeight="1">
      <c r="B797" s="5" t="str">
        <f>_xlfn.IFNA(VLOOKUP(C797,Master!$H:$I,2,FALSE),"")</f>
        <v/>
      </c>
      <c r="D797" s="5" t="str">
        <f>_xlfn.IFNA(VLOOKUP(E797,Master!$H:$I,2,FALSE),"")</f>
        <v/>
      </c>
      <c r="F797" s="26" t="str">
        <f>+_xlfn.XLOOKUP(G797,Master!$V$2:$V$8,Master!$U$2:$U$8,"")</f>
        <v/>
      </c>
      <c r="I797" s="4" t="str">
        <f>_xlfn.IFNA(VLOOKUP(D797,Master!$I:$K,2,FALSE),"")</f>
        <v/>
      </c>
      <c r="J797" s="4" t="str">
        <f>_xlfn.IFNA(VLOOKUP(D797,Master!$I:$K,3,FALSE),"")</f>
        <v/>
      </c>
      <c r="L797" s="27" t="str">
        <f>IF(A797&lt;&gt;"CFA",_xlfn.IFNA(VLOOKUP($G797,Master!$V$2:$Z$8,5,0),""),"")</f>
        <v/>
      </c>
      <c r="P797" s="6" t="str">
        <f t="shared" si="24"/>
        <v/>
      </c>
      <c r="Q797" s="13">
        <f t="shared" si="25"/>
        <v>0</v>
      </c>
    </row>
    <row r="798" spans="2:17" ht="15" customHeight="1">
      <c r="B798" s="5" t="str">
        <f>_xlfn.IFNA(VLOOKUP(C798,Master!$H:$I,2,FALSE),"")</f>
        <v/>
      </c>
      <c r="D798" s="5" t="str">
        <f>_xlfn.IFNA(VLOOKUP(E798,Master!$H:$I,2,FALSE),"")</f>
        <v/>
      </c>
      <c r="F798" s="26" t="str">
        <f>+_xlfn.XLOOKUP(G798,Master!$V$2:$V$8,Master!$U$2:$U$8,"")</f>
        <v/>
      </c>
      <c r="I798" s="4" t="str">
        <f>_xlfn.IFNA(VLOOKUP(D798,Master!$I:$K,2,FALSE),"")</f>
        <v/>
      </c>
      <c r="J798" s="4" t="str">
        <f>_xlfn.IFNA(VLOOKUP(D798,Master!$I:$K,3,FALSE),"")</f>
        <v/>
      </c>
      <c r="L798" s="27" t="str">
        <f>IF(A798&lt;&gt;"CFA",_xlfn.IFNA(VLOOKUP($G798,Master!$V$2:$Z$8,5,0),""),"")</f>
        <v/>
      </c>
      <c r="P798" s="6" t="str">
        <f t="shared" si="24"/>
        <v/>
      </c>
      <c r="Q798" s="13">
        <f t="shared" si="25"/>
        <v>0</v>
      </c>
    </row>
    <row r="799" spans="2:17" ht="15" customHeight="1">
      <c r="B799" s="5" t="str">
        <f>_xlfn.IFNA(VLOOKUP(C799,Master!$H:$I,2,FALSE),"")</f>
        <v/>
      </c>
      <c r="D799" s="5" t="str">
        <f>_xlfn.IFNA(VLOOKUP(E799,Master!$H:$I,2,FALSE),"")</f>
        <v/>
      </c>
      <c r="F799" s="26" t="str">
        <f>+_xlfn.XLOOKUP(G799,Master!$V$2:$V$8,Master!$U$2:$U$8,"")</f>
        <v/>
      </c>
      <c r="I799" s="4" t="str">
        <f>_xlfn.IFNA(VLOOKUP(D799,Master!$I:$K,2,FALSE),"")</f>
        <v/>
      </c>
      <c r="J799" s="4" t="str">
        <f>_xlfn.IFNA(VLOOKUP(D799,Master!$I:$K,3,FALSE),"")</f>
        <v/>
      </c>
      <c r="L799" s="27" t="str">
        <f>IF(A799&lt;&gt;"CFA",_xlfn.IFNA(VLOOKUP($G799,Master!$V$2:$Z$8,5,0),""),"")</f>
        <v/>
      </c>
      <c r="P799" s="6" t="str">
        <f t="shared" si="24"/>
        <v/>
      </c>
      <c r="Q799" s="13">
        <f t="shared" si="25"/>
        <v>0</v>
      </c>
    </row>
    <row r="800" spans="2:17" ht="15" customHeight="1">
      <c r="B800" s="5" t="str">
        <f>_xlfn.IFNA(VLOOKUP(C800,Master!$H:$I,2,FALSE),"")</f>
        <v/>
      </c>
      <c r="D800" s="5" t="str">
        <f>_xlfn.IFNA(VLOOKUP(E800,Master!$H:$I,2,FALSE),"")</f>
        <v/>
      </c>
      <c r="F800" s="26" t="str">
        <f>+_xlfn.XLOOKUP(G800,Master!$V$2:$V$8,Master!$U$2:$U$8,"")</f>
        <v/>
      </c>
      <c r="I800" s="4" t="str">
        <f>_xlfn.IFNA(VLOOKUP(D800,Master!$I:$K,2,FALSE),"")</f>
        <v/>
      </c>
      <c r="J800" s="4" t="str">
        <f>_xlfn.IFNA(VLOOKUP(D800,Master!$I:$K,3,FALSE),"")</f>
        <v/>
      </c>
      <c r="L800" s="27" t="str">
        <f>IF(A800&lt;&gt;"CFA",_xlfn.IFNA(VLOOKUP($G800,Master!$V$2:$Z$8,5,0),""),"")</f>
        <v/>
      </c>
      <c r="P800" s="6" t="str">
        <f t="shared" si="24"/>
        <v/>
      </c>
      <c r="Q800" s="13">
        <f t="shared" si="25"/>
        <v>0</v>
      </c>
    </row>
    <row r="801" spans="2:17" ht="15" customHeight="1">
      <c r="B801" s="5" t="str">
        <f>_xlfn.IFNA(VLOOKUP(C801,Master!$H:$I,2,FALSE),"")</f>
        <v/>
      </c>
      <c r="D801" s="5" t="str">
        <f>_xlfn.IFNA(VLOOKUP(E801,Master!$H:$I,2,FALSE),"")</f>
        <v/>
      </c>
      <c r="F801" s="26" t="str">
        <f>+_xlfn.XLOOKUP(G801,Master!$V$2:$V$8,Master!$U$2:$U$8,"")</f>
        <v/>
      </c>
      <c r="I801" s="4" t="str">
        <f>_xlfn.IFNA(VLOOKUP(D801,Master!$I:$K,2,FALSE),"")</f>
        <v/>
      </c>
      <c r="J801" s="4" t="str">
        <f>_xlfn.IFNA(VLOOKUP(D801,Master!$I:$K,3,FALSE),"")</f>
        <v/>
      </c>
      <c r="L801" s="27" t="str">
        <f>IF(A801&lt;&gt;"CFA",_xlfn.IFNA(VLOOKUP($G801,Master!$V$2:$Z$8,5,0),""),"")</f>
        <v/>
      </c>
      <c r="P801" s="6" t="str">
        <f t="shared" si="24"/>
        <v/>
      </c>
      <c r="Q801" s="13">
        <f t="shared" si="25"/>
        <v>0</v>
      </c>
    </row>
    <row r="802" spans="2:17" ht="15" customHeight="1">
      <c r="B802" s="5" t="str">
        <f>_xlfn.IFNA(VLOOKUP(C802,Master!$H:$I,2,FALSE),"")</f>
        <v/>
      </c>
      <c r="D802" s="5" t="str">
        <f>_xlfn.IFNA(VLOOKUP(E802,Master!$H:$I,2,FALSE),"")</f>
        <v/>
      </c>
      <c r="F802" s="26" t="str">
        <f>+_xlfn.XLOOKUP(G802,Master!$V$2:$V$8,Master!$U$2:$U$8,"")</f>
        <v/>
      </c>
      <c r="I802" s="4" t="str">
        <f>_xlfn.IFNA(VLOOKUP(D802,Master!$I:$K,2,FALSE),"")</f>
        <v/>
      </c>
      <c r="J802" s="4" t="str">
        <f>_xlfn.IFNA(VLOOKUP(D802,Master!$I:$K,3,FALSE),"")</f>
        <v/>
      </c>
      <c r="L802" s="27" t="str">
        <f>IF(A802&lt;&gt;"CFA",_xlfn.IFNA(VLOOKUP($G802,Master!$V$2:$Z$8,5,0),""),"")</f>
        <v/>
      </c>
      <c r="P802" s="6" t="str">
        <f t="shared" si="24"/>
        <v/>
      </c>
      <c r="Q802" s="13">
        <f t="shared" si="25"/>
        <v>0</v>
      </c>
    </row>
    <row r="803" spans="2:17" ht="15" customHeight="1">
      <c r="B803" s="5" t="str">
        <f>_xlfn.IFNA(VLOOKUP(C803,Master!$H:$I,2,FALSE),"")</f>
        <v/>
      </c>
      <c r="D803" s="5" t="str">
        <f>_xlfn.IFNA(VLOOKUP(E803,Master!$H:$I,2,FALSE),"")</f>
        <v/>
      </c>
      <c r="F803" s="26" t="str">
        <f>+_xlfn.XLOOKUP(G803,Master!$V$2:$V$8,Master!$U$2:$U$8,"")</f>
        <v/>
      </c>
      <c r="I803" s="4" t="str">
        <f>_xlfn.IFNA(VLOOKUP(D803,Master!$I:$K,2,FALSE),"")</f>
        <v/>
      </c>
      <c r="J803" s="4" t="str">
        <f>_xlfn.IFNA(VLOOKUP(D803,Master!$I:$K,3,FALSE),"")</f>
        <v/>
      </c>
      <c r="L803" s="27" t="str">
        <f>IF(A803&lt;&gt;"CFA",_xlfn.IFNA(VLOOKUP($G803,Master!$V$2:$Z$8,5,0),""),"")</f>
        <v/>
      </c>
      <c r="P803" s="6" t="str">
        <f t="shared" si="24"/>
        <v/>
      </c>
      <c r="Q803" s="13">
        <f t="shared" si="25"/>
        <v>0</v>
      </c>
    </row>
    <row r="804" spans="2:17" ht="15" customHeight="1">
      <c r="B804" s="5" t="str">
        <f>_xlfn.IFNA(VLOOKUP(C804,Master!$H:$I,2,FALSE),"")</f>
        <v/>
      </c>
      <c r="D804" s="5" t="str">
        <f>_xlfn.IFNA(VLOOKUP(E804,Master!$H:$I,2,FALSE),"")</f>
        <v/>
      </c>
      <c r="F804" s="26" t="str">
        <f>+_xlfn.XLOOKUP(G804,Master!$V$2:$V$8,Master!$U$2:$U$8,"")</f>
        <v/>
      </c>
      <c r="I804" s="4" t="str">
        <f>_xlfn.IFNA(VLOOKUP(D804,Master!$I:$K,2,FALSE),"")</f>
        <v/>
      </c>
      <c r="J804" s="4" t="str">
        <f>_xlfn.IFNA(VLOOKUP(D804,Master!$I:$K,3,FALSE),"")</f>
        <v/>
      </c>
      <c r="L804" s="27" t="str">
        <f>IF(A804&lt;&gt;"CFA",_xlfn.IFNA(VLOOKUP($G804,Master!$V$2:$Z$8,5,0),""),"")</f>
        <v/>
      </c>
      <c r="P804" s="6" t="str">
        <f t="shared" si="24"/>
        <v/>
      </c>
      <c r="Q804" s="13">
        <f t="shared" si="25"/>
        <v>0</v>
      </c>
    </row>
    <row r="805" spans="2:17" ht="15" customHeight="1">
      <c r="B805" s="5" t="str">
        <f>_xlfn.IFNA(VLOOKUP(C805,Master!$H:$I,2,FALSE),"")</f>
        <v/>
      </c>
      <c r="D805" s="5" t="str">
        <f>_xlfn.IFNA(VLOOKUP(E805,Master!$H:$I,2,FALSE),"")</f>
        <v/>
      </c>
      <c r="F805" s="26" t="str">
        <f>+_xlfn.XLOOKUP(G805,Master!$V$2:$V$8,Master!$U$2:$U$8,"")</f>
        <v/>
      </c>
      <c r="I805" s="4" t="str">
        <f>_xlfn.IFNA(VLOOKUP(D805,Master!$I:$K,2,FALSE),"")</f>
        <v/>
      </c>
      <c r="J805" s="4" t="str">
        <f>_xlfn.IFNA(VLOOKUP(D805,Master!$I:$K,3,FALSE),"")</f>
        <v/>
      </c>
      <c r="L805" s="27" t="str">
        <f>IF(A805&lt;&gt;"CFA",_xlfn.IFNA(VLOOKUP($G805,Master!$V$2:$Z$8,5,0),""),"")</f>
        <v/>
      </c>
      <c r="P805" s="6" t="str">
        <f t="shared" si="24"/>
        <v/>
      </c>
      <c r="Q805" s="13">
        <f t="shared" si="25"/>
        <v>0</v>
      </c>
    </row>
    <row r="806" spans="2:17" ht="15" customHeight="1">
      <c r="B806" s="5" t="str">
        <f>_xlfn.IFNA(VLOOKUP(C806,Master!$H:$I,2,FALSE),"")</f>
        <v/>
      </c>
      <c r="D806" s="5" t="str">
        <f>_xlfn.IFNA(VLOOKUP(E806,Master!$H:$I,2,FALSE),"")</f>
        <v/>
      </c>
      <c r="F806" s="26" t="str">
        <f>+_xlfn.XLOOKUP(G806,Master!$V$2:$V$8,Master!$U$2:$U$8,"")</f>
        <v/>
      </c>
      <c r="I806" s="4" t="str">
        <f>_xlfn.IFNA(VLOOKUP(D806,Master!$I:$K,2,FALSE),"")</f>
        <v/>
      </c>
      <c r="J806" s="4" t="str">
        <f>_xlfn.IFNA(VLOOKUP(D806,Master!$I:$K,3,FALSE),"")</f>
        <v/>
      </c>
      <c r="L806" s="27" t="str">
        <f>IF(A806&lt;&gt;"CFA",_xlfn.IFNA(VLOOKUP($G806,Master!$V$2:$Z$8,5,0),""),"")</f>
        <v/>
      </c>
      <c r="P806" s="6" t="str">
        <f t="shared" si="24"/>
        <v/>
      </c>
      <c r="Q806" s="13">
        <f t="shared" si="25"/>
        <v>0</v>
      </c>
    </row>
    <row r="807" spans="2:17" ht="15" customHeight="1">
      <c r="B807" s="5" t="str">
        <f>_xlfn.IFNA(VLOOKUP(C807,Master!$H:$I,2,FALSE),"")</f>
        <v/>
      </c>
      <c r="D807" s="5" t="str">
        <f>_xlfn.IFNA(VLOOKUP(E807,Master!$H:$I,2,FALSE),"")</f>
        <v/>
      </c>
      <c r="F807" s="26" t="str">
        <f>+_xlfn.XLOOKUP(G807,Master!$V$2:$V$8,Master!$U$2:$U$8,"")</f>
        <v/>
      </c>
      <c r="I807" s="4" t="str">
        <f>_xlfn.IFNA(VLOOKUP(D807,Master!$I:$K,2,FALSE),"")</f>
        <v/>
      </c>
      <c r="J807" s="4" t="str">
        <f>_xlfn.IFNA(VLOOKUP(D807,Master!$I:$K,3,FALSE),"")</f>
        <v/>
      </c>
      <c r="L807" s="27" t="str">
        <f>IF(A807&lt;&gt;"CFA",_xlfn.IFNA(VLOOKUP($G807,Master!$V$2:$Z$8,5,0),""),"")</f>
        <v/>
      </c>
      <c r="P807" s="6" t="str">
        <f t="shared" si="24"/>
        <v/>
      </c>
      <c r="Q807" s="13">
        <f t="shared" si="25"/>
        <v>0</v>
      </c>
    </row>
    <row r="808" spans="2:17" ht="15" customHeight="1">
      <c r="B808" s="5" t="str">
        <f>_xlfn.IFNA(VLOOKUP(C808,Master!$H:$I,2,FALSE),"")</f>
        <v/>
      </c>
      <c r="D808" s="5" t="str">
        <f>_xlfn.IFNA(VLOOKUP(E808,Master!$H:$I,2,FALSE),"")</f>
        <v/>
      </c>
      <c r="F808" s="26" t="str">
        <f>+_xlfn.XLOOKUP(G808,Master!$V$2:$V$8,Master!$U$2:$U$8,"")</f>
        <v/>
      </c>
      <c r="I808" s="4" t="str">
        <f>_xlfn.IFNA(VLOOKUP(D808,Master!$I:$K,2,FALSE),"")</f>
        <v/>
      </c>
      <c r="J808" s="4" t="str">
        <f>_xlfn.IFNA(VLOOKUP(D808,Master!$I:$K,3,FALSE),"")</f>
        <v/>
      </c>
      <c r="L808" s="27" t="str">
        <f>IF(A808&lt;&gt;"CFA",_xlfn.IFNA(VLOOKUP($G808,Master!$V$2:$Z$8,5,0),""),"")</f>
        <v/>
      </c>
      <c r="P808" s="6" t="str">
        <f t="shared" si="24"/>
        <v/>
      </c>
      <c r="Q808" s="13">
        <f t="shared" si="25"/>
        <v>0</v>
      </c>
    </row>
    <row r="809" spans="2:17" ht="15" customHeight="1">
      <c r="B809" s="5" t="str">
        <f>_xlfn.IFNA(VLOOKUP(C809,Master!$H:$I,2,FALSE),"")</f>
        <v/>
      </c>
      <c r="D809" s="5" t="str">
        <f>_xlfn.IFNA(VLOOKUP(E809,Master!$H:$I,2,FALSE),"")</f>
        <v/>
      </c>
      <c r="F809" s="26" t="str">
        <f>+_xlfn.XLOOKUP(G809,Master!$V$2:$V$8,Master!$U$2:$U$8,"")</f>
        <v/>
      </c>
      <c r="I809" s="4" t="str">
        <f>_xlfn.IFNA(VLOOKUP(D809,Master!$I:$K,2,FALSE),"")</f>
        <v/>
      </c>
      <c r="J809" s="4" t="str">
        <f>_xlfn.IFNA(VLOOKUP(D809,Master!$I:$K,3,FALSE),"")</f>
        <v/>
      </c>
      <c r="L809" s="27" t="str">
        <f>IF(A809&lt;&gt;"CFA",_xlfn.IFNA(VLOOKUP($G809,Master!$V$2:$Z$8,5,0),""),"")</f>
        <v/>
      </c>
      <c r="P809" s="6" t="str">
        <f t="shared" si="24"/>
        <v/>
      </c>
      <c r="Q809" s="13">
        <f t="shared" si="25"/>
        <v>0</v>
      </c>
    </row>
    <row r="810" spans="2:17" ht="15" customHeight="1">
      <c r="B810" s="5" t="str">
        <f>_xlfn.IFNA(VLOOKUP(C810,Master!$H:$I,2,FALSE),"")</f>
        <v/>
      </c>
      <c r="D810" s="5" t="str">
        <f>_xlfn.IFNA(VLOOKUP(E810,Master!$H:$I,2,FALSE),"")</f>
        <v/>
      </c>
      <c r="F810" s="26" t="str">
        <f>+_xlfn.XLOOKUP(G810,Master!$V$2:$V$8,Master!$U$2:$U$8,"")</f>
        <v/>
      </c>
      <c r="I810" s="4" t="str">
        <f>_xlfn.IFNA(VLOOKUP(D810,Master!$I:$K,2,FALSE),"")</f>
        <v/>
      </c>
      <c r="J810" s="4" t="str">
        <f>_xlfn.IFNA(VLOOKUP(D810,Master!$I:$K,3,FALSE),"")</f>
        <v/>
      </c>
      <c r="L810" s="27" t="str">
        <f>IF(A810&lt;&gt;"CFA",_xlfn.IFNA(VLOOKUP($G810,Master!$V$2:$Z$8,5,0),""),"")</f>
        <v/>
      </c>
      <c r="P810" s="6" t="str">
        <f t="shared" si="24"/>
        <v/>
      </c>
      <c r="Q810" s="13">
        <f t="shared" si="25"/>
        <v>0</v>
      </c>
    </row>
    <row r="811" spans="2:17" ht="15" customHeight="1">
      <c r="B811" s="5" t="str">
        <f>_xlfn.IFNA(VLOOKUP(C811,Master!$H:$I,2,FALSE),"")</f>
        <v/>
      </c>
      <c r="D811" s="5" t="str">
        <f>_xlfn.IFNA(VLOOKUP(E811,Master!$H:$I,2,FALSE),"")</f>
        <v/>
      </c>
      <c r="F811" s="26" t="str">
        <f>+_xlfn.XLOOKUP(G811,Master!$V$2:$V$8,Master!$U$2:$U$8,"")</f>
        <v/>
      </c>
      <c r="I811" s="4" t="str">
        <f>_xlfn.IFNA(VLOOKUP(D811,Master!$I:$K,2,FALSE),"")</f>
        <v/>
      </c>
      <c r="J811" s="4" t="str">
        <f>_xlfn.IFNA(VLOOKUP(D811,Master!$I:$K,3,FALSE),"")</f>
        <v/>
      </c>
      <c r="L811" s="27" t="str">
        <f>IF(A811&lt;&gt;"CFA",_xlfn.IFNA(VLOOKUP($G811,Master!$V$2:$Z$8,5,0),""),"")</f>
        <v/>
      </c>
      <c r="P811" s="6" t="str">
        <f t="shared" si="24"/>
        <v/>
      </c>
      <c r="Q811" s="13">
        <f t="shared" si="25"/>
        <v>0</v>
      </c>
    </row>
    <row r="812" spans="2:17" ht="15" customHeight="1">
      <c r="B812" s="5" t="str">
        <f>_xlfn.IFNA(VLOOKUP(C812,Master!$H:$I,2,FALSE),"")</f>
        <v/>
      </c>
      <c r="D812" s="5" t="str">
        <f>_xlfn.IFNA(VLOOKUP(E812,Master!$H:$I,2,FALSE),"")</f>
        <v/>
      </c>
      <c r="F812" s="26" t="str">
        <f>+_xlfn.XLOOKUP(G812,Master!$V$2:$V$8,Master!$U$2:$U$8,"")</f>
        <v/>
      </c>
      <c r="I812" s="4" t="str">
        <f>_xlfn.IFNA(VLOOKUP(D812,Master!$I:$K,2,FALSE),"")</f>
        <v/>
      </c>
      <c r="J812" s="4" t="str">
        <f>_xlfn.IFNA(VLOOKUP(D812,Master!$I:$K,3,FALSE),"")</f>
        <v/>
      </c>
      <c r="L812" s="27" t="str">
        <f>IF(A812&lt;&gt;"CFA",_xlfn.IFNA(VLOOKUP($G812,Master!$V$2:$Z$8,5,0),""),"")</f>
        <v/>
      </c>
      <c r="P812" s="6" t="str">
        <f t="shared" si="24"/>
        <v/>
      </c>
      <c r="Q812" s="13">
        <f t="shared" si="25"/>
        <v>0</v>
      </c>
    </row>
    <row r="813" spans="2:17" ht="15" customHeight="1">
      <c r="B813" s="5" t="str">
        <f>_xlfn.IFNA(VLOOKUP(C813,Master!$H:$I,2,FALSE),"")</f>
        <v/>
      </c>
      <c r="D813" s="5" t="str">
        <f>_xlfn.IFNA(VLOOKUP(E813,Master!$H:$I,2,FALSE),"")</f>
        <v/>
      </c>
      <c r="F813" s="26" t="str">
        <f>+_xlfn.XLOOKUP(G813,Master!$V$2:$V$8,Master!$U$2:$U$8,"")</f>
        <v/>
      </c>
      <c r="I813" s="4" t="str">
        <f>_xlfn.IFNA(VLOOKUP(D813,Master!$I:$K,2,FALSE),"")</f>
        <v/>
      </c>
      <c r="J813" s="4" t="str">
        <f>_xlfn.IFNA(VLOOKUP(D813,Master!$I:$K,3,FALSE),"")</f>
        <v/>
      </c>
      <c r="L813" s="27" t="str">
        <f>IF(A813&lt;&gt;"CFA",_xlfn.IFNA(VLOOKUP($G813,Master!$V$2:$Z$8,5,0),""),"")</f>
        <v/>
      </c>
      <c r="P813" s="6" t="str">
        <f t="shared" si="24"/>
        <v/>
      </c>
      <c r="Q813" s="13">
        <f t="shared" si="25"/>
        <v>0</v>
      </c>
    </row>
    <row r="814" spans="2:17" ht="15" customHeight="1">
      <c r="B814" s="5" t="str">
        <f>_xlfn.IFNA(VLOOKUP(C814,Master!$H:$I,2,FALSE),"")</f>
        <v/>
      </c>
      <c r="D814" s="5" t="str">
        <f>_xlfn.IFNA(VLOOKUP(E814,Master!$H:$I,2,FALSE),"")</f>
        <v/>
      </c>
      <c r="F814" s="26" t="str">
        <f>+_xlfn.XLOOKUP(G814,Master!$V$2:$V$8,Master!$U$2:$U$8,"")</f>
        <v/>
      </c>
      <c r="I814" s="4" t="str">
        <f>_xlfn.IFNA(VLOOKUP(D814,Master!$I:$K,2,FALSE),"")</f>
        <v/>
      </c>
      <c r="J814" s="4" t="str">
        <f>_xlfn.IFNA(VLOOKUP(D814,Master!$I:$K,3,FALSE),"")</f>
        <v/>
      </c>
      <c r="L814" s="27" t="str">
        <f>IF(A814&lt;&gt;"CFA",_xlfn.IFNA(VLOOKUP($G814,Master!$V$2:$Z$8,5,0),""),"")</f>
        <v/>
      </c>
      <c r="P814" s="6" t="str">
        <f t="shared" si="24"/>
        <v/>
      </c>
      <c r="Q814" s="13">
        <f t="shared" si="25"/>
        <v>0</v>
      </c>
    </row>
    <row r="815" spans="2:17" ht="15" customHeight="1">
      <c r="B815" s="5" t="str">
        <f>_xlfn.IFNA(VLOOKUP(C815,Master!$H:$I,2,FALSE),"")</f>
        <v/>
      </c>
      <c r="D815" s="5" t="str">
        <f>_xlfn.IFNA(VLOOKUP(E815,Master!$H:$I,2,FALSE),"")</f>
        <v/>
      </c>
      <c r="F815" s="26" t="str">
        <f>+_xlfn.XLOOKUP(G815,Master!$V$2:$V$8,Master!$U$2:$U$8,"")</f>
        <v/>
      </c>
      <c r="I815" s="4" t="str">
        <f>_xlfn.IFNA(VLOOKUP(D815,Master!$I:$K,2,FALSE),"")</f>
        <v/>
      </c>
      <c r="J815" s="4" t="str">
        <f>_xlfn.IFNA(VLOOKUP(D815,Master!$I:$K,3,FALSE),"")</f>
        <v/>
      </c>
      <c r="L815" s="27" t="str">
        <f>IF(A815&lt;&gt;"CFA",_xlfn.IFNA(VLOOKUP($G815,Master!$V$2:$Z$8,5,0),""),"")</f>
        <v/>
      </c>
      <c r="P815" s="6" t="str">
        <f t="shared" si="24"/>
        <v/>
      </c>
      <c r="Q815" s="13">
        <f t="shared" si="25"/>
        <v>0</v>
      </c>
    </row>
    <row r="816" spans="2:17" ht="15" customHeight="1">
      <c r="B816" s="5" t="str">
        <f>_xlfn.IFNA(VLOOKUP(C816,Master!$H:$I,2,FALSE),"")</f>
        <v/>
      </c>
      <c r="D816" s="5" t="str">
        <f>_xlfn.IFNA(VLOOKUP(E816,Master!$H:$I,2,FALSE),"")</f>
        <v/>
      </c>
      <c r="F816" s="26" t="str">
        <f>+_xlfn.XLOOKUP(G816,Master!$V$2:$V$8,Master!$U$2:$U$8,"")</f>
        <v/>
      </c>
      <c r="I816" s="4" t="str">
        <f>_xlfn.IFNA(VLOOKUP(D816,Master!$I:$K,2,FALSE),"")</f>
        <v/>
      </c>
      <c r="J816" s="4" t="str">
        <f>_xlfn.IFNA(VLOOKUP(D816,Master!$I:$K,3,FALSE),"")</f>
        <v/>
      </c>
      <c r="L816" s="27" t="str">
        <f>IF(A816&lt;&gt;"CFA",_xlfn.IFNA(VLOOKUP($G816,Master!$V$2:$Z$8,5,0),""),"")</f>
        <v/>
      </c>
      <c r="P816" s="6" t="str">
        <f t="shared" si="24"/>
        <v/>
      </c>
      <c r="Q816" s="13">
        <f t="shared" si="25"/>
        <v>0</v>
      </c>
    </row>
    <row r="817" spans="2:17" ht="15" customHeight="1">
      <c r="B817" s="5" t="str">
        <f>_xlfn.IFNA(VLOOKUP(C817,Master!$H:$I,2,FALSE),"")</f>
        <v/>
      </c>
      <c r="D817" s="5" t="str">
        <f>_xlfn.IFNA(VLOOKUP(E817,Master!$H:$I,2,FALSE),"")</f>
        <v/>
      </c>
      <c r="F817" s="26" t="str">
        <f>+_xlfn.XLOOKUP(G817,Master!$V$2:$V$8,Master!$U$2:$U$8,"")</f>
        <v/>
      </c>
      <c r="I817" s="4" t="str">
        <f>_xlfn.IFNA(VLOOKUP(D817,Master!$I:$K,2,FALSE),"")</f>
        <v/>
      </c>
      <c r="J817" s="4" t="str">
        <f>_xlfn.IFNA(VLOOKUP(D817,Master!$I:$K,3,FALSE),"")</f>
        <v/>
      </c>
      <c r="L817" s="27" t="str">
        <f>IF(A817&lt;&gt;"CFA",_xlfn.IFNA(VLOOKUP($G817,Master!$V$2:$Z$8,5,0),""),"")</f>
        <v/>
      </c>
      <c r="P817" s="6" t="str">
        <f t="shared" si="24"/>
        <v/>
      </c>
      <c r="Q817" s="13">
        <f t="shared" si="25"/>
        <v>0</v>
      </c>
    </row>
    <row r="818" spans="2:17" ht="15" customHeight="1">
      <c r="B818" s="5" t="str">
        <f>_xlfn.IFNA(VLOOKUP(C818,Master!$H:$I,2,FALSE),"")</f>
        <v/>
      </c>
      <c r="D818" s="5" t="str">
        <f>_xlfn.IFNA(VLOOKUP(E818,Master!$H:$I,2,FALSE),"")</f>
        <v/>
      </c>
      <c r="F818" s="26" t="str">
        <f>+_xlfn.XLOOKUP(G818,Master!$V$2:$V$8,Master!$U$2:$U$8,"")</f>
        <v/>
      </c>
      <c r="I818" s="4" t="str">
        <f>_xlfn.IFNA(VLOOKUP(D818,Master!$I:$K,2,FALSE),"")</f>
        <v/>
      </c>
      <c r="J818" s="4" t="str">
        <f>_xlfn.IFNA(VLOOKUP(D818,Master!$I:$K,3,FALSE),"")</f>
        <v/>
      </c>
      <c r="L818" s="27" t="str">
        <f>IF(A818&lt;&gt;"CFA",_xlfn.IFNA(VLOOKUP($G818,Master!$V$2:$Z$8,5,0),""),"")</f>
        <v/>
      </c>
      <c r="P818" s="6" t="str">
        <f t="shared" si="24"/>
        <v/>
      </c>
      <c r="Q818" s="13">
        <f t="shared" si="25"/>
        <v>0</v>
      </c>
    </row>
    <row r="819" spans="2:17" ht="15" customHeight="1">
      <c r="B819" s="5" t="str">
        <f>_xlfn.IFNA(VLOOKUP(C819,Master!$H:$I,2,FALSE),"")</f>
        <v/>
      </c>
      <c r="D819" s="5" t="str">
        <f>_xlfn.IFNA(VLOOKUP(E819,Master!$H:$I,2,FALSE),"")</f>
        <v/>
      </c>
      <c r="F819" s="26" t="str">
        <f>+_xlfn.XLOOKUP(G819,Master!$V$2:$V$8,Master!$U$2:$U$8,"")</f>
        <v/>
      </c>
      <c r="I819" s="4" t="str">
        <f>_xlfn.IFNA(VLOOKUP(D819,Master!$I:$K,2,FALSE),"")</f>
        <v/>
      </c>
      <c r="J819" s="4" t="str">
        <f>_xlfn.IFNA(VLOOKUP(D819,Master!$I:$K,3,FALSE),"")</f>
        <v/>
      </c>
      <c r="L819" s="27" t="str">
        <f>IF(A819&lt;&gt;"CFA",_xlfn.IFNA(VLOOKUP($G819,Master!$V$2:$Z$8,5,0),""),"")</f>
        <v/>
      </c>
      <c r="P819" s="6" t="str">
        <f t="shared" si="24"/>
        <v/>
      </c>
      <c r="Q819" s="13">
        <f t="shared" si="25"/>
        <v>0</v>
      </c>
    </row>
    <row r="820" spans="2:17" ht="15" customHeight="1">
      <c r="B820" s="5" t="str">
        <f>_xlfn.IFNA(VLOOKUP(C820,Master!$H:$I,2,FALSE),"")</f>
        <v/>
      </c>
      <c r="D820" s="5" t="str">
        <f>_xlfn.IFNA(VLOOKUP(E820,Master!$H:$I,2,FALSE),"")</f>
        <v/>
      </c>
      <c r="F820" s="26" t="str">
        <f>+_xlfn.XLOOKUP(G820,Master!$V$2:$V$8,Master!$U$2:$U$8,"")</f>
        <v/>
      </c>
      <c r="I820" s="4" t="str">
        <f>_xlfn.IFNA(VLOOKUP(D820,Master!$I:$K,2,FALSE),"")</f>
        <v/>
      </c>
      <c r="J820" s="4" t="str">
        <f>_xlfn.IFNA(VLOOKUP(D820,Master!$I:$K,3,FALSE),"")</f>
        <v/>
      </c>
      <c r="L820" s="27" t="str">
        <f>IF(A820&lt;&gt;"CFA",_xlfn.IFNA(VLOOKUP($G820,Master!$V$2:$Z$8,5,0),""),"")</f>
        <v/>
      </c>
      <c r="P820" s="6" t="str">
        <f t="shared" si="24"/>
        <v/>
      </c>
      <c r="Q820" s="13">
        <f t="shared" si="25"/>
        <v>0</v>
      </c>
    </row>
    <row r="821" spans="2:17" ht="15" customHeight="1">
      <c r="B821" s="5" t="str">
        <f>_xlfn.IFNA(VLOOKUP(C821,Master!$H:$I,2,FALSE),"")</f>
        <v/>
      </c>
      <c r="D821" s="5" t="str">
        <f>_xlfn.IFNA(VLOOKUP(E821,Master!$H:$I,2,FALSE),"")</f>
        <v/>
      </c>
      <c r="F821" s="26" t="str">
        <f>+_xlfn.XLOOKUP(G821,Master!$V$2:$V$8,Master!$U$2:$U$8,"")</f>
        <v/>
      </c>
      <c r="I821" s="4" t="str">
        <f>_xlfn.IFNA(VLOOKUP(D821,Master!$I:$K,2,FALSE),"")</f>
        <v/>
      </c>
      <c r="J821" s="4" t="str">
        <f>_xlfn.IFNA(VLOOKUP(D821,Master!$I:$K,3,FALSE),"")</f>
        <v/>
      </c>
      <c r="L821" s="27" t="str">
        <f>IF(A821&lt;&gt;"CFA",_xlfn.IFNA(VLOOKUP($G821,Master!$V$2:$Z$8,5,0),""),"")</f>
        <v/>
      </c>
      <c r="P821" s="6" t="str">
        <f t="shared" si="24"/>
        <v/>
      </c>
      <c r="Q821" s="13">
        <f t="shared" si="25"/>
        <v>0</v>
      </c>
    </row>
    <row r="822" spans="2:17" ht="15" customHeight="1">
      <c r="B822" s="5" t="str">
        <f>_xlfn.IFNA(VLOOKUP(C822,Master!$H:$I,2,FALSE),"")</f>
        <v/>
      </c>
      <c r="D822" s="5" t="str">
        <f>_xlfn.IFNA(VLOOKUP(E822,Master!$H:$I,2,FALSE),"")</f>
        <v/>
      </c>
      <c r="F822" s="26" t="str">
        <f>+_xlfn.XLOOKUP(G822,Master!$V$2:$V$8,Master!$U$2:$U$8,"")</f>
        <v/>
      </c>
      <c r="I822" s="4" t="str">
        <f>_xlfn.IFNA(VLOOKUP(D822,Master!$I:$K,2,FALSE),"")</f>
        <v/>
      </c>
      <c r="J822" s="4" t="str">
        <f>_xlfn.IFNA(VLOOKUP(D822,Master!$I:$K,3,FALSE),"")</f>
        <v/>
      </c>
      <c r="L822" s="27" t="str">
        <f>IF(A822&lt;&gt;"CFA",_xlfn.IFNA(VLOOKUP($G822,Master!$V$2:$Z$8,5,0),""),"")</f>
        <v/>
      </c>
      <c r="P822" s="6" t="str">
        <f t="shared" si="24"/>
        <v/>
      </c>
      <c r="Q822" s="13">
        <f t="shared" si="25"/>
        <v>0</v>
      </c>
    </row>
    <row r="823" spans="2:17" ht="15" customHeight="1">
      <c r="B823" s="5" t="str">
        <f>_xlfn.IFNA(VLOOKUP(C823,Master!$H:$I,2,FALSE),"")</f>
        <v/>
      </c>
      <c r="D823" s="5" t="str">
        <f>_xlfn.IFNA(VLOOKUP(E823,Master!$H:$I,2,FALSE),"")</f>
        <v/>
      </c>
      <c r="F823" s="26" t="str">
        <f>+_xlfn.XLOOKUP(G823,Master!$V$2:$V$8,Master!$U$2:$U$8,"")</f>
        <v/>
      </c>
      <c r="I823" s="4" t="str">
        <f>_xlfn.IFNA(VLOOKUP(D823,Master!$I:$K,2,FALSE),"")</f>
        <v/>
      </c>
      <c r="J823" s="4" t="str">
        <f>_xlfn.IFNA(VLOOKUP(D823,Master!$I:$K,3,FALSE),"")</f>
        <v/>
      </c>
      <c r="L823" s="27" t="str">
        <f>IF(A823&lt;&gt;"CFA",_xlfn.IFNA(VLOOKUP($G823,Master!$V$2:$Z$8,5,0),""),"")</f>
        <v/>
      </c>
      <c r="P823" s="6" t="str">
        <f t="shared" ref="P823:P886" si="26">IF(N823&lt;&gt;"",IF(MONTH(N823)&gt;=4,"FY1"&amp;RIGHT(YEAR(N823)+1,2),"FY1"&amp;RIGHT(YEAR(N823),2)),"")</f>
        <v/>
      </c>
      <c r="Q823" s="13">
        <f t="shared" ref="Q823:Q886" si="27">IF(K823&gt;0&amp;M823&gt;0,K823*M823,"")</f>
        <v>0</v>
      </c>
    </row>
    <row r="824" spans="2:17" ht="15" customHeight="1">
      <c r="B824" s="5" t="str">
        <f>_xlfn.IFNA(VLOOKUP(C824,Master!$H:$I,2,FALSE),"")</f>
        <v/>
      </c>
      <c r="D824" s="5" t="str">
        <f>_xlfn.IFNA(VLOOKUP(E824,Master!$H:$I,2,FALSE),"")</f>
        <v/>
      </c>
      <c r="F824" s="26" t="str">
        <f>+_xlfn.XLOOKUP(G824,Master!$V$2:$V$8,Master!$U$2:$U$8,"")</f>
        <v/>
      </c>
      <c r="I824" s="4" t="str">
        <f>_xlfn.IFNA(VLOOKUP(D824,Master!$I:$K,2,FALSE),"")</f>
        <v/>
      </c>
      <c r="J824" s="4" t="str">
        <f>_xlfn.IFNA(VLOOKUP(D824,Master!$I:$K,3,FALSE),"")</f>
        <v/>
      </c>
      <c r="L824" s="27" t="str">
        <f>IF(A824&lt;&gt;"CFA",_xlfn.IFNA(VLOOKUP($G824,Master!$V$2:$Z$8,5,0),""),"")</f>
        <v/>
      </c>
      <c r="P824" s="6" t="str">
        <f t="shared" si="26"/>
        <v/>
      </c>
      <c r="Q824" s="13">
        <f t="shared" si="27"/>
        <v>0</v>
      </c>
    </row>
    <row r="825" spans="2:17" ht="15" customHeight="1">
      <c r="B825" s="5" t="str">
        <f>_xlfn.IFNA(VLOOKUP(C825,Master!$H:$I,2,FALSE),"")</f>
        <v/>
      </c>
      <c r="D825" s="5" t="str">
        <f>_xlfn.IFNA(VLOOKUP(E825,Master!$H:$I,2,FALSE),"")</f>
        <v/>
      </c>
      <c r="F825" s="26" t="str">
        <f>+_xlfn.XLOOKUP(G825,Master!$V$2:$V$8,Master!$U$2:$U$8,"")</f>
        <v/>
      </c>
      <c r="I825" s="4" t="str">
        <f>_xlfn.IFNA(VLOOKUP(D825,Master!$I:$K,2,FALSE),"")</f>
        <v/>
      </c>
      <c r="J825" s="4" t="str">
        <f>_xlfn.IFNA(VLOOKUP(D825,Master!$I:$K,3,FALSE),"")</f>
        <v/>
      </c>
      <c r="L825" s="27" t="str">
        <f>IF(A825&lt;&gt;"CFA",_xlfn.IFNA(VLOOKUP($G825,Master!$V$2:$Z$8,5,0),""),"")</f>
        <v/>
      </c>
      <c r="P825" s="6" t="str">
        <f t="shared" si="26"/>
        <v/>
      </c>
      <c r="Q825" s="13">
        <f t="shared" si="27"/>
        <v>0</v>
      </c>
    </row>
    <row r="826" spans="2:17" ht="15" customHeight="1">
      <c r="B826" s="5" t="str">
        <f>_xlfn.IFNA(VLOOKUP(C826,Master!$H:$I,2,FALSE),"")</f>
        <v/>
      </c>
      <c r="D826" s="5" t="str">
        <f>_xlfn.IFNA(VLOOKUP(E826,Master!$H:$I,2,FALSE),"")</f>
        <v/>
      </c>
      <c r="F826" s="26" t="str">
        <f>+_xlfn.XLOOKUP(G826,Master!$V$2:$V$8,Master!$U$2:$U$8,"")</f>
        <v/>
      </c>
      <c r="I826" s="4" t="str">
        <f>_xlfn.IFNA(VLOOKUP(D826,Master!$I:$K,2,FALSE),"")</f>
        <v/>
      </c>
      <c r="J826" s="4" t="str">
        <f>_xlfn.IFNA(VLOOKUP(D826,Master!$I:$K,3,FALSE),"")</f>
        <v/>
      </c>
      <c r="L826" s="27" t="str">
        <f>IF(A826&lt;&gt;"CFA",_xlfn.IFNA(VLOOKUP($G826,Master!$V$2:$Z$8,5,0),""),"")</f>
        <v/>
      </c>
      <c r="P826" s="6" t="str">
        <f t="shared" si="26"/>
        <v/>
      </c>
      <c r="Q826" s="13">
        <f t="shared" si="27"/>
        <v>0</v>
      </c>
    </row>
    <row r="827" spans="2:17" ht="15" customHeight="1">
      <c r="B827" s="5" t="str">
        <f>_xlfn.IFNA(VLOOKUP(C827,Master!$H:$I,2,FALSE),"")</f>
        <v/>
      </c>
      <c r="D827" s="5" t="str">
        <f>_xlfn.IFNA(VLOOKUP(E827,Master!$H:$I,2,FALSE),"")</f>
        <v/>
      </c>
      <c r="F827" s="26" t="str">
        <f>+_xlfn.XLOOKUP(G827,Master!$V$2:$V$8,Master!$U$2:$U$8,"")</f>
        <v/>
      </c>
      <c r="I827" s="4" t="str">
        <f>_xlfn.IFNA(VLOOKUP(D827,Master!$I:$K,2,FALSE),"")</f>
        <v/>
      </c>
      <c r="J827" s="4" t="str">
        <f>_xlfn.IFNA(VLOOKUP(D827,Master!$I:$K,3,FALSE),"")</f>
        <v/>
      </c>
      <c r="L827" s="27" t="str">
        <f>IF(A827&lt;&gt;"CFA",_xlfn.IFNA(VLOOKUP($G827,Master!$V$2:$Z$8,5,0),""),"")</f>
        <v/>
      </c>
      <c r="P827" s="6" t="str">
        <f t="shared" si="26"/>
        <v/>
      </c>
      <c r="Q827" s="13">
        <f t="shared" si="27"/>
        <v>0</v>
      </c>
    </row>
    <row r="828" spans="2:17" ht="15" customHeight="1">
      <c r="B828" s="5" t="str">
        <f>_xlfn.IFNA(VLOOKUP(C828,Master!$H:$I,2,FALSE),"")</f>
        <v/>
      </c>
      <c r="D828" s="5" t="str">
        <f>_xlfn.IFNA(VLOOKUP(E828,Master!$H:$I,2,FALSE),"")</f>
        <v/>
      </c>
      <c r="F828" s="26" t="str">
        <f>+_xlfn.XLOOKUP(G828,Master!$V$2:$V$8,Master!$U$2:$U$8,"")</f>
        <v/>
      </c>
      <c r="I828" s="4" t="str">
        <f>_xlfn.IFNA(VLOOKUP(D828,Master!$I:$K,2,FALSE),"")</f>
        <v/>
      </c>
      <c r="J828" s="4" t="str">
        <f>_xlfn.IFNA(VLOOKUP(D828,Master!$I:$K,3,FALSE),"")</f>
        <v/>
      </c>
      <c r="L828" s="27" t="str">
        <f>IF(A828&lt;&gt;"CFA",_xlfn.IFNA(VLOOKUP($G828,Master!$V$2:$Z$8,5,0),""),"")</f>
        <v/>
      </c>
      <c r="P828" s="6" t="str">
        <f t="shared" si="26"/>
        <v/>
      </c>
      <c r="Q828" s="13">
        <f t="shared" si="27"/>
        <v>0</v>
      </c>
    </row>
    <row r="829" spans="2:17" ht="15" customHeight="1">
      <c r="B829" s="5" t="str">
        <f>_xlfn.IFNA(VLOOKUP(C829,Master!$H:$I,2,FALSE),"")</f>
        <v/>
      </c>
      <c r="D829" s="5" t="str">
        <f>_xlfn.IFNA(VLOOKUP(E829,Master!$H:$I,2,FALSE),"")</f>
        <v/>
      </c>
      <c r="F829" s="26" t="str">
        <f>+_xlfn.XLOOKUP(G829,Master!$V$2:$V$8,Master!$U$2:$U$8,"")</f>
        <v/>
      </c>
      <c r="I829" s="4" t="str">
        <f>_xlfn.IFNA(VLOOKUP(D829,Master!$I:$K,2,FALSE),"")</f>
        <v/>
      </c>
      <c r="J829" s="4" t="str">
        <f>_xlfn.IFNA(VLOOKUP(D829,Master!$I:$K,3,FALSE),"")</f>
        <v/>
      </c>
      <c r="L829" s="27" t="str">
        <f>IF(A829&lt;&gt;"CFA",_xlfn.IFNA(VLOOKUP($G829,Master!$V$2:$Z$8,5,0),""),"")</f>
        <v/>
      </c>
      <c r="P829" s="6" t="str">
        <f t="shared" si="26"/>
        <v/>
      </c>
      <c r="Q829" s="13">
        <f t="shared" si="27"/>
        <v>0</v>
      </c>
    </row>
    <row r="830" spans="2:17" ht="15" customHeight="1">
      <c r="B830" s="5" t="str">
        <f>_xlfn.IFNA(VLOOKUP(C830,Master!$H:$I,2,FALSE),"")</f>
        <v/>
      </c>
      <c r="D830" s="5" t="str">
        <f>_xlfn.IFNA(VLOOKUP(E830,Master!$H:$I,2,FALSE),"")</f>
        <v/>
      </c>
      <c r="F830" s="26" t="str">
        <f>+_xlfn.XLOOKUP(G830,Master!$V$2:$V$8,Master!$U$2:$U$8,"")</f>
        <v/>
      </c>
      <c r="I830" s="4" t="str">
        <f>_xlfn.IFNA(VLOOKUP(D830,Master!$I:$K,2,FALSE),"")</f>
        <v/>
      </c>
      <c r="J830" s="4" t="str">
        <f>_xlfn.IFNA(VLOOKUP(D830,Master!$I:$K,3,FALSE),"")</f>
        <v/>
      </c>
      <c r="L830" s="27" t="str">
        <f>IF(A830&lt;&gt;"CFA",_xlfn.IFNA(VLOOKUP($G830,Master!$V$2:$Z$8,5,0),""),"")</f>
        <v/>
      </c>
      <c r="P830" s="6" t="str">
        <f t="shared" si="26"/>
        <v/>
      </c>
      <c r="Q830" s="13">
        <f t="shared" si="27"/>
        <v>0</v>
      </c>
    </row>
    <row r="831" spans="2:17" ht="15" customHeight="1">
      <c r="B831" s="5" t="str">
        <f>_xlfn.IFNA(VLOOKUP(C831,Master!$H:$I,2,FALSE),"")</f>
        <v/>
      </c>
      <c r="D831" s="5" t="str">
        <f>_xlfn.IFNA(VLOOKUP(E831,Master!$H:$I,2,FALSE),"")</f>
        <v/>
      </c>
      <c r="F831" s="26" t="str">
        <f>+_xlfn.XLOOKUP(G831,Master!$V$2:$V$8,Master!$U$2:$U$8,"")</f>
        <v/>
      </c>
      <c r="I831" s="4" t="str">
        <f>_xlfn.IFNA(VLOOKUP(D831,Master!$I:$K,2,FALSE),"")</f>
        <v/>
      </c>
      <c r="J831" s="4" t="str">
        <f>_xlfn.IFNA(VLOOKUP(D831,Master!$I:$K,3,FALSE),"")</f>
        <v/>
      </c>
      <c r="L831" s="27" t="str">
        <f>IF(A831&lt;&gt;"CFA",_xlfn.IFNA(VLOOKUP($G831,Master!$V$2:$Z$8,5,0),""),"")</f>
        <v/>
      </c>
      <c r="P831" s="6" t="str">
        <f t="shared" si="26"/>
        <v/>
      </c>
      <c r="Q831" s="13">
        <f t="shared" si="27"/>
        <v>0</v>
      </c>
    </row>
    <row r="832" spans="2:17" ht="15" customHeight="1">
      <c r="B832" s="5" t="str">
        <f>_xlfn.IFNA(VLOOKUP(C832,Master!$H:$I,2,FALSE),"")</f>
        <v/>
      </c>
      <c r="D832" s="5" t="str">
        <f>_xlfn.IFNA(VLOOKUP(E832,Master!$H:$I,2,FALSE),"")</f>
        <v/>
      </c>
      <c r="F832" s="26" t="str">
        <f>+_xlfn.XLOOKUP(G832,Master!$V$2:$V$8,Master!$U$2:$U$8,"")</f>
        <v/>
      </c>
      <c r="I832" s="4" t="str">
        <f>_xlfn.IFNA(VLOOKUP(D832,Master!$I:$K,2,FALSE),"")</f>
        <v/>
      </c>
      <c r="J832" s="4" t="str">
        <f>_xlfn.IFNA(VLOOKUP(D832,Master!$I:$K,3,FALSE),"")</f>
        <v/>
      </c>
      <c r="L832" s="27" t="str">
        <f>IF(A832&lt;&gt;"CFA",_xlfn.IFNA(VLOOKUP($G832,Master!$V$2:$Z$8,5,0),""),"")</f>
        <v/>
      </c>
      <c r="P832" s="6" t="str">
        <f t="shared" si="26"/>
        <v/>
      </c>
      <c r="Q832" s="13">
        <f t="shared" si="27"/>
        <v>0</v>
      </c>
    </row>
    <row r="833" spans="2:17" ht="15" customHeight="1">
      <c r="B833" s="5" t="str">
        <f>_xlfn.IFNA(VLOOKUP(C833,Master!$H:$I,2,FALSE),"")</f>
        <v/>
      </c>
      <c r="D833" s="5" t="str">
        <f>_xlfn.IFNA(VLOOKUP(E833,Master!$H:$I,2,FALSE),"")</f>
        <v/>
      </c>
      <c r="F833" s="26" t="str">
        <f>+_xlfn.XLOOKUP(G833,Master!$V$2:$V$8,Master!$U$2:$U$8,"")</f>
        <v/>
      </c>
      <c r="I833" s="4" t="str">
        <f>_xlfn.IFNA(VLOOKUP(D833,Master!$I:$K,2,FALSE),"")</f>
        <v/>
      </c>
      <c r="J833" s="4" t="str">
        <f>_xlfn.IFNA(VLOOKUP(D833,Master!$I:$K,3,FALSE),"")</f>
        <v/>
      </c>
      <c r="L833" s="27" t="str">
        <f>IF(A833&lt;&gt;"CFA",_xlfn.IFNA(VLOOKUP($G833,Master!$V$2:$Z$8,5,0),""),"")</f>
        <v/>
      </c>
      <c r="P833" s="6" t="str">
        <f t="shared" si="26"/>
        <v/>
      </c>
      <c r="Q833" s="13">
        <f t="shared" si="27"/>
        <v>0</v>
      </c>
    </row>
    <row r="834" spans="2:17" ht="15" customHeight="1">
      <c r="B834" s="5" t="str">
        <f>_xlfn.IFNA(VLOOKUP(C834,Master!$H:$I,2,FALSE),"")</f>
        <v/>
      </c>
      <c r="D834" s="5" t="str">
        <f>_xlfn.IFNA(VLOOKUP(E834,Master!$H:$I,2,FALSE),"")</f>
        <v/>
      </c>
      <c r="F834" s="26" t="str">
        <f>+_xlfn.XLOOKUP(G834,Master!$V$2:$V$8,Master!$U$2:$U$8,"")</f>
        <v/>
      </c>
      <c r="I834" s="4" t="str">
        <f>_xlfn.IFNA(VLOOKUP(D834,Master!$I:$K,2,FALSE),"")</f>
        <v/>
      </c>
      <c r="J834" s="4" t="str">
        <f>_xlfn.IFNA(VLOOKUP(D834,Master!$I:$K,3,FALSE),"")</f>
        <v/>
      </c>
      <c r="L834" s="27" t="str">
        <f>IF(A834&lt;&gt;"CFA",_xlfn.IFNA(VLOOKUP($G834,Master!$V$2:$Z$8,5,0),""),"")</f>
        <v/>
      </c>
      <c r="P834" s="6" t="str">
        <f t="shared" si="26"/>
        <v/>
      </c>
      <c r="Q834" s="13">
        <f t="shared" si="27"/>
        <v>0</v>
      </c>
    </row>
    <row r="835" spans="2:17" ht="15" customHeight="1">
      <c r="B835" s="5" t="str">
        <f>_xlfn.IFNA(VLOOKUP(C835,Master!$H:$I,2,FALSE),"")</f>
        <v/>
      </c>
      <c r="D835" s="5" t="str">
        <f>_xlfn.IFNA(VLOOKUP(E835,Master!$H:$I,2,FALSE),"")</f>
        <v/>
      </c>
      <c r="F835" s="26" t="str">
        <f>+_xlfn.XLOOKUP(G835,Master!$V$2:$V$8,Master!$U$2:$U$8,"")</f>
        <v/>
      </c>
      <c r="I835" s="4" t="str">
        <f>_xlfn.IFNA(VLOOKUP(D835,Master!$I:$K,2,FALSE),"")</f>
        <v/>
      </c>
      <c r="J835" s="4" t="str">
        <f>_xlfn.IFNA(VLOOKUP(D835,Master!$I:$K,3,FALSE),"")</f>
        <v/>
      </c>
      <c r="L835" s="27" t="str">
        <f>IF(A835&lt;&gt;"CFA",_xlfn.IFNA(VLOOKUP($G835,Master!$V$2:$Z$8,5,0),""),"")</f>
        <v/>
      </c>
      <c r="P835" s="6" t="str">
        <f t="shared" si="26"/>
        <v/>
      </c>
      <c r="Q835" s="13">
        <f t="shared" si="27"/>
        <v>0</v>
      </c>
    </row>
    <row r="836" spans="2:17" ht="15" customHeight="1">
      <c r="B836" s="5" t="str">
        <f>_xlfn.IFNA(VLOOKUP(C836,Master!$H:$I,2,FALSE),"")</f>
        <v/>
      </c>
      <c r="D836" s="5" t="str">
        <f>_xlfn.IFNA(VLOOKUP(E836,Master!$H:$I,2,FALSE),"")</f>
        <v/>
      </c>
      <c r="F836" s="26" t="str">
        <f>+_xlfn.XLOOKUP(G836,Master!$V$2:$V$8,Master!$U$2:$U$8,"")</f>
        <v/>
      </c>
      <c r="I836" s="4" t="str">
        <f>_xlfn.IFNA(VLOOKUP(D836,Master!$I:$K,2,FALSE),"")</f>
        <v/>
      </c>
      <c r="J836" s="4" t="str">
        <f>_xlfn.IFNA(VLOOKUP(D836,Master!$I:$K,3,FALSE),"")</f>
        <v/>
      </c>
      <c r="L836" s="27" t="str">
        <f>IF(A836&lt;&gt;"CFA",_xlfn.IFNA(VLOOKUP($G836,Master!$V$2:$Z$8,5,0),""),"")</f>
        <v/>
      </c>
      <c r="P836" s="6" t="str">
        <f t="shared" si="26"/>
        <v/>
      </c>
      <c r="Q836" s="13">
        <f t="shared" si="27"/>
        <v>0</v>
      </c>
    </row>
    <row r="837" spans="2:17" ht="15" customHeight="1">
      <c r="B837" s="5" t="str">
        <f>_xlfn.IFNA(VLOOKUP(C837,Master!$H:$I,2,FALSE),"")</f>
        <v/>
      </c>
      <c r="D837" s="5" t="str">
        <f>_xlfn.IFNA(VLOOKUP(E837,Master!$H:$I,2,FALSE),"")</f>
        <v/>
      </c>
      <c r="F837" s="26" t="str">
        <f>+_xlfn.XLOOKUP(G837,Master!$V$2:$V$8,Master!$U$2:$U$8,"")</f>
        <v/>
      </c>
      <c r="I837" s="4" t="str">
        <f>_xlfn.IFNA(VLOOKUP(D837,Master!$I:$K,2,FALSE),"")</f>
        <v/>
      </c>
      <c r="J837" s="4" t="str">
        <f>_xlfn.IFNA(VLOOKUP(D837,Master!$I:$K,3,FALSE),"")</f>
        <v/>
      </c>
      <c r="L837" s="27" t="str">
        <f>IF(A837&lt;&gt;"CFA",_xlfn.IFNA(VLOOKUP($G837,Master!$V$2:$Z$8,5,0),""),"")</f>
        <v/>
      </c>
      <c r="P837" s="6" t="str">
        <f t="shared" si="26"/>
        <v/>
      </c>
      <c r="Q837" s="13">
        <f t="shared" si="27"/>
        <v>0</v>
      </c>
    </row>
    <row r="838" spans="2:17" ht="15" customHeight="1">
      <c r="B838" s="5" t="str">
        <f>_xlfn.IFNA(VLOOKUP(C838,Master!$H:$I,2,FALSE),"")</f>
        <v/>
      </c>
      <c r="D838" s="5" t="str">
        <f>_xlfn.IFNA(VLOOKUP(E838,Master!$H:$I,2,FALSE),"")</f>
        <v/>
      </c>
      <c r="F838" s="26" t="str">
        <f>+_xlfn.XLOOKUP(G838,Master!$V$2:$V$8,Master!$U$2:$U$8,"")</f>
        <v/>
      </c>
      <c r="I838" s="4" t="str">
        <f>_xlfn.IFNA(VLOOKUP(D838,Master!$I:$K,2,FALSE),"")</f>
        <v/>
      </c>
      <c r="J838" s="4" t="str">
        <f>_xlfn.IFNA(VLOOKUP(D838,Master!$I:$K,3,FALSE),"")</f>
        <v/>
      </c>
      <c r="L838" s="27" t="str">
        <f>IF(A838&lt;&gt;"CFA",_xlfn.IFNA(VLOOKUP($G838,Master!$V$2:$Z$8,5,0),""),"")</f>
        <v/>
      </c>
      <c r="P838" s="6" t="str">
        <f t="shared" si="26"/>
        <v/>
      </c>
      <c r="Q838" s="13">
        <f t="shared" si="27"/>
        <v>0</v>
      </c>
    </row>
    <row r="839" spans="2:17" ht="15" customHeight="1">
      <c r="B839" s="5" t="str">
        <f>_xlfn.IFNA(VLOOKUP(C839,Master!$H:$I,2,FALSE),"")</f>
        <v/>
      </c>
      <c r="D839" s="5" t="str">
        <f>_xlfn.IFNA(VLOOKUP(E839,Master!$H:$I,2,FALSE),"")</f>
        <v/>
      </c>
      <c r="F839" s="26" t="str">
        <f>+_xlfn.XLOOKUP(G839,Master!$V$2:$V$8,Master!$U$2:$U$8,"")</f>
        <v/>
      </c>
      <c r="I839" s="4" t="str">
        <f>_xlfn.IFNA(VLOOKUP(D839,Master!$I:$K,2,FALSE),"")</f>
        <v/>
      </c>
      <c r="J839" s="4" t="str">
        <f>_xlfn.IFNA(VLOOKUP(D839,Master!$I:$K,3,FALSE),"")</f>
        <v/>
      </c>
      <c r="L839" s="27" t="str">
        <f>IF(A839&lt;&gt;"CFA",_xlfn.IFNA(VLOOKUP($G839,Master!$V$2:$Z$8,5,0),""),"")</f>
        <v/>
      </c>
      <c r="P839" s="6" t="str">
        <f t="shared" si="26"/>
        <v/>
      </c>
      <c r="Q839" s="13">
        <f t="shared" si="27"/>
        <v>0</v>
      </c>
    </row>
    <row r="840" spans="2:17" ht="15" customHeight="1">
      <c r="B840" s="5" t="str">
        <f>_xlfn.IFNA(VLOOKUP(C840,Master!$H:$I,2,FALSE),"")</f>
        <v/>
      </c>
      <c r="D840" s="5" t="str">
        <f>_xlfn.IFNA(VLOOKUP(E840,Master!$H:$I,2,FALSE),"")</f>
        <v/>
      </c>
      <c r="F840" s="26" t="str">
        <f>+_xlfn.XLOOKUP(G840,Master!$V$2:$V$8,Master!$U$2:$U$8,"")</f>
        <v/>
      </c>
      <c r="I840" s="4" t="str">
        <f>_xlfn.IFNA(VLOOKUP(D840,Master!$I:$K,2,FALSE),"")</f>
        <v/>
      </c>
      <c r="J840" s="4" t="str">
        <f>_xlfn.IFNA(VLOOKUP(D840,Master!$I:$K,3,FALSE),"")</f>
        <v/>
      </c>
      <c r="L840" s="27" t="str">
        <f>IF(A840&lt;&gt;"CFA",_xlfn.IFNA(VLOOKUP($G840,Master!$V$2:$Z$8,5,0),""),"")</f>
        <v/>
      </c>
      <c r="P840" s="6" t="str">
        <f t="shared" si="26"/>
        <v/>
      </c>
      <c r="Q840" s="13">
        <f t="shared" si="27"/>
        <v>0</v>
      </c>
    </row>
    <row r="841" spans="2:17" ht="15" customHeight="1">
      <c r="B841" s="5" t="str">
        <f>_xlfn.IFNA(VLOOKUP(C841,Master!$H:$I,2,FALSE),"")</f>
        <v/>
      </c>
      <c r="D841" s="5" t="str">
        <f>_xlfn.IFNA(VLOOKUP(E841,Master!$H:$I,2,FALSE),"")</f>
        <v/>
      </c>
      <c r="F841" s="26" t="str">
        <f>+_xlfn.XLOOKUP(G841,Master!$V$2:$V$8,Master!$U$2:$U$8,"")</f>
        <v/>
      </c>
      <c r="I841" s="4" t="str">
        <f>_xlfn.IFNA(VLOOKUP(D841,Master!$I:$K,2,FALSE),"")</f>
        <v/>
      </c>
      <c r="J841" s="4" t="str">
        <f>_xlfn.IFNA(VLOOKUP(D841,Master!$I:$K,3,FALSE),"")</f>
        <v/>
      </c>
      <c r="L841" s="27" t="str">
        <f>IF(A841&lt;&gt;"CFA",_xlfn.IFNA(VLOOKUP($G841,Master!$V$2:$Z$8,5,0),""),"")</f>
        <v/>
      </c>
      <c r="P841" s="6" t="str">
        <f t="shared" si="26"/>
        <v/>
      </c>
      <c r="Q841" s="13">
        <f t="shared" si="27"/>
        <v>0</v>
      </c>
    </row>
    <row r="842" spans="2:17" ht="15" customHeight="1">
      <c r="B842" s="5" t="str">
        <f>_xlfn.IFNA(VLOOKUP(C842,Master!$H:$I,2,FALSE),"")</f>
        <v/>
      </c>
      <c r="D842" s="5" t="str">
        <f>_xlfn.IFNA(VLOOKUP(E842,Master!$H:$I,2,FALSE),"")</f>
        <v/>
      </c>
      <c r="F842" s="26" t="str">
        <f>+_xlfn.XLOOKUP(G842,Master!$V$2:$V$8,Master!$U$2:$U$8,"")</f>
        <v/>
      </c>
      <c r="I842" s="4" t="str">
        <f>_xlfn.IFNA(VLOOKUP(D842,Master!$I:$K,2,FALSE),"")</f>
        <v/>
      </c>
      <c r="J842" s="4" t="str">
        <f>_xlfn.IFNA(VLOOKUP(D842,Master!$I:$K,3,FALSE),"")</f>
        <v/>
      </c>
      <c r="L842" s="27" t="str">
        <f>IF(A842&lt;&gt;"CFA",_xlfn.IFNA(VLOOKUP($G842,Master!$V$2:$Z$8,5,0),""),"")</f>
        <v/>
      </c>
      <c r="P842" s="6" t="str">
        <f t="shared" si="26"/>
        <v/>
      </c>
      <c r="Q842" s="13">
        <f t="shared" si="27"/>
        <v>0</v>
      </c>
    </row>
    <row r="843" spans="2:17" ht="15" customHeight="1">
      <c r="B843" s="5" t="str">
        <f>_xlfn.IFNA(VLOOKUP(C843,Master!$H:$I,2,FALSE),"")</f>
        <v/>
      </c>
      <c r="D843" s="5" t="str">
        <f>_xlfn.IFNA(VLOOKUP(E843,Master!$H:$I,2,FALSE),"")</f>
        <v/>
      </c>
      <c r="F843" s="26" t="str">
        <f>+_xlfn.XLOOKUP(G843,Master!$V$2:$V$8,Master!$U$2:$U$8,"")</f>
        <v/>
      </c>
      <c r="I843" s="4" t="str">
        <f>_xlfn.IFNA(VLOOKUP(D843,Master!$I:$K,2,FALSE),"")</f>
        <v/>
      </c>
      <c r="J843" s="4" t="str">
        <f>_xlfn.IFNA(VLOOKUP(D843,Master!$I:$K,3,FALSE),"")</f>
        <v/>
      </c>
      <c r="L843" s="27" t="str">
        <f>IF(A843&lt;&gt;"CFA",_xlfn.IFNA(VLOOKUP($G843,Master!$V$2:$Z$8,5,0),""),"")</f>
        <v/>
      </c>
      <c r="P843" s="6" t="str">
        <f t="shared" si="26"/>
        <v/>
      </c>
      <c r="Q843" s="13">
        <f t="shared" si="27"/>
        <v>0</v>
      </c>
    </row>
    <row r="844" spans="2:17" ht="15" customHeight="1">
      <c r="B844" s="5" t="str">
        <f>_xlfn.IFNA(VLOOKUP(C844,Master!$H:$I,2,FALSE),"")</f>
        <v/>
      </c>
      <c r="D844" s="5" t="str">
        <f>_xlfn.IFNA(VLOOKUP(E844,Master!$H:$I,2,FALSE),"")</f>
        <v/>
      </c>
      <c r="F844" s="26" t="str">
        <f>+_xlfn.XLOOKUP(G844,Master!$V$2:$V$8,Master!$U$2:$U$8,"")</f>
        <v/>
      </c>
      <c r="I844" s="4" t="str">
        <f>_xlfn.IFNA(VLOOKUP(D844,Master!$I:$K,2,FALSE),"")</f>
        <v/>
      </c>
      <c r="J844" s="4" t="str">
        <f>_xlfn.IFNA(VLOOKUP(D844,Master!$I:$K,3,FALSE),"")</f>
        <v/>
      </c>
      <c r="L844" s="27" t="str">
        <f>IF(A844&lt;&gt;"CFA",_xlfn.IFNA(VLOOKUP($G844,Master!$V$2:$Z$8,5,0),""),"")</f>
        <v/>
      </c>
      <c r="P844" s="6" t="str">
        <f t="shared" si="26"/>
        <v/>
      </c>
      <c r="Q844" s="13">
        <f t="shared" si="27"/>
        <v>0</v>
      </c>
    </row>
    <row r="845" spans="2:17" ht="15" customHeight="1">
      <c r="B845" s="5" t="str">
        <f>_xlfn.IFNA(VLOOKUP(C845,Master!$H:$I,2,FALSE),"")</f>
        <v/>
      </c>
      <c r="D845" s="5" t="str">
        <f>_xlfn.IFNA(VLOOKUP(E845,Master!$H:$I,2,FALSE),"")</f>
        <v/>
      </c>
      <c r="F845" s="26" t="str">
        <f>+_xlfn.XLOOKUP(G845,Master!$V$2:$V$8,Master!$U$2:$U$8,"")</f>
        <v/>
      </c>
      <c r="I845" s="4" t="str">
        <f>_xlfn.IFNA(VLOOKUP(D845,Master!$I:$K,2,FALSE),"")</f>
        <v/>
      </c>
      <c r="J845" s="4" t="str">
        <f>_xlfn.IFNA(VLOOKUP(D845,Master!$I:$K,3,FALSE),"")</f>
        <v/>
      </c>
      <c r="L845" s="27" t="str">
        <f>IF(A845&lt;&gt;"CFA",_xlfn.IFNA(VLOOKUP($G845,Master!$V$2:$Z$8,5,0),""),"")</f>
        <v/>
      </c>
      <c r="P845" s="6" t="str">
        <f t="shared" si="26"/>
        <v/>
      </c>
      <c r="Q845" s="13">
        <f t="shared" si="27"/>
        <v>0</v>
      </c>
    </row>
    <row r="846" spans="2:17" ht="15" customHeight="1">
      <c r="B846" s="5" t="str">
        <f>_xlfn.IFNA(VLOOKUP(C846,Master!$H:$I,2,FALSE),"")</f>
        <v/>
      </c>
      <c r="D846" s="5" t="str">
        <f>_xlfn.IFNA(VLOOKUP(E846,Master!$H:$I,2,FALSE),"")</f>
        <v/>
      </c>
      <c r="F846" s="26" t="str">
        <f>+_xlfn.XLOOKUP(G846,Master!$V$2:$V$8,Master!$U$2:$U$8,"")</f>
        <v/>
      </c>
      <c r="I846" s="4" t="str">
        <f>_xlfn.IFNA(VLOOKUP(D846,Master!$I:$K,2,FALSE),"")</f>
        <v/>
      </c>
      <c r="J846" s="4" t="str">
        <f>_xlfn.IFNA(VLOOKUP(D846,Master!$I:$K,3,FALSE),"")</f>
        <v/>
      </c>
      <c r="L846" s="27" t="str">
        <f>IF(A846&lt;&gt;"CFA",_xlfn.IFNA(VLOOKUP($G846,Master!$V$2:$Z$8,5,0),""),"")</f>
        <v/>
      </c>
      <c r="P846" s="6" t="str">
        <f t="shared" si="26"/>
        <v/>
      </c>
      <c r="Q846" s="13">
        <f t="shared" si="27"/>
        <v>0</v>
      </c>
    </row>
    <row r="847" spans="2:17" ht="15" customHeight="1">
      <c r="B847" s="5" t="str">
        <f>_xlfn.IFNA(VLOOKUP(C847,Master!$H:$I,2,FALSE),"")</f>
        <v/>
      </c>
      <c r="D847" s="5" t="str">
        <f>_xlfn.IFNA(VLOOKUP(E847,Master!$H:$I,2,FALSE),"")</f>
        <v/>
      </c>
      <c r="F847" s="26" t="str">
        <f>+_xlfn.XLOOKUP(G847,Master!$V$2:$V$8,Master!$U$2:$U$8,"")</f>
        <v/>
      </c>
      <c r="I847" s="4" t="str">
        <f>_xlfn.IFNA(VLOOKUP(D847,Master!$I:$K,2,FALSE),"")</f>
        <v/>
      </c>
      <c r="J847" s="4" t="str">
        <f>_xlfn.IFNA(VLOOKUP(D847,Master!$I:$K,3,FALSE),"")</f>
        <v/>
      </c>
      <c r="L847" s="27" t="str">
        <f>IF(A847&lt;&gt;"CFA",_xlfn.IFNA(VLOOKUP($G847,Master!$V$2:$Z$8,5,0),""),"")</f>
        <v/>
      </c>
      <c r="P847" s="6" t="str">
        <f t="shared" si="26"/>
        <v/>
      </c>
      <c r="Q847" s="13">
        <f t="shared" si="27"/>
        <v>0</v>
      </c>
    </row>
    <row r="848" spans="2:17" ht="15" customHeight="1">
      <c r="B848" s="5" t="str">
        <f>_xlfn.IFNA(VLOOKUP(C848,Master!$H:$I,2,FALSE),"")</f>
        <v/>
      </c>
      <c r="D848" s="5" t="str">
        <f>_xlfn.IFNA(VLOOKUP(E848,Master!$H:$I,2,FALSE),"")</f>
        <v/>
      </c>
      <c r="F848" s="26" t="str">
        <f>+_xlfn.XLOOKUP(G848,Master!$V$2:$V$8,Master!$U$2:$U$8,"")</f>
        <v/>
      </c>
      <c r="I848" s="4" t="str">
        <f>_xlfn.IFNA(VLOOKUP(D848,Master!$I:$K,2,FALSE),"")</f>
        <v/>
      </c>
      <c r="J848" s="4" t="str">
        <f>_xlfn.IFNA(VLOOKUP(D848,Master!$I:$K,3,FALSE),"")</f>
        <v/>
      </c>
      <c r="L848" s="27" t="str">
        <f>IF(A848&lt;&gt;"CFA",_xlfn.IFNA(VLOOKUP($G848,Master!$V$2:$Z$8,5,0),""),"")</f>
        <v/>
      </c>
      <c r="P848" s="6" t="str">
        <f t="shared" si="26"/>
        <v/>
      </c>
      <c r="Q848" s="13">
        <f t="shared" si="27"/>
        <v>0</v>
      </c>
    </row>
    <row r="849" spans="2:17" ht="15" customHeight="1">
      <c r="B849" s="5" t="str">
        <f>_xlfn.IFNA(VLOOKUP(C849,Master!$H:$I,2,FALSE),"")</f>
        <v/>
      </c>
      <c r="D849" s="5" t="str">
        <f>_xlfn.IFNA(VLOOKUP(E849,Master!$H:$I,2,FALSE),"")</f>
        <v/>
      </c>
      <c r="F849" s="26" t="str">
        <f>+_xlfn.XLOOKUP(G849,Master!$V$2:$V$8,Master!$U$2:$U$8,"")</f>
        <v/>
      </c>
      <c r="I849" s="4" t="str">
        <f>_xlfn.IFNA(VLOOKUP(D849,Master!$I:$K,2,FALSE),"")</f>
        <v/>
      </c>
      <c r="J849" s="4" t="str">
        <f>_xlfn.IFNA(VLOOKUP(D849,Master!$I:$K,3,FALSE),"")</f>
        <v/>
      </c>
      <c r="L849" s="27" t="str">
        <f>IF(A849&lt;&gt;"CFA",_xlfn.IFNA(VLOOKUP($G849,Master!$V$2:$Z$8,5,0),""),"")</f>
        <v/>
      </c>
      <c r="P849" s="6" t="str">
        <f t="shared" si="26"/>
        <v/>
      </c>
      <c r="Q849" s="13">
        <f t="shared" si="27"/>
        <v>0</v>
      </c>
    </row>
    <row r="850" spans="2:17" ht="15" customHeight="1">
      <c r="B850" s="5" t="str">
        <f>_xlfn.IFNA(VLOOKUP(C850,Master!$H:$I,2,FALSE),"")</f>
        <v/>
      </c>
      <c r="D850" s="5" t="str">
        <f>_xlfn.IFNA(VLOOKUP(E850,Master!$H:$I,2,FALSE),"")</f>
        <v/>
      </c>
      <c r="F850" s="26" t="str">
        <f>+_xlfn.XLOOKUP(G850,Master!$V$2:$V$8,Master!$U$2:$U$8,"")</f>
        <v/>
      </c>
      <c r="I850" s="4" t="str">
        <f>_xlfn.IFNA(VLOOKUP(D850,Master!$I:$K,2,FALSE),"")</f>
        <v/>
      </c>
      <c r="J850" s="4" t="str">
        <f>_xlfn.IFNA(VLOOKUP(D850,Master!$I:$K,3,FALSE),"")</f>
        <v/>
      </c>
      <c r="L850" s="27" t="str">
        <f>IF(A850&lt;&gt;"CFA",_xlfn.IFNA(VLOOKUP($G850,Master!$V$2:$Z$8,5,0),""),"")</f>
        <v/>
      </c>
      <c r="P850" s="6" t="str">
        <f t="shared" si="26"/>
        <v/>
      </c>
      <c r="Q850" s="13">
        <f t="shared" si="27"/>
        <v>0</v>
      </c>
    </row>
    <row r="851" spans="2:17" ht="15" customHeight="1">
      <c r="B851" s="5" t="str">
        <f>_xlfn.IFNA(VLOOKUP(C851,Master!$H:$I,2,FALSE),"")</f>
        <v/>
      </c>
      <c r="D851" s="5" t="str">
        <f>_xlfn.IFNA(VLOOKUP(E851,Master!$H:$I,2,FALSE),"")</f>
        <v/>
      </c>
      <c r="F851" s="26" t="str">
        <f>+_xlfn.XLOOKUP(G851,Master!$V$2:$V$8,Master!$U$2:$U$8,"")</f>
        <v/>
      </c>
      <c r="I851" s="4" t="str">
        <f>_xlfn.IFNA(VLOOKUP(D851,Master!$I:$K,2,FALSE),"")</f>
        <v/>
      </c>
      <c r="J851" s="4" t="str">
        <f>_xlfn.IFNA(VLOOKUP(D851,Master!$I:$K,3,FALSE),"")</f>
        <v/>
      </c>
      <c r="L851" s="27" t="str">
        <f>IF(A851&lt;&gt;"CFA",_xlfn.IFNA(VLOOKUP($G851,Master!$V$2:$Z$8,5,0),""),"")</f>
        <v/>
      </c>
      <c r="P851" s="6" t="str">
        <f t="shared" si="26"/>
        <v/>
      </c>
      <c r="Q851" s="13">
        <f t="shared" si="27"/>
        <v>0</v>
      </c>
    </row>
    <row r="852" spans="2:17" ht="15" customHeight="1">
      <c r="B852" s="5" t="str">
        <f>_xlfn.IFNA(VLOOKUP(C852,Master!$H:$I,2,FALSE),"")</f>
        <v/>
      </c>
      <c r="D852" s="5" t="str">
        <f>_xlfn.IFNA(VLOOKUP(E852,Master!$H:$I,2,FALSE),"")</f>
        <v/>
      </c>
      <c r="F852" s="26" t="str">
        <f>+_xlfn.XLOOKUP(G852,Master!$V$2:$V$8,Master!$U$2:$U$8,"")</f>
        <v/>
      </c>
      <c r="I852" s="4" t="str">
        <f>_xlfn.IFNA(VLOOKUP(D852,Master!$I:$K,2,FALSE),"")</f>
        <v/>
      </c>
      <c r="J852" s="4" t="str">
        <f>_xlfn.IFNA(VLOOKUP(D852,Master!$I:$K,3,FALSE),"")</f>
        <v/>
      </c>
      <c r="L852" s="27" t="str">
        <f>IF(A852&lt;&gt;"CFA",_xlfn.IFNA(VLOOKUP($G852,Master!$V$2:$Z$8,5,0),""),"")</f>
        <v/>
      </c>
      <c r="P852" s="6" t="str">
        <f t="shared" si="26"/>
        <v/>
      </c>
      <c r="Q852" s="13">
        <f t="shared" si="27"/>
        <v>0</v>
      </c>
    </row>
    <row r="853" spans="2:17" ht="15" customHeight="1">
      <c r="B853" s="5" t="str">
        <f>_xlfn.IFNA(VLOOKUP(C853,Master!$H:$I,2,FALSE),"")</f>
        <v/>
      </c>
      <c r="D853" s="5" t="str">
        <f>_xlfn.IFNA(VLOOKUP(E853,Master!$H:$I,2,FALSE),"")</f>
        <v/>
      </c>
      <c r="F853" s="26" t="str">
        <f>+_xlfn.XLOOKUP(G853,Master!$V$2:$V$8,Master!$U$2:$U$8,"")</f>
        <v/>
      </c>
      <c r="I853" s="4" t="str">
        <f>_xlfn.IFNA(VLOOKUP(D853,Master!$I:$K,2,FALSE),"")</f>
        <v/>
      </c>
      <c r="J853" s="4" t="str">
        <f>_xlfn.IFNA(VLOOKUP(D853,Master!$I:$K,3,FALSE),"")</f>
        <v/>
      </c>
      <c r="L853" s="27" t="str">
        <f>IF(A853&lt;&gt;"CFA",_xlfn.IFNA(VLOOKUP($G853,Master!$V$2:$Z$8,5,0),""),"")</f>
        <v/>
      </c>
      <c r="P853" s="6" t="str">
        <f t="shared" si="26"/>
        <v/>
      </c>
      <c r="Q853" s="13">
        <f t="shared" si="27"/>
        <v>0</v>
      </c>
    </row>
    <row r="854" spans="2:17" ht="15" customHeight="1">
      <c r="B854" s="5" t="str">
        <f>_xlfn.IFNA(VLOOKUP(C854,Master!$H:$I,2,FALSE),"")</f>
        <v/>
      </c>
      <c r="D854" s="5" t="str">
        <f>_xlfn.IFNA(VLOOKUP(E854,Master!$H:$I,2,FALSE),"")</f>
        <v/>
      </c>
      <c r="F854" s="26" t="str">
        <f>+_xlfn.XLOOKUP(G854,Master!$V$2:$V$8,Master!$U$2:$U$8,"")</f>
        <v/>
      </c>
      <c r="I854" s="4" t="str">
        <f>_xlfn.IFNA(VLOOKUP(D854,Master!$I:$K,2,FALSE),"")</f>
        <v/>
      </c>
      <c r="J854" s="4" t="str">
        <f>_xlfn.IFNA(VLOOKUP(D854,Master!$I:$K,3,FALSE),"")</f>
        <v/>
      </c>
      <c r="L854" s="27" t="str">
        <f>IF(A854&lt;&gt;"CFA",_xlfn.IFNA(VLOOKUP($G854,Master!$V$2:$Z$8,5,0),""),"")</f>
        <v/>
      </c>
      <c r="P854" s="6" t="str">
        <f t="shared" si="26"/>
        <v/>
      </c>
      <c r="Q854" s="13">
        <f t="shared" si="27"/>
        <v>0</v>
      </c>
    </row>
    <row r="855" spans="2:17" ht="15" customHeight="1">
      <c r="B855" s="5" t="str">
        <f>_xlfn.IFNA(VLOOKUP(C855,Master!$H:$I,2,FALSE),"")</f>
        <v/>
      </c>
      <c r="D855" s="5" t="str">
        <f>_xlfn.IFNA(VLOOKUP(E855,Master!$H:$I,2,FALSE),"")</f>
        <v/>
      </c>
      <c r="F855" s="26" t="str">
        <f>+_xlfn.XLOOKUP(G855,Master!$V$2:$V$8,Master!$U$2:$U$8,"")</f>
        <v/>
      </c>
      <c r="I855" s="4" t="str">
        <f>_xlfn.IFNA(VLOOKUP(D855,Master!$I:$K,2,FALSE),"")</f>
        <v/>
      </c>
      <c r="J855" s="4" t="str">
        <f>_xlfn.IFNA(VLOOKUP(D855,Master!$I:$K,3,FALSE),"")</f>
        <v/>
      </c>
      <c r="L855" s="27" t="str">
        <f>IF(A855&lt;&gt;"CFA",_xlfn.IFNA(VLOOKUP($G855,Master!$V$2:$Z$8,5,0),""),"")</f>
        <v/>
      </c>
      <c r="P855" s="6" t="str">
        <f t="shared" si="26"/>
        <v/>
      </c>
      <c r="Q855" s="13">
        <f t="shared" si="27"/>
        <v>0</v>
      </c>
    </row>
    <row r="856" spans="2:17" ht="15" customHeight="1">
      <c r="B856" s="5" t="str">
        <f>_xlfn.IFNA(VLOOKUP(C856,Master!$H:$I,2,FALSE),"")</f>
        <v/>
      </c>
      <c r="D856" s="5" t="str">
        <f>_xlfn.IFNA(VLOOKUP(E856,Master!$H:$I,2,FALSE),"")</f>
        <v/>
      </c>
      <c r="F856" s="26" t="str">
        <f>+_xlfn.XLOOKUP(G856,Master!$V$2:$V$8,Master!$U$2:$U$8,"")</f>
        <v/>
      </c>
      <c r="I856" s="4" t="str">
        <f>_xlfn.IFNA(VLOOKUP(D856,Master!$I:$K,2,FALSE),"")</f>
        <v/>
      </c>
      <c r="J856" s="4" t="str">
        <f>_xlfn.IFNA(VLOOKUP(D856,Master!$I:$K,3,FALSE),"")</f>
        <v/>
      </c>
      <c r="L856" s="27" t="str">
        <f>IF(A856&lt;&gt;"CFA",_xlfn.IFNA(VLOOKUP($G856,Master!$V$2:$Z$8,5,0),""),"")</f>
        <v/>
      </c>
      <c r="P856" s="6" t="str">
        <f t="shared" si="26"/>
        <v/>
      </c>
      <c r="Q856" s="13">
        <f t="shared" si="27"/>
        <v>0</v>
      </c>
    </row>
    <row r="857" spans="2:17" ht="15" customHeight="1">
      <c r="B857" s="5" t="str">
        <f>_xlfn.IFNA(VLOOKUP(C857,Master!$H:$I,2,FALSE),"")</f>
        <v/>
      </c>
      <c r="D857" s="5" t="str">
        <f>_xlfn.IFNA(VLOOKUP(E857,Master!$H:$I,2,FALSE),"")</f>
        <v/>
      </c>
      <c r="F857" s="26" t="str">
        <f>+_xlfn.XLOOKUP(G857,Master!$V$2:$V$8,Master!$U$2:$U$8,"")</f>
        <v/>
      </c>
      <c r="I857" s="4" t="str">
        <f>_xlfn.IFNA(VLOOKUP(D857,Master!$I:$K,2,FALSE),"")</f>
        <v/>
      </c>
      <c r="J857" s="4" t="str">
        <f>_xlfn.IFNA(VLOOKUP(D857,Master!$I:$K,3,FALSE),"")</f>
        <v/>
      </c>
      <c r="L857" s="27" t="str">
        <f>IF(A857&lt;&gt;"CFA",_xlfn.IFNA(VLOOKUP($G857,Master!$V$2:$Z$8,5,0),""),"")</f>
        <v/>
      </c>
      <c r="P857" s="6" t="str">
        <f t="shared" si="26"/>
        <v/>
      </c>
      <c r="Q857" s="13">
        <f t="shared" si="27"/>
        <v>0</v>
      </c>
    </row>
    <row r="858" spans="2:17" ht="15" customHeight="1">
      <c r="B858" s="5" t="str">
        <f>_xlfn.IFNA(VLOOKUP(C858,Master!$H:$I,2,FALSE),"")</f>
        <v/>
      </c>
      <c r="D858" s="5" t="str">
        <f>_xlfn.IFNA(VLOOKUP(E858,Master!$H:$I,2,FALSE),"")</f>
        <v/>
      </c>
      <c r="F858" s="26" t="str">
        <f>+_xlfn.XLOOKUP(G858,Master!$V$2:$V$8,Master!$U$2:$U$8,"")</f>
        <v/>
      </c>
      <c r="I858" s="4" t="str">
        <f>_xlfn.IFNA(VLOOKUP(D858,Master!$I:$K,2,FALSE),"")</f>
        <v/>
      </c>
      <c r="J858" s="4" t="str">
        <f>_xlfn.IFNA(VLOOKUP(D858,Master!$I:$K,3,FALSE),"")</f>
        <v/>
      </c>
      <c r="L858" s="27" t="str">
        <f>IF(A858&lt;&gt;"CFA",_xlfn.IFNA(VLOOKUP($G858,Master!$V$2:$Z$8,5,0),""),"")</f>
        <v/>
      </c>
      <c r="P858" s="6" t="str">
        <f t="shared" si="26"/>
        <v/>
      </c>
      <c r="Q858" s="13">
        <f t="shared" si="27"/>
        <v>0</v>
      </c>
    </row>
    <row r="859" spans="2:17" ht="15" customHeight="1">
      <c r="B859" s="5" t="str">
        <f>_xlfn.IFNA(VLOOKUP(C859,Master!$H:$I,2,FALSE),"")</f>
        <v/>
      </c>
      <c r="D859" s="5" t="str">
        <f>_xlfn.IFNA(VLOOKUP(E859,Master!$H:$I,2,FALSE),"")</f>
        <v/>
      </c>
      <c r="F859" s="26" t="str">
        <f>+_xlfn.XLOOKUP(G859,Master!$V$2:$V$8,Master!$U$2:$U$8,"")</f>
        <v/>
      </c>
      <c r="I859" s="4" t="str">
        <f>_xlfn.IFNA(VLOOKUP(D859,Master!$I:$K,2,FALSE),"")</f>
        <v/>
      </c>
      <c r="J859" s="4" t="str">
        <f>_xlfn.IFNA(VLOOKUP(D859,Master!$I:$K,3,FALSE),"")</f>
        <v/>
      </c>
      <c r="L859" s="27" t="str">
        <f>IF(A859&lt;&gt;"CFA",_xlfn.IFNA(VLOOKUP($G859,Master!$V$2:$Z$8,5,0),""),"")</f>
        <v/>
      </c>
      <c r="P859" s="6" t="str">
        <f t="shared" si="26"/>
        <v/>
      </c>
      <c r="Q859" s="13">
        <f t="shared" si="27"/>
        <v>0</v>
      </c>
    </row>
    <row r="860" spans="2:17" ht="15" customHeight="1">
      <c r="B860" s="5" t="str">
        <f>_xlfn.IFNA(VLOOKUP(C860,Master!$H:$I,2,FALSE),"")</f>
        <v/>
      </c>
      <c r="D860" s="5" t="str">
        <f>_xlfn.IFNA(VLOOKUP(E860,Master!$H:$I,2,FALSE),"")</f>
        <v/>
      </c>
      <c r="F860" s="26" t="str">
        <f>+_xlfn.XLOOKUP(G860,Master!$V$2:$V$8,Master!$U$2:$U$8,"")</f>
        <v/>
      </c>
      <c r="I860" s="4" t="str">
        <f>_xlfn.IFNA(VLOOKUP(D860,Master!$I:$K,2,FALSE),"")</f>
        <v/>
      </c>
      <c r="J860" s="4" t="str">
        <f>_xlfn.IFNA(VLOOKUP(D860,Master!$I:$K,3,FALSE),"")</f>
        <v/>
      </c>
      <c r="L860" s="27" t="str">
        <f>IF(A860&lt;&gt;"CFA",_xlfn.IFNA(VLOOKUP($G860,Master!$V$2:$Z$8,5,0),""),"")</f>
        <v/>
      </c>
      <c r="P860" s="6" t="str">
        <f t="shared" si="26"/>
        <v/>
      </c>
      <c r="Q860" s="13">
        <f t="shared" si="27"/>
        <v>0</v>
      </c>
    </row>
    <row r="861" spans="2:17" ht="15" customHeight="1">
      <c r="B861" s="5" t="str">
        <f>_xlfn.IFNA(VLOOKUP(C861,Master!$H:$I,2,FALSE),"")</f>
        <v/>
      </c>
      <c r="D861" s="5" t="str">
        <f>_xlfn.IFNA(VLOOKUP(E861,Master!$H:$I,2,FALSE),"")</f>
        <v/>
      </c>
      <c r="F861" s="26" t="str">
        <f>+_xlfn.XLOOKUP(G861,Master!$V$2:$V$8,Master!$U$2:$U$8,"")</f>
        <v/>
      </c>
      <c r="I861" s="4" t="str">
        <f>_xlfn.IFNA(VLOOKUP(D861,Master!$I:$K,2,FALSE),"")</f>
        <v/>
      </c>
      <c r="J861" s="4" t="str">
        <f>_xlfn.IFNA(VLOOKUP(D861,Master!$I:$K,3,FALSE),"")</f>
        <v/>
      </c>
      <c r="L861" s="27" t="str">
        <f>IF(A861&lt;&gt;"CFA",_xlfn.IFNA(VLOOKUP($G861,Master!$V$2:$Z$8,5,0),""),"")</f>
        <v/>
      </c>
      <c r="P861" s="6" t="str">
        <f t="shared" si="26"/>
        <v/>
      </c>
      <c r="Q861" s="13">
        <f t="shared" si="27"/>
        <v>0</v>
      </c>
    </row>
    <row r="862" spans="2:17" ht="15" customHeight="1">
      <c r="B862" s="5" t="str">
        <f>_xlfn.IFNA(VLOOKUP(C862,Master!$H:$I,2,FALSE),"")</f>
        <v/>
      </c>
      <c r="D862" s="5" t="str">
        <f>_xlfn.IFNA(VLOOKUP(E862,Master!$H:$I,2,FALSE),"")</f>
        <v/>
      </c>
      <c r="F862" s="26" t="str">
        <f>+_xlfn.XLOOKUP(G862,Master!$V$2:$V$8,Master!$U$2:$U$8,"")</f>
        <v/>
      </c>
      <c r="I862" s="4" t="str">
        <f>_xlfn.IFNA(VLOOKUP(D862,Master!$I:$K,2,FALSE),"")</f>
        <v/>
      </c>
      <c r="J862" s="4" t="str">
        <f>_xlfn.IFNA(VLOOKUP(D862,Master!$I:$K,3,FALSE),"")</f>
        <v/>
      </c>
      <c r="L862" s="27" t="str">
        <f>IF(A862&lt;&gt;"CFA",_xlfn.IFNA(VLOOKUP($G862,Master!$V$2:$Z$8,5,0),""),"")</f>
        <v/>
      </c>
      <c r="P862" s="6" t="str">
        <f t="shared" si="26"/>
        <v/>
      </c>
      <c r="Q862" s="13">
        <f t="shared" si="27"/>
        <v>0</v>
      </c>
    </row>
    <row r="863" spans="2:17" ht="15" customHeight="1">
      <c r="B863" s="5" t="str">
        <f>_xlfn.IFNA(VLOOKUP(C863,Master!$H:$I,2,FALSE),"")</f>
        <v/>
      </c>
      <c r="D863" s="5" t="str">
        <f>_xlfn.IFNA(VLOOKUP(E863,Master!$H:$I,2,FALSE),"")</f>
        <v/>
      </c>
      <c r="F863" s="26" t="str">
        <f>+_xlfn.XLOOKUP(G863,Master!$V$2:$V$8,Master!$U$2:$U$8,"")</f>
        <v/>
      </c>
      <c r="I863" s="4" t="str">
        <f>_xlfn.IFNA(VLOOKUP(D863,Master!$I:$K,2,FALSE),"")</f>
        <v/>
      </c>
      <c r="J863" s="4" t="str">
        <f>_xlfn.IFNA(VLOOKUP(D863,Master!$I:$K,3,FALSE),"")</f>
        <v/>
      </c>
      <c r="L863" s="27" t="str">
        <f>IF(A863&lt;&gt;"CFA",_xlfn.IFNA(VLOOKUP($G863,Master!$V$2:$Z$8,5,0),""),"")</f>
        <v/>
      </c>
      <c r="P863" s="6" t="str">
        <f t="shared" si="26"/>
        <v/>
      </c>
      <c r="Q863" s="13">
        <f t="shared" si="27"/>
        <v>0</v>
      </c>
    </row>
    <row r="864" spans="2:17" ht="15" customHeight="1">
      <c r="B864" s="5" t="str">
        <f>_xlfn.IFNA(VLOOKUP(C864,Master!$H:$I,2,FALSE),"")</f>
        <v/>
      </c>
      <c r="D864" s="5" t="str">
        <f>_xlfn.IFNA(VLOOKUP(E864,Master!$H:$I,2,FALSE),"")</f>
        <v/>
      </c>
      <c r="F864" s="26" t="str">
        <f>+_xlfn.XLOOKUP(G864,Master!$V$2:$V$8,Master!$U$2:$U$8,"")</f>
        <v/>
      </c>
      <c r="I864" s="4" t="str">
        <f>_xlfn.IFNA(VLOOKUP(D864,Master!$I:$K,2,FALSE),"")</f>
        <v/>
      </c>
      <c r="J864" s="4" t="str">
        <f>_xlfn.IFNA(VLOOKUP(D864,Master!$I:$K,3,FALSE),"")</f>
        <v/>
      </c>
      <c r="L864" s="27" t="str">
        <f>IF(A864&lt;&gt;"CFA",_xlfn.IFNA(VLOOKUP($G864,Master!$V$2:$Z$8,5,0),""),"")</f>
        <v/>
      </c>
      <c r="P864" s="6" t="str">
        <f t="shared" si="26"/>
        <v/>
      </c>
      <c r="Q864" s="13">
        <f t="shared" si="27"/>
        <v>0</v>
      </c>
    </row>
    <row r="865" spans="2:17" ht="15" customHeight="1">
      <c r="B865" s="5" t="str">
        <f>_xlfn.IFNA(VLOOKUP(C865,Master!$H:$I,2,FALSE),"")</f>
        <v/>
      </c>
      <c r="D865" s="5" t="str">
        <f>_xlfn.IFNA(VLOOKUP(E865,Master!$H:$I,2,FALSE),"")</f>
        <v/>
      </c>
      <c r="F865" s="26" t="str">
        <f>+_xlfn.XLOOKUP(G865,Master!$V$2:$V$8,Master!$U$2:$U$8,"")</f>
        <v/>
      </c>
      <c r="I865" s="4" t="str">
        <f>_xlfn.IFNA(VLOOKUP(D865,Master!$I:$K,2,FALSE),"")</f>
        <v/>
      </c>
      <c r="J865" s="4" t="str">
        <f>_xlfn.IFNA(VLOOKUP(D865,Master!$I:$K,3,FALSE),"")</f>
        <v/>
      </c>
      <c r="L865" s="27" t="str">
        <f>IF(A865&lt;&gt;"CFA",_xlfn.IFNA(VLOOKUP($G865,Master!$V$2:$Z$8,5,0),""),"")</f>
        <v/>
      </c>
      <c r="P865" s="6" t="str">
        <f t="shared" si="26"/>
        <v/>
      </c>
      <c r="Q865" s="13">
        <f t="shared" si="27"/>
        <v>0</v>
      </c>
    </row>
    <row r="866" spans="2:17" ht="15" customHeight="1">
      <c r="B866" s="5" t="str">
        <f>_xlfn.IFNA(VLOOKUP(C866,Master!$H:$I,2,FALSE),"")</f>
        <v/>
      </c>
      <c r="D866" s="5" t="str">
        <f>_xlfn.IFNA(VLOOKUP(E866,Master!$H:$I,2,FALSE),"")</f>
        <v/>
      </c>
      <c r="F866" s="26" t="str">
        <f>+_xlfn.XLOOKUP(G866,Master!$V$2:$V$8,Master!$U$2:$U$8,"")</f>
        <v/>
      </c>
      <c r="I866" s="4" t="str">
        <f>_xlfn.IFNA(VLOOKUP(D866,Master!$I:$K,2,FALSE),"")</f>
        <v/>
      </c>
      <c r="J866" s="4" t="str">
        <f>_xlfn.IFNA(VLOOKUP(D866,Master!$I:$K,3,FALSE),"")</f>
        <v/>
      </c>
      <c r="L866" s="27" t="str">
        <f>IF(A866&lt;&gt;"CFA",_xlfn.IFNA(VLOOKUP($G866,Master!$V$2:$Z$8,5,0),""),"")</f>
        <v/>
      </c>
      <c r="P866" s="6" t="str">
        <f t="shared" si="26"/>
        <v/>
      </c>
      <c r="Q866" s="13">
        <f t="shared" si="27"/>
        <v>0</v>
      </c>
    </row>
    <row r="867" spans="2:17" ht="15" customHeight="1">
      <c r="B867" s="5" t="str">
        <f>_xlfn.IFNA(VLOOKUP(C867,Master!$H:$I,2,FALSE),"")</f>
        <v/>
      </c>
      <c r="D867" s="5" t="str">
        <f>_xlfn.IFNA(VLOOKUP(E867,Master!$H:$I,2,FALSE),"")</f>
        <v/>
      </c>
      <c r="F867" s="26" t="str">
        <f>+_xlfn.XLOOKUP(G867,Master!$V$2:$V$8,Master!$U$2:$U$8,"")</f>
        <v/>
      </c>
      <c r="I867" s="4" t="str">
        <f>_xlfn.IFNA(VLOOKUP(D867,Master!$I:$K,2,FALSE),"")</f>
        <v/>
      </c>
      <c r="J867" s="4" t="str">
        <f>_xlfn.IFNA(VLOOKUP(D867,Master!$I:$K,3,FALSE),"")</f>
        <v/>
      </c>
      <c r="L867" s="27" t="str">
        <f>IF(A867&lt;&gt;"CFA",_xlfn.IFNA(VLOOKUP($G867,Master!$V$2:$Z$8,5,0),""),"")</f>
        <v/>
      </c>
      <c r="P867" s="6" t="str">
        <f t="shared" si="26"/>
        <v/>
      </c>
      <c r="Q867" s="13">
        <f t="shared" si="27"/>
        <v>0</v>
      </c>
    </row>
    <row r="868" spans="2:17" ht="15" customHeight="1">
      <c r="B868" s="5" t="str">
        <f>_xlfn.IFNA(VLOOKUP(C868,Master!$H:$I,2,FALSE),"")</f>
        <v/>
      </c>
      <c r="D868" s="5" t="str">
        <f>_xlfn.IFNA(VLOOKUP(E868,Master!$H:$I,2,FALSE),"")</f>
        <v/>
      </c>
      <c r="F868" s="26" t="str">
        <f>+_xlfn.XLOOKUP(G868,Master!$V$2:$V$8,Master!$U$2:$U$8,"")</f>
        <v/>
      </c>
      <c r="I868" s="4" t="str">
        <f>_xlfn.IFNA(VLOOKUP(D868,Master!$I:$K,2,FALSE),"")</f>
        <v/>
      </c>
      <c r="J868" s="4" t="str">
        <f>_xlfn.IFNA(VLOOKUP(D868,Master!$I:$K,3,FALSE),"")</f>
        <v/>
      </c>
      <c r="L868" s="27" t="str">
        <f>IF(A868&lt;&gt;"CFA",_xlfn.IFNA(VLOOKUP($G868,Master!$V$2:$Z$8,5,0),""),"")</f>
        <v/>
      </c>
      <c r="P868" s="6" t="str">
        <f t="shared" si="26"/>
        <v/>
      </c>
      <c r="Q868" s="13">
        <f t="shared" si="27"/>
        <v>0</v>
      </c>
    </row>
    <row r="869" spans="2:17" ht="15" customHeight="1">
      <c r="B869" s="5" t="str">
        <f>_xlfn.IFNA(VLOOKUP(C869,Master!$H:$I,2,FALSE),"")</f>
        <v/>
      </c>
      <c r="D869" s="5" t="str">
        <f>_xlfn.IFNA(VLOOKUP(E869,Master!$H:$I,2,FALSE),"")</f>
        <v/>
      </c>
      <c r="F869" s="26" t="str">
        <f>+_xlfn.XLOOKUP(G869,Master!$V$2:$V$8,Master!$U$2:$U$8,"")</f>
        <v/>
      </c>
      <c r="I869" s="4" t="str">
        <f>_xlfn.IFNA(VLOOKUP(D869,Master!$I:$K,2,FALSE),"")</f>
        <v/>
      </c>
      <c r="J869" s="4" t="str">
        <f>_xlfn.IFNA(VLOOKUP(D869,Master!$I:$K,3,FALSE),"")</f>
        <v/>
      </c>
      <c r="L869" s="27" t="str">
        <f>IF(A869&lt;&gt;"CFA",_xlfn.IFNA(VLOOKUP($G869,Master!$V$2:$Z$8,5,0),""),"")</f>
        <v/>
      </c>
      <c r="P869" s="6" t="str">
        <f t="shared" si="26"/>
        <v/>
      </c>
      <c r="Q869" s="13">
        <f t="shared" si="27"/>
        <v>0</v>
      </c>
    </row>
    <row r="870" spans="2:17" ht="15" customHeight="1">
      <c r="B870" s="5" t="str">
        <f>_xlfn.IFNA(VLOOKUP(C870,Master!$H:$I,2,FALSE),"")</f>
        <v/>
      </c>
      <c r="D870" s="5" t="str">
        <f>_xlfn.IFNA(VLOOKUP(E870,Master!$H:$I,2,FALSE),"")</f>
        <v/>
      </c>
      <c r="F870" s="26" t="str">
        <f>+_xlfn.XLOOKUP(G870,Master!$V$2:$V$8,Master!$U$2:$U$8,"")</f>
        <v/>
      </c>
      <c r="I870" s="4" t="str">
        <f>_xlfn.IFNA(VLOOKUP(D870,Master!$I:$K,2,FALSE),"")</f>
        <v/>
      </c>
      <c r="J870" s="4" t="str">
        <f>_xlfn.IFNA(VLOOKUP(D870,Master!$I:$K,3,FALSE),"")</f>
        <v/>
      </c>
      <c r="L870" s="27" t="str">
        <f>IF(A870&lt;&gt;"CFA",_xlfn.IFNA(VLOOKUP($G870,Master!$V$2:$Z$8,5,0),""),"")</f>
        <v/>
      </c>
      <c r="P870" s="6" t="str">
        <f t="shared" si="26"/>
        <v/>
      </c>
      <c r="Q870" s="13">
        <f t="shared" si="27"/>
        <v>0</v>
      </c>
    </row>
    <row r="871" spans="2:17" ht="15" customHeight="1">
      <c r="B871" s="5" t="str">
        <f>_xlfn.IFNA(VLOOKUP(C871,Master!$H:$I,2,FALSE),"")</f>
        <v/>
      </c>
      <c r="D871" s="5" t="str">
        <f>_xlfn.IFNA(VLOOKUP(E871,Master!$H:$I,2,FALSE),"")</f>
        <v/>
      </c>
      <c r="F871" s="26" t="str">
        <f>+_xlfn.XLOOKUP(G871,Master!$V$2:$V$8,Master!$U$2:$U$8,"")</f>
        <v/>
      </c>
      <c r="I871" s="4" t="str">
        <f>_xlfn.IFNA(VLOOKUP(D871,Master!$I:$K,2,FALSE),"")</f>
        <v/>
      </c>
      <c r="J871" s="4" t="str">
        <f>_xlfn.IFNA(VLOOKUP(D871,Master!$I:$K,3,FALSE),"")</f>
        <v/>
      </c>
      <c r="L871" s="27" t="str">
        <f>IF(A871&lt;&gt;"CFA",_xlfn.IFNA(VLOOKUP($G871,Master!$V$2:$Z$8,5,0),""),"")</f>
        <v/>
      </c>
      <c r="P871" s="6" t="str">
        <f t="shared" si="26"/>
        <v/>
      </c>
      <c r="Q871" s="13">
        <f t="shared" si="27"/>
        <v>0</v>
      </c>
    </row>
    <row r="872" spans="2:17" ht="15" customHeight="1">
      <c r="B872" s="5" t="str">
        <f>_xlfn.IFNA(VLOOKUP(C872,Master!$H:$I,2,FALSE),"")</f>
        <v/>
      </c>
      <c r="D872" s="5" t="str">
        <f>_xlfn.IFNA(VLOOKUP(E872,Master!$H:$I,2,FALSE),"")</f>
        <v/>
      </c>
      <c r="F872" s="26" t="str">
        <f>+_xlfn.XLOOKUP(G872,Master!$V$2:$V$8,Master!$U$2:$U$8,"")</f>
        <v/>
      </c>
      <c r="I872" s="4" t="str">
        <f>_xlfn.IFNA(VLOOKUP(D872,Master!$I:$K,2,FALSE),"")</f>
        <v/>
      </c>
      <c r="J872" s="4" t="str">
        <f>_xlfn.IFNA(VLOOKUP(D872,Master!$I:$K,3,FALSE),"")</f>
        <v/>
      </c>
      <c r="L872" s="27" t="str">
        <f>IF(A872&lt;&gt;"CFA",_xlfn.IFNA(VLOOKUP($G872,Master!$V$2:$Z$8,5,0),""),"")</f>
        <v/>
      </c>
      <c r="P872" s="6" t="str">
        <f t="shared" si="26"/>
        <v/>
      </c>
      <c r="Q872" s="13">
        <f t="shared" si="27"/>
        <v>0</v>
      </c>
    </row>
    <row r="873" spans="2:17" ht="15" customHeight="1">
      <c r="B873" s="5" t="str">
        <f>_xlfn.IFNA(VLOOKUP(C873,Master!$H:$I,2,FALSE),"")</f>
        <v/>
      </c>
      <c r="D873" s="5" t="str">
        <f>_xlfn.IFNA(VLOOKUP(E873,Master!$H:$I,2,FALSE),"")</f>
        <v/>
      </c>
      <c r="F873" s="26" t="str">
        <f>+_xlfn.XLOOKUP(G873,Master!$V$2:$V$8,Master!$U$2:$U$8,"")</f>
        <v/>
      </c>
      <c r="I873" s="4" t="str">
        <f>_xlfn.IFNA(VLOOKUP(D873,Master!$I:$K,2,FALSE),"")</f>
        <v/>
      </c>
      <c r="J873" s="4" t="str">
        <f>_xlfn.IFNA(VLOOKUP(D873,Master!$I:$K,3,FALSE),"")</f>
        <v/>
      </c>
      <c r="L873" s="27" t="str">
        <f>IF(A873&lt;&gt;"CFA",_xlfn.IFNA(VLOOKUP($G873,Master!$V$2:$Z$8,5,0),""),"")</f>
        <v/>
      </c>
      <c r="P873" s="6" t="str">
        <f t="shared" si="26"/>
        <v/>
      </c>
      <c r="Q873" s="13">
        <f t="shared" si="27"/>
        <v>0</v>
      </c>
    </row>
    <row r="874" spans="2:17" ht="15" customHeight="1">
      <c r="B874" s="5" t="str">
        <f>_xlfn.IFNA(VLOOKUP(C874,Master!$H:$I,2,FALSE),"")</f>
        <v/>
      </c>
      <c r="D874" s="5" t="str">
        <f>_xlfn.IFNA(VLOOKUP(E874,Master!$H:$I,2,FALSE),"")</f>
        <v/>
      </c>
      <c r="F874" s="26" t="str">
        <f>+_xlfn.XLOOKUP(G874,Master!$V$2:$V$8,Master!$U$2:$U$8,"")</f>
        <v/>
      </c>
      <c r="I874" s="4" t="str">
        <f>_xlfn.IFNA(VLOOKUP(D874,Master!$I:$K,2,FALSE),"")</f>
        <v/>
      </c>
      <c r="J874" s="4" t="str">
        <f>_xlfn.IFNA(VLOOKUP(D874,Master!$I:$K,3,FALSE),"")</f>
        <v/>
      </c>
      <c r="L874" s="27" t="str">
        <f>IF(A874&lt;&gt;"CFA",_xlfn.IFNA(VLOOKUP($G874,Master!$V$2:$Z$8,5,0),""),"")</f>
        <v/>
      </c>
      <c r="P874" s="6" t="str">
        <f t="shared" si="26"/>
        <v/>
      </c>
      <c r="Q874" s="13">
        <f t="shared" si="27"/>
        <v>0</v>
      </c>
    </row>
    <row r="875" spans="2:17" ht="15" customHeight="1">
      <c r="B875" s="5" t="str">
        <f>_xlfn.IFNA(VLOOKUP(C875,Master!$H:$I,2,FALSE),"")</f>
        <v/>
      </c>
      <c r="D875" s="5" t="str">
        <f>_xlfn.IFNA(VLOOKUP(E875,Master!$H:$I,2,FALSE),"")</f>
        <v/>
      </c>
      <c r="F875" s="26" t="str">
        <f>+_xlfn.XLOOKUP(G875,Master!$V$2:$V$8,Master!$U$2:$U$8,"")</f>
        <v/>
      </c>
      <c r="I875" s="4" t="str">
        <f>_xlfn.IFNA(VLOOKUP(D875,Master!$I:$K,2,FALSE),"")</f>
        <v/>
      </c>
      <c r="J875" s="4" t="str">
        <f>_xlfn.IFNA(VLOOKUP(D875,Master!$I:$K,3,FALSE),"")</f>
        <v/>
      </c>
      <c r="L875" s="27" t="str">
        <f>IF(A875&lt;&gt;"CFA",_xlfn.IFNA(VLOOKUP($G875,Master!$V$2:$Z$8,5,0),""),"")</f>
        <v/>
      </c>
      <c r="P875" s="6" t="str">
        <f t="shared" si="26"/>
        <v/>
      </c>
      <c r="Q875" s="13">
        <f t="shared" si="27"/>
        <v>0</v>
      </c>
    </row>
    <row r="876" spans="2:17" ht="15" customHeight="1">
      <c r="B876" s="5" t="str">
        <f>_xlfn.IFNA(VLOOKUP(C876,Master!$H:$I,2,FALSE),"")</f>
        <v/>
      </c>
      <c r="D876" s="5" t="str">
        <f>_xlfn.IFNA(VLOOKUP(E876,Master!$H:$I,2,FALSE),"")</f>
        <v/>
      </c>
      <c r="F876" s="26" t="str">
        <f>+_xlfn.XLOOKUP(G876,Master!$V$2:$V$8,Master!$U$2:$U$8,"")</f>
        <v/>
      </c>
      <c r="I876" s="4" t="str">
        <f>_xlfn.IFNA(VLOOKUP(D876,Master!$I:$K,2,FALSE),"")</f>
        <v/>
      </c>
      <c r="J876" s="4" t="str">
        <f>_xlfn.IFNA(VLOOKUP(D876,Master!$I:$K,3,FALSE),"")</f>
        <v/>
      </c>
      <c r="L876" s="27" t="str">
        <f>IF(A876&lt;&gt;"CFA",_xlfn.IFNA(VLOOKUP($G876,Master!$V$2:$Z$8,5,0),""),"")</f>
        <v/>
      </c>
      <c r="P876" s="6" t="str">
        <f t="shared" si="26"/>
        <v/>
      </c>
      <c r="Q876" s="13">
        <f t="shared" si="27"/>
        <v>0</v>
      </c>
    </row>
    <row r="877" spans="2:17" ht="15" customHeight="1">
      <c r="B877" s="5" t="str">
        <f>_xlfn.IFNA(VLOOKUP(C877,Master!$H:$I,2,FALSE),"")</f>
        <v/>
      </c>
      <c r="D877" s="5" t="str">
        <f>_xlfn.IFNA(VLOOKUP(E877,Master!$H:$I,2,FALSE),"")</f>
        <v/>
      </c>
      <c r="F877" s="26" t="str">
        <f>+_xlfn.XLOOKUP(G877,Master!$V$2:$V$8,Master!$U$2:$U$8,"")</f>
        <v/>
      </c>
      <c r="I877" s="4" t="str">
        <f>_xlfn.IFNA(VLOOKUP(D877,Master!$I:$K,2,FALSE),"")</f>
        <v/>
      </c>
      <c r="J877" s="4" t="str">
        <f>_xlfn.IFNA(VLOOKUP(D877,Master!$I:$K,3,FALSE),"")</f>
        <v/>
      </c>
      <c r="L877" s="27" t="str">
        <f>IF(A877&lt;&gt;"CFA",_xlfn.IFNA(VLOOKUP($G877,Master!$V$2:$Z$8,5,0),""),"")</f>
        <v/>
      </c>
      <c r="P877" s="6" t="str">
        <f t="shared" si="26"/>
        <v/>
      </c>
      <c r="Q877" s="13">
        <f t="shared" si="27"/>
        <v>0</v>
      </c>
    </row>
    <row r="878" spans="2:17" ht="15" customHeight="1">
      <c r="B878" s="5" t="str">
        <f>_xlfn.IFNA(VLOOKUP(C878,Master!$H:$I,2,FALSE),"")</f>
        <v/>
      </c>
      <c r="D878" s="5" t="str">
        <f>_xlfn.IFNA(VLOOKUP(E878,Master!$H:$I,2,FALSE),"")</f>
        <v/>
      </c>
      <c r="F878" s="26" t="str">
        <f>+_xlfn.XLOOKUP(G878,Master!$V$2:$V$8,Master!$U$2:$U$8,"")</f>
        <v/>
      </c>
      <c r="I878" s="4" t="str">
        <f>_xlfn.IFNA(VLOOKUP(D878,Master!$I:$K,2,FALSE),"")</f>
        <v/>
      </c>
      <c r="J878" s="4" t="str">
        <f>_xlfn.IFNA(VLOOKUP(D878,Master!$I:$K,3,FALSE),"")</f>
        <v/>
      </c>
      <c r="L878" s="27" t="str">
        <f>IF(A878&lt;&gt;"CFA",_xlfn.IFNA(VLOOKUP($G878,Master!$V$2:$Z$8,5,0),""),"")</f>
        <v/>
      </c>
      <c r="P878" s="6" t="str">
        <f t="shared" si="26"/>
        <v/>
      </c>
      <c r="Q878" s="13">
        <f t="shared" si="27"/>
        <v>0</v>
      </c>
    </row>
    <row r="879" spans="2:17" ht="15" customHeight="1">
      <c r="B879" s="5" t="str">
        <f>_xlfn.IFNA(VLOOKUP(C879,Master!$H:$I,2,FALSE),"")</f>
        <v/>
      </c>
      <c r="D879" s="5" t="str">
        <f>_xlfn.IFNA(VLOOKUP(E879,Master!$H:$I,2,FALSE),"")</f>
        <v/>
      </c>
      <c r="F879" s="26" t="str">
        <f>+_xlfn.XLOOKUP(G879,Master!$V$2:$V$8,Master!$U$2:$U$8,"")</f>
        <v/>
      </c>
      <c r="I879" s="4" t="str">
        <f>_xlfn.IFNA(VLOOKUP(D879,Master!$I:$K,2,FALSE),"")</f>
        <v/>
      </c>
      <c r="J879" s="4" t="str">
        <f>_xlfn.IFNA(VLOOKUP(D879,Master!$I:$K,3,FALSE),"")</f>
        <v/>
      </c>
      <c r="L879" s="27" t="str">
        <f>IF(A879&lt;&gt;"CFA",_xlfn.IFNA(VLOOKUP($G879,Master!$V$2:$Z$8,5,0),""),"")</f>
        <v/>
      </c>
      <c r="P879" s="6" t="str">
        <f t="shared" si="26"/>
        <v/>
      </c>
      <c r="Q879" s="13">
        <f t="shared" si="27"/>
        <v>0</v>
      </c>
    </row>
    <row r="880" spans="2:17" ht="15" customHeight="1">
      <c r="B880" s="5" t="str">
        <f>_xlfn.IFNA(VLOOKUP(C880,Master!$H:$I,2,FALSE),"")</f>
        <v/>
      </c>
      <c r="D880" s="5" t="str">
        <f>_xlfn.IFNA(VLOOKUP(E880,Master!$H:$I,2,FALSE),"")</f>
        <v/>
      </c>
      <c r="F880" s="26" t="str">
        <f>+_xlfn.XLOOKUP(G880,Master!$V$2:$V$8,Master!$U$2:$U$8,"")</f>
        <v/>
      </c>
      <c r="I880" s="4" t="str">
        <f>_xlfn.IFNA(VLOOKUP(D880,Master!$I:$K,2,FALSE),"")</f>
        <v/>
      </c>
      <c r="J880" s="4" t="str">
        <f>_xlfn.IFNA(VLOOKUP(D880,Master!$I:$K,3,FALSE),"")</f>
        <v/>
      </c>
      <c r="L880" s="27" t="str">
        <f>IF(A880&lt;&gt;"CFA",_xlfn.IFNA(VLOOKUP($G880,Master!$V$2:$Z$8,5,0),""),"")</f>
        <v/>
      </c>
      <c r="P880" s="6" t="str">
        <f t="shared" si="26"/>
        <v/>
      </c>
      <c r="Q880" s="13">
        <f t="shared" si="27"/>
        <v>0</v>
      </c>
    </row>
    <row r="881" spans="2:17" ht="15" customHeight="1">
      <c r="B881" s="5" t="str">
        <f>_xlfn.IFNA(VLOOKUP(C881,Master!$H:$I,2,FALSE),"")</f>
        <v/>
      </c>
      <c r="D881" s="5" t="str">
        <f>_xlfn.IFNA(VLOOKUP(E881,Master!$H:$I,2,FALSE),"")</f>
        <v/>
      </c>
      <c r="F881" s="26" t="str">
        <f>+_xlfn.XLOOKUP(G881,Master!$V$2:$V$8,Master!$U$2:$U$8,"")</f>
        <v/>
      </c>
      <c r="I881" s="4" t="str">
        <f>_xlfn.IFNA(VLOOKUP(D881,Master!$I:$K,2,FALSE),"")</f>
        <v/>
      </c>
      <c r="J881" s="4" t="str">
        <f>_xlfn.IFNA(VLOOKUP(D881,Master!$I:$K,3,FALSE),"")</f>
        <v/>
      </c>
      <c r="L881" s="27" t="str">
        <f>IF(A881&lt;&gt;"CFA",_xlfn.IFNA(VLOOKUP($G881,Master!$V$2:$Z$8,5,0),""),"")</f>
        <v/>
      </c>
      <c r="P881" s="6" t="str">
        <f t="shared" si="26"/>
        <v/>
      </c>
      <c r="Q881" s="13">
        <f t="shared" si="27"/>
        <v>0</v>
      </c>
    </row>
    <row r="882" spans="2:17" ht="15" customHeight="1">
      <c r="B882" s="5" t="str">
        <f>_xlfn.IFNA(VLOOKUP(C882,Master!$H:$I,2,FALSE),"")</f>
        <v/>
      </c>
      <c r="D882" s="5" t="str">
        <f>_xlfn.IFNA(VLOOKUP(E882,Master!$H:$I,2,FALSE),"")</f>
        <v/>
      </c>
      <c r="F882" s="26" t="str">
        <f>+_xlfn.XLOOKUP(G882,Master!$V$2:$V$8,Master!$U$2:$U$8,"")</f>
        <v/>
      </c>
      <c r="I882" s="4" t="str">
        <f>_xlfn.IFNA(VLOOKUP(D882,Master!$I:$K,2,FALSE),"")</f>
        <v/>
      </c>
      <c r="J882" s="4" t="str">
        <f>_xlfn.IFNA(VLOOKUP(D882,Master!$I:$K,3,FALSE),"")</f>
        <v/>
      </c>
      <c r="L882" s="27" t="str">
        <f>IF(A882&lt;&gt;"CFA",_xlfn.IFNA(VLOOKUP($G882,Master!$V$2:$Z$8,5,0),""),"")</f>
        <v/>
      </c>
      <c r="P882" s="6" t="str">
        <f t="shared" si="26"/>
        <v/>
      </c>
      <c r="Q882" s="13">
        <f t="shared" si="27"/>
        <v>0</v>
      </c>
    </row>
    <row r="883" spans="2:17" ht="15" customHeight="1">
      <c r="B883" s="5" t="str">
        <f>_xlfn.IFNA(VLOOKUP(C883,Master!$H:$I,2,FALSE),"")</f>
        <v/>
      </c>
      <c r="D883" s="5" t="str">
        <f>_xlfn.IFNA(VLOOKUP(E883,Master!$H:$I,2,FALSE),"")</f>
        <v/>
      </c>
      <c r="F883" s="26" t="str">
        <f>+_xlfn.XLOOKUP(G883,Master!$V$2:$V$8,Master!$U$2:$U$8,"")</f>
        <v/>
      </c>
      <c r="I883" s="4" t="str">
        <f>_xlfn.IFNA(VLOOKUP(D883,Master!$I:$K,2,FALSE),"")</f>
        <v/>
      </c>
      <c r="J883" s="4" t="str">
        <f>_xlfn.IFNA(VLOOKUP(D883,Master!$I:$K,3,FALSE),"")</f>
        <v/>
      </c>
      <c r="L883" s="27" t="str">
        <f>IF(A883&lt;&gt;"CFA",_xlfn.IFNA(VLOOKUP($G883,Master!$V$2:$Z$8,5,0),""),"")</f>
        <v/>
      </c>
      <c r="P883" s="6" t="str">
        <f t="shared" si="26"/>
        <v/>
      </c>
      <c r="Q883" s="13">
        <f t="shared" si="27"/>
        <v>0</v>
      </c>
    </row>
    <row r="884" spans="2:17" ht="15" customHeight="1">
      <c r="B884" s="5" t="str">
        <f>_xlfn.IFNA(VLOOKUP(C884,Master!$H:$I,2,FALSE),"")</f>
        <v/>
      </c>
      <c r="D884" s="5" t="str">
        <f>_xlfn.IFNA(VLOOKUP(E884,Master!$H:$I,2,FALSE),"")</f>
        <v/>
      </c>
      <c r="F884" s="26" t="str">
        <f>+_xlfn.XLOOKUP(G884,Master!$V$2:$V$8,Master!$U$2:$U$8,"")</f>
        <v/>
      </c>
      <c r="I884" s="4" t="str">
        <f>_xlfn.IFNA(VLOOKUP(D884,Master!$I:$K,2,FALSE),"")</f>
        <v/>
      </c>
      <c r="J884" s="4" t="str">
        <f>_xlfn.IFNA(VLOOKUP(D884,Master!$I:$K,3,FALSE),"")</f>
        <v/>
      </c>
      <c r="L884" s="27" t="str">
        <f>IF(A884&lt;&gt;"CFA",_xlfn.IFNA(VLOOKUP($G884,Master!$V$2:$Z$8,5,0),""),"")</f>
        <v/>
      </c>
      <c r="P884" s="6" t="str">
        <f t="shared" si="26"/>
        <v/>
      </c>
      <c r="Q884" s="13">
        <f t="shared" si="27"/>
        <v>0</v>
      </c>
    </row>
    <row r="885" spans="2:17" ht="15" customHeight="1">
      <c r="B885" s="5" t="str">
        <f>_xlfn.IFNA(VLOOKUP(C885,Master!$H:$I,2,FALSE),"")</f>
        <v/>
      </c>
      <c r="D885" s="5" t="str">
        <f>_xlfn.IFNA(VLOOKUP(E885,Master!$H:$I,2,FALSE),"")</f>
        <v/>
      </c>
      <c r="F885" s="26" t="str">
        <f>+_xlfn.XLOOKUP(G885,Master!$V$2:$V$8,Master!$U$2:$U$8,"")</f>
        <v/>
      </c>
      <c r="I885" s="4" t="str">
        <f>_xlfn.IFNA(VLOOKUP(D885,Master!$I:$K,2,FALSE),"")</f>
        <v/>
      </c>
      <c r="J885" s="4" t="str">
        <f>_xlfn.IFNA(VLOOKUP(D885,Master!$I:$K,3,FALSE),"")</f>
        <v/>
      </c>
      <c r="L885" s="27" t="str">
        <f>IF(A885&lt;&gt;"CFA",_xlfn.IFNA(VLOOKUP($G885,Master!$V$2:$Z$8,5,0),""),"")</f>
        <v/>
      </c>
      <c r="P885" s="6" t="str">
        <f t="shared" si="26"/>
        <v/>
      </c>
      <c r="Q885" s="13">
        <f t="shared" si="27"/>
        <v>0</v>
      </c>
    </row>
    <row r="886" spans="2:17" ht="15" customHeight="1">
      <c r="B886" s="5" t="str">
        <f>_xlfn.IFNA(VLOOKUP(C886,Master!$H:$I,2,FALSE),"")</f>
        <v/>
      </c>
      <c r="D886" s="5" t="str">
        <f>_xlfn.IFNA(VLOOKUP(E886,Master!$H:$I,2,FALSE),"")</f>
        <v/>
      </c>
      <c r="F886" s="26" t="str">
        <f>+_xlfn.XLOOKUP(G886,Master!$V$2:$V$8,Master!$U$2:$U$8,"")</f>
        <v/>
      </c>
      <c r="I886" s="4" t="str">
        <f>_xlfn.IFNA(VLOOKUP(D886,Master!$I:$K,2,FALSE),"")</f>
        <v/>
      </c>
      <c r="J886" s="4" t="str">
        <f>_xlfn.IFNA(VLOOKUP(D886,Master!$I:$K,3,FALSE),"")</f>
        <v/>
      </c>
      <c r="L886" s="27" t="str">
        <f>IF(A886&lt;&gt;"CFA",_xlfn.IFNA(VLOOKUP($G886,Master!$V$2:$Z$8,5,0),""),"")</f>
        <v/>
      </c>
      <c r="P886" s="6" t="str">
        <f t="shared" si="26"/>
        <v/>
      </c>
      <c r="Q886" s="13">
        <f t="shared" si="27"/>
        <v>0</v>
      </c>
    </row>
    <row r="887" spans="2:17" ht="15" customHeight="1">
      <c r="B887" s="5" t="str">
        <f>_xlfn.IFNA(VLOOKUP(C887,Master!$H:$I,2,FALSE),"")</f>
        <v/>
      </c>
      <c r="D887" s="5" t="str">
        <f>_xlfn.IFNA(VLOOKUP(E887,Master!$H:$I,2,FALSE),"")</f>
        <v/>
      </c>
      <c r="F887" s="26" t="str">
        <f>+_xlfn.XLOOKUP(G887,Master!$V$2:$V$8,Master!$U$2:$U$8,"")</f>
        <v/>
      </c>
      <c r="I887" s="4" t="str">
        <f>_xlfn.IFNA(VLOOKUP(D887,Master!$I:$K,2,FALSE),"")</f>
        <v/>
      </c>
      <c r="J887" s="4" t="str">
        <f>_xlfn.IFNA(VLOOKUP(D887,Master!$I:$K,3,FALSE),"")</f>
        <v/>
      </c>
      <c r="L887" s="27" t="str">
        <f>IF(A887&lt;&gt;"CFA",_xlfn.IFNA(VLOOKUP($G887,Master!$V$2:$Z$8,5,0),""),"")</f>
        <v/>
      </c>
      <c r="P887" s="6" t="str">
        <f t="shared" ref="P887:P950" si="28">IF(N887&lt;&gt;"",IF(MONTH(N887)&gt;=4,"FY1"&amp;RIGHT(YEAR(N887)+1,2),"FY1"&amp;RIGHT(YEAR(N887),2)),"")</f>
        <v/>
      </c>
      <c r="Q887" s="13">
        <f t="shared" ref="Q887:Q950" si="29">IF(K887&gt;0&amp;M887&gt;0,K887*M887,"")</f>
        <v>0</v>
      </c>
    </row>
    <row r="888" spans="2:17" ht="15" customHeight="1">
      <c r="B888" s="5" t="str">
        <f>_xlfn.IFNA(VLOOKUP(C888,Master!$H:$I,2,FALSE),"")</f>
        <v/>
      </c>
      <c r="D888" s="5" t="str">
        <f>_xlfn.IFNA(VLOOKUP(E888,Master!$H:$I,2,FALSE),"")</f>
        <v/>
      </c>
      <c r="F888" s="26" t="str">
        <f>+_xlfn.XLOOKUP(G888,Master!$V$2:$V$8,Master!$U$2:$U$8,"")</f>
        <v/>
      </c>
      <c r="I888" s="4" t="str">
        <f>_xlfn.IFNA(VLOOKUP(D888,Master!$I:$K,2,FALSE),"")</f>
        <v/>
      </c>
      <c r="J888" s="4" t="str">
        <f>_xlfn.IFNA(VLOOKUP(D888,Master!$I:$K,3,FALSE),"")</f>
        <v/>
      </c>
      <c r="L888" s="27" t="str">
        <f>IF(A888&lt;&gt;"CFA",_xlfn.IFNA(VLOOKUP($G888,Master!$V$2:$Z$8,5,0),""),"")</f>
        <v/>
      </c>
      <c r="P888" s="6" t="str">
        <f t="shared" si="28"/>
        <v/>
      </c>
      <c r="Q888" s="13">
        <f t="shared" si="29"/>
        <v>0</v>
      </c>
    </row>
    <row r="889" spans="2:17" ht="15" customHeight="1">
      <c r="B889" s="5" t="str">
        <f>_xlfn.IFNA(VLOOKUP(C889,Master!$H:$I,2,FALSE),"")</f>
        <v/>
      </c>
      <c r="D889" s="5" t="str">
        <f>_xlfn.IFNA(VLOOKUP(E889,Master!$H:$I,2,FALSE),"")</f>
        <v/>
      </c>
      <c r="F889" s="26" t="str">
        <f>+_xlfn.XLOOKUP(G889,Master!$V$2:$V$8,Master!$U$2:$U$8,"")</f>
        <v/>
      </c>
      <c r="I889" s="4" t="str">
        <f>_xlfn.IFNA(VLOOKUP(D889,Master!$I:$K,2,FALSE),"")</f>
        <v/>
      </c>
      <c r="J889" s="4" t="str">
        <f>_xlfn.IFNA(VLOOKUP(D889,Master!$I:$K,3,FALSE),"")</f>
        <v/>
      </c>
      <c r="L889" s="27" t="str">
        <f>IF(A889&lt;&gt;"CFA",_xlfn.IFNA(VLOOKUP($G889,Master!$V$2:$Z$8,5,0),""),"")</f>
        <v/>
      </c>
      <c r="P889" s="6" t="str">
        <f t="shared" si="28"/>
        <v/>
      </c>
      <c r="Q889" s="13">
        <f t="shared" si="29"/>
        <v>0</v>
      </c>
    </row>
    <row r="890" spans="2:17" ht="15" customHeight="1">
      <c r="B890" s="5" t="str">
        <f>_xlfn.IFNA(VLOOKUP(C890,Master!$H:$I,2,FALSE),"")</f>
        <v/>
      </c>
      <c r="D890" s="5" t="str">
        <f>_xlfn.IFNA(VLOOKUP(E890,Master!$H:$I,2,FALSE),"")</f>
        <v/>
      </c>
      <c r="F890" s="26" t="str">
        <f>+_xlfn.XLOOKUP(G890,Master!$V$2:$V$8,Master!$U$2:$U$8,"")</f>
        <v/>
      </c>
      <c r="I890" s="4" t="str">
        <f>_xlfn.IFNA(VLOOKUP(D890,Master!$I:$K,2,FALSE),"")</f>
        <v/>
      </c>
      <c r="J890" s="4" t="str">
        <f>_xlfn.IFNA(VLOOKUP(D890,Master!$I:$K,3,FALSE),"")</f>
        <v/>
      </c>
      <c r="L890" s="27" t="str">
        <f>IF(A890&lt;&gt;"CFA",_xlfn.IFNA(VLOOKUP($G890,Master!$V$2:$Z$8,5,0),""),"")</f>
        <v/>
      </c>
      <c r="P890" s="6" t="str">
        <f t="shared" si="28"/>
        <v/>
      </c>
      <c r="Q890" s="13">
        <f t="shared" si="29"/>
        <v>0</v>
      </c>
    </row>
    <row r="891" spans="2:17" ht="15" customHeight="1">
      <c r="B891" s="5" t="str">
        <f>_xlfn.IFNA(VLOOKUP(C891,Master!$H:$I,2,FALSE),"")</f>
        <v/>
      </c>
      <c r="D891" s="5" t="str">
        <f>_xlfn.IFNA(VLOOKUP(E891,Master!$H:$I,2,FALSE),"")</f>
        <v/>
      </c>
      <c r="F891" s="26" t="str">
        <f>+_xlfn.XLOOKUP(G891,Master!$V$2:$V$8,Master!$U$2:$U$8,"")</f>
        <v/>
      </c>
      <c r="I891" s="4" t="str">
        <f>_xlfn.IFNA(VLOOKUP(D891,Master!$I:$K,2,FALSE),"")</f>
        <v/>
      </c>
      <c r="J891" s="4" t="str">
        <f>_xlfn.IFNA(VLOOKUP(D891,Master!$I:$K,3,FALSE),"")</f>
        <v/>
      </c>
      <c r="L891" s="27" t="str">
        <f>IF(A891&lt;&gt;"CFA",_xlfn.IFNA(VLOOKUP($G891,Master!$V$2:$Z$8,5,0),""),"")</f>
        <v/>
      </c>
      <c r="P891" s="6" t="str">
        <f t="shared" si="28"/>
        <v/>
      </c>
      <c r="Q891" s="13">
        <f t="shared" si="29"/>
        <v>0</v>
      </c>
    </row>
    <row r="892" spans="2:17" ht="15" customHeight="1">
      <c r="B892" s="5" t="str">
        <f>_xlfn.IFNA(VLOOKUP(C892,Master!$H:$I,2,FALSE),"")</f>
        <v/>
      </c>
      <c r="D892" s="5" t="str">
        <f>_xlfn.IFNA(VLOOKUP(E892,Master!$H:$I,2,FALSE),"")</f>
        <v/>
      </c>
      <c r="F892" s="26" t="str">
        <f>+_xlfn.XLOOKUP(G892,Master!$V$2:$V$8,Master!$U$2:$U$8,"")</f>
        <v/>
      </c>
      <c r="I892" s="4" t="str">
        <f>_xlfn.IFNA(VLOOKUP(D892,Master!$I:$K,2,FALSE),"")</f>
        <v/>
      </c>
      <c r="J892" s="4" t="str">
        <f>_xlfn.IFNA(VLOOKUP(D892,Master!$I:$K,3,FALSE),"")</f>
        <v/>
      </c>
      <c r="L892" s="27" t="str">
        <f>IF(A892&lt;&gt;"CFA",_xlfn.IFNA(VLOOKUP($G892,Master!$V$2:$Z$8,5,0),""),"")</f>
        <v/>
      </c>
      <c r="P892" s="6" t="str">
        <f t="shared" si="28"/>
        <v/>
      </c>
      <c r="Q892" s="13">
        <f t="shared" si="29"/>
        <v>0</v>
      </c>
    </row>
    <row r="893" spans="2:17" ht="15" customHeight="1">
      <c r="B893" s="5" t="str">
        <f>_xlfn.IFNA(VLOOKUP(C893,Master!$H:$I,2,FALSE),"")</f>
        <v/>
      </c>
      <c r="D893" s="5" t="str">
        <f>_xlfn.IFNA(VLOOKUP(E893,Master!$H:$I,2,FALSE),"")</f>
        <v/>
      </c>
      <c r="F893" s="26" t="str">
        <f>+_xlfn.XLOOKUP(G893,Master!$V$2:$V$8,Master!$U$2:$U$8,"")</f>
        <v/>
      </c>
      <c r="I893" s="4" t="str">
        <f>_xlfn.IFNA(VLOOKUP(D893,Master!$I:$K,2,FALSE),"")</f>
        <v/>
      </c>
      <c r="J893" s="4" t="str">
        <f>_xlfn.IFNA(VLOOKUP(D893,Master!$I:$K,3,FALSE),"")</f>
        <v/>
      </c>
      <c r="L893" s="27" t="str">
        <f>IF(A893&lt;&gt;"CFA",_xlfn.IFNA(VLOOKUP($G893,Master!$V$2:$Z$8,5,0),""),"")</f>
        <v/>
      </c>
      <c r="P893" s="6" t="str">
        <f t="shared" si="28"/>
        <v/>
      </c>
      <c r="Q893" s="13">
        <f t="shared" si="29"/>
        <v>0</v>
      </c>
    </row>
    <row r="894" spans="2:17" ht="15" customHeight="1">
      <c r="B894" s="5" t="str">
        <f>_xlfn.IFNA(VLOOKUP(C894,Master!$H:$I,2,FALSE),"")</f>
        <v/>
      </c>
      <c r="D894" s="5" t="str">
        <f>_xlfn.IFNA(VLOOKUP(E894,Master!$H:$I,2,FALSE),"")</f>
        <v/>
      </c>
      <c r="F894" s="26" t="str">
        <f>+_xlfn.XLOOKUP(G894,Master!$V$2:$V$8,Master!$U$2:$U$8,"")</f>
        <v/>
      </c>
      <c r="I894" s="4" t="str">
        <f>_xlfn.IFNA(VLOOKUP(D894,Master!$I:$K,2,FALSE),"")</f>
        <v/>
      </c>
      <c r="J894" s="4" t="str">
        <f>_xlfn.IFNA(VLOOKUP(D894,Master!$I:$K,3,FALSE),"")</f>
        <v/>
      </c>
      <c r="L894" s="27" t="str">
        <f>IF(A894&lt;&gt;"CFA",_xlfn.IFNA(VLOOKUP($G894,Master!$V$2:$Z$8,5,0),""),"")</f>
        <v/>
      </c>
      <c r="P894" s="6" t="str">
        <f t="shared" si="28"/>
        <v/>
      </c>
      <c r="Q894" s="13">
        <f t="shared" si="29"/>
        <v>0</v>
      </c>
    </row>
    <row r="895" spans="2:17" ht="15" customHeight="1">
      <c r="B895" s="5" t="str">
        <f>_xlfn.IFNA(VLOOKUP(C895,Master!$H:$I,2,FALSE),"")</f>
        <v/>
      </c>
      <c r="D895" s="5" t="str">
        <f>_xlfn.IFNA(VLOOKUP(E895,Master!$H:$I,2,FALSE),"")</f>
        <v/>
      </c>
      <c r="F895" s="26" t="str">
        <f>+_xlfn.XLOOKUP(G895,Master!$V$2:$V$8,Master!$U$2:$U$8,"")</f>
        <v/>
      </c>
      <c r="I895" s="4" t="str">
        <f>_xlfn.IFNA(VLOOKUP(D895,Master!$I:$K,2,FALSE),"")</f>
        <v/>
      </c>
      <c r="J895" s="4" t="str">
        <f>_xlfn.IFNA(VLOOKUP(D895,Master!$I:$K,3,FALSE),"")</f>
        <v/>
      </c>
      <c r="L895" s="27" t="str">
        <f>IF(A895&lt;&gt;"CFA",_xlfn.IFNA(VLOOKUP($G895,Master!$V$2:$Z$8,5,0),""),"")</f>
        <v/>
      </c>
      <c r="P895" s="6" t="str">
        <f t="shared" si="28"/>
        <v/>
      </c>
      <c r="Q895" s="13">
        <f t="shared" si="29"/>
        <v>0</v>
      </c>
    </row>
    <row r="896" spans="2:17" ht="15" customHeight="1">
      <c r="B896" s="5" t="str">
        <f>_xlfn.IFNA(VLOOKUP(C896,Master!$H:$I,2,FALSE),"")</f>
        <v/>
      </c>
      <c r="D896" s="5" t="str">
        <f>_xlfn.IFNA(VLOOKUP(E896,Master!$H:$I,2,FALSE),"")</f>
        <v/>
      </c>
      <c r="F896" s="26" t="str">
        <f>+_xlfn.XLOOKUP(G896,Master!$V$2:$V$8,Master!$U$2:$U$8,"")</f>
        <v/>
      </c>
      <c r="I896" s="4" t="str">
        <f>_xlfn.IFNA(VLOOKUP(D896,Master!$I:$K,2,FALSE),"")</f>
        <v/>
      </c>
      <c r="J896" s="4" t="str">
        <f>_xlfn.IFNA(VLOOKUP(D896,Master!$I:$K,3,FALSE),"")</f>
        <v/>
      </c>
      <c r="L896" s="27" t="str">
        <f>IF(A896&lt;&gt;"CFA",_xlfn.IFNA(VLOOKUP($G896,Master!$V$2:$Z$8,5,0),""),"")</f>
        <v/>
      </c>
      <c r="P896" s="6" t="str">
        <f t="shared" si="28"/>
        <v/>
      </c>
      <c r="Q896" s="13">
        <f t="shared" si="29"/>
        <v>0</v>
      </c>
    </row>
    <row r="897" spans="2:17" ht="15" customHeight="1">
      <c r="B897" s="5" t="str">
        <f>_xlfn.IFNA(VLOOKUP(C897,Master!$H:$I,2,FALSE),"")</f>
        <v/>
      </c>
      <c r="D897" s="5" t="str">
        <f>_xlfn.IFNA(VLOOKUP(E897,Master!$H:$I,2,FALSE),"")</f>
        <v/>
      </c>
      <c r="F897" s="26" t="str">
        <f>+_xlfn.XLOOKUP(G897,Master!$V$2:$V$8,Master!$U$2:$U$8,"")</f>
        <v/>
      </c>
      <c r="I897" s="4" t="str">
        <f>_xlfn.IFNA(VLOOKUP(D897,Master!$I:$K,2,FALSE),"")</f>
        <v/>
      </c>
      <c r="J897" s="4" t="str">
        <f>_xlfn.IFNA(VLOOKUP(D897,Master!$I:$K,3,FALSE),"")</f>
        <v/>
      </c>
      <c r="L897" s="27" t="str">
        <f>IF(A897&lt;&gt;"CFA",_xlfn.IFNA(VLOOKUP($G897,Master!$V$2:$Z$8,5,0),""),"")</f>
        <v/>
      </c>
      <c r="P897" s="6" t="str">
        <f t="shared" si="28"/>
        <v/>
      </c>
      <c r="Q897" s="13">
        <f t="shared" si="29"/>
        <v>0</v>
      </c>
    </row>
    <row r="898" spans="2:17" ht="15" customHeight="1">
      <c r="B898" s="5" t="str">
        <f>_xlfn.IFNA(VLOOKUP(C898,Master!$H:$I,2,FALSE),"")</f>
        <v/>
      </c>
      <c r="D898" s="5" t="str">
        <f>_xlfn.IFNA(VLOOKUP(E898,Master!$H:$I,2,FALSE),"")</f>
        <v/>
      </c>
      <c r="F898" s="26" t="str">
        <f>+_xlfn.XLOOKUP(G898,Master!$V$2:$V$8,Master!$U$2:$U$8,"")</f>
        <v/>
      </c>
      <c r="I898" s="4" t="str">
        <f>_xlfn.IFNA(VLOOKUP(D898,Master!$I:$K,2,FALSE),"")</f>
        <v/>
      </c>
      <c r="J898" s="4" t="str">
        <f>_xlfn.IFNA(VLOOKUP(D898,Master!$I:$K,3,FALSE),"")</f>
        <v/>
      </c>
      <c r="L898" s="27" t="str">
        <f>IF(A898&lt;&gt;"CFA",_xlfn.IFNA(VLOOKUP($G898,Master!$V$2:$Z$8,5,0),""),"")</f>
        <v/>
      </c>
      <c r="P898" s="6" t="str">
        <f t="shared" si="28"/>
        <v/>
      </c>
      <c r="Q898" s="13">
        <f t="shared" si="29"/>
        <v>0</v>
      </c>
    </row>
    <row r="899" spans="2:17" ht="15" customHeight="1">
      <c r="B899" s="5" t="str">
        <f>_xlfn.IFNA(VLOOKUP(C899,Master!$H:$I,2,FALSE),"")</f>
        <v/>
      </c>
      <c r="D899" s="5" t="str">
        <f>_xlfn.IFNA(VLOOKUP(E899,Master!$H:$I,2,FALSE),"")</f>
        <v/>
      </c>
      <c r="F899" s="26" t="str">
        <f>+_xlfn.XLOOKUP(G899,Master!$V$2:$V$8,Master!$U$2:$U$8,"")</f>
        <v/>
      </c>
      <c r="I899" s="4" t="str">
        <f>_xlfn.IFNA(VLOOKUP(D899,Master!$I:$K,2,FALSE),"")</f>
        <v/>
      </c>
      <c r="J899" s="4" t="str">
        <f>_xlfn.IFNA(VLOOKUP(D899,Master!$I:$K,3,FALSE),"")</f>
        <v/>
      </c>
      <c r="L899" s="27" t="str">
        <f>IF(A899&lt;&gt;"CFA",_xlfn.IFNA(VLOOKUP($G899,Master!$V$2:$Z$8,5,0),""),"")</f>
        <v/>
      </c>
      <c r="P899" s="6" t="str">
        <f t="shared" si="28"/>
        <v/>
      </c>
      <c r="Q899" s="13">
        <f t="shared" si="29"/>
        <v>0</v>
      </c>
    </row>
    <row r="900" spans="2:17" ht="15" customHeight="1">
      <c r="B900" s="5" t="str">
        <f>_xlfn.IFNA(VLOOKUP(C900,Master!$H:$I,2,FALSE),"")</f>
        <v/>
      </c>
      <c r="D900" s="5" t="str">
        <f>_xlfn.IFNA(VLOOKUP(E900,Master!$H:$I,2,FALSE),"")</f>
        <v/>
      </c>
      <c r="F900" s="26" t="str">
        <f>+_xlfn.XLOOKUP(G900,Master!$V$2:$V$8,Master!$U$2:$U$8,"")</f>
        <v/>
      </c>
      <c r="I900" s="4" t="str">
        <f>_xlfn.IFNA(VLOOKUP(D900,Master!$I:$K,2,FALSE),"")</f>
        <v/>
      </c>
      <c r="J900" s="4" t="str">
        <f>_xlfn.IFNA(VLOOKUP(D900,Master!$I:$K,3,FALSE),"")</f>
        <v/>
      </c>
      <c r="L900" s="27" t="str">
        <f>IF(A900&lt;&gt;"CFA",_xlfn.IFNA(VLOOKUP($G900,Master!$V$2:$Z$8,5,0),""),"")</f>
        <v/>
      </c>
      <c r="P900" s="6" t="str">
        <f t="shared" si="28"/>
        <v/>
      </c>
      <c r="Q900" s="13">
        <f t="shared" si="29"/>
        <v>0</v>
      </c>
    </row>
    <row r="901" spans="2:17" ht="15" customHeight="1">
      <c r="B901" s="5" t="str">
        <f>_xlfn.IFNA(VLOOKUP(C901,Master!$H:$I,2,FALSE),"")</f>
        <v/>
      </c>
      <c r="D901" s="5" t="str">
        <f>_xlfn.IFNA(VLOOKUP(E901,Master!$H:$I,2,FALSE),"")</f>
        <v/>
      </c>
      <c r="F901" s="26" t="str">
        <f>+_xlfn.XLOOKUP(G901,Master!$V$2:$V$8,Master!$U$2:$U$8,"")</f>
        <v/>
      </c>
      <c r="I901" s="4" t="str">
        <f>_xlfn.IFNA(VLOOKUP(D901,Master!$I:$K,2,FALSE),"")</f>
        <v/>
      </c>
      <c r="J901" s="4" t="str">
        <f>_xlfn.IFNA(VLOOKUP(D901,Master!$I:$K,3,FALSE),"")</f>
        <v/>
      </c>
      <c r="L901" s="27" t="str">
        <f>IF(A901&lt;&gt;"CFA",_xlfn.IFNA(VLOOKUP($G901,Master!$V$2:$Z$8,5,0),""),"")</f>
        <v/>
      </c>
      <c r="P901" s="6" t="str">
        <f t="shared" si="28"/>
        <v/>
      </c>
      <c r="Q901" s="13">
        <f t="shared" si="29"/>
        <v>0</v>
      </c>
    </row>
    <row r="902" spans="2:17" ht="15" customHeight="1">
      <c r="B902" s="5" t="str">
        <f>_xlfn.IFNA(VLOOKUP(C902,Master!$H:$I,2,FALSE),"")</f>
        <v/>
      </c>
      <c r="D902" s="5" t="str">
        <f>_xlfn.IFNA(VLOOKUP(E902,Master!$H:$I,2,FALSE),"")</f>
        <v/>
      </c>
      <c r="F902" s="26" t="str">
        <f>+_xlfn.XLOOKUP(G902,Master!$V$2:$V$8,Master!$U$2:$U$8,"")</f>
        <v/>
      </c>
      <c r="I902" s="4" t="str">
        <f>_xlfn.IFNA(VLOOKUP(D902,Master!$I:$K,2,FALSE),"")</f>
        <v/>
      </c>
      <c r="J902" s="4" t="str">
        <f>_xlfn.IFNA(VLOOKUP(D902,Master!$I:$K,3,FALSE),"")</f>
        <v/>
      </c>
      <c r="L902" s="27" t="str">
        <f>IF(A902&lt;&gt;"CFA",_xlfn.IFNA(VLOOKUP($G902,Master!$V$2:$Z$8,5,0),""),"")</f>
        <v/>
      </c>
      <c r="P902" s="6" t="str">
        <f t="shared" si="28"/>
        <v/>
      </c>
      <c r="Q902" s="13">
        <f t="shared" si="29"/>
        <v>0</v>
      </c>
    </row>
    <row r="903" spans="2:17" ht="15" customHeight="1">
      <c r="B903" s="5" t="str">
        <f>_xlfn.IFNA(VLOOKUP(C903,Master!$H:$I,2,FALSE),"")</f>
        <v/>
      </c>
      <c r="D903" s="5" t="str">
        <f>_xlfn.IFNA(VLOOKUP(E903,Master!$H:$I,2,FALSE),"")</f>
        <v/>
      </c>
      <c r="F903" s="26" t="str">
        <f>+_xlfn.XLOOKUP(G903,Master!$V$2:$V$8,Master!$U$2:$U$8,"")</f>
        <v/>
      </c>
      <c r="I903" s="4" t="str">
        <f>_xlfn.IFNA(VLOOKUP(D903,Master!$I:$K,2,FALSE),"")</f>
        <v/>
      </c>
      <c r="J903" s="4" t="str">
        <f>_xlfn.IFNA(VLOOKUP(D903,Master!$I:$K,3,FALSE),"")</f>
        <v/>
      </c>
      <c r="L903" s="27" t="str">
        <f>IF(A903&lt;&gt;"CFA",_xlfn.IFNA(VLOOKUP($G903,Master!$V$2:$Z$8,5,0),""),"")</f>
        <v/>
      </c>
      <c r="P903" s="6" t="str">
        <f t="shared" si="28"/>
        <v/>
      </c>
      <c r="Q903" s="13">
        <f t="shared" si="29"/>
        <v>0</v>
      </c>
    </row>
    <row r="904" spans="2:17" ht="15" customHeight="1">
      <c r="B904" s="5" t="str">
        <f>_xlfn.IFNA(VLOOKUP(C904,Master!$H:$I,2,FALSE),"")</f>
        <v/>
      </c>
      <c r="D904" s="5" t="str">
        <f>_xlfn.IFNA(VLOOKUP(E904,Master!$H:$I,2,FALSE),"")</f>
        <v/>
      </c>
      <c r="F904" s="26" t="str">
        <f>+_xlfn.XLOOKUP(G904,Master!$V$2:$V$8,Master!$U$2:$U$8,"")</f>
        <v/>
      </c>
      <c r="I904" s="4" t="str">
        <f>_xlfn.IFNA(VLOOKUP(D904,Master!$I:$K,2,FALSE),"")</f>
        <v/>
      </c>
      <c r="J904" s="4" t="str">
        <f>_xlfn.IFNA(VLOOKUP(D904,Master!$I:$K,3,FALSE),"")</f>
        <v/>
      </c>
      <c r="L904" s="27" t="str">
        <f>IF(A904&lt;&gt;"CFA",_xlfn.IFNA(VLOOKUP($G904,Master!$V$2:$Z$8,5,0),""),"")</f>
        <v/>
      </c>
      <c r="P904" s="6" t="str">
        <f t="shared" si="28"/>
        <v/>
      </c>
      <c r="Q904" s="13">
        <f t="shared" si="29"/>
        <v>0</v>
      </c>
    </row>
    <row r="905" spans="2:17" ht="15" customHeight="1">
      <c r="B905" s="5" t="str">
        <f>_xlfn.IFNA(VLOOKUP(C905,Master!$H:$I,2,FALSE),"")</f>
        <v/>
      </c>
      <c r="D905" s="5" t="str">
        <f>_xlfn.IFNA(VLOOKUP(E905,Master!$H:$I,2,FALSE),"")</f>
        <v/>
      </c>
      <c r="F905" s="26" t="str">
        <f>+_xlfn.XLOOKUP(G905,Master!$V$2:$V$8,Master!$U$2:$U$8,"")</f>
        <v/>
      </c>
      <c r="I905" s="4" t="str">
        <f>_xlfn.IFNA(VLOOKUP(D905,Master!$I:$K,2,FALSE),"")</f>
        <v/>
      </c>
      <c r="J905" s="4" t="str">
        <f>_xlfn.IFNA(VLOOKUP(D905,Master!$I:$K,3,FALSE),"")</f>
        <v/>
      </c>
      <c r="L905" s="27" t="str">
        <f>IF(A905&lt;&gt;"CFA",_xlfn.IFNA(VLOOKUP($G905,Master!$V$2:$Z$8,5,0),""),"")</f>
        <v/>
      </c>
      <c r="P905" s="6" t="str">
        <f t="shared" si="28"/>
        <v/>
      </c>
      <c r="Q905" s="13">
        <f t="shared" si="29"/>
        <v>0</v>
      </c>
    </row>
    <row r="906" spans="2:17" ht="15" customHeight="1">
      <c r="B906" s="5" t="str">
        <f>_xlfn.IFNA(VLOOKUP(C906,Master!$H:$I,2,FALSE),"")</f>
        <v/>
      </c>
      <c r="D906" s="5" t="str">
        <f>_xlfn.IFNA(VLOOKUP(E906,Master!$H:$I,2,FALSE),"")</f>
        <v/>
      </c>
      <c r="F906" s="26" t="str">
        <f>+_xlfn.XLOOKUP(G906,Master!$V$2:$V$8,Master!$U$2:$U$8,"")</f>
        <v/>
      </c>
      <c r="I906" s="4" t="str">
        <f>_xlfn.IFNA(VLOOKUP(D906,Master!$I:$K,2,FALSE),"")</f>
        <v/>
      </c>
      <c r="J906" s="4" t="str">
        <f>_xlfn.IFNA(VLOOKUP(D906,Master!$I:$K,3,FALSE),"")</f>
        <v/>
      </c>
      <c r="L906" s="27" t="str">
        <f>IF(A906&lt;&gt;"CFA",_xlfn.IFNA(VLOOKUP($G906,Master!$V$2:$Z$8,5,0),""),"")</f>
        <v/>
      </c>
      <c r="P906" s="6" t="str">
        <f t="shared" si="28"/>
        <v/>
      </c>
      <c r="Q906" s="13">
        <f t="shared" si="29"/>
        <v>0</v>
      </c>
    </row>
    <row r="907" spans="2:17" ht="15" customHeight="1">
      <c r="B907" s="5" t="str">
        <f>_xlfn.IFNA(VLOOKUP(C907,Master!$H:$I,2,FALSE),"")</f>
        <v/>
      </c>
      <c r="D907" s="5" t="str">
        <f>_xlfn.IFNA(VLOOKUP(E907,Master!$H:$I,2,FALSE),"")</f>
        <v/>
      </c>
      <c r="F907" s="26" t="str">
        <f>+_xlfn.XLOOKUP(G907,Master!$V$2:$V$8,Master!$U$2:$U$8,"")</f>
        <v/>
      </c>
      <c r="I907" s="4" t="str">
        <f>_xlfn.IFNA(VLOOKUP(D907,Master!$I:$K,2,FALSE),"")</f>
        <v/>
      </c>
      <c r="J907" s="4" t="str">
        <f>_xlfn.IFNA(VLOOKUP(D907,Master!$I:$K,3,FALSE),"")</f>
        <v/>
      </c>
      <c r="L907" s="27" t="str">
        <f>IF(A907&lt;&gt;"CFA",_xlfn.IFNA(VLOOKUP($G907,Master!$V$2:$Z$8,5,0),""),"")</f>
        <v/>
      </c>
      <c r="P907" s="6" t="str">
        <f t="shared" si="28"/>
        <v/>
      </c>
      <c r="Q907" s="13">
        <f t="shared" si="29"/>
        <v>0</v>
      </c>
    </row>
    <row r="908" spans="2:17" ht="15" customHeight="1">
      <c r="B908" s="5" t="str">
        <f>_xlfn.IFNA(VLOOKUP(C908,Master!$H:$I,2,FALSE),"")</f>
        <v/>
      </c>
      <c r="D908" s="5" t="str">
        <f>_xlfn.IFNA(VLOOKUP(E908,Master!$H:$I,2,FALSE),"")</f>
        <v/>
      </c>
      <c r="F908" s="26" t="str">
        <f>+_xlfn.XLOOKUP(G908,Master!$V$2:$V$8,Master!$U$2:$U$8,"")</f>
        <v/>
      </c>
      <c r="I908" s="4" t="str">
        <f>_xlfn.IFNA(VLOOKUP(D908,Master!$I:$K,2,FALSE),"")</f>
        <v/>
      </c>
      <c r="J908" s="4" t="str">
        <f>_xlfn.IFNA(VLOOKUP(D908,Master!$I:$K,3,FALSE),"")</f>
        <v/>
      </c>
      <c r="L908" s="27" t="str">
        <f>IF(A908&lt;&gt;"CFA",_xlfn.IFNA(VLOOKUP($G908,Master!$V$2:$Z$8,5,0),""),"")</f>
        <v/>
      </c>
      <c r="P908" s="6" t="str">
        <f t="shared" si="28"/>
        <v/>
      </c>
      <c r="Q908" s="13">
        <f t="shared" si="29"/>
        <v>0</v>
      </c>
    </row>
    <row r="909" spans="2:17" ht="15" customHeight="1">
      <c r="B909" s="5" t="str">
        <f>_xlfn.IFNA(VLOOKUP(C909,Master!$H:$I,2,FALSE),"")</f>
        <v/>
      </c>
      <c r="D909" s="5" t="str">
        <f>_xlfn.IFNA(VLOOKUP(E909,Master!$H:$I,2,FALSE),"")</f>
        <v/>
      </c>
      <c r="F909" s="26" t="str">
        <f>+_xlfn.XLOOKUP(G909,Master!$V$2:$V$8,Master!$U$2:$U$8,"")</f>
        <v/>
      </c>
      <c r="I909" s="4" t="str">
        <f>_xlfn.IFNA(VLOOKUP(D909,Master!$I:$K,2,FALSE),"")</f>
        <v/>
      </c>
      <c r="J909" s="4" t="str">
        <f>_xlfn.IFNA(VLOOKUP(D909,Master!$I:$K,3,FALSE),"")</f>
        <v/>
      </c>
      <c r="L909" s="27" t="str">
        <f>IF(A909&lt;&gt;"CFA",_xlfn.IFNA(VLOOKUP($G909,Master!$V$2:$Z$8,5,0),""),"")</f>
        <v/>
      </c>
      <c r="P909" s="6" t="str">
        <f t="shared" si="28"/>
        <v/>
      </c>
      <c r="Q909" s="13">
        <f t="shared" si="29"/>
        <v>0</v>
      </c>
    </row>
    <row r="910" spans="2:17" ht="15" customHeight="1">
      <c r="B910" s="5" t="str">
        <f>_xlfn.IFNA(VLOOKUP(C910,Master!$H:$I,2,FALSE),"")</f>
        <v/>
      </c>
      <c r="D910" s="5" t="str">
        <f>_xlfn.IFNA(VLOOKUP(E910,Master!$H:$I,2,FALSE),"")</f>
        <v/>
      </c>
      <c r="F910" s="26" t="str">
        <f>+_xlfn.XLOOKUP(G910,Master!$V$2:$V$8,Master!$U$2:$U$8,"")</f>
        <v/>
      </c>
      <c r="I910" s="4" t="str">
        <f>_xlfn.IFNA(VLOOKUP(D910,Master!$I:$K,2,FALSE),"")</f>
        <v/>
      </c>
      <c r="J910" s="4" t="str">
        <f>_xlfn.IFNA(VLOOKUP(D910,Master!$I:$K,3,FALSE),"")</f>
        <v/>
      </c>
      <c r="L910" s="27" t="str">
        <f>IF(A910&lt;&gt;"CFA",_xlfn.IFNA(VLOOKUP($G910,Master!$V$2:$Z$8,5,0),""),"")</f>
        <v/>
      </c>
      <c r="P910" s="6" t="str">
        <f t="shared" si="28"/>
        <v/>
      </c>
      <c r="Q910" s="13">
        <f t="shared" si="29"/>
        <v>0</v>
      </c>
    </row>
    <row r="911" spans="2:17" ht="15" customHeight="1">
      <c r="B911" s="5" t="str">
        <f>_xlfn.IFNA(VLOOKUP(C911,Master!$H:$I,2,FALSE),"")</f>
        <v/>
      </c>
      <c r="D911" s="5" t="str">
        <f>_xlfn.IFNA(VLOOKUP(E911,Master!$H:$I,2,FALSE),"")</f>
        <v/>
      </c>
      <c r="F911" s="26" t="str">
        <f>+_xlfn.XLOOKUP(G911,Master!$V$2:$V$8,Master!$U$2:$U$8,"")</f>
        <v/>
      </c>
      <c r="I911" s="4" t="str">
        <f>_xlfn.IFNA(VLOOKUP(D911,Master!$I:$K,2,FALSE),"")</f>
        <v/>
      </c>
      <c r="J911" s="4" t="str">
        <f>_xlfn.IFNA(VLOOKUP(D911,Master!$I:$K,3,FALSE),"")</f>
        <v/>
      </c>
      <c r="L911" s="27" t="str">
        <f>IF(A911&lt;&gt;"CFA",_xlfn.IFNA(VLOOKUP($G911,Master!$V$2:$Z$8,5,0),""),"")</f>
        <v/>
      </c>
      <c r="P911" s="6" t="str">
        <f t="shared" si="28"/>
        <v/>
      </c>
      <c r="Q911" s="13">
        <f t="shared" si="29"/>
        <v>0</v>
      </c>
    </row>
    <row r="912" spans="2:17" ht="15" customHeight="1">
      <c r="B912" s="5" t="str">
        <f>_xlfn.IFNA(VLOOKUP(C912,Master!$H:$I,2,FALSE),"")</f>
        <v/>
      </c>
      <c r="D912" s="5" t="str">
        <f>_xlfn.IFNA(VLOOKUP(E912,Master!$H:$I,2,FALSE),"")</f>
        <v/>
      </c>
      <c r="F912" s="26" t="str">
        <f>+_xlfn.XLOOKUP(G912,Master!$V$2:$V$8,Master!$U$2:$U$8,"")</f>
        <v/>
      </c>
      <c r="I912" s="4" t="str">
        <f>_xlfn.IFNA(VLOOKUP(D912,Master!$I:$K,2,FALSE),"")</f>
        <v/>
      </c>
      <c r="J912" s="4" t="str">
        <f>_xlfn.IFNA(VLOOKUP(D912,Master!$I:$K,3,FALSE),"")</f>
        <v/>
      </c>
      <c r="L912" s="27" t="str">
        <f>IF(A912&lt;&gt;"CFA",_xlfn.IFNA(VLOOKUP($G912,Master!$V$2:$Z$8,5,0),""),"")</f>
        <v/>
      </c>
      <c r="P912" s="6" t="str">
        <f t="shared" si="28"/>
        <v/>
      </c>
      <c r="Q912" s="13">
        <f t="shared" si="29"/>
        <v>0</v>
      </c>
    </row>
    <row r="913" spans="2:17" ht="15" customHeight="1">
      <c r="B913" s="5" t="str">
        <f>_xlfn.IFNA(VLOOKUP(C913,Master!$H:$I,2,FALSE),"")</f>
        <v/>
      </c>
      <c r="D913" s="5" t="str">
        <f>_xlfn.IFNA(VLOOKUP(E913,Master!$H:$I,2,FALSE),"")</f>
        <v/>
      </c>
      <c r="F913" s="26" t="str">
        <f>+_xlfn.XLOOKUP(G913,Master!$V$2:$V$8,Master!$U$2:$U$8,"")</f>
        <v/>
      </c>
      <c r="I913" s="4" t="str">
        <f>_xlfn.IFNA(VLOOKUP(D913,Master!$I:$K,2,FALSE),"")</f>
        <v/>
      </c>
      <c r="J913" s="4" t="str">
        <f>_xlfn.IFNA(VLOOKUP(D913,Master!$I:$K,3,FALSE),"")</f>
        <v/>
      </c>
      <c r="L913" s="27" t="str">
        <f>IF(A913&lt;&gt;"CFA",_xlfn.IFNA(VLOOKUP($G913,Master!$V$2:$Z$8,5,0),""),"")</f>
        <v/>
      </c>
      <c r="P913" s="6" t="str">
        <f t="shared" si="28"/>
        <v/>
      </c>
      <c r="Q913" s="13">
        <f t="shared" si="29"/>
        <v>0</v>
      </c>
    </row>
    <row r="914" spans="2:17" ht="15" customHeight="1">
      <c r="B914" s="5" t="str">
        <f>_xlfn.IFNA(VLOOKUP(C914,Master!$H:$I,2,FALSE),"")</f>
        <v/>
      </c>
      <c r="D914" s="5" t="str">
        <f>_xlfn.IFNA(VLOOKUP(E914,Master!$H:$I,2,FALSE),"")</f>
        <v/>
      </c>
      <c r="F914" s="26" t="str">
        <f>+_xlfn.XLOOKUP(G914,Master!$V$2:$V$8,Master!$U$2:$U$8,"")</f>
        <v/>
      </c>
      <c r="I914" s="4" t="str">
        <f>_xlfn.IFNA(VLOOKUP(D914,Master!$I:$K,2,FALSE),"")</f>
        <v/>
      </c>
      <c r="J914" s="4" t="str">
        <f>_xlfn.IFNA(VLOOKUP(D914,Master!$I:$K,3,FALSE),"")</f>
        <v/>
      </c>
      <c r="L914" s="27" t="str">
        <f>IF(A914&lt;&gt;"CFA",_xlfn.IFNA(VLOOKUP($G914,Master!$V$2:$Z$8,5,0),""),"")</f>
        <v/>
      </c>
      <c r="P914" s="6" t="str">
        <f t="shared" si="28"/>
        <v/>
      </c>
      <c r="Q914" s="13">
        <f t="shared" si="29"/>
        <v>0</v>
      </c>
    </row>
    <row r="915" spans="2:17" ht="15" customHeight="1">
      <c r="B915" s="5" t="str">
        <f>_xlfn.IFNA(VLOOKUP(C915,Master!$H:$I,2,FALSE),"")</f>
        <v/>
      </c>
      <c r="D915" s="5" t="str">
        <f>_xlfn.IFNA(VLOOKUP(E915,Master!$H:$I,2,FALSE),"")</f>
        <v/>
      </c>
      <c r="F915" s="26" t="str">
        <f>+_xlfn.XLOOKUP(G915,Master!$V$2:$V$8,Master!$U$2:$U$8,"")</f>
        <v/>
      </c>
      <c r="I915" s="4" t="str">
        <f>_xlfn.IFNA(VLOOKUP(D915,Master!$I:$K,2,FALSE),"")</f>
        <v/>
      </c>
      <c r="J915" s="4" t="str">
        <f>_xlfn.IFNA(VLOOKUP(D915,Master!$I:$K,3,FALSE),"")</f>
        <v/>
      </c>
      <c r="L915" s="27" t="str">
        <f>IF(A915&lt;&gt;"CFA",_xlfn.IFNA(VLOOKUP($G915,Master!$V$2:$Z$8,5,0),""),"")</f>
        <v/>
      </c>
      <c r="P915" s="6" t="str">
        <f t="shared" si="28"/>
        <v/>
      </c>
      <c r="Q915" s="13">
        <f t="shared" si="29"/>
        <v>0</v>
      </c>
    </row>
    <row r="916" spans="2:17" ht="15" customHeight="1">
      <c r="B916" s="5" t="str">
        <f>_xlfn.IFNA(VLOOKUP(C916,Master!$H:$I,2,FALSE),"")</f>
        <v/>
      </c>
      <c r="D916" s="5" t="str">
        <f>_xlfn.IFNA(VLOOKUP(E916,Master!$H:$I,2,FALSE),"")</f>
        <v/>
      </c>
      <c r="F916" s="26" t="str">
        <f>+_xlfn.XLOOKUP(G916,Master!$V$2:$V$8,Master!$U$2:$U$8,"")</f>
        <v/>
      </c>
      <c r="I916" s="4" t="str">
        <f>_xlfn.IFNA(VLOOKUP(D916,Master!$I:$K,2,FALSE),"")</f>
        <v/>
      </c>
      <c r="J916" s="4" t="str">
        <f>_xlfn.IFNA(VLOOKUP(D916,Master!$I:$K,3,FALSE),"")</f>
        <v/>
      </c>
      <c r="L916" s="27" t="str">
        <f>IF(A916&lt;&gt;"CFA",_xlfn.IFNA(VLOOKUP($G916,Master!$V$2:$Z$8,5,0),""),"")</f>
        <v/>
      </c>
      <c r="P916" s="6" t="str">
        <f t="shared" si="28"/>
        <v/>
      </c>
      <c r="Q916" s="13">
        <f t="shared" si="29"/>
        <v>0</v>
      </c>
    </row>
    <row r="917" spans="2:17" ht="15" customHeight="1">
      <c r="B917" s="5" t="str">
        <f>_xlfn.IFNA(VLOOKUP(C917,Master!$H:$I,2,FALSE),"")</f>
        <v/>
      </c>
      <c r="D917" s="5" t="str">
        <f>_xlfn.IFNA(VLOOKUP(E917,Master!$H:$I,2,FALSE),"")</f>
        <v/>
      </c>
      <c r="F917" s="26" t="str">
        <f>+_xlfn.XLOOKUP(G917,Master!$V$2:$V$8,Master!$U$2:$U$8,"")</f>
        <v/>
      </c>
      <c r="I917" s="4" t="str">
        <f>_xlfn.IFNA(VLOOKUP(D917,Master!$I:$K,2,FALSE),"")</f>
        <v/>
      </c>
      <c r="J917" s="4" t="str">
        <f>_xlfn.IFNA(VLOOKUP(D917,Master!$I:$K,3,FALSE),"")</f>
        <v/>
      </c>
      <c r="L917" s="27" t="str">
        <f>IF(A917&lt;&gt;"CFA",_xlfn.IFNA(VLOOKUP($G917,Master!$V$2:$Z$8,5,0),""),"")</f>
        <v/>
      </c>
      <c r="P917" s="6" t="str">
        <f t="shared" si="28"/>
        <v/>
      </c>
      <c r="Q917" s="13">
        <f t="shared" si="29"/>
        <v>0</v>
      </c>
    </row>
    <row r="918" spans="2:17" ht="15" customHeight="1">
      <c r="B918" s="5" t="str">
        <f>_xlfn.IFNA(VLOOKUP(C918,Master!$H:$I,2,FALSE),"")</f>
        <v/>
      </c>
      <c r="D918" s="5" t="str">
        <f>_xlfn.IFNA(VLOOKUP(E918,Master!$H:$I,2,FALSE),"")</f>
        <v/>
      </c>
      <c r="F918" s="26" t="str">
        <f>+_xlfn.XLOOKUP(G918,Master!$V$2:$V$8,Master!$U$2:$U$8,"")</f>
        <v/>
      </c>
      <c r="I918" s="4" t="str">
        <f>_xlfn.IFNA(VLOOKUP(D918,Master!$I:$K,2,FALSE),"")</f>
        <v/>
      </c>
      <c r="J918" s="4" t="str">
        <f>_xlfn.IFNA(VLOOKUP(D918,Master!$I:$K,3,FALSE),"")</f>
        <v/>
      </c>
      <c r="L918" s="27" t="str">
        <f>IF(A918&lt;&gt;"CFA",_xlfn.IFNA(VLOOKUP($G918,Master!$V$2:$Z$8,5,0),""),"")</f>
        <v/>
      </c>
      <c r="P918" s="6" t="str">
        <f t="shared" si="28"/>
        <v/>
      </c>
      <c r="Q918" s="13">
        <f t="shared" si="29"/>
        <v>0</v>
      </c>
    </row>
    <row r="919" spans="2:17" ht="15" customHeight="1">
      <c r="B919" s="5" t="str">
        <f>_xlfn.IFNA(VLOOKUP(C919,Master!$H:$I,2,FALSE),"")</f>
        <v/>
      </c>
      <c r="D919" s="5" t="str">
        <f>_xlfn.IFNA(VLOOKUP(E919,Master!$H:$I,2,FALSE),"")</f>
        <v/>
      </c>
      <c r="F919" s="26" t="str">
        <f>+_xlfn.XLOOKUP(G919,Master!$V$2:$V$8,Master!$U$2:$U$8,"")</f>
        <v/>
      </c>
      <c r="I919" s="4" t="str">
        <f>_xlfn.IFNA(VLOOKUP(D919,Master!$I:$K,2,FALSE),"")</f>
        <v/>
      </c>
      <c r="J919" s="4" t="str">
        <f>_xlfn.IFNA(VLOOKUP(D919,Master!$I:$K,3,FALSE),"")</f>
        <v/>
      </c>
      <c r="L919" s="27" t="str">
        <f>IF(A919&lt;&gt;"CFA",_xlfn.IFNA(VLOOKUP($G919,Master!$V$2:$Z$8,5,0),""),"")</f>
        <v/>
      </c>
      <c r="P919" s="6" t="str">
        <f t="shared" si="28"/>
        <v/>
      </c>
      <c r="Q919" s="13">
        <f t="shared" si="29"/>
        <v>0</v>
      </c>
    </row>
    <row r="920" spans="2:17" ht="15" customHeight="1">
      <c r="B920" s="5" t="str">
        <f>_xlfn.IFNA(VLOOKUP(C920,Master!$H:$I,2,FALSE),"")</f>
        <v/>
      </c>
      <c r="D920" s="5" t="str">
        <f>_xlfn.IFNA(VLOOKUP(E920,Master!$H:$I,2,FALSE),"")</f>
        <v/>
      </c>
      <c r="F920" s="26" t="str">
        <f>+_xlfn.XLOOKUP(G920,Master!$V$2:$V$8,Master!$U$2:$U$8,"")</f>
        <v/>
      </c>
      <c r="I920" s="4" t="str">
        <f>_xlfn.IFNA(VLOOKUP(D920,Master!$I:$K,2,FALSE),"")</f>
        <v/>
      </c>
      <c r="J920" s="4" t="str">
        <f>_xlfn.IFNA(VLOOKUP(D920,Master!$I:$K,3,FALSE),"")</f>
        <v/>
      </c>
      <c r="L920" s="27" t="str">
        <f>IF(A920&lt;&gt;"CFA",_xlfn.IFNA(VLOOKUP($G920,Master!$V$2:$Z$8,5,0),""),"")</f>
        <v/>
      </c>
      <c r="P920" s="6" t="str">
        <f t="shared" si="28"/>
        <v/>
      </c>
      <c r="Q920" s="13">
        <f t="shared" si="29"/>
        <v>0</v>
      </c>
    </row>
    <row r="921" spans="2:17" ht="15" customHeight="1">
      <c r="B921" s="5" t="str">
        <f>_xlfn.IFNA(VLOOKUP(C921,Master!$H:$I,2,FALSE),"")</f>
        <v/>
      </c>
      <c r="D921" s="5" t="str">
        <f>_xlfn.IFNA(VLOOKUP(E921,Master!$H:$I,2,FALSE),"")</f>
        <v/>
      </c>
      <c r="F921" s="26" t="str">
        <f>+_xlfn.XLOOKUP(G921,Master!$V$2:$V$8,Master!$U$2:$U$8,"")</f>
        <v/>
      </c>
      <c r="I921" s="4" t="str">
        <f>_xlfn.IFNA(VLOOKUP(D921,Master!$I:$K,2,FALSE),"")</f>
        <v/>
      </c>
      <c r="J921" s="4" t="str">
        <f>_xlfn.IFNA(VLOOKUP(D921,Master!$I:$K,3,FALSE),"")</f>
        <v/>
      </c>
      <c r="L921" s="27" t="str">
        <f>IF(A921&lt;&gt;"CFA",_xlfn.IFNA(VLOOKUP($G921,Master!$V$2:$Z$8,5,0),""),"")</f>
        <v/>
      </c>
      <c r="P921" s="6" t="str">
        <f t="shared" si="28"/>
        <v/>
      </c>
      <c r="Q921" s="13">
        <f t="shared" si="29"/>
        <v>0</v>
      </c>
    </row>
    <row r="922" spans="2:17" ht="15" customHeight="1">
      <c r="B922" s="5" t="str">
        <f>_xlfn.IFNA(VLOOKUP(C922,Master!$H:$I,2,FALSE),"")</f>
        <v/>
      </c>
      <c r="D922" s="5" t="str">
        <f>_xlfn.IFNA(VLOOKUP(E922,Master!$H:$I,2,FALSE),"")</f>
        <v/>
      </c>
      <c r="F922" s="26" t="str">
        <f>+_xlfn.XLOOKUP(G922,Master!$V$2:$V$8,Master!$U$2:$U$8,"")</f>
        <v/>
      </c>
      <c r="I922" s="4" t="str">
        <f>_xlfn.IFNA(VLOOKUP(D922,Master!$I:$K,2,FALSE),"")</f>
        <v/>
      </c>
      <c r="J922" s="4" t="str">
        <f>_xlfn.IFNA(VLOOKUP(D922,Master!$I:$K,3,FALSE),"")</f>
        <v/>
      </c>
      <c r="L922" s="27" t="str">
        <f>IF(A922&lt;&gt;"CFA",_xlfn.IFNA(VLOOKUP($G922,Master!$V$2:$Z$8,5,0),""),"")</f>
        <v/>
      </c>
      <c r="P922" s="6" t="str">
        <f t="shared" si="28"/>
        <v/>
      </c>
      <c r="Q922" s="13">
        <f t="shared" si="29"/>
        <v>0</v>
      </c>
    </row>
    <row r="923" spans="2:17" ht="15" customHeight="1">
      <c r="B923" s="5" t="str">
        <f>_xlfn.IFNA(VLOOKUP(C923,Master!$H:$I,2,FALSE),"")</f>
        <v/>
      </c>
      <c r="D923" s="5" t="str">
        <f>_xlfn.IFNA(VLOOKUP(E923,Master!$H:$I,2,FALSE),"")</f>
        <v/>
      </c>
      <c r="F923" s="26" t="str">
        <f>+_xlfn.XLOOKUP(G923,Master!$V$2:$V$8,Master!$U$2:$U$8,"")</f>
        <v/>
      </c>
      <c r="I923" s="4" t="str">
        <f>_xlfn.IFNA(VLOOKUP(D923,Master!$I:$K,2,FALSE),"")</f>
        <v/>
      </c>
      <c r="J923" s="4" t="str">
        <f>_xlfn.IFNA(VLOOKUP(D923,Master!$I:$K,3,FALSE),"")</f>
        <v/>
      </c>
      <c r="L923" s="27" t="str">
        <f>IF(A923&lt;&gt;"CFA",_xlfn.IFNA(VLOOKUP($G923,Master!$V$2:$Z$8,5,0),""),"")</f>
        <v/>
      </c>
      <c r="P923" s="6" t="str">
        <f t="shared" si="28"/>
        <v/>
      </c>
      <c r="Q923" s="13">
        <f t="shared" si="29"/>
        <v>0</v>
      </c>
    </row>
    <row r="924" spans="2:17" ht="15" customHeight="1">
      <c r="B924" s="5" t="str">
        <f>_xlfn.IFNA(VLOOKUP(C924,Master!$H:$I,2,FALSE),"")</f>
        <v/>
      </c>
      <c r="D924" s="5" t="str">
        <f>_xlfn.IFNA(VLOOKUP(E924,Master!$H:$I,2,FALSE),"")</f>
        <v/>
      </c>
      <c r="F924" s="26" t="str">
        <f>+_xlfn.XLOOKUP(G924,Master!$V$2:$V$8,Master!$U$2:$U$8,"")</f>
        <v/>
      </c>
      <c r="I924" s="4" t="str">
        <f>_xlfn.IFNA(VLOOKUP(D924,Master!$I:$K,2,FALSE),"")</f>
        <v/>
      </c>
      <c r="J924" s="4" t="str">
        <f>_xlfn.IFNA(VLOOKUP(D924,Master!$I:$K,3,FALSE),"")</f>
        <v/>
      </c>
      <c r="L924" s="27" t="str">
        <f>IF(A924&lt;&gt;"CFA",_xlfn.IFNA(VLOOKUP($G924,Master!$V$2:$Z$8,5,0),""),"")</f>
        <v/>
      </c>
      <c r="P924" s="6" t="str">
        <f t="shared" si="28"/>
        <v/>
      </c>
      <c r="Q924" s="13">
        <f t="shared" si="29"/>
        <v>0</v>
      </c>
    </row>
    <row r="925" spans="2:17" ht="15" customHeight="1">
      <c r="B925" s="5" t="str">
        <f>_xlfn.IFNA(VLOOKUP(C925,Master!$H:$I,2,FALSE),"")</f>
        <v/>
      </c>
      <c r="D925" s="5" t="str">
        <f>_xlfn.IFNA(VLOOKUP(E925,Master!$H:$I,2,FALSE),"")</f>
        <v/>
      </c>
      <c r="F925" s="26" t="str">
        <f>+_xlfn.XLOOKUP(G925,Master!$V$2:$V$8,Master!$U$2:$U$8,"")</f>
        <v/>
      </c>
      <c r="I925" s="4" t="str">
        <f>_xlfn.IFNA(VLOOKUP(D925,Master!$I:$K,2,FALSE),"")</f>
        <v/>
      </c>
      <c r="J925" s="4" t="str">
        <f>_xlfn.IFNA(VLOOKUP(D925,Master!$I:$K,3,FALSE),"")</f>
        <v/>
      </c>
      <c r="L925" s="27" t="str">
        <f>IF(A925&lt;&gt;"CFA",_xlfn.IFNA(VLOOKUP($G925,Master!$V$2:$Z$8,5,0),""),"")</f>
        <v/>
      </c>
      <c r="P925" s="6" t="str">
        <f t="shared" si="28"/>
        <v/>
      </c>
      <c r="Q925" s="13">
        <f t="shared" si="29"/>
        <v>0</v>
      </c>
    </row>
    <row r="926" spans="2:17" ht="15" customHeight="1">
      <c r="B926" s="5" t="str">
        <f>_xlfn.IFNA(VLOOKUP(C926,Master!$H:$I,2,FALSE),"")</f>
        <v/>
      </c>
      <c r="D926" s="5" t="str">
        <f>_xlfn.IFNA(VLOOKUP(E926,Master!$H:$I,2,FALSE),"")</f>
        <v/>
      </c>
      <c r="F926" s="26" t="str">
        <f>+_xlfn.XLOOKUP(G926,Master!$V$2:$V$8,Master!$U$2:$U$8,"")</f>
        <v/>
      </c>
      <c r="I926" s="4" t="str">
        <f>_xlfn.IFNA(VLOOKUP(D926,Master!$I:$K,2,FALSE),"")</f>
        <v/>
      </c>
      <c r="J926" s="4" t="str">
        <f>_xlfn.IFNA(VLOOKUP(D926,Master!$I:$K,3,FALSE),"")</f>
        <v/>
      </c>
      <c r="L926" s="27" t="str">
        <f>IF(A926&lt;&gt;"CFA",_xlfn.IFNA(VLOOKUP($G926,Master!$V$2:$Z$8,5,0),""),"")</f>
        <v/>
      </c>
      <c r="P926" s="6" t="str">
        <f t="shared" si="28"/>
        <v/>
      </c>
      <c r="Q926" s="13">
        <f t="shared" si="29"/>
        <v>0</v>
      </c>
    </row>
    <row r="927" spans="2:17" ht="15" customHeight="1">
      <c r="B927" s="5" t="str">
        <f>_xlfn.IFNA(VLOOKUP(C927,Master!$H:$I,2,FALSE),"")</f>
        <v/>
      </c>
      <c r="D927" s="5" t="str">
        <f>_xlfn.IFNA(VLOOKUP(E927,Master!$H:$I,2,FALSE),"")</f>
        <v/>
      </c>
      <c r="F927" s="26" t="str">
        <f>+_xlfn.XLOOKUP(G927,Master!$V$2:$V$8,Master!$U$2:$U$8,"")</f>
        <v/>
      </c>
      <c r="I927" s="4" t="str">
        <f>_xlfn.IFNA(VLOOKUP(D927,Master!$I:$K,2,FALSE),"")</f>
        <v/>
      </c>
      <c r="J927" s="4" t="str">
        <f>_xlfn.IFNA(VLOOKUP(D927,Master!$I:$K,3,FALSE),"")</f>
        <v/>
      </c>
      <c r="L927" s="27" t="str">
        <f>IF(A927&lt;&gt;"CFA",_xlfn.IFNA(VLOOKUP($G927,Master!$V$2:$Z$8,5,0),""),"")</f>
        <v/>
      </c>
      <c r="P927" s="6" t="str">
        <f t="shared" si="28"/>
        <v/>
      </c>
      <c r="Q927" s="13">
        <f t="shared" si="29"/>
        <v>0</v>
      </c>
    </row>
    <row r="928" spans="2:17" ht="15" customHeight="1">
      <c r="B928" s="5" t="str">
        <f>_xlfn.IFNA(VLOOKUP(C928,Master!$H:$I,2,FALSE),"")</f>
        <v/>
      </c>
      <c r="D928" s="5" t="str">
        <f>_xlfn.IFNA(VLOOKUP(E928,Master!$H:$I,2,FALSE),"")</f>
        <v/>
      </c>
      <c r="F928" s="26" t="str">
        <f>+_xlfn.XLOOKUP(G928,Master!$V$2:$V$8,Master!$U$2:$U$8,"")</f>
        <v/>
      </c>
      <c r="I928" s="4" t="str">
        <f>_xlfn.IFNA(VLOOKUP(D928,Master!$I:$K,2,FALSE),"")</f>
        <v/>
      </c>
      <c r="J928" s="4" t="str">
        <f>_xlfn.IFNA(VLOOKUP(D928,Master!$I:$K,3,FALSE),"")</f>
        <v/>
      </c>
      <c r="L928" s="27" t="str">
        <f>IF(A928&lt;&gt;"CFA",_xlfn.IFNA(VLOOKUP($G928,Master!$V$2:$Z$8,5,0),""),"")</f>
        <v/>
      </c>
      <c r="P928" s="6" t="str">
        <f t="shared" si="28"/>
        <v/>
      </c>
      <c r="Q928" s="13">
        <f t="shared" si="29"/>
        <v>0</v>
      </c>
    </row>
    <row r="929" spans="2:17" ht="15" customHeight="1">
      <c r="B929" s="5" t="str">
        <f>_xlfn.IFNA(VLOOKUP(C929,Master!$H:$I,2,FALSE),"")</f>
        <v/>
      </c>
      <c r="D929" s="5" t="str">
        <f>_xlfn.IFNA(VLOOKUP(E929,Master!$H:$I,2,FALSE),"")</f>
        <v/>
      </c>
      <c r="F929" s="26" t="str">
        <f>+_xlfn.XLOOKUP(G929,Master!$V$2:$V$8,Master!$U$2:$U$8,"")</f>
        <v/>
      </c>
      <c r="I929" s="4" t="str">
        <f>_xlfn.IFNA(VLOOKUP(D929,Master!$I:$K,2,FALSE),"")</f>
        <v/>
      </c>
      <c r="J929" s="4" t="str">
        <f>_xlfn.IFNA(VLOOKUP(D929,Master!$I:$K,3,FALSE),"")</f>
        <v/>
      </c>
      <c r="L929" s="27" t="str">
        <f>IF(A929&lt;&gt;"CFA",_xlfn.IFNA(VLOOKUP($G929,Master!$V$2:$Z$8,5,0),""),"")</f>
        <v/>
      </c>
      <c r="P929" s="6" t="str">
        <f t="shared" si="28"/>
        <v/>
      </c>
      <c r="Q929" s="13">
        <f t="shared" si="29"/>
        <v>0</v>
      </c>
    </row>
    <row r="930" spans="2:17" ht="15" customHeight="1">
      <c r="B930" s="5" t="str">
        <f>_xlfn.IFNA(VLOOKUP(C930,Master!$H:$I,2,FALSE),"")</f>
        <v/>
      </c>
      <c r="D930" s="5" t="str">
        <f>_xlfn.IFNA(VLOOKUP(E930,Master!$H:$I,2,FALSE),"")</f>
        <v/>
      </c>
      <c r="F930" s="26" t="str">
        <f>+_xlfn.XLOOKUP(G930,Master!$V$2:$V$8,Master!$U$2:$U$8,"")</f>
        <v/>
      </c>
      <c r="I930" s="4" t="str">
        <f>_xlfn.IFNA(VLOOKUP(D930,Master!$I:$K,2,FALSE),"")</f>
        <v/>
      </c>
      <c r="J930" s="4" t="str">
        <f>_xlfn.IFNA(VLOOKUP(D930,Master!$I:$K,3,FALSE),"")</f>
        <v/>
      </c>
      <c r="L930" s="27" t="str">
        <f>IF(A930&lt;&gt;"CFA",_xlfn.IFNA(VLOOKUP($G930,Master!$V$2:$Z$8,5,0),""),"")</f>
        <v/>
      </c>
      <c r="P930" s="6" t="str">
        <f t="shared" si="28"/>
        <v/>
      </c>
      <c r="Q930" s="13">
        <f t="shared" si="29"/>
        <v>0</v>
      </c>
    </row>
    <row r="931" spans="2:17" ht="15" customHeight="1">
      <c r="B931" s="5" t="str">
        <f>_xlfn.IFNA(VLOOKUP(C931,Master!$H:$I,2,FALSE),"")</f>
        <v/>
      </c>
      <c r="D931" s="5" t="str">
        <f>_xlfn.IFNA(VLOOKUP(E931,Master!$H:$I,2,FALSE),"")</f>
        <v/>
      </c>
      <c r="F931" s="26" t="str">
        <f>+_xlfn.XLOOKUP(G931,Master!$V$2:$V$8,Master!$U$2:$U$8,"")</f>
        <v/>
      </c>
      <c r="I931" s="4" t="str">
        <f>_xlfn.IFNA(VLOOKUP(D931,Master!$I:$K,2,FALSE),"")</f>
        <v/>
      </c>
      <c r="J931" s="4" t="str">
        <f>_xlfn.IFNA(VLOOKUP(D931,Master!$I:$K,3,FALSE),"")</f>
        <v/>
      </c>
      <c r="L931" s="27" t="str">
        <f>IF(A931&lt;&gt;"CFA",_xlfn.IFNA(VLOOKUP($G931,Master!$V$2:$Z$8,5,0),""),"")</f>
        <v/>
      </c>
      <c r="P931" s="6" t="str">
        <f t="shared" si="28"/>
        <v/>
      </c>
      <c r="Q931" s="13">
        <f t="shared" si="29"/>
        <v>0</v>
      </c>
    </row>
    <row r="932" spans="2:17" ht="15" customHeight="1">
      <c r="B932" s="5" t="str">
        <f>_xlfn.IFNA(VLOOKUP(C932,Master!$H:$I,2,FALSE),"")</f>
        <v/>
      </c>
      <c r="D932" s="5" t="str">
        <f>_xlfn.IFNA(VLOOKUP(E932,Master!$H:$I,2,FALSE),"")</f>
        <v/>
      </c>
      <c r="F932" s="26" t="str">
        <f>+_xlfn.XLOOKUP(G932,Master!$V$2:$V$8,Master!$U$2:$U$8,"")</f>
        <v/>
      </c>
      <c r="I932" s="4" t="str">
        <f>_xlfn.IFNA(VLOOKUP(D932,Master!$I:$K,2,FALSE),"")</f>
        <v/>
      </c>
      <c r="J932" s="4" t="str">
        <f>_xlfn.IFNA(VLOOKUP(D932,Master!$I:$K,3,FALSE),"")</f>
        <v/>
      </c>
      <c r="L932" s="27" t="str">
        <f>IF(A932&lt;&gt;"CFA",_xlfn.IFNA(VLOOKUP($G932,Master!$V$2:$Z$8,5,0),""),"")</f>
        <v/>
      </c>
      <c r="P932" s="6" t="str">
        <f t="shared" si="28"/>
        <v/>
      </c>
      <c r="Q932" s="13">
        <f t="shared" si="29"/>
        <v>0</v>
      </c>
    </row>
    <row r="933" spans="2:17" ht="15" customHeight="1">
      <c r="B933" s="5" t="str">
        <f>_xlfn.IFNA(VLOOKUP(C933,Master!$H:$I,2,FALSE),"")</f>
        <v/>
      </c>
      <c r="D933" s="5" t="str">
        <f>_xlfn.IFNA(VLOOKUP(E933,Master!$H:$I,2,FALSE),"")</f>
        <v/>
      </c>
      <c r="F933" s="26" t="str">
        <f>+_xlfn.XLOOKUP(G933,Master!$V$2:$V$8,Master!$U$2:$U$8,"")</f>
        <v/>
      </c>
      <c r="I933" s="4" t="str">
        <f>_xlfn.IFNA(VLOOKUP(D933,Master!$I:$K,2,FALSE),"")</f>
        <v/>
      </c>
      <c r="J933" s="4" t="str">
        <f>_xlfn.IFNA(VLOOKUP(D933,Master!$I:$K,3,FALSE),"")</f>
        <v/>
      </c>
      <c r="L933" s="27" t="str">
        <f>IF(A933&lt;&gt;"CFA",_xlfn.IFNA(VLOOKUP($G933,Master!$V$2:$Z$8,5,0),""),"")</f>
        <v/>
      </c>
      <c r="P933" s="6" t="str">
        <f t="shared" si="28"/>
        <v/>
      </c>
      <c r="Q933" s="13">
        <f t="shared" si="29"/>
        <v>0</v>
      </c>
    </row>
    <row r="934" spans="2:17" ht="15" customHeight="1">
      <c r="B934" s="5" t="str">
        <f>_xlfn.IFNA(VLOOKUP(C934,Master!$H:$I,2,FALSE),"")</f>
        <v/>
      </c>
      <c r="D934" s="5" t="str">
        <f>_xlfn.IFNA(VLOOKUP(E934,Master!$H:$I,2,FALSE),"")</f>
        <v/>
      </c>
      <c r="F934" s="26" t="str">
        <f>+_xlfn.XLOOKUP(G934,Master!$V$2:$V$8,Master!$U$2:$U$8,"")</f>
        <v/>
      </c>
      <c r="I934" s="4" t="str">
        <f>_xlfn.IFNA(VLOOKUP(D934,Master!$I:$K,2,FALSE),"")</f>
        <v/>
      </c>
      <c r="J934" s="4" t="str">
        <f>_xlfn.IFNA(VLOOKUP(D934,Master!$I:$K,3,FALSE),"")</f>
        <v/>
      </c>
      <c r="L934" s="27" t="str">
        <f>IF(A934&lt;&gt;"CFA",_xlfn.IFNA(VLOOKUP($G934,Master!$V$2:$Z$8,5,0),""),"")</f>
        <v/>
      </c>
      <c r="P934" s="6" t="str">
        <f t="shared" si="28"/>
        <v/>
      </c>
      <c r="Q934" s="13">
        <f t="shared" si="29"/>
        <v>0</v>
      </c>
    </row>
    <row r="935" spans="2:17" ht="15" customHeight="1">
      <c r="B935" s="5" t="str">
        <f>_xlfn.IFNA(VLOOKUP(C935,Master!$H:$I,2,FALSE),"")</f>
        <v/>
      </c>
      <c r="D935" s="5" t="str">
        <f>_xlfn.IFNA(VLOOKUP(E935,Master!$H:$I,2,FALSE),"")</f>
        <v/>
      </c>
      <c r="F935" s="26" t="str">
        <f>+_xlfn.XLOOKUP(G935,Master!$V$2:$V$8,Master!$U$2:$U$8,"")</f>
        <v/>
      </c>
      <c r="I935" s="4" t="str">
        <f>_xlfn.IFNA(VLOOKUP(D935,Master!$I:$K,2,FALSE),"")</f>
        <v/>
      </c>
      <c r="J935" s="4" t="str">
        <f>_xlfn.IFNA(VLOOKUP(D935,Master!$I:$K,3,FALSE),"")</f>
        <v/>
      </c>
      <c r="L935" s="27" t="str">
        <f>IF(A935&lt;&gt;"CFA",_xlfn.IFNA(VLOOKUP($G935,Master!$V$2:$Z$8,5,0),""),"")</f>
        <v/>
      </c>
      <c r="P935" s="6" t="str">
        <f t="shared" si="28"/>
        <v/>
      </c>
      <c r="Q935" s="13">
        <f t="shared" si="29"/>
        <v>0</v>
      </c>
    </row>
    <row r="936" spans="2:17" ht="15" customHeight="1">
      <c r="B936" s="5" t="str">
        <f>_xlfn.IFNA(VLOOKUP(C936,Master!$H:$I,2,FALSE),"")</f>
        <v/>
      </c>
      <c r="D936" s="5" t="str">
        <f>_xlfn.IFNA(VLOOKUP(E936,Master!$H:$I,2,FALSE),"")</f>
        <v/>
      </c>
      <c r="F936" s="26" t="str">
        <f>+_xlfn.XLOOKUP(G936,Master!$V$2:$V$8,Master!$U$2:$U$8,"")</f>
        <v/>
      </c>
      <c r="I936" s="4" t="str">
        <f>_xlfn.IFNA(VLOOKUP(D936,Master!$I:$K,2,FALSE),"")</f>
        <v/>
      </c>
      <c r="J936" s="4" t="str">
        <f>_xlfn.IFNA(VLOOKUP(D936,Master!$I:$K,3,FALSE),"")</f>
        <v/>
      </c>
      <c r="L936" s="27" t="str">
        <f>IF(A936&lt;&gt;"CFA",_xlfn.IFNA(VLOOKUP($G936,Master!$V$2:$Z$8,5,0),""),"")</f>
        <v/>
      </c>
      <c r="P936" s="6" t="str">
        <f t="shared" si="28"/>
        <v/>
      </c>
      <c r="Q936" s="13">
        <f t="shared" si="29"/>
        <v>0</v>
      </c>
    </row>
    <row r="937" spans="2:17" ht="15" customHeight="1">
      <c r="B937" s="5" t="str">
        <f>_xlfn.IFNA(VLOOKUP(C937,Master!$H:$I,2,FALSE),"")</f>
        <v/>
      </c>
      <c r="D937" s="5" t="str">
        <f>_xlfn.IFNA(VLOOKUP(E937,Master!$H:$I,2,FALSE),"")</f>
        <v/>
      </c>
      <c r="F937" s="26" t="str">
        <f>+_xlfn.XLOOKUP(G937,Master!$V$2:$V$8,Master!$U$2:$U$8,"")</f>
        <v/>
      </c>
      <c r="I937" s="4" t="str">
        <f>_xlfn.IFNA(VLOOKUP(D937,Master!$I:$K,2,FALSE),"")</f>
        <v/>
      </c>
      <c r="J937" s="4" t="str">
        <f>_xlfn.IFNA(VLOOKUP(D937,Master!$I:$K,3,FALSE),"")</f>
        <v/>
      </c>
      <c r="L937" s="27" t="str">
        <f>IF(A937&lt;&gt;"CFA",_xlfn.IFNA(VLOOKUP($G937,Master!$V$2:$Z$8,5,0),""),"")</f>
        <v/>
      </c>
      <c r="P937" s="6" t="str">
        <f t="shared" si="28"/>
        <v/>
      </c>
      <c r="Q937" s="13">
        <f t="shared" si="29"/>
        <v>0</v>
      </c>
    </row>
    <row r="938" spans="2:17" ht="15" customHeight="1">
      <c r="B938" s="5" t="str">
        <f>_xlfn.IFNA(VLOOKUP(C938,Master!$H:$I,2,FALSE),"")</f>
        <v/>
      </c>
      <c r="D938" s="5" t="str">
        <f>_xlfn.IFNA(VLOOKUP(E938,Master!$H:$I,2,FALSE),"")</f>
        <v/>
      </c>
      <c r="F938" s="26" t="str">
        <f>+_xlfn.XLOOKUP(G938,Master!$V$2:$V$8,Master!$U$2:$U$8,"")</f>
        <v/>
      </c>
      <c r="I938" s="4" t="str">
        <f>_xlfn.IFNA(VLOOKUP(D938,Master!$I:$K,2,FALSE),"")</f>
        <v/>
      </c>
      <c r="J938" s="4" t="str">
        <f>_xlfn.IFNA(VLOOKUP(D938,Master!$I:$K,3,FALSE),"")</f>
        <v/>
      </c>
      <c r="L938" s="27" t="str">
        <f>IF(A938&lt;&gt;"CFA",_xlfn.IFNA(VLOOKUP($G938,Master!$V$2:$Z$8,5,0),""),"")</f>
        <v/>
      </c>
      <c r="P938" s="6" t="str">
        <f t="shared" si="28"/>
        <v/>
      </c>
      <c r="Q938" s="13">
        <f t="shared" si="29"/>
        <v>0</v>
      </c>
    </row>
    <row r="939" spans="2:17" ht="15" customHeight="1">
      <c r="B939" s="5" t="str">
        <f>_xlfn.IFNA(VLOOKUP(C939,Master!$H:$I,2,FALSE),"")</f>
        <v/>
      </c>
      <c r="D939" s="5" t="str">
        <f>_xlfn.IFNA(VLOOKUP(E939,Master!$H:$I,2,FALSE),"")</f>
        <v/>
      </c>
      <c r="F939" s="26" t="str">
        <f>+_xlfn.XLOOKUP(G939,Master!$V$2:$V$8,Master!$U$2:$U$8,"")</f>
        <v/>
      </c>
      <c r="I939" s="4" t="str">
        <f>_xlfn.IFNA(VLOOKUP(D939,Master!$I:$K,2,FALSE),"")</f>
        <v/>
      </c>
      <c r="J939" s="4" t="str">
        <f>_xlfn.IFNA(VLOOKUP(D939,Master!$I:$K,3,FALSE),"")</f>
        <v/>
      </c>
      <c r="L939" s="27" t="str">
        <f>IF(A939&lt;&gt;"CFA",_xlfn.IFNA(VLOOKUP($G939,Master!$V$2:$Z$8,5,0),""),"")</f>
        <v/>
      </c>
      <c r="P939" s="6" t="str">
        <f t="shared" si="28"/>
        <v/>
      </c>
      <c r="Q939" s="13">
        <f t="shared" si="29"/>
        <v>0</v>
      </c>
    </row>
    <row r="940" spans="2:17" ht="15" customHeight="1">
      <c r="B940" s="5" t="str">
        <f>_xlfn.IFNA(VLOOKUP(C940,Master!$H:$I,2,FALSE),"")</f>
        <v/>
      </c>
      <c r="D940" s="5" t="str">
        <f>_xlfn.IFNA(VLOOKUP(E940,Master!$H:$I,2,FALSE),"")</f>
        <v/>
      </c>
      <c r="F940" s="26" t="str">
        <f>+_xlfn.XLOOKUP(G940,Master!$V$2:$V$8,Master!$U$2:$U$8,"")</f>
        <v/>
      </c>
      <c r="I940" s="4" t="str">
        <f>_xlfn.IFNA(VLOOKUP(D940,Master!$I:$K,2,FALSE),"")</f>
        <v/>
      </c>
      <c r="J940" s="4" t="str">
        <f>_xlfn.IFNA(VLOOKUP(D940,Master!$I:$K,3,FALSE),"")</f>
        <v/>
      </c>
      <c r="L940" s="27" t="str">
        <f>IF(A940&lt;&gt;"CFA",_xlfn.IFNA(VLOOKUP($G940,Master!$V$2:$Z$8,5,0),""),"")</f>
        <v/>
      </c>
      <c r="P940" s="6" t="str">
        <f t="shared" si="28"/>
        <v/>
      </c>
      <c r="Q940" s="13">
        <f t="shared" si="29"/>
        <v>0</v>
      </c>
    </row>
    <row r="941" spans="2:17" ht="15" customHeight="1">
      <c r="B941" s="5" t="str">
        <f>_xlfn.IFNA(VLOOKUP(C941,Master!$H:$I,2,FALSE),"")</f>
        <v/>
      </c>
      <c r="D941" s="5" t="str">
        <f>_xlfn.IFNA(VLOOKUP(E941,Master!$H:$I,2,FALSE),"")</f>
        <v/>
      </c>
      <c r="F941" s="26" t="str">
        <f>+_xlfn.XLOOKUP(G941,Master!$V$2:$V$8,Master!$U$2:$U$8,"")</f>
        <v/>
      </c>
      <c r="I941" s="4" t="str">
        <f>_xlfn.IFNA(VLOOKUP(D941,Master!$I:$K,2,FALSE),"")</f>
        <v/>
      </c>
      <c r="J941" s="4" t="str">
        <f>_xlfn.IFNA(VLOOKUP(D941,Master!$I:$K,3,FALSE),"")</f>
        <v/>
      </c>
      <c r="L941" s="27" t="str">
        <f>IF(A941&lt;&gt;"CFA",_xlfn.IFNA(VLOOKUP($G941,Master!$V$2:$Z$8,5,0),""),"")</f>
        <v/>
      </c>
      <c r="P941" s="6" t="str">
        <f t="shared" si="28"/>
        <v/>
      </c>
      <c r="Q941" s="13">
        <f t="shared" si="29"/>
        <v>0</v>
      </c>
    </row>
    <row r="942" spans="2:17" ht="15" customHeight="1">
      <c r="B942" s="5" t="str">
        <f>_xlfn.IFNA(VLOOKUP(C942,Master!$H:$I,2,FALSE),"")</f>
        <v/>
      </c>
      <c r="D942" s="5" t="str">
        <f>_xlfn.IFNA(VLOOKUP(E942,Master!$H:$I,2,FALSE),"")</f>
        <v/>
      </c>
      <c r="F942" s="26" t="str">
        <f>+_xlfn.XLOOKUP(G942,Master!$V$2:$V$8,Master!$U$2:$U$8,"")</f>
        <v/>
      </c>
      <c r="I942" s="4" t="str">
        <f>_xlfn.IFNA(VLOOKUP(D942,Master!$I:$K,2,FALSE),"")</f>
        <v/>
      </c>
      <c r="J942" s="4" t="str">
        <f>_xlfn.IFNA(VLOOKUP(D942,Master!$I:$K,3,FALSE),"")</f>
        <v/>
      </c>
      <c r="L942" s="27" t="str">
        <f>IF(A942&lt;&gt;"CFA",_xlfn.IFNA(VLOOKUP($G942,Master!$V$2:$Z$8,5,0),""),"")</f>
        <v/>
      </c>
      <c r="P942" s="6" t="str">
        <f t="shared" si="28"/>
        <v/>
      </c>
      <c r="Q942" s="13">
        <f t="shared" si="29"/>
        <v>0</v>
      </c>
    </row>
    <row r="943" spans="2:17" ht="15" customHeight="1">
      <c r="B943" s="5" t="str">
        <f>_xlfn.IFNA(VLOOKUP(C943,Master!$H:$I,2,FALSE),"")</f>
        <v/>
      </c>
      <c r="D943" s="5" t="str">
        <f>_xlfn.IFNA(VLOOKUP(E943,Master!$H:$I,2,FALSE),"")</f>
        <v/>
      </c>
      <c r="F943" s="26" t="str">
        <f>+_xlfn.XLOOKUP(G943,Master!$V$2:$V$8,Master!$U$2:$U$8,"")</f>
        <v/>
      </c>
      <c r="I943" s="4" t="str">
        <f>_xlfn.IFNA(VLOOKUP(D943,Master!$I:$K,2,FALSE),"")</f>
        <v/>
      </c>
      <c r="J943" s="4" t="str">
        <f>_xlfn.IFNA(VLOOKUP(D943,Master!$I:$K,3,FALSE),"")</f>
        <v/>
      </c>
      <c r="L943" s="27" t="str">
        <f>IF(A943&lt;&gt;"CFA",_xlfn.IFNA(VLOOKUP($G943,Master!$V$2:$Z$8,5,0),""),"")</f>
        <v/>
      </c>
      <c r="P943" s="6" t="str">
        <f t="shared" si="28"/>
        <v/>
      </c>
      <c r="Q943" s="13">
        <f t="shared" si="29"/>
        <v>0</v>
      </c>
    </row>
    <row r="944" spans="2:17" ht="15" customHeight="1">
      <c r="B944" s="5" t="str">
        <f>_xlfn.IFNA(VLOOKUP(C944,Master!$H:$I,2,FALSE),"")</f>
        <v/>
      </c>
      <c r="D944" s="5" t="str">
        <f>_xlfn.IFNA(VLOOKUP(E944,Master!$H:$I,2,FALSE),"")</f>
        <v/>
      </c>
      <c r="F944" s="26" t="str">
        <f>+_xlfn.XLOOKUP(G944,Master!$V$2:$V$8,Master!$U$2:$U$8,"")</f>
        <v/>
      </c>
      <c r="I944" s="4" t="str">
        <f>_xlfn.IFNA(VLOOKUP(D944,Master!$I:$K,2,FALSE),"")</f>
        <v/>
      </c>
      <c r="J944" s="4" t="str">
        <f>_xlfn.IFNA(VLOOKUP(D944,Master!$I:$K,3,FALSE),"")</f>
        <v/>
      </c>
      <c r="L944" s="27" t="str">
        <f>IF(A944&lt;&gt;"CFA",_xlfn.IFNA(VLOOKUP($G944,Master!$V$2:$Z$8,5,0),""),"")</f>
        <v/>
      </c>
      <c r="P944" s="6" t="str">
        <f t="shared" si="28"/>
        <v/>
      </c>
      <c r="Q944" s="13">
        <f t="shared" si="29"/>
        <v>0</v>
      </c>
    </row>
    <row r="945" spans="2:17" ht="15" customHeight="1">
      <c r="B945" s="5" t="str">
        <f>_xlfn.IFNA(VLOOKUP(C945,Master!$H:$I,2,FALSE),"")</f>
        <v/>
      </c>
      <c r="D945" s="5" t="str">
        <f>_xlfn.IFNA(VLOOKUP(E945,Master!$H:$I,2,FALSE),"")</f>
        <v/>
      </c>
      <c r="F945" s="26" t="str">
        <f>+_xlfn.XLOOKUP(G945,Master!$V$2:$V$8,Master!$U$2:$U$8,"")</f>
        <v/>
      </c>
      <c r="I945" s="4" t="str">
        <f>_xlfn.IFNA(VLOOKUP(D945,Master!$I:$K,2,FALSE),"")</f>
        <v/>
      </c>
      <c r="J945" s="4" t="str">
        <f>_xlfn.IFNA(VLOOKUP(D945,Master!$I:$K,3,FALSE),"")</f>
        <v/>
      </c>
      <c r="L945" s="27" t="str">
        <f>IF(A945&lt;&gt;"CFA",_xlfn.IFNA(VLOOKUP($G945,Master!$V$2:$Z$8,5,0),""),"")</f>
        <v/>
      </c>
      <c r="P945" s="6" t="str">
        <f t="shared" si="28"/>
        <v/>
      </c>
      <c r="Q945" s="13">
        <f t="shared" si="29"/>
        <v>0</v>
      </c>
    </row>
    <row r="946" spans="2:17" ht="15" customHeight="1">
      <c r="B946" s="5" t="str">
        <f>_xlfn.IFNA(VLOOKUP(C946,Master!$H:$I,2,FALSE),"")</f>
        <v/>
      </c>
      <c r="D946" s="5" t="str">
        <f>_xlfn.IFNA(VLOOKUP(E946,Master!$H:$I,2,FALSE),"")</f>
        <v/>
      </c>
      <c r="F946" s="26" t="str">
        <f>+_xlfn.XLOOKUP(G946,Master!$V$2:$V$8,Master!$U$2:$U$8,"")</f>
        <v/>
      </c>
      <c r="I946" s="4" t="str">
        <f>_xlfn.IFNA(VLOOKUP(D946,Master!$I:$K,2,FALSE),"")</f>
        <v/>
      </c>
      <c r="J946" s="4" t="str">
        <f>_xlfn.IFNA(VLOOKUP(D946,Master!$I:$K,3,FALSE),"")</f>
        <v/>
      </c>
      <c r="L946" s="27" t="str">
        <f>IF(A946&lt;&gt;"CFA",_xlfn.IFNA(VLOOKUP($G946,Master!$V$2:$Z$8,5,0),""),"")</f>
        <v/>
      </c>
      <c r="P946" s="6" t="str">
        <f t="shared" si="28"/>
        <v/>
      </c>
      <c r="Q946" s="13">
        <f t="shared" si="29"/>
        <v>0</v>
      </c>
    </row>
    <row r="947" spans="2:17" ht="15" customHeight="1">
      <c r="B947" s="5" t="str">
        <f>_xlfn.IFNA(VLOOKUP(C947,Master!$H:$I,2,FALSE),"")</f>
        <v/>
      </c>
      <c r="D947" s="5" t="str">
        <f>_xlfn.IFNA(VLOOKUP(E947,Master!$H:$I,2,FALSE),"")</f>
        <v/>
      </c>
      <c r="F947" s="26" t="str">
        <f>+_xlfn.XLOOKUP(G947,Master!$V$2:$V$8,Master!$U$2:$U$8,"")</f>
        <v/>
      </c>
      <c r="I947" s="4" t="str">
        <f>_xlfn.IFNA(VLOOKUP(D947,Master!$I:$K,2,FALSE),"")</f>
        <v/>
      </c>
      <c r="J947" s="4" t="str">
        <f>_xlfn.IFNA(VLOOKUP(D947,Master!$I:$K,3,FALSE),"")</f>
        <v/>
      </c>
      <c r="L947" s="27" t="str">
        <f>IF(A947&lt;&gt;"CFA",_xlfn.IFNA(VLOOKUP($G947,Master!$V$2:$Z$8,5,0),""),"")</f>
        <v/>
      </c>
      <c r="P947" s="6" t="str">
        <f t="shared" si="28"/>
        <v/>
      </c>
      <c r="Q947" s="13">
        <f t="shared" si="29"/>
        <v>0</v>
      </c>
    </row>
    <row r="948" spans="2:17" ht="15" customHeight="1">
      <c r="B948" s="5" t="str">
        <f>_xlfn.IFNA(VLOOKUP(C948,Master!$H:$I,2,FALSE),"")</f>
        <v/>
      </c>
      <c r="D948" s="5" t="str">
        <f>_xlfn.IFNA(VLOOKUP(E948,Master!$H:$I,2,FALSE),"")</f>
        <v/>
      </c>
      <c r="F948" s="26" t="str">
        <f>+_xlfn.XLOOKUP(G948,Master!$V$2:$V$8,Master!$U$2:$U$8,"")</f>
        <v/>
      </c>
      <c r="I948" s="4" t="str">
        <f>_xlfn.IFNA(VLOOKUP(D948,Master!$I:$K,2,FALSE),"")</f>
        <v/>
      </c>
      <c r="J948" s="4" t="str">
        <f>_xlfn.IFNA(VLOOKUP(D948,Master!$I:$K,3,FALSE),"")</f>
        <v/>
      </c>
      <c r="L948" s="27" t="str">
        <f>IF(A948&lt;&gt;"CFA",_xlfn.IFNA(VLOOKUP($G948,Master!$V$2:$Z$8,5,0),""),"")</f>
        <v/>
      </c>
      <c r="P948" s="6" t="str">
        <f t="shared" si="28"/>
        <v/>
      </c>
      <c r="Q948" s="13">
        <f t="shared" si="29"/>
        <v>0</v>
      </c>
    </row>
    <row r="949" spans="2:17" ht="15" customHeight="1">
      <c r="B949" s="5" t="str">
        <f>_xlfn.IFNA(VLOOKUP(C949,Master!$H:$I,2,FALSE),"")</f>
        <v/>
      </c>
      <c r="D949" s="5" t="str">
        <f>_xlfn.IFNA(VLOOKUP(E949,Master!$H:$I,2,FALSE),"")</f>
        <v/>
      </c>
      <c r="F949" s="26" t="str">
        <f>+_xlfn.XLOOKUP(G949,Master!$V$2:$V$8,Master!$U$2:$U$8,"")</f>
        <v/>
      </c>
      <c r="I949" s="4" t="str">
        <f>_xlfn.IFNA(VLOOKUP(D949,Master!$I:$K,2,FALSE),"")</f>
        <v/>
      </c>
      <c r="J949" s="4" t="str">
        <f>_xlfn.IFNA(VLOOKUP(D949,Master!$I:$K,3,FALSE),"")</f>
        <v/>
      </c>
      <c r="L949" s="27" t="str">
        <f>IF(A949&lt;&gt;"CFA",_xlfn.IFNA(VLOOKUP($G949,Master!$V$2:$Z$8,5,0),""),"")</f>
        <v/>
      </c>
      <c r="P949" s="6" t="str">
        <f t="shared" si="28"/>
        <v/>
      </c>
      <c r="Q949" s="13">
        <f t="shared" si="29"/>
        <v>0</v>
      </c>
    </row>
    <row r="950" spans="2:17" ht="15" customHeight="1">
      <c r="B950" s="5" t="str">
        <f>_xlfn.IFNA(VLOOKUP(C950,Master!$H:$I,2,FALSE),"")</f>
        <v/>
      </c>
      <c r="D950" s="5" t="str">
        <f>_xlfn.IFNA(VLOOKUP(E950,Master!$H:$I,2,FALSE),"")</f>
        <v/>
      </c>
      <c r="F950" s="26" t="str">
        <f>+_xlfn.XLOOKUP(G950,Master!$V$2:$V$8,Master!$U$2:$U$8,"")</f>
        <v/>
      </c>
      <c r="I950" s="4" t="str">
        <f>_xlfn.IFNA(VLOOKUP(D950,Master!$I:$K,2,FALSE),"")</f>
        <v/>
      </c>
      <c r="J950" s="4" t="str">
        <f>_xlfn.IFNA(VLOOKUP(D950,Master!$I:$K,3,FALSE),"")</f>
        <v/>
      </c>
      <c r="L950" s="27" t="str">
        <f>IF(A950&lt;&gt;"CFA",_xlfn.IFNA(VLOOKUP($G950,Master!$V$2:$Z$8,5,0),""),"")</f>
        <v/>
      </c>
      <c r="P950" s="6" t="str">
        <f t="shared" si="28"/>
        <v/>
      </c>
      <c r="Q950" s="13">
        <f t="shared" si="29"/>
        <v>0</v>
      </c>
    </row>
    <row r="951" spans="2:17" ht="15" customHeight="1">
      <c r="B951" s="5" t="str">
        <f>_xlfn.IFNA(VLOOKUP(C951,Master!$H:$I,2,FALSE),"")</f>
        <v/>
      </c>
      <c r="D951" s="5" t="str">
        <f>_xlfn.IFNA(VLOOKUP(E951,Master!$H:$I,2,FALSE),"")</f>
        <v/>
      </c>
      <c r="F951" s="26" t="str">
        <f>+_xlfn.XLOOKUP(G951,Master!$V$2:$V$8,Master!$U$2:$U$8,"")</f>
        <v/>
      </c>
      <c r="I951" s="4" t="str">
        <f>_xlfn.IFNA(VLOOKUP(D951,Master!$I:$K,2,FALSE),"")</f>
        <v/>
      </c>
      <c r="J951" s="4" t="str">
        <f>_xlfn.IFNA(VLOOKUP(D951,Master!$I:$K,3,FALSE),"")</f>
        <v/>
      </c>
      <c r="L951" s="27" t="str">
        <f>IF(A951&lt;&gt;"CFA",_xlfn.IFNA(VLOOKUP($G951,Master!$V$2:$Z$8,5,0),""),"")</f>
        <v/>
      </c>
      <c r="P951" s="6" t="str">
        <f t="shared" ref="P951:P1014" si="30">IF(N951&lt;&gt;"",IF(MONTH(N951)&gt;=4,"FY1"&amp;RIGHT(YEAR(N951)+1,2),"FY1"&amp;RIGHT(YEAR(N951),2)),"")</f>
        <v/>
      </c>
      <c r="Q951" s="13">
        <f t="shared" ref="Q951:Q1014" si="31">IF(K951&gt;0&amp;M951&gt;0,K951*M951,"")</f>
        <v>0</v>
      </c>
    </row>
    <row r="952" spans="2:17" ht="15" customHeight="1">
      <c r="B952" s="5" t="str">
        <f>_xlfn.IFNA(VLOOKUP(C952,Master!$H:$I,2,FALSE),"")</f>
        <v/>
      </c>
      <c r="D952" s="5" t="str">
        <f>_xlfn.IFNA(VLOOKUP(E952,Master!$H:$I,2,FALSE),"")</f>
        <v/>
      </c>
      <c r="F952" s="26" t="str">
        <f>+_xlfn.XLOOKUP(G952,Master!$V$2:$V$8,Master!$U$2:$U$8,"")</f>
        <v/>
      </c>
      <c r="I952" s="4" t="str">
        <f>_xlfn.IFNA(VLOOKUP(D952,Master!$I:$K,2,FALSE),"")</f>
        <v/>
      </c>
      <c r="J952" s="4" t="str">
        <f>_xlfn.IFNA(VLOOKUP(D952,Master!$I:$K,3,FALSE),"")</f>
        <v/>
      </c>
      <c r="L952" s="27" t="str">
        <f>IF(A952&lt;&gt;"CFA",_xlfn.IFNA(VLOOKUP($G952,Master!$V$2:$Z$8,5,0),""),"")</f>
        <v/>
      </c>
      <c r="P952" s="6" t="str">
        <f t="shared" si="30"/>
        <v/>
      </c>
      <c r="Q952" s="13">
        <f t="shared" si="31"/>
        <v>0</v>
      </c>
    </row>
    <row r="953" spans="2:17" ht="15" customHeight="1">
      <c r="B953" s="5" t="str">
        <f>_xlfn.IFNA(VLOOKUP(C953,Master!$H:$I,2,FALSE),"")</f>
        <v/>
      </c>
      <c r="D953" s="5" t="str">
        <f>_xlfn.IFNA(VLOOKUP(E953,Master!$H:$I,2,FALSE),"")</f>
        <v/>
      </c>
      <c r="F953" s="26" t="str">
        <f>+_xlfn.XLOOKUP(G953,Master!$V$2:$V$8,Master!$U$2:$U$8,"")</f>
        <v/>
      </c>
      <c r="I953" s="4" t="str">
        <f>_xlfn.IFNA(VLOOKUP(D953,Master!$I:$K,2,FALSE),"")</f>
        <v/>
      </c>
      <c r="J953" s="4" t="str">
        <f>_xlfn.IFNA(VLOOKUP(D953,Master!$I:$K,3,FALSE),"")</f>
        <v/>
      </c>
      <c r="L953" s="27" t="str">
        <f>IF(A953&lt;&gt;"CFA",_xlfn.IFNA(VLOOKUP($G953,Master!$V$2:$Z$8,5,0),""),"")</f>
        <v/>
      </c>
      <c r="P953" s="6" t="str">
        <f t="shared" si="30"/>
        <v/>
      </c>
      <c r="Q953" s="13">
        <f t="shared" si="31"/>
        <v>0</v>
      </c>
    </row>
    <row r="954" spans="2:17" ht="15" customHeight="1">
      <c r="B954" s="5" t="str">
        <f>_xlfn.IFNA(VLOOKUP(C954,Master!$H:$I,2,FALSE),"")</f>
        <v/>
      </c>
      <c r="D954" s="5" t="str">
        <f>_xlfn.IFNA(VLOOKUP(E954,Master!$H:$I,2,FALSE),"")</f>
        <v/>
      </c>
      <c r="F954" s="26" t="str">
        <f>+_xlfn.XLOOKUP(G954,Master!$V$2:$V$8,Master!$U$2:$U$8,"")</f>
        <v/>
      </c>
      <c r="I954" s="4" t="str">
        <f>_xlfn.IFNA(VLOOKUP(D954,Master!$I:$K,2,FALSE),"")</f>
        <v/>
      </c>
      <c r="J954" s="4" t="str">
        <f>_xlfn.IFNA(VLOOKUP(D954,Master!$I:$K,3,FALSE),"")</f>
        <v/>
      </c>
      <c r="L954" s="27" t="str">
        <f>IF(A954&lt;&gt;"CFA",_xlfn.IFNA(VLOOKUP($G954,Master!$V$2:$Z$8,5,0),""),"")</f>
        <v/>
      </c>
      <c r="P954" s="6" t="str">
        <f t="shared" si="30"/>
        <v/>
      </c>
      <c r="Q954" s="13">
        <f t="shared" si="31"/>
        <v>0</v>
      </c>
    </row>
    <row r="955" spans="2:17" ht="15" customHeight="1">
      <c r="B955" s="5" t="str">
        <f>_xlfn.IFNA(VLOOKUP(C955,Master!$H:$I,2,FALSE),"")</f>
        <v/>
      </c>
      <c r="D955" s="5" t="str">
        <f>_xlfn.IFNA(VLOOKUP(E955,Master!$H:$I,2,FALSE),"")</f>
        <v/>
      </c>
      <c r="F955" s="26" t="str">
        <f>+_xlfn.XLOOKUP(G955,Master!$V$2:$V$8,Master!$U$2:$U$8,"")</f>
        <v/>
      </c>
      <c r="I955" s="4" t="str">
        <f>_xlfn.IFNA(VLOOKUP(D955,Master!$I:$K,2,FALSE),"")</f>
        <v/>
      </c>
      <c r="J955" s="4" t="str">
        <f>_xlfn.IFNA(VLOOKUP(D955,Master!$I:$K,3,FALSE),"")</f>
        <v/>
      </c>
      <c r="L955" s="27" t="str">
        <f>IF(A955&lt;&gt;"CFA",_xlfn.IFNA(VLOOKUP($G955,Master!$V$2:$Z$8,5,0),""),"")</f>
        <v/>
      </c>
      <c r="P955" s="6" t="str">
        <f t="shared" si="30"/>
        <v/>
      </c>
      <c r="Q955" s="13">
        <f t="shared" si="31"/>
        <v>0</v>
      </c>
    </row>
    <row r="956" spans="2:17" ht="15" customHeight="1">
      <c r="B956" s="5" t="str">
        <f>_xlfn.IFNA(VLOOKUP(C956,Master!$H:$I,2,FALSE),"")</f>
        <v/>
      </c>
      <c r="D956" s="5" t="str">
        <f>_xlfn.IFNA(VLOOKUP(E956,Master!$H:$I,2,FALSE),"")</f>
        <v/>
      </c>
      <c r="F956" s="26" t="str">
        <f>+_xlfn.XLOOKUP(G956,Master!$V$2:$V$8,Master!$U$2:$U$8,"")</f>
        <v/>
      </c>
      <c r="I956" s="4" t="str">
        <f>_xlfn.IFNA(VLOOKUP(D956,Master!$I:$K,2,FALSE),"")</f>
        <v/>
      </c>
      <c r="J956" s="4" t="str">
        <f>_xlfn.IFNA(VLOOKUP(D956,Master!$I:$K,3,FALSE),"")</f>
        <v/>
      </c>
      <c r="L956" s="27" t="str">
        <f>IF(A956&lt;&gt;"CFA",_xlfn.IFNA(VLOOKUP($G956,Master!$V$2:$Z$8,5,0),""),"")</f>
        <v/>
      </c>
      <c r="P956" s="6" t="str">
        <f t="shared" si="30"/>
        <v/>
      </c>
      <c r="Q956" s="13">
        <f t="shared" si="31"/>
        <v>0</v>
      </c>
    </row>
    <row r="957" spans="2:17" ht="15" customHeight="1">
      <c r="B957" s="5" t="str">
        <f>_xlfn.IFNA(VLOOKUP(C957,Master!$H:$I,2,FALSE),"")</f>
        <v/>
      </c>
      <c r="D957" s="5" t="str">
        <f>_xlfn.IFNA(VLOOKUP(E957,Master!$H:$I,2,FALSE),"")</f>
        <v/>
      </c>
      <c r="F957" s="26" t="str">
        <f>+_xlfn.XLOOKUP(G957,Master!$V$2:$V$8,Master!$U$2:$U$8,"")</f>
        <v/>
      </c>
      <c r="I957" s="4" t="str">
        <f>_xlfn.IFNA(VLOOKUP(D957,Master!$I:$K,2,FALSE),"")</f>
        <v/>
      </c>
      <c r="J957" s="4" t="str">
        <f>_xlfn.IFNA(VLOOKUP(D957,Master!$I:$K,3,FALSE),"")</f>
        <v/>
      </c>
      <c r="L957" s="27" t="str">
        <f>IF(A957&lt;&gt;"CFA",_xlfn.IFNA(VLOOKUP($G957,Master!$V$2:$Z$8,5,0),""),"")</f>
        <v/>
      </c>
      <c r="P957" s="6" t="str">
        <f t="shared" si="30"/>
        <v/>
      </c>
      <c r="Q957" s="13">
        <f t="shared" si="31"/>
        <v>0</v>
      </c>
    </row>
    <row r="958" spans="2:17" ht="15" customHeight="1">
      <c r="B958" s="5" t="str">
        <f>_xlfn.IFNA(VLOOKUP(C958,Master!$H:$I,2,FALSE),"")</f>
        <v/>
      </c>
      <c r="D958" s="5" t="str">
        <f>_xlfn.IFNA(VLOOKUP(E958,Master!$H:$I,2,FALSE),"")</f>
        <v/>
      </c>
      <c r="F958" s="26" t="str">
        <f>+_xlfn.XLOOKUP(G958,Master!$V$2:$V$8,Master!$U$2:$U$8,"")</f>
        <v/>
      </c>
      <c r="I958" s="4" t="str">
        <f>_xlfn.IFNA(VLOOKUP(D958,Master!$I:$K,2,FALSE),"")</f>
        <v/>
      </c>
      <c r="J958" s="4" t="str">
        <f>_xlfn.IFNA(VLOOKUP(D958,Master!$I:$K,3,FALSE),"")</f>
        <v/>
      </c>
      <c r="L958" s="27" t="str">
        <f>IF(A958&lt;&gt;"CFA",_xlfn.IFNA(VLOOKUP($G958,Master!$V$2:$Z$8,5,0),""),"")</f>
        <v/>
      </c>
      <c r="P958" s="6" t="str">
        <f t="shared" si="30"/>
        <v/>
      </c>
      <c r="Q958" s="13">
        <f t="shared" si="31"/>
        <v>0</v>
      </c>
    </row>
    <row r="959" spans="2:17" ht="15" customHeight="1">
      <c r="B959" s="5" t="str">
        <f>_xlfn.IFNA(VLOOKUP(C959,Master!$H:$I,2,FALSE),"")</f>
        <v/>
      </c>
      <c r="D959" s="5" t="str">
        <f>_xlfn.IFNA(VLOOKUP(E959,Master!$H:$I,2,FALSE),"")</f>
        <v/>
      </c>
      <c r="F959" s="26" t="str">
        <f>+_xlfn.XLOOKUP(G959,Master!$V$2:$V$8,Master!$U$2:$U$8,"")</f>
        <v/>
      </c>
      <c r="I959" s="4" t="str">
        <f>_xlfn.IFNA(VLOOKUP(D959,Master!$I:$K,2,FALSE),"")</f>
        <v/>
      </c>
      <c r="J959" s="4" t="str">
        <f>_xlfn.IFNA(VLOOKUP(D959,Master!$I:$K,3,FALSE),"")</f>
        <v/>
      </c>
      <c r="L959" s="27" t="str">
        <f>IF(A959&lt;&gt;"CFA",_xlfn.IFNA(VLOOKUP($G959,Master!$V$2:$Z$8,5,0),""),"")</f>
        <v/>
      </c>
      <c r="P959" s="6" t="str">
        <f t="shared" si="30"/>
        <v/>
      </c>
      <c r="Q959" s="13">
        <f t="shared" si="31"/>
        <v>0</v>
      </c>
    </row>
    <row r="960" spans="2:17" ht="15" customHeight="1">
      <c r="B960" s="5" t="str">
        <f>_xlfn.IFNA(VLOOKUP(C960,Master!$H:$I,2,FALSE),"")</f>
        <v/>
      </c>
      <c r="D960" s="5" t="str">
        <f>_xlfn.IFNA(VLOOKUP(E960,Master!$H:$I,2,FALSE),"")</f>
        <v/>
      </c>
      <c r="F960" s="26" t="str">
        <f>+_xlfn.XLOOKUP(G960,Master!$V$2:$V$8,Master!$U$2:$U$8,"")</f>
        <v/>
      </c>
      <c r="I960" s="4" t="str">
        <f>_xlfn.IFNA(VLOOKUP(D960,Master!$I:$K,2,FALSE),"")</f>
        <v/>
      </c>
      <c r="J960" s="4" t="str">
        <f>_xlfn.IFNA(VLOOKUP(D960,Master!$I:$K,3,FALSE),"")</f>
        <v/>
      </c>
      <c r="L960" s="27" t="str">
        <f>IF(A960&lt;&gt;"CFA",_xlfn.IFNA(VLOOKUP($G960,Master!$V$2:$Z$8,5,0),""),"")</f>
        <v/>
      </c>
      <c r="P960" s="6" t="str">
        <f t="shared" si="30"/>
        <v/>
      </c>
      <c r="Q960" s="13">
        <f t="shared" si="31"/>
        <v>0</v>
      </c>
    </row>
    <row r="961" spans="2:17" ht="15" customHeight="1">
      <c r="B961" s="5" t="str">
        <f>_xlfn.IFNA(VLOOKUP(C961,Master!$H:$I,2,FALSE),"")</f>
        <v/>
      </c>
      <c r="D961" s="5" t="str">
        <f>_xlfn.IFNA(VLOOKUP(E961,Master!$H:$I,2,FALSE),"")</f>
        <v/>
      </c>
      <c r="F961" s="26" t="str">
        <f>+_xlfn.XLOOKUP(G961,Master!$V$2:$V$8,Master!$U$2:$U$8,"")</f>
        <v/>
      </c>
      <c r="I961" s="4" t="str">
        <f>_xlfn.IFNA(VLOOKUP(D961,Master!$I:$K,2,FALSE),"")</f>
        <v/>
      </c>
      <c r="J961" s="4" t="str">
        <f>_xlfn.IFNA(VLOOKUP(D961,Master!$I:$K,3,FALSE),"")</f>
        <v/>
      </c>
      <c r="L961" s="27" t="str">
        <f>IF(A961&lt;&gt;"CFA",_xlfn.IFNA(VLOOKUP($G961,Master!$V$2:$Z$8,5,0),""),"")</f>
        <v/>
      </c>
      <c r="P961" s="6" t="str">
        <f t="shared" si="30"/>
        <v/>
      </c>
      <c r="Q961" s="13">
        <f t="shared" si="31"/>
        <v>0</v>
      </c>
    </row>
    <row r="962" spans="2:17" ht="15" customHeight="1">
      <c r="B962" s="5" t="str">
        <f>_xlfn.IFNA(VLOOKUP(C962,Master!$H:$I,2,FALSE),"")</f>
        <v/>
      </c>
      <c r="D962" s="5" t="str">
        <f>_xlfn.IFNA(VLOOKUP(E962,Master!$H:$I,2,FALSE),"")</f>
        <v/>
      </c>
      <c r="F962" s="26" t="str">
        <f>+_xlfn.XLOOKUP(G962,Master!$V$2:$V$8,Master!$U$2:$U$8,"")</f>
        <v/>
      </c>
      <c r="I962" s="4" t="str">
        <f>_xlfn.IFNA(VLOOKUP(D962,Master!$I:$K,2,FALSE),"")</f>
        <v/>
      </c>
      <c r="J962" s="4" t="str">
        <f>_xlfn.IFNA(VLOOKUP(D962,Master!$I:$K,3,FALSE),"")</f>
        <v/>
      </c>
      <c r="L962" s="27" t="str">
        <f>IF(A962&lt;&gt;"CFA",_xlfn.IFNA(VLOOKUP($G962,Master!$V$2:$Z$8,5,0),""),"")</f>
        <v/>
      </c>
      <c r="P962" s="6" t="str">
        <f t="shared" si="30"/>
        <v/>
      </c>
      <c r="Q962" s="13">
        <f t="shared" si="31"/>
        <v>0</v>
      </c>
    </row>
    <row r="963" spans="2:17" ht="15" customHeight="1">
      <c r="B963" s="5" t="str">
        <f>_xlfn.IFNA(VLOOKUP(C963,Master!$H:$I,2,FALSE),"")</f>
        <v/>
      </c>
      <c r="D963" s="5" t="str">
        <f>_xlfn.IFNA(VLOOKUP(E963,Master!$H:$I,2,FALSE),"")</f>
        <v/>
      </c>
      <c r="F963" s="26" t="str">
        <f>+_xlfn.XLOOKUP(G963,Master!$V$2:$V$8,Master!$U$2:$U$8,"")</f>
        <v/>
      </c>
      <c r="I963" s="4" t="str">
        <f>_xlfn.IFNA(VLOOKUP(D963,Master!$I:$K,2,FALSE),"")</f>
        <v/>
      </c>
      <c r="J963" s="4" t="str">
        <f>_xlfn.IFNA(VLOOKUP(D963,Master!$I:$K,3,FALSE),"")</f>
        <v/>
      </c>
      <c r="L963" s="27" t="str">
        <f>IF(A963&lt;&gt;"CFA",_xlfn.IFNA(VLOOKUP($G963,Master!$V$2:$Z$8,5,0),""),"")</f>
        <v/>
      </c>
      <c r="P963" s="6" t="str">
        <f t="shared" si="30"/>
        <v/>
      </c>
      <c r="Q963" s="13">
        <f t="shared" si="31"/>
        <v>0</v>
      </c>
    </row>
    <row r="964" spans="2:17" ht="15" customHeight="1">
      <c r="B964" s="5" t="str">
        <f>_xlfn.IFNA(VLOOKUP(C964,Master!$H:$I,2,FALSE),"")</f>
        <v/>
      </c>
      <c r="D964" s="5" t="str">
        <f>_xlfn.IFNA(VLOOKUP(E964,Master!$H:$I,2,FALSE),"")</f>
        <v/>
      </c>
      <c r="F964" s="26" t="str">
        <f>+_xlfn.XLOOKUP(G964,Master!$V$2:$V$8,Master!$U$2:$U$8,"")</f>
        <v/>
      </c>
      <c r="I964" s="4" t="str">
        <f>_xlfn.IFNA(VLOOKUP(D964,Master!$I:$K,2,FALSE),"")</f>
        <v/>
      </c>
      <c r="J964" s="4" t="str">
        <f>_xlfn.IFNA(VLOOKUP(D964,Master!$I:$K,3,FALSE),"")</f>
        <v/>
      </c>
      <c r="L964" s="27" t="str">
        <f>IF(A964&lt;&gt;"CFA",_xlfn.IFNA(VLOOKUP($G964,Master!$V$2:$Z$8,5,0),""),"")</f>
        <v/>
      </c>
      <c r="P964" s="6" t="str">
        <f t="shared" si="30"/>
        <v/>
      </c>
      <c r="Q964" s="13">
        <f t="shared" si="31"/>
        <v>0</v>
      </c>
    </row>
    <row r="965" spans="2:17" ht="15" customHeight="1">
      <c r="B965" s="5" t="str">
        <f>_xlfn.IFNA(VLOOKUP(C965,Master!$H:$I,2,FALSE),"")</f>
        <v/>
      </c>
      <c r="D965" s="5" t="str">
        <f>_xlfn.IFNA(VLOOKUP(E965,Master!$H:$I,2,FALSE),"")</f>
        <v/>
      </c>
      <c r="F965" s="26" t="str">
        <f>+_xlfn.XLOOKUP(G965,Master!$V$2:$V$8,Master!$U$2:$U$8,"")</f>
        <v/>
      </c>
      <c r="I965" s="4" t="str">
        <f>_xlfn.IFNA(VLOOKUP(D965,Master!$I:$K,2,FALSE),"")</f>
        <v/>
      </c>
      <c r="J965" s="4" t="str">
        <f>_xlfn.IFNA(VLOOKUP(D965,Master!$I:$K,3,FALSE),"")</f>
        <v/>
      </c>
      <c r="L965" s="27" t="str">
        <f>IF(A965&lt;&gt;"CFA",_xlfn.IFNA(VLOOKUP($G965,Master!$V$2:$Z$8,5,0),""),"")</f>
        <v/>
      </c>
      <c r="P965" s="6" t="str">
        <f t="shared" si="30"/>
        <v/>
      </c>
      <c r="Q965" s="13">
        <f t="shared" si="31"/>
        <v>0</v>
      </c>
    </row>
    <row r="966" spans="2:17" ht="15" customHeight="1">
      <c r="B966" s="5" t="str">
        <f>_xlfn.IFNA(VLOOKUP(C966,Master!$H:$I,2,FALSE),"")</f>
        <v/>
      </c>
      <c r="D966" s="5" t="str">
        <f>_xlfn.IFNA(VLOOKUP(E966,Master!$H:$I,2,FALSE),"")</f>
        <v/>
      </c>
      <c r="F966" s="26" t="str">
        <f>+_xlfn.XLOOKUP(G966,Master!$V$2:$V$8,Master!$U$2:$U$8,"")</f>
        <v/>
      </c>
      <c r="I966" s="4" t="str">
        <f>_xlfn.IFNA(VLOOKUP(D966,Master!$I:$K,2,FALSE),"")</f>
        <v/>
      </c>
      <c r="J966" s="4" t="str">
        <f>_xlfn.IFNA(VLOOKUP(D966,Master!$I:$K,3,FALSE),"")</f>
        <v/>
      </c>
      <c r="L966" s="27" t="str">
        <f>IF(A966&lt;&gt;"CFA",_xlfn.IFNA(VLOOKUP($G966,Master!$V$2:$Z$8,5,0),""),"")</f>
        <v/>
      </c>
      <c r="P966" s="6" t="str">
        <f t="shared" si="30"/>
        <v/>
      </c>
      <c r="Q966" s="13">
        <f t="shared" si="31"/>
        <v>0</v>
      </c>
    </row>
    <row r="967" spans="2:17" ht="15" customHeight="1">
      <c r="B967" s="5" t="str">
        <f>_xlfn.IFNA(VLOOKUP(C967,Master!$H:$I,2,FALSE),"")</f>
        <v/>
      </c>
      <c r="D967" s="5" t="str">
        <f>_xlfn.IFNA(VLOOKUP(E967,Master!$H:$I,2,FALSE),"")</f>
        <v/>
      </c>
      <c r="F967" s="26" t="str">
        <f>+_xlfn.XLOOKUP(G967,Master!$V$2:$V$8,Master!$U$2:$U$8,"")</f>
        <v/>
      </c>
      <c r="I967" s="4" t="str">
        <f>_xlfn.IFNA(VLOOKUP(D967,Master!$I:$K,2,FALSE),"")</f>
        <v/>
      </c>
      <c r="J967" s="4" t="str">
        <f>_xlfn.IFNA(VLOOKUP(D967,Master!$I:$K,3,FALSE),"")</f>
        <v/>
      </c>
      <c r="L967" s="27" t="str">
        <f>IF(A967&lt;&gt;"CFA",_xlfn.IFNA(VLOOKUP($G967,Master!$V$2:$Z$8,5,0),""),"")</f>
        <v/>
      </c>
      <c r="P967" s="6" t="str">
        <f t="shared" si="30"/>
        <v/>
      </c>
      <c r="Q967" s="13">
        <f t="shared" si="31"/>
        <v>0</v>
      </c>
    </row>
    <row r="968" spans="2:17" ht="15" customHeight="1">
      <c r="B968" s="5" t="str">
        <f>_xlfn.IFNA(VLOOKUP(C968,Master!$H:$I,2,FALSE),"")</f>
        <v/>
      </c>
      <c r="D968" s="5" t="str">
        <f>_xlfn.IFNA(VLOOKUP(E968,Master!$H:$I,2,FALSE),"")</f>
        <v/>
      </c>
      <c r="F968" s="26" t="str">
        <f>+_xlfn.XLOOKUP(G968,Master!$V$2:$V$8,Master!$U$2:$U$8,"")</f>
        <v/>
      </c>
      <c r="I968" s="4" t="str">
        <f>_xlfn.IFNA(VLOOKUP(D968,Master!$I:$K,2,FALSE),"")</f>
        <v/>
      </c>
      <c r="J968" s="4" t="str">
        <f>_xlfn.IFNA(VLOOKUP(D968,Master!$I:$K,3,FALSE),"")</f>
        <v/>
      </c>
      <c r="L968" s="27" t="str">
        <f>IF(A968&lt;&gt;"CFA",_xlfn.IFNA(VLOOKUP($G968,Master!$V$2:$Z$8,5,0),""),"")</f>
        <v/>
      </c>
      <c r="P968" s="6" t="str">
        <f t="shared" si="30"/>
        <v/>
      </c>
      <c r="Q968" s="13">
        <f t="shared" si="31"/>
        <v>0</v>
      </c>
    </row>
    <row r="969" spans="2:17" ht="15" customHeight="1">
      <c r="B969" s="5" t="str">
        <f>_xlfn.IFNA(VLOOKUP(C969,Master!$H:$I,2,FALSE),"")</f>
        <v/>
      </c>
      <c r="D969" s="5" t="str">
        <f>_xlfn.IFNA(VLOOKUP(E969,Master!$H:$I,2,FALSE),"")</f>
        <v/>
      </c>
      <c r="F969" s="26" t="str">
        <f>+_xlfn.XLOOKUP(G969,Master!$V$2:$V$8,Master!$U$2:$U$8,"")</f>
        <v/>
      </c>
      <c r="I969" s="4" t="str">
        <f>_xlfn.IFNA(VLOOKUP(D969,Master!$I:$K,2,FALSE),"")</f>
        <v/>
      </c>
      <c r="J969" s="4" t="str">
        <f>_xlfn.IFNA(VLOOKUP(D969,Master!$I:$K,3,FALSE),"")</f>
        <v/>
      </c>
      <c r="L969" s="27" t="str">
        <f>IF(A969&lt;&gt;"CFA",_xlfn.IFNA(VLOOKUP($G969,Master!$V$2:$Z$8,5,0),""),"")</f>
        <v/>
      </c>
      <c r="P969" s="6" t="str">
        <f t="shared" si="30"/>
        <v/>
      </c>
      <c r="Q969" s="13">
        <f t="shared" si="31"/>
        <v>0</v>
      </c>
    </row>
    <row r="970" spans="2:17" ht="15" customHeight="1">
      <c r="B970" s="5" t="str">
        <f>_xlfn.IFNA(VLOOKUP(C970,Master!$H:$I,2,FALSE),"")</f>
        <v/>
      </c>
      <c r="D970" s="5" t="str">
        <f>_xlfn.IFNA(VLOOKUP(E970,Master!$H:$I,2,FALSE),"")</f>
        <v/>
      </c>
      <c r="F970" s="26" t="str">
        <f>+_xlfn.XLOOKUP(G970,Master!$V$2:$V$8,Master!$U$2:$U$8,"")</f>
        <v/>
      </c>
      <c r="I970" s="4" t="str">
        <f>_xlfn.IFNA(VLOOKUP(D970,Master!$I:$K,2,FALSE),"")</f>
        <v/>
      </c>
      <c r="J970" s="4" t="str">
        <f>_xlfn.IFNA(VLOOKUP(D970,Master!$I:$K,3,FALSE),"")</f>
        <v/>
      </c>
      <c r="L970" s="27" t="str">
        <f>IF(A970&lt;&gt;"CFA",_xlfn.IFNA(VLOOKUP($G970,Master!$V$2:$Z$8,5,0),""),"")</f>
        <v/>
      </c>
      <c r="P970" s="6" t="str">
        <f t="shared" si="30"/>
        <v/>
      </c>
      <c r="Q970" s="13">
        <f t="shared" si="31"/>
        <v>0</v>
      </c>
    </row>
    <row r="971" spans="2:17" ht="15" customHeight="1">
      <c r="B971" s="5" t="str">
        <f>_xlfn.IFNA(VLOOKUP(C971,Master!$H:$I,2,FALSE),"")</f>
        <v/>
      </c>
      <c r="D971" s="5" t="str">
        <f>_xlfn.IFNA(VLOOKUP(E971,Master!$H:$I,2,FALSE),"")</f>
        <v/>
      </c>
      <c r="F971" s="26" t="str">
        <f>+_xlfn.XLOOKUP(G971,Master!$V$2:$V$8,Master!$U$2:$U$8,"")</f>
        <v/>
      </c>
      <c r="I971" s="4" t="str">
        <f>_xlfn.IFNA(VLOOKUP(D971,Master!$I:$K,2,FALSE),"")</f>
        <v/>
      </c>
      <c r="J971" s="4" t="str">
        <f>_xlfn.IFNA(VLOOKUP(D971,Master!$I:$K,3,FALSE),"")</f>
        <v/>
      </c>
      <c r="L971" s="27" t="str">
        <f>IF(A971&lt;&gt;"CFA",_xlfn.IFNA(VLOOKUP($G971,Master!$V$2:$Z$8,5,0),""),"")</f>
        <v/>
      </c>
      <c r="P971" s="6" t="str">
        <f t="shared" si="30"/>
        <v/>
      </c>
      <c r="Q971" s="13">
        <f t="shared" si="31"/>
        <v>0</v>
      </c>
    </row>
    <row r="972" spans="2:17" ht="15" customHeight="1">
      <c r="B972" s="5" t="str">
        <f>_xlfn.IFNA(VLOOKUP(C972,Master!$H:$I,2,FALSE),"")</f>
        <v/>
      </c>
      <c r="D972" s="5" t="str">
        <f>_xlfn.IFNA(VLOOKUP(E972,Master!$H:$I,2,FALSE),"")</f>
        <v/>
      </c>
      <c r="F972" s="26" t="str">
        <f>+_xlfn.XLOOKUP(G972,Master!$V$2:$V$8,Master!$U$2:$U$8,"")</f>
        <v/>
      </c>
      <c r="I972" s="4" t="str">
        <f>_xlfn.IFNA(VLOOKUP(D972,Master!$I:$K,2,FALSE),"")</f>
        <v/>
      </c>
      <c r="J972" s="4" t="str">
        <f>_xlfn.IFNA(VLOOKUP(D972,Master!$I:$K,3,FALSE),"")</f>
        <v/>
      </c>
      <c r="L972" s="27" t="str">
        <f>IF(A972&lt;&gt;"CFA",_xlfn.IFNA(VLOOKUP($G972,Master!$V$2:$Z$8,5,0),""),"")</f>
        <v/>
      </c>
      <c r="P972" s="6" t="str">
        <f t="shared" si="30"/>
        <v/>
      </c>
      <c r="Q972" s="13">
        <f t="shared" si="31"/>
        <v>0</v>
      </c>
    </row>
    <row r="973" spans="2:17" ht="15" customHeight="1">
      <c r="B973" s="5" t="str">
        <f>_xlfn.IFNA(VLOOKUP(C973,Master!$H:$I,2,FALSE),"")</f>
        <v/>
      </c>
      <c r="D973" s="5" t="str">
        <f>_xlfn.IFNA(VLOOKUP(E973,Master!$H:$I,2,FALSE),"")</f>
        <v/>
      </c>
      <c r="F973" s="26" t="str">
        <f>+_xlfn.XLOOKUP(G973,Master!$V$2:$V$8,Master!$U$2:$U$8,"")</f>
        <v/>
      </c>
      <c r="I973" s="4" t="str">
        <f>_xlfn.IFNA(VLOOKUP(D973,Master!$I:$K,2,FALSE),"")</f>
        <v/>
      </c>
      <c r="J973" s="4" t="str">
        <f>_xlfn.IFNA(VLOOKUP(D973,Master!$I:$K,3,FALSE),"")</f>
        <v/>
      </c>
      <c r="L973" s="27" t="str">
        <f>IF(A973&lt;&gt;"CFA",_xlfn.IFNA(VLOOKUP($G973,Master!$V$2:$Z$8,5,0),""),"")</f>
        <v/>
      </c>
      <c r="P973" s="6" t="str">
        <f t="shared" si="30"/>
        <v/>
      </c>
      <c r="Q973" s="13">
        <f t="shared" si="31"/>
        <v>0</v>
      </c>
    </row>
    <row r="974" spans="2:17" ht="15" customHeight="1">
      <c r="B974" s="5" t="str">
        <f>_xlfn.IFNA(VLOOKUP(C974,Master!$H:$I,2,FALSE),"")</f>
        <v/>
      </c>
      <c r="D974" s="5" t="str">
        <f>_xlfn.IFNA(VLOOKUP(E974,Master!$H:$I,2,FALSE),"")</f>
        <v/>
      </c>
      <c r="F974" s="26" t="str">
        <f>+_xlfn.XLOOKUP(G974,Master!$V$2:$V$8,Master!$U$2:$U$8,"")</f>
        <v/>
      </c>
      <c r="I974" s="4" t="str">
        <f>_xlfn.IFNA(VLOOKUP(D974,Master!$I:$K,2,FALSE),"")</f>
        <v/>
      </c>
      <c r="J974" s="4" t="str">
        <f>_xlfn.IFNA(VLOOKUP(D974,Master!$I:$K,3,FALSE),"")</f>
        <v/>
      </c>
      <c r="L974" s="27" t="str">
        <f>IF(A974&lt;&gt;"CFA",_xlfn.IFNA(VLOOKUP($G974,Master!$V$2:$Z$8,5,0),""),"")</f>
        <v/>
      </c>
      <c r="P974" s="6" t="str">
        <f t="shared" si="30"/>
        <v/>
      </c>
      <c r="Q974" s="13">
        <f t="shared" si="31"/>
        <v>0</v>
      </c>
    </row>
    <row r="975" spans="2:17" ht="15" customHeight="1">
      <c r="B975" s="5" t="str">
        <f>_xlfn.IFNA(VLOOKUP(C975,Master!$H:$I,2,FALSE),"")</f>
        <v/>
      </c>
      <c r="D975" s="5" t="str">
        <f>_xlfn.IFNA(VLOOKUP(E975,Master!$H:$I,2,FALSE),"")</f>
        <v/>
      </c>
      <c r="F975" s="26" t="str">
        <f>+_xlfn.XLOOKUP(G975,Master!$V$2:$V$8,Master!$U$2:$U$8,"")</f>
        <v/>
      </c>
      <c r="I975" s="4" t="str">
        <f>_xlfn.IFNA(VLOOKUP(D975,Master!$I:$K,2,FALSE),"")</f>
        <v/>
      </c>
      <c r="J975" s="4" t="str">
        <f>_xlfn.IFNA(VLOOKUP(D975,Master!$I:$K,3,FALSE),"")</f>
        <v/>
      </c>
      <c r="L975" s="27" t="str">
        <f>IF(A975&lt;&gt;"CFA",_xlfn.IFNA(VLOOKUP($G975,Master!$V$2:$Z$8,5,0),""),"")</f>
        <v/>
      </c>
      <c r="P975" s="6" t="str">
        <f t="shared" si="30"/>
        <v/>
      </c>
      <c r="Q975" s="13">
        <f t="shared" si="31"/>
        <v>0</v>
      </c>
    </row>
    <row r="976" spans="2:17" ht="15" customHeight="1">
      <c r="B976" s="5" t="str">
        <f>_xlfn.IFNA(VLOOKUP(C976,Master!$H:$I,2,FALSE),"")</f>
        <v/>
      </c>
      <c r="D976" s="5" t="str">
        <f>_xlfn.IFNA(VLOOKUP(E976,Master!$H:$I,2,FALSE),"")</f>
        <v/>
      </c>
      <c r="F976" s="26" t="str">
        <f>+_xlfn.XLOOKUP(G976,Master!$V$2:$V$8,Master!$U$2:$U$8,"")</f>
        <v/>
      </c>
      <c r="I976" s="4" t="str">
        <f>_xlfn.IFNA(VLOOKUP(D976,Master!$I:$K,2,FALSE),"")</f>
        <v/>
      </c>
      <c r="J976" s="4" t="str">
        <f>_xlfn.IFNA(VLOOKUP(D976,Master!$I:$K,3,FALSE),"")</f>
        <v/>
      </c>
      <c r="L976" s="27" t="str">
        <f>IF(A976&lt;&gt;"CFA",_xlfn.IFNA(VLOOKUP($G976,Master!$V$2:$Z$8,5,0),""),"")</f>
        <v/>
      </c>
      <c r="P976" s="6" t="str">
        <f t="shared" si="30"/>
        <v/>
      </c>
      <c r="Q976" s="13">
        <f t="shared" si="31"/>
        <v>0</v>
      </c>
    </row>
    <row r="977" spans="2:17" ht="15" customHeight="1">
      <c r="B977" s="5" t="str">
        <f>_xlfn.IFNA(VLOOKUP(C977,Master!$H:$I,2,FALSE),"")</f>
        <v/>
      </c>
      <c r="D977" s="5" t="str">
        <f>_xlfn.IFNA(VLOOKUP(E977,Master!$H:$I,2,FALSE),"")</f>
        <v/>
      </c>
      <c r="F977" s="26" t="str">
        <f>+_xlfn.XLOOKUP(G977,Master!$V$2:$V$8,Master!$U$2:$U$8,"")</f>
        <v/>
      </c>
      <c r="I977" s="4" t="str">
        <f>_xlfn.IFNA(VLOOKUP(D977,Master!$I:$K,2,FALSE),"")</f>
        <v/>
      </c>
      <c r="J977" s="4" t="str">
        <f>_xlfn.IFNA(VLOOKUP(D977,Master!$I:$K,3,FALSE),"")</f>
        <v/>
      </c>
      <c r="L977" s="27" t="str">
        <f>IF(A977&lt;&gt;"CFA",_xlfn.IFNA(VLOOKUP($G977,Master!$V$2:$Z$8,5,0),""),"")</f>
        <v/>
      </c>
      <c r="P977" s="6" t="str">
        <f t="shared" si="30"/>
        <v/>
      </c>
      <c r="Q977" s="13">
        <f t="shared" si="31"/>
        <v>0</v>
      </c>
    </row>
    <row r="978" spans="2:17" ht="15" customHeight="1">
      <c r="B978" s="5" t="str">
        <f>_xlfn.IFNA(VLOOKUP(C978,Master!$H:$I,2,FALSE),"")</f>
        <v/>
      </c>
      <c r="D978" s="5" t="str">
        <f>_xlfn.IFNA(VLOOKUP(E978,Master!$H:$I,2,FALSE),"")</f>
        <v/>
      </c>
      <c r="F978" s="26" t="str">
        <f>+_xlfn.XLOOKUP(G978,Master!$V$2:$V$8,Master!$U$2:$U$8,"")</f>
        <v/>
      </c>
      <c r="I978" s="4" t="str">
        <f>_xlfn.IFNA(VLOOKUP(D978,Master!$I:$K,2,FALSE),"")</f>
        <v/>
      </c>
      <c r="J978" s="4" t="str">
        <f>_xlfn.IFNA(VLOOKUP(D978,Master!$I:$K,3,FALSE),"")</f>
        <v/>
      </c>
      <c r="L978" s="27" t="str">
        <f>IF(A978&lt;&gt;"CFA",_xlfn.IFNA(VLOOKUP($G978,Master!$V$2:$Z$8,5,0),""),"")</f>
        <v/>
      </c>
      <c r="P978" s="6" t="str">
        <f t="shared" si="30"/>
        <v/>
      </c>
      <c r="Q978" s="13">
        <f t="shared" si="31"/>
        <v>0</v>
      </c>
    </row>
    <row r="979" spans="2:17" ht="15" customHeight="1">
      <c r="B979" s="5" t="str">
        <f>_xlfn.IFNA(VLOOKUP(C979,Master!$H:$I,2,FALSE),"")</f>
        <v/>
      </c>
      <c r="D979" s="5" t="str">
        <f>_xlfn.IFNA(VLOOKUP(E979,Master!$H:$I,2,FALSE),"")</f>
        <v/>
      </c>
      <c r="F979" s="26" t="str">
        <f>+_xlfn.XLOOKUP(G979,Master!$V$2:$V$8,Master!$U$2:$U$8,"")</f>
        <v/>
      </c>
      <c r="I979" s="4" t="str">
        <f>_xlfn.IFNA(VLOOKUP(D979,Master!$I:$K,2,FALSE),"")</f>
        <v/>
      </c>
      <c r="J979" s="4" t="str">
        <f>_xlfn.IFNA(VLOOKUP(D979,Master!$I:$K,3,FALSE),"")</f>
        <v/>
      </c>
      <c r="L979" s="27" t="str">
        <f>IF(A979&lt;&gt;"CFA",_xlfn.IFNA(VLOOKUP($G979,Master!$V$2:$Z$8,5,0),""),"")</f>
        <v/>
      </c>
      <c r="P979" s="6" t="str">
        <f t="shared" si="30"/>
        <v/>
      </c>
      <c r="Q979" s="13">
        <f t="shared" si="31"/>
        <v>0</v>
      </c>
    </row>
    <row r="980" spans="2:17" ht="15" customHeight="1">
      <c r="B980" s="5" t="str">
        <f>_xlfn.IFNA(VLOOKUP(C980,Master!$H:$I,2,FALSE),"")</f>
        <v/>
      </c>
      <c r="D980" s="5" t="str">
        <f>_xlfn.IFNA(VLOOKUP(E980,Master!$H:$I,2,FALSE),"")</f>
        <v/>
      </c>
      <c r="F980" s="26" t="str">
        <f>+_xlfn.XLOOKUP(G980,Master!$V$2:$V$8,Master!$U$2:$U$8,"")</f>
        <v/>
      </c>
      <c r="I980" s="4" t="str">
        <f>_xlfn.IFNA(VLOOKUP(D980,Master!$I:$K,2,FALSE),"")</f>
        <v/>
      </c>
      <c r="J980" s="4" t="str">
        <f>_xlfn.IFNA(VLOOKUP(D980,Master!$I:$K,3,FALSE),"")</f>
        <v/>
      </c>
      <c r="L980" s="27" t="str">
        <f>IF(A980&lt;&gt;"CFA",_xlfn.IFNA(VLOOKUP($G980,Master!$V$2:$Z$8,5,0),""),"")</f>
        <v/>
      </c>
      <c r="P980" s="6" t="str">
        <f t="shared" si="30"/>
        <v/>
      </c>
      <c r="Q980" s="13">
        <f t="shared" si="31"/>
        <v>0</v>
      </c>
    </row>
    <row r="981" spans="2:17" ht="15" customHeight="1">
      <c r="B981" s="5" t="str">
        <f>_xlfn.IFNA(VLOOKUP(C981,Master!$H:$I,2,FALSE),"")</f>
        <v/>
      </c>
      <c r="D981" s="5" t="str">
        <f>_xlfn.IFNA(VLOOKUP(E981,Master!$H:$I,2,FALSE),"")</f>
        <v/>
      </c>
      <c r="F981" s="26" t="str">
        <f>+_xlfn.XLOOKUP(G981,Master!$V$2:$V$8,Master!$U$2:$U$8,"")</f>
        <v/>
      </c>
      <c r="I981" s="4" t="str">
        <f>_xlfn.IFNA(VLOOKUP(D981,Master!$I:$K,2,FALSE),"")</f>
        <v/>
      </c>
      <c r="J981" s="4" t="str">
        <f>_xlfn.IFNA(VLOOKUP(D981,Master!$I:$K,3,FALSE),"")</f>
        <v/>
      </c>
      <c r="L981" s="27" t="str">
        <f>IF(A981&lt;&gt;"CFA",_xlfn.IFNA(VLOOKUP($G981,Master!$V$2:$Z$8,5,0),""),"")</f>
        <v/>
      </c>
      <c r="P981" s="6" t="str">
        <f t="shared" si="30"/>
        <v/>
      </c>
      <c r="Q981" s="13">
        <f t="shared" si="31"/>
        <v>0</v>
      </c>
    </row>
    <row r="982" spans="2:17" ht="15" customHeight="1">
      <c r="B982" s="5" t="str">
        <f>_xlfn.IFNA(VLOOKUP(C982,Master!$H:$I,2,FALSE),"")</f>
        <v/>
      </c>
      <c r="D982" s="5" t="str">
        <f>_xlfn.IFNA(VLOOKUP(E982,Master!$H:$I,2,FALSE),"")</f>
        <v/>
      </c>
      <c r="F982" s="26" t="str">
        <f>+_xlfn.XLOOKUP(G982,Master!$V$2:$V$8,Master!$U$2:$U$8,"")</f>
        <v/>
      </c>
      <c r="I982" s="4" t="str">
        <f>_xlfn.IFNA(VLOOKUP(D982,Master!$I:$K,2,FALSE),"")</f>
        <v/>
      </c>
      <c r="J982" s="4" t="str">
        <f>_xlfn.IFNA(VLOOKUP(D982,Master!$I:$K,3,FALSE),"")</f>
        <v/>
      </c>
      <c r="L982" s="27" t="str">
        <f>IF(A982&lt;&gt;"CFA",_xlfn.IFNA(VLOOKUP($G982,Master!$V$2:$Z$8,5,0),""),"")</f>
        <v/>
      </c>
      <c r="P982" s="6" t="str">
        <f t="shared" si="30"/>
        <v/>
      </c>
      <c r="Q982" s="13">
        <f t="shared" si="31"/>
        <v>0</v>
      </c>
    </row>
    <row r="983" spans="2:17" ht="15" customHeight="1">
      <c r="B983" s="5" t="str">
        <f>_xlfn.IFNA(VLOOKUP(C983,Master!$H:$I,2,FALSE),"")</f>
        <v/>
      </c>
      <c r="D983" s="5" t="str">
        <f>_xlfn.IFNA(VLOOKUP(E983,Master!$H:$I,2,FALSE),"")</f>
        <v/>
      </c>
      <c r="F983" s="26" t="str">
        <f>+_xlfn.XLOOKUP(G983,Master!$V$2:$V$8,Master!$U$2:$U$8,"")</f>
        <v/>
      </c>
      <c r="I983" s="4" t="str">
        <f>_xlfn.IFNA(VLOOKUP(D983,Master!$I:$K,2,FALSE),"")</f>
        <v/>
      </c>
      <c r="J983" s="4" t="str">
        <f>_xlfn.IFNA(VLOOKUP(D983,Master!$I:$K,3,FALSE),"")</f>
        <v/>
      </c>
      <c r="L983" s="27" t="str">
        <f>IF(A983&lt;&gt;"CFA",_xlfn.IFNA(VLOOKUP($G983,Master!$V$2:$Z$8,5,0),""),"")</f>
        <v/>
      </c>
      <c r="P983" s="6" t="str">
        <f t="shared" si="30"/>
        <v/>
      </c>
      <c r="Q983" s="13">
        <f t="shared" si="31"/>
        <v>0</v>
      </c>
    </row>
    <row r="984" spans="2:17" ht="15" customHeight="1">
      <c r="B984" s="5" t="str">
        <f>_xlfn.IFNA(VLOOKUP(C984,Master!$H:$I,2,FALSE),"")</f>
        <v/>
      </c>
      <c r="D984" s="5" t="str">
        <f>_xlfn.IFNA(VLOOKUP(E984,Master!$H:$I,2,FALSE),"")</f>
        <v/>
      </c>
      <c r="F984" s="26" t="str">
        <f>+_xlfn.XLOOKUP(G984,Master!$V$2:$V$8,Master!$U$2:$U$8,"")</f>
        <v/>
      </c>
      <c r="I984" s="4" t="str">
        <f>_xlfn.IFNA(VLOOKUP(D984,Master!$I:$K,2,FALSE),"")</f>
        <v/>
      </c>
      <c r="J984" s="4" t="str">
        <f>_xlfn.IFNA(VLOOKUP(D984,Master!$I:$K,3,FALSE),"")</f>
        <v/>
      </c>
      <c r="L984" s="27" t="str">
        <f>IF(A984&lt;&gt;"CFA",_xlfn.IFNA(VLOOKUP($G984,Master!$V$2:$Z$8,5,0),""),"")</f>
        <v/>
      </c>
      <c r="P984" s="6" t="str">
        <f t="shared" si="30"/>
        <v/>
      </c>
      <c r="Q984" s="13">
        <f t="shared" si="31"/>
        <v>0</v>
      </c>
    </row>
    <row r="985" spans="2:17" ht="15" customHeight="1">
      <c r="B985" s="5" t="str">
        <f>_xlfn.IFNA(VLOOKUP(C985,Master!$H:$I,2,FALSE),"")</f>
        <v/>
      </c>
      <c r="D985" s="5" t="str">
        <f>_xlfn.IFNA(VLOOKUP(E985,Master!$H:$I,2,FALSE),"")</f>
        <v/>
      </c>
      <c r="F985" s="26" t="str">
        <f>+_xlfn.XLOOKUP(G985,Master!$V$2:$V$8,Master!$U$2:$U$8,"")</f>
        <v/>
      </c>
      <c r="I985" s="4" t="str">
        <f>_xlfn.IFNA(VLOOKUP(D985,Master!$I:$K,2,FALSE),"")</f>
        <v/>
      </c>
      <c r="J985" s="4" t="str">
        <f>_xlfn.IFNA(VLOOKUP(D985,Master!$I:$K,3,FALSE),"")</f>
        <v/>
      </c>
      <c r="L985" s="27" t="str">
        <f>IF(A985&lt;&gt;"CFA",_xlfn.IFNA(VLOOKUP($G985,Master!$V$2:$Z$8,5,0),""),"")</f>
        <v/>
      </c>
      <c r="P985" s="6" t="str">
        <f t="shared" si="30"/>
        <v/>
      </c>
      <c r="Q985" s="13">
        <f t="shared" si="31"/>
        <v>0</v>
      </c>
    </row>
    <row r="986" spans="2:17" ht="15" customHeight="1">
      <c r="B986" s="5" t="str">
        <f>_xlfn.IFNA(VLOOKUP(C986,Master!$H:$I,2,FALSE),"")</f>
        <v/>
      </c>
      <c r="D986" s="5" t="str">
        <f>_xlfn.IFNA(VLOOKUP(E986,Master!$H:$I,2,FALSE),"")</f>
        <v/>
      </c>
      <c r="F986" s="26" t="str">
        <f>+_xlfn.XLOOKUP(G986,Master!$V$2:$V$8,Master!$U$2:$U$8,"")</f>
        <v/>
      </c>
      <c r="I986" s="4" t="str">
        <f>_xlfn.IFNA(VLOOKUP(D986,Master!$I:$K,2,FALSE),"")</f>
        <v/>
      </c>
      <c r="J986" s="4" t="str">
        <f>_xlfn.IFNA(VLOOKUP(D986,Master!$I:$K,3,FALSE),"")</f>
        <v/>
      </c>
      <c r="L986" s="27" t="str">
        <f>IF(A986&lt;&gt;"CFA",_xlfn.IFNA(VLOOKUP($G986,Master!$V$2:$Z$8,5,0),""),"")</f>
        <v/>
      </c>
      <c r="P986" s="6" t="str">
        <f t="shared" si="30"/>
        <v/>
      </c>
      <c r="Q986" s="13">
        <f t="shared" si="31"/>
        <v>0</v>
      </c>
    </row>
    <row r="987" spans="2:17" ht="15" customHeight="1">
      <c r="B987" s="5" t="str">
        <f>_xlfn.IFNA(VLOOKUP(C987,Master!$H:$I,2,FALSE),"")</f>
        <v/>
      </c>
      <c r="D987" s="5" t="str">
        <f>_xlfn.IFNA(VLOOKUP(E987,Master!$H:$I,2,FALSE),"")</f>
        <v/>
      </c>
      <c r="F987" s="26" t="str">
        <f>+_xlfn.XLOOKUP(G987,Master!$V$2:$V$8,Master!$U$2:$U$8,"")</f>
        <v/>
      </c>
      <c r="I987" s="4" t="str">
        <f>_xlfn.IFNA(VLOOKUP(D987,Master!$I:$K,2,FALSE),"")</f>
        <v/>
      </c>
      <c r="J987" s="4" t="str">
        <f>_xlfn.IFNA(VLOOKUP(D987,Master!$I:$K,3,FALSE),"")</f>
        <v/>
      </c>
      <c r="L987" s="27" t="str">
        <f>IF(A987&lt;&gt;"CFA",_xlfn.IFNA(VLOOKUP($G987,Master!$V$2:$Z$8,5,0),""),"")</f>
        <v/>
      </c>
      <c r="P987" s="6" t="str">
        <f t="shared" si="30"/>
        <v/>
      </c>
      <c r="Q987" s="13">
        <f t="shared" si="31"/>
        <v>0</v>
      </c>
    </row>
    <row r="988" spans="2:17" ht="15" customHeight="1">
      <c r="B988" s="5" t="str">
        <f>_xlfn.IFNA(VLOOKUP(C988,Master!$H:$I,2,FALSE),"")</f>
        <v/>
      </c>
      <c r="D988" s="5" t="str">
        <f>_xlfn.IFNA(VLOOKUP(E988,Master!$H:$I,2,FALSE),"")</f>
        <v/>
      </c>
      <c r="F988" s="26" t="str">
        <f>+_xlfn.XLOOKUP(G988,Master!$V$2:$V$8,Master!$U$2:$U$8,"")</f>
        <v/>
      </c>
      <c r="I988" s="4" t="str">
        <f>_xlfn.IFNA(VLOOKUP(D988,Master!$I:$K,2,FALSE),"")</f>
        <v/>
      </c>
      <c r="J988" s="4" t="str">
        <f>_xlfn.IFNA(VLOOKUP(D988,Master!$I:$K,3,FALSE),"")</f>
        <v/>
      </c>
      <c r="L988" s="27" t="str">
        <f>IF(A988&lt;&gt;"CFA",_xlfn.IFNA(VLOOKUP($G988,Master!$V$2:$Z$8,5,0),""),"")</f>
        <v/>
      </c>
      <c r="P988" s="6" t="str">
        <f t="shared" si="30"/>
        <v/>
      </c>
      <c r="Q988" s="13">
        <f t="shared" si="31"/>
        <v>0</v>
      </c>
    </row>
    <row r="989" spans="2:17" ht="15" customHeight="1">
      <c r="B989" s="5" t="str">
        <f>_xlfn.IFNA(VLOOKUP(C989,Master!$H:$I,2,FALSE),"")</f>
        <v/>
      </c>
      <c r="D989" s="5" t="str">
        <f>_xlfn.IFNA(VLOOKUP(E989,Master!$H:$I,2,FALSE),"")</f>
        <v/>
      </c>
      <c r="F989" s="26" t="str">
        <f>+_xlfn.XLOOKUP(G989,Master!$V$2:$V$8,Master!$U$2:$U$8,"")</f>
        <v/>
      </c>
      <c r="I989" s="4" t="str">
        <f>_xlfn.IFNA(VLOOKUP(D989,Master!$I:$K,2,FALSE),"")</f>
        <v/>
      </c>
      <c r="J989" s="4" t="str">
        <f>_xlfn.IFNA(VLOOKUP(D989,Master!$I:$K,3,FALSE),"")</f>
        <v/>
      </c>
      <c r="L989" s="27" t="str">
        <f>IF(A989&lt;&gt;"CFA",_xlfn.IFNA(VLOOKUP($G989,Master!$V$2:$Z$8,5,0),""),"")</f>
        <v/>
      </c>
      <c r="P989" s="6" t="str">
        <f t="shared" si="30"/>
        <v/>
      </c>
      <c r="Q989" s="13">
        <f t="shared" si="31"/>
        <v>0</v>
      </c>
    </row>
    <row r="990" spans="2:17" ht="15" customHeight="1">
      <c r="B990" s="5" t="str">
        <f>_xlfn.IFNA(VLOOKUP(C990,Master!$H:$I,2,FALSE),"")</f>
        <v/>
      </c>
      <c r="D990" s="5" t="str">
        <f>_xlfn.IFNA(VLOOKUP(E990,Master!$H:$I,2,FALSE),"")</f>
        <v/>
      </c>
      <c r="F990" s="26" t="str">
        <f>+_xlfn.XLOOKUP(G990,Master!$V$2:$V$8,Master!$U$2:$U$8,"")</f>
        <v/>
      </c>
      <c r="I990" s="4" t="str">
        <f>_xlfn.IFNA(VLOOKUP(D990,Master!$I:$K,2,FALSE),"")</f>
        <v/>
      </c>
      <c r="J990" s="4" t="str">
        <f>_xlfn.IFNA(VLOOKUP(D990,Master!$I:$K,3,FALSE),"")</f>
        <v/>
      </c>
      <c r="L990" s="27" t="str">
        <f>IF(A990&lt;&gt;"CFA",_xlfn.IFNA(VLOOKUP($G990,Master!$V$2:$Z$8,5,0),""),"")</f>
        <v/>
      </c>
      <c r="P990" s="6" t="str">
        <f t="shared" si="30"/>
        <v/>
      </c>
      <c r="Q990" s="13">
        <f t="shared" si="31"/>
        <v>0</v>
      </c>
    </row>
    <row r="991" spans="2:17" ht="15" customHeight="1">
      <c r="B991" s="5" t="str">
        <f>_xlfn.IFNA(VLOOKUP(C991,Master!$H:$I,2,FALSE),"")</f>
        <v/>
      </c>
      <c r="D991" s="5" t="str">
        <f>_xlfn.IFNA(VLOOKUP(E991,Master!$H:$I,2,FALSE),"")</f>
        <v/>
      </c>
      <c r="F991" s="26" t="str">
        <f>+_xlfn.XLOOKUP(G991,Master!$V$2:$V$8,Master!$U$2:$U$8,"")</f>
        <v/>
      </c>
      <c r="I991" s="4" t="str">
        <f>_xlfn.IFNA(VLOOKUP(D991,Master!$I:$K,2,FALSE),"")</f>
        <v/>
      </c>
      <c r="J991" s="4" t="str">
        <f>_xlfn.IFNA(VLOOKUP(D991,Master!$I:$K,3,FALSE),"")</f>
        <v/>
      </c>
      <c r="L991" s="27" t="str">
        <f>IF(A991&lt;&gt;"CFA",_xlfn.IFNA(VLOOKUP($G991,Master!$V$2:$Z$8,5,0),""),"")</f>
        <v/>
      </c>
      <c r="P991" s="6" t="str">
        <f t="shared" si="30"/>
        <v/>
      </c>
      <c r="Q991" s="13">
        <f t="shared" si="31"/>
        <v>0</v>
      </c>
    </row>
    <row r="992" spans="2:17" ht="15" customHeight="1">
      <c r="B992" s="5" t="str">
        <f>_xlfn.IFNA(VLOOKUP(C992,Master!$H:$I,2,FALSE),"")</f>
        <v/>
      </c>
      <c r="D992" s="5" t="str">
        <f>_xlfn.IFNA(VLOOKUP(E992,Master!$H:$I,2,FALSE),"")</f>
        <v/>
      </c>
      <c r="F992" s="26" t="str">
        <f>+_xlfn.XLOOKUP(G992,Master!$V$2:$V$8,Master!$U$2:$U$8,"")</f>
        <v/>
      </c>
      <c r="I992" s="4" t="str">
        <f>_xlfn.IFNA(VLOOKUP(D992,Master!$I:$K,2,FALSE),"")</f>
        <v/>
      </c>
      <c r="J992" s="4" t="str">
        <f>_xlfn.IFNA(VLOOKUP(D992,Master!$I:$K,3,FALSE),"")</f>
        <v/>
      </c>
      <c r="L992" s="27" t="str">
        <f>IF(A992&lt;&gt;"CFA",_xlfn.IFNA(VLOOKUP($G992,Master!$V$2:$Z$8,5,0),""),"")</f>
        <v/>
      </c>
      <c r="P992" s="6" t="str">
        <f t="shared" si="30"/>
        <v/>
      </c>
      <c r="Q992" s="13">
        <f t="shared" si="31"/>
        <v>0</v>
      </c>
    </row>
    <row r="993" spans="2:17" ht="15" customHeight="1">
      <c r="B993" s="5" t="str">
        <f>_xlfn.IFNA(VLOOKUP(C993,Master!$H:$I,2,FALSE),"")</f>
        <v/>
      </c>
      <c r="D993" s="5" t="str">
        <f>_xlfn.IFNA(VLOOKUP(E993,Master!$H:$I,2,FALSE),"")</f>
        <v/>
      </c>
      <c r="F993" s="26" t="str">
        <f>+_xlfn.XLOOKUP(G993,Master!$V$2:$V$8,Master!$U$2:$U$8,"")</f>
        <v/>
      </c>
      <c r="I993" s="4" t="str">
        <f>_xlfn.IFNA(VLOOKUP(D993,Master!$I:$K,2,FALSE),"")</f>
        <v/>
      </c>
      <c r="J993" s="4" t="str">
        <f>_xlfn.IFNA(VLOOKUP(D993,Master!$I:$K,3,FALSE),"")</f>
        <v/>
      </c>
      <c r="L993" s="27" t="str">
        <f>IF(A993&lt;&gt;"CFA",_xlfn.IFNA(VLOOKUP($G993,Master!$V$2:$Z$8,5,0),""),"")</f>
        <v/>
      </c>
      <c r="P993" s="6" t="str">
        <f t="shared" si="30"/>
        <v/>
      </c>
      <c r="Q993" s="13">
        <f t="shared" si="31"/>
        <v>0</v>
      </c>
    </row>
    <row r="994" spans="2:17" ht="15" customHeight="1">
      <c r="B994" s="5" t="str">
        <f>_xlfn.IFNA(VLOOKUP(C994,Master!$H:$I,2,FALSE),"")</f>
        <v/>
      </c>
      <c r="D994" s="5" t="str">
        <f>_xlfn.IFNA(VLOOKUP(E994,Master!$H:$I,2,FALSE),"")</f>
        <v/>
      </c>
      <c r="F994" s="26" t="str">
        <f>+_xlfn.XLOOKUP(G994,Master!$V$2:$V$8,Master!$U$2:$U$8,"")</f>
        <v/>
      </c>
      <c r="I994" s="4" t="str">
        <f>_xlfn.IFNA(VLOOKUP(D994,Master!$I:$K,2,FALSE),"")</f>
        <v/>
      </c>
      <c r="J994" s="4" t="str">
        <f>_xlfn.IFNA(VLOOKUP(D994,Master!$I:$K,3,FALSE),"")</f>
        <v/>
      </c>
      <c r="L994" s="27" t="str">
        <f>IF(A994&lt;&gt;"CFA",_xlfn.IFNA(VLOOKUP($G994,Master!$V$2:$Z$8,5,0),""),"")</f>
        <v/>
      </c>
      <c r="P994" s="6" t="str">
        <f t="shared" si="30"/>
        <v/>
      </c>
      <c r="Q994" s="13">
        <f t="shared" si="31"/>
        <v>0</v>
      </c>
    </row>
    <row r="995" spans="2:17" ht="15" customHeight="1">
      <c r="B995" s="5" t="str">
        <f>_xlfn.IFNA(VLOOKUP(C995,Master!$H:$I,2,FALSE),"")</f>
        <v/>
      </c>
      <c r="D995" s="5" t="str">
        <f>_xlfn.IFNA(VLOOKUP(E995,Master!$H:$I,2,FALSE),"")</f>
        <v/>
      </c>
      <c r="F995" s="26" t="str">
        <f>+_xlfn.XLOOKUP(G995,Master!$V$2:$V$8,Master!$U$2:$U$8,"")</f>
        <v/>
      </c>
      <c r="I995" s="4" t="str">
        <f>_xlfn.IFNA(VLOOKUP(D995,Master!$I:$K,2,FALSE),"")</f>
        <v/>
      </c>
      <c r="J995" s="4" t="str">
        <f>_xlfn.IFNA(VLOOKUP(D995,Master!$I:$K,3,FALSE),"")</f>
        <v/>
      </c>
      <c r="L995" s="27" t="str">
        <f>IF(A995&lt;&gt;"CFA",_xlfn.IFNA(VLOOKUP($G995,Master!$V$2:$Z$8,5,0),""),"")</f>
        <v/>
      </c>
      <c r="P995" s="6" t="str">
        <f t="shared" si="30"/>
        <v/>
      </c>
      <c r="Q995" s="13">
        <f t="shared" si="31"/>
        <v>0</v>
      </c>
    </row>
    <row r="996" spans="2:17" ht="15" customHeight="1">
      <c r="B996" s="5" t="str">
        <f>_xlfn.IFNA(VLOOKUP(C996,Master!$H:$I,2,FALSE),"")</f>
        <v/>
      </c>
      <c r="D996" s="5" t="str">
        <f>_xlfn.IFNA(VLOOKUP(E996,Master!$H:$I,2,FALSE),"")</f>
        <v/>
      </c>
      <c r="F996" s="26" t="str">
        <f>+_xlfn.XLOOKUP(G996,Master!$V$2:$V$8,Master!$U$2:$U$8,"")</f>
        <v/>
      </c>
      <c r="I996" s="4" t="str">
        <f>_xlfn.IFNA(VLOOKUP(D996,Master!$I:$K,2,FALSE),"")</f>
        <v/>
      </c>
      <c r="J996" s="4" t="str">
        <f>_xlfn.IFNA(VLOOKUP(D996,Master!$I:$K,3,FALSE),"")</f>
        <v/>
      </c>
      <c r="L996" s="27" t="str">
        <f>IF(A996&lt;&gt;"CFA",_xlfn.IFNA(VLOOKUP($G996,Master!$V$2:$Z$8,5,0),""),"")</f>
        <v/>
      </c>
      <c r="P996" s="6" t="str">
        <f t="shared" si="30"/>
        <v/>
      </c>
      <c r="Q996" s="13">
        <f t="shared" si="31"/>
        <v>0</v>
      </c>
    </row>
    <row r="997" spans="2:17" ht="15" customHeight="1">
      <c r="B997" s="5" t="str">
        <f>_xlfn.IFNA(VLOOKUP(C997,Master!$H:$I,2,FALSE),"")</f>
        <v/>
      </c>
      <c r="D997" s="5" t="str">
        <f>_xlfn.IFNA(VLOOKUP(E997,Master!$H:$I,2,FALSE),"")</f>
        <v/>
      </c>
      <c r="F997" s="26" t="str">
        <f>+_xlfn.XLOOKUP(G997,Master!$V$2:$V$8,Master!$U$2:$U$8,"")</f>
        <v/>
      </c>
      <c r="I997" s="4" t="str">
        <f>_xlfn.IFNA(VLOOKUP(D997,Master!$I:$K,2,FALSE),"")</f>
        <v/>
      </c>
      <c r="J997" s="4" t="str">
        <f>_xlfn.IFNA(VLOOKUP(D997,Master!$I:$K,3,FALSE),"")</f>
        <v/>
      </c>
      <c r="L997" s="27" t="str">
        <f>IF(A997&lt;&gt;"CFA",_xlfn.IFNA(VLOOKUP($G997,Master!$V$2:$Z$8,5,0),""),"")</f>
        <v/>
      </c>
      <c r="P997" s="6" t="str">
        <f t="shared" si="30"/>
        <v/>
      </c>
      <c r="Q997" s="13">
        <f t="shared" si="31"/>
        <v>0</v>
      </c>
    </row>
    <row r="998" spans="2:17" ht="15" customHeight="1">
      <c r="B998" s="5" t="str">
        <f>_xlfn.IFNA(VLOOKUP(C998,Master!$H:$I,2,FALSE),"")</f>
        <v/>
      </c>
      <c r="D998" s="5" t="str">
        <f>_xlfn.IFNA(VLOOKUP(E998,Master!$H:$I,2,FALSE),"")</f>
        <v/>
      </c>
      <c r="F998" s="26" t="str">
        <f>+_xlfn.XLOOKUP(G998,Master!$V$2:$V$8,Master!$U$2:$U$8,"")</f>
        <v/>
      </c>
      <c r="I998" s="4" t="str">
        <f>_xlfn.IFNA(VLOOKUP(D998,Master!$I:$K,2,FALSE),"")</f>
        <v/>
      </c>
      <c r="J998" s="4" t="str">
        <f>_xlfn.IFNA(VLOOKUP(D998,Master!$I:$K,3,FALSE),"")</f>
        <v/>
      </c>
      <c r="L998" s="27" t="str">
        <f>IF(A998&lt;&gt;"CFA",_xlfn.IFNA(VLOOKUP($G998,Master!$V$2:$Z$8,5,0),""),"")</f>
        <v/>
      </c>
      <c r="P998" s="6" t="str">
        <f t="shared" si="30"/>
        <v/>
      </c>
      <c r="Q998" s="13">
        <f t="shared" si="31"/>
        <v>0</v>
      </c>
    </row>
    <row r="999" spans="2:17" ht="15" customHeight="1">
      <c r="B999" s="5" t="str">
        <f>_xlfn.IFNA(VLOOKUP(C999,Master!$H:$I,2,FALSE),"")</f>
        <v/>
      </c>
      <c r="D999" s="5" t="str">
        <f>_xlfn.IFNA(VLOOKUP(E999,Master!$H:$I,2,FALSE),"")</f>
        <v/>
      </c>
      <c r="F999" s="26" t="str">
        <f>+_xlfn.XLOOKUP(G999,Master!$V$2:$V$8,Master!$U$2:$U$8,"")</f>
        <v/>
      </c>
      <c r="I999" s="4" t="str">
        <f>_xlfn.IFNA(VLOOKUP(D999,Master!$I:$K,2,FALSE),"")</f>
        <v/>
      </c>
      <c r="J999" s="4" t="str">
        <f>_xlfn.IFNA(VLOOKUP(D999,Master!$I:$K,3,FALSE),"")</f>
        <v/>
      </c>
      <c r="L999" s="27" t="str">
        <f>IF(A999&lt;&gt;"CFA",_xlfn.IFNA(VLOOKUP($G999,Master!$V$2:$Z$8,5,0),""),"")</f>
        <v/>
      </c>
      <c r="P999" s="6" t="str">
        <f t="shared" si="30"/>
        <v/>
      </c>
      <c r="Q999" s="13">
        <f t="shared" si="31"/>
        <v>0</v>
      </c>
    </row>
    <row r="1000" spans="2:17" ht="15" customHeight="1">
      <c r="B1000" s="5" t="str">
        <f>_xlfn.IFNA(VLOOKUP(C1000,Master!$H:$I,2,FALSE),"")</f>
        <v/>
      </c>
      <c r="D1000" s="5" t="str">
        <f>_xlfn.IFNA(VLOOKUP(E1000,Master!$H:$I,2,FALSE),"")</f>
        <v/>
      </c>
      <c r="F1000" s="26" t="str">
        <f>+_xlfn.XLOOKUP(G1000,Master!$V$2:$V$8,Master!$U$2:$U$8,"")</f>
        <v/>
      </c>
      <c r="I1000" s="4" t="str">
        <f>_xlfn.IFNA(VLOOKUP(D1000,Master!$I:$K,2,FALSE),"")</f>
        <v/>
      </c>
      <c r="J1000" s="4" t="str">
        <f>_xlfn.IFNA(VLOOKUP(D1000,Master!$I:$K,3,FALSE),"")</f>
        <v/>
      </c>
      <c r="L1000" s="27" t="str">
        <f>IF(A1000&lt;&gt;"CFA",_xlfn.IFNA(VLOOKUP($G1000,Master!$V$2:$Z$8,5,0),""),"")</f>
        <v/>
      </c>
      <c r="P1000" s="6" t="str">
        <f t="shared" si="30"/>
        <v/>
      </c>
      <c r="Q1000" s="13">
        <f t="shared" si="31"/>
        <v>0</v>
      </c>
    </row>
    <row r="1001" spans="2:17" ht="15" customHeight="1">
      <c r="B1001" s="5" t="str">
        <f>_xlfn.IFNA(VLOOKUP(C1001,Master!$H:$I,2,FALSE),"")</f>
        <v/>
      </c>
      <c r="D1001" s="5" t="str">
        <f>_xlfn.IFNA(VLOOKUP(E1001,Master!$H:$I,2,FALSE),"")</f>
        <v/>
      </c>
      <c r="F1001" s="26" t="str">
        <f>+_xlfn.XLOOKUP(G1001,Master!$V$2:$V$8,Master!$U$2:$U$8,"")</f>
        <v/>
      </c>
      <c r="I1001" s="4" t="str">
        <f>_xlfn.IFNA(VLOOKUP(D1001,Master!$I:$K,2,FALSE),"")</f>
        <v/>
      </c>
      <c r="J1001" s="4" t="str">
        <f>_xlfn.IFNA(VLOOKUP(D1001,Master!$I:$K,3,FALSE),"")</f>
        <v/>
      </c>
      <c r="L1001" s="27" t="str">
        <f>IF(A1001&lt;&gt;"CFA",_xlfn.IFNA(VLOOKUP($G1001,Master!$V$2:$Z$8,5,0),""),"")</f>
        <v/>
      </c>
      <c r="P1001" s="6" t="str">
        <f t="shared" si="30"/>
        <v/>
      </c>
      <c r="Q1001" s="13">
        <f t="shared" si="31"/>
        <v>0</v>
      </c>
    </row>
    <row r="1002" spans="2:17" ht="15" customHeight="1">
      <c r="B1002" s="5" t="str">
        <f>_xlfn.IFNA(VLOOKUP(C1002,Master!$H:$I,2,FALSE),"")</f>
        <v/>
      </c>
      <c r="D1002" s="5" t="str">
        <f>_xlfn.IFNA(VLOOKUP(E1002,Master!$H:$I,2,FALSE),"")</f>
        <v/>
      </c>
      <c r="F1002" s="26" t="str">
        <f>+_xlfn.XLOOKUP(G1002,Master!$V$2:$V$8,Master!$U$2:$U$8,"")</f>
        <v/>
      </c>
      <c r="I1002" s="4" t="str">
        <f>_xlfn.IFNA(VLOOKUP(D1002,Master!$I:$K,2,FALSE),"")</f>
        <v/>
      </c>
      <c r="J1002" s="4" t="str">
        <f>_xlfn.IFNA(VLOOKUP(D1002,Master!$I:$K,3,FALSE),"")</f>
        <v/>
      </c>
      <c r="L1002" s="27" t="str">
        <f>IF(A1002&lt;&gt;"CFA",_xlfn.IFNA(VLOOKUP($G1002,Master!$V$2:$Z$8,5,0),""),"")</f>
        <v/>
      </c>
      <c r="P1002" s="6" t="str">
        <f t="shared" si="30"/>
        <v/>
      </c>
      <c r="Q1002" s="13">
        <f t="shared" si="31"/>
        <v>0</v>
      </c>
    </row>
    <row r="1003" spans="2:17" ht="15" customHeight="1">
      <c r="B1003" s="5" t="str">
        <f>_xlfn.IFNA(VLOOKUP(C1003,Master!$H:$I,2,FALSE),"")</f>
        <v/>
      </c>
      <c r="D1003" s="5" t="str">
        <f>_xlfn.IFNA(VLOOKUP(E1003,Master!$H:$I,2,FALSE),"")</f>
        <v/>
      </c>
      <c r="F1003" s="26" t="str">
        <f>+_xlfn.XLOOKUP(G1003,Master!$V$2:$V$8,Master!$U$2:$U$8,"")</f>
        <v/>
      </c>
      <c r="I1003" s="4" t="str">
        <f>_xlfn.IFNA(VLOOKUP(D1003,Master!$I:$K,2,FALSE),"")</f>
        <v/>
      </c>
      <c r="J1003" s="4" t="str">
        <f>_xlfn.IFNA(VLOOKUP(D1003,Master!$I:$K,3,FALSE),"")</f>
        <v/>
      </c>
      <c r="L1003" s="27" t="str">
        <f>IF(A1003&lt;&gt;"CFA",_xlfn.IFNA(VLOOKUP($G1003,Master!$V$2:$Z$8,5,0),""),"")</f>
        <v/>
      </c>
      <c r="P1003" s="6" t="str">
        <f t="shared" si="30"/>
        <v/>
      </c>
      <c r="Q1003" s="13">
        <f t="shared" si="31"/>
        <v>0</v>
      </c>
    </row>
    <row r="1004" spans="2:17" ht="15" customHeight="1">
      <c r="B1004" s="5" t="str">
        <f>_xlfn.IFNA(VLOOKUP(C1004,Master!$H:$I,2,FALSE),"")</f>
        <v/>
      </c>
      <c r="D1004" s="5" t="str">
        <f>_xlfn.IFNA(VLOOKUP(E1004,Master!$H:$I,2,FALSE),"")</f>
        <v/>
      </c>
      <c r="F1004" s="26" t="str">
        <f>+_xlfn.XLOOKUP(G1004,Master!$V$2:$V$8,Master!$U$2:$U$8,"")</f>
        <v/>
      </c>
      <c r="I1004" s="4" t="str">
        <f>_xlfn.IFNA(VLOOKUP(D1004,Master!$I:$K,2,FALSE),"")</f>
        <v/>
      </c>
      <c r="J1004" s="4" t="str">
        <f>_xlfn.IFNA(VLOOKUP(D1004,Master!$I:$K,3,FALSE),"")</f>
        <v/>
      </c>
      <c r="L1004" s="27" t="str">
        <f>IF(A1004&lt;&gt;"CFA",_xlfn.IFNA(VLOOKUP($G1004,Master!$V$2:$Z$8,5,0),""),"")</f>
        <v/>
      </c>
      <c r="P1004" s="6" t="str">
        <f t="shared" si="30"/>
        <v/>
      </c>
      <c r="Q1004" s="13">
        <f t="shared" si="31"/>
        <v>0</v>
      </c>
    </row>
    <row r="1005" spans="2:17" ht="15" customHeight="1">
      <c r="B1005" s="5" t="str">
        <f>_xlfn.IFNA(VLOOKUP(C1005,Master!$H:$I,2,FALSE),"")</f>
        <v/>
      </c>
      <c r="D1005" s="5" t="str">
        <f>_xlfn.IFNA(VLOOKUP(E1005,Master!$H:$I,2,FALSE),"")</f>
        <v/>
      </c>
      <c r="F1005" s="26" t="str">
        <f>+_xlfn.XLOOKUP(G1005,Master!$V$2:$V$8,Master!$U$2:$U$8,"")</f>
        <v/>
      </c>
      <c r="I1005" s="4" t="str">
        <f>_xlfn.IFNA(VLOOKUP(D1005,Master!$I:$K,2,FALSE),"")</f>
        <v/>
      </c>
      <c r="J1005" s="4" t="str">
        <f>_xlfn.IFNA(VLOOKUP(D1005,Master!$I:$K,3,FALSE),"")</f>
        <v/>
      </c>
      <c r="L1005" s="27" t="str">
        <f>IF(A1005&lt;&gt;"CFA",_xlfn.IFNA(VLOOKUP($G1005,Master!$V$2:$Z$8,5,0),""),"")</f>
        <v/>
      </c>
      <c r="P1005" s="6" t="str">
        <f t="shared" si="30"/>
        <v/>
      </c>
      <c r="Q1005" s="13">
        <f t="shared" si="31"/>
        <v>0</v>
      </c>
    </row>
    <row r="1006" spans="2:17" ht="15" customHeight="1">
      <c r="B1006" s="5" t="str">
        <f>_xlfn.IFNA(VLOOKUP(C1006,Master!$H:$I,2,FALSE),"")</f>
        <v/>
      </c>
      <c r="D1006" s="5" t="str">
        <f>_xlfn.IFNA(VLOOKUP(E1006,Master!$H:$I,2,FALSE),"")</f>
        <v/>
      </c>
      <c r="F1006" s="26" t="str">
        <f>+_xlfn.XLOOKUP(G1006,Master!$V$2:$V$8,Master!$U$2:$U$8,"")</f>
        <v/>
      </c>
      <c r="I1006" s="4" t="str">
        <f>_xlfn.IFNA(VLOOKUP(D1006,Master!$I:$K,2,FALSE),"")</f>
        <v/>
      </c>
      <c r="J1006" s="4" t="str">
        <f>_xlfn.IFNA(VLOOKUP(D1006,Master!$I:$K,3,FALSE),"")</f>
        <v/>
      </c>
      <c r="L1006" s="27" t="str">
        <f>IF(A1006&lt;&gt;"CFA",_xlfn.IFNA(VLOOKUP($G1006,Master!$V$2:$Z$8,5,0),""),"")</f>
        <v/>
      </c>
      <c r="P1006" s="6" t="str">
        <f t="shared" si="30"/>
        <v/>
      </c>
      <c r="Q1006" s="13">
        <f t="shared" si="31"/>
        <v>0</v>
      </c>
    </row>
    <row r="1007" spans="2:17" ht="15" customHeight="1">
      <c r="B1007" s="5" t="str">
        <f>_xlfn.IFNA(VLOOKUP(C1007,Master!$H:$I,2,FALSE),"")</f>
        <v/>
      </c>
      <c r="D1007" s="5" t="str">
        <f>_xlfn.IFNA(VLOOKUP(E1007,Master!$H:$I,2,FALSE),"")</f>
        <v/>
      </c>
      <c r="F1007" s="26" t="str">
        <f>+_xlfn.XLOOKUP(G1007,Master!$V$2:$V$8,Master!$U$2:$U$8,"")</f>
        <v/>
      </c>
      <c r="I1007" s="4" t="str">
        <f>_xlfn.IFNA(VLOOKUP(D1007,Master!$I:$K,2,FALSE),"")</f>
        <v/>
      </c>
      <c r="J1007" s="4" t="str">
        <f>_xlfn.IFNA(VLOOKUP(D1007,Master!$I:$K,3,FALSE),"")</f>
        <v/>
      </c>
      <c r="L1007" s="27" t="str">
        <f>IF(A1007&lt;&gt;"CFA",_xlfn.IFNA(VLOOKUP($G1007,Master!$V$2:$Z$8,5,0),""),"")</f>
        <v/>
      </c>
      <c r="P1007" s="6" t="str">
        <f t="shared" si="30"/>
        <v/>
      </c>
      <c r="Q1007" s="13">
        <f t="shared" si="31"/>
        <v>0</v>
      </c>
    </row>
    <row r="1008" spans="2:17" ht="15" customHeight="1">
      <c r="B1008" s="5" t="str">
        <f>_xlfn.IFNA(VLOOKUP(C1008,Master!$H:$I,2,FALSE),"")</f>
        <v/>
      </c>
      <c r="D1008" s="5" t="str">
        <f>_xlfn.IFNA(VLOOKUP(E1008,Master!$H:$I,2,FALSE),"")</f>
        <v/>
      </c>
      <c r="F1008" s="26" t="str">
        <f>+_xlfn.XLOOKUP(G1008,Master!$V$2:$V$8,Master!$U$2:$U$8,"")</f>
        <v/>
      </c>
      <c r="I1008" s="4" t="str">
        <f>_xlfn.IFNA(VLOOKUP(D1008,Master!$I:$K,2,FALSE),"")</f>
        <v/>
      </c>
      <c r="J1008" s="4" t="str">
        <f>_xlfn.IFNA(VLOOKUP(D1008,Master!$I:$K,3,FALSE),"")</f>
        <v/>
      </c>
      <c r="L1008" s="27" t="str">
        <f>IF(A1008&lt;&gt;"CFA",_xlfn.IFNA(VLOOKUP($G1008,Master!$V$2:$Z$8,5,0),""),"")</f>
        <v/>
      </c>
      <c r="P1008" s="6" t="str">
        <f t="shared" si="30"/>
        <v/>
      </c>
      <c r="Q1008" s="13">
        <f t="shared" si="31"/>
        <v>0</v>
      </c>
    </row>
    <row r="1009" spans="2:17" ht="15" customHeight="1">
      <c r="B1009" s="5" t="str">
        <f>_xlfn.IFNA(VLOOKUP(C1009,Master!$H:$I,2,FALSE),"")</f>
        <v/>
      </c>
      <c r="D1009" s="5" t="str">
        <f>_xlfn.IFNA(VLOOKUP(E1009,Master!$H:$I,2,FALSE),"")</f>
        <v/>
      </c>
      <c r="F1009" s="26" t="str">
        <f>+_xlfn.XLOOKUP(G1009,Master!$V$2:$V$8,Master!$U$2:$U$8,"")</f>
        <v/>
      </c>
      <c r="I1009" s="4" t="str">
        <f>_xlfn.IFNA(VLOOKUP(D1009,Master!$I:$K,2,FALSE),"")</f>
        <v/>
      </c>
      <c r="J1009" s="4" t="str">
        <f>_xlfn.IFNA(VLOOKUP(D1009,Master!$I:$K,3,FALSE),"")</f>
        <v/>
      </c>
      <c r="L1009" s="27" t="str">
        <f>IF(A1009&lt;&gt;"CFA",_xlfn.IFNA(VLOOKUP($G1009,Master!$V$2:$Z$8,5,0),""),"")</f>
        <v/>
      </c>
      <c r="P1009" s="6" t="str">
        <f t="shared" si="30"/>
        <v/>
      </c>
      <c r="Q1009" s="13">
        <f t="shared" si="31"/>
        <v>0</v>
      </c>
    </row>
    <row r="1010" spans="2:17" ht="15" customHeight="1">
      <c r="B1010" s="5" t="str">
        <f>_xlfn.IFNA(VLOOKUP(C1010,Master!$H:$I,2,FALSE),"")</f>
        <v/>
      </c>
      <c r="D1010" s="5" t="str">
        <f>_xlfn.IFNA(VLOOKUP(E1010,Master!$H:$I,2,FALSE),"")</f>
        <v/>
      </c>
      <c r="F1010" s="26" t="str">
        <f>+_xlfn.XLOOKUP(G1010,Master!$V$2:$V$8,Master!$U$2:$U$8,"")</f>
        <v/>
      </c>
      <c r="I1010" s="4" t="str">
        <f>_xlfn.IFNA(VLOOKUP(D1010,Master!$I:$K,2,FALSE),"")</f>
        <v/>
      </c>
      <c r="J1010" s="4" t="str">
        <f>_xlfn.IFNA(VLOOKUP(D1010,Master!$I:$K,3,FALSE),"")</f>
        <v/>
      </c>
      <c r="L1010" s="27" t="str">
        <f>IF(A1010&lt;&gt;"CFA",_xlfn.IFNA(VLOOKUP($G1010,Master!$V$2:$Z$8,5,0),""),"")</f>
        <v/>
      </c>
      <c r="P1010" s="6" t="str">
        <f t="shared" si="30"/>
        <v/>
      </c>
      <c r="Q1010" s="13">
        <f t="shared" si="31"/>
        <v>0</v>
      </c>
    </row>
    <row r="1011" spans="2:17" ht="15" customHeight="1">
      <c r="B1011" s="5" t="str">
        <f>_xlfn.IFNA(VLOOKUP(C1011,Master!$H:$I,2,FALSE),"")</f>
        <v/>
      </c>
      <c r="D1011" s="5" t="str">
        <f>_xlfn.IFNA(VLOOKUP(E1011,Master!$H:$I,2,FALSE),"")</f>
        <v/>
      </c>
      <c r="F1011" s="26" t="str">
        <f>+_xlfn.XLOOKUP(G1011,Master!$V$2:$V$8,Master!$U$2:$U$8,"")</f>
        <v/>
      </c>
      <c r="I1011" s="4" t="str">
        <f>_xlfn.IFNA(VLOOKUP(D1011,Master!$I:$K,2,FALSE),"")</f>
        <v/>
      </c>
      <c r="J1011" s="4" t="str">
        <f>_xlfn.IFNA(VLOOKUP(D1011,Master!$I:$K,3,FALSE),"")</f>
        <v/>
      </c>
      <c r="L1011" s="27" t="str">
        <f>IF(A1011&lt;&gt;"CFA",_xlfn.IFNA(VLOOKUP($G1011,Master!$V$2:$Z$8,5,0),""),"")</f>
        <v/>
      </c>
      <c r="P1011" s="6" t="str">
        <f t="shared" si="30"/>
        <v/>
      </c>
      <c r="Q1011" s="13">
        <f t="shared" si="31"/>
        <v>0</v>
      </c>
    </row>
    <row r="1012" spans="2:17" ht="15" customHeight="1">
      <c r="B1012" s="5" t="str">
        <f>_xlfn.IFNA(VLOOKUP(C1012,Master!$H:$I,2,FALSE),"")</f>
        <v/>
      </c>
      <c r="D1012" s="5" t="str">
        <f>_xlfn.IFNA(VLOOKUP(E1012,Master!$H:$I,2,FALSE),"")</f>
        <v/>
      </c>
      <c r="F1012" s="26" t="str">
        <f>+_xlfn.XLOOKUP(G1012,Master!$V$2:$V$8,Master!$U$2:$U$8,"")</f>
        <v/>
      </c>
      <c r="I1012" s="4" t="str">
        <f>_xlfn.IFNA(VLOOKUP(D1012,Master!$I:$K,2,FALSE),"")</f>
        <v/>
      </c>
      <c r="J1012" s="4" t="str">
        <f>_xlfn.IFNA(VLOOKUP(D1012,Master!$I:$K,3,FALSE),"")</f>
        <v/>
      </c>
      <c r="L1012" s="27" t="str">
        <f>IF(A1012&lt;&gt;"CFA",_xlfn.IFNA(VLOOKUP($G1012,Master!$V$2:$Z$8,5,0),""),"")</f>
        <v/>
      </c>
      <c r="P1012" s="6" t="str">
        <f t="shared" si="30"/>
        <v/>
      </c>
      <c r="Q1012" s="13">
        <f t="shared" si="31"/>
        <v>0</v>
      </c>
    </row>
    <row r="1013" spans="2:17" ht="15" customHeight="1">
      <c r="B1013" s="5" t="str">
        <f>_xlfn.IFNA(VLOOKUP(C1013,Master!$H:$I,2,FALSE),"")</f>
        <v/>
      </c>
      <c r="D1013" s="5" t="str">
        <f>_xlfn.IFNA(VLOOKUP(E1013,Master!$H:$I,2,FALSE),"")</f>
        <v/>
      </c>
      <c r="F1013" s="26" t="str">
        <f>+_xlfn.XLOOKUP(G1013,Master!$V$2:$V$8,Master!$U$2:$U$8,"")</f>
        <v/>
      </c>
      <c r="I1013" s="4" t="str">
        <f>_xlfn.IFNA(VLOOKUP(D1013,Master!$I:$K,2,FALSE),"")</f>
        <v/>
      </c>
      <c r="J1013" s="4" t="str">
        <f>_xlfn.IFNA(VLOOKUP(D1013,Master!$I:$K,3,FALSE),"")</f>
        <v/>
      </c>
      <c r="L1013" s="27" t="str">
        <f>IF(A1013&lt;&gt;"CFA",_xlfn.IFNA(VLOOKUP($G1013,Master!$V$2:$Z$8,5,0),""),"")</f>
        <v/>
      </c>
      <c r="P1013" s="6" t="str">
        <f t="shared" si="30"/>
        <v/>
      </c>
      <c r="Q1013" s="13">
        <f t="shared" si="31"/>
        <v>0</v>
      </c>
    </row>
    <row r="1014" spans="2:17" ht="15" customHeight="1">
      <c r="B1014" s="5" t="str">
        <f>_xlfn.IFNA(VLOOKUP(C1014,Master!$H:$I,2,FALSE),"")</f>
        <v/>
      </c>
      <c r="D1014" s="5" t="str">
        <f>_xlfn.IFNA(VLOOKUP(E1014,Master!$H:$I,2,FALSE),"")</f>
        <v/>
      </c>
      <c r="F1014" s="26" t="str">
        <f>+_xlfn.XLOOKUP(G1014,Master!$V$2:$V$8,Master!$U$2:$U$8,"")</f>
        <v/>
      </c>
      <c r="I1014" s="4" t="str">
        <f>_xlfn.IFNA(VLOOKUP(D1014,Master!$I:$K,2,FALSE),"")</f>
        <v/>
      </c>
      <c r="J1014" s="4" t="str">
        <f>_xlfn.IFNA(VLOOKUP(D1014,Master!$I:$K,3,FALSE),"")</f>
        <v/>
      </c>
      <c r="L1014" s="27" t="str">
        <f>IF(A1014&lt;&gt;"CFA",_xlfn.IFNA(VLOOKUP($G1014,Master!$V$2:$Z$8,5,0),""),"")</f>
        <v/>
      </c>
      <c r="P1014" s="6" t="str">
        <f t="shared" si="30"/>
        <v/>
      </c>
      <c r="Q1014" s="13">
        <f t="shared" si="31"/>
        <v>0</v>
      </c>
    </row>
    <row r="1015" spans="2:17" ht="15" customHeight="1">
      <c r="B1015" s="5" t="str">
        <f>_xlfn.IFNA(VLOOKUP(C1015,Master!$H:$I,2,FALSE),"")</f>
        <v/>
      </c>
      <c r="D1015" s="5" t="str">
        <f>_xlfn.IFNA(VLOOKUP(E1015,Master!$H:$I,2,FALSE),"")</f>
        <v/>
      </c>
      <c r="F1015" s="26" t="str">
        <f>+_xlfn.XLOOKUP(G1015,Master!$V$2:$V$8,Master!$U$2:$U$8,"")</f>
        <v/>
      </c>
      <c r="I1015" s="4" t="str">
        <f>_xlfn.IFNA(VLOOKUP(D1015,Master!$I:$K,2,FALSE),"")</f>
        <v/>
      </c>
      <c r="J1015" s="4" t="str">
        <f>_xlfn.IFNA(VLOOKUP(D1015,Master!$I:$K,3,FALSE),"")</f>
        <v/>
      </c>
      <c r="L1015" s="27" t="str">
        <f>IF(A1015&lt;&gt;"CFA",_xlfn.IFNA(VLOOKUP($G1015,Master!$V$2:$Z$8,5,0),""),"")</f>
        <v/>
      </c>
      <c r="P1015" s="6" t="str">
        <f t="shared" ref="P1015:P1078" si="32">IF(N1015&lt;&gt;"",IF(MONTH(N1015)&gt;=4,"FY1"&amp;RIGHT(YEAR(N1015)+1,2),"FY1"&amp;RIGHT(YEAR(N1015),2)),"")</f>
        <v/>
      </c>
      <c r="Q1015" s="13">
        <f t="shared" ref="Q1015:Q1078" si="33">IF(K1015&gt;0&amp;M1015&gt;0,K1015*M1015,"")</f>
        <v>0</v>
      </c>
    </row>
    <row r="1016" spans="2:17" ht="15" customHeight="1">
      <c r="B1016" s="5" t="str">
        <f>_xlfn.IFNA(VLOOKUP(C1016,Master!$H:$I,2,FALSE),"")</f>
        <v/>
      </c>
      <c r="D1016" s="5" t="str">
        <f>_xlfn.IFNA(VLOOKUP(E1016,Master!$H:$I,2,FALSE),"")</f>
        <v/>
      </c>
      <c r="F1016" s="26" t="str">
        <f>+_xlfn.XLOOKUP(G1016,Master!$V$2:$V$8,Master!$U$2:$U$8,"")</f>
        <v/>
      </c>
      <c r="I1016" s="4" t="str">
        <f>_xlfn.IFNA(VLOOKUP(D1016,Master!$I:$K,2,FALSE),"")</f>
        <v/>
      </c>
      <c r="J1016" s="4" t="str">
        <f>_xlfn.IFNA(VLOOKUP(D1016,Master!$I:$K,3,FALSE),"")</f>
        <v/>
      </c>
      <c r="L1016" s="27" t="str">
        <f>IF(A1016&lt;&gt;"CFA",_xlfn.IFNA(VLOOKUP($G1016,Master!$V$2:$Z$8,5,0),""),"")</f>
        <v/>
      </c>
      <c r="P1016" s="6" t="str">
        <f t="shared" si="32"/>
        <v/>
      </c>
      <c r="Q1016" s="13">
        <f t="shared" si="33"/>
        <v>0</v>
      </c>
    </row>
    <row r="1017" spans="2:17" ht="15" customHeight="1">
      <c r="B1017" s="5" t="str">
        <f>_xlfn.IFNA(VLOOKUP(C1017,Master!$H:$I,2,FALSE),"")</f>
        <v/>
      </c>
      <c r="D1017" s="5" t="str">
        <f>_xlfn.IFNA(VLOOKUP(E1017,Master!$H:$I,2,FALSE),"")</f>
        <v/>
      </c>
      <c r="F1017" s="26" t="str">
        <f>+_xlfn.XLOOKUP(G1017,Master!$V$2:$V$8,Master!$U$2:$U$8,"")</f>
        <v/>
      </c>
      <c r="I1017" s="4" t="str">
        <f>_xlfn.IFNA(VLOOKUP(D1017,Master!$I:$K,2,FALSE),"")</f>
        <v/>
      </c>
      <c r="J1017" s="4" t="str">
        <f>_xlfn.IFNA(VLOOKUP(D1017,Master!$I:$K,3,FALSE),"")</f>
        <v/>
      </c>
      <c r="L1017" s="27" t="str">
        <f>IF(A1017&lt;&gt;"CFA",_xlfn.IFNA(VLOOKUP($G1017,Master!$V$2:$Z$8,5,0),""),"")</f>
        <v/>
      </c>
      <c r="P1017" s="6" t="str">
        <f t="shared" si="32"/>
        <v/>
      </c>
      <c r="Q1017" s="13">
        <f t="shared" si="33"/>
        <v>0</v>
      </c>
    </row>
    <row r="1018" spans="2:17" ht="15" customHeight="1">
      <c r="B1018" s="5" t="str">
        <f>_xlfn.IFNA(VLOOKUP(C1018,Master!$H:$I,2,FALSE),"")</f>
        <v/>
      </c>
      <c r="D1018" s="5" t="str">
        <f>_xlfn.IFNA(VLOOKUP(E1018,Master!$H:$I,2,FALSE),"")</f>
        <v/>
      </c>
      <c r="F1018" s="26" t="str">
        <f>+_xlfn.XLOOKUP(G1018,Master!$V$2:$V$8,Master!$U$2:$U$8,"")</f>
        <v/>
      </c>
      <c r="I1018" s="4" t="str">
        <f>_xlfn.IFNA(VLOOKUP(D1018,Master!$I:$K,2,FALSE),"")</f>
        <v/>
      </c>
      <c r="J1018" s="4" t="str">
        <f>_xlfn.IFNA(VLOOKUP(D1018,Master!$I:$K,3,FALSE),"")</f>
        <v/>
      </c>
      <c r="L1018" s="27" t="str">
        <f>IF(A1018&lt;&gt;"CFA",_xlfn.IFNA(VLOOKUP($G1018,Master!$V$2:$Z$8,5,0),""),"")</f>
        <v/>
      </c>
      <c r="P1018" s="6" t="str">
        <f t="shared" si="32"/>
        <v/>
      </c>
      <c r="Q1018" s="13">
        <f t="shared" si="33"/>
        <v>0</v>
      </c>
    </row>
    <row r="1019" spans="2:17" ht="15" customHeight="1">
      <c r="B1019" s="5" t="str">
        <f>_xlfn.IFNA(VLOOKUP(C1019,Master!$H:$I,2,FALSE),"")</f>
        <v/>
      </c>
      <c r="D1019" s="5" t="str">
        <f>_xlfn.IFNA(VLOOKUP(E1019,Master!$H:$I,2,FALSE),"")</f>
        <v/>
      </c>
      <c r="F1019" s="26" t="str">
        <f>+_xlfn.XLOOKUP(G1019,Master!$V$2:$V$8,Master!$U$2:$U$8,"")</f>
        <v/>
      </c>
      <c r="I1019" s="4" t="str">
        <f>_xlfn.IFNA(VLOOKUP(D1019,Master!$I:$K,2,FALSE),"")</f>
        <v/>
      </c>
      <c r="J1019" s="4" t="str">
        <f>_xlfn.IFNA(VLOOKUP(D1019,Master!$I:$K,3,FALSE),"")</f>
        <v/>
      </c>
      <c r="L1019" s="27" t="str">
        <f>IF(A1019&lt;&gt;"CFA",_xlfn.IFNA(VLOOKUP($G1019,Master!$V$2:$Z$8,5,0),""),"")</f>
        <v/>
      </c>
      <c r="P1019" s="6" t="str">
        <f t="shared" si="32"/>
        <v/>
      </c>
      <c r="Q1019" s="13">
        <f t="shared" si="33"/>
        <v>0</v>
      </c>
    </row>
    <row r="1020" spans="2:17" ht="15" customHeight="1">
      <c r="B1020" s="5" t="str">
        <f>_xlfn.IFNA(VLOOKUP(C1020,Master!$H:$I,2,FALSE),"")</f>
        <v/>
      </c>
      <c r="D1020" s="5" t="str">
        <f>_xlfn.IFNA(VLOOKUP(E1020,Master!$H:$I,2,FALSE),"")</f>
        <v/>
      </c>
      <c r="F1020" s="26" t="str">
        <f>+_xlfn.XLOOKUP(G1020,Master!$V$2:$V$8,Master!$U$2:$U$8,"")</f>
        <v/>
      </c>
      <c r="I1020" s="4" t="str">
        <f>_xlfn.IFNA(VLOOKUP(D1020,Master!$I:$K,2,FALSE),"")</f>
        <v/>
      </c>
      <c r="J1020" s="4" t="str">
        <f>_xlfn.IFNA(VLOOKUP(D1020,Master!$I:$K,3,FALSE),"")</f>
        <v/>
      </c>
      <c r="L1020" s="27" t="str">
        <f>IF(A1020&lt;&gt;"CFA",_xlfn.IFNA(VLOOKUP($G1020,Master!$V$2:$Z$8,5,0),""),"")</f>
        <v/>
      </c>
      <c r="P1020" s="6" t="str">
        <f t="shared" si="32"/>
        <v/>
      </c>
      <c r="Q1020" s="13">
        <f t="shared" si="33"/>
        <v>0</v>
      </c>
    </row>
    <row r="1021" spans="2:17" ht="15" customHeight="1">
      <c r="B1021" s="5" t="str">
        <f>_xlfn.IFNA(VLOOKUP(C1021,Master!$H:$I,2,FALSE),"")</f>
        <v/>
      </c>
      <c r="D1021" s="5" t="str">
        <f>_xlfn.IFNA(VLOOKUP(E1021,Master!$H:$I,2,FALSE),"")</f>
        <v/>
      </c>
      <c r="F1021" s="26" t="str">
        <f>+_xlfn.XLOOKUP(G1021,Master!$V$2:$V$8,Master!$U$2:$U$8,"")</f>
        <v/>
      </c>
      <c r="I1021" s="4" t="str">
        <f>_xlfn.IFNA(VLOOKUP(D1021,Master!$I:$K,2,FALSE),"")</f>
        <v/>
      </c>
      <c r="J1021" s="4" t="str">
        <f>_xlfn.IFNA(VLOOKUP(D1021,Master!$I:$K,3,FALSE),"")</f>
        <v/>
      </c>
      <c r="L1021" s="27" t="str">
        <f>IF(A1021&lt;&gt;"CFA",_xlfn.IFNA(VLOOKUP($G1021,Master!$V$2:$Z$8,5,0),""),"")</f>
        <v/>
      </c>
      <c r="P1021" s="6" t="str">
        <f t="shared" si="32"/>
        <v/>
      </c>
      <c r="Q1021" s="13">
        <f t="shared" si="33"/>
        <v>0</v>
      </c>
    </row>
    <row r="1022" spans="2:17" ht="15" customHeight="1">
      <c r="B1022" s="5" t="str">
        <f>_xlfn.IFNA(VLOOKUP(C1022,Master!$H:$I,2,FALSE),"")</f>
        <v/>
      </c>
      <c r="D1022" s="5" t="str">
        <f>_xlfn.IFNA(VLOOKUP(E1022,Master!$H:$I,2,FALSE),"")</f>
        <v/>
      </c>
      <c r="F1022" s="26" t="str">
        <f>+_xlfn.XLOOKUP(G1022,Master!$V$2:$V$8,Master!$U$2:$U$8,"")</f>
        <v/>
      </c>
      <c r="I1022" s="4" t="str">
        <f>_xlfn.IFNA(VLOOKUP(D1022,Master!$I:$K,2,FALSE),"")</f>
        <v/>
      </c>
      <c r="J1022" s="4" t="str">
        <f>_xlfn.IFNA(VLOOKUP(D1022,Master!$I:$K,3,FALSE),"")</f>
        <v/>
      </c>
      <c r="L1022" s="27" t="str">
        <f>IF(A1022&lt;&gt;"CFA",_xlfn.IFNA(VLOOKUP($G1022,Master!$V$2:$Z$8,5,0),""),"")</f>
        <v/>
      </c>
      <c r="P1022" s="6" t="str">
        <f t="shared" si="32"/>
        <v/>
      </c>
      <c r="Q1022" s="13">
        <f t="shared" si="33"/>
        <v>0</v>
      </c>
    </row>
    <row r="1023" spans="2:17" ht="15" customHeight="1">
      <c r="B1023" s="5" t="str">
        <f>_xlfn.IFNA(VLOOKUP(C1023,Master!$H:$I,2,FALSE),"")</f>
        <v/>
      </c>
      <c r="D1023" s="5" t="str">
        <f>_xlfn.IFNA(VLOOKUP(E1023,Master!$H:$I,2,FALSE),"")</f>
        <v/>
      </c>
      <c r="F1023" s="26" t="str">
        <f>+_xlfn.XLOOKUP(G1023,Master!$V$2:$V$8,Master!$U$2:$U$8,"")</f>
        <v/>
      </c>
      <c r="I1023" s="4" t="str">
        <f>_xlfn.IFNA(VLOOKUP(D1023,Master!$I:$K,2,FALSE),"")</f>
        <v/>
      </c>
      <c r="J1023" s="4" t="str">
        <f>_xlfn.IFNA(VLOOKUP(D1023,Master!$I:$K,3,FALSE),"")</f>
        <v/>
      </c>
      <c r="L1023" s="27" t="str">
        <f>IF(A1023&lt;&gt;"CFA",_xlfn.IFNA(VLOOKUP($G1023,Master!$V$2:$Z$8,5,0),""),"")</f>
        <v/>
      </c>
      <c r="P1023" s="6" t="str">
        <f t="shared" si="32"/>
        <v/>
      </c>
      <c r="Q1023" s="13">
        <f t="shared" si="33"/>
        <v>0</v>
      </c>
    </row>
    <row r="1024" spans="2:17" ht="15" customHeight="1">
      <c r="B1024" s="5" t="str">
        <f>_xlfn.IFNA(VLOOKUP(C1024,Master!$H:$I,2,FALSE),"")</f>
        <v/>
      </c>
      <c r="D1024" s="5" t="str">
        <f>_xlfn.IFNA(VLOOKUP(E1024,Master!$H:$I,2,FALSE),"")</f>
        <v/>
      </c>
      <c r="F1024" s="26" t="str">
        <f>+_xlfn.XLOOKUP(G1024,Master!$V$2:$V$8,Master!$U$2:$U$8,"")</f>
        <v/>
      </c>
      <c r="I1024" s="4" t="str">
        <f>_xlfn.IFNA(VLOOKUP(D1024,Master!$I:$K,2,FALSE),"")</f>
        <v/>
      </c>
      <c r="J1024" s="4" t="str">
        <f>_xlfn.IFNA(VLOOKUP(D1024,Master!$I:$K,3,FALSE),"")</f>
        <v/>
      </c>
      <c r="L1024" s="27" t="str">
        <f>IF(A1024&lt;&gt;"CFA",_xlfn.IFNA(VLOOKUP($G1024,Master!$V$2:$Z$8,5,0),""),"")</f>
        <v/>
      </c>
      <c r="P1024" s="6" t="str">
        <f t="shared" si="32"/>
        <v/>
      </c>
      <c r="Q1024" s="13">
        <f t="shared" si="33"/>
        <v>0</v>
      </c>
    </row>
    <row r="1025" spans="2:17" ht="15" customHeight="1">
      <c r="B1025" s="5" t="str">
        <f>_xlfn.IFNA(VLOOKUP(C1025,Master!$H:$I,2,FALSE),"")</f>
        <v/>
      </c>
      <c r="D1025" s="5" t="str">
        <f>_xlfn.IFNA(VLOOKUP(E1025,Master!$H:$I,2,FALSE),"")</f>
        <v/>
      </c>
      <c r="F1025" s="26" t="str">
        <f>+_xlfn.XLOOKUP(G1025,Master!$V$2:$V$8,Master!$U$2:$U$8,"")</f>
        <v/>
      </c>
      <c r="I1025" s="4" t="str">
        <f>_xlfn.IFNA(VLOOKUP(D1025,Master!$I:$K,2,FALSE),"")</f>
        <v/>
      </c>
      <c r="J1025" s="4" t="str">
        <f>_xlfn.IFNA(VLOOKUP(D1025,Master!$I:$K,3,FALSE),"")</f>
        <v/>
      </c>
      <c r="L1025" s="27" t="str">
        <f>IF(A1025&lt;&gt;"CFA",_xlfn.IFNA(VLOOKUP($G1025,Master!$V$2:$Z$8,5,0),""),"")</f>
        <v/>
      </c>
      <c r="P1025" s="6" t="str">
        <f t="shared" si="32"/>
        <v/>
      </c>
      <c r="Q1025" s="13">
        <f t="shared" si="33"/>
        <v>0</v>
      </c>
    </row>
    <row r="1026" spans="2:17" ht="15" customHeight="1">
      <c r="B1026" s="5" t="str">
        <f>_xlfn.IFNA(VLOOKUP(C1026,Master!$H:$I,2,FALSE),"")</f>
        <v/>
      </c>
      <c r="D1026" s="5" t="str">
        <f>_xlfn.IFNA(VLOOKUP(E1026,Master!$H:$I,2,FALSE),"")</f>
        <v/>
      </c>
      <c r="F1026" s="26" t="str">
        <f>+_xlfn.XLOOKUP(G1026,Master!$V$2:$V$8,Master!$U$2:$U$8,"")</f>
        <v/>
      </c>
      <c r="I1026" s="4" t="str">
        <f>_xlfn.IFNA(VLOOKUP(D1026,Master!$I:$K,2,FALSE),"")</f>
        <v/>
      </c>
      <c r="J1026" s="4" t="str">
        <f>_xlfn.IFNA(VLOOKUP(D1026,Master!$I:$K,3,FALSE),"")</f>
        <v/>
      </c>
      <c r="L1026" s="27" t="str">
        <f>IF(A1026&lt;&gt;"CFA",_xlfn.IFNA(VLOOKUP($G1026,Master!$V$2:$Z$8,5,0),""),"")</f>
        <v/>
      </c>
      <c r="P1026" s="6" t="str">
        <f t="shared" si="32"/>
        <v/>
      </c>
      <c r="Q1026" s="13">
        <f t="shared" si="33"/>
        <v>0</v>
      </c>
    </row>
    <row r="1027" spans="2:17" ht="15" customHeight="1">
      <c r="B1027" s="5" t="str">
        <f>_xlfn.IFNA(VLOOKUP(C1027,Master!$H:$I,2,FALSE),"")</f>
        <v/>
      </c>
      <c r="D1027" s="5" t="str">
        <f>_xlfn.IFNA(VLOOKUP(E1027,Master!$H:$I,2,FALSE),"")</f>
        <v/>
      </c>
      <c r="F1027" s="26" t="str">
        <f>+_xlfn.XLOOKUP(G1027,Master!$V$2:$V$8,Master!$U$2:$U$8,"")</f>
        <v/>
      </c>
      <c r="I1027" s="4" t="str">
        <f>_xlfn.IFNA(VLOOKUP(D1027,Master!$I:$K,2,FALSE),"")</f>
        <v/>
      </c>
      <c r="J1027" s="4" t="str">
        <f>_xlfn.IFNA(VLOOKUP(D1027,Master!$I:$K,3,FALSE),"")</f>
        <v/>
      </c>
      <c r="L1027" s="27" t="str">
        <f>IF(A1027&lt;&gt;"CFA",_xlfn.IFNA(VLOOKUP($G1027,Master!$V$2:$Z$8,5,0),""),"")</f>
        <v/>
      </c>
      <c r="P1027" s="6" t="str">
        <f t="shared" si="32"/>
        <v/>
      </c>
      <c r="Q1027" s="13">
        <f t="shared" si="33"/>
        <v>0</v>
      </c>
    </row>
    <row r="1028" spans="2:17" ht="15" customHeight="1">
      <c r="B1028" s="5" t="str">
        <f>_xlfn.IFNA(VLOOKUP(C1028,Master!$H:$I,2,FALSE),"")</f>
        <v/>
      </c>
      <c r="D1028" s="5" t="str">
        <f>_xlfn.IFNA(VLOOKUP(E1028,Master!$H:$I,2,FALSE),"")</f>
        <v/>
      </c>
      <c r="F1028" s="26" t="str">
        <f>+_xlfn.XLOOKUP(G1028,Master!$V$2:$V$8,Master!$U$2:$U$8,"")</f>
        <v/>
      </c>
      <c r="I1028" s="4" t="str">
        <f>_xlfn.IFNA(VLOOKUP(D1028,Master!$I:$K,2,FALSE),"")</f>
        <v/>
      </c>
      <c r="J1028" s="4" t="str">
        <f>_xlfn.IFNA(VLOOKUP(D1028,Master!$I:$K,3,FALSE),"")</f>
        <v/>
      </c>
      <c r="L1028" s="27" t="str">
        <f>IF(A1028&lt;&gt;"CFA",_xlfn.IFNA(VLOOKUP($G1028,Master!$V$2:$Z$8,5,0),""),"")</f>
        <v/>
      </c>
      <c r="P1028" s="6" t="str">
        <f t="shared" si="32"/>
        <v/>
      </c>
      <c r="Q1028" s="13">
        <f t="shared" si="33"/>
        <v>0</v>
      </c>
    </row>
    <row r="1029" spans="2:17" ht="15" customHeight="1">
      <c r="B1029" s="5" t="str">
        <f>_xlfn.IFNA(VLOOKUP(C1029,Master!$H:$I,2,FALSE),"")</f>
        <v/>
      </c>
      <c r="D1029" s="5" t="str">
        <f>_xlfn.IFNA(VLOOKUP(E1029,Master!$H:$I,2,FALSE),"")</f>
        <v/>
      </c>
      <c r="F1029" s="26" t="str">
        <f>+_xlfn.XLOOKUP(G1029,Master!$V$2:$V$8,Master!$U$2:$U$8,"")</f>
        <v/>
      </c>
      <c r="I1029" s="4" t="str">
        <f>_xlfn.IFNA(VLOOKUP(D1029,Master!$I:$K,2,FALSE),"")</f>
        <v/>
      </c>
      <c r="J1029" s="4" t="str">
        <f>_xlfn.IFNA(VLOOKUP(D1029,Master!$I:$K,3,FALSE),"")</f>
        <v/>
      </c>
      <c r="L1029" s="27" t="str">
        <f>IF(A1029&lt;&gt;"CFA",_xlfn.IFNA(VLOOKUP($G1029,Master!$V$2:$Z$8,5,0),""),"")</f>
        <v/>
      </c>
      <c r="P1029" s="6" t="str">
        <f t="shared" si="32"/>
        <v/>
      </c>
      <c r="Q1029" s="13">
        <f t="shared" si="33"/>
        <v>0</v>
      </c>
    </row>
    <row r="1030" spans="2:17" ht="15" customHeight="1">
      <c r="B1030" s="5" t="str">
        <f>_xlfn.IFNA(VLOOKUP(C1030,Master!$H:$I,2,FALSE),"")</f>
        <v/>
      </c>
      <c r="D1030" s="5" t="str">
        <f>_xlfn.IFNA(VLOOKUP(E1030,Master!$H:$I,2,FALSE),"")</f>
        <v/>
      </c>
      <c r="F1030" s="26" t="str">
        <f>+_xlfn.XLOOKUP(G1030,Master!$V$2:$V$8,Master!$U$2:$U$8,"")</f>
        <v/>
      </c>
      <c r="I1030" s="4" t="str">
        <f>_xlfn.IFNA(VLOOKUP(D1030,Master!$I:$K,2,FALSE),"")</f>
        <v/>
      </c>
      <c r="J1030" s="4" t="str">
        <f>_xlfn.IFNA(VLOOKUP(D1030,Master!$I:$K,3,FALSE),"")</f>
        <v/>
      </c>
      <c r="L1030" s="27" t="str">
        <f>IF(A1030&lt;&gt;"CFA",_xlfn.IFNA(VLOOKUP($G1030,Master!$V$2:$Z$8,5,0),""),"")</f>
        <v/>
      </c>
      <c r="P1030" s="6" t="str">
        <f t="shared" si="32"/>
        <v/>
      </c>
      <c r="Q1030" s="13">
        <f t="shared" si="33"/>
        <v>0</v>
      </c>
    </row>
    <row r="1031" spans="2:17" ht="15" customHeight="1">
      <c r="B1031" s="5" t="str">
        <f>_xlfn.IFNA(VLOOKUP(C1031,Master!$H:$I,2,FALSE),"")</f>
        <v/>
      </c>
      <c r="D1031" s="5" t="str">
        <f>_xlfn.IFNA(VLOOKUP(E1031,Master!$H:$I,2,FALSE),"")</f>
        <v/>
      </c>
      <c r="F1031" s="26" t="str">
        <f>+_xlfn.XLOOKUP(G1031,Master!$V$2:$V$8,Master!$U$2:$U$8,"")</f>
        <v/>
      </c>
      <c r="I1031" s="4" t="str">
        <f>_xlfn.IFNA(VLOOKUP(D1031,Master!$I:$K,2,FALSE),"")</f>
        <v/>
      </c>
      <c r="J1031" s="4" t="str">
        <f>_xlfn.IFNA(VLOOKUP(D1031,Master!$I:$K,3,FALSE),"")</f>
        <v/>
      </c>
      <c r="L1031" s="27" t="str">
        <f>IF(A1031&lt;&gt;"CFA",_xlfn.IFNA(VLOOKUP($G1031,Master!$V$2:$Z$8,5,0),""),"")</f>
        <v/>
      </c>
      <c r="P1031" s="6" t="str">
        <f t="shared" si="32"/>
        <v/>
      </c>
      <c r="Q1031" s="13">
        <f t="shared" si="33"/>
        <v>0</v>
      </c>
    </row>
    <row r="1032" spans="2:17" ht="15" customHeight="1">
      <c r="B1032" s="5" t="str">
        <f>_xlfn.IFNA(VLOOKUP(C1032,Master!$H:$I,2,FALSE),"")</f>
        <v/>
      </c>
      <c r="D1032" s="5" t="str">
        <f>_xlfn.IFNA(VLOOKUP(E1032,Master!$H:$I,2,FALSE),"")</f>
        <v/>
      </c>
      <c r="F1032" s="26" t="str">
        <f>+_xlfn.XLOOKUP(G1032,Master!$V$2:$V$8,Master!$U$2:$U$8,"")</f>
        <v/>
      </c>
      <c r="I1032" s="4" t="str">
        <f>_xlfn.IFNA(VLOOKUP(D1032,Master!$I:$K,2,FALSE),"")</f>
        <v/>
      </c>
      <c r="J1032" s="4" t="str">
        <f>_xlfn.IFNA(VLOOKUP(D1032,Master!$I:$K,3,FALSE),"")</f>
        <v/>
      </c>
      <c r="L1032" s="27" t="str">
        <f>IF(A1032&lt;&gt;"CFA",_xlfn.IFNA(VLOOKUP($G1032,Master!$V$2:$Z$8,5,0),""),"")</f>
        <v/>
      </c>
      <c r="P1032" s="6" t="str">
        <f t="shared" si="32"/>
        <v/>
      </c>
      <c r="Q1032" s="13">
        <f t="shared" si="33"/>
        <v>0</v>
      </c>
    </row>
    <row r="1033" spans="2:17" ht="15" customHeight="1">
      <c r="B1033" s="5" t="str">
        <f>_xlfn.IFNA(VLOOKUP(C1033,Master!$H:$I,2,FALSE),"")</f>
        <v/>
      </c>
      <c r="D1033" s="5" t="str">
        <f>_xlfn.IFNA(VLOOKUP(E1033,Master!$H:$I,2,FALSE),"")</f>
        <v/>
      </c>
      <c r="F1033" s="26" t="str">
        <f>+_xlfn.XLOOKUP(G1033,Master!$V$2:$V$8,Master!$U$2:$U$8,"")</f>
        <v/>
      </c>
      <c r="I1033" s="4" t="str">
        <f>_xlfn.IFNA(VLOOKUP(D1033,Master!$I:$K,2,FALSE),"")</f>
        <v/>
      </c>
      <c r="J1033" s="4" t="str">
        <f>_xlfn.IFNA(VLOOKUP(D1033,Master!$I:$K,3,FALSE),"")</f>
        <v/>
      </c>
      <c r="L1033" s="27" t="str">
        <f>IF(A1033&lt;&gt;"CFA",_xlfn.IFNA(VLOOKUP($G1033,Master!$V$2:$Z$8,5,0),""),"")</f>
        <v/>
      </c>
      <c r="P1033" s="6" t="str">
        <f t="shared" si="32"/>
        <v/>
      </c>
      <c r="Q1033" s="13">
        <f t="shared" si="33"/>
        <v>0</v>
      </c>
    </row>
    <row r="1034" spans="2:17" ht="15" customHeight="1">
      <c r="B1034" s="5" t="str">
        <f>_xlfn.IFNA(VLOOKUP(C1034,Master!$H:$I,2,FALSE),"")</f>
        <v/>
      </c>
      <c r="D1034" s="5" t="str">
        <f>_xlfn.IFNA(VLOOKUP(E1034,Master!$H:$I,2,FALSE),"")</f>
        <v/>
      </c>
      <c r="F1034" s="26" t="str">
        <f>+_xlfn.XLOOKUP(G1034,Master!$V$2:$V$8,Master!$U$2:$U$8,"")</f>
        <v/>
      </c>
      <c r="I1034" s="4" t="str">
        <f>_xlfn.IFNA(VLOOKUP(D1034,Master!$I:$K,2,FALSE),"")</f>
        <v/>
      </c>
      <c r="J1034" s="4" t="str">
        <f>_xlfn.IFNA(VLOOKUP(D1034,Master!$I:$K,3,FALSE),"")</f>
        <v/>
      </c>
      <c r="L1034" s="27" t="str">
        <f>IF(A1034&lt;&gt;"CFA",_xlfn.IFNA(VLOOKUP($G1034,Master!$V$2:$Z$8,5,0),""),"")</f>
        <v/>
      </c>
      <c r="P1034" s="6" t="str">
        <f t="shared" si="32"/>
        <v/>
      </c>
      <c r="Q1034" s="13">
        <f t="shared" si="33"/>
        <v>0</v>
      </c>
    </row>
    <row r="1035" spans="2:17" ht="15" customHeight="1">
      <c r="B1035" s="5" t="str">
        <f>_xlfn.IFNA(VLOOKUP(C1035,Master!$H:$I,2,FALSE),"")</f>
        <v/>
      </c>
      <c r="D1035" s="5" t="str">
        <f>_xlfn.IFNA(VLOOKUP(E1035,Master!$H:$I,2,FALSE),"")</f>
        <v/>
      </c>
      <c r="F1035" s="26" t="str">
        <f>+_xlfn.XLOOKUP(G1035,Master!$V$2:$V$8,Master!$U$2:$U$8,"")</f>
        <v/>
      </c>
      <c r="I1035" s="4" t="str">
        <f>_xlfn.IFNA(VLOOKUP(D1035,Master!$I:$K,2,FALSE),"")</f>
        <v/>
      </c>
      <c r="J1035" s="4" t="str">
        <f>_xlfn.IFNA(VLOOKUP(D1035,Master!$I:$K,3,FALSE),"")</f>
        <v/>
      </c>
      <c r="L1035" s="27" t="str">
        <f>IF(A1035&lt;&gt;"CFA",_xlfn.IFNA(VLOOKUP($G1035,Master!$V$2:$Z$8,5,0),""),"")</f>
        <v/>
      </c>
      <c r="P1035" s="6" t="str">
        <f t="shared" si="32"/>
        <v/>
      </c>
      <c r="Q1035" s="13">
        <f t="shared" si="33"/>
        <v>0</v>
      </c>
    </row>
    <row r="1036" spans="2:17" ht="15" customHeight="1">
      <c r="B1036" s="5" t="str">
        <f>_xlfn.IFNA(VLOOKUP(C1036,Master!$H:$I,2,FALSE),"")</f>
        <v/>
      </c>
      <c r="D1036" s="5" t="str">
        <f>_xlfn.IFNA(VLOOKUP(E1036,Master!$H:$I,2,FALSE),"")</f>
        <v/>
      </c>
      <c r="F1036" s="26" t="str">
        <f>+_xlfn.XLOOKUP(G1036,Master!$V$2:$V$8,Master!$U$2:$U$8,"")</f>
        <v/>
      </c>
      <c r="I1036" s="4" t="str">
        <f>_xlfn.IFNA(VLOOKUP(D1036,Master!$I:$K,2,FALSE),"")</f>
        <v/>
      </c>
      <c r="J1036" s="4" t="str">
        <f>_xlfn.IFNA(VLOOKUP(D1036,Master!$I:$K,3,FALSE),"")</f>
        <v/>
      </c>
      <c r="L1036" s="27" t="str">
        <f>IF(A1036&lt;&gt;"CFA",_xlfn.IFNA(VLOOKUP($G1036,Master!$V$2:$Z$8,5,0),""),"")</f>
        <v/>
      </c>
      <c r="P1036" s="6" t="str">
        <f t="shared" si="32"/>
        <v/>
      </c>
      <c r="Q1036" s="13">
        <f t="shared" si="33"/>
        <v>0</v>
      </c>
    </row>
    <row r="1037" spans="2:17" ht="15" customHeight="1">
      <c r="B1037" s="5" t="str">
        <f>_xlfn.IFNA(VLOOKUP(C1037,Master!$H:$I,2,FALSE),"")</f>
        <v/>
      </c>
      <c r="D1037" s="5" t="str">
        <f>_xlfn.IFNA(VLOOKUP(E1037,Master!$H:$I,2,FALSE),"")</f>
        <v/>
      </c>
      <c r="F1037" s="26" t="str">
        <f>+_xlfn.XLOOKUP(G1037,Master!$V$2:$V$8,Master!$U$2:$U$8,"")</f>
        <v/>
      </c>
      <c r="I1037" s="4" t="str">
        <f>_xlfn.IFNA(VLOOKUP(D1037,Master!$I:$K,2,FALSE),"")</f>
        <v/>
      </c>
      <c r="J1037" s="4" t="str">
        <f>_xlfn.IFNA(VLOOKUP(D1037,Master!$I:$K,3,FALSE),"")</f>
        <v/>
      </c>
      <c r="L1037" s="27" t="str">
        <f>IF(A1037&lt;&gt;"CFA",_xlfn.IFNA(VLOOKUP($G1037,Master!$V$2:$Z$8,5,0),""),"")</f>
        <v/>
      </c>
      <c r="P1037" s="6" t="str">
        <f t="shared" si="32"/>
        <v/>
      </c>
      <c r="Q1037" s="13">
        <f t="shared" si="33"/>
        <v>0</v>
      </c>
    </row>
    <row r="1038" spans="2:17" ht="15" customHeight="1">
      <c r="B1038" s="5" t="str">
        <f>_xlfn.IFNA(VLOOKUP(C1038,Master!$H:$I,2,FALSE),"")</f>
        <v/>
      </c>
      <c r="D1038" s="5" t="str">
        <f>_xlfn.IFNA(VLOOKUP(E1038,Master!$H:$I,2,FALSE),"")</f>
        <v/>
      </c>
      <c r="F1038" s="26" t="str">
        <f>+_xlfn.XLOOKUP(G1038,Master!$V$2:$V$8,Master!$U$2:$U$8,"")</f>
        <v/>
      </c>
      <c r="I1038" s="4" t="str">
        <f>_xlfn.IFNA(VLOOKUP(D1038,Master!$I:$K,2,FALSE),"")</f>
        <v/>
      </c>
      <c r="J1038" s="4" t="str">
        <f>_xlfn.IFNA(VLOOKUP(D1038,Master!$I:$K,3,FALSE),"")</f>
        <v/>
      </c>
      <c r="L1038" s="27" t="str">
        <f>IF(A1038&lt;&gt;"CFA",_xlfn.IFNA(VLOOKUP($G1038,Master!$V$2:$Z$8,5,0),""),"")</f>
        <v/>
      </c>
      <c r="P1038" s="6" t="str">
        <f t="shared" si="32"/>
        <v/>
      </c>
      <c r="Q1038" s="13">
        <f t="shared" si="33"/>
        <v>0</v>
      </c>
    </row>
    <row r="1039" spans="2:17" ht="15" customHeight="1">
      <c r="B1039" s="5" t="str">
        <f>_xlfn.IFNA(VLOOKUP(C1039,Master!$H:$I,2,FALSE),"")</f>
        <v/>
      </c>
      <c r="D1039" s="5" t="str">
        <f>_xlfn.IFNA(VLOOKUP(E1039,Master!$H:$I,2,FALSE),"")</f>
        <v/>
      </c>
      <c r="F1039" s="26" t="str">
        <f>+_xlfn.XLOOKUP(G1039,Master!$V$2:$V$8,Master!$U$2:$U$8,"")</f>
        <v/>
      </c>
      <c r="I1039" s="4" t="str">
        <f>_xlfn.IFNA(VLOOKUP(D1039,Master!$I:$K,2,FALSE),"")</f>
        <v/>
      </c>
      <c r="J1039" s="4" t="str">
        <f>_xlfn.IFNA(VLOOKUP(D1039,Master!$I:$K,3,FALSE),"")</f>
        <v/>
      </c>
      <c r="L1039" s="27" t="str">
        <f>IF(A1039&lt;&gt;"CFA",_xlfn.IFNA(VLOOKUP($G1039,Master!$V$2:$Z$8,5,0),""),"")</f>
        <v/>
      </c>
      <c r="P1039" s="6" t="str">
        <f t="shared" si="32"/>
        <v/>
      </c>
      <c r="Q1039" s="13">
        <f t="shared" si="33"/>
        <v>0</v>
      </c>
    </row>
    <row r="1040" spans="2:17" ht="15" customHeight="1">
      <c r="B1040" s="5" t="str">
        <f>_xlfn.IFNA(VLOOKUP(C1040,Master!$H:$I,2,FALSE),"")</f>
        <v/>
      </c>
      <c r="D1040" s="5" t="str">
        <f>_xlfn.IFNA(VLOOKUP(E1040,Master!$H:$I,2,FALSE),"")</f>
        <v/>
      </c>
      <c r="F1040" s="26" t="str">
        <f>+_xlfn.XLOOKUP(G1040,Master!$V$2:$V$8,Master!$U$2:$U$8,"")</f>
        <v/>
      </c>
      <c r="I1040" s="4" t="str">
        <f>_xlfn.IFNA(VLOOKUP(D1040,Master!$I:$K,2,FALSE),"")</f>
        <v/>
      </c>
      <c r="J1040" s="4" t="str">
        <f>_xlfn.IFNA(VLOOKUP(D1040,Master!$I:$K,3,FALSE),"")</f>
        <v/>
      </c>
      <c r="L1040" s="27" t="str">
        <f>IF(A1040&lt;&gt;"CFA",_xlfn.IFNA(VLOOKUP($G1040,Master!$V$2:$Z$8,5,0),""),"")</f>
        <v/>
      </c>
      <c r="P1040" s="6" t="str">
        <f t="shared" si="32"/>
        <v/>
      </c>
      <c r="Q1040" s="13">
        <f t="shared" si="33"/>
        <v>0</v>
      </c>
    </row>
    <row r="1041" spans="2:17" ht="15" customHeight="1">
      <c r="B1041" s="5" t="str">
        <f>_xlfn.IFNA(VLOOKUP(C1041,Master!$H:$I,2,FALSE),"")</f>
        <v/>
      </c>
      <c r="D1041" s="5" t="str">
        <f>_xlfn.IFNA(VLOOKUP(E1041,Master!$H:$I,2,FALSE),"")</f>
        <v/>
      </c>
      <c r="F1041" s="26" t="str">
        <f>+_xlfn.XLOOKUP(G1041,Master!$V$2:$V$8,Master!$U$2:$U$8,"")</f>
        <v/>
      </c>
      <c r="I1041" s="4" t="str">
        <f>_xlfn.IFNA(VLOOKUP(D1041,Master!$I:$K,2,FALSE),"")</f>
        <v/>
      </c>
      <c r="J1041" s="4" t="str">
        <f>_xlfn.IFNA(VLOOKUP(D1041,Master!$I:$K,3,FALSE),"")</f>
        <v/>
      </c>
      <c r="L1041" s="27" t="str">
        <f>IF(A1041&lt;&gt;"CFA",_xlfn.IFNA(VLOOKUP($G1041,Master!$V$2:$Z$8,5,0),""),"")</f>
        <v/>
      </c>
      <c r="P1041" s="6" t="str">
        <f t="shared" si="32"/>
        <v/>
      </c>
      <c r="Q1041" s="13">
        <f t="shared" si="33"/>
        <v>0</v>
      </c>
    </row>
    <row r="1042" spans="2:17" ht="15" customHeight="1">
      <c r="B1042" s="5" t="str">
        <f>_xlfn.IFNA(VLOOKUP(C1042,Master!$H:$I,2,FALSE),"")</f>
        <v/>
      </c>
      <c r="D1042" s="5" t="str">
        <f>_xlfn.IFNA(VLOOKUP(E1042,Master!$H:$I,2,FALSE),"")</f>
        <v/>
      </c>
      <c r="F1042" s="26" t="str">
        <f>+_xlfn.XLOOKUP(G1042,Master!$V$2:$V$8,Master!$U$2:$U$8,"")</f>
        <v/>
      </c>
      <c r="I1042" s="4" t="str">
        <f>_xlfn.IFNA(VLOOKUP(D1042,Master!$I:$K,2,FALSE),"")</f>
        <v/>
      </c>
      <c r="J1042" s="4" t="str">
        <f>_xlfn.IFNA(VLOOKUP(D1042,Master!$I:$K,3,FALSE),"")</f>
        <v/>
      </c>
      <c r="L1042" s="27" t="str">
        <f>IF(A1042&lt;&gt;"CFA",_xlfn.IFNA(VLOOKUP($G1042,Master!$V$2:$Z$8,5,0),""),"")</f>
        <v/>
      </c>
      <c r="P1042" s="6" t="str">
        <f t="shared" si="32"/>
        <v/>
      </c>
      <c r="Q1042" s="13">
        <f t="shared" si="33"/>
        <v>0</v>
      </c>
    </row>
    <row r="1043" spans="2:17" ht="15" customHeight="1">
      <c r="B1043" s="5" t="str">
        <f>_xlfn.IFNA(VLOOKUP(C1043,Master!$H:$I,2,FALSE),"")</f>
        <v/>
      </c>
      <c r="D1043" s="5" t="str">
        <f>_xlfn.IFNA(VLOOKUP(E1043,Master!$H:$I,2,FALSE),"")</f>
        <v/>
      </c>
      <c r="F1043" s="26" t="str">
        <f>+_xlfn.XLOOKUP(G1043,Master!$V$2:$V$8,Master!$U$2:$U$8,"")</f>
        <v/>
      </c>
      <c r="I1043" s="4" t="str">
        <f>_xlfn.IFNA(VLOOKUP(D1043,Master!$I:$K,2,FALSE),"")</f>
        <v/>
      </c>
      <c r="J1043" s="4" t="str">
        <f>_xlfn.IFNA(VLOOKUP(D1043,Master!$I:$K,3,FALSE),"")</f>
        <v/>
      </c>
      <c r="L1043" s="27" t="str">
        <f>IF(A1043&lt;&gt;"CFA",_xlfn.IFNA(VLOOKUP($G1043,Master!$V$2:$Z$8,5,0),""),"")</f>
        <v/>
      </c>
      <c r="P1043" s="6" t="str">
        <f t="shared" si="32"/>
        <v/>
      </c>
      <c r="Q1043" s="13">
        <f t="shared" si="33"/>
        <v>0</v>
      </c>
    </row>
    <row r="1044" spans="2:17" ht="15" customHeight="1">
      <c r="B1044" s="5" t="str">
        <f>_xlfn.IFNA(VLOOKUP(C1044,Master!$H:$I,2,FALSE),"")</f>
        <v/>
      </c>
      <c r="D1044" s="5" t="str">
        <f>_xlfn.IFNA(VLOOKUP(E1044,Master!$H:$I,2,FALSE),"")</f>
        <v/>
      </c>
      <c r="F1044" s="26" t="str">
        <f>+_xlfn.XLOOKUP(G1044,Master!$V$2:$V$8,Master!$U$2:$U$8,"")</f>
        <v/>
      </c>
      <c r="I1044" s="4" t="str">
        <f>_xlfn.IFNA(VLOOKUP(D1044,Master!$I:$K,2,FALSE),"")</f>
        <v/>
      </c>
      <c r="J1044" s="4" t="str">
        <f>_xlfn.IFNA(VLOOKUP(D1044,Master!$I:$K,3,FALSE),"")</f>
        <v/>
      </c>
      <c r="L1044" s="27" t="str">
        <f>IF(A1044&lt;&gt;"CFA",_xlfn.IFNA(VLOOKUP($G1044,Master!$V$2:$Z$8,5,0),""),"")</f>
        <v/>
      </c>
      <c r="P1044" s="6" t="str">
        <f t="shared" si="32"/>
        <v/>
      </c>
      <c r="Q1044" s="13">
        <f t="shared" si="33"/>
        <v>0</v>
      </c>
    </row>
    <row r="1045" spans="2:17" ht="15" customHeight="1">
      <c r="B1045" s="5" t="str">
        <f>_xlfn.IFNA(VLOOKUP(C1045,Master!$H:$I,2,FALSE),"")</f>
        <v/>
      </c>
      <c r="D1045" s="5" t="str">
        <f>_xlfn.IFNA(VLOOKUP(E1045,Master!$H:$I,2,FALSE),"")</f>
        <v/>
      </c>
      <c r="F1045" s="26" t="str">
        <f>+_xlfn.XLOOKUP(G1045,Master!$V$2:$V$8,Master!$U$2:$U$8,"")</f>
        <v/>
      </c>
      <c r="I1045" s="4" t="str">
        <f>_xlfn.IFNA(VLOOKUP(D1045,Master!$I:$K,2,FALSE),"")</f>
        <v/>
      </c>
      <c r="J1045" s="4" t="str">
        <f>_xlfn.IFNA(VLOOKUP(D1045,Master!$I:$K,3,FALSE),"")</f>
        <v/>
      </c>
      <c r="L1045" s="27" t="str">
        <f>IF(A1045&lt;&gt;"CFA",_xlfn.IFNA(VLOOKUP($G1045,Master!$V$2:$Z$8,5,0),""),"")</f>
        <v/>
      </c>
      <c r="P1045" s="6" t="str">
        <f t="shared" si="32"/>
        <v/>
      </c>
      <c r="Q1045" s="13">
        <f t="shared" si="33"/>
        <v>0</v>
      </c>
    </row>
    <row r="1046" spans="2:17" ht="15" customHeight="1">
      <c r="B1046" s="5" t="str">
        <f>_xlfn.IFNA(VLOOKUP(C1046,Master!$H:$I,2,FALSE),"")</f>
        <v/>
      </c>
      <c r="D1046" s="5" t="str">
        <f>_xlfn.IFNA(VLOOKUP(E1046,Master!$H:$I,2,FALSE),"")</f>
        <v/>
      </c>
      <c r="F1046" s="26" t="str">
        <f>+_xlfn.XLOOKUP(G1046,Master!$V$2:$V$8,Master!$U$2:$U$8,"")</f>
        <v/>
      </c>
      <c r="I1046" s="4" t="str">
        <f>_xlfn.IFNA(VLOOKUP(D1046,Master!$I:$K,2,FALSE),"")</f>
        <v/>
      </c>
      <c r="J1046" s="4" t="str">
        <f>_xlfn.IFNA(VLOOKUP(D1046,Master!$I:$K,3,FALSE),"")</f>
        <v/>
      </c>
      <c r="L1046" s="27" t="str">
        <f>IF(A1046&lt;&gt;"CFA",_xlfn.IFNA(VLOOKUP($G1046,Master!$V$2:$Z$8,5,0),""),"")</f>
        <v/>
      </c>
      <c r="P1046" s="6" t="str">
        <f t="shared" si="32"/>
        <v/>
      </c>
      <c r="Q1046" s="13">
        <f t="shared" si="33"/>
        <v>0</v>
      </c>
    </row>
    <row r="1047" spans="2:17" ht="15" customHeight="1">
      <c r="B1047" s="5" t="str">
        <f>_xlfn.IFNA(VLOOKUP(C1047,Master!$H:$I,2,FALSE),"")</f>
        <v/>
      </c>
      <c r="D1047" s="5" t="str">
        <f>_xlfn.IFNA(VLOOKUP(E1047,Master!$H:$I,2,FALSE),"")</f>
        <v/>
      </c>
      <c r="F1047" s="26" t="str">
        <f>+_xlfn.XLOOKUP(G1047,Master!$V$2:$V$8,Master!$U$2:$U$8,"")</f>
        <v/>
      </c>
      <c r="I1047" s="4" t="str">
        <f>_xlfn.IFNA(VLOOKUP(D1047,Master!$I:$K,2,FALSE),"")</f>
        <v/>
      </c>
      <c r="J1047" s="4" t="str">
        <f>_xlfn.IFNA(VLOOKUP(D1047,Master!$I:$K,3,FALSE),"")</f>
        <v/>
      </c>
      <c r="L1047" s="27" t="str">
        <f>IF(A1047&lt;&gt;"CFA",_xlfn.IFNA(VLOOKUP($G1047,Master!$V$2:$Z$8,5,0),""),"")</f>
        <v/>
      </c>
      <c r="P1047" s="6" t="str">
        <f t="shared" si="32"/>
        <v/>
      </c>
      <c r="Q1047" s="13">
        <f t="shared" si="33"/>
        <v>0</v>
      </c>
    </row>
    <row r="1048" spans="2:17" ht="15" customHeight="1">
      <c r="B1048" s="5" t="str">
        <f>_xlfn.IFNA(VLOOKUP(C1048,Master!$H:$I,2,FALSE),"")</f>
        <v/>
      </c>
      <c r="D1048" s="5" t="str">
        <f>_xlfn.IFNA(VLOOKUP(E1048,Master!$H:$I,2,FALSE),"")</f>
        <v/>
      </c>
      <c r="F1048" s="26" t="str">
        <f>+_xlfn.XLOOKUP(G1048,Master!$V$2:$V$8,Master!$U$2:$U$8,"")</f>
        <v/>
      </c>
      <c r="I1048" s="4" t="str">
        <f>_xlfn.IFNA(VLOOKUP(D1048,Master!$I:$K,2,FALSE),"")</f>
        <v/>
      </c>
      <c r="J1048" s="4" t="str">
        <f>_xlfn.IFNA(VLOOKUP(D1048,Master!$I:$K,3,FALSE),"")</f>
        <v/>
      </c>
      <c r="L1048" s="27" t="str">
        <f>IF(A1048&lt;&gt;"CFA",_xlfn.IFNA(VLOOKUP($G1048,Master!$V$2:$Z$8,5,0),""),"")</f>
        <v/>
      </c>
      <c r="P1048" s="6" t="str">
        <f t="shared" si="32"/>
        <v/>
      </c>
      <c r="Q1048" s="13">
        <f t="shared" si="33"/>
        <v>0</v>
      </c>
    </row>
    <row r="1049" spans="2:17" ht="15" customHeight="1">
      <c r="B1049" s="5" t="str">
        <f>_xlfn.IFNA(VLOOKUP(C1049,Master!$H:$I,2,FALSE),"")</f>
        <v/>
      </c>
      <c r="D1049" s="5" t="str">
        <f>_xlfn.IFNA(VLOOKUP(E1049,Master!$H:$I,2,FALSE),"")</f>
        <v/>
      </c>
      <c r="F1049" s="26" t="str">
        <f>+_xlfn.XLOOKUP(G1049,Master!$V$2:$V$8,Master!$U$2:$U$8,"")</f>
        <v/>
      </c>
      <c r="I1049" s="4" t="str">
        <f>_xlfn.IFNA(VLOOKUP(D1049,Master!$I:$K,2,FALSE),"")</f>
        <v/>
      </c>
      <c r="J1049" s="4" t="str">
        <f>_xlfn.IFNA(VLOOKUP(D1049,Master!$I:$K,3,FALSE),"")</f>
        <v/>
      </c>
      <c r="L1049" s="27" t="str">
        <f>IF(A1049&lt;&gt;"CFA",_xlfn.IFNA(VLOOKUP($G1049,Master!$V$2:$Z$8,5,0),""),"")</f>
        <v/>
      </c>
      <c r="P1049" s="6" t="str">
        <f t="shared" si="32"/>
        <v/>
      </c>
      <c r="Q1049" s="13">
        <f t="shared" si="33"/>
        <v>0</v>
      </c>
    </row>
    <row r="1050" spans="2:17" ht="15" customHeight="1">
      <c r="B1050" s="5" t="str">
        <f>_xlfn.IFNA(VLOOKUP(C1050,Master!$H:$I,2,FALSE),"")</f>
        <v/>
      </c>
      <c r="D1050" s="5" t="str">
        <f>_xlfn.IFNA(VLOOKUP(E1050,Master!$H:$I,2,FALSE),"")</f>
        <v/>
      </c>
      <c r="F1050" s="26" t="str">
        <f>+_xlfn.XLOOKUP(G1050,Master!$V$2:$V$8,Master!$U$2:$U$8,"")</f>
        <v/>
      </c>
      <c r="I1050" s="4" t="str">
        <f>_xlfn.IFNA(VLOOKUP(D1050,Master!$I:$K,2,FALSE),"")</f>
        <v/>
      </c>
      <c r="J1050" s="4" t="str">
        <f>_xlfn.IFNA(VLOOKUP(D1050,Master!$I:$K,3,FALSE),"")</f>
        <v/>
      </c>
      <c r="L1050" s="27" t="str">
        <f>IF(A1050&lt;&gt;"CFA",_xlfn.IFNA(VLOOKUP($G1050,Master!$V$2:$Z$8,5,0),""),"")</f>
        <v/>
      </c>
      <c r="P1050" s="6" t="str">
        <f t="shared" si="32"/>
        <v/>
      </c>
      <c r="Q1050" s="13">
        <f t="shared" si="33"/>
        <v>0</v>
      </c>
    </row>
    <row r="1051" spans="2:17" ht="15" customHeight="1">
      <c r="B1051" s="5" t="str">
        <f>_xlfn.IFNA(VLOOKUP(C1051,Master!$H:$I,2,FALSE),"")</f>
        <v/>
      </c>
      <c r="D1051" s="5" t="str">
        <f>_xlfn.IFNA(VLOOKUP(E1051,Master!$H:$I,2,FALSE),"")</f>
        <v/>
      </c>
      <c r="F1051" s="26" t="str">
        <f>+_xlfn.XLOOKUP(G1051,Master!$V$2:$V$8,Master!$U$2:$U$8,"")</f>
        <v/>
      </c>
      <c r="I1051" s="4" t="str">
        <f>_xlfn.IFNA(VLOOKUP(D1051,Master!$I:$K,2,FALSE),"")</f>
        <v/>
      </c>
      <c r="J1051" s="4" t="str">
        <f>_xlfn.IFNA(VLOOKUP(D1051,Master!$I:$K,3,FALSE),"")</f>
        <v/>
      </c>
      <c r="L1051" s="27" t="str">
        <f>IF(A1051&lt;&gt;"CFA",_xlfn.IFNA(VLOOKUP($G1051,Master!$V$2:$Z$8,5,0),""),"")</f>
        <v/>
      </c>
      <c r="P1051" s="6" t="str">
        <f t="shared" si="32"/>
        <v/>
      </c>
      <c r="Q1051" s="13">
        <f t="shared" si="33"/>
        <v>0</v>
      </c>
    </row>
    <row r="1052" spans="2:17" ht="15" customHeight="1">
      <c r="B1052" s="5" t="str">
        <f>_xlfn.IFNA(VLOOKUP(C1052,Master!$H:$I,2,FALSE),"")</f>
        <v/>
      </c>
      <c r="D1052" s="5" t="str">
        <f>_xlfn.IFNA(VLOOKUP(E1052,Master!$H:$I,2,FALSE),"")</f>
        <v/>
      </c>
      <c r="F1052" s="26" t="str">
        <f>+_xlfn.XLOOKUP(G1052,Master!$V$2:$V$8,Master!$U$2:$U$8,"")</f>
        <v/>
      </c>
      <c r="I1052" s="4" t="str">
        <f>_xlfn.IFNA(VLOOKUP(D1052,Master!$I:$K,2,FALSE),"")</f>
        <v/>
      </c>
      <c r="J1052" s="4" t="str">
        <f>_xlfn.IFNA(VLOOKUP(D1052,Master!$I:$K,3,FALSE),"")</f>
        <v/>
      </c>
      <c r="L1052" s="27" t="str">
        <f>IF(A1052&lt;&gt;"CFA",_xlfn.IFNA(VLOOKUP($G1052,Master!$V$2:$Z$8,5,0),""),"")</f>
        <v/>
      </c>
      <c r="P1052" s="6" t="str">
        <f t="shared" si="32"/>
        <v/>
      </c>
      <c r="Q1052" s="13">
        <f t="shared" si="33"/>
        <v>0</v>
      </c>
    </row>
    <row r="1053" spans="2:17" ht="15" customHeight="1">
      <c r="B1053" s="5" t="str">
        <f>_xlfn.IFNA(VLOOKUP(C1053,Master!$H:$I,2,FALSE),"")</f>
        <v/>
      </c>
      <c r="D1053" s="5" t="str">
        <f>_xlfn.IFNA(VLOOKUP(E1053,Master!$H:$I,2,FALSE),"")</f>
        <v/>
      </c>
      <c r="F1053" s="26" t="str">
        <f>+_xlfn.XLOOKUP(G1053,Master!$V$2:$V$8,Master!$U$2:$U$8,"")</f>
        <v/>
      </c>
      <c r="I1053" s="4" t="str">
        <f>_xlfn.IFNA(VLOOKUP(D1053,Master!$I:$K,2,FALSE),"")</f>
        <v/>
      </c>
      <c r="J1053" s="4" t="str">
        <f>_xlfn.IFNA(VLOOKUP(D1053,Master!$I:$K,3,FALSE),"")</f>
        <v/>
      </c>
      <c r="L1053" s="27" t="str">
        <f>IF(A1053&lt;&gt;"CFA",_xlfn.IFNA(VLOOKUP($G1053,Master!$V$2:$Z$8,5,0),""),"")</f>
        <v/>
      </c>
      <c r="P1053" s="6" t="str">
        <f t="shared" si="32"/>
        <v/>
      </c>
      <c r="Q1053" s="13">
        <f t="shared" si="33"/>
        <v>0</v>
      </c>
    </row>
    <row r="1054" spans="2:17" ht="15" customHeight="1">
      <c r="B1054" s="5" t="str">
        <f>_xlfn.IFNA(VLOOKUP(C1054,Master!$H:$I,2,FALSE),"")</f>
        <v/>
      </c>
      <c r="D1054" s="5" t="str">
        <f>_xlfn.IFNA(VLOOKUP(E1054,Master!$H:$I,2,FALSE),"")</f>
        <v/>
      </c>
      <c r="F1054" s="26" t="str">
        <f>+_xlfn.XLOOKUP(G1054,Master!$V$2:$V$8,Master!$U$2:$U$8,"")</f>
        <v/>
      </c>
      <c r="I1054" s="4" t="str">
        <f>_xlfn.IFNA(VLOOKUP(D1054,Master!$I:$K,2,FALSE),"")</f>
        <v/>
      </c>
      <c r="J1054" s="4" t="str">
        <f>_xlfn.IFNA(VLOOKUP(D1054,Master!$I:$K,3,FALSE),"")</f>
        <v/>
      </c>
      <c r="L1054" s="27" t="str">
        <f>IF(A1054&lt;&gt;"CFA",_xlfn.IFNA(VLOOKUP($G1054,Master!$V$2:$Z$8,5,0),""),"")</f>
        <v/>
      </c>
      <c r="P1054" s="6" t="str">
        <f t="shared" si="32"/>
        <v/>
      </c>
      <c r="Q1054" s="13">
        <f t="shared" si="33"/>
        <v>0</v>
      </c>
    </row>
    <row r="1055" spans="2:17" ht="15" customHeight="1">
      <c r="B1055" s="5" t="str">
        <f>_xlfn.IFNA(VLOOKUP(C1055,Master!$H:$I,2,FALSE),"")</f>
        <v/>
      </c>
      <c r="D1055" s="5" t="str">
        <f>_xlfn.IFNA(VLOOKUP(E1055,Master!$H:$I,2,FALSE),"")</f>
        <v/>
      </c>
      <c r="F1055" s="26" t="str">
        <f>+_xlfn.XLOOKUP(G1055,Master!$V$2:$V$8,Master!$U$2:$U$8,"")</f>
        <v/>
      </c>
      <c r="I1055" s="4" t="str">
        <f>_xlfn.IFNA(VLOOKUP(D1055,Master!$I:$K,2,FALSE),"")</f>
        <v/>
      </c>
      <c r="J1055" s="4" t="str">
        <f>_xlfn.IFNA(VLOOKUP(D1055,Master!$I:$K,3,FALSE),"")</f>
        <v/>
      </c>
      <c r="L1055" s="27" t="str">
        <f>IF(A1055&lt;&gt;"CFA",_xlfn.IFNA(VLOOKUP($G1055,Master!$V$2:$Z$8,5,0),""),"")</f>
        <v/>
      </c>
      <c r="P1055" s="6" t="str">
        <f t="shared" si="32"/>
        <v/>
      </c>
      <c r="Q1055" s="13">
        <f t="shared" si="33"/>
        <v>0</v>
      </c>
    </row>
    <row r="1056" spans="2:17" ht="15" customHeight="1">
      <c r="B1056" s="5" t="str">
        <f>_xlfn.IFNA(VLOOKUP(C1056,Master!$H:$I,2,FALSE),"")</f>
        <v/>
      </c>
      <c r="D1056" s="5" t="str">
        <f>_xlfn.IFNA(VLOOKUP(E1056,Master!$H:$I,2,FALSE),"")</f>
        <v/>
      </c>
      <c r="F1056" s="26" t="str">
        <f>+_xlfn.XLOOKUP(G1056,Master!$V$2:$V$8,Master!$U$2:$U$8,"")</f>
        <v/>
      </c>
      <c r="I1056" s="4" t="str">
        <f>_xlfn.IFNA(VLOOKUP(D1056,Master!$I:$K,2,FALSE),"")</f>
        <v/>
      </c>
      <c r="J1056" s="4" t="str">
        <f>_xlfn.IFNA(VLOOKUP(D1056,Master!$I:$K,3,FALSE),"")</f>
        <v/>
      </c>
      <c r="L1056" s="27" t="str">
        <f>IF(A1056&lt;&gt;"CFA",_xlfn.IFNA(VLOOKUP($G1056,Master!$V$2:$Z$8,5,0),""),"")</f>
        <v/>
      </c>
      <c r="P1056" s="6" t="str">
        <f t="shared" si="32"/>
        <v/>
      </c>
      <c r="Q1056" s="13">
        <f t="shared" si="33"/>
        <v>0</v>
      </c>
    </row>
    <row r="1057" spans="2:17" ht="15" customHeight="1">
      <c r="B1057" s="5" t="str">
        <f>_xlfn.IFNA(VLOOKUP(C1057,Master!$H:$I,2,FALSE),"")</f>
        <v/>
      </c>
      <c r="D1057" s="5" t="str">
        <f>_xlfn.IFNA(VLOOKUP(E1057,Master!$H:$I,2,FALSE),"")</f>
        <v/>
      </c>
      <c r="F1057" s="26" t="str">
        <f>+_xlfn.XLOOKUP(G1057,Master!$V$2:$V$8,Master!$U$2:$U$8,"")</f>
        <v/>
      </c>
      <c r="I1057" s="4" t="str">
        <f>_xlfn.IFNA(VLOOKUP(D1057,Master!$I:$K,2,FALSE),"")</f>
        <v/>
      </c>
      <c r="J1057" s="4" t="str">
        <f>_xlfn.IFNA(VLOOKUP(D1057,Master!$I:$K,3,FALSE),"")</f>
        <v/>
      </c>
      <c r="L1057" s="27" t="str">
        <f>IF(A1057&lt;&gt;"CFA",_xlfn.IFNA(VLOOKUP($G1057,Master!$V$2:$Z$8,5,0),""),"")</f>
        <v/>
      </c>
      <c r="P1057" s="6" t="str">
        <f t="shared" si="32"/>
        <v/>
      </c>
      <c r="Q1057" s="13">
        <f t="shared" si="33"/>
        <v>0</v>
      </c>
    </row>
    <row r="1058" spans="2:17" ht="15" customHeight="1">
      <c r="B1058" s="5" t="str">
        <f>_xlfn.IFNA(VLOOKUP(C1058,Master!$H:$I,2,FALSE),"")</f>
        <v/>
      </c>
      <c r="D1058" s="5" t="str">
        <f>_xlfn.IFNA(VLOOKUP(E1058,Master!$H:$I,2,FALSE),"")</f>
        <v/>
      </c>
      <c r="F1058" s="26" t="str">
        <f>+_xlfn.XLOOKUP(G1058,Master!$V$2:$V$8,Master!$U$2:$U$8,"")</f>
        <v/>
      </c>
      <c r="I1058" s="4" t="str">
        <f>_xlfn.IFNA(VLOOKUP(D1058,Master!$I:$K,2,FALSE),"")</f>
        <v/>
      </c>
      <c r="J1058" s="4" t="str">
        <f>_xlfn.IFNA(VLOOKUP(D1058,Master!$I:$K,3,FALSE),"")</f>
        <v/>
      </c>
      <c r="L1058" s="27" t="str">
        <f>IF(A1058&lt;&gt;"CFA",_xlfn.IFNA(VLOOKUP($G1058,Master!$V$2:$Z$8,5,0),""),"")</f>
        <v/>
      </c>
      <c r="P1058" s="6" t="str">
        <f t="shared" si="32"/>
        <v/>
      </c>
      <c r="Q1058" s="13">
        <f t="shared" si="33"/>
        <v>0</v>
      </c>
    </row>
    <row r="1059" spans="2:17" ht="15" customHeight="1">
      <c r="B1059" s="5" t="str">
        <f>_xlfn.IFNA(VLOOKUP(C1059,Master!$H:$I,2,FALSE),"")</f>
        <v/>
      </c>
      <c r="D1059" s="5" t="str">
        <f>_xlfn.IFNA(VLOOKUP(E1059,Master!$H:$I,2,FALSE),"")</f>
        <v/>
      </c>
      <c r="F1059" s="26" t="str">
        <f>+_xlfn.XLOOKUP(G1059,Master!$V$2:$V$8,Master!$U$2:$U$8,"")</f>
        <v/>
      </c>
      <c r="I1059" s="4" t="str">
        <f>_xlfn.IFNA(VLOOKUP(D1059,Master!$I:$K,2,FALSE),"")</f>
        <v/>
      </c>
      <c r="J1059" s="4" t="str">
        <f>_xlfn.IFNA(VLOOKUP(D1059,Master!$I:$K,3,FALSE),"")</f>
        <v/>
      </c>
      <c r="L1059" s="27" t="str">
        <f>IF(A1059&lt;&gt;"CFA",_xlfn.IFNA(VLOOKUP($G1059,Master!$V$2:$Z$8,5,0),""),"")</f>
        <v/>
      </c>
      <c r="P1059" s="6" t="str">
        <f t="shared" si="32"/>
        <v/>
      </c>
      <c r="Q1059" s="13">
        <f t="shared" si="33"/>
        <v>0</v>
      </c>
    </row>
    <row r="1060" spans="2:17" ht="15" customHeight="1">
      <c r="B1060" s="5" t="str">
        <f>_xlfn.IFNA(VLOOKUP(C1060,Master!$H:$I,2,FALSE),"")</f>
        <v/>
      </c>
      <c r="D1060" s="5" t="str">
        <f>_xlfn.IFNA(VLOOKUP(E1060,Master!$H:$I,2,FALSE),"")</f>
        <v/>
      </c>
      <c r="F1060" s="26" t="str">
        <f>+_xlfn.XLOOKUP(G1060,Master!$V$2:$V$8,Master!$U$2:$U$8,"")</f>
        <v/>
      </c>
      <c r="I1060" s="4" t="str">
        <f>_xlfn.IFNA(VLOOKUP(D1060,Master!$I:$K,2,FALSE),"")</f>
        <v/>
      </c>
      <c r="J1060" s="4" t="str">
        <f>_xlfn.IFNA(VLOOKUP(D1060,Master!$I:$K,3,FALSE),"")</f>
        <v/>
      </c>
      <c r="L1060" s="27" t="str">
        <f>IF(A1060&lt;&gt;"CFA",_xlfn.IFNA(VLOOKUP($G1060,Master!$V$2:$Z$8,5,0),""),"")</f>
        <v/>
      </c>
      <c r="P1060" s="6" t="str">
        <f t="shared" si="32"/>
        <v/>
      </c>
      <c r="Q1060" s="13">
        <f t="shared" si="33"/>
        <v>0</v>
      </c>
    </row>
    <row r="1061" spans="2:17" ht="15" customHeight="1">
      <c r="B1061" s="5" t="str">
        <f>_xlfn.IFNA(VLOOKUP(C1061,Master!$H:$I,2,FALSE),"")</f>
        <v/>
      </c>
      <c r="D1061" s="5" t="str">
        <f>_xlfn.IFNA(VLOOKUP(E1061,Master!$H:$I,2,FALSE),"")</f>
        <v/>
      </c>
      <c r="F1061" s="26" t="str">
        <f>+_xlfn.XLOOKUP(G1061,Master!$V$2:$V$8,Master!$U$2:$U$8,"")</f>
        <v/>
      </c>
      <c r="I1061" s="4" t="str">
        <f>_xlfn.IFNA(VLOOKUP(D1061,Master!$I:$K,2,FALSE),"")</f>
        <v/>
      </c>
      <c r="J1061" s="4" t="str">
        <f>_xlfn.IFNA(VLOOKUP(D1061,Master!$I:$K,3,FALSE),"")</f>
        <v/>
      </c>
      <c r="L1061" s="27" t="str">
        <f>IF(A1061&lt;&gt;"CFA",_xlfn.IFNA(VLOOKUP($G1061,Master!$V$2:$Z$8,5,0),""),"")</f>
        <v/>
      </c>
      <c r="P1061" s="6" t="str">
        <f t="shared" si="32"/>
        <v/>
      </c>
      <c r="Q1061" s="13">
        <f t="shared" si="33"/>
        <v>0</v>
      </c>
    </row>
    <row r="1062" spans="2:17" ht="15" customHeight="1">
      <c r="B1062" s="5" t="str">
        <f>_xlfn.IFNA(VLOOKUP(C1062,Master!$H:$I,2,FALSE),"")</f>
        <v/>
      </c>
      <c r="D1062" s="5" t="str">
        <f>_xlfn.IFNA(VLOOKUP(E1062,Master!$H:$I,2,FALSE),"")</f>
        <v/>
      </c>
      <c r="F1062" s="26" t="str">
        <f>+_xlfn.XLOOKUP(G1062,Master!$V$2:$V$8,Master!$U$2:$U$8,"")</f>
        <v/>
      </c>
      <c r="I1062" s="4" t="str">
        <f>_xlfn.IFNA(VLOOKUP(D1062,Master!$I:$K,2,FALSE),"")</f>
        <v/>
      </c>
      <c r="J1062" s="4" t="str">
        <f>_xlfn.IFNA(VLOOKUP(D1062,Master!$I:$K,3,FALSE),"")</f>
        <v/>
      </c>
      <c r="L1062" s="27" t="str">
        <f>IF(A1062&lt;&gt;"CFA",_xlfn.IFNA(VLOOKUP($G1062,Master!$V$2:$Z$8,5,0),""),"")</f>
        <v/>
      </c>
      <c r="P1062" s="6" t="str">
        <f t="shared" si="32"/>
        <v/>
      </c>
      <c r="Q1062" s="13">
        <f t="shared" si="33"/>
        <v>0</v>
      </c>
    </row>
    <row r="1063" spans="2:17" ht="15" customHeight="1">
      <c r="B1063" s="5" t="str">
        <f>_xlfn.IFNA(VLOOKUP(C1063,Master!$H:$I,2,FALSE),"")</f>
        <v/>
      </c>
      <c r="D1063" s="5" t="str">
        <f>_xlfn.IFNA(VLOOKUP(E1063,Master!$H:$I,2,FALSE),"")</f>
        <v/>
      </c>
      <c r="F1063" s="26" t="str">
        <f>+_xlfn.XLOOKUP(G1063,Master!$V$2:$V$8,Master!$U$2:$U$8,"")</f>
        <v/>
      </c>
      <c r="I1063" s="4" t="str">
        <f>_xlfn.IFNA(VLOOKUP(D1063,Master!$I:$K,2,FALSE),"")</f>
        <v/>
      </c>
      <c r="J1063" s="4" t="str">
        <f>_xlfn.IFNA(VLOOKUP(D1063,Master!$I:$K,3,FALSE),"")</f>
        <v/>
      </c>
      <c r="L1063" s="27" t="str">
        <f>IF(A1063&lt;&gt;"CFA",_xlfn.IFNA(VLOOKUP($G1063,Master!$V$2:$Z$8,5,0),""),"")</f>
        <v/>
      </c>
      <c r="P1063" s="6" t="str">
        <f t="shared" si="32"/>
        <v/>
      </c>
      <c r="Q1063" s="13">
        <f t="shared" si="33"/>
        <v>0</v>
      </c>
    </row>
    <row r="1064" spans="2:17" ht="15" customHeight="1">
      <c r="B1064" s="5" t="str">
        <f>_xlfn.IFNA(VLOOKUP(C1064,Master!$H:$I,2,FALSE),"")</f>
        <v/>
      </c>
      <c r="D1064" s="5" t="str">
        <f>_xlfn.IFNA(VLOOKUP(E1064,Master!$H:$I,2,FALSE),"")</f>
        <v/>
      </c>
      <c r="F1064" s="26" t="str">
        <f>+_xlfn.XLOOKUP(G1064,Master!$V$2:$V$8,Master!$U$2:$U$8,"")</f>
        <v/>
      </c>
      <c r="I1064" s="4" t="str">
        <f>_xlfn.IFNA(VLOOKUP(D1064,Master!$I:$K,2,FALSE),"")</f>
        <v/>
      </c>
      <c r="J1064" s="4" t="str">
        <f>_xlfn.IFNA(VLOOKUP(D1064,Master!$I:$K,3,FALSE),"")</f>
        <v/>
      </c>
      <c r="L1064" s="27" t="str">
        <f>IF(A1064&lt;&gt;"CFA",_xlfn.IFNA(VLOOKUP($G1064,Master!$V$2:$Z$8,5,0),""),"")</f>
        <v/>
      </c>
      <c r="P1064" s="6" t="str">
        <f t="shared" si="32"/>
        <v/>
      </c>
      <c r="Q1064" s="13">
        <f t="shared" si="33"/>
        <v>0</v>
      </c>
    </row>
    <row r="1065" spans="2:17" ht="15" customHeight="1">
      <c r="B1065" s="5" t="str">
        <f>_xlfn.IFNA(VLOOKUP(C1065,Master!$H:$I,2,FALSE),"")</f>
        <v/>
      </c>
      <c r="D1065" s="5" t="str">
        <f>_xlfn.IFNA(VLOOKUP(E1065,Master!$H:$I,2,FALSE),"")</f>
        <v/>
      </c>
      <c r="F1065" s="26" t="str">
        <f>+_xlfn.XLOOKUP(G1065,Master!$V$2:$V$8,Master!$U$2:$U$8,"")</f>
        <v/>
      </c>
      <c r="I1065" s="4" t="str">
        <f>_xlfn.IFNA(VLOOKUP(D1065,Master!$I:$K,2,FALSE),"")</f>
        <v/>
      </c>
      <c r="J1065" s="4" t="str">
        <f>_xlfn.IFNA(VLOOKUP(D1065,Master!$I:$K,3,FALSE),"")</f>
        <v/>
      </c>
      <c r="L1065" s="27" t="str">
        <f>IF(A1065&lt;&gt;"CFA",_xlfn.IFNA(VLOOKUP($G1065,Master!$V$2:$Z$8,5,0),""),"")</f>
        <v/>
      </c>
      <c r="P1065" s="6" t="str">
        <f t="shared" si="32"/>
        <v/>
      </c>
      <c r="Q1065" s="13">
        <f t="shared" si="33"/>
        <v>0</v>
      </c>
    </row>
    <row r="1066" spans="2:17" ht="15" customHeight="1">
      <c r="B1066" s="5" t="str">
        <f>_xlfn.IFNA(VLOOKUP(C1066,Master!$H:$I,2,FALSE),"")</f>
        <v/>
      </c>
      <c r="D1066" s="5" t="str">
        <f>_xlfn.IFNA(VLOOKUP(E1066,Master!$H:$I,2,FALSE),"")</f>
        <v/>
      </c>
      <c r="F1066" s="26" t="str">
        <f>+_xlfn.XLOOKUP(G1066,Master!$V$2:$V$8,Master!$U$2:$U$8,"")</f>
        <v/>
      </c>
      <c r="I1066" s="4" t="str">
        <f>_xlfn.IFNA(VLOOKUP(D1066,Master!$I:$K,2,FALSE),"")</f>
        <v/>
      </c>
      <c r="J1066" s="4" t="str">
        <f>_xlfn.IFNA(VLOOKUP(D1066,Master!$I:$K,3,FALSE),"")</f>
        <v/>
      </c>
      <c r="L1066" s="27" t="str">
        <f>IF(A1066&lt;&gt;"CFA",_xlfn.IFNA(VLOOKUP($G1066,Master!$V$2:$Z$8,5,0),""),"")</f>
        <v/>
      </c>
      <c r="P1066" s="6" t="str">
        <f t="shared" si="32"/>
        <v/>
      </c>
      <c r="Q1066" s="13">
        <f t="shared" si="33"/>
        <v>0</v>
      </c>
    </row>
    <row r="1067" spans="2:17" ht="15" customHeight="1">
      <c r="B1067" s="5" t="str">
        <f>_xlfn.IFNA(VLOOKUP(C1067,Master!$H:$I,2,FALSE),"")</f>
        <v/>
      </c>
      <c r="D1067" s="5" t="str">
        <f>_xlfn.IFNA(VLOOKUP(E1067,Master!$H:$I,2,FALSE),"")</f>
        <v/>
      </c>
      <c r="F1067" s="26" t="str">
        <f>+_xlfn.XLOOKUP(G1067,Master!$V$2:$V$8,Master!$U$2:$U$8,"")</f>
        <v/>
      </c>
      <c r="I1067" s="4" t="str">
        <f>_xlfn.IFNA(VLOOKUP(D1067,Master!$I:$K,2,FALSE),"")</f>
        <v/>
      </c>
      <c r="J1067" s="4" t="str">
        <f>_xlfn.IFNA(VLOOKUP(D1067,Master!$I:$K,3,FALSE),"")</f>
        <v/>
      </c>
      <c r="L1067" s="27" t="str">
        <f>IF(A1067&lt;&gt;"CFA",_xlfn.IFNA(VLOOKUP($G1067,Master!$V$2:$Z$8,5,0),""),"")</f>
        <v/>
      </c>
      <c r="P1067" s="6" t="str">
        <f t="shared" si="32"/>
        <v/>
      </c>
      <c r="Q1067" s="13">
        <f t="shared" si="33"/>
        <v>0</v>
      </c>
    </row>
    <row r="1068" spans="2:17" ht="15" customHeight="1">
      <c r="B1068" s="5" t="str">
        <f>_xlfn.IFNA(VLOOKUP(C1068,Master!$H:$I,2,FALSE),"")</f>
        <v/>
      </c>
      <c r="D1068" s="5" t="str">
        <f>_xlfn.IFNA(VLOOKUP(E1068,Master!$H:$I,2,FALSE),"")</f>
        <v/>
      </c>
      <c r="F1068" s="26" t="str">
        <f>+_xlfn.XLOOKUP(G1068,Master!$V$2:$V$8,Master!$U$2:$U$8,"")</f>
        <v/>
      </c>
      <c r="I1068" s="4" t="str">
        <f>_xlfn.IFNA(VLOOKUP(D1068,Master!$I:$K,2,FALSE),"")</f>
        <v/>
      </c>
      <c r="J1068" s="4" t="str">
        <f>_xlfn.IFNA(VLOOKUP(D1068,Master!$I:$K,3,FALSE),"")</f>
        <v/>
      </c>
      <c r="L1068" s="27" t="str">
        <f>IF(A1068&lt;&gt;"CFA",_xlfn.IFNA(VLOOKUP($G1068,Master!$V$2:$Z$8,5,0),""),"")</f>
        <v/>
      </c>
      <c r="P1068" s="6" t="str">
        <f t="shared" si="32"/>
        <v/>
      </c>
      <c r="Q1068" s="13">
        <f t="shared" si="33"/>
        <v>0</v>
      </c>
    </row>
    <row r="1069" spans="2:17" ht="15" customHeight="1">
      <c r="B1069" s="5" t="str">
        <f>_xlfn.IFNA(VLOOKUP(C1069,Master!$H:$I,2,FALSE),"")</f>
        <v/>
      </c>
      <c r="D1069" s="5" t="str">
        <f>_xlfn.IFNA(VLOOKUP(E1069,Master!$H:$I,2,FALSE),"")</f>
        <v/>
      </c>
      <c r="F1069" s="26" t="str">
        <f>+_xlfn.XLOOKUP(G1069,Master!$V$2:$V$8,Master!$U$2:$U$8,"")</f>
        <v/>
      </c>
      <c r="I1069" s="4" t="str">
        <f>_xlfn.IFNA(VLOOKUP(D1069,Master!$I:$K,2,FALSE),"")</f>
        <v/>
      </c>
      <c r="J1069" s="4" t="str">
        <f>_xlfn.IFNA(VLOOKUP(D1069,Master!$I:$K,3,FALSE),"")</f>
        <v/>
      </c>
      <c r="L1069" s="27" t="str">
        <f>IF(A1069&lt;&gt;"CFA",_xlfn.IFNA(VLOOKUP($G1069,Master!$V$2:$Z$8,5,0),""),"")</f>
        <v/>
      </c>
      <c r="P1069" s="6" t="str">
        <f t="shared" si="32"/>
        <v/>
      </c>
      <c r="Q1069" s="13">
        <f t="shared" si="33"/>
        <v>0</v>
      </c>
    </row>
    <row r="1070" spans="2:17" ht="15" customHeight="1">
      <c r="B1070" s="5" t="str">
        <f>_xlfn.IFNA(VLOOKUP(C1070,Master!$H:$I,2,FALSE),"")</f>
        <v/>
      </c>
      <c r="D1070" s="5" t="str">
        <f>_xlfn.IFNA(VLOOKUP(E1070,Master!$H:$I,2,FALSE),"")</f>
        <v/>
      </c>
      <c r="F1070" s="26" t="str">
        <f>+_xlfn.XLOOKUP(G1070,Master!$V$2:$V$8,Master!$U$2:$U$8,"")</f>
        <v/>
      </c>
      <c r="I1070" s="4" t="str">
        <f>_xlfn.IFNA(VLOOKUP(D1070,Master!$I:$K,2,FALSE),"")</f>
        <v/>
      </c>
      <c r="J1070" s="4" t="str">
        <f>_xlfn.IFNA(VLOOKUP(D1070,Master!$I:$K,3,FALSE),"")</f>
        <v/>
      </c>
      <c r="L1070" s="27" t="str">
        <f>IF(A1070&lt;&gt;"CFA",_xlfn.IFNA(VLOOKUP($G1070,Master!$V$2:$Z$8,5,0),""),"")</f>
        <v/>
      </c>
      <c r="P1070" s="6" t="str">
        <f t="shared" si="32"/>
        <v/>
      </c>
      <c r="Q1070" s="13">
        <f t="shared" si="33"/>
        <v>0</v>
      </c>
    </row>
    <row r="1071" spans="2:17" ht="15" customHeight="1">
      <c r="B1071" s="5" t="str">
        <f>_xlfn.IFNA(VLOOKUP(C1071,Master!$H:$I,2,FALSE),"")</f>
        <v/>
      </c>
      <c r="D1071" s="5" t="str">
        <f>_xlfn.IFNA(VLOOKUP(E1071,Master!$H:$I,2,FALSE),"")</f>
        <v/>
      </c>
      <c r="F1071" s="26" t="str">
        <f>+_xlfn.XLOOKUP(G1071,Master!$V$2:$V$8,Master!$U$2:$U$8,"")</f>
        <v/>
      </c>
      <c r="I1071" s="4" t="str">
        <f>_xlfn.IFNA(VLOOKUP(D1071,Master!$I:$K,2,FALSE),"")</f>
        <v/>
      </c>
      <c r="J1071" s="4" t="str">
        <f>_xlfn.IFNA(VLOOKUP(D1071,Master!$I:$K,3,FALSE),"")</f>
        <v/>
      </c>
      <c r="L1071" s="27" t="str">
        <f>IF(A1071&lt;&gt;"CFA",_xlfn.IFNA(VLOOKUP($G1071,Master!$V$2:$Z$8,5,0),""),"")</f>
        <v/>
      </c>
      <c r="P1071" s="6" t="str">
        <f t="shared" si="32"/>
        <v/>
      </c>
      <c r="Q1071" s="13">
        <f t="shared" si="33"/>
        <v>0</v>
      </c>
    </row>
    <row r="1072" spans="2:17" ht="15" customHeight="1">
      <c r="B1072" s="5" t="str">
        <f>_xlfn.IFNA(VLOOKUP(C1072,Master!$H:$I,2,FALSE),"")</f>
        <v/>
      </c>
      <c r="D1072" s="5" t="str">
        <f>_xlfn.IFNA(VLOOKUP(E1072,Master!$H:$I,2,FALSE),"")</f>
        <v/>
      </c>
      <c r="F1072" s="26" t="str">
        <f>+_xlfn.XLOOKUP(G1072,Master!$V$2:$V$8,Master!$U$2:$U$8,"")</f>
        <v/>
      </c>
      <c r="I1072" s="4" t="str">
        <f>_xlfn.IFNA(VLOOKUP(D1072,Master!$I:$K,2,FALSE),"")</f>
        <v/>
      </c>
      <c r="J1072" s="4" t="str">
        <f>_xlfn.IFNA(VLOOKUP(D1072,Master!$I:$K,3,FALSE),"")</f>
        <v/>
      </c>
      <c r="L1072" s="27" t="str">
        <f>IF(A1072&lt;&gt;"CFA",_xlfn.IFNA(VLOOKUP($G1072,Master!$V$2:$Z$8,5,0),""),"")</f>
        <v/>
      </c>
      <c r="P1072" s="6" t="str">
        <f t="shared" si="32"/>
        <v/>
      </c>
      <c r="Q1072" s="13">
        <f t="shared" si="33"/>
        <v>0</v>
      </c>
    </row>
    <row r="1073" spans="2:17" ht="15" customHeight="1">
      <c r="B1073" s="5" t="str">
        <f>_xlfn.IFNA(VLOOKUP(C1073,Master!$H:$I,2,FALSE),"")</f>
        <v/>
      </c>
      <c r="D1073" s="5" t="str">
        <f>_xlfn.IFNA(VLOOKUP(E1073,Master!$H:$I,2,FALSE),"")</f>
        <v/>
      </c>
      <c r="F1073" s="26" t="str">
        <f>+_xlfn.XLOOKUP(G1073,Master!$V$2:$V$8,Master!$U$2:$U$8,"")</f>
        <v/>
      </c>
      <c r="I1073" s="4" t="str">
        <f>_xlfn.IFNA(VLOOKUP(D1073,Master!$I:$K,2,FALSE),"")</f>
        <v/>
      </c>
      <c r="J1073" s="4" t="str">
        <f>_xlfn.IFNA(VLOOKUP(D1073,Master!$I:$K,3,FALSE),"")</f>
        <v/>
      </c>
      <c r="L1073" s="27" t="str">
        <f>IF(A1073&lt;&gt;"CFA",_xlfn.IFNA(VLOOKUP($G1073,Master!$V$2:$Z$8,5,0),""),"")</f>
        <v/>
      </c>
      <c r="P1073" s="6" t="str">
        <f t="shared" si="32"/>
        <v/>
      </c>
      <c r="Q1073" s="13">
        <f t="shared" si="33"/>
        <v>0</v>
      </c>
    </row>
    <row r="1074" spans="2:17" ht="15" customHeight="1">
      <c r="B1074" s="5" t="str">
        <f>_xlfn.IFNA(VLOOKUP(C1074,Master!$H:$I,2,FALSE),"")</f>
        <v/>
      </c>
      <c r="D1074" s="5" t="str">
        <f>_xlfn.IFNA(VLOOKUP(E1074,Master!$H:$I,2,FALSE),"")</f>
        <v/>
      </c>
      <c r="F1074" s="26" t="str">
        <f>+_xlfn.XLOOKUP(G1074,Master!$V$2:$V$8,Master!$U$2:$U$8,"")</f>
        <v/>
      </c>
      <c r="I1074" s="4" t="str">
        <f>_xlfn.IFNA(VLOOKUP(D1074,Master!$I:$K,2,FALSE),"")</f>
        <v/>
      </c>
      <c r="J1074" s="4" t="str">
        <f>_xlfn.IFNA(VLOOKUP(D1074,Master!$I:$K,3,FALSE),"")</f>
        <v/>
      </c>
      <c r="L1074" s="27" t="str">
        <f>IF(A1074&lt;&gt;"CFA",_xlfn.IFNA(VLOOKUP($G1074,Master!$V$2:$Z$8,5,0),""),"")</f>
        <v/>
      </c>
      <c r="P1074" s="6" t="str">
        <f t="shared" si="32"/>
        <v/>
      </c>
      <c r="Q1074" s="13">
        <f t="shared" si="33"/>
        <v>0</v>
      </c>
    </row>
    <row r="1075" spans="2:17" ht="15" customHeight="1">
      <c r="B1075" s="5" t="str">
        <f>_xlfn.IFNA(VLOOKUP(C1075,Master!$H:$I,2,FALSE),"")</f>
        <v/>
      </c>
      <c r="D1075" s="5" t="str">
        <f>_xlfn.IFNA(VLOOKUP(E1075,Master!$H:$I,2,FALSE),"")</f>
        <v/>
      </c>
      <c r="F1075" s="26" t="str">
        <f>+_xlfn.XLOOKUP(G1075,Master!$V$2:$V$8,Master!$U$2:$U$8,"")</f>
        <v/>
      </c>
      <c r="I1075" s="4" t="str">
        <f>_xlfn.IFNA(VLOOKUP(D1075,Master!$I:$K,2,FALSE),"")</f>
        <v/>
      </c>
      <c r="J1075" s="4" t="str">
        <f>_xlfn.IFNA(VLOOKUP(D1075,Master!$I:$K,3,FALSE),"")</f>
        <v/>
      </c>
      <c r="L1075" s="27" t="str">
        <f>IF(A1075&lt;&gt;"CFA",_xlfn.IFNA(VLOOKUP($G1075,Master!$V$2:$Z$8,5,0),""),"")</f>
        <v/>
      </c>
      <c r="P1075" s="6" t="str">
        <f t="shared" si="32"/>
        <v/>
      </c>
      <c r="Q1075" s="13">
        <f t="shared" si="33"/>
        <v>0</v>
      </c>
    </row>
    <row r="1076" spans="2:17" ht="15" customHeight="1">
      <c r="B1076" s="5" t="str">
        <f>_xlfn.IFNA(VLOOKUP(C1076,Master!$H:$I,2,FALSE),"")</f>
        <v/>
      </c>
      <c r="D1076" s="5" t="str">
        <f>_xlfn.IFNA(VLOOKUP(E1076,Master!$H:$I,2,FALSE),"")</f>
        <v/>
      </c>
      <c r="F1076" s="26" t="str">
        <f>+_xlfn.XLOOKUP(G1076,Master!$V$2:$V$8,Master!$U$2:$U$8,"")</f>
        <v/>
      </c>
      <c r="I1076" s="4" t="str">
        <f>_xlfn.IFNA(VLOOKUP(D1076,Master!$I:$K,2,FALSE),"")</f>
        <v/>
      </c>
      <c r="J1076" s="4" t="str">
        <f>_xlfn.IFNA(VLOOKUP(D1076,Master!$I:$K,3,FALSE),"")</f>
        <v/>
      </c>
      <c r="L1076" s="27" t="str">
        <f>IF(A1076&lt;&gt;"CFA",_xlfn.IFNA(VLOOKUP($G1076,Master!$V$2:$Z$8,5,0),""),"")</f>
        <v/>
      </c>
      <c r="P1076" s="6" t="str">
        <f t="shared" si="32"/>
        <v/>
      </c>
      <c r="Q1076" s="13">
        <f t="shared" si="33"/>
        <v>0</v>
      </c>
    </row>
    <row r="1077" spans="2:17" ht="15" customHeight="1">
      <c r="B1077" s="5" t="str">
        <f>_xlfn.IFNA(VLOOKUP(C1077,Master!$H:$I,2,FALSE),"")</f>
        <v/>
      </c>
      <c r="D1077" s="5" t="str">
        <f>_xlfn.IFNA(VLOOKUP(E1077,Master!$H:$I,2,FALSE),"")</f>
        <v/>
      </c>
      <c r="F1077" s="26" t="str">
        <f>+_xlfn.XLOOKUP(G1077,Master!$V$2:$V$8,Master!$U$2:$U$8,"")</f>
        <v/>
      </c>
      <c r="I1077" s="4" t="str">
        <f>_xlfn.IFNA(VLOOKUP(D1077,Master!$I:$K,2,FALSE),"")</f>
        <v/>
      </c>
      <c r="J1077" s="4" t="str">
        <f>_xlfn.IFNA(VLOOKUP(D1077,Master!$I:$K,3,FALSE),"")</f>
        <v/>
      </c>
      <c r="L1077" s="27" t="str">
        <f>IF(A1077&lt;&gt;"CFA",_xlfn.IFNA(VLOOKUP($G1077,Master!$V$2:$Z$8,5,0),""),"")</f>
        <v/>
      </c>
      <c r="P1077" s="6" t="str">
        <f t="shared" si="32"/>
        <v/>
      </c>
      <c r="Q1077" s="13">
        <f t="shared" si="33"/>
        <v>0</v>
      </c>
    </row>
    <row r="1078" spans="2:17" ht="15" customHeight="1">
      <c r="B1078" s="5" t="str">
        <f>_xlfn.IFNA(VLOOKUP(C1078,Master!$H:$I,2,FALSE),"")</f>
        <v/>
      </c>
      <c r="D1078" s="5" t="str">
        <f>_xlfn.IFNA(VLOOKUP(E1078,Master!$H:$I,2,FALSE),"")</f>
        <v/>
      </c>
      <c r="F1078" s="26" t="str">
        <f>+_xlfn.XLOOKUP(G1078,Master!$V$2:$V$8,Master!$U$2:$U$8,"")</f>
        <v/>
      </c>
      <c r="I1078" s="4" t="str">
        <f>_xlfn.IFNA(VLOOKUP(D1078,Master!$I:$K,2,FALSE),"")</f>
        <v/>
      </c>
      <c r="J1078" s="4" t="str">
        <f>_xlfn.IFNA(VLOOKUP(D1078,Master!$I:$K,3,FALSE),"")</f>
        <v/>
      </c>
      <c r="L1078" s="27" t="str">
        <f>IF(A1078&lt;&gt;"CFA",_xlfn.IFNA(VLOOKUP($G1078,Master!$V$2:$Z$8,5,0),""),"")</f>
        <v/>
      </c>
      <c r="P1078" s="6" t="str">
        <f t="shared" si="32"/>
        <v/>
      </c>
      <c r="Q1078" s="13">
        <f t="shared" si="33"/>
        <v>0</v>
      </c>
    </row>
    <row r="1079" spans="2:17" ht="15" customHeight="1">
      <c r="B1079" s="5" t="str">
        <f>_xlfn.IFNA(VLOOKUP(C1079,Master!$H:$I,2,FALSE),"")</f>
        <v/>
      </c>
      <c r="D1079" s="5" t="str">
        <f>_xlfn.IFNA(VLOOKUP(E1079,Master!$H:$I,2,FALSE),"")</f>
        <v/>
      </c>
      <c r="F1079" s="26" t="str">
        <f>+_xlfn.XLOOKUP(G1079,Master!$V$2:$V$8,Master!$U$2:$U$8,"")</f>
        <v/>
      </c>
      <c r="I1079" s="4" t="str">
        <f>_xlfn.IFNA(VLOOKUP(D1079,Master!$I:$K,2,FALSE),"")</f>
        <v/>
      </c>
      <c r="J1079" s="4" t="str">
        <f>_xlfn.IFNA(VLOOKUP(D1079,Master!$I:$K,3,FALSE),"")</f>
        <v/>
      </c>
      <c r="L1079" s="27" t="str">
        <f>IF(A1079&lt;&gt;"CFA",_xlfn.IFNA(VLOOKUP($G1079,Master!$V$2:$Z$8,5,0),""),"")</f>
        <v/>
      </c>
      <c r="P1079" s="6" t="str">
        <f t="shared" ref="P1079:P1142" si="34">IF(N1079&lt;&gt;"",IF(MONTH(N1079)&gt;=4,"FY1"&amp;RIGHT(YEAR(N1079)+1,2),"FY1"&amp;RIGHT(YEAR(N1079),2)),"")</f>
        <v/>
      </c>
      <c r="Q1079" s="13">
        <f t="shared" ref="Q1079:Q1142" si="35">IF(K1079&gt;0&amp;M1079&gt;0,K1079*M1079,"")</f>
        <v>0</v>
      </c>
    </row>
    <row r="1080" spans="2:17" ht="15" customHeight="1">
      <c r="B1080" s="5" t="str">
        <f>_xlfn.IFNA(VLOOKUP(C1080,Master!$H:$I,2,FALSE),"")</f>
        <v/>
      </c>
      <c r="D1080" s="5" t="str">
        <f>_xlfn.IFNA(VLOOKUP(E1080,Master!$H:$I,2,FALSE),"")</f>
        <v/>
      </c>
      <c r="F1080" s="26" t="str">
        <f>+_xlfn.XLOOKUP(G1080,Master!$V$2:$V$8,Master!$U$2:$U$8,"")</f>
        <v/>
      </c>
      <c r="I1080" s="4" t="str">
        <f>_xlfn.IFNA(VLOOKUP(D1080,Master!$I:$K,2,FALSE),"")</f>
        <v/>
      </c>
      <c r="J1080" s="4" t="str">
        <f>_xlfn.IFNA(VLOOKUP(D1080,Master!$I:$K,3,FALSE),"")</f>
        <v/>
      </c>
      <c r="L1080" s="27" t="str">
        <f>IF(A1080&lt;&gt;"CFA",_xlfn.IFNA(VLOOKUP($G1080,Master!$V$2:$Z$8,5,0),""),"")</f>
        <v/>
      </c>
      <c r="P1080" s="6" t="str">
        <f t="shared" si="34"/>
        <v/>
      </c>
      <c r="Q1080" s="13">
        <f t="shared" si="35"/>
        <v>0</v>
      </c>
    </row>
    <row r="1081" spans="2:17" ht="15" customHeight="1">
      <c r="B1081" s="5" t="str">
        <f>_xlfn.IFNA(VLOOKUP(C1081,Master!$H:$I,2,FALSE),"")</f>
        <v/>
      </c>
      <c r="D1081" s="5" t="str">
        <f>_xlfn.IFNA(VLOOKUP(E1081,Master!$H:$I,2,FALSE),"")</f>
        <v/>
      </c>
      <c r="F1081" s="26" t="str">
        <f>+_xlfn.XLOOKUP(G1081,Master!$V$2:$V$8,Master!$U$2:$U$8,"")</f>
        <v/>
      </c>
      <c r="I1081" s="4" t="str">
        <f>_xlfn.IFNA(VLOOKUP(D1081,Master!$I:$K,2,FALSE),"")</f>
        <v/>
      </c>
      <c r="J1081" s="4" t="str">
        <f>_xlfn.IFNA(VLOOKUP(D1081,Master!$I:$K,3,FALSE),"")</f>
        <v/>
      </c>
      <c r="L1081" s="27" t="str">
        <f>IF(A1081&lt;&gt;"CFA",_xlfn.IFNA(VLOOKUP($G1081,Master!$V$2:$Z$8,5,0),""),"")</f>
        <v/>
      </c>
      <c r="P1081" s="6" t="str">
        <f t="shared" si="34"/>
        <v/>
      </c>
      <c r="Q1081" s="13">
        <f t="shared" si="35"/>
        <v>0</v>
      </c>
    </row>
    <row r="1082" spans="2:17" ht="15" customHeight="1">
      <c r="B1082" s="5" t="str">
        <f>_xlfn.IFNA(VLOOKUP(C1082,Master!$H:$I,2,FALSE),"")</f>
        <v/>
      </c>
      <c r="D1082" s="5" t="str">
        <f>_xlfn.IFNA(VLOOKUP(E1082,Master!$H:$I,2,FALSE),"")</f>
        <v/>
      </c>
      <c r="F1082" s="26" t="str">
        <f>+_xlfn.XLOOKUP(G1082,Master!$V$2:$V$8,Master!$U$2:$U$8,"")</f>
        <v/>
      </c>
      <c r="I1082" s="4" t="str">
        <f>_xlfn.IFNA(VLOOKUP(D1082,Master!$I:$K,2,FALSE),"")</f>
        <v/>
      </c>
      <c r="J1082" s="4" t="str">
        <f>_xlfn.IFNA(VLOOKUP(D1082,Master!$I:$K,3,FALSE),"")</f>
        <v/>
      </c>
      <c r="L1082" s="27" t="str">
        <f>IF(A1082&lt;&gt;"CFA",_xlfn.IFNA(VLOOKUP($G1082,Master!$V$2:$Z$8,5,0),""),"")</f>
        <v/>
      </c>
      <c r="P1082" s="6" t="str">
        <f t="shared" si="34"/>
        <v/>
      </c>
      <c r="Q1082" s="13">
        <f t="shared" si="35"/>
        <v>0</v>
      </c>
    </row>
    <row r="1083" spans="2:17" ht="15" customHeight="1">
      <c r="B1083" s="5" t="str">
        <f>_xlfn.IFNA(VLOOKUP(C1083,Master!$H:$I,2,FALSE),"")</f>
        <v/>
      </c>
      <c r="D1083" s="5" t="str">
        <f>_xlfn.IFNA(VLOOKUP(E1083,Master!$H:$I,2,FALSE),"")</f>
        <v/>
      </c>
      <c r="F1083" s="26" t="str">
        <f>+_xlfn.XLOOKUP(G1083,Master!$V$2:$V$8,Master!$U$2:$U$8,"")</f>
        <v/>
      </c>
      <c r="I1083" s="4" t="str">
        <f>_xlfn.IFNA(VLOOKUP(D1083,Master!$I:$K,2,FALSE),"")</f>
        <v/>
      </c>
      <c r="J1083" s="4" t="str">
        <f>_xlfn.IFNA(VLOOKUP(D1083,Master!$I:$K,3,FALSE),"")</f>
        <v/>
      </c>
      <c r="L1083" s="27" t="str">
        <f>IF(A1083&lt;&gt;"CFA",_xlfn.IFNA(VLOOKUP($G1083,Master!$V$2:$Z$8,5,0),""),"")</f>
        <v/>
      </c>
      <c r="P1083" s="6" t="str">
        <f t="shared" si="34"/>
        <v/>
      </c>
      <c r="Q1083" s="13">
        <f t="shared" si="35"/>
        <v>0</v>
      </c>
    </row>
    <row r="1084" spans="2:17" ht="15" customHeight="1">
      <c r="B1084" s="5" t="str">
        <f>_xlfn.IFNA(VLOOKUP(C1084,Master!$H:$I,2,FALSE),"")</f>
        <v/>
      </c>
      <c r="D1084" s="5" t="str">
        <f>_xlfn.IFNA(VLOOKUP(E1084,Master!$H:$I,2,FALSE),"")</f>
        <v/>
      </c>
      <c r="F1084" s="26" t="str">
        <f>+_xlfn.XLOOKUP(G1084,Master!$V$2:$V$8,Master!$U$2:$U$8,"")</f>
        <v/>
      </c>
      <c r="I1084" s="4" t="str">
        <f>_xlfn.IFNA(VLOOKUP(D1084,Master!$I:$K,2,FALSE),"")</f>
        <v/>
      </c>
      <c r="J1084" s="4" t="str">
        <f>_xlfn.IFNA(VLOOKUP(D1084,Master!$I:$K,3,FALSE),"")</f>
        <v/>
      </c>
      <c r="L1084" s="27" t="str">
        <f>IF(A1084&lt;&gt;"CFA",_xlfn.IFNA(VLOOKUP($G1084,Master!$V$2:$Z$8,5,0),""),"")</f>
        <v/>
      </c>
      <c r="P1084" s="6" t="str">
        <f t="shared" si="34"/>
        <v/>
      </c>
      <c r="Q1084" s="13">
        <f t="shared" si="35"/>
        <v>0</v>
      </c>
    </row>
    <row r="1085" spans="2:17" ht="15" customHeight="1">
      <c r="B1085" s="5" t="str">
        <f>_xlfn.IFNA(VLOOKUP(C1085,Master!$H:$I,2,FALSE),"")</f>
        <v/>
      </c>
      <c r="D1085" s="5" t="str">
        <f>_xlfn.IFNA(VLOOKUP(E1085,Master!$H:$I,2,FALSE),"")</f>
        <v/>
      </c>
      <c r="F1085" s="26" t="str">
        <f>+_xlfn.XLOOKUP(G1085,Master!$V$2:$V$8,Master!$U$2:$U$8,"")</f>
        <v/>
      </c>
      <c r="I1085" s="4" t="str">
        <f>_xlfn.IFNA(VLOOKUP(D1085,Master!$I:$K,2,FALSE),"")</f>
        <v/>
      </c>
      <c r="J1085" s="4" t="str">
        <f>_xlfn.IFNA(VLOOKUP(D1085,Master!$I:$K,3,FALSE),"")</f>
        <v/>
      </c>
      <c r="L1085" s="27" t="str">
        <f>IF(A1085&lt;&gt;"CFA",_xlfn.IFNA(VLOOKUP($G1085,Master!$V$2:$Z$8,5,0),""),"")</f>
        <v/>
      </c>
      <c r="P1085" s="6" t="str">
        <f t="shared" si="34"/>
        <v/>
      </c>
      <c r="Q1085" s="13">
        <f t="shared" si="35"/>
        <v>0</v>
      </c>
    </row>
    <row r="1086" spans="2:17" ht="15" customHeight="1">
      <c r="B1086" s="5" t="str">
        <f>_xlfn.IFNA(VLOOKUP(C1086,Master!$H:$I,2,FALSE),"")</f>
        <v/>
      </c>
      <c r="D1086" s="5" t="str">
        <f>_xlfn.IFNA(VLOOKUP(E1086,Master!$H:$I,2,FALSE),"")</f>
        <v/>
      </c>
      <c r="F1086" s="26" t="str">
        <f>+_xlfn.XLOOKUP(G1086,Master!$V$2:$V$8,Master!$U$2:$U$8,"")</f>
        <v/>
      </c>
      <c r="I1086" s="4" t="str">
        <f>_xlfn.IFNA(VLOOKUP(D1086,Master!$I:$K,2,FALSE),"")</f>
        <v/>
      </c>
      <c r="J1086" s="4" t="str">
        <f>_xlfn.IFNA(VLOOKUP(D1086,Master!$I:$K,3,FALSE),"")</f>
        <v/>
      </c>
      <c r="L1086" s="27" t="str">
        <f>IF(A1086&lt;&gt;"CFA",_xlfn.IFNA(VLOOKUP($G1086,Master!$V$2:$Z$8,5,0),""),"")</f>
        <v/>
      </c>
      <c r="P1086" s="6" t="str">
        <f t="shared" si="34"/>
        <v/>
      </c>
      <c r="Q1086" s="13">
        <f t="shared" si="35"/>
        <v>0</v>
      </c>
    </row>
    <row r="1087" spans="2:17" ht="15" customHeight="1">
      <c r="B1087" s="5" t="str">
        <f>_xlfn.IFNA(VLOOKUP(C1087,Master!$H:$I,2,FALSE),"")</f>
        <v/>
      </c>
      <c r="D1087" s="5" t="str">
        <f>_xlfn.IFNA(VLOOKUP(E1087,Master!$H:$I,2,FALSE),"")</f>
        <v/>
      </c>
      <c r="F1087" s="26" t="str">
        <f>+_xlfn.XLOOKUP(G1087,Master!$V$2:$V$8,Master!$U$2:$U$8,"")</f>
        <v/>
      </c>
      <c r="I1087" s="4" t="str">
        <f>_xlfn.IFNA(VLOOKUP(D1087,Master!$I:$K,2,FALSE),"")</f>
        <v/>
      </c>
      <c r="J1087" s="4" t="str">
        <f>_xlfn.IFNA(VLOOKUP(D1087,Master!$I:$K,3,FALSE),"")</f>
        <v/>
      </c>
      <c r="L1087" s="27" t="str">
        <f>IF(A1087&lt;&gt;"CFA",_xlfn.IFNA(VLOOKUP($G1087,Master!$V$2:$Z$8,5,0),""),"")</f>
        <v/>
      </c>
      <c r="P1087" s="6" t="str">
        <f t="shared" si="34"/>
        <v/>
      </c>
      <c r="Q1087" s="13">
        <f t="shared" si="35"/>
        <v>0</v>
      </c>
    </row>
    <row r="1088" spans="2:17" ht="15" customHeight="1">
      <c r="B1088" s="5" t="str">
        <f>_xlfn.IFNA(VLOOKUP(C1088,Master!$H:$I,2,FALSE),"")</f>
        <v/>
      </c>
      <c r="D1088" s="5" t="str">
        <f>_xlfn.IFNA(VLOOKUP(E1088,Master!$H:$I,2,FALSE),"")</f>
        <v/>
      </c>
      <c r="F1088" s="26" t="str">
        <f>+_xlfn.XLOOKUP(G1088,Master!$V$2:$V$8,Master!$U$2:$U$8,"")</f>
        <v/>
      </c>
      <c r="I1088" s="4" t="str">
        <f>_xlfn.IFNA(VLOOKUP(D1088,Master!$I:$K,2,FALSE),"")</f>
        <v/>
      </c>
      <c r="J1088" s="4" t="str">
        <f>_xlfn.IFNA(VLOOKUP(D1088,Master!$I:$K,3,FALSE),"")</f>
        <v/>
      </c>
      <c r="L1088" s="27" t="str">
        <f>IF(A1088&lt;&gt;"CFA",_xlfn.IFNA(VLOOKUP($G1088,Master!$V$2:$Z$8,5,0),""),"")</f>
        <v/>
      </c>
      <c r="P1088" s="6" t="str">
        <f t="shared" si="34"/>
        <v/>
      </c>
      <c r="Q1088" s="13">
        <f t="shared" si="35"/>
        <v>0</v>
      </c>
    </row>
    <row r="1089" spans="2:17" ht="15" customHeight="1">
      <c r="B1089" s="5" t="str">
        <f>_xlfn.IFNA(VLOOKUP(C1089,Master!$H:$I,2,FALSE),"")</f>
        <v/>
      </c>
      <c r="D1089" s="5" t="str">
        <f>_xlfn.IFNA(VLOOKUP(E1089,Master!$H:$I,2,FALSE),"")</f>
        <v/>
      </c>
      <c r="F1089" s="26" t="str">
        <f>+_xlfn.XLOOKUP(G1089,Master!$V$2:$V$8,Master!$U$2:$U$8,"")</f>
        <v/>
      </c>
      <c r="I1089" s="4" t="str">
        <f>_xlfn.IFNA(VLOOKUP(D1089,Master!$I:$K,2,FALSE),"")</f>
        <v/>
      </c>
      <c r="J1089" s="4" t="str">
        <f>_xlfn.IFNA(VLOOKUP(D1089,Master!$I:$K,3,FALSE),"")</f>
        <v/>
      </c>
      <c r="L1089" s="27" t="str">
        <f>IF(A1089&lt;&gt;"CFA",_xlfn.IFNA(VLOOKUP($G1089,Master!$V$2:$Z$8,5,0),""),"")</f>
        <v/>
      </c>
      <c r="P1089" s="6" t="str">
        <f t="shared" si="34"/>
        <v/>
      </c>
      <c r="Q1089" s="13">
        <f t="shared" si="35"/>
        <v>0</v>
      </c>
    </row>
    <row r="1090" spans="2:17" ht="15" customHeight="1">
      <c r="B1090" s="5" t="str">
        <f>_xlfn.IFNA(VLOOKUP(C1090,Master!$H:$I,2,FALSE),"")</f>
        <v/>
      </c>
      <c r="D1090" s="5" t="str">
        <f>_xlfn.IFNA(VLOOKUP(E1090,Master!$H:$I,2,FALSE),"")</f>
        <v/>
      </c>
      <c r="F1090" s="26" t="str">
        <f>+_xlfn.XLOOKUP(G1090,Master!$V$2:$V$8,Master!$U$2:$U$8,"")</f>
        <v/>
      </c>
      <c r="I1090" s="4" t="str">
        <f>_xlfn.IFNA(VLOOKUP(D1090,Master!$I:$K,2,FALSE),"")</f>
        <v/>
      </c>
      <c r="J1090" s="4" t="str">
        <f>_xlfn.IFNA(VLOOKUP(D1090,Master!$I:$K,3,FALSE),"")</f>
        <v/>
      </c>
      <c r="L1090" s="27" t="str">
        <f>IF(A1090&lt;&gt;"CFA",_xlfn.IFNA(VLOOKUP($G1090,Master!$V$2:$Z$8,5,0),""),"")</f>
        <v/>
      </c>
      <c r="P1090" s="6" t="str">
        <f t="shared" si="34"/>
        <v/>
      </c>
      <c r="Q1090" s="13">
        <f t="shared" si="35"/>
        <v>0</v>
      </c>
    </row>
    <row r="1091" spans="2:17" ht="15" customHeight="1">
      <c r="B1091" s="5" t="str">
        <f>_xlfn.IFNA(VLOOKUP(C1091,Master!$H:$I,2,FALSE),"")</f>
        <v/>
      </c>
      <c r="D1091" s="5" t="str">
        <f>_xlfn.IFNA(VLOOKUP(E1091,Master!$H:$I,2,FALSE),"")</f>
        <v/>
      </c>
      <c r="F1091" s="26" t="str">
        <f>+_xlfn.XLOOKUP(G1091,Master!$V$2:$V$8,Master!$U$2:$U$8,"")</f>
        <v/>
      </c>
      <c r="I1091" s="4" t="str">
        <f>_xlfn.IFNA(VLOOKUP(D1091,Master!$I:$K,2,FALSE),"")</f>
        <v/>
      </c>
      <c r="J1091" s="4" t="str">
        <f>_xlfn.IFNA(VLOOKUP(D1091,Master!$I:$K,3,FALSE),"")</f>
        <v/>
      </c>
      <c r="L1091" s="27" t="str">
        <f>IF(A1091&lt;&gt;"CFA",_xlfn.IFNA(VLOOKUP($G1091,Master!$V$2:$Z$8,5,0),""),"")</f>
        <v/>
      </c>
      <c r="P1091" s="6" t="str">
        <f t="shared" si="34"/>
        <v/>
      </c>
      <c r="Q1091" s="13">
        <f t="shared" si="35"/>
        <v>0</v>
      </c>
    </row>
    <row r="1092" spans="2:17" ht="15" customHeight="1">
      <c r="B1092" s="5" t="str">
        <f>_xlfn.IFNA(VLOOKUP(C1092,Master!$H:$I,2,FALSE),"")</f>
        <v/>
      </c>
      <c r="D1092" s="5" t="str">
        <f>_xlfn.IFNA(VLOOKUP(E1092,Master!$H:$I,2,FALSE),"")</f>
        <v/>
      </c>
      <c r="F1092" s="26" t="str">
        <f>+_xlfn.XLOOKUP(G1092,Master!$V$2:$V$8,Master!$U$2:$U$8,"")</f>
        <v/>
      </c>
      <c r="I1092" s="4" t="str">
        <f>_xlfn.IFNA(VLOOKUP(D1092,Master!$I:$K,2,FALSE),"")</f>
        <v/>
      </c>
      <c r="J1092" s="4" t="str">
        <f>_xlfn.IFNA(VLOOKUP(D1092,Master!$I:$K,3,FALSE),"")</f>
        <v/>
      </c>
      <c r="L1092" s="27" t="str">
        <f>IF(A1092&lt;&gt;"CFA",_xlfn.IFNA(VLOOKUP($G1092,Master!$V$2:$Z$8,5,0),""),"")</f>
        <v/>
      </c>
      <c r="P1092" s="6" t="str">
        <f t="shared" si="34"/>
        <v/>
      </c>
      <c r="Q1092" s="13">
        <f t="shared" si="35"/>
        <v>0</v>
      </c>
    </row>
    <row r="1093" spans="2:17" ht="15" customHeight="1">
      <c r="B1093" s="5" t="str">
        <f>_xlfn.IFNA(VLOOKUP(C1093,Master!$H:$I,2,FALSE),"")</f>
        <v/>
      </c>
      <c r="D1093" s="5" t="str">
        <f>_xlfn.IFNA(VLOOKUP(E1093,Master!$H:$I,2,FALSE),"")</f>
        <v/>
      </c>
      <c r="F1093" s="26" t="str">
        <f>+_xlfn.XLOOKUP(G1093,Master!$V$2:$V$8,Master!$U$2:$U$8,"")</f>
        <v/>
      </c>
      <c r="I1093" s="4" t="str">
        <f>_xlfn.IFNA(VLOOKUP(D1093,Master!$I:$K,2,FALSE),"")</f>
        <v/>
      </c>
      <c r="J1093" s="4" t="str">
        <f>_xlfn.IFNA(VLOOKUP(D1093,Master!$I:$K,3,FALSE),"")</f>
        <v/>
      </c>
      <c r="L1093" s="27" t="str">
        <f>IF(A1093&lt;&gt;"CFA",_xlfn.IFNA(VLOOKUP($G1093,Master!$V$2:$Z$8,5,0),""),"")</f>
        <v/>
      </c>
      <c r="P1093" s="6" t="str">
        <f t="shared" si="34"/>
        <v/>
      </c>
      <c r="Q1093" s="13">
        <f t="shared" si="35"/>
        <v>0</v>
      </c>
    </row>
    <row r="1094" spans="2:17" ht="15" customHeight="1">
      <c r="B1094" s="5" t="str">
        <f>_xlfn.IFNA(VLOOKUP(C1094,Master!$H:$I,2,FALSE),"")</f>
        <v/>
      </c>
      <c r="D1094" s="5" t="str">
        <f>_xlfn.IFNA(VLOOKUP(E1094,Master!$H:$I,2,FALSE),"")</f>
        <v/>
      </c>
      <c r="F1094" s="26" t="str">
        <f>+_xlfn.XLOOKUP(G1094,Master!$V$2:$V$8,Master!$U$2:$U$8,"")</f>
        <v/>
      </c>
      <c r="I1094" s="4" t="str">
        <f>_xlfn.IFNA(VLOOKUP(D1094,Master!$I:$K,2,FALSE),"")</f>
        <v/>
      </c>
      <c r="J1094" s="4" t="str">
        <f>_xlfn.IFNA(VLOOKUP(D1094,Master!$I:$K,3,FALSE),"")</f>
        <v/>
      </c>
      <c r="L1094" s="27" t="str">
        <f>IF(A1094&lt;&gt;"CFA",_xlfn.IFNA(VLOOKUP($G1094,Master!$V$2:$Z$8,5,0),""),"")</f>
        <v/>
      </c>
      <c r="P1094" s="6" t="str">
        <f t="shared" si="34"/>
        <v/>
      </c>
      <c r="Q1094" s="13">
        <f t="shared" si="35"/>
        <v>0</v>
      </c>
    </row>
    <row r="1095" spans="2:17" ht="15" customHeight="1">
      <c r="B1095" s="5" t="str">
        <f>_xlfn.IFNA(VLOOKUP(C1095,Master!$H:$I,2,FALSE),"")</f>
        <v/>
      </c>
      <c r="D1095" s="5" t="str">
        <f>_xlfn.IFNA(VLOOKUP(E1095,Master!$H:$I,2,FALSE),"")</f>
        <v/>
      </c>
      <c r="F1095" s="26" t="str">
        <f>+_xlfn.XLOOKUP(G1095,Master!$V$2:$V$8,Master!$U$2:$U$8,"")</f>
        <v/>
      </c>
      <c r="I1095" s="4" t="str">
        <f>_xlfn.IFNA(VLOOKUP(D1095,Master!$I:$K,2,FALSE),"")</f>
        <v/>
      </c>
      <c r="J1095" s="4" t="str">
        <f>_xlfn.IFNA(VLOOKUP(D1095,Master!$I:$K,3,FALSE),"")</f>
        <v/>
      </c>
      <c r="L1095" s="27" t="str">
        <f>IF(A1095&lt;&gt;"CFA",_xlfn.IFNA(VLOOKUP($G1095,Master!$V$2:$Z$8,5,0),""),"")</f>
        <v/>
      </c>
      <c r="P1095" s="6" t="str">
        <f t="shared" si="34"/>
        <v/>
      </c>
      <c r="Q1095" s="13">
        <f t="shared" si="35"/>
        <v>0</v>
      </c>
    </row>
    <row r="1096" spans="2:17" ht="15" customHeight="1">
      <c r="B1096" s="5" t="str">
        <f>_xlfn.IFNA(VLOOKUP(C1096,Master!$H:$I,2,FALSE),"")</f>
        <v/>
      </c>
      <c r="D1096" s="5" t="str">
        <f>_xlfn.IFNA(VLOOKUP(E1096,Master!$H:$I,2,FALSE),"")</f>
        <v/>
      </c>
      <c r="F1096" s="26" t="str">
        <f>+_xlfn.XLOOKUP(G1096,Master!$V$2:$V$8,Master!$U$2:$U$8,"")</f>
        <v/>
      </c>
      <c r="I1096" s="4" t="str">
        <f>_xlfn.IFNA(VLOOKUP(D1096,Master!$I:$K,2,FALSE),"")</f>
        <v/>
      </c>
      <c r="J1096" s="4" t="str">
        <f>_xlfn.IFNA(VLOOKUP(D1096,Master!$I:$K,3,FALSE),"")</f>
        <v/>
      </c>
      <c r="L1096" s="27" t="str">
        <f>IF(A1096&lt;&gt;"CFA",_xlfn.IFNA(VLOOKUP($G1096,Master!$V$2:$Z$8,5,0),""),"")</f>
        <v/>
      </c>
      <c r="P1096" s="6" t="str">
        <f t="shared" si="34"/>
        <v/>
      </c>
      <c r="Q1096" s="13">
        <f t="shared" si="35"/>
        <v>0</v>
      </c>
    </row>
    <row r="1097" spans="2:17" ht="15" customHeight="1">
      <c r="B1097" s="5" t="str">
        <f>_xlfn.IFNA(VLOOKUP(C1097,Master!$H:$I,2,FALSE),"")</f>
        <v/>
      </c>
      <c r="D1097" s="5" t="str">
        <f>_xlfn.IFNA(VLOOKUP(E1097,Master!$H:$I,2,FALSE),"")</f>
        <v/>
      </c>
      <c r="F1097" s="26" t="str">
        <f>+_xlfn.XLOOKUP(G1097,Master!$V$2:$V$8,Master!$U$2:$U$8,"")</f>
        <v/>
      </c>
      <c r="I1097" s="4" t="str">
        <f>_xlfn.IFNA(VLOOKUP(D1097,Master!$I:$K,2,FALSE),"")</f>
        <v/>
      </c>
      <c r="J1097" s="4" t="str">
        <f>_xlfn.IFNA(VLOOKUP(D1097,Master!$I:$K,3,FALSE),"")</f>
        <v/>
      </c>
      <c r="L1097" s="27" t="str">
        <f>IF(A1097&lt;&gt;"CFA",_xlfn.IFNA(VLOOKUP($G1097,Master!$V$2:$Z$8,5,0),""),"")</f>
        <v/>
      </c>
      <c r="P1097" s="6" t="str">
        <f t="shared" si="34"/>
        <v/>
      </c>
      <c r="Q1097" s="13">
        <f t="shared" si="35"/>
        <v>0</v>
      </c>
    </row>
    <row r="1098" spans="2:17" ht="15" customHeight="1">
      <c r="B1098" s="5" t="str">
        <f>_xlfn.IFNA(VLOOKUP(C1098,Master!$H:$I,2,FALSE),"")</f>
        <v/>
      </c>
      <c r="D1098" s="5" t="str">
        <f>_xlfn.IFNA(VLOOKUP(E1098,Master!$H:$I,2,FALSE),"")</f>
        <v/>
      </c>
      <c r="F1098" s="26" t="str">
        <f>+_xlfn.XLOOKUP(G1098,Master!$V$2:$V$8,Master!$U$2:$U$8,"")</f>
        <v/>
      </c>
      <c r="I1098" s="4" t="str">
        <f>_xlfn.IFNA(VLOOKUP(D1098,Master!$I:$K,2,FALSE),"")</f>
        <v/>
      </c>
      <c r="J1098" s="4" t="str">
        <f>_xlfn.IFNA(VLOOKUP(D1098,Master!$I:$K,3,FALSE),"")</f>
        <v/>
      </c>
      <c r="L1098" s="27" t="str">
        <f>IF(A1098&lt;&gt;"CFA",_xlfn.IFNA(VLOOKUP($G1098,Master!$V$2:$Z$8,5,0),""),"")</f>
        <v/>
      </c>
      <c r="P1098" s="6" t="str">
        <f t="shared" si="34"/>
        <v/>
      </c>
      <c r="Q1098" s="13">
        <f t="shared" si="35"/>
        <v>0</v>
      </c>
    </row>
    <row r="1099" spans="2:17" ht="15" customHeight="1">
      <c r="B1099" s="5" t="str">
        <f>_xlfn.IFNA(VLOOKUP(C1099,Master!$H:$I,2,FALSE),"")</f>
        <v/>
      </c>
      <c r="D1099" s="5" t="str">
        <f>_xlfn.IFNA(VLOOKUP(E1099,Master!$H:$I,2,FALSE),"")</f>
        <v/>
      </c>
      <c r="F1099" s="26" t="str">
        <f>+_xlfn.XLOOKUP(G1099,Master!$V$2:$V$8,Master!$U$2:$U$8,"")</f>
        <v/>
      </c>
      <c r="I1099" s="4" t="str">
        <f>_xlfn.IFNA(VLOOKUP(D1099,Master!$I:$K,2,FALSE),"")</f>
        <v/>
      </c>
      <c r="J1099" s="4" t="str">
        <f>_xlfn.IFNA(VLOOKUP(D1099,Master!$I:$K,3,FALSE),"")</f>
        <v/>
      </c>
      <c r="L1099" s="27" t="str">
        <f>IF(A1099&lt;&gt;"CFA",_xlfn.IFNA(VLOOKUP($G1099,Master!$V$2:$Z$8,5,0),""),"")</f>
        <v/>
      </c>
      <c r="P1099" s="6" t="str">
        <f t="shared" si="34"/>
        <v/>
      </c>
      <c r="Q1099" s="13">
        <f t="shared" si="35"/>
        <v>0</v>
      </c>
    </row>
    <row r="1100" spans="2:17" ht="15" customHeight="1">
      <c r="B1100" s="5" t="str">
        <f>_xlfn.IFNA(VLOOKUP(C1100,Master!$H:$I,2,FALSE),"")</f>
        <v/>
      </c>
      <c r="D1100" s="5" t="str">
        <f>_xlfn.IFNA(VLOOKUP(E1100,Master!$H:$I,2,FALSE),"")</f>
        <v/>
      </c>
      <c r="F1100" s="26" t="str">
        <f>+_xlfn.XLOOKUP(G1100,Master!$V$2:$V$8,Master!$U$2:$U$8,"")</f>
        <v/>
      </c>
      <c r="I1100" s="4" t="str">
        <f>_xlfn.IFNA(VLOOKUP(D1100,Master!$I:$K,2,FALSE),"")</f>
        <v/>
      </c>
      <c r="J1100" s="4" t="str">
        <f>_xlfn.IFNA(VLOOKUP(D1100,Master!$I:$K,3,FALSE),"")</f>
        <v/>
      </c>
      <c r="L1100" s="27" t="str">
        <f>IF(A1100&lt;&gt;"CFA",_xlfn.IFNA(VLOOKUP($G1100,Master!$V$2:$Z$8,5,0),""),"")</f>
        <v/>
      </c>
      <c r="P1100" s="6" t="str">
        <f t="shared" si="34"/>
        <v/>
      </c>
      <c r="Q1100" s="13">
        <f t="shared" si="35"/>
        <v>0</v>
      </c>
    </row>
    <row r="1101" spans="2:17" ht="15" customHeight="1">
      <c r="B1101" s="5" t="str">
        <f>_xlfn.IFNA(VLOOKUP(C1101,Master!$H:$I,2,FALSE),"")</f>
        <v/>
      </c>
      <c r="D1101" s="5" t="str">
        <f>_xlfn.IFNA(VLOOKUP(E1101,Master!$H:$I,2,FALSE),"")</f>
        <v/>
      </c>
      <c r="F1101" s="26" t="str">
        <f>+_xlfn.XLOOKUP(G1101,Master!$V$2:$V$8,Master!$U$2:$U$8,"")</f>
        <v/>
      </c>
      <c r="I1101" s="4" t="str">
        <f>_xlfn.IFNA(VLOOKUP(D1101,Master!$I:$K,2,FALSE),"")</f>
        <v/>
      </c>
      <c r="J1101" s="4" t="str">
        <f>_xlfn.IFNA(VLOOKUP(D1101,Master!$I:$K,3,FALSE),"")</f>
        <v/>
      </c>
      <c r="L1101" s="27" t="str">
        <f>IF(A1101&lt;&gt;"CFA",_xlfn.IFNA(VLOOKUP($G1101,Master!$V$2:$Z$8,5,0),""),"")</f>
        <v/>
      </c>
      <c r="P1101" s="6" t="str">
        <f t="shared" si="34"/>
        <v/>
      </c>
      <c r="Q1101" s="13">
        <f t="shared" si="35"/>
        <v>0</v>
      </c>
    </row>
    <row r="1102" spans="2:17" ht="15" customHeight="1">
      <c r="B1102" s="5" t="str">
        <f>_xlfn.IFNA(VLOOKUP(C1102,Master!$H:$I,2,FALSE),"")</f>
        <v/>
      </c>
      <c r="D1102" s="5" t="str">
        <f>_xlfn.IFNA(VLOOKUP(E1102,Master!$H:$I,2,FALSE),"")</f>
        <v/>
      </c>
      <c r="F1102" s="26" t="str">
        <f>+_xlfn.XLOOKUP(G1102,Master!$V$2:$V$8,Master!$U$2:$U$8,"")</f>
        <v/>
      </c>
      <c r="I1102" s="4" t="str">
        <f>_xlfn.IFNA(VLOOKUP(D1102,Master!$I:$K,2,FALSE),"")</f>
        <v/>
      </c>
      <c r="J1102" s="4" t="str">
        <f>_xlfn.IFNA(VLOOKUP(D1102,Master!$I:$K,3,FALSE),"")</f>
        <v/>
      </c>
      <c r="L1102" s="27" t="str">
        <f>IF(A1102&lt;&gt;"CFA",_xlfn.IFNA(VLOOKUP($G1102,Master!$V$2:$Z$8,5,0),""),"")</f>
        <v/>
      </c>
      <c r="P1102" s="6" t="str">
        <f t="shared" si="34"/>
        <v/>
      </c>
      <c r="Q1102" s="13">
        <f t="shared" si="35"/>
        <v>0</v>
      </c>
    </row>
    <row r="1103" spans="2:17" ht="15" customHeight="1">
      <c r="B1103" s="5" t="str">
        <f>_xlfn.IFNA(VLOOKUP(C1103,Master!$H:$I,2,FALSE),"")</f>
        <v/>
      </c>
      <c r="D1103" s="5" t="str">
        <f>_xlfn.IFNA(VLOOKUP(E1103,Master!$H:$I,2,FALSE),"")</f>
        <v/>
      </c>
      <c r="F1103" s="26" t="str">
        <f>+_xlfn.XLOOKUP(G1103,Master!$V$2:$V$8,Master!$U$2:$U$8,"")</f>
        <v/>
      </c>
      <c r="I1103" s="4" t="str">
        <f>_xlfn.IFNA(VLOOKUP(D1103,Master!$I:$K,2,FALSE),"")</f>
        <v/>
      </c>
      <c r="J1103" s="4" t="str">
        <f>_xlfn.IFNA(VLOOKUP(D1103,Master!$I:$K,3,FALSE),"")</f>
        <v/>
      </c>
      <c r="L1103" s="27" t="str">
        <f>IF(A1103&lt;&gt;"CFA",_xlfn.IFNA(VLOOKUP($G1103,Master!$V$2:$Z$8,5,0),""),"")</f>
        <v/>
      </c>
      <c r="P1103" s="6" t="str">
        <f t="shared" si="34"/>
        <v/>
      </c>
      <c r="Q1103" s="13">
        <f t="shared" si="35"/>
        <v>0</v>
      </c>
    </row>
    <row r="1104" spans="2:17" ht="15" customHeight="1">
      <c r="B1104" s="5" t="str">
        <f>_xlfn.IFNA(VLOOKUP(C1104,Master!$H:$I,2,FALSE),"")</f>
        <v/>
      </c>
      <c r="D1104" s="5" t="str">
        <f>_xlfn.IFNA(VLOOKUP(E1104,Master!$H:$I,2,FALSE),"")</f>
        <v/>
      </c>
      <c r="F1104" s="26" t="str">
        <f>+_xlfn.XLOOKUP(G1104,Master!$V$2:$V$8,Master!$U$2:$U$8,"")</f>
        <v/>
      </c>
      <c r="I1104" s="4" t="str">
        <f>_xlfn.IFNA(VLOOKUP(D1104,Master!$I:$K,2,FALSE),"")</f>
        <v/>
      </c>
      <c r="J1104" s="4" t="str">
        <f>_xlfn.IFNA(VLOOKUP(D1104,Master!$I:$K,3,FALSE),"")</f>
        <v/>
      </c>
      <c r="L1104" s="27" t="str">
        <f>IF(A1104&lt;&gt;"CFA",_xlfn.IFNA(VLOOKUP($G1104,Master!$V$2:$Z$8,5,0),""),"")</f>
        <v/>
      </c>
      <c r="P1104" s="6" t="str">
        <f t="shared" si="34"/>
        <v/>
      </c>
      <c r="Q1104" s="13">
        <f t="shared" si="35"/>
        <v>0</v>
      </c>
    </row>
    <row r="1105" spans="2:17" ht="15" customHeight="1">
      <c r="B1105" s="5" t="str">
        <f>_xlfn.IFNA(VLOOKUP(C1105,Master!$H:$I,2,FALSE),"")</f>
        <v/>
      </c>
      <c r="D1105" s="5" t="str">
        <f>_xlfn.IFNA(VLOOKUP(E1105,Master!$H:$I,2,FALSE),"")</f>
        <v/>
      </c>
      <c r="F1105" s="26" t="str">
        <f>+_xlfn.XLOOKUP(G1105,Master!$V$2:$V$8,Master!$U$2:$U$8,"")</f>
        <v/>
      </c>
      <c r="I1105" s="4" t="str">
        <f>_xlfn.IFNA(VLOOKUP(D1105,Master!$I:$K,2,FALSE),"")</f>
        <v/>
      </c>
      <c r="J1105" s="4" t="str">
        <f>_xlfn.IFNA(VLOOKUP(D1105,Master!$I:$K,3,FALSE),"")</f>
        <v/>
      </c>
      <c r="L1105" s="27" t="str">
        <f>IF(A1105&lt;&gt;"CFA",_xlfn.IFNA(VLOOKUP($G1105,Master!$V$2:$Z$8,5,0),""),"")</f>
        <v/>
      </c>
      <c r="P1105" s="6" t="str">
        <f t="shared" si="34"/>
        <v/>
      </c>
      <c r="Q1105" s="13">
        <f t="shared" si="35"/>
        <v>0</v>
      </c>
    </row>
    <row r="1106" spans="2:17" ht="15" customHeight="1">
      <c r="B1106" s="5" t="str">
        <f>_xlfn.IFNA(VLOOKUP(C1106,Master!$H:$I,2,FALSE),"")</f>
        <v/>
      </c>
      <c r="D1106" s="5" t="str">
        <f>_xlfn.IFNA(VLOOKUP(E1106,Master!$H:$I,2,FALSE),"")</f>
        <v/>
      </c>
      <c r="F1106" s="26" t="str">
        <f>+_xlfn.XLOOKUP(G1106,Master!$V$2:$V$8,Master!$U$2:$U$8,"")</f>
        <v/>
      </c>
      <c r="I1106" s="4" t="str">
        <f>_xlfn.IFNA(VLOOKUP(D1106,Master!$I:$K,2,FALSE),"")</f>
        <v/>
      </c>
      <c r="J1106" s="4" t="str">
        <f>_xlfn.IFNA(VLOOKUP(D1106,Master!$I:$K,3,FALSE),"")</f>
        <v/>
      </c>
      <c r="L1106" s="27" t="str">
        <f>IF(A1106&lt;&gt;"CFA",_xlfn.IFNA(VLOOKUP($G1106,Master!$V$2:$Z$8,5,0),""),"")</f>
        <v/>
      </c>
      <c r="P1106" s="6" t="str">
        <f t="shared" si="34"/>
        <v/>
      </c>
      <c r="Q1106" s="13">
        <f t="shared" si="35"/>
        <v>0</v>
      </c>
    </row>
    <row r="1107" spans="2:17" ht="15" customHeight="1">
      <c r="B1107" s="5" t="str">
        <f>_xlfn.IFNA(VLOOKUP(C1107,Master!$H:$I,2,FALSE),"")</f>
        <v/>
      </c>
      <c r="D1107" s="5" t="str">
        <f>_xlfn.IFNA(VLOOKUP(E1107,Master!$H:$I,2,FALSE),"")</f>
        <v/>
      </c>
      <c r="F1107" s="26" t="str">
        <f>+_xlfn.XLOOKUP(G1107,Master!$V$2:$V$8,Master!$U$2:$U$8,"")</f>
        <v/>
      </c>
      <c r="I1107" s="4" t="str">
        <f>_xlfn.IFNA(VLOOKUP(D1107,Master!$I:$K,2,FALSE),"")</f>
        <v/>
      </c>
      <c r="J1107" s="4" t="str">
        <f>_xlfn.IFNA(VLOOKUP(D1107,Master!$I:$K,3,FALSE),"")</f>
        <v/>
      </c>
      <c r="L1107" s="27" t="str">
        <f>IF(A1107&lt;&gt;"CFA",_xlfn.IFNA(VLOOKUP($G1107,Master!$V$2:$Z$8,5,0),""),"")</f>
        <v/>
      </c>
      <c r="P1107" s="6" t="str">
        <f t="shared" si="34"/>
        <v/>
      </c>
      <c r="Q1107" s="13">
        <f t="shared" si="35"/>
        <v>0</v>
      </c>
    </row>
    <row r="1108" spans="2:17" ht="15" customHeight="1">
      <c r="B1108" s="5" t="str">
        <f>_xlfn.IFNA(VLOOKUP(C1108,Master!$H:$I,2,FALSE),"")</f>
        <v/>
      </c>
      <c r="D1108" s="5" t="str">
        <f>_xlfn.IFNA(VLOOKUP(E1108,Master!$H:$I,2,FALSE),"")</f>
        <v/>
      </c>
      <c r="F1108" s="26" t="str">
        <f>+_xlfn.XLOOKUP(G1108,Master!$V$2:$V$8,Master!$U$2:$U$8,"")</f>
        <v/>
      </c>
      <c r="I1108" s="4" t="str">
        <f>_xlfn.IFNA(VLOOKUP(D1108,Master!$I:$K,2,FALSE),"")</f>
        <v/>
      </c>
      <c r="J1108" s="4" t="str">
        <f>_xlfn.IFNA(VLOOKUP(D1108,Master!$I:$K,3,FALSE),"")</f>
        <v/>
      </c>
      <c r="L1108" s="27" t="str">
        <f>IF(A1108&lt;&gt;"CFA",_xlfn.IFNA(VLOOKUP($G1108,Master!$V$2:$Z$8,5,0),""),"")</f>
        <v/>
      </c>
      <c r="P1108" s="6" t="str">
        <f t="shared" si="34"/>
        <v/>
      </c>
      <c r="Q1108" s="13">
        <f t="shared" si="35"/>
        <v>0</v>
      </c>
    </row>
    <row r="1109" spans="2:17" ht="15" customHeight="1">
      <c r="B1109" s="5" t="str">
        <f>_xlfn.IFNA(VLOOKUP(C1109,Master!$H:$I,2,FALSE),"")</f>
        <v/>
      </c>
      <c r="D1109" s="5" t="str">
        <f>_xlfn.IFNA(VLOOKUP(E1109,Master!$H:$I,2,FALSE),"")</f>
        <v/>
      </c>
      <c r="F1109" s="26" t="str">
        <f>+_xlfn.XLOOKUP(G1109,Master!$V$2:$V$8,Master!$U$2:$U$8,"")</f>
        <v/>
      </c>
      <c r="I1109" s="4" t="str">
        <f>_xlfn.IFNA(VLOOKUP(D1109,Master!$I:$K,2,FALSE),"")</f>
        <v/>
      </c>
      <c r="J1109" s="4" t="str">
        <f>_xlfn.IFNA(VLOOKUP(D1109,Master!$I:$K,3,FALSE),"")</f>
        <v/>
      </c>
      <c r="L1109" s="27" t="str">
        <f>IF(A1109&lt;&gt;"CFA",_xlfn.IFNA(VLOOKUP($G1109,Master!$V$2:$Z$8,5,0),""),"")</f>
        <v/>
      </c>
      <c r="P1109" s="6" t="str">
        <f t="shared" si="34"/>
        <v/>
      </c>
      <c r="Q1109" s="13">
        <f t="shared" si="35"/>
        <v>0</v>
      </c>
    </row>
    <row r="1110" spans="2:17" ht="15" customHeight="1">
      <c r="B1110" s="5" t="str">
        <f>_xlfn.IFNA(VLOOKUP(C1110,Master!$H:$I,2,FALSE),"")</f>
        <v/>
      </c>
      <c r="D1110" s="5" t="str">
        <f>_xlfn.IFNA(VLOOKUP(E1110,Master!$H:$I,2,FALSE),"")</f>
        <v/>
      </c>
      <c r="F1110" s="26" t="str">
        <f>+_xlfn.XLOOKUP(G1110,Master!$V$2:$V$8,Master!$U$2:$U$8,"")</f>
        <v/>
      </c>
      <c r="I1110" s="4" t="str">
        <f>_xlfn.IFNA(VLOOKUP(D1110,Master!$I:$K,2,FALSE),"")</f>
        <v/>
      </c>
      <c r="J1110" s="4" t="str">
        <f>_xlfn.IFNA(VLOOKUP(D1110,Master!$I:$K,3,FALSE),"")</f>
        <v/>
      </c>
      <c r="L1110" s="27" t="str">
        <f>IF(A1110&lt;&gt;"CFA",_xlfn.IFNA(VLOOKUP($G1110,Master!$V$2:$Z$8,5,0),""),"")</f>
        <v/>
      </c>
      <c r="P1110" s="6" t="str">
        <f t="shared" si="34"/>
        <v/>
      </c>
      <c r="Q1110" s="13">
        <f t="shared" si="35"/>
        <v>0</v>
      </c>
    </row>
    <row r="1111" spans="2:17" ht="15" customHeight="1">
      <c r="B1111" s="5" t="str">
        <f>_xlfn.IFNA(VLOOKUP(C1111,Master!$H:$I,2,FALSE),"")</f>
        <v/>
      </c>
      <c r="D1111" s="5" t="str">
        <f>_xlfn.IFNA(VLOOKUP(E1111,Master!$H:$I,2,FALSE),"")</f>
        <v/>
      </c>
      <c r="F1111" s="26" t="str">
        <f>+_xlfn.XLOOKUP(G1111,Master!$V$2:$V$8,Master!$U$2:$U$8,"")</f>
        <v/>
      </c>
      <c r="I1111" s="4" t="str">
        <f>_xlfn.IFNA(VLOOKUP(D1111,Master!$I:$K,2,FALSE),"")</f>
        <v/>
      </c>
      <c r="J1111" s="4" t="str">
        <f>_xlfn.IFNA(VLOOKUP(D1111,Master!$I:$K,3,FALSE),"")</f>
        <v/>
      </c>
      <c r="L1111" s="27" t="str">
        <f>IF(A1111&lt;&gt;"CFA",_xlfn.IFNA(VLOOKUP($G1111,Master!$V$2:$Z$8,5,0),""),"")</f>
        <v/>
      </c>
      <c r="P1111" s="6" t="str">
        <f t="shared" si="34"/>
        <v/>
      </c>
      <c r="Q1111" s="13">
        <f t="shared" si="35"/>
        <v>0</v>
      </c>
    </row>
    <row r="1112" spans="2:17" ht="15" customHeight="1">
      <c r="B1112" s="5" t="str">
        <f>_xlfn.IFNA(VLOOKUP(C1112,Master!$H:$I,2,FALSE),"")</f>
        <v/>
      </c>
      <c r="D1112" s="5" t="str">
        <f>_xlfn.IFNA(VLOOKUP(E1112,Master!$H:$I,2,FALSE),"")</f>
        <v/>
      </c>
      <c r="F1112" s="26" t="str">
        <f>+_xlfn.XLOOKUP(G1112,Master!$V$2:$V$8,Master!$U$2:$U$8,"")</f>
        <v/>
      </c>
      <c r="I1112" s="4" t="str">
        <f>_xlfn.IFNA(VLOOKUP(D1112,Master!$I:$K,2,FALSE),"")</f>
        <v/>
      </c>
      <c r="J1112" s="4" t="str">
        <f>_xlfn.IFNA(VLOOKUP(D1112,Master!$I:$K,3,FALSE),"")</f>
        <v/>
      </c>
      <c r="L1112" s="27" t="str">
        <f>IF(A1112&lt;&gt;"CFA",_xlfn.IFNA(VLOOKUP($G1112,Master!$V$2:$Z$8,5,0),""),"")</f>
        <v/>
      </c>
      <c r="P1112" s="6" t="str">
        <f t="shared" si="34"/>
        <v/>
      </c>
      <c r="Q1112" s="13">
        <f t="shared" si="35"/>
        <v>0</v>
      </c>
    </row>
    <row r="1113" spans="2:17" ht="15" customHeight="1">
      <c r="B1113" s="5" t="str">
        <f>_xlfn.IFNA(VLOOKUP(C1113,Master!$H:$I,2,FALSE),"")</f>
        <v/>
      </c>
      <c r="D1113" s="5" t="str">
        <f>_xlfn.IFNA(VLOOKUP(E1113,Master!$H:$I,2,FALSE),"")</f>
        <v/>
      </c>
      <c r="F1113" s="26" t="str">
        <f>+_xlfn.XLOOKUP(G1113,Master!$V$2:$V$8,Master!$U$2:$U$8,"")</f>
        <v/>
      </c>
      <c r="I1113" s="4" t="str">
        <f>_xlfn.IFNA(VLOOKUP(D1113,Master!$I:$K,2,FALSE),"")</f>
        <v/>
      </c>
      <c r="J1113" s="4" t="str">
        <f>_xlfn.IFNA(VLOOKUP(D1113,Master!$I:$K,3,FALSE),"")</f>
        <v/>
      </c>
      <c r="L1113" s="27" t="str">
        <f>IF(A1113&lt;&gt;"CFA",_xlfn.IFNA(VLOOKUP($G1113,Master!$V$2:$Z$8,5,0),""),"")</f>
        <v/>
      </c>
      <c r="P1113" s="6" t="str">
        <f t="shared" si="34"/>
        <v/>
      </c>
      <c r="Q1113" s="13">
        <f t="shared" si="35"/>
        <v>0</v>
      </c>
    </row>
    <row r="1114" spans="2:17" ht="15" customHeight="1">
      <c r="B1114" s="5" t="str">
        <f>_xlfn.IFNA(VLOOKUP(C1114,Master!$H:$I,2,FALSE),"")</f>
        <v/>
      </c>
      <c r="D1114" s="5" t="str">
        <f>_xlfn.IFNA(VLOOKUP(E1114,Master!$H:$I,2,FALSE),"")</f>
        <v/>
      </c>
      <c r="F1114" s="26" t="str">
        <f>+_xlfn.XLOOKUP(G1114,Master!$V$2:$V$8,Master!$U$2:$U$8,"")</f>
        <v/>
      </c>
      <c r="I1114" s="4" t="str">
        <f>_xlfn.IFNA(VLOOKUP(D1114,Master!$I:$K,2,FALSE),"")</f>
        <v/>
      </c>
      <c r="J1114" s="4" t="str">
        <f>_xlfn.IFNA(VLOOKUP(D1114,Master!$I:$K,3,FALSE),"")</f>
        <v/>
      </c>
      <c r="L1114" s="27" t="str">
        <f>IF(A1114&lt;&gt;"CFA",_xlfn.IFNA(VLOOKUP($G1114,Master!$V$2:$Z$8,5,0),""),"")</f>
        <v/>
      </c>
      <c r="P1114" s="6" t="str">
        <f t="shared" si="34"/>
        <v/>
      </c>
      <c r="Q1114" s="13">
        <f t="shared" si="35"/>
        <v>0</v>
      </c>
    </row>
    <row r="1115" spans="2:17" ht="15" customHeight="1">
      <c r="B1115" s="5" t="str">
        <f>_xlfn.IFNA(VLOOKUP(C1115,Master!$H:$I,2,FALSE),"")</f>
        <v/>
      </c>
      <c r="D1115" s="5" t="str">
        <f>_xlfn.IFNA(VLOOKUP(E1115,Master!$H:$I,2,FALSE),"")</f>
        <v/>
      </c>
      <c r="F1115" s="26" t="str">
        <f>+_xlfn.XLOOKUP(G1115,Master!$V$2:$V$8,Master!$U$2:$U$8,"")</f>
        <v/>
      </c>
      <c r="I1115" s="4" t="str">
        <f>_xlfn.IFNA(VLOOKUP(D1115,Master!$I:$K,2,FALSE),"")</f>
        <v/>
      </c>
      <c r="J1115" s="4" t="str">
        <f>_xlfn.IFNA(VLOOKUP(D1115,Master!$I:$K,3,FALSE),"")</f>
        <v/>
      </c>
      <c r="L1115" s="27" t="str">
        <f>IF(A1115&lt;&gt;"CFA",_xlfn.IFNA(VLOOKUP($G1115,Master!$V$2:$Z$8,5,0),""),"")</f>
        <v/>
      </c>
      <c r="P1115" s="6" t="str">
        <f t="shared" si="34"/>
        <v/>
      </c>
      <c r="Q1115" s="13">
        <f t="shared" si="35"/>
        <v>0</v>
      </c>
    </row>
    <row r="1116" spans="2:17" ht="15" customHeight="1">
      <c r="B1116" s="5" t="str">
        <f>_xlfn.IFNA(VLOOKUP(C1116,Master!$H:$I,2,FALSE),"")</f>
        <v/>
      </c>
      <c r="D1116" s="5" t="str">
        <f>_xlfn.IFNA(VLOOKUP(E1116,Master!$H:$I,2,FALSE),"")</f>
        <v/>
      </c>
      <c r="F1116" s="26" t="str">
        <f>+_xlfn.XLOOKUP(G1116,Master!$V$2:$V$8,Master!$U$2:$U$8,"")</f>
        <v/>
      </c>
      <c r="I1116" s="4" t="str">
        <f>_xlfn.IFNA(VLOOKUP(D1116,Master!$I:$K,2,FALSE),"")</f>
        <v/>
      </c>
      <c r="J1116" s="4" t="str">
        <f>_xlfn.IFNA(VLOOKUP(D1116,Master!$I:$K,3,FALSE),"")</f>
        <v/>
      </c>
      <c r="L1116" s="27" t="str">
        <f>IF(A1116&lt;&gt;"CFA",_xlfn.IFNA(VLOOKUP($G1116,Master!$V$2:$Z$8,5,0),""),"")</f>
        <v/>
      </c>
      <c r="P1116" s="6" t="str">
        <f t="shared" si="34"/>
        <v/>
      </c>
      <c r="Q1116" s="13">
        <f t="shared" si="35"/>
        <v>0</v>
      </c>
    </row>
    <row r="1117" spans="2:17" ht="15" customHeight="1">
      <c r="B1117" s="5" t="str">
        <f>_xlfn.IFNA(VLOOKUP(C1117,Master!$H:$I,2,FALSE),"")</f>
        <v/>
      </c>
      <c r="D1117" s="5" t="str">
        <f>_xlfn.IFNA(VLOOKUP(E1117,Master!$H:$I,2,FALSE),"")</f>
        <v/>
      </c>
      <c r="F1117" s="26" t="str">
        <f>+_xlfn.XLOOKUP(G1117,Master!$V$2:$V$8,Master!$U$2:$U$8,"")</f>
        <v/>
      </c>
      <c r="I1117" s="4" t="str">
        <f>_xlfn.IFNA(VLOOKUP(D1117,Master!$I:$K,2,FALSE),"")</f>
        <v/>
      </c>
      <c r="J1117" s="4" t="str">
        <f>_xlfn.IFNA(VLOOKUP(D1117,Master!$I:$K,3,FALSE),"")</f>
        <v/>
      </c>
      <c r="L1117" s="27" t="str">
        <f>IF(A1117&lt;&gt;"CFA",_xlfn.IFNA(VLOOKUP($G1117,Master!$V$2:$Z$8,5,0),""),"")</f>
        <v/>
      </c>
      <c r="P1117" s="6" t="str">
        <f t="shared" si="34"/>
        <v/>
      </c>
      <c r="Q1117" s="13">
        <f t="shared" si="35"/>
        <v>0</v>
      </c>
    </row>
    <row r="1118" spans="2:17" ht="15" customHeight="1">
      <c r="B1118" s="5" t="str">
        <f>_xlfn.IFNA(VLOOKUP(C1118,Master!$H:$I,2,FALSE),"")</f>
        <v/>
      </c>
      <c r="D1118" s="5" t="str">
        <f>_xlfn.IFNA(VLOOKUP(E1118,Master!$H:$I,2,FALSE),"")</f>
        <v/>
      </c>
      <c r="F1118" s="26" t="str">
        <f>+_xlfn.XLOOKUP(G1118,Master!$V$2:$V$8,Master!$U$2:$U$8,"")</f>
        <v/>
      </c>
      <c r="I1118" s="4" t="str">
        <f>_xlfn.IFNA(VLOOKUP(D1118,Master!$I:$K,2,FALSE),"")</f>
        <v/>
      </c>
      <c r="J1118" s="4" t="str">
        <f>_xlfn.IFNA(VLOOKUP(D1118,Master!$I:$K,3,FALSE),"")</f>
        <v/>
      </c>
      <c r="L1118" s="27" t="str">
        <f>IF(A1118&lt;&gt;"CFA",_xlfn.IFNA(VLOOKUP($G1118,Master!$V$2:$Z$8,5,0),""),"")</f>
        <v/>
      </c>
      <c r="P1118" s="6" t="str">
        <f t="shared" si="34"/>
        <v/>
      </c>
      <c r="Q1118" s="13">
        <f t="shared" si="35"/>
        <v>0</v>
      </c>
    </row>
    <row r="1119" spans="2:17" ht="15" customHeight="1">
      <c r="B1119" s="5" t="str">
        <f>_xlfn.IFNA(VLOOKUP(C1119,Master!$H:$I,2,FALSE),"")</f>
        <v/>
      </c>
      <c r="D1119" s="5" t="str">
        <f>_xlfn.IFNA(VLOOKUP(E1119,Master!$H:$I,2,FALSE),"")</f>
        <v/>
      </c>
      <c r="F1119" s="26" t="str">
        <f>+_xlfn.XLOOKUP(G1119,Master!$V$2:$V$8,Master!$U$2:$U$8,"")</f>
        <v/>
      </c>
      <c r="I1119" s="4" t="str">
        <f>_xlfn.IFNA(VLOOKUP(D1119,Master!$I:$K,2,FALSE),"")</f>
        <v/>
      </c>
      <c r="J1119" s="4" t="str">
        <f>_xlfn.IFNA(VLOOKUP(D1119,Master!$I:$K,3,FALSE),"")</f>
        <v/>
      </c>
      <c r="L1119" s="27" t="str">
        <f>IF(A1119&lt;&gt;"CFA",_xlfn.IFNA(VLOOKUP($G1119,Master!$V$2:$Z$8,5,0),""),"")</f>
        <v/>
      </c>
      <c r="P1119" s="6" t="str">
        <f t="shared" si="34"/>
        <v/>
      </c>
      <c r="Q1119" s="13">
        <f t="shared" si="35"/>
        <v>0</v>
      </c>
    </row>
    <row r="1120" spans="2:17" ht="15" customHeight="1">
      <c r="B1120" s="5" t="str">
        <f>_xlfn.IFNA(VLOOKUP(C1120,Master!$H:$I,2,FALSE),"")</f>
        <v/>
      </c>
      <c r="D1120" s="5" t="str">
        <f>_xlfn.IFNA(VLOOKUP(E1120,Master!$H:$I,2,FALSE),"")</f>
        <v/>
      </c>
      <c r="F1120" s="26" t="str">
        <f>+_xlfn.XLOOKUP(G1120,Master!$V$2:$V$8,Master!$U$2:$U$8,"")</f>
        <v/>
      </c>
      <c r="I1120" s="4" t="str">
        <f>_xlfn.IFNA(VLOOKUP(D1120,Master!$I:$K,2,FALSE),"")</f>
        <v/>
      </c>
      <c r="J1120" s="4" t="str">
        <f>_xlfn.IFNA(VLOOKUP(D1120,Master!$I:$K,3,FALSE),"")</f>
        <v/>
      </c>
      <c r="L1120" s="27" t="str">
        <f>IF(A1120&lt;&gt;"CFA",_xlfn.IFNA(VLOOKUP($G1120,Master!$V$2:$Z$8,5,0),""),"")</f>
        <v/>
      </c>
      <c r="P1120" s="6" t="str">
        <f t="shared" si="34"/>
        <v/>
      </c>
      <c r="Q1120" s="13">
        <f t="shared" si="35"/>
        <v>0</v>
      </c>
    </row>
    <row r="1121" spans="2:17" ht="15" customHeight="1">
      <c r="B1121" s="5" t="str">
        <f>_xlfn.IFNA(VLOOKUP(C1121,Master!$H:$I,2,FALSE),"")</f>
        <v/>
      </c>
      <c r="D1121" s="5" t="str">
        <f>_xlfn.IFNA(VLOOKUP(E1121,Master!$H:$I,2,FALSE),"")</f>
        <v/>
      </c>
      <c r="F1121" s="26" t="str">
        <f>+_xlfn.XLOOKUP(G1121,Master!$V$2:$V$8,Master!$U$2:$U$8,"")</f>
        <v/>
      </c>
      <c r="I1121" s="4" t="str">
        <f>_xlfn.IFNA(VLOOKUP(D1121,Master!$I:$K,2,FALSE),"")</f>
        <v/>
      </c>
      <c r="J1121" s="4" t="str">
        <f>_xlfn.IFNA(VLOOKUP(D1121,Master!$I:$K,3,FALSE),"")</f>
        <v/>
      </c>
      <c r="L1121" s="27" t="str">
        <f>IF(A1121&lt;&gt;"CFA",_xlfn.IFNA(VLOOKUP($G1121,Master!$V$2:$Z$8,5,0),""),"")</f>
        <v/>
      </c>
      <c r="P1121" s="6" t="str">
        <f t="shared" si="34"/>
        <v/>
      </c>
      <c r="Q1121" s="13">
        <f t="shared" si="35"/>
        <v>0</v>
      </c>
    </row>
    <row r="1122" spans="2:17" ht="15" customHeight="1">
      <c r="B1122" s="5" t="str">
        <f>_xlfn.IFNA(VLOOKUP(C1122,Master!$H:$I,2,FALSE),"")</f>
        <v/>
      </c>
      <c r="D1122" s="5" t="str">
        <f>_xlfn.IFNA(VLOOKUP(E1122,Master!$H:$I,2,FALSE),"")</f>
        <v/>
      </c>
      <c r="F1122" s="26" t="str">
        <f>+_xlfn.XLOOKUP(G1122,Master!$V$2:$V$8,Master!$U$2:$U$8,"")</f>
        <v/>
      </c>
      <c r="I1122" s="4" t="str">
        <f>_xlfn.IFNA(VLOOKUP(D1122,Master!$I:$K,2,FALSE),"")</f>
        <v/>
      </c>
      <c r="J1122" s="4" t="str">
        <f>_xlfn.IFNA(VLOOKUP(D1122,Master!$I:$K,3,FALSE),"")</f>
        <v/>
      </c>
      <c r="L1122" s="27" t="str">
        <f>IF(A1122&lt;&gt;"CFA",_xlfn.IFNA(VLOOKUP($G1122,Master!$V$2:$Z$8,5,0),""),"")</f>
        <v/>
      </c>
      <c r="P1122" s="6" t="str">
        <f t="shared" si="34"/>
        <v/>
      </c>
      <c r="Q1122" s="13">
        <f t="shared" si="35"/>
        <v>0</v>
      </c>
    </row>
    <row r="1123" spans="2:17" ht="15" customHeight="1">
      <c r="B1123" s="5" t="str">
        <f>_xlfn.IFNA(VLOOKUP(C1123,Master!$H:$I,2,FALSE),"")</f>
        <v/>
      </c>
      <c r="D1123" s="5" t="str">
        <f>_xlfn.IFNA(VLOOKUP(E1123,Master!$H:$I,2,FALSE),"")</f>
        <v/>
      </c>
      <c r="F1123" s="26" t="str">
        <f>+_xlfn.XLOOKUP(G1123,Master!$V$2:$V$8,Master!$U$2:$U$8,"")</f>
        <v/>
      </c>
      <c r="I1123" s="4" t="str">
        <f>_xlfn.IFNA(VLOOKUP(D1123,Master!$I:$K,2,FALSE),"")</f>
        <v/>
      </c>
      <c r="J1123" s="4" t="str">
        <f>_xlfn.IFNA(VLOOKUP(D1123,Master!$I:$K,3,FALSE),"")</f>
        <v/>
      </c>
      <c r="L1123" s="27" t="str">
        <f>IF(A1123&lt;&gt;"CFA",_xlfn.IFNA(VLOOKUP($G1123,Master!$V$2:$Z$8,5,0),""),"")</f>
        <v/>
      </c>
      <c r="P1123" s="6" t="str">
        <f t="shared" si="34"/>
        <v/>
      </c>
      <c r="Q1123" s="13">
        <f t="shared" si="35"/>
        <v>0</v>
      </c>
    </row>
    <row r="1124" spans="2:17" ht="15" customHeight="1">
      <c r="B1124" s="5" t="str">
        <f>_xlfn.IFNA(VLOOKUP(C1124,Master!$H:$I,2,FALSE),"")</f>
        <v/>
      </c>
      <c r="D1124" s="5" t="str">
        <f>_xlfn.IFNA(VLOOKUP(E1124,Master!$H:$I,2,FALSE),"")</f>
        <v/>
      </c>
      <c r="F1124" s="26" t="str">
        <f>+_xlfn.XLOOKUP(G1124,Master!$V$2:$V$8,Master!$U$2:$U$8,"")</f>
        <v/>
      </c>
      <c r="I1124" s="4" t="str">
        <f>_xlfn.IFNA(VLOOKUP(D1124,Master!$I:$K,2,FALSE),"")</f>
        <v/>
      </c>
      <c r="J1124" s="4" t="str">
        <f>_xlfn.IFNA(VLOOKUP(D1124,Master!$I:$K,3,FALSE),"")</f>
        <v/>
      </c>
      <c r="L1124" s="27" t="str">
        <f>IF(A1124&lt;&gt;"CFA",_xlfn.IFNA(VLOOKUP($G1124,Master!$V$2:$Z$8,5,0),""),"")</f>
        <v/>
      </c>
      <c r="P1124" s="6" t="str">
        <f t="shared" si="34"/>
        <v/>
      </c>
      <c r="Q1124" s="13">
        <f t="shared" si="35"/>
        <v>0</v>
      </c>
    </row>
    <row r="1125" spans="2:17" ht="15" customHeight="1">
      <c r="B1125" s="5" t="str">
        <f>_xlfn.IFNA(VLOOKUP(C1125,Master!$H:$I,2,FALSE),"")</f>
        <v/>
      </c>
      <c r="D1125" s="5" t="str">
        <f>_xlfn.IFNA(VLOOKUP(E1125,Master!$H:$I,2,FALSE),"")</f>
        <v/>
      </c>
      <c r="F1125" s="26" t="str">
        <f>+_xlfn.XLOOKUP(G1125,Master!$V$2:$V$8,Master!$U$2:$U$8,"")</f>
        <v/>
      </c>
      <c r="I1125" s="4" t="str">
        <f>_xlfn.IFNA(VLOOKUP(D1125,Master!$I:$K,2,FALSE),"")</f>
        <v/>
      </c>
      <c r="J1125" s="4" t="str">
        <f>_xlfn.IFNA(VLOOKUP(D1125,Master!$I:$K,3,FALSE),"")</f>
        <v/>
      </c>
      <c r="L1125" s="27" t="str">
        <f>IF(A1125&lt;&gt;"CFA",_xlfn.IFNA(VLOOKUP($G1125,Master!$V$2:$Z$8,5,0),""),"")</f>
        <v/>
      </c>
      <c r="P1125" s="6" t="str">
        <f t="shared" si="34"/>
        <v/>
      </c>
      <c r="Q1125" s="13">
        <f t="shared" si="35"/>
        <v>0</v>
      </c>
    </row>
    <row r="1126" spans="2:17" ht="15" customHeight="1">
      <c r="B1126" s="5" t="str">
        <f>_xlfn.IFNA(VLOOKUP(C1126,Master!$H:$I,2,FALSE),"")</f>
        <v/>
      </c>
      <c r="D1126" s="5" t="str">
        <f>_xlfn.IFNA(VLOOKUP(E1126,Master!$H:$I,2,FALSE),"")</f>
        <v/>
      </c>
      <c r="F1126" s="26" t="str">
        <f>+_xlfn.XLOOKUP(G1126,Master!$V$2:$V$8,Master!$U$2:$U$8,"")</f>
        <v/>
      </c>
      <c r="I1126" s="4" t="str">
        <f>_xlfn.IFNA(VLOOKUP(D1126,Master!$I:$K,2,FALSE),"")</f>
        <v/>
      </c>
      <c r="J1126" s="4" t="str">
        <f>_xlfn.IFNA(VLOOKUP(D1126,Master!$I:$K,3,FALSE),"")</f>
        <v/>
      </c>
      <c r="L1126" s="27" t="str">
        <f>IF(A1126&lt;&gt;"CFA",_xlfn.IFNA(VLOOKUP($G1126,Master!$V$2:$Z$8,5,0),""),"")</f>
        <v/>
      </c>
      <c r="P1126" s="6" t="str">
        <f t="shared" si="34"/>
        <v/>
      </c>
      <c r="Q1126" s="13">
        <f t="shared" si="35"/>
        <v>0</v>
      </c>
    </row>
    <row r="1127" spans="2:17" ht="15" customHeight="1">
      <c r="B1127" s="5" t="str">
        <f>_xlfn.IFNA(VLOOKUP(C1127,Master!$H:$I,2,FALSE),"")</f>
        <v/>
      </c>
      <c r="D1127" s="5" t="str">
        <f>_xlfn.IFNA(VLOOKUP(E1127,Master!$H:$I,2,FALSE),"")</f>
        <v/>
      </c>
      <c r="F1127" s="26" t="str">
        <f>+_xlfn.XLOOKUP(G1127,Master!$V$2:$V$8,Master!$U$2:$U$8,"")</f>
        <v/>
      </c>
      <c r="I1127" s="4" t="str">
        <f>_xlfn.IFNA(VLOOKUP(D1127,Master!$I:$K,2,FALSE),"")</f>
        <v/>
      </c>
      <c r="J1127" s="4" t="str">
        <f>_xlfn.IFNA(VLOOKUP(D1127,Master!$I:$K,3,FALSE),"")</f>
        <v/>
      </c>
      <c r="L1127" s="27" t="str">
        <f>IF(A1127&lt;&gt;"CFA",_xlfn.IFNA(VLOOKUP($G1127,Master!$V$2:$Z$8,5,0),""),"")</f>
        <v/>
      </c>
      <c r="P1127" s="6" t="str">
        <f t="shared" si="34"/>
        <v/>
      </c>
      <c r="Q1127" s="13">
        <f t="shared" si="35"/>
        <v>0</v>
      </c>
    </row>
    <row r="1128" spans="2:17" ht="15" customHeight="1">
      <c r="B1128" s="5" t="str">
        <f>_xlfn.IFNA(VLOOKUP(C1128,Master!$H:$I,2,FALSE),"")</f>
        <v/>
      </c>
      <c r="D1128" s="5" t="str">
        <f>_xlfn.IFNA(VLOOKUP(E1128,Master!$H:$I,2,FALSE),"")</f>
        <v/>
      </c>
      <c r="F1128" s="26" t="str">
        <f>+_xlfn.XLOOKUP(G1128,Master!$V$2:$V$8,Master!$U$2:$U$8,"")</f>
        <v/>
      </c>
      <c r="I1128" s="4" t="str">
        <f>_xlfn.IFNA(VLOOKUP(D1128,Master!$I:$K,2,FALSE),"")</f>
        <v/>
      </c>
      <c r="J1128" s="4" t="str">
        <f>_xlfn.IFNA(VLOOKUP(D1128,Master!$I:$K,3,FALSE),"")</f>
        <v/>
      </c>
      <c r="L1128" s="27" t="str">
        <f>IF(A1128&lt;&gt;"CFA",_xlfn.IFNA(VLOOKUP($G1128,Master!$V$2:$Z$8,5,0),""),"")</f>
        <v/>
      </c>
      <c r="P1128" s="6" t="str">
        <f t="shared" si="34"/>
        <v/>
      </c>
      <c r="Q1128" s="13">
        <f t="shared" si="35"/>
        <v>0</v>
      </c>
    </row>
    <row r="1129" spans="2:17" ht="15" customHeight="1">
      <c r="B1129" s="5" t="str">
        <f>_xlfn.IFNA(VLOOKUP(C1129,Master!$H:$I,2,FALSE),"")</f>
        <v/>
      </c>
      <c r="D1129" s="5" t="str">
        <f>_xlfn.IFNA(VLOOKUP(E1129,Master!$H:$I,2,FALSE),"")</f>
        <v/>
      </c>
      <c r="F1129" s="26" t="str">
        <f>+_xlfn.XLOOKUP(G1129,Master!$V$2:$V$8,Master!$U$2:$U$8,"")</f>
        <v/>
      </c>
      <c r="I1129" s="4" t="str">
        <f>_xlfn.IFNA(VLOOKUP(D1129,Master!$I:$K,2,FALSE),"")</f>
        <v/>
      </c>
      <c r="J1129" s="4" t="str">
        <f>_xlfn.IFNA(VLOOKUP(D1129,Master!$I:$K,3,FALSE),"")</f>
        <v/>
      </c>
      <c r="L1129" s="27" t="str">
        <f>IF(A1129&lt;&gt;"CFA",_xlfn.IFNA(VLOOKUP($G1129,Master!$V$2:$Z$8,5,0),""),"")</f>
        <v/>
      </c>
      <c r="P1129" s="6" t="str">
        <f t="shared" si="34"/>
        <v/>
      </c>
      <c r="Q1129" s="13">
        <f t="shared" si="35"/>
        <v>0</v>
      </c>
    </row>
    <row r="1130" spans="2:17" ht="15" customHeight="1">
      <c r="B1130" s="5" t="str">
        <f>_xlfn.IFNA(VLOOKUP(C1130,Master!$H:$I,2,FALSE),"")</f>
        <v/>
      </c>
      <c r="D1130" s="5" t="str">
        <f>_xlfn.IFNA(VLOOKUP(E1130,Master!$H:$I,2,FALSE),"")</f>
        <v/>
      </c>
      <c r="F1130" s="26" t="str">
        <f>+_xlfn.XLOOKUP(G1130,Master!$V$2:$V$8,Master!$U$2:$U$8,"")</f>
        <v/>
      </c>
      <c r="I1130" s="4" t="str">
        <f>_xlfn.IFNA(VLOOKUP(D1130,Master!$I:$K,2,FALSE),"")</f>
        <v/>
      </c>
      <c r="J1130" s="4" t="str">
        <f>_xlfn.IFNA(VLOOKUP(D1130,Master!$I:$K,3,FALSE),"")</f>
        <v/>
      </c>
      <c r="L1130" s="27" t="str">
        <f>IF(A1130&lt;&gt;"CFA",_xlfn.IFNA(VLOOKUP($G1130,Master!$V$2:$Z$8,5,0),""),"")</f>
        <v/>
      </c>
      <c r="P1130" s="6" t="str">
        <f t="shared" si="34"/>
        <v/>
      </c>
      <c r="Q1130" s="13">
        <f t="shared" si="35"/>
        <v>0</v>
      </c>
    </row>
    <row r="1131" spans="2:17" ht="15" customHeight="1">
      <c r="B1131" s="5" t="str">
        <f>_xlfn.IFNA(VLOOKUP(C1131,Master!$H:$I,2,FALSE),"")</f>
        <v/>
      </c>
      <c r="D1131" s="5" t="str">
        <f>_xlfn.IFNA(VLOOKUP(E1131,Master!$H:$I,2,FALSE),"")</f>
        <v/>
      </c>
      <c r="F1131" s="26" t="str">
        <f>+_xlfn.XLOOKUP(G1131,Master!$V$2:$V$8,Master!$U$2:$U$8,"")</f>
        <v/>
      </c>
      <c r="I1131" s="4" t="str">
        <f>_xlfn.IFNA(VLOOKUP(D1131,Master!$I:$K,2,FALSE),"")</f>
        <v/>
      </c>
      <c r="J1131" s="4" t="str">
        <f>_xlfn.IFNA(VLOOKUP(D1131,Master!$I:$K,3,FALSE),"")</f>
        <v/>
      </c>
      <c r="L1131" s="27" t="str">
        <f>IF(A1131&lt;&gt;"CFA",_xlfn.IFNA(VLOOKUP($G1131,Master!$V$2:$Z$8,5,0),""),"")</f>
        <v/>
      </c>
      <c r="P1131" s="6" t="str">
        <f t="shared" si="34"/>
        <v/>
      </c>
      <c r="Q1131" s="13">
        <f t="shared" si="35"/>
        <v>0</v>
      </c>
    </row>
    <row r="1132" spans="2:17" ht="15" customHeight="1">
      <c r="B1132" s="5" t="str">
        <f>_xlfn.IFNA(VLOOKUP(C1132,Master!$H:$I,2,FALSE),"")</f>
        <v/>
      </c>
      <c r="D1132" s="5" t="str">
        <f>_xlfn.IFNA(VLOOKUP(E1132,Master!$H:$I,2,FALSE),"")</f>
        <v/>
      </c>
      <c r="F1132" s="26" t="str">
        <f>+_xlfn.XLOOKUP(G1132,Master!$V$2:$V$8,Master!$U$2:$U$8,"")</f>
        <v/>
      </c>
      <c r="I1132" s="4" t="str">
        <f>_xlfn.IFNA(VLOOKUP(D1132,Master!$I:$K,2,FALSE),"")</f>
        <v/>
      </c>
      <c r="J1132" s="4" t="str">
        <f>_xlfn.IFNA(VLOOKUP(D1132,Master!$I:$K,3,FALSE),"")</f>
        <v/>
      </c>
      <c r="L1132" s="27" t="str">
        <f>IF(A1132&lt;&gt;"CFA",_xlfn.IFNA(VLOOKUP($G1132,Master!$V$2:$Z$8,5,0),""),"")</f>
        <v/>
      </c>
      <c r="P1132" s="6" t="str">
        <f t="shared" si="34"/>
        <v/>
      </c>
      <c r="Q1132" s="13">
        <f t="shared" si="35"/>
        <v>0</v>
      </c>
    </row>
    <row r="1133" spans="2:17" ht="15" customHeight="1">
      <c r="B1133" s="5" t="str">
        <f>_xlfn.IFNA(VLOOKUP(C1133,Master!$H:$I,2,FALSE),"")</f>
        <v/>
      </c>
      <c r="D1133" s="5" t="str">
        <f>_xlfn.IFNA(VLOOKUP(E1133,Master!$H:$I,2,FALSE),"")</f>
        <v/>
      </c>
      <c r="F1133" s="26" t="str">
        <f>+_xlfn.XLOOKUP(G1133,Master!$V$2:$V$8,Master!$U$2:$U$8,"")</f>
        <v/>
      </c>
      <c r="I1133" s="4" t="str">
        <f>_xlfn.IFNA(VLOOKUP(D1133,Master!$I:$K,2,FALSE),"")</f>
        <v/>
      </c>
      <c r="J1133" s="4" t="str">
        <f>_xlfn.IFNA(VLOOKUP(D1133,Master!$I:$K,3,FALSE),"")</f>
        <v/>
      </c>
      <c r="L1133" s="27" t="str">
        <f>IF(A1133&lt;&gt;"CFA",_xlfn.IFNA(VLOOKUP($G1133,Master!$V$2:$Z$8,5,0),""),"")</f>
        <v/>
      </c>
      <c r="P1133" s="6" t="str">
        <f t="shared" si="34"/>
        <v/>
      </c>
      <c r="Q1133" s="13">
        <f t="shared" si="35"/>
        <v>0</v>
      </c>
    </row>
    <row r="1134" spans="2:17" ht="15" customHeight="1">
      <c r="B1134" s="5" t="str">
        <f>_xlfn.IFNA(VLOOKUP(C1134,Master!$H:$I,2,FALSE),"")</f>
        <v/>
      </c>
      <c r="D1134" s="5" t="str">
        <f>_xlfn.IFNA(VLOOKUP(E1134,Master!$H:$I,2,FALSE),"")</f>
        <v/>
      </c>
      <c r="F1134" s="26" t="str">
        <f>+_xlfn.XLOOKUP(G1134,Master!$V$2:$V$8,Master!$U$2:$U$8,"")</f>
        <v/>
      </c>
      <c r="I1134" s="4" t="str">
        <f>_xlfn.IFNA(VLOOKUP(D1134,Master!$I:$K,2,FALSE),"")</f>
        <v/>
      </c>
      <c r="J1134" s="4" t="str">
        <f>_xlfn.IFNA(VLOOKUP(D1134,Master!$I:$K,3,FALSE),"")</f>
        <v/>
      </c>
      <c r="L1134" s="27" t="str">
        <f>IF(A1134&lt;&gt;"CFA",_xlfn.IFNA(VLOOKUP($G1134,Master!$V$2:$Z$8,5,0),""),"")</f>
        <v/>
      </c>
      <c r="P1134" s="6" t="str">
        <f t="shared" si="34"/>
        <v/>
      </c>
      <c r="Q1134" s="13">
        <f t="shared" si="35"/>
        <v>0</v>
      </c>
    </row>
    <row r="1135" spans="2:17" ht="15" customHeight="1">
      <c r="B1135" s="5" t="str">
        <f>_xlfn.IFNA(VLOOKUP(C1135,Master!$H:$I,2,FALSE),"")</f>
        <v/>
      </c>
      <c r="D1135" s="5" t="str">
        <f>_xlfn.IFNA(VLOOKUP(E1135,Master!$H:$I,2,FALSE),"")</f>
        <v/>
      </c>
      <c r="F1135" s="26" t="str">
        <f>+_xlfn.XLOOKUP(G1135,Master!$V$2:$V$8,Master!$U$2:$U$8,"")</f>
        <v/>
      </c>
      <c r="I1135" s="4" t="str">
        <f>_xlfn.IFNA(VLOOKUP(D1135,Master!$I:$K,2,FALSE),"")</f>
        <v/>
      </c>
      <c r="J1135" s="4" t="str">
        <f>_xlfn.IFNA(VLOOKUP(D1135,Master!$I:$K,3,FALSE),"")</f>
        <v/>
      </c>
      <c r="L1135" s="27" t="str">
        <f>IF(A1135&lt;&gt;"CFA",_xlfn.IFNA(VLOOKUP($G1135,Master!$V$2:$Z$8,5,0),""),"")</f>
        <v/>
      </c>
      <c r="P1135" s="6" t="str">
        <f t="shared" si="34"/>
        <v/>
      </c>
      <c r="Q1135" s="13">
        <f t="shared" si="35"/>
        <v>0</v>
      </c>
    </row>
    <row r="1136" spans="2:17" ht="15" customHeight="1">
      <c r="B1136" s="5" t="str">
        <f>_xlfn.IFNA(VLOOKUP(C1136,Master!$H:$I,2,FALSE),"")</f>
        <v/>
      </c>
      <c r="D1136" s="5" t="str">
        <f>_xlfn.IFNA(VLOOKUP(E1136,Master!$H:$I,2,FALSE),"")</f>
        <v/>
      </c>
      <c r="F1136" s="26" t="str">
        <f>+_xlfn.XLOOKUP(G1136,Master!$V$2:$V$8,Master!$U$2:$U$8,"")</f>
        <v/>
      </c>
      <c r="I1136" s="4" t="str">
        <f>_xlfn.IFNA(VLOOKUP(D1136,Master!$I:$K,2,FALSE),"")</f>
        <v/>
      </c>
      <c r="J1136" s="4" t="str">
        <f>_xlfn.IFNA(VLOOKUP(D1136,Master!$I:$K,3,FALSE),"")</f>
        <v/>
      </c>
      <c r="L1136" s="27" t="str">
        <f>IF(A1136&lt;&gt;"CFA",_xlfn.IFNA(VLOOKUP($G1136,Master!$V$2:$Z$8,5,0),""),"")</f>
        <v/>
      </c>
      <c r="P1136" s="6" t="str">
        <f t="shared" si="34"/>
        <v/>
      </c>
      <c r="Q1136" s="13">
        <f t="shared" si="35"/>
        <v>0</v>
      </c>
    </row>
    <row r="1137" spans="2:17" ht="15" customHeight="1">
      <c r="B1137" s="5" t="str">
        <f>_xlfn.IFNA(VLOOKUP(C1137,Master!$H:$I,2,FALSE),"")</f>
        <v/>
      </c>
      <c r="D1137" s="5" t="str">
        <f>_xlfn.IFNA(VLOOKUP(E1137,Master!$H:$I,2,FALSE),"")</f>
        <v/>
      </c>
      <c r="F1137" s="26" t="str">
        <f>+_xlfn.XLOOKUP(G1137,Master!$V$2:$V$8,Master!$U$2:$U$8,"")</f>
        <v/>
      </c>
      <c r="I1137" s="4" t="str">
        <f>_xlfn.IFNA(VLOOKUP(D1137,Master!$I:$K,2,FALSE),"")</f>
        <v/>
      </c>
      <c r="J1137" s="4" t="str">
        <f>_xlfn.IFNA(VLOOKUP(D1137,Master!$I:$K,3,FALSE),"")</f>
        <v/>
      </c>
      <c r="L1137" s="27" t="str">
        <f>IF(A1137&lt;&gt;"CFA",_xlfn.IFNA(VLOOKUP($G1137,Master!$V$2:$Z$8,5,0),""),"")</f>
        <v/>
      </c>
      <c r="P1137" s="6" t="str">
        <f t="shared" si="34"/>
        <v/>
      </c>
      <c r="Q1137" s="13">
        <f t="shared" si="35"/>
        <v>0</v>
      </c>
    </row>
    <row r="1138" spans="2:17" ht="15" customHeight="1">
      <c r="B1138" s="5" t="str">
        <f>_xlfn.IFNA(VLOOKUP(C1138,Master!$H:$I,2,FALSE),"")</f>
        <v/>
      </c>
      <c r="D1138" s="5" t="str">
        <f>_xlfn.IFNA(VLOOKUP(E1138,Master!$H:$I,2,FALSE),"")</f>
        <v/>
      </c>
      <c r="F1138" s="26" t="str">
        <f>+_xlfn.XLOOKUP(G1138,Master!$V$2:$V$8,Master!$U$2:$U$8,"")</f>
        <v/>
      </c>
      <c r="I1138" s="4" t="str">
        <f>_xlfn.IFNA(VLOOKUP(D1138,Master!$I:$K,2,FALSE),"")</f>
        <v/>
      </c>
      <c r="J1138" s="4" t="str">
        <f>_xlfn.IFNA(VLOOKUP(D1138,Master!$I:$K,3,FALSE),"")</f>
        <v/>
      </c>
      <c r="L1138" s="27" t="str">
        <f>IF(A1138&lt;&gt;"CFA",_xlfn.IFNA(VLOOKUP($G1138,Master!$V$2:$Z$8,5,0),""),"")</f>
        <v/>
      </c>
      <c r="P1138" s="6" t="str">
        <f t="shared" si="34"/>
        <v/>
      </c>
      <c r="Q1138" s="13">
        <f t="shared" si="35"/>
        <v>0</v>
      </c>
    </row>
    <row r="1139" spans="2:17" ht="15" customHeight="1">
      <c r="B1139" s="5" t="str">
        <f>_xlfn.IFNA(VLOOKUP(C1139,Master!$H:$I,2,FALSE),"")</f>
        <v/>
      </c>
      <c r="D1139" s="5" t="str">
        <f>_xlfn.IFNA(VLOOKUP(E1139,Master!$H:$I,2,FALSE),"")</f>
        <v/>
      </c>
      <c r="F1139" s="26" t="str">
        <f>+_xlfn.XLOOKUP(G1139,Master!$V$2:$V$8,Master!$U$2:$U$8,"")</f>
        <v/>
      </c>
      <c r="I1139" s="4" t="str">
        <f>_xlfn.IFNA(VLOOKUP(D1139,Master!$I:$K,2,FALSE),"")</f>
        <v/>
      </c>
      <c r="J1139" s="4" t="str">
        <f>_xlfn.IFNA(VLOOKUP(D1139,Master!$I:$K,3,FALSE),"")</f>
        <v/>
      </c>
      <c r="L1139" s="27" t="str">
        <f>IF(A1139&lt;&gt;"CFA",_xlfn.IFNA(VLOOKUP($G1139,Master!$V$2:$Z$8,5,0),""),"")</f>
        <v/>
      </c>
      <c r="P1139" s="6" t="str">
        <f t="shared" si="34"/>
        <v/>
      </c>
      <c r="Q1139" s="13">
        <f t="shared" si="35"/>
        <v>0</v>
      </c>
    </row>
    <row r="1140" spans="2:17" ht="15" customHeight="1">
      <c r="B1140" s="5" t="str">
        <f>_xlfn.IFNA(VLOOKUP(C1140,Master!$H:$I,2,FALSE),"")</f>
        <v/>
      </c>
      <c r="D1140" s="5" t="str">
        <f>_xlfn.IFNA(VLOOKUP(E1140,Master!$H:$I,2,FALSE),"")</f>
        <v/>
      </c>
      <c r="F1140" s="26" t="str">
        <f>+_xlfn.XLOOKUP(G1140,Master!$V$2:$V$8,Master!$U$2:$U$8,"")</f>
        <v/>
      </c>
      <c r="I1140" s="4" t="str">
        <f>_xlfn.IFNA(VLOOKUP(D1140,Master!$I:$K,2,FALSE),"")</f>
        <v/>
      </c>
      <c r="J1140" s="4" t="str">
        <f>_xlfn.IFNA(VLOOKUP(D1140,Master!$I:$K,3,FALSE),"")</f>
        <v/>
      </c>
      <c r="L1140" s="27" t="str">
        <f>IF(A1140&lt;&gt;"CFA",_xlfn.IFNA(VLOOKUP($G1140,Master!$V$2:$Z$8,5,0),""),"")</f>
        <v/>
      </c>
      <c r="P1140" s="6" t="str">
        <f t="shared" si="34"/>
        <v/>
      </c>
      <c r="Q1140" s="13">
        <f t="shared" si="35"/>
        <v>0</v>
      </c>
    </row>
    <row r="1141" spans="2:17" ht="15" customHeight="1">
      <c r="B1141" s="5" t="str">
        <f>_xlfn.IFNA(VLOOKUP(C1141,Master!$H:$I,2,FALSE),"")</f>
        <v/>
      </c>
      <c r="D1141" s="5" t="str">
        <f>_xlfn.IFNA(VLOOKUP(E1141,Master!$H:$I,2,FALSE),"")</f>
        <v/>
      </c>
      <c r="F1141" s="26" t="str">
        <f>+_xlfn.XLOOKUP(G1141,Master!$V$2:$V$8,Master!$U$2:$U$8,"")</f>
        <v/>
      </c>
      <c r="I1141" s="4" t="str">
        <f>_xlfn.IFNA(VLOOKUP(D1141,Master!$I:$K,2,FALSE),"")</f>
        <v/>
      </c>
      <c r="J1141" s="4" t="str">
        <f>_xlfn.IFNA(VLOOKUP(D1141,Master!$I:$K,3,FALSE),"")</f>
        <v/>
      </c>
      <c r="L1141" s="27" t="str">
        <f>IF(A1141&lt;&gt;"CFA",_xlfn.IFNA(VLOOKUP($G1141,Master!$V$2:$Z$8,5,0),""),"")</f>
        <v/>
      </c>
      <c r="P1141" s="6" t="str">
        <f t="shared" si="34"/>
        <v/>
      </c>
      <c r="Q1141" s="13">
        <f t="shared" si="35"/>
        <v>0</v>
      </c>
    </row>
    <row r="1142" spans="2:17" ht="15" customHeight="1">
      <c r="B1142" s="5" t="str">
        <f>_xlfn.IFNA(VLOOKUP(C1142,Master!$H:$I,2,FALSE),"")</f>
        <v/>
      </c>
      <c r="D1142" s="5" t="str">
        <f>_xlfn.IFNA(VLOOKUP(E1142,Master!$H:$I,2,FALSE),"")</f>
        <v/>
      </c>
      <c r="F1142" s="26" t="str">
        <f>+_xlfn.XLOOKUP(G1142,Master!$V$2:$V$8,Master!$U$2:$U$8,"")</f>
        <v/>
      </c>
      <c r="I1142" s="4" t="str">
        <f>_xlfn.IFNA(VLOOKUP(D1142,Master!$I:$K,2,FALSE),"")</f>
        <v/>
      </c>
      <c r="J1142" s="4" t="str">
        <f>_xlfn.IFNA(VLOOKUP(D1142,Master!$I:$K,3,FALSE),"")</f>
        <v/>
      </c>
      <c r="L1142" s="27" t="str">
        <f>IF(A1142&lt;&gt;"CFA",_xlfn.IFNA(VLOOKUP($G1142,Master!$V$2:$Z$8,5,0),""),"")</f>
        <v/>
      </c>
      <c r="P1142" s="6" t="str">
        <f t="shared" si="34"/>
        <v/>
      </c>
      <c r="Q1142" s="13">
        <f t="shared" si="35"/>
        <v>0</v>
      </c>
    </row>
    <row r="1143" spans="2:17" ht="15" customHeight="1">
      <c r="B1143" s="5" t="str">
        <f>_xlfn.IFNA(VLOOKUP(C1143,Master!$H:$I,2,FALSE),"")</f>
        <v/>
      </c>
      <c r="D1143" s="5" t="str">
        <f>_xlfn.IFNA(VLOOKUP(E1143,Master!$H:$I,2,FALSE),"")</f>
        <v/>
      </c>
      <c r="F1143" s="26" t="str">
        <f>+_xlfn.XLOOKUP(G1143,Master!$V$2:$V$8,Master!$U$2:$U$8,"")</f>
        <v/>
      </c>
      <c r="I1143" s="4" t="str">
        <f>_xlfn.IFNA(VLOOKUP(D1143,Master!$I:$K,2,FALSE),"")</f>
        <v/>
      </c>
      <c r="J1143" s="4" t="str">
        <f>_xlfn.IFNA(VLOOKUP(D1143,Master!$I:$K,3,FALSE),"")</f>
        <v/>
      </c>
      <c r="L1143" s="27" t="str">
        <f>IF(A1143&lt;&gt;"CFA",_xlfn.IFNA(VLOOKUP($G1143,Master!$V$2:$Z$8,5,0),""),"")</f>
        <v/>
      </c>
      <c r="P1143" s="6" t="str">
        <f t="shared" ref="P1143:P1206" si="36">IF(N1143&lt;&gt;"",IF(MONTH(N1143)&gt;=4,"FY1"&amp;RIGHT(YEAR(N1143)+1,2),"FY1"&amp;RIGHT(YEAR(N1143),2)),"")</f>
        <v/>
      </c>
      <c r="Q1143" s="13">
        <f t="shared" ref="Q1143:Q1206" si="37">IF(K1143&gt;0&amp;M1143&gt;0,K1143*M1143,"")</f>
        <v>0</v>
      </c>
    </row>
    <row r="1144" spans="2:17" ht="15" customHeight="1">
      <c r="B1144" s="5" t="str">
        <f>_xlfn.IFNA(VLOOKUP(C1144,Master!$H:$I,2,FALSE),"")</f>
        <v/>
      </c>
      <c r="D1144" s="5" t="str">
        <f>_xlfn.IFNA(VLOOKUP(E1144,Master!$H:$I,2,FALSE),"")</f>
        <v/>
      </c>
      <c r="F1144" s="26" t="str">
        <f>+_xlfn.XLOOKUP(G1144,Master!$V$2:$V$8,Master!$U$2:$U$8,"")</f>
        <v/>
      </c>
      <c r="I1144" s="4" t="str">
        <f>_xlfn.IFNA(VLOOKUP(D1144,Master!$I:$K,2,FALSE),"")</f>
        <v/>
      </c>
      <c r="J1144" s="4" t="str">
        <f>_xlfn.IFNA(VLOOKUP(D1144,Master!$I:$K,3,FALSE),"")</f>
        <v/>
      </c>
      <c r="L1144" s="27" t="str">
        <f>IF(A1144&lt;&gt;"CFA",_xlfn.IFNA(VLOOKUP($G1144,Master!$V$2:$Z$8,5,0),""),"")</f>
        <v/>
      </c>
      <c r="P1144" s="6" t="str">
        <f t="shared" si="36"/>
        <v/>
      </c>
      <c r="Q1144" s="13">
        <f t="shared" si="37"/>
        <v>0</v>
      </c>
    </row>
    <row r="1145" spans="2:17" ht="15" customHeight="1">
      <c r="B1145" s="5" t="str">
        <f>_xlfn.IFNA(VLOOKUP(C1145,Master!$H:$I,2,FALSE),"")</f>
        <v/>
      </c>
      <c r="D1145" s="5" t="str">
        <f>_xlfn.IFNA(VLOOKUP(E1145,Master!$H:$I,2,FALSE),"")</f>
        <v/>
      </c>
      <c r="F1145" s="26" t="str">
        <f>+_xlfn.XLOOKUP(G1145,Master!$V$2:$V$8,Master!$U$2:$U$8,"")</f>
        <v/>
      </c>
      <c r="I1145" s="4" t="str">
        <f>_xlfn.IFNA(VLOOKUP(D1145,Master!$I:$K,2,FALSE),"")</f>
        <v/>
      </c>
      <c r="J1145" s="4" t="str">
        <f>_xlfn.IFNA(VLOOKUP(D1145,Master!$I:$K,3,FALSE),"")</f>
        <v/>
      </c>
      <c r="L1145" s="27" t="str">
        <f>IF(A1145&lt;&gt;"CFA",_xlfn.IFNA(VLOOKUP($G1145,Master!$V$2:$Z$8,5,0),""),"")</f>
        <v/>
      </c>
      <c r="P1145" s="6" t="str">
        <f t="shared" si="36"/>
        <v/>
      </c>
      <c r="Q1145" s="13">
        <f t="shared" si="37"/>
        <v>0</v>
      </c>
    </row>
    <row r="1146" spans="2:17" ht="15" customHeight="1">
      <c r="B1146" s="5" t="str">
        <f>_xlfn.IFNA(VLOOKUP(C1146,Master!$H:$I,2,FALSE),"")</f>
        <v/>
      </c>
      <c r="D1146" s="5" t="str">
        <f>_xlfn.IFNA(VLOOKUP(E1146,Master!$H:$I,2,FALSE),"")</f>
        <v/>
      </c>
      <c r="F1146" s="26" t="str">
        <f>+_xlfn.XLOOKUP(G1146,Master!$V$2:$V$8,Master!$U$2:$U$8,"")</f>
        <v/>
      </c>
      <c r="I1146" s="4" t="str">
        <f>_xlfn.IFNA(VLOOKUP(D1146,Master!$I:$K,2,FALSE),"")</f>
        <v/>
      </c>
      <c r="J1146" s="4" t="str">
        <f>_xlfn.IFNA(VLOOKUP(D1146,Master!$I:$K,3,FALSE),"")</f>
        <v/>
      </c>
      <c r="L1146" s="27" t="str">
        <f>IF(A1146&lt;&gt;"CFA",_xlfn.IFNA(VLOOKUP($G1146,Master!$V$2:$Z$8,5,0),""),"")</f>
        <v/>
      </c>
      <c r="P1146" s="6" t="str">
        <f t="shared" si="36"/>
        <v/>
      </c>
      <c r="Q1146" s="13">
        <f t="shared" si="37"/>
        <v>0</v>
      </c>
    </row>
    <row r="1147" spans="2:17" ht="15" customHeight="1">
      <c r="B1147" s="5" t="str">
        <f>_xlfn.IFNA(VLOOKUP(C1147,Master!$H:$I,2,FALSE),"")</f>
        <v/>
      </c>
      <c r="D1147" s="5" t="str">
        <f>_xlfn.IFNA(VLOOKUP(E1147,Master!$H:$I,2,FALSE),"")</f>
        <v/>
      </c>
      <c r="F1147" s="26" t="str">
        <f>+_xlfn.XLOOKUP(G1147,Master!$V$2:$V$8,Master!$U$2:$U$8,"")</f>
        <v/>
      </c>
      <c r="I1147" s="4" t="str">
        <f>_xlfn.IFNA(VLOOKUP(D1147,Master!$I:$K,2,FALSE),"")</f>
        <v/>
      </c>
      <c r="J1147" s="4" t="str">
        <f>_xlfn.IFNA(VLOOKUP(D1147,Master!$I:$K,3,FALSE),"")</f>
        <v/>
      </c>
      <c r="L1147" s="27" t="str">
        <f>IF(A1147&lt;&gt;"CFA",_xlfn.IFNA(VLOOKUP($G1147,Master!$V$2:$Z$8,5,0),""),"")</f>
        <v/>
      </c>
      <c r="P1147" s="6" t="str">
        <f t="shared" si="36"/>
        <v/>
      </c>
      <c r="Q1147" s="13">
        <f t="shared" si="37"/>
        <v>0</v>
      </c>
    </row>
    <row r="1148" spans="2:17" ht="15" customHeight="1">
      <c r="B1148" s="5" t="str">
        <f>_xlfn.IFNA(VLOOKUP(C1148,Master!$H:$I,2,FALSE),"")</f>
        <v/>
      </c>
      <c r="D1148" s="5" t="str">
        <f>_xlfn.IFNA(VLOOKUP(E1148,Master!$H:$I,2,FALSE),"")</f>
        <v/>
      </c>
      <c r="F1148" s="26" t="str">
        <f>+_xlfn.XLOOKUP(G1148,Master!$V$2:$V$8,Master!$U$2:$U$8,"")</f>
        <v/>
      </c>
      <c r="I1148" s="4" t="str">
        <f>_xlfn.IFNA(VLOOKUP(D1148,Master!$I:$K,2,FALSE),"")</f>
        <v/>
      </c>
      <c r="J1148" s="4" t="str">
        <f>_xlfn.IFNA(VLOOKUP(D1148,Master!$I:$K,3,FALSE),"")</f>
        <v/>
      </c>
      <c r="L1148" s="27" t="str">
        <f>IF(A1148&lt;&gt;"CFA",_xlfn.IFNA(VLOOKUP($G1148,Master!$V$2:$Z$8,5,0),""),"")</f>
        <v/>
      </c>
      <c r="P1148" s="6" t="str">
        <f t="shared" si="36"/>
        <v/>
      </c>
      <c r="Q1148" s="13">
        <f t="shared" si="37"/>
        <v>0</v>
      </c>
    </row>
    <row r="1149" spans="2:17" ht="15" customHeight="1">
      <c r="B1149" s="5" t="str">
        <f>_xlfn.IFNA(VLOOKUP(C1149,Master!$H:$I,2,FALSE),"")</f>
        <v/>
      </c>
      <c r="D1149" s="5" t="str">
        <f>_xlfn.IFNA(VLOOKUP(E1149,Master!$H:$I,2,FALSE),"")</f>
        <v/>
      </c>
      <c r="F1149" s="26" t="str">
        <f>+_xlfn.XLOOKUP(G1149,Master!$V$2:$V$8,Master!$U$2:$U$8,"")</f>
        <v/>
      </c>
      <c r="I1149" s="4" t="str">
        <f>_xlfn.IFNA(VLOOKUP(D1149,Master!$I:$K,2,FALSE),"")</f>
        <v/>
      </c>
      <c r="J1149" s="4" t="str">
        <f>_xlfn.IFNA(VLOOKUP(D1149,Master!$I:$K,3,FALSE),"")</f>
        <v/>
      </c>
      <c r="L1149" s="27" t="str">
        <f>IF(A1149&lt;&gt;"CFA",_xlfn.IFNA(VLOOKUP($G1149,Master!$V$2:$Z$8,5,0),""),"")</f>
        <v/>
      </c>
      <c r="P1149" s="6" t="str">
        <f t="shared" si="36"/>
        <v/>
      </c>
      <c r="Q1149" s="13">
        <f t="shared" si="37"/>
        <v>0</v>
      </c>
    </row>
    <row r="1150" spans="2:17" ht="15" customHeight="1">
      <c r="B1150" s="5" t="str">
        <f>_xlfn.IFNA(VLOOKUP(C1150,Master!$H:$I,2,FALSE),"")</f>
        <v/>
      </c>
      <c r="D1150" s="5" t="str">
        <f>_xlfn.IFNA(VLOOKUP(E1150,Master!$H:$I,2,FALSE),"")</f>
        <v/>
      </c>
      <c r="F1150" s="26" t="str">
        <f>+_xlfn.XLOOKUP(G1150,Master!$V$2:$V$8,Master!$U$2:$U$8,"")</f>
        <v/>
      </c>
      <c r="I1150" s="4" t="str">
        <f>_xlfn.IFNA(VLOOKUP(D1150,Master!$I:$K,2,FALSE),"")</f>
        <v/>
      </c>
      <c r="J1150" s="4" t="str">
        <f>_xlfn.IFNA(VLOOKUP(D1150,Master!$I:$K,3,FALSE),"")</f>
        <v/>
      </c>
      <c r="L1150" s="27" t="str">
        <f>IF(A1150&lt;&gt;"CFA",_xlfn.IFNA(VLOOKUP($G1150,Master!$V$2:$Z$8,5,0),""),"")</f>
        <v/>
      </c>
      <c r="P1150" s="6" t="str">
        <f t="shared" si="36"/>
        <v/>
      </c>
      <c r="Q1150" s="13">
        <f t="shared" si="37"/>
        <v>0</v>
      </c>
    </row>
    <row r="1151" spans="2:17" ht="15" customHeight="1">
      <c r="B1151" s="5" t="str">
        <f>_xlfn.IFNA(VLOOKUP(C1151,Master!$H:$I,2,FALSE),"")</f>
        <v/>
      </c>
      <c r="D1151" s="5" t="str">
        <f>_xlfn.IFNA(VLOOKUP(E1151,Master!$H:$I,2,FALSE),"")</f>
        <v/>
      </c>
      <c r="F1151" s="26" t="str">
        <f>+_xlfn.XLOOKUP(G1151,Master!$V$2:$V$8,Master!$U$2:$U$8,"")</f>
        <v/>
      </c>
      <c r="I1151" s="4" t="str">
        <f>_xlfn.IFNA(VLOOKUP(D1151,Master!$I:$K,2,FALSE),"")</f>
        <v/>
      </c>
      <c r="J1151" s="4" t="str">
        <f>_xlfn.IFNA(VLOOKUP(D1151,Master!$I:$K,3,FALSE),"")</f>
        <v/>
      </c>
      <c r="L1151" s="27" t="str">
        <f>IF(A1151&lt;&gt;"CFA",_xlfn.IFNA(VLOOKUP($G1151,Master!$V$2:$Z$8,5,0),""),"")</f>
        <v/>
      </c>
      <c r="P1151" s="6" t="str">
        <f t="shared" si="36"/>
        <v/>
      </c>
      <c r="Q1151" s="13">
        <f t="shared" si="37"/>
        <v>0</v>
      </c>
    </row>
    <row r="1152" spans="2:17" ht="15" customHeight="1">
      <c r="B1152" s="5" t="str">
        <f>_xlfn.IFNA(VLOOKUP(C1152,Master!$H:$I,2,FALSE),"")</f>
        <v/>
      </c>
      <c r="D1152" s="5" t="str">
        <f>_xlfn.IFNA(VLOOKUP(E1152,Master!$H:$I,2,FALSE),"")</f>
        <v/>
      </c>
      <c r="F1152" s="26" t="str">
        <f>+_xlfn.XLOOKUP(G1152,Master!$V$2:$V$8,Master!$U$2:$U$8,"")</f>
        <v/>
      </c>
      <c r="I1152" s="4" t="str">
        <f>_xlfn.IFNA(VLOOKUP(D1152,Master!$I:$K,2,FALSE),"")</f>
        <v/>
      </c>
      <c r="J1152" s="4" t="str">
        <f>_xlfn.IFNA(VLOOKUP(D1152,Master!$I:$K,3,FALSE),"")</f>
        <v/>
      </c>
      <c r="L1152" s="27" t="str">
        <f>IF(A1152&lt;&gt;"CFA",_xlfn.IFNA(VLOOKUP($G1152,Master!$V$2:$Z$8,5,0),""),"")</f>
        <v/>
      </c>
      <c r="P1152" s="6" t="str">
        <f t="shared" si="36"/>
        <v/>
      </c>
      <c r="Q1152" s="13">
        <f t="shared" si="37"/>
        <v>0</v>
      </c>
    </row>
    <row r="1153" spans="2:17" ht="15" customHeight="1">
      <c r="B1153" s="5" t="str">
        <f>_xlfn.IFNA(VLOOKUP(C1153,Master!$H:$I,2,FALSE),"")</f>
        <v/>
      </c>
      <c r="D1153" s="5" t="str">
        <f>_xlfn.IFNA(VLOOKUP(E1153,Master!$H:$I,2,FALSE),"")</f>
        <v/>
      </c>
      <c r="F1153" s="26" t="str">
        <f>+_xlfn.XLOOKUP(G1153,Master!$V$2:$V$8,Master!$U$2:$U$8,"")</f>
        <v/>
      </c>
      <c r="I1153" s="4" t="str">
        <f>_xlfn.IFNA(VLOOKUP(D1153,Master!$I:$K,2,FALSE),"")</f>
        <v/>
      </c>
      <c r="J1153" s="4" t="str">
        <f>_xlfn.IFNA(VLOOKUP(D1153,Master!$I:$K,3,FALSE),"")</f>
        <v/>
      </c>
      <c r="L1153" s="27" t="str">
        <f>IF(A1153&lt;&gt;"CFA",_xlfn.IFNA(VLOOKUP($G1153,Master!$V$2:$Z$8,5,0),""),"")</f>
        <v/>
      </c>
      <c r="P1153" s="6" t="str">
        <f t="shared" si="36"/>
        <v/>
      </c>
      <c r="Q1153" s="13">
        <f t="shared" si="37"/>
        <v>0</v>
      </c>
    </row>
    <row r="1154" spans="2:17" ht="15" customHeight="1">
      <c r="B1154" s="5" t="str">
        <f>_xlfn.IFNA(VLOOKUP(C1154,Master!$H:$I,2,FALSE),"")</f>
        <v/>
      </c>
      <c r="D1154" s="5" t="str">
        <f>_xlfn.IFNA(VLOOKUP(E1154,Master!$H:$I,2,FALSE),"")</f>
        <v/>
      </c>
      <c r="F1154" s="26" t="str">
        <f>+_xlfn.XLOOKUP(G1154,Master!$V$2:$V$8,Master!$U$2:$U$8,"")</f>
        <v/>
      </c>
      <c r="I1154" s="4" t="str">
        <f>_xlfn.IFNA(VLOOKUP(D1154,Master!$I:$K,2,FALSE),"")</f>
        <v/>
      </c>
      <c r="J1154" s="4" t="str">
        <f>_xlfn.IFNA(VLOOKUP(D1154,Master!$I:$K,3,FALSE),"")</f>
        <v/>
      </c>
      <c r="L1154" s="27" t="str">
        <f>IF(A1154&lt;&gt;"CFA",_xlfn.IFNA(VLOOKUP($G1154,Master!$V$2:$Z$8,5,0),""),"")</f>
        <v/>
      </c>
      <c r="P1154" s="6" t="str">
        <f t="shared" si="36"/>
        <v/>
      </c>
      <c r="Q1154" s="13">
        <f t="shared" si="37"/>
        <v>0</v>
      </c>
    </row>
    <row r="1155" spans="2:17" ht="15" customHeight="1">
      <c r="B1155" s="5" t="str">
        <f>_xlfn.IFNA(VLOOKUP(C1155,Master!$H:$I,2,FALSE),"")</f>
        <v/>
      </c>
      <c r="D1155" s="5" t="str">
        <f>_xlfn.IFNA(VLOOKUP(E1155,Master!$H:$I,2,FALSE),"")</f>
        <v/>
      </c>
      <c r="F1155" s="26" t="str">
        <f>+_xlfn.XLOOKUP(G1155,Master!$V$2:$V$8,Master!$U$2:$U$8,"")</f>
        <v/>
      </c>
      <c r="I1155" s="4" t="str">
        <f>_xlfn.IFNA(VLOOKUP(D1155,Master!$I:$K,2,FALSE),"")</f>
        <v/>
      </c>
      <c r="J1155" s="4" t="str">
        <f>_xlfn.IFNA(VLOOKUP(D1155,Master!$I:$K,3,FALSE),"")</f>
        <v/>
      </c>
      <c r="L1155" s="27" t="str">
        <f>IF(A1155&lt;&gt;"CFA",_xlfn.IFNA(VLOOKUP($G1155,Master!$V$2:$Z$8,5,0),""),"")</f>
        <v/>
      </c>
      <c r="P1155" s="6" t="str">
        <f t="shared" si="36"/>
        <v/>
      </c>
      <c r="Q1155" s="13">
        <f t="shared" si="37"/>
        <v>0</v>
      </c>
    </row>
    <row r="1156" spans="2:17" ht="15" customHeight="1">
      <c r="B1156" s="5" t="str">
        <f>_xlfn.IFNA(VLOOKUP(C1156,Master!$H:$I,2,FALSE),"")</f>
        <v/>
      </c>
      <c r="D1156" s="5" t="str">
        <f>_xlfn.IFNA(VLOOKUP(E1156,Master!$H:$I,2,FALSE),"")</f>
        <v/>
      </c>
      <c r="F1156" s="26" t="str">
        <f>+_xlfn.XLOOKUP(G1156,Master!$V$2:$V$8,Master!$U$2:$U$8,"")</f>
        <v/>
      </c>
      <c r="I1156" s="4" t="str">
        <f>_xlfn.IFNA(VLOOKUP(D1156,Master!$I:$K,2,FALSE),"")</f>
        <v/>
      </c>
      <c r="J1156" s="4" t="str">
        <f>_xlfn.IFNA(VLOOKUP(D1156,Master!$I:$K,3,FALSE),"")</f>
        <v/>
      </c>
      <c r="L1156" s="27" t="str">
        <f>IF(A1156&lt;&gt;"CFA",_xlfn.IFNA(VLOOKUP($G1156,Master!$V$2:$Z$8,5,0),""),"")</f>
        <v/>
      </c>
      <c r="P1156" s="6" t="str">
        <f t="shared" si="36"/>
        <v/>
      </c>
      <c r="Q1156" s="13">
        <f t="shared" si="37"/>
        <v>0</v>
      </c>
    </row>
    <row r="1157" spans="2:17" ht="15" customHeight="1">
      <c r="B1157" s="5" t="str">
        <f>_xlfn.IFNA(VLOOKUP(C1157,Master!$H:$I,2,FALSE),"")</f>
        <v/>
      </c>
      <c r="D1157" s="5" t="str">
        <f>_xlfn.IFNA(VLOOKUP(E1157,Master!$H:$I,2,FALSE),"")</f>
        <v/>
      </c>
      <c r="F1157" s="26" t="str">
        <f>+_xlfn.XLOOKUP(G1157,Master!$V$2:$V$8,Master!$U$2:$U$8,"")</f>
        <v/>
      </c>
      <c r="I1157" s="4" t="str">
        <f>_xlfn.IFNA(VLOOKUP(D1157,Master!$I:$K,2,FALSE),"")</f>
        <v/>
      </c>
      <c r="J1157" s="4" t="str">
        <f>_xlfn.IFNA(VLOOKUP(D1157,Master!$I:$K,3,FALSE),"")</f>
        <v/>
      </c>
      <c r="L1157" s="27" t="str">
        <f>IF(A1157&lt;&gt;"CFA",_xlfn.IFNA(VLOOKUP($G1157,Master!$V$2:$Z$8,5,0),""),"")</f>
        <v/>
      </c>
      <c r="P1157" s="6" t="str">
        <f t="shared" si="36"/>
        <v/>
      </c>
      <c r="Q1157" s="13">
        <f t="shared" si="37"/>
        <v>0</v>
      </c>
    </row>
    <row r="1158" spans="2:17" ht="15" customHeight="1">
      <c r="B1158" s="5" t="str">
        <f>_xlfn.IFNA(VLOOKUP(C1158,Master!$H:$I,2,FALSE),"")</f>
        <v/>
      </c>
      <c r="D1158" s="5" t="str">
        <f>_xlfn.IFNA(VLOOKUP(E1158,Master!$H:$I,2,FALSE),"")</f>
        <v/>
      </c>
      <c r="F1158" s="26" t="str">
        <f>+_xlfn.XLOOKUP(G1158,Master!$V$2:$V$8,Master!$U$2:$U$8,"")</f>
        <v/>
      </c>
      <c r="I1158" s="4" t="str">
        <f>_xlfn.IFNA(VLOOKUP(D1158,Master!$I:$K,2,FALSE),"")</f>
        <v/>
      </c>
      <c r="J1158" s="4" t="str">
        <f>_xlfn.IFNA(VLOOKUP(D1158,Master!$I:$K,3,FALSE),"")</f>
        <v/>
      </c>
      <c r="L1158" s="27" t="str">
        <f>IF(A1158&lt;&gt;"CFA",_xlfn.IFNA(VLOOKUP($G1158,Master!$V$2:$Z$8,5,0),""),"")</f>
        <v/>
      </c>
      <c r="P1158" s="6" t="str">
        <f t="shared" si="36"/>
        <v/>
      </c>
      <c r="Q1158" s="13">
        <f t="shared" si="37"/>
        <v>0</v>
      </c>
    </row>
    <row r="1159" spans="2:17" ht="15" customHeight="1">
      <c r="B1159" s="5" t="str">
        <f>_xlfn.IFNA(VLOOKUP(C1159,Master!$H:$I,2,FALSE),"")</f>
        <v/>
      </c>
      <c r="D1159" s="5" t="str">
        <f>_xlfn.IFNA(VLOOKUP(E1159,Master!$H:$I,2,FALSE),"")</f>
        <v/>
      </c>
      <c r="F1159" s="26" t="str">
        <f>+_xlfn.XLOOKUP(G1159,Master!$V$2:$V$8,Master!$U$2:$U$8,"")</f>
        <v/>
      </c>
      <c r="I1159" s="4" t="str">
        <f>_xlfn.IFNA(VLOOKUP(D1159,Master!$I:$K,2,FALSE),"")</f>
        <v/>
      </c>
      <c r="J1159" s="4" t="str">
        <f>_xlfn.IFNA(VLOOKUP(D1159,Master!$I:$K,3,FALSE),"")</f>
        <v/>
      </c>
      <c r="L1159" s="27" t="str">
        <f>IF(A1159&lt;&gt;"CFA",_xlfn.IFNA(VLOOKUP($G1159,Master!$V$2:$Z$8,5,0),""),"")</f>
        <v/>
      </c>
      <c r="P1159" s="6" t="str">
        <f t="shared" si="36"/>
        <v/>
      </c>
      <c r="Q1159" s="13">
        <f t="shared" si="37"/>
        <v>0</v>
      </c>
    </row>
    <row r="1160" spans="2:17" ht="15" customHeight="1">
      <c r="B1160" s="5" t="str">
        <f>_xlfn.IFNA(VLOOKUP(C1160,Master!$H:$I,2,FALSE),"")</f>
        <v/>
      </c>
      <c r="D1160" s="5" t="str">
        <f>_xlfn.IFNA(VLOOKUP(E1160,Master!$H:$I,2,FALSE),"")</f>
        <v/>
      </c>
      <c r="F1160" s="26" t="str">
        <f>+_xlfn.XLOOKUP(G1160,Master!$V$2:$V$8,Master!$U$2:$U$8,"")</f>
        <v/>
      </c>
      <c r="I1160" s="4" t="str">
        <f>_xlfn.IFNA(VLOOKUP(D1160,Master!$I:$K,2,FALSE),"")</f>
        <v/>
      </c>
      <c r="J1160" s="4" t="str">
        <f>_xlfn.IFNA(VLOOKUP(D1160,Master!$I:$K,3,FALSE),"")</f>
        <v/>
      </c>
      <c r="L1160" s="27" t="str">
        <f>IF(A1160&lt;&gt;"CFA",_xlfn.IFNA(VLOOKUP($G1160,Master!$V$2:$Z$8,5,0),""),"")</f>
        <v/>
      </c>
      <c r="P1160" s="6" t="str">
        <f t="shared" si="36"/>
        <v/>
      </c>
      <c r="Q1160" s="13">
        <f t="shared" si="37"/>
        <v>0</v>
      </c>
    </row>
    <row r="1161" spans="2:17" ht="15" customHeight="1">
      <c r="B1161" s="5" t="str">
        <f>_xlfn.IFNA(VLOOKUP(C1161,Master!$H:$I,2,FALSE),"")</f>
        <v/>
      </c>
      <c r="D1161" s="5" t="str">
        <f>_xlfn.IFNA(VLOOKUP(E1161,Master!$H:$I,2,FALSE),"")</f>
        <v/>
      </c>
      <c r="F1161" s="26" t="str">
        <f>+_xlfn.XLOOKUP(G1161,Master!$V$2:$V$8,Master!$U$2:$U$8,"")</f>
        <v/>
      </c>
      <c r="I1161" s="4" t="str">
        <f>_xlfn.IFNA(VLOOKUP(D1161,Master!$I:$K,2,FALSE),"")</f>
        <v/>
      </c>
      <c r="J1161" s="4" t="str">
        <f>_xlfn.IFNA(VLOOKUP(D1161,Master!$I:$K,3,FALSE),"")</f>
        <v/>
      </c>
      <c r="L1161" s="27" t="str">
        <f>IF(A1161&lt;&gt;"CFA",_xlfn.IFNA(VLOOKUP($G1161,Master!$V$2:$Z$8,5,0),""),"")</f>
        <v/>
      </c>
      <c r="P1161" s="6" t="str">
        <f t="shared" si="36"/>
        <v/>
      </c>
      <c r="Q1161" s="13">
        <f t="shared" si="37"/>
        <v>0</v>
      </c>
    </row>
    <row r="1162" spans="2:17" ht="15" customHeight="1">
      <c r="B1162" s="5" t="str">
        <f>_xlfn.IFNA(VLOOKUP(C1162,Master!$H:$I,2,FALSE),"")</f>
        <v/>
      </c>
      <c r="D1162" s="5" t="str">
        <f>_xlfn.IFNA(VLOOKUP(E1162,Master!$H:$I,2,FALSE),"")</f>
        <v/>
      </c>
      <c r="F1162" s="26" t="str">
        <f>+_xlfn.XLOOKUP(G1162,Master!$V$2:$V$8,Master!$U$2:$U$8,"")</f>
        <v/>
      </c>
      <c r="I1162" s="4" t="str">
        <f>_xlfn.IFNA(VLOOKUP(D1162,Master!$I:$K,2,FALSE),"")</f>
        <v/>
      </c>
      <c r="J1162" s="4" t="str">
        <f>_xlfn.IFNA(VLOOKUP(D1162,Master!$I:$K,3,FALSE),"")</f>
        <v/>
      </c>
      <c r="L1162" s="27" t="str">
        <f>IF(A1162&lt;&gt;"CFA",_xlfn.IFNA(VLOOKUP($G1162,Master!$V$2:$Z$8,5,0),""),"")</f>
        <v/>
      </c>
      <c r="P1162" s="6" t="str">
        <f t="shared" si="36"/>
        <v/>
      </c>
      <c r="Q1162" s="13">
        <f t="shared" si="37"/>
        <v>0</v>
      </c>
    </row>
    <row r="1163" spans="2:17" ht="15" customHeight="1">
      <c r="B1163" s="5" t="str">
        <f>_xlfn.IFNA(VLOOKUP(C1163,Master!$H:$I,2,FALSE),"")</f>
        <v/>
      </c>
      <c r="D1163" s="5" t="str">
        <f>_xlfn.IFNA(VLOOKUP(E1163,Master!$H:$I,2,FALSE),"")</f>
        <v/>
      </c>
      <c r="F1163" s="26" t="str">
        <f>+_xlfn.XLOOKUP(G1163,Master!$V$2:$V$8,Master!$U$2:$U$8,"")</f>
        <v/>
      </c>
      <c r="I1163" s="4" t="str">
        <f>_xlfn.IFNA(VLOOKUP(D1163,Master!$I:$K,2,FALSE),"")</f>
        <v/>
      </c>
      <c r="J1163" s="4" t="str">
        <f>_xlfn.IFNA(VLOOKUP(D1163,Master!$I:$K,3,FALSE),"")</f>
        <v/>
      </c>
      <c r="L1163" s="27" t="str">
        <f>IF(A1163&lt;&gt;"CFA",_xlfn.IFNA(VLOOKUP($G1163,Master!$V$2:$Z$8,5,0),""),"")</f>
        <v/>
      </c>
      <c r="P1163" s="6" t="str">
        <f t="shared" si="36"/>
        <v/>
      </c>
      <c r="Q1163" s="13">
        <f t="shared" si="37"/>
        <v>0</v>
      </c>
    </row>
    <row r="1164" spans="2:17" ht="15" customHeight="1">
      <c r="B1164" s="5" t="str">
        <f>_xlfn.IFNA(VLOOKUP(C1164,Master!$H:$I,2,FALSE),"")</f>
        <v/>
      </c>
      <c r="D1164" s="5" t="str">
        <f>_xlfn.IFNA(VLOOKUP(E1164,Master!$H:$I,2,FALSE),"")</f>
        <v/>
      </c>
      <c r="F1164" s="26" t="str">
        <f>+_xlfn.XLOOKUP(G1164,Master!$V$2:$V$8,Master!$U$2:$U$8,"")</f>
        <v/>
      </c>
      <c r="I1164" s="4" t="str">
        <f>_xlfn.IFNA(VLOOKUP(D1164,Master!$I:$K,2,FALSE),"")</f>
        <v/>
      </c>
      <c r="J1164" s="4" t="str">
        <f>_xlfn.IFNA(VLOOKUP(D1164,Master!$I:$K,3,FALSE),"")</f>
        <v/>
      </c>
      <c r="L1164" s="27" t="str">
        <f>IF(A1164&lt;&gt;"CFA",_xlfn.IFNA(VLOOKUP($G1164,Master!$V$2:$Z$8,5,0),""),"")</f>
        <v/>
      </c>
      <c r="P1164" s="6" t="str">
        <f t="shared" si="36"/>
        <v/>
      </c>
      <c r="Q1164" s="13">
        <f t="shared" si="37"/>
        <v>0</v>
      </c>
    </row>
    <row r="1165" spans="2:17" ht="15" customHeight="1">
      <c r="B1165" s="5" t="str">
        <f>_xlfn.IFNA(VLOOKUP(C1165,Master!$H:$I,2,FALSE),"")</f>
        <v/>
      </c>
      <c r="D1165" s="5" t="str">
        <f>_xlfn.IFNA(VLOOKUP(E1165,Master!$H:$I,2,FALSE),"")</f>
        <v/>
      </c>
      <c r="F1165" s="26" t="str">
        <f>+_xlfn.XLOOKUP(G1165,Master!$V$2:$V$8,Master!$U$2:$U$8,"")</f>
        <v/>
      </c>
      <c r="I1165" s="4" t="str">
        <f>_xlfn.IFNA(VLOOKUP(D1165,Master!$I:$K,2,FALSE),"")</f>
        <v/>
      </c>
      <c r="J1165" s="4" t="str">
        <f>_xlfn.IFNA(VLOOKUP(D1165,Master!$I:$K,3,FALSE),"")</f>
        <v/>
      </c>
      <c r="L1165" s="27" t="str">
        <f>IF(A1165&lt;&gt;"CFA",_xlfn.IFNA(VLOOKUP($G1165,Master!$V$2:$Z$8,5,0),""),"")</f>
        <v/>
      </c>
      <c r="P1165" s="6" t="str">
        <f t="shared" si="36"/>
        <v/>
      </c>
      <c r="Q1165" s="13">
        <f t="shared" si="37"/>
        <v>0</v>
      </c>
    </row>
    <row r="1166" spans="2:17" ht="15" customHeight="1">
      <c r="B1166" s="5" t="str">
        <f>_xlfn.IFNA(VLOOKUP(C1166,Master!$H:$I,2,FALSE),"")</f>
        <v/>
      </c>
      <c r="D1166" s="5" t="str">
        <f>_xlfn.IFNA(VLOOKUP(E1166,Master!$H:$I,2,FALSE),"")</f>
        <v/>
      </c>
      <c r="F1166" s="26" t="str">
        <f>+_xlfn.XLOOKUP(G1166,Master!$V$2:$V$8,Master!$U$2:$U$8,"")</f>
        <v/>
      </c>
      <c r="I1166" s="4" t="str">
        <f>_xlfn.IFNA(VLOOKUP(D1166,Master!$I:$K,2,FALSE),"")</f>
        <v/>
      </c>
      <c r="J1166" s="4" t="str">
        <f>_xlfn.IFNA(VLOOKUP(D1166,Master!$I:$K,3,FALSE),"")</f>
        <v/>
      </c>
      <c r="L1166" s="27" t="str">
        <f>IF(A1166&lt;&gt;"CFA",_xlfn.IFNA(VLOOKUP($G1166,Master!$V$2:$Z$8,5,0),""),"")</f>
        <v/>
      </c>
      <c r="P1166" s="6" t="str">
        <f t="shared" si="36"/>
        <v/>
      </c>
      <c r="Q1166" s="13">
        <f t="shared" si="37"/>
        <v>0</v>
      </c>
    </row>
    <row r="1167" spans="2:17" ht="15" customHeight="1">
      <c r="B1167" s="5" t="str">
        <f>_xlfn.IFNA(VLOOKUP(C1167,Master!$H:$I,2,FALSE),"")</f>
        <v/>
      </c>
      <c r="D1167" s="5" t="str">
        <f>_xlfn.IFNA(VLOOKUP(E1167,Master!$H:$I,2,FALSE),"")</f>
        <v/>
      </c>
      <c r="F1167" s="26" t="str">
        <f>+_xlfn.XLOOKUP(G1167,Master!$V$2:$V$8,Master!$U$2:$U$8,"")</f>
        <v/>
      </c>
      <c r="I1167" s="4" t="str">
        <f>_xlfn.IFNA(VLOOKUP(D1167,Master!$I:$K,2,FALSE),"")</f>
        <v/>
      </c>
      <c r="J1167" s="4" t="str">
        <f>_xlfn.IFNA(VLOOKUP(D1167,Master!$I:$K,3,FALSE),"")</f>
        <v/>
      </c>
      <c r="L1167" s="27" t="str">
        <f>IF(A1167&lt;&gt;"CFA",_xlfn.IFNA(VLOOKUP($G1167,Master!$V$2:$Z$8,5,0),""),"")</f>
        <v/>
      </c>
      <c r="P1167" s="6" t="str">
        <f t="shared" si="36"/>
        <v/>
      </c>
      <c r="Q1167" s="13">
        <f t="shared" si="37"/>
        <v>0</v>
      </c>
    </row>
    <row r="1168" spans="2:17" ht="15" customHeight="1">
      <c r="B1168" s="5" t="str">
        <f>_xlfn.IFNA(VLOOKUP(C1168,Master!$H:$I,2,FALSE),"")</f>
        <v/>
      </c>
      <c r="D1168" s="5" t="str">
        <f>_xlfn.IFNA(VLOOKUP(E1168,Master!$H:$I,2,FALSE),"")</f>
        <v/>
      </c>
      <c r="F1168" s="26" t="str">
        <f>+_xlfn.XLOOKUP(G1168,Master!$V$2:$V$8,Master!$U$2:$U$8,"")</f>
        <v/>
      </c>
      <c r="I1168" s="4" t="str">
        <f>_xlfn.IFNA(VLOOKUP(D1168,Master!$I:$K,2,FALSE),"")</f>
        <v/>
      </c>
      <c r="J1168" s="4" t="str">
        <f>_xlfn.IFNA(VLOOKUP(D1168,Master!$I:$K,3,FALSE),"")</f>
        <v/>
      </c>
      <c r="L1168" s="27" t="str">
        <f>IF(A1168&lt;&gt;"CFA",_xlfn.IFNA(VLOOKUP($G1168,Master!$V$2:$Z$8,5,0),""),"")</f>
        <v/>
      </c>
      <c r="P1168" s="6" t="str">
        <f t="shared" si="36"/>
        <v/>
      </c>
      <c r="Q1168" s="13">
        <f t="shared" si="37"/>
        <v>0</v>
      </c>
    </row>
    <row r="1169" spans="2:17" ht="15" customHeight="1">
      <c r="B1169" s="5" t="str">
        <f>_xlfn.IFNA(VLOOKUP(C1169,Master!$H:$I,2,FALSE),"")</f>
        <v/>
      </c>
      <c r="D1169" s="5" t="str">
        <f>_xlfn.IFNA(VLOOKUP(E1169,Master!$H:$I,2,FALSE),"")</f>
        <v/>
      </c>
      <c r="F1169" s="26" t="str">
        <f>+_xlfn.XLOOKUP(G1169,Master!$V$2:$V$8,Master!$U$2:$U$8,"")</f>
        <v/>
      </c>
      <c r="I1169" s="4" t="str">
        <f>_xlfn.IFNA(VLOOKUP(D1169,Master!$I:$K,2,FALSE),"")</f>
        <v/>
      </c>
      <c r="J1169" s="4" t="str">
        <f>_xlfn.IFNA(VLOOKUP(D1169,Master!$I:$K,3,FALSE),"")</f>
        <v/>
      </c>
      <c r="L1169" s="27" t="str">
        <f>IF(A1169&lt;&gt;"CFA",_xlfn.IFNA(VLOOKUP($G1169,Master!$V$2:$Z$8,5,0),""),"")</f>
        <v/>
      </c>
      <c r="P1169" s="6" t="str">
        <f t="shared" si="36"/>
        <v/>
      </c>
      <c r="Q1169" s="13">
        <f t="shared" si="37"/>
        <v>0</v>
      </c>
    </row>
    <row r="1170" spans="2:17" ht="15" customHeight="1">
      <c r="B1170" s="5" t="str">
        <f>_xlfn.IFNA(VLOOKUP(C1170,Master!$H:$I,2,FALSE),"")</f>
        <v/>
      </c>
      <c r="D1170" s="5" t="str">
        <f>_xlfn.IFNA(VLOOKUP(E1170,Master!$H:$I,2,FALSE),"")</f>
        <v/>
      </c>
      <c r="F1170" s="26" t="str">
        <f>+_xlfn.XLOOKUP(G1170,Master!$V$2:$V$8,Master!$U$2:$U$8,"")</f>
        <v/>
      </c>
      <c r="I1170" s="4" t="str">
        <f>_xlfn.IFNA(VLOOKUP(D1170,Master!$I:$K,2,FALSE),"")</f>
        <v/>
      </c>
      <c r="J1170" s="4" t="str">
        <f>_xlfn.IFNA(VLOOKUP(D1170,Master!$I:$K,3,FALSE),"")</f>
        <v/>
      </c>
      <c r="L1170" s="27" t="str">
        <f>IF(A1170&lt;&gt;"CFA",_xlfn.IFNA(VLOOKUP($G1170,Master!$V$2:$Z$8,5,0),""),"")</f>
        <v/>
      </c>
      <c r="P1170" s="6" t="str">
        <f t="shared" si="36"/>
        <v/>
      </c>
      <c r="Q1170" s="13">
        <f t="shared" si="37"/>
        <v>0</v>
      </c>
    </row>
    <row r="1171" spans="2:17" ht="15" customHeight="1">
      <c r="B1171" s="5" t="str">
        <f>_xlfn.IFNA(VLOOKUP(C1171,Master!$H:$I,2,FALSE),"")</f>
        <v/>
      </c>
      <c r="D1171" s="5" t="str">
        <f>_xlfn.IFNA(VLOOKUP(E1171,Master!$H:$I,2,FALSE),"")</f>
        <v/>
      </c>
      <c r="F1171" s="26" t="str">
        <f>+_xlfn.XLOOKUP(G1171,Master!$V$2:$V$8,Master!$U$2:$U$8,"")</f>
        <v/>
      </c>
      <c r="I1171" s="4" t="str">
        <f>_xlfn.IFNA(VLOOKUP(D1171,Master!$I:$K,2,FALSE),"")</f>
        <v/>
      </c>
      <c r="J1171" s="4" t="str">
        <f>_xlfn.IFNA(VLOOKUP(D1171,Master!$I:$K,3,FALSE),"")</f>
        <v/>
      </c>
      <c r="L1171" s="27" t="str">
        <f>IF(A1171&lt;&gt;"CFA",_xlfn.IFNA(VLOOKUP($G1171,Master!$V$2:$Z$8,5,0),""),"")</f>
        <v/>
      </c>
      <c r="P1171" s="6" t="str">
        <f t="shared" si="36"/>
        <v/>
      </c>
      <c r="Q1171" s="13">
        <f t="shared" si="37"/>
        <v>0</v>
      </c>
    </row>
    <row r="1172" spans="2:17" ht="15" customHeight="1">
      <c r="B1172" s="5" t="str">
        <f>_xlfn.IFNA(VLOOKUP(C1172,Master!$H:$I,2,FALSE),"")</f>
        <v/>
      </c>
      <c r="D1172" s="5" t="str">
        <f>_xlfn.IFNA(VLOOKUP(E1172,Master!$H:$I,2,FALSE),"")</f>
        <v/>
      </c>
      <c r="F1172" s="26" t="str">
        <f>+_xlfn.XLOOKUP(G1172,Master!$V$2:$V$8,Master!$U$2:$U$8,"")</f>
        <v/>
      </c>
      <c r="I1172" s="4" t="str">
        <f>_xlfn.IFNA(VLOOKUP(D1172,Master!$I:$K,2,FALSE),"")</f>
        <v/>
      </c>
      <c r="J1172" s="4" t="str">
        <f>_xlfn.IFNA(VLOOKUP(D1172,Master!$I:$K,3,FALSE),"")</f>
        <v/>
      </c>
      <c r="L1172" s="27" t="str">
        <f>IF(A1172&lt;&gt;"CFA",_xlfn.IFNA(VLOOKUP($G1172,Master!$V$2:$Z$8,5,0),""),"")</f>
        <v/>
      </c>
      <c r="P1172" s="6" t="str">
        <f t="shared" si="36"/>
        <v/>
      </c>
      <c r="Q1172" s="13">
        <f t="shared" si="37"/>
        <v>0</v>
      </c>
    </row>
    <row r="1173" spans="2:17" ht="15" customHeight="1">
      <c r="B1173" s="5" t="str">
        <f>_xlfn.IFNA(VLOOKUP(C1173,Master!$H:$I,2,FALSE),"")</f>
        <v/>
      </c>
      <c r="D1173" s="5" t="str">
        <f>_xlfn.IFNA(VLOOKUP(E1173,Master!$H:$I,2,FALSE),"")</f>
        <v/>
      </c>
      <c r="F1173" s="26" t="str">
        <f>+_xlfn.XLOOKUP(G1173,Master!$V$2:$V$8,Master!$U$2:$U$8,"")</f>
        <v/>
      </c>
      <c r="I1173" s="4" t="str">
        <f>_xlfn.IFNA(VLOOKUP(D1173,Master!$I:$K,2,FALSE),"")</f>
        <v/>
      </c>
      <c r="J1173" s="4" t="str">
        <f>_xlfn.IFNA(VLOOKUP(D1173,Master!$I:$K,3,FALSE),"")</f>
        <v/>
      </c>
      <c r="L1173" s="27" t="str">
        <f>IF(A1173&lt;&gt;"CFA",_xlfn.IFNA(VLOOKUP($G1173,Master!$V$2:$Z$8,5,0),""),"")</f>
        <v/>
      </c>
      <c r="P1173" s="6" t="str">
        <f t="shared" si="36"/>
        <v/>
      </c>
      <c r="Q1173" s="13">
        <f t="shared" si="37"/>
        <v>0</v>
      </c>
    </row>
    <row r="1174" spans="2:17" ht="15" customHeight="1">
      <c r="B1174" s="5" t="str">
        <f>_xlfn.IFNA(VLOOKUP(C1174,Master!$H:$I,2,FALSE),"")</f>
        <v/>
      </c>
      <c r="D1174" s="5" t="str">
        <f>_xlfn.IFNA(VLOOKUP(E1174,Master!$H:$I,2,FALSE),"")</f>
        <v/>
      </c>
      <c r="F1174" s="26" t="str">
        <f>+_xlfn.XLOOKUP(G1174,Master!$V$2:$V$8,Master!$U$2:$U$8,"")</f>
        <v/>
      </c>
      <c r="I1174" s="4" t="str">
        <f>_xlfn.IFNA(VLOOKUP(D1174,Master!$I:$K,2,FALSE),"")</f>
        <v/>
      </c>
      <c r="J1174" s="4" t="str">
        <f>_xlfn.IFNA(VLOOKUP(D1174,Master!$I:$K,3,FALSE),"")</f>
        <v/>
      </c>
      <c r="L1174" s="27" t="str">
        <f>IF(A1174&lt;&gt;"CFA",_xlfn.IFNA(VLOOKUP($G1174,Master!$V$2:$Z$8,5,0),""),"")</f>
        <v/>
      </c>
      <c r="P1174" s="6" t="str">
        <f t="shared" si="36"/>
        <v/>
      </c>
      <c r="Q1174" s="13">
        <f t="shared" si="37"/>
        <v>0</v>
      </c>
    </row>
    <row r="1175" spans="2:17" ht="15" customHeight="1">
      <c r="B1175" s="5" t="str">
        <f>_xlfn.IFNA(VLOOKUP(C1175,Master!$H:$I,2,FALSE),"")</f>
        <v/>
      </c>
      <c r="D1175" s="5" t="str">
        <f>_xlfn.IFNA(VLOOKUP(E1175,Master!$H:$I,2,FALSE),"")</f>
        <v/>
      </c>
      <c r="F1175" s="26" t="str">
        <f>+_xlfn.XLOOKUP(G1175,Master!$V$2:$V$8,Master!$U$2:$U$8,"")</f>
        <v/>
      </c>
      <c r="I1175" s="4" t="str">
        <f>_xlfn.IFNA(VLOOKUP(D1175,Master!$I:$K,2,FALSE),"")</f>
        <v/>
      </c>
      <c r="J1175" s="4" t="str">
        <f>_xlfn.IFNA(VLOOKUP(D1175,Master!$I:$K,3,FALSE),"")</f>
        <v/>
      </c>
      <c r="L1175" s="27" t="str">
        <f>IF(A1175&lt;&gt;"CFA",_xlfn.IFNA(VLOOKUP($G1175,Master!$V$2:$Z$8,5,0),""),"")</f>
        <v/>
      </c>
      <c r="P1175" s="6" t="str">
        <f t="shared" si="36"/>
        <v/>
      </c>
      <c r="Q1175" s="13">
        <f t="shared" si="37"/>
        <v>0</v>
      </c>
    </row>
    <row r="1176" spans="2:17" ht="15" customHeight="1">
      <c r="B1176" s="5" t="str">
        <f>_xlfn.IFNA(VLOOKUP(C1176,Master!$H:$I,2,FALSE),"")</f>
        <v/>
      </c>
      <c r="D1176" s="5" t="str">
        <f>_xlfn.IFNA(VLOOKUP(E1176,Master!$H:$I,2,FALSE),"")</f>
        <v/>
      </c>
      <c r="F1176" s="26" t="str">
        <f>+_xlfn.XLOOKUP(G1176,Master!$V$2:$V$8,Master!$U$2:$U$8,"")</f>
        <v/>
      </c>
      <c r="I1176" s="4" t="str">
        <f>_xlfn.IFNA(VLOOKUP(D1176,Master!$I:$K,2,FALSE),"")</f>
        <v/>
      </c>
      <c r="J1176" s="4" t="str">
        <f>_xlfn.IFNA(VLOOKUP(D1176,Master!$I:$K,3,FALSE),"")</f>
        <v/>
      </c>
      <c r="L1176" s="27" t="str">
        <f>IF(A1176&lt;&gt;"CFA",_xlfn.IFNA(VLOOKUP($G1176,Master!$V$2:$Z$8,5,0),""),"")</f>
        <v/>
      </c>
      <c r="P1176" s="6" t="str">
        <f t="shared" si="36"/>
        <v/>
      </c>
      <c r="Q1176" s="13">
        <f t="shared" si="37"/>
        <v>0</v>
      </c>
    </row>
    <row r="1177" spans="2:17" ht="15" customHeight="1">
      <c r="B1177" s="5" t="str">
        <f>_xlfn.IFNA(VLOOKUP(C1177,Master!$H:$I,2,FALSE),"")</f>
        <v/>
      </c>
      <c r="D1177" s="5" t="str">
        <f>_xlfn.IFNA(VLOOKUP(E1177,Master!$H:$I,2,FALSE),"")</f>
        <v/>
      </c>
      <c r="F1177" s="26" t="str">
        <f>+_xlfn.XLOOKUP(G1177,Master!$V$2:$V$8,Master!$U$2:$U$8,"")</f>
        <v/>
      </c>
      <c r="I1177" s="4" t="str">
        <f>_xlfn.IFNA(VLOOKUP(D1177,Master!$I:$K,2,FALSE),"")</f>
        <v/>
      </c>
      <c r="J1177" s="4" t="str">
        <f>_xlfn.IFNA(VLOOKUP(D1177,Master!$I:$K,3,FALSE),"")</f>
        <v/>
      </c>
      <c r="L1177" s="27" t="str">
        <f>IF(A1177&lt;&gt;"CFA",_xlfn.IFNA(VLOOKUP($G1177,Master!$V$2:$Z$8,5,0),""),"")</f>
        <v/>
      </c>
      <c r="P1177" s="6" t="str">
        <f t="shared" si="36"/>
        <v/>
      </c>
      <c r="Q1177" s="13">
        <f t="shared" si="37"/>
        <v>0</v>
      </c>
    </row>
    <row r="1178" spans="2:17" ht="15" customHeight="1">
      <c r="B1178" s="5" t="str">
        <f>_xlfn.IFNA(VLOOKUP(C1178,Master!$H:$I,2,FALSE),"")</f>
        <v/>
      </c>
      <c r="D1178" s="5" t="str">
        <f>_xlfn.IFNA(VLOOKUP(E1178,Master!$H:$I,2,FALSE),"")</f>
        <v/>
      </c>
      <c r="F1178" s="26" t="str">
        <f>+_xlfn.XLOOKUP(G1178,Master!$V$2:$V$8,Master!$U$2:$U$8,"")</f>
        <v/>
      </c>
      <c r="I1178" s="4" t="str">
        <f>_xlfn.IFNA(VLOOKUP(D1178,Master!$I:$K,2,FALSE),"")</f>
        <v/>
      </c>
      <c r="J1178" s="4" t="str">
        <f>_xlfn.IFNA(VLOOKUP(D1178,Master!$I:$K,3,FALSE),"")</f>
        <v/>
      </c>
      <c r="L1178" s="27" t="str">
        <f>IF(A1178&lt;&gt;"CFA",_xlfn.IFNA(VLOOKUP($G1178,Master!$V$2:$Z$8,5,0),""),"")</f>
        <v/>
      </c>
      <c r="P1178" s="6" t="str">
        <f t="shared" si="36"/>
        <v/>
      </c>
      <c r="Q1178" s="13">
        <f t="shared" si="37"/>
        <v>0</v>
      </c>
    </row>
    <row r="1179" spans="2:17" ht="15" customHeight="1">
      <c r="B1179" s="5" t="str">
        <f>_xlfn.IFNA(VLOOKUP(C1179,Master!$H:$I,2,FALSE),"")</f>
        <v/>
      </c>
      <c r="D1179" s="5" t="str">
        <f>_xlfn.IFNA(VLOOKUP(E1179,Master!$H:$I,2,FALSE),"")</f>
        <v/>
      </c>
      <c r="F1179" s="26" t="str">
        <f>+_xlfn.XLOOKUP(G1179,Master!$V$2:$V$8,Master!$U$2:$U$8,"")</f>
        <v/>
      </c>
      <c r="I1179" s="4" t="str">
        <f>_xlfn.IFNA(VLOOKUP(D1179,Master!$I:$K,2,FALSE),"")</f>
        <v/>
      </c>
      <c r="J1179" s="4" t="str">
        <f>_xlfn.IFNA(VLOOKUP(D1179,Master!$I:$K,3,FALSE),"")</f>
        <v/>
      </c>
      <c r="L1179" s="27" t="str">
        <f>IF(A1179&lt;&gt;"CFA",_xlfn.IFNA(VLOOKUP($G1179,Master!$V$2:$Z$8,5,0),""),"")</f>
        <v/>
      </c>
      <c r="P1179" s="6" t="str">
        <f t="shared" si="36"/>
        <v/>
      </c>
      <c r="Q1179" s="13">
        <f t="shared" si="37"/>
        <v>0</v>
      </c>
    </row>
    <row r="1180" spans="2:17" ht="15" customHeight="1">
      <c r="B1180" s="5" t="str">
        <f>_xlfn.IFNA(VLOOKUP(C1180,Master!$H:$I,2,FALSE),"")</f>
        <v/>
      </c>
      <c r="D1180" s="5" t="str">
        <f>_xlfn.IFNA(VLOOKUP(E1180,Master!$H:$I,2,FALSE),"")</f>
        <v/>
      </c>
      <c r="F1180" s="26" t="str">
        <f>+_xlfn.XLOOKUP(G1180,Master!$V$2:$V$8,Master!$U$2:$U$8,"")</f>
        <v/>
      </c>
      <c r="I1180" s="4" t="str">
        <f>_xlfn.IFNA(VLOOKUP(D1180,Master!$I:$K,2,FALSE),"")</f>
        <v/>
      </c>
      <c r="J1180" s="4" t="str">
        <f>_xlfn.IFNA(VLOOKUP(D1180,Master!$I:$K,3,FALSE),"")</f>
        <v/>
      </c>
      <c r="L1180" s="27" t="str">
        <f>IF(A1180&lt;&gt;"CFA",_xlfn.IFNA(VLOOKUP($G1180,Master!$V$2:$Z$8,5,0),""),"")</f>
        <v/>
      </c>
      <c r="P1180" s="6" t="str">
        <f t="shared" si="36"/>
        <v/>
      </c>
      <c r="Q1180" s="13">
        <f t="shared" si="37"/>
        <v>0</v>
      </c>
    </row>
    <row r="1181" spans="2:17" ht="15" customHeight="1">
      <c r="B1181" s="5" t="str">
        <f>_xlfn.IFNA(VLOOKUP(C1181,Master!$H:$I,2,FALSE),"")</f>
        <v/>
      </c>
      <c r="D1181" s="5" t="str">
        <f>_xlfn.IFNA(VLOOKUP(E1181,Master!$H:$I,2,FALSE),"")</f>
        <v/>
      </c>
      <c r="F1181" s="26" t="str">
        <f>+_xlfn.XLOOKUP(G1181,Master!$V$2:$V$8,Master!$U$2:$U$8,"")</f>
        <v/>
      </c>
      <c r="I1181" s="4" t="str">
        <f>_xlfn.IFNA(VLOOKUP(D1181,Master!$I:$K,2,FALSE),"")</f>
        <v/>
      </c>
      <c r="J1181" s="4" t="str">
        <f>_xlfn.IFNA(VLOOKUP(D1181,Master!$I:$K,3,FALSE),"")</f>
        <v/>
      </c>
      <c r="L1181" s="27" t="str">
        <f>IF(A1181&lt;&gt;"CFA",_xlfn.IFNA(VLOOKUP($G1181,Master!$V$2:$Z$8,5,0),""),"")</f>
        <v/>
      </c>
      <c r="P1181" s="6" t="str">
        <f t="shared" si="36"/>
        <v/>
      </c>
      <c r="Q1181" s="13">
        <f t="shared" si="37"/>
        <v>0</v>
      </c>
    </row>
    <row r="1182" spans="2:17" ht="15" customHeight="1">
      <c r="B1182" s="5" t="str">
        <f>_xlfn.IFNA(VLOOKUP(C1182,Master!$H:$I,2,FALSE),"")</f>
        <v/>
      </c>
      <c r="D1182" s="5" t="str">
        <f>_xlfn.IFNA(VLOOKUP(E1182,Master!$H:$I,2,FALSE),"")</f>
        <v/>
      </c>
      <c r="F1182" s="26" t="str">
        <f>+_xlfn.XLOOKUP(G1182,Master!$V$2:$V$8,Master!$U$2:$U$8,"")</f>
        <v/>
      </c>
      <c r="I1182" s="4" t="str">
        <f>_xlfn.IFNA(VLOOKUP(D1182,Master!$I:$K,2,FALSE),"")</f>
        <v/>
      </c>
      <c r="J1182" s="4" t="str">
        <f>_xlfn.IFNA(VLOOKUP(D1182,Master!$I:$K,3,FALSE),"")</f>
        <v/>
      </c>
      <c r="L1182" s="27" t="str">
        <f>IF(A1182&lt;&gt;"CFA",_xlfn.IFNA(VLOOKUP($G1182,Master!$V$2:$Z$8,5,0),""),"")</f>
        <v/>
      </c>
      <c r="P1182" s="6" t="str">
        <f t="shared" si="36"/>
        <v/>
      </c>
      <c r="Q1182" s="13">
        <f t="shared" si="37"/>
        <v>0</v>
      </c>
    </row>
    <row r="1183" spans="2:17" ht="15" customHeight="1">
      <c r="B1183" s="5" t="str">
        <f>_xlfn.IFNA(VLOOKUP(C1183,Master!$H:$I,2,FALSE),"")</f>
        <v/>
      </c>
      <c r="D1183" s="5" t="str">
        <f>_xlfn.IFNA(VLOOKUP(E1183,Master!$H:$I,2,FALSE),"")</f>
        <v/>
      </c>
      <c r="F1183" s="26" t="str">
        <f>+_xlfn.XLOOKUP(G1183,Master!$V$2:$V$8,Master!$U$2:$U$8,"")</f>
        <v/>
      </c>
      <c r="I1183" s="4" t="str">
        <f>_xlfn.IFNA(VLOOKUP(D1183,Master!$I:$K,2,FALSE),"")</f>
        <v/>
      </c>
      <c r="J1183" s="4" t="str">
        <f>_xlfn.IFNA(VLOOKUP(D1183,Master!$I:$K,3,FALSE),"")</f>
        <v/>
      </c>
      <c r="L1183" s="27" t="str">
        <f>IF(A1183&lt;&gt;"CFA",_xlfn.IFNA(VLOOKUP($G1183,Master!$V$2:$Z$8,5,0),""),"")</f>
        <v/>
      </c>
      <c r="P1183" s="6" t="str">
        <f t="shared" si="36"/>
        <v/>
      </c>
      <c r="Q1183" s="13">
        <f t="shared" si="37"/>
        <v>0</v>
      </c>
    </row>
    <row r="1184" spans="2:17" ht="15" customHeight="1">
      <c r="B1184" s="5" t="str">
        <f>_xlfn.IFNA(VLOOKUP(C1184,Master!$H:$I,2,FALSE),"")</f>
        <v/>
      </c>
      <c r="D1184" s="5" t="str">
        <f>_xlfn.IFNA(VLOOKUP(E1184,Master!$H:$I,2,FALSE),"")</f>
        <v/>
      </c>
      <c r="F1184" s="26" t="str">
        <f>+_xlfn.XLOOKUP(G1184,Master!$V$2:$V$8,Master!$U$2:$U$8,"")</f>
        <v/>
      </c>
      <c r="I1184" s="4" t="str">
        <f>_xlfn.IFNA(VLOOKUP(D1184,Master!$I:$K,2,FALSE),"")</f>
        <v/>
      </c>
      <c r="J1184" s="4" t="str">
        <f>_xlfn.IFNA(VLOOKUP(D1184,Master!$I:$K,3,FALSE),"")</f>
        <v/>
      </c>
      <c r="L1184" s="27" t="str">
        <f>IF(A1184&lt;&gt;"CFA",_xlfn.IFNA(VLOOKUP($G1184,Master!$V$2:$Z$8,5,0),""),"")</f>
        <v/>
      </c>
      <c r="P1184" s="6" t="str">
        <f t="shared" si="36"/>
        <v/>
      </c>
      <c r="Q1184" s="13">
        <f t="shared" si="37"/>
        <v>0</v>
      </c>
    </row>
    <row r="1185" spans="2:17" ht="15" customHeight="1">
      <c r="B1185" s="5" t="str">
        <f>_xlfn.IFNA(VLOOKUP(C1185,Master!$H:$I,2,FALSE),"")</f>
        <v/>
      </c>
      <c r="D1185" s="5" t="str">
        <f>_xlfn.IFNA(VLOOKUP(E1185,Master!$H:$I,2,FALSE),"")</f>
        <v/>
      </c>
      <c r="F1185" s="26" t="str">
        <f>+_xlfn.XLOOKUP(G1185,Master!$V$2:$V$8,Master!$U$2:$U$8,"")</f>
        <v/>
      </c>
      <c r="I1185" s="4" t="str">
        <f>_xlfn.IFNA(VLOOKUP(D1185,Master!$I:$K,2,FALSE),"")</f>
        <v/>
      </c>
      <c r="J1185" s="4" t="str">
        <f>_xlfn.IFNA(VLOOKUP(D1185,Master!$I:$K,3,FALSE),"")</f>
        <v/>
      </c>
      <c r="L1185" s="27" t="str">
        <f>IF(A1185&lt;&gt;"CFA",_xlfn.IFNA(VLOOKUP($G1185,Master!$V$2:$Z$8,5,0),""),"")</f>
        <v/>
      </c>
      <c r="P1185" s="6" t="str">
        <f t="shared" si="36"/>
        <v/>
      </c>
      <c r="Q1185" s="13">
        <f t="shared" si="37"/>
        <v>0</v>
      </c>
    </row>
    <row r="1186" spans="2:17" ht="15" customHeight="1">
      <c r="B1186" s="5" t="str">
        <f>_xlfn.IFNA(VLOOKUP(C1186,Master!$H:$I,2,FALSE),"")</f>
        <v/>
      </c>
      <c r="D1186" s="5" t="str">
        <f>_xlfn.IFNA(VLOOKUP(E1186,Master!$H:$I,2,FALSE),"")</f>
        <v/>
      </c>
      <c r="F1186" s="26" t="str">
        <f>+_xlfn.XLOOKUP(G1186,Master!$V$2:$V$8,Master!$U$2:$U$8,"")</f>
        <v/>
      </c>
      <c r="I1186" s="4" t="str">
        <f>_xlfn.IFNA(VLOOKUP(D1186,Master!$I:$K,2,FALSE),"")</f>
        <v/>
      </c>
      <c r="J1186" s="4" t="str">
        <f>_xlfn.IFNA(VLOOKUP(D1186,Master!$I:$K,3,FALSE),"")</f>
        <v/>
      </c>
      <c r="L1186" s="27" t="str">
        <f>IF(A1186&lt;&gt;"CFA",_xlfn.IFNA(VLOOKUP($G1186,Master!$V$2:$Z$8,5,0),""),"")</f>
        <v/>
      </c>
      <c r="P1186" s="6" t="str">
        <f t="shared" si="36"/>
        <v/>
      </c>
      <c r="Q1186" s="13">
        <f t="shared" si="37"/>
        <v>0</v>
      </c>
    </row>
    <row r="1187" spans="2:17" ht="15" customHeight="1">
      <c r="B1187" s="5" t="str">
        <f>_xlfn.IFNA(VLOOKUP(C1187,Master!$H:$I,2,FALSE),"")</f>
        <v/>
      </c>
      <c r="D1187" s="5" t="str">
        <f>_xlfn.IFNA(VLOOKUP(E1187,Master!$H:$I,2,FALSE),"")</f>
        <v/>
      </c>
      <c r="F1187" s="26" t="str">
        <f>+_xlfn.XLOOKUP(G1187,Master!$V$2:$V$8,Master!$U$2:$U$8,"")</f>
        <v/>
      </c>
      <c r="I1187" s="4" t="str">
        <f>_xlfn.IFNA(VLOOKUP(D1187,Master!$I:$K,2,FALSE),"")</f>
        <v/>
      </c>
      <c r="J1187" s="4" t="str">
        <f>_xlfn.IFNA(VLOOKUP(D1187,Master!$I:$K,3,FALSE),"")</f>
        <v/>
      </c>
      <c r="L1187" s="27" t="str">
        <f>IF(A1187&lt;&gt;"CFA",_xlfn.IFNA(VLOOKUP($G1187,Master!$V$2:$Z$8,5,0),""),"")</f>
        <v/>
      </c>
      <c r="P1187" s="6" t="str">
        <f t="shared" si="36"/>
        <v/>
      </c>
      <c r="Q1187" s="13">
        <f t="shared" si="37"/>
        <v>0</v>
      </c>
    </row>
    <row r="1188" spans="2:17" ht="15" customHeight="1">
      <c r="B1188" s="5" t="str">
        <f>_xlfn.IFNA(VLOOKUP(C1188,Master!$H:$I,2,FALSE),"")</f>
        <v/>
      </c>
      <c r="D1188" s="5" t="str">
        <f>_xlfn.IFNA(VLOOKUP(E1188,Master!$H:$I,2,FALSE),"")</f>
        <v/>
      </c>
      <c r="F1188" s="26" t="str">
        <f>+_xlfn.XLOOKUP(G1188,Master!$V$2:$V$8,Master!$U$2:$U$8,"")</f>
        <v/>
      </c>
      <c r="I1188" s="4" t="str">
        <f>_xlfn.IFNA(VLOOKUP(D1188,Master!$I:$K,2,FALSE),"")</f>
        <v/>
      </c>
      <c r="J1188" s="4" t="str">
        <f>_xlfn.IFNA(VLOOKUP(D1188,Master!$I:$K,3,FALSE),"")</f>
        <v/>
      </c>
      <c r="L1188" s="27" t="str">
        <f>IF(A1188&lt;&gt;"CFA",_xlfn.IFNA(VLOOKUP($G1188,Master!$V$2:$Z$8,5,0),""),"")</f>
        <v/>
      </c>
      <c r="P1188" s="6" t="str">
        <f t="shared" si="36"/>
        <v/>
      </c>
      <c r="Q1188" s="13">
        <f t="shared" si="37"/>
        <v>0</v>
      </c>
    </row>
    <row r="1189" spans="2:17" ht="15" customHeight="1">
      <c r="B1189" s="5" t="str">
        <f>_xlfn.IFNA(VLOOKUP(C1189,Master!$H:$I,2,FALSE),"")</f>
        <v/>
      </c>
      <c r="D1189" s="5" t="str">
        <f>_xlfn.IFNA(VLOOKUP(E1189,Master!$H:$I,2,FALSE),"")</f>
        <v/>
      </c>
      <c r="F1189" s="26" t="str">
        <f>+_xlfn.XLOOKUP(G1189,Master!$V$2:$V$8,Master!$U$2:$U$8,"")</f>
        <v/>
      </c>
      <c r="I1189" s="4" t="str">
        <f>_xlfn.IFNA(VLOOKUP(D1189,Master!$I:$K,2,FALSE),"")</f>
        <v/>
      </c>
      <c r="J1189" s="4" t="str">
        <f>_xlfn.IFNA(VLOOKUP(D1189,Master!$I:$K,3,FALSE),"")</f>
        <v/>
      </c>
      <c r="L1189" s="27" t="str">
        <f>IF(A1189&lt;&gt;"CFA",_xlfn.IFNA(VLOOKUP($G1189,Master!$V$2:$Z$8,5,0),""),"")</f>
        <v/>
      </c>
      <c r="P1189" s="6" t="str">
        <f t="shared" si="36"/>
        <v/>
      </c>
      <c r="Q1189" s="13">
        <f t="shared" si="37"/>
        <v>0</v>
      </c>
    </row>
    <row r="1190" spans="2:17" ht="15" customHeight="1">
      <c r="B1190" s="5" t="str">
        <f>_xlfn.IFNA(VLOOKUP(C1190,Master!$H:$I,2,FALSE),"")</f>
        <v/>
      </c>
      <c r="D1190" s="5" t="str">
        <f>_xlfn.IFNA(VLOOKUP(E1190,Master!$H:$I,2,FALSE),"")</f>
        <v/>
      </c>
      <c r="F1190" s="26" t="str">
        <f>+_xlfn.XLOOKUP(G1190,Master!$V$2:$V$8,Master!$U$2:$U$8,"")</f>
        <v/>
      </c>
      <c r="I1190" s="4" t="str">
        <f>_xlfn.IFNA(VLOOKUP(D1190,Master!$I:$K,2,FALSE),"")</f>
        <v/>
      </c>
      <c r="J1190" s="4" t="str">
        <f>_xlfn.IFNA(VLOOKUP(D1190,Master!$I:$K,3,FALSE),"")</f>
        <v/>
      </c>
      <c r="L1190" s="27" t="str">
        <f>IF(A1190&lt;&gt;"CFA",_xlfn.IFNA(VLOOKUP($G1190,Master!$V$2:$Z$8,5,0),""),"")</f>
        <v/>
      </c>
      <c r="P1190" s="6" t="str">
        <f t="shared" si="36"/>
        <v/>
      </c>
      <c r="Q1190" s="13">
        <f t="shared" si="37"/>
        <v>0</v>
      </c>
    </row>
    <row r="1191" spans="2:17" ht="15" customHeight="1">
      <c r="B1191" s="5" t="str">
        <f>_xlfn.IFNA(VLOOKUP(C1191,Master!$H:$I,2,FALSE),"")</f>
        <v/>
      </c>
      <c r="D1191" s="5" t="str">
        <f>_xlfn.IFNA(VLOOKUP(E1191,Master!$H:$I,2,FALSE),"")</f>
        <v/>
      </c>
      <c r="F1191" s="26" t="str">
        <f>+_xlfn.XLOOKUP(G1191,Master!$V$2:$V$8,Master!$U$2:$U$8,"")</f>
        <v/>
      </c>
      <c r="I1191" s="4" t="str">
        <f>_xlfn.IFNA(VLOOKUP(D1191,Master!$I:$K,2,FALSE),"")</f>
        <v/>
      </c>
      <c r="J1191" s="4" t="str">
        <f>_xlfn.IFNA(VLOOKUP(D1191,Master!$I:$K,3,FALSE),"")</f>
        <v/>
      </c>
      <c r="L1191" s="27" t="str">
        <f>IF(A1191&lt;&gt;"CFA",_xlfn.IFNA(VLOOKUP($G1191,Master!$V$2:$Z$8,5,0),""),"")</f>
        <v/>
      </c>
      <c r="P1191" s="6" t="str">
        <f t="shared" si="36"/>
        <v/>
      </c>
      <c r="Q1191" s="13">
        <f t="shared" si="37"/>
        <v>0</v>
      </c>
    </row>
    <row r="1192" spans="2:17" ht="15" customHeight="1">
      <c r="B1192" s="5" t="str">
        <f>_xlfn.IFNA(VLOOKUP(C1192,Master!$H:$I,2,FALSE),"")</f>
        <v/>
      </c>
      <c r="D1192" s="5" t="str">
        <f>_xlfn.IFNA(VLOOKUP(E1192,Master!$H:$I,2,FALSE),"")</f>
        <v/>
      </c>
      <c r="F1192" s="26" t="str">
        <f>+_xlfn.XLOOKUP(G1192,Master!$V$2:$V$8,Master!$U$2:$U$8,"")</f>
        <v/>
      </c>
      <c r="I1192" s="4" t="str">
        <f>_xlfn.IFNA(VLOOKUP(D1192,Master!$I:$K,2,FALSE),"")</f>
        <v/>
      </c>
      <c r="J1192" s="4" t="str">
        <f>_xlfn.IFNA(VLOOKUP(D1192,Master!$I:$K,3,FALSE),"")</f>
        <v/>
      </c>
      <c r="L1192" s="27" t="str">
        <f>IF(A1192&lt;&gt;"CFA",_xlfn.IFNA(VLOOKUP($G1192,Master!$V$2:$Z$8,5,0),""),"")</f>
        <v/>
      </c>
      <c r="P1192" s="6" t="str">
        <f t="shared" si="36"/>
        <v/>
      </c>
      <c r="Q1192" s="13">
        <f t="shared" si="37"/>
        <v>0</v>
      </c>
    </row>
    <row r="1193" spans="2:17" ht="15" customHeight="1">
      <c r="B1193" s="5" t="str">
        <f>_xlfn.IFNA(VLOOKUP(C1193,Master!$H:$I,2,FALSE),"")</f>
        <v/>
      </c>
      <c r="D1193" s="5" t="str">
        <f>_xlfn.IFNA(VLOOKUP(E1193,Master!$H:$I,2,FALSE),"")</f>
        <v/>
      </c>
      <c r="F1193" s="26" t="str">
        <f>+_xlfn.XLOOKUP(G1193,Master!$V$2:$V$8,Master!$U$2:$U$8,"")</f>
        <v/>
      </c>
      <c r="I1193" s="4" t="str">
        <f>_xlfn.IFNA(VLOOKUP(D1193,Master!$I:$K,2,FALSE),"")</f>
        <v/>
      </c>
      <c r="J1193" s="4" t="str">
        <f>_xlfn.IFNA(VLOOKUP(D1193,Master!$I:$K,3,FALSE),"")</f>
        <v/>
      </c>
      <c r="L1193" s="27" t="str">
        <f>IF(A1193&lt;&gt;"CFA",_xlfn.IFNA(VLOOKUP($G1193,Master!$V$2:$Z$8,5,0),""),"")</f>
        <v/>
      </c>
      <c r="P1193" s="6" t="str">
        <f t="shared" si="36"/>
        <v/>
      </c>
      <c r="Q1193" s="13">
        <f t="shared" si="37"/>
        <v>0</v>
      </c>
    </row>
    <row r="1194" spans="2:17" ht="15" customHeight="1">
      <c r="B1194" s="5" t="str">
        <f>_xlfn.IFNA(VLOOKUP(C1194,Master!$H:$I,2,FALSE),"")</f>
        <v/>
      </c>
      <c r="D1194" s="5" t="str">
        <f>_xlfn.IFNA(VLOOKUP(E1194,Master!$H:$I,2,FALSE),"")</f>
        <v/>
      </c>
      <c r="F1194" s="26" t="str">
        <f>+_xlfn.XLOOKUP(G1194,Master!$V$2:$V$8,Master!$U$2:$U$8,"")</f>
        <v/>
      </c>
      <c r="I1194" s="4" t="str">
        <f>_xlfn.IFNA(VLOOKUP(D1194,Master!$I:$K,2,FALSE),"")</f>
        <v/>
      </c>
      <c r="J1194" s="4" t="str">
        <f>_xlfn.IFNA(VLOOKUP(D1194,Master!$I:$K,3,FALSE),"")</f>
        <v/>
      </c>
      <c r="L1194" s="27" t="str">
        <f>IF(A1194&lt;&gt;"CFA",_xlfn.IFNA(VLOOKUP($G1194,Master!$V$2:$Z$8,5,0),""),"")</f>
        <v/>
      </c>
      <c r="P1194" s="6" t="str">
        <f t="shared" si="36"/>
        <v/>
      </c>
      <c r="Q1194" s="13">
        <f t="shared" si="37"/>
        <v>0</v>
      </c>
    </row>
    <row r="1195" spans="2:17" ht="15" customHeight="1">
      <c r="B1195" s="5" t="str">
        <f>_xlfn.IFNA(VLOOKUP(C1195,Master!$H:$I,2,FALSE),"")</f>
        <v/>
      </c>
      <c r="D1195" s="5" t="str">
        <f>_xlfn.IFNA(VLOOKUP(E1195,Master!$H:$I,2,FALSE),"")</f>
        <v/>
      </c>
      <c r="F1195" s="26" t="str">
        <f>+_xlfn.XLOOKUP(G1195,Master!$V$2:$V$8,Master!$U$2:$U$8,"")</f>
        <v/>
      </c>
      <c r="I1195" s="4" t="str">
        <f>_xlfn.IFNA(VLOOKUP(D1195,Master!$I:$K,2,FALSE),"")</f>
        <v/>
      </c>
      <c r="J1195" s="4" t="str">
        <f>_xlfn.IFNA(VLOOKUP(D1195,Master!$I:$K,3,FALSE),"")</f>
        <v/>
      </c>
      <c r="L1195" s="27" t="str">
        <f>IF(A1195&lt;&gt;"CFA",_xlfn.IFNA(VLOOKUP($G1195,Master!$V$2:$Z$8,5,0),""),"")</f>
        <v/>
      </c>
      <c r="P1195" s="6" t="str">
        <f t="shared" si="36"/>
        <v/>
      </c>
      <c r="Q1195" s="13">
        <f t="shared" si="37"/>
        <v>0</v>
      </c>
    </row>
    <row r="1196" spans="2:17" ht="15" customHeight="1">
      <c r="B1196" s="5" t="str">
        <f>_xlfn.IFNA(VLOOKUP(C1196,Master!$H:$I,2,FALSE),"")</f>
        <v/>
      </c>
      <c r="D1196" s="5" t="str">
        <f>_xlfn.IFNA(VLOOKUP(E1196,Master!$H:$I,2,FALSE),"")</f>
        <v/>
      </c>
      <c r="F1196" s="26" t="str">
        <f>+_xlfn.XLOOKUP(G1196,Master!$V$2:$V$8,Master!$U$2:$U$8,"")</f>
        <v/>
      </c>
      <c r="I1196" s="4" t="str">
        <f>_xlfn.IFNA(VLOOKUP(D1196,Master!$I:$K,2,FALSE),"")</f>
        <v/>
      </c>
      <c r="J1196" s="4" t="str">
        <f>_xlfn.IFNA(VLOOKUP(D1196,Master!$I:$K,3,FALSE),"")</f>
        <v/>
      </c>
      <c r="L1196" s="27" t="str">
        <f>IF(A1196&lt;&gt;"CFA",_xlfn.IFNA(VLOOKUP($G1196,Master!$V$2:$Z$8,5,0),""),"")</f>
        <v/>
      </c>
      <c r="P1196" s="6" t="str">
        <f t="shared" si="36"/>
        <v/>
      </c>
      <c r="Q1196" s="13">
        <f t="shared" si="37"/>
        <v>0</v>
      </c>
    </row>
    <row r="1197" spans="2:17" ht="15" customHeight="1">
      <c r="B1197" s="5" t="str">
        <f>_xlfn.IFNA(VLOOKUP(C1197,Master!$H:$I,2,FALSE),"")</f>
        <v/>
      </c>
      <c r="D1197" s="5" t="str">
        <f>_xlfn.IFNA(VLOOKUP(E1197,Master!$H:$I,2,FALSE),"")</f>
        <v/>
      </c>
      <c r="F1197" s="26" t="str">
        <f>+_xlfn.XLOOKUP(G1197,Master!$V$2:$V$8,Master!$U$2:$U$8,"")</f>
        <v/>
      </c>
      <c r="I1197" s="4" t="str">
        <f>_xlfn.IFNA(VLOOKUP(D1197,Master!$I:$K,2,FALSE),"")</f>
        <v/>
      </c>
      <c r="J1197" s="4" t="str">
        <f>_xlfn.IFNA(VLOOKUP(D1197,Master!$I:$K,3,FALSE),"")</f>
        <v/>
      </c>
      <c r="L1197" s="27" t="str">
        <f>IF(A1197&lt;&gt;"CFA",_xlfn.IFNA(VLOOKUP($G1197,Master!$V$2:$Z$8,5,0),""),"")</f>
        <v/>
      </c>
      <c r="P1197" s="6" t="str">
        <f t="shared" si="36"/>
        <v/>
      </c>
      <c r="Q1197" s="13">
        <f t="shared" si="37"/>
        <v>0</v>
      </c>
    </row>
    <row r="1198" spans="2:17" ht="15" customHeight="1">
      <c r="B1198" s="5" t="str">
        <f>_xlfn.IFNA(VLOOKUP(C1198,Master!$H:$I,2,FALSE),"")</f>
        <v/>
      </c>
      <c r="D1198" s="5" t="str">
        <f>_xlfn.IFNA(VLOOKUP(E1198,Master!$H:$I,2,FALSE),"")</f>
        <v/>
      </c>
      <c r="F1198" s="26" t="str">
        <f>+_xlfn.XLOOKUP(G1198,Master!$V$2:$V$8,Master!$U$2:$U$8,"")</f>
        <v/>
      </c>
      <c r="I1198" s="4" t="str">
        <f>_xlfn.IFNA(VLOOKUP(D1198,Master!$I:$K,2,FALSE),"")</f>
        <v/>
      </c>
      <c r="J1198" s="4" t="str">
        <f>_xlfn.IFNA(VLOOKUP(D1198,Master!$I:$K,3,FALSE),"")</f>
        <v/>
      </c>
      <c r="L1198" s="27" t="str">
        <f>IF(A1198&lt;&gt;"CFA",_xlfn.IFNA(VLOOKUP($G1198,Master!$V$2:$Z$8,5,0),""),"")</f>
        <v/>
      </c>
      <c r="P1198" s="6" t="str">
        <f t="shared" si="36"/>
        <v/>
      </c>
      <c r="Q1198" s="13">
        <f t="shared" si="37"/>
        <v>0</v>
      </c>
    </row>
    <row r="1199" spans="2:17" ht="15" customHeight="1">
      <c r="B1199" s="5" t="str">
        <f>_xlfn.IFNA(VLOOKUP(C1199,Master!$H:$I,2,FALSE),"")</f>
        <v/>
      </c>
      <c r="D1199" s="5" t="str">
        <f>_xlfn.IFNA(VLOOKUP(E1199,Master!$H:$I,2,FALSE),"")</f>
        <v/>
      </c>
      <c r="F1199" s="26" t="str">
        <f>+_xlfn.XLOOKUP(G1199,Master!$V$2:$V$8,Master!$U$2:$U$8,"")</f>
        <v/>
      </c>
      <c r="I1199" s="4" t="str">
        <f>_xlfn.IFNA(VLOOKUP(D1199,Master!$I:$K,2,FALSE),"")</f>
        <v/>
      </c>
      <c r="J1199" s="4" t="str">
        <f>_xlfn.IFNA(VLOOKUP(D1199,Master!$I:$K,3,FALSE),"")</f>
        <v/>
      </c>
      <c r="L1199" s="27" t="str">
        <f>IF(A1199&lt;&gt;"CFA",_xlfn.IFNA(VLOOKUP($G1199,Master!$V$2:$Z$8,5,0),""),"")</f>
        <v/>
      </c>
      <c r="P1199" s="6" t="str">
        <f t="shared" si="36"/>
        <v/>
      </c>
      <c r="Q1199" s="13">
        <f t="shared" si="37"/>
        <v>0</v>
      </c>
    </row>
    <row r="1200" spans="2:17" ht="15" customHeight="1">
      <c r="B1200" s="5" t="str">
        <f>_xlfn.IFNA(VLOOKUP(C1200,Master!$H:$I,2,FALSE),"")</f>
        <v/>
      </c>
      <c r="D1200" s="5" t="str">
        <f>_xlfn.IFNA(VLOOKUP(E1200,Master!$H:$I,2,FALSE),"")</f>
        <v/>
      </c>
      <c r="F1200" s="26" t="str">
        <f>+_xlfn.XLOOKUP(G1200,Master!$V$2:$V$8,Master!$U$2:$U$8,"")</f>
        <v/>
      </c>
      <c r="I1200" s="4" t="str">
        <f>_xlfn.IFNA(VLOOKUP(D1200,Master!$I:$K,2,FALSE),"")</f>
        <v/>
      </c>
      <c r="J1200" s="4" t="str">
        <f>_xlfn.IFNA(VLOOKUP(D1200,Master!$I:$K,3,FALSE),"")</f>
        <v/>
      </c>
      <c r="L1200" s="27" t="str">
        <f>IF(A1200&lt;&gt;"CFA",_xlfn.IFNA(VLOOKUP($G1200,Master!$V$2:$Z$8,5,0),""),"")</f>
        <v/>
      </c>
      <c r="P1200" s="6" t="str">
        <f t="shared" si="36"/>
        <v/>
      </c>
      <c r="Q1200" s="13">
        <f t="shared" si="37"/>
        <v>0</v>
      </c>
    </row>
    <row r="1201" spans="2:17" ht="15" customHeight="1">
      <c r="B1201" s="5" t="str">
        <f>_xlfn.IFNA(VLOOKUP(C1201,Master!$H:$I,2,FALSE),"")</f>
        <v/>
      </c>
      <c r="D1201" s="5" t="str">
        <f>_xlfn.IFNA(VLOOKUP(E1201,Master!$H:$I,2,FALSE),"")</f>
        <v/>
      </c>
      <c r="F1201" s="26" t="str">
        <f>+_xlfn.XLOOKUP(G1201,Master!$V$2:$V$8,Master!$U$2:$U$8,"")</f>
        <v/>
      </c>
      <c r="I1201" s="4" t="str">
        <f>_xlfn.IFNA(VLOOKUP(D1201,Master!$I:$K,2,FALSE),"")</f>
        <v/>
      </c>
      <c r="J1201" s="4" t="str">
        <f>_xlfn.IFNA(VLOOKUP(D1201,Master!$I:$K,3,FALSE),"")</f>
        <v/>
      </c>
      <c r="L1201" s="27" t="str">
        <f>IF(A1201&lt;&gt;"CFA",_xlfn.IFNA(VLOOKUP($G1201,Master!$V$2:$Z$8,5,0),""),"")</f>
        <v/>
      </c>
      <c r="P1201" s="6" t="str">
        <f t="shared" si="36"/>
        <v/>
      </c>
      <c r="Q1201" s="13">
        <f t="shared" si="37"/>
        <v>0</v>
      </c>
    </row>
    <row r="1202" spans="2:17" ht="15" customHeight="1">
      <c r="B1202" s="5" t="str">
        <f>_xlfn.IFNA(VLOOKUP(C1202,Master!$H:$I,2,FALSE),"")</f>
        <v/>
      </c>
      <c r="D1202" s="5" t="str">
        <f>_xlfn.IFNA(VLOOKUP(E1202,Master!$H:$I,2,FALSE),"")</f>
        <v/>
      </c>
      <c r="F1202" s="26" t="str">
        <f>+_xlfn.XLOOKUP(G1202,Master!$V$2:$V$8,Master!$U$2:$U$8,"")</f>
        <v/>
      </c>
      <c r="I1202" s="4" t="str">
        <f>_xlfn.IFNA(VLOOKUP(D1202,Master!$I:$K,2,FALSE),"")</f>
        <v/>
      </c>
      <c r="J1202" s="4" t="str">
        <f>_xlfn.IFNA(VLOOKUP(D1202,Master!$I:$K,3,FALSE),"")</f>
        <v/>
      </c>
      <c r="L1202" s="27" t="str">
        <f>IF(A1202&lt;&gt;"CFA",_xlfn.IFNA(VLOOKUP($G1202,Master!$V$2:$Z$8,5,0),""),"")</f>
        <v/>
      </c>
      <c r="P1202" s="6" t="str">
        <f t="shared" si="36"/>
        <v/>
      </c>
      <c r="Q1202" s="13">
        <f t="shared" si="37"/>
        <v>0</v>
      </c>
    </row>
    <row r="1203" spans="2:17" ht="15" customHeight="1">
      <c r="B1203" s="5" t="str">
        <f>_xlfn.IFNA(VLOOKUP(C1203,Master!$H:$I,2,FALSE),"")</f>
        <v/>
      </c>
      <c r="D1203" s="5" t="str">
        <f>_xlfn.IFNA(VLOOKUP(E1203,Master!$H:$I,2,FALSE),"")</f>
        <v/>
      </c>
      <c r="F1203" s="26" t="str">
        <f>+_xlfn.XLOOKUP(G1203,Master!$V$2:$V$8,Master!$U$2:$U$8,"")</f>
        <v/>
      </c>
      <c r="I1203" s="4" t="str">
        <f>_xlfn.IFNA(VLOOKUP(D1203,Master!$I:$K,2,FALSE),"")</f>
        <v/>
      </c>
      <c r="J1203" s="4" t="str">
        <f>_xlfn.IFNA(VLOOKUP(D1203,Master!$I:$K,3,FALSE),"")</f>
        <v/>
      </c>
      <c r="L1203" s="27" t="str">
        <f>IF(A1203&lt;&gt;"CFA",_xlfn.IFNA(VLOOKUP($G1203,Master!$V$2:$Z$8,5,0),""),"")</f>
        <v/>
      </c>
      <c r="P1203" s="6" t="str">
        <f t="shared" si="36"/>
        <v/>
      </c>
      <c r="Q1203" s="13">
        <f t="shared" si="37"/>
        <v>0</v>
      </c>
    </row>
    <row r="1204" spans="2:17" ht="15" customHeight="1">
      <c r="B1204" s="5" t="str">
        <f>_xlfn.IFNA(VLOOKUP(C1204,Master!$H:$I,2,FALSE),"")</f>
        <v/>
      </c>
      <c r="D1204" s="5" t="str">
        <f>_xlfn.IFNA(VLOOKUP(E1204,Master!$H:$I,2,FALSE),"")</f>
        <v/>
      </c>
      <c r="F1204" s="26" t="str">
        <f>+_xlfn.XLOOKUP(G1204,Master!$V$2:$V$8,Master!$U$2:$U$8,"")</f>
        <v/>
      </c>
      <c r="I1204" s="4" t="str">
        <f>_xlfn.IFNA(VLOOKUP(D1204,Master!$I:$K,2,FALSE),"")</f>
        <v/>
      </c>
      <c r="J1204" s="4" t="str">
        <f>_xlfn.IFNA(VLOOKUP(D1204,Master!$I:$K,3,FALSE),"")</f>
        <v/>
      </c>
      <c r="L1204" s="27" t="str">
        <f>IF(A1204&lt;&gt;"CFA",_xlfn.IFNA(VLOOKUP($G1204,Master!$V$2:$Z$8,5,0),""),"")</f>
        <v/>
      </c>
      <c r="P1204" s="6" t="str">
        <f t="shared" si="36"/>
        <v/>
      </c>
      <c r="Q1204" s="13">
        <f t="shared" si="37"/>
        <v>0</v>
      </c>
    </row>
    <row r="1205" spans="2:17" ht="15" customHeight="1">
      <c r="B1205" s="5" t="str">
        <f>_xlfn.IFNA(VLOOKUP(C1205,Master!$H:$I,2,FALSE),"")</f>
        <v/>
      </c>
      <c r="D1205" s="5" t="str">
        <f>_xlfn.IFNA(VLOOKUP(E1205,Master!$H:$I,2,FALSE),"")</f>
        <v/>
      </c>
      <c r="F1205" s="26" t="str">
        <f>+_xlfn.XLOOKUP(G1205,Master!$V$2:$V$8,Master!$U$2:$U$8,"")</f>
        <v/>
      </c>
      <c r="I1205" s="4" t="str">
        <f>_xlfn.IFNA(VLOOKUP(D1205,Master!$I:$K,2,FALSE),"")</f>
        <v/>
      </c>
      <c r="J1205" s="4" t="str">
        <f>_xlfn.IFNA(VLOOKUP(D1205,Master!$I:$K,3,FALSE),"")</f>
        <v/>
      </c>
      <c r="L1205" s="27" t="str">
        <f>IF(A1205&lt;&gt;"CFA",_xlfn.IFNA(VLOOKUP($G1205,Master!$V$2:$Z$8,5,0),""),"")</f>
        <v/>
      </c>
      <c r="P1205" s="6" t="str">
        <f t="shared" si="36"/>
        <v/>
      </c>
      <c r="Q1205" s="13">
        <f t="shared" si="37"/>
        <v>0</v>
      </c>
    </row>
    <row r="1206" spans="2:17" ht="15" customHeight="1">
      <c r="B1206" s="5" t="str">
        <f>_xlfn.IFNA(VLOOKUP(C1206,Master!$H:$I,2,FALSE),"")</f>
        <v/>
      </c>
      <c r="D1206" s="5" t="str">
        <f>_xlfn.IFNA(VLOOKUP(E1206,Master!$H:$I,2,FALSE),"")</f>
        <v/>
      </c>
      <c r="F1206" s="26" t="str">
        <f>+_xlfn.XLOOKUP(G1206,Master!$V$2:$V$8,Master!$U$2:$U$8,"")</f>
        <v/>
      </c>
      <c r="I1206" s="4" t="str">
        <f>_xlfn.IFNA(VLOOKUP(D1206,Master!$I:$K,2,FALSE),"")</f>
        <v/>
      </c>
      <c r="J1206" s="4" t="str">
        <f>_xlfn.IFNA(VLOOKUP(D1206,Master!$I:$K,3,FALSE),"")</f>
        <v/>
      </c>
      <c r="L1206" s="27" t="str">
        <f>IF(A1206&lt;&gt;"CFA",_xlfn.IFNA(VLOOKUP($G1206,Master!$V$2:$Z$8,5,0),""),"")</f>
        <v/>
      </c>
      <c r="P1206" s="6" t="str">
        <f t="shared" si="36"/>
        <v/>
      </c>
      <c r="Q1206" s="13">
        <f t="shared" si="37"/>
        <v>0</v>
      </c>
    </row>
    <row r="1207" spans="2:17" ht="15" customHeight="1">
      <c r="B1207" s="5" t="str">
        <f>_xlfn.IFNA(VLOOKUP(C1207,Master!$H:$I,2,FALSE),"")</f>
        <v/>
      </c>
      <c r="D1207" s="5" t="str">
        <f>_xlfn.IFNA(VLOOKUP(E1207,Master!$H:$I,2,FALSE),"")</f>
        <v/>
      </c>
      <c r="F1207" s="26" t="str">
        <f>+_xlfn.XLOOKUP(G1207,Master!$V$2:$V$8,Master!$U$2:$U$8,"")</f>
        <v/>
      </c>
      <c r="I1207" s="4" t="str">
        <f>_xlfn.IFNA(VLOOKUP(D1207,Master!$I:$K,2,FALSE),"")</f>
        <v/>
      </c>
      <c r="J1207" s="4" t="str">
        <f>_xlfn.IFNA(VLOOKUP(D1207,Master!$I:$K,3,FALSE),"")</f>
        <v/>
      </c>
      <c r="L1207" s="27" t="str">
        <f>IF(A1207&lt;&gt;"CFA",_xlfn.IFNA(VLOOKUP($G1207,Master!$V$2:$Z$8,5,0),""),"")</f>
        <v/>
      </c>
      <c r="P1207" s="6" t="str">
        <f t="shared" ref="P1207:P1270" si="38">IF(N1207&lt;&gt;"",IF(MONTH(N1207)&gt;=4,"FY1"&amp;RIGHT(YEAR(N1207)+1,2),"FY1"&amp;RIGHT(YEAR(N1207),2)),"")</f>
        <v/>
      </c>
      <c r="Q1207" s="13">
        <f t="shared" ref="Q1207:Q1270" si="39">IF(K1207&gt;0&amp;M1207&gt;0,K1207*M1207,"")</f>
        <v>0</v>
      </c>
    </row>
    <row r="1208" spans="2:17" ht="15" customHeight="1">
      <c r="B1208" s="5" t="str">
        <f>_xlfn.IFNA(VLOOKUP(C1208,Master!$H:$I,2,FALSE),"")</f>
        <v/>
      </c>
      <c r="D1208" s="5" t="str">
        <f>_xlfn.IFNA(VLOOKUP(E1208,Master!$H:$I,2,FALSE),"")</f>
        <v/>
      </c>
      <c r="F1208" s="26" t="str">
        <f>+_xlfn.XLOOKUP(G1208,Master!$V$2:$V$8,Master!$U$2:$U$8,"")</f>
        <v/>
      </c>
      <c r="I1208" s="4" t="str">
        <f>_xlfn.IFNA(VLOOKUP(D1208,Master!$I:$K,2,FALSE),"")</f>
        <v/>
      </c>
      <c r="J1208" s="4" t="str">
        <f>_xlfn.IFNA(VLOOKUP(D1208,Master!$I:$K,3,FALSE),"")</f>
        <v/>
      </c>
      <c r="L1208" s="27" t="str">
        <f>IF(A1208&lt;&gt;"CFA",_xlfn.IFNA(VLOOKUP($G1208,Master!$V$2:$Z$8,5,0),""),"")</f>
        <v/>
      </c>
      <c r="P1208" s="6" t="str">
        <f t="shared" si="38"/>
        <v/>
      </c>
      <c r="Q1208" s="13">
        <f t="shared" si="39"/>
        <v>0</v>
      </c>
    </row>
    <row r="1209" spans="2:17" ht="15" customHeight="1">
      <c r="B1209" s="5" t="str">
        <f>_xlfn.IFNA(VLOOKUP(C1209,Master!$H:$I,2,FALSE),"")</f>
        <v/>
      </c>
      <c r="D1209" s="5" t="str">
        <f>_xlfn.IFNA(VLOOKUP(E1209,Master!$H:$I,2,FALSE),"")</f>
        <v/>
      </c>
      <c r="F1209" s="26" t="str">
        <f>+_xlfn.XLOOKUP(G1209,Master!$V$2:$V$8,Master!$U$2:$U$8,"")</f>
        <v/>
      </c>
      <c r="I1209" s="4" t="str">
        <f>_xlfn.IFNA(VLOOKUP(D1209,Master!$I:$K,2,FALSE),"")</f>
        <v/>
      </c>
      <c r="J1209" s="4" t="str">
        <f>_xlfn.IFNA(VLOOKUP(D1209,Master!$I:$K,3,FALSE),"")</f>
        <v/>
      </c>
      <c r="L1209" s="27" t="str">
        <f>IF(A1209&lt;&gt;"CFA",_xlfn.IFNA(VLOOKUP($G1209,Master!$V$2:$Z$8,5,0),""),"")</f>
        <v/>
      </c>
      <c r="P1209" s="6" t="str">
        <f t="shared" si="38"/>
        <v/>
      </c>
      <c r="Q1209" s="13">
        <f t="shared" si="39"/>
        <v>0</v>
      </c>
    </row>
    <row r="1210" spans="2:17" ht="15" customHeight="1">
      <c r="B1210" s="5" t="str">
        <f>_xlfn.IFNA(VLOOKUP(C1210,Master!$H:$I,2,FALSE),"")</f>
        <v/>
      </c>
      <c r="D1210" s="5" t="str">
        <f>_xlfn.IFNA(VLOOKUP(E1210,Master!$H:$I,2,FALSE),"")</f>
        <v/>
      </c>
      <c r="F1210" s="26" t="str">
        <f>+_xlfn.XLOOKUP(G1210,Master!$V$2:$V$8,Master!$U$2:$U$8,"")</f>
        <v/>
      </c>
      <c r="I1210" s="4" t="str">
        <f>_xlfn.IFNA(VLOOKUP(D1210,Master!$I:$K,2,FALSE),"")</f>
        <v/>
      </c>
      <c r="J1210" s="4" t="str">
        <f>_xlfn.IFNA(VLOOKUP(D1210,Master!$I:$K,3,FALSE),"")</f>
        <v/>
      </c>
      <c r="L1210" s="27" t="str">
        <f>IF(A1210&lt;&gt;"CFA",_xlfn.IFNA(VLOOKUP($G1210,Master!$V$2:$Z$8,5,0),""),"")</f>
        <v/>
      </c>
      <c r="P1210" s="6" t="str">
        <f t="shared" si="38"/>
        <v/>
      </c>
      <c r="Q1210" s="13">
        <f t="shared" si="39"/>
        <v>0</v>
      </c>
    </row>
    <row r="1211" spans="2:17" ht="15" customHeight="1">
      <c r="B1211" s="5" t="str">
        <f>_xlfn.IFNA(VLOOKUP(C1211,Master!$H:$I,2,FALSE),"")</f>
        <v/>
      </c>
      <c r="D1211" s="5" t="str">
        <f>_xlfn.IFNA(VLOOKUP(E1211,Master!$H:$I,2,FALSE),"")</f>
        <v/>
      </c>
      <c r="F1211" s="26" t="str">
        <f>+_xlfn.XLOOKUP(G1211,Master!$V$2:$V$8,Master!$U$2:$U$8,"")</f>
        <v/>
      </c>
      <c r="I1211" s="4" t="str">
        <f>_xlfn.IFNA(VLOOKUP(D1211,Master!$I:$K,2,FALSE),"")</f>
        <v/>
      </c>
      <c r="J1211" s="4" t="str">
        <f>_xlfn.IFNA(VLOOKUP(D1211,Master!$I:$K,3,FALSE),"")</f>
        <v/>
      </c>
      <c r="L1211" s="27" t="str">
        <f>IF(A1211&lt;&gt;"CFA",_xlfn.IFNA(VLOOKUP($G1211,Master!$V$2:$Z$8,5,0),""),"")</f>
        <v/>
      </c>
      <c r="P1211" s="6" t="str">
        <f t="shared" si="38"/>
        <v/>
      </c>
      <c r="Q1211" s="13">
        <f t="shared" si="39"/>
        <v>0</v>
      </c>
    </row>
    <row r="1212" spans="2:17" ht="15" customHeight="1">
      <c r="B1212" s="5" t="str">
        <f>_xlfn.IFNA(VLOOKUP(C1212,Master!$H:$I,2,FALSE),"")</f>
        <v/>
      </c>
      <c r="D1212" s="5" t="str">
        <f>_xlfn.IFNA(VLOOKUP(E1212,Master!$H:$I,2,FALSE),"")</f>
        <v/>
      </c>
      <c r="F1212" s="26" t="str">
        <f>+_xlfn.XLOOKUP(G1212,Master!$V$2:$V$8,Master!$U$2:$U$8,"")</f>
        <v/>
      </c>
      <c r="I1212" s="4" t="str">
        <f>_xlfn.IFNA(VLOOKUP(D1212,Master!$I:$K,2,FALSE),"")</f>
        <v/>
      </c>
      <c r="J1212" s="4" t="str">
        <f>_xlfn.IFNA(VLOOKUP(D1212,Master!$I:$K,3,FALSE),"")</f>
        <v/>
      </c>
      <c r="L1212" s="27" t="str">
        <f>IF(A1212&lt;&gt;"CFA",_xlfn.IFNA(VLOOKUP($G1212,Master!$V$2:$Z$8,5,0),""),"")</f>
        <v/>
      </c>
      <c r="P1212" s="6" t="str">
        <f t="shared" si="38"/>
        <v/>
      </c>
      <c r="Q1212" s="13">
        <f t="shared" si="39"/>
        <v>0</v>
      </c>
    </row>
    <row r="1213" spans="2:17" ht="15" customHeight="1">
      <c r="B1213" s="5" t="str">
        <f>_xlfn.IFNA(VLOOKUP(C1213,Master!$H:$I,2,FALSE),"")</f>
        <v/>
      </c>
      <c r="D1213" s="5" t="str">
        <f>_xlfn.IFNA(VLOOKUP(E1213,Master!$H:$I,2,FALSE),"")</f>
        <v/>
      </c>
      <c r="F1213" s="26" t="str">
        <f>+_xlfn.XLOOKUP(G1213,Master!$V$2:$V$8,Master!$U$2:$U$8,"")</f>
        <v/>
      </c>
      <c r="I1213" s="4" t="str">
        <f>_xlfn.IFNA(VLOOKUP(D1213,Master!$I:$K,2,FALSE),"")</f>
        <v/>
      </c>
      <c r="J1213" s="4" t="str">
        <f>_xlfn.IFNA(VLOOKUP(D1213,Master!$I:$K,3,FALSE),"")</f>
        <v/>
      </c>
      <c r="L1213" s="27" t="str">
        <f>IF(A1213&lt;&gt;"CFA",_xlfn.IFNA(VLOOKUP($G1213,Master!$V$2:$Z$8,5,0),""),"")</f>
        <v/>
      </c>
      <c r="P1213" s="6" t="str">
        <f t="shared" si="38"/>
        <v/>
      </c>
      <c r="Q1213" s="13">
        <f t="shared" si="39"/>
        <v>0</v>
      </c>
    </row>
    <row r="1214" spans="2:17" ht="15" customHeight="1">
      <c r="B1214" s="5" t="str">
        <f>_xlfn.IFNA(VLOOKUP(C1214,Master!$H:$I,2,FALSE),"")</f>
        <v/>
      </c>
      <c r="D1214" s="5" t="str">
        <f>_xlfn.IFNA(VLOOKUP(E1214,Master!$H:$I,2,FALSE),"")</f>
        <v/>
      </c>
      <c r="F1214" s="26" t="str">
        <f>+_xlfn.XLOOKUP(G1214,Master!$V$2:$V$8,Master!$U$2:$U$8,"")</f>
        <v/>
      </c>
      <c r="I1214" s="4" t="str">
        <f>_xlfn.IFNA(VLOOKUP(D1214,Master!$I:$K,2,FALSE),"")</f>
        <v/>
      </c>
      <c r="J1214" s="4" t="str">
        <f>_xlfn.IFNA(VLOOKUP(D1214,Master!$I:$K,3,FALSE),"")</f>
        <v/>
      </c>
      <c r="L1214" s="27" t="str">
        <f>IF(A1214&lt;&gt;"CFA",_xlfn.IFNA(VLOOKUP($G1214,Master!$V$2:$Z$8,5,0),""),"")</f>
        <v/>
      </c>
      <c r="P1214" s="6" t="str">
        <f t="shared" si="38"/>
        <v/>
      </c>
      <c r="Q1214" s="13">
        <f t="shared" si="39"/>
        <v>0</v>
      </c>
    </row>
    <row r="1215" spans="2:17" ht="15" customHeight="1">
      <c r="B1215" s="5" t="str">
        <f>_xlfn.IFNA(VLOOKUP(C1215,Master!$H:$I,2,FALSE),"")</f>
        <v/>
      </c>
      <c r="D1215" s="5" t="str">
        <f>_xlfn.IFNA(VLOOKUP(E1215,Master!$H:$I,2,FALSE),"")</f>
        <v/>
      </c>
      <c r="F1215" s="26" t="str">
        <f>+_xlfn.XLOOKUP(G1215,Master!$V$2:$V$8,Master!$U$2:$U$8,"")</f>
        <v/>
      </c>
      <c r="I1215" s="4" t="str">
        <f>_xlfn.IFNA(VLOOKUP(D1215,Master!$I:$K,2,FALSE),"")</f>
        <v/>
      </c>
      <c r="J1215" s="4" t="str">
        <f>_xlfn.IFNA(VLOOKUP(D1215,Master!$I:$K,3,FALSE),"")</f>
        <v/>
      </c>
      <c r="L1215" s="27" t="str">
        <f>IF(A1215&lt;&gt;"CFA",_xlfn.IFNA(VLOOKUP($G1215,Master!$V$2:$Z$8,5,0),""),"")</f>
        <v/>
      </c>
      <c r="P1215" s="6" t="str">
        <f t="shared" si="38"/>
        <v/>
      </c>
      <c r="Q1215" s="13">
        <f t="shared" si="39"/>
        <v>0</v>
      </c>
    </row>
    <row r="1216" spans="2:17" ht="15" customHeight="1">
      <c r="B1216" s="5" t="str">
        <f>_xlfn.IFNA(VLOOKUP(C1216,Master!$H:$I,2,FALSE),"")</f>
        <v/>
      </c>
      <c r="D1216" s="5" t="str">
        <f>_xlfn.IFNA(VLOOKUP(E1216,Master!$H:$I,2,FALSE),"")</f>
        <v/>
      </c>
      <c r="F1216" s="26" t="str">
        <f>+_xlfn.XLOOKUP(G1216,Master!$V$2:$V$8,Master!$U$2:$U$8,"")</f>
        <v/>
      </c>
      <c r="I1216" s="4" t="str">
        <f>_xlfn.IFNA(VLOOKUP(D1216,Master!$I:$K,2,FALSE),"")</f>
        <v/>
      </c>
      <c r="J1216" s="4" t="str">
        <f>_xlfn.IFNA(VLOOKUP(D1216,Master!$I:$K,3,FALSE),"")</f>
        <v/>
      </c>
      <c r="L1216" s="27" t="str">
        <f>IF(A1216&lt;&gt;"CFA",_xlfn.IFNA(VLOOKUP($G1216,Master!$V$2:$Z$8,5,0),""),"")</f>
        <v/>
      </c>
      <c r="P1216" s="6" t="str">
        <f t="shared" si="38"/>
        <v/>
      </c>
      <c r="Q1216" s="13">
        <f t="shared" si="39"/>
        <v>0</v>
      </c>
    </row>
    <row r="1217" spans="2:17" ht="15" customHeight="1">
      <c r="B1217" s="5" t="str">
        <f>_xlfn.IFNA(VLOOKUP(C1217,Master!$H:$I,2,FALSE),"")</f>
        <v/>
      </c>
      <c r="D1217" s="5" t="str">
        <f>_xlfn.IFNA(VLOOKUP(E1217,Master!$H:$I,2,FALSE),"")</f>
        <v/>
      </c>
      <c r="F1217" s="26" t="str">
        <f>+_xlfn.XLOOKUP(G1217,Master!$V$2:$V$8,Master!$U$2:$U$8,"")</f>
        <v/>
      </c>
      <c r="I1217" s="4" t="str">
        <f>_xlfn.IFNA(VLOOKUP(D1217,Master!$I:$K,2,FALSE),"")</f>
        <v/>
      </c>
      <c r="J1217" s="4" t="str">
        <f>_xlfn.IFNA(VLOOKUP(D1217,Master!$I:$K,3,FALSE),"")</f>
        <v/>
      </c>
      <c r="L1217" s="27" t="str">
        <f>IF(A1217&lt;&gt;"CFA",_xlfn.IFNA(VLOOKUP($G1217,Master!$V$2:$Z$8,5,0),""),"")</f>
        <v/>
      </c>
      <c r="P1217" s="6" t="str">
        <f t="shared" si="38"/>
        <v/>
      </c>
      <c r="Q1217" s="13">
        <f t="shared" si="39"/>
        <v>0</v>
      </c>
    </row>
    <row r="1218" spans="2:17" ht="15" customHeight="1">
      <c r="B1218" s="5" t="str">
        <f>_xlfn.IFNA(VLOOKUP(C1218,Master!$H:$I,2,FALSE),"")</f>
        <v/>
      </c>
      <c r="D1218" s="5" t="str">
        <f>_xlfn.IFNA(VLOOKUP(E1218,Master!$H:$I,2,FALSE),"")</f>
        <v/>
      </c>
      <c r="F1218" s="26" t="str">
        <f>+_xlfn.XLOOKUP(G1218,Master!$V$2:$V$8,Master!$U$2:$U$8,"")</f>
        <v/>
      </c>
      <c r="I1218" s="4" t="str">
        <f>_xlfn.IFNA(VLOOKUP(D1218,Master!$I:$K,2,FALSE),"")</f>
        <v/>
      </c>
      <c r="J1218" s="4" t="str">
        <f>_xlfn.IFNA(VLOOKUP(D1218,Master!$I:$K,3,FALSE),"")</f>
        <v/>
      </c>
      <c r="L1218" s="27" t="str">
        <f>IF(A1218&lt;&gt;"CFA",_xlfn.IFNA(VLOOKUP($G1218,Master!$V$2:$Z$8,5,0),""),"")</f>
        <v/>
      </c>
      <c r="P1218" s="6" t="str">
        <f t="shared" si="38"/>
        <v/>
      </c>
      <c r="Q1218" s="13">
        <f t="shared" si="39"/>
        <v>0</v>
      </c>
    </row>
    <row r="1219" spans="2:17" ht="15" customHeight="1">
      <c r="B1219" s="5" t="str">
        <f>_xlfn.IFNA(VLOOKUP(C1219,Master!$H:$I,2,FALSE),"")</f>
        <v/>
      </c>
      <c r="D1219" s="5" t="str">
        <f>_xlfn.IFNA(VLOOKUP(E1219,Master!$H:$I,2,FALSE),"")</f>
        <v/>
      </c>
      <c r="F1219" s="26" t="str">
        <f>+_xlfn.XLOOKUP(G1219,Master!$V$2:$V$8,Master!$U$2:$U$8,"")</f>
        <v/>
      </c>
      <c r="I1219" s="4" t="str">
        <f>_xlfn.IFNA(VLOOKUP(D1219,Master!$I:$K,2,FALSE),"")</f>
        <v/>
      </c>
      <c r="J1219" s="4" t="str">
        <f>_xlfn.IFNA(VLOOKUP(D1219,Master!$I:$K,3,FALSE),"")</f>
        <v/>
      </c>
      <c r="L1219" s="27" t="str">
        <f>IF(A1219&lt;&gt;"CFA",_xlfn.IFNA(VLOOKUP($G1219,Master!$V$2:$Z$8,5,0),""),"")</f>
        <v/>
      </c>
      <c r="P1219" s="6" t="str">
        <f t="shared" si="38"/>
        <v/>
      </c>
      <c r="Q1219" s="13">
        <f t="shared" si="39"/>
        <v>0</v>
      </c>
    </row>
    <row r="1220" spans="2:17" ht="15" customHeight="1">
      <c r="B1220" s="5" t="str">
        <f>_xlfn.IFNA(VLOOKUP(C1220,Master!$H:$I,2,FALSE),"")</f>
        <v/>
      </c>
      <c r="D1220" s="5" t="str">
        <f>_xlfn.IFNA(VLOOKUP(E1220,Master!$H:$I,2,FALSE),"")</f>
        <v/>
      </c>
      <c r="F1220" s="26" t="str">
        <f>+_xlfn.XLOOKUP(G1220,Master!$V$2:$V$8,Master!$U$2:$U$8,"")</f>
        <v/>
      </c>
      <c r="I1220" s="4" t="str">
        <f>_xlfn.IFNA(VLOOKUP(D1220,Master!$I:$K,2,FALSE),"")</f>
        <v/>
      </c>
      <c r="J1220" s="4" t="str">
        <f>_xlfn.IFNA(VLOOKUP(D1220,Master!$I:$K,3,FALSE),"")</f>
        <v/>
      </c>
      <c r="L1220" s="27" t="str">
        <f>IF(A1220&lt;&gt;"CFA",_xlfn.IFNA(VLOOKUP($G1220,Master!$V$2:$Z$8,5,0),""),"")</f>
        <v/>
      </c>
      <c r="P1220" s="6" t="str">
        <f t="shared" si="38"/>
        <v/>
      </c>
      <c r="Q1220" s="13">
        <f t="shared" si="39"/>
        <v>0</v>
      </c>
    </row>
    <row r="1221" spans="2:17" ht="15" customHeight="1">
      <c r="B1221" s="5" t="str">
        <f>_xlfn.IFNA(VLOOKUP(C1221,Master!$H:$I,2,FALSE),"")</f>
        <v/>
      </c>
      <c r="D1221" s="5" t="str">
        <f>_xlfn.IFNA(VLOOKUP(E1221,Master!$H:$I,2,FALSE),"")</f>
        <v/>
      </c>
      <c r="F1221" s="26" t="str">
        <f>+_xlfn.XLOOKUP(G1221,Master!$V$2:$V$8,Master!$U$2:$U$8,"")</f>
        <v/>
      </c>
      <c r="I1221" s="4" t="str">
        <f>_xlfn.IFNA(VLOOKUP(D1221,Master!$I:$K,2,FALSE),"")</f>
        <v/>
      </c>
      <c r="J1221" s="4" t="str">
        <f>_xlfn.IFNA(VLOOKUP(D1221,Master!$I:$K,3,FALSE),"")</f>
        <v/>
      </c>
      <c r="L1221" s="27" t="str">
        <f>IF(A1221&lt;&gt;"CFA",_xlfn.IFNA(VLOOKUP($G1221,Master!$V$2:$Z$8,5,0),""),"")</f>
        <v/>
      </c>
      <c r="P1221" s="6" t="str">
        <f t="shared" si="38"/>
        <v/>
      </c>
      <c r="Q1221" s="13">
        <f t="shared" si="39"/>
        <v>0</v>
      </c>
    </row>
    <row r="1222" spans="2:17" ht="15" customHeight="1">
      <c r="B1222" s="5" t="str">
        <f>_xlfn.IFNA(VLOOKUP(C1222,Master!$H:$I,2,FALSE),"")</f>
        <v/>
      </c>
      <c r="D1222" s="5" t="str">
        <f>_xlfn.IFNA(VLOOKUP(E1222,Master!$H:$I,2,FALSE),"")</f>
        <v/>
      </c>
      <c r="F1222" s="26" t="str">
        <f>+_xlfn.XLOOKUP(G1222,Master!$V$2:$V$8,Master!$U$2:$U$8,"")</f>
        <v/>
      </c>
      <c r="I1222" s="4" t="str">
        <f>_xlfn.IFNA(VLOOKUP(D1222,Master!$I:$K,2,FALSE),"")</f>
        <v/>
      </c>
      <c r="J1222" s="4" t="str">
        <f>_xlfn.IFNA(VLOOKUP(D1222,Master!$I:$K,3,FALSE),"")</f>
        <v/>
      </c>
      <c r="L1222" s="27" t="str">
        <f>IF(A1222&lt;&gt;"CFA",_xlfn.IFNA(VLOOKUP($G1222,Master!$V$2:$Z$8,5,0),""),"")</f>
        <v/>
      </c>
      <c r="P1222" s="6" t="str">
        <f t="shared" si="38"/>
        <v/>
      </c>
      <c r="Q1222" s="13">
        <f t="shared" si="39"/>
        <v>0</v>
      </c>
    </row>
    <row r="1223" spans="2:17" ht="15" customHeight="1">
      <c r="B1223" s="5" t="str">
        <f>_xlfn.IFNA(VLOOKUP(C1223,Master!$H:$I,2,FALSE),"")</f>
        <v/>
      </c>
      <c r="D1223" s="5" t="str">
        <f>_xlfn.IFNA(VLOOKUP(E1223,Master!$H:$I,2,FALSE),"")</f>
        <v/>
      </c>
      <c r="F1223" s="26" t="str">
        <f>+_xlfn.XLOOKUP(G1223,Master!$V$2:$V$8,Master!$U$2:$U$8,"")</f>
        <v/>
      </c>
      <c r="I1223" s="4" t="str">
        <f>_xlfn.IFNA(VLOOKUP(D1223,Master!$I:$K,2,FALSE),"")</f>
        <v/>
      </c>
      <c r="J1223" s="4" t="str">
        <f>_xlfn.IFNA(VLOOKUP(D1223,Master!$I:$K,3,FALSE),"")</f>
        <v/>
      </c>
      <c r="L1223" s="27" t="str">
        <f>IF(A1223&lt;&gt;"CFA",_xlfn.IFNA(VLOOKUP($G1223,Master!$V$2:$Z$8,5,0),""),"")</f>
        <v/>
      </c>
      <c r="P1223" s="6" t="str">
        <f t="shared" si="38"/>
        <v/>
      </c>
      <c r="Q1223" s="13">
        <f t="shared" si="39"/>
        <v>0</v>
      </c>
    </row>
    <row r="1224" spans="2:17" ht="15" customHeight="1">
      <c r="B1224" s="5" t="str">
        <f>_xlfn.IFNA(VLOOKUP(C1224,Master!$H:$I,2,FALSE),"")</f>
        <v/>
      </c>
      <c r="D1224" s="5" t="str">
        <f>_xlfn.IFNA(VLOOKUP(E1224,Master!$H:$I,2,FALSE),"")</f>
        <v/>
      </c>
      <c r="F1224" s="26" t="str">
        <f>+_xlfn.XLOOKUP(G1224,Master!$V$2:$V$8,Master!$U$2:$U$8,"")</f>
        <v/>
      </c>
      <c r="I1224" s="4" t="str">
        <f>_xlfn.IFNA(VLOOKUP(D1224,Master!$I:$K,2,FALSE),"")</f>
        <v/>
      </c>
      <c r="J1224" s="4" t="str">
        <f>_xlfn.IFNA(VLOOKUP(D1224,Master!$I:$K,3,FALSE),"")</f>
        <v/>
      </c>
      <c r="L1224" s="27" t="str">
        <f>IF(A1224&lt;&gt;"CFA",_xlfn.IFNA(VLOOKUP($G1224,Master!$V$2:$Z$8,5,0),""),"")</f>
        <v/>
      </c>
      <c r="P1224" s="6" t="str">
        <f t="shared" si="38"/>
        <v/>
      </c>
      <c r="Q1224" s="13">
        <f t="shared" si="39"/>
        <v>0</v>
      </c>
    </row>
    <row r="1225" spans="2:17" ht="15" customHeight="1">
      <c r="B1225" s="5" t="str">
        <f>_xlfn.IFNA(VLOOKUP(C1225,Master!$H:$I,2,FALSE),"")</f>
        <v/>
      </c>
      <c r="D1225" s="5" t="str">
        <f>_xlfn.IFNA(VLOOKUP(E1225,Master!$H:$I,2,FALSE),"")</f>
        <v/>
      </c>
      <c r="F1225" s="26" t="str">
        <f>+_xlfn.XLOOKUP(G1225,Master!$V$2:$V$8,Master!$U$2:$U$8,"")</f>
        <v/>
      </c>
      <c r="I1225" s="4" t="str">
        <f>_xlfn.IFNA(VLOOKUP(D1225,Master!$I:$K,2,FALSE),"")</f>
        <v/>
      </c>
      <c r="J1225" s="4" t="str">
        <f>_xlfn.IFNA(VLOOKUP(D1225,Master!$I:$K,3,FALSE),"")</f>
        <v/>
      </c>
      <c r="L1225" s="27" t="str">
        <f>IF(A1225&lt;&gt;"CFA",_xlfn.IFNA(VLOOKUP($G1225,Master!$V$2:$Z$8,5,0),""),"")</f>
        <v/>
      </c>
      <c r="P1225" s="6" t="str">
        <f t="shared" si="38"/>
        <v/>
      </c>
      <c r="Q1225" s="13">
        <f t="shared" si="39"/>
        <v>0</v>
      </c>
    </row>
    <row r="1226" spans="2:17" ht="15" customHeight="1">
      <c r="B1226" s="5" t="str">
        <f>_xlfn.IFNA(VLOOKUP(C1226,Master!$H:$I,2,FALSE),"")</f>
        <v/>
      </c>
      <c r="D1226" s="5" t="str">
        <f>_xlfn.IFNA(VLOOKUP(E1226,Master!$H:$I,2,FALSE),"")</f>
        <v/>
      </c>
      <c r="F1226" s="26" t="str">
        <f>+_xlfn.XLOOKUP(G1226,Master!$V$2:$V$8,Master!$U$2:$U$8,"")</f>
        <v/>
      </c>
      <c r="I1226" s="4" t="str">
        <f>_xlfn.IFNA(VLOOKUP(D1226,Master!$I:$K,2,FALSE),"")</f>
        <v/>
      </c>
      <c r="J1226" s="4" t="str">
        <f>_xlfn.IFNA(VLOOKUP(D1226,Master!$I:$K,3,FALSE),"")</f>
        <v/>
      </c>
      <c r="L1226" s="27" t="str">
        <f>IF(A1226&lt;&gt;"CFA",_xlfn.IFNA(VLOOKUP($G1226,Master!$V$2:$Z$8,5,0),""),"")</f>
        <v/>
      </c>
      <c r="P1226" s="6" t="str">
        <f t="shared" si="38"/>
        <v/>
      </c>
      <c r="Q1226" s="13">
        <f t="shared" si="39"/>
        <v>0</v>
      </c>
    </row>
    <row r="1227" spans="2:17" ht="15" customHeight="1">
      <c r="B1227" s="5" t="str">
        <f>_xlfn.IFNA(VLOOKUP(C1227,Master!$H:$I,2,FALSE),"")</f>
        <v/>
      </c>
      <c r="D1227" s="5" t="str">
        <f>_xlfn.IFNA(VLOOKUP(E1227,Master!$H:$I,2,FALSE),"")</f>
        <v/>
      </c>
      <c r="F1227" s="26" t="str">
        <f>+_xlfn.XLOOKUP(G1227,Master!$V$2:$V$8,Master!$U$2:$U$8,"")</f>
        <v/>
      </c>
      <c r="I1227" s="4" t="str">
        <f>_xlfn.IFNA(VLOOKUP(D1227,Master!$I:$K,2,FALSE),"")</f>
        <v/>
      </c>
      <c r="J1227" s="4" t="str">
        <f>_xlfn.IFNA(VLOOKUP(D1227,Master!$I:$K,3,FALSE),"")</f>
        <v/>
      </c>
      <c r="L1227" s="27" t="str">
        <f>IF(A1227&lt;&gt;"CFA",_xlfn.IFNA(VLOOKUP($G1227,Master!$V$2:$Z$8,5,0),""),"")</f>
        <v/>
      </c>
      <c r="P1227" s="6" t="str">
        <f t="shared" si="38"/>
        <v/>
      </c>
      <c r="Q1227" s="13">
        <f t="shared" si="39"/>
        <v>0</v>
      </c>
    </row>
    <row r="1228" spans="2:17" ht="15" customHeight="1">
      <c r="B1228" s="5" t="str">
        <f>_xlfn.IFNA(VLOOKUP(C1228,Master!$H:$I,2,FALSE),"")</f>
        <v/>
      </c>
      <c r="D1228" s="5" t="str">
        <f>_xlfn.IFNA(VLOOKUP(E1228,Master!$H:$I,2,FALSE),"")</f>
        <v/>
      </c>
      <c r="F1228" s="26" t="str">
        <f>+_xlfn.XLOOKUP(G1228,Master!$V$2:$V$8,Master!$U$2:$U$8,"")</f>
        <v/>
      </c>
      <c r="I1228" s="4" t="str">
        <f>_xlfn.IFNA(VLOOKUP(D1228,Master!$I:$K,2,FALSE),"")</f>
        <v/>
      </c>
      <c r="J1228" s="4" t="str">
        <f>_xlfn.IFNA(VLOOKUP(D1228,Master!$I:$K,3,FALSE),"")</f>
        <v/>
      </c>
      <c r="L1228" s="27" t="str">
        <f>IF(A1228&lt;&gt;"CFA",_xlfn.IFNA(VLOOKUP($G1228,Master!$V$2:$Z$8,5,0),""),"")</f>
        <v/>
      </c>
      <c r="P1228" s="6" t="str">
        <f t="shared" si="38"/>
        <v/>
      </c>
      <c r="Q1228" s="13">
        <f t="shared" si="39"/>
        <v>0</v>
      </c>
    </row>
    <row r="1229" spans="2:17" ht="15" customHeight="1">
      <c r="B1229" s="5" t="str">
        <f>_xlfn.IFNA(VLOOKUP(C1229,Master!$H:$I,2,FALSE),"")</f>
        <v/>
      </c>
      <c r="D1229" s="5" t="str">
        <f>_xlfn.IFNA(VLOOKUP(E1229,Master!$H:$I,2,FALSE),"")</f>
        <v/>
      </c>
      <c r="F1229" s="26" t="str">
        <f>+_xlfn.XLOOKUP(G1229,Master!$V$2:$V$8,Master!$U$2:$U$8,"")</f>
        <v/>
      </c>
      <c r="I1229" s="4" t="str">
        <f>_xlfn.IFNA(VLOOKUP(D1229,Master!$I:$K,2,FALSE),"")</f>
        <v/>
      </c>
      <c r="J1229" s="4" t="str">
        <f>_xlfn.IFNA(VLOOKUP(D1229,Master!$I:$K,3,FALSE),"")</f>
        <v/>
      </c>
      <c r="L1229" s="27" t="str">
        <f>IF(A1229&lt;&gt;"CFA",_xlfn.IFNA(VLOOKUP($G1229,Master!$V$2:$Z$8,5,0),""),"")</f>
        <v/>
      </c>
      <c r="P1229" s="6" t="str">
        <f t="shared" si="38"/>
        <v/>
      </c>
      <c r="Q1229" s="13">
        <f t="shared" si="39"/>
        <v>0</v>
      </c>
    </row>
    <row r="1230" spans="2:17" ht="15" customHeight="1">
      <c r="B1230" s="5" t="str">
        <f>_xlfn.IFNA(VLOOKUP(C1230,Master!$H:$I,2,FALSE),"")</f>
        <v/>
      </c>
      <c r="D1230" s="5" t="str">
        <f>_xlfn.IFNA(VLOOKUP(E1230,Master!$H:$I,2,FALSE),"")</f>
        <v/>
      </c>
      <c r="F1230" s="26" t="str">
        <f>+_xlfn.XLOOKUP(G1230,Master!$V$2:$V$8,Master!$U$2:$U$8,"")</f>
        <v/>
      </c>
      <c r="I1230" s="4" t="str">
        <f>_xlfn.IFNA(VLOOKUP(D1230,Master!$I:$K,2,FALSE),"")</f>
        <v/>
      </c>
      <c r="J1230" s="4" t="str">
        <f>_xlfn.IFNA(VLOOKUP(D1230,Master!$I:$K,3,FALSE),"")</f>
        <v/>
      </c>
      <c r="L1230" s="27" t="str">
        <f>IF(A1230&lt;&gt;"CFA",_xlfn.IFNA(VLOOKUP($G1230,Master!$V$2:$Z$8,5,0),""),"")</f>
        <v/>
      </c>
      <c r="P1230" s="6" t="str">
        <f t="shared" si="38"/>
        <v/>
      </c>
      <c r="Q1230" s="13">
        <f t="shared" si="39"/>
        <v>0</v>
      </c>
    </row>
    <row r="1231" spans="2:17" ht="15" customHeight="1">
      <c r="B1231" s="5" t="str">
        <f>_xlfn.IFNA(VLOOKUP(C1231,Master!$H:$I,2,FALSE),"")</f>
        <v/>
      </c>
      <c r="D1231" s="5" t="str">
        <f>_xlfn.IFNA(VLOOKUP(E1231,Master!$H:$I,2,FALSE),"")</f>
        <v/>
      </c>
      <c r="F1231" s="26" t="str">
        <f>+_xlfn.XLOOKUP(G1231,Master!$V$2:$V$8,Master!$U$2:$U$8,"")</f>
        <v/>
      </c>
      <c r="I1231" s="4" t="str">
        <f>_xlfn.IFNA(VLOOKUP(D1231,Master!$I:$K,2,FALSE),"")</f>
        <v/>
      </c>
      <c r="J1231" s="4" t="str">
        <f>_xlfn.IFNA(VLOOKUP(D1231,Master!$I:$K,3,FALSE),"")</f>
        <v/>
      </c>
      <c r="L1231" s="27" t="str">
        <f>IF(A1231&lt;&gt;"CFA",_xlfn.IFNA(VLOOKUP($G1231,Master!$V$2:$Z$8,5,0),""),"")</f>
        <v/>
      </c>
      <c r="P1231" s="6" t="str">
        <f t="shared" si="38"/>
        <v/>
      </c>
      <c r="Q1231" s="13">
        <f t="shared" si="39"/>
        <v>0</v>
      </c>
    </row>
    <row r="1232" spans="2:17" ht="15" customHeight="1">
      <c r="B1232" s="5" t="str">
        <f>_xlfn.IFNA(VLOOKUP(C1232,Master!$H:$I,2,FALSE),"")</f>
        <v/>
      </c>
      <c r="D1232" s="5" t="str">
        <f>_xlfn.IFNA(VLOOKUP(E1232,Master!$H:$I,2,FALSE),"")</f>
        <v/>
      </c>
      <c r="F1232" s="26" t="str">
        <f>+_xlfn.XLOOKUP(G1232,Master!$V$2:$V$8,Master!$U$2:$U$8,"")</f>
        <v/>
      </c>
      <c r="I1232" s="4" t="str">
        <f>_xlfn.IFNA(VLOOKUP(D1232,Master!$I:$K,2,FALSE),"")</f>
        <v/>
      </c>
      <c r="J1232" s="4" t="str">
        <f>_xlfn.IFNA(VLOOKUP(D1232,Master!$I:$K,3,FALSE),"")</f>
        <v/>
      </c>
      <c r="L1232" s="27" t="str">
        <f>IF(A1232&lt;&gt;"CFA",_xlfn.IFNA(VLOOKUP($G1232,Master!$V$2:$Z$8,5,0),""),"")</f>
        <v/>
      </c>
      <c r="P1232" s="6" t="str">
        <f t="shared" si="38"/>
        <v/>
      </c>
      <c r="Q1232" s="13">
        <f t="shared" si="39"/>
        <v>0</v>
      </c>
    </row>
    <row r="1233" spans="2:17" ht="15" customHeight="1">
      <c r="B1233" s="5" t="str">
        <f>_xlfn.IFNA(VLOOKUP(C1233,Master!$H:$I,2,FALSE),"")</f>
        <v/>
      </c>
      <c r="D1233" s="5" t="str">
        <f>_xlfn.IFNA(VLOOKUP(E1233,Master!$H:$I,2,FALSE),"")</f>
        <v/>
      </c>
      <c r="F1233" s="26" t="str">
        <f>+_xlfn.XLOOKUP(G1233,Master!$V$2:$V$8,Master!$U$2:$U$8,"")</f>
        <v/>
      </c>
      <c r="I1233" s="4" t="str">
        <f>_xlfn.IFNA(VLOOKUP(D1233,Master!$I:$K,2,FALSE),"")</f>
        <v/>
      </c>
      <c r="J1233" s="4" t="str">
        <f>_xlfn.IFNA(VLOOKUP(D1233,Master!$I:$K,3,FALSE),"")</f>
        <v/>
      </c>
      <c r="L1233" s="27" t="str">
        <f>IF(A1233&lt;&gt;"CFA",_xlfn.IFNA(VLOOKUP($G1233,Master!$V$2:$Z$8,5,0),""),"")</f>
        <v/>
      </c>
      <c r="P1233" s="6" t="str">
        <f t="shared" si="38"/>
        <v/>
      </c>
      <c r="Q1233" s="13">
        <f t="shared" si="39"/>
        <v>0</v>
      </c>
    </row>
    <row r="1234" spans="2:17" ht="15" customHeight="1">
      <c r="B1234" s="5" t="str">
        <f>_xlfn.IFNA(VLOOKUP(C1234,Master!$H:$I,2,FALSE),"")</f>
        <v/>
      </c>
      <c r="D1234" s="5" t="str">
        <f>_xlfn.IFNA(VLOOKUP(E1234,Master!$H:$I,2,FALSE),"")</f>
        <v/>
      </c>
      <c r="F1234" s="26" t="str">
        <f>+_xlfn.XLOOKUP(G1234,Master!$V$2:$V$8,Master!$U$2:$U$8,"")</f>
        <v/>
      </c>
      <c r="I1234" s="4" t="str">
        <f>_xlfn.IFNA(VLOOKUP(D1234,Master!$I:$K,2,FALSE),"")</f>
        <v/>
      </c>
      <c r="J1234" s="4" t="str">
        <f>_xlfn.IFNA(VLOOKUP(D1234,Master!$I:$K,3,FALSE),"")</f>
        <v/>
      </c>
      <c r="L1234" s="27" t="str">
        <f>IF(A1234&lt;&gt;"CFA",_xlfn.IFNA(VLOOKUP($G1234,Master!$V$2:$Z$8,5,0),""),"")</f>
        <v/>
      </c>
      <c r="P1234" s="6" t="str">
        <f t="shared" si="38"/>
        <v/>
      </c>
      <c r="Q1234" s="13">
        <f t="shared" si="39"/>
        <v>0</v>
      </c>
    </row>
    <row r="1235" spans="2:17" ht="15" customHeight="1">
      <c r="B1235" s="5" t="str">
        <f>_xlfn.IFNA(VLOOKUP(C1235,Master!$H:$I,2,FALSE),"")</f>
        <v/>
      </c>
      <c r="D1235" s="5" t="str">
        <f>_xlfn.IFNA(VLOOKUP(E1235,Master!$H:$I,2,FALSE),"")</f>
        <v/>
      </c>
      <c r="F1235" s="26" t="str">
        <f>+_xlfn.XLOOKUP(G1235,Master!$V$2:$V$8,Master!$U$2:$U$8,"")</f>
        <v/>
      </c>
      <c r="I1235" s="4" t="str">
        <f>_xlfn.IFNA(VLOOKUP(D1235,Master!$I:$K,2,FALSE),"")</f>
        <v/>
      </c>
      <c r="J1235" s="4" t="str">
        <f>_xlfn.IFNA(VLOOKUP(D1235,Master!$I:$K,3,FALSE),"")</f>
        <v/>
      </c>
      <c r="L1235" s="27" t="str">
        <f>IF(A1235&lt;&gt;"CFA",_xlfn.IFNA(VLOOKUP($G1235,Master!$V$2:$Z$8,5,0),""),"")</f>
        <v/>
      </c>
      <c r="P1235" s="6" t="str">
        <f t="shared" si="38"/>
        <v/>
      </c>
      <c r="Q1235" s="13">
        <f t="shared" si="39"/>
        <v>0</v>
      </c>
    </row>
    <row r="1236" spans="2:17" ht="15" customHeight="1">
      <c r="B1236" s="5" t="str">
        <f>_xlfn.IFNA(VLOOKUP(C1236,Master!$H:$I,2,FALSE),"")</f>
        <v/>
      </c>
      <c r="D1236" s="5" t="str">
        <f>_xlfn.IFNA(VLOOKUP(E1236,Master!$H:$I,2,FALSE),"")</f>
        <v/>
      </c>
      <c r="F1236" s="26" t="str">
        <f>+_xlfn.XLOOKUP(G1236,Master!$V$2:$V$8,Master!$U$2:$U$8,"")</f>
        <v/>
      </c>
      <c r="I1236" s="4" t="str">
        <f>_xlfn.IFNA(VLOOKUP(D1236,Master!$I:$K,2,FALSE),"")</f>
        <v/>
      </c>
      <c r="J1236" s="4" t="str">
        <f>_xlfn.IFNA(VLOOKUP(D1236,Master!$I:$K,3,FALSE),"")</f>
        <v/>
      </c>
      <c r="L1236" s="27" t="str">
        <f>IF(A1236&lt;&gt;"CFA",_xlfn.IFNA(VLOOKUP($G1236,Master!$V$2:$Z$8,5,0),""),"")</f>
        <v/>
      </c>
      <c r="P1236" s="6" t="str">
        <f t="shared" si="38"/>
        <v/>
      </c>
      <c r="Q1236" s="13">
        <f t="shared" si="39"/>
        <v>0</v>
      </c>
    </row>
    <row r="1237" spans="2:17" ht="15" customHeight="1">
      <c r="B1237" s="5" t="str">
        <f>_xlfn.IFNA(VLOOKUP(C1237,Master!$H:$I,2,FALSE),"")</f>
        <v/>
      </c>
      <c r="D1237" s="5" t="str">
        <f>_xlfn.IFNA(VLOOKUP(E1237,Master!$H:$I,2,FALSE),"")</f>
        <v/>
      </c>
      <c r="F1237" s="26" t="str">
        <f>+_xlfn.XLOOKUP(G1237,Master!$V$2:$V$8,Master!$U$2:$U$8,"")</f>
        <v/>
      </c>
      <c r="I1237" s="4" t="str">
        <f>_xlfn.IFNA(VLOOKUP(D1237,Master!$I:$K,2,FALSE),"")</f>
        <v/>
      </c>
      <c r="J1237" s="4" t="str">
        <f>_xlfn.IFNA(VLOOKUP(D1237,Master!$I:$K,3,FALSE),"")</f>
        <v/>
      </c>
      <c r="L1237" s="27" t="str">
        <f>IF(A1237&lt;&gt;"CFA",_xlfn.IFNA(VLOOKUP($G1237,Master!$V$2:$Z$8,5,0),""),"")</f>
        <v/>
      </c>
      <c r="P1237" s="6" t="str">
        <f t="shared" si="38"/>
        <v/>
      </c>
      <c r="Q1237" s="13">
        <f t="shared" si="39"/>
        <v>0</v>
      </c>
    </row>
    <row r="1238" spans="2:17" ht="15" customHeight="1">
      <c r="B1238" s="5" t="str">
        <f>_xlfn.IFNA(VLOOKUP(C1238,Master!$H:$I,2,FALSE),"")</f>
        <v/>
      </c>
      <c r="D1238" s="5" t="str">
        <f>_xlfn.IFNA(VLOOKUP(E1238,Master!$H:$I,2,FALSE),"")</f>
        <v/>
      </c>
      <c r="F1238" s="26" t="str">
        <f>+_xlfn.XLOOKUP(G1238,Master!$V$2:$V$8,Master!$U$2:$U$8,"")</f>
        <v/>
      </c>
      <c r="I1238" s="4" t="str">
        <f>_xlfn.IFNA(VLOOKUP(D1238,Master!$I:$K,2,FALSE),"")</f>
        <v/>
      </c>
      <c r="J1238" s="4" t="str">
        <f>_xlfn.IFNA(VLOOKUP(D1238,Master!$I:$K,3,FALSE),"")</f>
        <v/>
      </c>
      <c r="L1238" s="27" t="str">
        <f>IF(A1238&lt;&gt;"CFA",_xlfn.IFNA(VLOOKUP($G1238,Master!$V$2:$Z$8,5,0),""),"")</f>
        <v/>
      </c>
      <c r="P1238" s="6" t="str">
        <f t="shared" si="38"/>
        <v/>
      </c>
      <c r="Q1238" s="13">
        <f t="shared" si="39"/>
        <v>0</v>
      </c>
    </row>
    <row r="1239" spans="2:17" ht="15" customHeight="1">
      <c r="B1239" s="5" t="str">
        <f>_xlfn.IFNA(VLOOKUP(C1239,Master!$H:$I,2,FALSE),"")</f>
        <v/>
      </c>
      <c r="D1239" s="5" t="str">
        <f>_xlfn.IFNA(VLOOKUP(E1239,Master!$H:$I,2,FALSE),"")</f>
        <v/>
      </c>
      <c r="F1239" s="26" t="str">
        <f>+_xlfn.XLOOKUP(G1239,Master!$V$2:$V$8,Master!$U$2:$U$8,"")</f>
        <v/>
      </c>
      <c r="I1239" s="4" t="str">
        <f>_xlfn.IFNA(VLOOKUP(D1239,Master!$I:$K,2,FALSE),"")</f>
        <v/>
      </c>
      <c r="J1239" s="4" t="str">
        <f>_xlfn.IFNA(VLOOKUP(D1239,Master!$I:$K,3,FALSE),"")</f>
        <v/>
      </c>
      <c r="L1239" s="27" t="str">
        <f>IF(A1239&lt;&gt;"CFA",_xlfn.IFNA(VLOOKUP($G1239,Master!$V$2:$Z$8,5,0),""),"")</f>
        <v/>
      </c>
      <c r="P1239" s="6" t="str">
        <f t="shared" si="38"/>
        <v/>
      </c>
      <c r="Q1239" s="13">
        <f t="shared" si="39"/>
        <v>0</v>
      </c>
    </row>
    <row r="1240" spans="2:17" ht="15" customHeight="1">
      <c r="B1240" s="5" t="str">
        <f>_xlfn.IFNA(VLOOKUP(C1240,Master!$H:$I,2,FALSE),"")</f>
        <v/>
      </c>
      <c r="D1240" s="5" t="str">
        <f>_xlfn.IFNA(VLOOKUP(E1240,Master!$H:$I,2,FALSE),"")</f>
        <v/>
      </c>
      <c r="F1240" s="26" t="str">
        <f>+_xlfn.XLOOKUP(G1240,Master!$V$2:$V$8,Master!$U$2:$U$8,"")</f>
        <v/>
      </c>
      <c r="I1240" s="4" t="str">
        <f>_xlfn.IFNA(VLOOKUP(D1240,Master!$I:$K,2,FALSE),"")</f>
        <v/>
      </c>
      <c r="J1240" s="4" t="str">
        <f>_xlfn.IFNA(VLOOKUP(D1240,Master!$I:$K,3,FALSE),"")</f>
        <v/>
      </c>
      <c r="L1240" s="27" t="str">
        <f>IF(A1240&lt;&gt;"CFA",_xlfn.IFNA(VLOOKUP($G1240,Master!$V$2:$Z$8,5,0),""),"")</f>
        <v/>
      </c>
      <c r="P1240" s="6" t="str">
        <f t="shared" si="38"/>
        <v/>
      </c>
      <c r="Q1240" s="13">
        <f t="shared" si="39"/>
        <v>0</v>
      </c>
    </row>
    <row r="1241" spans="2:17" ht="15" customHeight="1">
      <c r="B1241" s="5" t="str">
        <f>_xlfn.IFNA(VLOOKUP(C1241,Master!$H:$I,2,FALSE),"")</f>
        <v/>
      </c>
      <c r="D1241" s="5" t="str">
        <f>_xlfn.IFNA(VLOOKUP(E1241,Master!$H:$I,2,FALSE),"")</f>
        <v/>
      </c>
      <c r="F1241" s="26" t="str">
        <f>+_xlfn.XLOOKUP(G1241,Master!$V$2:$V$8,Master!$U$2:$U$8,"")</f>
        <v/>
      </c>
      <c r="I1241" s="4" t="str">
        <f>_xlfn.IFNA(VLOOKUP(D1241,Master!$I:$K,2,FALSE),"")</f>
        <v/>
      </c>
      <c r="J1241" s="4" t="str">
        <f>_xlfn.IFNA(VLOOKUP(D1241,Master!$I:$K,3,FALSE),"")</f>
        <v/>
      </c>
      <c r="L1241" s="27" t="str">
        <f>IF(A1241&lt;&gt;"CFA",_xlfn.IFNA(VLOOKUP($G1241,Master!$V$2:$Z$8,5,0),""),"")</f>
        <v/>
      </c>
      <c r="P1241" s="6" t="str">
        <f t="shared" si="38"/>
        <v/>
      </c>
      <c r="Q1241" s="13">
        <f t="shared" si="39"/>
        <v>0</v>
      </c>
    </row>
    <row r="1242" spans="2:17" ht="15" customHeight="1">
      <c r="B1242" s="5" t="str">
        <f>_xlfn.IFNA(VLOOKUP(C1242,Master!$H:$I,2,FALSE),"")</f>
        <v/>
      </c>
      <c r="D1242" s="5" t="str">
        <f>_xlfn.IFNA(VLOOKUP(E1242,Master!$H:$I,2,FALSE),"")</f>
        <v/>
      </c>
      <c r="F1242" s="26" t="str">
        <f>+_xlfn.XLOOKUP(G1242,Master!$V$2:$V$8,Master!$U$2:$U$8,"")</f>
        <v/>
      </c>
      <c r="I1242" s="4" t="str">
        <f>_xlfn.IFNA(VLOOKUP(D1242,Master!$I:$K,2,FALSE),"")</f>
        <v/>
      </c>
      <c r="J1242" s="4" t="str">
        <f>_xlfn.IFNA(VLOOKUP(D1242,Master!$I:$K,3,FALSE),"")</f>
        <v/>
      </c>
      <c r="L1242" s="27" t="str">
        <f>IF(A1242&lt;&gt;"CFA",_xlfn.IFNA(VLOOKUP($G1242,Master!$V$2:$Z$8,5,0),""),"")</f>
        <v/>
      </c>
      <c r="P1242" s="6" t="str">
        <f t="shared" si="38"/>
        <v/>
      </c>
      <c r="Q1242" s="13">
        <f t="shared" si="39"/>
        <v>0</v>
      </c>
    </row>
    <row r="1243" spans="2:17" ht="15" customHeight="1">
      <c r="B1243" s="5" t="str">
        <f>_xlfn.IFNA(VLOOKUP(C1243,Master!$H:$I,2,FALSE),"")</f>
        <v/>
      </c>
      <c r="D1243" s="5" t="str">
        <f>_xlfn.IFNA(VLOOKUP(E1243,Master!$H:$I,2,FALSE),"")</f>
        <v/>
      </c>
      <c r="F1243" s="26" t="str">
        <f>+_xlfn.XLOOKUP(G1243,Master!$V$2:$V$8,Master!$U$2:$U$8,"")</f>
        <v/>
      </c>
      <c r="I1243" s="4" t="str">
        <f>_xlfn.IFNA(VLOOKUP(D1243,Master!$I:$K,2,FALSE),"")</f>
        <v/>
      </c>
      <c r="J1243" s="4" t="str">
        <f>_xlfn.IFNA(VLOOKUP(D1243,Master!$I:$K,3,FALSE),"")</f>
        <v/>
      </c>
      <c r="L1243" s="27" t="str">
        <f>IF(A1243&lt;&gt;"CFA",_xlfn.IFNA(VLOOKUP($G1243,Master!$V$2:$Z$8,5,0),""),"")</f>
        <v/>
      </c>
      <c r="P1243" s="6" t="str">
        <f t="shared" si="38"/>
        <v/>
      </c>
      <c r="Q1243" s="13">
        <f t="shared" si="39"/>
        <v>0</v>
      </c>
    </row>
    <row r="1244" spans="2:17" ht="15" customHeight="1">
      <c r="B1244" s="5" t="str">
        <f>_xlfn.IFNA(VLOOKUP(C1244,Master!$H:$I,2,FALSE),"")</f>
        <v/>
      </c>
      <c r="D1244" s="5" t="str">
        <f>_xlfn.IFNA(VLOOKUP(E1244,Master!$H:$I,2,FALSE),"")</f>
        <v/>
      </c>
      <c r="F1244" s="26" t="str">
        <f>+_xlfn.XLOOKUP(G1244,Master!$V$2:$V$8,Master!$U$2:$U$8,"")</f>
        <v/>
      </c>
      <c r="I1244" s="4" t="str">
        <f>_xlfn.IFNA(VLOOKUP(D1244,Master!$I:$K,2,FALSE),"")</f>
        <v/>
      </c>
      <c r="J1244" s="4" t="str">
        <f>_xlfn.IFNA(VLOOKUP(D1244,Master!$I:$K,3,FALSE),"")</f>
        <v/>
      </c>
      <c r="L1244" s="27" t="str">
        <f>IF(A1244&lt;&gt;"CFA",_xlfn.IFNA(VLOOKUP($G1244,Master!$V$2:$Z$8,5,0),""),"")</f>
        <v/>
      </c>
      <c r="P1244" s="6" t="str">
        <f t="shared" si="38"/>
        <v/>
      </c>
      <c r="Q1244" s="13">
        <f t="shared" si="39"/>
        <v>0</v>
      </c>
    </row>
    <row r="1245" spans="2:17" ht="15" customHeight="1">
      <c r="B1245" s="5" t="str">
        <f>_xlfn.IFNA(VLOOKUP(C1245,Master!$H:$I,2,FALSE),"")</f>
        <v/>
      </c>
      <c r="D1245" s="5" t="str">
        <f>_xlfn.IFNA(VLOOKUP(E1245,Master!$H:$I,2,FALSE),"")</f>
        <v/>
      </c>
      <c r="F1245" s="26" t="str">
        <f>+_xlfn.XLOOKUP(G1245,Master!$V$2:$V$8,Master!$U$2:$U$8,"")</f>
        <v/>
      </c>
      <c r="I1245" s="4" t="str">
        <f>_xlfn.IFNA(VLOOKUP(D1245,Master!$I:$K,2,FALSE),"")</f>
        <v/>
      </c>
      <c r="J1245" s="4" t="str">
        <f>_xlfn.IFNA(VLOOKUP(D1245,Master!$I:$K,3,FALSE),"")</f>
        <v/>
      </c>
      <c r="L1245" s="27" t="str">
        <f>IF(A1245&lt;&gt;"CFA",_xlfn.IFNA(VLOOKUP($G1245,Master!$V$2:$Z$8,5,0),""),"")</f>
        <v/>
      </c>
      <c r="P1245" s="6" t="str">
        <f t="shared" si="38"/>
        <v/>
      </c>
      <c r="Q1245" s="13">
        <f t="shared" si="39"/>
        <v>0</v>
      </c>
    </row>
    <row r="1246" spans="2:17" ht="15" customHeight="1">
      <c r="B1246" s="5" t="str">
        <f>_xlfn.IFNA(VLOOKUP(C1246,Master!$H:$I,2,FALSE),"")</f>
        <v/>
      </c>
      <c r="D1246" s="5" t="str">
        <f>_xlfn.IFNA(VLOOKUP(E1246,Master!$H:$I,2,FALSE),"")</f>
        <v/>
      </c>
      <c r="F1246" s="26" t="str">
        <f>+_xlfn.XLOOKUP(G1246,Master!$V$2:$V$8,Master!$U$2:$U$8,"")</f>
        <v/>
      </c>
      <c r="I1246" s="4" t="str">
        <f>_xlfn.IFNA(VLOOKUP(D1246,Master!$I:$K,2,FALSE),"")</f>
        <v/>
      </c>
      <c r="J1246" s="4" t="str">
        <f>_xlfn.IFNA(VLOOKUP(D1246,Master!$I:$K,3,FALSE),"")</f>
        <v/>
      </c>
      <c r="L1246" s="27" t="str">
        <f>IF(A1246&lt;&gt;"CFA",_xlfn.IFNA(VLOOKUP($G1246,Master!$V$2:$Z$8,5,0),""),"")</f>
        <v/>
      </c>
      <c r="P1246" s="6" t="str">
        <f t="shared" si="38"/>
        <v/>
      </c>
      <c r="Q1246" s="13">
        <f t="shared" si="39"/>
        <v>0</v>
      </c>
    </row>
    <row r="1247" spans="2:17" ht="15" customHeight="1">
      <c r="B1247" s="5" t="str">
        <f>_xlfn.IFNA(VLOOKUP(C1247,Master!$H:$I,2,FALSE),"")</f>
        <v/>
      </c>
      <c r="D1247" s="5" t="str">
        <f>_xlfn.IFNA(VLOOKUP(E1247,Master!$H:$I,2,FALSE),"")</f>
        <v/>
      </c>
      <c r="F1247" s="26" t="str">
        <f>+_xlfn.XLOOKUP(G1247,Master!$V$2:$V$8,Master!$U$2:$U$8,"")</f>
        <v/>
      </c>
      <c r="I1247" s="4" t="str">
        <f>_xlfn.IFNA(VLOOKUP(D1247,Master!$I:$K,2,FALSE),"")</f>
        <v/>
      </c>
      <c r="J1247" s="4" t="str">
        <f>_xlfn.IFNA(VLOOKUP(D1247,Master!$I:$K,3,FALSE),"")</f>
        <v/>
      </c>
      <c r="L1247" s="27" t="str">
        <f>IF(A1247&lt;&gt;"CFA",_xlfn.IFNA(VLOOKUP($G1247,Master!$V$2:$Z$8,5,0),""),"")</f>
        <v/>
      </c>
      <c r="P1247" s="6" t="str">
        <f t="shared" si="38"/>
        <v/>
      </c>
      <c r="Q1247" s="13">
        <f t="shared" si="39"/>
        <v>0</v>
      </c>
    </row>
    <row r="1248" spans="2:17" ht="15" customHeight="1">
      <c r="B1248" s="5" t="str">
        <f>_xlfn.IFNA(VLOOKUP(C1248,Master!$H:$I,2,FALSE),"")</f>
        <v/>
      </c>
      <c r="D1248" s="5" t="str">
        <f>_xlfn.IFNA(VLOOKUP(E1248,Master!$H:$I,2,FALSE),"")</f>
        <v/>
      </c>
      <c r="F1248" s="26" t="str">
        <f>+_xlfn.XLOOKUP(G1248,Master!$V$2:$V$8,Master!$U$2:$U$8,"")</f>
        <v/>
      </c>
      <c r="I1248" s="4" t="str">
        <f>_xlfn.IFNA(VLOOKUP(D1248,Master!$I:$K,2,FALSE),"")</f>
        <v/>
      </c>
      <c r="J1248" s="4" t="str">
        <f>_xlfn.IFNA(VLOOKUP(D1248,Master!$I:$K,3,FALSE),"")</f>
        <v/>
      </c>
      <c r="L1248" s="27" t="str">
        <f>IF(A1248&lt;&gt;"CFA",_xlfn.IFNA(VLOOKUP($G1248,Master!$V$2:$Z$8,5,0),""),"")</f>
        <v/>
      </c>
      <c r="P1248" s="6" t="str">
        <f t="shared" si="38"/>
        <v/>
      </c>
      <c r="Q1248" s="13">
        <f t="shared" si="39"/>
        <v>0</v>
      </c>
    </row>
    <row r="1249" spans="2:17" ht="15" customHeight="1">
      <c r="B1249" s="5" t="str">
        <f>_xlfn.IFNA(VLOOKUP(C1249,Master!$H:$I,2,FALSE),"")</f>
        <v/>
      </c>
      <c r="D1249" s="5" t="str">
        <f>_xlfn.IFNA(VLOOKUP(E1249,Master!$H:$I,2,FALSE),"")</f>
        <v/>
      </c>
      <c r="F1249" s="26" t="str">
        <f>+_xlfn.XLOOKUP(G1249,Master!$V$2:$V$8,Master!$U$2:$U$8,"")</f>
        <v/>
      </c>
      <c r="I1249" s="4" t="str">
        <f>_xlfn.IFNA(VLOOKUP(D1249,Master!$I:$K,2,FALSE),"")</f>
        <v/>
      </c>
      <c r="J1249" s="4" t="str">
        <f>_xlfn.IFNA(VLOOKUP(D1249,Master!$I:$K,3,FALSE),"")</f>
        <v/>
      </c>
      <c r="L1249" s="27" t="str">
        <f>IF(A1249&lt;&gt;"CFA",_xlfn.IFNA(VLOOKUP($G1249,Master!$V$2:$Z$8,5,0),""),"")</f>
        <v/>
      </c>
      <c r="P1249" s="6" t="str">
        <f t="shared" si="38"/>
        <v/>
      </c>
      <c r="Q1249" s="13">
        <f t="shared" si="39"/>
        <v>0</v>
      </c>
    </row>
    <row r="1250" spans="2:17" ht="15" customHeight="1">
      <c r="B1250" s="5" t="str">
        <f>_xlfn.IFNA(VLOOKUP(C1250,Master!$H:$I,2,FALSE),"")</f>
        <v/>
      </c>
      <c r="D1250" s="5" t="str">
        <f>_xlfn.IFNA(VLOOKUP(E1250,Master!$H:$I,2,FALSE),"")</f>
        <v/>
      </c>
      <c r="F1250" s="26" t="str">
        <f>+_xlfn.XLOOKUP(G1250,Master!$V$2:$V$8,Master!$U$2:$U$8,"")</f>
        <v/>
      </c>
      <c r="I1250" s="4" t="str">
        <f>_xlfn.IFNA(VLOOKUP(D1250,Master!$I:$K,2,FALSE),"")</f>
        <v/>
      </c>
      <c r="J1250" s="4" t="str">
        <f>_xlfn.IFNA(VLOOKUP(D1250,Master!$I:$K,3,FALSE),"")</f>
        <v/>
      </c>
      <c r="L1250" s="27" t="str">
        <f>IF(A1250&lt;&gt;"CFA",_xlfn.IFNA(VLOOKUP($G1250,Master!$V$2:$Z$8,5,0),""),"")</f>
        <v/>
      </c>
      <c r="P1250" s="6" t="str">
        <f t="shared" si="38"/>
        <v/>
      </c>
      <c r="Q1250" s="13">
        <f t="shared" si="39"/>
        <v>0</v>
      </c>
    </row>
    <row r="1251" spans="2:17" ht="15" customHeight="1">
      <c r="B1251" s="5" t="str">
        <f>_xlfn.IFNA(VLOOKUP(C1251,Master!$H:$I,2,FALSE),"")</f>
        <v/>
      </c>
      <c r="D1251" s="5" t="str">
        <f>_xlfn.IFNA(VLOOKUP(E1251,Master!$H:$I,2,FALSE),"")</f>
        <v/>
      </c>
      <c r="F1251" s="26" t="str">
        <f>+_xlfn.XLOOKUP(G1251,Master!$V$2:$V$8,Master!$U$2:$U$8,"")</f>
        <v/>
      </c>
      <c r="I1251" s="4" t="str">
        <f>_xlfn.IFNA(VLOOKUP(D1251,Master!$I:$K,2,FALSE),"")</f>
        <v/>
      </c>
      <c r="J1251" s="4" t="str">
        <f>_xlfn.IFNA(VLOOKUP(D1251,Master!$I:$K,3,FALSE),"")</f>
        <v/>
      </c>
      <c r="L1251" s="27" t="str">
        <f>IF(A1251&lt;&gt;"CFA",_xlfn.IFNA(VLOOKUP($G1251,Master!$V$2:$Z$8,5,0),""),"")</f>
        <v/>
      </c>
      <c r="P1251" s="6" t="str">
        <f t="shared" si="38"/>
        <v/>
      </c>
      <c r="Q1251" s="13">
        <f t="shared" si="39"/>
        <v>0</v>
      </c>
    </row>
    <row r="1252" spans="2:17" ht="15" customHeight="1">
      <c r="B1252" s="5" t="str">
        <f>_xlfn.IFNA(VLOOKUP(C1252,Master!$H:$I,2,FALSE),"")</f>
        <v/>
      </c>
      <c r="D1252" s="5" t="str">
        <f>_xlfn.IFNA(VLOOKUP(E1252,Master!$H:$I,2,FALSE),"")</f>
        <v/>
      </c>
      <c r="F1252" s="26" t="str">
        <f>+_xlfn.XLOOKUP(G1252,Master!$V$2:$V$8,Master!$U$2:$U$8,"")</f>
        <v/>
      </c>
      <c r="I1252" s="4" t="str">
        <f>_xlfn.IFNA(VLOOKUP(D1252,Master!$I:$K,2,FALSE),"")</f>
        <v/>
      </c>
      <c r="J1252" s="4" t="str">
        <f>_xlfn.IFNA(VLOOKUP(D1252,Master!$I:$K,3,FALSE),"")</f>
        <v/>
      </c>
      <c r="L1252" s="27" t="str">
        <f>IF(A1252&lt;&gt;"CFA",_xlfn.IFNA(VLOOKUP($G1252,Master!$V$2:$Z$8,5,0),""),"")</f>
        <v/>
      </c>
      <c r="P1252" s="6" t="str">
        <f t="shared" si="38"/>
        <v/>
      </c>
      <c r="Q1252" s="13">
        <f t="shared" si="39"/>
        <v>0</v>
      </c>
    </row>
    <row r="1253" spans="2:17" ht="15" customHeight="1">
      <c r="B1253" s="5" t="str">
        <f>_xlfn.IFNA(VLOOKUP(C1253,Master!$H:$I,2,FALSE),"")</f>
        <v/>
      </c>
      <c r="D1253" s="5" t="str">
        <f>_xlfn.IFNA(VLOOKUP(E1253,Master!$H:$I,2,FALSE),"")</f>
        <v/>
      </c>
      <c r="F1253" s="26" t="str">
        <f>+_xlfn.XLOOKUP(G1253,Master!$V$2:$V$8,Master!$U$2:$U$8,"")</f>
        <v/>
      </c>
      <c r="I1253" s="4" t="str">
        <f>_xlfn.IFNA(VLOOKUP(D1253,Master!$I:$K,2,FALSE),"")</f>
        <v/>
      </c>
      <c r="J1253" s="4" t="str">
        <f>_xlfn.IFNA(VLOOKUP(D1253,Master!$I:$K,3,FALSE),"")</f>
        <v/>
      </c>
      <c r="L1253" s="27" t="str">
        <f>IF(A1253&lt;&gt;"CFA",_xlfn.IFNA(VLOOKUP($G1253,Master!$V$2:$Z$8,5,0),""),"")</f>
        <v/>
      </c>
      <c r="P1253" s="6" t="str">
        <f t="shared" si="38"/>
        <v/>
      </c>
      <c r="Q1253" s="13">
        <f t="shared" si="39"/>
        <v>0</v>
      </c>
    </row>
    <row r="1254" spans="2:17" ht="15" customHeight="1">
      <c r="B1254" s="5" t="str">
        <f>_xlfn.IFNA(VLOOKUP(C1254,Master!$H:$I,2,FALSE),"")</f>
        <v/>
      </c>
      <c r="D1254" s="5" t="str">
        <f>_xlfn.IFNA(VLOOKUP(E1254,Master!$H:$I,2,FALSE),"")</f>
        <v/>
      </c>
      <c r="F1254" s="26" t="str">
        <f>+_xlfn.XLOOKUP(G1254,Master!$V$2:$V$8,Master!$U$2:$U$8,"")</f>
        <v/>
      </c>
      <c r="I1254" s="4" t="str">
        <f>_xlfn.IFNA(VLOOKUP(D1254,Master!$I:$K,2,FALSE),"")</f>
        <v/>
      </c>
      <c r="J1254" s="4" t="str">
        <f>_xlfn.IFNA(VLOOKUP(D1254,Master!$I:$K,3,FALSE),"")</f>
        <v/>
      </c>
      <c r="L1254" s="27" t="str">
        <f>IF(A1254&lt;&gt;"CFA",_xlfn.IFNA(VLOOKUP($G1254,Master!$V$2:$Z$8,5,0),""),"")</f>
        <v/>
      </c>
      <c r="P1254" s="6" t="str">
        <f t="shared" si="38"/>
        <v/>
      </c>
      <c r="Q1254" s="13">
        <f t="shared" si="39"/>
        <v>0</v>
      </c>
    </row>
    <row r="1255" spans="2:17" ht="15" customHeight="1">
      <c r="B1255" s="5" t="str">
        <f>_xlfn.IFNA(VLOOKUP(C1255,Master!$H:$I,2,FALSE),"")</f>
        <v/>
      </c>
      <c r="D1255" s="5" t="str">
        <f>_xlfn.IFNA(VLOOKUP(E1255,Master!$H:$I,2,FALSE),"")</f>
        <v/>
      </c>
      <c r="F1255" s="26" t="str">
        <f>+_xlfn.XLOOKUP(G1255,Master!$V$2:$V$8,Master!$U$2:$U$8,"")</f>
        <v/>
      </c>
      <c r="I1255" s="4" t="str">
        <f>_xlfn.IFNA(VLOOKUP(D1255,Master!$I:$K,2,FALSE),"")</f>
        <v/>
      </c>
      <c r="J1255" s="4" t="str">
        <f>_xlfn.IFNA(VLOOKUP(D1255,Master!$I:$K,3,FALSE),"")</f>
        <v/>
      </c>
      <c r="L1255" s="27" t="str">
        <f>IF(A1255&lt;&gt;"CFA",_xlfn.IFNA(VLOOKUP($G1255,Master!$V$2:$Z$8,5,0),""),"")</f>
        <v/>
      </c>
      <c r="P1255" s="6" t="str">
        <f t="shared" si="38"/>
        <v/>
      </c>
      <c r="Q1255" s="13">
        <f t="shared" si="39"/>
        <v>0</v>
      </c>
    </row>
    <row r="1256" spans="2:17" ht="15" customHeight="1">
      <c r="B1256" s="5" t="str">
        <f>_xlfn.IFNA(VLOOKUP(C1256,Master!$H:$I,2,FALSE),"")</f>
        <v/>
      </c>
      <c r="D1256" s="5" t="str">
        <f>_xlfn.IFNA(VLOOKUP(E1256,Master!$H:$I,2,FALSE),"")</f>
        <v/>
      </c>
      <c r="F1256" s="26" t="str">
        <f>+_xlfn.XLOOKUP(G1256,Master!$V$2:$V$8,Master!$U$2:$U$8,"")</f>
        <v/>
      </c>
      <c r="I1256" s="4" t="str">
        <f>_xlfn.IFNA(VLOOKUP(D1256,Master!$I:$K,2,FALSE),"")</f>
        <v/>
      </c>
      <c r="J1256" s="4" t="str">
        <f>_xlfn.IFNA(VLOOKUP(D1256,Master!$I:$K,3,FALSE),"")</f>
        <v/>
      </c>
      <c r="L1256" s="27" t="str">
        <f>IF(A1256&lt;&gt;"CFA",_xlfn.IFNA(VLOOKUP($G1256,Master!$V$2:$Z$8,5,0),""),"")</f>
        <v/>
      </c>
      <c r="P1256" s="6" t="str">
        <f t="shared" si="38"/>
        <v/>
      </c>
      <c r="Q1256" s="13">
        <f t="shared" si="39"/>
        <v>0</v>
      </c>
    </row>
    <row r="1257" spans="2:17" ht="15" customHeight="1">
      <c r="B1257" s="5" t="str">
        <f>_xlfn.IFNA(VLOOKUP(C1257,Master!$H:$I,2,FALSE),"")</f>
        <v/>
      </c>
      <c r="D1257" s="5" t="str">
        <f>_xlfn.IFNA(VLOOKUP(E1257,Master!$H:$I,2,FALSE),"")</f>
        <v/>
      </c>
      <c r="F1257" s="26" t="str">
        <f>+_xlfn.XLOOKUP(G1257,Master!$V$2:$V$8,Master!$U$2:$U$8,"")</f>
        <v/>
      </c>
      <c r="I1257" s="4" t="str">
        <f>_xlfn.IFNA(VLOOKUP(D1257,Master!$I:$K,2,FALSE),"")</f>
        <v/>
      </c>
      <c r="J1257" s="4" t="str">
        <f>_xlfn.IFNA(VLOOKUP(D1257,Master!$I:$K,3,FALSE),"")</f>
        <v/>
      </c>
      <c r="L1257" s="27" t="str">
        <f>IF(A1257&lt;&gt;"CFA",_xlfn.IFNA(VLOOKUP($G1257,Master!$V$2:$Z$8,5,0),""),"")</f>
        <v/>
      </c>
      <c r="P1257" s="6" t="str">
        <f t="shared" si="38"/>
        <v/>
      </c>
      <c r="Q1257" s="13">
        <f t="shared" si="39"/>
        <v>0</v>
      </c>
    </row>
    <row r="1258" spans="2:17" ht="15" customHeight="1">
      <c r="B1258" s="5" t="str">
        <f>_xlfn.IFNA(VLOOKUP(C1258,Master!$H:$I,2,FALSE),"")</f>
        <v/>
      </c>
      <c r="D1258" s="5" t="str">
        <f>_xlfn.IFNA(VLOOKUP(E1258,Master!$H:$I,2,FALSE),"")</f>
        <v/>
      </c>
      <c r="F1258" s="26" t="str">
        <f>+_xlfn.XLOOKUP(G1258,Master!$V$2:$V$8,Master!$U$2:$U$8,"")</f>
        <v/>
      </c>
      <c r="I1258" s="4" t="str">
        <f>_xlfn.IFNA(VLOOKUP(D1258,Master!$I:$K,2,FALSE),"")</f>
        <v/>
      </c>
      <c r="J1258" s="4" t="str">
        <f>_xlfn.IFNA(VLOOKUP(D1258,Master!$I:$K,3,FALSE),"")</f>
        <v/>
      </c>
      <c r="L1258" s="27" t="str">
        <f>IF(A1258&lt;&gt;"CFA",_xlfn.IFNA(VLOOKUP($G1258,Master!$V$2:$Z$8,5,0),""),"")</f>
        <v/>
      </c>
      <c r="P1258" s="6" t="str">
        <f t="shared" si="38"/>
        <v/>
      </c>
      <c r="Q1258" s="13">
        <f t="shared" si="39"/>
        <v>0</v>
      </c>
    </row>
    <row r="1259" spans="2:17" ht="15" customHeight="1">
      <c r="B1259" s="5" t="str">
        <f>_xlfn.IFNA(VLOOKUP(C1259,Master!$H:$I,2,FALSE),"")</f>
        <v/>
      </c>
      <c r="D1259" s="5" t="str">
        <f>_xlfn.IFNA(VLOOKUP(E1259,Master!$H:$I,2,FALSE),"")</f>
        <v/>
      </c>
      <c r="F1259" s="26" t="str">
        <f>+_xlfn.XLOOKUP(G1259,Master!$V$2:$V$8,Master!$U$2:$U$8,"")</f>
        <v/>
      </c>
      <c r="I1259" s="4" t="str">
        <f>_xlfn.IFNA(VLOOKUP(D1259,Master!$I:$K,2,FALSE),"")</f>
        <v/>
      </c>
      <c r="J1259" s="4" t="str">
        <f>_xlfn.IFNA(VLOOKUP(D1259,Master!$I:$K,3,FALSE),"")</f>
        <v/>
      </c>
      <c r="L1259" s="27" t="str">
        <f>IF(A1259&lt;&gt;"CFA",_xlfn.IFNA(VLOOKUP($G1259,Master!$V$2:$Z$8,5,0),""),"")</f>
        <v/>
      </c>
      <c r="P1259" s="6" t="str">
        <f t="shared" si="38"/>
        <v/>
      </c>
      <c r="Q1259" s="13">
        <f t="shared" si="39"/>
        <v>0</v>
      </c>
    </row>
    <row r="1260" spans="2:17" ht="15" customHeight="1">
      <c r="B1260" s="5" t="str">
        <f>_xlfn.IFNA(VLOOKUP(C1260,Master!$H:$I,2,FALSE),"")</f>
        <v/>
      </c>
      <c r="D1260" s="5" t="str">
        <f>_xlfn.IFNA(VLOOKUP(E1260,Master!$H:$I,2,FALSE),"")</f>
        <v/>
      </c>
      <c r="F1260" s="26" t="str">
        <f>+_xlfn.XLOOKUP(G1260,Master!$V$2:$V$8,Master!$U$2:$U$8,"")</f>
        <v/>
      </c>
      <c r="I1260" s="4" t="str">
        <f>_xlfn.IFNA(VLOOKUP(D1260,Master!$I:$K,2,FALSE),"")</f>
        <v/>
      </c>
      <c r="J1260" s="4" t="str">
        <f>_xlfn.IFNA(VLOOKUP(D1260,Master!$I:$K,3,FALSE),"")</f>
        <v/>
      </c>
      <c r="L1260" s="27" t="str">
        <f>IF(A1260&lt;&gt;"CFA",_xlfn.IFNA(VLOOKUP($G1260,Master!$V$2:$Z$8,5,0),""),"")</f>
        <v/>
      </c>
      <c r="P1260" s="6" t="str">
        <f t="shared" si="38"/>
        <v/>
      </c>
      <c r="Q1260" s="13">
        <f t="shared" si="39"/>
        <v>0</v>
      </c>
    </row>
    <row r="1261" spans="2:17" ht="15" customHeight="1">
      <c r="B1261" s="5" t="str">
        <f>_xlfn.IFNA(VLOOKUP(C1261,Master!$H:$I,2,FALSE),"")</f>
        <v/>
      </c>
      <c r="D1261" s="5" t="str">
        <f>_xlfn.IFNA(VLOOKUP(E1261,Master!$H:$I,2,FALSE),"")</f>
        <v/>
      </c>
      <c r="F1261" s="26" t="str">
        <f>+_xlfn.XLOOKUP(G1261,Master!$V$2:$V$8,Master!$U$2:$U$8,"")</f>
        <v/>
      </c>
      <c r="I1261" s="4" t="str">
        <f>_xlfn.IFNA(VLOOKUP(D1261,Master!$I:$K,2,FALSE),"")</f>
        <v/>
      </c>
      <c r="J1261" s="4" t="str">
        <f>_xlfn.IFNA(VLOOKUP(D1261,Master!$I:$K,3,FALSE),"")</f>
        <v/>
      </c>
      <c r="L1261" s="27" t="str">
        <f>IF(A1261&lt;&gt;"CFA",_xlfn.IFNA(VLOOKUP($G1261,Master!$V$2:$Z$8,5,0),""),"")</f>
        <v/>
      </c>
      <c r="P1261" s="6" t="str">
        <f t="shared" si="38"/>
        <v/>
      </c>
      <c r="Q1261" s="13">
        <f t="shared" si="39"/>
        <v>0</v>
      </c>
    </row>
    <row r="1262" spans="2:17" ht="15" customHeight="1">
      <c r="B1262" s="5" t="str">
        <f>_xlfn.IFNA(VLOOKUP(C1262,Master!$H:$I,2,FALSE),"")</f>
        <v/>
      </c>
      <c r="D1262" s="5" t="str">
        <f>_xlfn.IFNA(VLOOKUP(E1262,Master!$H:$I,2,FALSE),"")</f>
        <v/>
      </c>
      <c r="F1262" s="26" t="str">
        <f>+_xlfn.XLOOKUP(G1262,Master!$V$2:$V$8,Master!$U$2:$U$8,"")</f>
        <v/>
      </c>
      <c r="I1262" s="4" t="str">
        <f>_xlfn.IFNA(VLOOKUP(D1262,Master!$I:$K,2,FALSE),"")</f>
        <v/>
      </c>
      <c r="J1262" s="4" t="str">
        <f>_xlfn.IFNA(VLOOKUP(D1262,Master!$I:$K,3,FALSE),"")</f>
        <v/>
      </c>
      <c r="L1262" s="27" t="str">
        <f>IF(A1262&lt;&gt;"CFA",_xlfn.IFNA(VLOOKUP($G1262,Master!$V$2:$Z$8,5,0),""),"")</f>
        <v/>
      </c>
      <c r="P1262" s="6" t="str">
        <f t="shared" si="38"/>
        <v/>
      </c>
      <c r="Q1262" s="13">
        <f t="shared" si="39"/>
        <v>0</v>
      </c>
    </row>
    <row r="1263" spans="2:17" ht="15" customHeight="1">
      <c r="B1263" s="5" t="str">
        <f>_xlfn.IFNA(VLOOKUP(C1263,Master!$H:$I,2,FALSE),"")</f>
        <v/>
      </c>
      <c r="D1263" s="5" t="str">
        <f>_xlfn.IFNA(VLOOKUP(E1263,Master!$H:$I,2,FALSE),"")</f>
        <v/>
      </c>
      <c r="F1263" s="26" t="str">
        <f>+_xlfn.XLOOKUP(G1263,Master!$V$2:$V$8,Master!$U$2:$U$8,"")</f>
        <v/>
      </c>
      <c r="I1263" s="4" t="str">
        <f>_xlfn.IFNA(VLOOKUP(D1263,Master!$I:$K,2,FALSE),"")</f>
        <v/>
      </c>
      <c r="J1263" s="4" t="str">
        <f>_xlfn.IFNA(VLOOKUP(D1263,Master!$I:$K,3,FALSE),"")</f>
        <v/>
      </c>
      <c r="L1263" s="27" t="str">
        <f>IF(A1263&lt;&gt;"CFA",_xlfn.IFNA(VLOOKUP($G1263,Master!$V$2:$Z$8,5,0),""),"")</f>
        <v/>
      </c>
      <c r="P1263" s="6" t="str">
        <f t="shared" si="38"/>
        <v/>
      </c>
      <c r="Q1263" s="13">
        <f t="shared" si="39"/>
        <v>0</v>
      </c>
    </row>
    <row r="1264" spans="2:17" ht="15" customHeight="1">
      <c r="B1264" s="5" t="str">
        <f>_xlfn.IFNA(VLOOKUP(C1264,Master!$H:$I,2,FALSE),"")</f>
        <v/>
      </c>
      <c r="D1264" s="5" t="str">
        <f>_xlfn.IFNA(VLOOKUP(E1264,Master!$H:$I,2,FALSE),"")</f>
        <v/>
      </c>
      <c r="F1264" s="26" t="str">
        <f>+_xlfn.XLOOKUP(G1264,Master!$V$2:$V$8,Master!$U$2:$U$8,"")</f>
        <v/>
      </c>
      <c r="I1264" s="4" t="str">
        <f>_xlfn.IFNA(VLOOKUP(D1264,Master!$I:$K,2,FALSE),"")</f>
        <v/>
      </c>
      <c r="J1264" s="4" t="str">
        <f>_xlfn.IFNA(VLOOKUP(D1264,Master!$I:$K,3,FALSE),"")</f>
        <v/>
      </c>
      <c r="L1264" s="27" t="str">
        <f>IF(A1264&lt;&gt;"CFA",_xlfn.IFNA(VLOOKUP($G1264,Master!$V$2:$Z$8,5,0),""),"")</f>
        <v/>
      </c>
      <c r="P1264" s="6" t="str">
        <f t="shared" si="38"/>
        <v/>
      </c>
      <c r="Q1264" s="13">
        <f t="shared" si="39"/>
        <v>0</v>
      </c>
    </row>
    <row r="1265" spans="2:17" ht="15" customHeight="1">
      <c r="B1265" s="5" t="str">
        <f>_xlfn.IFNA(VLOOKUP(C1265,Master!$H:$I,2,FALSE),"")</f>
        <v/>
      </c>
      <c r="D1265" s="5" t="str">
        <f>_xlfn.IFNA(VLOOKUP(E1265,Master!$H:$I,2,FALSE),"")</f>
        <v/>
      </c>
      <c r="F1265" s="26" t="str">
        <f>+_xlfn.XLOOKUP(G1265,Master!$V$2:$V$8,Master!$U$2:$U$8,"")</f>
        <v/>
      </c>
      <c r="I1265" s="4" t="str">
        <f>_xlfn.IFNA(VLOOKUP(D1265,Master!$I:$K,2,FALSE),"")</f>
        <v/>
      </c>
      <c r="J1265" s="4" t="str">
        <f>_xlfn.IFNA(VLOOKUP(D1265,Master!$I:$K,3,FALSE),"")</f>
        <v/>
      </c>
      <c r="L1265" s="27" t="str">
        <f>IF(A1265&lt;&gt;"CFA",_xlfn.IFNA(VLOOKUP($G1265,Master!$V$2:$Z$8,5,0),""),"")</f>
        <v/>
      </c>
      <c r="P1265" s="6" t="str">
        <f t="shared" si="38"/>
        <v/>
      </c>
      <c r="Q1265" s="13">
        <f t="shared" si="39"/>
        <v>0</v>
      </c>
    </row>
    <row r="1266" spans="2:17" ht="15" customHeight="1">
      <c r="B1266" s="5" t="str">
        <f>_xlfn.IFNA(VLOOKUP(C1266,Master!$H:$I,2,FALSE),"")</f>
        <v/>
      </c>
      <c r="D1266" s="5" t="str">
        <f>_xlfn.IFNA(VLOOKUP(E1266,Master!$H:$I,2,FALSE),"")</f>
        <v/>
      </c>
      <c r="F1266" s="26" t="str">
        <f>+_xlfn.XLOOKUP(G1266,Master!$V$2:$V$8,Master!$U$2:$U$8,"")</f>
        <v/>
      </c>
      <c r="I1266" s="4" t="str">
        <f>_xlfn.IFNA(VLOOKUP(D1266,Master!$I:$K,2,FALSE),"")</f>
        <v/>
      </c>
      <c r="J1266" s="4" t="str">
        <f>_xlfn.IFNA(VLOOKUP(D1266,Master!$I:$K,3,FALSE),"")</f>
        <v/>
      </c>
      <c r="L1266" s="27" t="str">
        <f>IF(A1266&lt;&gt;"CFA",_xlfn.IFNA(VLOOKUP($G1266,Master!$V$2:$Z$8,5,0),""),"")</f>
        <v/>
      </c>
      <c r="P1266" s="6" t="str">
        <f t="shared" si="38"/>
        <v/>
      </c>
      <c r="Q1266" s="13">
        <f t="shared" si="39"/>
        <v>0</v>
      </c>
    </row>
    <row r="1267" spans="2:17" ht="15" customHeight="1">
      <c r="B1267" s="5" t="str">
        <f>_xlfn.IFNA(VLOOKUP(C1267,Master!$H:$I,2,FALSE),"")</f>
        <v/>
      </c>
      <c r="D1267" s="5" t="str">
        <f>_xlfn.IFNA(VLOOKUP(E1267,Master!$H:$I,2,FALSE),"")</f>
        <v/>
      </c>
      <c r="F1267" s="26" t="str">
        <f>+_xlfn.XLOOKUP(G1267,Master!$V$2:$V$8,Master!$U$2:$U$8,"")</f>
        <v/>
      </c>
      <c r="I1267" s="4" t="str">
        <f>_xlfn.IFNA(VLOOKUP(D1267,Master!$I:$K,2,FALSE),"")</f>
        <v/>
      </c>
      <c r="J1267" s="4" t="str">
        <f>_xlfn.IFNA(VLOOKUP(D1267,Master!$I:$K,3,FALSE),"")</f>
        <v/>
      </c>
      <c r="L1267" s="27" t="str">
        <f>IF(A1267&lt;&gt;"CFA",_xlfn.IFNA(VLOOKUP($G1267,Master!$V$2:$Z$8,5,0),""),"")</f>
        <v/>
      </c>
      <c r="P1267" s="6" t="str">
        <f t="shared" si="38"/>
        <v/>
      </c>
      <c r="Q1267" s="13">
        <f t="shared" si="39"/>
        <v>0</v>
      </c>
    </row>
    <row r="1268" spans="2:17" ht="15" customHeight="1">
      <c r="B1268" s="5" t="str">
        <f>_xlfn.IFNA(VLOOKUP(C1268,Master!$H:$I,2,FALSE),"")</f>
        <v/>
      </c>
      <c r="D1268" s="5" t="str">
        <f>_xlfn.IFNA(VLOOKUP(E1268,Master!$H:$I,2,FALSE),"")</f>
        <v/>
      </c>
      <c r="F1268" s="26" t="str">
        <f>+_xlfn.XLOOKUP(G1268,Master!$V$2:$V$8,Master!$U$2:$U$8,"")</f>
        <v/>
      </c>
      <c r="I1268" s="4" t="str">
        <f>_xlfn.IFNA(VLOOKUP(D1268,Master!$I:$K,2,FALSE),"")</f>
        <v/>
      </c>
      <c r="J1268" s="4" t="str">
        <f>_xlfn.IFNA(VLOOKUP(D1268,Master!$I:$K,3,FALSE),"")</f>
        <v/>
      </c>
      <c r="L1268" s="27" t="str">
        <f>IF(A1268&lt;&gt;"CFA",_xlfn.IFNA(VLOOKUP($G1268,Master!$V$2:$Z$8,5,0),""),"")</f>
        <v/>
      </c>
      <c r="P1268" s="6" t="str">
        <f t="shared" si="38"/>
        <v/>
      </c>
      <c r="Q1268" s="13">
        <f t="shared" si="39"/>
        <v>0</v>
      </c>
    </row>
    <row r="1269" spans="2:17" ht="15" customHeight="1">
      <c r="B1269" s="5" t="str">
        <f>_xlfn.IFNA(VLOOKUP(C1269,Master!$H:$I,2,FALSE),"")</f>
        <v/>
      </c>
      <c r="D1269" s="5" t="str">
        <f>_xlfn.IFNA(VLOOKUP(E1269,Master!$H:$I,2,FALSE),"")</f>
        <v/>
      </c>
      <c r="F1269" s="26" t="str">
        <f>+_xlfn.XLOOKUP(G1269,Master!$V$2:$V$8,Master!$U$2:$U$8,"")</f>
        <v/>
      </c>
      <c r="I1269" s="4" t="str">
        <f>_xlfn.IFNA(VLOOKUP(D1269,Master!$I:$K,2,FALSE),"")</f>
        <v/>
      </c>
      <c r="J1269" s="4" t="str">
        <f>_xlfn.IFNA(VLOOKUP(D1269,Master!$I:$K,3,FALSE),"")</f>
        <v/>
      </c>
      <c r="L1269" s="27" t="str">
        <f>IF(A1269&lt;&gt;"CFA",_xlfn.IFNA(VLOOKUP($G1269,Master!$V$2:$Z$8,5,0),""),"")</f>
        <v/>
      </c>
      <c r="P1269" s="6" t="str">
        <f t="shared" si="38"/>
        <v/>
      </c>
      <c r="Q1269" s="13">
        <f t="shared" si="39"/>
        <v>0</v>
      </c>
    </row>
    <row r="1270" spans="2:17" ht="15" customHeight="1">
      <c r="B1270" s="5" t="str">
        <f>_xlfn.IFNA(VLOOKUP(C1270,Master!$H:$I,2,FALSE),"")</f>
        <v/>
      </c>
      <c r="D1270" s="5" t="str">
        <f>_xlfn.IFNA(VLOOKUP(E1270,Master!$H:$I,2,FALSE),"")</f>
        <v/>
      </c>
      <c r="F1270" s="26" t="str">
        <f>+_xlfn.XLOOKUP(G1270,Master!$V$2:$V$8,Master!$U$2:$U$8,"")</f>
        <v/>
      </c>
      <c r="I1270" s="4" t="str">
        <f>_xlfn.IFNA(VLOOKUP(D1270,Master!$I:$K,2,FALSE),"")</f>
        <v/>
      </c>
      <c r="J1270" s="4" t="str">
        <f>_xlfn.IFNA(VLOOKUP(D1270,Master!$I:$K,3,FALSE),"")</f>
        <v/>
      </c>
      <c r="L1270" s="27" t="str">
        <f>IF(A1270&lt;&gt;"CFA",_xlfn.IFNA(VLOOKUP($G1270,Master!$V$2:$Z$8,5,0),""),"")</f>
        <v/>
      </c>
      <c r="P1270" s="6" t="str">
        <f t="shared" si="38"/>
        <v/>
      </c>
      <c r="Q1270" s="13">
        <f t="shared" si="39"/>
        <v>0</v>
      </c>
    </row>
    <row r="1271" spans="2:17" ht="15" customHeight="1">
      <c r="B1271" s="5" t="str">
        <f>_xlfn.IFNA(VLOOKUP(C1271,Master!$H:$I,2,FALSE),"")</f>
        <v/>
      </c>
      <c r="D1271" s="5" t="str">
        <f>_xlfn.IFNA(VLOOKUP(E1271,Master!$H:$I,2,FALSE),"")</f>
        <v/>
      </c>
      <c r="F1271" s="26" t="str">
        <f>+_xlfn.XLOOKUP(G1271,Master!$V$2:$V$8,Master!$U$2:$U$8,"")</f>
        <v/>
      </c>
      <c r="I1271" s="4" t="str">
        <f>_xlfn.IFNA(VLOOKUP(D1271,Master!$I:$K,2,FALSE),"")</f>
        <v/>
      </c>
      <c r="J1271" s="4" t="str">
        <f>_xlfn.IFNA(VLOOKUP(D1271,Master!$I:$K,3,FALSE),"")</f>
        <v/>
      </c>
      <c r="L1271" s="27" t="str">
        <f>IF(A1271&lt;&gt;"CFA",_xlfn.IFNA(VLOOKUP($G1271,Master!$V$2:$Z$8,5,0),""),"")</f>
        <v/>
      </c>
      <c r="P1271" s="6" t="str">
        <f t="shared" ref="P1271:P1334" si="40">IF(N1271&lt;&gt;"",IF(MONTH(N1271)&gt;=4,"FY1"&amp;RIGHT(YEAR(N1271)+1,2),"FY1"&amp;RIGHT(YEAR(N1271),2)),"")</f>
        <v/>
      </c>
      <c r="Q1271" s="13">
        <f t="shared" ref="Q1271:Q1334" si="41">IF(K1271&gt;0&amp;M1271&gt;0,K1271*M1271,"")</f>
        <v>0</v>
      </c>
    </row>
    <row r="1272" spans="2:17" ht="15" customHeight="1">
      <c r="B1272" s="5" t="str">
        <f>_xlfn.IFNA(VLOOKUP(C1272,Master!$H:$I,2,FALSE),"")</f>
        <v/>
      </c>
      <c r="D1272" s="5" t="str">
        <f>_xlfn.IFNA(VLOOKUP(E1272,Master!$H:$I,2,FALSE),"")</f>
        <v/>
      </c>
      <c r="F1272" s="26" t="str">
        <f>+_xlfn.XLOOKUP(G1272,Master!$V$2:$V$8,Master!$U$2:$U$8,"")</f>
        <v/>
      </c>
      <c r="I1272" s="4" t="str">
        <f>_xlfn.IFNA(VLOOKUP(D1272,Master!$I:$K,2,FALSE),"")</f>
        <v/>
      </c>
      <c r="J1272" s="4" t="str">
        <f>_xlfn.IFNA(VLOOKUP(D1272,Master!$I:$K,3,FALSE),"")</f>
        <v/>
      </c>
      <c r="L1272" s="27" t="str">
        <f>IF(A1272&lt;&gt;"CFA",_xlfn.IFNA(VLOOKUP($G1272,Master!$V$2:$Z$8,5,0),""),"")</f>
        <v/>
      </c>
      <c r="P1272" s="6" t="str">
        <f t="shared" si="40"/>
        <v/>
      </c>
      <c r="Q1272" s="13">
        <f t="shared" si="41"/>
        <v>0</v>
      </c>
    </row>
    <row r="1273" spans="2:17" ht="15" customHeight="1">
      <c r="B1273" s="5" t="str">
        <f>_xlfn.IFNA(VLOOKUP(C1273,Master!$H:$I,2,FALSE),"")</f>
        <v/>
      </c>
      <c r="D1273" s="5" t="str">
        <f>_xlfn.IFNA(VLOOKUP(E1273,Master!$H:$I,2,FALSE),"")</f>
        <v/>
      </c>
      <c r="F1273" s="26" t="str">
        <f>+_xlfn.XLOOKUP(G1273,Master!$V$2:$V$8,Master!$U$2:$U$8,"")</f>
        <v/>
      </c>
      <c r="I1273" s="4" t="str">
        <f>_xlfn.IFNA(VLOOKUP(D1273,Master!$I:$K,2,FALSE),"")</f>
        <v/>
      </c>
      <c r="J1273" s="4" t="str">
        <f>_xlfn.IFNA(VLOOKUP(D1273,Master!$I:$K,3,FALSE),"")</f>
        <v/>
      </c>
      <c r="L1273" s="27" t="str">
        <f>IF(A1273&lt;&gt;"CFA",_xlfn.IFNA(VLOOKUP($G1273,Master!$V$2:$Z$8,5,0),""),"")</f>
        <v/>
      </c>
      <c r="P1273" s="6" t="str">
        <f t="shared" si="40"/>
        <v/>
      </c>
      <c r="Q1273" s="13">
        <f t="shared" si="41"/>
        <v>0</v>
      </c>
    </row>
    <row r="1274" spans="2:17" ht="15" customHeight="1">
      <c r="B1274" s="5" t="str">
        <f>_xlfn.IFNA(VLOOKUP(C1274,Master!$H:$I,2,FALSE),"")</f>
        <v/>
      </c>
      <c r="D1274" s="5" t="str">
        <f>_xlfn.IFNA(VLOOKUP(E1274,Master!$H:$I,2,FALSE),"")</f>
        <v/>
      </c>
      <c r="F1274" s="26" t="str">
        <f>+_xlfn.XLOOKUP(G1274,Master!$V$2:$V$8,Master!$U$2:$U$8,"")</f>
        <v/>
      </c>
      <c r="I1274" s="4" t="str">
        <f>_xlfn.IFNA(VLOOKUP(D1274,Master!$I:$K,2,FALSE),"")</f>
        <v/>
      </c>
      <c r="J1274" s="4" t="str">
        <f>_xlfn.IFNA(VLOOKUP(D1274,Master!$I:$K,3,FALSE),"")</f>
        <v/>
      </c>
      <c r="L1274" s="27" t="str">
        <f>IF(A1274&lt;&gt;"CFA",_xlfn.IFNA(VLOOKUP($G1274,Master!$V$2:$Z$8,5,0),""),"")</f>
        <v/>
      </c>
      <c r="P1274" s="6" t="str">
        <f t="shared" si="40"/>
        <v/>
      </c>
      <c r="Q1274" s="13">
        <f t="shared" si="41"/>
        <v>0</v>
      </c>
    </row>
    <row r="1275" spans="2:17" ht="15" customHeight="1">
      <c r="B1275" s="5" t="str">
        <f>_xlfn.IFNA(VLOOKUP(C1275,Master!$H:$I,2,FALSE),"")</f>
        <v/>
      </c>
      <c r="D1275" s="5" t="str">
        <f>_xlfn.IFNA(VLOOKUP(E1275,Master!$H:$I,2,FALSE),"")</f>
        <v/>
      </c>
      <c r="F1275" s="26" t="str">
        <f>+_xlfn.XLOOKUP(G1275,Master!$V$2:$V$8,Master!$U$2:$U$8,"")</f>
        <v/>
      </c>
      <c r="I1275" s="4" t="str">
        <f>_xlfn.IFNA(VLOOKUP(D1275,Master!$I:$K,2,FALSE),"")</f>
        <v/>
      </c>
      <c r="J1275" s="4" t="str">
        <f>_xlfn.IFNA(VLOOKUP(D1275,Master!$I:$K,3,FALSE),"")</f>
        <v/>
      </c>
      <c r="L1275" s="27" t="str">
        <f>IF(A1275&lt;&gt;"CFA",_xlfn.IFNA(VLOOKUP($G1275,Master!$V$2:$Z$8,5,0),""),"")</f>
        <v/>
      </c>
      <c r="P1275" s="6" t="str">
        <f t="shared" si="40"/>
        <v/>
      </c>
      <c r="Q1275" s="13">
        <f t="shared" si="41"/>
        <v>0</v>
      </c>
    </row>
    <row r="1276" spans="2:17" ht="15" customHeight="1">
      <c r="B1276" s="5" t="str">
        <f>_xlfn.IFNA(VLOOKUP(C1276,Master!$H:$I,2,FALSE),"")</f>
        <v/>
      </c>
      <c r="D1276" s="5" t="str">
        <f>_xlfn.IFNA(VLOOKUP(E1276,Master!$H:$I,2,FALSE),"")</f>
        <v/>
      </c>
      <c r="F1276" s="26" t="str">
        <f>+_xlfn.XLOOKUP(G1276,Master!$V$2:$V$8,Master!$U$2:$U$8,"")</f>
        <v/>
      </c>
      <c r="I1276" s="4" t="str">
        <f>_xlfn.IFNA(VLOOKUP(D1276,Master!$I:$K,2,FALSE),"")</f>
        <v/>
      </c>
      <c r="J1276" s="4" t="str">
        <f>_xlfn.IFNA(VLOOKUP(D1276,Master!$I:$K,3,FALSE),"")</f>
        <v/>
      </c>
      <c r="L1276" s="27" t="str">
        <f>IF(A1276&lt;&gt;"CFA",_xlfn.IFNA(VLOOKUP($G1276,Master!$V$2:$Z$8,5,0),""),"")</f>
        <v/>
      </c>
      <c r="P1276" s="6" t="str">
        <f t="shared" si="40"/>
        <v/>
      </c>
      <c r="Q1276" s="13">
        <f t="shared" si="41"/>
        <v>0</v>
      </c>
    </row>
    <row r="1277" spans="2:17" ht="15" customHeight="1">
      <c r="B1277" s="5" t="str">
        <f>_xlfn.IFNA(VLOOKUP(C1277,Master!$H:$I,2,FALSE),"")</f>
        <v/>
      </c>
      <c r="D1277" s="5" t="str">
        <f>_xlfn.IFNA(VLOOKUP(E1277,Master!$H:$I,2,FALSE),"")</f>
        <v/>
      </c>
      <c r="F1277" s="26" t="str">
        <f>+_xlfn.XLOOKUP(G1277,Master!$V$2:$V$8,Master!$U$2:$U$8,"")</f>
        <v/>
      </c>
      <c r="I1277" s="4" t="str">
        <f>_xlfn.IFNA(VLOOKUP(D1277,Master!$I:$K,2,FALSE),"")</f>
        <v/>
      </c>
      <c r="J1277" s="4" t="str">
        <f>_xlfn.IFNA(VLOOKUP(D1277,Master!$I:$K,3,FALSE),"")</f>
        <v/>
      </c>
      <c r="L1277" s="27" t="str">
        <f>IF(A1277&lt;&gt;"CFA",_xlfn.IFNA(VLOOKUP($G1277,Master!$V$2:$Z$8,5,0),""),"")</f>
        <v/>
      </c>
      <c r="P1277" s="6" t="str">
        <f t="shared" si="40"/>
        <v/>
      </c>
      <c r="Q1277" s="13">
        <f t="shared" si="41"/>
        <v>0</v>
      </c>
    </row>
    <row r="1278" spans="2:17" ht="15" customHeight="1">
      <c r="B1278" s="5" t="str">
        <f>_xlfn.IFNA(VLOOKUP(C1278,Master!$H:$I,2,FALSE),"")</f>
        <v/>
      </c>
      <c r="D1278" s="5" t="str">
        <f>_xlfn.IFNA(VLOOKUP(E1278,Master!$H:$I,2,FALSE),"")</f>
        <v/>
      </c>
      <c r="F1278" s="26" t="str">
        <f>+_xlfn.XLOOKUP(G1278,Master!$V$2:$V$8,Master!$U$2:$U$8,"")</f>
        <v/>
      </c>
      <c r="I1278" s="4" t="str">
        <f>_xlfn.IFNA(VLOOKUP(D1278,Master!$I:$K,2,FALSE),"")</f>
        <v/>
      </c>
      <c r="J1278" s="4" t="str">
        <f>_xlfn.IFNA(VLOOKUP(D1278,Master!$I:$K,3,FALSE),"")</f>
        <v/>
      </c>
      <c r="L1278" s="27" t="str">
        <f>IF(A1278&lt;&gt;"CFA",_xlfn.IFNA(VLOOKUP($G1278,Master!$V$2:$Z$8,5,0),""),"")</f>
        <v/>
      </c>
      <c r="P1278" s="6" t="str">
        <f t="shared" si="40"/>
        <v/>
      </c>
      <c r="Q1278" s="13">
        <f t="shared" si="41"/>
        <v>0</v>
      </c>
    </row>
    <row r="1279" spans="2:17" ht="15" customHeight="1">
      <c r="B1279" s="5" t="str">
        <f>_xlfn.IFNA(VLOOKUP(C1279,Master!$H:$I,2,FALSE),"")</f>
        <v/>
      </c>
      <c r="D1279" s="5" t="str">
        <f>_xlfn.IFNA(VLOOKUP(E1279,Master!$H:$I,2,FALSE),"")</f>
        <v/>
      </c>
      <c r="F1279" s="26" t="str">
        <f>+_xlfn.XLOOKUP(G1279,Master!$V$2:$V$8,Master!$U$2:$U$8,"")</f>
        <v/>
      </c>
      <c r="I1279" s="4" t="str">
        <f>_xlfn.IFNA(VLOOKUP(D1279,Master!$I:$K,2,FALSE),"")</f>
        <v/>
      </c>
      <c r="J1279" s="4" t="str">
        <f>_xlfn.IFNA(VLOOKUP(D1279,Master!$I:$K,3,FALSE),"")</f>
        <v/>
      </c>
      <c r="L1279" s="27" t="str">
        <f>IF(A1279&lt;&gt;"CFA",_xlfn.IFNA(VLOOKUP($G1279,Master!$V$2:$Z$8,5,0),""),"")</f>
        <v/>
      </c>
      <c r="P1279" s="6" t="str">
        <f t="shared" si="40"/>
        <v/>
      </c>
      <c r="Q1279" s="13">
        <f t="shared" si="41"/>
        <v>0</v>
      </c>
    </row>
    <row r="1280" spans="2:17" ht="15" customHeight="1">
      <c r="B1280" s="5" t="str">
        <f>_xlfn.IFNA(VLOOKUP(C1280,Master!$H:$I,2,FALSE),"")</f>
        <v/>
      </c>
      <c r="D1280" s="5" t="str">
        <f>_xlfn.IFNA(VLOOKUP(E1280,Master!$H:$I,2,FALSE),"")</f>
        <v/>
      </c>
      <c r="F1280" s="26" t="str">
        <f>+_xlfn.XLOOKUP(G1280,Master!$V$2:$V$8,Master!$U$2:$U$8,"")</f>
        <v/>
      </c>
      <c r="I1280" s="4" t="str">
        <f>_xlfn.IFNA(VLOOKUP(D1280,Master!$I:$K,2,FALSE),"")</f>
        <v/>
      </c>
      <c r="J1280" s="4" t="str">
        <f>_xlfn.IFNA(VLOOKUP(D1280,Master!$I:$K,3,FALSE),"")</f>
        <v/>
      </c>
      <c r="L1280" s="27" t="str">
        <f>IF(A1280&lt;&gt;"CFA",_xlfn.IFNA(VLOOKUP($G1280,Master!$V$2:$Z$8,5,0),""),"")</f>
        <v/>
      </c>
      <c r="P1280" s="6" t="str">
        <f t="shared" si="40"/>
        <v/>
      </c>
      <c r="Q1280" s="13">
        <f t="shared" si="41"/>
        <v>0</v>
      </c>
    </row>
    <row r="1281" spans="2:17" ht="15" customHeight="1">
      <c r="B1281" s="5" t="str">
        <f>_xlfn.IFNA(VLOOKUP(C1281,Master!$H:$I,2,FALSE),"")</f>
        <v/>
      </c>
      <c r="D1281" s="5" t="str">
        <f>_xlfn.IFNA(VLOOKUP(E1281,Master!$H:$I,2,FALSE),"")</f>
        <v/>
      </c>
      <c r="F1281" s="26" t="str">
        <f>+_xlfn.XLOOKUP(G1281,Master!$V$2:$V$8,Master!$U$2:$U$8,"")</f>
        <v/>
      </c>
      <c r="I1281" s="4" t="str">
        <f>_xlfn.IFNA(VLOOKUP(D1281,Master!$I:$K,2,FALSE),"")</f>
        <v/>
      </c>
      <c r="J1281" s="4" t="str">
        <f>_xlfn.IFNA(VLOOKUP(D1281,Master!$I:$K,3,FALSE),"")</f>
        <v/>
      </c>
      <c r="L1281" s="27" t="str">
        <f>IF(A1281&lt;&gt;"CFA",_xlfn.IFNA(VLOOKUP($G1281,Master!$V$2:$Z$8,5,0),""),"")</f>
        <v/>
      </c>
      <c r="P1281" s="6" t="str">
        <f t="shared" si="40"/>
        <v/>
      </c>
      <c r="Q1281" s="13">
        <f t="shared" si="41"/>
        <v>0</v>
      </c>
    </row>
    <row r="1282" spans="2:17" ht="15" customHeight="1">
      <c r="B1282" s="5" t="str">
        <f>_xlfn.IFNA(VLOOKUP(C1282,Master!$H:$I,2,FALSE),"")</f>
        <v/>
      </c>
      <c r="D1282" s="5" t="str">
        <f>_xlfn.IFNA(VLOOKUP(E1282,Master!$H:$I,2,FALSE),"")</f>
        <v/>
      </c>
      <c r="F1282" s="26" t="str">
        <f>+_xlfn.XLOOKUP(G1282,Master!$V$2:$V$8,Master!$U$2:$U$8,"")</f>
        <v/>
      </c>
      <c r="I1282" s="4" t="str">
        <f>_xlfn.IFNA(VLOOKUP(D1282,Master!$I:$K,2,FALSE),"")</f>
        <v/>
      </c>
      <c r="J1282" s="4" t="str">
        <f>_xlfn.IFNA(VLOOKUP(D1282,Master!$I:$K,3,FALSE),"")</f>
        <v/>
      </c>
      <c r="L1282" s="27" t="str">
        <f>IF(A1282&lt;&gt;"CFA",_xlfn.IFNA(VLOOKUP($G1282,Master!$V$2:$Z$8,5,0),""),"")</f>
        <v/>
      </c>
      <c r="P1282" s="6" t="str">
        <f t="shared" si="40"/>
        <v/>
      </c>
      <c r="Q1282" s="13">
        <f t="shared" si="41"/>
        <v>0</v>
      </c>
    </row>
    <row r="1283" spans="2:17" ht="15" customHeight="1">
      <c r="B1283" s="5" t="str">
        <f>_xlfn.IFNA(VLOOKUP(C1283,Master!$H:$I,2,FALSE),"")</f>
        <v/>
      </c>
      <c r="D1283" s="5" t="str">
        <f>_xlfn.IFNA(VLOOKUP(E1283,Master!$H:$I,2,FALSE),"")</f>
        <v/>
      </c>
      <c r="F1283" s="26" t="str">
        <f>+_xlfn.XLOOKUP(G1283,Master!$V$2:$V$8,Master!$U$2:$U$8,"")</f>
        <v/>
      </c>
      <c r="I1283" s="4" t="str">
        <f>_xlfn.IFNA(VLOOKUP(D1283,Master!$I:$K,2,FALSE),"")</f>
        <v/>
      </c>
      <c r="J1283" s="4" t="str">
        <f>_xlfn.IFNA(VLOOKUP(D1283,Master!$I:$K,3,FALSE),"")</f>
        <v/>
      </c>
      <c r="L1283" s="27" t="str">
        <f>IF(A1283&lt;&gt;"CFA",_xlfn.IFNA(VLOOKUP($G1283,Master!$V$2:$Z$8,5,0),""),"")</f>
        <v/>
      </c>
      <c r="P1283" s="6" t="str">
        <f t="shared" si="40"/>
        <v/>
      </c>
      <c r="Q1283" s="13">
        <f t="shared" si="41"/>
        <v>0</v>
      </c>
    </row>
    <row r="1284" spans="2:17" ht="15" customHeight="1">
      <c r="B1284" s="5" t="str">
        <f>_xlfn.IFNA(VLOOKUP(C1284,Master!$H:$I,2,FALSE),"")</f>
        <v/>
      </c>
      <c r="D1284" s="5" t="str">
        <f>_xlfn.IFNA(VLOOKUP(E1284,Master!$H:$I,2,FALSE),"")</f>
        <v/>
      </c>
      <c r="F1284" s="26" t="str">
        <f>+_xlfn.XLOOKUP(G1284,Master!$V$2:$V$8,Master!$U$2:$U$8,"")</f>
        <v/>
      </c>
      <c r="I1284" s="4" t="str">
        <f>_xlfn.IFNA(VLOOKUP(D1284,Master!$I:$K,2,FALSE),"")</f>
        <v/>
      </c>
      <c r="J1284" s="4" t="str">
        <f>_xlfn.IFNA(VLOOKUP(D1284,Master!$I:$K,3,FALSE),"")</f>
        <v/>
      </c>
      <c r="L1284" s="27" t="str">
        <f>IF(A1284&lt;&gt;"CFA",_xlfn.IFNA(VLOOKUP($G1284,Master!$V$2:$Z$8,5,0),""),"")</f>
        <v/>
      </c>
      <c r="P1284" s="6" t="str">
        <f t="shared" si="40"/>
        <v/>
      </c>
      <c r="Q1284" s="13">
        <f t="shared" si="41"/>
        <v>0</v>
      </c>
    </row>
    <row r="1285" spans="2:17" ht="15" customHeight="1">
      <c r="B1285" s="5" t="str">
        <f>_xlfn.IFNA(VLOOKUP(C1285,Master!$H:$I,2,FALSE),"")</f>
        <v/>
      </c>
      <c r="D1285" s="5" t="str">
        <f>_xlfn.IFNA(VLOOKUP(E1285,Master!$H:$I,2,FALSE),"")</f>
        <v/>
      </c>
      <c r="F1285" s="26" t="str">
        <f>+_xlfn.XLOOKUP(G1285,Master!$V$2:$V$8,Master!$U$2:$U$8,"")</f>
        <v/>
      </c>
      <c r="I1285" s="4" t="str">
        <f>_xlfn.IFNA(VLOOKUP(D1285,Master!$I:$K,2,FALSE),"")</f>
        <v/>
      </c>
      <c r="J1285" s="4" t="str">
        <f>_xlfn.IFNA(VLOOKUP(D1285,Master!$I:$K,3,FALSE),"")</f>
        <v/>
      </c>
      <c r="L1285" s="27" t="str">
        <f>IF(A1285&lt;&gt;"CFA",_xlfn.IFNA(VLOOKUP($G1285,Master!$V$2:$Z$8,5,0),""),"")</f>
        <v/>
      </c>
      <c r="P1285" s="6" t="str">
        <f t="shared" si="40"/>
        <v/>
      </c>
      <c r="Q1285" s="13">
        <f t="shared" si="41"/>
        <v>0</v>
      </c>
    </row>
    <row r="1286" spans="2:17" ht="15" customHeight="1">
      <c r="B1286" s="5" t="str">
        <f>_xlfn.IFNA(VLOOKUP(C1286,Master!$H:$I,2,FALSE),"")</f>
        <v/>
      </c>
      <c r="D1286" s="5" t="str">
        <f>_xlfn.IFNA(VLOOKUP(E1286,Master!$H:$I,2,FALSE),"")</f>
        <v/>
      </c>
      <c r="F1286" s="26" t="str">
        <f>+_xlfn.XLOOKUP(G1286,Master!$V$2:$V$8,Master!$U$2:$U$8,"")</f>
        <v/>
      </c>
      <c r="I1286" s="4" t="str">
        <f>_xlfn.IFNA(VLOOKUP(D1286,Master!$I:$K,2,FALSE),"")</f>
        <v/>
      </c>
      <c r="J1286" s="4" t="str">
        <f>_xlfn.IFNA(VLOOKUP(D1286,Master!$I:$K,3,FALSE),"")</f>
        <v/>
      </c>
      <c r="L1286" s="27" t="str">
        <f>IF(A1286&lt;&gt;"CFA",_xlfn.IFNA(VLOOKUP($G1286,Master!$V$2:$Z$8,5,0),""),"")</f>
        <v/>
      </c>
      <c r="P1286" s="6" t="str">
        <f t="shared" si="40"/>
        <v/>
      </c>
      <c r="Q1286" s="13">
        <f t="shared" si="41"/>
        <v>0</v>
      </c>
    </row>
    <row r="1287" spans="2:17" ht="15" customHeight="1">
      <c r="B1287" s="5" t="str">
        <f>_xlfn.IFNA(VLOOKUP(C1287,Master!$H:$I,2,FALSE),"")</f>
        <v/>
      </c>
      <c r="D1287" s="5" t="str">
        <f>_xlfn.IFNA(VLOOKUP(E1287,Master!$H:$I,2,FALSE),"")</f>
        <v/>
      </c>
      <c r="F1287" s="26" t="str">
        <f>+_xlfn.XLOOKUP(G1287,Master!$V$2:$V$8,Master!$U$2:$U$8,"")</f>
        <v/>
      </c>
      <c r="I1287" s="4" t="str">
        <f>_xlfn.IFNA(VLOOKUP(D1287,Master!$I:$K,2,FALSE),"")</f>
        <v/>
      </c>
      <c r="J1287" s="4" t="str">
        <f>_xlfn.IFNA(VLOOKUP(D1287,Master!$I:$K,3,FALSE),"")</f>
        <v/>
      </c>
      <c r="L1287" s="27" t="str">
        <f>IF(A1287&lt;&gt;"CFA",_xlfn.IFNA(VLOOKUP($G1287,Master!$V$2:$Z$8,5,0),""),"")</f>
        <v/>
      </c>
      <c r="P1287" s="6" t="str">
        <f t="shared" si="40"/>
        <v/>
      </c>
      <c r="Q1287" s="13">
        <f t="shared" si="41"/>
        <v>0</v>
      </c>
    </row>
    <row r="1288" spans="2:17" ht="15" customHeight="1">
      <c r="B1288" s="5" t="str">
        <f>_xlfn.IFNA(VLOOKUP(C1288,Master!$H:$I,2,FALSE),"")</f>
        <v/>
      </c>
      <c r="D1288" s="5" t="str">
        <f>_xlfn.IFNA(VLOOKUP(E1288,Master!$H:$I,2,FALSE),"")</f>
        <v/>
      </c>
      <c r="F1288" s="26" t="str">
        <f>+_xlfn.XLOOKUP(G1288,Master!$V$2:$V$8,Master!$U$2:$U$8,"")</f>
        <v/>
      </c>
      <c r="I1288" s="4" t="str">
        <f>_xlfn.IFNA(VLOOKUP(D1288,Master!$I:$K,2,FALSE),"")</f>
        <v/>
      </c>
      <c r="J1288" s="4" t="str">
        <f>_xlfn.IFNA(VLOOKUP(D1288,Master!$I:$K,3,FALSE),"")</f>
        <v/>
      </c>
      <c r="L1288" s="27" t="str">
        <f>IF(A1288&lt;&gt;"CFA",_xlfn.IFNA(VLOOKUP($G1288,Master!$V$2:$Z$8,5,0),""),"")</f>
        <v/>
      </c>
      <c r="P1288" s="6" t="str">
        <f t="shared" si="40"/>
        <v/>
      </c>
      <c r="Q1288" s="13">
        <f t="shared" si="41"/>
        <v>0</v>
      </c>
    </row>
    <row r="1289" spans="2:17" ht="15" customHeight="1">
      <c r="B1289" s="5" t="str">
        <f>_xlfn.IFNA(VLOOKUP(C1289,Master!$H:$I,2,FALSE),"")</f>
        <v/>
      </c>
      <c r="D1289" s="5" t="str">
        <f>_xlfn.IFNA(VLOOKUP(E1289,Master!$H:$I,2,FALSE),"")</f>
        <v/>
      </c>
      <c r="F1289" s="26" t="str">
        <f>+_xlfn.XLOOKUP(G1289,Master!$V$2:$V$8,Master!$U$2:$U$8,"")</f>
        <v/>
      </c>
      <c r="I1289" s="4" t="str">
        <f>_xlfn.IFNA(VLOOKUP(D1289,Master!$I:$K,2,FALSE),"")</f>
        <v/>
      </c>
      <c r="J1289" s="4" t="str">
        <f>_xlfn.IFNA(VLOOKUP(D1289,Master!$I:$K,3,FALSE),"")</f>
        <v/>
      </c>
      <c r="L1289" s="27" t="str">
        <f>IF(A1289&lt;&gt;"CFA",_xlfn.IFNA(VLOOKUP($G1289,Master!$V$2:$Z$8,5,0),""),"")</f>
        <v/>
      </c>
      <c r="P1289" s="6" t="str">
        <f t="shared" si="40"/>
        <v/>
      </c>
      <c r="Q1289" s="13">
        <f t="shared" si="41"/>
        <v>0</v>
      </c>
    </row>
    <row r="1290" spans="2:17" ht="15" customHeight="1">
      <c r="B1290" s="5" t="str">
        <f>_xlfn.IFNA(VLOOKUP(C1290,Master!$H:$I,2,FALSE),"")</f>
        <v/>
      </c>
      <c r="D1290" s="5" t="str">
        <f>_xlfn.IFNA(VLOOKUP(E1290,Master!$H:$I,2,FALSE),"")</f>
        <v/>
      </c>
      <c r="F1290" s="26" t="str">
        <f>+_xlfn.XLOOKUP(G1290,Master!$V$2:$V$8,Master!$U$2:$U$8,"")</f>
        <v/>
      </c>
      <c r="I1290" s="4" t="str">
        <f>_xlfn.IFNA(VLOOKUP(D1290,Master!$I:$K,2,FALSE),"")</f>
        <v/>
      </c>
      <c r="J1290" s="4" t="str">
        <f>_xlfn.IFNA(VLOOKUP(D1290,Master!$I:$K,3,FALSE),"")</f>
        <v/>
      </c>
      <c r="L1290" s="27" t="str">
        <f>IF(A1290&lt;&gt;"CFA",_xlfn.IFNA(VLOOKUP($G1290,Master!$V$2:$Z$8,5,0),""),"")</f>
        <v/>
      </c>
      <c r="P1290" s="6" t="str">
        <f t="shared" si="40"/>
        <v/>
      </c>
      <c r="Q1290" s="13">
        <f t="shared" si="41"/>
        <v>0</v>
      </c>
    </row>
    <row r="1291" spans="2:17" ht="15" customHeight="1">
      <c r="B1291" s="5" t="str">
        <f>_xlfn.IFNA(VLOOKUP(C1291,Master!$H:$I,2,FALSE),"")</f>
        <v/>
      </c>
      <c r="D1291" s="5" t="str">
        <f>_xlfn.IFNA(VLOOKUP(E1291,Master!$H:$I,2,FALSE),"")</f>
        <v/>
      </c>
      <c r="F1291" s="26" t="str">
        <f>+_xlfn.XLOOKUP(G1291,Master!$V$2:$V$8,Master!$U$2:$U$8,"")</f>
        <v/>
      </c>
      <c r="I1291" s="4" t="str">
        <f>_xlfn.IFNA(VLOOKUP(D1291,Master!$I:$K,2,FALSE),"")</f>
        <v/>
      </c>
      <c r="J1291" s="4" t="str">
        <f>_xlfn.IFNA(VLOOKUP(D1291,Master!$I:$K,3,FALSE),"")</f>
        <v/>
      </c>
      <c r="L1291" s="27" t="str">
        <f>IF(A1291&lt;&gt;"CFA",_xlfn.IFNA(VLOOKUP($G1291,Master!$V$2:$Z$8,5,0),""),"")</f>
        <v/>
      </c>
      <c r="P1291" s="6" t="str">
        <f t="shared" si="40"/>
        <v/>
      </c>
      <c r="Q1291" s="13">
        <f t="shared" si="41"/>
        <v>0</v>
      </c>
    </row>
    <row r="1292" spans="2:17" ht="15" customHeight="1">
      <c r="B1292" s="5" t="str">
        <f>_xlfn.IFNA(VLOOKUP(C1292,Master!$H:$I,2,FALSE),"")</f>
        <v/>
      </c>
      <c r="D1292" s="5" t="str">
        <f>_xlfn.IFNA(VLOOKUP(E1292,Master!$H:$I,2,FALSE),"")</f>
        <v/>
      </c>
      <c r="F1292" s="26" t="str">
        <f>+_xlfn.XLOOKUP(G1292,Master!$V$2:$V$8,Master!$U$2:$U$8,"")</f>
        <v/>
      </c>
      <c r="I1292" s="4" t="str">
        <f>_xlfn.IFNA(VLOOKUP(D1292,Master!$I:$K,2,FALSE),"")</f>
        <v/>
      </c>
      <c r="J1292" s="4" t="str">
        <f>_xlfn.IFNA(VLOOKUP(D1292,Master!$I:$K,3,FALSE),"")</f>
        <v/>
      </c>
      <c r="L1292" s="27" t="str">
        <f>IF(A1292&lt;&gt;"CFA",_xlfn.IFNA(VLOOKUP($G1292,Master!$V$2:$Z$8,5,0),""),"")</f>
        <v/>
      </c>
      <c r="P1292" s="6" t="str">
        <f t="shared" si="40"/>
        <v/>
      </c>
      <c r="Q1292" s="13">
        <f t="shared" si="41"/>
        <v>0</v>
      </c>
    </row>
    <row r="1293" spans="2:17" ht="15" customHeight="1">
      <c r="B1293" s="5" t="str">
        <f>_xlfn.IFNA(VLOOKUP(C1293,Master!$H:$I,2,FALSE),"")</f>
        <v/>
      </c>
      <c r="D1293" s="5" t="str">
        <f>_xlfn.IFNA(VLOOKUP(E1293,Master!$H:$I,2,FALSE),"")</f>
        <v/>
      </c>
      <c r="F1293" s="26" t="str">
        <f>+_xlfn.XLOOKUP(G1293,Master!$V$2:$V$8,Master!$U$2:$U$8,"")</f>
        <v/>
      </c>
      <c r="I1293" s="4" t="str">
        <f>_xlfn.IFNA(VLOOKUP(D1293,Master!$I:$K,2,FALSE),"")</f>
        <v/>
      </c>
      <c r="J1293" s="4" t="str">
        <f>_xlfn.IFNA(VLOOKUP(D1293,Master!$I:$K,3,FALSE),"")</f>
        <v/>
      </c>
      <c r="L1293" s="27" t="str">
        <f>IF(A1293&lt;&gt;"CFA",_xlfn.IFNA(VLOOKUP($G1293,Master!$V$2:$Z$8,5,0),""),"")</f>
        <v/>
      </c>
      <c r="P1293" s="6" t="str">
        <f t="shared" si="40"/>
        <v/>
      </c>
      <c r="Q1293" s="13">
        <f t="shared" si="41"/>
        <v>0</v>
      </c>
    </row>
    <row r="1294" spans="2:17" ht="15" customHeight="1">
      <c r="B1294" s="5" t="str">
        <f>_xlfn.IFNA(VLOOKUP(C1294,Master!$H:$I,2,FALSE),"")</f>
        <v/>
      </c>
      <c r="D1294" s="5" t="str">
        <f>_xlfn.IFNA(VLOOKUP(E1294,Master!$H:$I,2,FALSE),"")</f>
        <v/>
      </c>
      <c r="F1294" s="26" t="str">
        <f>+_xlfn.XLOOKUP(G1294,Master!$V$2:$V$8,Master!$U$2:$U$8,"")</f>
        <v/>
      </c>
      <c r="I1294" s="4" t="str">
        <f>_xlfn.IFNA(VLOOKUP(D1294,Master!$I:$K,2,FALSE),"")</f>
        <v/>
      </c>
      <c r="J1294" s="4" t="str">
        <f>_xlfn.IFNA(VLOOKUP(D1294,Master!$I:$K,3,FALSE),"")</f>
        <v/>
      </c>
      <c r="L1294" s="27" t="str">
        <f>IF(A1294&lt;&gt;"CFA",_xlfn.IFNA(VLOOKUP($G1294,Master!$V$2:$Z$8,5,0),""),"")</f>
        <v/>
      </c>
      <c r="P1294" s="6" t="str">
        <f t="shared" si="40"/>
        <v/>
      </c>
      <c r="Q1294" s="13">
        <f t="shared" si="41"/>
        <v>0</v>
      </c>
    </row>
    <row r="1295" spans="2:17" ht="15" customHeight="1">
      <c r="B1295" s="5" t="str">
        <f>_xlfn.IFNA(VLOOKUP(C1295,Master!$H:$I,2,FALSE),"")</f>
        <v/>
      </c>
      <c r="D1295" s="5" t="str">
        <f>_xlfn.IFNA(VLOOKUP(E1295,Master!$H:$I,2,FALSE),"")</f>
        <v/>
      </c>
      <c r="F1295" s="26" t="str">
        <f>+_xlfn.XLOOKUP(G1295,Master!$V$2:$V$8,Master!$U$2:$U$8,"")</f>
        <v/>
      </c>
      <c r="I1295" s="4" t="str">
        <f>_xlfn.IFNA(VLOOKUP(D1295,Master!$I:$K,2,FALSE),"")</f>
        <v/>
      </c>
      <c r="J1295" s="4" t="str">
        <f>_xlfn.IFNA(VLOOKUP(D1295,Master!$I:$K,3,FALSE),"")</f>
        <v/>
      </c>
      <c r="L1295" s="27" t="str">
        <f>IF(A1295&lt;&gt;"CFA",_xlfn.IFNA(VLOOKUP($G1295,Master!$V$2:$Z$8,5,0),""),"")</f>
        <v/>
      </c>
      <c r="P1295" s="6" t="str">
        <f t="shared" si="40"/>
        <v/>
      </c>
      <c r="Q1295" s="13">
        <f t="shared" si="41"/>
        <v>0</v>
      </c>
    </row>
    <row r="1296" spans="2:17" ht="15" customHeight="1">
      <c r="B1296" s="5" t="str">
        <f>_xlfn.IFNA(VLOOKUP(C1296,Master!$H:$I,2,FALSE),"")</f>
        <v/>
      </c>
      <c r="D1296" s="5" t="str">
        <f>_xlfn.IFNA(VLOOKUP(E1296,Master!$H:$I,2,FALSE),"")</f>
        <v/>
      </c>
      <c r="F1296" s="26" t="str">
        <f>+_xlfn.XLOOKUP(G1296,Master!$V$2:$V$8,Master!$U$2:$U$8,"")</f>
        <v/>
      </c>
      <c r="I1296" s="4" t="str">
        <f>_xlfn.IFNA(VLOOKUP(D1296,Master!$I:$K,2,FALSE),"")</f>
        <v/>
      </c>
      <c r="J1296" s="4" t="str">
        <f>_xlfn.IFNA(VLOOKUP(D1296,Master!$I:$K,3,FALSE),"")</f>
        <v/>
      </c>
      <c r="L1296" s="27" t="str">
        <f>IF(A1296&lt;&gt;"CFA",_xlfn.IFNA(VLOOKUP($G1296,Master!$V$2:$Z$8,5,0),""),"")</f>
        <v/>
      </c>
      <c r="P1296" s="6" t="str">
        <f t="shared" si="40"/>
        <v/>
      </c>
      <c r="Q1296" s="13">
        <f t="shared" si="41"/>
        <v>0</v>
      </c>
    </row>
    <row r="1297" spans="2:17" ht="15" customHeight="1">
      <c r="B1297" s="5" t="str">
        <f>_xlfn.IFNA(VLOOKUP(C1297,Master!$H:$I,2,FALSE),"")</f>
        <v/>
      </c>
      <c r="D1297" s="5" t="str">
        <f>_xlfn.IFNA(VLOOKUP(E1297,Master!$H:$I,2,FALSE),"")</f>
        <v/>
      </c>
      <c r="F1297" s="26" t="str">
        <f>+_xlfn.XLOOKUP(G1297,Master!$V$2:$V$8,Master!$U$2:$U$8,"")</f>
        <v/>
      </c>
      <c r="I1297" s="4" t="str">
        <f>_xlfn.IFNA(VLOOKUP(D1297,Master!$I:$K,2,FALSE),"")</f>
        <v/>
      </c>
      <c r="J1297" s="4" t="str">
        <f>_xlfn.IFNA(VLOOKUP(D1297,Master!$I:$K,3,FALSE),"")</f>
        <v/>
      </c>
      <c r="L1297" s="27" t="str">
        <f>IF(A1297&lt;&gt;"CFA",_xlfn.IFNA(VLOOKUP($G1297,Master!$V$2:$Z$8,5,0),""),"")</f>
        <v/>
      </c>
      <c r="P1297" s="6" t="str">
        <f t="shared" si="40"/>
        <v/>
      </c>
      <c r="Q1297" s="13">
        <f t="shared" si="41"/>
        <v>0</v>
      </c>
    </row>
    <row r="1298" spans="2:17" ht="15" customHeight="1">
      <c r="B1298" s="5" t="str">
        <f>_xlfn.IFNA(VLOOKUP(C1298,Master!$H:$I,2,FALSE),"")</f>
        <v/>
      </c>
      <c r="D1298" s="5" t="str">
        <f>_xlfn.IFNA(VLOOKUP(E1298,Master!$H:$I,2,FALSE),"")</f>
        <v/>
      </c>
      <c r="F1298" s="26" t="str">
        <f>+_xlfn.XLOOKUP(G1298,Master!$V$2:$V$8,Master!$U$2:$U$8,"")</f>
        <v/>
      </c>
      <c r="I1298" s="4" t="str">
        <f>_xlfn.IFNA(VLOOKUP(D1298,Master!$I:$K,2,FALSE),"")</f>
        <v/>
      </c>
      <c r="J1298" s="4" t="str">
        <f>_xlfn.IFNA(VLOOKUP(D1298,Master!$I:$K,3,FALSE),"")</f>
        <v/>
      </c>
      <c r="L1298" s="27" t="str">
        <f>IF(A1298&lt;&gt;"CFA",_xlfn.IFNA(VLOOKUP($G1298,Master!$V$2:$Z$8,5,0),""),"")</f>
        <v/>
      </c>
      <c r="P1298" s="6" t="str">
        <f t="shared" si="40"/>
        <v/>
      </c>
      <c r="Q1298" s="13">
        <f t="shared" si="41"/>
        <v>0</v>
      </c>
    </row>
    <row r="1299" spans="2:17" ht="15" customHeight="1">
      <c r="B1299" s="5" t="str">
        <f>_xlfn.IFNA(VLOOKUP(C1299,Master!$H:$I,2,FALSE),"")</f>
        <v/>
      </c>
      <c r="D1299" s="5" t="str">
        <f>_xlfn.IFNA(VLOOKUP(E1299,Master!$H:$I,2,FALSE),"")</f>
        <v/>
      </c>
      <c r="F1299" s="26" t="str">
        <f>+_xlfn.XLOOKUP(G1299,Master!$V$2:$V$8,Master!$U$2:$U$8,"")</f>
        <v/>
      </c>
      <c r="I1299" s="4" t="str">
        <f>_xlfn.IFNA(VLOOKUP(D1299,Master!$I:$K,2,FALSE),"")</f>
        <v/>
      </c>
      <c r="J1299" s="4" t="str">
        <f>_xlfn.IFNA(VLOOKUP(D1299,Master!$I:$K,3,FALSE),"")</f>
        <v/>
      </c>
      <c r="L1299" s="27" t="str">
        <f>IF(A1299&lt;&gt;"CFA",_xlfn.IFNA(VLOOKUP($G1299,Master!$V$2:$Z$8,5,0),""),"")</f>
        <v/>
      </c>
      <c r="P1299" s="6" t="str">
        <f t="shared" si="40"/>
        <v/>
      </c>
      <c r="Q1299" s="13">
        <f t="shared" si="41"/>
        <v>0</v>
      </c>
    </row>
    <row r="1300" spans="2:17" ht="15" customHeight="1">
      <c r="B1300" s="5" t="str">
        <f>_xlfn.IFNA(VLOOKUP(C1300,Master!$H:$I,2,FALSE),"")</f>
        <v/>
      </c>
      <c r="D1300" s="5" t="str">
        <f>_xlfn.IFNA(VLOOKUP(E1300,Master!$H:$I,2,FALSE),"")</f>
        <v/>
      </c>
      <c r="F1300" s="26" t="str">
        <f>+_xlfn.XLOOKUP(G1300,Master!$V$2:$V$8,Master!$U$2:$U$8,"")</f>
        <v/>
      </c>
      <c r="I1300" s="4" t="str">
        <f>_xlfn.IFNA(VLOOKUP(D1300,Master!$I:$K,2,FALSE),"")</f>
        <v/>
      </c>
      <c r="J1300" s="4" t="str">
        <f>_xlfn.IFNA(VLOOKUP(D1300,Master!$I:$K,3,FALSE),"")</f>
        <v/>
      </c>
      <c r="L1300" s="27" t="str">
        <f>IF(A1300&lt;&gt;"CFA",_xlfn.IFNA(VLOOKUP($G1300,Master!$V$2:$Z$8,5,0),""),"")</f>
        <v/>
      </c>
      <c r="P1300" s="6" t="str">
        <f t="shared" si="40"/>
        <v/>
      </c>
      <c r="Q1300" s="13">
        <f t="shared" si="41"/>
        <v>0</v>
      </c>
    </row>
    <row r="1301" spans="2:17" ht="15" customHeight="1">
      <c r="B1301" s="5" t="str">
        <f>_xlfn.IFNA(VLOOKUP(C1301,Master!$H:$I,2,FALSE),"")</f>
        <v/>
      </c>
      <c r="D1301" s="5" t="str">
        <f>_xlfn.IFNA(VLOOKUP(E1301,Master!$H:$I,2,FALSE),"")</f>
        <v/>
      </c>
      <c r="F1301" s="26" t="str">
        <f>+_xlfn.XLOOKUP(G1301,Master!$V$2:$V$8,Master!$U$2:$U$8,"")</f>
        <v/>
      </c>
      <c r="I1301" s="4" t="str">
        <f>_xlfn.IFNA(VLOOKUP(D1301,Master!$I:$K,2,FALSE),"")</f>
        <v/>
      </c>
      <c r="J1301" s="4" t="str">
        <f>_xlfn.IFNA(VLOOKUP(D1301,Master!$I:$K,3,FALSE),"")</f>
        <v/>
      </c>
      <c r="L1301" s="27" t="str">
        <f>IF(A1301&lt;&gt;"CFA",_xlfn.IFNA(VLOOKUP($G1301,Master!$V$2:$Z$8,5,0),""),"")</f>
        <v/>
      </c>
      <c r="P1301" s="6" t="str">
        <f t="shared" si="40"/>
        <v/>
      </c>
      <c r="Q1301" s="13">
        <f t="shared" si="41"/>
        <v>0</v>
      </c>
    </row>
    <row r="1302" spans="2:17" ht="15" customHeight="1">
      <c r="B1302" s="5" t="str">
        <f>_xlfn.IFNA(VLOOKUP(C1302,Master!$H:$I,2,FALSE),"")</f>
        <v/>
      </c>
      <c r="D1302" s="5" t="str">
        <f>_xlfn.IFNA(VLOOKUP(E1302,Master!$H:$I,2,FALSE),"")</f>
        <v/>
      </c>
      <c r="F1302" s="26" t="str">
        <f>+_xlfn.XLOOKUP(G1302,Master!$V$2:$V$8,Master!$U$2:$U$8,"")</f>
        <v/>
      </c>
      <c r="I1302" s="4" t="str">
        <f>_xlfn.IFNA(VLOOKUP(D1302,Master!$I:$K,2,FALSE),"")</f>
        <v/>
      </c>
      <c r="J1302" s="4" t="str">
        <f>_xlfn.IFNA(VLOOKUP(D1302,Master!$I:$K,3,FALSE),"")</f>
        <v/>
      </c>
      <c r="L1302" s="27" t="str">
        <f>IF(A1302&lt;&gt;"CFA",_xlfn.IFNA(VLOOKUP($G1302,Master!$V$2:$Z$8,5,0),""),"")</f>
        <v/>
      </c>
      <c r="P1302" s="6" t="str">
        <f t="shared" si="40"/>
        <v/>
      </c>
      <c r="Q1302" s="13">
        <f t="shared" si="41"/>
        <v>0</v>
      </c>
    </row>
    <row r="1303" spans="2:17" ht="15" customHeight="1">
      <c r="B1303" s="5" t="str">
        <f>_xlfn.IFNA(VLOOKUP(C1303,Master!$H:$I,2,FALSE),"")</f>
        <v/>
      </c>
      <c r="D1303" s="5" t="str">
        <f>_xlfn.IFNA(VLOOKUP(E1303,Master!$H:$I,2,FALSE),"")</f>
        <v/>
      </c>
      <c r="F1303" s="26" t="str">
        <f>+_xlfn.XLOOKUP(G1303,Master!$V$2:$V$8,Master!$U$2:$U$8,"")</f>
        <v/>
      </c>
      <c r="I1303" s="4" t="str">
        <f>_xlfn.IFNA(VLOOKUP(D1303,Master!$I:$K,2,FALSE),"")</f>
        <v/>
      </c>
      <c r="J1303" s="4" t="str">
        <f>_xlfn.IFNA(VLOOKUP(D1303,Master!$I:$K,3,FALSE),"")</f>
        <v/>
      </c>
      <c r="L1303" s="27" t="str">
        <f>IF(A1303&lt;&gt;"CFA",_xlfn.IFNA(VLOOKUP($G1303,Master!$V$2:$Z$8,5,0),""),"")</f>
        <v/>
      </c>
      <c r="P1303" s="6" t="str">
        <f t="shared" si="40"/>
        <v/>
      </c>
      <c r="Q1303" s="13">
        <f t="shared" si="41"/>
        <v>0</v>
      </c>
    </row>
    <row r="1304" spans="2:17" ht="15" customHeight="1">
      <c r="B1304" s="5" t="str">
        <f>_xlfn.IFNA(VLOOKUP(C1304,Master!$H:$I,2,FALSE),"")</f>
        <v/>
      </c>
      <c r="D1304" s="5" t="str">
        <f>_xlfn.IFNA(VLOOKUP(E1304,Master!$H:$I,2,FALSE),"")</f>
        <v/>
      </c>
      <c r="F1304" s="26" t="str">
        <f>+_xlfn.XLOOKUP(G1304,Master!$V$2:$V$8,Master!$U$2:$U$8,"")</f>
        <v/>
      </c>
      <c r="I1304" s="4" t="str">
        <f>_xlfn.IFNA(VLOOKUP(D1304,Master!$I:$K,2,FALSE),"")</f>
        <v/>
      </c>
      <c r="J1304" s="4" t="str">
        <f>_xlfn.IFNA(VLOOKUP(D1304,Master!$I:$K,3,FALSE),"")</f>
        <v/>
      </c>
      <c r="L1304" s="27" t="str">
        <f>IF(A1304&lt;&gt;"CFA",_xlfn.IFNA(VLOOKUP($G1304,Master!$V$2:$Z$8,5,0),""),"")</f>
        <v/>
      </c>
      <c r="P1304" s="6" t="str">
        <f t="shared" si="40"/>
        <v/>
      </c>
      <c r="Q1304" s="13">
        <f t="shared" si="41"/>
        <v>0</v>
      </c>
    </row>
    <row r="1305" spans="2:17" ht="15" customHeight="1">
      <c r="B1305" s="5" t="str">
        <f>_xlfn.IFNA(VLOOKUP(C1305,Master!$H:$I,2,FALSE),"")</f>
        <v/>
      </c>
      <c r="D1305" s="5" t="str">
        <f>_xlfn.IFNA(VLOOKUP(E1305,Master!$H:$I,2,FALSE),"")</f>
        <v/>
      </c>
      <c r="F1305" s="26" t="str">
        <f>+_xlfn.XLOOKUP(G1305,Master!$V$2:$V$8,Master!$U$2:$U$8,"")</f>
        <v/>
      </c>
      <c r="I1305" s="4" t="str">
        <f>_xlfn.IFNA(VLOOKUP(D1305,Master!$I:$K,2,FALSE),"")</f>
        <v/>
      </c>
      <c r="J1305" s="4" t="str">
        <f>_xlfn.IFNA(VLOOKUP(D1305,Master!$I:$K,3,FALSE),"")</f>
        <v/>
      </c>
      <c r="L1305" s="27" t="str">
        <f>IF(A1305&lt;&gt;"CFA",_xlfn.IFNA(VLOOKUP($G1305,Master!$V$2:$Z$8,5,0),""),"")</f>
        <v/>
      </c>
      <c r="P1305" s="6" t="str">
        <f t="shared" si="40"/>
        <v/>
      </c>
      <c r="Q1305" s="13">
        <f t="shared" si="41"/>
        <v>0</v>
      </c>
    </row>
    <row r="1306" spans="2:17" ht="15" customHeight="1">
      <c r="B1306" s="5" t="str">
        <f>_xlfn.IFNA(VLOOKUP(C1306,Master!$H:$I,2,FALSE),"")</f>
        <v/>
      </c>
      <c r="D1306" s="5" t="str">
        <f>_xlfn.IFNA(VLOOKUP(E1306,Master!$H:$I,2,FALSE),"")</f>
        <v/>
      </c>
      <c r="F1306" s="26" t="str">
        <f>+_xlfn.XLOOKUP(G1306,Master!$V$2:$V$8,Master!$U$2:$U$8,"")</f>
        <v/>
      </c>
      <c r="I1306" s="4" t="str">
        <f>_xlfn.IFNA(VLOOKUP(D1306,Master!$I:$K,2,FALSE),"")</f>
        <v/>
      </c>
      <c r="J1306" s="4" t="str">
        <f>_xlfn.IFNA(VLOOKUP(D1306,Master!$I:$K,3,FALSE),"")</f>
        <v/>
      </c>
      <c r="L1306" s="27" t="str">
        <f>IF(A1306&lt;&gt;"CFA",_xlfn.IFNA(VLOOKUP($G1306,Master!$V$2:$Z$8,5,0),""),"")</f>
        <v/>
      </c>
      <c r="P1306" s="6" t="str">
        <f t="shared" si="40"/>
        <v/>
      </c>
      <c r="Q1306" s="13">
        <f t="shared" si="41"/>
        <v>0</v>
      </c>
    </row>
    <row r="1307" spans="2:17" ht="15" customHeight="1">
      <c r="B1307" s="5" t="str">
        <f>_xlfn.IFNA(VLOOKUP(C1307,Master!$H:$I,2,FALSE),"")</f>
        <v/>
      </c>
      <c r="D1307" s="5" t="str">
        <f>_xlfn.IFNA(VLOOKUP(E1307,Master!$H:$I,2,FALSE),"")</f>
        <v/>
      </c>
      <c r="F1307" s="26" t="str">
        <f>+_xlfn.XLOOKUP(G1307,Master!$V$2:$V$8,Master!$U$2:$U$8,"")</f>
        <v/>
      </c>
      <c r="I1307" s="4" t="str">
        <f>_xlfn.IFNA(VLOOKUP(D1307,Master!$I:$K,2,FALSE),"")</f>
        <v/>
      </c>
      <c r="J1307" s="4" t="str">
        <f>_xlfn.IFNA(VLOOKUP(D1307,Master!$I:$K,3,FALSE),"")</f>
        <v/>
      </c>
      <c r="L1307" s="27" t="str">
        <f>IF(A1307&lt;&gt;"CFA",_xlfn.IFNA(VLOOKUP($G1307,Master!$V$2:$Z$8,5,0),""),"")</f>
        <v/>
      </c>
      <c r="P1307" s="6" t="str">
        <f t="shared" si="40"/>
        <v/>
      </c>
      <c r="Q1307" s="13">
        <f t="shared" si="41"/>
        <v>0</v>
      </c>
    </row>
    <row r="1308" spans="2:17" ht="15" customHeight="1">
      <c r="B1308" s="5" t="str">
        <f>_xlfn.IFNA(VLOOKUP(C1308,Master!$H:$I,2,FALSE),"")</f>
        <v/>
      </c>
      <c r="D1308" s="5" t="str">
        <f>_xlfn.IFNA(VLOOKUP(E1308,Master!$H:$I,2,FALSE),"")</f>
        <v/>
      </c>
      <c r="F1308" s="26" t="str">
        <f>+_xlfn.XLOOKUP(G1308,Master!$V$2:$V$8,Master!$U$2:$U$8,"")</f>
        <v/>
      </c>
      <c r="I1308" s="4" t="str">
        <f>_xlfn.IFNA(VLOOKUP(D1308,Master!$I:$K,2,FALSE),"")</f>
        <v/>
      </c>
      <c r="J1308" s="4" t="str">
        <f>_xlfn.IFNA(VLOOKUP(D1308,Master!$I:$K,3,FALSE),"")</f>
        <v/>
      </c>
      <c r="L1308" s="27" t="str">
        <f>IF(A1308&lt;&gt;"CFA",_xlfn.IFNA(VLOOKUP($G1308,Master!$V$2:$Z$8,5,0),""),"")</f>
        <v/>
      </c>
      <c r="P1308" s="6" t="str">
        <f t="shared" si="40"/>
        <v/>
      </c>
      <c r="Q1308" s="13">
        <f t="shared" si="41"/>
        <v>0</v>
      </c>
    </row>
    <row r="1309" spans="2:17" ht="15" customHeight="1">
      <c r="B1309" s="5" t="str">
        <f>_xlfn.IFNA(VLOOKUP(C1309,Master!$H:$I,2,FALSE),"")</f>
        <v/>
      </c>
      <c r="D1309" s="5" t="str">
        <f>_xlfn.IFNA(VLOOKUP(E1309,Master!$H:$I,2,FALSE),"")</f>
        <v/>
      </c>
      <c r="F1309" s="26" t="str">
        <f>+_xlfn.XLOOKUP(G1309,Master!$V$2:$V$8,Master!$U$2:$U$8,"")</f>
        <v/>
      </c>
      <c r="I1309" s="4" t="str">
        <f>_xlfn.IFNA(VLOOKUP(D1309,Master!$I:$K,2,FALSE),"")</f>
        <v/>
      </c>
      <c r="J1309" s="4" t="str">
        <f>_xlfn.IFNA(VLOOKUP(D1309,Master!$I:$K,3,FALSE),"")</f>
        <v/>
      </c>
      <c r="L1309" s="27" t="str">
        <f>IF(A1309&lt;&gt;"CFA",_xlfn.IFNA(VLOOKUP($G1309,Master!$V$2:$Z$8,5,0),""),"")</f>
        <v/>
      </c>
      <c r="P1309" s="6" t="str">
        <f t="shared" si="40"/>
        <v/>
      </c>
      <c r="Q1309" s="13">
        <f t="shared" si="41"/>
        <v>0</v>
      </c>
    </row>
    <row r="1310" spans="2:17" ht="15" customHeight="1">
      <c r="B1310" s="5" t="str">
        <f>_xlfn.IFNA(VLOOKUP(C1310,Master!$H:$I,2,FALSE),"")</f>
        <v/>
      </c>
      <c r="D1310" s="5" t="str">
        <f>_xlfn.IFNA(VLOOKUP(E1310,Master!$H:$I,2,FALSE),"")</f>
        <v/>
      </c>
      <c r="F1310" s="26" t="str">
        <f>+_xlfn.XLOOKUP(G1310,Master!$V$2:$V$8,Master!$U$2:$U$8,"")</f>
        <v/>
      </c>
      <c r="I1310" s="4" t="str">
        <f>_xlfn.IFNA(VLOOKUP(D1310,Master!$I:$K,2,FALSE),"")</f>
        <v/>
      </c>
      <c r="J1310" s="4" t="str">
        <f>_xlfn.IFNA(VLOOKUP(D1310,Master!$I:$K,3,FALSE),"")</f>
        <v/>
      </c>
      <c r="L1310" s="27" t="str">
        <f>IF(A1310&lt;&gt;"CFA",_xlfn.IFNA(VLOOKUP($G1310,Master!$V$2:$Z$8,5,0),""),"")</f>
        <v/>
      </c>
      <c r="P1310" s="6" t="str">
        <f t="shared" si="40"/>
        <v/>
      </c>
      <c r="Q1310" s="13">
        <f t="shared" si="41"/>
        <v>0</v>
      </c>
    </row>
    <row r="1311" spans="2:17" ht="15" customHeight="1">
      <c r="B1311" s="5" t="str">
        <f>_xlfn.IFNA(VLOOKUP(C1311,Master!$H:$I,2,FALSE),"")</f>
        <v/>
      </c>
      <c r="D1311" s="5" t="str">
        <f>_xlfn.IFNA(VLOOKUP(E1311,Master!$H:$I,2,FALSE),"")</f>
        <v/>
      </c>
      <c r="F1311" s="26" t="str">
        <f>+_xlfn.XLOOKUP(G1311,Master!$V$2:$V$8,Master!$U$2:$U$8,"")</f>
        <v/>
      </c>
      <c r="I1311" s="4" t="str">
        <f>_xlfn.IFNA(VLOOKUP(D1311,Master!$I:$K,2,FALSE),"")</f>
        <v/>
      </c>
      <c r="J1311" s="4" t="str">
        <f>_xlfn.IFNA(VLOOKUP(D1311,Master!$I:$K,3,FALSE),"")</f>
        <v/>
      </c>
      <c r="L1311" s="27" t="str">
        <f>IF(A1311&lt;&gt;"CFA",_xlfn.IFNA(VLOOKUP($G1311,Master!$V$2:$Z$8,5,0),""),"")</f>
        <v/>
      </c>
      <c r="P1311" s="6" t="str">
        <f t="shared" si="40"/>
        <v/>
      </c>
      <c r="Q1311" s="13">
        <f t="shared" si="41"/>
        <v>0</v>
      </c>
    </row>
    <row r="1312" spans="2:17" ht="15" customHeight="1">
      <c r="B1312" s="5" t="str">
        <f>_xlfn.IFNA(VLOOKUP(C1312,Master!$H:$I,2,FALSE),"")</f>
        <v/>
      </c>
      <c r="D1312" s="5" t="str">
        <f>_xlfn.IFNA(VLOOKUP(E1312,Master!$H:$I,2,FALSE),"")</f>
        <v/>
      </c>
      <c r="F1312" s="26" t="str">
        <f>+_xlfn.XLOOKUP(G1312,Master!$V$2:$V$8,Master!$U$2:$U$8,"")</f>
        <v/>
      </c>
      <c r="I1312" s="4" t="str">
        <f>_xlfn.IFNA(VLOOKUP(D1312,Master!$I:$K,2,FALSE),"")</f>
        <v/>
      </c>
      <c r="J1312" s="4" t="str">
        <f>_xlfn.IFNA(VLOOKUP(D1312,Master!$I:$K,3,FALSE),"")</f>
        <v/>
      </c>
      <c r="L1312" s="27" t="str">
        <f>IF(A1312&lt;&gt;"CFA",_xlfn.IFNA(VLOOKUP($G1312,Master!$V$2:$Z$8,5,0),""),"")</f>
        <v/>
      </c>
      <c r="P1312" s="6" t="str">
        <f t="shared" si="40"/>
        <v/>
      </c>
      <c r="Q1312" s="13">
        <f t="shared" si="41"/>
        <v>0</v>
      </c>
    </row>
    <row r="1313" spans="2:17" ht="15" customHeight="1">
      <c r="B1313" s="5" t="str">
        <f>_xlfn.IFNA(VLOOKUP(C1313,Master!$H:$I,2,FALSE),"")</f>
        <v/>
      </c>
      <c r="D1313" s="5" t="str">
        <f>_xlfn.IFNA(VLOOKUP(E1313,Master!$H:$I,2,FALSE),"")</f>
        <v/>
      </c>
      <c r="F1313" s="26" t="str">
        <f>+_xlfn.XLOOKUP(G1313,Master!$V$2:$V$8,Master!$U$2:$U$8,"")</f>
        <v/>
      </c>
      <c r="I1313" s="4" t="str">
        <f>_xlfn.IFNA(VLOOKUP(D1313,Master!$I:$K,2,FALSE),"")</f>
        <v/>
      </c>
      <c r="J1313" s="4" t="str">
        <f>_xlfn.IFNA(VLOOKUP(D1313,Master!$I:$K,3,FALSE),"")</f>
        <v/>
      </c>
      <c r="L1313" s="27" t="str">
        <f>IF(A1313&lt;&gt;"CFA",_xlfn.IFNA(VLOOKUP($G1313,Master!$V$2:$Z$8,5,0),""),"")</f>
        <v/>
      </c>
      <c r="P1313" s="6" t="str">
        <f t="shared" si="40"/>
        <v/>
      </c>
      <c r="Q1313" s="13">
        <f t="shared" si="41"/>
        <v>0</v>
      </c>
    </row>
    <row r="1314" spans="2:17" ht="15" customHeight="1">
      <c r="B1314" s="5" t="str">
        <f>_xlfn.IFNA(VLOOKUP(C1314,Master!$H:$I,2,FALSE),"")</f>
        <v/>
      </c>
      <c r="D1314" s="5" t="str">
        <f>_xlfn.IFNA(VLOOKUP(E1314,Master!$H:$I,2,FALSE),"")</f>
        <v/>
      </c>
      <c r="F1314" s="26" t="str">
        <f>+_xlfn.XLOOKUP(G1314,Master!$V$2:$V$8,Master!$U$2:$U$8,"")</f>
        <v/>
      </c>
      <c r="I1314" s="4" t="str">
        <f>_xlfn.IFNA(VLOOKUP(D1314,Master!$I:$K,2,FALSE),"")</f>
        <v/>
      </c>
      <c r="J1314" s="4" t="str">
        <f>_xlfn.IFNA(VLOOKUP(D1314,Master!$I:$K,3,FALSE),"")</f>
        <v/>
      </c>
      <c r="L1314" s="27" t="str">
        <f>IF(A1314&lt;&gt;"CFA",_xlfn.IFNA(VLOOKUP($G1314,Master!$V$2:$Z$8,5,0),""),"")</f>
        <v/>
      </c>
      <c r="P1314" s="6" t="str">
        <f t="shared" si="40"/>
        <v/>
      </c>
      <c r="Q1314" s="13">
        <f t="shared" si="41"/>
        <v>0</v>
      </c>
    </row>
    <row r="1315" spans="2:17" ht="15" customHeight="1">
      <c r="B1315" s="5" t="str">
        <f>_xlfn.IFNA(VLOOKUP(C1315,Master!$H:$I,2,FALSE),"")</f>
        <v/>
      </c>
      <c r="D1315" s="5" t="str">
        <f>_xlfn.IFNA(VLOOKUP(E1315,Master!$H:$I,2,FALSE),"")</f>
        <v/>
      </c>
      <c r="F1315" s="26" t="str">
        <f>+_xlfn.XLOOKUP(G1315,Master!$V$2:$V$8,Master!$U$2:$U$8,"")</f>
        <v/>
      </c>
      <c r="I1315" s="4" t="str">
        <f>_xlfn.IFNA(VLOOKUP(D1315,Master!$I:$K,2,FALSE),"")</f>
        <v/>
      </c>
      <c r="J1315" s="4" t="str">
        <f>_xlfn.IFNA(VLOOKUP(D1315,Master!$I:$K,3,FALSE),"")</f>
        <v/>
      </c>
      <c r="L1315" s="27" t="str">
        <f>IF(A1315&lt;&gt;"CFA",_xlfn.IFNA(VLOOKUP($G1315,Master!$V$2:$Z$8,5,0),""),"")</f>
        <v/>
      </c>
      <c r="P1315" s="6" t="str">
        <f t="shared" si="40"/>
        <v/>
      </c>
      <c r="Q1315" s="13">
        <f t="shared" si="41"/>
        <v>0</v>
      </c>
    </row>
    <row r="1316" spans="2:17" ht="15" customHeight="1">
      <c r="B1316" s="5" t="str">
        <f>_xlfn.IFNA(VLOOKUP(C1316,Master!$H:$I,2,FALSE),"")</f>
        <v/>
      </c>
      <c r="D1316" s="5" t="str">
        <f>_xlfn.IFNA(VLOOKUP(E1316,Master!$H:$I,2,FALSE),"")</f>
        <v/>
      </c>
      <c r="F1316" s="26" t="str">
        <f>+_xlfn.XLOOKUP(G1316,Master!$V$2:$V$8,Master!$U$2:$U$8,"")</f>
        <v/>
      </c>
      <c r="I1316" s="4" t="str">
        <f>_xlfn.IFNA(VLOOKUP(D1316,Master!$I:$K,2,FALSE),"")</f>
        <v/>
      </c>
      <c r="J1316" s="4" t="str">
        <f>_xlfn.IFNA(VLOOKUP(D1316,Master!$I:$K,3,FALSE),"")</f>
        <v/>
      </c>
      <c r="L1316" s="27" t="str">
        <f>IF(A1316&lt;&gt;"CFA",_xlfn.IFNA(VLOOKUP($G1316,Master!$V$2:$Z$8,5,0),""),"")</f>
        <v/>
      </c>
      <c r="P1316" s="6" t="str">
        <f t="shared" si="40"/>
        <v/>
      </c>
      <c r="Q1316" s="13">
        <f t="shared" si="41"/>
        <v>0</v>
      </c>
    </row>
    <row r="1317" spans="2:17" ht="15" customHeight="1">
      <c r="B1317" s="5" t="str">
        <f>_xlfn.IFNA(VLOOKUP(C1317,Master!$H:$I,2,FALSE),"")</f>
        <v/>
      </c>
      <c r="D1317" s="5" t="str">
        <f>_xlfn.IFNA(VLOOKUP(E1317,Master!$H:$I,2,FALSE),"")</f>
        <v/>
      </c>
      <c r="F1317" s="26" t="str">
        <f>+_xlfn.XLOOKUP(G1317,Master!$V$2:$V$8,Master!$U$2:$U$8,"")</f>
        <v/>
      </c>
      <c r="I1317" s="4" t="str">
        <f>_xlfn.IFNA(VLOOKUP(D1317,Master!$I:$K,2,FALSE),"")</f>
        <v/>
      </c>
      <c r="J1317" s="4" t="str">
        <f>_xlfn.IFNA(VLOOKUP(D1317,Master!$I:$K,3,FALSE),"")</f>
        <v/>
      </c>
      <c r="L1317" s="27" t="str">
        <f>IF(A1317&lt;&gt;"CFA",_xlfn.IFNA(VLOOKUP($G1317,Master!$V$2:$Z$8,5,0),""),"")</f>
        <v/>
      </c>
      <c r="P1317" s="6" t="str">
        <f t="shared" si="40"/>
        <v/>
      </c>
      <c r="Q1317" s="13">
        <f t="shared" si="41"/>
        <v>0</v>
      </c>
    </row>
    <row r="1318" spans="2:17" ht="15" customHeight="1">
      <c r="B1318" s="5" t="str">
        <f>_xlfn.IFNA(VLOOKUP(C1318,Master!$H:$I,2,FALSE),"")</f>
        <v/>
      </c>
      <c r="D1318" s="5" t="str">
        <f>_xlfn.IFNA(VLOOKUP(E1318,Master!$H:$I,2,FALSE),"")</f>
        <v/>
      </c>
      <c r="F1318" s="26" t="str">
        <f>+_xlfn.XLOOKUP(G1318,Master!$V$2:$V$8,Master!$U$2:$U$8,"")</f>
        <v/>
      </c>
      <c r="I1318" s="4" t="str">
        <f>_xlfn.IFNA(VLOOKUP(D1318,Master!$I:$K,2,FALSE),"")</f>
        <v/>
      </c>
      <c r="J1318" s="4" t="str">
        <f>_xlfn.IFNA(VLOOKUP(D1318,Master!$I:$K,3,FALSE),"")</f>
        <v/>
      </c>
      <c r="L1318" s="27" t="str">
        <f>IF(A1318&lt;&gt;"CFA",_xlfn.IFNA(VLOOKUP($G1318,Master!$V$2:$Z$8,5,0),""),"")</f>
        <v/>
      </c>
      <c r="P1318" s="6" t="str">
        <f t="shared" si="40"/>
        <v/>
      </c>
      <c r="Q1318" s="13">
        <f t="shared" si="41"/>
        <v>0</v>
      </c>
    </row>
    <row r="1319" spans="2:17" ht="15" customHeight="1">
      <c r="B1319" s="5" t="str">
        <f>_xlfn.IFNA(VLOOKUP(C1319,Master!$H:$I,2,FALSE),"")</f>
        <v/>
      </c>
      <c r="D1319" s="5" t="str">
        <f>_xlfn.IFNA(VLOOKUP(E1319,Master!$H:$I,2,FALSE),"")</f>
        <v/>
      </c>
      <c r="F1319" s="26" t="str">
        <f>+_xlfn.XLOOKUP(G1319,Master!$V$2:$V$8,Master!$U$2:$U$8,"")</f>
        <v/>
      </c>
      <c r="I1319" s="4" t="str">
        <f>_xlfn.IFNA(VLOOKUP(D1319,Master!$I:$K,2,FALSE),"")</f>
        <v/>
      </c>
      <c r="J1319" s="4" t="str">
        <f>_xlfn.IFNA(VLOOKUP(D1319,Master!$I:$K,3,FALSE),"")</f>
        <v/>
      </c>
      <c r="L1319" s="27" t="str">
        <f>IF(A1319&lt;&gt;"CFA",_xlfn.IFNA(VLOOKUP($G1319,Master!$V$2:$Z$8,5,0),""),"")</f>
        <v/>
      </c>
      <c r="P1319" s="6" t="str">
        <f t="shared" si="40"/>
        <v/>
      </c>
      <c r="Q1319" s="13">
        <f t="shared" si="41"/>
        <v>0</v>
      </c>
    </row>
    <row r="1320" spans="2:17" ht="15" customHeight="1">
      <c r="B1320" s="5" t="str">
        <f>_xlfn.IFNA(VLOOKUP(C1320,Master!$H:$I,2,FALSE),"")</f>
        <v/>
      </c>
      <c r="D1320" s="5" t="str">
        <f>_xlfn.IFNA(VLOOKUP(E1320,Master!$H:$I,2,FALSE),"")</f>
        <v/>
      </c>
      <c r="F1320" s="26" t="str">
        <f>+_xlfn.XLOOKUP(G1320,Master!$V$2:$V$8,Master!$U$2:$U$8,"")</f>
        <v/>
      </c>
      <c r="I1320" s="4" t="str">
        <f>_xlfn.IFNA(VLOOKUP(D1320,Master!$I:$K,2,FALSE),"")</f>
        <v/>
      </c>
      <c r="J1320" s="4" t="str">
        <f>_xlfn.IFNA(VLOOKUP(D1320,Master!$I:$K,3,FALSE),"")</f>
        <v/>
      </c>
      <c r="L1320" s="27" t="str">
        <f>IF(A1320&lt;&gt;"CFA",_xlfn.IFNA(VLOOKUP($G1320,Master!$V$2:$Z$8,5,0),""),"")</f>
        <v/>
      </c>
      <c r="P1320" s="6" t="str">
        <f t="shared" si="40"/>
        <v/>
      </c>
      <c r="Q1320" s="13">
        <f t="shared" si="41"/>
        <v>0</v>
      </c>
    </row>
    <row r="1321" spans="2:17" ht="15" customHeight="1">
      <c r="B1321" s="5" t="str">
        <f>_xlfn.IFNA(VLOOKUP(C1321,Master!$H:$I,2,FALSE),"")</f>
        <v/>
      </c>
      <c r="D1321" s="5" t="str">
        <f>_xlfn.IFNA(VLOOKUP(E1321,Master!$H:$I,2,FALSE),"")</f>
        <v/>
      </c>
      <c r="F1321" s="26" t="str">
        <f>+_xlfn.XLOOKUP(G1321,Master!$V$2:$V$8,Master!$U$2:$U$8,"")</f>
        <v/>
      </c>
      <c r="I1321" s="4" t="str">
        <f>_xlfn.IFNA(VLOOKUP(D1321,Master!$I:$K,2,FALSE),"")</f>
        <v/>
      </c>
      <c r="J1321" s="4" t="str">
        <f>_xlfn.IFNA(VLOOKUP(D1321,Master!$I:$K,3,FALSE),"")</f>
        <v/>
      </c>
      <c r="L1321" s="27" t="str">
        <f>IF(A1321&lt;&gt;"CFA",_xlfn.IFNA(VLOOKUP($G1321,Master!$V$2:$Z$8,5,0),""),"")</f>
        <v/>
      </c>
      <c r="P1321" s="6" t="str">
        <f t="shared" si="40"/>
        <v/>
      </c>
      <c r="Q1321" s="13">
        <f t="shared" si="41"/>
        <v>0</v>
      </c>
    </row>
    <row r="1322" spans="2:17" ht="15" customHeight="1">
      <c r="B1322" s="5" t="str">
        <f>_xlfn.IFNA(VLOOKUP(C1322,Master!$H:$I,2,FALSE),"")</f>
        <v/>
      </c>
      <c r="D1322" s="5" t="str">
        <f>_xlfn.IFNA(VLOOKUP(E1322,Master!$H:$I,2,FALSE),"")</f>
        <v/>
      </c>
      <c r="F1322" s="26" t="str">
        <f>+_xlfn.XLOOKUP(G1322,Master!$V$2:$V$8,Master!$U$2:$U$8,"")</f>
        <v/>
      </c>
      <c r="I1322" s="4" t="str">
        <f>_xlfn.IFNA(VLOOKUP(D1322,Master!$I:$K,2,FALSE),"")</f>
        <v/>
      </c>
      <c r="J1322" s="4" t="str">
        <f>_xlfn.IFNA(VLOOKUP(D1322,Master!$I:$K,3,FALSE),"")</f>
        <v/>
      </c>
      <c r="L1322" s="27" t="str">
        <f>IF(A1322&lt;&gt;"CFA",_xlfn.IFNA(VLOOKUP($G1322,Master!$V$2:$Z$8,5,0),""),"")</f>
        <v/>
      </c>
      <c r="P1322" s="6" t="str">
        <f t="shared" si="40"/>
        <v/>
      </c>
      <c r="Q1322" s="13">
        <f t="shared" si="41"/>
        <v>0</v>
      </c>
    </row>
    <row r="1323" spans="2:17" ht="15" customHeight="1">
      <c r="B1323" s="5" t="str">
        <f>_xlfn.IFNA(VLOOKUP(C1323,Master!$H:$I,2,FALSE),"")</f>
        <v/>
      </c>
      <c r="D1323" s="5" t="str">
        <f>_xlfn.IFNA(VLOOKUP(E1323,Master!$H:$I,2,FALSE),"")</f>
        <v/>
      </c>
      <c r="F1323" s="26" t="str">
        <f>+_xlfn.XLOOKUP(G1323,Master!$V$2:$V$8,Master!$U$2:$U$8,"")</f>
        <v/>
      </c>
      <c r="I1323" s="4" t="str">
        <f>_xlfn.IFNA(VLOOKUP(D1323,Master!$I:$K,2,FALSE),"")</f>
        <v/>
      </c>
      <c r="J1323" s="4" t="str">
        <f>_xlfn.IFNA(VLOOKUP(D1323,Master!$I:$K,3,FALSE),"")</f>
        <v/>
      </c>
      <c r="L1323" s="27" t="str">
        <f>IF(A1323&lt;&gt;"CFA",_xlfn.IFNA(VLOOKUP($G1323,Master!$V$2:$Z$8,5,0),""),"")</f>
        <v/>
      </c>
      <c r="P1323" s="6" t="str">
        <f t="shared" si="40"/>
        <v/>
      </c>
      <c r="Q1323" s="13">
        <f t="shared" si="41"/>
        <v>0</v>
      </c>
    </row>
    <row r="1324" spans="2:17" ht="15" customHeight="1">
      <c r="B1324" s="5" t="str">
        <f>_xlfn.IFNA(VLOOKUP(C1324,Master!$H:$I,2,FALSE),"")</f>
        <v/>
      </c>
      <c r="D1324" s="5" t="str">
        <f>_xlfn.IFNA(VLOOKUP(E1324,Master!$H:$I,2,FALSE),"")</f>
        <v/>
      </c>
      <c r="F1324" s="26" t="str">
        <f>+_xlfn.XLOOKUP(G1324,Master!$V$2:$V$8,Master!$U$2:$U$8,"")</f>
        <v/>
      </c>
      <c r="I1324" s="4" t="str">
        <f>_xlfn.IFNA(VLOOKUP(D1324,Master!$I:$K,2,FALSE),"")</f>
        <v/>
      </c>
      <c r="J1324" s="4" t="str">
        <f>_xlfn.IFNA(VLOOKUP(D1324,Master!$I:$K,3,FALSE),"")</f>
        <v/>
      </c>
      <c r="L1324" s="27" t="str">
        <f>IF(A1324&lt;&gt;"CFA",_xlfn.IFNA(VLOOKUP($G1324,Master!$V$2:$Z$8,5,0),""),"")</f>
        <v/>
      </c>
      <c r="P1324" s="6" t="str">
        <f t="shared" si="40"/>
        <v/>
      </c>
      <c r="Q1324" s="13">
        <f t="shared" si="41"/>
        <v>0</v>
      </c>
    </row>
    <row r="1325" spans="2:17" ht="15" customHeight="1">
      <c r="B1325" s="5" t="str">
        <f>_xlfn.IFNA(VLOOKUP(C1325,Master!$H:$I,2,FALSE),"")</f>
        <v/>
      </c>
      <c r="D1325" s="5" t="str">
        <f>_xlfn.IFNA(VLOOKUP(E1325,Master!$H:$I,2,FALSE),"")</f>
        <v/>
      </c>
      <c r="F1325" s="26" t="str">
        <f>+_xlfn.XLOOKUP(G1325,Master!$V$2:$V$8,Master!$U$2:$U$8,"")</f>
        <v/>
      </c>
      <c r="I1325" s="4" t="str">
        <f>_xlfn.IFNA(VLOOKUP(D1325,Master!$I:$K,2,FALSE),"")</f>
        <v/>
      </c>
      <c r="J1325" s="4" t="str">
        <f>_xlfn.IFNA(VLOOKUP(D1325,Master!$I:$K,3,FALSE),"")</f>
        <v/>
      </c>
      <c r="L1325" s="27" t="str">
        <f>IF(A1325&lt;&gt;"CFA",_xlfn.IFNA(VLOOKUP($G1325,Master!$V$2:$Z$8,5,0),""),"")</f>
        <v/>
      </c>
      <c r="P1325" s="6" t="str">
        <f t="shared" si="40"/>
        <v/>
      </c>
      <c r="Q1325" s="13">
        <f t="shared" si="41"/>
        <v>0</v>
      </c>
    </row>
    <row r="1326" spans="2:17" ht="15" customHeight="1">
      <c r="B1326" s="5" t="str">
        <f>_xlfn.IFNA(VLOOKUP(C1326,Master!$H:$I,2,FALSE),"")</f>
        <v/>
      </c>
      <c r="D1326" s="5" t="str">
        <f>_xlfn.IFNA(VLOOKUP(E1326,Master!$H:$I,2,FALSE),"")</f>
        <v/>
      </c>
      <c r="F1326" s="26" t="str">
        <f>+_xlfn.XLOOKUP(G1326,Master!$V$2:$V$8,Master!$U$2:$U$8,"")</f>
        <v/>
      </c>
      <c r="I1326" s="4" t="str">
        <f>_xlfn.IFNA(VLOOKUP(D1326,Master!$I:$K,2,FALSE),"")</f>
        <v/>
      </c>
      <c r="J1326" s="4" t="str">
        <f>_xlfn.IFNA(VLOOKUP(D1326,Master!$I:$K,3,FALSE),"")</f>
        <v/>
      </c>
      <c r="L1326" s="27" t="str">
        <f>IF(A1326&lt;&gt;"CFA",_xlfn.IFNA(VLOOKUP($G1326,Master!$V$2:$Z$8,5,0),""),"")</f>
        <v/>
      </c>
      <c r="P1326" s="6" t="str">
        <f t="shared" si="40"/>
        <v/>
      </c>
      <c r="Q1326" s="13">
        <f t="shared" si="41"/>
        <v>0</v>
      </c>
    </row>
    <row r="1327" spans="2:17" ht="15" customHeight="1">
      <c r="B1327" s="5" t="str">
        <f>_xlfn.IFNA(VLOOKUP(C1327,Master!$H:$I,2,FALSE),"")</f>
        <v/>
      </c>
      <c r="D1327" s="5" t="str">
        <f>_xlfn.IFNA(VLOOKUP(E1327,Master!$H:$I,2,FALSE),"")</f>
        <v/>
      </c>
      <c r="F1327" s="26" t="str">
        <f>+_xlfn.XLOOKUP(G1327,Master!$V$2:$V$8,Master!$U$2:$U$8,"")</f>
        <v/>
      </c>
      <c r="I1327" s="4" t="str">
        <f>_xlfn.IFNA(VLOOKUP(D1327,Master!$I:$K,2,FALSE),"")</f>
        <v/>
      </c>
      <c r="J1327" s="4" t="str">
        <f>_xlfn.IFNA(VLOOKUP(D1327,Master!$I:$K,3,FALSE),"")</f>
        <v/>
      </c>
      <c r="L1327" s="27" t="str">
        <f>IF(A1327&lt;&gt;"CFA",_xlfn.IFNA(VLOOKUP($G1327,Master!$V$2:$Z$8,5,0),""),"")</f>
        <v/>
      </c>
      <c r="P1327" s="6" t="str">
        <f t="shared" si="40"/>
        <v/>
      </c>
      <c r="Q1327" s="13">
        <f t="shared" si="41"/>
        <v>0</v>
      </c>
    </row>
    <row r="1328" spans="2:17" ht="15" customHeight="1">
      <c r="B1328" s="5" t="str">
        <f>_xlfn.IFNA(VLOOKUP(C1328,Master!$H:$I,2,FALSE),"")</f>
        <v/>
      </c>
      <c r="D1328" s="5" t="str">
        <f>_xlfn.IFNA(VLOOKUP(E1328,Master!$H:$I,2,FALSE),"")</f>
        <v/>
      </c>
      <c r="F1328" s="26" t="str">
        <f>+_xlfn.XLOOKUP(G1328,Master!$V$2:$V$8,Master!$U$2:$U$8,"")</f>
        <v/>
      </c>
      <c r="I1328" s="4" t="str">
        <f>_xlfn.IFNA(VLOOKUP(D1328,Master!$I:$K,2,FALSE),"")</f>
        <v/>
      </c>
      <c r="J1328" s="4" t="str">
        <f>_xlfn.IFNA(VLOOKUP(D1328,Master!$I:$K,3,FALSE),"")</f>
        <v/>
      </c>
      <c r="L1328" s="27" t="str">
        <f>IF(A1328&lt;&gt;"CFA",_xlfn.IFNA(VLOOKUP($G1328,Master!$V$2:$Z$8,5,0),""),"")</f>
        <v/>
      </c>
      <c r="P1328" s="6" t="str">
        <f t="shared" si="40"/>
        <v/>
      </c>
      <c r="Q1328" s="13">
        <f t="shared" si="41"/>
        <v>0</v>
      </c>
    </row>
    <row r="1329" spans="2:17" ht="15" customHeight="1">
      <c r="B1329" s="5" t="str">
        <f>_xlfn.IFNA(VLOOKUP(C1329,Master!$H:$I,2,FALSE),"")</f>
        <v/>
      </c>
      <c r="D1329" s="5" t="str">
        <f>_xlfn.IFNA(VLOOKUP(E1329,Master!$H:$I,2,FALSE),"")</f>
        <v/>
      </c>
      <c r="F1329" s="26" t="str">
        <f>+_xlfn.XLOOKUP(G1329,Master!$V$2:$V$8,Master!$U$2:$U$8,"")</f>
        <v/>
      </c>
      <c r="I1329" s="4" t="str">
        <f>_xlfn.IFNA(VLOOKUP(D1329,Master!$I:$K,2,FALSE),"")</f>
        <v/>
      </c>
      <c r="J1329" s="4" t="str">
        <f>_xlfn.IFNA(VLOOKUP(D1329,Master!$I:$K,3,FALSE),"")</f>
        <v/>
      </c>
      <c r="L1329" s="27" t="str">
        <f>IF(A1329&lt;&gt;"CFA",_xlfn.IFNA(VLOOKUP($G1329,Master!$V$2:$Z$8,5,0),""),"")</f>
        <v/>
      </c>
      <c r="P1329" s="6" t="str">
        <f t="shared" si="40"/>
        <v/>
      </c>
      <c r="Q1329" s="13">
        <f t="shared" si="41"/>
        <v>0</v>
      </c>
    </row>
    <row r="1330" spans="2:17" ht="15" customHeight="1">
      <c r="B1330" s="5" t="str">
        <f>_xlfn.IFNA(VLOOKUP(C1330,Master!$H:$I,2,FALSE),"")</f>
        <v/>
      </c>
      <c r="D1330" s="5" t="str">
        <f>_xlfn.IFNA(VLOOKUP(E1330,Master!$H:$I,2,FALSE),"")</f>
        <v/>
      </c>
      <c r="F1330" s="26" t="str">
        <f>+_xlfn.XLOOKUP(G1330,Master!$V$2:$V$8,Master!$U$2:$U$8,"")</f>
        <v/>
      </c>
      <c r="I1330" s="4" t="str">
        <f>_xlfn.IFNA(VLOOKUP(D1330,Master!$I:$K,2,FALSE),"")</f>
        <v/>
      </c>
      <c r="J1330" s="4" t="str">
        <f>_xlfn.IFNA(VLOOKUP(D1330,Master!$I:$K,3,FALSE),"")</f>
        <v/>
      </c>
      <c r="L1330" s="27" t="str">
        <f>IF(A1330&lt;&gt;"CFA",_xlfn.IFNA(VLOOKUP($G1330,Master!$V$2:$Z$8,5,0),""),"")</f>
        <v/>
      </c>
      <c r="P1330" s="6" t="str">
        <f t="shared" si="40"/>
        <v/>
      </c>
      <c r="Q1330" s="13">
        <f t="shared" si="41"/>
        <v>0</v>
      </c>
    </row>
    <row r="1331" spans="2:17" ht="15" customHeight="1">
      <c r="B1331" s="5" t="str">
        <f>_xlfn.IFNA(VLOOKUP(C1331,Master!$H:$I,2,FALSE),"")</f>
        <v/>
      </c>
      <c r="D1331" s="5" t="str">
        <f>_xlfn.IFNA(VLOOKUP(E1331,Master!$H:$I,2,FALSE),"")</f>
        <v/>
      </c>
      <c r="F1331" s="26" t="str">
        <f>+_xlfn.XLOOKUP(G1331,Master!$V$2:$V$8,Master!$U$2:$U$8,"")</f>
        <v/>
      </c>
      <c r="I1331" s="4" t="str">
        <f>_xlfn.IFNA(VLOOKUP(D1331,Master!$I:$K,2,FALSE),"")</f>
        <v/>
      </c>
      <c r="J1331" s="4" t="str">
        <f>_xlfn.IFNA(VLOOKUP(D1331,Master!$I:$K,3,FALSE),"")</f>
        <v/>
      </c>
      <c r="L1331" s="27" t="str">
        <f>IF(A1331&lt;&gt;"CFA",_xlfn.IFNA(VLOOKUP($G1331,Master!$V$2:$Z$8,5,0),""),"")</f>
        <v/>
      </c>
      <c r="P1331" s="6" t="str">
        <f t="shared" si="40"/>
        <v/>
      </c>
      <c r="Q1331" s="13">
        <f t="shared" si="41"/>
        <v>0</v>
      </c>
    </row>
    <row r="1332" spans="2:17" ht="15" customHeight="1">
      <c r="B1332" s="5" t="str">
        <f>_xlfn.IFNA(VLOOKUP(C1332,Master!$H:$I,2,FALSE),"")</f>
        <v/>
      </c>
      <c r="D1332" s="5" t="str">
        <f>_xlfn.IFNA(VLOOKUP(E1332,Master!$H:$I,2,FALSE),"")</f>
        <v/>
      </c>
      <c r="F1332" s="26" t="str">
        <f>+_xlfn.XLOOKUP(G1332,Master!$V$2:$V$8,Master!$U$2:$U$8,"")</f>
        <v/>
      </c>
      <c r="I1332" s="4" t="str">
        <f>_xlfn.IFNA(VLOOKUP(D1332,Master!$I:$K,2,FALSE),"")</f>
        <v/>
      </c>
      <c r="J1332" s="4" t="str">
        <f>_xlfn.IFNA(VLOOKUP(D1332,Master!$I:$K,3,FALSE),"")</f>
        <v/>
      </c>
      <c r="L1332" s="27" t="str">
        <f>IF(A1332&lt;&gt;"CFA",_xlfn.IFNA(VLOOKUP($G1332,Master!$V$2:$Z$8,5,0),""),"")</f>
        <v/>
      </c>
      <c r="P1332" s="6" t="str">
        <f t="shared" si="40"/>
        <v/>
      </c>
      <c r="Q1332" s="13">
        <f t="shared" si="41"/>
        <v>0</v>
      </c>
    </row>
    <row r="1333" spans="2:17" ht="15" customHeight="1">
      <c r="B1333" s="5" t="str">
        <f>_xlfn.IFNA(VLOOKUP(C1333,Master!$H:$I,2,FALSE),"")</f>
        <v/>
      </c>
      <c r="D1333" s="5" t="str">
        <f>_xlfn.IFNA(VLOOKUP(E1333,Master!$H:$I,2,FALSE),"")</f>
        <v/>
      </c>
      <c r="F1333" s="26" t="str">
        <f>+_xlfn.XLOOKUP(G1333,Master!$V$2:$V$8,Master!$U$2:$U$8,"")</f>
        <v/>
      </c>
      <c r="I1333" s="4" t="str">
        <f>_xlfn.IFNA(VLOOKUP(D1333,Master!$I:$K,2,FALSE),"")</f>
        <v/>
      </c>
      <c r="J1333" s="4" t="str">
        <f>_xlfn.IFNA(VLOOKUP(D1333,Master!$I:$K,3,FALSE),"")</f>
        <v/>
      </c>
      <c r="L1333" s="27" t="str">
        <f>IF(A1333&lt;&gt;"CFA",_xlfn.IFNA(VLOOKUP($G1333,Master!$V$2:$Z$8,5,0),""),"")</f>
        <v/>
      </c>
      <c r="P1333" s="6" t="str">
        <f t="shared" si="40"/>
        <v/>
      </c>
      <c r="Q1333" s="13">
        <f t="shared" si="41"/>
        <v>0</v>
      </c>
    </row>
    <row r="1334" spans="2:17" ht="15" customHeight="1">
      <c r="B1334" s="5" t="str">
        <f>_xlfn.IFNA(VLOOKUP(C1334,Master!$H:$I,2,FALSE),"")</f>
        <v/>
      </c>
      <c r="D1334" s="5" t="str">
        <f>_xlfn.IFNA(VLOOKUP(E1334,Master!$H:$I,2,FALSE),"")</f>
        <v/>
      </c>
      <c r="F1334" s="26" t="str">
        <f>+_xlfn.XLOOKUP(G1334,Master!$V$2:$V$8,Master!$U$2:$U$8,"")</f>
        <v/>
      </c>
      <c r="I1334" s="4" t="str">
        <f>_xlfn.IFNA(VLOOKUP(D1334,Master!$I:$K,2,FALSE),"")</f>
        <v/>
      </c>
      <c r="J1334" s="4" t="str">
        <f>_xlfn.IFNA(VLOOKUP(D1334,Master!$I:$K,3,FALSE),"")</f>
        <v/>
      </c>
      <c r="L1334" s="27" t="str">
        <f>IF(A1334&lt;&gt;"CFA",_xlfn.IFNA(VLOOKUP($G1334,Master!$V$2:$Z$8,5,0),""),"")</f>
        <v/>
      </c>
      <c r="P1334" s="6" t="str">
        <f t="shared" si="40"/>
        <v/>
      </c>
      <c r="Q1334" s="13">
        <f t="shared" si="41"/>
        <v>0</v>
      </c>
    </row>
    <row r="1335" spans="2:17" ht="15" customHeight="1">
      <c r="B1335" s="5" t="str">
        <f>_xlfn.IFNA(VLOOKUP(C1335,Master!$H:$I,2,FALSE),"")</f>
        <v/>
      </c>
      <c r="D1335" s="5" t="str">
        <f>_xlfn.IFNA(VLOOKUP(E1335,Master!$H:$I,2,FALSE),"")</f>
        <v/>
      </c>
      <c r="F1335" s="26" t="str">
        <f>+_xlfn.XLOOKUP(G1335,Master!$V$2:$V$8,Master!$U$2:$U$8,"")</f>
        <v/>
      </c>
      <c r="I1335" s="4" t="str">
        <f>_xlfn.IFNA(VLOOKUP(D1335,Master!$I:$K,2,FALSE),"")</f>
        <v/>
      </c>
      <c r="J1335" s="4" t="str">
        <f>_xlfn.IFNA(VLOOKUP(D1335,Master!$I:$K,3,FALSE),"")</f>
        <v/>
      </c>
      <c r="L1335" s="27" t="str">
        <f>IF(A1335&lt;&gt;"CFA",_xlfn.IFNA(VLOOKUP($G1335,Master!$V$2:$Z$8,5,0),""),"")</f>
        <v/>
      </c>
      <c r="P1335" s="6" t="str">
        <f t="shared" ref="P1335:P1398" si="42">IF(N1335&lt;&gt;"",IF(MONTH(N1335)&gt;=4,"FY1"&amp;RIGHT(YEAR(N1335)+1,2),"FY1"&amp;RIGHT(YEAR(N1335),2)),"")</f>
        <v/>
      </c>
      <c r="Q1335" s="13">
        <f t="shared" ref="Q1335:Q1398" si="43">IF(K1335&gt;0&amp;M1335&gt;0,K1335*M1335,"")</f>
        <v>0</v>
      </c>
    </row>
    <row r="1336" spans="2:17" ht="15" customHeight="1">
      <c r="B1336" s="5" t="str">
        <f>_xlfn.IFNA(VLOOKUP(C1336,Master!$H:$I,2,FALSE),"")</f>
        <v/>
      </c>
      <c r="D1336" s="5" t="str">
        <f>_xlfn.IFNA(VLOOKUP(E1336,Master!$H:$I,2,FALSE),"")</f>
        <v/>
      </c>
      <c r="F1336" s="26" t="str">
        <f>+_xlfn.XLOOKUP(G1336,Master!$V$2:$V$8,Master!$U$2:$U$8,"")</f>
        <v/>
      </c>
      <c r="I1336" s="4" t="str">
        <f>_xlfn.IFNA(VLOOKUP(D1336,Master!$I:$K,2,FALSE),"")</f>
        <v/>
      </c>
      <c r="J1336" s="4" t="str">
        <f>_xlfn.IFNA(VLOOKUP(D1336,Master!$I:$K,3,FALSE),"")</f>
        <v/>
      </c>
      <c r="L1336" s="27" t="str">
        <f>IF(A1336&lt;&gt;"CFA",_xlfn.IFNA(VLOOKUP($G1336,Master!$V$2:$Z$8,5,0),""),"")</f>
        <v/>
      </c>
      <c r="P1336" s="6" t="str">
        <f t="shared" si="42"/>
        <v/>
      </c>
      <c r="Q1336" s="13">
        <f t="shared" si="43"/>
        <v>0</v>
      </c>
    </row>
    <row r="1337" spans="2:17" ht="15" customHeight="1">
      <c r="B1337" s="5" t="str">
        <f>_xlfn.IFNA(VLOOKUP(C1337,Master!$H:$I,2,FALSE),"")</f>
        <v/>
      </c>
      <c r="D1337" s="5" t="str">
        <f>_xlfn.IFNA(VLOOKUP(E1337,Master!$H:$I,2,FALSE),"")</f>
        <v/>
      </c>
      <c r="F1337" s="26" t="str">
        <f>+_xlfn.XLOOKUP(G1337,Master!$V$2:$V$8,Master!$U$2:$U$8,"")</f>
        <v/>
      </c>
      <c r="I1337" s="4" t="str">
        <f>_xlfn.IFNA(VLOOKUP(D1337,Master!$I:$K,2,FALSE),"")</f>
        <v/>
      </c>
      <c r="J1337" s="4" t="str">
        <f>_xlfn.IFNA(VLOOKUP(D1337,Master!$I:$K,3,FALSE),"")</f>
        <v/>
      </c>
      <c r="L1337" s="27" t="str">
        <f>IF(A1337&lt;&gt;"CFA",_xlfn.IFNA(VLOOKUP($G1337,Master!$V$2:$Z$8,5,0),""),"")</f>
        <v/>
      </c>
      <c r="P1337" s="6" t="str">
        <f t="shared" si="42"/>
        <v/>
      </c>
      <c r="Q1337" s="13">
        <f t="shared" si="43"/>
        <v>0</v>
      </c>
    </row>
    <row r="1338" spans="2:17" ht="15" customHeight="1">
      <c r="B1338" s="5" t="str">
        <f>_xlfn.IFNA(VLOOKUP(C1338,Master!$H:$I,2,FALSE),"")</f>
        <v/>
      </c>
      <c r="D1338" s="5" t="str">
        <f>_xlfn.IFNA(VLOOKUP(E1338,Master!$H:$I,2,FALSE),"")</f>
        <v/>
      </c>
      <c r="F1338" s="26" t="str">
        <f>+_xlfn.XLOOKUP(G1338,Master!$V$2:$V$8,Master!$U$2:$U$8,"")</f>
        <v/>
      </c>
      <c r="I1338" s="4" t="str">
        <f>_xlfn.IFNA(VLOOKUP(D1338,Master!$I:$K,2,FALSE),"")</f>
        <v/>
      </c>
      <c r="J1338" s="4" t="str">
        <f>_xlfn.IFNA(VLOOKUP(D1338,Master!$I:$K,3,FALSE),"")</f>
        <v/>
      </c>
      <c r="L1338" s="27" t="str">
        <f>IF(A1338&lt;&gt;"CFA",_xlfn.IFNA(VLOOKUP($G1338,Master!$V$2:$Z$8,5,0),""),"")</f>
        <v/>
      </c>
      <c r="P1338" s="6" t="str">
        <f t="shared" si="42"/>
        <v/>
      </c>
      <c r="Q1338" s="13">
        <f t="shared" si="43"/>
        <v>0</v>
      </c>
    </row>
    <row r="1339" spans="2:17" ht="15" customHeight="1">
      <c r="B1339" s="5" t="str">
        <f>_xlfn.IFNA(VLOOKUP(C1339,Master!$H:$I,2,FALSE),"")</f>
        <v/>
      </c>
      <c r="D1339" s="5" t="str">
        <f>_xlfn.IFNA(VLOOKUP(E1339,Master!$H:$I,2,FALSE),"")</f>
        <v/>
      </c>
      <c r="F1339" s="26" t="str">
        <f>+_xlfn.XLOOKUP(G1339,Master!$V$2:$V$8,Master!$U$2:$U$8,"")</f>
        <v/>
      </c>
      <c r="I1339" s="4" t="str">
        <f>_xlfn.IFNA(VLOOKUP(D1339,Master!$I:$K,2,FALSE),"")</f>
        <v/>
      </c>
      <c r="J1339" s="4" t="str">
        <f>_xlfn.IFNA(VLOOKUP(D1339,Master!$I:$K,3,FALSE),"")</f>
        <v/>
      </c>
      <c r="L1339" s="27" t="str">
        <f>IF(A1339&lt;&gt;"CFA",_xlfn.IFNA(VLOOKUP($G1339,Master!$V$2:$Z$8,5,0),""),"")</f>
        <v/>
      </c>
      <c r="P1339" s="6" t="str">
        <f t="shared" si="42"/>
        <v/>
      </c>
      <c r="Q1339" s="13">
        <f t="shared" si="43"/>
        <v>0</v>
      </c>
    </row>
    <row r="1340" spans="2:17" ht="15" customHeight="1">
      <c r="B1340" s="5" t="str">
        <f>_xlfn.IFNA(VLOOKUP(C1340,Master!$H:$I,2,FALSE),"")</f>
        <v/>
      </c>
      <c r="D1340" s="5" t="str">
        <f>_xlfn.IFNA(VLOOKUP(E1340,Master!$H:$I,2,FALSE),"")</f>
        <v/>
      </c>
      <c r="F1340" s="26" t="str">
        <f>+_xlfn.XLOOKUP(G1340,Master!$V$2:$V$8,Master!$U$2:$U$8,"")</f>
        <v/>
      </c>
      <c r="I1340" s="4" t="str">
        <f>_xlfn.IFNA(VLOOKUP(D1340,Master!$I:$K,2,FALSE),"")</f>
        <v/>
      </c>
      <c r="J1340" s="4" t="str">
        <f>_xlfn.IFNA(VLOOKUP(D1340,Master!$I:$K,3,FALSE),"")</f>
        <v/>
      </c>
      <c r="L1340" s="27" t="str">
        <f>IF(A1340&lt;&gt;"CFA",_xlfn.IFNA(VLOOKUP($G1340,Master!$V$2:$Z$8,5,0),""),"")</f>
        <v/>
      </c>
      <c r="P1340" s="6" t="str">
        <f t="shared" si="42"/>
        <v/>
      </c>
      <c r="Q1340" s="13">
        <f t="shared" si="43"/>
        <v>0</v>
      </c>
    </row>
    <row r="1341" spans="2:17" ht="15" customHeight="1">
      <c r="B1341" s="5" t="str">
        <f>_xlfn.IFNA(VLOOKUP(C1341,Master!$H:$I,2,FALSE),"")</f>
        <v/>
      </c>
      <c r="D1341" s="5" t="str">
        <f>_xlfn.IFNA(VLOOKUP(E1341,Master!$H:$I,2,FALSE),"")</f>
        <v/>
      </c>
      <c r="F1341" s="26" t="str">
        <f>+_xlfn.XLOOKUP(G1341,Master!$V$2:$V$8,Master!$U$2:$U$8,"")</f>
        <v/>
      </c>
      <c r="I1341" s="4" t="str">
        <f>_xlfn.IFNA(VLOOKUP(D1341,Master!$I:$K,2,FALSE),"")</f>
        <v/>
      </c>
      <c r="J1341" s="4" t="str">
        <f>_xlfn.IFNA(VLOOKUP(D1341,Master!$I:$K,3,FALSE),"")</f>
        <v/>
      </c>
      <c r="L1341" s="27" t="str">
        <f>IF(A1341&lt;&gt;"CFA",_xlfn.IFNA(VLOOKUP($G1341,Master!$V$2:$Z$8,5,0),""),"")</f>
        <v/>
      </c>
      <c r="P1341" s="6" t="str">
        <f t="shared" si="42"/>
        <v/>
      </c>
      <c r="Q1341" s="13">
        <f t="shared" si="43"/>
        <v>0</v>
      </c>
    </row>
    <row r="1342" spans="2:17" ht="15" customHeight="1">
      <c r="B1342" s="5" t="str">
        <f>_xlfn.IFNA(VLOOKUP(C1342,Master!$H:$I,2,FALSE),"")</f>
        <v/>
      </c>
      <c r="D1342" s="5" t="str">
        <f>_xlfn.IFNA(VLOOKUP(E1342,Master!$H:$I,2,FALSE),"")</f>
        <v/>
      </c>
      <c r="F1342" s="26" t="str">
        <f>+_xlfn.XLOOKUP(G1342,Master!$V$2:$V$8,Master!$U$2:$U$8,"")</f>
        <v/>
      </c>
      <c r="I1342" s="4" t="str">
        <f>_xlfn.IFNA(VLOOKUP(D1342,Master!$I:$K,2,FALSE),"")</f>
        <v/>
      </c>
      <c r="J1342" s="4" t="str">
        <f>_xlfn.IFNA(VLOOKUP(D1342,Master!$I:$K,3,FALSE),"")</f>
        <v/>
      </c>
      <c r="L1342" s="27" t="str">
        <f>IF(A1342&lt;&gt;"CFA",_xlfn.IFNA(VLOOKUP($G1342,Master!$V$2:$Z$8,5,0),""),"")</f>
        <v/>
      </c>
      <c r="P1342" s="6" t="str">
        <f t="shared" si="42"/>
        <v/>
      </c>
      <c r="Q1342" s="13">
        <f t="shared" si="43"/>
        <v>0</v>
      </c>
    </row>
    <row r="1343" spans="2:17" ht="15" customHeight="1">
      <c r="B1343" s="5" t="str">
        <f>_xlfn.IFNA(VLOOKUP(C1343,Master!$H:$I,2,FALSE),"")</f>
        <v/>
      </c>
      <c r="D1343" s="5" t="str">
        <f>_xlfn.IFNA(VLOOKUP(E1343,Master!$H:$I,2,FALSE),"")</f>
        <v/>
      </c>
      <c r="F1343" s="26" t="str">
        <f>+_xlfn.XLOOKUP(G1343,Master!$V$2:$V$8,Master!$U$2:$U$8,"")</f>
        <v/>
      </c>
      <c r="I1343" s="4" t="str">
        <f>_xlfn.IFNA(VLOOKUP(D1343,Master!$I:$K,2,FALSE),"")</f>
        <v/>
      </c>
      <c r="J1343" s="4" t="str">
        <f>_xlfn.IFNA(VLOOKUP(D1343,Master!$I:$K,3,FALSE),"")</f>
        <v/>
      </c>
      <c r="L1343" s="27" t="str">
        <f>IF(A1343&lt;&gt;"CFA",_xlfn.IFNA(VLOOKUP($G1343,Master!$V$2:$Z$8,5,0),""),"")</f>
        <v/>
      </c>
      <c r="P1343" s="6" t="str">
        <f t="shared" si="42"/>
        <v/>
      </c>
      <c r="Q1343" s="13">
        <f t="shared" si="43"/>
        <v>0</v>
      </c>
    </row>
    <row r="1344" spans="2:17" ht="15" customHeight="1">
      <c r="B1344" s="5" t="str">
        <f>_xlfn.IFNA(VLOOKUP(C1344,Master!$H:$I,2,FALSE),"")</f>
        <v/>
      </c>
      <c r="D1344" s="5" t="str">
        <f>_xlfn.IFNA(VLOOKUP(E1344,Master!$H:$I,2,FALSE),"")</f>
        <v/>
      </c>
      <c r="F1344" s="26" t="str">
        <f>+_xlfn.XLOOKUP(G1344,Master!$V$2:$V$8,Master!$U$2:$U$8,"")</f>
        <v/>
      </c>
      <c r="I1344" s="4" t="str">
        <f>_xlfn.IFNA(VLOOKUP(D1344,Master!$I:$K,2,FALSE),"")</f>
        <v/>
      </c>
      <c r="J1344" s="4" t="str">
        <f>_xlfn.IFNA(VLOOKUP(D1344,Master!$I:$K,3,FALSE),"")</f>
        <v/>
      </c>
      <c r="L1344" s="27" t="str">
        <f>IF(A1344&lt;&gt;"CFA",_xlfn.IFNA(VLOOKUP($G1344,Master!$V$2:$Z$8,5,0),""),"")</f>
        <v/>
      </c>
      <c r="P1344" s="6" t="str">
        <f t="shared" si="42"/>
        <v/>
      </c>
      <c r="Q1344" s="13">
        <f t="shared" si="43"/>
        <v>0</v>
      </c>
    </row>
    <row r="1345" spans="2:17" ht="15" customHeight="1">
      <c r="B1345" s="5" t="str">
        <f>_xlfn.IFNA(VLOOKUP(C1345,Master!$H:$I,2,FALSE),"")</f>
        <v/>
      </c>
      <c r="D1345" s="5" t="str">
        <f>_xlfn.IFNA(VLOOKUP(E1345,Master!$H:$I,2,FALSE),"")</f>
        <v/>
      </c>
      <c r="F1345" s="26" t="str">
        <f>+_xlfn.XLOOKUP(G1345,Master!$V$2:$V$8,Master!$U$2:$U$8,"")</f>
        <v/>
      </c>
      <c r="I1345" s="4" t="str">
        <f>_xlfn.IFNA(VLOOKUP(D1345,Master!$I:$K,2,FALSE),"")</f>
        <v/>
      </c>
      <c r="J1345" s="4" t="str">
        <f>_xlfn.IFNA(VLOOKUP(D1345,Master!$I:$K,3,FALSE),"")</f>
        <v/>
      </c>
      <c r="L1345" s="27" t="str">
        <f>IF(A1345&lt;&gt;"CFA",_xlfn.IFNA(VLOOKUP($G1345,Master!$V$2:$Z$8,5,0),""),"")</f>
        <v/>
      </c>
      <c r="P1345" s="6" t="str">
        <f t="shared" si="42"/>
        <v/>
      </c>
      <c r="Q1345" s="13">
        <f t="shared" si="43"/>
        <v>0</v>
      </c>
    </row>
    <row r="1346" spans="2:17" ht="15" customHeight="1">
      <c r="B1346" s="5" t="str">
        <f>_xlfn.IFNA(VLOOKUP(C1346,Master!$H:$I,2,FALSE),"")</f>
        <v/>
      </c>
      <c r="D1346" s="5" t="str">
        <f>_xlfn.IFNA(VLOOKUP(E1346,Master!$H:$I,2,FALSE),"")</f>
        <v/>
      </c>
      <c r="F1346" s="26" t="str">
        <f>+_xlfn.XLOOKUP(G1346,Master!$V$2:$V$8,Master!$U$2:$U$8,"")</f>
        <v/>
      </c>
      <c r="I1346" s="4" t="str">
        <f>_xlfn.IFNA(VLOOKUP(D1346,Master!$I:$K,2,FALSE),"")</f>
        <v/>
      </c>
      <c r="J1346" s="4" t="str">
        <f>_xlfn.IFNA(VLOOKUP(D1346,Master!$I:$K,3,FALSE),"")</f>
        <v/>
      </c>
      <c r="L1346" s="27" t="str">
        <f>IF(A1346&lt;&gt;"CFA",_xlfn.IFNA(VLOOKUP($G1346,Master!$V$2:$Z$8,5,0),""),"")</f>
        <v/>
      </c>
      <c r="P1346" s="6" t="str">
        <f t="shared" si="42"/>
        <v/>
      </c>
      <c r="Q1346" s="13">
        <f t="shared" si="43"/>
        <v>0</v>
      </c>
    </row>
    <row r="1347" spans="2:17" ht="15" customHeight="1">
      <c r="B1347" s="5" t="str">
        <f>_xlfn.IFNA(VLOOKUP(C1347,Master!$H:$I,2,FALSE),"")</f>
        <v/>
      </c>
      <c r="D1347" s="5" t="str">
        <f>_xlfn.IFNA(VLOOKUP(E1347,Master!$H:$I,2,FALSE),"")</f>
        <v/>
      </c>
      <c r="F1347" s="26" t="str">
        <f>+_xlfn.XLOOKUP(G1347,Master!$V$2:$V$8,Master!$U$2:$U$8,"")</f>
        <v/>
      </c>
      <c r="I1347" s="4" t="str">
        <f>_xlfn.IFNA(VLOOKUP(D1347,Master!$I:$K,2,FALSE),"")</f>
        <v/>
      </c>
      <c r="J1347" s="4" t="str">
        <f>_xlfn.IFNA(VLOOKUP(D1347,Master!$I:$K,3,FALSE),"")</f>
        <v/>
      </c>
      <c r="L1347" s="27" t="str">
        <f>IF(A1347&lt;&gt;"CFA",_xlfn.IFNA(VLOOKUP($G1347,Master!$V$2:$Z$8,5,0),""),"")</f>
        <v/>
      </c>
      <c r="P1347" s="6" t="str">
        <f t="shared" si="42"/>
        <v/>
      </c>
      <c r="Q1347" s="13">
        <f t="shared" si="43"/>
        <v>0</v>
      </c>
    </row>
    <row r="1348" spans="2:17" ht="15" customHeight="1">
      <c r="B1348" s="5" t="str">
        <f>_xlfn.IFNA(VLOOKUP(C1348,Master!$H:$I,2,FALSE),"")</f>
        <v/>
      </c>
      <c r="D1348" s="5" t="str">
        <f>_xlfn.IFNA(VLOOKUP(E1348,Master!$H:$I,2,FALSE),"")</f>
        <v/>
      </c>
      <c r="F1348" s="26" t="str">
        <f>+_xlfn.XLOOKUP(G1348,Master!$V$2:$V$8,Master!$U$2:$U$8,"")</f>
        <v/>
      </c>
      <c r="I1348" s="4" t="str">
        <f>_xlfn.IFNA(VLOOKUP(D1348,Master!$I:$K,2,FALSE),"")</f>
        <v/>
      </c>
      <c r="J1348" s="4" t="str">
        <f>_xlfn.IFNA(VLOOKUP(D1348,Master!$I:$K,3,FALSE),"")</f>
        <v/>
      </c>
      <c r="L1348" s="27" t="str">
        <f>IF(A1348&lt;&gt;"CFA",_xlfn.IFNA(VLOOKUP($G1348,Master!$V$2:$Z$8,5,0),""),"")</f>
        <v/>
      </c>
      <c r="P1348" s="6" t="str">
        <f t="shared" si="42"/>
        <v/>
      </c>
      <c r="Q1348" s="13">
        <f t="shared" si="43"/>
        <v>0</v>
      </c>
    </row>
    <row r="1349" spans="2:17" ht="15" customHeight="1">
      <c r="B1349" s="5" t="str">
        <f>_xlfn.IFNA(VLOOKUP(C1349,Master!$H:$I,2,FALSE),"")</f>
        <v/>
      </c>
      <c r="D1349" s="5" t="str">
        <f>_xlfn.IFNA(VLOOKUP(E1349,Master!$H:$I,2,FALSE),"")</f>
        <v/>
      </c>
      <c r="F1349" s="26" t="str">
        <f>+_xlfn.XLOOKUP(G1349,Master!$V$2:$V$8,Master!$U$2:$U$8,"")</f>
        <v/>
      </c>
      <c r="I1349" s="4" t="str">
        <f>_xlfn.IFNA(VLOOKUP(D1349,Master!$I:$K,2,FALSE),"")</f>
        <v/>
      </c>
      <c r="J1349" s="4" t="str">
        <f>_xlfn.IFNA(VLOOKUP(D1349,Master!$I:$K,3,FALSE),"")</f>
        <v/>
      </c>
      <c r="L1349" s="27" t="str">
        <f>IF(A1349&lt;&gt;"CFA",_xlfn.IFNA(VLOOKUP($G1349,Master!$V$2:$Z$8,5,0),""),"")</f>
        <v/>
      </c>
      <c r="P1349" s="6" t="str">
        <f t="shared" si="42"/>
        <v/>
      </c>
      <c r="Q1349" s="13">
        <f t="shared" si="43"/>
        <v>0</v>
      </c>
    </row>
    <row r="1350" spans="2:17" ht="15" customHeight="1">
      <c r="B1350" s="5" t="str">
        <f>_xlfn.IFNA(VLOOKUP(C1350,Master!$H:$I,2,FALSE),"")</f>
        <v/>
      </c>
      <c r="D1350" s="5" t="str">
        <f>_xlfn.IFNA(VLOOKUP(E1350,Master!$H:$I,2,FALSE),"")</f>
        <v/>
      </c>
      <c r="F1350" s="26" t="str">
        <f>+_xlfn.XLOOKUP(G1350,Master!$V$2:$V$8,Master!$U$2:$U$8,"")</f>
        <v/>
      </c>
      <c r="I1350" s="4" t="str">
        <f>_xlfn.IFNA(VLOOKUP(D1350,Master!$I:$K,2,FALSE),"")</f>
        <v/>
      </c>
      <c r="J1350" s="4" t="str">
        <f>_xlfn.IFNA(VLOOKUP(D1350,Master!$I:$K,3,FALSE),"")</f>
        <v/>
      </c>
      <c r="L1350" s="27" t="str">
        <f>IF(A1350&lt;&gt;"CFA",_xlfn.IFNA(VLOOKUP($G1350,Master!$V$2:$Z$8,5,0),""),"")</f>
        <v/>
      </c>
      <c r="P1350" s="6" t="str">
        <f t="shared" si="42"/>
        <v/>
      </c>
      <c r="Q1350" s="13">
        <f t="shared" si="43"/>
        <v>0</v>
      </c>
    </row>
    <row r="1351" spans="2:17" ht="15" customHeight="1">
      <c r="B1351" s="5" t="str">
        <f>_xlfn.IFNA(VLOOKUP(C1351,Master!$H:$I,2,FALSE),"")</f>
        <v/>
      </c>
      <c r="D1351" s="5" t="str">
        <f>_xlfn.IFNA(VLOOKUP(E1351,Master!$H:$I,2,FALSE),"")</f>
        <v/>
      </c>
      <c r="F1351" s="26" t="str">
        <f>+_xlfn.XLOOKUP(G1351,Master!$V$2:$V$8,Master!$U$2:$U$8,"")</f>
        <v/>
      </c>
      <c r="I1351" s="4" t="str">
        <f>_xlfn.IFNA(VLOOKUP(D1351,Master!$I:$K,2,FALSE),"")</f>
        <v/>
      </c>
      <c r="J1351" s="4" t="str">
        <f>_xlfn.IFNA(VLOOKUP(D1351,Master!$I:$K,3,FALSE),"")</f>
        <v/>
      </c>
      <c r="L1351" s="27" t="str">
        <f>IF(A1351&lt;&gt;"CFA",_xlfn.IFNA(VLOOKUP($G1351,Master!$V$2:$Z$8,5,0),""),"")</f>
        <v/>
      </c>
      <c r="P1351" s="6" t="str">
        <f t="shared" si="42"/>
        <v/>
      </c>
      <c r="Q1351" s="13">
        <f t="shared" si="43"/>
        <v>0</v>
      </c>
    </row>
    <row r="1352" spans="2:17" ht="15" customHeight="1">
      <c r="B1352" s="5" t="str">
        <f>_xlfn.IFNA(VLOOKUP(C1352,Master!$H:$I,2,FALSE),"")</f>
        <v/>
      </c>
      <c r="D1352" s="5" t="str">
        <f>_xlfn.IFNA(VLOOKUP(E1352,Master!$H:$I,2,FALSE),"")</f>
        <v/>
      </c>
      <c r="F1352" s="26" t="str">
        <f>+_xlfn.XLOOKUP(G1352,Master!$V$2:$V$8,Master!$U$2:$U$8,"")</f>
        <v/>
      </c>
      <c r="I1352" s="4" t="str">
        <f>_xlfn.IFNA(VLOOKUP(D1352,Master!$I:$K,2,FALSE),"")</f>
        <v/>
      </c>
      <c r="J1352" s="4" t="str">
        <f>_xlfn.IFNA(VLOOKUP(D1352,Master!$I:$K,3,FALSE),"")</f>
        <v/>
      </c>
      <c r="L1352" s="27" t="str">
        <f>IF(A1352&lt;&gt;"CFA",_xlfn.IFNA(VLOOKUP($G1352,Master!$V$2:$Z$8,5,0),""),"")</f>
        <v/>
      </c>
      <c r="P1352" s="6" t="str">
        <f t="shared" si="42"/>
        <v/>
      </c>
      <c r="Q1352" s="13">
        <f t="shared" si="43"/>
        <v>0</v>
      </c>
    </row>
    <row r="1353" spans="2:17" ht="15" customHeight="1">
      <c r="B1353" s="5" t="str">
        <f>_xlfn.IFNA(VLOOKUP(C1353,Master!$H:$I,2,FALSE),"")</f>
        <v/>
      </c>
      <c r="D1353" s="5" t="str">
        <f>_xlfn.IFNA(VLOOKUP(E1353,Master!$H:$I,2,FALSE),"")</f>
        <v/>
      </c>
      <c r="F1353" s="26" t="str">
        <f>+_xlfn.XLOOKUP(G1353,Master!$V$2:$V$8,Master!$U$2:$U$8,"")</f>
        <v/>
      </c>
      <c r="I1353" s="4" t="str">
        <f>_xlfn.IFNA(VLOOKUP(D1353,Master!$I:$K,2,FALSE),"")</f>
        <v/>
      </c>
      <c r="J1353" s="4" t="str">
        <f>_xlfn.IFNA(VLOOKUP(D1353,Master!$I:$K,3,FALSE),"")</f>
        <v/>
      </c>
      <c r="L1353" s="27" t="str">
        <f>IF(A1353&lt;&gt;"CFA",_xlfn.IFNA(VLOOKUP($G1353,Master!$V$2:$Z$8,5,0),""),"")</f>
        <v/>
      </c>
      <c r="P1353" s="6" t="str">
        <f t="shared" si="42"/>
        <v/>
      </c>
      <c r="Q1353" s="13">
        <f t="shared" si="43"/>
        <v>0</v>
      </c>
    </row>
    <row r="1354" spans="2:17" ht="15" customHeight="1">
      <c r="B1354" s="5" t="str">
        <f>_xlfn.IFNA(VLOOKUP(C1354,Master!$H:$I,2,FALSE),"")</f>
        <v/>
      </c>
      <c r="D1354" s="5" t="str">
        <f>_xlfn.IFNA(VLOOKUP(E1354,Master!$H:$I,2,FALSE),"")</f>
        <v/>
      </c>
      <c r="F1354" s="26" t="str">
        <f>+_xlfn.XLOOKUP(G1354,Master!$V$2:$V$8,Master!$U$2:$U$8,"")</f>
        <v/>
      </c>
      <c r="I1354" s="4" t="str">
        <f>_xlfn.IFNA(VLOOKUP(D1354,Master!$I:$K,2,FALSE),"")</f>
        <v/>
      </c>
      <c r="J1354" s="4" t="str">
        <f>_xlfn.IFNA(VLOOKUP(D1354,Master!$I:$K,3,FALSE),"")</f>
        <v/>
      </c>
      <c r="L1354" s="27" t="str">
        <f>IF(A1354&lt;&gt;"CFA",_xlfn.IFNA(VLOOKUP($G1354,Master!$V$2:$Z$8,5,0),""),"")</f>
        <v/>
      </c>
      <c r="P1354" s="6" t="str">
        <f t="shared" si="42"/>
        <v/>
      </c>
      <c r="Q1354" s="13">
        <f t="shared" si="43"/>
        <v>0</v>
      </c>
    </row>
    <row r="1355" spans="2:17" ht="15" customHeight="1">
      <c r="B1355" s="5" t="str">
        <f>_xlfn.IFNA(VLOOKUP(C1355,Master!$H:$I,2,FALSE),"")</f>
        <v/>
      </c>
      <c r="D1355" s="5" t="str">
        <f>_xlfn.IFNA(VLOOKUP(E1355,Master!$H:$I,2,FALSE),"")</f>
        <v/>
      </c>
      <c r="F1355" s="26" t="str">
        <f>+_xlfn.XLOOKUP(G1355,Master!$V$2:$V$8,Master!$U$2:$U$8,"")</f>
        <v/>
      </c>
      <c r="I1355" s="4" t="str">
        <f>_xlfn.IFNA(VLOOKUP(D1355,Master!$I:$K,2,FALSE),"")</f>
        <v/>
      </c>
      <c r="J1355" s="4" t="str">
        <f>_xlfn.IFNA(VLOOKUP(D1355,Master!$I:$K,3,FALSE),"")</f>
        <v/>
      </c>
      <c r="L1355" s="27" t="str">
        <f>IF(A1355&lt;&gt;"CFA",_xlfn.IFNA(VLOOKUP($G1355,Master!$V$2:$Z$8,5,0),""),"")</f>
        <v/>
      </c>
      <c r="P1355" s="6" t="str">
        <f t="shared" si="42"/>
        <v/>
      </c>
      <c r="Q1355" s="13">
        <f t="shared" si="43"/>
        <v>0</v>
      </c>
    </row>
    <row r="1356" spans="2:17" ht="15" customHeight="1">
      <c r="B1356" s="5" t="str">
        <f>_xlfn.IFNA(VLOOKUP(C1356,Master!$H:$I,2,FALSE),"")</f>
        <v/>
      </c>
      <c r="D1356" s="5" t="str">
        <f>_xlfn.IFNA(VLOOKUP(E1356,Master!$H:$I,2,FALSE),"")</f>
        <v/>
      </c>
      <c r="F1356" s="26" t="str">
        <f>+_xlfn.XLOOKUP(G1356,Master!$V$2:$V$8,Master!$U$2:$U$8,"")</f>
        <v/>
      </c>
      <c r="I1356" s="4" t="str">
        <f>_xlfn.IFNA(VLOOKUP(D1356,Master!$I:$K,2,FALSE),"")</f>
        <v/>
      </c>
      <c r="J1356" s="4" t="str">
        <f>_xlfn.IFNA(VLOOKUP(D1356,Master!$I:$K,3,FALSE),"")</f>
        <v/>
      </c>
      <c r="L1356" s="27" t="str">
        <f>IF(A1356&lt;&gt;"CFA",_xlfn.IFNA(VLOOKUP($G1356,Master!$V$2:$Z$8,5,0),""),"")</f>
        <v/>
      </c>
      <c r="P1356" s="6" t="str">
        <f t="shared" si="42"/>
        <v/>
      </c>
      <c r="Q1356" s="13">
        <f t="shared" si="43"/>
        <v>0</v>
      </c>
    </row>
    <row r="1357" spans="2:17" ht="15" customHeight="1">
      <c r="B1357" s="5" t="str">
        <f>_xlfn.IFNA(VLOOKUP(C1357,Master!$H:$I,2,FALSE),"")</f>
        <v/>
      </c>
      <c r="D1357" s="5" t="str">
        <f>_xlfn.IFNA(VLOOKUP(E1357,Master!$H:$I,2,FALSE),"")</f>
        <v/>
      </c>
      <c r="F1357" s="26" t="str">
        <f>+_xlfn.XLOOKUP(G1357,Master!$V$2:$V$8,Master!$U$2:$U$8,"")</f>
        <v/>
      </c>
      <c r="I1357" s="4" t="str">
        <f>_xlfn.IFNA(VLOOKUP(D1357,Master!$I:$K,2,FALSE),"")</f>
        <v/>
      </c>
      <c r="J1357" s="4" t="str">
        <f>_xlfn.IFNA(VLOOKUP(D1357,Master!$I:$K,3,FALSE),"")</f>
        <v/>
      </c>
      <c r="L1357" s="27" t="str">
        <f>IF(A1357&lt;&gt;"CFA",_xlfn.IFNA(VLOOKUP($G1357,Master!$V$2:$Z$8,5,0),""),"")</f>
        <v/>
      </c>
      <c r="P1357" s="6" t="str">
        <f t="shared" si="42"/>
        <v/>
      </c>
      <c r="Q1357" s="13">
        <f t="shared" si="43"/>
        <v>0</v>
      </c>
    </row>
    <row r="1358" spans="2:17" ht="15" customHeight="1">
      <c r="B1358" s="5" t="str">
        <f>_xlfn.IFNA(VLOOKUP(C1358,Master!$H:$I,2,FALSE),"")</f>
        <v/>
      </c>
      <c r="D1358" s="5" t="str">
        <f>_xlfn.IFNA(VLOOKUP(E1358,Master!$H:$I,2,FALSE),"")</f>
        <v/>
      </c>
      <c r="F1358" s="26" t="str">
        <f>+_xlfn.XLOOKUP(G1358,Master!$V$2:$V$8,Master!$U$2:$U$8,"")</f>
        <v/>
      </c>
      <c r="I1358" s="4" t="str">
        <f>_xlfn.IFNA(VLOOKUP(D1358,Master!$I:$K,2,FALSE),"")</f>
        <v/>
      </c>
      <c r="J1358" s="4" t="str">
        <f>_xlfn.IFNA(VLOOKUP(D1358,Master!$I:$K,3,FALSE),"")</f>
        <v/>
      </c>
      <c r="L1358" s="27" t="str">
        <f>IF(A1358&lt;&gt;"CFA",_xlfn.IFNA(VLOOKUP($G1358,Master!$V$2:$Z$8,5,0),""),"")</f>
        <v/>
      </c>
      <c r="P1358" s="6" t="str">
        <f t="shared" si="42"/>
        <v/>
      </c>
      <c r="Q1358" s="13">
        <f t="shared" si="43"/>
        <v>0</v>
      </c>
    </row>
    <row r="1359" spans="2:17" ht="15" customHeight="1">
      <c r="B1359" s="5" t="str">
        <f>_xlfn.IFNA(VLOOKUP(C1359,Master!$H:$I,2,FALSE),"")</f>
        <v/>
      </c>
      <c r="D1359" s="5" t="str">
        <f>_xlfn.IFNA(VLOOKUP(E1359,Master!$H:$I,2,FALSE),"")</f>
        <v/>
      </c>
      <c r="F1359" s="26" t="str">
        <f>+_xlfn.XLOOKUP(G1359,Master!$V$2:$V$8,Master!$U$2:$U$8,"")</f>
        <v/>
      </c>
      <c r="I1359" s="4" t="str">
        <f>_xlfn.IFNA(VLOOKUP(D1359,Master!$I:$K,2,FALSE),"")</f>
        <v/>
      </c>
      <c r="J1359" s="4" t="str">
        <f>_xlfn.IFNA(VLOOKUP(D1359,Master!$I:$K,3,FALSE),"")</f>
        <v/>
      </c>
      <c r="L1359" s="27" t="str">
        <f>IF(A1359&lt;&gt;"CFA",_xlfn.IFNA(VLOOKUP($G1359,Master!$V$2:$Z$8,5,0),""),"")</f>
        <v/>
      </c>
      <c r="P1359" s="6" t="str">
        <f t="shared" si="42"/>
        <v/>
      </c>
      <c r="Q1359" s="13">
        <f t="shared" si="43"/>
        <v>0</v>
      </c>
    </row>
    <row r="1360" spans="2:17" ht="15" customHeight="1">
      <c r="B1360" s="5" t="str">
        <f>_xlfn.IFNA(VLOOKUP(C1360,Master!$H:$I,2,FALSE),"")</f>
        <v/>
      </c>
      <c r="D1360" s="5" t="str">
        <f>_xlfn.IFNA(VLOOKUP(E1360,Master!$H:$I,2,FALSE),"")</f>
        <v/>
      </c>
      <c r="F1360" s="26" t="str">
        <f>+_xlfn.XLOOKUP(G1360,Master!$V$2:$V$8,Master!$U$2:$U$8,"")</f>
        <v/>
      </c>
      <c r="I1360" s="4" t="str">
        <f>_xlfn.IFNA(VLOOKUP(D1360,Master!$I:$K,2,FALSE),"")</f>
        <v/>
      </c>
      <c r="J1360" s="4" t="str">
        <f>_xlfn.IFNA(VLOOKUP(D1360,Master!$I:$K,3,FALSE),"")</f>
        <v/>
      </c>
      <c r="L1360" s="27" t="str">
        <f>IF(A1360&lt;&gt;"CFA",_xlfn.IFNA(VLOOKUP($G1360,Master!$V$2:$Z$8,5,0),""),"")</f>
        <v/>
      </c>
      <c r="P1360" s="6" t="str">
        <f t="shared" si="42"/>
        <v/>
      </c>
      <c r="Q1360" s="13">
        <f t="shared" si="43"/>
        <v>0</v>
      </c>
    </row>
    <row r="1361" spans="2:17" ht="15" customHeight="1">
      <c r="B1361" s="5" t="str">
        <f>_xlfn.IFNA(VLOOKUP(C1361,Master!$H:$I,2,FALSE),"")</f>
        <v/>
      </c>
      <c r="D1361" s="5" t="str">
        <f>_xlfn.IFNA(VLOOKUP(E1361,Master!$H:$I,2,FALSE),"")</f>
        <v/>
      </c>
      <c r="F1361" s="26" t="str">
        <f>+_xlfn.XLOOKUP(G1361,Master!$V$2:$V$8,Master!$U$2:$U$8,"")</f>
        <v/>
      </c>
      <c r="I1361" s="4" t="str">
        <f>_xlfn.IFNA(VLOOKUP(D1361,Master!$I:$K,2,FALSE),"")</f>
        <v/>
      </c>
      <c r="J1361" s="4" t="str">
        <f>_xlfn.IFNA(VLOOKUP(D1361,Master!$I:$K,3,FALSE),"")</f>
        <v/>
      </c>
      <c r="L1361" s="27" t="str">
        <f>IF(A1361&lt;&gt;"CFA",_xlfn.IFNA(VLOOKUP($G1361,Master!$V$2:$Z$8,5,0),""),"")</f>
        <v/>
      </c>
      <c r="P1361" s="6" t="str">
        <f t="shared" si="42"/>
        <v/>
      </c>
      <c r="Q1361" s="13">
        <f t="shared" si="43"/>
        <v>0</v>
      </c>
    </row>
    <row r="1362" spans="2:17" ht="15" customHeight="1">
      <c r="B1362" s="5" t="str">
        <f>_xlfn.IFNA(VLOOKUP(C1362,Master!$H:$I,2,FALSE),"")</f>
        <v/>
      </c>
      <c r="D1362" s="5" t="str">
        <f>_xlfn.IFNA(VLOOKUP(E1362,Master!$H:$I,2,FALSE),"")</f>
        <v/>
      </c>
      <c r="F1362" s="26" t="str">
        <f>+_xlfn.XLOOKUP(G1362,Master!$V$2:$V$8,Master!$U$2:$U$8,"")</f>
        <v/>
      </c>
      <c r="I1362" s="4" t="str">
        <f>_xlfn.IFNA(VLOOKUP(D1362,Master!$I:$K,2,FALSE),"")</f>
        <v/>
      </c>
      <c r="J1362" s="4" t="str">
        <f>_xlfn.IFNA(VLOOKUP(D1362,Master!$I:$K,3,FALSE),"")</f>
        <v/>
      </c>
      <c r="L1362" s="27" t="str">
        <f>IF(A1362&lt;&gt;"CFA",_xlfn.IFNA(VLOOKUP($G1362,Master!$V$2:$Z$8,5,0),""),"")</f>
        <v/>
      </c>
      <c r="P1362" s="6" t="str">
        <f t="shared" si="42"/>
        <v/>
      </c>
      <c r="Q1362" s="13">
        <f t="shared" si="43"/>
        <v>0</v>
      </c>
    </row>
    <row r="1363" spans="2:17" ht="15" customHeight="1">
      <c r="B1363" s="5" t="str">
        <f>_xlfn.IFNA(VLOOKUP(C1363,Master!$H:$I,2,FALSE),"")</f>
        <v/>
      </c>
      <c r="D1363" s="5" t="str">
        <f>_xlfn.IFNA(VLOOKUP(E1363,Master!$H:$I,2,FALSE),"")</f>
        <v/>
      </c>
      <c r="F1363" s="26" t="str">
        <f>+_xlfn.XLOOKUP(G1363,Master!$V$2:$V$8,Master!$U$2:$U$8,"")</f>
        <v/>
      </c>
      <c r="I1363" s="4" t="str">
        <f>_xlfn.IFNA(VLOOKUP(D1363,Master!$I:$K,2,FALSE),"")</f>
        <v/>
      </c>
      <c r="J1363" s="4" t="str">
        <f>_xlfn.IFNA(VLOOKUP(D1363,Master!$I:$K,3,FALSE),"")</f>
        <v/>
      </c>
      <c r="L1363" s="27" t="str">
        <f>IF(A1363&lt;&gt;"CFA",_xlfn.IFNA(VLOOKUP($G1363,Master!$V$2:$Z$8,5,0),""),"")</f>
        <v/>
      </c>
      <c r="P1363" s="6" t="str">
        <f t="shared" si="42"/>
        <v/>
      </c>
      <c r="Q1363" s="13">
        <f t="shared" si="43"/>
        <v>0</v>
      </c>
    </row>
    <row r="1364" spans="2:17" ht="15" customHeight="1">
      <c r="B1364" s="5" t="str">
        <f>_xlfn.IFNA(VLOOKUP(C1364,Master!$H:$I,2,FALSE),"")</f>
        <v/>
      </c>
      <c r="D1364" s="5" t="str">
        <f>_xlfn.IFNA(VLOOKUP(E1364,Master!$H:$I,2,FALSE),"")</f>
        <v/>
      </c>
      <c r="F1364" s="26" t="str">
        <f>+_xlfn.XLOOKUP(G1364,Master!$V$2:$V$8,Master!$U$2:$U$8,"")</f>
        <v/>
      </c>
      <c r="I1364" s="4" t="str">
        <f>_xlfn.IFNA(VLOOKUP(D1364,Master!$I:$K,2,FALSE),"")</f>
        <v/>
      </c>
      <c r="J1364" s="4" t="str">
        <f>_xlfn.IFNA(VLOOKUP(D1364,Master!$I:$K,3,FALSE),"")</f>
        <v/>
      </c>
      <c r="L1364" s="27" t="str">
        <f>IF(A1364&lt;&gt;"CFA",_xlfn.IFNA(VLOOKUP($G1364,Master!$V$2:$Z$8,5,0),""),"")</f>
        <v/>
      </c>
      <c r="P1364" s="6" t="str">
        <f t="shared" si="42"/>
        <v/>
      </c>
      <c r="Q1364" s="13">
        <f t="shared" si="43"/>
        <v>0</v>
      </c>
    </row>
    <row r="1365" spans="2:17" ht="15" customHeight="1">
      <c r="B1365" s="5" t="str">
        <f>_xlfn.IFNA(VLOOKUP(C1365,Master!$H:$I,2,FALSE),"")</f>
        <v/>
      </c>
      <c r="D1365" s="5" t="str">
        <f>_xlfn.IFNA(VLOOKUP(E1365,Master!$H:$I,2,FALSE),"")</f>
        <v/>
      </c>
      <c r="F1365" s="26" t="str">
        <f>+_xlfn.XLOOKUP(G1365,Master!$V$2:$V$8,Master!$U$2:$U$8,"")</f>
        <v/>
      </c>
      <c r="I1365" s="4" t="str">
        <f>_xlfn.IFNA(VLOOKUP(D1365,Master!$I:$K,2,FALSE),"")</f>
        <v/>
      </c>
      <c r="J1365" s="4" t="str">
        <f>_xlfn.IFNA(VLOOKUP(D1365,Master!$I:$K,3,FALSE),"")</f>
        <v/>
      </c>
      <c r="L1365" s="27" t="str">
        <f>IF(A1365&lt;&gt;"CFA",_xlfn.IFNA(VLOOKUP($G1365,Master!$V$2:$Z$8,5,0),""),"")</f>
        <v/>
      </c>
      <c r="P1365" s="6" t="str">
        <f t="shared" si="42"/>
        <v/>
      </c>
      <c r="Q1365" s="13">
        <f t="shared" si="43"/>
        <v>0</v>
      </c>
    </row>
    <row r="1366" spans="2:17" ht="15" customHeight="1">
      <c r="B1366" s="5" t="str">
        <f>_xlfn.IFNA(VLOOKUP(C1366,Master!$H:$I,2,FALSE),"")</f>
        <v/>
      </c>
      <c r="D1366" s="5" t="str">
        <f>_xlfn.IFNA(VLOOKUP(E1366,Master!$H:$I,2,FALSE),"")</f>
        <v/>
      </c>
      <c r="F1366" s="26" t="str">
        <f>+_xlfn.XLOOKUP(G1366,Master!$V$2:$V$8,Master!$U$2:$U$8,"")</f>
        <v/>
      </c>
      <c r="I1366" s="4" t="str">
        <f>_xlfn.IFNA(VLOOKUP(D1366,Master!$I:$K,2,FALSE),"")</f>
        <v/>
      </c>
      <c r="J1366" s="4" t="str">
        <f>_xlfn.IFNA(VLOOKUP(D1366,Master!$I:$K,3,FALSE),"")</f>
        <v/>
      </c>
      <c r="L1366" s="27" t="str">
        <f>IF(A1366&lt;&gt;"CFA",_xlfn.IFNA(VLOOKUP($G1366,Master!$V$2:$Z$8,5,0),""),"")</f>
        <v/>
      </c>
      <c r="P1366" s="6" t="str">
        <f t="shared" si="42"/>
        <v/>
      </c>
      <c r="Q1366" s="13">
        <f t="shared" si="43"/>
        <v>0</v>
      </c>
    </row>
    <row r="1367" spans="2:17" ht="15" customHeight="1">
      <c r="B1367" s="5" t="str">
        <f>_xlfn.IFNA(VLOOKUP(C1367,Master!$H:$I,2,FALSE),"")</f>
        <v/>
      </c>
      <c r="D1367" s="5" t="str">
        <f>_xlfn.IFNA(VLOOKUP(E1367,Master!$H:$I,2,FALSE),"")</f>
        <v/>
      </c>
      <c r="F1367" s="26" t="str">
        <f>+_xlfn.XLOOKUP(G1367,Master!$V$2:$V$8,Master!$U$2:$U$8,"")</f>
        <v/>
      </c>
      <c r="I1367" s="4" t="str">
        <f>_xlfn.IFNA(VLOOKUP(D1367,Master!$I:$K,2,FALSE),"")</f>
        <v/>
      </c>
      <c r="J1367" s="4" t="str">
        <f>_xlfn.IFNA(VLOOKUP(D1367,Master!$I:$K,3,FALSE),"")</f>
        <v/>
      </c>
      <c r="L1367" s="27" t="str">
        <f>IF(A1367&lt;&gt;"CFA",_xlfn.IFNA(VLOOKUP($G1367,Master!$V$2:$Z$8,5,0),""),"")</f>
        <v/>
      </c>
      <c r="P1367" s="6" t="str">
        <f t="shared" si="42"/>
        <v/>
      </c>
      <c r="Q1367" s="13">
        <f t="shared" si="43"/>
        <v>0</v>
      </c>
    </row>
    <row r="1368" spans="2:17" ht="15" customHeight="1">
      <c r="B1368" s="5" t="str">
        <f>_xlfn.IFNA(VLOOKUP(C1368,Master!$H:$I,2,FALSE),"")</f>
        <v/>
      </c>
      <c r="D1368" s="5" t="str">
        <f>_xlfn.IFNA(VLOOKUP(E1368,Master!$H:$I,2,FALSE),"")</f>
        <v/>
      </c>
      <c r="F1368" s="26" t="str">
        <f>+_xlfn.XLOOKUP(G1368,Master!$V$2:$V$8,Master!$U$2:$U$8,"")</f>
        <v/>
      </c>
      <c r="I1368" s="4" t="str">
        <f>_xlfn.IFNA(VLOOKUP(D1368,Master!$I:$K,2,FALSE),"")</f>
        <v/>
      </c>
      <c r="J1368" s="4" t="str">
        <f>_xlfn.IFNA(VLOOKUP(D1368,Master!$I:$K,3,FALSE),"")</f>
        <v/>
      </c>
      <c r="L1368" s="27" t="str">
        <f>IF(A1368&lt;&gt;"CFA",_xlfn.IFNA(VLOOKUP($G1368,Master!$V$2:$Z$8,5,0),""),"")</f>
        <v/>
      </c>
      <c r="P1368" s="6" t="str">
        <f t="shared" si="42"/>
        <v/>
      </c>
      <c r="Q1368" s="13">
        <f t="shared" si="43"/>
        <v>0</v>
      </c>
    </row>
    <row r="1369" spans="2:17" ht="15" customHeight="1">
      <c r="B1369" s="5" t="str">
        <f>_xlfn.IFNA(VLOOKUP(C1369,Master!$H:$I,2,FALSE),"")</f>
        <v/>
      </c>
      <c r="D1369" s="5" t="str">
        <f>_xlfn.IFNA(VLOOKUP(E1369,Master!$H:$I,2,FALSE),"")</f>
        <v/>
      </c>
      <c r="F1369" s="26" t="str">
        <f>+_xlfn.XLOOKUP(G1369,Master!$V$2:$V$8,Master!$U$2:$U$8,"")</f>
        <v/>
      </c>
      <c r="I1369" s="4" t="str">
        <f>_xlfn.IFNA(VLOOKUP(D1369,Master!$I:$K,2,FALSE),"")</f>
        <v/>
      </c>
      <c r="J1369" s="4" t="str">
        <f>_xlfn.IFNA(VLOOKUP(D1369,Master!$I:$K,3,FALSE),"")</f>
        <v/>
      </c>
      <c r="L1369" s="27" t="str">
        <f>IF(A1369&lt;&gt;"CFA",_xlfn.IFNA(VLOOKUP($G1369,Master!$V$2:$Z$8,5,0),""),"")</f>
        <v/>
      </c>
      <c r="P1369" s="6" t="str">
        <f t="shared" si="42"/>
        <v/>
      </c>
      <c r="Q1369" s="13">
        <f t="shared" si="43"/>
        <v>0</v>
      </c>
    </row>
    <row r="1370" spans="2:17" ht="15" customHeight="1">
      <c r="B1370" s="5" t="str">
        <f>_xlfn.IFNA(VLOOKUP(C1370,Master!$H:$I,2,FALSE),"")</f>
        <v/>
      </c>
      <c r="D1370" s="5" t="str">
        <f>_xlfn.IFNA(VLOOKUP(E1370,Master!$H:$I,2,FALSE),"")</f>
        <v/>
      </c>
      <c r="F1370" s="26" t="str">
        <f>+_xlfn.XLOOKUP(G1370,Master!$V$2:$V$8,Master!$U$2:$U$8,"")</f>
        <v/>
      </c>
      <c r="I1370" s="4" t="str">
        <f>_xlfn.IFNA(VLOOKUP(D1370,Master!$I:$K,2,FALSE),"")</f>
        <v/>
      </c>
      <c r="J1370" s="4" t="str">
        <f>_xlfn.IFNA(VLOOKUP(D1370,Master!$I:$K,3,FALSE),"")</f>
        <v/>
      </c>
      <c r="L1370" s="27" t="str">
        <f>IF(A1370&lt;&gt;"CFA",_xlfn.IFNA(VLOOKUP($G1370,Master!$V$2:$Z$8,5,0),""),"")</f>
        <v/>
      </c>
      <c r="P1370" s="6" t="str">
        <f t="shared" si="42"/>
        <v/>
      </c>
      <c r="Q1370" s="13">
        <f t="shared" si="43"/>
        <v>0</v>
      </c>
    </row>
    <row r="1371" spans="2:17" ht="15" customHeight="1">
      <c r="B1371" s="5" t="str">
        <f>_xlfn.IFNA(VLOOKUP(C1371,Master!$H:$I,2,FALSE),"")</f>
        <v/>
      </c>
      <c r="D1371" s="5" t="str">
        <f>_xlfn.IFNA(VLOOKUP(E1371,Master!$H:$I,2,FALSE),"")</f>
        <v/>
      </c>
      <c r="F1371" s="26" t="str">
        <f>+_xlfn.XLOOKUP(G1371,Master!$V$2:$V$8,Master!$U$2:$U$8,"")</f>
        <v/>
      </c>
      <c r="I1371" s="4" t="str">
        <f>_xlfn.IFNA(VLOOKUP(D1371,Master!$I:$K,2,FALSE),"")</f>
        <v/>
      </c>
      <c r="J1371" s="4" t="str">
        <f>_xlfn.IFNA(VLOOKUP(D1371,Master!$I:$K,3,FALSE),"")</f>
        <v/>
      </c>
      <c r="L1371" s="27" t="str">
        <f>IF(A1371&lt;&gt;"CFA",_xlfn.IFNA(VLOOKUP($G1371,Master!$V$2:$Z$8,5,0),""),"")</f>
        <v/>
      </c>
      <c r="P1371" s="6" t="str">
        <f t="shared" si="42"/>
        <v/>
      </c>
      <c r="Q1371" s="13">
        <f t="shared" si="43"/>
        <v>0</v>
      </c>
    </row>
    <row r="1372" spans="2:17" ht="15" customHeight="1">
      <c r="B1372" s="5" t="str">
        <f>_xlfn.IFNA(VLOOKUP(C1372,Master!$H:$I,2,FALSE),"")</f>
        <v/>
      </c>
      <c r="D1372" s="5" t="str">
        <f>_xlfn.IFNA(VLOOKUP(E1372,Master!$H:$I,2,FALSE),"")</f>
        <v/>
      </c>
      <c r="F1372" s="26" t="str">
        <f>+_xlfn.XLOOKUP(G1372,Master!$V$2:$V$8,Master!$U$2:$U$8,"")</f>
        <v/>
      </c>
      <c r="I1372" s="4" t="str">
        <f>_xlfn.IFNA(VLOOKUP(D1372,Master!$I:$K,2,FALSE),"")</f>
        <v/>
      </c>
      <c r="J1372" s="4" t="str">
        <f>_xlfn.IFNA(VLOOKUP(D1372,Master!$I:$K,3,FALSE),"")</f>
        <v/>
      </c>
      <c r="L1372" s="27" t="str">
        <f>IF(A1372&lt;&gt;"CFA",_xlfn.IFNA(VLOOKUP($G1372,Master!$V$2:$Z$8,5,0),""),"")</f>
        <v/>
      </c>
      <c r="P1372" s="6" t="str">
        <f t="shared" si="42"/>
        <v/>
      </c>
      <c r="Q1372" s="13">
        <f t="shared" si="43"/>
        <v>0</v>
      </c>
    </row>
    <row r="1373" spans="2:17" ht="15" customHeight="1">
      <c r="B1373" s="5" t="str">
        <f>_xlfn.IFNA(VLOOKUP(C1373,Master!$H:$I,2,FALSE),"")</f>
        <v/>
      </c>
      <c r="D1373" s="5" t="str">
        <f>_xlfn.IFNA(VLOOKUP(E1373,Master!$H:$I,2,FALSE),"")</f>
        <v/>
      </c>
      <c r="F1373" s="26" t="str">
        <f>+_xlfn.XLOOKUP(G1373,Master!$V$2:$V$8,Master!$U$2:$U$8,"")</f>
        <v/>
      </c>
      <c r="I1373" s="4" t="str">
        <f>_xlfn.IFNA(VLOOKUP(D1373,Master!$I:$K,2,FALSE),"")</f>
        <v/>
      </c>
      <c r="J1373" s="4" t="str">
        <f>_xlfn.IFNA(VLOOKUP(D1373,Master!$I:$K,3,FALSE),"")</f>
        <v/>
      </c>
      <c r="L1373" s="27" t="str">
        <f>IF(A1373&lt;&gt;"CFA",_xlfn.IFNA(VLOOKUP($G1373,Master!$V$2:$Z$8,5,0),""),"")</f>
        <v/>
      </c>
      <c r="P1373" s="6" t="str">
        <f t="shared" si="42"/>
        <v/>
      </c>
      <c r="Q1373" s="13">
        <f t="shared" si="43"/>
        <v>0</v>
      </c>
    </row>
    <row r="1374" spans="2:17" ht="15" customHeight="1">
      <c r="B1374" s="5" t="str">
        <f>_xlfn.IFNA(VLOOKUP(C1374,Master!$H:$I,2,FALSE),"")</f>
        <v/>
      </c>
      <c r="D1374" s="5" t="str">
        <f>_xlfn.IFNA(VLOOKUP(E1374,Master!$H:$I,2,FALSE),"")</f>
        <v/>
      </c>
      <c r="F1374" s="26" t="str">
        <f>+_xlfn.XLOOKUP(G1374,Master!$V$2:$V$8,Master!$U$2:$U$8,"")</f>
        <v/>
      </c>
      <c r="I1374" s="4" t="str">
        <f>_xlfn.IFNA(VLOOKUP(D1374,Master!$I:$K,2,FALSE),"")</f>
        <v/>
      </c>
      <c r="J1374" s="4" t="str">
        <f>_xlfn.IFNA(VLOOKUP(D1374,Master!$I:$K,3,FALSE),"")</f>
        <v/>
      </c>
      <c r="L1374" s="27" t="str">
        <f>IF(A1374&lt;&gt;"CFA",_xlfn.IFNA(VLOOKUP($G1374,Master!$V$2:$Z$8,5,0),""),"")</f>
        <v/>
      </c>
      <c r="P1374" s="6" t="str">
        <f t="shared" si="42"/>
        <v/>
      </c>
      <c r="Q1374" s="13">
        <f t="shared" si="43"/>
        <v>0</v>
      </c>
    </row>
    <row r="1375" spans="2:17" ht="15" customHeight="1">
      <c r="B1375" s="5" t="str">
        <f>_xlfn.IFNA(VLOOKUP(C1375,Master!$H:$I,2,FALSE),"")</f>
        <v/>
      </c>
      <c r="D1375" s="5" t="str">
        <f>_xlfn.IFNA(VLOOKUP(E1375,Master!$H:$I,2,FALSE),"")</f>
        <v/>
      </c>
      <c r="F1375" s="26" t="str">
        <f>+_xlfn.XLOOKUP(G1375,Master!$V$2:$V$8,Master!$U$2:$U$8,"")</f>
        <v/>
      </c>
      <c r="I1375" s="4" t="str">
        <f>_xlfn.IFNA(VLOOKUP(D1375,Master!$I:$K,2,FALSE),"")</f>
        <v/>
      </c>
      <c r="J1375" s="4" t="str">
        <f>_xlfn.IFNA(VLOOKUP(D1375,Master!$I:$K,3,FALSE),"")</f>
        <v/>
      </c>
      <c r="L1375" s="27" t="str">
        <f>IF(A1375&lt;&gt;"CFA",_xlfn.IFNA(VLOOKUP($G1375,Master!$V$2:$Z$8,5,0),""),"")</f>
        <v/>
      </c>
      <c r="P1375" s="6" t="str">
        <f t="shared" si="42"/>
        <v/>
      </c>
      <c r="Q1375" s="13">
        <f t="shared" si="43"/>
        <v>0</v>
      </c>
    </row>
    <row r="1376" spans="2:17" ht="15" customHeight="1">
      <c r="B1376" s="5" t="str">
        <f>_xlfn.IFNA(VLOOKUP(C1376,Master!$H:$I,2,FALSE),"")</f>
        <v/>
      </c>
      <c r="D1376" s="5" t="str">
        <f>_xlfn.IFNA(VLOOKUP(E1376,Master!$H:$I,2,FALSE),"")</f>
        <v/>
      </c>
      <c r="F1376" s="26" t="str">
        <f>+_xlfn.XLOOKUP(G1376,Master!$V$2:$V$8,Master!$U$2:$U$8,"")</f>
        <v/>
      </c>
      <c r="I1376" s="4" t="str">
        <f>_xlfn.IFNA(VLOOKUP(D1376,Master!$I:$K,2,FALSE),"")</f>
        <v/>
      </c>
      <c r="J1376" s="4" t="str">
        <f>_xlfn.IFNA(VLOOKUP(D1376,Master!$I:$K,3,FALSE),"")</f>
        <v/>
      </c>
      <c r="L1376" s="27" t="str">
        <f>IF(A1376&lt;&gt;"CFA",_xlfn.IFNA(VLOOKUP($G1376,Master!$V$2:$Z$8,5,0),""),"")</f>
        <v/>
      </c>
      <c r="P1376" s="6" t="str">
        <f t="shared" si="42"/>
        <v/>
      </c>
      <c r="Q1376" s="13">
        <f t="shared" si="43"/>
        <v>0</v>
      </c>
    </row>
    <row r="1377" spans="2:17" ht="15" customHeight="1">
      <c r="B1377" s="5" t="str">
        <f>_xlfn.IFNA(VLOOKUP(C1377,Master!$H:$I,2,FALSE),"")</f>
        <v/>
      </c>
      <c r="D1377" s="5" t="str">
        <f>_xlfn.IFNA(VLOOKUP(E1377,Master!$H:$I,2,FALSE),"")</f>
        <v/>
      </c>
      <c r="F1377" s="26" t="str">
        <f>+_xlfn.XLOOKUP(G1377,Master!$V$2:$V$8,Master!$U$2:$U$8,"")</f>
        <v/>
      </c>
      <c r="I1377" s="4" t="str">
        <f>_xlfn.IFNA(VLOOKUP(D1377,Master!$I:$K,2,FALSE),"")</f>
        <v/>
      </c>
      <c r="J1377" s="4" t="str">
        <f>_xlfn.IFNA(VLOOKUP(D1377,Master!$I:$K,3,FALSE),"")</f>
        <v/>
      </c>
      <c r="L1377" s="27" t="str">
        <f>IF(A1377&lt;&gt;"CFA",_xlfn.IFNA(VLOOKUP($G1377,Master!$V$2:$Z$8,5,0),""),"")</f>
        <v/>
      </c>
      <c r="P1377" s="6" t="str">
        <f t="shared" si="42"/>
        <v/>
      </c>
      <c r="Q1377" s="13">
        <f t="shared" si="43"/>
        <v>0</v>
      </c>
    </row>
    <row r="1378" spans="2:17" ht="15" customHeight="1">
      <c r="B1378" s="5" t="str">
        <f>_xlfn.IFNA(VLOOKUP(C1378,Master!$H:$I,2,FALSE),"")</f>
        <v/>
      </c>
      <c r="D1378" s="5" t="str">
        <f>_xlfn.IFNA(VLOOKUP(E1378,Master!$H:$I,2,FALSE),"")</f>
        <v/>
      </c>
      <c r="F1378" s="26" t="str">
        <f>+_xlfn.XLOOKUP(G1378,Master!$V$2:$V$8,Master!$U$2:$U$8,"")</f>
        <v/>
      </c>
      <c r="I1378" s="4" t="str">
        <f>_xlfn.IFNA(VLOOKUP(D1378,Master!$I:$K,2,FALSE),"")</f>
        <v/>
      </c>
      <c r="J1378" s="4" t="str">
        <f>_xlfn.IFNA(VLOOKUP(D1378,Master!$I:$K,3,FALSE),"")</f>
        <v/>
      </c>
      <c r="L1378" s="27" t="str">
        <f>IF(A1378&lt;&gt;"CFA",_xlfn.IFNA(VLOOKUP($G1378,Master!$V$2:$Z$8,5,0),""),"")</f>
        <v/>
      </c>
      <c r="P1378" s="6" t="str">
        <f t="shared" si="42"/>
        <v/>
      </c>
      <c r="Q1378" s="13">
        <f t="shared" si="43"/>
        <v>0</v>
      </c>
    </row>
    <row r="1379" spans="2:17" ht="15" customHeight="1">
      <c r="B1379" s="5" t="str">
        <f>_xlfn.IFNA(VLOOKUP(C1379,Master!$H:$I,2,FALSE),"")</f>
        <v/>
      </c>
      <c r="D1379" s="5" t="str">
        <f>_xlfn.IFNA(VLOOKUP(E1379,Master!$H:$I,2,FALSE),"")</f>
        <v/>
      </c>
      <c r="F1379" s="26" t="str">
        <f>+_xlfn.XLOOKUP(G1379,Master!$V$2:$V$8,Master!$U$2:$U$8,"")</f>
        <v/>
      </c>
      <c r="I1379" s="4" t="str">
        <f>_xlfn.IFNA(VLOOKUP(D1379,Master!$I:$K,2,FALSE),"")</f>
        <v/>
      </c>
      <c r="J1379" s="4" t="str">
        <f>_xlfn.IFNA(VLOOKUP(D1379,Master!$I:$K,3,FALSE),"")</f>
        <v/>
      </c>
      <c r="L1379" s="27" t="str">
        <f>IF(A1379&lt;&gt;"CFA",_xlfn.IFNA(VLOOKUP($G1379,Master!$V$2:$Z$8,5,0),""),"")</f>
        <v/>
      </c>
      <c r="P1379" s="6" t="str">
        <f t="shared" si="42"/>
        <v/>
      </c>
      <c r="Q1379" s="13">
        <f t="shared" si="43"/>
        <v>0</v>
      </c>
    </row>
    <row r="1380" spans="2:17" ht="15" customHeight="1">
      <c r="B1380" s="5" t="str">
        <f>_xlfn.IFNA(VLOOKUP(C1380,Master!$H:$I,2,FALSE),"")</f>
        <v/>
      </c>
      <c r="D1380" s="5" t="str">
        <f>_xlfn.IFNA(VLOOKUP(E1380,Master!$H:$I,2,FALSE),"")</f>
        <v/>
      </c>
      <c r="F1380" s="26" t="str">
        <f>+_xlfn.XLOOKUP(G1380,Master!$V$2:$V$8,Master!$U$2:$U$8,"")</f>
        <v/>
      </c>
      <c r="I1380" s="4" t="str">
        <f>_xlfn.IFNA(VLOOKUP(D1380,Master!$I:$K,2,FALSE),"")</f>
        <v/>
      </c>
      <c r="J1380" s="4" t="str">
        <f>_xlfn.IFNA(VLOOKUP(D1380,Master!$I:$K,3,FALSE),"")</f>
        <v/>
      </c>
      <c r="L1380" s="27" t="str">
        <f>IF(A1380&lt;&gt;"CFA",_xlfn.IFNA(VLOOKUP($G1380,Master!$V$2:$Z$8,5,0),""),"")</f>
        <v/>
      </c>
      <c r="P1380" s="6" t="str">
        <f t="shared" si="42"/>
        <v/>
      </c>
      <c r="Q1380" s="13">
        <f t="shared" si="43"/>
        <v>0</v>
      </c>
    </row>
    <row r="1381" spans="2:17" ht="15" customHeight="1">
      <c r="B1381" s="5" t="str">
        <f>_xlfn.IFNA(VLOOKUP(C1381,Master!$H:$I,2,FALSE),"")</f>
        <v/>
      </c>
      <c r="D1381" s="5" t="str">
        <f>_xlfn.IFNA(VLOOKUP(E1381,Master!$H:$I,2,FALSE),"")</f>
        <v/>
      </c>
      <c r="F1381" s="26" t="str">
        <f>+_xlfn.XLOOKUP(G1381,Master!$V$2:$V$8,Master!$U$2:$U$8,"")</f>
        <v/>
      </c>
      <c r="I1381" s="4" t="str">
        <f>_xlfn.IFNA(VLOOKUP(D1381,Master!$I:$K,2,FALSE),"")</f>
        <v/>
      </c>
      <c r="J1381" s="4" t="str">
        <f>_xlfn.IFNA(VLOOKUP(D1381,Master!$I:$K,3,FALSE),"")</f>
        <v/>
      </c>
      <c r="L1381" s="27" t="str">
        <f>IF(A1381&lt;&gt;"CFA",_xlfn.IFNA(VLOOKUP($G1381,Master!$V$2:$Z$8,5,0),""),"")</f>
        <v/>
      </c>
      <c r="P1381" s="6" t="str">
        <f t="shared" si="42"/>
        <v/>
      </c>
      <c r="Q1381" s="13">
        <f t="shared" si="43"/>
        <v>0</v>
      </c>
    </row>
    <row r="1382" spans="2:17" ht="15" customHeight="1">
      <c r="B1382" s="5" t="str">
        <f>_xlfn.IFNA(VLOOKUP(C1382,Master!$H:$I,2,FALSE),"")</f>
        <v/>
      </c>
      <c r="D1382" s="5" t="str">
        <f>_xlfn.IFNA(VLOOKUP(E1382,Master!$H:$I,2,FALSE),"")</f>
        <v/>
      </c>
      <c r="F1382" s="26" t="str">
        <f>+_xlfn.XLOOKUP(G1382,Master!$V$2:$V$8,Master!$U$2:$U$8,"")</f>
        <v/>
      </c>
      <c r="I1382" s="4" t="str">
        <f>_xlfn.IFNA(VLOOKUP(D1382,Master!$I:$K,2,FALSE),"")</f>
        <v/>
      </c>
      <c r="J1382" s="4" t="str">
        <f>_xlfn.IFNA(VLOOKUP(D1382,Master!$I:$K,3,FALSE),"")</f>
        <v/>
      </c>
      <c r="L1382" s="27" t="str">
        <f>IF(A1382&lt;&gt;"CFA",_xlfn.IFNA(VLOOKUP($G1382,Master!$V$2:$Z$8,5,0),""),"")</f>
        <v/>
      </c>
      <c r="P1382" s="6" t="str">
        <f t="shared" si="42"/>
        <v/>
      </c>
      <c r="Q1382" s="13">
        <f t="shared" si="43"/>
        <v>0</v>
      </c>
    </row>
    <row r="1383" spans="2:17" ht="15" customHeight="1">
      <c r="B1383" s="5" t="str">
        <f>_xlfn.IFNA(VLOOKUP(C1383,Master!$H:$I,2,FALSE),"")</f>
        <v/>
      </c>
      <c r="D1383" s="5" t="str">
        <f>_xlfn.IFNA(VLOOKUP(E1383,Master!$H:$I,2,FALSE),"")</f>
        <v/>
      </c>
      <c r="F1383" s="26" t="str">
        <f>+_xlfn.XLOOKUP(G1383,Master!$V$2:$V$8,Master!$U$2:$U$8,"")</f>
        <v/>
      </c>
      <c r="I1383" s="4" t="str">
        <f>_xlfn.IFNA(VLOOKUP(D1383,Master!$I:$K,2,FALSE),"")</f>
        <v/>
      </c>
      <c r="J1383" s="4" t="str">
        <f>_xlfn.IFNA(VLOOKUP(D1383,Master!$I:$K,3,FALSE),"")</f>
        <v/>
      </c>
      <c r="L1383" s="27" t="str">
        <f>IF(A1383&lt;&gt;"CFA",_xlfn.IFNA(VLOOKUP($G1383,Master!$V$2:$Z$8,5,0),""),"")</f>
        <v/>
      </c>
      <c r="P1383" s="6" t="str">
        <f t="shared" si="42"/>
        <v/>
      </c>
      <c r="Q1383" s="13">
        <f t="shared" si="43"/>
        <v>0</v>
      </c>
    </row>
    <row r="1384" spans="2:17" ht="15" customHeight="1">
      <c r="B1384" s="5" t="str">
        <f>_xlfn.IFNA(VLOOKUP(C1384,Master!$H:$I,2,FALSE),"")</f>
        <v/>
      </c>
      <c r="D1384" s="5" t="str">
        <f>_xlfn.IFNA(VLOOKUP(E1384,Master!$H:$I,2,FALSE),"")</f>
        <v/>
      </c>
      <c r="F1384" s="26" t="str">
        <f>+_xlfn.XLOOKUP(G1384,Master!$V$2:$V$8,Master!$U$2:$U$8,"")</f>
        <v/>
      </c>
      <c r="I1384" s="4" t="str">
        <f>_xlfn.IFNA(VLOOKUP(D1384,Master!$I:$K,2,FALSE),"")</f>
        <v/>
      </c>
      <c r="J1384" s="4" t="str">
        <f>_xlfn.IFNA(VLOOKUP(D1384,Master!$I:$K,3,FALSE),"")</f>
        <v/>
      </c>
      <c r="L1384" s="27" t="str">
        <f>IF(A1384&lt;&gt;"CFA",_xlfn.IFNA(VLOOKUP($G1384,Master!$V$2:$Z$8,5,0),""),"")</f>
        <v/>
      </c>
      <c r="P1384" s="6" t="str">
        <f t="shared" si="42"/>
        <v/>
      </c>
      <c r="Q1384" s="13">
        <f t="shared" si="43"/>
        <v>0</v>
      </c>
    </row>
    <row r="1385" spans="2:17" ht="15" customHeight="1">
      <c r="B1385" s="5" t="str">
        <f>_xlfn.IFNA(VLOOKUP(C1385,Master!$H:$I,2,FALSE),"")</f>
        <v/>
      </c>
      <c r="D1385" s="5" t="str">
        <f>_xlfn.IFNA(VLOOKUP(E1385,Master!$H:$I,2,FALSE),"")</f>
        <v/>
      </c>
      <c r="F1385" s="26" t="str">
        <f>+_xlfn.XLOOKUP(G1385,Master!$V$2:$V$8,Master!$U$2:$U$8,"")</f>
        <v/>
      </c>
      <c r="I1385" s="4" t="str">
        <f>_xlfn.IFNA(VLOOKUP(D1385,Master!$I:$K,2,FALSE),"")</f>
        <v/>
      </c>
      <c r="J1385" s="4" t="str">
        <f>_xlfn.IFNA(VLOOKUP(D1385,Master!$I:$K,3,FALSE),"")</f>
        <v/>
      </c>
      <c r="L1385" s="27" t="str">
        <f>IF(A1385&lt;&gt;"CFA",_xlfn.IFNA(VLOOKUP($G1385,Master!$V$2:$Z$8,5,0),""),"")</f>
        <v/>
      </c>
      <c r="P1385" s="6" t="str">
        <f t="shared" si="42"/>
        <v/>
      </c>
      <c r="Q1385" s="13">
        <f t="shared" si="43"/>
        <v>0</v>
      </c>
    </row>
    <row r="1386" spans="2:17" ht="15" customHeight="1">
      <c r="B1386" s="5" t="str">
        <f>_xlfn.IFNA(VLOOKUP(C1386,Master!$H:$I,2,FALSE),"")</f>
        <v/>
      </c>
      <c r="D1386" s="5" t="str">
        <f>_xlfn.IFNA(VLOOKUP(E1386,Master!$H:$I,2,FALSE),"")</f>
        <v/>
      </c>
      <c r="F1386" s="26" t="str">
        <f>+_xlfn.XLOOKUP(G1386,Master!$V$2:$V$8,Master!$U$2:$U$8,"")</f>
        <v/>
      </c>
      <c r="I1386" s="4" t="str">
        <f>_xlfn.IFNA(VLOOKUP(D1386,Master!$I:$K,2,FALSE),"")</f>
        <v/>
      </c>
      <c r="J1386" s="4" t="str">
        <f>_xlfn.IFNA(VLOOKUP(D1386,Master!$I:$K,3,FALSE),"")</f>
        <v/>
      </c>
      <c r="L1386" s="27" t="str">
        <f>IF(A1386&lt;&gt;"CFA",_xlfn.IFNA(VLOOKUP($G1386,Master!$V$2:$Z$8,5,0),""),"")</f>
        <v/>
      </c>
      <c r="P1386" s="6" t="str">
        <f t="shared" si="42"/>
        <v/>
      </c>
      <c r="Q1386" s="13">
        <f t="shared" si="43"/>
        <v>0</v>
      </c>
    </row>
    <row r="1387" spans="2:17" ht="15" customHeight="1">
      <c r="B1387" s="5" t="str">
        <f>_xlfn.IFNA(VLOOKUP(C1387,Master!$H:$I,2,FALSE),"")</f>
        <v/>
      </c>
      <c r="D1387" s="5" t="str">
        <f>_xlfn.IFNA(VLOOKUP(E1387,Master!$H:$I,2,FALSE),"")</f>
        <v/>
      </c>
      <c r="F1387" s="26" t="str">
        <f>+_xlfn.XLOOKUP(G1387,Master!$V$2:$V$8,Master!$U$2:$U$8,"")</f>
        <v/>
      </c>
      <c r="I1387" s="4" t="str">
        <f>_xlfn.IFNA(VLOOKUP(D1387,Master!$I:$K,2,FALSE),"")</f>
        <v/>
      </c>
      <c r="J1387" s="4" t="str">
        <f>_xlfn.IFNA(VLOOKUP(D1387,Master!$I:$K,3,FALSE),"")</f>
        <v/>
      </c>
      <c r="L1387" s="27" t="str">
        <f>IF(A1387&lt;&gt;"CFA",_xlfn.IFNA(VLOOKUP($G1387,Master!$V$2:$Z$8,5,0),""),"")</f>
        <v/>
      </c>
      <c r="P1387" s="6" t="str">
        <f t="shared" si="42"/>
        <v/>
      </c>
      <c r="Q1387" s="13">
        <f t="shared" si="43"/>
        <v>0</v>
      </c>
    </row>
    <row r="1388" spans="2:17" ht="15" customHeight="1">
      <c r="B1388" s="5" t="str">
        <f>_xlfn.IFNA(VLOOKUP(C1388,Master!$H:$I,2,FALSE),"")</f>
        <v/>
      </c>
      <c r="D1388" s="5" t="str">
        <f>_xlfn.IFNA(VLOOKUP(E1388,Master!$H:$I,2,FALSE),"")</f>
        <v/>
      </c>
      <c r="F1388" s="26" t="str">
        <f>+_xlfn.XLOOKUP(G1388,Master!$V$2:$V$8,Master!$U$2:$U$8,"")</f>
        <v/>
      </c>
      <c r="I1388" s="4" t="str">
        <f>_xlfn.IFNA(VLOOKUP(D1388,Master!$I:$K,2,FALSE),"")</f>
        <v/>
      </c>
      <c r="J1388" s="4" t="str">
        <f>_xlfn.IFNA(VLOOKUP(D1388,Master!$I:$K,3,FALSE),"")</f>
        <v/>
      </c>
      <c r="L1388" s="27" t="str">
        <f>IF(A1388&lt;&gt;"CFA",_xlfn.IFNA(VLOOKUP($G1388,Master!$V$2:$Z$8,5,0),""),"")</f>
        <v/>
      </c>
      <c r="P1388" s="6" t="str">
        <f t="shared" si="42"/>
        <v/>
      </c>
      <c r="Q1388" s="13">
        <f t="shared" si="43"/>
        <v>0</v>
      </c>
    </row>
    <row r="1389" spans="2:17" ht="15" customHeight="1">
      <c r="B1389" s="5" t="str">
        <f>_xlfn.IFNA(VLOOKUP(C1389,Master!$H:$I,2,FALSE),"")</f>
        <v/>
      </c>
      <c r="D1389" s="5" t="str">
        <f>_xlfn.IFNA(VLOOKUP(E1389,Master!$H:$I,2,FALSE),"")</f>
        <v/>
      </c>
      <c r="F1389" s="26" t="str">
        <f>+_xlfn.XLOOKUP(G1389,Master!$V$2:$V$8,Master!$U$2:$U$8,"")</f>
        <v/>
      </c>
      <c r="I1389" s="4" t="str">
        <f>_xlfn.IFNA(VLOOKUP(D1389,Master!$I:$K,2,FALSE),"")</f>
        <v/>
      </c>
      <c r="J1389" s="4" t="str">
        <f>_xlfn.IFNA(VLOOKUP(D1389,Master!$I:$K,3,FALSE),"")</f>
        <v/>
      </c>
      <c r="L1389" s="27" t="str">
        <f>IF(A1389&lt;&gt;"CFA",_xlfn.IFNA(VLOOKUP($G1389,Master!$V$2:$Z$8,5,0),""),"")</f>
        <v/>
      </c>
      <c r="P1389" s="6" t="str">
        <f t="shared" si="42"/>
        <v/>
      </c>
      <c r="Q1389" s="13">
        <f t="shared" si="43"/>
        <v>0</v>
      </c>
    </row>
    <row r="1390" spans="2:17" ht="15" customHeight="1">
      <c r="B1390" s="5" t="str">
        <f>_xlfn.IFNA(VLOOKUP(C1390,Master!$H:$I,2,FALSE),"")</f>
        <v/>
      </c>
      <c r="D1390" s="5" t="str">
        <f>_xlfn.IFNA(VLOOKUP(E1390,Master!$H:$I,2,FALSE),"")</f>
        <v/>
      </c>
      <c r="F1390" s="26" t="str">
        <f>+_xlfn.XLOOKUP(G1390,Master!$V$2:$V$8,Master!$U$2:$U$8,"")</f>
        <v/>
      </c>
      <c r="I1390" s="4" t="str">
        <f>_xlfn.IFNA(VLOOKUP(D1390,Master!$I:$K,2,FALSE),"")</f>
        <v/>
      </c>
      <c r="J1390" s="4" t="str">
        <f>_xlfn.IFNA(VLOOKUP(D1390,Master!$I:$K,3,FALSE),"")</f>
        <v/>
      </c>
      <c r="L1390" s="27" t="str">
        <f>IF(A1390&lt;&gt;"CFA",_xlfn.IFNA(VLOOKUP($G1390,Master!$V$2:$Z$8,5,0),""),"")</f>
        <v/>
      </c>
      <c r="P1390" s="6" t="str">
        <f t="shared" si="42"/>
        <v/>
      </c>
      <c r="Q1390" s="13">
        <f t="shared" si="43"/>
        <v>0</v>
      </c>
    </row>
    <row r="1391" spans="2:17" ht="15" customHeight="1">
      <c r="B1391" s="5" t="str">
        <f>_xlfn.IFNA(VLOOKUP(C1391,Master!$H:$I,2,FALSE),"")</f>
        <v/>
      </c>
      <c r="D1391" s="5" t="str">
        <f>_xlfn.IFNA(VLOOKUP(E1391,Master!$H:$I,2,FALSE),"")</f>
        <v/>
      </c>
      <c r="F1391" s="26" t="str">
        <f>+_xlfn.XLOOKUP(G1391,Master!$V$2:$V$8,Master!$U$2:$U$8,"")</f>
        <v/>
      </c>
      <c r="I1391" s="4" t="str">
        <f>_xlfn.IFNA(VLOOKUP(D1391,Master!$I:$K,2,FALSE),"")</f>
        <v/>
      </c>
      <c r="J1391" s="4" t="str">
        <f>_xlfn.IFNA(VLOOKUP(D1391,Master!$I:$K,3,FALSE),"")</f>
        <v/>
      </c>
      <c r="L1391" s="27" t="str">
        <f>IF(A1391&lt;&gt;"CFA",_xlfn.IFNA(VLOOKUP($G1391,Master!$V$2:$Z$8,5,0),""),"")</f>
        <v/>
      </c>
      <c r="P1391" s="6" t="str">
        <f t="shared" si="42"/>
        <v/>
      </c>
      <c r="Q1391" s="13">
        <f t="shared" si="43"/>
        <v>0</v>
      </c>
    </row>
    <row r="1392" spans="2:17" ht="15" customHeight="1">
      <c r="B1392" s="5" t="str">
        <f>_xlfn.IFNA(VLOOKUP(C1392,Master!$H:$I,2,FALSE),"")</f>
        <v/>
      </c>
      <c r="D1392" s="5" t="str">
        <f>_xlfn.IFNA(VLOOKUP(E1392,Master!$H:$I,2,FALSE),"")</f>
        <v/>
      </c>
      <c r="F1392" s="26" t="str">
        <f>+_xlfn.XLOOKUP(G1392,Master!$V$2:$V$8,Master!$U$2:$U$8,"")</f>
        <v/>
      </c>
      <c r="I1392" s="4" t="str">
        <f>_xlfn.IFNA(VLOOKUP(D1392,Master!$I:$K,2,FALSE),"")</f>
        <v/>
      </c>
      <c r="J1392" s="4" t="str">
        <f>_xlfn.IFNA(VLOOKUP(D1392,Master!$I:$K,3,FALSE),"")</f>
        <v/>
      </c>
      <c r="L1392" s="27" t="str">
        <f>IF(A1392&lt;&gt;"CFA",_xlfn.IFNA(VLOOKUP($G1392,Master!$V$2:$Z$8,5,0),""),"")</f>
        <v/>
      </c>
      <c r="P1392" s="6" t="str">
        <f t="shared" si="42"/>
        <v/>
      </c>
      <c r="Q1392" s="13">
        <f t="shared" si="43"/>
        <v>0</v>
      </c>
    </row>
    <row r="1393" spans="2:17" ht="15" customHeight="1">
      <c r="B1393" s="5" t="str">
        <f>_xlfn.IFNA(VLOOKUP(C1393,Master!$H:$I,2,FALSE),"")</f>
        <v/>
      </c>
      <c r="D1393" s="5" t="str">
        <f>_xlfn.IFNA(VLOOKUP(E1393,Master!$H:$I,2,FALSE),"")</f>
        <v/>
      </c>
      <c r="F1393" s="26" t="str">
        <f>+_xlfn.XLOOKUP(G1393,Master!$V$2:$V$8,Master!$U$2:$U$8,"")</f>
        <v/>
      </c>
      <c r="I1393" s="4" t="str">
        <f>_xlfn.IFNA(VLOOKUP(D1393,Master!$I:$K,2,FALSE),"")</f>
        <v/>
      </c>
      <c r="J1393" s="4" t="str">
        <f>_xlfn.IFNA(VLOOKUP(D1393,Master!$I:$K,3,FALSE),"")</f>
        <v/>
      </c>
      <c r="L1393" s="27" t="str">
        <f>IF(A1393&lt;&gt;"CFA",_xlfn.IFNA(VLOOKUP($G1393,Master!$V$2:$Z$8,5,0),""),"")</f>
        <v/>
      </c>
      <c r="P1393" s="6" t="str">
        <f t="shared" si="42"/>
        <v/>
      </c>
      <c r="Q1393" s="13">
        <f t="shared" si="43"/>
        <v>0</v>
      </c>
    </row>
    <row r="1394" spans="2:17" ht="15" customHeight="1">
      <c r="B1394" s="5" t="str">
        <f>_xlfn.IFNA(VLOOKUP(C1394,Master!$H:$I,2,FALSE),"")</f>
        <v/>
      </c>
      <c r="D1394" s="5" t="str">
        <f>_xlfn.IFNA(VLOOKUP(E1394,Master!$H:$I,2,FALSE),"")</f>
        <v/>
      </c>
      <c r="F1394" s="26" t="str">
        <f>+_xlfn.XLOOKUP(G1394,Master!$V$2:$V$8,Master!$U$2:$U$8,"")</f>
        <v/>
      </c>
      <c r="I1394" s="4" t="str">
        <f>_xlfn.IFNA(VLOOKUP(D1394,Master!$I:$K,2,FALSE),"")</f>
        <v/>
      </c>
      <c r="J1394" s="4" t="str">
        <f>_xlfn.IFNA(VLOOKUP(D1394,Master!$I:$K,3,FALSE),"")</f>
        <v/>
      </c>
      <c r="L1394" s="27" t="str">
        <f>IF(A1394&lt;&gt;"CFA",_xlfn.IFNA(VLOOKUP($G1394,Master!$V$2:$Z$8,5,0),""),"")</f>
        <v/>
      </c>
      <c r="P1394" s="6" t="str">
        <f t="shared" si="42"/>
        <v/>
      </c>
      <c r="Q1394" s="13">
        <f t="shared" si="43"/>
        <v>0</v>
      </c>
    </row>
    <row r="1395" spans="2:17" ht="15" customHeight="1">
      <c r="B1395" s="5" t="str">
        <f>_xlfn.IFNA(VLOOKUP(C1395,Master!$H:$I,2,FALSE),"")</f>
        <v/>
      </c>
      <c r="D1395" s="5" t="str">
        <f>_xlfn.IFNA(VLOOKUP(E1395,Master!$H:$I,2,FALSE),"")</f>
        <v/>
      </c>
      <c r="F1395" s="26" t="str">
        <f>+_xlfn.XLOOKUP(G1395,Master!$V$2:$V$8,Master!$U$2:$U$8,"")</f>
        <v/>
      </c>
      <c r="I1395" s="4" t="str">
        <f>_xlfn.IFNA(VLOOKUP(D1395,Master!$I:$K,2,FALSE),"")</f>
        <v/>
      </c>
      <c r="J1395" s="4" t="str">
        <f>_xlfn.IFNA(VLOOKUP(D1395,Master!$I:$K,3,FALSE),"")</f>
        <v/>
      </c>
      <c r="L1395" s="27" t="str">
        <f>IF(A1395&lt;&gt;"CFA",_xlfn.IFNA(VLOOKUP($G1395,Master!$V$2:$Z$8,5,0),""),"")</f>
        <v/>
      </c>
      <c r="P1395" s="6" t="str">
        <f t="shared" si="42"/>
        <v/>
      </c>
      <c r="Q1395" s="13">
        <f t="shared" si="43"/>
        <v>0</v>
      </c>
    </row>
    <row r="1396" spans="2:17" ht="15" customHeight="1">
      <c r="B1396" s="5" t="str">
        <f>_xlfn.IFNA(VLOOKUP(C1396,Master!$H:$I,2,FALSE),"")</f>
        <v/>
      </c>
      <c r="D1396" s="5" t="str">
        <f>_xlfn.IFNA(VLOOKUP(E1396,Master!$H:$I,2,FALSE),"")</f>
        <v/>
      </c>
      <c r="F1396" s="26" t="str">
        <f>+_xlfn.XLOOKUP(G1396,Master!$V$2:$V$8,Master!$U$2:$U$8,"")</f>
        <v/>
      </c>
      <c r="I1396" s="4" t="str">
        <f>_xlfn.IFNA(VLOOKUP(D1396,Master!$I:$K,2,FALSE),"")</f>
        <v/>
      </c>
      <c r="J1396" s="4" t="str">
        <f>_xlfn.IFNA(VLOOKUP(D1396,Master!$I:$K,3,FALSE),"")</f>
        <v/>
      </c>
      <c r="L1396" s="27" t="str">
        <f>IF(A1396&lt;&gt;"CFA",_xlfn.IFNA(VLOOKUP($G1396,Master!$V$2:$Z$8,5,0),""),"")</f>
        <v/>
      </c>
      <c r="P1396" s="6" t="str">
        <f t="shared" si="42"/>
        <v/>
      </c>
      <c r="Q1396" s="13">
        <f t="shared" si="43"/>
        <v>0</v>
      </c>
    </row>
    <row r="1397" spans="2:17" ht="15" customHeight="1">
      <c r="B1397" s="5" t="str">
        <f>_xlfn.IFNA(VLOOKUP(C1397,Master!$H:$I,2,FALSE),"")</f>
        <v/>
      </c>
      <c r="D1397" s="5" t="str">
        <f>_xlfn.IFNA(VLOOKUP(E1397,Master!$H:$I,2,FALSE),"")</f>
        <v/>
      </c>
      <c r="F1397" s="26" t="str">
        <f>+_xlfn.XLOOKUP(G1397,Master!$V$2:$V$8,Master!$U$2:$U$8,"")</f>
        <v/>
      </c>
      <c r="I1397" s="4" t="str">
        <f>_xlfn.IFNA(VLOOKUP(D1397,Master!$I:$K,2,FALSE),"")</f>
        <v/>
      </c>
      <c r="J1397" s="4" t="str">
        <f>_xlfn.IFNA(VLOOKUP(D1397,Master!$I:$K,3,FALSE),"")</f>
        <v/>
      </c>
      <c r="L1397" s="27" t="str">
        <f>IF(A1397&lt;&gt;"CFA",_xlfn.IFNA(VLOOKUP($G1397,Master!$V$2:$Z$8,5,0),""),"")</f>
        <v/>
      </c>
      <c r="P1397" s="6" t="str">
        <f t="shared" si="42"/>
        <v/>
      </c>
      <c r="Q1397" s="13">
        <f t="shared" si="43"/>
        <v>0</v>
      </c>
    </row>
    <row r="1398" spans="2:17" ht="15" customHeight="1">
      <c r="B1398" s="5" t="str">
        <f>_xlfn.IFNA(VLOOKUP(C1398,Master!$H:$I,2,FALSE),"")</f>
        <v/>
      </c>
      <c r="D1398" s="5" t="str">
        <f>_xlfn.IFNA(VLOOKUP(E1398,Master!$H:$I,2,FALSE),"")</f>
        <v/>
      </c>
      <c r="F1398" s="26" t="str">
        <f>+_xlfn.XLOOKUP(G1398,Master!$V$2:$V$8,Master!$U$2:$U$8,"")</f>
        <v/>
      </c>
      <c r="I1398" s="4" t="str">
        <f>_xlfn.IFNA(VLOOKUP(D1398,Master!$I:$K,2,FALSE),"")</f>
        <v/>
      </c>
      <c r="J1398" s="4" t="str">
        <f>_xlfn.IFNA(VLOOKUP(D1398,Master!$I:$K,3,FALSE),"")</f>
        <v/>
      </c>
      <c r="L1398" s="27" t="str">
        <f>IF(A1398&lt;&gt;"CFA",_xlfn.IFNA(VLOOKUP($G1398,Master!$V$2:$Z$8,5,0),""),"")</f>
        <v/>
      </c>
      <c r="P1398" s="6" t="str">
        <f t="shared" si="42"/>
        <v/>
      </c>
      <c r="Q1398" s="13">
        <f t="shared" si="43"/>
        <v>0</v>
      </c>
    </row>
    <row r="1399" spans="2:17" ht="15" customHeight="1">
      <c r="B1399" s="5" t="str">
        <f>_xlfn.IFNA(VLOOKUP(C1399,Master!$H:$I,2,FALSE),"")</f>
        <v/>
      </c>
      <c r="D1399" s="5" t="str">
        <f>_xlfn.IFNA(VLOOKUP(E1399,Master!$H:$I,2,FALSE),"")</f>
        <v/>
      </c>
      <c r="F1399" s="26" t="str">
        <f>+_xlfn.XLOOKUP(G1399,Master!$V$2:$V$8,Master!$U$2:$U$8,"")</f>
        <v/>
      </c>
      <c r="I1399" s="4" t="str">
        <f>_xlfn.IFNA(VLOOKUP(D1399,Master!$I:$K,2,FALSE),"")</f>
        <v/>
      </c>
      <c r="J1399" s="4" t="str">
        <f>_xlfn.IFNA(VLOOKUP(D1399,Master!$I:$K,3,FALSE),"")</f>
        <v/>
      </c>
      <c r="L1399" s="27" t="str">
        <f>IF(A1399&lt;&gt;"CFA",_xlfn.IFNA(VLOOKUP($G1399,Master!$V$2:$Z$8,5,0),""),"")</f>
        <v/>
      </c>
      <c r="P1399" s="6" t="str">
        <f t="shared" ref="P1399:P1462" si="44">IF(N1399&lt;&gt;"",IF(MONTH(N1399)&gt;=4,"FY1"&amp;RIGHT(YEAR(N1399)+1,2),"FY1"&amp;RIGHT(YEAR(N1399),2)),"")</f>
        <v/>
      </c>
      <c r="Q1399" s="13">
        <f t="shared" ref="Q1399:Q1462" si="45">IF(K1399&gt;0&amp;M1399&gt;0,K1399*M1399,"")</f>
        <v>0</v>
      </c>
    </row>
    <row r="1400" spans="2:17" ht="15" customHeight="1">
      <c r="B1400" s="5" t="str">
        <f>_xlfn.IFNA(VLOOKUP(C1400,Master!$H:$I,2,FALSE),"")</f>
        <v/>
      </c>
      <c r="D1400" s="5" t="str">
        <f>_xlfn.IFNA(VLOOKUP(E1400,Master!$H:$I,2,FALSE),"")</f>
        <v/>
      </c>
      <c r="F1400" s="26" t="str">
        <f>+_xlfn.XLOOKUP(G1400,Master!$V$2:$V$8,Master!$U$2:$U$8,"")</f>
        <v/>
      </c>
      <c r="I1400" s="4" t="str">
        <f>_xlfn.IFNA(VLOOKUP(D1400,Master!$I:$K,2,FALSE),"")</f>
        <v/>
      </c>
      <c r="J1400" s="4" t="str">
        <f>_xlfn.IFNA(VLOOKUP(D1400,Master!$I:$K,3,FALSE),"")</f>
        <v/>
      </c>
      <c r="L1400" s="27" t="str">
        <f>IF(A1400&lt;&gt;"CFA",_xlfn.IFNA(VLOOKUP($G1400,Master!$V$2:$Z$8,5,0),""),"")</f>
        <v/>
      </c>
      <c r="P1400" s="6" t="str">
        <f t="shared" si="44"/>
        <v/>
      </c>
      <c r="Q1400" s="13">
        <f t="shared" si="45"/>
        <v>0</v>
      </c>
    </row>
    <row r="1401" spans="2:17" ht="15" customHeight="1">
      <c r="B1401" s="5" t="str">
        <f>_xlfn.IFNA(VLOOKUP(C1401,Master!$H:$I,2,FALSE),"")</f>
        <v/>
      </c>
      <c r="D1401" s="5" t="str">
        <f>_xlfn.IFNA(VLOOKUP(E1401,Master!$H:$I,2,FALSE),"")</f>
        <v/>
      </c>
      <c r="F1401" s="26" t="str">
        <f>+_xlfn.XLOOKUP(G1401,Master!$V$2:$V$8,Master!$U$2:$U$8,"")</f>
        <v/>
      </c>
      <c r="I1401" s="4" t="str">
        <f>_xlfn.IFNA(VLOOKUP(D1401,Master!$I:$K,2,FALSE),"")</f>
        <v/>
      </c>
      <c r="J1401" s="4" t="str">
        <f>_xlfn.IFNA(VLOOKUP(D1401,Master!$I:$K,3,FALSE),"")</f>
        <v/>
      </c>
      <c r="L1401" s="27" t="str">
        <f>IF(A1401&lt;&gt;"CFA",_xlfn.IFNA(VLOOKUP($G1401,Master!$V$2:$Z$8,5,0),""),"")</f>
        <v/>
      </c>
      <c r="P1401" s="6" t="str">
        <f t="shared" si="44"/>
        <v/>
      </c>
      <c r="Q1401" s="13">
        <f t="shared" si="45"/>
        <v>0</v>
      </c>
    </row>
    <row r="1402" spans="2:17" ht="15" customHeight="1">
      <c r="B1402" s="5" t="str">
        <f>_xlfn.IFNA(VLOOKUP(C1402,Master!$H:$I,2,FALSE),"")</f>
        <v/>
      </c>
      <c r="D1402" s="5" t="str">
        <f>_xlfn.IFNA(VLOOKUP(E1402,Master!$H:$I,2,FALSE),"")</f>
        <v/>
      </c>
      <c r="F1402" s="26" t="str">
        <f>+_xlfn.XLOOKUP(G1402,Master!$V$2:$V$8,Master!$U$2:$U$8,"")</f>
        <v/>
      </c>
      <c r="I1402" s="4" t="str">
        <f>_xlfn.IFNA(VLOOKUP(D1402,Master!$I:$K,2,FALSE),"")</f>
        <v/>
      </c>
      <c r="J1402" s="4" t="str">
        <f>_xlfn.IFNA(VLOOKUP(D1402,Master!$I:$K,3,FALSE),"")</f>
        <v/>
      </c>
      <c r="L1402" s="27" t="str">
        <f>IF(A1402&lt;&gt;"CFA",_xlfn.IFNA(VLOOKUP($G1402,Master!$V$2:$Z$8,5,0),""),"")</f>
        <v/>
      </c>
      <c r="P1402" s="6" t="str">
        <f t="shared" si="44"/>
        <v/>
      </c>
      <c r="Q1402" s="13">
        <f t="shared" si="45"/>
        <v>0</v>
      </c>
    </row>
    <row r="1403" spans="2:17" ht="15" customHeight="1">
      <c r="B1403" s="5" t="str">
        <f>_xlfn.IFNA(VLOOKUP(C1403,Master!$H:$I,2,FALSE),"")</f>
        <v/>
      </c>
      <c r="D1403" s="5" t="str">
        <f>_xlfn.IFNA(VLOOKUP(E1403,Master!$H:$I,2,FALSE),"")</f>
        <v/>
      </c>
      <c r="F1403" s="26" t="str">
        <f>+_xlfn.XLOOKUP(G1403,Master!$V$2:$V$8,Master!$U$2:$U$8,"")</f>
        <v/>
      </c>
      <c r="I1403" s="4" t="str">
        <f>_xlfn.IFNA(VLOOKUP(D1403,Master!$I:$K,2,FALSE),"")</f>
        <v/>
      </c>
      <c r="J1403" s="4" t="str">
        <f>_xlfn.IFNA(VLOOKUP(D1403,Master!$I:$K,3,FALSE),"")</f>
        <v/>
      </c>
      <c r="L1403" s="27" t="str">
        <f>IF(A1403&lt;&gt;"CFA",_xlfn.IFNA(VLOOKUP($G1403,Master!$V$2:$Z$8,5,0),""),"")</f>
        <v/>
      </c>
      <c r="P1403" s="6" t="str">
        <f t="shared" si="44"/>
        <v/>
      </c>
      <c r="Q1403" s="13">
        <f t="shared" si="45"/>
        <v>0</v>
      </c>
    </row>
    <row r="1404" spans="2:17" ht="15" customHeight="1">
      <c r="B1404" s="5" t="str">
        <f>_xlfn.IFNA(VLOOKUP(C1404,Master!$H:$I,2,FALSE),"")</f>
        <v/>
      </c>
      <c r="D1404" s="5" t="str">
        <f>_xlfn.IFNA(VLOOKUP(E1404,Master!$H:$I,2,FALSE),"")</f>
        <v/>
      </c>
      <c r="F1404" s="26" t="str">
        <f>+_xlfn.XLOOKUP(G1404,Master!$V$2:$V$8,Master!$U$2:$U$8,"")</f>
        <v/>
      </c>
      <c r="I1404" s="4" t="str">
        <f>_xlfn.IFNA(VLOOKUP(D1404,Master!$I:$K,2,FALSE),"")</f>
        <v/>
      </c>
      <c r="J1404" s="4" t="str">
        <f>_xlfn.IFNA(VLOOKUP(D1404,Master!$I:$K,3,FALSE),"")</f>
        <v/>
      </c>
      <c r="L1404" s="27" t="str">
        <f>IF(A1404&lt;&gt;"CFA",_xlfn.IFNA(VLOOKUP($G1404,Master!$V$2:$Z$8,5,0),""),"")</f>
        <v/>
      </c>
      <c r="P1404" s="6" t="str">
        <f t="shared" si="44"/>
        <v/>
      </c>
      <c r="Q1404" s="13">
        <f t="shared" si="45"/>
        <v>0</v>
      </c>
    </row>
    <row r="1405" spans="2:17" ht="15" customHeight="1">
      <c r="B1405" s="5" t="str">
        <f>_xlfn.IFNA(VLOOKUP(C1405,Master!$H:$I,2,FALSE),"")</f>
        <v/>
      </c>
      <c r="D1405" s="5" t="str">
        <f>_xlfn.IFNA(VLOOKUP(E1405,Master!$H:$I,2,FALSE),"")</f>
        <v/>
      </c>
      <c r="F1405" s="26" t="str">
        <f>+_xlfn.XLOOKUP(G1405,Master!$V$2:$V$8,Master!$U$2:$U$8,"")</f>
        <v/>
      </c>
      <c r="I1405" s="4" t="str">
        <f>_xlfn.IFNA(VLOOKUP(D1405,Master!$I:$K,2,FALSE),"")</f>
        <v/>
      </c>
      <c r="J1405" s="4" t="str">
        <f>_xlfn.IFNA(VLOOKUP(D1405,Master!$I:$K,3,FALSE),"")</f>
        <v/>
      </c>
      <c r="L1405" s="27" t="str">
        <f>IF(A1405&lt;&gt;"CFA",_xlfn.IFNA(VLOOKUP($G1405,Master!$V$2:$Z$8,5,0),""),"")</f>
        <v/>
      </c>
      <c r="P1405" s="6" t="str">
        <f t="shared" si="44"/>
        <v/>
      </c>
      <c r="Q1405" s="13">
        <f t="shared" si="45"/>
        <v>0</v>
      </c>
    </row>
    <row r="1406" spans="2:17" ht="15" customHeight="1">
      <c r="B1406" s="5" t="str">
        <f>_xlfn.IFNA(VLOOKUP(C1406,Master!$H:$I,2,FALSE),"")</f>
        <v/>
      </c>
      <c r="D1406" s="5" t="str">
        <f>_xlfn.IFNA(VLOOKUP(E1406,Master!$H:$I,2,FALSE),"")</f>
        <v/>
      </c>
      <c r="F1406" s="26" t="str">
        <f>+_xlfn.XLOOKUP(G1406,Master!$V$2:$V$8,Master!$U$2:$U$8,"")</f>
        <v/>
      </c>
      <c r="I1406" s="4" t="str">
        <f>_xlfn.IFNA(VLOOKUP(D1406,Master!$I:$K,2,FALSE),"")</f>
        <v/>
      </c>
      <c r="J1406" s="4" t="str">
        <f>_xlfn.IFNA(VLOOKUP(D1406,Master!$I:$K,3,FALSE),"")</f>
        <v/>
      </c>
      <c r="L1406" s="27" t="str">
        <f>IF(A1406&lt;&gt;"CFA",_xlfn.IFNA(VLOOKUP($G1406,Master!$V$2:$Z$8,5,0),""),"")</f>
        <v/>
      </c>
      <c r="P1406" s="6" t="str">
        <f t="shared" si="44"/>
        <v/>
      </c>
      <c r="Q1406" s="13">
        <f t="shared" si="45"/>
        <v>0</v>
      </c>
    </row>
    <row r="1407" spans="2:17" ht="15" customHeight="1">
      <c r="B1407" s="5" t="str">
        <f>_xlfn.IFNA(VLOOKUP(C1407,Master!$H:$I,2,FALSE),"")</f>
        <v/>
      </c>
      <c r="D1407" s="5" t="str">
        <f>_xlfn.IFNA(VLOOKUP(E1407,Master!$H:$I,2,FALSE),"")</f>
        <v/>
      </c>
      <c r="F1407" s="26" t="str">
        <f>+_xlfn.XLOOKUP(G1407,Master!$V$2:$V$8,Master!$U$2:$U$8,"")</f>
        <v/>
      </c>
      <c r="I1407" s="4" t="str">
        <f>_xlfn.IFNA(VLOOKUP(D1407,Master!$I:$K,2,FALSE),"")</f>
        <v/>
      </c>
      <c r="J1407" s="4" t="str">
        <f>_xlfn.IFNA(VLOOKUP(D1407,Master!$I:$K,3,FALSE),"")</f>
        <v/>
      </c>
      <c r="L1407" s="27" t="str">
        <f>IF(A1407&lt;&gt;"CFA",_xlfn.IFNA(VLOOKUP($G1407,Master!$V$2:$Z$8,5,0),""),"")</f>
        <v/>
      </c>
      <c r="P1407" s="6" t="str">
        <f t="shared" si="44"/>
        <v/>
      </c>
      <c r="Q1407" s="13">
        <f t="shared" si="45"/>
        <v>0</v>
      </c>
    </row>
    <row r="1408" spans="2:17" ht="15" customHeight="1">
      <c r="B1408" s="5" t="str">
        <f>_xlfn.IFNA(VLOOKUP(C1408,Master!$H:$I,2,FALSE),"")</f>
        <v/>
      </c>
      <c r="D1408" s="5" t="str">
        <f>_xlfn.IFNA(VLOOKUP(E1408,Master!$H:$I,2,FALSE),"")</f>
        <v/>
      </c>
      <c r="F1408" s="26" t="str">
        <f>+_xlfn.XLOOKUP(G1408,Master!$V$2:$V$8,Master!$U$2:$U$8,"")</f>
        <v/>
      </c>
      <c r="I1408" s="4" t="str">
        <f>_xlfn.IFNA(VLOOKUP(D1408,Master!$I:$K,2,FALSE),"")</f>
        <v/>
      </c>
      <c r="J1408" s="4" t="str">
        <f>_xlfn.IFNA(VLOOKUP(D1408,Master!$I:$K,3,FALSE),"")</f>
        <v/>
      </c>
      <c r="L1408" s="27" t="str">
        <f>IF(A1408&lt;&gt;"CFA",_xlfn.IFNA(VLOOKUP($G1408,Master!$V$2:$Z$8,5,0),""),"")</f>
        <v/>
      </c>
      <c r="P1408" s="6" t="str">
        <f t="shared" si="44"/>
        <v/>
      </c>
      <c r="Q1408" s="13">
        <f t="shared" si="45"/>
        <v>0</v>
      </c>
    </row>
    <row r="1409" spans="2:17" ht="15" customHeight="1">
      <c r="B1409" s="5" t="str">
        <f>_xlfn.IFNA(VLOOKUP(C1409,Master!$H:$I,2,FALSE),"")</f>
        <v/>
      </c>
      <c r="D1409" s="5" t="str">
        <f>_xlfn.IFNA(VLOOKUP(E1409,Master!$H:$I,2,FALSE),"")</f>
        <v/>
      </c>
      <c r="F1409" s="26" t="str">
        <f>+_xlfn.XLOOKUP(G1409,Master!$V$2:$V$8,Master!$U$2:$U$8,"")</f>
        <v/>
      </c>
      <c r="I1409" s="4" t="str">
        <f>_xlfn.IFNA(VLOOKUP(D1409,Master!$I:$K,2,FALSE),"")</f>
        <v/>
      </c>
      <c r="J1409" s="4" t="str">
        <f>_xlfn.IFNA(VLOOKUP(D1409,Master!$I:$K,3,FALSE),"")</f>
        <v/>
      </c>
      <c r="L1409" s="27" t="str">
        <f>IF(A1409&lt;&gt;"CFA",_xlfn.IFNA(VLOOKUP($G1409,Master!$V$2:$Z$8,5,0),""),"")</f>
        <v/>
      </c>
      <c r="P1409" s="6" t="str">
        <f t="shared" si="44"/>
        <v/>
      </c>
      <c r="Q1409" s="13">
        <f t="shared" si="45"/>
        <v>0</v>
      </c>
    </row>
    <row r="1410" spans="2:17" ht="15" customHeight="1">
      <c r="B1410" s="5" t="str">
        <f>_xlfn.IFNA(VLOOKUP(C1410,Master!$H:$I,2,FALSE),"")</f>
        <v/>
      </c>
      <c r="D1410" s="5" t="str">
        <f>_xlfn.IFNA(VLOOKUP(E1410,Master!$H:$I,2,FALSE),"")</f>
        <v/>
      </c>
      <c r="F1410" s="26" t="str">
        <f>+_xlfn.XLOOKUP(G1410,Master!$V$2:$V$8,Master!$U$2:$U$8,"")</f>
        <v/>
      </c>
      <c r="I1410" s="4" t="str">
        <f>_xlfn.IFNA(VLOOKUP(D1410,Master!$I:$K,2,FALSE),"")</f>
        <v/>
      </c>
      <c r="J1410" s="4" t="str">
        <f>_xlfn.IFNA(VLOOKUP(D1410,Master!$I:$K,3,FALSE),"")</f>
        <v/>
      </c>
      <c r="L1410" s="27" t="str">
        <f>IF(A1410&lt;&gt;"CFA",_xlfn.IFNA(VLOOKUP($G1410,Master!$V$2:$Z$8,5,0),""),"")</f>
        <v/>
      </c>
      <c r="P1410" s="6" t="str">
        <f t="shared" si="44"/>
        <v/>
      </c>
      <c r="Q1410" s="13">
        <f t="shared" si="45"/>
        <v>0</v>
      </c>
    </row>
    <row r="1411" spans="2:17" ht="15" customHeight="1">
      <c r="B1411" s="5" t="str">
        <f>_xlfn.IFNA(VLOOKUP(C1411,Master!$H:$I,2,FALSE),"")</f>
        <v/>
      </c>
      <c r="D1411" s="5" t="str">
        <f>_xlfn.IFNA(VLOOKUP(E1411,Master!$H:$I,2,FALSE),"")</f>
        <v/>
      </c>
      <c r="F1411" s="26" t="str">
        <f>+_xlfn.XLOOKUP(G1411,Master!$V$2:$V$8,Master!$U$2:$U$8,"")</f>
        <v/>
      </c>
      <c r="I1411" s="4" t="str">
        <f>_xlfn.IFNA(VLOOKUP(D1411,Master!$I:$K,2,FALSE),"")</f>
        <v/>
      </c>
      <c r="J1411" s="4" t="str">
        <f>_xlfn.IFNA(VLOOKUP(D1411,Master!$I:$K,3,FALSE),"")</f>
        <v/>
      </c>
      <c r="L1411" s="27" t="str">
        <f>IF(A1411&lt;&gt;"CFA",_xlfn.IFNA(VLOOKUP($G1411,Master!$V$2:$Z$8,5,0),""),"")</f>
        <v/>
      </c>
      <c r="P1411" s="6" t="str">
        <f t="shared" si="44"/>
        <v/>
      </c>
      <c r="Q1411" s="13">
        <f t="shared" si="45"/>
        <v>0</v>
      </c>
    </row>
    <row r="1412" spans="2:17" ht="15" customHeight="1">
      <c r="B1412" s="5" t="str">
        <f>_xlfn.IFNA(VLOOKUP(C1412,Master!$H:$I,2,FALSE),"")</f>
        <v/>
      </c>
      <c r="D1412" s="5" t="str">
        <f>_xlfn.IFNA(VLOOKUP(E1412,Master!$H:$I,2,FALSE),"")</f>
        <v/>
      </c>
      <c r="F1412" s="26" t="str">
        <f>+_xlfn.XLOOKUP(G1412,Master!$V$2:$V$8,Master!$U$2:$U$8,"")</f>
        <v/>
      </c>
      <c r="I1412" s="4" t="str">
        <f>_xlfn.IFNA(VLOOKUP(D1412,Master!$I:$K,2,FALSE),"")</f>
        <v/>
      </c>
      <c r="J1412" s="4" t="str">
        <f>_xlfn.IFNA(VLOOKUP(D1412,Master!$I:$K,3,FALSE),"")</f>
        <v/>
      </c>
      <c r="L1412" s="27" t="str">
        <f>IF(A1412&lt;&gt;"CFA",_xlfn.IFNA(VLOOKUP($G1412,Master!$V$2:$Z$8,5,0),""),"")</f>
        <v/>
      </c>
      <c r="P1412" s="6" t="str">
        <f t="shared" si="44"/>
        <v/>
      </c>
      <c r="Q1412" s="13">
        <f t="shared" si="45"/>
        <v>0</v>
      </c>
    </row>
    <row r="1413" spans="2:17" ht="15" customHeight="1">
      <c r="B1413" s="5" t="str">
        <f>_xlfn.IFNA(VLOOKUP(C1413,Master!$H:$I,2,FALSE),"")</f>
        <v/>
      </c>
      <c r="D1413" s="5" t="str">
        <f>_xlfn.IFNA(VLOOKUP(E1413,Master!$H:$I,2,FALSE),"")</f>
        <v/>
      </c>
      <c r="F1413" s="26" t="str">
        <f>+_xlfn.XLOOKUP(G1413,Master!$V$2:$V$8,Master!$U$2:$U$8,"")</f>
        <v/>
      </c>
      <c r="I1413" s="4" t="str">
        <f>_xlfn.IFNA(VLOOKUP(D1413,Master!$I:$K,2,FALSE),"")</f>
        <v/>
      </c>
      <c r="J1413" s="4" t="str">
        <f>_xlfn.IFNA(VLOOKUP(D1413,Master!$I:$K,3,FALSE),"")</f>
        <v/>
      </c>
      <c r="L1413" s="27" t="str">
        <f>IF(A1413&lt;&gt;"CFA",_xlfn.IFNA(VLOOKUP($G1413,Master!$V$2:$Z$8,5,0),""),"")</f>
        <v/>
      </c>
      <c r="P1413" s="6" t="str">
        <f t="shared" si="44"/>
        <v/>
      </c>
      <c r="Q1413" s="13">
        <f t="shared" si="45"/>
        <v>0</v>
      </c>
    </row>
    <row r="1414" spans="2:17" ht="15" customHeight="1">
      <c r="B1414" s="5" t="str">
        <f>_xlfn.IFNA(VLOOKUP(C1414,Master!$H:$I,2,FALSE),"")</f>
        <v/>
      </c>
      <c r="D1414" s="5" t="str">
        <f>_xlfn.IFNA(VLOOKUP(E1414,Master!$H:$I,2,FALSE),"")</f>
        <v/>
      </c>
      <c r="F1414" s="26" t="str">
        <f>+_xlfn.XLOOKUP(G1414,Master!$V$2:$V$8,Master!$U$2:$U$8,"")</f>
        <v/>
      </c>
      <c r="I1414" s="4" t="str">
        <f>_xlfn.IFNA(VLOOKUP(D1414,Master!$I:$K,2,FALSE),"")</f>
        <v/>
      </c>
      <c r="J1414" s="4" t="str">
        <f>_xlfn.IFNA(VLOOKUP(D1414,Master!$I:$K,3,FALSE),"")</f>
        <v/>
      </c>
      <c r="L1414" s="27" t="str">
        <f>IF(A1414&lt;&gt;"CFA",_xlfn.IFNA(VLOOKUP($G1414,Master!$V$2:$Z$8,5,0),""),"")</f>
        <v/>
      </c>
      <c r="P1414" s="6" t="str">
        <f t="shared" si="44"/>
        <v/>
      </c>
      <c r="Q1414" s="13">
        <f t="shared" si="45"/>
        <v>0</v>
      </c>
    </row>
    <row r="1415" spans="2:17" ht="15" customHeight="1">
      <c r="B1415" s="5" t="str">
        <f>_xlfn.IFNA(VLOOKUP(C1415,Master!$H:$I,2,FALSE),"")</f>
        <v/>
      </c>
      <c r="D1415" s="5" t="str">
        <f>_xlfn.IFNA(VLOOKUP(E1415,Master!$H:$I,2,FALSE),"")</f>
        <v/>
      </c>
      <c r="F1415" s="26" t="str">
        <f>+_xlfn.XLOOKUP(G1415,Master!$V$2:$V$8,Master!$U$2:$U$8,"")</f>
        <v/>
      </c>
      <c r="I1415" s="4" t="str">
        <f>_xlfn.IFNA(VLOOKUP(D1415,Master!$I:$K,2,FALSE),"")</f>
        <v/>
      </c>
      <c r="J1415" s="4" t="str">
        <f>_xlfn.IFNA(VLOOKUP(D1415,Master!$I:$K,3,FALSE),"")</f>
        <v/>
      </c>
      <c r="L1415" s="27" t="str">
        <f>IF(A1415&lt;&gt;"CFA",_xlfn.IFNA(VLOOKUP($G1415,Master!$V$2:$Z$8,5,0),""),"")</f>
        <v/>
      </c>
      <c r="P1415" s="6" t="str">
        <f t="shared" si="44"/>
        <v/>
      </c>
      <c r="Q1415" s="13">
        <f t="shared" si="45"/>
        <v>0</v>
      </c>
    </row>
    <row r="1416" spans="2:17" ht="15" customHeight="1">
      <c r="B1416" s="5" t="str">
        <f>_xlfn.IFNA(VLOOKUP(C1416,Master!$H:$I,2,FALSE),"")</f>
        <v/>
      </c>
      <c r="D1416" s="5" t="str">
        <f>_xlfn.IFNA(VLOOKUP(E1416,Master!$H:$I,2,FALSE),"")</f>
        <v/>
      </c>
      <c r="F1416" s="26" t="str">
        <f>+_xlfn.XLOOKUP(G1416,Master!$V$2:$V$8,Master!$U$2:$U$8,"")</f>
        <v/>
      </c>
      <c r="I1416" s="4" t="str">
        <f>_xlfn.IFNA(VLOOKUP(D1416,Master!$I:$K,2,FALSE),"")</f>
        <v/>
      </c>
      <c r="J1416" s="4" t="str">
        <f>_xlfn.IFNA(VLOOKUP(D1416,Master!$I:$K,3,FALSE),"")</f>
        <v/>
      </c>
      <c r="L1416" s="27" t="str">
        <f>IF(A1416&lt;&gt;"CFA",_xlfn.IFNA(VLOOKUP($G1416,Master!$V$2:$Z$8,5,0),""),"")</f>
        <v/>
      </c>
      <c r="P1416" s="6" t="str">
        <f t="shared" si="44"/>
        <v/>
      </c>
      <c r="Q1416" s="13">
        <f t="shared" si="45"/>
        <v>0</v>
      </c>
    </row>
    <row r="1417" spans="2:17" ht="15" customHeight="1">
      <c r="B1417" s="5" t="str">
        <f>_xlfn.IFNA(VLOOKUP(C1417,Master!$H:$I,2,FALSE),"")</f>
        <v/>
      </c>
      <c r="D1417" s="5" t="str">
        <f>_xlfn.IFNA(VLOOKUP(E1417,Master!$H:$I,2,FALSE),"")</f>
        <v/>
      </c>
      <c r="F1417" s="26" t="str">
        <f>+_xlfn.XLOOKUP(G1417,Master!$V$2:$V$8,Master!$U$2:$U$8,"")</f>
        <v/>
      </c>
      <c r="I1417" s="4" t="str">
        <f>_xlfn.IFNA(VLOOKUP(D1417,Master!$I:$K,2,FALSE),"")</f>
        <v/>
      </c>
      <c r="J1417" s="4" t="str">
        <f>_xlfn.IFNA(VLOOKUP(D1417,Master!$I:$K,3,FALSE),"")</f>
        <v/>
      </c>
      <c r="L1417" s="27" t="str">
        <f>IF(A1417&lt;&gt;"CFA",_xlfn.IFNA(VLOOKUP($G1417,Master!$V$2:$Z$8,5,0),""),"")</f>
        <v/>
      </c>
      <c r="P1417" s="6" t="str">
        <f t="shared" si="44"/>
        <v/>
      </c>
      <c r="Q1417" s="13">
        <f t="shared" si="45"/>
        <v>0</v>
      </c>
    </row>
    <row r="1418" spans="2:17" ht="15" customHeight="1">
      <c r="B1418" s="5" t="str">
        <f>_xlfn.IFNA(VLOOKUP(C1418,Master!$H:$I,2,FALSE),"")</f>
        <v/>
      </c>
      <c r="D1418" s="5" t="str">
        <f>_xlfn.IFNA(VLOOKUP(E1418,Master!$H:$I,2,FALSE),"")</f>
        <v/>
      </c>
      <c r="F1418" s="26" t="str">
        <f>+_xlfn.XLOOKUP(G1418,Master!$V$2:$V$8,Master!$U$2:$U$8,"")</f>
        <v/>
      </c>
      <c r="I1418" s="4" t="str">
        <f>_xlfn.IFNA(VLOOKUP(D1418,Master!$I:$K,2,FALSE),"")</f>
        <v/>
      </c>
      <c r="J1418" s="4" t="str">
        <f>_xlfn.IFNA(VLOOKUP(D1418,Master!$I:$K,3,FALSE),"")</f>
        <v/>
      </c>
      <c r="L1418" s="27" t="str">
        <f>IF(A1418&lt;&gt;"CFA",_xlfn.IFNA(VLOOKUP($G1418,Master!$V$2:$Z$8,5,0),""),"")</f>
        <v/>
      </c>
      <c r="P1418" s="6" t="str">
        <f t="shared" si="44"/>
        <v/>
      </c>
      <c r="Q1418" s="13">
        <f t="shared" si="45"/>
        <v>0</v>
      </c>
    </row>
    <row r="1419" spans="2:17" ht="15" customHeight="1">
      <c r="B1419" s="5" t="str">
        <f>_xlfn.IFNA(VLOOKUP(C1419,Master!$H:$I,2,FALSE),"")</f>
        <v/>
      </c>
      <c r="D1419" s="5" t="str">
        <f>_xlfn.IFNA(VLOOKUP(E1419,Master!$H:$I,2,FALSE),"")</f>
        <v/>
      </c>
      <c r="F1419" s="26" t="str">
        <f>+_xlfn.XLOOKUP(G1419,Master!$V$2:$V$8,Master!$U$2:$U$8,"")</f>
        <v/>
      </c>
      <c r="I1419" s="4" t="str">
        <f>_xlfn.IFNA(VLOOKUP(D1419,Master!$I:$K,2,FALSE),"")</f>
        <v/>
      </c>
      <c r="J1419" s="4" t="str">
        <f>_xlfn.IFNA(VLOOKUP(D1419,Master!$I:$K,3,FALSE),"")</f>
        <v/>
      </c>
      <c r="L1419" s="27" t="str">
        <f>IF(A1419&lt;&gt;"CFA",_xlfn.IFNA(VLOOKUP($G1419,Master!$V$2:$Z$8,5,0),""),"")</f>
        <v/>
      </c>
      <c r="P1419" s="6" t="str">
        <f t="shared" si="44"/>
        <v/>
      </c>
      <c r="Q1419" s="13">
        <f t="shared" si="45"/>
        <v>0</v>
      </c>
    </row>
    <row r="1420" spans="2:17" ht="15" customHeight="1">
      <c r="B1420" s="5" t="str">
        <f>_xlfn.IFNA(VLOOKUP(C1420,Master!$H:$I,2,FALSE),"")</f>
        <v/>
      </c>
      <c r="D1420" s="5" t="str">
        <f>_xlfn.IFNA(VLOOKUP(E1420,Master!$H:$I,2,FALSE),"")</f>
        <v/>
      </c>
      <c r="F1420" s="26" t="str">
        <f>+_xlfn.XLOOKUP(G1420,Master!$V$2:$V$8,Master!$U$2:$U$8,"")</f>
        <v/>
      </c>
      <c r="I1420" s="4" t="str">
        <f>_xlfn.IFNA(VLOOKUP(D1420,Master!$I:$K,2,FALSE),"")</f>
        <v/>
      </c>
      <c r="J1420" s="4" t="str">
        <f>_xlfn.IFNA(VLOOKUP(D1420,Master!$I:$K,3,FALSE),"")</f>
        <v/>
      </c>
      <c r="L1420" s="27" t="str">
        <f>IF(A1420&lt;&gt;"CFA",_xlfn.IFNA(VLOOKUP($G1420,Master!$V$2:$Z$8,5,0),""),"")</f>
        <v/>
      </c>
      <c r="P1420" s="6" t="str">
        <f t="shared" si="44"/>
        <v/>
      </c>
      <c r="Q1420" s="13">
        <f t="shared" si="45"/>
        <v>0</v>
      </c>
    </row>
    <row r="1421" spans="2:17" ht="15" customHeight="1">
      <c r="B1421" s="5" t="str">
        <f>_xlfn.IFNA(VLOOKUP(C1421,Master!$H:$I,2,FALSE),"")</f>
        <v/>
      </c>
      <c r="D1421" s="5" t="str">
        <f>_xlfn.IFNA(VLOOKUP(E1421,Master!$H:$I,2,FALSE),"")</f>
        <v/>
      </c>
      <c r="F1421" s="26" t="str">
        <f>+_xlfn.XLOOKUP(G1421,Master!$V$2:$V$8,Master!$U$2:$U$8,"")</f>
        <v/>
      </c>
      <c r="I1421" s="4" t="str">
        <f>_xlfn.IFNA(VLOOKUP(D1421,Master!$I:$K,2,FALSE),"")</f>
        <v/>
      </c>
      <c r="J1421" s="4" t="str">
        <f>_xlfn.IFNA(VLOOKUP(D1421,Master!$I:$K,3,FALSE),"")</f>
        <v/>
      </c>
      <c r="L1421" s="27" t="str">
        <f>IF(A1421&lt;&gt;"CFA",_xlfn.IFNA(VLOOKUP($G1421,Master!$V$2:$Z$8,5,0),""),"")</f>
        <v/>
      </c>
      <c r="P1421" s="6" t="str">
        <f t="shared" si="44"/>
        <v/>
      </c>
      <c r="Q1421" s="13">
        <f t="shared" si="45"/>
        <v>0</v>
      </c>
    </row>
    <row r="1422" spans="2:17" ht="15" customHeight="1">
      <c r="B1422" s="5" t="str">
        <f>_xlfn.IFNA(VLOOKUP(C1422,Master!$H:$I,2,FALSE),"")</f>
        <v/>
      </c>
      <c r="D1422" s="5" t="str">
        <f>_xlfn.IFNA(VLOOKUP(E1422,Master!$H:$I,2,FALSE),"")</f>
        <v/>
      </c>
      <c r="F1422" s="26" t="str">
        <f>+_xlfn.XLOOKUP(G1422,Master!$V$2:$V$8,Master!$U$2:$U$8,"")</f>
        <v/>
      </c>
      <c r="I1422" s="4" t="str">
        <f>_xlfn.IFNA(VLOOKUP(D1422,Master!$I:$K,2,FALSE),"")</f>
        <v/>
      </c>
      <c r="J1422" s="4" t="str">
        <f>_xlfn.IFNA(VLOOKUP(D1422,Master!$I:$K,3,FALSE),"")</f>
        <v/>
      </c>
      <c r="L1422" s="27" t="str">
        <f>IF(A1422&lt;&gt;"CFA",_xlfn.IFNA(VLOOKUP($G1422,Master!$V$2:$Z$8,5,0),""),"")</f>
        <v/>
      </c>
      <c r="P1422" s="6" t="str">
        <f t="shared" si="44"/>
        <v/>
      </c>
      <c r="Q1422" s="13">
        <f t="shared" si="45"/>
        <v>0</v>
      </c>
    </row>
    <row r="1423" spans="2:17" ht="15" customHeight="1">
      <c r="B1423" s="5" t="str">
        <f>_xlfn.IFNA(VLOOKUP(C1423,Master!$H:$I,2,FALSE),"")</f>
        <v/>
      </c>
      <c r="D1423" s="5" t="str">
        <f>_xlfn.IFNA(VLOOKUP(E1423,Master!$H:$I,2,FALSE),"")</f>
        <v/>
      </c>
      <c r="F1423" s="26" t="str">
        <f>+_xlfn.XLOOKUP(G1423,Master!$V$2:$V$8,Master!$U$2:$U$8,"")</f>
        <v/>
      </c>
      <c r="I1423" s="4" t="str">
        <f>_xlfn.IFNA(VLOOKUP(D1423,Master!$I:$K,2,FALSE),"")</f>
        <v/>
      </c>
      <c r="J1423" s="4" t="str">
        <f>_xlfn.IFNA(VLOOKUP(D1423,Master!$I:$K,3,FALSE),"")</f>
        <v/>
      </c>
      <c r="L1423" s="27" t="str">
        <f>IF(A1423&lt;&gt;"CFA",_xlfn.IFNA(VLOOKUP($G1423,Master!$V$2:$Z$8,5,0),""),"")</f>
        <v/>
      </c>
      <c r="P1423" s="6" t="str">
        <f t="shared" si="44"/>
        <v/>
      </c>
      <c r="Q1423" s="13">
        <f t="shared" si="45"/>
        <v>0</v>
      </c>
    </row>
    <row r="1424" spans="2:17" ht="15" customHeight="1">
      <c r="B1424" s="5" t="str">
        <f>_xlfn.IFNA(VLOOKUP(C1424,Master!$H:$I,2,FALSE),"")</f>
        <v/>
      </c>
      <c r="D1424" s="5" t="str">
        <f>_xlfn.IFNA(VLOOKUP(E1424,Master!$H:$I,2,FALSE),"")</f>
        <v/>
      </c>
      <c r="F1424" s="26" t="str">
        <f>+_xlfn.XLOOKUP(G1424,Master!$V$2:$V$8,Master!$U$2:$U$8,"")</f>
        <v/>
      </c>
      <c r="I1424" s="4" t="str">
        <f>_xlfn.IFNA(VLOOKUP(D1424,Master!$I:$K,2,FALSE),"")</f>
        <v/>
      </c>
      <c r="J1424" s="4" t="str">
        <f>_xlfn.IFNA(VLOOKUP(D1424,Master!$I:$K,3,FALSE),"")</f>
        <v/>
      </c>
      <c r="L1424" s="27" t="str">
        <f>IF(A1424&lt;&gt;"CFA",_xlfn.IFNA(VLOOKUP($G1424,Master!$V$2:$Z$8,5,0),""),"")</f>
        <v/>
      </c>
      <c r="P1424" s="6" t="str">
        <f t="shared" si="44"/>
        <v/>
      </c>
      <c r="Q1424" s="13">
        <f t="shared" si="45"/>
        <v>0</v>
      </c>
    </row>
    <row r="1425" spans="2:17" ht="15" customHeight="1">
      <c r="B1425" s="5" t="str">
        <f>_xlfn.IFNA(VLOOKUP(C1425,Master!$H:$I,2,FALSE),"")</f>
        <v/>
      </c>
      <c r="D1425" s="5" t="str">
        <f>_xlfn.IFNA(VLOOKUP(E1425,Master!$H:$I,2,FALSE),"")</f>
        <v/>
      </c>
      <c r="F1425" s="26" t="str">
        <f>+_xlfn.XLOOKUP(G1425,Master!$V$2:$V$8,Master!$U$2:$U$8,"")</f>
        <v/>
      </c>
      <c r="I1425" s="4" t="str">
        <f>_xlfn.IFNA(VLOOKUP(D1425,Master!$I:$K,2,FALSE),"")</f>
        <v/>
      </c>
      <c r="J1425" s="4" t="str">
        <f>_xlfn.IFNA(VLOOKUP(D1425,Master!$I:$K,3,FALSE),"")</f>
        <v/>
      </c>
      <c r="L1425" s="27" t="str">
        <f>IF(A1425&lt;&gt;"CFA",_xlfn.IFNA(VLOOKUP($G1425,Master!$V$2:$Z$8,5,0),""),"")</f>
        <v/>
      </c>
      <c r="P1425" s="6" t="str">
        <f t="shared" si="44"/>
        <v/>
      </c>
      <c r="Q1425" s="13">
        <f t="shared" si="45"/>
        <v>0</v>
      </c>
    </row>
    <row r="1426" spans="2:17" ht="15" customHeight="1">
      <c r="B1426" s="5" t="str">
        <f>_xlfn.IFNA(VLOOKUP(C1426,Master!$H:$I,2,FALSE),"")</f>
        <v/>
      </c>
      <c r="D1426" s="5" t="str">
        <f>_xlfn.IFNA(VLOOKUP(E1426,Master!$H:$I,2,FALSE),"")</f>
        <v/>
      </c>
      <c r="F1426" s="26" t="str">
        <f>+_xlfn.XLOOKUP(G1426,Master!$V$2:$V$8,Master!$U$2:$U$8,"")</f>
        <v/>
      </c>
      <c r="I1426" s="4" t="str">
        <f>_xlfn.IFNA(VLOOKUP(D1426,Master!$I:$K,2,FALSE),"")</f>
        <v/>
      </c>
      <c r="J1426" s="4" t="str">
        <f>_xlfn.IFNA(VLOOKUP(D1426,Master!$I:$K,3,FALSE),"")</f>
        <v/>
      </c>
      <c r="L1426" s="27" t="str">
        <f>IF(A1426&lt;&gt;"CFA",_xlfn.IFNA(VLOOKUP($G1426,Master!$V$2:$Z$8,5,0),""),"")</f>
        <v/>
      </c>
      <c r="P1426" s="6" t="str">
        <f t="shared" si="44"/>
        <v/>
      </c>
      <c r="Q1426" s="13">
        <f t="shared" si="45"/>
        <v>0</v>
      </c>
    </row>
    <row r="1427" spans="2:17" ht="15" customHeight="1">
      <c r="B1427" s="5" t="str">
        <f>_xlfn.IFNA(VLOOKUP(C1427,Master!$H:$I,2,FALSE),"")</f>
        <v/>
      </c>
      <c r="D1427" s="5" t="str">
        <f>_xlfn.IFNA(VLOOKUP(E1427,Master!$H:$I,2,FALSE),"")</f>
        <v/>
      </c>
      <c r="F1427" s="26" t="str">
        <f>+_xlfn.XLOOKUP(G1427,Master!$V$2:$V$8,Master!$U$2:$U$8,"")</f>
        <v/>
      </c>
      <c r="I1427" s="4" t="str">
        <f>_xlfn.IFNA(VLOOKUP(D1427,Master!$I:$K,2,FALSE),"")</f>
        <v/>
      </c>
      <c r="J1427" s="4" t="str">
        <f>_xlfn.IFNA(VLOOKUP(D1427,Master!$I:$K,3,FALSE),"")</f>
        <v/>
      </c>
      <c r="L1427" s="27" t="str">
        <f>IF(A1427&lt;&gt;"CFA",_xlfn.IFNA(VLOOKUP($G1427,Master!$V$2:$Z$8,5,0),""),"")</f>
        <v/>
      </c>
      <c r="P1427" s="6" t="str">
        <f t="shared" si="44"/>
        <v/>
      </c>
      <c r="Q1427" s="13">
        <f t="shared" si="45"/>
        <v>0</v>
      </c>
    </row>
    <row r="1428" spans="2:17" ht="15" customHeight="1">
      <c r="B1428" s="5" t="str">
        <f>_xlfn.IFNA(VLOOKUP(C1428,Master!$H:$I,2,FALSE),"")</f>
        <v/>
      </c>
      <c r="D1428" s="5" t="str">
        <f>_xlfn.IFNA(VLOOKUP(E1428,Master!$H:$I,2,FALSE),"")</f>
        <v/>
      </c>
      <c r="F1428" s="26" t="str">
        <f>+_xlfn.XLOOKUP(G1428,Master!$V$2:$V$8,Master!$U$2:$U$8,"")</f>
        <v/>
      </c>
      <c r="I1428" s="4" t="str">
        <f>_xlfn.IFNA(VLOOKUP(D1428,Master!$I:$K,2,FALSE),"")</f>
        <v/>
      </c>
      <c r="J1428" s="4" t="str">
        <f>_xlfn.IFNA(VLOOKUP(D1428,Master!$I:$K,3,FALSE),"")</f>
        <v/>
      </c>
      <c r="L1428" s="27" t="str">
        <f>IF(A1428&lt;&gt;"CFA",_xlfn.IFNA(VLOOKUP($G1428,Master!$V$2:$Z$8,5,0),""),"")</f>
        <v/>
      </c>
      <c r="P1428" s="6" t="str">
        <f t="shared" si="44"/>
        <v/>
      </c>
      <c r="Q1428" s="13">
        <f t="shared" si="45"/>
        <v>0</v>
      </c>
    </row>
    <row r="1429" spans="2:17" ht="15" customHeight="1">
      <c r="B1429" s="5" t="str">
        <f>_xlfn.IFNA(VLOOKUP(C1429,Master!$H:$I,2,FALSE),"")</f>
        <v/>
      </c>
      <c r="D1429" s="5" t="str">
        <f>_xlfn.IFNA(VLOOKUP(E1429,Master!$H:$I,2,FALSE),"")</f>
        <v/>
      </c>
      <c r="F1429" s="26" t="str">
        <f>+_xlfn.XLOOKUP(G1429,Master!$V$2:$V$8,Master!$U$2:$U$8,"")</f>
        <v/>
      </c>
      <c r="I1429" s="4" t="str">
        <f>_xlfn.IFNA(VLOOKUP(D1429,Master!$I:$K,2,FALSE),"")</f>
        <v/>
      </c>
      <c r="J1429" s="4" t="str">
        <f>_xlfn.IFNA(VLOOKUP(D1429,Master!$I:$K,3,FALSE),"")</f>
        <v/>
      </c>
      <c r="L1429" s="27" t="str">
        <f>IF(A1429&lt;&gt;"CFA",_xlfn.IFNA(VLOOKUP($G1429,Master!$V$2:$Z$8,5,0),""),"")</f>
        <v/>
      </c>
      <c r="P1429" s="6" t="str">
        <f t="shared" si="44"/>
        <v/>
      </c>
      <c r="Q1429" s="13">
        <f t="shared" si="45"/>
        <v>0</v>
      </c>
    </row>
    <row r="1430" spans="2:17" ht="15" customHeight="1">
      <c r="B1430" s="5" t="str">
        <f>_xlfn.IFNA(VLOOKUP(C1430,Master!$H:$I,2,FALSE),"")</f>
        <v/>
      </c>
      <c r="D1430" s="5" t="str">
        <f>_xlfn.IFNA(VLOOKUP(E1430,Master!$H:$I,2,FALSE),"")</f>
        <v/>
      </c>
      <c r="F1430" s="26" t="str">
        <f>+_xlfn.XLOOKUP(G1430,Master!$V$2:$V$8,Master!$U$2:$U$8,"")</f>
        <v/>
      </c>
      <c r="I1430" s="4" t="str">
        <f>_xlfn.IFNA(VLOOKUP(D1430,Master!$I:$K,2,FALSE),"")</f>
        <v/>
      </c>
      <c r="J1430" s="4" t="str">
        <f>_xlfn.IFNA(VLOOKUP(D1430,Master!$I:$K,3,FALSE),"")</f>
        <v/>
      </c>
      <c r="L1430" s="27" t="str">
        <f>IF(A1430&lt;&gt;"CFA",_xlfn.IFNA(VLOOKUP($G1430,Master!$V$2:$Z$8,5,0),""),"")</f>
        <v/>
      </c>
      <c r="P1430" s="6" t="str">
        <f t="shared" si="44"/>
        <v/>
      </c>
      <c r="Q1430" s="13">
        <f t="shared" si="45"/>
        <v>0</v>
      </c>
    </row>
    <row r="1431" spans="2:17" ht="15" customHeight="1">
      <c r="B1431" s="5" t="str">
        <f>_xlfn.IFNA(VLOOKUP(C1431,Master!$H:$I,2,FALSE),"")</f>
        <v/>
      </c>
      <c r="D1431" s="5" t="str">
        <f>_xlfn.IFNA(VLOOKUP(E1431,Master!$H:$I,2,FALSE),"")</f>
        <v/>
      </c>
      <c r="F1431" s="26" t="str">
        <f>+_xlfn.XLOOKUP(G1431,Master!$V$2:$V$8,Master!$U$2:$U$8,"")</f>
        <v/>
      </c>
      <c r="I1431" s="4" t="str">
        <f>_xlfn.IFNA(VLOOKUP(D1431,Master!$I:$K,2,FALSE),"")</f>
        <v/>
      </c>
      <c r="J1431" s="4" t="str">
        <f>_xlfn.IFNA(VLOOKUP(D1431,Master!$I:$K,3,FALSE),"")</f>
        <v/>
      </c>
      <c r="L1431" s="27" t="str">
        <f>IF(A1431&lt;&gt;"CFA",_xlfn.IFNA(VLOOKUP($G1431,Master!$V$2:$Z$8,5,0),""),"")</f>
        <v/>
      </c>
      <c r="P1431" s="6" t="str">
        <f t="shared" si="44"/>
        <v/>
      </c>
      <c r="Q1431" s="13">
        <f t="shared" si="45"/>
        <v>0</v>
      </c>
    </row>
    <row r="1432" spans="2:17" ht="15" customHeight="1">
      <c r="B1432" s="5" t="str">
        <f>_xlfn.IFNA(VLOOKUP(C1432,Master!$H:$I,2,FALSE),"")</f>
        <v/>
      </c>
      <c r="D1432" s="5" t="str">
        <f>_xlfn.IFNA(VLOOKUP(E1432,Master!$H:$I,2,FALSE),"")</f>
        <v/>
      </c>
      <c r="F1432" s="26" t="str">
        <f>+_xlfn.XLOOKUP(G1432,Master!$V$2:$V$8,Master!$U$2:$U$8,"")</f>
        <v/>
      </c>
      <c r="I1432" s="4" t="str">
        <f>_xlfn.IFNA(VLOOKUP(D1432,Master!$I:$K,2,FALSE),"")</f>
        <v/>
      </c>
      <c r="J1432" s="4" t="str">
        <f>_xlfn.IFNA(VLOOKUP(D1432,Master!$I:$K,3,FALSE),"")</f>
        <v/>
      </c>
      <c r="L1432" s="27" t="str">
        <f>IF(A1432&lt;&gt;"CFA",_xlfn.IFNA(VLOOKUP($G1432,Master!$V$2:$Z$8,5,0),""),"")</f>
        <v/>
      </c>
      <c r="P1432" s="6" t="str">
        <f t="shared" si="44"/>
        <v/>
      </c>
      <c r="Q1432" s="13">
        <f t="shared" si="45"/>
        <v>0</v>
      </c>
    </row>
    <row r="1433" spans="2:17" ht="15" customHeight="1">
      <c r="B1433" s="5" t="str">
        <f>_xlfn.IFNA(VLOOKUP(C1433,Master!$H:$I,2,FALSE),"")</f>
        <v/>
      </c>
      <c r="D1433" s="5" t="str">
        <f>_xlfn.IFNA(VLOOKUP(E1433,Master!$H:$I,2,FALSE),"")</f>
        <v/>
      </c>
      <c r="F1433" s="26" t="str">
        <f>+_xlfn.XLOOKUP(G1433,Master!$V$2:$V$8,Master!$U$2:$U$8,"")</f>
        <v/>
      </c>
      <c r="I1433" s="4" t="str">
        <f>_xlfn.IFNA(VLOOKUP(D1433,Master!$I:$K,2,FALSE),"")</f>
        <v/>
      </c>
      <c r="J1433" s="4" t="str">
        <f>_xlfn.IFNA(VLOOKUP(D1433,Master!$I:$K,3,FALSE),"")</f>
        <v/>
      </c>
      <c r="L1433" s="27" t="str">
        <f>IF(A1433&lt;&gt;"CFA",_xlfn.IFNA(VLOOKUP($G1433,Master!$V$2:$Z$8,5,0),""),"")</f>
        <v/>
      </c>
      <c r="P1433" s="6" t="str">
        <f t="shared" si="44"/>
        <v/>
      </c>
      <c r="Q1433" s="13">
        <f t="shared" si="45"/>
        <v>0</v>
      </c>
    </row>
    <row r="1434" spans="2:17" ht="15" customHeight="1">
      <c r="B1434" s="5" t="str">
        <f>_xlfn.IFNA(VLOOKUP(C1434,Master!$H:$I,2,FALSE),"")</f>
        <v/>
      </c>
      <c r="D1434" s="5" t="str">
        <f>_xlfn.IFNA(VLOOKUP(E1434,Master!$H:$I,2,FALSE),"")</f>
        <v/>
      </c>
      <c r="F1434" s="26" t="str">
        <f>+_xlfn.XLOOKUP(G1434,Master!$V$2:$V$8,Master!$U$2:$U$8,"")</f>
        <v/>
      </c>
      <c r="I1434" s="4" t="str">
        <f>_xlfn.IFNA(VLOOKUP(D1434,Master!$I:$K,2,FALSE),"")</f>
        <v/>
      </c>
      <c r="J1434" s="4" t="str">
        <f>_xlfn.IFNA(VLOOKUP(D1434,Master!$I:$K,3,FALSE),"")</f>
        <v/>
      </c>
      <c r="L1434" s="27" t="str">
        <f>IF(A1434&lt;&gt;"CFA",_xlfn.IFNA(VLOOKUP($G1434,Master!$V$2:$Z$8,5,0),""),"")</f>
        <v/>
      </c>
      <c r="P1434" s="6" t="str">
        <f t="shared" si="44"/>
        <v/>
      </c>
      <c r="Q1434" s="13">
        <f t="shared" si="45"/>
        <v>0</v>
      </c>
    </row>
    <row r="1435" spans="2:17" ht="15" customHeight="1">
      <c r="B1435" s="5" t="str">
        <f>_xlfn.IFNA(VLOOKUP(C1435,Master!$H:$I,2,FALSE),"")</f>
        <v/>
      </c>
      <c r="D1435" s="5" t="str">
        <f>_xlfn.IFNA(VLOOKUP(E1435,Master!$H:$I,2,FALSE),"")</f>
        <v/>
      </c>
      <c r="F1435" s="26" t="str">
        <f>+_xlfn.XLOOKUP(G1435,Master!$V$2:$V$8,Master!$U$2:$U$8,"")</f>
        <v/>
      </c>
      <c r="I1435" s="4" t="str">
        <f>_xlfn.IFNA(VLOOKUP(D1435,Master!$I:$K,2,FALSE),"")</f>
        <v/>
      </c>
      <c r="J1435" s="4" t="str">
        <f>_xlfn.IFNA(VLOOKUP(D1435,Master!$I:$K,3,FALSE),"")</f>
        <v/>
      </c>
      <c r="L1435" s="27" t="str">
        <f>IF(A1435&lt;&gt;"CFA",_xlfn.IFNA(VLOOKUP($G1435,Master!$V$2:$Z$8,5,0),""),"")</f>
        <v/>
      </c>
      <c r="P1435" s="6" t="str">
        <f t="shared" si="44"/>
        <v/>
      </c>
      <c r="Q1435" s="13">
        <f t="shared" si="45"/>
        <v>0</v>
      </c>
    </row>
    <row r="1436" spans="2:17" ht="15" customHeight="1">
      <c r="B1436" s="5" t="str">
        <f>_xlfn.IFNA(VLOOKUP(C1436,Master!$H:$I,2,FALSE),"")</f>
        <v/>
      </c>
      <c r="D1436" s="5" t="str">
        <f>_xlfn.IFNA(VLOOKUP(E1436,Master!$H:$I,2,FALSE),"")</f>
        <v/>
      </c>
      <c r="F1436" s="26" t="str">
        <f>+_xlfn.XLOOKUP(G1436,Master!$V$2:$V$8,Master!$U$2:$U$8,"")</f>
        <v/>
      </c>
      <c r="I1436" s="4" t="str">
        <f>_xlfn.IFNA(VLOOKUP(D1436,Master!$I:$K,2,FALSE),"")</f>
        <v/>
      </c>
      <c r="J1436" s="4" t="str">
        <f>_xlfn.IFNA(VLOOKUP(D1436,Master!$I:$K,3,FALSE),"")</f>
        <v/>
      </c>
      <c r="L1436" s="27" t="str">
        <f>IF(A1436&lt;&gt;"CFA",_xlfn.IFNA(VLOOKUP($G1436,Master!$V$2:$Z$8,5,0),""),"")</f>
        <v/>
      </c>
      <c r="P1436" s="6" t="str">
        <f t="shared" si="44"/>
        <v/>
      </c>
      <c r="Q1436" s="13">
        <f t="shared" si="45"/>
        <v>0</v>
      </c>
    </row>
    <row r="1437" spans="2:17" ht="15" customHeight="1">
      <c r="B1437" s="5" t="str">
        <f>_xlfn.IFNA(VLOOKUP(C1437,Master!$H:$I,2,FALSE),"")</f>
        <v/>
      </c>
      <c r="D1437" s="5" t="str">
        <f>_xlfn.IFNA(VLOOKUP(E1437,Master!$H:$I,2,FALSE),"")</f>
        <v/>
      </c>
      <c r="F1437" s="26" t="str">
        <f>+_xlfn.XLOOKUP(G1437,Master!$V$2:$V$8,Master!$U$2:$U$8,"")</f>
        <v/>
      </c>
      <c r="I1437" s="4" t="str">
        <f>_xlfn.IFNA(VLOOKUP(D1437,Master!$I:$K,2,FALSE),"")</f>
        <v/>
      </c>
      <c r="J1437" s="4" t="str">
        <f>_xlfn.IFNA(VLOOKUP(D1437,Master!$I:$K,3,FALSE),"")</f>
        <v/>
      </c>
      <c r="L1437" s="27" t="str">
        <f>IF(A1437&lt;&gt;"CFA",_xlfn.IFNA(VLOOKUP($G1437,Master!$V$2:$Z$8,5,0),""),"")</f>
        <v/>
      </c>
      <c r="P1437" s="6" t="str">
        <f t="shared" si="44"/>
        <v/>
      </c>
      <c r="Q1437" s="13">
        <f t="shared" si="45"/>
        <v>0</v>
      </c>
    </row>
    <row r="1438" spans="2:17" ht="15" customHeight="1">
      <c r="B1438" s="5" t="str">
        <f>_xlfn.IFNA(VLOOKUP(C1438,Master!$H:$I,2,FALSE),"")</f>
        <v/>
      </c>
      <c r="D1438" s="5" t="str">
        <f>_xlfn.IFNA(VLOOKUP(E1438,Master!$H:$I,2,FALSE),"")</f>
        <v/>
      </c>
      <c r="F1438" s="26" t="str">
        <f>+_xlfn.XLOOKUP(G1438,Master!$V$2:$V$8,Master!$U$2:$U$8,"")</f>
        <v/>
      </c>
      <c r="I1438" s="4" t="str">
        <f>_xlfn.IFNA(VLOOKUP(D1438,Master!$I:$K,2,FALSE),"")</f>
        <v/>
      </c>
      <c r="J1438" s="4" t="str">
        <f>_xlfn.IFNA(VLOOKUP(D1438,Master!$I:$K,3,FALSE),"")</f>
        <v/>
      </c>
      <c r="L1438" s="27" t="str">
        <f>IF(A1438&lt;&gt;"CFA",_xlfn.IFNA(VLOOKUP($G1438,Master!$V$2:$Z$8,5,0),""),"")</f>
        <v/>
      </c>
      <c r="P1438" s="6" t="str">
        <f t="shared" si="44"/>
        <v/>
      </c>
      <c r="Q1438" s="13">
        <f t="shared" si="45"/>
        <v>0</v>
      </c>
    </row>
    <row r="1439" spans="2:17" ht="15" customHeight="1">
      <c r="B1439" s="5" t="str">
        <f>_xlfn.IFNA(VLOOKUP(C1439,Master!$H:$I,2,FALSE),"")</f>
        <v/>
      </c>
      <c r="D1439" s="5" t="str">
        <f>_xlfn.IFNA(VLOOKUP(E1439,Master!$H:$I,2,FALSE),"")</f>
        <v/>
      </c>
      <c r="F1439" s="26" t="str">
        <f>+_xlfn.XLOOKUP(G1439,Master!$V$2:$V$8,Master!$U$2:$U$8,"")</f>
        <v/>
      </c>
      <c r="I1439" s="4" t="str">
        <f>_xlfn.IFNA(VLOOKUP(D1439,Master!$I:$K,2,FALSE),"")</f>
        <v/>
      </c>
      <c r="J1439" s="4" t="str">
        <f>_xlfn.IFNA(VLOOKUP(D1439,Master!$I:$K,3,FALSE),"")</f>
        <v/>
      </c>
      <c r="L1439" s="27" t="str">
        <f>IF(A1439&lt;&gt;"CFA",_xlfn.IFNA(VLOOKUP($G1439,Master!$V$2:$Z$8,5,0),""),"")</f>
        <v/>
      </c>
      <c r="P1439" s="6" t="str">
        <f t="shared" si="44"/>
        <v/>
      </c>
      <c r="Q1439" s="13">
        <f t="shared" si="45"/>
        <v>0</v>
      </c>
    </row>
    <row r="1440" spans="2:17" ht="15" customHeight="1">
      <c r="B1440" s="5" t="str">
        <f>_xlfn.IFNA(VLOOKUP(C1440,Master!$H:$I,2,FALSE),"")</f>
        <v/>
      </c>
      <c r="D1440" s="5" t="str">
        <f>_xlfn.IFNA(VLOOKUP(E1440,Master!$H:$I,2,FALSE),"")</f>
        <v/>
      </c>
      <c r="F1440" s="26" t="str">
        <f>+_xlfn.XLOOKUP(G1440,Master!$V$2:$V$8,Master!$U$2:$U$8,"")</f>
        <v/>
      </c>
      <c r="I1440" s="4" t="str">
        <f>_xlfn.IFNA(VLOOKUP(D1440,Master!$I:$K,2,FALSE),"")</f>
        <v/>
      </c>
      <c r="J1440" s="4" t="str">
        <f>_xlfn.IFNA(VLOOKUP(D1440,Master!$I:$K,3,FALSE),"")</f>
        <v/>
      </c>
      <c r="L1440" s="27" t="str">
        <f>IF(A1440&lt;&gt;"CFA",_xlfn.IFNA(VLOOKUP($G1440,Master!$V$2:$Z$8,5,0),""),"")</f>
        <v/>
      </c>
      <c r="P1440" s="6" t="str">
        <f t="shared" si="44"/>
        <v/>
      </c>
      <c r="Q1440" s="13">
        <f t="shared" si="45"/>
        <v>0</v>
      </c>
    </row>
    <row r="1441" spans="2:17" ht="15" customHeight="1">
      <c r="B1441" s="5" t="str">
        <f>_xlfn.IFNA(VLOOKUP(C1441,Master!$H:$I,2,FALSE),"")</f>
        <v/>
      </c>
      <c r="D1441" s="5" t="str">
        <f>_xlfn.IFNA(VLOOKUP(E1441,Master!$H:$I,2,FALSE),"")</f>
        <v/>
      </c>
      <c r="F1441" s="26" t="str">
        <f>+_xlfn.XLOOKUP(G1441,Master!$V$2:$V$8,Master!$U$2:$U$8,"")</f>
        <v/>
      </c>
      <c r="I1441" s="4" t="str">
        <f>_xlfn.IFNA(VLOOKUP(D1441,Master!$I:$K,2,FALSE),"")</f>
        <v/>
      </c>
      <c r="J1441" s="4" t="str">
        <f>_xlfn.IFNA(VLOOKUP(D1441,Master!$I:$K,3,FALSE),"")</f>
        <v/>
      </c>
      <c r="L1441" s="27" t="str">
        <f>IF(A1441&lt;&gt;"CFA",_xlfn.IFNA(VLOOKUP($G1441,Master!$V$2:$Z$8,5,0),""),"")</f>
        <v/>
      </c>
      <c r="P1441" s="6" t="str">
        <f t="shared" si="44"/>
        <v/>
      </c>
      <c r="Q1441" s="13">
        <f t="shared" si="45"/>
        <v>0</v>
      </c>
    </row>
    <row r="1442" spans="2:17" ht="15" customHeight="1">
      <c r="B1442" s="5" t="str">
        <f>_xlfn.IFNA(VLOOKUP(C1442,Master!$H:$I,2,FALSE),"")</f>
        <v/>
      </c>
      <c r="D1442" s="5" t="str">
        <f>_xlfn.IFNA(VLOOKUP(E1442,Master!$H:$I,2,FALSE),"")</f>
        <v/>
      </c>
      <c r="F1442" s="26" t="str">
        <f>+_xlfn.XLOOKUP(G1442,Master!$V$2:$V$8,Master!$U$2:$U$8,"")</f>
        <v/>
      </c>
      <c r="I1442" s="4" t="str">
        <f>_xlfn.IFNA(VLOOKUP(D1442,Master!$I:$K,2,FALSE),"")</f>
        <v/>
      </c>
      <c r="J1442" s="4" t="str">
        <f>_xlfn.IFNA(VLOOKUP(D1442,Master!$I:$K,3,FALSE),"")</f>
        <v/>
      </c>
      <c r="L1442" s="27" t="str">
        <f>IF(A1442&lt;&gt;"CFA",_xlfn.IFNA(VLOOKUP($G1442,Master!$V$2:$Z$8,5,0),""),"")</f>
        <v/>
      </c>
      <c r="P1442" s="6" t="str">
        <f t="shared" si="44"/>
        <v/>
      </c>
      <c r="Q1442" s="13">
        <f t="shared" si="45"/>
        <v>0</v>
      </c>
    </row>
    <row r="1443" spans="2:17" ht="15" customHeight="1">
      <c r="B1443" s="5" t="str">
        <f>_xlfn.IFNA(VLOOKUP(C1443,Master!$H:$I,2,FALSE),"")</f>
        <v/>
      </c>
      <c r="D1443" s="5" t="str">
        <f>_xlfn.IFNA(VLOOKUP(E1443,Master!$H:$I,2,FALSE),"")</f>
        <v/>
      </c>
      <c r="F1443" s="26" t="str">
        <f>+_xlfn.XLOOKUP(G1443,Master!$V$2:$V$8,Master!$U$2:$U$8,"")</f>
        <v/>
      </c>
      <c r="I1443" s="4" t="str">
        <f>_xlfn.IFNA(VLOOKUP(D1443,Master!$I:$K,2,FALSE),"")</f>
        <v/>
      </c>
      <c r="J1443" s="4" t="str">
        <f>_xlfn.IFNA(VLOOKUP(D1443,Master!$I:$K,3,FALSE),"")</f>
        <v/>
      </c>
      <c r="L1443" s="27" t="str">
        <f>IF(A1443&lt;&gt;"CFA",_xlfn.IFNA(VLOOKUP($G1443,Master!$V$2:$Z$8,5,0),""),"")</f>
        <v/>
      </c>
      <c r="P1443" s="6" t="str">
        <f t="shared" si="44"/>
        <v/>
      </c>
      <c r="Q1443" s="13">
        <f t="shared" si="45"/>
        <v>0</v>
      </c>
    </row>
    <row r="1444" spans="2:17" ht="15" customHeight="1">
      <c r="B1444" s="5" t="str">
        <f>_xlfn.IFNA(VLOOKUP(C1444,Master!$H:$I,2,FALSE),"")</f>
        <v/>
      </c>
      <c r="D1444" s="5" t="str">
        <f>_xlfn.IFNA(VLOOKUP(E1444,Master!$H:$I,2,FALSE),"")</f>
        <v/>
      </c>
      <c r="F1444" s="26" t="str">
        <f>+_xlfn.XLOOKUP(G1444,Master!$V$2:$V$8,Master!$U$2:$U$8,"")</f>
        <v/>
      </c>
      <c r="I1444" s="4" t="str">
        <f>_xlfn.IFNA(VLOOKUP(D1444,Master!$I:$K,2,FALSE),"")</f>
        <v/>
      </c>
      <c r="J1444" s="4" t="str">
        <f>_xlfn.IFNA(VLOOKUP(D1444,Master!$I:$K,3,FALSE),"")</f>
        <v/>
      </c>
      <c r="L1444" s="27" t="str">
        <f>IF(A1444&lt;&gt;"CFA",_xlfn.IFNA(VLOOKUP($G1444,Master!$V$2:$Z$8,5,0),""),"")</f>
        <v/>
      </c>
      <c r="P1444" s="6" t="str">
        <f t="shared" si="44"/>
        <v/>
      </c>
      <c r="Q1444" s="13">
        <f t="shared" si="45"/>
        <v>0</v>
      </c>
    </row>
    <row r="1445" spans="2:17" ht="15" customHeight="1">
      <c r="B1445" s="5" t="str">
        <f>_xlfn.IFNA(VLOOKUP(C1445,Master!$H:$I,2,FALSE),"")</f>
        <v/>
      </c>
      <c r="D1445" s="5" t="str">
        <f>_xlfn.IFNA(VLOOKUP(E1445,Master!$H:$I,2,FALSE),"")</f>
        <v/>
      </c>
      <c r="F1445" s="26" t="str">
        <f>+_xlfn.XLOOKUP(G1445,Master!$V$2:$V$8,Master!$U$2:$U$8,"")</f>
        <v/>
      </c>
      <c r="I1445" s="4" t="str">
        <f>_xlfn.IFNA(VLOOKUP(D1445,Master!$I:$K,2,FALSE),"")</f>
        <v/>
      </c>
      <c r="J1445" s="4" t="str">
        <f>_xlfn.IFNA(VLOOKUP(D1445,Master!$I:$K,3,FALSE),"")</f>
        <v/>
      </c>
      <c r="L1445" s="27" t="str">
        <f>IF(A1445&lt;&gt;"CFA",_xlfn.IFNA(VLOOKUP($G1445,Master!$V$2:$Z$8,5,0),""),"")</f>
        <v/>
      </c>
      <c r="P1445" s="6" t="str">
        <f t="shared" si="44"/>
        <v/>
      </c>
      <c r="Q1445" s="13">
        <f t="shared" si="45"/>
        <v>0</v>
      </c>
    </row>
    <row r="1446" spans="2:17" ht="15" customHeight="1">
      <c r="B1446" s="5" t="str">
        <f>_xlfn.IFNA(VLOOKUP(C1446,Master!$H:$I,2,FALSE),"")</f>
        <v/>
      </c>
      <c r="D1446" s="5" t="str">
        <f>_xlfn.IFNA(VLOOKUP(E1446,Master!$H:$I,2,FALSE),"")</f>
        <v/>
      </c>
      <c r="F1446" s="26" t="str">
        <f>+_xlfn.XLOOKUP(G1446,Master!$V$2:$V$8,Master!$U$2:$U$8,"")</f>
        <v/>
      </c>
      <c r="I1446" s="4" t="str">
        <f>_xlfn.IFNA(VLOOKUP(D1446,Master!$I:$K,2,FALSE),"")</f>
        <v/>
      </c>
      <c r="J1446" s="4" t="str">
        <f>_xlfn.IFNA(VLOOKUP(D1446,Master!$I:$K,3,FALSE),"")</f>
        <v/>
      </c>
      <c r="L1446" s="27" t="str">
        <f>IF(A1446&lt;&gt;"CFA",_xlfn.IFNA(VLOOKUP($G1446,Master!$V$2:$Z$8,5,0),""),"")</f>
        <v/>
      </c>
      <c r="P1446" s="6" t="str">
        <f t="shared" si="44"/>
        <v/>
      </c>
      <c r="Q1446" s="13">
        <f t="shared" si="45"/>
        <v>0</v>
      </c>
    </row>
    <row r="1447" spans="2:17" ht="15" customHeight="1">
      <c r="B1447" s="5" t="str">
        <f>_xlfn.IFNA(VLOOKUP(C1447,Master!$H:$I,2,FALSE),"")</f>
        <v/>
      </c>
      <c r="D1447" s="5" t="str">
        <f>_xlfn.IFNA(VLOOKUP(E1447,Master!$H:$I,2,FALSE),"")</f>
        <v/>
      </c>
      <c r="F1447" s="26" t="str">
        <f>+_xlfn.XLOOKUP(G1447,Master!$V$2:$V$8,Master!$U$2:$U$8,"")</f>
        <v/>
      </c>
      <c r="I1447" s="4" t="str">
        <f>_xlfn.IFNA(VLOOKUP(D1447,Master!$I:$K,2,FALSE),"")</f>
        <v/>
      </c>
      <c r="J1447" s="4" t="str">
        <f>_xlfn.IFNA(VLOOKUP(D1447,Master!$I:$K,3,FALSE),"")</f>
        <v/>
      </c>
      <c r="L1447" s="27" t="str">
        <f>IF(A1447&lt;&gt;"CFA",_xlfn.IFNA(VLOOKUP($G1447,Master!$V$2:$Z$8,5,0),""),"")</f>
        <v/>
      </c>
      <c r="P1447" s="6" t="str">
        <f t="shared" si="44"/>
        <v/>
      </c>
      <c r="Q1447" s="13">
        <f t="shared" si="45"/>
        <v>0</v>
      </c>
    </row>
    <row r="1448" spans="2:17" ht="15" customHeight="1">
      <c r="B1448" s="5" t="str">
        <f>_xlfn.IFNA(VLOOKUP(C1448,Master!$H:$I,2,FALSE),"")</f>
        <v/>
      </c>
      <c r="D1448" s="5" t="str">
        <f>_xlfn.IFNA(VLOOKUP(E1448,Master!$H:$I,2,FALSE),"")</f>
        <v/>
      </c>
      <c r="F1448" s="26" t="str">
        <f>+_xlfn.XLOOKUP(G1448,Master!$V$2:$V$8,Master!$U$2:$U$8,"")</f>
        <v/>
      </c>
      <c r="I1448" s="4" t="str">
        <f>_xlfn.IFNA(VLOOKUP(D1448,Master!$I:$K,2,FALSE),"")</f>
        <v/>
      </c>
      <c r="J1448" s="4" t="str">
        <f>_xlfn.IFNA(VLOOKUP(D1448,Master!$I:$K,3,FALSE),"")</f>
        <v/>
      </c>
      <c r="L1448" s="27" t="str">
        <f>IF(A1448&lt;&gt;"CFA",_xlfn.IFNA(VLOOKUP($G1448,Master!$V$2:$Z$8,5,0),""),"")</f>
        <v/>
      </c>
      <c r="P1448" s="6" t="str">
        <f t="shared" si="44"/>
        <v/>
      </c>
      <c r="Q1448" s="13">
        <f t="shared" si="45"/>
        <v>0</v>
      </c>
    </row>
    <row r="1449" spans="2:17" ht="15" customHeight="1">
      <c r="B1449" s="5" t="str">
        <f>_xlfn.IFNA(VLOOKUP(C1449,Master!$H:$I,2,FALSE),"")</f>
        <v/>
      </c>
      <c r="D1449" s="5" t="str">
        <f>_xlfn.IFNA(VLOOKUP(E1449,Master!$H:$I,2,FALSE),"")</f>
        <v/>
      </c>
      <c r="F1449" s="26" t="str">
        <f>+_xlfn.XLOOKUP(G1449,Master!$V$2:$V$8,Master!$U$2:$U$8,"")</f>
        <v/>
      </c>
      <c r="I1449" s="4" t="str">
        <f>_xlfn.IFNA(VLOOKUP(D1449,Master!$I:$K,2,FALSE),"")</f>
        <v/>
      </c>
      <c r="J1449" s="4" t="str">
        <f>_xlfn.IFNA(VLOOKUP(D1449,Master!$I:$K,3,FALSE),"")</f>
        <v/>
      </c>
      <c r="L1449" s="27" t="str">
        <f>IF(A1449&lt;&gt;"CFA",_xlfn.IFNA(VLOOKUP($G1449,Master!$V$2:$Z$8,5,0),""),"")</f>
        <v/>
      </c>
      <c r="P1449" s="6" t="str">
        <f t="shared" si="44"/>
        <v/>
      </c>
      <c r="Q1449" s="13">
        <f t="shared" si="45"/>
        <v>0</v>
      </c>
    </row>
    <row r="1450" spans="2:17" ht="15" customHeight="1">
      <c r="B1450" s="5" t="str">
        <f>_xlfn.IFNA(VLOOKUP(C1450,Master!$H:$I,2,FALSE),"")</f>
        <v/>
      </c>
      <c r="D1450" s="5" t="str">
        <f>_xlfn.IFNA(VLOOKUP(E1450,Master!$H:$I,2,FALSE),"")</f>
        <v/>
      </c>
      <c r="F1450" s="26" t="str">
        <f>+_xlfn.XLOOKUP(G1450,Master!$V$2:$V$8,Master!$U$2:$U$8,"")</f>
        <v/>
      </c>
      <c r="I1450" s="4" t="str">
        <f>_xlfn.IFNA(VLOOKUP(D1450,Master!$I:$K,2,FALSE),"")</f>
        <v/>
      </c>
      <c r="J1450" s="4" t="str">
        <f>_xlfn.IFNA(VLOOKUP(D1450,Master!$I:$K,3,FALSE),"")</f>
        <v/>
      </c>
      <c r="L1450" s="27" t="str">
        <f>IF(A1450&lt;&gt;"CFA",_xlfn.IFNA(VLOOKUP($G1450,Master!$V$2:$Z$8,5,0),""),"")</f>
        <v/>
      </c>
      <c r="P1450" s="6" t="str">
        <f t="shared" si="44"/>
        <v/>
      </c>
      <c r="Q1450" s="13">
        <f t="shared" si="45"/>
        <v>0</v>
      </c>
    </row>
    <row r="1451" spans="2:17" ht="15" customHeight="1">
      <c r="B1451" s="5" t="str">
        <f>_xlfn.IFNA(VLOOKUP(C1451,Master!$H:$I,2,FALSE),"")</f>
        <v/>
      </c>
      <c r="D1451" s="5" t="str">
        <f>_xlfn.IFNA(VLOOKUP(E1451,Master!$H:$I,2,FALSE),"")</f>
        <v/>
      </c>
      <c r="F1451" s="26" t="str">
        <f>+_xlfn.XLOOKUP(G1451,Master!$V$2:$V$8,Master!$U$2:$U$8,"")</f>
        <v/>
      </c>
      <c r="I1451" s="4" t="str">
        <f>_xlfn.IFNA(VLOOKUP(D1451,Master!$I:$K,2,FALSE),"")</f>
        <v/>
      </c>
      <c r="J1451" s="4" t="str">
        <f>_xlfn.IFNA(VLOOKUP(D1451,Master!$I:$K,3,FALSE),"")</f>
        <v/>
      </c>
      <c r="L1451" s="27" t="str">
        <f>IF(A1451&lt;&gt;"CFA",_xlfn.IFNA(VLOOKUP($G1451,Master!$V$2:$Z$8,5,0),""),"")</f>
        <v/>
      </c>
      <c r="P1451" s="6" t="str">
        <f t="shared" si="44"/>
        <v/>
      </c>
      <c r="Q1451" s="13">
        <f t="shared" si="45"/>
        <v>0</v>
      </c>
    </row>
    <row r="1452" spans="2:17" ht="15" customHeight="1">
      <c r="B1452" s="5" t="str">
        <f>_xlfn.IFNA(VLOOKUP(C1452,Master!$H:$I,2,FALSE),"")</f>
        <v/>
      </c>
      <c r="D1452" s="5" t="str">
        <f>_xlfn.IFNA(VLOOKUP(E1452,Master!$H:$I,2,FALSE),"")</f>
        <v/>
      </c>
      <c r="F1452" s="26" t="str">
        <f>+_xlfn.XLOOKUP(G1452,Master!$V$2:$V$8,Master!$U$2:$U$8,"")</f>
        <v/>
      </c>
      <c r="I1452" s="4" t="str">
        <f>_xlfn.IFNA(VLOOKUP(D1452,Master!$I:$K,2,FALSE),"")</f>
        <v/>
      </c>
      <c r="J1452" s="4" t="str">
        <f>_xlfn.IFNA(VLOOKUP(D1452,Master!$I:$K,3,FALSE),"")</f>
        <v/>
      </c>
      <c r="L1452" s="27" t="str">
        <f>IF(A1452&lt;&gt;"CFA",_xlfn.IFNA(VLOOKUP($G1452,Master!$V$2:$Z$8,5,0),""),"")</f>
        <v/>
      </c>
      <c r="P1452" s="6" t="str">
        <f t="shared" si="44"/>
        <v/>
      </c>
      <c r="Q1452" s="13">
        <f t="shared" si="45"/>
        <v>0</v>
      </c>
    </row>
    <row r="1453" spans="2:17" ht="15" customHeight="1">
      <c r="B1453" s="5" t="str">
        <f>_xlfn.IFNA(VLOOKUP(C1453,Master!$H:$I,2,FALSE),"")</f>
        <v/>
      </c>
      <c r="D1453" s="5" t="str">
        <f>_xlfn.IFNA(VLOOKUP(E1453,Master!$H:$I,2,FALSE),"")</f>
        <v/>
      </c>
      <c r="F1453" s="26" t="str">
        <f>+_xlfn.XLOOKUP(G1453,Master!$V$2:$V$8,Master!$U$2:$U$8,"")</f>
        <v/>
      </c>
      <c r="I1453" s="4" t="str">
        <f>_xlfn.IFNA(VLOOKUP(D1453,Master!$I:$K,2,FALSE),"")</f>
        <v/>
      </c>
      <c r="J1453" s="4" t="str">
        <f>_xlfn.IFNA(VLOOKUP(D1453,Master!$I:$K,3,FALSE),"")</f>
        <v/>
      </c>
      <c r="L1453" s="27" t="str">
        <f>IF(A1453&lt;&gt;"CFA",_xlfn.IFNA(VLOOKUP($G1453,Master!$V$2:$Z$8,5,0),""),"")</f>
        <v/>
      </c>
      <c r="P1453" s="6" t="str">
        <f t="shared" si="44"/>
        <v/>
      </c>
      <c r="Q1453" s="13">
        <f t="shared" si="45"/>
        <v>0</v>
      </c>
    </row>
    <row r="1454" spans="2:17" ht="15" customHeight="1">
      <c r="B1454" s="5" t="str">
        <f>_xlfn.IFNA(VLOOKUP(C1454,Master!$H:$I,2,FALSE),"")</f>
        <v/>
      </c>
      <c r="D1454" s="5" t="str">
        <f>_xlfn.IFNA(VLOOKUP(E1454,Master!$H:$I,2,FALSE),"")</f>
        <v/>
      </c>
      <c r="F1454" s="26" t="str">
        <f>+_xlfn.XLOOKUP(G1454,Master!$V$2:$V$8,Master!$U$2:$U$8,"")</f>
        <v/>
      </c>
      <c r="I1454" s="4" t="str">
        <f>_xlfn.IFNA(VLOOKUP(D1454,Master!$I:$K,2,FALSE),"")</f>
        <v/>
      </c>
      <c r="J1454" s="4" t="str">
        <f>_xlfn.IFNA(VLOOKUP(D1454,Master!$I:$K,3,FALSE),"")</f>
        <v/>
      </c>
      <c r="L1454" s="27" t="str">
        <f>IF(A1454&lt;&gt;"CFA",_xlfn.IFNA(VLOOKUP($G1454,Master!$V$2:$Z$8,5,0),""),"")</f>
        <v/>
      </c>
      <c r="P1454" s="6" t="str">
        <f t="shared" si="44"/>
        <v/>
      </c>
      <c r="Q1454" s="13">
        <f t="shared" si="45"/>
        <v>0</v>
      </c>
    </row>
    <row r="1455" spans="2:17" ht="15" customHeight="1">
      <c r="B1455" s="5" t="str">
        <f>_xlfn.IFNA(VLOOKUP(C1455,Master!$H:$I,2,FALSE),"")</f>
        <v/>
      </c>
      <c r="D1455" s="5" t="str">
        <f>_xlfn.IFNA(VLOOKUP(E1455,Master!$H:$I,2,FALSE),"")</f>
        <v/>
      </c>
      <c r="F1455" s="26" t="str">
        <f>+_xlfn.XLOOKUP(G1455,Master!$V$2:$V$8,Master!$U$2:$U$8,"")</f>
        <v/>
      </c>
      <c r="I1455" s="4" t="str">
        <f>_xlfn.IFNA(VLOOKUP(D1455,Master!$I:$K,2,FALSE),"")</f>
        <v/>
      </c>
      <c r="J1455" s="4" t="str">
        <f>_xlfn.IFNA(VLOOKUP(D1455,Master!$I:$K,3,FALSE),"")</f>
        <v/>
      </c>
      <c r="L1455" s="27" t="str">
        <f>IF(A1455&lt;&gt;"CFA",_xlfn.IFNA(VLOOKUP($G1455,Master!$V$2:$Z$8,5,0),""),"")</f>
        <v/>
      </c>
      <c r="P1455" s="6" t="str">
        <f t="shared" si="44"/>
        <v/>
      </c>
      <c r="Q1455" s="13">
        <f t="shared" si="45"/>
        <v>0</v>
      </c>
    </row>
    <row r="1456" spans="2:17" ht="15" customHeight="1">
      <c r="B1456" s="5" t="str">
        <f>_xlfn.IFNA(VLOOKUP(C1456,Master!$H:$I,2,FALSE),"")</f>
        <v/>
      </c>
      <c r="D1456" s="5" t="str">
        <f>_xlfn.IFNA(VLOOKUP(E1456,Master!$H:$I,2,FALSE),"")</f>
        <v/>
      </c>
      <c r="F1456" s="26" t="str">
        <f>+_xlfn.XLOOKUP(G1456,Master!$V$2:$V$8,Master!$U$2:$U$8,"")</f>
        <v/>
      </c>
      <c r="I1456" s="4" t="str">
        <f>_xlfn.IFNA(VLOOKUP(D1456,Master!$I:$K,2,FALSE),"")</f>
        <v/>
      </c>
      <c r="J1456" s="4" t="str">
        <f>_xlfn.IFNA(VLOOKUP(D1456,Master!$I:$K,3,FALSE),"")</f>
        <v/>
      </c>
      <c r="L1456" s="27" t="str">
        <f>IF(A1456&lt;&gt;"CFA",_xlfn.IFNA(VLOOKUP($G1456,Master!$V$2:$Z$8,5,0),""),"")</f>
        <v/>
      </c>
      <c r="P1456" s="6" t="str">
        <f t="shared" si="44"/>
        <v/>
      </c>
      <c r="Q1456" s="13">
        <f t="shared" si="45"/>
        <v>0</v>
      </c>
    </row>
    <row r="1457" spans="2:17" ht="15" customHeight="1">
      <c r="B1457" s="5" t="str">
        <f>_xlfn.IFNA(VLOOKUP(C1457,Master!$H:$I,2,FALSE),"")</f>
        <v/>
      </c>
      <c r="D1457" s="5" t="str">
        <f>_xlfn.IFNA(VLOOKUP(E1457,Master!$H:$I,2,FALSE),"")</f>
        <v/>
      </c>
      <c r="F1457" s="26" t="str">
        <f>+_xlfn.XLOOKUP(G1457,Master!$V$2:$V$8,Master!$U$2:$U$8,"")</f>
        <v/>
      </c>
      <c r="I1457" s="4" t="str">
        <f>_xlfn.IFNA(VLOOKUP(D1457,Master!$I:$K,2,FALSE),"")</f>
        <v/>
      </c>
      <c r="J1457" s="4" t="str">
        <f>_xlfn.IFNA(VLOOKUP(D1457,Master!$I:$K,3,FALSE),"")</f>
        <v/>
      </c>
      <c r="L1457" s="27" t="str">
        <f>IF(A1457&lt;&gt;"CFA",_xlfn.IFNA(VLOOKUP($G1457,Master!$V$2:$Z$8,5,0),""),"")</f>
        <v/>
      </c>
      <c r="P1457" s="6" t="str">
        <f t="shared" si="44"/>
        <v/>
      </c>
      <c r="Q1457" s="13">
        <f t="shared" si="45"/>
        <v>0</v>
      </c>
    </row>
    <row r="1458" spans="2:17" ht="15" customHeight="1">
      <c r="B1458" s="5" t="str">
        <f>_xlfn.IFNA(VLOOKUP(C1458,Master!$H:$I,2,FALSE),"")</f>
        <v/>
      </c>
      <c r="D1458" s="5" t="str">
        <f>_xlfn.IFNA(VLOOKUP(E1458,Master!$H:$I,2,FALSE),"")</f>
        <v/>
      </c>
      <c r="F1458" s="26" t="str">
        <f>+_xlfn.XLOOKUP(G1458,Master!$V$2:$V$8,Master!$U$2:$U$8,"")</f>
        <v/>
      </c>
      <c r="I1458" s="4" t="str">
        <f>_xlfn.IFNA(VLOOKUP(D1458,Master!$I:$K,2,FALSE),"")</f>
        <v/>
      </c>
      <c r="J1458" s="4" t="str">
        <f>_xlfn.IFNA(VLOOKUP(D1458,Master!$I:$K,3,FALSE),"")</f>
        <v/>
      </c>
      <c r="L1458" s="27" t="str">
        <f>IF(A1458&lt;&gt;"CFA",_xlfn.IFNA(VLOOKUP($G1458,Master!$V$2:$Z$8,5,0),""),"")</f>
        <v/>
      </c>
      <c r="P1458" s="6" t="str">
        <f t="shared" si="44"/>
        <v/>
      </c>
      <c r="Q1458" s="13">
        <f t="shared" si="45"/>
        <v>0</v>
      </c>
    </row>
    <row r="1459" spans="2:17" ht="15" customHeight="1">
      <c r="B1459" s="5" t="str">
        <f>_xlfn.IFNA(VLOOKUP(C1459,Master!$H:$I,2,FALSE),"")</f>
        <v/>
      </c>
      <c r="D1459" s="5" t="str">
        <f>_xlfn.IFNA(VLOOKUP(E1459,Master!$H:$I,2,FALSE),"")</f>
        <v/>
      </c>
      <c r="F1459" s="26" t="str">
        <f>+_xlfn.XLOOKUP(G1459,Master!$V$2:$V$8,Master!$U$2:$U$8,"")</f>
        <v/>
      </c>
      <c r="I1459" s="4" t="str">
        <f>_xlfn.IFNA(VLOOKUP(D1459,Master!$I:$K,2,FALSE),"")</f>
        <v/>
      </c>
      <c r="J1459" s="4" t="str">
        <f>_xlfn.IFNA(VLOOKUP(D1459,Master!$I:$K,3,FALSE),"")</f>
        <v/>
      </c>
      <c r="L1459" s="27" t="str">
        <f>IF(A1459&lt;&gt;"CFA",_xlfn.IFNA(VLOOKUP($G1459,Master!$V$2:$Z$8,5,0),""),"")</f>
        <v/>
      </c>
      <c r="P1459" s="6" t="str">
        <f t="shared" si="44"/>
        <v/>
      </c>
      <c r="Q1459" s="13">
        <f t="shared" si="45"/>
        <v>0</v>
      </c>
    </row>
    <row r="1460" spans="2:17" ht="15" customHeight="1">
      <c r="B1460" s="5" t="str">
        <f>_xlfn.IFNA(VLOOKUP(C1460,Master!$H:$I,2,FALSE),"")</f>
        <v/>
      </c>
      <c r="D1460" s="5" t="str">
        <f>_xlfn.IFNA(VLOOKUP(E1460,Master!$H:$I,2,FALSE),"")</f>
        <v/>
      </c>
      <c r="F1460" s="26" t="str">
        <f>+_xlfn.XLOOKUP(G1460,Master!$V$2:$V$8,Master!$U$2:$U$8,"")</f>
        <v/>
      </c>
      <c r="I1460" s="4" t="str">
        <f>_xlfn.IFNA(VLOOKUP(D1460,Master!$I:$K,2,FALSE),"")</f>
        <v/>
      </c>
      <c r="J1460" s="4" t="str">
        <f>_xlfn.IFNA(VLOOKUP(D1460,Master!$I:$K,3,FALSE),"")</f>
        <v/>
      </c>
      <c r="L1460" s="27" t="str">
        <f>IF(A1460&lt;&gt;"CFA",_xlfn.IFNA(VLOOKUP($G1460,Master!$V$2:$Z$8,5,0),""),"")</f>
        <v/>
      </c>
      <c r="P1460" s="6" t="str">
        <f t="shared" si="44"/>
        <v/>
      </c>
      <c r="Q1460" s="13">
        <f t="shared" si="45"/>
        <v>0</v>
      </c>
    </row>
    <row r="1461" spans="2:17" ht="15" customHeight="1">
      <c r="B1461" s="5" t="str">
        <f>_xlfn.IFNA(VLOOKUP(C1461,Master!$H:$I,2,FALSE),"")</f>
        <v/>
      </c>
      <c r="D1461" s="5" t="str">
        <f>_xlfn.IFNA(VLOOKUP(E1461,Master!$H:$I,2,FALSE),"")</f>
        <v/>
      </c>
      <c r="F1461" s="26" t="str">
        <f>+_xlfn.XLOOKUP(G1461,Master!$V$2:$V$8,Master!$U$2:$U$8,"")</f>
        <v/>
      </c>
      <c r="I1461" s="4" t="str">
        <f>_xlfn.IFNA(VLOOKUP(D1461,Master!$I:$K,2,FALSE),"")</f>
        <v/>
      </c>
      <c r="J1461" s="4" t="str">
        <f>_xlfn.IFNA(VLOOKUP(D1461,Master!$I:$K,3,FALSE),"")</f>
        <v/>
      </c>
      <c r="L1461" s="27" t="str">
        <f>IF(A1461&lt;&gt;"CFA",_xlfn.IFNA(VLOOKUP($G1461,Master!$V$2:$Z$8,5,0),""),"")</f>
        <v/>
      </c>
      <c r="P1461" s="6" t="str">
        <f t="shared" si="44"/>
        <v/>
      </c>
      <c r="Q1461" s="13">
        <f t="shared" si="45"/>
        <v>0</v>
      </c>
    </row>
    <row r="1462" spans="2:17" ht="15" customHeight="1">
      <c r="B1462" s="5" t="str">
        <f>_xlfn.IFNA(VLOOKUP(C1462,Master!$H:$I,2,FALSE),"")</f>
        <v/>
      </c>
      <c r="D1462" s="5" t="str">
        <f>_xlfn.IFNA(VLOOKUP(E1462,Master!$H:$I,2,FALSE),"")</f>
        <v/>
      </c>
      <c r="F1462" s="26" t="str">
        <f>+_xlfn.XLOOKUP(G1462,Master!$V$2:$V$8,Master!$U$2:$U$8,"")</f>
        <v/>
      </c>
      <c r="I1462" s="4" t="str">
        <f>_xlfn.IFNA(VLOOKUP(D1462,Master!$I:$K,2,FALSE),"")</f>
        <v/>
      </c>
      <c r="J1462" s="4" t="str">
        <f>_xlfn.IFNA(VLOOKUP(D1462,Master!$I:$K,3,FALSE),"")</f>
        <v/>
      </c>
      <c r="L1462" s="27" t="str">
        <f>IF(A1462&lt;&gt;"CFA",_xlfn.IFNA(VLOOKUP($G1462,Master!$V$2:$Z$8,5,0),""),"")</f>
        <v/>
      </c>
      <c r="P1462" s="6" t="str">
        <f t="shared" si="44"/>
        <v/>
      </c>
      <c r="Q1462" s="13">
        <f t="shared" si="45"/>
        <v>0</v>
      </c>
    </row>
    <row r="1463" spans="2:17" ht="15" customHeight="1">
      <c r="B1463" s="5" t="str">
        <f>_xlfn.IFNA(VLOOKUP(C1463,Master!$H:$I,2,FALSE),"")</f>
        <v/>
      </c>
      <c r="D1463" s="5" t="str">
        <f>_xlfn.IFNA(VLOOKUP(E1463,Master!$H:$I,2,FALSE),"")</f>
        <v/>
      </c>
      <c r="F1463" s="26" t="str">
        <f>+_xlfn.XLOOKUP(G1463,Master!$V$2:$V$8,Master!$U$2:$U$8,"")</f>
        <v/>
      </c>
      <c r="I1463" s="4" t="str">
        <f>_xlfn.IFNA(VLOOKUP(D1463,Master!$I:$K,2,FALSE),"")</f>
        <v/>
      </c>
      <c r="J1463" s="4" t="str">
        <f>_xlfn.IFNA(VLOOKUP(D1463,Master!$I:$K,3,FALSE),"")</f>
        <v/>
      </c>
      <c r="L1463" s="27" t="str">
        <f>IF(A1463&lt;&gt;"CFA",_xlfn.IFNA(VLOOKUP($G1463,Master!$V$2:$Z$8,5,0),""),"")</f>
        <v/>
      </c>
      <c r="P1463" s="6" t="str">
        <f t="shared" ref="P1463:P1526" si="46">IF(N1463&lt;&gt;"",IF(MONTH(N1463)&gt;=4,"FY1"&amp;RIGHT(YEAR(N1463)+1,2),"FY1"&amp;RIGHT(YEAR(N1463),2)),"")</f>
        <v/>
      </c>
      <c r="Q1463" s="13">
        <f t="shared" ref="Q1463:Q1526" si="47">IF(K1463&gt;0&amp;M1463&gt;0,K1463*M1463,"")</f>
        <v>0</v>
      </c>
    </row>
    <row r="1464" spans="2:17" ht="15" customHeight="1">
      <c r="B1464" s="5" t="str">
        <f>_xlfn.IFNA(VLOOKUP(C1464,Master!$H:$I,2,FALSE),"")</f>
        <v/>
      </c>
      <c r="D1464" s="5" t="str">
        <f>_xlfn.IFNA(VLOOKUP(E1464,Master!$H:$I,2,FALSE),"")</f>
        <v/>
      </c>
      <c r="F1464" s="26" t="str">
        <f>+_xlfn.XLOOKUP(G1464,Master!$V$2:$V$8,Master!$U$2:$U$8,"")</f>
        <v/>
      </c>
      <c r="I1464" s="4" t="str">
        <f>_xlfn.IFNA(VLOOKUP(D1464,Master!$I:$K,2,FALSE),"")</f>
        <v/>
      </c>
      <c r="J1464" s="4" t="str">
        <f>_xlfn.IFNA(VLOOKUP(D1464,Master!$I:$K,3,FALSE),"")</f>
        <v/>
      </c>
      <c r="L1464" s="27" t="str">
        <f>IF(A1464&lt;&gt;"CFA",_xlfn.IFNA(VLOOKUP($G1464,Master!$V$2:$Z$8,5,0),""),"")</f>
        <v/>
      </c>
      <c r="P1464" s="6" t="str">
        <f t="shared" si="46"/>
        <v/>
      </c>
      <c r="Q1464" s="13">
        <f t="shared" si="47"/>
        <v>0</v>
      </c>
    </row>
    <row r="1465" spans="2:17" ht="15" customHeight="1">
      <c r="B1465" s="5" t="str">
        <f>_xlfn.IFNA(VLOOKUP(C1465,Master!$H:$I,2,FALSE),"")</f>
        <v/>
      </c>
      <c r="D1465" s="5" t="str">
        <f>_xlfn.IFNA(VLOOKUP(E1465,Master!$H:$I,2,FALSE),"")</f>
        <v/>
      </c>
      <c r="F1465" s="26" t="str">
        <f>+_xlfn.XLOOKUP(G1465,Master!$V$2:$V$8,Master!$U$2:$U$8,"")</f>
        <v/>
      </c>
      <c r="I1465" s="4" t="str">
        <f>_xlfn.IFNA(VLOOKUP(D1465,Master!$I:$K,2,FALSE),"")</f>
        <v/>
      </c>
      <c r="J1465" s="4" t="str">
        <f>_xlfn.IFNA(VLOOKUP(D1465,Master!$I:$K,3,FALSE),"")</f>
        <v/>
      </c>
      <c r="L1465" s="27" t="str">
        <f>IF(A1465&lt;&gt;"CFA",_xlfn.IFNA(VLOOKUP($G1465,Master!$V$2:$Z$8,5,0),""),"")</f>
        <v/>
      </c>
      <c r="P1465" s="6" t="str">
        <f t="shared" si="46"/>
        <v/>
      </c>
      <c r="Q1465" s="13">
        <f t="shared" si="47"/>
        <v>0</v>
      </c>
    </row>
    <row r="1466" spans="2:17" ht="15" customHeight="1">
      <c r="B1466" s="5" t="str">
        <f>_xlfn.IFNA(VLOOKUP(C1466,Master!$H:$I,2,FALSE),"")</f>
        <v/>
      </c>
      <c r="D1466" s="5" t="str">
        <f>_xlfn.IFNA(VLOOKUP(E1466,Master!$H:$I,2,FALSE),"")</f>
        <v/>
      </c>
      <c r="F1466" s="26" t="str">
        <f>+_xlfn.XLOOKUP(G1466,Master!$V$2:$V$8,Master!$U$2:$U$8,"")</f>
        <v/>
      </c>
      <c r="I1466" s="4" t="str">
        <f>_xlfn.IFNA(VLOOKUP(D1466,Master!$I:$K,2,FALSE),"")</f>
        <v/>
      </c>
      <c r="J1466" s="4" t="str">
        <f>_xlfn.IFNA(VLOOKUP(D1466,Master!$I:$K,3,FALSE),"")</f>
        <v/>
      </c>
      <c r="L1466" s="27" t="str">
        <f>IF(A1466&lt;&gt;"CFA",_xlfn.IFNA(VLOOKUP($G1466,Master!$V$2:$Z$8,5,0),""),"")</f>
        <v/>
      </c>
      <c r="P1466" s="6" t="str">
        <f t="shared" si="46"/>
        <v/>
      </c>
      <c r="Q1466" s="13">
        <f t="shared" si="47"/>
        <v>0</v>
      </c>
    </row>
    <row r="1467" spans="2:17" ht="15" customHeight="1">
      <c r="B1467" s="5" t="str">
        <f>_xlfn.IFNA(VLOOKUP(C1467,Master!$H:$I,2,FALSE),"")</f>
        <v/>
      </c>
      <c r="D1467" s="5" t="str">
        <f>_xlfn.IFNA(VLOOKUP(E1467,Master!$H:$I,2,FALSE),"")</f>
        <v/>
      </c>
      <c r="F1467" s="26" t="str">
        <f>+_xlfn.XLOOKUP(G1467,Master!$V$2:$V$8,Master!$U$2:$U$8,"")</f>
        <v/>
      </c>
      <c r="I1467" s="4" t="str">
        <f>_xlfn.IFNA(VLOOKUP(D1467,Master!$I:$K,2,FALSE),"")</f>
        <v/>
      </c>
      <c r="J1467" s="4" t="str">
        <f>_xlfn.IFNA(VLOOKUP(D1467,Master!$I:$K,3,FALSE),"")</f>
        <v/>
      </c>
      <c r="L1467" s="27" t="str">
        <f>IF(A1467&lt;&gt;"CFA",_xlfn.IFNA(VLOOKUP($G1467,Master!$V$2:$Z$8,5,0),""),"")</f>
        <v/>
      </c>
      <c r="P1467" s="6" t="str">
        <f t="shared" si="46"/>
        <v/>
      </c>
      <c r="Q1467" s="13">
        <f t="shared" si="47"/>
        <v>0</v>
      </c>
    </row>
    <row r="1468" spans="2:17" ht="15" customHeight="1">
      <c r="B1468" s="5" t="str">
        <f>_xlfn.IFNA(VLOOKUP(C1468,Master!$H:$I,2,FALSE),"")</f>
        <v/>
      </c>
      <c r="D1468" s="5" t="str">
        <f>_xlfn.IFNA(VLOOKUP(E1468,Master!$H:$I,2,FALSE),"")</f>
        <v/>
      </c>
      <c r="F1468" s="26" t="str">
        <f>+_xlfn.XLOOKUP(G1468,Master!$V$2:$V$8,Master!$U$2:$U$8,"")</f>
        <v/>
      </c>
      <c r="I1468" s="4" t="str">
        <f>_xlfn.IFNA(VLOOKUP(D1468,Master!$I:$K,2,FALSE),"")</f>
        <v/>
      </c>
      <c r="J1468" s="4" t="str">
        <f>_xlfn.IFNA(VLOOKUP(D1468,Master!$I:$K,3,FALSE),"")</f>
        <v/>
      </c>
      <c r="L1468" s="27" t="str">
        <f>IF(A1468&lt;&gt;"CFA",_xlfn.IFNA(VLOOKUP($G1468,Master!$V$2:$Z$8,5,0),""),"")</f>
        <v/>
      </c>
      <c r="P1468" s="6" t="str">
        <f t="shared" si="46"/>
        <v/>
      </c>
      <c r="Q1468" s="13">
        <f t="shared" si="47"/>
        <v>0</v>
      </c>
    </row>
    <row r="1469" spans="2:17" ht="15" customHeight="1">
      <c r="B1469" s="5" t="str">
        <f>_xlfn.IFNA(VLOOKUP(C1469,Master!$H:$I,2,FALSE),"")</f>
        <v/>
      </c>
      <c r="D1469" s="5" t="str">
        <f>_xlfn.IFNA(VLOOKUP(E1469,Master!$H:$I,2,FALSE),"")</f>
        <v/>
      </c>
      <c r="F1469" s="26" t="str">
        <f>+_xlfn.XLOOKUP(G1469,Master!$V$2:$V$8,Master!$U$2:$U$8,"")</f>
        <v/>
      </c>
      <c r="I1469" s="4" t="str">
        <f>_xlfn.IFNA(VLOOKUP(D1469,Master!$I:$K,2,FALSE),"")</f>
        <v/>
      </c>
      <c r="J1469" s="4" t="str">
        <f>_xlfn.IFNA(VLOOKUP(D1469,Master!$I:$K,3,FALSE),"")</f>
        <v/>
      </c>
      <c r="L1469" s="27" t="str">
        <f>IF(A1469&lt;&gt;"CFA",_xlfn.IFNA(VLOOKUP($G1469,Master!$V$2:$Z$8,5,0),""),"")</f>
        <v/>
      </c>
      <c r="P1469" s="6" t="str">
        <f t="shared" si="46"/>
        <v/>
      </c>
      <c r="Q1469" s="13">
        <f t="shared" si="47"/>
        <v>0</v>
      </c>
    </row>
    <row r="1470" spans="2:17" ht="15" customHeight="1">
      <c r="B1470" s="5" t="str">
        <f>_xlfn.IFNA(VLOOKUP(C1470,Master!$H:$I,2,FALSE),"")</f>
        <v/>
      </c>
      <c r="D1470" s="5" t="str">
        <f>_xlfn.IFNA(VLOOKUP(E1470,Master!$H:$I,2,FALSE),"")</f>
        <v/>
      </c>
      <c r="F1470" s="26" t="str">
        <f>+_xlfn.XLOOKUP(G1470,Master!$V$2:$V$8,Master!$U$2:$U$8,"")</f>
        <v/>
      </c>
      <c r="I1470" s="4" t="str">
        <f>_xlfn.IFNA(VLOOKUP(D1470,Master!$I:$K,2,FALSE),"")</f>
        <v/>
      </c>
      <c r="J1470" s="4" t="str">
        <f>_xlfn.IFNA(VLOOKUP(D1470,Master!$I:$K,3,FALSE),"")</f>
        <v/>
      </c>
      <c r="L1470" s="27" t="str">
        <f>IF(A1470&lt;&gt;"CFA",_xlfn.IFNA(VLOOKUP($G1470,Master!$V$2:$Z$8,5,0),""),"")</f>
        <v/>
      </c>
      <c r="P1470" s="6" t="str">
        <f t="shared" si="46"/>
        <v/>
      </c>
      <c r="Q1470" s="13">
        <f t="shared" si="47"/>
        <v>0</v>
      </c>
    </row>
    <row r="1471" spans="2:17" ht="15" customHeight="1">
      <c r="B1471" s="5" t="str">
        <f>_xlfn.IFNA(VLOOKUP(C1471,Master!$H:$I,2,FALSE),"")</f>
        <v/>
      </c>
      <c r="D1471" s="5" t="str">
        <f>_xlfn.IFNA(VLOOKUP(E1471,Master!$H:$I,2,FALSE),"")</f>
        <v/>
      </c>
      <c r="F1471" s="26" t="str">
        <f>+_xlfn.XLOOKUP(G1471,Master!$V$2:$V$8,Master!$U$2:$U$8,"")</f>
        <v/>
      </c>
      <c r="I1471" s="4" t="str">
        <f>_xlfn.IFNA(VLOOKUP(D1471,Master!$I:$K,2,FALSE),"")</f>
        <v/>
      </c>
      <c r="J1471" s="4" t="str">
        <f>_xlfn.IFNA(VLOOKUP(D1471,Master!$I:$K,3,FALSE),"")</f>
        <v/>
      </c>
      <c r="L1471" s="27" t="str">
        <f>IF(A1471&lt;&gt;"CFA",_xlfn.IFNA(VLOOKUP($G1471,Master!$V$2:$Z$8,5,0),""),"")</f>
        <v/>
      </c>
      <c r="P1471" s="6" t="str">
        <f t="shared" si="46"/>
        <v/>
      </c>
      <c r="Q1471" s="13">
        <f t="shared" si="47"/>
        <v>0</v>
      </c>
    </row>
    <row r="1472" spans="2:17" ht="15" customHeight="1">
      <c r="B1472" s="5" t="str">
        <f>_xlfn.IFNA(VLOOKUP(C1472,Master!$H:$I,2,FALSE),"")</f>
        <v/>
      </c>
      <c r="D1472" s="5" t="str">
        <f>_xlfn.IFNA(VLOOKUP(E1472,Master!$H:$I,2,FALSE),"")</f>
        <v/>
      </c>
      <c r="F1472" s="26" t="str">
        <f>+_xlfn.XLOOKUP(G1472,Master!$V$2:$V$8,Master!$U$2:$U$8,"")</f>
        <v/>
      </c>
      <c r="I1472" s="4" t="str">
        <f>_xlfn.IFNA(VLOOKUP(D1472,Master!$I:$K,2,FALSE),"")</f>
        <v/>
      </c>
      <c r="J1472" s="4" t="str">
        <f>_xlfn.IFNA(VLOOKUP(D1472,Master!$I:$K,3,FALSE),"")</f>
        <v/>
      </c>
      <c r="L1472" s="27" t="str">
        <f>IF(A1472&lt;&gt;"CFA",_xlfn.IFNA(VLOOKUP($G1472,Master!$V$2:$Z$8,5,0),""),"")</f>
        <v/>
      </c>
      <c r="P1472" s="6" t="str">
        <f t="shared" si="46"/>
        <v/>
      </c>
      <c r="Q1472" s="13">
        <f t="shared" si="47"/>
        <v>0</v>
      </c>
    </row>
    <row r="1473" spans="2:17" ht="15" customHeight="1">
      <c r="B1473" s="5" t="str">
        <f>_xlfn.IFNA(VLOOKUP(C1473,Master!$H:$I,2,FALSE),"")</f>
        <v/>
      </c>
      <c r="D1473" s="5" t="str">
        <f>_xlfn.IFNA(VLOOKUP(E1473,Master!$H:$I,2,FALSE),"")</f>
        <v/>
      </c>
      <c r="F1473" s="26" t="str">
        <f>+_xlfn.XLOOKUP(G1473,Master!$V$2:$V$8,Master!$U$2:$U$8,"")</f>
        <v/>
      </c>
      <c r="I1473" s="4" t="str">
        <f>_xlfn.IFNA(VLOOKUP(D1473,Master!$I:$K,2,FALSE),"")</f>
        <v/>
      </c>
      <c r="J1473" s="4" t="str">
        <f>_xlfn.IFNA(VLOOKUP(D1473,Master!$I:$K,3,FALSE),"")</f>
        <v/>
      </c>
      <c r="L1473" s="27" t="str">
        <f>IF(A1473&lt;&gt;"CFA",_xlfn.IFNA(VLOOKUP($G1473,Master!$V$2:$Z$8,5,0),""),"")</f>
        <v/>
      </c>
      <c r="P1473" s="6" t="str">
        <f t="shared" si="46"/>
        <v/>
      </c>
      <c r="Q1473" s="13">
        <f t="shared" si="47"/>
        <v>0</v>
      </c>
    </row>
    <row r="1474" spans="2:17" ht="15" customHeight="1">
      <c r="B1474" s="5" t="str">
        <f>_xlfn.IFNA(VLOOKUP(C1474,Master!$H:$I,2,FALSE),"")</f>
        <v/>
      </c>
      <c r="D1474" s="5" t="str">
        <f>_xlfn.IFNA(VLOOKUP(E1474,Master!$H:$I,2,FALSE),"")</f>
        <v/>
      </c>
      <c r="F1474" s="26" t="str">
        <f>+_xlfn.XLOOKUP(G1474,Master!$V$2:$V$8,Master!$U$2:$U$8,"")</f>
        <v/>
      </c>
      <c r="I1474" s="4" t="str">
        <f>_xlfn.IFNA(VLOOKUP(D1474,Master!$I:$K,2,FALSE),"")</f>
        <v/>
      </c>
      <c r="J1474" s="4" t="str">
        <f>_xlfn.IFNA(VLOOKUP(D1474,Master!$I:$K,3,FALSE),"")</f>
        <v/>
      </c>
      <c r="L1474" s="27" t="str">
        <f>IF(A1474&lt;&gt;"CFA",_xlfn.IFNA(VLOOKUP($G1474,Master!$V$2:$Z$8,5,0),""),"")</f>
        <v/>
      </c>
      <c r="P1474" s="6" t="str">
        <f t="shared" si="46"/>
        <v/>
      </c>
      <c r="Q1474" s="13">
        <f t="shared" si="47"/>
        <v>0</v>
      </c>
    </row>
    <row r="1475" spans="2:17" ht="15" customHeight="1">
      <c r="B1475" s="5" t="str">
        <f>_xlfn.IFNA(VLOOKUP(C1475,Master!$H:$I,2,FALSE),"")</f>
        <v/>
      </c>
      <c r="D1475" s="5" t="str">
        <f>_xlfn.IFNA(VLOOKUP(E1475,Master!$H:$I,2,FALSE),"")</f>
        <v/>
      </c>
      <c r="F1475" s="26" t="str">
        <f>+_xlfn.XLOOKUP(G1475,Master!$V$2:$V$8,Master!$U$2:$U$8,"")</f>
        <v/>
      </c>
      <c r="I1475" s="4" t="str">
        <f>_xlfn.IFNA(VLOOKUP(D1475,Master!$I:$K,2,FALSE),"")</f>
        <v/>
      </c>
      <c r="J1475" s="4" t="str">
        <f>_xlfn.IFNA(VLOOKUP(D1475,Master!$I:$K,3,FALSE),"")</f>
        <v/>
      </c>
      <c r="L1475" s="27" t="str">
        <f>IF(A1475&lt;&gt;"CFA",_xlfn.IFNA(VLOOKUP($G1475,Master!$V$2:$Z$8,5,0),""),"")</f>
        <v/>
      </c>
      <c r="P1475" s="6" t="str">
        <f t="shared" si="46"/>
        <v/>
      </c>
      <c r="Q1475" s="13">
        <f t="shared" si="47"/>
        <v>0</v>
      </c>
    </row>
    <row r="1476" spans="2:17" ht="15" customHeight="1">
      <c r="B1476" s="5" t="str">
        <f>_xlfn.IFNA(VLOOKUP(C1476,Master!$H:$I,2,FALSE),"")</f>
        <v/>
      </c>
      <c r="D1476" s="5" t="str">
        <f>_xlfn.IFNA(VLOOKUP(E1476,Master!$H:$I,2,FALSE),"")</f>
        <v/>
      </c>
      <c r="F1476" s="26" t="str">
        <f>+_xlfn.XLOOKUP(G1476,Master!$V$2:$V$8,Master!$U$2:$U$8,"")</f>
        <v/>
      </c>
      <c r="I1476" s="4" t="str">
        <f>_xlfn.IFNA(VLOOKUP(D1476,Master!$I:$K,2,FALSE),"")</f>
        <v/>
      </c>
      <c r="J1476" s="4" t="str">
        <f>_xlfn.IFNA(VLOOKUP(D1476,Master!$I:$K,3,FALSE),"")</f>
        <v/>
      </c>
      <c r="L1476" s="27" t="str">
        <f>IF(A1476&lt;&gt;"CFA",_xlfn.IFNA(VLOOKUP($G1476,Master!$V$2:$Z$8,5,0),""),"")</f>
        <v/>
      </c>
      <c r="P1476" s="6" t="str">
        <f t="shared" si="46"/>
        <v/>
      </c>
      <c r="Q1476" s="13">
        <f t="shared" si="47"/>
        <v>0</v>
      </c>
    </row>
    <row r="1477" spans="2:17" ht="15" customHeight="1">
      <c r="B1477" s="5" t="str">
        <f>_xlfn.IFNA(VLOOKUP(C1477,Master!$H:$I,2,FALSE),"")</f>
        <v/>
      </c>
      <c r="D1477" s="5" t="str">
        <f>_xlfn.IFNA(VLOOKUP(E1477,Master!$H:$I,2,FALSE),"")</f>
        <v/>
      </c>
      <c r="F1477" s="26" t="str">
        <f>+_xlfn.XLOOKUP(G1477,Master!$V$2:$V$8,Master!$U$2:$U$8,"")</f>
        <v/>
      </c>
      <c r="I1477" s="4" t="str">
        <f>_xlfn.IFNA(VLOOKUP(D1477,Master!$I:$K,2,FALSE),"")</f>
        <v/>
      </c>
      <c r="J1477" s="4" t="str">
        <f>_xlfn.IFNA(VLOOKUP(D1477,Master!$I:$K,3,FALSE),"")</f>
        <v/>
      </c>
      <c r="L1477" s="27" t="str">
        <f>IF(A1477&lt;&gt;"CFA",_xlfn.IFNA(VLOOKUP($G1477,Master!$V$2:$Z$8,5,0),""),"")</f>
        <v/>
      </c>
      <c r="P1477" s="6" t="str">
        <f t="shared" si="46"/>
        <v/>
      </c>
      <c r="Q1477" s="13">
        <f t="shared" si="47"/>
        <v>0</v>
      </c>
    </row>
    <row r="1478" spans="2:17" ht="15" customHeight="1">
      <c r="B1478" s="5" t="str">
        <f>_xlfn.IFNA(VLOOKUP(C1478,Master!$H:$I,2,FALSE),"")</f>
        <v/>
      </c>
      <c r="D1478" s="5" t="str">
        <f>_xlfn.IFNA(VLOOKUP(E1478,Master!$H:$I,2,FALSE),"")</f>
        <v/>
      </c>
      <c r="F1478" s="26" t="str">
        <f>+_xlfn.XLOOKUP(G1478,Master!$V$2:$V$8,Master!$U$2:$U$8,"")</f>
        <v/>
      </c>
      <c r="I1478" s="4" t="str">
        <f>_xlfn.IFNA(VLOOKUP(D1478,Master!$I:$K,2,FALSE),"")</f>
        <v/>
      </c>
      <c r="J1478" s="4" t="str">
        <f>_xlfn.IFNA(VLOOKUP(D1478,Master!$I:$K,3,FALSE),"")</f>
        <v/>
      </c>
      <c r="L1478" s="27" t="str">
        <f>IF(A1478&lt;&gt;"CFA",_xlfn.IFNA(VLOOKUP($G1478,Master!$V$2:$Z$8,5,0),""),"")</f>
        <v/>
      </c>
      <c r="P1478" s="6" t="str">
        <f t="shared" si="46"/>
        <v/>
      </c>
      <c r="Q1478" s="13">
        <f t="shared" si="47"/>
        <v>0</v>
      </c>
    </row>
    <row r="1479" spans="2:17" ht="15" customHeight="1">
      <c r="B1479" s="5" t="str">
        <f>_xlfn.IFNA(VLOOKUP(C1479,Master!$H:$I,2,FALSE),"")</f>
        <v/>
      </c>
      <c r="D1479" s="5" t="str">
        <f>_xlfn.IFNA(VLOOKUP(E1479,Master!$H:$I,2,FALSE),"")</f>
        <v/>
      </c>
      <c r="F1479" s="26" t="str">
        <f>+_xlfn.XLOOKUP(G1479,Master!$V$2:$V$8,Master!$U$2:$U$8,"")</f>
        <v/>
      </c>
      <c r="I1479" s="4" t="str">
        <f>_xlfn.IFNA(VLOOKUP(D1479,Master!$I:$K,2,FALSE),"")</f>
        <v/>
      </c>
      <c r="J1479" s="4" t="str">
        <f>_xlfn.IFNA(VLOOKUP(D1479,Master!$I:$K,3,FALSE),"")</f>
        <v/>
      </c>
      <c r="L1479" s="27" t="str">
        <f>IF(A1479&lt;&gt;"CFA",_xlfn.IFNA(VLOOKUP($G1479,Master!$V$2:$Z$8,5,0),""),"")</f>
        <v/>
      </c>
      <c r="P1479" s="6" t="str">
        <f t="shared" si="46"/>
        <v/>
      </c>
      <c r="Q1479" s="13">
        <f t="shared" si="47"/>
        <v>0</v>
      </c>
    </row>
    <row r="1480" spans="2:17" ht="15" customHeight="1">
      <c r="B1480" s="5" t="str">
        <f>_xlfn.IFNA(VLOOKUP(C1480,Master!$H:$I,2,FALSE),"")</f>
        <v/>
      </c>
      <c r="D1480" s="5" t="str">
        <f>_xlfn.IFNA(VLOOKUP(E1480,Master!$H:$I,2,FALSE),"")</f>
        <v/>
      </c>
      <c r="F1480" s="26" t="str">
        <f>+_xlfn.XLOOKUP(G1480,Master!$V$2:$V$8,Master!$U$2:$U$8,"")</f>
        <v/>
      </c>
      <c r="I1480" s="4" t="str">
        <f>_xlfn.IFNA(VLOOKUP(D1480,Master!$I:$K,2,FALSE),"")</f>
        <v/>
      </c>
      <c r="J1480" s="4" t="str">
        <f>_xlfn.IFNA(VLOOKUP(D1480,Master!$I:$K,3,FALSE),"")</f>
        <v/>
      </c>
      <c r="L1480" s="27" t="str">
        <f>IF(A1480&lt;&gt;"CFA",_xlfn.IFNA(VLOOKUP($G1480,Master!$V$2:$Z$8,5,0),""),"")</f>
        <v/>
      </c>
      <c r="P1480" s="6" t="str">
        <f t="shared" si="46"/>
        <v/>
      </c>
      <c r="Q1480" s="13">
        <f t="shared" si="47"/>
        <v>0</v>
      </c>
    </row>
    <row r="1481" spans="2:17" ht="15" customHeight="1">
      <c r="B1481" s="5" t="str">
        <f>_xlfn.IFNA(VLOOKUP(C1481,Master!$H:$I,2,FALSE),"")</f>
        <v/>
      </c>
      <c r="D1481" s="5" t="str">
        <f>_xlfn.IFNA(VLOOKUP(E1481,Master!$H:$I,2,FALSE),"")</f>
        <v/>
      </c>
      <c r="F1481" s="26" t="str">
        <f>+_xlfn.XLOOKUP(G1481,Master!$V$2:$V$8,Master!$U$2:$U$8,"")</f>
        <v/>
      </c>
      <c r="I1481" s="4" t="str">
        <f>_xlfn.IFNA(VLOOKUP(D1481,Master!$I:$K,2,FALSE),"")</f>
        <v/>
      </c>
      <c r="J1481" s="4" t="str">
        <f>_xlfn.IFNA(VLOOKUP(D1481,Master!$I:$K,3,FALSE),"")</f>
        <v/>
      </c>
      <c r="L1481" s="27" t="str">
        <f>IF(A1481&lt;&gt;"CFA",_xlfn.IFNA(VLOOKUP($G1481,Master!$V$2:$Z$8,5,0),""),"")</f>
        <v/>
      </c>
      <c r="P1481" s="6" t="str">
        <f t="shared" si="46"/>
        <v/>
      </c>
      <c r="Q1481" s="13">
        <f t="shared" si="47"/>
        <v>0</v>
      </c>
    </row>
    <row r="1482" spans="2:17" ht="15" customHeight="1">
      <c r="B1482" s="5" t="str">
        <f>_xlfn.IFNA(VLOOKUP(C1482,Master!$H:$I,2,FALSE),"")</f>
        <v/>
      </c>
      <c r="D1482" s="5" t="str">
        <f>_xlfn.IFNA(VLOOKUP(E1482,Master!$H:$I,2,FALSE),"")</f>
        <v/>
      </c>
      <c r="F1482" s="26" t="str">
        <f>+_xlfn.XLOOKUP(G1482,Master!$V$2:$V$8,Master!$U$2:$U$8,"")</f>
        <v/>
      </c>
      <c r="I1482" s="4" t="str">
        <f>_xlfn.IFNA(VLOOKUP(D1482,Master!$I:$K,2,FALSE),"")</f>
        <v/>
      </c>
      <c r="J1482" s="4" t="str">
        <f>_xlfn.IFNA(VLOOKUP(D1482,Master!$I:$K,3,FALSE),"")</f>
        <v/>
      </c>
      <c r="L1482" s="27" t="str">
        <f>IF(A1482&lt;&gt;"CFA",_xlfn.IFNA(VLOOKUP($G1482,Master!$V$2:$Z$8,5,0),""),"")</f>
        <v/>
      </c>
      <c r="P1482" s="6" t="str">
        <f t="shared" si="46"/>
        <v/>
      </c>
      <c r="Q1482" s="13">
        <f t="shared" si="47"/>
        <v>0</v>
      </c>
    </row>
    <row r="1483" spans="2:17" ht="15" customHeight="1">
      <c r="B1483" s="5" t="str">
        <f>_xlfn.IFNA(VLOOKUP(C1483,Master!$H:$I,2,FALSE),"")</f>
        <v/>
      </c>
      <c r="D1483" s="5" t="str">
        <f>_xlfn.IFNA(VLOOKUP(E1483,Master!$H:$I,2,FALSE),"")</f>
        <v/>
      </c>
      <c r="F1483" s="26" t="str">
        <f>+_xlfn.XLOOKUP(G1483,Master!$V$2:$V$8,Master!$U$2:$U$8,"")</f>
        <v/>
      </c>
      <c r="I1483" s="4" t="str">
        <f>_xlfn.IFNA(VLOOKUP(D1483,Master!$I:$K,2,FALSE),"")</f>
        <v/>
      </c>
      <c r="J1483" s="4" t="str">
        <f>_xlfn.IFNA(VLOOKUP(D1483,Master!$I:$K,3,FALSE),"")</f>
        <v/>
      </c>
      <c r="L1483" s="27" t="str">
        <f>IF(A1483&lt;&gt;"CFA",_xlfn.IFNA(VLOOKUP($G1483,Master!$V$2:$Z$8,5,0),""),"")</f>
        <v/>
      </c>
      <c r="P1483" s="6" t="str">
        <f t="shared" si="46"/>
        <v/>
      </c>
      <c r="Q1483" s="13">
        <f t="shared" si="47"/>
        <v>0</v>
      </c>
    </row>
    <row r="1484" spans="2:17" ht="15" customHeight="1">
      <c r="B1484" s="5" t="str">
        <f>_xlfn.IFNA(VLOOKUP(C1484,Master!$H:$I,2,FALSE),"")</f>
        <v/>
      </c>
      <c r="D1484" s="5" t="str">
        <f>_xlfn.IFNA(VLOOKUP(E1484,Master!$H:$I,2,FALSE),"")</f>
        <v/>
      </c>
      <c r="F1484" s="26" t="str">
        <f>+_xlfn.XLOOKUP(G1484,Master!$V$2:$V$8,Master!$U$2:$U$8,"")</f>
        <v/>
      </c>
      <c r="I1484" s="4" t="str">
        <f>_xlfn.IFNA(VLOOKUP(D1484,Master!$I:$K,2,FALSE),"")</f>
        <v/>
      </c>
      <c r="J1484" s="4" t="str">
        <f>_xlfn.IFNA(VLOOKUP(D1484,Master!$I:$K,3,FALSE),"")</f>
        <v/>
      </c>
      <c r="L1484" s="27" t="str">
        <f>IF(A1484&lt;&gt;"CFA",_xlfn.IFNA(VLOOKUP($G1484,Master!$V$2:$Z$8,5,0),""),"")</f>
        <v/>
      </c>
      <c r="P1484" s="6" t="str">
        <f t="shared" si="46"/>
        <v/>
      </c>
      <c r="Q1484" s="13">
        <f t="shared" si="47"/>
        <v>0</v>
      </c>
    </row>
    <row r="1485" spans="2:17" ht="15" customHeight="1">
      <c r="B1485" s="5" t="str">
        <f>_xlfn.IFNA(VLOOKUP(C1485,Master!$H:$I,2,FALSE),"")</f>
        <v/>
      </c>
      <c r="D1485" s="5" t="str">
        <f>_xlfn.IFNA(VLOOKUP(E1485,Master!$H:$I,2,FALSE),"")</f>
        <v/>
      </c>
      <c r="F1485" s="26" t="str">
        <f>+_xlfn.XLOOKUP(G1485,Master!$V$2:$V$8,Master!$U$2:$U$8,"")</f>
        <v/>
      </c>
      <c r="I1485" s="4" t="str">
        <f>_xlfn.IFNA(VLOOKUP(D1485,Master!$I:$K,2,FALSE),"")</f>
        <v/>
      </c>
      <c r="J1485" s="4" t="str">
        <f>_xlfn.IFNA(VLOOKUP(D1485,Master!$I:$K,3,FALSE),"")</f>
        <v/>
      </c>
      <c r="L1485" s="27" t="str">
        <f>IF(A1485&lt;&gt;"CFA",_xlfn.IFNA(VLOOKUP($G1485,Master!$V$2:$Z$8,5,0),""),"")</f>
        <v/>
      </c>
      <c r="P1485" s="6" t="str">
        <f t="shared" si="46"/>
        <v/>
      </c>
      <c r="Q1485" s="13">
        <f t="shared" si="47"/>
        <v>0</v>
      </c>
    </row>
    <row r="1486" spans="2:17" ht="15" customHeight="1">
      <c r="B1486" s="5" t="str">
        <f>_xlfn.IFNA(VLOOKUP(C1486,Master!$H:$I,2,FALSE),"")</f>
        <v/>
      </c>
      <c r="D1486" s="5" t="str">
        <f>_xlfn.IFNA(VLOOKUP(E1486,Master!$H:$I,2,FALSE),"")</f>
        <v/>
      </c>
      <c r="F1486" s="26" t="str">
        <f>+_xlfn.XLOOKUP(G1486,Master!$V$2:$V$8,Master!$U$2:$U$8,"")</f>
        <v/>
      </c>
      <c r="I1486" s="4" t="str">
        <f>_xlfn.IFNA(VLOOKUP(D1486,Master!$I:$K,2,FALSE),"")</f>
        <v/>
      </c>
      <c r="J1486" s="4" t="str">
        <f>_xlfn.IFNA(VLOOKUP(D1486,Master!$I:$K,3,FALSE),"")</f>
        <v/>
      </c>
      <c r="L1486" s="27" t="str">
        <f>IF(A1486&lt;&gt;"CFA",_xlfn.IFNA(VLOOKUP($G1486,Master!$V$2:$Z$8,5,0),""),"")</f>
        <v/>
      </c>
      <c r="P1486" s="6" t="str">
        <f t="shared" si="46"/>
        <v/>
      </c>
      <c r="Q1486" s="13">
        <f t="shared" si="47"/>
        <v>0</v>
      </c>
    </row>
    <row r="1487" spans="2:17" ht="15" customHeight="1">
      <c r="B1487" s="5" t="str">
        <f>_xlfn.IFNA(VLOOKUP(C1487,Master!$H:$I,2,FALSE),"")</f>
        <v/>
      </c>
      <c r="D1487" s="5" t="str">
        <f>_xlfn.IFNA(VLOOKUP(E1487,Master!$H:$I,2,FALSE),"")</f>
        <v/>
      </c>
      <c r="F1487" s="26" t="str">
        <f>+_xlfn.XLOOKUP(G1487,Master!$V$2:$V$8,Master!$U$2:$U$8,"")</f>
        <v/>
      </c>
      <c r="I1487" s="4" t="str">
        <f>_xlfn.IFNA(VLOOKUP(D1487,Master!$I:$K,2,FALSE),"")</f>
        <v/>
      </c>
      <c r="J1487" s="4" t="str">
        <f>_xlfn.IFNA(VLOOKUP(D1487,Master!$I:$K,3,FALSE),"")</f>
        <v/>
      </c>
      <c r="L1487" s="27" t="str">
        <f>IF(A1487&lt;&gt;"CFA",_xlfn.IFNA(VLOOKUP($G1487,Master!$V$2:$Z$8,5,0),""),"")</f>
        <v/>
      </c>
      <c r="P1487" s="6" t="str">
        <f t="shared" si="46"/>
        <v/>
      </c>
      <c r="Q1487" s="13">
        <f t="shared" si="47"/>
        <v>0</v>
      </c>
    </row>
    <row r="1488" spans="2:17" ht="15" customHeight="1">
      <c r="B1488" s="5" t="str">
        <f>_xlfn.IFNA(VLOOKUP(C1488,Master!$H:$I,2,FALSE),"")</f>
        <v/>
      </c>
      <c r="D1488" s="5" t="str">
        <f>_xlfn.IFNA(VLOOKUP(E1488,Master!$H:$I,2,FALSE),"")</f>
        <v/>
      </c>
      <c r="F1488" s="26" t="str">
        <f>+_xlfn.XLOOKUP(G1488,Master!$V$2:$V$8,Master!$U$2:$U$8,"")</f>
        <v/>
      </c>
      <c r="I1488" s="4" t="str">
        <f>_xlfn.IFNA(VLOOKUP(D1488,Master!$I:$K,2,FALSE),"")</f>
        <v/>
      </c>
      <c r="J1488" s="4" t="str">
        <f>_xlfn.IFNA(VLOOKUP(D1488,Master!$I:$K,3,FALSE),"")</f>
        <v/>
      </c>
      <c r="L1488" s="27" t="str">
        <f>IF(A1488&lt;&gt;"CFA",_xlfn.IFNA(VLOOKUP($G1488,Master!$V$2:$Z$8,5,0),""),"")</f>
        <v/>
      </c>
      <c r="P1488" s="6" t="str">
        <f t="shared" si="46"/>
        <v/>
      </c>
      <c r="Q1488" s="13">
        <f t="shared" si="47"/>
        <v>0</v>
      </c>
    </row>
    <row r="1489" spans="2:17" ht="15" customHeight="1">
      <c r="B1489" s="5" t="str">
        <f>_xlfn.IFNA(VLOOKUP(C1489,Master!$H:$I,2,FALSE),"")</f>
        <v/>
      </c>
      <c r="D1489" s="5" t="str">
        <f>_xlfn.IFNA(VLOOKUP(E1489,Master!$H:$I,2,FALSE),"")</f>
        <v/>
      </c>
      <c r="F1489" s="26" t="str">
        <f>+_xlfn.XLOOKUP(G1489,Master!$V$2:$V$8,Master!$U$2:$U$8,"")</f>
        <v/>
      </c>
      <c r="I1489" s="4" t="str">
        <f>_xlfn.IFNA(VLOOKUP(D1489,Master!$I:$K,2,FALSE),"")</f>
        <v/>
      </c>
      <c r="J1489" s="4" t="str">
        <f>_xlfn.IFNA(VLOOKUP(D1489,Master!$I:$K,3,FALSE),"")</f>
        <v/>
      </c>
      <c r="L1489" s="27" t="str">
        <f>IF(A1489&lt;&gt;"CFA",_xlfn.IFNA(VLOOKUP($G1489,Master!$V$2:$Z$8,5,0),""),"")</f>
        <v/>
      </c>
      <c r="P1489" s="6" t="str">
        <f t="shared" si="46"/>
        <v/>
      </c>
      <c r="Q1489" s="13">
        <f t="shared" si="47"/>
        <v>0</v>
      </c>
    </row>
    <row r="1490" spans="2:17" ht="15" customHeight="1">
      <c r="B1490" s="5" t="str">
        <f>_xlfn.IFNA(VLOOKUP(C1490,Master!$H:$I,2,FALSE),"")</f>
        <v/>
      </c>
      <c r="D1490" s="5" t="str">
        <f>_xlfn.IFNA(VLOOKUP(E1490,Master!$H:$I,2,FALSE),"")</f>
        <v/>
      </c>
      <c r="F1490" s="26" t="str">
        <f>+_xlfn.XLOOKUP(G1490,Master!$V$2:$V$8,Master!$U$2:$U$8,"")</f>
        <v/>
      </c>
      <c r="I1490" s="4" t="str">
        <f>_xlfn.IFNA(VLOOKUP(D1490,Master!$I:$K,2,FALSE),"")</f>
        <v/>
      </c>
      <c r="J1490" s="4" t="str">
        <f>_xlfn.IFNA(VLOOKUP(D1490,Master!$I:$K,3,FALSE),"")</f>
        <v/>
      </c>
      <c r="L1490" s="27" t="str">
        <f>IF(A1490&lt;&gt;"CFA",_xlfn.IFNA(VLOOKUP($G1490,Master!$V$2:$Z$8,5,0),""),"")</f>
        <v/>
      </c>
      <c r="P1490" s="6" t="str">
        <f t="shared" si="46"/>
        <v/>
      </c>
      <c r="Q1490" s="13">
        <f t="shared" si="47"/>
        <v>0</v>
      </c>
    </row>
    <row r="1491" spans="2:17" ht="15" customHeight="1">
      <c r="B1491" s="5" t="str">
        <f>_xlfn.IFNA(VLOOKUP(C1491,Master!$H:$I,2,FALSE),"")</f>
        <v/>
      </c>
      <c r="D1491" s="5" t="str">
        <f>_xlfn.IFNA(VLOOKUP(E1491,Master!$H:$I,2,FALSE),"")</f>
        <v/>
      </c>
      <c r="F1491" s="26" t="str">
        <f>+_xlfn.XLOOKUP(G1491,Master!$V$2:$V$8,Master!$U$2:$U$8,"")</f>
        <v/>
      </c>
      <c r="I1491" s="4" t="str">
        <f>_xlfn.IFNA(VLOOKUP(D1491,Master!$I:$K,2,FALSE),"")</f>
        <v/>
      </c>
      <c r="J1491" s="4" t="str">
        <f>_xlfn.IFNA(VLOOKUP(D1491,Master!$I:$K,3,FALSE),"")</f>
        <v/>
      </c>
      <c r="L1491" s="27" t="str">
        <f>IF(A1491&lt;&gt;"CFA",_xlfn.IFNA(VLOOKUP($G1491,Master!$V$2:$Z$8,5,0),""),"")</f>
        <v/>
      </c>
      <c r="P1491" s="6" t="str">
        <f t="shared" si="46"/>
        <v/>
      </c>
      <c r="Q1491" s="13">
        <f t="shared" si="47"/>
        <v>0</v>
      </c>
    </row>
    <row r="1492" spans="2:17" ht="15" customHeight="1">
      <c r="B1492" s="5" t="str">
        <f>_xlfn.IFNA(VLOOKUP(C1492,Master!$H:$I,2,FALSE),"")</f>
        <v/>
      </c>
      <c r="D1492" s="5" t="str">
        <f>_xlfn.IFNA(VLOOKUP(E1492,Master!$H:$I,2,FALSE),"")</f>
        <v/>
      </c>
      <c r="F1492" s="26" t="str">
        <f>+_xlfn.XLOOKUP(G1492,Master!$V$2:$V$8,Master!$U$2:$U$8,"")</f>
        <v/>
      </c>
      <c r="I1492" s="4" t="str">
        <f>_xlfn.IFNA(VLOOKUP(D1492,Master!$I:$K,2,FALSE),"")</f>
        <v/>
      </c>
      <c r="J1492" s="4" t="str">
        <f>_xlfn.IFNA(VLOOKUP(D1492,Master!$I:$K,3,FALSE),"")</f>
        <v/>
      </c>
      <c r="L1492" s="27" t="str">
        <f>IF(A1492&lt;&gt;"CFA",_xlfn.IFNA(VLOOKUP($G1492,Master!$V$2:$Z$8,5,0),""),"")</f>
        <v/>
      </c>
      <c r="P1492" s="6" t="str">
        <f t="shared" si="46"/>
        <v/>
      </c>
      <c r="Q1492" s="13">
        <f t="shared" si="47"/>
        <v>0</v>
      </c>
    </row>
    <row r="1493" spans="2:17" ht="15" customHeight="1">
      <c r="B1493" s="5" t="str">
        <f>_xlfn.IFNA(VLOOKUP(C1493,Master!$H:$I,2,FALSE),"")</f>
        <v/>
      </c>
      <c r="D1493" s="5" t="str">
        <f>_xlfn.IFNA(VLOOKUP(E1493,Master!$H:$I,2,FALSE),"")</f>
        <v/>
      </c>
      <c r="F1493" s="26" t="str">
        <f>+_xlfn.XLOOKUP(G1493,Master!$V$2:$V$8,Master!$U$2:$U$8,"")</f>
        <v/>
      </c>
      <c r="I1493" s="4" t="str">
        <f>_xlfn.IFNA(VLOOKUP(D1493,Master!$I:$K,2,FALSE),"")</f>
        <v/>
      </c>
      <c r="J1493" s="4" t="str">
        <f>_xlfn.IFNA(VLOOKUP(D1493,Master!$I:$K,3,FALSE),"")</f>
        <v/>
      </c>
      <c r="L1493" s="27" t="str">
        <f>IF(A1493&lt;&gt;"CFA",_xlfn.IFNA(VLOOKUP($G1493,Master!$V$2:$Z$8,5,0),""),"")</f>
        <v/>
      </c>
      <c r="P1493" s="6" t="str">
        <f t="shared" si="46"/>
        <v/>
      </c>
      <c r="Q1493" s="13">
        <f t="shared" si="47"/>
        <v>0</v>
      </c>
    </row>
    <row r="1494" spans="2:17" ht="15" customHeight="1">
      <c r="B1494" s="5" t="str">
        <f>_xlfn.IFNA(VLOOKUP(C1494,Master!$H:$I,2,FALSE),"")</f>
        <v/>
      </c>
      <c r="D1494" s="5" t="str">
        <f>_xlfn.IFNA(VLOOKUP(E1494,Master!$H:$I,2,FALSE),"")</f>
        <v/>
      </c>
      <c r="F1494" s="26" t="str">
        <f>+_xlfn.XLOOKUP(G1494,Master!$V$2:$V$8,Master!$U$2:$U$8,"")</f>
        <v/>
      </c>
      <c r="I1494" s="4" t="str">
        <f>_xlfn.IFNA(VLOOKUP(D1494,Master!$I:$K,2,FALSE),"")</f>
        <v/>
      </c>
      <c r="J1494" s="4" t="str">
        <f>_xlfn.IFNA(VLOOKUP(D1494,Master!$I:$K,3,FALSE),"")</f>
        <v/>
      </c>
      <c r="L1494" s="27" t="str">
        <f>IF(A1494&lt;&gt;"CFA",_xlfn.IFNA(VLOOKUP($G1494,Master!$V$2:$Z$8,5,0),""),"")</f>
        <v/>
      </c>
      <c r="P1494" s="6" t="str">
        <f t="shared" si="46"/>
        <v/>
      </c>
      <c r="Q1494" s="13">
        <f t="shared" si="47"/>
        <v>0</v>
      </c>
    </row>
    <row r="1495" spans="2:17" ht="15" customHeight="1">
      <c r="B1495" s="5" t="str">
        <f>_xlfn.IFNA(VLOOKUP(C1495,Master!$H:$I,2,FALSE),"")</f>
        <v/>
      </c>
      <c r="D1495" s="5" t="str">
        <f>_xlfn.IFNA(VLOOKUP(E1495,Master!$H:$I,2,FALSE),"")</f>
        <v/>
      </c>
      <c r="F1495" s="26" t="str">
        <f>+_xlfn.XLOOKUP(G1495,Master!$V$2:$V$8,Master!$U$2:$U$8,"")</f>
        <v/>
      </c>
      <c r="I1495" s="4" t="str">
        <f>_xlfn.IFNA(VLOOKUP(D1495,Master!$I:$K,2,FALSE),"")</f>
        <v/>
      </c>
      <c r="J1495" s="4" t="str">
        <f>_xlfn.IFNA(VLOOKUP(D1495,Master!$I:$K,3,FALSE),"")</f>
        <v/>
      </c>
      <c r="L1495" s="27" t="str">
        <f>IF(A1495&lt;&gt;"CFA",_xlfn.IFNA(VLOOKUP($G1495,Master!$V$2:$Z$8,5,0),""),"")</f>
        <v/>
      </c>
      <c r="P1495" s="6" t="str">
        <f t="shared" si="46"/>
        <v/>
      </c>
      <c r="Q1495" s="13">
        <f t="shared" si="47"/>
        <v>0</v>
      </c>
    </row>
    <row r="1496" spans="2:17" ht="15" customHeight="1">
      <c r="B1496" s="5" t="str">
        <f>_xlfn.IFNA(VLOOKUP(C1496,Master!$H:$I,2,FALSE),"")</f>
        <v/>
      </c>
      <c r="D1496" s="5" t="str">
        <f>_xlfn.IFNA(VLOOKUP(E1496,Master!$H:$I,2,FALSE),"")</f>
        <v/>
      </c>
      <c r="F1496" s="26" t="str">
        <f>+_xlfn.XLOOKUP(G1496,Master!$V$2:$V$8,Master!$U$2:$U$8,"")</f>
        <v/>
      </c>
      <c r="I1496" s="4" t="str">
        <f>_xlfn.IFNA(VLOOKUP(D1496,Master!$I:$K,2,FALSE),"")</f>
        <v/>
      </c>
      <c r="J1496" s="4" t="str">
        <f>_xlfn.IFNA(VLOOKUP(D1496,Master!$I:$K,3,FALSE),"")</f>
        <v/>
      </c>
      <c r="L1496" s="27" t="str">
        <f>IF(A1496&lt;&gt;"CFA",_xlfn.IFNA(VLOOKUP($G1496,Master!$V$2:$Z$8,5,0),""),"")</f>
        <v/>
      </c>
      <c r="P1496" s="6" t="str">
        <f t="shared" si="46"/>
        <v/>
      </c>
      <c r="Q1496" s="13">
        <f t="shared" si="47"/>
        <v>0</v>
      </c>
    </row>
    <row r="1497" spans="2:17" ht="15" customHeight="1">
      <c r="B1497" s="5" t="str">
        <f>_xlfn.IFNA(VLOOKUP(C1497,Master!$H:$I,2,FALSE),"")</f>
        <v/>
      </c>
      <c r="D1497" s="5" t="str">
        <f>_xlfn.IFNA(VLOOKUP(E1497,Master!$H:$I,2,FALSE),"")</f>
        <v/>
      </c>
      <c r="F1497" s="26" t="str">
        <f>+_xlfn.XLOOKUP(G1497,Master!$V$2:$V$8,Master!$U$2:$U$8,"")</f>
        <v/>
      </c>
      <c r="I1497" s="4" t="str">
        <f>_xlfn.IFNA(VLOOKUP(D1497,Master!$I:$K,2,FALSE),"")</f>
        <v/>
      </c>
      <c r="J1497" s="4" t="str">
        <f>_xlfn.IFNA(VLOOKUP(D1497,Master!$I:$K,3,FALSE),"")</f>
        <v/>
      </c>
      <c r="L1497" s="27" t="str">
        <f>IF(A1497&lt;&gt;"CFA",_xlfn.IFNA(VLOOKUP($G1497,Master!$V$2:$Z$8,5,0),""),"")</f>
        <v/>
      </c>
      <c r="P1497" s="6" t="str">
        <f t="shared" si="46"/>
        <v/>
      </c>
      <c r="Q1497" s="13">
        <f t="shared" si="47"/>
        <v>0</v>
      </c>
    </row>
    <row r="1498" spans="2:17" ht="15" customHeight="1">
      <c r="B1498" s="5" t="str">
        <f>_xlfn.IFNA(VLOOKUP(C1498,Master!$H:$I,2,FALSE),"")</f>
        <v/>
      </c>
      <c r="D1498" s="5" t="str">
        <f>_xlfn.IFNA(VLOOKUP(E1498,Master!$H:$I,2,FALSE),"")</f>
        <v/>
      </c>
      <c r="F1498" s="26" t="str">
        <f>+_xlfn.XLOOKUP(G1498,Master!$V$2:$V$8,Master!$U$2:$U$8,"")</f>
        <v/>
      </c>
      <c r="I1498" s="4" t="str">
        <f>_xlfn.IFNA(VLOOKUP(D1498,Master!$I:$K,2,FALSE),"")</f>
        <v/>
      </c>
      <c r="J1498" s="4" t="str">
        <f>_xlfn.IFNA(VLOOKUP(D1498,Master!$I:$K,3,FALSE),"")</f>
        <v/>
      </c>
      <c r="L1498" s="27" t="str">
        <f>IF(A1498&lt;&gt;"CFA",_xlfn.IFNA(VLOOKUP($G1498,Master!$V$2:$Z$8,5,0),""),"")</f>
        <v/>
      </c>
      <c r="P1498" s="6" t="str">
        <f t="shared" si="46"/>
        <v/>
      </c>
      <c r="Q1498" s="13">
        <f t="shared" si="47"/>
        <v>0</v>
      </c>
    </row>
    <row r="1499" spans="2:17" ht="15" customHeight="1">
      <c r="B1499" s="5" t="str">
        <f>_xlfn.IFNA(VLOOKUP(C1499,Master!$H:$I,2,FALSE),"")</f>
        <v/>
      </c>
      <c r="D1499" s="5" t="str">
        <f>_xlfn.IFNA(VLOOKUP(E1499,Master!$H:$I,2,FALSE),"")</f>
        <v/>
      </c>
      <c r="F1499" s="26" t="str">
        <f>+_xlfn.XLOOKUP(G1499,Master!$V$2:$V$8,Master!$U$2:$U$8,"")</f>
        <v/>
      </c>
      <c r="I1499" s="4" t="str">
        <f>_xlfn.IFNA(VLOOKUP(D1499,Master!$I:$K,2,FALSE),"")</f>
        <v/>
      </c>
      <c r="J1499" s="4" t="str">
        <f>_xlfn.IFNA(VLOOKUP(D1499,Master!$I:$K,3,FALSE),"")</f>
        <v/>
      </c>
      <c r="L1499" s="27" t="str">
        <f>IF(A1499&lt;&gt;"CFA",_xlfn.IFNA(VLOOKUP($G1499,Master!$V$2:$Z$8,5,0),""),"")</f>
        <v/>
      </c>
      <c r="P1499" s="6" t="str">
        <f t="shared" si="46"/>
        <v/>
      </c>
      <c r="Q1499" s="13">
        <f t="shared" si="47"/>
        <v>0</v>
      </c>
    </row>
    <row r="1500" spans="2:17" ht="15" customHeight="1">
      <c r="B1500" s="5" t="str">
        <f>_xlfn.IFNA(VLOOKUP(C1500,Master!$H:$I,2,FALSE),"")</f>
        <v/>
      </c>
      <c r="D1500" s="5" t="str">
        <f>_xlfn.IFNA(VLOOKUP(E1500,Master!$H:$I,2,FALSE),"")</f>
        <v/>
      </c>
      <c r="F1500" s="26" t="str">
        <f>+_xlfn.XLOOKUP(G1500,Master!$V$2:$V$8,Master!$U$2:$U$8,"")</f>
        <v/>
      </c>
      <c r="I1500" s="4" t="str">
        <f>_xlfn.IFNA(VLOOKUP(D1500,Master!$I:$K,2,FALSE),"")</f>
        <v/>
      </c>
      <c r="J1500" s="4" t="str">
        <f>_xlfn.IFNA(VLOOKUP(D1500,Master!$I:$K,3,FALSE),"")</f>
        <v/>
      </c>
      <c r="L1500" s="27" t="str">
        <f>IF(A1500&lt;&gt;"CFA",_xlfn.IFNA(VLOOKUP($G1500,Master!$V$2:$Z$8,5,0),""),"")</f>
        <v/>
      </c>
      <c r="P1500" s="6" t="str">
        <f t="shared" si="46"/>
        <v/>
      </c>
      <c r="Q1500" s="13">
        <f t="shared" si="47"/>
        <v>0</v>
      </c>
    </row>
    <row r="1501" spans="2:17" ht="15" customHeight="1">
      <c r="B1501" s="5" t="str">
        <f>_xlfn.IFNA(VLOOKUP(C1501,Master!$H:$I,2,FALSE),"")</f>
        <v/>
      </c>
      <c r="D1501" s="5" t="str">
        <f>_xlfn.IFNA(VLOOKUP(E1501,Master!$H:$I,2,FALSE),"")</f>
        <v/>
      </c>
      <c r="F1501" s="26" t="str">
        <f>+_xlfn.XLOOKUP(G1501,Master!$V$2:$V$8,Master!$U$2:$U$8,"")</f>
        <v/>
      </c>
      <c r="I1501" s="4" t="str">
        <f>_xlfn.IFNA(VLOOKUP(D1501,Master!$I:$K,2,FALSE),"")</f>
        <v/>
      </c>
      <c r="J1501" s="4" t="str">
        <f>_xlfn.IFNA(VLOOKUP(D1501,Master!$I:$K,3,FALSE),"")</f>
        <v/>
      </c>
      <c r="L1501" s="27" t="str">
        <f>IF(A1501&lt;&gt;"CFA",_xlfn.IFNA(VLOOKUP($G1501,Master!$V$2:$Z$8,5,0),""),"")</f>
        <v/>
      </c>
      <c r="P1501" s="6" t="str">
        <f t="shared" si="46"/>
        <v/>
      </c>
      <c r="Q1501" s="13">
        <f t="shared" si="47"/>
        <v>0</v>
      </c>
    </row>
    <row r="1502" spans="2:17" ht="15" customHeight="1">
      <c r="B1502" s="5" t="str">
        <f>_xlfn.IFNA(VLOOKUP(C1502,Master!$H:$I,2,FALSE),"")</f>
        <v/>
      </c>
      <c r="D1502" s="5" t="str">
        <f>_xlfn.IFNA(VLOOKUP(E1502,Master!$H:$I,2,FALSE),"")</f>
        <v/>
      </c>
      <c r="F1502" s="26" t="str">
        <f>+_xlfn.XLOOKUP(G1502,Master!$V$2:$V$8,Master!$U$2:$U$8,"")</f>
        <v/>
      </c>
      <c r="I1502" s="4" t="str">
        <f>_xlfn.IFNA(VLOOKUP(D1502,Master!$I:$K,2,FALSE),"")</f>
        <v/>
      </c>
      <c r="J1502" s="4" t="str">
        <f>_xlfn.IFNA(VLOOKUP(D1502,Master!$I:$K,3,FALSE),"")</f>
        <v/>
      </c>
      <c r="L1502" s="27" t="str">
        <f>IF(A1502&lt;&gt;"CFA",_xlfn.IFNA(VLOOKUP($G1502,Master!$V$2:$Z$8,5,0),""),"")</f>
        <v/>
      </c>
      <c r="P1502" s="6" t="str">
        <f t="shared" si="46"/>
        <v/>
      </c>
      <c r="Q1502" s="13">
        <f t="shared" si="47"/>
        <v>0</v>
      </c>
    </row>
    <row r="1503" spans="2:17" ht="15" customHeight="1">
      <c r="B1503" s="5" t="str">
        <f>_xlfn.IFNA(VLOOKUP(C1503,Master!$H:$I,2,FALSE),"")</f>
        <v/>
      </c>
      <c r="D1503" s="5" t="str">
        <f>_xlfn.IFNA(VLOOKUP(E1503,Master!$H:$I,2,FALSE),"")</f>
        <v/>
      </c>
      <c r="F1503" s="26" t="str">
        <f>+_xlfn.XLOOKUP(G1503,Master!$V$2:$V$8,Master!$U$2:$U$8,"")</f>
        <v/>
      </c>
      <c r="I1503" s="4" t="str">
        <f>_xlfn.IFNA(VLOOKUP(D1503,Master!$I:$K,2,FALSE),"")</f>
        <v/>
      </c>
      <c r="J1503" s="4" t="str">
        <f>_xlfn.IFNA(VLOOKUP(D1503,Master!$I:$K,3,FALSE),"")</f>
        <v/>
      </c>
      <c r="L1503" s="27" t="str">
        <f>IF(A1503&lt;&gt;"CFA",_xlfn.IFNA(VLOOKUP($G1503,Master!$V$2:$Z$8,5,0),""),"")</f>
        <v/>
      </c>
      <c r="P1503" s="6" t="str">
        <f t="shared" si="46"/>
        <v/>
      </c>
      <c r="Q1503" s="13">
        <f t="shared" si="47"/>
        <v>0</v>
      </c>
    </row>
    <row r="1504" spans="2:17" ht="15" customHeight="1">
      <c r="B1504" s="5" t="str">
        <f>_xlfn.IFNA(VLOOKUP(C1504,Master!$H:$I,2,FALSE),"")</f>
        <v/>
      </c>
      <c r="D1504" s="5" t="str">
        <f>_xlfn.IFNA(VLOOKUP(E1504,Master!$H:$I,2,FALSE),"")</f>
        <v/>
      </c>
      <c r="F1504" s="26" t="str">
        <f>+_xlfn.XLOOKUP(G1504,Master!$V$2:$V$8,Master!$U$2:$U$8,"")</f>
        <v/>
      </c>
      <c r="I1504" s="4" t="str">
        <f>_xlfn.IFNA(VLOOKUP(D1504,Master!$I:$K,2,FALSE),"")</f>
        <v/>
      </c>
      <c r="J1504" s="4" t="str">
        <f>_xlfn.IFNA(VLOOKUP(D1504,Master!$I:$K,3,FALSE),"")</f>
        <v/>
      </c>
      <c r="L1504" s="27" t="str">
        <f>IF(A1504&lt;&gt;"CFA",_xlfn.IFNA(VLOOKUP($G1504,Master!$V$2:$Z$8,5,0),""),"")</f>
        <v/>
      </c>
      <c r="P1504" s="6" t="str">
        <f t="shared" si="46"/>
        <v/>
      </c>
      <c r="Q1504" s="13">
        <f t="shared" si="47"/>
        <v>0</v>
      </c>
    </row>
    <row r="1505" spans="2:17" ht="15" customHeight="1">
      <c r="B1505" s="5" t="str">
        <f>_xlfn.IFNA(VLOOKUP(C1505,Master!$H:$I,2,FALSE),"")</f>
        <v/>
      </c>
      <c r="D1505" s="5" t="str">
        <f>_xlfn.IFNA(VLOOKUP(E1505,Master!$H:$I,2,FALSE),"")</f>
        <v/>
      </c>
      <c r="F1505" s="26" t="str">
        <f>+_xlfn.XLOOKUP(G1505,Master!$V$2:$V$8,Master!$U$2:$U$8,"")</f>
        <v/>
      </c>
      <c r="I1505" s="4" t="str">
        <f>_xlfn.IFNA(VLOOKUP(D1505,Master!$I:$K,2,FALSE),"")</f>
        <v/>
      </c>
      <c r="J1505" s="4" t="str">
        <f>_xlfn.IFNA(VLOOKUP(D1505,Master!$I:$K,3,FALSE),"")</f>
        <v/>
      </c>
      <c r="L1505" s="27" t="str">
        <f>IF(A1505&lt;&gt;"CFA",_xlfn.IFNA(VLOOKUP($G1505,Master!$V$2:$Z$8,5,0),""),"")</f>
        <v/>
      </c>
      <c r="P1505" s="6" t="str">
        <f t="shared" si="46"/>
        <v/>
      </c>
      <c r="Q1505" s="13">
        <f t="shared" si="47"/>
        <v>0</v>
      </c>
    </row>
    <row r="1506" spans="2:17" ht="15" customHeight="1">
      <c r="B1506" s="5" t="str">
        <f>_xlfn.IFNA(VLOOKUP(C1506,Master!$H:$I,2,FALSE),"")</f>
        <v/>
      </c>
      <c r="D1506" s="5" t="str">
        <f>_xlfn.IFNA(VLOOKUP(E1506,Master!$H:$I,2,FALSE),"")</f>
        <v/>
      </c>
      <c r="F1506" s="26" t="str">
        <f>+_xlfn.XLOOKUP(G1506,Master!$V$2:$V$8,Master!$U$2:$U$8,"")</f>
        <v/>
      </c>
      <c r="I1506" s="4" t="str">
        <f>_xlfn.IFNA(VLOOKUP(D1506,Master!$I:$K,2,FALSE),"")</f>
        <v/>
      </c>
      <c r="J1506" s="4" t="str">
        <f>_xlfn.IFNA(VLOOKUP(D1506,Master!$I:$K,3,FALSE),"")</f>
        <v/>
      </c>
      <c r="L1506" s="27" t="str">
        <f>IF(A1506&lt;&gt;"CFA",_xlfn.IFNA(VLOOKUP($G1506,Master!$V$2:$Z$8,5,0),""),"")</f>
        <v/>
      </c>
      <c r="P1506" s="6" t="str">
        <f t="shared" si="46"/>
        <v/>
      </c>
      <c r="Q1506" s="13">
        <f t="shared" si="47"/>
        <v>0</v>
      </c>
    </row>
    <row r="1507" spans="2:17" ht="15" customHeight="1">
      <c r="B1507" s="5" t="str">
        <f>_xlfn.IFNA(VLOOKUP(C1507,Master!$H:$I,2,FALSE),"")</f>
        <v/>
      </c>
      <c r="D1507" s="5" t="str">
        <f>_xlfn.IFNA(VLOOKUP(E1507,Master!$H:$I,2,FALSE),"")</f>
        <v/>
      </c>
      <c r="F1507" s="26" t="str">
        <f>+_xlfn.XLOOKUP(G1507,Master!$V$2:$V$8,Master!$U$2:$U$8,"")</f>
        <v/>
      </c>
      <c r="I1507" s="4" t="str">
        <f>_xlfn.IFNA(VLOOKUP(D1507,Master!$I:$K,2,FALSE),"")</f>
        <v/>
      </c>
      <c r="J1507" s="4" t="str">
        <f>_xlfn.IFNA(VLOOKUP(D1507,Master!$I:$K,3,FALSE),"")</f>
        <v/>
      </c>
      <c r="L1507" s="27" t="str">
        <f>IF(A1507&lt;&gt;"CFA",_xlfn.IFNA(VLOOKUP($G1507,Master!$V$2:$Z$8,5,0),""),"")</f>
        <v/>
      </c>
      <c r="P1507" s="6" t="str">
        <f t="shared" si="46"/>
        <v/>
      </c>
      <c r="Q1507" s="13">
        <f t="shared" si="47"/>
        <v>0</v>
      </c>
    </row>
    <row r="1508" spans="2:17" ht="15" customHeight="1">
      <c r="B1508" s="5" t="str">
        <f>_xlfn.IFNA(VLOOKUP(C1508,Master!$H:$I,2,FALSE),"")</f>
        <v/>
      </c>
      <c r="D1508" s="5" t="str">
        <f>_xlfn.IFNA(VLOOKUP(E1508,Master!$H:$I,2,FALSE),"")</f>
        <v/>
      </c>
      <c r="F1508" s="26" t="str">
        <f>+_xlfn.XLOOKUP(G1508,Master!$V$2:$V$8,Master!$U$2:$U$8,"")</f>
        <v/>
      </c>
      <c r="I1508" s="4" t="str">
        <f>_xlfn.IFNA(VLOOKUP(D1508,Master!$I:$K,2,FALSE),"")</f>
        <v/>
      </c>
      <c r="J1508" s="4" t="str">
        <f>_xlfn.IFNA(VLOOKUP(D1508,Master!$I:$K,3,FALSE),"")</f>
        <v/>
      </c>
      <c r="L1508" s="27" t="str">
        <f>IF(A1508&lt;&gt;"CFA",_xlfn.IFNA(VLOOKUP($G1508,Master!$V$2:$Z$8,5,0),""),"")</f>
        <v/>
      </c>
      <c r="P1508" s="6" t="str">
        <f t="shared" si="46"/>
        <v/>
      </c>
      <c r="Q1508" s="13">
        <f t="shared" si="47"/>
        <v>0</v>
      </c>
    </row>
    <row r="1509" spans="2:17" ht="15" customHeight="1">
      <c r="B1509" s="5" t="str">
        <f>_xlfn.IFNA(VLOOKUP(C1509,Master!$H:$I,2,FALSE),"")</f>
        <v/>
      </c>
      <c r="D1509" s="5" t="str">
        <f>_xlfn.IFNA(VLOOKUP(E1509,Master!$H:$I,2,FALSE),"")</f>
        <v/>
      </c>
      <c r="F1509" s="26" t="str">
        <f>+_xlfn.XLOOKUP(G1509,Master!$V$2:$V$8,Master!$U$2:$U$8,"")</f>
        <v/>
      </c>
      <c r="I1509" s="4" t="str">
        <f>_xlfn.IFNA(VLOOKUP(D1509,Master!$I:$K,2,FALSE),"")</f>
        <v/>
      </c>
      <c r="J1509" s="4" t="str">
        <f>_xlfn.IFNA(VLOOKUP(D1509,Master!$I:$K,3,FALSE),"")</f>
        <v/>
      </c>
      <c r="L1509" s="27" t="str">
        <f>IF(A1509&lt;&gt;"CFA",_xlfn.IFNA(VLOOKUP($G1509,Master!$V$2:$Z$8,5,0),""),"")</f>
        <v/>
      </c>
      <c r="P1509" s="6" t="str">
        <f t="shared" si="46"/>
        <v/>
      </c>
      <c r="Q1509" s="13">
        <f t="shared" si="47"/>
        <v>0</v>
      </c>
    </row>
    <row r="1510" spans="2:17" ht="15" customHeight="1">
      <c r="B1510" s="5" t="str">
        <f>_xlfn.IFNA(VLOOKUP(C1510,Master!$H:$I,2,FALSE),"")</f>
        <v/>
      </c>
      <c r="D1510" s="5" t="str">
        <f>_xlfn.IFNA(VLOOKUP(E1510,Master!$H:$I,2,FALSE),"")</f>
        <v/>
      </c>
      <c r="F1510" s="26" t="str">
        <f>+_xlfn.XLOOKUP(G1510,Master!$V$2:$V$8,Master!$U$2:$U$8,"")</f>
        <v/>
      </c>
      <c r="I1510" s="4" t="str">
        <f>_xlfn.IFNA(VLOOKUP(D1510,Master!$I:$K,2,FALSE),"")</f>
        <v/>
      </c>
      <c r="J1510" s="4" t="str">
        <f>_xlfn.IFNA(VLOOKUP(D1510,Master!$I:$K,3,FALSE),"")</f>
        <v/>
      </c>
      <c r="L1510" s="27" t="str">
        <f>IF(A1510&lt;&gt;"CFA",_xlfn.IFNA(VLOOKUP($G1510,Master!$V$2:$Z$8,5,0),""),"")</f>
        <v/>
      </c>
      <c r="P1510" s="6" t="str">
        <f t="shared" si="46"/>
        <v/>
      </c>
      <c r="Q1510" s="13">
        <f t="shared" si="47"/>
        <v>0</v>
      </c>
    </row>
    <row r="1511" spans="2:17" ht="15" customHeight="1">
      <c r="B1511" s="5" t="str">
        <f>_xlfn.IFNA(VLOOKUP(C1511,Master!$H:$I,2,FALSE),"")</f>
        <v/>
      </c>
      <c r="D1511" s="5" t="str">
        <f>_xlfn.IFNA(VLOOKUP(E1511,Master!$H:$I,2,FALSE),"")</f>
        <v/>
      </c>
      <c r="F1511" s="26" t="str">
        <f>+_xlfn.XLOOKUP(G1511,Master!$V$2:$V$8,Master!$U$2:$U$8,"")</f>
        <v/>
      </c>
      <c r="I1511" s="4" t="str">
        <f>_xlfn.IFNA(VLOOKUP(D1511,Master!$I:$K,2,FALSE),"")</f>
        <v/>
      </c>
      <c r="J1511" s="4" t="str">
        <f>_xlfn.IFNA(VLOOKUP(D1511,Master!$I:$K,3,FALSE),"")</f>
        <v/>
      </c>
      <c r="L1511" s="27" t="str">
        <f>IF(A1511&lt;&gt;"CFA",_xlfn.IFNA(VLOOKUP($G1511,Master!$V$2:$Z$8,5,0),""),"")</f>
        <v/>
      </c>
      <c r="P1511" s="6" t="str">
        <f t="shared" si="46"/>
        <v/>
      </c>
      <c r="Q1511" s="13">
        <f t="shared" si="47"/>
        <v>0</v>
      </c>
    </row>
    <row r="1512" spans="2:17" ht="15" customHeight="1">
      <c r="B1512" s="5" t="str">
        <f>_xlfn.IFNA(VLOOKUP(C1512,Master!$H:$I,2,FALSE),"")</f>
        <v/>
      </c>
      <c r="D1512" s="5" t="str">
        <f>_xlfn.IFNA(VLOOKUP(E1512,Master!$H:$I,2,FALSE),"")</f>
        <v/>
      </c>
      <c r="F1512" s="26" t="str">
        <f>+_xlfn.XLOOKUP(G1512,Master!$V$2:$V$8,Master!$U$2:$U$8,"")</f>
        <v/>
      </c>
      <c r="I1512" s="4" t="str">
        <f>_xlfn.IFNA(VLOOKUP(D1512,Master!$I:$K,2,FALSE),"")</f>
        <v/>
      </c>
      <c r="J1512" s="4" t="str">
        <f>_xlfn.IFNA(VLOOKUP(D1512,Master!$I:$K,3,FALSE),"")</f>
        <v/>
      </c>
      <c r="L1512" s="27" t="str">
        <f>IF(A1512&lt;&gt;"CFA",_xlfn.IFNA(VLOOKUP($G1512,Master!$V$2:$Z$8,5,0),""),"")</f>
        <v/>
      </c>
      <c r="P1512" s="6" t="str">
        <f t="shared" si="46"/>
        <v/>
      </c>
      <c r="Q1512" s="13">
        <f t="shared" si="47"/>
        <v>0</v>
      </c>
    </row>
    <row r="1513" spans="2:17" ht="15" customHeight="1">
      <c r="B1513" s="5" t="str">
        <f>_xlfn.IFNA(VLOOKUP(C1513,Master!$H:$I,2,FALSE),"")</f>
        <v/>
      </c>
      <c r="D1513" s="5" t="str">
        <f>_xlfn.IFNA(VLOOKUP(E1513,Master!$H:$I,2,FALSE),"")</f>
        <v/>
      </c>
      <c r="F1513" s="26" t="str">
        <f>+_xlfn.XLOOKUP(G1513,Master!$V$2:$V$8,Master!$U$2:$U$8,"")</f>
        <v/>
      </c>
      <c r="I1513" s="4" t="str">
        <f>_xlfn.IFNA(VLOOKUP(D1513,Master!$I:$K,2,FALSE),"")</f>
        <v/>
      </c>
      <c r="J1513" s="4" t="str">
        <f>_xlfn.IFNA(VLOOKUP(D1513,Master!$I:$K,3,FALSE),"")</f>
        <v/>
      </c>
      <c r="L1513" s="27" t="str">
        <f>IF(A1513&lt;&gt;"CFA",_xlfn.IFNA(VLOOKUP($G1513,Master!$V$2:$Z$8,5,0),""),"")</f>
        <v/>
      </c>
      <c r="P1513" s="6" t="str">
        <f t="shared" si="46"/>
        <v/>
      </c>
      <c r="Q1513" s="13">
        <f t="shared" si="47"/>
        <v>0</v>
      </c>
    </row>
    <row r="1514" spans="2:17" ht="15" customHeight="1">
      <c r="B1514" s="5" t="str">
        <f>_xlfn.IFNA(VLOOKUP(C1514,Master!$H:$I,2,FALSE),"")</f>
        <v/>
      </c>
      <c r="D1514" s="5" t="str">
        <f>_xlfn.IFNA(VLOOKUP(E1514,Master!$H:$I,2,FALSE),"")</f>
        <v/>
      </c>
      <c r="F1514" s="26" t="str">
        <f>+_xlfn.XLOOKUP(G1514,Master!$V$2:$V$8,Master!$U$2:$U$8,"")</f>
        <v/>
      </c>
      <c r="I1514" s="4" t="str">
        <f>_xlfn.IFNA(VLOOKUP(D1514,Master!$I:$K,2,FALSE),"")</f>
        <v/>
      </c>
      <c r="J1514" s="4" t="str">
        <f>_xlfn.IFNA(VLOOKUP(D1514,Master!$I:$K,3,FALSE),"")</f>
        <v/>
      </c>
      <c r="L1514" s="27" t="str">
        <f>IF(A1514&lt;&gt;"CFA",_xlfn.IFNA(VLOOKUP($G1514,Master!$V$2:$Z$8,5,0),""),"")</f>
        <v/>
      </c>
      <c r="P1514" s="6" t="str">
        <f t="shared" si="46"/>
        <v/>
      </c>
      <c r="Q1514" s="13">
        <f t="shared" si="47"/>
        <v>0</v>
      </c>
    </row>
    <row r="1515" spans="2:17" ht="15" customHeight="1">
      <c r="B1515" s="5" t="str">
        <f>_xlfn.IFNA(VLOOKUP(C1515,Master!$H:$I,2,FALSE),"")</f>
        <v/>
      </c>
      <c r="D1515" s="5" t="str">
        <f>_xlfn.IFNA(VLOOKUP(E1515,Master!$H:$I,2,FALSE),"")</f>
        <v/>
      </c>
      <c r="F1515" s="26" t="str">
        <f>+_xlfn.XLOOKUP(G1515,Master!$V$2:$V$8,Master!$U$2:$U$8,"")</f>
        <v/>
      </c>
      <c r="I1515" s="4" t="str">
        <f>_xlfn.IFNA(VLOOKUP(D1515,Master!$I:$K,2,FALSE),"")</f>
        <v/>
      </c>
      <c r="J1515" s="4" t="str">
        <f>_xlfn.IFNA(VLOOKUP(D1515,Master!$I:$K,3,FALSE),"")</f>
        <v/>
      </c>
      <c r="L1515" s="27" t="str">
        <f>IF(A1515&lt;&gt;"CFA",_xlfn.IFNA(VLOOKUP($G1515,Master!$V$2:$Z$8,5,0),""),"")</f>
        <v/>
      </c>
      <c r="P1515" s="6" t="str">
        <f t="shared" si="46"/>
        <v/>
      </c>
      <c r="Q1515" s="13">
        <f t="shared" si="47"/>
        <v>0</v>
      </c>
    </row>
    <row r="1516" spans="2:17" ht="15" customHeight="1">
      <c r="B1516" s="5" t="str">
        <f>_xlfn.IFNA(VLOOKUP(C1516,Master!$H:$I,2,FALSE),"")</f>
        <v/>
      </c>
      <c r="D1516" s="5" t="str">
        <f>_xlfn.IFNA(VLOOKUP(E1516,Master!$H:$I,2,FALSE),"")</f>
        <v/>
      </c>
      <c r="F1516" s="26" t="str">
        <f>+_xlfn.XLOOKUP(G1516,Master!$V$2:$V$8,Master!$U$2:$U$8,"")</f>
        <v/>
      </c>
      <c r="I1516" s="4" t="str">
        <f>_xlfn.IFNA(VLOOKUP(D1516,Master!$I:$K,2,FALSE),"")</f>
        <v/>
      </c>
      <c r="J1516" s="4" t="str">
        <f>_xlfn.IFNA(VLOOKUP(D1516,Master!$I:$K,3,FALSE),"")</f>
        <v/>
      </c>
      <c r="L1516" s="27" t="str">
        <f>IF(A1516&lt;&gt;"CFA",_xlfn.IFNA(VLOOKUP($G1516,Master!$V$2:$Z$8,5,0),""),"")</f>
        <v/>
      </c>
      <c r="P1516" s="6" t="str">
        <f t="shared" si="46"/>
        <v/>
      </c>
      <c r="Q1516" s="13">
        <f t="shared" si="47"/>
        <v>0</v>
      </c>
    </row>
    <row r="1517" spans="2:17" ht="15" customHeight="1">
      <c r="B1517" s="5" t="str">
        <f>_xlfn.IFNA(VLOOKUP(C1517,Master!$H:$I,2,FALSE),"")</f>
        <v/>
      </c>
      <c r="D1517" s="5" t="str">
        <f>_xlfn.IFNA(VLOOKUP(E1517,Master!$H:$I,2,FALSE),"")</f>
        <v/>
      </c>
      <c r="F1517" s="26" t="str">
        <f>+_xlfn.XLOOKUP(G1517,Master!$V$2:$V$8,Master!$U$2:$U$8,"")</f>
        <v/>
      </c>
      <c r="I1517" s="4" t="str">
        <f>_xlfn.IFNA(VLOOKUP(D1517,Master!$I:$K,2,FALSE),"")</f>
        <v/>
      </c>
      <c r="J1517" s="4" t="str">
        <f>_xlfn.IFNA(VLOOKUP(D1517,Master!$I:$K,3,FALSE),"")</f>
        <v/>
      </c>
      <c r="L1517" s="27" t="str">
        <f>IF(A1517&lt;&gt;"CFA",_xlfn.IFNA(VLOOKUP($G1517,Master!$V$2:$Z$8,5,0),""),"")</f>
        <v/>
      </c>
      <c r="P1517" s="6" t="str">
        <f t="shared" si="46"/>
        <v/>
      </c>
      <c r="Q1517" s="13">
        <f t="shared" si="47"/>
        <v>0</v>
      </c>
    </row>
    <row r="1518" spans="2:17" ht="15" customHeight="1">
      <c r="B1518" s="5" t="str">
        <f>_xlfn.IFNA(VLOOKUP(C1518,Master!$H:$I,2,FALSE),"")</f>
        <v/>
      </c>
      <c r="D1518" s="5" t="str">
        <f>_xlfn.IFNA(VLOOKUP(E1518,Master!$H:$I,2,FALSE),"")</f>
        <v/>
      </c>
      <c r="F1518" s="26" t="str">
        <f>+_xlfn.XLOOKUP(G1518,Master!$V$2:$V$8,Master!$U$2:$U$8,"")</f>
        <v/>
      </c>
      <c r="I1518" s="4" t="str">
        <f>_xlfn.IFNA(VLOOKUP(D1518,Master!$I:$K,2,FALSE),"")</f>
        <v/>
      </c>
      <c r="J1518" s="4" t="str">
        <f>_xlfn.IFNA(VLOOKUP(D1518,Master!$I:$K,3,FALSE),"")</f>
        <v/>
      </c>
      <c r="L1518" s="27" t="str">
        <f>IF(A1518&lt;&gt;"CFA",_xlfn.IFNA(VLOOKUP($G1518,Master!$V$2:$Z$8,5,0),""),"")</f>
        <v/>
      </c>
      <c r="P1518" s="6" t="str">
        <f t="shared" si="46"/>
        <v/>
      </c>
      <c r="Q1518" s="13">
        <f t="shared" si="47"/>
        <v>0</v>
      </c>
    </row>
    <row r="1519" spans="2:17" ht="15" customHeight="1">
      <c r="B1519" s="5" t="str">
        <f>_xlfn.IFNA(VLOOKUP(C1519,Master!$H:$I,2,FALSE),"")</f>
        <v/>
      </c>
      <c r="D1519" s="5" t="str">
        <f>_xlfn.IFNA(VLOOKUP(E1519,Master!$H:$I,2,FALSE),"")</f>
        <v/>
      </c>
      <c r="F1519" s="26" t="str">
        <f>+_xlfn.XLOOKUP(G1519,Master!$V$2:$V$8,Master!$U$2:$U$8,"")</f>
        <v/>
      </c>
      <c r="I1519" s="4" t="str">
        <f>_xlfn.IFNA(VLOOKUP(D1519,Master!$I:$K,2,FALSE),"")</f>
        <v/>
      </c>
      <c r="J1519" s="4" t="str">
        <f>_xlfn.IFNA(VLOOKUP(D1519,Master!$I:$K,3,FALSE),"")</f>
        <v/>
      </c>
      <c r="L1519" s="27" t="str">
        <f>IF(A1519&lt;&gt;"CFA",_xlfn.IFNA(VLOOKUP($G1519,Master!$V$2:$Z$8,5,0),""),"")</f>
        <v/>
      </c>
      <c r="P1519" s="6" t="str">
        <f t="shared" si="46"/>
        <v/>
      </c>
      <c r="Q1519" s="13">
        <f t="shared" si="47"/>
        <v>0</v>
      </c>
    </row>
    <row r="1520" spans="2:17" ht="15" customHeight="1">
      <c r="B1520" s="5" t="str">
        <f>_xlfn.IFNA(VLOOKUP(C1520,Master!$H:$I,2,FALSE),"")</f>
        <v/>
      </c>
      <c r="D1520" s="5" t="str">
        <f>_xlfn.IFNA(VLOOKUP(E1520,Master!$H:$I,2,FALSE),"")</f>
        <v/>
      </c>
      <c r="F1520" s="26" t="str">
        <f>+_xlfn.XLOOKUP(G1520,Master!$V$2:$V$8,Master!$U$2:$U$8,"")</f>
        <v/>
      </c>
      <c r="I1520" s="4" t="str">
        <f>_xlfn.IFNA(VLOOKUP(D1520,Master!$I:$K,2,FALSE),"")</f>
        <v/>
      </c>
      <c r="J1520" s="4" t="str">
        <f>_xlfn.IFNA(VLOOKUP(D1520,Master!$I:$K,3,FALSE),"")</f>
        <v/>
      </c>
      <c r="L1520" s="27" t="str">
        <f>IF(A1520&lt;&gt;"CFA",_xlfn.IFNA(VLOOKUP($G1520,Master!$V$2:$Z$8,5,0),""),"")</f>
        <v/>
      </c>
      <c r="P1520" s="6" t="str">
        <f t="shared" si="46"/>
        <v/>
      </c>
      <c r="Q1520" s="13">
        <f t="shared" si="47"/>
        <v>0</v>
      </c>
    </row>
    <row r="1521" spans="2:17" ht="15" customHeight="1">
      <c r="B1521" s="5" t="str">
        <f>_xlfn.IFNA(VLOOKUP(C1521,Master!$H:$I,2,FALSE),"")</f>
        <v/>
      </c>
      <c r="D1521" s="5" t="str">
        <f>_xlfn.IFNA(VLOOKUP(E1521,Master!$H:$I,2,FALSE),"")</f>
        <v/>
      </c>
      <c r="F1521" s="26" t="str">
        <f>+_xlfn.XLOOKUP(G1521,Master!$V$2:$V$8,Master!$U$2:$U$8,"")</f>
        <v/>
      </c>
      <c r="I1521" s="4" t="str">
        <f>_xlfn.IFNA(VLOOKUP(D1521,Master!$I:$K,2,FALSE),"")</f>
        <v/>
      </c>
      <c r="J1521" s="4" t="str">
        <f>_xlfn.IFNA(VLOOKUP(D1521,Master!$I:$K,3,FALSE),"")</f>
        <v/>
      </c>
      <c r="L1521" s="27" t="str">
        <f>IF(A1521&lt;&gt;"CFA",_xlfn.IFNA(VLOOKUP($G1521,Master!$V$2:$Z$8,5,0),""),"")</f>
        <v/>
      </c>
      <c r="P1521" s="6" t="str">
        <f t="shared" si="46"/>
        <v/>
      </c>
      <c r="Q1521" s="13">
        <f t="shared" si="47"/>
        <v>0</v>
      </c>
    </row>
    <row r="1522" spans="2:17" ht="15" customHeight="1">
      <c r="B1522" s="5" t="str">
        <f>_xlfn.IFNA(VLOOKUP(C1522,Master!$H:$I,2,FALSE),"")</f>
        <v/>
      </c>
      <c r="D1522" s="5" t="str">
        <f>_xlfn.IFNA(VLOOKUP(E1522,Master!$H:$I,2,FALSE),"")</f>
        <v/>
      </c>
      <c r="F1522" s="26" t="str">
        <f>+_xlfn.XLOOKUP(G1522,Master!$V$2:$V$8,Master!$U$2:$U$8,"")</f>
        <v/>
      </c>
      <c r="I1522" s="4" t="str">
        <f>_xlfn.IFNA(VLOOKUP(D1522,Master!$I:$K,2,FALSE),"")</f>
        <v/>
      </c>
      <c r="J1522" s="4" t="str">
        <f>_xlfn.IFNA(VLOOKUP(D1522,Master!$I:$K,3,FALSE),"")</f>
        <v/>
      </c>
      <c r="L1522" s="27" t="str">
        <f>IF(A1522&lt;&gt;"CFA",_xlfn.IFNA(VLOOKUP($G1522,Master!$V$2:$Z$8,5,0),""),"")</f>
        <v/>
      </c>
      <c r="P1522" s="6" t="str">
        <f t="shared" si="46"/>
        <v/>
      </c>
      <c r="Q1522" s="13">
        <f t="shared" si="47"/>
        <v>0</v>
      </c>
    </row>
    <row r="1523" spans="2:17" ht="15" customHeight="1">
      <c r="B1523" s="5" t="str">
        <f>_xlfn.IFNA(VLOOKUP(C1523,Master!$H:$I,2,FALSE),"")</f>
        <v/>
      </c>
      <c r="D1523" s="5" t="str">
        <f>_xlfn.IFNA(VLOOKUP(E1523,Master!$H:$I,2,FALSE),"")</f>
        <v/>
      </c>
      <c r="F1523" s="26" t="str">
        <f>+_xlfn.XLOOKUP(G1523,Master!$V$2:$V$8,Master!$U$2:$U$8,"")</f>
        <v/>
      </c>
      <c r="I1523" s="4" t="str">
        <f>_xlfn.IFNA(VLOOKUP(D1523,Master!$I:$K,2,FALSE),"")</f>
        <v/>
      </c>
      <c r="J1523" s="4" t="str">
        <f>_xlfn.IFNA(VLOOKUP(D1523,Master!$I:$K,3,FALSE),"")</f>
        <v/>
      </c>
      <c r="L1523" s="27" t="str">
        <f>IF(A1523&lt;&gt;"CFA",_xlfn.IFNA(VLOOKUP($G1523,Master!$V$2:$Z$8,5,0),""),"")</f>
        <v/>
      </c>
      <c r="P1523" s="6" t="str">
        <f t="shared" si="46"/>
        <v/>
      </c>
      <c r="Q1523" s="13">
        <f t="shared" si="47"/>
        <v>0</v>
      </c>
    </row>
    <row r="1524" spans="2:17" ht="15" customHeight="1">
      <c r="B1524" s="5" t="str">
        <f>_xlfn.IFNA(VLOOKUP(C1524,Master!$H:$I,2,FALSE),"")</f>
        <v/>
      </c>
      <c r="D1524" s="5" t="str">
        <f>_xlfn.IFNA(VLOOKUP(E1524,Master!$H:$I,2,FALSE),"")</f>
        <v/>
      </c>
      <c r="F1524" s="26" t="str">
        <f>+_xlfn.XLOOKUP(G1524,Master!$V$2:$V$8,Master!$U$2:$U$8,"")</f>
        <v/>
      </c>
      <c r="I1524" s="4" t="str">
        <f>_xlfn.IFNA(VLOOKUP(D1524,Master!$I:$K,2,FALSE),"")</f>
        <v/>
      </c>
      <c r="J1524" s="4" t="str">
        <f>_xlfn.IFNA(VLOOKUP(D1524,Master!$I:$K,3,FALSE),"")</f>
        <v/>
      </c>
      <c r="L1524" s="27" t="str">
        <f>IF(A1524&lt;&gt;"CFA",_xlfn.IFNA(VLOOKUP($G1524,Master!$V$2:$Z$8,5,0),""),"")</f>
        <v/>
      </c>
      <c r="P1524" s="6" t="str">
        <f t="shared" si="46"/>
        <v/>
      </c>
      <c r="Q1524" s="13">
        <f t="shared" si="47"/>
        <v>0</v>
      </c>
    </row>
    <row r="1525" spans="2:17" ht="15" customHeight="1">
      <c r="B1525" s="5" t="str">
        <f>_xlfn.IFNA(VLOOKUP(C1525,Master!$H:$I,2,FALSE),"")</f>
        <v/>
      </c>
      <c r="D1525" s="5" t="str">
        <f>_xlfn.IFNA(VLOOKUP(E1525,Master!$H:$I,2,FALSE),"")</f>
        <v/>
      </c>
      <c r="F1525" s="26" t="str">
        <f>+_xlfn.XLOOKUP(G1525,Master!$V$2:$V$8,Master!$U$2:$U$8,"")</f>
        <v/>
      </c>
      <c r="I1525" s="4" t="str">
        <f>_xlfn.IFNA(VLOOKUP(D1525,Master!$I:$K,2,FALSE),"")</f>
        <v/>
      </c>
      <c r="J1525" s="4" t="str">
        <f>_xlfn.IFNA(VLOOKUP(D1525,Master!$I:$K,3,FALSE),"")</f>
        <v/>
      </c>
      <c r="L1525" s="27" t="str">
        <f>IF(A1525&lt;&gt;"CFA",_xlfn.IFNA(VLOOKUP($G1525,Master!$V$2:$Z$8,5,0),""),"")</f>
        <v/>
      </c>
      <c r="P1525" s="6" t="str">
        <f t="shared" si="46"/>
        <v/>
      </c>
      <c r="Q1525" s="13">
        <f t="shared" si="47"/>
        <v>0</v>
      </c>
    </row>
    <row r="1526" spans="2:17" ht="15" customHeight="1">
      <c r="B1526" s="5" t="str">
        <f>_xlfn.IFNA(VLOOKUP(C1526,Master!$H:$I,2,FALSE),"")</f>
        <v/>
      </c>
      <c r="D1526" s="5" t="str">
        <f>_xlfn.IFNA(VLOOKUP(E1526,Master!$H:$I,2,FALSE),"")</f>
        <v/>
      </c>
      <c r="F1526" s="26" t="str">
        <f>+_xlfn.XLOOKUP(G1526,Master!$V$2:$V$8,Master!$U$2:$U$8,"")</f>
        <v/>
      </c>
      <c r="I1526" s="4" t="str">
        <f>_xlfn.IFNA(VLOOKUP(D1526,Master!$I:$K,2,FALSE),"")</f>
        <v/>
      </c>
      <c r="J1526" s="4" t="str">
        <f>_xlfn.IFNA(VLOOKUP(D1526,Master!$I:$K,3,FALSE),"")</f>
        <v/>
      </c>
      <c r="L1526" s="27" t="str">
        <f>IF(A1526&lt;&gt;"CFA",_xlfn.IFNA(VLOOKUP($G1526,Master!$V$2:$Z$8,5,0),""),"")</f>
        <v/>
      </c>
      <c r="P1526" s="6" t="str">
        <f t="shared" si="46"/>
        <v/>
      </c>
      <c r="Q1526" s="13">
        <f t="shared" si="47"/>
        <v>0</v>
      </c>
    </row>
    <row r="1527" spans="2:17" ht="15" customHeight="1">
      <c r="B1527" s="5" t="str">
        <f>_xlfn.IFNA(VLOOKUP(C1527,Master!$H:$I,2,FALSE),"")</f>
        <v/>
      </c>
      <c r="D1527" s="5" t="str">
        <f>_xlfn.IFNA(VLOOKUP(E1527,Master!$H:$I,2,FALSE),"")</f>
        <v/>
      </c>
      <c r="F1527" s="26" t="str">
        <f>+_xlfn.XLOOKUP(G1527,Master!$V$2:$V$8,Master!$U$2:$U$8,"")</f>
        <v/>
      </c>
      <c r="I1527" s="4" t="str">
        <f>_xlfn.IFNA(VLOOKUP(D1527,Master!$I:$K,2,FALSE),"")</f>
        <v/>
      </c>
      <c r="J1527" s="4" t="str">
        <f>_xlfn.IFNA(VLOOKUP(D1527,Master!$I:$K,3,FALSE),"")</f>
        <v/>
      </c>
      <c r="L1527" s="27" t="str">
        <f>IF(A1527&lt;&gt;"CFA",_xlfn.IFNA(VLOOKUP($G1527,Master!$V$2:$Z$8,5,0),""),"")</f>
        <v/>
      </c>
      <c r="P1527" s="6" t="str">
        <f t="shared" ref="P1527:P1590" si="48">IF(N1527&lt;&gt;"",IF(MONTH(N1527)&gt;=4,"FY1"&amp;RIGHT(YEAR(N1527)+1,2),"FY1"&amp;RIGHT(YEAR(N1527),2)),"")</f>
        <v/>
      </c>
      <c r="Q1527" s="13">
        <f t="shared" ref="Q1527:Q1590" si="49">IF(K1527&gt;0&amp;M1527&gt;0,K1527*M1527,"")</f>
        <v>0</v>
      </c>
    </row>
    <row r="1528" spans="2:17" ht="15" customHeight="1">
      <c r="B1528" s="5" t="str">
        <f>_xlfn.IFNA(VLOOKUP(C1528,Master!$H:$I,2,FALSE),"")</f>
        <v/>
      </c>
      <c r="D1528" s="5" t="str">
        <f>_xlfn.IFNA(VLOOKUP(E1528,Master!$H:$I,2,FALSE),"")</f>
        <v/>
      </c>
      <c r="F1528" s="26" t="str">
        <f>+_xlfn.XLOOKUP(G1528,Master!$V$2:$V$8,Master!$U$2:$U$8,"")</f>
        <v/>
      </c>
      <c r="I1528" s="4" t="str">
        <f>_xlfn.IFNA(VLOOKUP(D1528,Master!$I:$K,2,FALSE),"")</f>
        <v/>
      </c>
      <c r="J1528" s="4" t="str">
        <f>_xlfn.IFNA(VLOOKUP(D1528,Master!$I:$K,3,FALSE),"")</f>
        <v/>
      </c>
      <c r="L1528" s="27" t="str">
        <f>IF(A1528&lt;&gt;"CFA",_xlfn.IFNA(VLOOKUP($G1528,Master!$V$2:$Z$8,5,0),""),"")</f>
        <v/>
      </c>
      <c r="P1528" s="6" t="str">
        <f t="shared" si="48"/>
        <v/>
      </c>
      <c r="Q1528" s="13">
        <f t="shared" si="49"/>
        <v>0</v>
      </c>
    </row>
    <row r="1529" spans="2:17" ht="15" customHeight="1">
      <c r="B1529" s="5" t="str">
        <f>_xlfn.IFNA(VLOOKUP(C1529,Master!$H:$I,2,FALSE),"")</f>
        <v/>
      </c>
      <c r="D1529" s="5" t="str">
        <f>_xlfn.IFNA(VLOOKUP(E1529,Master!$H:$I,2,FALSE),"")</f>
        <v/>
      </c>
      <c r="F1529" s="26" t="str">
        <f>+_xlfn.XLOOKUP(G1529,Master!$V$2:$V$8,Master!$U$2:$U$8,"")</f>
        <v/>
      </c>
      <c r="I1529" s="4" t="str">
        <f>_xlfn.IFNA(VLOOKUP(D1529,Master!$I:$K,2,FALSE),"")</f>
        <v/>
      </c>
      <c r="J1529" s="4" t="str">
        <f>_xlfn.IFNA(VLOOKUP(D1529,Master!$I:$K,3,FALSE),"")</f>
        <v/>
      </c>
      <c r="L1529" s="27" t="str">
        <f>IF(A1529&lt;&gt;"CFA",_xlfn.IFNA(VLOOKUP($G1529,Master!$V$2:$Z$8,5,0),""),"")</f>
        <v/>
      </c>
      <c r="P1529" s="6" t="str">
        <f t="shared" si="48"/>
        <v/>
      </c>
      <c r="Q1529" s="13">
        <f t="shared" si="49"/>
        <v>0</v>
      </c>
    </row>
    <row r="1530" spans="2:17" ht="15" customHeight="1">
      <c r="B1530" s="5" t="str">
        <f>_xlfn.IFNA(VLOOKUP(C1530,Master!$H:$I,2,FALSE),"")</f>
        <v/>
      </c>
      <c r="D1530" s="5" t="str">
        <f>_xlfn.IFNA(VLOOKUP(E1530,Master!$H:$I,2,FALSE),"")</f>
        <v/>
      </c>
      <c r="F1530" s="26" t="str">
        <f>+_xlfn.XLOOKUP(G1530,Master!$V$2:$V$8,Master!$U$2:$U$8,"")</f>
        <v/>
      </c>
      <c r="I1530" s="4" t="str">
        <f>_xlfn.IFNA(VLOOKUP(D1530,Master!$I:$K,2,FALSE),"")</f>
        <v/>
      </c>
      <c r="J1530" s="4" t="str">
        <f>_xlfn.IFNA(VLOOKUP(D1530,Master!$I:$K,3,FALSE),"")</f>
        <v/>
      </c>
      <c r="L1530" s="27" t="str">
        <f>IF(A1530&lt;&gt;"CFA",_xlfn.IFNA(VLOOKUP($G1530,Master!$V$2:$Z$8,5,0),""),"")</f>
        <v/>
      </c>
      <c r="P1530" s="6" t="str">
        <f t="shared" si="48"/>
        <v/>
      </c>
      <c r="Q1530" s="13">
        <f t="shared" si="49"/>
        <v>0</v>
      </c>
    </row>
    <row r="1531" spans="2:17" ht="15" customHeight="1">
      <c r="B1531" s="5" t="str">
        <f>_xlfn.IFNA(VLOOKUP(C1531,Master!$H:$I,2,FALSE),"")</f>
        <v/>
      </c>
      <c r="D1531" s="5" t="str">
        <f>_xlfn.IFNA(VLOOKUP(E1531,Master!$H:$I,2,FALSE),"")</f>
        <v/>
      </c>
      <c r="F1531" s="26" t="str">
        <f>+_xlfn.XLOOKUP(G1531,Master!$V$2:$V$8,Master!$U$2:$U$8,"")</f>
        <v/>
      </c>
      <c r="I1531" s="4" t="str">
        <f>_xlfn.IFNA(VLOOKUP(D1531,Master!$I:$K,2,FALSE),"")</f>
        <v/>
      </c>
      <c r="J1531" s="4" t="str">
        <f>_xlfn.IFNA(VLOOKUP(D1531,Master!$I:$K,3,FALSE),"")</f>
        <v/>
      </c>
      <c r="L1531" s="27" t="str">
        <f>IF(A1531&lt;&gt;"CFA",_xlfn.IFNA(VLOOKUP($G1531,Master!$V$2:$Z$8,5,0),""),"")</f>
        <v/>
      </c>
      <c r="P1531" s="6" t="str">
        <f t="shared" si="48"/>
        <v/>
      </c>
      <c r="Q1531" s="13">
        <f t="shared" si="49"/>
        <v>0</v>
      </c>
    </row>
    <row r="1532" spans="2:17" ht="15" customHeight="1">
      <c r="B1532" s="5" t="str">
        <f>_xlfn.IFNA(VLOOKUP(C1532,Master!$H:$I,2,FALSE),"")</f>
        <v/>
      </c>
      <c r="D1532" s="5" t="str">
        <f>_xlfn.IFNA(VLOOKUP(E1532,Master!$H:$I,2,FALSE),"")</f>
        <v/>
      </c>
      <c r="F1532" s="26" t="str">
        <f>+_xlfn.XLOOKUP(G1532,Master!$V$2:$V$8,Master!$U$2:$U$8,"")</f>
        <v/>
      </c>
      <c r="I1532" s="4" t="str">
        <f>_xlfn.IFNA(VLOOKUP(D1532,Master!$I:$K,2,FALSE),"")</f>
        <v/>
      </c>
      <c r="J1532" s="4" t="str">
        <f>_xlfn.IFNA(VLOOKUP(D1532,Master!$I:$K,3,FALSE),"")</f>
        <v/>
      </c>
      <c r="L1532" s="27" t="str">
        <f>IF(A1532&lt;&gt;"CFA",_xlfn.IFNA(VLOOKUP($G1532,Master!$V$2:$Z$8,5,0),""),"")</f>
        <v/>
      </c>
      <c r="P1532" s="6" t="str">
        <f t="shared" si="48"/>
        <v/>
      </c>
      <c r="Q1532" s="13">
        <f t="shared" si="49"/>
        <v>0</v>
      </c>
    </row>
    <row r="1533" spans="2:17" ht="15" customHeight="1">
      <c r="B1533" s="5" t="str">
        <f>_xlfn.IFNA(VLOOKUP(C1533,Master!$H:$I,2,FALSE),"")</f>
        <v/>
      </c>
      <c r="D1533" s="5" t="str">
        <f>_xlfn.IFNA(VLOOKUP(E1533,Master!$H:$I,2,FALSE),"")</f>
        <v/>
      </c>
      <c r="F1533" s="26" t="str">
        <f>+_xlfn.XLOOKUP(G1533,Master!$V$2:$V$8,Master!$U$2:$U$8,"")</f>
        <v/>
      </c>
      <c r="I1533" s="4" t="str">
        <f>_xlfn.IFNA(VLOOKUP(D1533,Master!$I:$K,2,FALSE),"")</f>
        <v/>
      </c>
      <c r="J1533" s="4" t="str">
        <f>_xlfn.IFNA(VLOOKUP(D1533,Master!$I:$K,3,FALSE),"")</f>
        <v/>
      </c>
      <c r="L1533" s="27" t="str">
        <f>IF(A1533&lt;&gt;"CFA",_xlfn.IFNA(VLOOKUP($G1533,Master!$V$2:$Z$8,5,0),""),"")</f>
        <v/>
      </c>
      <c r="P1533" s="6" t="str">
        <f t="shared" si="48"/>
        <v/>
      </c>
      <c r="Q1533" s="13">
        <f t="shared" si="49"/>
        <v>0</v>
      </c>
    </row>
    <row r="1534" spans="2:17" ht="15" customHeight="1">
      <c r="B1534" s="5" t="str">
        <f>_xlfn.IFNA(VLOOKUP(C1534,Master!$H:$I,2,FALSE),"")</f>
        <v/>
      </c>
      <c r="D1534" s="5" t="str">
        <f>_xlfn.IFNA(VLOOKUP(E1534,Master!$H:$I,2,FALSE),"")</f>
        <v/>
      </c>
      <c r="F1534" s="26" t="str">
        <f>+_xlfn.XLOOKUP(G1534,Master!$V$2:$V$8,Master!$U$2:$U$8,"")</f>
        <v/>
      </c>
      <c r="I1534" s="4" t="str">
        <f>_xlfn.IFNA(VLOOKUP(D1534,Master!$I:$K,2,FALSE),"")</f>
        <v/>
      </c>
      <c r="J1534" s="4" t="str">
        <f>_xlfn.IFNA(VLOOKUP(D1534,Master!$I:$K,3,FALSE),"")</f>
        <v/>
      </c>
      <c r="L1534" s="27" t="str">
        <f>IF(A1534&lt;&gt;"CFA",_xlfn.IFNA(VLOOKUP($G1534,Master!$V$2:$Z$8,5,0),""),"")</f>
        <v/>
      </c>
      <c r="P1534" s="6" t="str">
        <f t="shared" si="48"/>
        <v/>
      </c>
      <c r="Q1534" s="13">
        <f t="shared" si="49"/>
        <v>0</v>
      </c>
    </row>
    <row r="1535" spans="2:17" ht="15" customHeight="1">
      <c r="B1535" s="5" t="str">
        <f>_xlfn.IFNA(VLOOKUP(C1535,Master!$H:$I,2,FALSE),"")</f>
        <v/>
      </c>
      <c r="D1535" s="5" t="str">
        <f>_xlfn.IFNA(VLOOKUP(E1535,Master!$H:$I,2,FALSE),"")</f>
        <v/>
      </c>
      <c r="F1535" s="26" t="str">
        <f>+_xlfn.XLOOKUP(G1535,Master!$V$2:$V$8,Master!$U$2:$U$8,"")</f>
        <v/>
      </c>
      <c r="I1535" s="4" t="str">
        <f>_xlfn.IFNA(VLOOKUP(D1535,Master!$I:$K,2,FALSE),"")</f>
        <v/>
      </c>
      <c r="J1535" s="4" t="str">
        <f>_xlfn.IFNA(VLOOKUP(D1535,Master!$I:$K,3,FALSE),"")</f>
        <v/>
      </c>
      <c r="L1535" s="27" t="str">
        <f>IF(A1535&lt;&gt;"CFA",_xlfn.IFNA(VLOOKUP($G1535,Master!$V$2:$Z$8,5,0),""),"")</f>
        <v/>
      </c>
      <c r="P1535" s="6" t="str">
        <f t="shared" si="48"/>
        <v/>
      </c>
      <c r="Q1535" s="13">
        <f t="shared" si="49"/>
        <v>0</v>
      </c>
    </row>
    <row r="1536" spans="2:17" ht="15" customHeight="1">
      <c r="B1536" s="5" t="str">
        <f>_xlfn.IFNA(VLOOKUP(C1536,Master!$H:$I,2,FALSE),"")</f>
        <v/>
      </c>
      <c r="D1536" s="5" t="str">
        <f>_xlfn.IFNA(VLOOKUP(E1536,Master!$H:$I,2,FALSE),"")</f>
        <v/>
      </c>
      <c r="F1536" s="26" t="str">
        <f>+_xlfn.XLOOKUP(G1536,Master!$V$2:$V$8,Master!$U$2:$U$8,"")</f>
        <v/>
      </c>
      <c r="I1536" s="4" t="str">
        <f>_xlfn.IFNA(VLOOKUP(D1536,Master!$I:$K,2,FALSE),"")</f>
        <v/>
      </c>
      <c r="J1536" s="4" t="str">
        <f>_xlfn.IFNA(VLOOKUP(D1536,Master!$I:$K,3,FALSE),"")</f>
        <v/>
      </c>
      <c r="L1536" s="27" t="str">
        <f>IF(A1536&lt;&gt;"CFA",_xlfn.IFNA(VLOOKUP($G1536,Master!$V$2:$Z$8,5,0),""),"")</f>
        <v/>
      </c>
      <c r="P1536" s="6" t="str">
        <f t="shared" si="48"/>
        <v/>
      </c>
      <c r="Q1536" s="13">
        <f t="shared" si="49"/>
        <v>0</v>
      </c>
    </row>
    <row r="1537" spans="2:17" ht="15" customHeight="1">
      <c r="B1537" s="5" t="str">
        <f>_xlfn.IFNA(VLOOKUP(C1537,Master!$H:$I,2,FALSE),"")</f>
        <v/>
      </c>
      <c r="D1537" s="5" t="str">
        <f>_xlfn.IFNA(VLOOKUP(E1537,Master!$H:$I,2,FALSE),"")</f>
        <v/>
      </c>
      <c r="F1537" s="26" t="str">
        <f>+_xlfn.XLOOKUP(G1537,Master!$V$2:$V$8,Master!$U$2:$U$8,"")</f>
        <v/>
      </c>
      <c r="I1537" s="4" t="str">
        <f>_xlfn.IFNA(VLOOKUP(D1537,Master!$I:$K,2,FALSE),"")</f>
        <v/>
      </c>
      <c r="J1537" s="4" t="str">
        <f>_xlfn.IFNA(VLOOKUP(D1537,Master!$I:$K,3,FALSE),"")</f>
        <v/>
      </c>
      <c r="L1537" s="27" t="str">
        <f>IF(A1537&lt;&gt;"CFA",_xlfn.IFNA(VLOOKUP($G1537,Master!$V$2:$Z$8,5,0),""),"")</f>
        <v/>
      </c>
      <c r="P1537" s="6" t="str">
        <f t="shared" si="48"/>
        <v/>
      </c>
      <c r="Q1537" s="13">
        <f t="shared" si="49"/>
        <v>0</v>
      </c>
    </row>
    <row r="1538" spans="2:17" ht="15" customHeight="1">
      <c r="B1538" s="5" t="str">
        <f>_xlfn.IFNA(VLOOKUP(C1538,Master!$H:$I,2,FALSE),"")</f>
        <v/>
      </c>
      <c r="D1538" s="5" t="str">
        <f>_xlfn.IFNA(VLOOKUP(E1538,Master!$H:$I,2,FALSE),"")</f>
        <v/>
      </c>
      <c r="F1538" s="26" t="str">
        <f>+_xlfn.XLOOKUP(G1538,Master!$V$2:$V$8,Master!$U$2:$U$8,"")</f>
        <v/>
      </c>
      <c r="I1538" s="4" t="str">
        <f>_xlfn.IFNA(VLOOKUP(D1538,Master!$I:$K,2,FALSE),"")</f>
        <v/>
      </c>
      <c r="J1538" s="4" t="str">
        <f>_xlfn.IFNA(VLOOKUP(D1538,Master!$I:$K,3,FALSE),"")</f>
        <v/>
      </c>
      <c r="L1538" s="27" t="str">
        <f>IF(A1538&lt;&gt;"CFA",_xlfn.IFNA(VLOOKUP($G1538,Master!$V$2:$Z$8,5,0),""),"")</f>
        <v/>
      </c>
      <c r="P1538" s="6" t="str">
        <f t="shared" si="48"/>
        <v/>
      </c>
      <c r="Q1538" s="13">
        <f t="shared" si="49"/>
        <v>0</v>
      </c>
    </row>
    <row r="1539" spans="2:17" ht="15" customHeight="1">
      <c r="B1539" s="5" t="str">
        <f>_xlfn.IFNA(VLOOKUP(C1539,Master!$H:$I,2,FALSE),"")</f>
        <v/>
      </c>
      <c r="D1539" s="5" t="str">
        <f>_xlfn.IFNA(VLOOKUP(E1539,Master!$H:$I,2,FALSE),"")</f>
        <v/>
      </c>
      <c r="F1539" s="26" t="str">
        <f>+_xlfn.XLOOKUP(G1539,Master!$V$2:$V$8,Master!$U$2:$U$8,"")</f>
        <v/>
      </c>
      <c r="I1539" s="4" t="str">
        <f>_xlfn.IFNA(VLOOKUP(D1539,Master!$I:$K,2,FALSE),"")</f>
        <v/>
      </c>
      <c r="J1539" s="4" t="str">
        <f>_xlfn.IFNA(VLOOKUP(D1539,Master!$I:$K,3,FALSE),"")</f>
        <v/>
      </c>
      <c r="L1539" s="27" t="str">
        <f>IF(A1539&lt;&gt;"CFA",_xlfn.IFNA(VLOOKUP($G1539,Master!$V$2:$Z$8,5,0),""),"")</f>
        <v/>
      </c>
      <c r="P1539" s="6" t="str">
        <f t="shared" si="48"/>
        <v/>
      </c>
      <c r="Q1539" s="13">
        <f t="shared" si="49"/>
        <v>0</v>
      </c>
    </row>
    <row r="1540" spans="2:17" ht="15" customHeight="1">
      <c r="B1540" s="5" t="str">
        <f>_xlfn.IFNA(VLOOKUP(C1540,Master!$H:$I,2,FALSE),"")</f>
        <v/>
      </c>
      <c r="D1540" s="5" t="str">
        <f>_xlfn.IFNA(VLOOKUP(E1540,Master!$H:$I,2,FALSE),"")</f>
        <v/>
      </c>
      <c r="F1540" s="26" t="str">
        <f>+_xlfn.XLOOKUP(G1540,Master!$V$2:$V$8,Master!$U$2:$U$8,"")</f>
        <v/>
      </c>
      <c r="I1540" s="4" t="str">
        <f>_xlfn.IFNA(VLOOKUP(D1540,Master!$I:$K,2,FALSE),"")</f>
        <v/>
      </c>
      <c r="J1540" s="4" t="str">
        <f>_xlfn.IFNA(VLOOKUP(D1540,Master!$I:$K,3,FALSE),"")</f>
        <v/>
      </c>
      <c r="L1540" s="27" t="str">
        <f>IF(A1540&lt;&gt;"CFA",_xlfn.IFNA(VLOOKUP($G1540,Master!$V$2:$Z$8,5,0),""),"")</f>
        <v/>
      </c>
      <c r="P1540" s="6" t="str">
        <f t="shared" si="48"/>
        <v/>
      </c>
      <c r="Q1540" s="13">
        <f t="shared" si="49"/>
        <v>0</v>
      </c>
    </row>
    <row r="1541" spans="2:17" ht="15" customHeight="1">
      <c r="B1541" s="5" t="str">
        <f>_xlfn.IFNA(VLOOKUP(C1541,Master!$H:$I,2,FALSE),"")</f>
        <v/>
      </c>
      <c r="D1541" s="5" t="str">
        <f>_xlfn.IFNA(VLOOKUP(E1541,Master!$H:$I,2,FALSE),"")</f>
        <v/>
      </c>
      <c r="F1541" s="26" t="str">
        <f>+_xlfn.XLOOKUP(G1541,Master!$V$2:$V$8,Master!$U$2:$U$8,"")</f>
        <v/>
      </c>
      <c r="I1541" s="4" t="str">
        <f>_xlfn.IFNA(VLOOKUP(D1541,Master!$I:$K,2,FALSE),"")</f>
        <v/>
      </c>
      <c r="J1541" s="4" t="str">
        <f>_xlfn.IFNA(VLOOKUP(D1541,Master!$I:$K,3,FALSE),"")</f>
        <v/>
      </c>
      <c r="L1541" s="27" t="str">
        <f>IF(A1541&lt;&gt;"CFA",_xlfn.IFNA(VLOOKUP($G1541,Master!$V$2:$Z$8,5,0),""),"")</f>
        <v/>
      </c>
      <c r="P1541" s="6" t="str">
        <f t="shared" si="48"/>
        <v/>
      </c>
      <c r="Q1541" s="13">
        <f t="shared" si="49"/>
        <v>0</v>
      </c>
    </row>
    <row r="1542" spans="2:17" ht="15" customHeight="1">
      <c r="B1542" s="5" t="str">
        <f>_xlfn.IFNA(VLOOKUP(C1542,Master!$H:$I,2,FALSE),"")</f>
        <v/>
      </c>
      <c r="D1542" s="5" t="str">
        <f>_xlfn.IFNA(VLOOKUP(E1542,Master!$H:$I,2,FALSE),"")</f>
        <v/>
      </c>
      <c r="F1542" s="26" t="str">
        <f>+_xlfn.XLOOKUP(G1542,Master!$V$2:$V$8,Master!$U$2:$U$8,"")</f>
        <v/>
      </c>
      <c r="I1542" s="4" t="str">
        <f>_xlfn.IFNA(VLOOKUP(D1542,Master!$I:$K,2,FALSE),"")</f>
        <v/>
      </c>
      <c r="J1542" s="4" t="str">
        <f>_xlfn.IFNA(VLOOKUP(D1542,Master!$I:$K,3,FALSE),"")</f>
        <v/>
      </c>
      <c r="L1542" s="27" t="str">
        <f>IF(A1542&lt;&gt;"CFA",_xlfn.IFNA(VLOOKUP($G1542,Master!$V$2:$Z$8,5,0),""),"")</f>
        <v/>
      </c>
      <c r="P1542" s="6" t="str">
        <f t="shared" si="48"/>
        <v/>
      </c>
      <c r="Q1542" s="13">
        <f t="shared" si="49"/>
        <v>0</v>
      </c>
    </row>
    <row r="1543" spans="2:17" ht="15" customHeight="1">
      <c r="B1543" s="5" t="str">
        <f>_xlfn.IFNA(VLOOKUP(C1543,Master!$H:$I,2,FALSE),"")</f>
        <v/>
      </c>
      <c r="D1543" s="5" t="str">
        <f>_xlfn.IFNA(VLOOKUP(E1543,Master!$H:$I,2,FALSE),"")</f>
        <v/>
      </c>
      <c r="F1543" s="26" t="str">
        <f>+_xlfn.XLOOKUP(G1543,Master!$V$2:$V$8,Master!$U$2:$U$8,"")</f>
        <v/>
      </c>
      <c r="I1543" s="4" t="str">
        <f>_xlfn.IFNA(VLOOKUP(D1543,Master!$I:$K,2,FALSE),"")</f>
        <v/>
      </c>
      <c r="J1543" s="4" t="str">
        <f>_xlfn.IFNA(VLOOKUP(D1543,Master!$I:$K,3,FALSE),"")</f>
        <v/>
      </c>
      <c r="L1543" s="27" t="str">
        <f>IF(A1543&lt;&gt;"CFA",_xlfn.IFNA(VLOOKUP($G1543,Master!$V$2:$Z$8,5,0),""),"")</f>
        <v/>
      </c>
      <c r="P1543" s="6" t="str">
        <f t="shared" si="48"/>
        <v/>
      </c>
      <c r="Q1543" s="13">
        <f t="shared" si="49"/>
        <v>0</v>
      </c>
    </row>
    <row r="1544" spans="2:17" ht="15" customHeight="1">
      <c r="B1544" s="5" t="str">
        <f>_xlfn.IFNA(VLOOKUP(C1544,Master!$H:$I,2,FALSE),"")</f>
        <v/>
      </c>
      <c r="D1544" s="5" t="str">
        <f>_xlfn.IFNA(VLOOKUP(E1544,Master!$H:$I,2,FALSE),"")</f>
        <v/>
      </c>
      <c r="F1544" s="26" t="str">
        <f>+_xlfn.XLOOKUP(G1544,Master!$V$2:$V$8,Master!$U$2:$U$8,"")</f>
        <v/>
      </c>
      <c r="I1544" s="4" t="str">
        <f>_xlfn.IFNA(VLOOKUP(D1544,Master!$I:$K,2,FALSE),"")</f>
        <v/>
      </c>
      <c r="J1544" s="4" t="str">
        <f>_xlfn.IFNA(VLOOKUP(D1544,Master!$I:$K,3,FALSE),"")</f>
        <v/>
      </c>
      <c r="L1544" s="27" t="str">
        <f>IF(A1544&lt;&gt;"CFA",_xlfn.IFNA(VLOOKUP($G1544,Master!$V$2:$Z$8,5,0),""),"")</f>
        <v/>
      </c>
      <c r="P1544" s="6" t="str">
        <f t="shared" si="48"/>
        <v/>
      </c>
      <c r="Q1544" s="13">
        <f t="shared" si="49"/>
        <v>0</v>
      </c>
    </row>
    <row r="1545" spans="2:17" ht="15" customHeight="1">
      <c r="B1545" s="5" t="str">
        <f>_xlfn.IFNA(VLOOKUP(C1545,Master!$H:$I,2,FALSE),"")</f>
        <v/>
      </c>
      <c r="D1545" s="5" t="str">
        <f>_xlfn.IFNA(VLOOKUP(E1545,Master!$H:$I,2,FALSE),"")</f>
        <v/>
      </c>
      <c r="F1545" s="26" t="str">
        <f>+_xlfn.XLOOKUP(G1545,Master!$V$2:$V$8,Master!$U$2:$U$8,"")</f>
        <v/>
      </c>
      <c r="I1545" s="4" t="str">
        <f>_xlfn.IFNA(VLOOKUP(D1545,Master!$I:$K,2,FALSE),"")</f>
        <v/>
      </c>
      <c r="J1545" s="4" t="str">
        <f>_xlfn.IFNA(VLOOKUP(D1545,Master!$I:$K,3,FALSE),"")</f>
        <v/>
      </c>
      <c r="L1545" s="27" t="str">
        <f>IF(A1545&lt;&gt;"CFA",_xlfn.IFNA(VLOOKUP($G1545,Master!$V$2:$Z$8,5,0),""),"")</f>
        <v/>
      </c>
      <c r="P1545" s="6" t="str">
        <f t="shared" si="48"/>
        <v/>
      </c>
      <c r="Q1545" s="13">
        <f t="shared" si="49"/>
        <v>0</v>
      </c>
    </row>
    <row r="1546" spans="2:17" ht="15" customHeight="1">
      <c r="B1546" s="5" t="str">
        <f>_xlfn.IFNA(VLOOKUP(C1546,Master!$H:$I,2,FALSE),"")</f>
        <v/>
      </c>
      <c r="D1546" s="5" t="str">
        <f>_xlfn.IFNA(VLOOKUP(E1546,Master!$H:$I,2,FALSE),"")</f>
        <v/>
      </c>
      <c r="F1546" s="26" t="str">
        <f>+_xlfn.XLOOKUP(G1546,Master!$V$2:$V$8,Master!$U$2:$U$8,"")</f>
        <v/>
      </c>
      <c r="I1546" s="4" t="str">
        <f>_xlfn.IFNA(VLOOKUP(D1546,Master!$I:$K,2,FALSE),"")</f>
        <v/>
      </c>
      <c r="J1546" s="4" t="str">
        <f>_xlfn.IFNA(VLOOKUP(D1546,Master!$I:$K,3,FALSE),"")</f>
        <v/>
      </c>
      <c r="L1546" s="27" t="str">
        <f>IF(A1546&lt;&gt;"CFA",_xlfn.IFNA(VLOOKUP($G1546,Master!$V$2:$Z$8,5,0),""),"")</f>
        <v/>
      </c>
      <c r="P1546" s="6" t="str">
        <f t="shared" si="48"/>
        <v/>
      </c>
      <c r="Q1546" s="13">
        <f t="shared" si="49"/>
        <v>0</v>
      </c>
    </row>
    <row r="1547" spans="2:17" ht="15" customHeight="1">
      <c r="B1547" s="5" t="str">
        <f>_xlfn.IFNA(VLOOKUP(C1547,Master!$H:$I,2,FALSE),"")</f>
        <v/>
      </c>
      <c r="D1547" s="5" t="str">
        <f>_xlfn.IFNA(VLOOKUP(E1547,Master!$H:$I,2,FALSE),"")</f>
        <v/>
      </c>
      <c r="F1547" s="26" t="str">
        <f>+_xlfn.XLOOKUP(G1547,Master!$V$2:$V$8,Master!$U$2:$U$8,"")</f>
        <v/>
      </c>
      <c r="I1547" s="4" t="str">
        <f>_xlfn.IFNA(VLOOKUP(D1547,Master!$I:$K,2,FALSE),"")</f>
        <v/>
      </c>
      <c r="J1547" s="4" t="str">
        <f>_xlfn.IFNA(VLOOKUP(D1547,Master!$I:$K,3,FALSE),"")</f>
        <v/>
      </c>
      <c r="L1547" s="27" t="str">
        <f>IF(A1547&lt;&gt;"CFA",_xlfn.IFNA(VLOOKUP($G1547,Master!$V$2:$Z$8,5,0),""),"")</f>
        <v/>
      </c>
      <c r="P1547" s="6" t="str">
        <f t="shared" si="48"/>
        <v/>
      </c>
      <c r="Q1547" s="13">
        <f t="shared" si="49"/>
        <v>0</v>
      </c>
    </row>
    <row r="1548" spans="2:17" ht="15" customHeight="1">
      <c r="B1548" s="5" t="str">
        <f>_xlfn.IFNA(VLOOKUP(C1548,Master!$H:$I,2,FALSE),"")</f>
        <v/>
      </c>
      <c r="D1548" s="5" t="str">
        <f>_xlfn.IFNA(VLOOKUP(E1548,Master!$H:$I,2,FALSE),"")</f>
        <v/>
      </c>
      <c r="F1548" s="26" t="str">
        <f>+_xlfn.XLOOKUP(G1548,Master!$V$2:$V$8,Master!$U$2:$U$8,"")</f>
        <v/>
      </c>
      <c r="I1548" s="4" t="str">
        <f>_xlfn.IFNA(VLOOKUP(D1548,Master!$I:$K,2,FALSE),"")</f>
        <v/>
      </c>
      <c r="J1548" s="4" t="str">
        <f>_xlfn.IFNA(VLOOKUP(D1548,Master!$I:$K,3,FALSE),"")</f>
        <v/>
      </c>
      <c r="L1548" s="27" t="str">
        <f>IF(A1548&lt;&gt;"CFA",_xlfn.IFNA(VLOOKUP($G1548,Master!$V$2:$Z$8,5,0),""),"")</f>
        <v/>
      </c>
      <c r="P1548" s="6" t="str">
        <f t="shared" si="48"/>
        <v/>
      </c>
      <c r="Q1548" s="13">
        <f t="shared" si="49"/>
        <v>0</v>
      </c>
    </row>
    <row r="1549" spans="2:17" ht="15" customHeight="1">
      <c r="B1549" s="5" t="str">
        <f>_xlfn.IFNA(VLOOKUP(C1549,Master!$H:$I,2,FALSE),"")</f>
        <v/>
      </c>
      <c r="D1549" s="5" t="str">
        <f>_xlfn.IFNA(VLOOKUP(E1549,Master!$H:$I,2,FALSE),"")</f>
        <v/>
      </c>
      <c r="F1549" s="26" t="str">
        <f>+_xlfn.XLOOKUP(G1549,Master!$V$2:$V$8,Master!$U$2:$U$8,"")</f>
        <v/>
      </c>
      <c r="I1549" s="4" t="str">
        <f>_xlfn.IFNA(VLOOKUP(D1549,Master!$I:$K,2,FALSE),"")</f>
        <v/>
      </c>
      <c r="J1549" s="4" t="str">
        <f>_xlfn.IFNA(VLOOKUP(D1549,Master!$I:$K,3,FALSE),"")</f>
        <v/>
      </c>
      <c r="L1549" s="27" t="str">
        <f>IF(A1549&lt;&gt;"CFA",_xlfn.IFNA(VLOOKUP($G1549,Master!$V$2:$Z$8,5,0),""),"")</f>
        <v/>
      </c>
      <c r="P1549" s="6" t="str">
        <f t="shared" si="48"/>
        <v/>
      </c>
      <c r="Q1549" s="13">
        <f t="shared" si="49"/>
        <v>0</v>
      </c>
    </row>
    <row r="1550" spans="2:17" ht="15" customHeight="1">
      <c r="B1550" s="5" t="str">
        <f>_xlfn.IFNA(VLOOKUP(C1550,Master!$H:$I,2,FALSE),"")</f>
        <v/>
      </c>
      <c r="D1550" s="5" t="str">
        <f>_xlfn.IFNA(VLOOKUP(E1550,Master!$H:$I,2,FALSE),"")</f>
        <v/>
      </c>
      <c r="F1550" s="26" t="str">
        <f>+_xlfn.XLOOKUP(G1550,Master!$V$2:$V$8,Master!$U$2:$U$8,"")</f>
        <v/>
      </c>
      <c r="I1550" s="4" t="str">
        <f>_xlfn.IFNA(VLOOKUP(D1550,Master!$I:$K,2,FALSE),"")</f>
        <v/>
      </c>
      <c r="J1550" s="4" t="str">
        <f>_xlfn.IFNA(VLOOKUP(D1550,Master!$I:$K,3,FALSE),"")</f>
        <v/>
      </c>
      <c r="L1550" s="27" t="str">
        <f>IF(A1550&lt;&gt;"CFA",_xlfn.IFNA(VLOOKUP($G1550,Master!$V$2:$Z$8,5,0),""),"")</f>
        <v/>
      </c>
      <c r="P1550" s="6" t="str">
        <f t="shared" si="48"/>
        <v/>
      </c>
      <c r="Q1550" s="13">
        <f t="shared" si="49"/>
        <v>0</v>
      </c>
    </row>
    <row r="1551" spans="2:17" ht="15" customHeight="1">
      <c r="B1551" s="5" t="str">
        <f>_xlfn.IFNA(VLOOKUP(C1551,Master!$H:$I,2,FALSE),"")</f>
        <v/>
      </c>
      <c r="D1551" s="5" t="str">
        <f>_xlfn.IFNA(VLOOKUP(E1551,Master!$H:$I,2,FALSE),"")</f>
        <v/>
      </c>
      <c r="F1551" s="26" t="str">
        <f>+_xlfn.XLOOKUP(G1551,Master!$V$2:$V$8,Master!$U$2:$U$8,"")</f>
        <v/>
      </c>
      <c r="I1551" s="4" t="str">
        <f>_xlfn.IFNA(VLOOKUP(D1551,Master!$I:$K,2,FALSE),"")</f>
        <v/>
      </c>
      <c r="J1551" s="4" t="str">
        <f>_xlfn.IFNA(VLOOKUP(D1551,Master!$I:$K,3,FALSE),"")</f>
        <v/>
      </c>
      <c r="L1551" s="27" t="str">
        <f>IF(A1551&lt;&gt;"CFA",_xlfn.IFNA(VLOOKUP($G1551,Master!$V$2:$Z$8,5,0),""),"")</f>
        <v/>
      </c>
      <c r="P1551" s="6" t="str">
        <f t="shared" si="48"/>
        <v/>
      </c>
      <c r="Q1551" s="13">
        <f t="shared" si="49"/>
        <v>0</v>
      </c>
    </row>
    <row r="1552" spans="2:17" ht="15" customHeight="1">
      <c r="B1552" s="5" t="str">
        <f>_xlfn.IFNA(VLOOKUP(C1552,Master!$H:$I,2,FALSE),"")</f>
        <v/>
      </c>
      <c r="D1552" s="5" t="str">
        <f>_xlfn.IFNA(VLOOKUP(E1552,Master!$H:$I,2,FALSE),"")</f>
        <v/>
      </c>
      <c r="F1552" s="26" t="str">
        <f>+_xlfn.XLOOKUP(G1552,Master!$V$2:$V$8,Master!$U$2:$U$8,"")</f>
        <v/>
      </c>
      <c r="I1552" s="4" t="str">
        <f>_xlfn.IFNA(VLOOKUP(D1552,Master!$I:$K,2,FALSE),"")</f>
        <v/>
      </c>
      <c r="J1552" s="4" t="str">
        <f>_xlfn.IFNA(VLOOKUP(D1552,Master!$I:$K,3,FALSE),"")</f>
        <v/>
      </c>
      <c r="L1552" s="27" t="str">
        <f>IF(A1552&lt;&gt;"CFA",_xlfn.IFNA(VLOOKUP($G1552,Master!$V$2:$Z$8,5,0),""),"")</f>
        <v/>
      </c>
      <c r="P1552" s="6" t="str">
        <f t="shared" si="48"/>
        <v/>
      </c>
      <c r="Q1552" s="13">
        <f t="shared" si="49"/>
        <v>0</v>
      </c>
    </row>
    <row r="1553" spans="2:17" ht="15" customHeight="1">
      <c r="B1553" s="5" t="str">
        <f>_xlfn.IFNA(VLOOKUP(C1553,Master!$H:$I,2,FALSE),"")</f>
        <v/>
      </c>
      <c r="D1553" s="5" t="str">
        <f>_xlfn.IFNA(VLOOKUP(E1553,Master!$H:$I,2,FALSE),"")</f>
        <v/>
      </c>
      <c r="F1553" s="26" t="str">
        <f>+_xlfn.XLOOKUP(G1553,Master!$V$2:$V$8,Master!$U$2:$U$8,"")</f>
        <v/>
      </c>
      <c r="I1553" s="4" t="str">
        <f>_xlfn.IFNA(VLOOKUP(D1553,Master!$I:$K,2,FALSE),"")</f>
        <v/>
      </c>
      <c r="J1553" s="4" t="str">
        <f>_xlfn.IFNA(VLOOKUP(D1553,Master!$I:$K,3,FALSE),"")</f>
        <v/>
      </c>
      <c r="L1553" s="27" t="str">
        <f>IF(A1553&lt;&gt;"CFA",_xlfn.IFNA(VLOOKUP($G1553,Master!$V$2:$Z$8,5,0),""),"")</f>
        <v/>
      </c>
      <c r="P1553" s="6" t="str">
        <f t="shared" si="48"/>
        <v/>
      </c>
      <c r="Q1553" s="13">
        <f t="shared" si="49"/>
        <v>0</v>
      </c>
    </row>
    <row r="1554" spans="2:17" ht="15" customHeight="1">
      <c r="B1554" s="5" t="str">
        <f>_xlfn.IFNA(VLOOKUP(C1554,Master!$H:$I,2,FALSE),"")</f>
        <v/>
      </c>
      <c r="D1554" s="5" t="str">
        <f>_xlfn.IFNA(VLOOKUP(E1554,Master!$H:$I,2,FALSE),"")</f>
        <v/>
      </c>
      <c r="F1554" s="26" t="str">
        <f>+_xlfn.XLOOKUP(G1554,Master!$V$2:$V$8,Master!$U$2:$U$8,"")</f>
        <v/>
      </c>
      <c r="I1554" s="4" t="str">
        <f>_xlfn.IFNA(VLOOKUP(D1554,Master!$I:$K,2,FALSE),"")</f>
        <v/>
      </c>
      <c r="J1554" s="4" t="str">
        <f>_xlfn.IFNA(VLOOKUP(D1554,Master!$I:$K,3,FALSE),"")</f>
        <v/>
      </c>
      <c r="L1554" s="27" t="str">
        <f>IF(A1554&lt;&gt;"CFA",_xlfn.IFNA(VLOOKUP($G1554,Master!$V$2:$Z$8,5,0),""),"")</f>
        <v/>
      </c>
      <c r="P1554" s="6" t="str">
        <f t="shared" si="48"/>
        <v/>
      </c>
      <c r="Q1554" s="13">
        <f t="shared" si="49"/>
        <v>0</v>
      </c>
    </row>
    <row r="1555" spans="2:17" ht="15" customHeight="1">
      <c r="B1555" s="5" t="str">
        <f>_xlfn.IFNA(VLOOKUP(C1555,Master!$H:$I,2,FALSE),"")</f>
        <v/>
      </c>
      <c r="D1555" s="5" t="str">
        <f>_xlfn.IFNA(VLOOKUP(E1555,Master!$H:$I,2,FALSE),"")</f>
        <v/>
      </c>
      <c r="F1555" s="26" t="str">
        <f>+_xlfn.XLOOKUP(G1555,Master!$V$2:$V$8,Master!$U$2:$U$8,"")</f>
        <v/>
      </c>
      <c r="I1555" s="4" t="str">
        <f>_xlfn.IFNA(VLOOKUP(D1555,Master!$I:$K,2,FALSE),"")</f>
        <v/>
      </c>
      <c r="J1555" s="4" t="str">
        <f>_xlfn.IFNA(VLOOKUP(D1555,Master!$I:$K,3,FALSE),"")</f>
        <v/>
      </c>
      <c r="L1555" s="27" t="str">
        <f>IF(A1555&lt;&gt;"CFA",_xlfn.IFNA(VLOOKUP($G1555,Master!$V$2:$Z$8,5,0),""),"")</f>
        <v/>
      </c>
      <c r="P1555" s="6" t="str">
        <f t="shared" si="48"/>
        <v/>
      </c>
      <c r="Q1555" s="13">
        <f t="shared" si="49"/>
        <v>0</v>
      </c>
    </row>
    <row r="1556" spans="2:17" ht="15" customHeight="1">
      <c r="B1556" s="5" t="str">
        <f>_xlfn.IFNA(VLOOKUP(C1556,Master!$H:$I,2,FALSE),"")</f>
        <v/>
      </c>
      <c r="D1556" s="5" t="str">
        <f>_xlfn.IFNA(VLOOKUP(E1556,Master!$H:$I,2,FALSE),"")</f>
        <v/>
      </c>
      <c r="F1556" s="26" t="str">
        <f>+_xlfn.XLOOKUP(G1556,Master!$V$2:$V$8,Master!$U$2:$U$8,"")</f>
        <v/>
      </c>
      <c r="I1556" s="4" t="str">
        <f>_xlfn.IFNA(VLOOKUP(D1556,Master!$I:$K,2,FALSE),"")</f>
        <v/>
      </c>
      <c r="J1556" s="4" t="str">
        <f>_xlfn.IFNA(VLOOKUP(D1556,Master!$I:$K,3,FALSE),"")</f>
        <v/>
      </c>
      <c r="L1556" s="27" t="str">
        <f>IF(A1556&lt;&gt;"CFA",_xlfn.IFNA(VLOOKUP($G1556,Master!$V$2:$Z$8,5,0),""),"")</f>
        <v/>
      </c>
      <c r="P1556" s="6" t="str">
        <f t="shared" si="48"/>
        <v/>
      </c>
      <c r="Q1556" s="13">
        <f t="shared" si="49"/>
        <v>0</v>
      </c>
    </row>
    <row r="1557" spans="2:17" ht="15" customHeight="1">
      <c r="B1557" s="5" t="str">
        <f>_xlfn.IFNA(VLOOKUP(C1557,Master!$H:$I,2,FALSE),"")</f>
        <v/>
      </c>
      <c r="D1557" s="5" t="str">
        <f>_xlfn.IFNA(VLOOKUP(E1557,Master!$H:$I,2,FALSE),"")</f>
        <v/>
      </c>
      <c r="F1557" s="26" t="str">
        <f>+_xlfn.XLOOKUP(G1557,Master!$V$2:$V$8,Master!$U$2:$U$8,"")</f>
        <v/>
      </c>
      <c r="I1557" s="4" t="str">
        <f>_xlfn.IFNA(VLOOKUP(D1557,Master!$I:$K,2,FALSE),"")</f>
        <v/>
      </c>
      <c r="J1557" s="4" t="str">
        <f>_xlfn.IFNA(VLOOKUP(D1557,Master!$I:$K,3,FALSE),"")</f>
        <v/>
      </c>
      <c r="L1557" s="27" t="str">
        <f>IF(A1557&lt;&gt;"CFA",_xlfn.IFNA(VLOOKUP($G1557,Master!$V$2:$Z$8,5,0),""),"")</f>
        <v/>
      </c>
      <c r="P1557" s="6" t="str">
        <f t="shared" si="48"/>
        <v/>
      </c>
      <c r="Q1557" s="13">
        <f t="shared" si="49"/>
        <v>0</v>
      </c>
    </row>
    <row r="1558" spans="2:17" ht="15" customHeight="1">
      <c r="B1558" s="5" t="str">
        <f>_xlfn.IFNA(VLOOKUP(C1558,Master!$H:$I,2,FALSE),"")</f>
        <v/>
      </c>
      <c r="D1558" s="5" t="str">
        <f>_xlfn.IFNA(VLOOKUP(E1558,Master!$H:$I,2,FALSE),"")</f>
        <v/>
      </c>
      <c r="F1558" s="26" t="str">
        <f>+_xlfn.XLOOKUP(G1558,Master!$V$2:$V$8,Master!$U$2:$U$8,"")</f>
        <v/>
      </c>
      <c r="I1558" s="4" t="str">
        <f>_xlfn.IFNA(VLOOKUP(D1558,Master!$I:$K,2,FALSE),"")</f>
        <v/>
      </c>
      <c r="J1558" s="4" t="str">
        <f>_xlfn.IFNA(VLOOKUP(D1558,Master!$I:$K,3,FALSE),"")</f>
        <v/>
      </c>
      <c r="L1558" s="27" t="str">
        <f>IF(A1558&lt;&gt;"CFA",_xlfn.IFNA(VLOOKUP($G1558,Master!$V$2:$Z$8,5,0),""),"")</f>
        <v/>
      </c>
      <c r="P1558" s="6" t="str">
        <f t="shared" si="48"/>
        <v/>
      </c>
      <c r="Q1558" s="13">
        <f t="shared" si="49"/>
        <v>0</v>
      </c>
    </row>
    <row r="1559" spans="2:17" ht="15" customHeight="1">
      <c r="B1559" s="5" t="str">
        <f>_xlfn.IFNA(VLOOKUP(C1559,Master!$H:$I,2,FALSE),"")</f>
        <v/>
      </c>
      <c r="D1559" s="5" t="str">
        <f>_xlfn.IFNA(VLOOKUP(E1559,Master!$H:$I,2,FALSE),"")</f>
        <v/>
      </c>
      <c r="F1559" s="26" t="str">
        <f>+_xlfn.XLOOKUP(G1559,Master!$V$2:$V$8,Master!$U$2:$U$8,"")</f>
        <v/>
      </c>
      <c r="I1559" s="4" t="str">
        <f>_xlfn.IFNA(VLOOKUP(D1559,Master!$I:$K,2,FALSE),"")</f>
        <v/>
      </c>
      <c r="J1559" s="4" t="str">
        <f>_xlfn.IFNA(VLOOKUP(D1559,Master!$I:$K,3,FALSE),"")</f>
        <v/>
      </c>
      <c r="L1559" s="27" t="str">
        <f>IF(A1559&lt;&gt;"CFA",_xlfn.IFNA(VLOOKUP($G1559,Master!$V$2:$Z$8,5,0),""),"")</f>
        <v/>
      </c>
      <c r="P1559" s="6" t="str">
        <f t="shared" si="48"/>
        <v/>
      </c>
      <c r="Q1559" s="13">
        <f t="shared" si="49"/>
        <v>0</v>
      </c>
    </row>
    <row r="1560" spans="2:17" ht="15" customHeight="1">
      <c r="B1560" s="5" t="str">
        <f>_xlfn.IFNA(VLOOKUP(C1560,Master!$H:$I,2,FALSE),"")</f>
        <v/>
      </c>
      <c r="D1560" s="5" t="str">
        <f>_xlfn.IFNA(VLOOKUP(E1560,Master!$H:$I,2,FALSE),"")</f>
        <v/>
      </c>
      <c r="F1560" s="26" t="str">
        <f>+_xlfn.XLOOKUP(G1560,Master!$V$2:$V$8,Master!$U$2:$U$8,"")</f>
        <v/>
      </c>
      <c r="I1560" s="4" t="str">
        <f>_xlfn.IFNA(VLOOKUP(D1560,Master!$I:$K,2,FALSE),"")</f>
        <v/>
      </c>
      <c r="J1560" s="4" t="str">
        <f>_xlfn.IFNA(VLOOKUP(D1560,Master!$I:$K,3,FALSE),"")</f>
        <v/>
      </c>
      <c r="L1560" s="27" t="str">
        <f>IF(A1560&lt;&gt;"CFA",_xlfn.IFNA(VLOOKUP($G1560,Master!$V$2:$Z$8,5,0),""),"")</f>
        <v/>
      </c>
      <c r="P1560" s="6" t="str">
        <f t="shared" si="48"/>
        <v/>
      </c>
      <c r="Q1560" s="13">
        <f t="shared" si="49"/>
        <v>0</v>
      </c>
    </row>
    <row r="1561" spans="2:17" ht="15" customHeight="1">
      <c r="B1561" s="5" t="str">
        <f>_xlfn.IFNA(VLOOKUP(C1561,Master!$H:$I,2,FALSE),"")</f>
        <v/>
      </c>
      <c r="D1561" s="5" t="str">
        <f>_xlfn.IFNA(VLOOKUP(E1561,Master!$H:$I,2,FALSE),"")</f>
        <v/>
      </c>
      <c r="F1561" s="26" t="str">
        <f>+_xlfn.XLOOKUP(G1561,Master!$V$2:$V$8,Master!$U$2:$U$8,"")</f>
        <v/>
      </c>
      <c r="I1561" s="4" t="str">
        <f>_xlfn.IFNA(VLOOKUP(D1561,Master!$I:$K,2,FALSE),"")</f>
        <v/>
      </c>
      <c r="J1561" s="4" t="str">
        <f>_xlfn.IFNA(VLOOKUP(D1561,Master!$I:$K,3,FALSE),"")</f>
        <v/>
      </c>
      <c r="L1561" s="27" t="str">
        <f>IF(A1561&lt;&gt;"CFA",_xlfn.IFNA(VLOOKUP($G1561,Master!$V$2:$Z$8,5,0),""),"")</f>
        <v/>
      </c>
      <c r="P1561" s="6" t="str">
        <f t="shared" si="48"/>
        <v/>
      </c>
      <c r="Q1561" s="13">
        <f t="shared" si="49"/>
        <v>0</v>
      </c>
    </row>
    <row r="1562" spans="2:17" ht="15" customHeight="1">
      <c r="B1562" s="5" t="str">
        <f>_xlfn.IFNA(VLOOKUP(C1562,Master!$H:$I,2,FALSE),"")</f>
        <v/>
      </c>
      <c r="D1562" s="5" t="str">
        <f>_xlfn.IFNA(VLOOKUP(E1562,Master!$H:$I,2,FALSE),"")</f>
        <v/>
      </c>
      <c r="F1562" s="26" t="str">
        <f>+_xlfn.XLOOKUP(G1562,Master!$V$2:$V$8,Master!$U$2:$U$8,"")</f>
        <v/>
      </c>
      <c r="I1562" s="4" t="str">
        <f>_xlfn.IFNA(VLOOKUP(D1562,Master!$I:$K,2,FALSE),"")</f>
        <v/>
      </c>
      <c r="J1562" s="4" t="str">
        <f>_xlfn.IFNA(VLOOKUP(D1562,Master!$I:$K,3,FALSE),"")</f>
        <v/>
      </c>
      <c r="L1562" s="27" t="str">
        <f>IF(A1562&lt;&gt;"CFA",_xlfn.IFNA(VLOOKUP($G1562,Master!$V$2:$Z$8,5,0),""),"")</f>
        <v/>
      </c>
      <c r="P1562" s="6" t="str">
        <f t="shared" si="48"/>
        <v/>
      </c>
      <c r="Q1562" s="13">
        <f t="shared" si="49"/>
        <v>0</v>
      </c>
    </row>
    <row r="1563" spans="2:17" ht="15" customHeight="1">
      <c r="B1563" s="5" t="str">
        <f>_xlfn.IFNA(VLOOKUP(C1563,Master!$H:$I,2,FALSE),"")</f>
        <v/>
      </c>
      <c r="D1563" s="5" t="str">
        <f>_xlfn.IFNA(VLOOKUP(E1563,Master!$H:$I,2,FALSE),"")</f>
        <v/>
      </c>
      <c r="F1563" s="26" t="str">
        <f>+_xlfn.XLOOKUP(G1563,Master!$V$2:$V$8,Master!$U$2:$U$8,"")</f>
        <v/>
      </c>
      <c r="I1563" s="4" t="str">
        <f>_xlfn.IFNA(VLOOKUP(D1563,Master!$I:$K,2,FALSE),"")</f>
        <v/>
      </c>
      <c r="J1563" s="4" t="str">
        <f>_xlfn.IFNA(VLOOKUP(D1563,Master!$I:$K,3,FALSE),"")</f>
        <v/>
      </c>
      <c r="L1563" s="27" t="str">
        <f>IF(A1563&lt;&gt;"CFA",_xlfn.IFNA(VLOOKUP($G1563,Master!$V$2:$Z$8,5,0),""),"")</f>
        <v/>
      </c>
      <c r="P1563" s="6" t="str">
        <f t="shared" si="48"/>
        <v/>
      </c>
      <c r="Q1563" s="13">
        <f t="shared" si="49"/>
        <v>0</v>
      </c>
    </row>
    <row r="1564" spans="2:17" ht="15" customHeight="1">
      <c r="B1564" s="5" t="str">
        <f>_xlfn.IFNA(VLOOKUP(C1564,Master!$H:$I,2,FALSE),"")</f>
        <v/>
      </c>
      <c r="D1564" s="5" t="str">
        <f>_xlfn.IFNA(VLOOKUP(E1564,Master!$H:$I,2,FALSE),"")</f>
        <v/>
      </c>
      <c r="F1564" s="26" t="str">
        <f>+_xlfn.XLOOKUP(G1564,Master!$V$2:$V$8,Master!$U$2:$U$8,"")</f>
        <v/>
      </c>
      <c r="I1564" s="4" t="str">
        <f>_xlfn.IFNA(VLOOKUP(D1564,Master!$I:$K,2,FALSE),"")</f>
        <v/>
      </c>
      <c r="J1564" s="4" t="str">
        <f>_xlfn.IFNA(VLOOKUP(D1564,Master!$I:$K,3,FALSE),"")</f>
        <v/>
      </c>
      <c r="L1564" s="27" t="str">
        <f>IF(A1564&lt;&gt;"CFA",_xlfn.IFNA(VLOOKUP($G1564,Master!$V$2:$Z$8,5,0),""),"")</f>
        <v/>
      </c>
      <c r="P1564" s="6" t="str">
        <f t="shared" si="48"/>
        <v/>
      </c>
      <c r="Q1564" s="13">
        <f t="shared" si="49"/>
        <v>0</v>
      </c>
    </row>
    <row r="1565" spans="2:17" ht="15" customHeight="1">
      <c r="B1565" s="5" t="str">
        <f>_xlfn.IFNA(VLOOKUP(C1565,Master!$H:$I,2,FALSE),"")</f>
        <v/>
      </c>
      <c r="D1565" s="5" t="str">
        <f>_xlfn.IFNA(VLOOKUP(E1565,Master!$H:$I,2,FALSE),"")</f>
        <v/>
      </c>
      <c r="F1565" s="26" t="str">
        <f>+_xlfn.XLOOKUP(G1565,Master!$V$2:$V$8,Master!$U$2:$U$8,"")</f>
        <v/>
      </c>
      <c r="I1565" s="4" t="str">
        <f>_xlfn.IFNA(VLOOKUP(D1565,Master!$I:$K,2,FALSE),"")</f>
        <v/>
      </c>
      <c r="J1565" s="4" t="str">
        <f>_xlfn.IFNA(VLOOKUP(D1565,Master!$I:$K,3,FALSE),"")</f>
        <v/>
      </c>
      <c r="L1565" s="27" t="str">
        <f>IF(A1565&lt;&gt;"CFA",_xlfn.IFNA(VLOOKUP($G1565,Master!$V$2:$Z$8,5,0),""),"")</f>
        <v/>
      </c>
      <c r="P1565" s="6" t="str">
        <f t="shared" si="48"/>
        <v/>
      </c>
      <c r="Q1565" s="13">
        <f t="shared" si="49"/>
        <v>0</v>
      </c>
    </row>
    <row r="1566" spans="2:17" ht="15" customHeight="1">
      <c r="B1566" s="5" t="str">
        <f>_xlfn.IFNA(VLOOKUP(C1566,Master!$H:$I,2,FALSE),"")</f>
        <v/>
      </c>
      <c r="D1566" s="5" t="str">
        <f>_xlfn.IFNA(VLOOKUP(E1566,Master!$H:$I,2,FALSE),"")</f>
        <v/>
      </c>
      <c r="F1566" s="26" t="str">
        <f>+_xlfn.XLOOKUP(G1566,Master!$V$2:$V$8,Master!$U$2:$U$8,"")</f>
        <v/>
      </c>
      <c r="I1566" s="4" t="str">
        <f>_xlfn.IFNA(VLOOKUP(D1566,Master!$I:$K,2,FALSE),"")</f>
        <v/>
      </c>
      <c r="J1566" s="4" t="str">
        <f>_xlfn.IFNA(VLOOKUP(D1566,Master!$I:$K,3,FALSE),"")</f>
        <v/>
      </c>
      <c r="L1566" s="27" t="str">
        <f>IF(A1566&lt;&gt;"CFA",_xlfn.IFNA(VLOOKUP($G1566,Master!$V$2:$Z$8,5,0),""),"")</f>
        <v/>
      </c>
      <c r="P1566" s="6" t="str">
        <f t="shared" si="48"/>
        <v/>
      </c>
      <c r="Q1566" s="13">
        <f t="shared" si="49"/>
        <v>0</v>
      </c>
    </row>
    <row r="1567" spans="2:17" ht="15" customHeight="1">
      <c r="B1567" s="5" t="str">
        <f>_xlfn.IFNA(VLOOKUP(C1567,Master!$H:$I,2,FALSE),"")</f>
        <v/>
      </c>
      <c r="D1567" s="5" t="str">
        <f>_xlfn.IFNA(VLOOKUP(E1567,Master!$H:$I,2,FALSE),"")</f>
        <v/>
      </c>
      <c r="F1567" s="26" t="str">
        <f>+_xlfn.XLOOKUP(G1567,Master!$V$2:$V$8,Master!$U$2:$U$8,"")</f>
        <v/>
      </c>
      <c r="I1567" s="4" t="str">
        <f>_xlfn.IFNA(VLOOKUP(D1567,Master!$I:$K,2,FALSE),"")</f>
        <v/>
      </c>
      <c r="J1567" s="4" t="str">
        <f>_xlfn.IFNA(VLOOKUP(D1567,Master!$I:$K,3,FALSE),"")</f>
        <v/>
      </c>
      <c r="L1567" s="27" t="str">
        <f>IF(A1567&lt;&gt;"CFA",_xlfn.IFNA(VLOOKUP($G1567,Master!$V$2:$Z$8,5,0),""),"")</f>
        <v/>
      </c>
      <c r="P1567" s="6" t="str">
        <f t="shared" si="48"/>
        <v/>
      </c>
      <c r="Q1567" s="13">
        <f t="shared" si="49"/>
        <v>0</v>
      </c>
    </row>
    <row r="1568" spans="2:17" ht="15" customHeight="1">
      <c r="B1568" s="5" t="str">
        <f>_xlfn.IFNA(VLOOKUP(C1568,Master!$H:$I,2,FALSE),"")</f>
        <v/>
      </c>
      <c r="D1568" s="5" t="str">
        <f>_xlfn.IFNA(VLOOKUP(E1568,Master!$H:$I,2,FALSE),"")</f>
        <v/>
      </c>
      <c r="F1568" s="26" t="str">
        <f>+_xlfn.XLOOKUP(G1568,Master!$V$2:$V$8,Master!$U$2:$U$8,"")</f>
        <v/>
      </c>
      <c r="I1568" s="4" t="str">
        <f>_xlfn.IFNA(VLOOKUP(D1568,Master!$I:$K,2,FALSE),"")</f>
        <v/>
      </c>
      <c r="J1568" s="4" t="str">
        <f>_xlfn.IFNA(VLOOKUP(D1568,Master!$I:$K,3,FALSE),"")</f>
        <v/>
      </c>
      <c r="L1568" s="27" t="str">
        <f>IF(A1568&lt;&gt;"CFA",_xlfn.IFNA(VLOOKUP($G1568,Master!$V$2:$Z$8,5,0),""),"")</f>
        <v/>
      </c>
      <c r="P1568" s="6" t="str">
        <f t="shared" si="48"/>
        <v/>
      </c>
      <c r="Q1568" s="13">
        <f t="shared" si="49"/>
        <v>0</v>
      </c>
    </row>
    <row r="1569" spans="2:17" ht="15" customHeight="1">
      <c r="B1569" s="5" t="str">
        <f>_xlfn.IFNA(VLOOKUP(C1569,Master!$H:$I,2,FALSE),"")</f>
        <v/>
      </c>
      <c r="D1569" s="5" t="str">
        <f>_xlfn.IFNA(VLOOKUP(E1569,Master!$H:$I,2,FALSE),"")</f>
        <v/>
      </c>
      <c r="F1569" s="26" t="str">
        <f>+_xlfn.XLOOKUP(G1569,Master!$V$2:$V$8,Master!$U$2:$U$8,"")</f>
        <v/>
      </c>
      <c r="I1569" s="4" t="str">
        <f>_xlfn.IFNA(VLOOKUP(D1569,Master!$I:$K,2,FALSE),"")</f>
        <v/>
      </c>
      <c r="J1569" s="4" t="str">
        <f>_xlfn.IFNA(VLOOKUP(D1569,Master!$I:$K,3,FALSE),"")</f>
        <v/>
      </c>
      <c r="L1569" s="27" t="str">
        <f>IF(A1569&lt;&gt;"CFA",_xlfn.IFNA(VLOOKUP($G1569,Master!$V$2:$Z$8,5,0),""),"")</f>
        <v/>
      </c>
      <c r="P1569" s="6" t="str">
        <f t="shared" si="48"/>
        <v/>
      </c>
      <c r="Q1569" s="13">
        <f t="shared" si="49"/>
        <v>0</v>
      </c>
    </row>
    <row r="1570" spans="2:17" ht="15" customHeight="1">
      <c r="B1570" s="5" t="str">
        <f>_xlfn.IFNA(VLOOKUP(C1570,Master!$H:$I,2,FALSE),"")</f>
        <v/>
      </c>
      <c r="D1570" s="5" t="str">
        <f>_xlfn.IFNA(VLOOKUP(E1570,Master!$H:$I,2,FALSE),"")</f>
        <v/>
      </c>
      <c r="F1570" s="26" t="str">
        <f>+_xlfn.XLOOKUP(G1570,Master!$V$2:$V$8,Master!$U$2:$U$8,"")</f>
        <v/>
      </c>
      <c r="I1570" s="4" t="str">
        <f>_xlfn.IFNA(VLOOKUP(D1570,Master!$I:$K,2,FALSE),"")</f>
        <v/>
      </c>
      <c r="J1570" s="4" t="str">
        <f>_xlfn.IFNA(VLOOKUP(D1570,Master!$I:$K,3,FALSE),"")</f>
        <v/>
      </c>
      <c r="L1570" s="27" t="str">
        <f>IF(A1570&lt;&gt;"CFA",_xlfn.IFNA(VLOOKUP($G1570,Master!$V$2:$Z$8,5,0),""),"")</f>
        <v/>
      </c>
      <c r="P1570" s="6" t="str">
        <f t="shared" si="48"/>
        <v/>
      </c>
      <c r="Q1570" s="13">
        <f t="shared" si="49"/>
        <v>0</v>
      </c>
    </row>
    <row r="1571" spans="2:17" ht="15" customHeight="1">
      <c r="B1571" s="5" t="str">
        <f>_xlfn.IFNA(VLOOKUP(C1571,Master!$H:$I,2,FALSE),"")</f>
        <v/>
      </c>
      <c r="D1571" s="5" t="str">
        <f>_xlfn.IFNA(VLOOKUP(E1571,Master!$H:$I,2,FALSE),"")</f>
        <v/>
      </c>
      <c r="F1571" s="26" t="str">
        <f>+_xlfn.XLOOKUP(G1571,Master!$V$2:$V$8,Master!$U$2:$U$8,"")</f>
        <v/>
      </c>
      <c r="I1571" s="4" t="str">
        <f>_xlfn.IFNA(VLOOKUP(D1571,Master!$I:$K,2,FALSE),"")</f>
        <v/>
      </c>
      <c r="J1571" s="4" t="str">
        <f>_xlfn.IFNA(VLOOKUP(D1571,Master!$I:$K,3,FALSE),"")</f>
        <v/>
      </c>
      <c r="L1571" s="27" t="str">
        <f>IF(A1571&lt;&gt;"CFA",_xlfn.IFNA(VLOOKUP($G1571,Master!$V$2:$Z$8,5,0),""),"")</f>
        <v/>
      </c>
      <c r="P1571" s="6" t="str">
        <f t="shared" si="48"/>
        <v/>
      </c>
      <c r="Q1571" s="13">
        <f t="shared" si="49"/>
        <v>0</v>
      </c>
    </row>
    <row r="1572" spans="2:17" ht="15" customHeight="1">
      <c r="B1572" s="5" t="str">
        <f>_xlfn.IFNA(VLOOKUP(C1572,Master!$H:$I,2,FALSE),"")</f>
        <v/>
      </c>
      <c r="D1572" s="5" t="str">
        <f>_xlfn.IFNA(VLOOKUP(E1572,Master!$H:$I,2,FALSE),"")</f>
        <v/>
      </c>
      <c r="F1572" s="26" t="str">
        <f>+_xlfn.XLOOKUP(G1572,Master!$V$2:$V$8,Master!$U$2:$U$8,"")</f>
        <v/>
      </c>
      <c r="I1572" s="4" t="str">
        <f>_xlfn.IFNA(VLOOKUP(D1572,Master!$I:$K,2,FALSE),"")</f>
        <v/>
      </c>
      <c r="J1572" s="4" t="str">
        <f>_xlfn.IFNA(VLOOKUP(D1572,Master!$I:$K,3,FALSE),"")</f>
        <v/>
      </c>
      <c r="L1572" s="27" t="str">
        <f>IF(A1572&lt;&gt;"CFA",_xlfn.IFNA(VLOOKUP($G1572,Master!$V$2:$Z$8,5,0),""),"")</f>
        <v/>
      </c>
      <c r="P1572" s="6" t="str">
        <f t="shared" si="48"/>
        <v/>
      </c>
      <c r="Q1572" s="13">
        <f t="shared" si="49"/>
        <v>0</v>
      </c>
    </row>
    <row r="1573" spans="2:17" ht="15" customHeight="1">
      <c r="B1573" s="5" t="str">
        <f>_xlfn.IFNA(VLOOKUP(C1573,Master!$H:$I,2,FALSE),"")</f>
        <v/>
      </c>
      <c r="D1573" s="5" t="str">
        <f>_xlfn.IFNA(VLOOKUP(E1573,Master!$H:$I,2,FALSE),"")</f>
        <v/>
      </c>
      <c r="F1573" s="26" t="str">
        <f>+_xlfn.XLOOKUP(G1573,Master!$V$2:$V$8,Master!$U$2:$U$8,"")</f>
        <v/>
      </c>
      <c r="I1573" s="4" t="str">
        <f>_xlfn.IFNA(VLOOKUP(D1573,Master!$I:$K,2,FALSE),"")</f>
        <v/>
      </c>
      <c r="J1573" s="4" t="str">
        <f>_xlfn.IFNA(VLOOKUP(D1573,Master!$I:$K,3,FALSE),"")</f>
        <v/>
      </c>
      <c r="L1573" s="27" t="str">
        <f>IF(A1573&lt;&gt;"CFA",_xlfn.IFNA(VLOOKUP($G1573,Master!$V$2:$Z$8,5,0),""),"")</f>
        <v/>
      </c>
      <c r="P1573" s="6" t="str">
        <f t="shared" si="48"/>
        <v/>
      </c>
      <c r="Q1573" s="13">
        <f t="shared" si="49"/>
        <v>0</v>
      </c>
    </row>
    <row r="1574" spans="2:17" ht="15" customHeight="1">
      <c r="B1574" s="5" t="str">
        <f>_xlfn.IFNA(VLOOKUP(C1574,Master!$H:$I,2,FALSE),"")</f>
        <v/>
      </c>
      <c r="D1574" s="5" t="str">
        <f>_xlfn.IFNA(VLOOKUP(E1574,Master!$H:$I,2,FALSE),"")</f>
        <v/>
      </c>
      <c r="F1574" s="26" t="str">
        <f>+_xlfn.XLOOKUP(G1574,Master!$V$2:$V$8,Master!$U$2:$U$8,"")</f>
        <v/>
      </c>
      <c r="I1574" s="4" t="str">
        <f>_xlfn.IFNA(VLOOKUP(D1574,Master!$I:$K,2,FALSE),"")</f>
        <v/>
      </c>
      <c r="J1574" s="4" t="str">
        <f>_xlfn.IFNA(VLOOKUP(D1574,Master!$I:$K,3,FALSE),"")</f>
        <v/>
      </c>
      <c r="L1574" s="27" t="str">
        <f>IF(A1574&lt;&gt;"CFA",_xlfn.IFNA(VLOOKUP($G1574,Master!$V$2:$Z$8,5,0),""),"")</f>
        <v/>
      </c>
      <c r="P1574" s="6" t="str">
        <f t="shared" si="48"/>
        <v/>
      </c>
      <c r="Q1574" s="13">
        <f t="shared" si="49"/>
        <v>0</v>
      </c>
    </row>
    <row r="1575" spans="2:17" ht="15" customHeight="1">
      <c r="B1575" s="5" t="str">
        <f>_xlfn.IFNA(VLOOKUP(C1575,Master!$H:$I,2,FALSE),"")</f>
        <v/>
      </c>
      <c r="D1575" s="5" t="str">
        <f>_xlfn.IFNA(VLOOKUP(E1575,Master!$H:$I,2,FALSE),"")</f>
        <v/>
      </c>
      <c r="F1575" s="26" t="str">
        <f>+_xlfn.XLOOKUP(G1575,Master!$V$2:$V$8,Master!$U$2:$U$8,"")</f>
        <v/>
      </c>
      <c r="I1575" s="4" t="str">
        <f>_xlfn.IFNA(VLOOKUP(D1575,Master!$I:$K,2,FALSE),"")</f>
        <v/>
      </c>
      <c r="J1575" s="4" t="str">
        <f>_xlfn.IFNA(VLOOKUP(D1575,Master!$I:$K,3,FALSE),"")</f>
        <v/>
      </c>
      <c r="L1575" s="27" t="str">
        <f>IF(A1575&lt;&gt;"CFA",_xlfn.IFNA(VLOOKUP($G1575,Master!$V$2:$Z$8,5,0),""),"")</f>
        <v/>
      </c>
      <c r="P1575" s="6" t="str">
        <f t="shared" si="48"/>
        <v/>
      </c>
      <c r="Q1575" s="13">
        <f t="shared" si="49"/>
        <v>0</v>
      </c>
    </row>
    <row r="1576" spans="2:17" ht="15" customHeight="1">
      <c r="B1576" s="5" t="str">
        <f>_xlfn.IFNA(VLOOKUP(C1576,Master!$H:$I,2,FALSE),"")</f>
        <v/>
      </c>
      <c r="D1576" s="5" t="str">
        <f>_xlfn.IFNA(VLOOKUP(E1576,Master!$H:$I,2,FALSE),"")</f>
        <v/>
      </c>
      <c r="F1576" s="26" t="str">
        <f>+_xlfn.XLOOKUP(G1576,Master!$V$2:$V$8,Master!$U$2:$U$8,"")</f>
        <v/>
      </c>
      <c r="I1576" s="4" t="str">
        <f>_xlfn.IFNA(VLOOKUP(D1576,Master!$I:$K,2,FALSE),"")</f>
        <v/>
      </c>
      <c r="J1576" s="4" t="str">
        <f>_xlfn.IFNA(VLOOKUP(D1576,Master!$I:$K,3,FALSE),"")</f>
        <v/>
      </c>
      <c r="L1576" s="27" t="str">
        <f>IF(A1576&lt;&gt;"CFA",_xlfn.IFNA(VLOOKUP($G1576,Master!$V$2:$Z$8,5,0),""),"")</f>
        <v/>
      </c>
      <c r="P1576" s="6" t="str">
        <f t="shared" si="48"/>
        <v/>
      </c>
      <c r="Q1576" s="13">
        <f t="shared" si="49"/>
        <v>0</v>
      </c>
    </row>
    <row r="1577" spans="2:17" ht="15" customHeight="1">
      <c r="B1577" s="5" t="str">
        <f>_xlfn.IFNA(VLOOKUP(C1577,Master!$H:$I,2,FALSE),"")</f>
        <v/>
      </c>
      <c r="D1577" s="5" t="str">
        <f>_xlfn.IFNA(VLOOKUP(E1577,Master!$H:$I,2,FALSE),"")</f>
        <v/>
      </c>
      <c r="F1577" s="26" t="str">
        <f>+_xlfn.XLOOKUP(G1577,Master!$V$2:$V$8,Master!$U$2:$U$8,"")</f>
        <v/>
      </c>
      <c r="I1577" s="4" t="str">
        <f>_xlfn.IFNA(VLOOKUP(D1577,Master!$I:$K,2,FALSE),"")</f>
        <v/>
      </c>
      <c r="J1577" s="4" t="str">
        <f>_xlfn.IFNA(VLOOKUP(D1577,Master!$I:$K,3,FALSE),"")</f>
        <v/>
      </c>
      <c r="L1577" s="27" t="str">
        <f>IF(A1577&lt;&gt;"CFA",_xlfn.IFNA(VLOOKUP($G1577,Master!$V$2:$Z$8,5,0),""),"")</f>
        <v/>
      </c>
      <c r="P1577" s="6" t="str">
        <f t="shared" si="48"/>
        <v/>
      </c>
      <c r="Q1577" s="13">
        <f t="shared" si="49"/>
        <v>0</v>
      </c>
    </row>
    <row r="1578" spans="2:17" ht="15" customHeight="1">
      <c r="B1578" s="5" t="str">
        <f>_xlfn.IFNA(VLOOKUP(C1578,Master!$H:$I,2,FALSE),"")</f>
        <v/>
      </c>
      <c r="D1578" s="5" t="str">
        <f>_xlfn.IFNA(VLOOKUP(E1578,Master!$H:$I,2,FALSE),"")</f>
        <v/>
      </c>
      <c r="F1578" s="26" t="str">
        <f>+_xlfn.XLOOKUP(G1578,Master!$V$2:$V$8,Master!$U$2:$U$8,"")</f>
        <v/>
      </c>
      <c r="I1578" s="4" t="str">
        <f>_xlfn.IFNA(VLOOKUP(D1578,Master!$I:$K,2,FALSE),"")</f>
        <v/>
      </c>
      <c r="J1578" s="4" t="str">
        <f>_xlfn.IFNA(VLOOKUP(D1578,Master!$I:$K,3,FALSE),"")</f>
        <v/>
      </c>
      <c r="L1578" s="27" t="str">
        <f>IF(A1578&lt;&gt;"CFA",_xlfn.IFNA(VLOOKUP($G1578,Master!$V$2:$Z$8,5,0),""),"")</f>
        <v/>
      </c>
      <c r="P1578" s="6" t="str">
        <f t="shared" si="48"/>
        <v/>
      </c>
      <c r="Q1578" s="13">
        <f t="shared" si="49"/>
        <v>0</v>
      </c>
    </row>
    <row r="1579" spans="2:17" ht="15" customHeight="1">
      <c r="B1579" s="5" t="str">
        <f>_xlfn.IFNA(VLOOKUP(C1579,Master!$H:$I,2,FALSE),"")</f>
        <v/>
      </c>
      <c r="D1579" s="5" t="str">
        <f>_xlfn.IFNA(VLOOKUP(E1579,Master!$H:$I,2,FALSE),"")</f>
        <v/>
      </c>
      <c r="F1579" s="26" t="str">
        <f>+_xlfn.XLOOKUP(G1579,Master!$V$2:$V$8,Master!$U$2:$U$8,"")</f>
        <v/>
      </c>
      <c r="I1579" s="4" t="str">
        <f>_xlfn.IFNA(VLOOKUP(D1579,Master!$I:$K,2,FALSE),"")</f>
        <v/>
      </c>
      <c r="J1579" s="4" t="str">
        <f>_xlfn.IFNA(VLOOKUP(D1579,Master!$I:$K,3,FALSE),"")</f>
        <v/>
      </c>
      <c r="L1579" s="27" t="str">
        <f>IF(A1579&lt;&gt;"CFA",_xlfn.IFNA(VLOOKUP($G1579,Master!$V$2:$Z$8,5,0),""),"")</f>
        <v/>
      </c>
      <c r="P1579" s="6" t="str">
        <f t="shared" si="48"/>
        <v/>
      </c>
      <c r="Q1579" s="13">
        <f t="shared" si="49"/>
        <v>0</v>
      </c>
    </row>
    <row r="1580" spans="2:17" ht="15" customHeight="1">
      <c r="B1580" s="5" t="str">
        <f>_xlfn.IFNA(VLOOKUP(C1580,Master!$H:$I,2,FALSE),"")</f>
        <v/>
      </c>
      <c r="D1580" s="5" t="str">
        <f>_xlfn.IFNA(VLOOKUP(E1580,Master!$H:$I,2,FALSE),"")</f>
        <v/>
      </c>
      <c r="F1580" s="26" t="str">
        <f>+_xlfn.XLOOKUP(G1580,Master!$V$2:$V$8,Master!$U$2:$U$8,"")</f>
        <v/>
      </c>
      <c r="I1580" s="4" t="str">
        <f>_xlfn.IFNA(VLOOKUP(D1580,Master!$I:$K,2,FALSE),"")</f>
        <v/>
      </c>
      <c r="J1580" s="4" t="str">
        <f>_xlfn.IFNA(VLOOKUP(D1580,Master!$I:$K,3,FALSE),"")</f>
        <v/>
      </c>
      <c r="L1580" s="27" t="str">
        <f>IF(A1580&lt;&gt;"CFA",_xlfn.IFNA(VLOOKUP($G1580,Master!$V$2:$Z$8,5,0),""),"")</f>
        <v/>
      </c>
      <c r="P1580" s="6" t="str">
        <f t="shared" si="48"/>
        <v/>
      </c>
      <c r="Q1580" s="13">
        <f t="shared" si="49"/>
        <v>0</v>
      </c>
    </row>
    <row r="1581" spans="2:17" ht="15" customHeight="1">
      <c r="B1581" s="5" t="str">
        <f>_xlfn.IFNA(VLOOKUP(C1581,Master!$H:$I,2,FALSE),"")</f>
        <v/>
      </c>
      <c r="D1581" s="5" t="str">
        <f>_xlfn.IFNA(VLOOKUP(E1581,Master!$H:$I,2,FALSE),"")</f>
        <v/>
      </c>
      <c r="F1581" s="26" t="str">
        <f>+_xlfn.XLOOKUP(G1581,Master!$V$2:$V$8,Master!$U$2:$U$8,"")</f>
        <v/>
      </c>
      <c r="I1581" s="4" t="str">
        <f>_xlfn.IFNA(VLOOKUP(D1581,Master!$I:$K,2,FALSE),"")</f>
        <v/>
      </c>
      <c r="J1581" s="4" t="str">
        <f>_xlfn.IFNA(VLOOKUP(D1581,Master!$I:$K,3,FALSE),"")</f>
        <v/>
      </c>
      <c r="L1581" s="27" t="str">
        <f>IF(A1581&lt;&gt;"CFA",_xlfn.IFNA(VLOOKUP($G1581,Master!$V$2:$Z$8,5,0),""),"")</f>
        <v/>
      </c>
      <c r="P1581" s="6" t="str">
        <f t="shared" si="48"/>
        <v/>
      </c>
      <c r="Q1581" s="13">
        <f t="shared" si="49"/>
        <v>0</v>
      </c>
    </row>
    <row r="1582" spans="2:17" ht="15" customHeight="1">
      <c r="B1582" s="5" t="str">
        <f>_xlfn.IFNA(VLOOKUP(C1582,Master!$H:$I,2,FALSE),"")</f>
        <v/>
      </c>
      <c r="D1582" s="5" t="str">
        <f>_xlfn.IFNA(VLOOKUP(E1582,Master!$H:$I,2,FALSE),"")</f>
        <v/>
      </c>
      <c r="F1582" s="26" t="str">
        <f>+_xlfn.XLOOKUP(G1582,Master!$V$2:$V$8,Master!$U$2:$U$8,"")</f>
        <v/>
      </c>
      <c r="I1582" s="4" t="str">
        <f>_xlfn.IFNA(VLOOKUP(D1582,Master!$I:$K,2,FALSE),"")</f>
        <v/>
      </c>
      <c r="J1582" s="4" t="str">
        <f>_xlfn.IFNA(VLOOKUP(D1582,Master!$I:$K,3,FALSE),"")</f>
        <v/>
      </c>
      <c r="L1582" s="27" t="str">
        <f>IF(A1582&lt;&gt;"CFA",_xlfn.IFNA(VLOOKUP($G1582,Master!$V$2:$Z$8,5,0),""),"")</f>
        <v/>
      </c>
      <c r="P1582" s="6" t="str">
        <f t="shared" si="48"/>
        <v/>
      </c>
      <c r="Q1582" s="13">
        <f t="shared" si="49"/>
        <v>0</v>
      </c>
    </row>
    <row r="1583" spans="2:17" ht="15" customHeight="1">
      <c r="B1583" s="5" t="str">
        <f>_xlfn.IFNA(VLOOKUP(C1583,Master!$H:$I,2,FALSE),"")</f>
        <v/>
      </c>
      <c r="D1583" s="5" t="str">
        <f>_xlfn.IFNA(VLOOKUP(E1583,Master!$H:$I,2,FALSE),"")</f>
        <v/>
      </c>
      <c r="F1583" s="26" t="str">
        <f>+_xlfn.XLOOKUP(G1583,Master!$V$2:$V$8,Master!$U$2:$U$8,"")</f>
        <v/>
      </c>
      <c r="I1583" s="4" t="str">
        <f>_xlfn.IFNA(VLOOKUP(D1583,Master!$I:$K,2,FALSE),"")</f>
        <v/>
      </c>
      <c r="J1583" s="4" t="str">
        <f>_xlfn.IFNA(VLOOKUP(D1583,Master!$I:$K,3,FALSE),"")</f>
        <v/>
      </c>
      <c r="L1583" s="27" t="str">
        <f>IF(A1583&lt;&gt;"CFA",_xlfn.IFNA(VLOOKUP($G1583,Master!$V$2:$Z$8,5,0),""),"")</f>
        <v/>
      </c>
      <c r="P1583" s="6" t="str">
        <f t="shared" si="48"/>
        <v/>
      </c>
      <c r="Q1583" s="13">
        <f t="shared" si="49"/>
        <v>0</v>
      </c>
    </row>
    <row r="1584" spans="2:17" ht="15" customHeight="1">
      <c r="B1584" s="5" t="str">
        <f>_xlfn.IFNA(VLOOKUP(C1584,Master!$H:$I,2,FALSE),"")</f>
        <v/>
      </c>
      <c r="D1584" s="5" t="str">
        <f>_xlfn.IFNA(VLOOKUP(E1584,Master!$H:$I,2,FALSE),"")</f>
        <v/>
      </c>
      <c r="F1584" s="26" t="str">
        <f>+_xlfn.XLOOKUP(G1584,Master!$V$2:$V$8,Master!$U$2:$U$8,"")</f>
        <v/>
      </c>
      <c r="I1584" s="4" t="str">
        <f>_xlfn.IFNA(VLOOKUP(D1584,Master!$I:$K,2,FALSE),"")</f>
        <v/>
      </c>
      <c r="J1584" s="4" t="str">
        <f>_xlfn.IFNA(VLOOKUP(D1584,Master!$I:$K,3,FALSE),"")</f>
        <v/>
      </c>
      <c r="L1584" s="27" t="str">
        <f>IF(A1584&lt;&gt;"CFA",_xlfn.IFNA(VLOOKUP($G1584,Master!$V$2:$Z$8,5,0),""),"")</f>
        <v/>
      </c>
      <c r="P1584" s="6" t="str">
        <f t="shared" si="48"/>
        <v/>
      </c>
      <c r="Q1584" s="13">
        <f t="shared" si="49"/>
        <v>0</v>
      </c>
    </row>
    <row r="1585" spans="2:17" ht="15" customHeight="1">
      <c r="B1585" s="5" t="str">
        <f>_xlfn.IFNA(VLOOKUP(C1585,Master!$H:$I,2,FALSE),"")</f>
        <v/>
      </c>
      <c r="D1585" s="5" t="str">
        <f>_xlfn.IFNA(VLOOKUP(E1585,Master!$H:$I,2,FALSE),"")</f>
        <v/>
      </c>
      <c r="F1585" s="26" t="str">
        <f>+_xlfn.XLOOKUP(G1585,Master!$V$2:$V$8,Master!$U$2:$U$8,"")</f>
        <v/>
      </c>
      <c r="I1585" s="4" t="str">
        <f>_xlfn.IFNA(VLOOKUP(D1585,Master!$I:$K,2,FALSE),"")</f>
        <v/>
      </c>
      <c r="J1585" s="4" t="str">
        <f>_xlfn.IFNA(VLOOKUP(D1585,Master!$I:$K,3,FALSE),"")</f>
        <v/>
      </c>
      <c r="L1585" s="27" t="str">
        <f>IF(A1585&lt;&gt;"CFA",_xlfn.IFNA(VLOOKUP($G1585,Master!$V$2:$Z$8,5,0),""),"")</f>
        <v/>
      </c>
      <c r="P1585" s="6" t="str">
        <f t="shared" si="48"/>
        <v/>
      </c>
      <c r="Q1585" s="13">
        <f t="shared" si="49"/>
        <v>0</v>
      </c>
    </row>
    <row r="1586" spans="2:17" ht="15" customHeight="1">
      <c r="B1586" s="5" t="str">
        <f>_xlfn.IFNA(VLOOKUP(C1586,Master!$H:$I,2,FALSE),"")</f>
        <v/>
      </c>
      <c r="D1586" s="5" t="str">
        <f>_xlfn.IFNA(VLOOKUP(E1586,Master!$H:$I,2,FALSE),"")</f>
        <v/>
      </c>
      <c r="F1586" s="26" t="str">
        <f>+_xlfn.XLOOKUP(G1586,Master!$V$2:$V$8,Master!$U$2:$U$8,"")</f>
        <v/>
      </c>
      <c r="I1586" s="4" t="str">
        <f>_xlfn.IFNA(VLOOKUP(D1586,Master!$I:$K,2,FALSE),"")</f>
        <v/>
      </c>
      <c r="J1586" s="4" t="str">
        <f>_xlfn.IFNA(VLOOKUP(D1586,Master!$I:$K,3,FALSE),"")</f>
        <v/>
      </c>
      <c r="L1586" s="27" t="str">
        <f>IF(A1586&lt;&gt;"CFA",_xlfn.IFNA(VLOOKUP($G1586,Master!$V$2:$Z$8,5,0),""),"")</f>
        <v/>
      </c>
      <c r="P1586" s="6" t="str">
        <f t="shared" si="48"/>
        <v/>
      </c>
      <c r="Q1586" s="13">
        <f t="shared" si="49"/>
        <v>0</v>
      </c>
    </row>
    <row r="1587" spans="2:17" ht="15" customHeight="1">
      <c r="B1587" s="5" t="str">
        <f>_xlfn.IFNA(VLOOKUP(C1587,Master!$H:$I,2,FALSE),"")</f>
        <v/>
      </c>
      <c r="D1587" s="5" t="str">
        <f>_xlfn.IFNA(VLOOKUP(E1587,Master!$H:$I,2,FALSE),"")</f>
        <v/>
      </c>
      <c r="F1587" s="26" t="str">
        <f>+_xlfn.XLOOKUP(G1587,Master!$V$2:$V$8,Master!$U$2:$U$8,"")</f>
        <v/>
      </c>
      <c r="I1587" s="4" t="str">
        <f>_xlfn.IFNA(VLOOKUP(D1587,Master!$I:$K,2,FALSE),"")</f>
        <v/>
      </c>
      <c r="J1587" s="4" t="str">
        <f>_xlfn.IFNA(VLOOKUP(D1587,Master!$I:$K,3,FALSE),"")</f>
        <v/>
      </c>
      <c r="L1587" s="27" t="str">
        <f>IF(A1587&lt;&gt;"CFA",_xlfn.IFNA(VLOOKUP($G1587,Master!$V$2:$Z$8,5,0),""),"")</f>
        <v/>
      </c>
      <c r="P1587" s="6" t="str">
        <f t="shared" si="48"/>
        <v/>
      </c>
      <c r="Q1587" s="13">
        <f t="shared" si="49"/>
        <v>0</v>
      </c>
    </row>
    <row r="1588" spans="2:17" ht="15" customHeight="1">
      <c r="B1588" s="5" t="str">
        <f>_xlfn.IFNA(VLOOKUP(C1588,Master!$H:$I,2,FALSE),"")</f>
        <v/>
      </c>
      <c r="D1588" s="5" t="str">
        <f>_xlfn.IFNA(VLOOKUP(E1588,Master!$H:$I,2,FALSE),"")</f>
        <v/>
      </c>
      <c r="F1588" s="26" t="str">
        <f>+_xlfn.XLOOKUP(G1588,Master!$V$2:$V$8,Master!$U$2:$U$8,"")</f>
        <v/>
      </c>
      <c r="I1588" s="4" t="str">
        <f>_xlfn.IFNA(VLOOKUP(D1588,Master!$I:$K,2,FALSE),"")</f>
        <v/>
      </c>
      <c r="J1588" s="4" t="str">
        <f>_xlfn.IFNA(VLOOKUP(D1588,Master!$I:$K,3,FALSE),"")</f>
        <v/>
      </c>
      <c r="L1588" s="27" t="str">
        <f>IF(A1588&lt;&gt;"CFA",_xlfn.IFNA(VLOOKUP($G1588,Master!$V$2:$Z$8,5,0),""),"")</f>
        <v/>
      </c>
      <c r="P1588" s="6" t="str">
        <f t="shared" si="48"/>
        <v/>
      </c>
      <c r="Q1588" s="13">
        <f t="shared" si="49"/>
        <v>0</v>
      </c>
    </row>
    <row r="1589" spans="2:17" ht="15" customHeight="1">
      <c r="B1589" s="5" t="str">
        <f>_xlfn.IFNA(VLOOKUP(C1589,Master!$H:$I,2,FALSE),"")</f>
        <v/>
      </c>
      <c r="D1589" s="5" t="str">
        <f>_xlfn.IFNA(VLOOKUP(E1589,Master!$H:$I,2,FALSE),"")</f>
        <v/>
      </c>
      <c r="F1589" s="26" t="str">
        <f>+_xlfn.XLOOKUP(G1589,Master!$V$2:$V$8,Master!$U$2:$U$8,"")</f>
        <v/>
      </c>
      <c r="I1589" s="4" t="str">
        <f>_xlfn.IFNA(VLOOKUP(D1589,Master!$I:$K,2,FALSE),"")</f>
        <v/>
      </c>
      <c r="J1589" s="4" t="str">
        <f>_xlfn.IFNA(VLOOKUP(D1589,Master!$I:$K,3,FALSE),"")</f>
        <v/>
      </c>
      <c r="L1589" s="27" t="str">
        <f>IF(A1589&lt;&gt;"CFA",_xlfn.IFNA(VLOOKUP($G1589,Master!$V$2:$Z$8,5,0),""),"")</f>
        <v/>
      </c>
      <c r="P1589" s="6" t="str">
        <f t="shared" si="48"/>
        <v/>
      </c>
      <c r="Q1589" s="13">
        <f t="shared" si="49"/>
        <v>0</v>
      </c>
    </row>
    <row r="1590" spans="2:17" ht="15" customHeight="1">
      <c r="B1590" s="5" t="str">
        <f>_xlfn.IFNA(VLOOKUP(C1590,Master!$H:$I,2,FALSE),"")</f>
        <v/>
      </c>
      <c r="D1590" s="5" t="str">
        <f>_xlfn.IFNA(VLOOKUP(E1590,Master!$H:$I,2,FALSE),"")</f>
        <v/>
      </c>
      <c r="F1590" s="26" t="str">
        <f>+_xlfn.XLOOKUP(G1590,Master!$V$2:$V$8,Master!$U$2:$U$8,"")</f>
        <v/>
      </c>
      <c r="I1590" s="4" t="str">
        <f>_xlfn.IFNA(VLOOKUP(D1590,Master!$I:$K,2,FALSE),"")</f>
        <v/>
      </c>
      <c r="J1590" s="4" t="str">
        <f>_xlfn.IFNA(VLOOKUP(D1590,Master!$I:$K,3,FALSE),"")</f>
        <v/>
      </c>
      <c r="L1590" s="27" t="str">
        <f>IF(A1590&lt;&gt;"CFA",_xlfn.IFNA(VLOOKUP($G1590,Master!$V$2:$Z$8,5,0),""),"")</f>
        <v/>
      </c>
      <c r="P1590" s="6" t="str">
        <f t="shared" si="48"/>
        <v/>
      </c>
      <c r="Q1590" s="13">
        <f t="shared" si="49"/>
        <v>0</v>
      </c>
    </row>
    <row r="1591" spans="2:17" ht="15" customHeight="1">
      <c r="B1591" s="5" t="str">
        <f>_xlfn.IFNA(VLOOKUP(C1591,Master!$H:$I,2,FALSE),"")</f>
        <v/>
      </c>
      <c r="D1591" s="5" t="str">
        <f>_xlfn.IFNA(VLOOKUP(E1591,Master!$H:$I,2,FALSE),"")</f>
        <v/>
      </c>
      <c r="F1591" s="26" t="str">
        <f>+_xlfn.XLOOKUP(G1591,Master!$V$2:$V$8,Master!$U$2:$U$8,"")</f>
        <v/>
      </c>
      <c r="I1591" s="4" t="str">
        <f>_xlfn.IFNA(VLOOKUP(D1591,Master!$I:$K,2,FALSE),"")</f>
        <v/>
      </c>
      <c r="J1591" s="4" t="str">
        <f>_xlfn.IFNA(VLOOKUP(D1591,Master!$I:$K,3,FALSE),"")</f>
        <v/>
      </c>
      <c r="L1591" s="27" t="str">
        <f>IF(A1591&lt;&gt;"CFA",_xlfn.IFNA(VLOOKUP($G1591,Master!$V$2:$Z$8,5,0),""),"")</f>
        <v/>
      </c>
      <c r="P1591" s="6" t="str">
        <f t="shared" ref="P1591:P1654" si="50">IF(N1591&lt;&gt;"",IF(MONTH(N1591)&gt;=4,"FY1"&amp;RIGHT(YEAR(N1591)+1,2),"FY1"&amp;RIGHT(YEAR(N1591),2)),"")</f>
        <v/>
      </c>
      <c r="Q1591" s="13">
        <f t="shared" ref="Q1591:Q1654" si="51">IF(K1591&gt;0&amp;M1591&gt;0,K1591*M1591,"")</f>
        <v>0</v>
      </c>
    </row>
    <row r="1592" spans="2:17" ht="15" customHeight="1">
      <c r="B1592" s="5" t="str">
        <f>_xlfn.IFNA(VLOOKUP(C1592,Master!$H:$I,2,FALSE),"")</f>
        <v/>
      </c>
      <c r="D1592" s="5" t="str">
        <f>_xlfn.IFNA(VLOOKUP(E1592,Master!$H:$I,2,FALSE),"")</f>
        <v/>
      </c>
      <c r="F1592" s="26" t="str">
        <f>+_xlfn.XLOOKUP(G1592,Master!$V$2:$V$8,Master!$U$2:$U$8,"")</f>
        <v/>
      </c>
      <c r="I1592" s="4" t="str">
        <f>_xlfn.IFNA(VLOOKUP(D1592,Master!$I:$K,2,FALSE),"")</f>
        <v/>
      </c>
      <c r="J1592" s="4" t="str">
        <f>_xlfn.IFNA(VLOOKUP(D1592,Master!$I:$K,3,FALSE),"")</f>
        <v/>
      </c>
      <c r="L1592" s="27" t="str">
        <f>IF(A1592&lt;&gt;"CFA",_xlfn.IFNA(VLOOKUP($G1592,Master!$V$2:$Z$8,5,0),""),"")</f>
        <v/>
      </c>
      <c r="P1592" s="6" t="str">
        <f t="shared" si="50"/>
        <v/>
      </c>
      <c r="Q1592" s="13">
        <f t="shared" si="51"/>
        <v>0</v>
      </c>
    </row>
    <row r="1593" spans="2:17" ht="15" customHeight="1">
      <c r="B1593" s="5" t="str">
        <f>_xlfn.IFNA(VLOOKUP(C1593,Master!$H:$I,2,FALSE),"")</f>
        <v/>
      </c>
      <c r="D1593" s="5" t="str">
        <f>_xlfn.IFNA(VLOOKUP(E1593,Master!$H:$I,2,FALSE),"")</f>
        <v/>
      </c>
      <c r="F1593" s="26" t="str">
        <f>+_xlfn.XLOOKUP(G1593,Master!$V$2:$V$8,Master!$U$2:$U$8,"")</f>
        <v/>
      </c>
      <c r="I1593" s="4" t="str">
        <f>_xlfn.IFNA(VLOOKUP(D1593,Master!$I:$K,2,FALSE),"")</f>
        <v/>
      </c>
      <c r="J1593" s="4" t="str">
        <f>_xlfn.IFNA(VLOOKUP(D1593,Master!$I:$K,3,FALSE),"")</f>
        <v/>
      </c>
      <c r="L1593" s="27" t="str">
        <f>IF(A1593&lt;&gt;"CFA",_xlfn.IFNA(VLOOKUP($G1593,Master!$V$2:$Z$8,5,0),""),"")</f>
        <v/>
      </c>
      <c r="P1593" s="6" t="str">
        <f t="shared" si="50"/>
        <v/>
      </c>
      <c r="Q1593" s="13">
        <f t="shared" si="51"/>
        <v>0</v>
      </c>
    </row>
    <row r="1594" spans="2:17" ht="15" customHeight="1">
      <c r="B1594" s="5" t="str">
        <f>_xlfn.IFNA(VLOOKUP(C1594,Master!$H:$I,2,FALSE),"")</f>
        <v/>
      </c>
      <c r="D1594" s="5" t="str">
        <f>_xlfn.IFNA(VLOOKUP(E1594,Master!$H:$I,2,FALSE),"")</f>
        <v/>
      </c>
      <c r="F1594" s="26" t="str">
        <f>+_xlfn.XLOOKUP(G1594,Master!$V$2:$V$8,Master!$U$2:$U$8,"")</f>
        <v/>
      </c>
      <c r="I1594" s="4" t="str">
        <f>_xlfn.IFNA(VLOOKUP(D1594,Master!$I:$K,2,FALSE),"")</f>
        <v/>
      </c>
      <c r="J1594" s="4" t="str">
        <f>_xlfn.IFNA(VLOOKUP(D1594,Master!$I:$K,3,FALSE),"")</f>
        <v/>
      </c>
      <c r="L1594" s="27" t="str">
        <f>IF(A1594&lt;&gt;"CFA",_xlfn.IFNA(VLOOKUP($G1594,Master!$V$2:$Z$8,5,0),""),"")</f>
        <v/>
      </c>
      <c r="P1594" s="6" t="str">
        <f t="shared" si="50"/>
        <v/>
      </c>
      <c r="Q1594" s="13">
        <f t="shared" si="51"/>
        <v>0</v>
      </c>
    </row>
    <row r="1595" spans="2:17" ht="15" customHeight="1">
      <c r="B1595" s="5" t="str">
        <f>_xlfn.IFNA(VLOOKUP(C1595,Master!$H:$I,2,FALSE),"")</f>
        <v/>
      </c>
      <c r="D1595" s="5" t="str">
        <f>_xlfn.IFNA(VLOOKUP(E1595,Master!$H:$I,2,FALSE),"")</f>
        <v/>
      </c>
      <c r="F1595" s="26" t="str">
        <f>+_xlfn.XLOOKUP(G1595,Master!$V$2:$V$8,Master!$U$2:$U$8,"")</f>
        <v/>
      </c>
      <c r="I1595" s="4" t="str">
        <f>_xlfn.IFNA(VLOOKUP(D1595,Master!$I:$K,2,FALSE),"")</f>
        <v/>
      </c>
      <c r="J1595" s="4" t="str">
        <f>_xlfn.IFNA(VLOOKUP(D1595,Master!$I:$K,3,FALSE),"")</f>
        <v/>
      </c>
      <c r="L1595" s="27" t="str">
        <f>IF(A1595&lt;&gt;"CFA",_xlfn.IFNA(VLOOKUP($G1595,Master!$V$2:$Z$8,5,0),""),"")</f>
        <v/>
      </c>
      <c r="P1595" s="6" t="str">
        <f t="shared" si="50"/>
        <v/>
      </c>
      <c r="Q1595" s="13">
        <f t="shared" si="51"/>
        <v>0</v>
      </c>
    </row>
    <row r="1596" spans="2:17" ht="15" customHeight="1">
      <c r="B1596" s="5" t="str">
        <f>_xlfn.IFNA(VLOOKUP(C1596,Master!$H:$I,2,FALSE),"")</f>
        <v/>
      </c>
      <c r="D1596" s="5" t="str">
        <f>_xlfn.IFNA(VLOOKUP(E1596,Master!$H:$I,2,FALSE),"")</f>
        <v/>
      </c>
      <c r="F1596" s="26" t="str">
        <f>+_xlfn.XLOOKUP(G1596,Master!$V$2:$V$8,Master!$U$2:$U$8,"")</f>
        <v/>
      </c>
      <c r="I1596" s="4" t="str">
        <f>_xlfn.IFNA(VLOOKUP(D1596,Master!$I:$K,2,FALSE),"")</f>
        <v/>
      </c>
      <c r="J1596" s="4" t="str">
        <f>_xlfn.IFNA(VLOOKUP(D1596,Master!$I:$K,3,FALSE),"")</f>
        <v/>
      </c>
      <c r="L1596" s="27" t="str">
        <f>IF(A1596&lt;&gt;"CFA",_xlfn.IFNA(VLOOKUP($G1596,Master!$V$2:$Z$8,5,0),""),"")</f>
        <v/>
      </c>
      <c r="P1596" s="6" t="str">
        <f t="shared" si="50"/>
        <v/>
      </c>
      <c r="Q1596" s="13">
        <f t="shared" si="51"/>
        <v>0</v>
      </c>
    </row>
    <row r="1597" spans="2:17" ht="15" customHeight="1">
      <c r="B1597" s="5" t="str">
        <f>_xlfn.IFNA(VLOOKUP(C1597,Master!$H:$I,2,FALSE),"")</f>
        <v/>
      </c>
      <c r="D1597" s="5" t="str">
        <f>_xlfn.IFNA(VLOOKUP(E1597,Master!$H:$I,2,FALSE),"")</f>
        <v/>
      </c>
      <c r="F1597" s="26" t="str">
        <f>+_xlfn.XLOOKUP(G1597,Master!$V$2:$V$8,Master!$U$2:$U$8,"")</f>
        <v/>
      </c>
      <c r="I1597" s="4" t="str">
        <f>_xlfn.IFNA(VLOOKUP(D1597,Master!$I:$K,2,FALSE),"")</f>
        <v/>
      </c>
      <c r="J1597" s="4" t="str">
        <f>_xlfn.IFNA(VLOOKUP(D1597,Master!$I:$K,3,FALSE),"")</f>
        <v/>
      </c>
      <c r="L1597" s="27" t="str">
        <f>IF(A1597&lt;&gt;"CFA",_xlfn.IFNA(VLOOKUP($G1597,Master!$V$2:$Z$8,5,0),""),"")</f>
        <v/>
      </c>
      <c r="P1597" s="6" t="str">
        <f t="shared" si="50"/>
        <v/>
      </c>
      <c r="Q1597" s="13">
        <f t="shared" si="51"/>
        <v>0</v>
      </c>
    </row>
    <row r="1598" spans="2:17" ht="15" customHeight="1">
      <c r="B1598" s="5" t="str">
        <f>_xlfn.IFNA(VLOOKUP(C1598,Master!$H:$I,2,FALSE),"")</f>
        <v/>
      </c>
      <c r="D1598" s="5" t="str">
        <f>_xlfn.IFNA(VLOOKUP(E1598,Master!$H:$I,2,FALSE),"")</f>
        <v/>
      </c>
      <c r="F1598" s="26" t="str">
        <f>+_xlfn.XLOOKUP(G1598,Master!$V$2:$V$8,Master!$U$2:$U$8,"")</f>
        <v/>
      </c>
      <c r="I1598" s="4" t="str">
        <f>_xlfn.IFNA(VLOOKUP(D1598,Master!$I:$K,2,FALSE),"")</f>
        <v/>
      </c>
      <c r="J1598" s="4" t="str">
        <f>_xlfn.IFNA(VLOOKUP(D1598,Master!$I:$K,3,FALSE),"")</f>
        <v/>
      </c>
      <c r="L1598" s="27" t="str">
        <f>IF(A1598&lt;&gt;"CFA",_xlfn.IFNA(VLOOKUP($G1598,Master!$V$2:$Z$8,5,0),""),"")</f>
        <v/>
      </c>
      <c r="P1598" s="6" t="str">
        <f t="shared" si="50"/>
        <v/>
      </c>
      <c r="Q1598" s="13">
        <f t="shared" si="51"/>
        <v>0</v>
      </c>
    </row>
    <row r="1599" spans="2:17" ht="15" customHeight="1">
      <c r="B1599" s="5" t="str">
        <f>_xlfn.IFNA(VLOOKUP(C1599,Master!$H:$I,2,FALSE),"")</f>
        <v/>
      </c>
      <c r="D1599" s="5" t="str">
        <f>_xlfn.IFNA(VLOOKUP(E1599,Master!$H:$I,2,FALSE),"")</f>
        <v/>
      </c>
      <c r="F1599" s="26" t="str">
        <f>+_xlfn.XLOOKUP(G1599,Master!$V$2:$V$8,Master!$U$2:$U$8,"")</f>
        <v/>
      </c>
      <c r="I1599" s="4" t="str">
        <f>_xlfn.IFNA(VLOOKUP(D1599,Master!$I:$K,2,FALSE),"")</f>
        <v/>
      </c>
      <c r="J1599" s="4" t="str">
        <f>_xlfn.IFNA(VLOOKUP(D1599,Master!$I:$K,3,FALSE),"")</f>
        <v/>
      </c>
      <c r="L1599" s="27" t="str">
        <f>IF(A1599&lt;&gt;"CFA",_xlfn.IFNA(VLOOKUP($G1599,Master!$V$2:$Z$8,5,0),""),"")</f>
        <v/>
      </c>
      <c r="P1599" s="6" t="str">
        <f t="shared" si="50"/>
        <v/>
      </c>
      <c r="Q1599" s="13">
        <f t="shared" si="51"/>
        <v>0</v>
      </c>
    </row>
    <row r="1600" spans="2:17" ht="15" customHeight="1">
      <c r="B1600" s="5" t="str">
        <f>_xlfn.IFNA(VLOOKUP(C1600,Master!$H:$I,2,FALSE),"")</f>
        <v/>
      </c>
      <c r="D1600" s="5" t="str">
        <f>_xlfn.IFNA(VLOOKUP(E1600,Master!$H:$I,2,FALSE),"")</f>
        <v/>
      </c>
      <c r="F1600" s="26" t="str">
        <f>+_xlfn.XLOOKUP(G1600,Master!$V$2:$V$8,Master!$U$2:$U$8,"")</f>
        <v/>
      </c>
      <c r="I1600" s="4" t="str">
        <f>_xlfn.IFNA(VLOOKUP(D1600,Master!$I:$K,2,FALSE),"")</f>
        <v/>
      </c>
      <c r="J1600" s="4" t="str">
        <f>_xlfn.IFNA(VLOOKUP(D1600,Master!$I:$K,3,FALSE),"")</f>
        <v/>
      </c>
      <c r="L1600" s="27" t="str">
        <f>IF(A1600&lt;&gt;"CFA",_xlfn.IFNA(VLOOKUP($G1600,Master!$V$2:$Z$8,5,0),""),"")</f>
        <v/>
      </c>
      <c r="P1600" s="6" t="str">
        <f t="shared" si="50"/>
        <v/>
      </c>
      <c r="Q1600" s="13">
        <f t="shared" si="51"/>
        <v>0</v>
      </c>
    </row>
    <row r="1601" spans="2:17" ht="15" customHeight="1">
      <c r="B1601" s="5" t="str">
        <f>_xlfn.IFNA(VLOOKUP(C1601,Master!$H:$I,2,FALSE),"")</f>
        <v/>
      </c>
      <c r="D1601" s="5" t="str">
        <f>_xlfn.IFNA(VLOOKUP(E1601,Master!$H:$I,2,FALSE),"")</f>
        <v/>
      </c>
      <c r="F1601" s="26" t="str">
        <f>+_xlfn.XLOOKUP(G1601,Master!$V$2:$V$8,Master!$U$2:$U$8,"")</f>
        <v/>
      </c>
      <c r="I1601" s="4" t="str">
        <f>_xlfn.IFNA(VLOOKUP(D1601,Master!$I:$K,2,FALSE),"")</f>
        <v/>
      </c>
      <c r="J1601" s="4" t="str">
        <f>_xlfn.IFNA(VLOOKUP(D1601,Master!$I:$K,3,FALSE),"")</f>
        <v/>
      </c>
      <c r="L1601" s="27" t="str">
        <f>IF(A1601&lt;&gt;"CFA",_xlfn.IFNA(VLOOKUP($G1601,Master!$V$2:$Z$8,5,0),""),"")</f>
        <v/>
      </c>
      <c r="P1601" s="6" t="str">
        <f t="shared" si="50"/>
        <v/>
      </c>
      <c r="Q1601" s="13">
        <f t="shared" si="51"/>
        <v>0</v>
      </c>
    </row>
    <row r="1602" spans="2:17" ht="15" customHeight="1">
      <c r="B1602" s="5" t="str">
        <f>_xlfn.IFNA(VLOOKUP(C1602,Master!$H:$I,2,FALSE),"")</f>
        <v/>
      </c>
      <c r="D1602" s="5" t="str">
        <f>_xlfn.IFNA(VLOOKUP(E1602,Master!$H:$I,2,FALSE),"")</f>
        <v/>
      </c>
      <c r="F1602" s="26" t="str">
        <f>+_xlfn.XLOOKUP(G1602,Master!$V$2:$V$8,Master!$U$2:$U$8,"")</f>
        <v/>
      </c>
      <c r="I1602" s="4" t="str">
        <f>_xlfn.IFNA(VLOOKUP(D1602,Master!$I:$K,2,FALSE),"")</f>
        <v/>
      </c>
      <c r="J1602" s="4" t="str">
        <f>_xlfn.IFNA(VLOOKUP(D1602,Master!$I:$K,3,FALSE),"")</f>
        <v/>
      </c>
      <c r="L1602" s="27" t="str">
        <f>IF(A1602&lt;&gt;"CFA",_xlfn.IFNA(VLOOKUP($G1602,Master!$V$2:$Z$8,5,0),""),"")</f>
        <v/>
      </c>
      <c r="P1602" s="6" t="str">
        <f t="shared" si="50"/>
        <v/>
      </c>
      <c r="Q1602" s="13">
        <f t="shared" si="51"/>
        <v>0</v>
      </c>
    </row>
    <row r="1603" spans="2:17" ht="15" customHeight="1">
      <c r="B1603" s="5" t="str">
        <f>_xlfn.IFNA(VLOOKUP(C1603,Master!$H:$I,2,FALSE),"")</f>
        <v/>
      </c>
      <c r="D1603" s="5" t="str">
        <f>_xlfn.IFNA(VLOOKUP(E1603,Master!$H:$I,2,FALSE),"")</f>
        <v/>
      </c>
      <c r="F1603" s="26" t="str">
        <f>+_xlfn.XLOOKUP(G1603,Master!$V$2:$V$8,Master!$U$2:$U$8,"")</f>
        <v/>
      </c>
      <c r="I1603" s="4" t="str">
        <f>_xlfn.IFNA(VLOOKUP(D1603,Master!$I:$K,2,FALSE),"")</f>
        <v/>
      </c>
      <c r="J1603" s="4" t="str">
        <f>_xlfn.IFNA(VLOOKUP(D1603,Master!$I:$K,3,FALSE),"")</f>
        <v/>
      </c>
      <c r="L1603" s="27" t="str">
        <f>IF(A1603&lt;&gt;"CFA",_xlfn.IFNA(VLOOKUP($G1603,Master!$V$2:$Z$8,5,0),""),"")</f>
        <v/>
      </c>
      <c r="P1603" s="6" t="str">
        <f t="shared" si="50"/>
        <v/>
      </c>
      <c r="Q1603" s="13">
        <f t="shared" si="51"/>
        <v>0</v>
      </c>
    </row>
    <row r="1604" spans="2:17" ht="15" customHeight="1">
      <c r="B1604" s="5" t="str">
        <f>_xlfn.IFNA(VLOOKUP(C1604,Master!$H:$I,2,FALSE),"")</f>
        <v/>
      </c>
      <c r="D1604" s="5" t="str">
        <f>_xlfn.IFNA(VLOOKUP(E1604,Master!$H:$I,2,FALSE),"")</f>
        <v/>
      </c>
      <c r="F1604" s="26" t="str">
        <f>+_xlfn.XLOOKUP(G1604,Master!$V$2:$V$8,Master!$U$2:$U$8,"")</f>
        <v/>
      </c>
      <c r="I1604" s="4" t="str">
        <f>_xlfn.IFNA(VLOOKUP(D1604,Master!$I:$K,2,FALSE),"")</f>
        <v/>
      </c>
      <c r="J1604" s="4" t="str">
        <f>_xlfn.IFNA(VLOOKUP(D1604,Master!$I:$K,3,FALSE),"")</f>
        <v/>
      </c>
      <c r="L1604" s="27" t="str">
        <f>IF(A1604&lt;&gt;"CFA",_xlfn.IFNA(VLOOKUP($G1604,Master!$V$2:$Z$8,5,0),""),"")</f>
        <v/>
      </c>
      <c r="P1604" s="6" t="str">
        <f t="shared" si="50"/>
        <v/>
      </c>
      <c r="Q1604" s="13">
        <f t="shared" si="51"/>
        <v>0</v>
      </c>
    </row>
    <row r="1605" spans="2:17" ht="15" customHeight="1">
      <c r="B1605" s="5" t="str">
        <f>_xlfn.IFNA(VLOOKUP(C1605,Master!$H:$I,2,FALSE),"")</f>
        <v/>
      </c>
      <c r="D1605" s="5" t="str">
        <f>_xlfn.IFNA(VLOOKUP(E1605,Master!$H:$I,2,FALSE),"")</f>
        <v/>
      </c>
      <c r="F1605" s="26" t="str">
        <f>+_xlfn.XLOOKUP(G1605,Master!$V$2:$V$8,Master!$U$2:$U$8,"")</f>
        <v/>
      </c>
      <c r="I1605" s="4" t="str">
        <f>_xlfn.IFNA(VLOOKUP(D1605,Master!$I:$K,2,FALSE),"")</f>
        <v/>
      </c>
      <c r="J1605" s="4" t="str">
        <f>_xlfn.IFNA(VLOOKUP(D1605,Master!$I:$K,3,FALSE),"")</f>
        <v/>
      </c>
      <c r="L1605" s="27" t="str">
        <f>IF(A1605&lt;&gt;"CFA",_xlfn.IFNA(VLOOKUP($G1605,Master!$V$2:$Z$8,5,0),""),"")</f>
        <v/>
      </c>
      <c r="P1605" s="6" t="str">
        <f t="shared" si="50"/>
        <v/>
      </c>
      <c r="Q1605" s="13">
        <f t="shared" si="51"/>
        <v>0</v>
      </c>
    </row>
    <row r="1606" spans="2:17" ht="15" customHeight="1">
      <c r="B1606" s="5" t="str">
        <f>_xlfn.IFNA(VLOOKUP(C1606,Master!$H:$I,2,FALSE),"")</f>
        <v/>
      </c>
      <c r="D1606" s="5" t="str">
        <f>_xlfn.IFNA(VLOOKUP(E1606,Master!$H:$I,2,FALSE),"")</f>
        <v/>
      </c>
      <c r="F1606" s="26" t="str">
        <f>+_xlfn.XLOOKUP(G1606,Master!$V$2:$V$8,Master!$U$2:$U$8,"")</f>
        <v/>
      </c>
      <c r="I1606" s="4" t="str">
        <f>_xlfn.IFNA(VLOOKUP(D1606,Master!$I:$K,2,FALSE),"")</f>
        <v/>
      </c>
      <c r="J1606" s="4" t="str">
        <f>_xlfn.IFNA(VLOOKUP(D1606,Master!$I:$K,3,FALSE),"")</f>
        <v/>
      </c>
      <c r="L1606" s="27" t="str">
        <f>IF(A1606&lt;&gt;"CFA",_xlfn.IFNA(VLOOKUP($G1606,Master!$V$2:$Z$8,5,0),""),"")</f>
        <v/>
      </c>
      <c r="P1606" s="6" t="str">
        <f t="shared" si="50"/>
        <v/>
      </c>
      <c r="Q1606" s="13">
        <f t="shared" si="51"/>
        <v>0</v>
      </c>
    </row>
    <row r="1607" spans="2:17" ht="15" customHeight="1">
      <c r="B1607" s="5" t="str">
        <f>_xlfn.IFNA(VLOOKUP(C1607,Master!$H:$I,2,FALSE),"")</f>
        <v/>
      </c>
      <c r="D1607" s="5" t="str">
        <f>_xlfn.IFNA(VLOOKUP(E1607,Master!$H:$I,2,FALSE),"")</f>
        <v/>
      </c>
      <c r="F1607" s="26" t="str">
        <f>+_xlfn.XLOOKUP(G1607,Master!$V$2:$V$8,Master!$U$2:$U$8,"")</f>
        <v/>
      </c>
      <c r="I1607" s="4" t="str">
        <f>_xlfn.IFNA(VLOOKUP(D1607,Master!$I:$K,2,FALSE),"")</f>
        <v/>
      </c>
      <c r="J1607" s="4" t="str">
        <f>_xlfn.IFNA(VLOOKUP(D1607,Master!$I:$K,3,FALSE),"")</f>
        <v/>
      </c>
      <c r="L1607" s="27" t="str">
        <f>IF(A1607&lt;&gt;"CFA",_xlfn.IFNA(VLOOKUP($G1607,Master!$V$2:$Z$8,5,0),""),"")</f>
        <v/>
      </c>
      <c r="P1607" s="6" t="str">
        <f t="shared" si="50"/>
        <v/>
      </c>
      <c r="Q1607" s="13">
        <f t="shared" si="51"/>
        <v>0</v>
      </c>
    </row>
    <row r="1608" spans="2:17" ht="15" customHeight="1">
      <c r="B1608" s="5" t="str">
        <f>_xlfn.IFNA(VLOOKUP(C1608,Master!$H:$I,2,FALSE),"")</f>
        <v/>
      </c>
      <c r="D1608" s="5" t="str">
        <f>_xlfn.IFNA(VLOOKUP(E1608,Master!$H:$I,2,FALSE),"")</f>
        <v/>
      </c>
      <c r="F1608" s="26" t="str">
        <f>+_xlfn.XLOOKUP(G1608,Master!$V$2:$V$8,Master!$U$2:$U$8,"")</f>
        <v/>
      </c>
      <c r="I1608" s="4" t="str">
        <f>_xlfn.IFNA(VLOOKUP(D1608,Master!$I:$K,2,FALSE),"")</f>
        <v/>
      </c>
      <c r="J1608" s="4" t="str">
        <f>_xlfn.IFNA(VLOOKUP(D1608,Master!$I:$K,3,FALSE),"")</f>
        <v/>
      </c>
      <c r="L1608" s="27" t="str">
        <f>IF(A1608&lt;&gt;"CFA",_xlfn.IFNA(VLOOKUP($G1608,Master!$V$2:$Z$8,5,0),""),"")</f>
        <v/>
      </c>
      <c r="P1608" s="6" t="str">
        <f t="shared" si="50"/>
        <v/>
      </c>
      <c r="Q1608" s="13">
        <f t="shared" si="51"/>
        <v>0</v>
      </c>
    </row>
    <row r="1609" spans="2:17" ht="15" customHeight="1">
      <c r="B1609" s="5" t="str">
        <f>_xlfn.IFNA(VLOOKUP(C1609,Master!$H:$I,2,FALSE),"")</f>
        <v/>
      </c>
      <c r="D1609" s="5" t="str">
        <f>_xlfn.IFNA(VLOOKUP(E1609,Master!$H:$I,2,FALSE),"")</f>
        <v/>
      </c>
      <c r="F1609" s="26" t="str">
        <f>+_xlfn.XLOOKUP(G1609,Master!$V$2:$V$8,Master!$U$2:$U$8,"")</f>
        <v/>
      </c>
      <c r="I1609" s="4" t="str">
        <f>_xlfn.IFNA(VLOOKUP(D1609,Master!$I:$K,2,FALSE),"")</f>
        <v/>
      </c>
      <c r="J1609" s="4" t="str">
        <f>_xlfn.IFNA(VLOOKUP(D1609,Master!$I:$K,3,FALSE),"")</f>
        <v/>
      </c>
      <c r="L1609" s="27" t="str">
        <f>IF(A1609&lt;&gt;"CFA",_xlfn.IFNA(VLOOKUP($G1609,Master!$V$2:$Z$8,5,0),""),"")</f>
        <v/>
      </c>
      <c r="P1609" s="6" t="str">
        <f t="shared" si="50"/>
        <v/>
      </c>
      <c r="Q1609" s="13">
        <f t="shared" si="51"/>
        <v>0</v>
      </c>
    </row>
    <row r="1610" spans="2:17" ht="15" customHeight="1">
      <c r="B1610" s="5" t="str">
        <f>_xlfn.IFNA(VLOOKUP(C1610,Master!$H:$I,2,FALSE),"")</f>
        <v/>
      </c>
      <c r="D1610" s="5" t="str">
        <f>_xlfn.IFNA(VLOOKUP(E1610,Master!$H:$I,2,FALSE),"")</f>
        <v/>
      </c>
      <c r="F1610" s="26" t="str">
        <f>+_xlfn.XLOOKUP(G1610,Master!$V$2:$V$8,Master!$U$2:$U$8,"")</f>
        <v/>
      </c>
      <c r="I1610" s="4" t="str">
        <f>_xlfn.IFNA(VLOOKUP(D1610,Master!$I:$K,2,FALSE),"")</f>
        <v/>
      </c>
      <c r="J1610" s="4" t="str">
        <f>_xlfn.IFNA(VLOOKUP(D1610,Master!$I:$K,3,FALSE),"")</f>
        <v/>
      </c>
      <c r="L1610" s="27" t="str">
        <f>IF(A1610&lt;&gt;"CFA",_xlfn.IFNA(VLOOKUP($G1610,Master!$V$2:$Z$8,5,0),""),"")</f>
        <v/>
      </c>
      <c r="P1610" s="6" t="str">
        <f t="shared" si="50"/>
        <v/>
      </c>
      <c r="Q1610" s="13">
        <f t="shared" si="51"/>
        <v>0</v>
      </c>
    </row>
    <row r="1611" spans="2:17" ht="15" customHeight="1">
      <c r="B1611" s="5" t="str">
        <f>_xlfn.IFNA(VLOOKUP(C1611,Master!$H:$I,2,FALSE),"")</f>
        <v/>
      </c>
      <c r="D1611" s="5" t="str">
        <f>_xlfn.IFNA(VLOOKUP(E1611,Master!$H:$I,2,FALSE),"")</f>
        <v/>
      </c>
      <c r="F1611" s="26" t="str">
        <f>+_xlfn.XLOOKUP(G1611,Master!$V$2:$V$8,Master!$U$2:$U$8,"")</f>
        <v/>
      </c>
      <c r="I1611" s="4" t="str">
        <f>_xlfn.IFNA(VLOOKUP(D1611,Master!$I:$K,2,FALSE),"")</f>
        <v/>
      </c>
      <c r="J1611" s="4" t="str">
        <f>_xlfn.IFNA(VLOOKUP(D1611,Master!$I:$K,3,FALSE),"")</f>
        <v/>
      </c>
      <c r="L1611" s="27" t="str">
        <f>IF(A1611&lt;&gt;"CFA",_xlfn.IFNA(VLOOKUP($G1611,Master!$V$2:$Z$8,5,0),""),"")</f>
        <v/>
      </c>
      <c r="P1611" s="6" t="str">
        <f t="shared" si="50"/>
        <v/>
      </c>
      <c r="Q1611" s="13">
        <f t="shared" si="51"/>
        <v>0</v>
      </c>
    </row>
    <row r="1612" spans="2:17" ht="15" customHeight="1">
      <c r="B1612" s="5" t="str">
        <f>_xlfn.IFNA(VLOOKUP(C1612,Master!$H:$I,2,FALSE),"")</f>
        <v/>
      </c>
      <c r="D1612" s="5" t="str">
        <f>_xlfn.IFNA(VLOOKUP(E1612,Master!$H:$I,2,FALSE),"")</f>
        <v/>
      </c>
      <c r="F1612" s="26" t="str">
        <f>+_xlfn.XLOOKUP(G1612,Master!$V$2:$V$8,Master!$U$2:$U$8,"")</f>
        <v/>
      </c>
      <c r="I1612" s="4" t="str">
        <f>_xlfn.IFNA(VLOOKUP(D1612,Master!$I:$K,2,FALSE),"")</f>
        <v/>
      </c>
      <c r="J1612" s="4" t="str">
        <f>_xlfn.IFNA(VLOOKUP(D1612,Master!$I:$K,3,FALSE),"")</f>
        <v/>
      </c>
      <c r="L1612" s="27" t="str">
        <f>IF(A1612&lt;&gt;"CFA",_xlfn.IFNA(VLOOKUP($G1612,Master!$V$2:$Z$8,5,0),""),"")</f>
        <v/>
      </c>
      <c r="P1612" s="6" t="str">
        <f t="shared" si="50"/>
        <v/>
      </c>
      <c r="Q1612" s="13">
        <f t="shared" si="51"/>
        <v>0</v>
      </c>
    </row>
    <row r="1613" spans="2:17" ht="15" customHeight="1">
      <c r="B1613" s="5" t="str">
        <f>_xlfn.IFNA(VLOOKUP(C1613,Master!$H:$I,2,FALSE),"")</f>
        <v/>
      </c>
      <c r="D1613" s="5" t="str">
        <f>_xlfn.IFNA(VLOOKUP(E1613,Master!$H:$I,2,FALSE),"")</f>
        <v/>
      </c>
      <c r="F1613" s="26" t="str">
        <f>+_xlfn.XLOOKUP(G1613,Master!$V$2:$V$8,Master!$U$2:$U$8,"")</f>
        <v/>
      </c>
      <c r="I1613" s="4" t="str">
        <f>_xlfn.IFNA(VLOOKUP(D1613,Master!$I:$K,2,FALSE),"")</f>
        <v/>
      </c>
      <c r="J1613" s="4" t="str">
        <f>_xlfn.IFNA(VLOOKUP(D1613,Master!$I:$K,3,FALSE),"")</f>
        <v/>
      </c>
      <c r="L1613" s="27" t="str">
        <f>IF(A1613&lt;&gt;"CFA",_xlfn.IFNA(VLOOKUP($G1613,Master!$V$2:$Z$8,5,0),""),"")</f>
        <v/>
      </c>
      <c r="P1613" s="6" t="str">
        <f t="shared" si="50"/>
        <v/>
      </c>
      <c r="Q1613" s="13">
        <f t="shared" si="51"/>
        <v>0</v>
      </c>
    </row>
    <row r="1614" spans="2:17" ht="15" customHeight="1">
      <c r="B1614" s="5" t="str">
        <f>_xlfn.IFNA(VLOOKUP(C1614,Master!$H:$I,2,FALSE),"")</f>
        <v/>
      </c>
      <c r="D1614" s="5" t="str">
        <f>_xlfn.IFNA(VLOOKUP(E1614,Master!$H:$I,2,FALSE),"")</f>
        <v/>
      </c>
      <c r="F1614" s="26" t="str">
        <f>+_xlfn.XLOOKUP(G1614,Master!$V$2:$V$8,Master!$U$2:$U$8,"")</f>
        <v/>
      </c>
      <c r="I1614" s="4" t="str">
        <f>_xlfn.IFNA(VLOOKUP(D1614,Master!$I:$K,2,FALSE),"")</f>
        <v/>
      </c>
      <c r="J1614" s="4" t="str">
        <f>_xlfn.IFNA(VLOOKUP(D1614,Master!$I:$K,3,FALSE),"")</f>
        <v/>
      </c>
      <c r="L1614" s="27" t="str">
        <f>IF(A1614&lt;&gt;"CFA",_xlfn.IFNA(VLOOKUP($G1614,Master!$V$2:$Z$8,5,0),""),"")</f>
        <v/>
      </c>
      <c r="P1614" s="6" t="str">
        <f t="shared" si="50"/>
        <v/>
      </c>
      <c r="Q1614" s="13">
        <f t="shared" si="51"/>
        <v>0</v>
      </c>
    </row>
    <row r="1615" spans="2:17" ht="15" customHeight="1">
      <c r="B1615" s="5" t="str">
        <f>_xlfn.IFNA(VLOOKUP(C1615,Master!$H:$I,2,FALSE),"")</f>
        <v/>
      </c>
      <c r="D1615" s="5" t="str">
        <f>_xlfn.IFNA(VLOOKUP(E1615,Master!$H:$I,2,FALSE),"")</f>
        <v/>
      </c>
      <c r="F1615" s="26" t="str">
        <f>+_xlfn.XLOOKUP(G1615,Master!$V$2:$V$8,Master!$U$2:$U$8,"")</f>
        <v/>
      </c>
      <c r="I1615" s="4" t="str">
        <f>_xlfn.IFNA(VLOOKUP(D1615,Master!$I:$K,2,FALSE),"")</f>
        <v/>
      </c>
      <c r="J1615" s="4" t="str">
        <f>_xlfn.IFNA(VLOOKUP(D1615,Master!$I:$K,3,FALSE),"")</f>
        <v/>
      </c>
      <c r="L1615" s="27" t="str">
        <f>IF(A1615&lt;&gt;"CFA",_xlfn.IFNA(VLOOKUP($G1615,Master!$V$2:$Z$8,5,0),""),"")</f>
        <v/>
      </c>
      <c r="P1615" s="6" t="str">
        <f t="shared" si="50"/>
        <v/>
      </c>
      <c r="Q1615" s="13">
        <f t="shared" si="51"/>
        <v>0</v>
      </c>
    </row>
    <row r="1616" spans="2:17" ht="15" customHeight="1">
      <c r="B1616" s="5" t="str">
        <f>_xlfn.IFNA(VLOOKUP(C1616,Master!$H:$I,2,FALSE),"")</f>
        <v/>
      </c>
      <c r="D1616" s="5" t="str">
        <f>_xlfn.IFNA(VLOOKUP(E1616,Master!$H:$I,2,FALSE),"")</f>
        <v/>
      </c>
      <c r="F1616" s="26" t="str">
        <f>+_xlfn.XLOOKUP(G1616,Master!$V$2:$V$8,Master!$U$2:$U$8,"")</f>
        <v/>
      </c>
      <c r="I1616" s="4" t="str">
        <f>_xlfn.IFNA(VLOOKUP(D1616,Master!$I:$K,2,FALSE),"")</f>
        <v/>
      </c>
      <c r="J1616" s="4" t="str">
        <f>_xlfn.IFNA(VLOOKUP(D1616,Master!$I:$K,3,FALSE),"")</f>
        <v/>
      </c>
      <c r="L1616" s="27" t="str">
        <f>IF(A1616&lt;&gt;"CFA",_xlfn.IFNA(VLOOKUP($G1616,Master!$V$2:$Z$8,5,0),""),"")</f>
        <v/>
      </c>
      <c r="P1616" s="6" t="str">
        <f t="shared" si="50"/>
        <v/>
      </c>
      <c r="Q1616" s="13">
        <f t="shared" si="51"/>
        <v>0</v>
      </c>
    </row>
    <row r="1617" spans="2:17" ht="15" customHeight="1">
      <c r="B1617" s="5" t="str">
        <f>_xlfn.IFNA(VLOOKUP(C1617,Master!$H:$I,2,FALSE),"")</f>
        <v/>
      </c>
      <c r="D1617" s="5" t="str">
        <f>_xlfn.IFNA(VLOOKUP(E1617,Master!$H:$I,2,FALSE),"")</f>
        <v/>
      </c>
      <c r="F1617" s="26" t="str">
        <f>+_xlfn.XLOOKUP(G1617,Master!$V$2:$V$8,Master!$U$2:$U$8,"")</f>
        <v/>
      </c>
      <c r="I1617" s="4" t="str">
        <f>_xlfn.IFNA(VLOOKUP(D1617,Master!$I:$K,2,FALSE),"")</f>
        <v/>
      </c>
      <c r="J1617" s="4" t="str">
        <f>_xlfn.IFNA(VLOOKUP(D1617,Master!$I:$K,3,FALSE),"")</f>
        <v/>
      </c>
      <c r="L1617" s="27" t="str">
        <f>IF(A1617&lt;&gt;"CFA",_xlfn.IFNA(VLOOKUP($G1617,Master!$V$2:$Z$8,5,0),""),"")</f>
        <v/>
      </c>
      <c r="P1617" s="6" t="str">
        <f t="shared" si="50"/>
        <v/>
      </c>
      <c r="Q1617" s="13">
        <f t="shared" si="51"/>
        <v>0</v>
      </c>
    </row>
    <row r="1618" spans="2:17" ht="15" customHeight="1">
      <c r="B1618" s="5" t="str">
        <f>_xlfn.IFNA(VLOOKUP(C1618,Master!$H:$I,2,FALSE),"")</f>
        <v/>
      </c>
      <c r="D1618" s="5" t="str">
        <f>_xlfn.IFNA(VLOOKUP(E1618,Master!$H:$I,2,FALSE),"")</f>
        <v/>
      </c>
      <c r="F1618" s="26" t="str">
        <f>+_xlfn.XLOOKUP(G1618,Master!$V$2:$V$8,Master!$U$2:$U$8,"")</f>
        <v/>
      </c>
      <c r="I1618" s="4" t="str">
        <f>_xlfn.IFNA(VLOOKUP(D1618,Master!$I:$K,2,FALSE),"")</f>
        <v/>
      </c>
      <c r="J1618" s="4" t="str">
        <f>_xlfn.IFNA(VLOOKUP(D1618,Master!$I:$K,3,FALSE),"")</f>
        <v/>
      </c>
      <c r="L1618" s="27" t="str">
        <f>IF(A1618&lt;&gt;"CFA",_xlfn.IFNA(VLOOKUP($G1618,Master!$V$2:$Z$8,5,0),""),"")</f>
        <v/>
      </c>
      <c r="P1618" s="6" t="str">
        <f t="shared" si="50"/>
        <v/>
      </c>
      <c r="Q1618" s="13">
        <f t="shared" si="51"/>
        <v>0</v>
      </c>
    </row>
    <row r="1619" spans="2:17" ht="15" customHeight="1">
      <c r="B1619" s="5" t="str">
        <f>_xlfn.IFNA(VLOOKUP(C1619,Master!$H:$I,2,FALSE),"")</f>
        <v/>
      </c>
      <c r="D1619" s="5" t="str">
        <f>_xlfn.IFNA(VLOOKUP(E1619,Master!$H:$I,2,FALSE),"")</f>
        <v/>
      </c>
      <c r="F1619" s="26" t="str">
        <f>+_xlfn.XLOOKUP(G1619,Master!$V$2:$V$8,Master!$U$2:$U$8,"")</f>
        <v/>
      </c>
      <c r="I1619" s="4" t="str">
        <f>_xlfn.IFNA(VLOOKUP(D1619,Master!$I:$K,2,FALSE),"")</f>
        <v/>
      </c>
      <c r="J1619" s="4" t="str">
        <f>_xlfn.IFNA(VLOOKUP(D1619,Master!$I:$K,3,FALSE),"")</f>
        <v/>
      </c>
      <c r="L1619" s="27" t="str">
        <f>IF(A1619&lt;&gt;"CFA",_xlfn.IFNA(VLOOKUP($G1619,Master!$V$2:$Z$8,5,0),""),"")</f>
        <v/>
      </c>
      <c r="P1619" s="6" t="str">
        <f t="shared" si="50"/>
        <v/>
      </c>
      <c r="Q1619" s="13">
        <f t="shared" si="51"/>
        <v>0</v>
      </c>
    </row>
    <row r="1620" spans="2:17" ht="15" customHeight="1">
      <c r="B1620" s="5" t="str">
        <f>_xlfn.IFNA(VLOOKUP(C1620,Master!$H:$I,2,FALSE),"")</f>
        <v/>
      </c>
      <c r="D1620" s="5" t="str">
        <f>_xlfn.IFNA(VLOOKUP(E1620,Master!$H:$I,2,FALSE),"")</f>
        <v/>
      </c>
      <c r="F1620" s="26" t="str">
        <f>+_xlfn.XLOOKUP(G1620,Master!$V$2:$V$8,Master!$U$2:$U$8,"")</f>
        <v/>
      </c>
      <c r="I1620" s="4" t="str">
        <f>_xlfn.IFNA(VLOOKUP(D1620,Master!$I:$K,2,FALSE),"")</f>
        <v/>
      </c>
      <c r="J1620" s="4" t="str">
        <f>_xlfn.IFNA(VLOOKUP(D1620,Master!$I:$K,3,FALSE),"")</f>
        <v/>
      </c>
      <c r="L1620" s="27" t="str">
        <f>IF(A1620&lt;&gt;"CFA",_xlfn.IFNA(VLOOKUP($G1620,Master!$V$2:$Z$8,5,0),""),"")</f>
        <v/>
      </c>
      <c r="P1620" s="6" t="str">
        <f t="shared" si="50"/>
        <v/>
      </c>
      <c r="Q1620" s="13">
        <f t="shared" si="51"/>
        <v>0</v>
      </c>
    </row>
    <row r="1621" spans="2:17" ht="15" customHeight="1">
      <c r="B1621" s="5" t="str">
        <f>_xlfn.IFNA(VLOOKUP(C1621,Master!$H:$I,2,FALSE),"")</f>
        <v/>
      </c>
      <c r="D1621" s="5" t="str">
        <f>_xlfn.IFNA(VLOOKUP(E1621,Master!$H:$I,2,FALSE),"")</f>
        <v/>
      </c>
      <c r="F1621" s="26" t="str">
        <f>+_xlfn.XLOOKUP(G1621,Master!$V$2:$V$8,Master!$U$2:$U$8,"")</f>
        <v/>
      </c>
      <c r="I1621" s="4" t="str">
        <f>_xlfn.IFNA(VLOOKUP(D1621,Master!$I:$K,2,FALSE),"")</f>
        <v/>
      </c>
      <c r="J1621" s="4" t="str">
        <f>_xlfn.IFNA(VLOOKUP(D1621,Master!$I:$K,3,FALSE),"")</f>
        <v/>
      </c>
      <c r="L1621" s="27" t="str">
        <f>IF(A1621&lt;&gt;"CFA",_xlfn.IFNA(VLOOKUP($G1621,Master!$V$2:$Z$8,5,0),""),"")</f>
        <v/>
      </c>
      <c r="P1621" s="6" t="str">
        <f t="shared" si="50"/>
        <v/>
      </c>
      <c r="Q1621" s="13">
        <f t="shared" si="51"/>
        <v>0</v>
      </c>
    </row>
    <row r="1622" spans="2:17" ht="15" customHeight="1">
      <c r="B1622" s="5" t="str">
        <f>_xlfn.IFNA(VLOOKUP(C1622,Master!$H:$I,2,FALSE),"")</f>
        <v/>
      </c>
      <c r="D1622" s="5" t="str">
        <f>_xlfn.IFNA(VLOOKUP(E1622,Master!$H:$I,2,FALSE),"")</f>
        <v/>
      </c>
      <c r="F1622" s="26" t="str">
        <f>+_xlfn.XLOOKUP(G1622,Master!$V$2:$V$8,Master!$U$2:$U$8,"")</f>
        <v/>
      </c>
      <c r="I1622" s="4" t="str">
        <f>_xlfn.IFNA(VLOOKUP(D1622,Master!$I:$K,2,FALSE),"")</f>
        <v/>
      </c>
      <c r="J1622" s="4" t="str">
        <f>_xlfn.IFNA(VLOOKUP(D1622,Master!$I:$K,3,FALSE),"")</f>
        <v/>
      </c>
      <c r="L1622" s="27" t="str">
        <f>IF(A1622&lt;&gt;"CFA",_xlfn.IFNA(VLOOKUP($G1622,Master!$V$2:$Z$8,5,0),""),"")</f>
        <v/>
      </c>
      <c r="P1622" s="6" t="str">
        <f t="shared" si="50"/>
        <v/>
      </c>
      <c r="Q1622" s="13">
        <f t="shared" si="51"/>
        <v>0</v>
      </c>
    </row>
    <row r="1623" spans="2:17" ht="15" customHeight="1">
      <c r="B1623" s="5" t="str">
        <f>_xlfn.IFNA(VLOOKUP(C1623,Master!$H:$I,2,FALSE),"")</f>
        <v/>
      </c>
      <c r="D1623" s="5" t="str">
        <f>_xlfn.IFNA(VLOOKUP(E1623,Master!$H:$I,2,FALSE),"")</f>
        <v/>
      </c>
      <c r="F1623" s="26" t="str">
        <f>+_xlfn.XLOOKUP(G1623,Master!$V$2:$V$8,Master!$U$2:$U$8,"")</f>
        <v/>
      </c>
      <c r="I1623" s="4" t="str">
        <f>_xlfn.IFNA(VLOOKUP(D1623,Master!$I:$K,2,FALSE),"")</f>
        <v/>
      </c>
      <c r="J1623" s="4" t="str">
        <f>_xlfn.IFNA(VLOOKUP(D1623,Master!$I:$K,3,FALSE),"")</f>
        <v/>
      </c>
      <c r="L1623" s="27" t="str">
        <f>IF(A1623&lt;&gt;"CFA",_xlfn.IFNA(VLOOKUP($G1623,Master!$V$2:$Z$8,5,0),""),"")</f>
        <v/>
      </c>
      <c r="P1623" s="6" t="str">
        <f t="shared" si="50"/>
        <v/>
      </c>
      <c r="Q1623" s="13">
        <f t="shared" si="51"/>
        <v>0</v>
      </c>
    </row>
    <row r="1624" spans="2:17" ht="15" customHeight="1">
      <c r="B1624" s="5" t="str">
        <f>_xlfn.IFNA(VLOOKUP(C1624,Master!$H:$I,2,FALSE),"")</f>
        <v/>
      </c>
      <c r="D1624" s="5" t="str">
        <f>_xlfn.IFNA(VLOOKUP(E1624,Master!$H:$I,2,FALSE),"")</f>
        <v/>
      </c>
      <c r="F1624" s="26" t="str">
        <f>+_xlfn.XLOOKUP(G1624,Master!$V$2:$V$8,Master!$U$2:$U$8,"")</f>
        <v/>
      </c>
      <c r="I1624" s="4" t="str">
        <f>_xlfn.IFNA(VLOOKUP(D1624,Master!$I:$K,2,FALSE),"")</f>
        <v/>
      </c>
      <c r="J1624" s="4" t="str">
        <f>_xlfn.IFNA(VLOOKUP(D1624,Master!$I:$K,3,FALSE),"")</f>
        <v/>
      </c>
      <c r="L1624" s="27" t="str">
        <f>IF(A1624&lt;&gt;"CFA",_xlfn.IFNA(VLOOKUP($G1624,Master!$V$2:$Z$8,5,0),""),"")</f>
        <v/>
      </c>
      <c r="P1624" s="6" t="str">
        <f t="shared" si="50"/>
        <v/>
      </c>
      <c r="Q1624" s="13">
        <f t="shared" si="51"/>
        <v>0</v>
      </c>
    </row>
    <row r="1625" spans="2:17" ht="15" customHeight="1">
      <c r="B1625" s="5" t="str">
        <f>_xlfn.IFNA(VLOOKUP(C1625,Master!$H:$I,2,FALSE),"")</f>
        <v/>
      </c>
      <c r="D1625" s="5" t="str">
        <f>_xlfn.IFNA(VLOOKUP(E1625,Master!$H:$I,2,FALSE),"")</f>
        <v/>
      </c>
      <c r="F1625" s="26" t="str">
        <f>+_xlfn.XLOOKUP(G1625,Master!$V$2:$V$8,Master!$U$2:$U$8,"")</f>
        <v/>
      </c>
      <c r="I1625" s="4" t="str">
        <f>_xlfn.IFNA(VLOOKUP(D1625,Master!$I:$K,2,FALSE),"")</f>
        <v/>
      </c>
      <c r="J1625" s="4" t="str">
        <f>_xlfn.IFNA(VLOOKUP(D1625,Master!$I:$K,3,FALSE),"")</f>
        <v/>
      </c>
      <c r="L1625" s="27" t="str">
        <f>IF(A1625&lt;&gt;"CFA",_xlfn.IFNA(VLOOKUP($G1625,Master!$V$2:$Z$8,5,0),""),"")</f>
        <v/>
      </c>
      <c r="P1625" s="6" t="str">
        <f t="shared" si="50"/>
        <v/>
      </c>
      <c r="Q1625" s="13">
        <f t="shared" si="51"/>
        <v>0</v>
      </c>
    </row>
    <row r="1626" spans="2:17" ht="15" customHeight="1">
      <c r="B1626" s="5" t="str">
        <f>_xlfn.IFNA(VLOOKUP(C1626,Master!$H:$I,2,FALSE),"")</f>
        <v/>
      </c>
      <c r="D1626" s="5" t="str">
        <f>_xlfn.IFNA(VLOOKUP(E1626,Master!$H:$I,2,FALSE),"")</f>
        <v/>
      </c>
      <c r="F1626" s="26" t="str">
        <f>+_xlfn.XLOOKUP(G1626,Master!$V$2:$V$8,Master!$U$2:$U$8,"")</f>
        <v/>
      </c>
      <c r="I1626" s="4" t="str">
        <f>_xlfn.IFNA(VLOOKUP(D1626,Master!$I:$K,2,FALSE),"")</f>
        <v/>
      </c>
      <c r="J1626" s="4" t="str">
        <f>_xlfn.IFNA(VLOOKUP(D1626,Master!$I:$K,3,FALSE),"")</f>
        <v/>
      </c>
      <c r="L1626" s="27" t="str">
        <f>IF(A1626&lt;&gt;"CFA",_xlfn.IFNA(VLOOKUP($G1626,Master!$V$2:$Z$8,5,0),""),"")</f>
        <v/>
      </c>
      <c r="P1626" s="6" t="str">
        <f t="shared" si="50"/>
        <v/>
      </c>
      <c r="Q1626" s="13">
        <f t="shared" si="51"/>
        <v>0</v>
      </c>
    </row>
    <row r="1627" spans="2:17" ht="15" customHeight="1">
      <c r="B1627" s="5" t="str">
        <f>_xlfn.IFNA(VLOOKUP(C1627,Master!$H:$I,2,FALSE),"")</f>
        <v/>
      </c>
      <c r="D1627" s="5" t="str">
        <f>_xlfn.IFNA(VLOOKUP(E1627,Master!$H:$I,2,FALSE),"")</f>
        <v/>
      </c>
      <c r="F1627" s="26" t="str">
        <f>+_xlfn.XLOOKUP(G1627,Master!$V$2:$V$8,Master!$U$2:$U$8,"")</f>
        <v/>
      </c>
      <c r="I1627" s="4" t="str">
        <f>_xlfn.IFNA(VLOOKUP(D1627,Master!$I:$K,2,FALSE),"")</f>
        <v/>
      </c>
      <c r="J1627" s="4" t="str">
        <f>_xlfn.IFNA(VLOOKUP(D1627,Master!$I:$K,3,FALSE),"")</f>
        <v/>
      </c>
      <c r="L1627" s="27" t="str">
        <f>IF(A1627&lt;&gt;"CFA",_xlfn.IFNA(VLOOKUP($G1627,Master!$V$2:$Z$8,5,0),""),"")</f>
        <v/>
      </c>
      <c r="P1627" s="6" t="str">
        <f t="shared" si="50"/>
        <v/>
      </c>
      <c r="Q1627" s="13">
        <f t="shared" si="51"/>
        <v>0</v>
      </c>
    </row>
    <row r="1628" spans="2:17" ht="15" customHeight="1">
      <c r="B1628" s="5" t="str">
        <f>_xlfn.IFNA(VLOOKUP(C1628,Master!$H:$I,2,FALSE),"")</f>
        <v/>
      </c>
      <c r="D1628" s="5" t="str">
        <f>_xlfn.IFNA(VLOOKUP(E1628,Master!$H:$I,2,FALSE),"")</f>
        <v/>
      </c>
      <c r="F1628" s="26" t="str">
        <f>+_xlfn.XLOOKUP(G1628,Master!$V$2:$V$8,Master!$U$2:$U$8,"")</f>
        <v/>
      </c>
      <c r="I1628" s="4" t="str">
        <f>_xlfn.IFNA(VLOOKUP(D1628,Master!$I:$K,2,FALSE),"")</f>
        <v/>
      </c>
      <c r="J1628" s="4" t="str">
        <f>_xlfn.IFNA(VLOOKUP(D1628,Master!$I:$K,3,FALSE),"")</f>
        <v/>
      </c>
      <c r="L1628" s="27" t="str">
        <f>IF(A1628&lt;&gt;"CFA",_xlfn.IFNA(VLOOKUP($G1628,Master!$V$2:$Z$8,5,0),""),"")</f>
        <v/>
      </c>
      <c r="P1628" s="6" t="str">
        <f t="shared" si="50"/>
        <v/>
      </c>
      <c r="Q1628" s="13">
        <f t="shared" si="51"/>
        <v>0</v>
      </c>
    </row>
    <row r="1629" spans="2:17" ht="15" customHeight="1">
      <c r="B1629" s="5" t="str">
        <f>_xlfn.IFNA(VLOOKUP(C1629,Master!$H:$I,2,FALSE),"")</f>
        <v/>
      </c>
      <c r="D1629" s="5" t="str">
        <f>_xlfn.IFNA(VLOOKUP(E1629,Master!$H:$I,2,FALSE),"")</f>
        <v/>
      </c>
      <c r="F1629" s="26" t="str">
        <f>+_xlfn.XLOOKUP(G1629,Master!$V$2:$V$8,Master!$U$2:$U$8,"")</f>
        <v/>
      </c>
      <c r="I1629" s="4" t="str">
        <f>_xlfn.IFNA(VLOOKUP(D1629,Master!$I:$K,2,FALSE),"")</f>
        <v/>
      </c>
      <c r="J1629" s="4" t="str">
        <f>_xlfn.IFNA(VLOOKUP(D1629,Master!$I:$K,3,FALSE),"")</f>
        <v/>
      </c>
      <c r="L1629" s="27" t="str">
        <f>IF(A1629&lt;&gt;"CFA",_xlfn.IFNA(VLOOKUP($G1629,Master!$V$2:$Z$8,5,0),""),"")</f>
        <v/>
      </c>
      <c r="P1629" s="6" t="str">
        <f t="shared" si="50"/>
        <v/>
      </c>
      <c r="Q1629" s="13">
        <f t="shared" si="51"/>
        <v>0</v>
      </c>
    </row>
    <row r="1630" spans="2:17" ht="15" customHeight="1">
      <c r="B1630" s="5" t="str">
        <f>_xlfn.IFNA(VLOOKUP(C1630,Master!$H:$I,2,FALSE),"")</f>
        <v/>
      </c>
      <c r="D1630" s="5" t="str">
        <f>_xlfn.IFNA(VLOOKUP(E1630,Master!$H:$I,2,FALSE),"")</f>
        <v/>
      </c>
      <c r="F1630" s="26" t="str">
        <f>+_xlfn.XLOOKUP(G1630,Master!$V$2:$V$8,Master!$U$2:$U$8,"")</f>
        <v/>
      </c>
      <c r="I1630" s="4" t="str">
        <f>_xlfn.IFNA(VLOOKUP(D1630,Master!$I:$K,2,FALSE),"")</f>
        <v/>
      </c>
      <c r="J1630" s="4" t="str">
        <f>_xlfn.IFNA(VLOOKUP(D1630,Master!$I:$K,3,FALSE),"")</f>
        <v/>
      </c>
      <c r="L1630" s="27" t="str">
        <f>IF(A1630&lt;&gt;"CFA",_xlfn.IFNA(VLOOKUP($G1630,Master!$V$2:$Z$8,5,0),""),"")</f>
        <v/>
      </c>
      <c r="P1630" s="6" t="str">
        <f t="shared" si="50"/>
        <v/>
      </c>
      <c r="Q1630" s="13">
        <f t="shared" si="51"/>
        <v>0</v>
      </c>
    </row>
    <row r="1631" spans="2:17" ht="15" customHeight="1">
      <c r="B1631" s="5" t="str">
        <f>_xlfn.IFNA(VLOOKUP(C1631,Master!$H:$I,2,FALSE),"")</f>
        <v/>
      </c>
      <c r="D1631" s="5" t="str">
        <f>_xlfn.IFNA(VLOOKUP(E1631,Master!$H:$I,2,FALSE),"")</f>
        <v/>
      </c>
      <c r="F1631" s="26" t="str">
        <f>+_xlfn.XLOOKUP(G1631,Master!$V$2:$V$8,Master!$U$2:$U$8,"")</f>
        <v/>
      </c>
      <c r="I1631" s="4" t="str">
        <f>_xlfn.IFNA(VLOOKUP(D1631,Master!$I:$K,2,FALSE),"")</f>
        <v/>
      </c>
      <c r="J1631" s="4" t="str">
        <f>_xlfn.IFNA(VLOOKUP(D1631,Master!$I:$K,3,FALSE),"")</f>
        <v/>
      </c>
      <c r="L1631" s="27" t="str">
        <f>IF(A1631&lt;&gt;"CFA",_xlfn.IFNA(VLOOKUP($G1631,Master!$V$2:$Z$8,5,0),""),"")</f>
        <v/>
      </c>
      <c r="P1631" s="6" t="str">
        <f t="shared" si="50"/>
        <v/>
      </c>
      <c r="Q1631" s="13">
        <f t="shared" si="51"/>
        <v>0</v>
      </c>
    </row>
    <row r="1632" spans="2:17" ht="15" customHeight="1">
      <c r="B1632" s="5" t="str">
        <f>_xlfn.IFNA(VLOOKUP(C1632,Master!$H:$I,2,FALSE),"")</f>
        <v/>
      </c>
      <c r="D1632" s="5" t="str">
        <f>_xlfn.IFNA(VLOOKUP(E1632,Master!$H:$I,2,FALSE),"")</f>
        <v/>
      </c>
      <c r="F1632" s="26" t="str">
        <f>+_xlfn.XLOOKUP(G1632,Master!$V$2:$V$8,Master!$U$2:$U$8,"")</f>
        <v/>
      </c>
      <c r="I1632" s="4" t="str">
        <f>_xlfn.IFNA(VLOOKUP(D1632,Master!$I:$K,2,FALSE),"")</f>
        <v/>
      </c>
      <c r="J1632" s="4" t="str">
        <f>_xlfn.IFNA(VLOOKUP(D1632,Master!$I:$K,3,FALSE),"")</f>
        <v/>
      </c>
      <c r="L1632" s="27" t="str">
        <f>IF(A1632&lt;&gt;"CFA",_xlfn.IFNA(VLOOKUP($G1632,Master!$V$2:$Z$8,5,0),""),"")</f>
        <v/>
      </c>
      <c r="P1632" s="6" t="str">
        <f t="shared" si="50"/>
        <v/>
      </c>
      <c r="Q1632" s="13">
        <f t="shared" si="51"/>
        <v>0</v>
      </c>
    </row>
    <row r="1633" spans="2:17" ht="15" customHeight="1">
      <c r="B1633" s="5" t="str">
        <f>_xlfn.IFNA(VLOOKUP(C1633,Master!$H:$I,2,FALSE),"")</f>
        <v/>
      </c>
      <c r="D1633" s="5" t="str">
        <f>_xlfn.IFNA(VLOOKUP(E1633,Master!$H:$I,2,FALSE),"")</f>
        <v/>
      </c>
      <c r="F1633" s="26" t="str">
        <f>+_xlfn.XLOOKUP(G1633,Master!$V$2:$V$8,Master!$U$2:$U$8,"")</f>
        <v/>
      </c>
      <c r="I1633" s="4" t="str">
        <f>_xlfn.IFNA(VLOOKUP(D1633,Master!$I:$K,2,FALSE),"")</f>
        <v/>
      </c>
      <c r="J1633" s="4" t="str">
        <f>_xlfn.IFNA(VLOOKUP(D1633,Master!$I:$K,3,FALSE),"")</f>
        <v/>
      </c>
      <c r="L1633" s="27" t="str">
        <f>IF(A1633&lt;&gt;"CFA",_xlfn.IFNA(VLOOKUP($G1633,Master!$V$2:$Z$8,5,0),""),"")</f>
        <v/>
      </c>
      <c r="P1633" s="6" t="str">
        <f t="shared" si="50"/>
        <v/>
      </c>
      <c r="Q1633" s="13">
        <f t="shared" si="51"/>
        <v>0</v>
      </c>
    </row>
    <row r="1634" spans="2:17" ht="15" customHeight="1">
      <c r="B1634" s="5" t="str">
        <f>_xlfn.IFNA(VLOOKUP(C1634,Master!$H:$I,2,FALSE),"")</f>
        <v/>
      </c>
      <c r="D1634" s="5" t="str">
        <f>_xlfn.IFNA(VLOOKUP(E1634,Master!$H:$I,2,FALSE),"")</f>
        <v/>
      </c>
      <c r="F1634" s="26" t="str">
        <f>+_xlfn.XLOOKUP(G1634,Master!$V$2:$V$8,Master!$U$2:$U$8,"")</f>
        <v/>
      </c>
      <c r="I1634" s="4" t="str">
        <f>_xlfn.IFNA(VLOOKUP(D1634,Master!$I:$K,2,FALSE),"")</f>
        <v/>
      </c>
      <c r="J1634" s="4" t="str">
        <f>_xlfn.IFNA(VLOOKUP(D1634,Master!$I:$K,3,FALSE),"")</f>
        <v/>
      </c>
      <c r="L1634" s="27" t="str">
        <f>IF(A1634&lt;&gt;"CFA",_xlfn.IFNA(VLOOKUP($G1634,Master!$V$2:$Z$8,5,0),""),"")</f>
        <v/>
      </c>
      <c r="P1634" s="6" t="str">
        <f t="shared" si="50"/>
        <v/>
      </c>
      <c r="Q1634" s="13">
        <f t="shared" si="51"/>
        <v>0</v>
      </c>
    </row>
    <row r="1635" spans="2:17" ht="15" customHeight="1">
      <c r="B1635" s="5" t="str">
        <f>_xlfn.IFNA(VLOOKUP(C1635,Master!$H:$I,2,FALSE),"")</f>
        <v/>
      </c>
      <c r="D1635" s="5" t="str">
        <f>_xlfn.IFNA(VLOOKUP(E1635,Master!$H:$I,2,FALSE),"")</f>
        <v/>
      </c>
      <c r="F1635" s="26" t="str">
        <f>+_xlfn.XLOOKUP(G1635,Master!$V$2:$V$8,Master!$U$2:$U$8,"")</f>
        <v/>
      </c>
      <c r="I1635" s="4" t="str">
        <f>_xlfn.IFNA(VLOOKUP(D1635,Master!$I:$K,2,FALSE),"")</f>
        <v/>
      </c>
      <c r="J1635" s="4" t="str">
        <f>_xlfn.IFNA(VLOOKUP(D1635,Master!$I:$K,3,FALSE),"")</f>
        <v/>
      </c>
      <c r="L1635" s="27" t="str">
        <f>IF(A1635&lt;&gt;"CFA",_xlfn.IFNA(VLOOKUP($G1635,Master!$V$2:$Z$8,5,0),""),"")</f>
        <v/>
      </c>
      <c r="P1635" s="6" t="str">
        <f t="shared" si="50"/>
        <v/>
      </c>
      <c r="Q1635" s="13">
        <f t="shared" si="51"/>
        <v>0</v>
      </c>
    </row>
    <row r="1636" spans="2:17" ht="15" customHeight="1">
      <c r="B1636" s="5" t="str">
        <f>_xlfn.IFNA(VLOOKUP(C1636,Master!$H:$I,2,FALSE),"")</f>
        <v/>
      </c>
      <c r="D1636" s="5" t="str">
        <f>_xlfn.IFNA(VLOOKUP(E1636,Master!$H:$I,2,FALSE),"")</f>
        <v/>
      </c>
      <c r="F1636" s="26" t="str">
        <f>+_xlfn.XLOOKUP(G1636,Master!$V$2:$V$8,Master!$U$2:$U$8,"")</f>
        <v/>
      </c>
      <c r="I1636" s="4" t="str">
        <f>_xlfn.IFNA(VLOOKUP(D1636,Master!$I:$K,2,FALSE),"")</f>
        <v/>
      </c>
      <c r="J1636" s="4" t="str">
        <f>_xlfn.IFNA(VLOOKUP(D1636,Master!$I:$K,3,FALSE),"")</f>
        <v/>
      </c>
      <c r="L1636" s="27" t="str">
        <f>IF(A1636&lt;&gt;"CFA",_xlfn.IFNA(VLOOKUP($G1636,Master!$V$2:$Z$8,5,0),""),"")</f>
        <v/>
      </c>
      <c r="P1636" s="6" t="str">
        <f t="shared" si="50"/>
        <v/>
      </c>
      <c r="Q1636" s="13">
        <f t="shared" si="51"/>
        <v>0</v>
      </c>
    </row>
    <row r="1637" spans="2:17" ht="15" customHeight="1">
      <c r="B1637" s="5" t="str">
        <f>_xlfn.IFNA(VLOOKUP(C1637,Master!$H:$I,2,FALSE),"")</f>
        <v/>
      </c>
      <c r="D1637" s="5" t="str">
        <f>_xlfn.IFNA(VLOOKUP(E1637,Master!$H:$I,2,FALSE),"")</f>
        <v/>
      </c>
      <c r="F1637" s="26" t="str">
        <f>+_xlfn.XLOOKUP(G1637,Master!$V$2:$V$8,Master!$U$2:$U$8,"")</f>
        <v/>
      </c>
      <c r="I1637" s="4" t="str">
        <f>_xlfn.IFNA(VLOOKUP(D1637,Master!$I:$K,2,FALSE),"")</f>
        <v/>
      </c>
      <c r="J1637" s="4" t="str">
        <f>_xlfn.IFNA(VLOOKUP(D1637,Master!$I:$K,3,FALSE),"")</f>
        <v/>
      </c>
      <c r="L1637" s="27" t="str">
        <f>IF(A1637&lt;&gt;"CFA",_xlfn.IFNA(VLOOKUP($G1637,Master!$V$2:$Z$8,5,0),""),"")</f>
        <v/>
      </c>
      <c r="P1637" s="6" t="str">
        <f t="shared" si="50"/>
        <v/>
      </c>
      <c r="Q1637" s="13">
        <f t="shared" si="51"/>
        <v>0</v>
      </c>
    </row>
    <row r="1638" spans="2:17" ht="15" customHeight="1">
      <c r="B1638" s="5" t="str">
        <f>_xlfn.IFNA(VLOOKUP(C1638,Master!$H:$I,2,FALSE),"")</f>
        <v/>
      </c>
      <c r="D1638" s="5" t="str">
        <f>_xlfn.IFNA(VLOOKUP(E1638,Master!$H:$I,2,FALSE),"")</f>
        <v/>
      </c>
      <c r="F1638" s="26" t="str">
        <f>+_xlfn.XLOOKUP(G1638,Master!$V$2:$V$8,Master!$U$2:$U$8,"")</f>
        <v/>
      </c>
      <c r="I1638" s="4" t="str">
        <f>_xlfn.IFNA(VLOOKUP(D1638,Master!$I:$K,2,FALSE),"")</f>
        <v/>
      </c>
      <c r="J1638" s="4" t="str">
        <f>_xlfn.IFNA(VLOOKUP(D1638,Master!$I:$K,3,FALSE),"")</f>
        <v/>
      </c>
      <c r="L1638" s="27" t="str">
        <f>IF(A1638&lt;&gt;"CFA",_xlfn.IFNA(VLOOKUP($G1638,Master!$V$2:$Z$8,5,0),""),"")</f>
        <v/>
      </c>
      <c r="P1638" s="6" t="str">
        <f t="shared" si="50"/>
        <v/>
      </c>
      <c r="Q1638" s="13">
        <f t="shared" si="51"/>
        <v>0</v>
      </c>
    </row>
    <row r="1639" spans="2:17" ht="15" customHeight="1">
      <c r="B1639" s="5" t="str">
        <f>_xlfn.IFNA(VLOOKUP(C1639,Master!$H:$I,2,FALSE),"")</f>
        <v/>
      </c>
      <c r="D1639" s="5" t="str">
        <f>_xlfn.IFNA(VLOOKUP(E1639,Master!$H:$I,2,FALSE),"")</f>
        <v/>
      </c>
      <c r="F1639" s="26" t="str">
        <f>+_xlfn.XLOOKUP(G1639,Master!$V$2:$V$8,Master!$U$2:$U$8,"")</f>
        <v/>
      </c>
      <c r="I1639" s="4" t="str">
        <f>_xlfn.IFNA(VLOOKUP(D1639,Master!$I:$K,2,FALSE),"")</f>
        <v/>
      </c>
      <c r="J1639" s="4" t="str">
        <f>_xlfn.IFNA(VLOOKUP(D1639,Master!$I:$K,3,FALSE),"")</f>
        <v/>
      </c>
      <c r="L1639" s="27" t="str">
        <f>IF(A1639&lt;&gt;"CFA",_xlfn.IFNA(VLOOKUP($G1639,Master!$V$2:$Z$8,5,0),""),"")</f>
        <v/>
      </c>
      <c r="P1639" s="6" t="str">
        <f t="shared" si="50"/>
        <v/>
      </c>
      <c r="Q1639" s="13">
        <f t="shared" si="51"/>
        <v>0</v>
      </c>
    </row>
    <row r="1640" spans="2:17" ht="15" customHeight="1">
      <c r="B1640" s="5" t="str">
        <f>_xlfn.IFNA(VLOOKUP(C1640,Master!$H:$I,2,FALSE),"")</f>
        <v/>
      </c>
      <c r="D1640" s="5" t="str">
        <f>_xlfn.IFNA(VLOOKUP(E1640,Master!$H:$I,2,FALSE),"")</f>
        <v/>
      </c>
      <c r="F1640" s="26" t="str">
        <f>+_xlfn.XLOOKUP(G1640,Master!$V$2:$V$8,Master!$U$2:$U$8,"")</f>
        <v/>
      </c>
      <c r="I1640" s="4" t="str">
        <f>_xlfn.IFNA(VLOOKUP(D1640,Master!$I:$K,2,FALSE),"")</f>
        <v/>
      </c>
      <c r="J1640" s="4" t="str">
        <f>_xlfn.IFNA(VLOOKUP(D1640,Master!$I:$K,3,FALSE),"")</f>
        <v/>
      </c>
      <c r="L1640" s="27" t="str">
        <f>IF(A1640&lt;&gt;"CFA",_xlfn.IFNA(VLOOKUP($G1640,Master!$V$2:$Z$8,5,0),""),"")</f>
        <v/>
      </c>
      <c r="P1640" s="6" t="str">
        <f t="shared" si="50"/>
        <v/>
      </c>
      <c r="Q1640" s="13">
        <f t="shared" si="51"/>
        <v>0</v>
      </c>
    </row>
    <row r="1641" spans="2:17" ht="15" customHeight="1">
      <c r="B1641" s="5" t="str">
        <f>_xlfn.IFNA(VLOOKUP(C1641,Master!$H:$I,2,FALSE),"")</f>
        <v/>
      </c>
      <c r="D1641" s="5" t="str">
        <f>_xlfn.IFNA(VLOOKUP(E1641,Master!$H:$I,2,FALSE),"")</f>
        <v/>
      </c>
      <c r="F1641" s="26" t="str">
        <f>+_xlfn.XLOOKUP(G1641,Master!$V$2:$V$8,Master!$U$2:$U$8,"")</f>
        <v/>
      </c>
      <c r="I1641" s="4" t="str">
        <f>_xlfn.IFNA(VLOOKUP(D1641,Master!$I:$K,2,FALSE),"")</f>
        <v/>
      </c>
      <c r="J1641" s="4" t="str">
        <f>_xlfn.IFNA(VLOOKUP(D1641,Master!$I:$K,3,FALSE),"")</f>
        <v/>
      </c>
      <c r="L1641" s="27" t="str">
        <f>IF(A1641&lt;&gt;"CFA",_xlfn.IFNA(VLOOKUP($G1641,Master!$V$2:$Z$8,5,0),""),"")</f>
        <v/>
      </c>
      <c r="P1641" s="6" t="str">
        <f t="shared" si="50"/>
        <v/>
      </c>
      <c r="Q1641" s="13">
        <f t="shared" si="51"/>
        <v>0</v>
      </c>
    </row>
    <row r="1642" spans="2:17" ht="15" customHeight="1">
      <c r="B1642" s="5" t="str">
        <f>_xlfn.IFNA(VLOOKUP(C1642,Master!$H:$I,2,FALSE),"")</f>
        <v/>
      </c>
      <c r="D1642" s="5" t="str">
        <f>_xlfn.IFNA(VLOOKUP(E1642,Master!$H:$I,2,FALSE),"")</f>
        <v/>
      </c>
      <c r="F1642" s="26" t="str">
        <f>+_xlfn.XLOOKUP(G1642,Master!$V$2:$V$8,Master!$U$2:$U$8,"")</f>
        <v/>
      </c>
      <c r="I1642" s="4" t="str">
        <f>_xlfn.IFNA(VLOOKUP(D1642,Master!$I:$K,2,FALSE),"")</f>
        <v/>
      </c>
      <c r="J1642" s="4" t="str">
        <f>_xlfn.IFNA(VLOOKUP(D1642,Master!$I:$K,3,FALSE),"")</f>
        <v/>
      </c>
      <c r="L1642" s="27" t="str">
        <f>IF(A1642&lt;&gt;"CFA",_xlfn.IFNA(VLOOKUP($G1642,Master!$V$2:$Z$8,5,0),""),"")</f>
        <v/>
      </c>
      <c r="P1642" s="6" t="str">
        <f t="shared" si="50"/>
        <v/>
      </c>
      <c r="Q1642" s="13">
        <f t="shared" si="51"/>
        <v>0</v>
      </c>
    </row>
    <row r="1643" spans="2:17" ht="15" customHeight="1">
      <c r="B1643" s="5" t="str">
        <f>_xlfn.IFNA(VLOOKUP(C1643,Master!$H:$I,2,FALSE),"")</f>
        <v/>
      </c>
      <c r="D1643" s="5" t="str">
        <f>_xlfn.IFNA(VLOOKUP(E1643,Master!$H:$I,2,FALSE),"")</f>
        <v/>
      </c>
      <c r="F1643" s="26" t="str">
        <f>+_xlfn.XLOOKUP(G1643,Master!$V$2:$V$8,Master!$U$2:$U$8,"")</f>
        <v/>
      </c>
      <c r="I1643" s="4" t="str">
        <f>_xlfn.IFNA(VLOOKUP(D1643,Master!$I:$K,2,FALSE),"")</f>
        <v/>
      </c>
      <c r="J1643" s="4" t="str">
        <f>_xlfn.IFNA(VLOOKUP(D1643,Master!$I:$K,3,FALSE),"")</f>
        <v/>
      </c>
      <c r="L1643" s="27" t="str">
        <f>IF(A1643&lt;&gt;"CFA",_xlfn.IFNA(VLOOKUP($G1643,Master!$V$2:$Z$8,5,0),""),"")</f>
        <v/>
      </c>
      <c r="P1643" s="6" t="str">
        <f t="shared" si="50"/>
        <v/>
      </c>
      <c r="Q1643" s="13">
        <f t="shared" si="51"/>
        <v>0</v>
      </c>
    </row>
    <row r="1644" spans="2:17" ht="15" customHeight="1">
      <c r="B1644" s="5" t="str">
        <f>_xlfn.IFNA(VLOOKUP(C1644,Master!$H:$I,2,FALSE),"")</f>
        <v/>
      </c>
      <c r="D1644" s="5" t="str">
        <f>_xlfn.IFNA(VLOOKUP(E1644,Master!$H:$I,2,FALSE),"")</f>
        <v/>
      </c>
      <c r="F1644" s="26" t="str">
        <f>+_xlfn.XLOOKUP(G1644,Master!$V$2:$V$8,Master!$U$2:$U$8,"")</f>
        <v/>
      </c>
      <c r="I1644" s="4" t="str">
        <f>_xlfn.IFNA(VLOOKUP(D1644,Master!$I:$K,2,FALSE),"")</f>
        <v/>
      </c>
      <c r="J1644" s="4" t="str">
        <f>_xlfn.IFNA(VLOOKUP(D1644,Master!$I:$K,3,FALSE),"")</f>
        <v/>
      </c>
      <c r="L1644" s="27" t="str">
        <f>IF(A1644&lt;&gt;"CFA",_xlfn.IFNA(VLOOKUP($G1644,Master!$V$2:$Z$8,5,0),""),"")</f>
        <v/>
      </c>
      <c r="P1644" s="6" t="str">
        <f t="shared" si="50"/>
        <v/>
      </c>
      <c r="Q1644" s="13">
        <f t="shared" si="51"/>
        <v>0</v>
      </c>
    </row>
    <row r="1645" spans="2:17" ht="15" customHeight="1">
      <c r="B1645" s="5" t="str">
        <f>_xlfn.IFNA(VLOOKUP(C1645,Master!$H:$I,2,FALSE),"")</f>
        <v/>
      </c>
      <c r="D1645" s="5" t="str">
        <f>_xlfn.IFNA(VLOOKUP(E1645,Master!$H:$I,2,FALSE),"")</f>
        <v/>
      </c>
      <c r="F1645" s="26" t="str">
        <f>+_xlfn.XLOOKUP(G1645,Master!$V$2:$V$8,Master!$U$2:$U$8,"")</f>
        <v/>
      </c>
      <c r="I1645" s="4" t="str">
        <f>_xlfn.IFNA(VLOOKUP(D1645,Master!$I:$K,2,FALSE),"")</f>
        <v/>
      </c>
      <c r="J1645" s="4" t="str">
        <f>_xlfn.IFNA(VLOOKUP(D1645,Master!$I:$K,3,FALSE),"")</f>
        <v/>
      </c>
      <c r="L1645" s="27" t="str">
        <f>IF(A1645&lt;&gt;"CFA",_xlfn.IFNA(VLOOKUP($G1645,Master!$V$2:$Z$8,5,0),""),"")</f>
        <v/>
      </c>
      <c r="P1645" s="6" t="str">
        <f t="shared" si="50"/>
        <v/>
      </c>
      <c r="Q1645" s="13">
        <f t="shared" si="51"/>
        <v>0</v>
      </c>
    </row>
    <row r="1646" spans="2:17" ht="15" customHeight="1">
      <c r="B1646" s="5" t="str">
        <f>_xlfn.IFNA(VLOOKUP(C1646,Master!$H:$I,2,FALSE),"")</f>
        <v/>
      </c>
      <c r="D1646" s="5" t="str">
        <f>_xlfn.IFNA(VLOOKUP(E1646,Master!$H:$I,2,FALSE),"")</f>
        <v/>
      </c>
      <c r="F1646" s="26" t="str">
        <f>+_xlfn.XLOOKUP(G1646,Master!$V$2:$V$8,Master!$U$2:$U$8,"")</f>
        <v/>
      </c>
      <c r="I1646" s="4" t="str">
        <f>_xlfn.IFNA(VLOOKUP(D1646,Master!$I:$K,2,FALSE),"")</f>
        <v/>
      </c>
      <c r="J1646" s="4" t="str">
        <f>_xlfn.IFNA(VLOOKUP(D1646,Master!$I:$K,3,FALSE),"")</f>
        <v/>
      </c>
      <c r="L1646" s="27" t="str">
        <f>IF(A1646&lt;&gt;"CFA",_xlfn.IFNA(VLOOKUP($G1646,Master!$V$2:$Z$8,5,0),""),"")</f>
        <v/>
      </c>
      <c r="P1646" s="6" t="str">
        <f t="shared" si="50"/>
        <v/>
      </c>
      <c r="Q1646" s="13">
        <f t="shared" si="51"/>
        <v>0</v>
      </c>
    </row>
    <row r="1647" spans="2:17" ht="15" customHeight="1">
      <c r="B1647" s="5" t="str">
        <f>_xlfn.IFNA(VLOOKUP(C1647,Master!$H:$I,2,FALSE),"")</f>
        <v/>
      </c>
      <c r="D1647" s="5" t="str">
        <f>_xlfn.IFNA(VLOOKUP(E1647,Master!$H:$I,2,FALSE),"")</f>
        <v/>
      </c>
      <c r="F1647" s="26" t="str">
        <f>+_xlfn.XLOOKUP(G1647,Master!$V$2:$V$8,Master!$U$2:$U$8,"")</f>
        <v/>
      </c>
      <c r="I1647" s="4" t="str">
        <f>_xlfn.IFNA(VLOOKUP(D1647,Master!$I:$K,2,FALSE),"")</f>
        <v/>
      </c>
      <c r="J1647" s="4" t="str">
        <f>_xlfn.IFNA(VLOOKUP(D1647,Master!$I:$K,3,FALSE),"")</f>
        <v/>
      </c>
      <c r="L1647" s="27" t="str">
        <f>IF(A1647&lt;&gt;"CFA",_xlfn.IFNA(VLOOKUP($G1647,Master!$V$2:$Z$8,5,0),""),"")</f>
        <v/>
      </c>
      <c r="P1647" s="6" t="str">
        <f t="shared" si="50"/>
        <v/>
      </c>
      <c r="Q1647" s="13">
        <f t="shared" si="51"/>
        <v>0</v>
      </c>
    </row>
    <row r="1648" spans="2:17" ht="15" customHeight="1">
      <c r="B1648" s="5" t="str">
        <f>_xlfn.IFNA(VLOOKUP(C1648,Master!$H:$I,2,FALSE),"")</f>
        <v/>
      </c>
      <c r="D1648" s="5" t="str">
        <f>_xlfn.IFNA(VLOOKUP(E1648,Master!$H:$I,2,FALSE),"")</f>
        <v/>
      </c>
      <c r="F1648" s="26" t="str">
        <f>+_xlfn.XLOOKUP(G1648,Master!$V$2:$V$8,Master!$U$2:$U$8,"")</f>
        <v/>
      </c>
      <c r="I1648" s="4" t="str">
        <f>_xlfn.IFNA(VLOOKUP(D1648,Master!$I:$K,2,FALSE),"")</f>
        <v/>
      </c>
      <c r="J1648" s="4" t="str">
        <f>_xlfn.IFNA(VLOOKUP(D1648,Master!$I:$K,3,FALSE),"")</f>
        <v/>
      </c>
      <c r="L1648" s="27" t="str">
        <f>IF(A1648&lt;&gt;"CFA",_xlfn.IFNA(VLOOKUP($G1648,Master!$V$2:$Z$8,5,0),""),"")</f>
        <v/>
      </c>
      <c r="P1648" s="6" t="str">
        <f t="shared" si="50"/>
        <v/>
      </c>
      <c r="Q1648" s="13">
        <f t="shared" si="51"/>
        <v>0</v>
      </c>
    </row>
    <row r="1649" spans="2:17" ht="15" customHeight="1">
      <c r="B1649" s="5" t="str">
        <f>_xlfn.IFNA(VLOOKUP(C1649,Master!$H:$I,2,FALSE),"")</f>
        <v/>
      </c>
      <c r="D1649" s="5" t="str">
        <f>_xlfn.IFNA(VLOOKUP(E1649,Master!$H:$I,2,FALSE),"")</f>
        <v/>
      </c>
      <c r="F1649" s="26" t="str">
        <f>+_xlfn.XLOOKUP(G1649,Master!$V$2:$V$8,Master!$U$2:$U$8,"")</f>
        <v/>
      </c>
      <c r="I1649" s="4" t="str">
        <f>_xlfn.IFNA(VLOOKUP(D1649,Master!$I:$K,2,FALSE),"")</f>
        <v/>
      </c>
      <c r="J1649" s="4" t="str">
        <f>_xlfn.IFNA(VLOOKUP(D1649,Master!$I:$K,3,FALSE),"")</f>
        <v/>
      </c>
      <c r="L1649" s="27" t="str">
        <f>IF(A1649&lt;&gt;"CFA",_xlfn.IFNA(VLOOKUP($G1649,Master!$V$2:$Z$8,5,0),""),"")</f>
        <v/>
      </c>
      <c r="P1649" s="6" t="str">
        <f t="shared" si="50"/>
        <v/>
      </c>
      <c r="Q1649" s="13">
        <f t="shared" si="51"/>
        <v>0</v>
      </c>
    </row>
    <row r="1650" spans="2:17" ht="15" customHeight="1">
      <c r="B1650" s="5" t="str">
        <f>_xlfn.IFNA(VLOOKUP(C1650,Master!$H:$I,2,FALSE),"")</f>
        <v/>
      </c>
      <c r="D1650" s="5" t="str">
        <f>_xlfn.IFNA(VLOOKUP(E1650,Master!$H:$I,2,FALSE),"")</f>
        <v/>
      </c>
      <c r="F1650" s="26" t="str">
        <f>+_xlfn.XLOOKUP(G1650,Master!$V$2:$V$8,Master!$U$2:$U$8,"")</f>
        <v/>
      </c>
      <c r="I1650" s="4" t="str">
        <f>_xlfn.IFNA(VLOOKUP(D1650,Master!$I:$K,2,FALSE),"")</f>
        <v/>
      </c>
      <c r="J1650" s="4" t="str">
        <f>_xlfn.IFNA(VLOOKUP(D1650,Master!$I:$K,3,FALSE),"")</f>
        <v/>
      </c>
      <c r="L1650" s="27" t="str">
        <f>IF(A1650&lt;&gt;"CFA",_xlfn.IFNA(VLOOKUP($G1650,Master!$V$2:$Z$8,5,0),""),"")</f>
        <v/>
      </c>
      <c r="P1650" s="6" t="str">
        <f t="shared" si="50"/>
        <v/>
      </c>
      <c r="Q1650" s="13">
        <f t="shared" si="51"/>
        <v>0</v>
      </c>
    </row>
    <row r="1651" spans="2:17" ht="15" customHeight="1">
      <c r="B1651" s="5" t="str">
        <f>_xlfn.IFNA(VLOOKUP(C1651,Master!$H:$I,2,FALSE),"")</f>
        <v/>
      </c>
      <c r="D1651" s="5" t="str">
        <f>_xlfn.IFNA(VLOOKUP(E1651,Master!$H:$I,2,FALSE),"")</f>
        <v/>
      </c>
      <c r="F1651" s="26" t="str">
        <f>+_xlfn.XLOOKUP(G1651,Master!$V$2:$V$8,Master!$U$2:$U$8,"")</f>
        <v/>
      </c>
      <c r="I1651" s="4" t="str">
        <f>_xlfn.IFNA(VLOOKUP(D1651,Master!$I:$K,2,FALSE),"")</f>
        <v/>
      </c>
      <c r="J1651" s="4" t="str">
        <f>_xlfn.IFNA(VLOOKUP(D1651,Master!$I:$K,3,FALSE),"")</f>
        <v/>
      </c>
      <c r="L1651" s="27" t="str">
        <f>IF(A1651&lt;&gt;"CFA",_xlfn.IFNA(VLOOKUP($G1651,Master!$V$2:$Z$8,5,0),""),"")</f>
        <v/>
      </c>
      <c r="P1651" s="6" t="str">
        <f t="shared" si="50"/>
        <v/>
      </c>
      <c r="Q1651" s="13">
        <f t="shared" si="51"/>
        <v>0</v>
      </c>
    </row>
    <row r="1652" spans="2:17" ht="15" customHeight="1">
      <c r="B1652" s="5" t="str">
        <f>_xlfn.IFNA(VLOOKUP(C1652,Master!$H:$I,2,FALSE),"")</f>
        <v/>
      </c>
      <c r="D1652" s="5" t="str">
        <f>_xlfn.IFNA(VLOOKUP(E1652,Master!$H:$I,2,FALSE),"")</f>
        <v/>
      </c>
      <c r="F1652" s="26" t="str">
        <f>+_xlfn.XLOOKUP(G1652,Master!$V$2:$V$8,Master!$U$2:$U$8,"")</f>
        <v/>
      </c>
      <c r="I1652" s="4" t="str">
        <f>_xlfn.IFNA(VLOOKUP(D1652,Master!$I:$K,2,FALSE),"")</f>
        <v/>
      </c>
      <c r="J1652" s="4" t="str">
        <f>_xlfn.IFNA(VLOOKUP(D1652,Master!$I:$K,3,FALSE),"")</f>
        <v/>
      </c>
      <c r="L1652" s="27" t="str">
        <f>IF(A1652&lt;&gt;"CFA",_xlfn.IFNA(VLOOKUP($G1652,Master!$V$2:$Z$8,5,0),""),"")</f>
        <v/>
      </c>
      <c r="P1652" s="6" t="str">
        <f t="shared" si="50"/>
        <v/>
      </c>
      <c r="Q1652" s="13">
        <f t="shared" si="51"/>
        <v>0</v>
      </c>
    </row>
    <row r="1653" spans="2:17" ht="15" customHeight="1">
      <c r="B1653" s="5" t="str">
        <f>_xlfn.IFNA(VLOOKUP(C1653,Master!$H:$I,2,FALSE),"")</f>
        <v/>
      </c>
      <c r="D1653" s="5" t="str">
        <f>_xlfn.IFNA(VLOOKUP(E1653,Master!$H:$I,2,FALSE),"")</f>
        <v/>
      </c>
      <c r="F1653" s="26" t="str">
        <f>+_xlfn.XLOOKUP(G1653,Master!$V$2:$V$8,Master!$U$2:$U$8,"")</f>
        <v/>
      </c>
      <c r="I1653" s="4" t="str">
        <f>_xlfn.IFNA(VLOOKUP(D1653,Master!$I:$K,2,FALSE),"")</f>
        <v/>
      </c>
      <c r="J1653" s="4" t="str">
        <f>_xlfn.IFNA(VLOOKUP(D1653,Master!$I:$K,3,FALSE),"")</f>
        <v/>
      </c>
      <c r="L1653" s="27" t="str">
        <f>IF(A1653&lt;&gt;"CFA",_xlfn.IFNA(VLOOKUP($G1653,Master!$V$2:$Z$8,5,0),""),"")</f>
        <v/>
      </c>
      <c r="P1653" s="6" t="str">
        <f t="shared" si="50"/>
        <v/>
      </c>
      <c r="Q1653" s="13">
        <f t="shared" si="51"/>
        <v>0</v>
      </c>
    </row>
    <row r="1654" spans="2:17" ht="15" customHeight="1">
      <c r="B1654" s="5" t="str">
        <f>_xlfn.IFNA(VLOOKUP(C1654,Master!$H:$I,2,FALSE),"")</f>
        <v/>
      </c>
      <c r="D1654" s="5" t="str">
        <f>_xlfn.IFNA(VLOOKUP(E1654,Master!$H:$I,2,FALSE),"")</f>
        <v/>
      </c>
      <c r="F1654" s="26" t="str">
        <f>+_xlfn.XLOOKUP(G1654,Master!$V$2:$V$8,Master!$U$2:$U$8,"")</f>
        <v/>
      </c>
      <c r="I1654" s="4" t="str">
        <f>_xlfn.IFNA(VLOOKUP(D1654,Master!$I:$K,2,FALSE),"")</f>
        <v/>
      </c>
      <c r="J1654" s="4" t="str">
        <f>_xlfn.IFNA(VLOOKUP(D1654,Master!$I:$K,3,FALSE),"")</f>
        <v/>
      </c>
      <c r="L1654" s="27" t="str">
        <f>IF(A1654&lt;&gt;"CFA",_xlfn.IFNA(VLOOKUP($G1654,Master!$V$2:$Z$8,5,0),""),"")</f>
        <v/>
      </c>
      <c r="P1654" s="6" t="str">
        <f t="shared" si="50"/>
        <v/>
      </c>
      <c r="Q1654" s="13">
        <f t="shared" si="51"/>
        <v>0</v>
      </c>
    </row>
    <row r="1655" spans="2:17" ht="15" customHeight="1">
      <c r="B1655" s="5" t="str">
        <f>_xlfn.IFNA(VLOOKUP(C1655,Master!$H:$I,2,FALSE),"")</f>
        <v/>
      </c>
      <c r="D1655" s="5" t="str">
        <f>_xlfn.IFNA(VLOOKUP(E1655,Master!$H:$I,2,FALSE),"")</f>
        <v/>
      </c>
      <c r="F1655" s="26" t="str">
        <f>+_xlfn.XLOOKUP(G1655,Master!$V$2:$V$8,Master!$U$2:$U$8,"")</f>
        <v/>
      </c>
      <c r="I1655" s="4" t="str">
        <f>_xlfn.IFNA(VLOOKUP(D1655,Master!$I:$K,2,FALSE),"")</f>
        <v/>
      </c>
      <c r="J1655" s="4" t="str">
        <f>_xlfn.IFNA(VLOOKUP(D1655,Master!$I:$K,3,FALSE),"")</f>
        <v/>
      </c>
      <c r="L1655" s="27" t="str">
        <f>IF(A1655&lt;&gt;"CFA",_xlfn.IFNA(VLOOKUP($G1655,Master!$V$2:$Z$8,5,0),""),"")</f>
        <v/>
      </c>
      <c r="P1655" s="6" t="str">
        <f t="shared" ref="P1655:P1718" si="52">IF(N1655&lt;&gt;"",IF(MONTH(N1655)&gt;=4,"FY1"&amp;RIGHT(YEAR(N1655)+1,2),"FY1"&amp;RIGHT(YEAR(N1655),2)),"")</f>
        <v/>
      </c>
      <c r="Q1655" s="13">
        <f t="shared" ref="Q1655:Q1718" si="53">IF(K1655&gt;0&amp;M1655&gt;0,K1655*M1655,"")</f>
        <v>0</v>
      </c>
    </row>
    <row r="1656" spans="2:17" ht="15" customHeight="1">
      <c r="B1656" s="5" t="str">
        <f>_xlfn.IFNA(VLOOKUP(C1656,Master!$H:$I,2,FALSE),"")</f>
        <v/>
      </c>
      <c r="D1656" s="5" t="str">
        <f>_xlfn.IFNA(VLOOKUP(E1656,Master!$H:$I,2,FALSE),"")</f>
        <v/>
      </c>
      <c r="F1656" s="26" t="str">
        <f>+_xlfn.XLOOKUP(G1656,Master!$V$2:$V$8,Master!$U$2:$U$8,"")</f>
        <v/>
      </c>
      <c r="I1656" s="4" t="str">
        <f>_xlfn.IFNA(VLOOKUP(D1656,Master!$I:$K,2,FALSE),"")</f>
        <v/>
      </c>
      <c r="J1656" s="4" t="str">
        <f>_xlfn.IFNA(VLOOKUP(D1656,Master!$I:$K,3,FALSE),"")</f>
        <v/>
      </c>
      <c r="L1656" s="27" t="str">
        <f>IF(A1656&lt;&gt;"CFA",_xlfn.IFNA(VLOOKUP($G1656,Master!$V$2:$Z$8,5,0),""),"")</f>
        <v/>
      </c>
      <c r="P1656" s="6" t="str">
        <f t="shared" si="52"/>
        <v/>
      </c>
      <c r="Q1656" s="13">
        <f t="shared" si="53"/>
        <v>0</v>
      </c>
    </row>
    <row r="1657" spans="2:17" ht="15" customHeight="1">
      <c r="B1657" s="5" t="str">
        <f>_xlfn.IFNA(VLOOKUP(C1657,Master!$H:$I,2,FALSE),"")</f>
        <v/>
      </c>
      <c r="D1657" s="5" t="str">
        <f>_xlfn.IFNA(VLOOKUP(E1657,Master!$H:$I,2,FALSE),"")</f>
        <v/>
      </c>
      <c r="F1657" s="26" t="str">
        <f>+_xlfn.XLOOKUP(G1657,Master!$V$2:$V$8,Master!$U$2:$U$8,"")</f>
        <v/>
      </c>
      <c r="I1657" s="4" t="str">
        <f>_xlfn.IFNA(VLOOKUP(D1657,Master!$I:$K,2,FALSE),"")</f>
        <v/>
      </c>
      <c r="J1657" s="4" t="str">
        <f>_xlfn.IFNA(VLOOKUP(D1657,Master!$I:$K,3,FALSE),"")</f>
        <v/>
      </c>
      <c r="L1657" s="27" t="str">
        <f>IF(A1657&lt;&gt;"CFA",_xlfn.IFNA(VLOOKUP($G1657,Master!$V$2:$Z$8,5,0),""),"")</f>
        <v/>
      </c>
      <c r="P1657" s="6" t="str">
        <f t="shared" si="52"/>
        <v/>
      </c>
      <c r="Q1657" s="13">
        <f t="shared" si="53"/>
        <v>0</v>
      </c>
    </row>
    <row r="1658" spans="2:17" ht="15" customHeight="1">
      <c r="B1658" s="5" t="str">
        <f>_xlfn.IFNA(VLOOKUP(C1658,Master!$H:$I,2,FALSE),"")</f>
        <v/>
      </c>
      <c r="D1658" s="5" t="str">
        <f>_xlfn.IFNA(VLOOKUP(E1658,Master!$H:$I,2,FALSE),"")</f>
        <v/>
      </c>
      <c r="F1658" s="26" t="str">
        <f>+_xlfn.XLOOKUP(G1658,Master!$V$2:$V$8,Master!$U$2:$U$8,"")</f>
        <v/>
      </c>
      <c r="I1658" s="4" t="str">
        <f>_xlfn.IFNA(VLOOKUP(D1658,Master!$I:$K,2,FALSE),"")</f>
        <v/>
      </c>
      <c r="J1658" s="4" t="str">
        <f>_xlfn.IFNA(VLOOKUP(D1658,Master!$I:$K,3,FALSE),"")</f>
        <v/>
      </c>
      <c r="L1658" s="27" t="str">
        <f>IF(A1658&lt;&gt;"CFA",_xlfn.IFNA(VLOOKUP($G1658,Master!$V$2:$Z$8,5,0),""),"")</f>
        <v/>
      </c>
      <c r="P1658" s="6" t="str">
        <f t="shared" si="52"/>
        <v/>
      </c>
      <c r="Q1658" s="13">
        <f t="shared" si="53"/>
        <v>0</v>
      </c>
    </row>
    <row r="1659" spans="2:17" ht="15" customHeight="1">
      <c r="B1659" s="5" t="str">
        <f>_xlfn.IFNA(VLOOKUP(C1659,Master!$H:$I,2,FALSE),"")</f>
        <v/>
      </c>
      <c r="D1659" s="5" t="str">
        <f>_xlfn.IFNA(VLOOKUP(E1659,Master!$H:$I,2,FALSE),"")</f>
        <v/>
      </c>
      <c r="F1659" s="26" t="str">
        <f>+_xlfn.XLOOKUP(G1659,Master!$V$2:$V$8,Master!$U$2:$U$8,"")</f>
        <v/>
      </c>
      <c r="I1659" s="4" t="str">
        <f>_xlfn.IFNA(VLOOKUP(D1659,Master!$I:$K,2,FALSE),"")</f>
        <v/>
      </c>
      <c r="J1659" s="4" t="str">
        <f>_xlfn.IFNA(VLOOKUP(D1659,Master!$I:$K,3,FALSE),"")</f>
        <v/>
      </c>
      <c r="L1659" s="27" t="str">
        <f>IF(A1659&lt;&gt;"CFA",_xlfn.IFNA(VLOOKUP($G1659,Master!$V$2:$Z$8,5,0),""),"")</f>
        <v/>
      </c>
      <c r="P1659" s="6" t="str">
        <f t="shared" si="52"/>
        <v/>
      </c>
      <c r="Q1659" s="13">
        <f t="shared" si="53"/>
        <v>0</v>
      </c>
    </row>
    <row r="1660" spans="2:17" ht="15" customHeight="1">
      <c r="B1660" s="5" t="str">
        <f>_xlfn.IFNA(VLOOKUP(C1660,Master!$H:$I,2,FALSE),"")</f>
        <v/>
      </c>
      <c r="D1660" s="5" t="str">
        <f>_xlfn.IFNA(VLOOKUP(E1660,Master!$H:$I,2,FALSE),"")</f>
        <v/>
      </c>
      <c r="F1660" s="26" t="str">
        <f>+_xlfn.XLOOKUP(G1660,Master!$V$2:$V$8,Master!$U$2:$U$8,"")</f>
        <v/>
      </c>
      <c r="I1660" s="4" t="str">
        <f>_xlfn.IFNA(VLOOKUP(D1660,Master!$I:$K,2,FALSE),"")</f>
        <v/>
      </c>
      <c r="J1660" s="4" t="str">
        <f>_xlfn.IFNA(VLOOKUP(D1660,Master!$I:$K,3,FALSE),"")</f>
        <v/>
      </c>
      <c r="L1660" s="27" t="str">
        <f>IF(A1660&lt;&gt;"CFA",_xlfn.IFNA(VLOOKUP($G1660,Master!$V$2:$Z$8,5,0),""),"")</f>
        <v/>
      </c>
      <c r="P1660" s="6" t="str">
        <f t="shared" si="52"/>
        <v/>
      </c>
      <c r="Q1660" s="13">
        <f t="shared" si="53"/>
        <v>0</v>
      </c>
    </row>
    <row r="1661" spans="2:17" ht="15" customHeight="1">
      <c r="B1661" s="5" t="str">
        <f>_xlfn.IFNA(VLOOKUP(C1661,Master!$H:$I,2,FALSE),"")</f>
        <v/>
      </c>
      <c r="D1661" s="5" t="str">
        <f>_xlfn.IFNA(VLOOKUP(E1661,Master!$H:$I,2,FALSE),"")</f>
        <v/>
      </c>
      <c r="F1661" s="26" t="str">
        <f>+_xlfn.XLOOKUP(G1661,Master!$V$2:$V$8,Master!$U$2:$U$8,"")</f>
        <v/>
      </c>
      <c r="I1661" s="4" t="str">
        <f>_xlfn.IFNA(VLOOKUP(D1661,Master!$I:$K,2,FALSE),"")</f>
        <v/>
      </c>
      <c r="J1661" s="4" t="str">
        <f>_xlfn.IFNA(VLOOKUP(D1661,Master!$I:$K,3,FALSE),"")</f>
        <v/>
      </c>
      <c r="L1661" s="27" t="str">
        <f>IF(A1661&lt;&gt;"CFA",_xlfn.IFNA(VLOOKUP($G1661,Master!$V$2:$Z$8,5,0),""),"")</f>
        <v/>
      </c>
      <c r="P1661" s="6" t="str">
        <f t="shared" si="52"/>
        <v/>
      </c>
      <c r="Q1661" s="13">
        <f t="shared" si="53"/>
        <v>0</v>
      </c>
    </row>
    <row r="1662" spans="2:17" ht="15" customHeight="1">
      <c r="B1662" s="5" t="str">
        <f>_xlfn.IFNA(VLOOKUP(C1662,Master!$H:$I,2,FALSE),"")</f>
        <v/>
      </c>
      <c r="D1662" s="5" t="str">
        <f>_xlfn.IFNA(VLOOKUP(E1662,Master!$H:$I,2,FALSE),"")</f>
        <v/>
      </c>
      <c r="F1662" s="26" t="str">
        <f>+_xlfn.XLOOKUP(G1662,Master!$V$2:$V$8,Master!$U$2:$U$8,"")</f>
        <v/>
      </c>
      <c r="I1662" s="4" t="str">
        <f>_xlfn.IFNA(VLOOKUP(D1662,Master!$I:$K,2,FALSE),"")</f>
        <v/>
      </c>
      <c r="J1662" s="4" t="str">
        <f>_xlfn.IFNA(VLOOKUP(D1662,Master!$I:$K,3,FALSE),"")</f>
        <v/>
      </c>
      <c r="L1662" s="27" t="str">
        <f>IF(A1662&lt;&gt;"CFA",_xlfn.IFNA(VLOOKUP($G1662,Master!$V$2:$Z$8,5,0),""),"")</f>
        <v/>
      </c>
      <c r="P1662" s="6" t="str">
        <f t="shared" si="52"/>
        <v/>
      </c>
      <c r="Q1662" s="13">
        <f t="shared" si="53"/>
        <v>0</v>
      </c>
    </row>
    <row r="1663" spans="2:17" ht="15" customHeight="1">
      <c r="B1663" s="5" t="str">
        <f>_xlfn.IFNA(VLOOKUP(C1663,Master!$H:$I,2,FALSE),"")</f>
        <v/>
      </c>
      <c r="D1663" s="5" t="str">
        <f>_xlfn.IFNA(VLOOKUP(E1663,Master!$H:$I,2,FALSE),"")</f>
        <v/>
      </c>
      <c r="F1663" s="26" t="str">
        <f>+_xlfn.XLOOKUP(G1663,Master!$V$2:$V$8,Master!$U$2:$U$8,"")</f>
        <v/>
      </c>
      <c r="I1663" s="4" t="str">
        <f>_xlfn.IFNA(VLOOKUP(D1663,Master!$I:$K,2,FALSE),"")</f>
        <v/>
      </c>
      <c r="J1663" s="4" t="str">
        <f>_xlfn.IFNA(VLOOKUP(D1663,Master!$I:$K,3,FALSE),"")</f>
        <v/>
      </c>
      <c r="L1663" s="27" t="str">
        <f>IF(A1663&lt;&gt;"CFA",_xlfn.IFNA(VLOOKUP($G1663,Master!$V$2:$Z$8,5,0),""),"")</f>
        <v/>
      </c>
      <c r="P1663" s="6" t="str">
        <f t="shared" si="52"/>
        <v/>
      </c>
      <c r="Q1663" s="13">
        <f t="shared" si="53"/>
        <v>0</v>
      </c>
    </row>
    <row r="1664" spans="2:17" ht="15" customHeight="1">
      <c r="B1664" s="5" t="str">
        <f>_xlfn.IFNA(VLOOKUP(C1664,Master!$H:$I,2,FALSE),"")</f>
        <v/>
      </c>
      <c r="D1664" s="5" t="str">
        <f>_xlfn.IFNA(VLOOKUP(E1664,Master!$H:$I,2,FALSE),"")</f>
        <v/>
      </c>
      <c r="F1664" s="26" t="str">
        <f>+_xlfn.XLOOKUP(G1664,Master!$V$2:$V$8,Master!$U$2:$U$8,"")</f>
        <v/>
      </c>
      <c r="I1664" s="4" t="str">
        <f>_xlfn.IFNA(VLOOKUP(D1664,Master!$I:$K,2,FALSE),"")</f>
        <v/>
      </c>
      <c r="J1664" s="4" t="str">
        <f>_xlfn.IFNA(VLOOKUP(D1664,Master!$I:$K,3,FALSE),"")</f>
        <v/>
      </c>
      <c r="L1664" s="27" t="str">
        <f>IF(A1664&lt;&gt;"CFA",_xlfn.IFNA(VLOOKUP($G1664,Master!$V$2:$Z$8,5,0),""),"")</f>
        <v/>
      </c>
      <c r="P1664" s="6" t="str">
        <f t="shared" si="52"/>
        <v/>
      </c>
      <c r="Q1664" s="13">
        <f t="shared" si="53"/>
        <v>0</v>
      </c>
    </row>
    <row r="1665" spans="2:17" ht="15" customHeight="1">
      <c r="B1665" s="5" t="str">
        <f>_xlfn.IFNA(VLOOKUP(C1665,Master!$H:$I,2,FALSE),"")</f>
        <v/>
      </c>
      <c r="D1665" s="5" t="str">
        <f>_xlfn.IFNA(VLOOKUP(E1665,Master!$H:$I,2,FALSE),"")</f>
        <v/>
      </c>
      <c r="F1665" s="26" t="str">
        <f>+_xlfn.XLOOKUP(G1665,Master!$V$2:$V$8,Master!$U$2:$U$8,"")</f>
        <v/>
      </c>
      <c r="I1665" s="4" t="str">
        <f>_xlfn.IFNA(VLOOKUP(D1665,Master!$I:$K,2,FALSE),"")</f>
        <v/>
      </c>
      <c r="J1665" s="4" t="str">
        <f>_xlfn.IFNA(VLOOKUP(D1665,Master!$I:$K,3,FALSE),"")</f>
        <v/>
      </c>
      <c r="L1665" s="27" t="str">
        <f>IF(A1665&lt;&gt;"CFA",_xlfn.IFNA(VLOOKUP($G1665,Master!$V$2:$Z$8,5,0),""),"")</f>
        <v/>
      </c>
      <c r="P1665" s="6" t="str">
        <f t="shared" si="52"/>
        <v/>
      </c>
      <c r="Q1665" s="13">
        <f t="shared" si="53"/>
        <v>0</v>
      </c>
    </row>
    <row r="1666" spans="2:17" ht="15" customHeight="1">
      <c r="B1666" s="5" t="str">
        <f>_xlfn.IFNA(VLOOKUP(C1666,Master!$H:$I,2,FALSE),"")</f>
        <v/>
      </c>
      <c r="D1666" s="5" t="str">
        <f>_xlfn.IFNA(VLOOKUP(E1666,Master!$H:$I,2,FALSE),"")</f>
        <v/>
      </c>
      <c r="F1666" s="26" t="str">
        <f>+_xlfn.XLOOKUP(G1666,Master!$V$2:$V$8,Master!$U$2:$U$8,"")</f>
        <v/>
      </c>
      <c r="I1666" s="4" t="str">
        <f>_xlfn.IFNA(VLOOKUP(D1666,Master!$I:$K,2,FALSE),"")</f>
        <v/>
      </c>
      <c r="J1666" s="4" t="str">
        <f>_xlfn.IFNA(VLOOKUP(D1666,Master!$I:$K,3,FALSE),"")</f>
        <v/>
      </c>
      <c r="L1666" s="27" t="str">
        <f>IF(A1666&lt;&gt;"CFA",_xlfn.IFNA(VLOOKUP($G1666,Master!$V$2:$Z$8,5,0),""),"")</f>
        <v/>
      </c>
      <c r="P1666" s="6" t="str">
        <f t="shared" si="52"/>
        <v/>
      </c>
      <c r="Q1666" s="13">
        <f t="shared" si="53"/>
        <v>0</v>
      </c>
    </row>
    <row r="1667" spans="2:17" ht="15" customHeight="1">
      <c r="B1667" s="5" t="str">
        <f>_xlfn.IFNA(VLOOKUP(C1667,Master!$H:$I,2,FALSE),"")</f>
        <v/>
      </c>
      <c r="D1667" s="5" t="str">
        <f>_xlfn.IFNA(VLOOKUP(E1667,Master!$H:$I,2,FALSE),"")</f>
        <v/>
      </c>
      <c r="F1667" s="26" t="str">
        <f>+_xlfn.XLOOKUP(G1667,Master!$V$2:$V$8,Master!$U$2:$U$8,"")</f>
        <v/>
      </c>
      <c r="I1667" s="4" t="str">
        <f>_xlfn.IFNA(VLOOKUP(D1667,Master!$I:$K,2,FALSE),"")</f>
        <v/>
      </c>
      <c r="J1667" s="4" t="str">
        <f>_xlfn.IFNA(VLOOKUP(D1667,Master!$I:$K,3,FALSE),"")</f>
        <v/>
      </c>
      <c r="L1667" s="27" t="str">
        <f>IF(A1667&lt;&gt;"CFA",_xlfn.IFNA(VLOOKUP($G1667,Master!$V$2:$Z$8,5,0),""),"")</f>
        <v/>
      </c>
      <c r="P1667" s="6" t="str">
        <f t="shared" si="52"/>
        <v/>
      </c>
      <c r="Q1667" s="13">
        <f t="shared" si="53"/>
        <v>0</v>
      </c>
    </row>
    <row r="1668" spans="2:17" ht="15" customHeight="1">
      <c r="B1668" s="5" t="str">
        <f>_xlfn.IFNA(VLOOKUP(C1668,Master!$H:$I,2,FALSE),"")</f>
        <v/>
      </c>
      <c r="D1668" s="5" t="str">
        <f>_xlfn.IFNA(VLOOKUP(E1668,Master!$H:$I,2,FALSE),"")</f>
        <v/>
      </c>
      <c r="F1668" s="26" t="str">
        <f>+_xlfn.XLOOKUP(G1668,Master!$V$2:$V$8,Master!$U$2:$U$8,"")</f>
        <v/>
      </c>
      <c r="I1668" s="4" t="str">
        <f>_xlfn.IFNA(VLOOKUP(D1668,Master!$I:$K,2,FALSE),"")</f>
        <v/>
      </c>
      <c r="J1668" s="4" t="str">
        <f>_xlfn.IFNA(VLOOKUP(D1668,Master!$I:$K,3,FALSE),"")</f>
        <v/>
      </c>
      <c r="L1668" s="27" t="str">
        <f>IF(A1668&lt;&gt;"CFA",_xlfn.IFNA(VLOOKUP($G1668,Master!$V$2:$Z$8,5,0),""),"")</f>
        <v/>
      </c>
      <c r="P1668" s="6" t="str">
        <f t="shared" si="52"/>
        <v/>
      </c>
      <c r="Q1668" s="13">
        <f t="shared" si="53"/>
        <v>0</v>
      </c>
    </row>
    <row r="1669" spans="2:17" ht="15" customHeight="1">
      <c r="B1669" s="5" t="str">
        <f>_xlfn.IFNA(VLOOKUP(C1669,Master!$H:$I,2,FALSE),"")</f>
        <v/>
      </c>
      <c r="D1669" s="5" t="str">
        <f>_xlfn.IFNA(VLOOKUP(E1669,Master!$H:$I,2,FALSE),"")</f>
        <v/>
      </c>
      <c r="F1669" s="26" t="str">
        <f>+_xlfn.XLOOKUP(G1669,Master!$V$2:$V$8,Master!$U$2:$U$8,"")</f>
        <v/>
      </c>
      <c r="I1669" s="4" t="str">
        <f>_xlfn.IFNA(VLOOKUP(D1669,Master!$I:$K,2,FALSE),"")</f>
        <v/>
      </c>
      <c r="J1669" s="4" t="str">
        <f>_xlfn.IFNA(VLOOKUP(D1669,Master!$I:$K,3,FALSE),"")</f>
        <v/>
      </c>
      <c r="L1669" s="27" t="str">
        <f>IF(A1669&lt;&gt;"CFA",_xlfn.IFNA(VLOOKUP($G1669,Master!$V$2:$Z$8,5,0),""),"")</f>
        <v/>
      </c>
      <c r="P1669" s="6" t="str">
        <f t="shared" si="52"/>
        <v/>
      </c>
      <c r="Q1669" s="13">
        <f t="shared" si="53"/>
        <v>0</v>
      </c>
    </row>
    <row r="1670" spans="2:17" ht="15" customHeight="1">
      <c r="B1670" s="5" t="str">
        <f>_xlfn.IFNA(VLOOKUP(C1670,Master!$H:$I,2,FALSE),"")</f>
        <v/>
      </c>
      <c r="D1670" s="5" t="str">
        <f>_xlfn.IFNA(VLOOKUP(E1670,Master!$H:$I,2,FALSE),"")</f>
        <v/>
      </c>
      <c r="F1670" s="26" t="str">
        <f>+_xlfn.XLOOKUP(G1670,Master!$V$2:$V$8,Master!$U$2:$U$8,"")</f>
        <v/>
      </c>
      <c r="I1670" s="4" t="str">
        <f>_xlfn.IFNA(VLOOKUP(D1670,Master!$I:$K,2,FALSE),"")</f>
        <v/>
      </c>
      <c r="J1670" s="4" t="str">
        <f>_xlfn.IFNA(VLOOKUP(D1670,Master!$I:$K,3,FALSE),"")</f>
        <v/>
      </c>
      <c r="L1670" s="27" t="str">
        <f>IF(A1670&lt;&gt;"CFA",_xlfn.IFNA(VLOOKUP($G1670,Master!$V$2:$Z$8,5,0),""),"")</f>
        <v/>
      </c>
      <c r="P1670" s="6" t="str">
        <f t="shared" si="52"/>
        <v/>
      </c>
      <c r="Q1670" s="13">
        <f t="shared" si="53"/>
        <v>0</v>
      </c>
    </row>
    <row r="1671" spans="2:17" ht="15" customHeight="1">
      <c r="B1671" s="5" t="str">
        <f>_xlfn.IFNA(VLOOKUP(C1671,Master!$H:$I,2,FALSE),"")</f>
        <v/>
      </c>
      <c r="D1671" s="5" t="str">
        <f>_xlfn.IFNA(VLOOKUP(E1671,Master!$H:$I,2,FALSE),"")</f>
        <v/>
      </c>
      <c r="F1671" s="26" t="str">
        <f>+_xlfn.XLOOKUP(G1671,Master!$V$2:$V$8,Master!$U$2:$U$8,"")</f>
        <v/>
      </c>
      <c r="I1671" s="4" t="str">
        <f>_xlfn.IFNA(VLOOKUP(D1671,Master!$I:$K,2,FALSE),"")</f>
        <v/>
      </c>
      <c r="J1671" s="4" t="str">
        <f>_xlfn.IFNA(VLOOKUP(D1671,Master!$I:$K,3,FALSE),"")</f>
        <v/>
      </c>
      <c r="L1671" s="27" t="str">
        <f>IF(A1671&lt;&gt;"CFA",_xlfn.IFNA(VLOOKUP($G1671,Master!$V$2:$Z$8,5,0),""),"")</f>
        <v/>
      </c>
      <c r="P1671" s="6" t="str">
        <f t="shared" si="52"/>
        <v/>
      </c>
      <c r="Q1671" s="13">
        <f t="shared" si="53"/>
        <v>0</v>
      </c>
    </row>
    <row r="1672" spans="2:17" ht="15" customHeight="1">
      <c r="B1672" s="5" t="str">
        <f>_xlfn.IFNA(VLOOKUP(C1672,Master!$H:$I,2,FALSE),"")</f>
        <v/>
      </c>
      <c r="D1672" s="5" t="str">
        <f>_xlfn.IFNA(VLOOKUP(E1672,Master!$H:$I,2,FALSE),"")</f>
        <v/>
      </c>
      <c r="F1672" s="26" t="str">
        <f>+_xlfn.XLOOKUP(G1672,Master!$V$2:$V$8,Master!$U$2:$U$8,"")</f>
        <v/>
      </c>
      <c r="I1672" s="4" t="str">
        <f>_xlfn.IFNA(VLOOKUP(D1672,Master!$I:$K,2,FALSE),"")</f>
        <v/>
      </c>
      <c r="J1672" s="4" t="str">
        <f>_xlfn.IFNA(VLOOKUP(D1672,Master!$I:$K,3,FALSE),"")</f>
        <v/>
      </c>
      <c r="L1672" s="27" t="str">
        <f>IF(A1672&lt;&gt;"CFA",_xlfn.IFNA(VLOOKUP($G1672,Master!$V$2:$Z$8,5,0),""),"")</f>
        <v/>
      </c>
      <c r="P1672" s="6" t="str">
        <f t="shared" si="52"/>
        <v/>
      </c>
      <c r="Q1672" s="13">
        <f t="shared" si="53"/>
        <v>0</v>
      </c>
    </row>
    <row r="1673" spans="2:17" ht="15" customHeight="1">
      <c r="B1673" s="5" t="str">
        <f>_xlfn.IFNA(VLOOKUP(C1673,Master!$H:$I,2,FALSE),"")</f>
        <v/>
      </c>
      <c r="D1673" s="5" t="str">
        <f>_xlfn.IFNA(VLOOKUP(E1673,Master!$H:$I,2,FALSE),"")</f>
        <v/>
      </c>
      <c r="F1673" s="26" t="str">
        <f>+_xlfn.XLOOKUP(G1673,Master!$V$2:$V$8,Master!$U$2:$U$8,"")</f>
        <v/>
      </c>
      <c r="I1673" s="4" t="str">
        <f>_xlfn.IFNA(VLOOKUP(D1673,Master!$I:$K,2,FALSE),"")</f>
        <v/>
      </c>
      <c r="J1673" s="4" t="str">
        <f>_xlfn.IFNA(VLOOKUP(D1673,Master!$I:$K,3,FALSE),"")</f>
        <v/>
      </c>
      <c r="L1673" s="27" t="str">
        <f>IF(A1673&lt;&gt;"CFA",_xlfn.IFNA(VLOOKUP($G1673,Master!$V$2:$Z$8,5,0),""),"")</f>
        <v/>
      </c>
      <c r="P1673" s="6" t="str">
        <f t="shared" si="52"/>
        <v/>
      </c>
      <c r="Q1673" s="13">
        <f t="shared" si="53"/>
        <v>0</v>
      </c>
    </row>
    <row r="1674" spans="2:17" ht="15" customHeight="1">
      <c r="B1674" s="5" t="str">
        <f>_xlfn.IFNA(VLOOKUP(C1674,Master!$H:$I,2,FALSE),"")</f>
        <v/>
      </c>
      <c r="D1674" s="5" t="str">
        <f>_xlfn.IFNA(VLOOKUP(E1674,Master!$H:$I,2,FALSE),"")</f>
        <v/>
      </c>
      <c r="F1674" s="26" t="str">
        <f>+_xlfn.XLOOKUP(G1674,Master!$V$2:$V$8,Master!$U$2:$U$8,"")</f>
        <v/>
      </c>
      <c r="I1674" s="4" t="str">
        <f>_xlfn.IFNA(VLOOKUP(D1674,Master!$I:$K,2,FALSE),"")</f>
        <v/>
      </c>
      <c r="J1674" s="4" t="str">
        <f>_xlfn.IFNA(VLOOKUP(D1674,Master!$I:$K,3,FALSE),"")</f>
        <v/>
      </c>
      <c r="L1674" s="27" t="str">
        <f>IF(A1674&lt;&gt;"CFA",_xlfn.IFNA(VLOOKUP($G1674,Master!$V$2:$Z$8,5,0),""),"")</f>
        <v/>
      </c>
      <c r="P1674" s="6" t="str">
        <f t="shared" si="52"/>
        <v/>
      </c>
      <c r="Q1674" s="13">
        <f t="shared" si="53"/>
        <v>0</v>
      </c>
    </row>
    <row r="1675" spans="2:17" ht="15" customHeight="1">
      <c r="B1675" s="5" t="str">
        <f>_xlfn.IFNA(VLOOKUP(C1675,Master!$H:$I,2,FALSE),"")</f>
        <v/>
      </c>
      <c r="D1675" s="5" t="str">
        <f>_xlfn.IFNA(VLOOKUP(E1675,Master!$H:$I,2,FALSE),"")</f>
        <v/>
      </c>
      <c r="F1675" s="26" t="str">
        <f>+_xlfn.XLOOKUP(G1675,Master!$V$2:$V$8,Master!$U$2:$U$8,"")</f>
        <v/>
      </c>
      <c r="I1675" s="4" t="str">
        <f>_xlfn.IFNA(VLOOKUP(D1675,Master!$I:$K,2,FALSE),"")</f>
        <v/>
      </c>
      <c r="J1675" s="4" t="str">
        <f>_xlfn.IFNA(VLOOKUP(D1675,Master!$I:$K,3,FALSE),"")</f>
        <v/>
      </c>
      <c r="L1675" s="27" t="str">
        <f>IF(A1675&lt;&gt;"CFA",_xlfn.IFNA(VLOOKUP($G1675,Master!$V$2:$Z$8,5,0),""),"")</f>
        <v/>
      </c>
      <c r="P1675" s="6" t="str">
        <f t="shared" si="52"/>
        <v/>
      </c>
      <c r="Q1675" s="13">
        <f t="shared" si="53"/>
        <v>0</v>
      </c>
    </row>
    <row r="1676" spans="2:17" ht="15" customHeight="1">
      <c r="B1676" s="5" t="str">
        <f>_xlfn.IFNA(VLOOKUP(C1676,Master!$H:$I,2,FALSE),"")</f>
        <v/>
      </c>
      <c r="D1676" s="5" t="str">
        <f>_xlfn.IFNA(VLOOKUP(E1676,Master!$H:$I,2,FALSE),"")</f>
        <v/>
      </c>
      <c r="F1676" s="26" t="str">
        <f>+_xlfn.XLOOKUP(G1676,Master!$V$2:$V$8,Master!$U$2:$U$8,"")</f>
        <v/>
      </c>
      <c r="I1676" s="4" t="str">
        <f>_xlfn.IFNA(VLOOKUP(D1676,Master!$I:$K,2,FALSE),"")</f>
        <v/>
      </c>
      <c r="J1676" s="4" t="str">
        <f>_xlfn.IFNA(VLOOKUP(D1676,Master!$I:$K,3,FALSE),"")</f>
        <v/>
      </c>
      <c r="L1676" s="27" t="str">
        <f>IF(A1676&lt;&gt;"CFA",_xlfn.IFNA(VLOOKUP($G1676,Master!$V$2:$Z$8,5,0),""),"")</f>
        <v/>
      </c>
      <c r="P1676" s="6" t="str">
        <f t="shared" si="52"/>
        <v/>
      </c>
      <c r="Q1676" s="13">
        <f t="shared" si="53"/>
        <v>0</v>
      </c>
    </row>
    <row r="1677" spans="2:17" ht="15" customHeight="1">
      <c r="B1677" s="5" t="str">
        <f>_xlfn.IFNA(VLOOKUP(C1677,Master!$H:$I,2,FALSE),"")</f>
        <v/>
      </c>
      <c r="D1677" s="5" t="str">
        <f>_xlfn.IFNA(VLOOKUP(E1677,Master!$H:$I,2,FALSE),"")</f>
        <v/>
      </c>
      <c r="F1677" s="26" t="str">
        <f>+_xlfn.XLOOKUP(G1677,Master!$V$2:$V$8,Master!$U$2:$U$8,"")</f>
        <v/>
      </c>
      <c r="I1677" s="4" t="str">
        <f>_xlfn.IFNA(VLOOKUP(D1677,Master!$I:$K,2,FALSE),"")</f>
        <v/>
      </c>
      <c r="J1677" s="4" t="str">
        <f>_xlfn.IFNA(VLOOKUP(D1677,Master!$I:$K,3,FALSE),"")</f>
        <v/>
      </c>
      <c r="L1677" s="27" t="str">
        <f>IF(A1677&lt;&gt;"CFA",_xlfn.IFNA(VLOOKUP($G1677,Master!$V$2:$Z$8,5,0),""),"")</f>
        <v/>
      </c>
      <c r="P1677" s="6" t="str">
        <f t="shared" si="52"/>
        <v/>
      </c>
      <c r="Q1677" s="13">
        <f t="shared" si="53"/>
        <v>0</v>
      </c>
    </row>
    <row r="1678" spans="2:17" ht="15" customHeight="1">
      <c r="B1678" s="5" t="str">
        <f>_xlfn.IFNA(VLOOKUP(C1678,Master!$H:$I,2,FALSE),"")</f>
        <v/>
      </c>
      <c r="D1678" s="5" t="str">
        <f>_xlfn.IFNA(VLOOKUP(E1678,Master!$H:$I,2,FALSE),"")</f>
        <v/>
      </c>
      <c r="F1678" s="26" t="str">
        <f>+_xlfn.XLOOKUP(G1678,Master!$V$2:$V$8,Master!$U$2:$U$8,"")</f>
        <v/>
      </c>
      <c r="I1678" s="4" t="str">
        <f>_xlfn.IFNA(VLOOKUP(D1678,Master!$I:$K,2,FALSE),"")</f>
        <v/>
      </c>
      <c r="J1678" s="4" t="str">
        <f>_xlfn.IFNA(VLOOKUP(D1678,Master!$I:$K,3,FALSE),"")</f>
        <v/>
      </c>
      <c r="L1678" s="27" t="str">
        <f>IF(A1678&lt;&gt;"CFA",_xlfn.IFNA(VLOOKUP($G1678,Master!$V$2:$Z$8,5,0),""),"")</f>
        <v/>
      </c>
      <c r="P1678" s="6" t="str">
        <f t="shared" si="52"/>
        <v/>
      </c>
      <c r="Q1678" s="13">
        <f t="shared" si="53"/>
        <v>0</v>
      </c>
    </row>
    <row r="1679" spans="2:17" ht="15" customHeight="1">
      <c r="B1679" s="5" t="str">
        <f>_xlfn.IFNA(VLOOKUP(C1679,Master!$H:$I,2,FALSE),"")</f>
        <v/>
      </c>
      <c r="D1679" s="5" t="str">
        <f>_xlfn.IFNA(VLOOKUP(E1679,Master!$H:$I,2,FALSE),"")</f>
        <v/>
      </c>
      <c r="F1679" s="26" t="str">
        <f>+_xlfn.XLOOKUP(G1679,Master!$V$2:$V$8,Master!$U$2:$U$8,"")</f>
        <v/>
      </c>
      <c r="I1679" s="4" t="str">
        <f>_xlfn.IFNA(VLOOKUP(D1679,Master!$I:$K,2,FALSE),"")</f>
        <v/>
      </c>
      <c r="J1679" s="4" t="str">
        <f>_xlfn.IFNA(VLOOKUP(D1679,Master!$I:$K,3,FALSE),"")</f>
        <v/>
      </c>
      <c r="L1679" s="27" t="str">
        <f>IF(A1679&lt;&gt;"CFA",_xlfn.IFNA(VLOOKUP($G1679,Master!$V$2:$Z$8,5,0),""),"")</f>
        <v/>
      </c>
      <c r="P1679" s="6" t="str">
        <f t="shared" si="52"/>
        <v/>
      </c>
      <c r="Q1679" s="13">
        <f t="shared" si="53"/>
        <v>0</v>
      </c>
    </row>
    <row r="1680" spans="2:17" ht="15" customHeight="1">
      <c r="B1680" s="5" t="str">
        <f>_xlfn.IFNA(VLOOKUP(C1680,Master!$H:$I,2,FALSE),"")</f>
        <v/>
      </c>
      <c r="D1680" s="5" t="str">
        <f>_xlfn.IFNA(VLOOKUP(E1680,Master!$H:$I,2,FALSE),"")</f>
        <v/>
      </c>
      <c r="F1680" s="26" t="str">
        <f>+_xlfn.XLOOKUP(G1680,Master!$V$2:$V$8,Master!$U$2:$U$8,"")</f>
        <v/>
      </c>
      <c r="I1680" s="4" t="str">
        <f>_xlfn.IFNA(VLOOKUP(D1680,Master!$I:$K,2,FALSE),"")</f>
        <v/>
      </c>
      <c r="J1680" s="4" t="str">
        <f>_xlfn.IFNA(VLOOKUP(D1680,Master!$I:$K,3,FALSE),"")</f>
        <v/>
      </c>
      <c r="L1680" s="27" t="str">
        <f>IF(A1680&lt;&gt;"CFA",_xlfn.IFNA(VLOOKUP($G1680,Master!$V$2:$Z$8,5,0),""),"")</f>
        <v/>
      </c>
      <c r="P1680" s="6" t="str">
        <f t="shared" si="52"/>
        <v/>
      </c>
      <c r="Q1680" s="13">
        <f t="shared" si="53"/>
        <v>0</v>
      </c>
    </row>
    <row r="1681" spans="2:17" ht="15" customHeight="1">
      <c r="B1681" s="5" t="str">
        <f>_xlfn.IFNA(VLOOKUP(C1681,Master!$H:$I,2,FALSE),"")</f>
        <v/>
      </c>
      <c r="D1681" s="5" t="str">
        <f>_xlfn.IFNA(VLOOKUP(E1681,Master!$H:$I,2,FALSE),"")</f>
        <v/>
      </c>
      <c r="F1681" s="26" t="str">
        <f>+_xlfn.XLOOKUP(G1681,Master!$V$2:$V$8,Master!$U$2:$U$8,"")</f>
        <v/>
      </c>
      <c r="I1681" s="4" t="str">
        <f>_xlfn.IFNA(VLOOKUP(D1681,Master!$I:$K,2,FALSE),"")</f>
        <v/>
      </c>
      <c r="J1681" s="4" t="str">
        <f>_xlfn.IFNA(VLOOKUP(D1681,Master!$I:$K,3,FALSE),"")</f>
        <v/>
      </c>
      <c r="L1681" s="27" t="str">
        <f>IF(A1681&lt;&gt;"CFA",_xlfn.IFNA(VLOOKUP($G1681,Master!$V$2:$Z$8,5,0),""),"")</f>
        <v/>
      </c>
      <c r="P1681" s="6" t="str">
        <f t="shared" si="52"/>
        <v/>
      </c>
      <c r="Q1681" s="13">
        <f t="shared" si="53"/>
        <v>0</v>
      </c>
    </row>
    <row r="1682" spans="2:17" ht="15" customHeight="1">
      <c r="B1682" s="5" t="str">
        <f>_xlfn.IFNA(VLOOKUP(C1682,Master!$H:$I,2,FALSE),"")</f>
        <v/>
      </c>
      <c r="D1682" s="5" t="str">
        <f>_xlfn.IFNA(VLOOKUP(E1682,Master!$H:$I,2,FALSE),"")</f>
        <v/>
      </c>
      <c r="F1682" s="26" t="str">
        <f>+_xlfn.XLOOKUP(G1682,Master!$V$2:$V$8,Master!$U$2:$U$8,"")</f>
        <v/>
      </c>
      <c r="I1682" s="4" t="str">
        <f>_xlfn.IFNA(VLOOKUP(D1682,Master!$I:$K,2,FALSE),"")</f>
        <v/>
      </c>
      <c r="J1682" s="4" t="str">
        <f>_xlfn.IFNA(VLOOKUP(D1682,Master!$I:$K,3,FALSE),"")</f>
        <v/>
      </c>
      <c r="L1682" s="27" t="str">
        <f>IF(A1682&lt;&gt;"CFA",_xlfn.IFNA(VLOOKUP($G1682,Master!$V$2:$Z$8,5,0),""),"")</f>
        <v/>
      </c>
      <c r="P1682" s="6" t="str">
        <f t="shared" si="52"/>
        <v/>
      </c>
      <c r="Q1682" s="13">
        <f t="shared" si="53"/>
        <v>0</v>
      </c>
    </row>
    <row r="1683" spans="2:17" ht="15" customHeight="1">
      <c r="B1683" s="5" t="str">
        <f>_xlfn.IFNA(VLOOKUP(C1683,Master!$H:$I,2,FALSE),"")</f>
        <v/>
      </c>
      <c r="D1683" s="5" t="str">
        <f>_xlfn.IFNA(VLOOKUP(E1683,Master!$H:$I,2,FALSE),"")</f>
        <v/>
      </c>
      <c r="F1683" s="26" t="str">
        <f>+_xlfn.XLOOKUP(G1683,Master!$V$2:$V$8,Master!$U$2:$U$8,"")</f>
        <v/>
      </c>
      <c r="I1683" s="4" t="str">
        <f>_xlfn.IFNA(VLOOKUP(D1683,Master!$I:$K,2,FALSE),"")</f>
        <v/>
      </c>
      <c r="J1683" s="4" t="str">
        <f>_xlfn.IFNA(VLOOKUP(D1683,Master!$I:$K,3,FALSE),"")</f>
        <v/>
      </c>
      <c r="L1683" s="27" t="str">
        <f>IF(A1683&lt;&gt;"CFA",_xlfn.IFNA(VLOOKUP($G1683,Master!$V$2:$Z$8,5,0),""),"")</f>
        <v/>
      </c>
      <c r="P1683" s="6" t="str">
        <f t="shared" si="52"/>
        <v/>
      </c>
      <c r="Q1683" s="13">
        <f t="shared" si="53"/>
        <v>0</v>
      </c>
    </row>
    <row r="1684" spans="2:17" ht="15" customHeight="1">
      <c r="B1684" s="5" t="str">
        <f>_xlfn.IFNA(VLOOKUP(C1684,Master!$H:$I,2,FALSE),"")</f>
        <v/>
      </c>
      <c r="D1684" s="5" t="str">
        <f>_xlfn.IFNA(VLOOKUP(E1684,Master!$H:$I,2,FALSE),"")</f>
        <v/>
      </c>
      <c r="F1684" s="26" t="str">
        <f>+_xlfn.XLOOKUP(G1684,Master!$V$2:$V$8,Master!$U$2:$U$8,"")</f>
        <v/>
      </c>
      <c r="I1684" s="4" t="str">
        <f>_xlfn.IFNA(VLOOKUP(D1684,Master!$I:$K,2,FALSE),"")</f>
        <v/>
      </c>
      <c r="J1684" s="4" t="str">
        <f>_xlfn.IFNA(VLOOKUP(D1684,Master!$I:$K,3,FALSE),"")</f>
        <v/>
      </c>
      <c r="L1684" s="27" t="str">
        <f>IF(A1684&lt;&gt;"CFA",_xlfn.IFNA(VLOOKUP($G1684,Master!$V$2:$Z$8,5,0),""),"")</f>
        <v/>
      </c>
      <c r="P1684" s="6" t="str">
        <f t="shared" si="52"/>
        <v/>
      </c>
      <c r="Q1684" s="13">
        <f t="shared" si="53"/>
        <v>0</v>
      </c>
    </row>
    <row r="1685" spans="2:17" ht="15" customHeight="1">
      <c r="B1685" s="5" t="str">
        <f>_xlfn.IFNA(VLOOKUP(C1685,Master!$H:$I,2,FALSE),"")</f>
        <v/>
      </c>
      <c r="D1685" s="5" t="str">
        <f>_xlfn.IFNA(VLOOKUP(E1685,Master!$H:$I,2,FALSE),"")</f>
        <v/>
      </c>
      <c r="F1685" s="26" t="str">
        <f>+_xlfn.XLOOKUP(G1685,Master!$V$2:$V$8,Master!$U$2:$U$8,"")</f>
        <v/>
      </c>
      <c r="I1685" s="4" t="str">
        <f>_xlfn.IFNA(VLOOKUP(D1685,Master!$I:$K,2,FALSE),"")</f>
        <v/>
      </c>
      <c r="J1685" s="4" t="str">
        <f>_xlfn.IFNA(VLOOKUP(D1685,Master!$I:$K,3,FALSE),"")</f>
        <v/>
      </c>
      <c r="L1685" s="27" t="str">
        <f>IF(A1685&lt;&gt;"CFA",_xlfn.IFNA(VLOOKUP($G1685,Master!$V$2:$Z$8,5,0),""),"")</f>
        <v/>
      </c>
      <c r="P1685" s="6" t="str">
        <f t="shared" si="52"/>
        <v/>
      </c>
      <c r="Q1685" s="13">
        <f t="shared" si="53"/>
        <v>0</v>
      </c>
    </row>
    <row r="1686" spans="2:17" ht="15" customHeight="1">
      <c r="B1686" s="5" t="str">
        <f>_xlfn.IFNA(VLOOKUP(C1686,Master!$H:$I,2,FALSE),"")</f>
        <v/>
      </c>
      <c r="D1686" s="5" t="str">
        <f>_xlfn.IFNA(VLOOKUP(E1686,Master!$H:$I,2,FALSE),"")</f>
        <v/>
      </c>
      <c r="F1686" s="26" t="str">
        <f>+_xlfn.XLOOKUP(G1686,Master!$V$2:$V$8,Master!$U$2:$U$8,"")</f>
        <v/>
      </c>
      <c r="I1686" s="4" t="str">
        <f>_xlfn.IFNA(VLOOKUP(D1686,Master!$I:$K,2,FALSE),"")</f>
        <v/>
      </c>
      <c r="J1686" s="4" t="str">
        <f>_xlfn.IFNA(VLOOKUP(D1686,Master!$I:$K,3,FALSE),"")</f>
        <v/>
      </c>
      <c r="L1686" s="27" t="str">
        <f>IF(A1686&lt;&gt;"CFA",_xlfn.IFNA(VLOOKUP($G1686,Master!$V$2:$Z$8,5,0),""),"")</f>
        <v/>
      </c>
      <c r="P1686" s="6" t="str">
        <f t="shared" si="52"/>
        <v/>
      </c>
      <c r="Q1686" s="13">
        <f t="shared" si="53"/>
        <v>0</v>
      </c>
    </row>
    <row r="1687" spans="2:17" ht="15" customHeight="1">
      <c r="B1687" s="5" t="str">
        <f>_xlfn.IFNA(VLOOKUP(C1687,Master!$H:$I,2,FALSE),"")</f>
        <v/>
      </c>
      <c r="D1687" s="5" t="str">
        <f>_xlfn.IFNA(VLOOKUP(E1687,Master!$H:$I,2,FALSE),"")</f>
        <v/>
      </c>
      <c r="F1687" s="26" t="str">
        <f>+_xlfn.XLOOKUP(G1687,Master!$V$2:$V$8,Master!$U$2:$U$8,"")</f>
        <v/>
      </c>
      <c r="I1687" s="4" t="str">
        <f>_xlfn.IFNA(VLOOKUP(D1687,Master!$I:$K,2,FALSE),"")</f>
        <v/>
      </c>
      <c r="J1687" s="4" t="str">
        <f>_xlfn.IFNA(VLOOKUP(D1687,Master!$I:$K,3,FALSE),"")</f>
        <v/>
      </c>
      <c r="L1687" s="27" t="str">
        <f>IF(A1687&lt;&gt;"CFA",_xlfn.IFNA(VLOOKUP($G1687,Master!$V$2:$Z$8,5,0),""),"")</f>
        <v/>
      </c>
      <c r="P1687" s="6" t="str">
        <f t="shared" si="52"/>
        <v/>
      </c>
      <c r="Q1687" s="13">
        <f t="shared" si="53"/>
        <v>0</v>
      </c>
    </row>
    <row r="1688" spans="2:17" ht="15" customHeight="1">
      <c r="B1688" s="5" t="str">
        <f>_xlfn.IFNA(VLOOKUP(C1688,Master!$H:$I,2,FALSE),"")</f>
        <v/>
      </c>
      <c r="D1688" s="5" t="str">
        <f>_xlfn.IFNA(VLOOKUP(E1688,Master!$H:$I,2,FALSE),"")</f>
        <v/>
      </c>
      <c r="F1688" s="26" t="str">
        <f>+_xlfn.XLOOKUP(G1688,Master!$V$2:$V$8,Master!$U$2:$U$8,"")</f>
        <v/>
      </c>
      <c r="I1688" s="4" t="str">
        <f>_xlfn.IFNA(VLOOKUP(D1688,Master!$I:$K,2,FALSE),"")</f>
        <v/>
      </c>
      <c r="J1688" s="4" t="str">
        <f>_xlfn.IFNA(VLOOKUP(D1688,Master!$I:$K,3,FALSE),"")</f>
        <v/>
      </c>
      <c r="L1688" s="27" t="str">
        <f>IF(A1688&lt;&gt;"CFA",_xlfn.IFNA(VLOOKUP($G1688,Master!$V$2:$Z$8,5,0),""),"")</f>
        <v/>
      </c>
      <c r="P1688" s="6" t="str">
        <f t="shared" si="52"/>
        <v/>
      </c>
      <c r="Q1688" s="13">
        <f t="shared" si="53"/>
        <v>0</v>
      </c>
    </row>
    <row r="1689" spans="2:17" ht="15" customHeight="1">
      <c r="B1689" s="5" t="str">
        <f>_xlfn.IFNA(VLOOKUP(C1689,Master!$H:$I,2,FALSE),"")</f>
        <v/>
      </c>
      <c r="D1689" s="5" t="str">
        <f>_xlfn.IFNA(VLOOKUP(E1689,Master!$H:$I,2,FALSE),"")</f>
        <v/>
      </c>
      <c r="F1689" s="26" t="str">
        <f>+_xlfn.XLOOKUP(G1689,Master!$V$2:$V$8,Master!$U$2:$U$8,"")</f>
        <v/>
      </c>
      <c r="I1689" s="4" t="str">
        <f>_xlfn.IFNA(VLOOKUP(D1689,Master!$I:$K,2,FALSE),"")</f>
        <v/>
      </c>
      <c r="J1689" s="4" t="str">
        <f>_xlfn.IFNA(VLOOKUP(D1689,Master!$I:$K,3,FALSE),"")</f>
        <v/>
      </c>
      <c r="L1689" s="27" t="str">
        <f>IF(A1689&lt;&gt;"CFA",_xlfn.IFNA(VLOOKUP($G1689,Master!$V$2:$Z$8,5,0),""),"")</f>
        <v/>
      </c>
      <c r="P1689" s="6" t="str">
        <f t="shared" si="52"/>
        <v/>
      </c>
      <c r="Q1689" s="13">
        <f t="shared" si="53"/>
        <v>0</v>
      </c>
    </row>
    <row r="1690" spans="2:17" ht="15" customHeight="1">
      <c r="B1690" s="5" t="str">
        <f>_xlfn.IFNA(VLOOKUP(C1690,Master!$H:$I,2,FALSE),"")</f>
        <v/>
      </c>
      <c r="D1690" s="5" t="str">
        <f>_xlfn.IFNA(VLOOKUP(E1690,Master!$H:$I,2,FALSE),"")</f>
        <v/>
      </c>
      <c r="F1690" s="26" t="str">
        <f>+_xlfn.XLOOKUP(G1690,Master!$V$2:$V$8,Master!$U$2:$U$8,"")</f>
        <v/>
      </c>
      <c r="I1690" s="4" t="str">
        <f>_xlfn.IFNA(VLOOKUP(D1690,Master!$I:$K,2,FALSE),"")</f>
        <v/>
      </c>
      <c r="J1690" s="4" t="str">
        <f>_xlfn.IFNA(VLOOKUP(D1690,Master!$I:$K,3,FALSE),"")</f>
        <v/>
      </c>
      <c r="L1690" s="27" t="str">
        <f>IF(A1690&lt;&gt;"CFA",_xlfn.IFNA(VLOOKUP($G1690,Master!$V$2:$Z$8,5,0),""),"")</f>
        <v/>
      </c>
      <c r="P1690" s="6" t="str">
        <f t="shared" si="52"/>
        <v/>
      </c>
      <c r="Q1690" s="13">
        <f t="shared" si="53"/>
        <v>0</v>
      </c>
    </row>
    <row r="1691" spans="2:17" ht="15" customHeight="1">
      <c r="B1691" s="5" t="str">
        <f>_xlfn.IFNA(VLOOKUP(C1691,Master!$H:$I,2,FALSE),"")</f>
        <v/>
      </c>
      <c r="D1691" s="5" t="str">
        <f>_xlfn.IFNA(VLOOKUP(E1691,Master!$H:$I,2,FALSE),"")</f>
        <v/>
      </c>
      <c r="F1691" s="26" t="str">
        <f>+_xlfn.XLOOKUP(G1691,Master!$V$2:$V$8,Master!$U$2:$U$8,"")</f>
        <v/>
      </c>
      <c r="I1691" s="4" t="str">
        <f>_xlfn.IFNA(VLOOKUP(D1691,Master!$I:$K,2,FALSE),"")</f>
        <v/>
      </c>
      <c r="J1691" s="4" t="str">
        <f>_xlfn.IFNA(VLOOKUP(D1691,Master!$I:$K,3,FALSE),"")</f>
        <v/>
      </c>
      <c r="L1691" s="27" t="str">
        <f>IF(A1691&lt;&gt;"CFA",_xlfn.IFNA(VLOOKUP($G1691,Master!$V$2:$Z$8,5,0),""),"")</f>
        <v/>
      </c>
      <c r="P1691" s="6" t="str">
        <f t="shared" si="52"/>
        <v/>
      </c>
      <c r="Q1691" s="13">
        <f t="shared" si="53"/>
        <v>0</v>
      </c>
    </row>
    <row r="1692" spans="2:17" ht="15" customHeight="1">
      <c r="B1692" s="5" t="str">
        <f>_xlfn.IFNA(VLOOKUP(C1692,Master!$H:$I,2,FALSE),"")</f>
        <v/>
      </c>
      <c r="D1692" s="5" t="str">
        <f>_xlfn.IFNA(VLOOKUP(E1692,Master!$H:$I,2,FALSE),"")</f>
        <v/>
      </c>
      <c r="F1692" s="26" t="str">
        <f>+_xlfn.XLOOKUP(G1692,Master!$V$2:$V$8,Master!$U$2:$U$8,"")</f>
        <v/>
      </c>
      <c r="I1692" s="4" t="str">
        <f>_xlfn.IFNA(VLOOKUP(D1692,Master!$I:$K,2,FALSE),"")</f>
        <v/>
      </c>
      <c r="J1692" s="4" t="str">
        <f>_xlfn.IFNA(VLOOKUP(D1692,Master!$I:$K,3,FALSE),"")</f>
        <v/>
      </c>
      <c r="L1692" s="27" t="str">
        <f>IF(A1692&lt;&gt;"CFA",_xlfn.IFNA(VLOOKUP($G1692,Master!$V$2:$Z$8,5,0),""),"")</f>
        <v/>
      </c>
      <c r="P1692" s="6" t="str">
        <f t="shared" si="52"/>
        <v/>
      </c>
      <c r="Q1692" s="13">
        <f t="shared" si="53"/>
        <v>0</v>
      </c>
    </row>
    <row r="1693" spans="2:17" ht="15" customHeight="1">
      <c r="B1693" s="5" t="str">
        <f>_xlfn.IFNA(VLOOKUP(C1693,Master!$H:$I,2,FALSE),"")</f>
        <v/>
      </c>
      <c r="D1693" s="5" t="str">
        <f>_xlfn.IFNA(VLOOKUP(E1693,Master!$H:$I,2,FALSE),"")</f>
        <v/>
      </c>
      <c r="F1693" s="26" t="str">
        <f>+_xlfn.XLOOKUP(G1693,Master!$V$2:$V$8,Master!$U$2:$U$8,"")</f>
        <v/>
      </c>
      <c r="I1693" s="4" t="str">
        <f>_xlfn.IFNA(VLOOKUP(D1693,Master!$I:$K,2,FALSE),"")</f>
        <v/>
      </c>
      <c r="J1693" s="4" t="str">
        <f>_xlfn.IFNA(VLOOKUP(D1693,Master!$I:$K,3,FALSE),"")</f>
        <v/>
      </c>
      <c r="L1693" s="27" t="str">
        <f>IF(A1693&lt;&gt;"CFA",_xlfn.IFNA(VLOOKUP($G1693,Master!$V$2:$Z$8,5,0),""),"")</f>
        <v/>
      </c>
      <c r="P1693" s="6" t="str">
        <f t="shared" si="52"/>
        <v/>
      </c>
      <c r="Q1693" s="13">
        <f t="shared" si="53"/>
        <v>0</v>
      </c>
    </row>
    <row r="1694" spans="2:17" ht="15" customHeight="1">
      <c r="B1694" s="5" t="str">
        <f>_xlfn.IFNA(VLOOKUP(C1694,Master!$H:$I,2,FALSE),"")</f>
        <v/>
      </c>
      <c r="D1694" s="5" t="str">
        <f>_xlfn.IFNA(VLOOKUP(E1694,Master!$H:$I,2,FALSE),"")</f>
        <v/>
      </c>
      <c r="F1694" s="26" t="str">
        <f>+_xlfn.XLOOKUP(G1694,Master!$V$2:$V$8,Master!$U$2:$U$8,"")</f>
        <v/>
      </c>
      <c r="I1694" s="4" t="str">
        <f>_xlfn.IFNA(VLOOKUP(D1694,Master!$I:$K,2,FALSE),"")</f>
        <v/>
      </c>
      <c r="J1694" s="4" t="str">
        <f>_xlfn.IFNA(VLOOKUP(D1694,Master!$I:$K,3,FALSE),"")</f>
        <v/>
      </c>
      <c r="L1694" s="27" t="str">
        <f>IF(A1694&lt;&gt;"CFA",_xlfn.IFNA(VLOOKUP($G1694,Master!$V$2:$Z$8,5,0),""),"")</f>
        <v/>
      </c>
      <c r="P1694" s="6" t="str">
        <f t="shared" si="52"/>
        <v/>
      </c>
      <c r="Q1694" s="13">
        <f t="shared" si="53"/>
        <v>0</v>
      </c>
    </row>
    <row r="1695" spans="2:17" ht="15" customHeight="1">
      <c r="B1695" s="5" t="str">
        <f>_xlfn.IFNA(VLOOKUP(C1695,Master!$H:$I,2,FALSE),"")</f>
        <v/>
      </c>
      <c r="D1695" s="5" t="str">
        <f>_xlfn.IFNA(VLOOKUP(E1695,Master!$H:$I,2,FALSE),"")</f>
        <v/>
      </c>
      <c r="F1695" s="26" t="str">
        <f>+_xlfn.XLOOKUP(G1695,Master!$V$2:$V$8,Master!$U$2:$U$8,"")</f>
        <v/>
      </c>
      <c r="I1695" s="4" t="str">
        <f>_xlfn.IFNA(VLOOKUP(D1695,Master!$I:$K,2,FALSE),"")</f>
        <v/>
      </c>
      <c r="J1695" s="4" t="str">
        <f>_xlfn.IFNA(VLOOKUP(D1695,Master!$I:$K,3,FALSE),"")</f>
        <v/>
      </c>
      <c r="L1695" s="27" t="str">
        <f>IF(A1695&lt;&gt;"CFA",_xlfn.IFNA(VLOOKUP($G1695,Master!$V$2:$Z$8,5,0),""),"")</f>
        <v/>
      </c>
      <c r="P1695" s="6" t="str">
        <f t="shared" si="52"/>
        <v/>
      </c>
      <c r="Q1695" s="13">
        <f t="shared" si="53"/>
        <v>0</v>
      </c>
    </row>
    <row r="1696" spans="2:17" ht="15" customHeight="1">
      <c r="B1696" s="5" t="str">
        <f>_xlfn.IFNA(VLOOKUP(C1696,Master!$H:$I,2,FALSE),"")</f>
        <v/>
      </c>
      <c r="D1696" s="5" t="str">
        <f>_xlfn.IFNA(VLOOKUP(E1696,Master!$H:$I,2,FALSE),"")</f>
        <v/>
      </c>
      <c r="F1696" s="26" t="str">
        <f>+_xlfn.XLOOKUP(G1696,Master!$V$2:$V$8,Master!$U$2:$U$8,"")</f>
        <v/>
      </c>
      <c r="I1696" s="4" t="str">
        <f>_xlfn.IFNA(VLOOKUP(D1696,Master!$I:$K,2,FALSE),"")</f>
        <v/>
      </c>
      <c r="J1696" s="4" t="str">
        <f>_xlfn.IFNA(VLOOKUP(D1696,Master!$I:$K,3,FALSE),"")</f>
        <v/>
      </c>
      <c r="L1696" s="27" t="str">
        <f>IF(A1696&lt;&gt;"CFA",_xlfn.IFNA(VLOOKUP($G1696,Master!$V$2:$Z$8,5,0),""),"")</f>
        <v/>
      </c>
      <c r="P1696" s="6" t="str">
        <f t="shared" si="52"/>
        <v/>
      </c>
      <c r="Q1696" s="13">
        <f t="shared" si="53"/>
        <v>0</v>
      </c>
    </row>
    <row r="1697" spans="2:17" ht="15" customHeight="1">
      <c r="B1697" s="5" t="str">
        <f>_xlfn.IFNA(VLOOKUP(C1697,Master!$H:$I,2,FALSE),"")</f>
        <v/>
      </c>
      <c r="D1697" s="5" t="str">
        <f>_xlfn.IFNA(VLOOKUP(E1697,Master!$H:$I,2,FALSE),"")</f>
        <v/>
      </c>
      <c r="F1697" s="26" t="str">
        <f>+_xlfn.XLOOKUP(G1697,Master!$V$2:$V$8,Master!$U$2:$U$8,"")</f>
        <v/>
      </c>
      <c r="I1697" s="4" t="str">
        <f>_xlfn.IFNA(VLOOKUP(D1697,Master!$I:$K,2,FALSE),"")</f>
        <v/>
      </c>
      <c r="J1697" s="4" t="str">
        <f>_xlfn.IFNA(VLOOKUP(D1697,Master!$I:$K,3,FALSE),"")</f>
        <v/>
      </c>
      <c r="L1697" s="27" t="str">
        <f>IF(A1697&lt;&gt;"CFA",_xlfn.IFNA(VLOOKUP($G1697,Master!$V$2:$Z$8,5,0),""),"")</f>
        <v/>
      </c>
      <c r="P1697" s="6" t="str">
        <f t="shared" si="52"/>
        <v/>
      </c>
      <c r="Q1697" s="13">
        <f t="shared" si="53"/>
        <v>0</v>
      </c>
    </row>
    <row r="1698" spans="2:17" ht="15" customHeight="1">
      <c r="B1698" s="5" t="str">
        <f>_xlfn.IFNA(VLOOKUP(C1698,Master!$H:$I,2,FALSE),"")</f>
        <v/>
      </c>
      <c r="D1698" s="5" t="str">
        <f>_xlfn.IFNA(VLOOKUP(E1698,Master!$H:$I,2,FALSE),"")</f>
        <v/>
      </c>
      <c r="F1698" s="26" t="str">
        <f>+_xlfn.XLOOKUP(G1698,Master!$V$2:$V$8,Master!$U$2:$U$8,"")</f>
        <v/>
      </c>
      <c r="I1698" s="4" t="str">
        <f>_xlfn.IFNA(VLOOKUP(D1698,Master!$I:$K,2,FALSE),"")</f>
        <v/>
      </c>
      <c r="J1698" s="4" t="str">
        <f>_xlfn.IFNA(VLOOKUP(D1698,Master!$I:$K,3,FALSE),"")</f>
        <v/>
      </c>
      <c r="L1698" s="27" t="str">
        <f>IF(A1698&lt;&gt;"CFA",_xlfn.IFNA(VLOOKUP($G1698,Master!$V$2:$Z$8,5,0),""),"")</f>
        <v/>
      </c>
      <c r="P1698" s="6" t="str">
        <f t="shared" si="52"/>
        <v/>
      </c>
      <c r="Q1698" s="13">
        <f t="shared" si="53"/>
        <v>0</v>
      </c>
    </row>
    <row r="1699" spans="2:17" ht="15" customHeight="1">
      <c r="B1699" s="5" t="str">
        <f>_xlfn.IFNA(VLOOKUP(C1699,Master!$H:$I,2,FALSE),"")</f>
        <v/>
      </c>
      <c r="D1699" s="5" t="str">
        <f>_xlfn.IFNA(VLOOKUP(E1699,Master!$H:$I,2,FALSE),"")</f>
        <v/>
      </c>
      <c r="F1699" s="26" t="str">
        <f>+_xlfn.XLOOKUP(G1699,Master!$V$2:$V$8,Master!$U$2:$U$8,"")</f>
        <v/>
      </c>
      <c r="I1699" s="4" t="str">
        <f>_xlfn.IFNA(VLOOKUP(D1699,Master!$I:$K,2,FALSE),"")</f>
        <v/>
      </c>
      <c r="J1699" s="4" t="str">
        <f>_xlfn.IFNA(VLOOKUP(D1699,Master!$I:$K,3,FALSE),"")</f>
        <v/>
      </c>
      <c r="L1699" s="27" t="str">
        <f>IF(A1699&lt;&gt;"CFA",_xlfn.IFNA(VLOOKUP($G1699,Master!$V$2:$Z$8,5,0),""),"")</f>
        <v/>
      </c>
      <c r="P1699" s="6" t="str">
        <f t="shared" si="52"/>
        <v/>
      </c>
      <c r="Q1699" s="13">
        <f t="shared" si="53"/>
        <v>0</v>
      </c>
    </row>
    <row r="1700" spans="2:17" ht="15" customHeight="1">
      <c r="B1700" s="5" t="str">
        <f>_xlfn.IFNA(VLOOKUP(C1700,Master!$H:$I,2,FALSE),"")</f>
        <v/>
      </c>
      <c r="D1700" s="5" t="str">
        <f>_xlfn.IFNA(VLOOKUP(E1700,Master!$H:$I,2,FALSE),"")</f>
        <v/>
      </c>
      <c r="F1700" s="26" t="str">
        <f>+_xlfn.XLOOKUP(G1700,Master!$V$2:$V$8,Master!$U$2:$U$8,"")</f>
        <v/>
      </c>
      <c r="I1700" s="4" t="str">
        <f>_xlfn.IFNA(VLOOKUP(D1700,Master!$I:$K,2,FALSE),"")</f>
        <v/>
      </c>
      <c r="J1700" s="4" t="str">
        <f>_xlfn.IFNA(VLOOKUP(D1700,Master!$I:$K,3,FALSE),"")</f>
        <v/>
      </c>
      <c r="L1700" s="27" t="str">
        <f>IF(A1700&lt;&gt;"CFA",_xlfn.IFNA(VLOOKUP($G1700,Master!$V$2:$Z$8,5,0),""),"")</f>
        <v/>
      </c>
      <c r="P1700" s="6" t="str">
        <f t="shared" si="52"/>
        <v/>
      </c>
      <c r="Q1700" s="13">
        <f t="shared" si="53"/>
        <v>0</v>
      </c>
    </row>
    <row r="1701" spans="2:17" ht="15" customHeight="1">
      <c r="B1701" s="5" t="str">
        <f>_xlfn.IFNA(VLOOKUP(C1701,Master!$H:$I,2,FALSE),"")</f>
        <v/>
      </c>
      <c r="D1701" s="5" t="str">
        <f>_xlfn.IFNA(VLOOKUP(E1701,Master!$H:$I,2,FALSE),"")</f>
        <v/>
      </c>
      <c r="F1701" s="26" t="str">
        <f>+_xlfn.XLOOKUP(G1701,Master!$V$2:$V$8,Master!$U$2:$U$8,"")</f>
        <v/>
      </c>
      <c r="I1701" s="4" t="str">
        <f>_xlfn.IFNA(VLOOKUP(D1701,Master!$I:$K,2,FALSE),"")</f>
        <v/>
      </c>
      <c r="J1701" s="4" t="str">
        <f>_xlfn.IFNA(VLOOKUP(D1701,Master!$I:$K,3,FALSE),"")</f>
        <v/>
      </c>
      <c r="L1701" s="27" t="str">
        <f>IF(A1701&lt;&gt;"CFA",_xlfn.IFNA(VLOOKUP($G1701,Master!$V$2:$Z$8,5,0),""),"")</f>
        <v/>
      </c>
      <c r="P1701" s="6" t="str">
        <f t="shared" si="52"/>
        <v/>
      </c>
      <c r="Q1701" s="13">
        <f t="shared" si="53"/>
        <v>0</v>
      </c>
    </row>
    <row r="1702" spans="2:17" ht="15" customHeight="1">
      <c r="B1702" s="5" t="str">
        <f>_xlfn.IFNA(VLOOKUP(C1702,Master!$H:$I,2,FALSE),"")</f>
        <v/>
      </c>
      <c r="D1702" s="5" t="str">
        <f>_xlfn.IFNA(VLOOKUP(E1702,Master!$H:$I,2,FALSE),"")</f>
        <v/>
      </c>
      <c r="F1702" s="26" t="str">
        <f>+_xlfn.XLOOKUP(G1702,Master!$V$2:$V$8,Master!$U$2:$U$8,"")</f>
        <v/>
      </c>
      <c r="I1702" s="4" t="str">
        <f>_xlfn.IFNA(VLOOKUP(D1702,Master!$I:$K,2,FALSE),"")</f>
        <v/>
      </c>
      <c r="J1702" s="4" t="str">
        <f>_xlfn.IFNA(VLOOKUP(D1702,Master!$I:$K,3,FALSE),"")</f>
        <v/>
      </c>
      <c r="L1702" s="27" t="str">
        <f>IF(A1702&lt;&gt;"CFA",_xlfn.IFNA(VLOOKUP($G1702,Master!$V$2:$Z$8,5,0),""),"")</f>
        <v/>
      </c>
      <c r="P1702" s="6" t="str">
        <f t="shared" si="52"/>
        <v/>
      </c>
      <c r="Q1702" s="13">
        <f t="shared" si="53"/>
        <v>0</v>
      </c>
    </row>
    <row r="1703" spans="2:17" ht="15" customHeight="1">
      <c r="B1703" s="5" t="str">
        <f>_xlfn.IFNA(VLOOKUP(C1703,Master!$H:$I,2,FALSE),"")</f>
        <v/>
      </c>
      <c r="D1703" s="5" t="str">
        <f>_xlfn.IFNA(VLOOKUP(E1703,Master!$H:$I,2,FALSE),"")</f>
        <v/>
      </c>
      <c r="F1703" s="26" t="str">
        <f>+_xlfn.XLOOKUP(G1703,Master!$V$2:$V$8,Master!$U$2:$U$8,"")</f>
        <v/>
      </c>
      <c r="I1703" s="4" t="str">
        <f>_xlfn.IFNA(VLOOKUP(D1703,Master!$I:$K,2,FALSE),"")</f>
        <v/>
      </c>
      <c r="J1703" s="4" t="str">
        <f>_xlfn.IFNA(VLOOKUP(D1703,Master!$I:$K,3,FALSE),"")</f>
        <v/>
      </c>
      <c r="L1703" s="27" t="str">
        <f>IF(A1703&lt;&gt;"CFA",_xlfn.IFNA(VLOOKUP($G1703,Master!$V$2:$Z$8,5,0),""),"")</f>
        <v/>
      </c>
      <c r="P1703" s="6" t="str">
        <f t="shared" si="52"/>
        <v/>
      </c>
      <c r="Q1703" s="13">
        <f t="shared" si="53"/>
        <v>0</v>
      </c>
    </row>
    <row r="1704" spans="2:17" ht="15" customHeight="1">
      <c r="B1704" s="5" t="str">
        <f>_xlfn.IFNA(VLOOKUP(C1704,Master!$H:$I,2,FALSE),"")</f>
        <v/>
      </c>
      <c r="D1704" s="5" t="str">
        <f>_xlfn.IFNA(VLOOKUP(E1704,Master!$H:$I,2,FALSE),"")</f>
        <v/>
      </c>
      <c r="F1704" s="26" t="str">
        <f>+_xlfn.XLOOKUP(G1704,Master!$V$2:$V$8,Master!$U$2:$U$8,"")</f>
        <v/>
      </c>
      <c r="I1704" s="4" t="str">
        <f>_xlfn.IFNA(VLOOKUP(D1704,Master!$I:$K,2,FALSE),"")</f>
        <v/>
      </c>
      <c r="J1704" s="4" t="str">
        <f>_xlfn.IFNA(VLOOKUP(D1704,Master!$I:$K,3,FALSE),"")</f>
        <v/>
      </c>
      <c r="L1704" s="27" t="str">
        <f>IF(A1704&lt;&gt;"CFA",_xlfn.IFNA(VLOOKUP($G1704,Master!$V$2:$Z$8,5,0),""),"")</f>
        <v/>
      </c>
      <c r="P1704" s="6" t="str">
        <f t="shared" si="52"/>
        <v/>
      </c>
      <c r="Q1704" s="13">
        <f t="shared" si="53"/>
        <v>0</v>
      </c>
    </row>
    <row r="1705" spans="2:17" ht="15" customHeight="1">
      <c r="B1705" s="5" t="str">
        <f>_xlfn.IFNA(VLOOKUP(C1705,Master!$H:$I,2,FALSE),"")</f>
        <v/>
      </c>
      <c r="D1705" s="5" t="str">
        <f>_xlfn.IFNA(VLOOKUP(E1705,Master!$H:$I,2,FALSE),"")</f>
        <v/>
      </c>
      <c r="F1705" s="26" t="str">
        <f>+_xlfn.XLOOKUP(G1705,Master!$V$2:$V$8,Master!$U$2:$U$8,"")</f>
        <v/>
      </c>
      <c r="I1705" s="4" t="str">
        <f>_xlfn.IFNA(VLOOKUP(D1705,Master!$I:$K,2,FALSE),"")</f>
        <v/>
      </c>
      <c r="J1705" s="4" t="str">
        <f>_xlfn.IFNA(VLOOKUP(D1705,Master!$I:$K,3,FALSE),"")</f>
        <v/>
      </c>
      <c r="L1705" s="27" t="str">
        <f>IF(A1705&lt;&gt;"CFA",_xlfn.IFNA(VLOOKUP($G1705,Master!$V$2:$Z$8,5,0),""),"")</f>
        <v/>
      </c>
      <c r="P1705" s="6" t="str">
        <f t="shared" si="52"/>
        <v/>
      </c>
      <c r="Q1705" s="13">
        <f t="shared" si="53"/>
        <v>0</v>
      </c>
    </row>
    <row r="1706" spans="2:17" ht="15" customHeight="1">
      <c r="B1706" s="5" t="str">
        <f>_xlfn.IFNA(VLOOKUP(C1706,Master!$H:$I,2,FALSE),"")</f>
        <v/>
      </c>
      <c r="D1706" s="5" t="str">
        <f>_xlfn.IFNA(VLOOKUP(E1706,Master!$H:$I,2,FALSE),"")</f>
        <v/>
      </c>
      <c r="F1706" s="26" t="str">
        <f>+_xlfn.XLOOKUP(G1706,Master!$V$2:$V$8,Master!$U$2:$U$8,"")</f>
        <v/>
      </c>
      <c r="I1706" s="4" t="str">
        <f>_xlfn.IFNA(VLOOKUP(D1706,Master!$I:$K,2,FALSE),"")</f>
        <v/>
      </c>
      <c r="J1706" s="4" t="str">
        <f>_xlfn.IFNA(VLOOKUP(D1706,Master!$I:$K,3,FALSE),"")</f>
        <v/>
      </c>
      <c r="L1706" s="27" t="str">
        <f>IF(A1706&lt;&gt;"CFA",_xlfn.IFNA(VLOOKUP($G1706,Master!$V$2:$Z$8,5,0),""),"")</f>
        <v/>
      </c>
      <c r="P1706" s="6" t="str">
        <f t="shared" si="52"/>
        <v/>
      </c>
      <c r="Q1706" s="13">
        <f t="shared" si="53"/>
        <v>0</v>
      </c>
    </row>
    <row r="1707" spans="2:17" ht="15" customHeight="1">
      <c r="B1707" s="5" t="str">
        <f>_xlfn.IFNA(VLOOKUP(C1707,Master!$H:$I,2,FALSE),"")</f>
        <v/>
      </c>
      <c r="D1707" s="5" t="str">
        <f>_xlfn.IFNA(VLOOKUP(E1707,Master!$H:$I,2,FALSE),"")</f>
        <v/>
      </c>
      <c r="F1707" s="26" t="str">
        <f>+_xlfn.XLOOKUP(G1707,Master!$V$2:$V$8,Master!$U$2:$U$8,"")</f>
        <v/>
      </c>
      <c r="I1707" s="4" t="str">
        <f>_xlfn.IFNA(VLOOKUP(D1707,Master!$I:$K,2,FALSE),"")</f>
        <v/>
      </c>
      <c r="J1707" s="4" t="str">
        <f>_xlfn.IFNA(VLOOKUP(D1707,Master!$I:$K,3,FALSE),"")</f>
        <v/>
      </c>
      <c r="L1707" s="27" t="str">
        <f>IF(A1707&lt;&gt;"CFA",_xlfn.IFNA(VLOOKUP($G1707,Master!$V$2:$Z$8,5,0),""),"")</f>
        <v/>
      </c>
      <c r="P1707" s="6" t="str">
        <f t="shared" si="52"/>
        <v/>
      </c>
      <c r="Q1707" s="13">
        <f t="shared" si="53"/>
        <v>0</v>
      </c>
    </row>
    <row r="1708" spans="2:17" ht="15" customHeight="1">
      <c r="B1708" s="5" t="str">
        <f>_xlfn.IFNA(VLOOKUP(C1708,Master!$H:$I,2,FALSE),"")</f>
        <v/>
      </c>
      <c r="D1708" s="5" t="str">
        <f>_xlfn.IFNA(VLOOKUP(E1708,Master!$H:$I,2,FALSE),"")</f>
        <v/>
      </c>
      <c r="F1708" s="26" t="str">
        <f>+_xlfn.XLOOKUP(G1708,Master!$V$2:$V$8,Master!$U$2:$U$8,"")</f>
        <v/>
      </c>
      <c r="I1708" s="4" t="str">
        <f>_xlfn.IFNA(VLOOKUP(D1708,Master!$I:$K,2,FALSE),"")</f>
        <v/>
      </c>
      <c r="J1708" s="4" t="str">
        <f>_xlfn.IFNA(VLOOKUP(D1708,Master!$I:$K,3,FALSE),"")</f>
        <v/>
      </c>
      <c r="L1708" s="27" t="str">
        <f>IF(A1708&lt;&gt;"CFA",_xlfn.IFNA(VLOOKUP($G1708,Master!$V$2:$Z$8,5,0),""),"")</f>
        <v/>
      </c>
      <c r="P1708" s="6" t="str">
        <f t="shared" si="52"/>
        <v/>
      </c>
      <c r="Q1708" s="13">
        <f t="shared" si="53"/>
        <v>0</v>
      </c>
    </row>
    <row r="1709" spans="2:17" ht="15" customHeight="1">
      <c r="B1709" s="5" t="str">
        <f>_xlfn.IFNA(VLOOKUP(C1709,Master!$H:$I,2,FALSE),"")</f>
        <v/>
      </c>
      <c r="D1709" s="5" t="str">
        <f>_xlfn.IFNA(VLOOKUP(E1709,Master!$H:$I,2,FALSE),"")</f>
        <v/>
      </c>
      <c r="F1709" s="26" t="str">
        <f>+_xlfn.XLOOKUP(G1709,Master!$V$2:$V$8,Master!$U$2:$U$8,"")</f>
        <v/>
      </c>
      <c r="I1709" s="4" t="str">
        <f>_xlfn.IFNA(VLOOKUP(D1709,Master!$I:$K,2,FALSE),"")</f>
        <v/>
      </c>
      <c r="J1709" s="4" t="str">
        <f>_xlfn.IFNA(VLOOKUP(D1709,Master!$I:$K,3,FALSE),"")</f>
        <v/>
      </c>
      <c r="L1709" s="27" t="str">
        <f>IF(A1709&lt;&gt;"CFA",_xlfn.IFNA(VLOOKUP($G1709,Master!$V$2:$Z$8,5,0),""),"")</f>
        <v/>
      </c>
      <c r="P1709" s="6" t="str">
        <f t="shared" si="52"/>
        <v/>
      </c>
      <c r="Q1709" s="13">
        <f t="shared" si="53"/>
        <v>0</v>
      </c>
    </row>
    <row r="1710" spans="2:17" ht="15" customHeight="1">
      <c r="B1710" s="5" t="str">
        <f>_xlfn.IFNA(VLOOKUP(C1710,Master!$H:$I,2,FALSE),"")</f>
        <v/>
      </c>
      <c r="D1710" s="5" t="str">
        <f>_xlfn.IFNA(VLOOKUP(E1710,Master!$H:$I,2,FALSE),"")</f>
        <v/>
      </c>
      <c r="F1710" s="26" t="str">
        <f>+_xlfn.XLOOKUP(G1710,Master!$V$2:$V$8,Master!$U$2:$U$8,"")</f>
        <v/>
      </c>
      <c r="I1710" s="4" t="str">
        <f>_xlfn.IFNA(VLOOKUP(D1710,Master!$I:$K,2,FALSE),"")</f>
        <v/>
      </c>
      <c r="J1710" s="4" t="str">
        <f>_xlfn.IFNA(VLOOKUP(D1710,Master!$I:$K,3,FALSE),"")</f>
        <v/>
      </c>
      <c r="L1710" s="27" t="str">
        <f>IF(A1710&lt;&gt;"CFA",_xlfn.IFNA(VLOOKUP($G1710,Master!$V$2:$Z$8,5,0),""),"")</f>
        <v/>
      </c>
      <c r="P1710" s="6" t="str">
        <f t="shared" si="52"/>
        <v/>
      </c>
      <c r="Q1710" s="13">
        <f t="shared" si="53"/>
        <v>0</v>
      </c>
    </row>
    <row r="1711" spans="2:17" ht="15" customHeight="1">
      <c r="B1711" s="5" t="str">
        <f>_xlfn.IFNA(VLOOKUP(C1711,Master!$H:$I,2,FALSE),"")</f>
        <v/>
      </c>
      <c r="D1711" s="5" t="str">
        <f>_xlfn.IFNA(VLOOKUP(E1711,Master!$H:$I,2,FALSE),"")</f>
        <v/>
      </c>
      <c r="F1711" s="26" t="str">
        <f>+_xlfn.XLOOKUP(G1711,Master!$V$2:$V$8,Master!$U$2:$U$8,"")</f>
        <v/>
      </c>
      <c r="I1711" s="4" t="str">
        <f>_xlfn.IFNA(VLOOKUP(D1711,Master!$I:$K,2,FALSE),"")</f>
        <v/>
      </c>
      <c r="J1711" s="4" t="str">
        <f>_xlfn.IFNA(VLOOKUP(D1711,Master!$I:$K,3,FALSE),"")</f>
        <v/>
      </c>
      <c r="L1711" s="27" t="str">
        <f>IF(A1711&lt;&gt;"CFA",_xlfn.IFNA(VLOOKUP($G1711,Master!$V$2:$Z$8,5,0),""),"")</f>
        <v/>
      </c>
      <c r="P1711" s="6" t="str">
        <f t="shared" si="52"/>
        <v/>
      </c>
      <c r="Q1711" s="13">
        <f t="shared" si="53"/>
        <v>0</v>
      </c>
    </row>
    <row r="1712" spans="2:17" ht="15" customHeight="1">
      <c r="B1712" s="5" t="str">
        <f>_xlfn.IFNA(VLOOKUP(C1712,Master!$H:$I,2,FALSE),"")</f>
        <v/>
      </c>
      <c r="D1712" s="5" t="str">
        <f>_xlfn.IFNA(VLOOKUP(E1712,Master!$H:$I,2,FALSE),"")</f>
        <v/>
      </c>
      <c r="F1712" s="26" t="str">
        <f>+_xlfn.XLOOKUP(G1712,Master!$V$2:$V$8,Master!$U$2:$U$8,"")</f>
        <v/>
      </c>
      <c r="I1712" s="4" t="str">
        <f>_xlfn.IFNA(VLOOKUP(D1712,Master!$I:$K,2,FALSE),"")</f>
        <v/>
      </c>
      <c r="J1712" s="4" t="str">
        <f>_xlfn.IFNA(VLOOKUP(D1712,Master!$I:$K,3,FALSE),"")</f>
        <v/>
      </c>
      <c r="L1712" s="27" t="str">
        <f>IF(A1712&lt;&gt;"CFA",_xlfn.IFNA(VLOOKUP($G1712,Master!$V$2:$Z$8,5,0),""),"")</f>
        <v/>
      </c>
      <c r="P1712" s="6" t="str">
        <f t="shared" si="52"/>
        <v/>
      </c>
      <c r="Q1712" s="13">
        <f t="shared" si="53"/>
        <v>0</v>
      </c>
    </row>
    <row r="1713" spans="2:17" ht="15" customHeight="1">
      <c r="B1713" s="5" t="str">
        <f>_xlfn.IFNA(VLOOKUP(C1713,Master!$H:$I,2,FALSE),"")</f>
        <v/>
      </c>
      <c r="D1713" s="5" t="str">
        <f>_xlfn.IFNA(VLOOKUP(E1713,Master!$H:$I,2,FALSE),"")</f>
        <v/>
      </c>
      <c r="F1713" s="26" t="str">
        <f>+_xlfn.XLOOKUP(G1713,Master!$V$2:$V$8,Master!$U$2:$U$8,"")</f>
        <v/>
      </c>
      <c r="I1713" s="4" t="str">
        <f>_xlfn.IFNA(VLOOKUP(D1713,Master!$I:$K,2,FALSE),"")</f>
        <v/>
      </c>
      <c r="J1713" s="4" t="str">
        <f>_xlfn.IFNA(VLOOKUP(D1713,Master!$I:$K,3,FALSE),"")</f>
        <v/>
      </c>
      <c r="L1713" s="27" t="str">
        <f>IF(A1713&lt;&gt;"CFA",_xlfn.IFNA(VLOOKUP($G1713,Master!$V$2:$Z$8,5,0),""),"")</f>
        <v/>
      </c>
      <c r="P1713" s="6" t="str">
        <f t="shared" si="52"/>
        <v/>
      </c>
      <c r="Q1713" s="13">
        <f t="shared" si="53"/>
        <v>0</v>
      </c>
    </row>
    <row r="1714" spans="2:17" ht="15" customHeight="1">
      <c r="B1714" s="5" t="str">
        <f>_xlfn.IFNA(VLOOKUP(C1714,Master!$H:$I,2,FALSE),"")</f>
        <v/>
      </c>
      <c r="D1714" s="5" t="str">
        <f>_xlfn.IFNA(VLOOKUP(E1714,Master!$H:$I,2,FALSE),"")</f>
        <v/>
      </c>
      <c r="F1714" s="26" t="str">
        <f>+_xlfn.XLOOKUP(G1714,Master!$V$2:$V$8,Master!$U$2:$U$8,"")</f>
        <v/>
      </c>
      <c r="I1714" s="4" t="str">
        <f>_xlfn.IFNA(VLOOKUP(D1714,Master!$I:$K,2,FALSE),"")</f>
        <v/>
      </c>
      <c r="J1714" s="4" t="str">
        <f>_xlfn.IFNA(VLOOKUP(D1714,Master!$I:$K,3,FALSE),"")</f>
        <v/>
      </c>
      <c r="L1714" s="27" t="str">
        <f>IF(A1714&lt;&gt;"CFA",_xlfn.IFNA(VLOOKUP($G1714,Master!$V$2:$Z$8,5,0),""),"")</f>
        <v/>
      </c>
      <c r="P1714" s="6" t="str">
        <f t="shared" si="52"/>
        <v/>
      </c>
      <c r="Q1714" s="13">
        <f t="shared" si="53"/>
        <v>0</v>
      </c>
    </row>
    <row r="1715" spans="2:17" ht="15" customHeight="1">
      <c r="B1715" s="5" t="str">
        <f>_xlfn.IFNA(VLOOKUP(C1715,Master!$H:$I,2,FALSE),"")</f>
        <v/>
      </c>
      <c r="D1715" s="5" t="str">
        <f>_xlfn.IFNA(VLOOKUP(E1715,Master!$H:$I,2,FALSE),"")</f>
        <v/>
      </c>
      <c r="F1715" s="26" t="str">
        <f>+_xlfn.XLOOKUP(G1715,Master!$V$2:$V$8,Master!$U$2:$U$8,"")</f>
        <v/>
      </c>
      <c r="I1715" s="4" t="str">
        <f>_xlfn.IFNA(VLOOKUP(D1715,Master!$I:$K,2,FALSE),"")</f>
        <v/>
      </c>
      <c r="J1715" s="4" t="str">
        <f>_xlfn.IFNA(VLOOKUP(D1715,Master!$I:$K,3,FALSE),"")</f>
        <v/>
      </c>
      <c r="L1715" s="27" t="str">
        <f>IF(A1715&lt;&gt;"CFA",_xlfn.IFNA(VLOOKUP($G1715,Master!$V$2:$Z$8,5,0),""),"")</f>
        <v/>
      </c>
      <c r="P1715" s="6" t="str">
        <f t="shared" si="52"/>
        <v/>
      </c>
      <c r="Q1715" s="13">
        <f t="shared" si="53"/>
        <v>0</v>
      </c>
    </row>
    <row r="1716" spans="2:17" ht="15" customHeight="1">
      <c r="B1716" s="5" t="str">
        <f>_xlfn.IFNA(VLOOKUP(C1716,Master!$H:$I,2,FALSE),"")</f>
        <v/>
      </c>
      <c r="D1716" s="5" t="str">
        <f>_xlfn.IFNA(VLOOKUP(E1716,Master!$H:$I,2,FALSE),"")</f>
        <v/>
      </c>
      <c r="F1716" s="26" t="str">
        <f>+_xlfn.XLOOKUP(G1716,Master!$V$2:$V$8,Master!$U$2:$U$8,"")</f>
        <v/>
      </c>
      <c r="I1716" s="4" t="str">
        <f>_xlfn.IFNA(VLOOKUP(D1716,Master!$I:$K,2,FALSE),"")</f>
        <v/>
      </c>
      <c r="J1716" s="4" t="str">
        <f>_xlfn.IFNA(VLOOKUP(D1716,Master!$I:$K,3,FALSE),"")</f>
        <v/>
      </c>
      <c r="L1716" s="27" t="str">
        <f>IF(A1716&lt;&gt;"CFA",_xlfn.IFNA(VLOOKUP($G1716,Master!$V$2:$Z$8,5,0),""),"")</f>
        <v/>
      </c>
      <c r="P1716" s="6" t="str">
        <f t="shared" si="52"/>
        <v/>
      </c>
      <c r="Q1716" s="13">
        <f t="shared" si="53"/>
        <v>0</v>
      </c>
    </row>
    <row r="1717" spans="2:17" ht="15" customHeight="1">
      <c r="B1717" s="5" t="str">
        <f>_xlfn.IFNA(VLOOKUP(C1717,Master!$H:$I,2,FALSE),"")</f>
        <v/>
      </c>
      <c r="D1717" s="5" t="str">
        <f>_xlfn.IFNA(VLOOKUP(E1717,Master!$H:$I,2,FALSE),"")</f>
        <v/>
      </c>
      <c r="F1717" s="26" t="str">
        <f>+_xlfn.XLOOKUP(G1717,Master!$V$2:$V$8,Master!$U$2:$U$8,"")</f>
        <v/>
      </c>
      <c r="I1717" s="4" t="str">
        <f>_xlfn.IFNA(VLOOKUP(D1717,Master!$I:$K,2,FALSE),"")</f>
        <v/>
      </c>
      <c r="J1717" s="4" t="str">
        <f>_xlfn.IFNA(VLOOKUP(D1717,Master!$I:$K,3,FALSE),"")</f>
        <v/>
      </c>
      <c r="L1717" s="27" t="str">
        <f>IF(A1717&lt;&gt;"CFA",_xlfn.IFNA(VLOOKUP($G1717,Master!$V$2:$Z$8,5,0),""),"")</f>
        <v/>
      </c>
      <c r="P1717" s="6" t="str">
        <f t="shared" si="52"/>
        <v/>
      </c>
      <c r="Q1717" s="13">
        <f t="shared" si="53"/>
        <v>0</v>
      </c>
    </row>
    <row r="1718" spans="2:17" ht="15" customHeight="1">
      <c r="B1718" s="5" t="str">
        <f>_xlfn.IFNA(VLOOKUP(C1718,Master!$H:$I,2,FALSE),"")</f>
        <v/>
      </c>
      <c r="D1718" s="5" t="str">
        <f>_xlfn.IFNA(VLOOKUP(E1718,Master!$H:$I,2,FALSE),"")</f>
        <v/>
      </c>
      <c r="F1718" s="26" t="str">
        <f>+_xlfn.XLOOKUP(G1718,Master!$V$2:$V$8,Master!$U$2:$U$8,"")</f>
        <v/>
      </c>
      <c r="I1718" s="4" t="str">
        <f>_xlfn.IFNA(VLOOKUP(D1718,Master!$I:$K,2,FALSE),"")</f>
        <v/>
      </c>
      <c r="J1718" s="4" t="str">
        <f>_xlfn.IFNA(VLOOKUP(D1718,Master!$I:$K,3,FALSE),"")</f>
        <v/>
      </c>
      <c r="L1718" s="27" t="str">
        <f>IF(A1718&lt;&gt;"CFA",_xlfn.IFNA(VLOOKUP($G1718,Master!$V$2:$Z$8,5,0),""),"")</f>
        <v/>
      </c>
      <c r="P1718" s="6" t="str">
        <f t="shared" si="52"/>
        <v/>
      </c>
      <c r="Q1718" s="13">
        <f t="shared" si="53"/>
        <v>0</v>
      </c>
    </row>
    <row r="1719" spans="2:17" ht="15" customHeight="1">
      <c r="B1719" s="5" t="str">
        <f>_xlfn.IFNA(VLOOKUP(C1719,Master!$H:$I,2,FALSE),"")</f>
        <v/>
      </c>
      <c r="D1719" s="5" t="str">
        <f>_xlfn.IFNA(VLOOKUP(E1719,Master!$H:$I,2,FALSE),"")</f>
        <v/>
      </c>
      <c r="F1719" s="26" t="str">
        <f>+_xlfn.XLOOKUP(G1719,Master!$V$2:$V$8,Master!$U$2:$U$8,"")</f>
        <v/>
      </c>
      <c r="I1719" s="4" t="str">
        <f>_xlfn.IFNA(VLOOKUP(D1719,Master!$I:$K,2,FALSE),"")</f>
        <v/>
      </c>
      <c r="J1719" s="4" t="str">
        <f>_xlfn.IFNA(VLOOKUP(D1719,Master!$I:$K,3,FALSE),"")</f>
        <v/>
      </c>
      <c r="L1719" s="27" t="str">
        <f>IF(A1719&lt;&gt;"CFA",_xlfn.IFNA(VLOOKUP($G1719,Master!$V$2:$Z$8,5,0),""),"")</f>
        <v/>
      </c>
      <c r="P1719" s="6" t="str">
        <f t="shared" ref="P1719:P1782" si="54">IF(N1719&lt;&gt;"",IF(MONTH(N1719)&gt;=4,"FY1"&amp;RIGHT(YEAR(N1719)+1,2),"FY1"&amp;RIGHT(YEAR(N1719),2)),"")</f>
        <v/>
      </c>
      <c r="Q1719" s="13">
        <f t="shared" ref="Q1719:Q1782" si="55">IF(K1719&gt;0&amp;M1719&gt;0,K1719*M1719,"")</f>
        <v>0</v>
      </c>
    </row>
    <row r="1720" spans="2:17" ht="15" customHeight="1">
      <c r="B1720" s="5" t="str">
        <f>_xlfn.IFNA(VLOOKUP(C1720,Master!$H:$I,2,FALSE),"")</f>
        <v/>
      </c>
      <c r="D1720" s="5" t="str">
        <f>_xlfn.IFNA(VLOOKUP(E1720,Master!$H:$I,2,FALSE),"")</f>
        <v/>
      </c>
      <c r="F1720" s="26" t="str">
        <f>+_xlfn.XLOOKUP(G1720,Master!$V$2:$V$8,Master!$U$2:$U$8,"")</f>
        <v/>
      </c>
      <c r="I1720" s="4" t="str">
        <f>_xlfn.IFNA(VLOOKUP(D1720,Master!$I:$K,2,FALSE),"")</f>
        <v/>
      </c>
      <c r="J1720" s="4" t="str">
        <f>_xlfn.IFNA(VLOOKUP(D1720,Master!$I:$K,3,FALSE),"")</f>
        <v/>
      </c>
      <c r="L1720" s="27" t="str">
        <f>IF(A1720&lt;&gt;"CFA",_xlfn.IFNA(VLOOKUP($G1720,Master!$V$2:$Z$8,5,0),""),"")</f>
        <v/>
      </c>
      <c r="P1720" s="6" t="str">
        <f t="shared" si="54"/>
        <v/>
      </c>
      <c r="Q1720" s="13">
        <f t="shared" si="55"/>
        <v>0</v>
      </c>
    </row>
    <row r="1721" spans="2:17" ht="15" customHeight="1">
      <c r="B1721" s="5" t="str">
        <f>_xlfn.IFNA(VLOOKUP(C1721,Master!$H:$I,2,FALSE),"")</f>
        <v/>
      </c>
      <c r="D1721" s="5" t="str">
        <f>_xlfn.IFNA(VLOOKUP(E1721,Master!$H:$I,2,FALSE),"")</f>
        <v/>
      </c>
      <c r="F1721" s="26" t="str">
        <f>+_xlfn.XLOOKUP(G1721,Master!$V$2:$V$8,Master!$U$2:$U$8,"")</f>
        <v/>
      </c>
      <c r="I1721" s="4" t="str">
        <f>_xlfn.IFNA(VLOOKUP(D1721,Master!$I:$K,2,FALSE),"")</f>
        <v/>
      </c>
      <c r="J1721" s="4" t="str">
        <f>_xlfn.IFNA(VLOOKUP(D1721,Master!$I:$K,3,FALSE),"")</f>
        <v/>
      </c>
      <c r="L1721" s="27" t="str">
        <f>IF(A1721&lt;&gt;"CFA",_xlfn.IFNA(VLOOKUP($G1721,Master!$V$2:$Z$8,5,0),""),"")</f>
        <v/>
      </c>
      <c r="P1721" s="6" t="str">
        <f t="shared" si="54"/>
        <v/>
      </c>
      <c r="Q1721" s="13">
        <f t="shared" si="55"/>
        <v>0</v>
      </c>
    </row>
    <row r="1722" spans="2:17" ht="15" customHeight="1">
      <c r="B1722" s="5" t="str">
        <f>_xlfn.IFNA(VLOOKUP(C1722,Master!$H:$I,2,FALSE),"")</f>
        <v/>
      </c>
      <c r="D1722" s="5" t="str">
        <f>_xlfn.IFNA(VLOOKUP(E1722,Master!$H:$I,2,FALSE),"")</f>
        <v/>
      </c>
      <c r="F1722" s="26" t="str">
        <f>+_xlfn.XLOOKUP(G1722,Master!$V$2:$V$8,Master!$U$2:$U$8,"")</f>
        <v/>
      </c>
      <c r="I1722" s="4" t="str">
        <f>_xlfn.IFNA(VLOOKUP(D1722,Master!$I:$K,2,FALSE),"")</f>
        <v/>
      </c>
      <c r="J1722" s="4" t="str">
        <f>_xlfn.IFNA(VLOOKUP(D1722,Master!$I:$K,3,FALSE),"")</f>
        <v/>
      </c>
      <c r="L1722" s="27" t="str">
        <f>IF(A1722&lt;&gt;"CFA",_xlfn.IFNA(VLOOKUP($G1722,Master!$V$2:$Z$8,5,0),""),"")</f>
        <v/>
      </c>
      <c r="P1722" s="6" t="str">
        <f t="shared" si="54"/>
        <v/>
      </c>
      <c r="Q1722" s="13">
        <f t="shared" si="55"/>
        <v>0</v>
      </c>
    </row>
    <row r="1723" spans="2:17" ht="15" customHeight="1">
      <c r="B1723" s="5" t="str">
        <f>_xlfn.IFNA(VLOOKUP(C1723,Master!$H:$I,2,FALSE),"")</f>
        <v/>
      </c>
      <c r="D1723" s="5" t="str">
        <f>_xlfn.IFNA(VLOOKUP(E1723,Master!$H:$I,2,FALSE),"")</f>
        <v/>
      </c>
      <c r="F1723" s="26" t="str">
        <f>+_xlfn.XLOOKUP(G1723,Master!$V$2:$V$8,Master!$U$2:$U$8,"")</f>
        <v/>
      </c>
      <c r="I1723" s="4" t="str">
        <f>_xlfn.IFNA(VLOOKUP(D1723,Master!$I:$K,2,FALSE),"")</f>
        <v/>
      </c>
      <c r="J1723" s="4" t="str">
        <f>_xlfn.IFNA(VLOOKUP(D1723,Master!$I:$K,3,FALSE),"")</f>
        <v/>
      </c>
      <c r="L1723" s="27" t="str">
        <f>IF(A1723&lt;&gt;"CFA",_xlfn.IFNA(VLOOKUP($G1723,Master!$V$2:$Z$8,5,0),""),"")</f>
        <v/>
      </c>
      <c r="P1723" s="6" t="str">
        <f t="shared" si="54"/>
        <v/>
      </c>
      <c r="Q1723" s="13">
        <f t="shared" si="55"/>
        <v>0</v>
      </c>
    </row>
    <row r="1724" spans="2:17" ht="15" customHeight="1">
      <c r="B1724" s="5" t="str">
        <f>_xlfn.IFNA(VLOOKUP(C1724,Master!$H:$I,2,FALSE),"")</f>
        <v/>
      </c>
      <c r="D1724" s="5" t="str">
        <f>_xlfn.IFNA(VLOOKUP(E1724,Master!$H:$I,2,FALSE),"")</f>
        <v/>
      </c>
      <c r="F1724" s="26" t="str">
        <f>+_xlfn.XLOOKUP(G1724,Master!$V$2:$V$8,Master!$U$2:$U$8,"")</f>
        <v/>
      </c>
      <c r="I1724" s="4" t="str">
        <f>_xlfn.IFNA(VLOOKUP(D1724,Master!$I:$K,2,FALSE),"")</f>
        <v/>
      </c>
      <c r="J1724" s="4" t="str">
        <f>_xlfn.IFNA(VLOOKUP(D1724,Master!$I:$K,3,FALSE),"")</f>
        <v/>
      </c>
      <c r="L1724" s="27" t="str">
        <f>IF(A1724&lt;&gt;"CFA",_xlfn.IFNA(VLOOKUP($G1724,Master!$V$2:$Z$8,5,0),""),"")</f>
        <v/>
      </c>
      <c r="P1724" s="6" t="str">
        <f t="shared" si="54"/>
        <v/>
      </c>
      <c r="Q1724" s="13">
        <f t="shared" si="55"/>
        <v>0</v>
      </c>
    </row>
    <row r="1725" spans="2:17" ht="15" customHeight="1">
      <c r="B1725" s="5" t="str">
        <f>_xlfn.IFNA(VLOOKUP(C1725,Master!$H:$I,2,FALSE),"")</f>
        <v/>
      </c>
      <c r="D1725" s="5" t="str">
        <f>_xlfn.IFNA(VLOOKUP(E1725,Master!$H:$I,2,FALSE),"")</f>
        <v/>
      </c>
      <c r="F1725" s="26" t="str">
        <f>+_xlfn.XLOOKUP(G1725,Master!$V$2:$V$8,Master!$U$2:$U$8,"")</f>
        <v/>
      </c>
      <c r="I1725" s="4" t="str">
        <f>_xlfn.IFNA(VLOOKUP(D1725,Master!$I:$K,2,FALSE),"")</f>
        <v/>
      </c>
      <c r="J1725" s="4" t="str">
        <f>_xlfn.IFNA(VLOOKUP(D1725,Master!$I:$K,3,FALSE),"")</f>
        <v/>
      </c>
      <c r="L1725" s="27" t="str">
        <f>IF(A1725&lt;&gt;"CFA",_xlfn.IFNA(VLOOKUP($G1725,Master!$V$2:$Z$8,5,0),""),"")</f>
        <v/>
      </c>
      <c r="P1725" s="6" t="str">
        <f t="shared" si="54"/>
        <v/>
      </c>
      <c r="Q1725" s="13">
        <f t="shared" si="55"/>
        <v>0</v>
      </c>
    </row>
    <row r="1726" spans="2:17" ht="15" customHeight="1">
      <c r="B1726" s="5" t="str">
        <f>_xlfn.IFNA(VLOOKUP(C1726,Master!$H:$I,2,FALSE),"")</f>
        <v/>
      </c>
      <c r="D1726" s="5" t="str">
        <f>_xlfn.IFNA(VLOOKUP(E1726,Master!$H:$I,2,FALSE),"")</f>
        <v/>
      </c>
      <c r="F1726" s="26" t="str">
        <f>+_xlfn.XLOOKUP(G1726,Master!$V$2:$V$8,Master!$U$2:$U$8,"")</f>
        <v/>
      </c>
      <c r="I1726" s="4" t="str">
        <f>_xlfn.IFNA(VLOOKUP(D1726,Master!$I:$K,2,FALSE),"")</f>
        <v/>
      </c>
      <c r="J1726" s="4" t="str">
        <f>_xlfn.IFNA(VLOOKUP(D1726,Master!$I:$K,3,FALSE),"")</f>
        <v/>
      </c>
      <c r="L1726" s="27" t="str">
        <f>IF(A1726&lt;&gt;"CFA",_xlfn.IFNA(VLOOKUP($G1726,Master!$V$2:$Z$8,5,0),""),"")</f>
        <v/>
      </c>
      <c r="P1726" s="6" t="str">
        <f t="shared" si="54"/>
        <v/>
      </c>
      <c r="Q1726" s="13">
        <f t="shared" si="55"/>
        <v>0</v>
      </c>
    </row>
    <row r="1727" spans="2:17" ht="15" customHeight="1">
      <c r="B1727" s="5" t="str">
        <f>_xlfn.IFNA(VLOOKUP(C1727,Master!$H:$I,2,FALSE),"")</f>
        <v/>
      </c>
      <c r="D1727" s="5" t="str">
        <f>_xlfn.IFNA(VLOOKUP(E1727,Master!$H:$I,2,FALSE),"")</f>
        <v/>
      </c>
      <c r="F1727" s="26" t="str">
        <f>+_xlfn.XLOOKUP(G1727,Master!$V$2:$V$8,Master!$U$2:$U$8,"")</f>
        <v/>
      </c>
      <c r="I1727" s="4" t="str">
        <f>_xlfn.IFNA(VLOOKUP(D1727,Master!$I:$K,2,FALSE),"")</f>
        <v/>
      </c>
      <c r="J1727" s="4" t="str">
        <f>_xlfn.IFNA(VLOOKUP(D1727,Master!$I:$K,3,FALSE),"")</f>
        <v/>
      </c>
      <c r="L1727" s="27" t="str">
        <f>IF(A1727&lt;&gt;"CFA",_xlfn.IFNA(VLOOKUP($G1727,Master!$V$2:$Z$8,5,0),""),"")</f>
        <v/>
      </c>
      <c r="P1727" s="6" t="str">
        <f t="shared" si="54"/>
        <v/>
      </c>
      <c r="Q1727" s="13">
        <f t="shared" si="55"/>
        <v>0</v>
      </c>
    </row>
    <row r="1728" spans="2:17" ht="15" customHeight="1">
      <c r="B1728" s="5" t="str">
        <f>_xlfn.IFNA(VLOOKUP(C1728,Master!$H:$I,2,FALSE),"")</f>
        <v/>
      </c>
      <c r="D1728" s="5" t="str">
        <f>_xlfn.IFNA(VLOOKUP(E1728,Master!$H:$I,2,FALSE),"")</f>
        <v/>
      </c>
      <c r="F1728" s="26" t="str">
        <f>+_xlfn.XLOOKUP(G1728,Master!$V$2:$V$8,Master!$U$2:$U$8,"")</f>
        <v/>
      </c>
      <c r="I1728" s="4" t="str">
        <f>_xlfn.IFNA(VLOOKUP(D1728,Master!$I:$K,2,FALSE),"")</f>
        <v/>
      </c>
      <c r="J1728" s="4" t="str">
        <f>_xlfn.IFNA(VLOOKUP(D1728,Master!$I:$K,3,FALSE),"")</f>
        <v/>
      </c>
      <c r="L1728" s="27" t="str">
        <f>IF(A1728&lt;&gt;"CFA",_xlfn.IFNA(VLOOKUP($G1728,Master!$V$2:$Z$8,5,0),""),"")</f>
        <v/>
      </c>
      <c r="P1728" s="6" t="str">
        <f t="shared" si="54"/>
        <v/>
      </c>
      <c r="Q1728" s="13">
        <f t="shared" si="55"/>
        <v>0</v>
      </c>
    </row>
    <row r="1729" spans="2:17" ht="15" customHeight="1">
      <c r="B1729" s="5" t="str">
        <f>_xlfn.IFNA(VLOOKUP(C1729,Master!$H:$I,2,FALSE),"")</f>
        <v/>
      </c>
      <c r="D1729" s="5" t="str">
        <f>_xlfn.IFNA(VLOOKUP(E1729,Master!$H:$I,2,FALSE),"")</f>
        <v/>
      </c>
      <c r="F1729" s="26" t="str">
        <f>+_xlfn.XLOOKUP(G1729,Master!$V$2:$V$8,Master!$U$2:$U$8,"")</f>
        <v/>
      </c>
      <c r="I1729" s="4" t="str">
        <f>_xlfn.IFNA(VLOOKUP(D1729,Master!$I:$K,2,FALSE),"")</f>
        <v/>
      </c>
      <c r="J1729" s="4" t="str">
        <f>_xlfn.IFNA(VLOOKUP(D1729,Master!$I:$K,3,FALSE),"")</f>
        <v/>
      </c>
      <c r="L1729" s="27" t="str">
        <f>IF(A1729&lt;&gt;"CFA",_xlfn.IFNA(VLOOKUP($G1729,Master!$V$2:$Z$8,5,0),""),"")</f>
        <v/>
      </c>
      <c r="P1729" s="6" t="str">
        <f t="shared" si="54"/>
        <v/>
      </c>
      <c r="Q1729" s="13">
        <f t="shared" si="55"/>
        <v>0</v>
      </c>
    </row>
    <row r="1730" spans="2:17" ht="15" customHeight="1">
      <c r="B1730" s="5" t="str">
        <f>_xlfn.IFNA(VLOOKUP(C1730,Master!$H:$I,2,FALSE),"")</f>
        <v/>
      </c>
      <c r="D1730" s="5" t="str">
        <f>_xlfn.IFNA(VLOOKUP(E1730,Master!$H:$I,2,FALSE),"")</f>
        <v/>
      </c>
      <c r="F1730" s="26" t="str">
        <f>+_xlfn.XLOOKUP(G1730,Master!$V$2:$V$8,Master!$U$2:$U$8,"")</f>
        <v/>
      </c>
      <c r="I1730" s="4" t="str">
        <f>_xlfn.IFNA(VLOOKUP(D1730,Master!$I:$K,2,FALSE),"")</f>
        <v/>
      </c>
      <c r="J1730" s="4" t="str">
        <f>_xlfn.IFNA(VLOOKUP(D1730,Master!$I:$K,3,FALSE),"")</f>
        <v/>
      </c>
      <c r="L1730" s="27" t="str">
        <f>IF(A1730&lt;&gt;"CFA",_xlfn.IFNA(VLOOKUP($G1730,Master!$V$2:$Z$8,5,0),""),"")</f>
        <v/>
      </c>
      <c r="P1730" s="6" t="str">
        <f t="shared" si="54"/>
        <v/>
      </c>
      <c r="Q1730" s="13">
        <f t="shared" si="55"/>
        <v>0</v>
      </c>
    </row>
    <row r="1731" spans="2:17" ht="15" customHeight="1">
      <c r="B1731" s="5" t="str">
        <f>_xlfn.IFNA(VLOOKUP(C1731,Master!$H:$I,2,FALSE),"")</f>
        <v/>
      </c>
      <c r="D1731" s="5" t="str">
        <f>_xlfn.IFNA(VLOOKUP(E1731,Master!$H:$I,2,FALSE),"")</f>
        <v/>
      </c>
      <c r="F1731" s="26" t="str">
        <f>+_xlfn.XLOOKUP(G1731,Master!$V$2:$V$8,Master!$U$2:$U$8,"")</f>
        <v/>
      </c>
      <c r="I1731" s="4" t="str">
        <f>_xlfn.IFNA(VLOOKUP(D1731,Master!$I:$K,2,FALSE),"")</f>
        <v/>
      </c>
      <c r="J1731" s="4" t="str">
        <f>_xlfn.IFNA(VLOOKUP(D1731,Master!$I:$K,3,FALSE),"")</f>
        <v/>
      </c>
      <c r="L1731" s="27" t="str">
        <f>IF(A1731&lt;&gt;"CFA",_xlfn.IFNA(VLOOKUP($G1731,Master!$V$2:$Z$8,5,0),""),"")</f>
        <v/>
      </c>
      <c r="P1731" s="6" t="str">
        <f t="shared" si="54"/>
        <v/>
      </c>
      <c r="Q1731" s="13">
        <f t="shared" si="55"/>
        <v>0</v>
      </c>
    </row>
    <row r="1732" spans="2:17" ht="15" customHeight="1">
      <c r="B1732" s="5" t="str">
        <f>_xlfn.IFNA(VLOOKUP(C1732,Master!$H:$I,2,FALSE),"")</f>
        <v/>
      </c>
      <c r="D1732" s="5" t="str">
        <f>_xlfn.IFNA(VLOOKUP(E1732,Master!$H:$I,2,FALSE),"")</f>
        <v/>
      </c>
      <c r="F1732" s="26" t="str">
        <f>+_xlfn.XLOOKUP(G1732,Master!$V$2:$V$8,Master!$U$2:$U$8,"")</f>
        <v/>
      </c>
      <c r="I1732" s="4" t="str">
        <f>_xlfn.IFNA(VLOOKUP(D1732,Master!$I:$K,2,FALSE),"")</f>
        <v/>
      </c>
      <c r="J1732" s="4" t="str">
        <f>_xlfn.IFNA(VLOOKUP(D1732,Master!$I:$K,3,FALSE),"")</f>
        <v/>
      </c>
      <c r="L1732" s="27" t="str">
        <f>IF(A1732&lt;&gt;"CFA",_xlfn.IFNA(VLOOKUP($G1732,Master!$V$2:$Z$8,5,0),""),"")</f>
        <v/>
      </c>
      <c r="P1732" s="6" t="str">
        <f t="shared" si="54"/>
        <v/>
      </c>
      <c r="Q1732" s="13">
        <f t="shared" si="55"/>
        <v>0</v>
      </c>
    </row>
    <row r="1733" spans="2:17" ht="15" customHeight="1">
      <c r="B1733" s="5" t="str">
        <f>_xlfn.IFNA(VLOOKUP(C1733,Master!$H:$I,2,FALSE),"")</f>
        <v/>
      </c>
      <c r="D1733" s="5" t="str">
        <f>_xlfn.IFNA(VLOOKUP(E1733,Master!$H:$I,2,FALSE),"")</f>
        <v/>
      </c>
      <c r="F1733" s="26" t="str">
        <f>+_xlfn.XLOOKUP(G1733,Master!$V$2:$V$8,Master!$U$2:$U$8,"")</f>
        <v/>
      </c>
      <c r="I1733" s="4" t="str">
        <f>_xlfn.IFNA(VLOOKUP(D1733,Master!$I:$K,2,FALSE),"")</f>
        <v/>
      </c>
      <c r="J1733" s="4" t="str">
        <f>_xlfn.IFNA(VLOOKUP(D1733,Master!$I:$K,3,FALSE),"")</f>
        <v/>
      </c>
      <c r="L1733" s="27" t="str">
        <f>IF(A1733&lt;&gt;"CFA",_xlfn.IFNA(VLOOKUP($G1733,Master!$V$2:$Z$8,5,0),""),"")</f>
        <v/>
      </c>
      <c r="P1733" s="6" t="str">
        <f t="shared" si="54"/>
        <v/>
      </c>
      <c r="Q1733" s="13">
        <f t="shared" si="55"/>
        <v>0</v>
      </c>
    </row>
    <row r="1734" spans="2:17" ht="15" customHeight="1">
      <c r="B1734" s="5" t="str">
        <f>_xlfn.IFNA(VLOOKUP(C1734,Master!$H:$I,2,FALSE),"")</f>
        <v/>
      </c>
      <c r="D1734" s="5" t="str">
        <f>_xlfn.IFNA(VLOOKUP(E1734,Master!$H:$I,2,FALSE),"")</f>
        <v/>
      </c>
      <c r="F1734" s="26" t="str">
        <f>+_xlfn.XLOOKUP(G1734,Master!$V$2:$V$8,Master!$U$2:$U$8,"")</f>
        <v/>
      </c>
      <c r="I1734" s="4" t="str">
        <f>_xlfn.IFNA(VLOOKUP(D1734,Master!$I:$K,2,FALSE),"")</f>
        <v/>
      </c>
      <c r="J1734" s="4" t="str">
        <f>_xlfn.IFNA(VLOOKUP(D1734,Master!$I:$K,3,FALSE),"")</f>
        <v/>
      </c>
      <c r="L1734" s="27" t="str">
        <f>IF(A1734&lt;&gt;"CFA",_xlfn.IFNA(VLOOKUP($G1734,Master!$V$2:$Z$8,5,0),""),"")</f>
        <v/>
      </c>
      <c r="P1734" s="6" t="str">
        <f t="shared" si="54"/>
        <v/>
      </c>
      <c r="Q1734" s="13">
        <f t="shared" si="55"/>
        <v>0</v>
      </c>
    </row>
    <row r="1735" spans="2:17" ht="15" customHeight="1">
      <c r="B1735" s="5" t="str">
        <f>_xlfn.IFNA(VLOOKUP(C1735,Master!$H:$I,2,FALSE),"")</f>
        <v/>
      </c>
      <c r="D1735" s="5" t="str">
        <f>_xlfn.IFNA(VLOOKUP(E1735,Master!$H:$I,2,FALSE),"")</f>
        <v/>
      </c>
      <c r="F1735" s="26" t="str">
        <f>+_xlfn.XLOOKUP(G1735,Master!$V$2:$V$8,Master!$U$2:$U$8,"")</f>
        <v/>
      </c>
      <c r="I1735" s="4" t="str">
        <f>_xlfn.IFNA(VLOOKUP(D1735,Master!$I:$K,2,FALSE),"")</f>
        <v/>
      </c>
      <c r="J1735" s="4" t="str">
        <f>_xlfn.IFNA(VLOOKUP(D1735,Master!$I:$K,3,FALSE),"")</f>
        <v/>
      </c>
      <c r="L1735" s="27" t="str">
        <f>IF(A1735&lt;&gt;"CFA",_xlfn.IFNA(VLOOKUP($G1735,Master!$V$2:$Z$8,5,0),""),"")</f>
        <v/>
      </c>
      <c r="P1735" s="6" t="str">
        <f t="shared" si="54"/>
        <v/>
      </c>
      <c r="Q1735" s="13">
        <f t="shared" si="55"/>
        <v>0</v>
      </c>
    </row>
    <row r="1736" spans="2:17" ht="15" customHeight="1">
      <c r="B1736" s="5" t="str">
        <f>_xlfn.IFNA(VLOOKUP(C1736,Master!$H:$I,2,FALSE),"")</f>
        <v/>
      </c>
      <c r="D1736" s="5" t="str">
        <f>_xlfn.IFNA(VLOOKUP(E1736,Master!$H:$I,2,FALSE),"")</f>
        <v/>
      </c>
      <c r="F1736" s="26" t="str">
        <f>+_xlfn.XLOOKUP(G1736,Master!$V$2:$V$8,Master!$U$2:$U$8,"")</f>
        <v/>
      </c>
      <c r="I1736" s="4" t="str">
        <f>_xlfn.IFNA(VLOOKUP(D1736,Master!$I:$K,2,FALSE),"")</f>
        <v/>
      </c>
      <c r="J1736" s="4" t="str">
        <f>_xlfn.IFNA(VLOOKUP(D1736,Master!$I:$K,3,FALSE),"")</f>
        <v/>
      </c>
      <c r="L1736" s="27" t="str">
        <f>IF(A1736&lt;&gt;"CFA",_xlfn.IFNA(VLOOKUP($G1736,Master!$V$2:$Z$8,5,0),""),"")</f>
        <v/>
      </c>
      <c r="P1736" s="6" t="str">
        <f t="shared" si="54"/>
        <v/>
      </c>
      <c r="Q1736" s="13">
        <f t="shared" si="55"/>
        <v>0</v>
      </c>
    </row>
    <row r="1737" spans="2:17" ht="15" customHeight="1">
      <c r="B1737" s="5" t="str">
        <f>_xlfn.IFNA(VLOOKUP(C1737,Master!$H:$I,2,FALSE),"")</f>
        <v/>
      </c>
      <c r="D1737" s="5" t="str">
        <f>_xlfn.IFNA(VLOOKUP(E1737,Master!$H:$I,2,FALSE),"")</f>
        <v/>
      </c>
      <c r="F1737" s="26" t="str">
        <f>+_xlfn.XLOOKUP(G1737,Master!$V$2:$V$8,Master!$U$2:$U$8,"")</f>
        <v/>
      </c>
      <c r="I1737" s="4" t="str">
        <f>_xlfn.IFNA(VLOOKUP(D1737,Master!$I:$K,2,FALSE),"")</f>
        <v/>
      </c>
      <c r="J1737" s="4" t="str">
        <f>_xlfn.IFNA(VLOOKUP(D1737,Master!$I:$K,3,FALSE),"")</f>
        <v/>
      </c>
      <c r="L1737" s="27" t="str">
        <f>IF(A1737&lt;&gt;"CFA",_xlfn.IFNA(VLOOKUP($G1737,Master!$V$2:$Z$8,5,0),""),"")</f>
        <v/>
      </c>
      <c r="P1737" s="6" t="str">
        <f t="shared" si="54"/>
        <v/>
      </c>
      <c r="Q1737" s="13">
        <f t="shared" si="55"/>
        <v>0</v>
      </c>
    </row>
    <row r="1738" spans="2:17" ht="15" customHeight="1">
      <c r="B1738" s="5" t="str">
        <f>_xlfn.IFNA(VLOOKUP(C1738,Master!$H:$I,2,FALSE),"")</f>
        <v/>
      </c>
      <c r="D1738" s="5" t="str">
        <f>_xlfn.IFNA(VLOOKUP(E1738,Master!$H:$I,2,FALSE),"")</f>
        <v/>
      </c>
      <c r="F1738" s="26" t="str">
        <f>+_xlfn.XLOOKUP(G1738,Master!$V$2:$V$8,Master!$U$2:$U$8,"")</f>
        <v/>
      </c>
      <c r="I1738" s="4" t="str">
        <f>_xlfn.IFNA(VLOOKUP(D1738,Master!$I:$K,2,FALSE),"")</f>
        <v/>
      </c>
      <c r="J1738" s="4" t="str">
        <f>_xlfn.IFNA(VLOOKUP(D1738,Master!$I:$K,3,FALSE),"")</f>
        <v/>
      </c>
      <c r="L1738" s="27" t="str">
        <f>IF(A1738&lt;&gt;"CFA",_xlfn.IFNA(VLOOKUP($G1738,Master!$V$2:$Z$8,5,0),""),"")</f>
        <v/>
      </c>
      <c r="P1738" s="6" t="str">
        <f t="shared" si="54"/>
        <v/>
      </c>
      <c r="Q1738" s="13">
        <f t="shared" si="55"/>
        <v>0</v>
      </c>
    </row>
    <row r="1739" spans="2:17" ht="15" customHeight="1">
      <c r="B1739" s="5" t="str">
        <f>_xlfn.IFNA(VLOOKUP(C1739,Master!$H:$I,2,FALSE),"")</f>
        <v/>
      </c>
      <c r="D1739" s="5" t="str">
        <f>_xlfn.IFNA(VLOOKUP(E1739,Master!$H:$I,2,FALSE),"")</f>
        <v/>
      </c>
      <c r="F1739" s="26" t="str">
        <f>+_xlfn.XLOOKUP(G1739,Master!$V$2:$V$8,Master!$U$2:$U$8,"")</f>
        <v/>
      </c>
      <c r="I1739" s="4" t="str">
        <f>_xlfn.IFNA(VLOOKUP(D1739,Master!$I:$K,2,FALSE),"")</f>
        <v/>
      </c>
      <c r="J1739" s="4" t="str">
        <f>_xlfn.IFNA(VLOOKUP(D1739,Master!$I:$K,3,FALSE),"")</f>
        <v/>
      </c>
      <c r="L1739" s="27" t="str">
        <f>IF(A1739&lt;&gt;"CFA",_xlfn.IFNA(VLOOKUP($G1739,Master!$V$2:$Z$8,5,0),""),"")</f>
        <v/>
      </c>
      <c r="P1739" s="6" t="str">
        <f t="shared" si="54"/>
        <v/>
      </c>
      <c r="Q1739" s="13">
        <f t="shared" si="55"/>
        <v>0</v>
      </c>
    </row>
    <row r="1740" spans="2:17" ht="15" customHeight="1">
      <c r="B1740" s="5" t="str">
        <f>_xlfn.IFNA(VLOOKUP(C1740,Master!$H:$I,2,FALSE),"")</f>
        <v/>
      </c>
      <c r="D1740" s="5" t="str">
        <f>_xlfn.IFNA(VLOOKUP(E1740,Master!$H:$I,2,FALSE),"")</f>
        <v/>
      </c>
      <c r="F1740" s="26" t="str">
        <f>+_xlfn.XLOOKUP(G1740,Master!$V$2:$V$8,Master!$U$2:$U$8,"")</f>
        <v/>
      </c>
      <c r="I1740" s="4" t="str">
        <f>_xlfn.IFNA(VLOOKUP(D1740,Master!$I:$K,2,FALSE),"")</f>
        <v/>
      </c>
      <c r="J1740" s="4" t="str">
        <f>_xlfn.IFNA(VLOOKUP(D1740,Master!$I:$K,3,FALSE),"")</f>
        <v/>
      </c>
      <c r="L1740" s="27" t="str">
        <f>IF(A1740&lt;&gt;"CFA",_xlfn.IFNA(VLOOKUP($G1740,Master!$V$2:$Z$8,5,0),""),"")</f>
        <v/>
      </c>
      <c r="P1740" s="6" t="str">
        <f t="shared" si="54"/>
        <v/>
      </c>
      <c r="Q1740" s="13">
        <f t="shared" si="55"/>
        <v>0</v>
      </c>
    </row>
    <row r="1741" spans="2:17" ht="15" customHeight="1">
      <c r="B1741" s="5" t="str">
        <f>_xlfn.IFNA(VLOOKUP(C1741,Master!$H:$I,2,FALSE),"")</f>
        <v/>
      </c>
      <c r="D1741" s="5" t="str">
        <f>_xlfn.IFNA(VLOOKUP(E1741,Master!$H:$I,2,FALSE),"")</f>
        <v/>
      </c>
      <c r="F1741" s="26" t="str">
        <f>+_xlfn.XLOOKUP(G1741,Master!$V$2:$V$8,Master!$U$2:$U$8,"")</f>
        <v/>
      </c>
      <c r="I1741" s="4" t="str">
        <f>_xlfn.IFNA(VLOOKUP(D1741,Master!$I:$K,2,FALSE),"")</f>
        <v/>
      </c>
      <c r="J1741" s="4" t="str">
        <f>_xlfn.IFNA(VLOOKUP(D1741,Master!$I:$K,3,FALSE),"")</f>
        <v/>
      </c>
      <c r="L1741" s="27" t="str">
        <f>IF(A1741&lt;&gt;"CFA",_xlfn.IFNA(VLOOKUP($G1741,Master!$V$2:$Z$8,5,0),""),"")</f>
        <v/>
      </c>
      <c r="P1741" s="6" t="str">
        <f t="shared" si="54"/>
        <v/>
      </c>
      <c r="Q1741" s="13">
        <f t="shared" si="55"/>
        <v>0</v>
      </c>
    </row>
    <row r="1742" spans="2:17" ht="15" customHeight="1">
      <c r="B1742" s="5" t="str">
        <f>_xlfn.IFNA(VLOOKUP(C1742,Master!$H:$I,2,FALSE),"")</f>
        <v/>
      </c>
      <c r="D1742" s="5" t="str">
        <f>_xlfn.IFNA(VLOOKUP(E1742,Master!$H:$I,2,FALSE),"")</f>
        <v/>
      </c>
      <c r="F1742" s="26" t="str">
        <f>+_xlfn.XLOOKUP(G1742,Master!$V$2:$V$8,Master!$U$2:$U$8,"")</f>
        <v/>
      </c>
      <c r="I1742" s="4" t="str">
        <f>_xlfn.IFNA(VLOOKUP(D1742,Master!$I:$K,2,FALSE),"")</f>
        <v/>
      </c>
      <c r="J1742" s="4" t="str">
        <f>_xlfn.IFNA(VLOOKUP(D1742,Master!$I:$K,3,FALSE),"")</f>
        <v/>
      </c>
      <c r="L1742" s="27" t="str">
        <f>IF(A1742&lt;&gt;"CFA",_xlfn.IFNA(VLOOKUP($G1742,Master!$V$2:$Z$8,5,0),""),"")</f>
        <v/>
      </c>
      <c r="P1742" s="6" t="str">
        <f t="shared" si="54"/>
        <v/>
      </c>
      <c r="Q1742" s="13">
        <f t="shared" si="55"/>
        <v>0</v>
      </c>
    </row>
    <row r="1743" spans="2:17" ht="15" customHeight="1">
      <c r="B1743" s="5" t="str">
        <f>_xlfn.IFNA(VLOOKUP(C1743,Master!$H:$I,2,FALSE),"")</f>
        <v/>
      </c>
      <c r="D1743" s="5" t="str">
        <f>_xlfn.IFNA(VLOOKUP(E1743,Master!$H:$I,2,FALSE),"")</f>
        <v/>
      </c>
      <c r="F1743" s="26" t="str">
        <f>+_xlfn.XLOOKUP(G1743,Master!$V$2:$V$8,Master!$U$2:$U$8,"")</f>
        <v/>
      </c>
      <c r="I1743" s="4" t="str">
        <f>_xlfn.IFNA(VLOOKUP(D1743,Master!$I:$K,2,FALSE),"")</f>
        <v/>
      </c>
      <c r="J1743" s="4" t="str">
        <f>_xlfn.IFNA(VLOOKUP(D1743,Master!$I:$K,3,FALSE),"")</f>
        <v/>
      </c>
      <c r="L1743" s="27" t="str">
        <f>IF(A1743&lt;&gt;"CFA",_xlfn.IFNA(VLOOKUP($G1743,Master!$V$2:$Z$8,5,0),""),"")</f>
        <v/>
      </c>
      <c r="P1743" s="6" t="str">
        <f t="shared" si="54"/>
        <v/>
      </c>
      <c r="Q1743" s="13">
        <f t="shared" si="55"/>
        <v>0</v>
      </c>
    </row>
    <row r="1744" spans="2:17" ht="15" customHeight="1">
      <c r="B1744" s="5" t="str">
        <f>_xlfn.IFNA(VLOOKUP(C1744,Master!$H:$I,2,FALSE),"")</f>
        <v/>
      </c>
      <c r="D1744" s="5" t="str">
        <f>_xlfn.IFNA(VLOOKUP(E1744,Master!$H:$I,2,FALSE),"")</f>
        <v/>
      </c>
      <c r="F1744" s="26" t="str">
        <f>+_xlfn.XLOOKUP(G1744,Master!$V$2:$V$8,Master!$U$2:$U$8,"")</f>
        <v/>
      </c>
      <c r="I1744" s="4" t="str">
        <f>_xlfn.IFNA(VLOOKUP(D1744,Master!$I:$K,2,FALSE),"")</f>
        <v/>
      </c>
      <c r="J1744" s="4" t="str">
        <f>_xlfn.IFNA(VLOOKUP(D1744,Master!$I:$K,3,FALSE),"")</f>
        <v/>
      </c>
      <c r="L1744" s="27" t="str">
        <f>IF(A1744&lt;&gt;"CFA",_xlfn.IFNA(VLOOKUP($G1744,Master!$V$2:$Z$8,5,0),""),"")</f>
        <v/>
      </c>
      <c r="P1744" s="6" t="str">
        <f t="shared" si="54"/>
        <v/>
      </c>
      <c r="Q1744" s="13">
        <f t="shared" si="55"/>
        <v>0</v>
      </c>
    </row>
    <row r="1745" spans="2:17" ht="15" customHeight="1">
      <c r="B1745" s="5" t="str">
        <f>_xlfn.IFNA(VLOOKUP(C1745,Master!$H:$I,2,FALSE),"")</f>
        <v/>
      </c>
      <c r="D1745" s="5" t="str">
        <f>_xlfn.IFNA(VLOOKUP(E1745,Master!$H:$I,2,FALSE),"")</f>
        <v/>
      </c>
      <c r="F1745" s="26" t="str">
        <f>+_xlfn.XLOOKUP(G1745,Master!$V$2:$V$8,Master!$U$2:$U$8,"")</f>
        <v/>
      </c>
      <c r="I1745" s="4" t="str">
        <f>_xlfn.IFNA(VLOOKUP(D1745,Master!$I:$K,2,FALSE),"")</f>
        <v/>
      </c>
      <c r="J1745" s="4" t="str">
        <f>_xlfn.IFNA(VLOOKUP(D1745,Master!$I:$K,3,FALSE),"")</f>
        <v/>
      </c>
      <c r="L1745" s="27" t="str">
        <f>IF(A1745&lt;&gt;"CFA",_xlfn.IFNA(VLOOKUP($G1745,Master!$V$2:$Z$8,5,0),""),"")</f>
        <v/>
      </c>
      <c r="P1745" s="6" t="str">
        <f t="shared" si="54"/>
        <v/>
      </c>
      <c r="Q1745" s="13">
        <f t="shared" si="55"/>
        <v>0</v>
      </c>
    </row>
    <row r="1746" spans="2:17" ht="15" customHeight="1">
      <c r="B1746" s="5" t="str">
        <f>_xlfn.IFNA(VLOOKUP(C1746,Master!$H:$I,2,FALSE),"")</f>
        <v/>
      </c>
      <c r="D1746" s="5" t="str">
        <f>_xlfn.IFNA(VLOOKUP(E1746,Master!$H:$I,2,FALSE),"")</f>
        <v/>
      </c>
      <c r="F1746" s="26" t="str">
        <f>+_xlfn.XLOOKUP(G1746,Master!$V$2:$V$8,Master!$U$2:$U$8,"")</f>
        <v/>
      </c>
      <c r="I1746" s="4" t="str">
        <f>_xlfn.IFNA(VLOOKUP(D1746,Master!$I:$K,2,FALSE),"")</f>
        <v/>
      </c>
      <c r="J1746" s="4" t="str">
        <f>_xlfn.IFNA(VLOOKUP(D1746,Master!$I:$K,3,FALSE),"")</f>
        <v/>
      </c>
      <c r="L1746" s="27" t="str">
        <f>IF(A1746&lt;&gt;"CFA",_xlfn.IFNA(VLOOKUP($G1746,Master!$V$2:$Z$8,5,0),""),"")</f>
        <v/>
      </c>
      <c r="P1746" s="6" t="str">
        <f t="shared" si="54"/>
        <v/>
      </c>
      <c r="Q1746" s="13">
        <f t="shared" si="55"/>
        <v>0</v>
      </c>
    </row>
    <row r="1747" spans="2:17" ht="15" customHeight="1">
      <c r="B1747" s="5" t="str">
        <f>_xlfn.IFNA(VLOOKUP(C1747,Master!$H:$I,2,FALSE),"")</f>
        <v/>
      </c>
      <c r="D1747" s="5" t="str">
        <f>_xlfn.IFNA(VLOOKUP(E1747,Master!$H:$I,2,FALSE),"")</f>
        <v/>
      </c>
      <c r="F1747" s="26" t="str">
        <f>+_xlfn.XLOOKUP(G1747,Master!$V$2:$V$8,Master!$U$2:$U$8,"")</f>
        <v/>
      </c>
      <c r="I1747" s="4" t="str">
        <f>_xlfn.IFNA(VLOOKUP(D1747,Master!$I:$K,2,FALSE),"")</f>
        <v/>
      </c>
      <c r="J1747" s="4" t="str">
        <f>_xlfn.IFNA(VLOOKUP(D1747,Master!$I:$K,3,FALSE),"")</f>
        <v/>
      </c>
      <c r="L1747" s="27" t="str">
        <f>IF(A1747&lt;&gt;"CFA",_xlfn.IFNA(VLOOKUP($G1747,Master!$V$2:$Z$8,5,0),""),"")</f>
        <v/>
      </c>
      <c r="P1747" s="6" t="str">
        <f t="shared" si="54"/>
        <v/>
      </c>
      <c r="Q1747" s="13">
        <f t="shared" si="55"/>
        <v>0</v>
      </c>
    </row>
    <row r="1748" spans="2:17" ht="15" customHeight="1">
      <c r="B1748" s="5" t="str">
        <f>_xlfn.IFNA(VLOOKUP(C1748,Master!$H:$I,2,FALSE),"")</f>
        <v/>
      </c>
      <c r="D1748" s="5" t="str">
        <f>_xlfn.IFNA(VLOOKUP(E1748,Master!$H:$I,2,FALSE),"")</f>
        <v/>
      </c>
      <c r="F1748" s="26" t="str">
        <f>+_xlfn.XLOOKUP(G1748,Master!$V$2:$V$8,Master!$U$2:$U$8,"")</f>
        <v/>
      </c>
      <c r="I1748" s="4" t="str">
        <f>_xlfn.IFNA(VLOOKUP(D1748,Master!$I:$K,2,FALSE),"")</f>
        <v/>
      </c>
      <c r="J1748" s="4" t="str">
        <f>_xlfn.IFNA(VLOOKUP(D1748,Master!$I:$K,3,FALSE),"")</f>
        <v/>
      </c>
      <c r="L1748" s="27" t="str">
        <f>IF(A1748&lt;&gt;"CFA",_xlfn.IFNA(VLOOKUP($G1748,Master!$V$2:$Z$8,5,0),""),"")</f>
        <v/>
      </c>
      <c r="P1748" s="6" t="str">
        <f t="shared" si="54"/>
        <v/>
      </c>
      <c r="Q1748" s="13">
        <f t="shared" si="55"/>
        <v>0</v>
      </c>
    </row>
    <row r="1749" spans="2:17" ht="15" customHeight="1">
      <c r="B1749" s="5" t="str">
        <f>_xlfn.IFNA(VLOOKUP(C1749,Master!$H:$I,2,FALSE),"")</f>
        <v/>
      </c>
      <c r="D1749" s="5" t="str">
        <f>_xlfn.IFNA(VLOOKUP(E1749,Master!$H:$I,2,FALSE),"")</f>
        <v/>
      </c>
      <c r="F1749" s="26" t="str">
        <f>+_xlfn.XLOOKUP(G1749,Master!$V$2:$V$8,Master!$U$2:$U$8,"")</f>
        <v/>
      </c>
      <c r="I1749" s="4" t="str">
        <f>_xlfn.IFNA(VLOOKUP(D1749,Master!$I:$K,2,FALSE),"")</f>
        <v/>
      </c>
      <c r="J1749" s="4" t="str">
        <f>_xlfn.IFNA(VLOOKUP(D1749,Master!$I:$K,3,FALSE),"")</f>
        <v/>
      </c>
      <c r="L1749" s="27" t="str">
        <f>IF(A1749&lt;&gt;"CFA",_xlfn.IFNA(VLOOKUP($G1749,Master!$V$2:$Z$8,5,0),""),"")</f>
        <v/>
      </c>
      <c r="P1749" s="6" t="str">
        <f t="shared" si="54"/>
        <v/>
      </c>
      <c r="Q1749" s="13">
        <f t="shared" si="55"/>
        <v>0</v>
      </c>
    </row>
    <row r="1750" spans="2:17" ht="15" customHeight="1">
      <c r="B1750" s="5" t="str">
        <f>_xlfn.IFNA(VLOOKUP(C1750,Master!$H:$I,2,FALSE),"")</f>
        <v/>
      </c>
      <c r="D1750" s="5" t="str">
        <f>_xlfn.IFNA(VLOOKUP(E1750,Master!$H:$I,2,FALSE),"")</f>
        <v/>
      </c>
      <c r="F1750" s="26" t="str">
        <f>+_xlfn.XLOOKUP(G1750,Master!$V$2:$V$8,Master!$U$2:$U$8,"")</f>
        <v/>
      </c>
      <c r="I1750" s="4" t="str">
        <f>_xlfn.IFNA(VLOOKUP(D1750,Master!$I:$K,2,FALSE),"")</f>
        <v/>
      </c>
      <c r="J1750" s="4" t="str">
        <f>_xlfn.IFNA(VLOOKUP(D1750,Master!$I:$K,3,FALSE),"")</f>
        <v/>
      </c>
      <c r="L1750" s="27" t="str">
        <f>IF(A1750&lt;&gt;"CFA",_xlfn.IFNA(VLOOKUP($G1750,Master!$V$2:$Z$8,5,0),""),"")</f>
        <v/>
      </c>
      <c r="P1750" s="6" t="str">
        <f t="shared" si="54"/>
        <v/>
      </c>
      <c r="Q1750" s="13">
        <f t="shared" si="55"/>
        <v>0</v>
      </c>
    </row>
    <row r="1751" spans="2:17" ht="15" customHeight="1">
      <c r="B1751" s="5" t="str">
        <f>_xlfn.IFNA(VLOOKUP(C1751,Master!$H:$I,2,FALSE),"")</f>
        <v/>
      </c>
      <c r="D1751" s="5" t="str">
        <f>_xlfn.IFNA(VLOOKUP(E1751,Master!$H:$I,2,FALSE),"")</f>
        <v/>
      </c>
      <c r="F1751" s="26" t="str">
        <f>+_xlfn.XLOOKUP(G1751,Master!$V$2:$V$8,Master!$U$2:$U$8,"")</f>
        <v/>
      </c>
      <c r="I1751" s="4" t="str">
        <f>_xlfn.IFNA(VLOOKUP(D1751,Master!$I:$K,2,FALSE),"")</f>
        <v/>
      </c>
      <c r="J1751" s="4" t="str">
        <f>_xlfn.IFNA(VLOOKUP(D1751,Master!$I:$K,3,FALSE),"")</f>
        <v/>
      </c>
      <c r="L1751" s="27" t="str">
        <f>IF(A1751&lt;&gt;"CFA",_xlfn.IFNA(VLOOKUP($G1751,Master!$V$2:$Z$8,5,0),""),"")</f>
        <v/>
      </c>
      <c r="P1751" s="6" t="str">
        <f t="shared" si="54"/>
        <v/>
      </c>
      <c r="Q1751" s="13">
        <f t="shared" si="55"/>
        <v>0</v>
      </c>
    </row>
    <row r="1752" spans="2:17" ht="15" customHeight="1">
      <c r="B1752" s="5" t="str">
        <f>_xlfn.IFNA(VLOOKUP(C1752,Master!$H:$I,2,FALSE),"")</f>
        <v/>
      </c>
      <c r="D1752" s="5" t="str">
        <f>_xlfn.IFNA(VLOOKUP(E1752,Master!$H:$I,2,FALSE),"")</f>
        <v/>
      </c>
      <c r="F1752" s="26" t="str">
        <f>+_xlfn.XLOOKUP(G1752,Master!$V$2:$V$8,Master!$U$2:$U$8,"")</f>
        <v/>
      </c>
      <c r="I1752" s="4" t="str">
        <f>_xlfn.IFNA(VLOOKUP(D1752,Master!$I:$K,2,FALSE),"")</f>
        <v/>
      </c>
      <c r="J1752" s="4" t="str">
        <f>_xlfn.IFNA(VLOOKUP(D1752,Master!$I:$K,3,FALSE),"")</f>
        <v/>
      </c>
      <c r="L1752" s="27" t="str">
        <f>IF(A1752&lt;&gt;"CFA",_xlfn.IFNA(VLOOKUP($G1752,Master!$V$2:$Z$8,5,0),""),"")</f>
        <v/>
      </c>
      <c r="P1752" s="6" t="str">
        <f t="shared" si="54"/>
        <v/>
      </c>
      <c r="Q1752" s="13">
        <f t="shared" si="55"/>
        <v>0</v>
      </c>
    </row>
    <row r="1753" spans="2:17" ht="15" customHeight="1">
      <c r="B1753" s="5" t="str">
        <f>_xlfn.IFNA(VLOOKUP(C1753,Master!$H:$I,2,FALSE),"")</f>
        <v/>
      </c>
      <c r="D1753" s="5" t="str">
        <f>_xlfn.IFNA(VLOOKUP(E1753,Master!$H:$I,2,FALSE),"")</f>
        <v/>
      </c>
      <c r="F1753" s="26" t="str">
        <f>+_xlfn.XLOOKUP(G1753,Master!$V$2:$V$8,Master!$U$2:$U$8,"")</f>
        <v/>
      </c>
      <c r="I1753" s="4" t="str">
        <f>_xlfn.IFNA(VLOOKUP(D1753,Master!$I:$K,2,FALSE),"")</f>
        <v/>
      </c>
      <c r="J1753" s="4" t="str">
        <f>_xlfn.IFNA(VLOOKUP(D1753,Master!$I:$K,3,FALSE),"")</f>
        <v/>
      </c>
      <c r="L1753" s="27" t="str">
        <f>IF(A1753&lt;&gt;"CFA",_xlfn.IFNA(VLOOKUP($G1753,Master!$V$2:$Z$8,5,0),""),"")</f>
        <v/>
      </c>
      <c r="P1753" s="6" t="str">
        <f t="shared" si="54"/>
        <v/>
      </c>
      <c r="Q1753" s="13">
        <f t="shared" si="55"/>
        <v>0</v>
      </c>
    </row>
    <row r="1754" spans="2:17" ht="15" customHeight="1">
      <c r="B1754" s="5" t="str">
        <f>_xlfn.IFNA(VLOOKUP(C1754,Master!$H:$I,2,FALSE),"")</f>
        <v/>
      </c>
      <c r="D1754" s="5" t="str">
        <f>_xlfn.IFNA(VLOOKUP(E1754,Master!$H:$I,2,FALSE),"")</f>
        <v/>
      </c>
      <c r="F1754" s="26" t="str">
        <f>+_xlfn.XLOOKUP(G1754,Master!$V$2:$V$8,Master!$U$2:$U$8,"")</f>
        <v/>
      </c>
      <c r="I1754" s="4" t="str">
        <f>_xlfn.IFNA(VLOOKUP(D1754,Master!$I:$K,2,FALSE),"")</f>
        <v/>
      </c>
      <c r="J1754" s="4" t="str">
        <f>_xlfn.IFNA(VLOOKUP(D1754,Master!$I:$K,3,FALSE),"")</f>
        <v/>
      </c>
      <c r="L1754" s="27" t="str">
        <f>IF(A1754&lt;&gt;"CFA",_xlfn.IFNA(VLOOKUP($G1754,Master!$V$2:$Z$8,5,0),""),"")</f>
        <v/>
      </c>
      <c r="P1754" s="6" t="str">
        <f t="shared" si="54"/>
        <v/>
      </c>
      <c r="Q1754" s="13">
        <f t="shared" si="55"/>
        <v>0</v>
      </c>
    </row>
    <row r="1755" spans="2:17" ht="15" customHeight="1">
      <c r="B1755" s="5" t="str">
        <f>_xlfn.IFNA(VLOOKUP(C1755,Master!$H:$I,2,FALSE),"")</f>
        <v/>
      </c>
      <c r="D1755" s="5" t="str">
        <f>_xlfn.IFNA(VLOOKUP(E1755,Master!$H:$I,2,FALSE),"")</f>
        <v/>
      </c>
      <c r="F1755" s="26" t="str">
        <f>+_xlfn.XLOOKUP(G1755,Master!$V$2:$V$8,Master!$U$2:$U$8,"")</f>
        <v/>
      </c>
      <c r="I1755" s="4" t="str">
        <f>_xlfn.IFNA(VLOOKUP(D1755,Master!$I:$K,2,FALSE),"")</f>
        <v/>
      </c>
      <c r="J1755" s="4" t="str">
        <f>_xlfn.IFNA(VLOOKUP(D1755,Master!$I:$K,3,FALSE),"")</f>
        <v/>
      </c>
      <c r="L1755" s="27" t="str">
        <f>IF(A1755&lt;&gt;"CFA",_xlfn.IFNA(VLOOKUP($G1755,Master!$V$2:$Z$8,5,0),""),"")</f>
        <v/>
      </c>
      <c r="P1755" s="6" t="str">
        <f t="shared" si="54"/>
        <v/>
      </c>
      <c r="Q1755" s="13">
        <f t="shared" si="55"/>
        <v>0</v>
      </c>
    </row>
    <row r="1756" spans="2:17" ht="15" customHeight="1">
      <c r="B1756" s="5" t="str">
        <f>_xlfn.IFNA(VLOOKUP(C1756,Master!$H:$I,2,FALSE),"")</f>
        <v/>
      </c>
      <c r="D1756" s="5" t="str">
        <f>_xlfn.IFNA(VLOOKUP(E1756,Master!$H:$I,2,FALSE),"")</f>
        <v/>
      </c>
      <c r="F1756" s="26" t="str">
        <f>+_xlfn.XLOOKUP(G1756,Master!$V$2:$V$8,Master!$U$2:$U$8,"")</f>
        <v/>
      </c>
      <c r="I1756" s="4" t="str">
        <f>_xlfn.IFNA(VLOOKUP(D1756,Master!$I:$K,2,FALSE),"")</f>
        <v/>
      </c>
      <c r="J1756" s="4" t="str">
        <f>_xlfn.IFNA(VLOOKUP(D1756,Master!$I:$K,3,FALSE),"")</f>
        <v/>
      </c>
      <c r="L1756" s="27" t="str">
        <f>IF(A1756&lt;&gt;"CFA",_xlfn.IFNA(VLOOKUP($G1756,Master!$V$2:$Z$8,5,0),""),"")</f>
        <v/>
      </c>
      <c r="P1756" s="6" t="str">
        <f t="shared" si="54"/>
        <v/>
      </c>
      <c r="Q1756" s="13">
        <f t="shared" si="55"/>
        <v>0</v>
      </c>
    </row>
    <row r="1757" spans="2:17" ht="15" customHeight="1">
      <c r="B1757" s="5" t="str">
        <f>_xlfn.IFNA(VLOOKUP(C1757,Master!$H:$I,2,FALSE),"")</f>
        <v/>
      </c>
      <c r="D1757" s="5" t="str">
        <f>_xlfn.IFNA(VLOOKUP(E1757,Master!$H:$I,2,FALSE),"")</f>
        <v/>
      </c>
      <c r="F1757" s="26" t="str">
        <f>+_xlfn.XLOOKUP(G1757,Master!$V$2:$V$8,Master!$U$2:$U$8,"")</f>
        <v/>
      </c>
      <c r="I1757" s="4" t="str">
        <f>_xlfn.IFNA(VLOOKUP(D1757,Master!$I:$K,2,FALSE),"")</f>
        <v/>
      </c>
      <c r="J1757" s="4" t="str">
        <f>_xlfn.IFNA(VLOOKUP(D1757,Master!$I:$K,3,FALSE),"")</f>
        <v/>
      </c>
      <c r="L1757" s="27" t="str">
        <f>IF(A1757&lt;&gt;"CFA",_xlfn.IFNA(VLOOKUP($G1757,Master!$V$2:$Z$8,5,0),""),"")</f>
        <v/>
      </c>
      <c r="P1757" s="6" t="str">
        <f t="shared" si="54"/>
        <v/>
      </c>
      <c r="Q1757" s="13">
        <f t="shared" si="55"/>
        <v>0</v>
      </c>
    </row>
    <row r="1758" spans="2:17" ht="15" customHeight="1">
      <c r="B1758" s="5" t="str">
        <f>_xlfn.IFNA(VLOOKUP(C1758,Master!$H:$I,2,FALSE),"")</f>
        <v/>
      </c>
      <c r="D1758" s="5" t="str">
        <f>_xlfn.IFNA(VLOOKUP(E1758,Master!$H:$I,2,FALSE),"")</f>
        <v/>
      </c>
      <c r="F1758" s="26" t="str">
        <f>+_xlfn.XLOOKUP(G1758,Master!$V$2:$V$8,Master!$U$2:$U$8,"")</f>
        <v/>
      </c>
      <c r="I1758" s="4" t="str">
        <f>_xlfn.IFNA(VLOOKUP(D1758,Master!$I:$K,2,FALSE),"")</f>
        <v/>
      </c>
      <c r="J1758" s="4" t="str">
        <f>_xlfn.IFNA(VLOOKUP(D1758,Master!$I:$K,3,FALSE),"")</f>
        <v/>
      </c>
      <c r="L1758" s="27" t="str">
        <f>IF(A1758&lt;&gt;"CFA",_xlfn.IFNA(VLOOKUP($G1758,Master!$V$2:$Z$8,5,0),""),"")</f>
        <v/>
      </c>
      <c r="P1758" s="6" t="str">
        <f t="shared" si="54"/>
        <v/>
      </c>
      <c r="Q1758" s="13">
        <f t="shared" si="55"/>
        <v>0</v>
      </c>
    </row>
    <row r="1759" spans="2:17" ht="15" customHeight="1">
      <c r="B1759" s="5" t="str">
        <f>_xlfn.IFNA(VLOOKUP(C1759,Master!$H:$I,2,FALSE),"")</f>
        <v/>
      </c>
      <c r="D1759" s="5" t="str">
        <f>_xlfn.IFNA(VLOOKUP(E1759,Master!$H:$I,2,FALSE),"")</f>
        <v/>
      </c>
      <c r="F1759" s="26" t="str">
        <f>+_xlfn.XLOOKUP(G1759,Master!$V$2:$V$8,Master!$U$2:$U$8,"")</f>
        <v/>
      </c>
      <c r="I1759" s="4" t="str">
        <f>_xlfn.IFNA(VLOOKUP(D1759,Master!$I:$K,2,FALSE),"")</f>
        <v/>
      </c>
      <c r="J1759" s="4" t="str">
        <f>_xlfn.IFNA(VLOOKUP(D1759,Master!$I:$K,3,FALSE),"")</f>
        <v/>
      </c>
      <c r="L1759" s="27" t="str">
        <f>IF(A1759&lt;&gt;"CFA",_xlfn.IFNA(VLOOKUP($G1759,Master!$V$2:$Z$8,5,0),""),"")</f>
        <v/>
      </c>
      <c r="P1759" s="6" t="str">
        <f t="shared" si="54"/>
        <v/>
      </c>
      <c r="Q1759" s="13">
        <f t="shared" si="55"/>
        <v>0</v>
      </c>
    </row>
    <row r="1760" spans="2:17" ht="15" customHeight="1">
      <c r="B1760" s="5" t="str">
        <f>_xlfn.IFNA(VLOOKUP(C1760,Master!$H:$I,2,FALSE),"")</f>
        <v/>
      </c>
      <c r="D1760" s="5" t="str">
        <f>_xlfn.IFNA(VLOOKUP(E1760,Master!$H:$I,2,FALSE),"")</f>
        <v/>
      </c>
      <c r="F1760" s="26" t="str">
        <f>+_xlfn.XLOOKUP(G1760,Master!$V$2:$V$8,Master!$U$2:$U$8,"")</f>
        <v/>
      </c>
      <c r="I1760" s="4" t="str">
        <f>_xlfn.IFNA(VLOOKUP(D1760,Master!$I:$K,2,FALSE),"")</f>
        <v/>
      </c>
      <c r="J1760" s="4" t="str">
        <f>_xlfn.IFNA(VLOOKUP(D1760,Master!$I:$K,3,FALSE),"")</f>
        <v/>
      </c>
      <c r="L1760" s="27" t="str">
        <f>IF(A1760&lt;&gt;"CFA",_xlfn.IFNA(VLOOKUP($G1760,Master!$V$2:$Z$8,5,0),""),"")</f>
        <v/>
      </c>
      <c r="P1760" s="6" t="str">
        <f t="shared" si="54"/>
        <v/>
      </c>
      <c r="Q1760" s="13">
        <f t="shared" si="55"/>
        <v>0</v>
      </c>
    </row>
    <row r="1761" spans="2:17" ht="15" customHeight="1">
      <c r="B1761" s="5" t="str">
        <f>_xlfn.IFNA(VLOOKUP(C1761,Master!$H:$I,2,FALSE),"")</f>
        <v/>
      </c>
      <c r="D1761" s="5" t="str">
        <f>_xlfn.IFNA(VLOOKUP(E1761,Master!$H:$I,2,FALSE),"")</f>
        <v/>
      </c>
      <c r="F1761" s="26" t="str">
        <f>+_xlfn.XLOOKUP(G1761,Master!$V$2:$V$8,Master!$U$2:$U$8,"")</f>
        <v/>
      </c>
      <c r="I1761" s="4" t="str">
        <f>_xlfn.IFNA(VLOOKUP(D1761,Master!$I:$K,2,FALSE),"")</f>
        <v/>
      </c>
      <c r="J1761" s="4" t="str">
        <f>_xlfn.IFNA(VLOOKUP(D1761,Master!$I:$K,3,FALSE),"")</f>
        <v/>
      </c>
      <c r="L1761" s="27" t="str">
        <f>IF(A1761&lt;&gt;"CFA",_xlfn.IFNA(VLOOKUP($G1761,Master!$V$2:$Z$8,5,0),""),"")</f>
        <v/>
      </c>
      <c r="P1761" s="6" t="str">
        <f t="shared" si="54"/>
        <v/>
      </c>
      <c r="Q1761" s="13">
        <f t="shared" si="55"/>
        <v>0</v>
      </c>
    </row>
    <row r="1762" spans="2:17" ht="15" customHeight="1">
      <c r="B1762" s="5" t="str">
        <f>_xlfn.IFNA(VLOOKUP(C1762,Master!$H:$I,2,FALSE),"")</f>
        <v/>
      </c>
      <c r="D1762" s="5" t="str">
        <f>_xlfn.IFNA(VLOOKUP(E1762,Master!$H:$I,2,FALSE),"")</f>
        <v/>
      </c>
      <c r="F1762" s="26" t="str">
        <f>+_xlfn.XLOOKUP(G1762,Master!$V$2:$V$8,Master!$U$2:$U$8,"")</f>
        <v/>
      </c>
      <c r="I1762" s="4" t="str">
        <f>_xlfn.IFNA(VLOOKUP(D1762,Master!$I:$K,2,FALSE),"")</f>
        <v/>
      </c>
      <c r="J1762" s="4" t="str">
        <f>_xlfn.IFNA(VLOOKUP(D1762,Master!$I:$K,3,FALSE),"")</f>
        <v/>
      </c>
      <c r="L1762" s="27" t="str">
        <f>IF(A1762&lt;&gt;"CFA",_xlfn.IFNA(VLOOKUP($G1762,Master!$V$2:$Z$8,5,0),""),"")</f>
        <v/>
      </c>
      <c r="P1762" s="6" t="str">
        <f t="shared" si="54"/>
        <v/>
      </c>
      <c r="Q1762" s="13">
        <f t="shared" si="55"/>
        <v>0</v>
      </c>
    </row>
    <row r="1763" spans="2:17" ht="15" customHeight="1">
      <c r="B1763" s="5" t="str">
        <f>_xlfn.IFNA(VLOOKUP(C1763,Master!$H:$I,2,FALSE),"")</f>
        <v/>
      </c>
      <c r="D1763" s="5" t="str">
        <f>_xlfn.IFNA(VLOOKUP(E1763,Master!$H:$I,2,FALSE),"")</f>
        <v/>
      </c>
      <c r="F1763" s="26" t="str">
        <f>+_xlfn.XLOOKUP(G1763,Master!$V$2:$V$8,Master!$U$2:$U$8,"")</f>
        <v/>
      </c>
      <c r="I1763" s="4" t="str">
        <f>_xlfn.IFNA(VLOOKUP(D1763,Master!$I:$K,2,FALSE),"")</f>
        <v/>
      </c>
      <c r="J1763" s="4" t="str">
        <f>_xlfn.IFNA(VLOOKUP(D1763,Master!$I:$K,3,FALSE),"")</f>
        <v/>
      </c>
      <c r="L1763" s="27" t="str">
        <f>IF(A1763&lt;&gt;"CFA",_xlfn.IFNA(VLOOKUP($G1763,Master!$V$2:$Z$8,5,0),""),"")</f>
        <v/>
      </c>
      <c r="P1763" s="6" t="str">
        <f t="shared" si="54"/>
        <v/>
      </c>
      <c r="Q1763" s="13">
        <f t="shared" si="55"/>
        <v>0</v>
      </c>
    </row>
    <row r="1764" spans="2:17" ht="15" customHeight="1">
      <c r="B1764" s="5" t="str">
        <f>_xlfn.IFNA(VLOOKUP(C1764,Master!$H:$I,2,FALSE),"")</f>
        <v/>
      </c>
      <c r="D1764" s="5" t="str">
        <f>_xlfn.IFNA(VLOOKUP(E1764,Master!$H:$I,2,FALSE),"")</f>
        <v/>
      </c>
      <c r="F1764" s="26" t="str">
        <f>+_xlfn.XLOOKUP(G1764,Master!$V$2:$V$8,Master!$U$2:$U$8,"")</f>
        <v/>
      </c>
      <c r="I1764" s="4" t="str">
        <f>_xlfn.IFNA(VLOOKUP(D1764,Master!$I:$K,2,FALSE),"")</f>
        <v/>
      </c>
      <c r="J1764" s="4" t="str">
        <f>_xlfn.IFNA(VLOOKUP(D1764,Master!$I:$K,3,FALSE),"")</f>
        <v/>
      </c>
      <c r="L1764" s="27" t="str">
        <f>IF(A1764&lt;&gt;"CFA",_xlfn.IFNA(VLOOKUP($G1764,Master!$V$2:$Z$8,5,0),""),"")</f>
        <v/>
      </c>
      <c r="P1764" s="6" t="str">
        <f t="shared" si="54"/>
        <v/>
      </c>
      <c r="Q1764" s="13">
        <f t="shared" si="55"/>
        <v>0</v>
      </c>
    </row>
    <row r="1765" spans="2:17" ht="15" customHeight="1">
      <c r="B1765" s="5" t="str">
        <f>_xlfn.IFNA(VLOOKUP(C1765,Master!$H:$I,2,FALSE),"")</f>
        <v/>
      </c>
      <c r="D1765" s="5" t="str">
        <f>_xlfn.IFNA(VLOOKUP(E1765,Master!$H:$I,2,FALSE),"")</f>
        <v/>
      </c>
      <c r="F1765" s="26" t="str">
        <f>+_xlfn.XLOOKUP(G1765,Master!$V$2:$V$8,Master!$U$2:$U$8,"")</f>
        <v/>
      </c>
      <c r="I1765" s="4" t="str">
        <f>_xlfn.IFNA(VLOOKUP(D1765,Master!$I:$K,2,FALSE),"")</f>
        <v/>
      </c>
      <c r="J1765" s="4" t="str">
        <f>_xlfn.IFNA(VLOOKUP(D1765,Master!$I:$K,3,FALSE),"")</f>
        <v/>
      </c>
      <c r="L1765" s="27" t="str">
        <f>IF(A1765&lt;&gt;"CFA",_xlfn.IFNA(VLOOKUP($G1765,Master!$V$2:$Z$8,5,0),""),"")</f>
        <v/>
      </c>
      <c r="P1765" s="6" t="str">
        <f t="shared" si="54"/>
        <v/>
      </c>
      <c r="Q1765" s="13">
        <f t="shared" si="55"/>
        <v>0</v>
      </c>
    </row>
    <row r="1766" spans="2:17" ht="15" customHeight="1">
      <c r="B1766" s="5" t="str">
        <f>_xlfn.IFNA(VLOOKUP(C1766,Master!$H:$I,2,FALSE),"")</f>
        <v/>
      </c>
      <c r="D1766" s="5" t="str">
        <f>_xlfn.IFNA(VLOOKUP(E1766,Master!$H:$I,2,FALSE),"")</f>
        <v/>
      </c>
      <c r="F1766" s="26" t="str">
        <f>+_xlfn.XLOOKUP(G1766,Master!$V$2:$V$8,Master!$U$2:$U$8,"")</f>
        <v/>
      </c>
      <c r="I1766" s="4" t="str">
        <f>_xlfn.IFNA(VLOOKUP(D1766,Master!$I:$K,2,FALSE),"")</f>
        <v/>
      </c>
      <c r="J1766" s="4" t="str">
        <f>_xlfn.IFNA(VLOOKUP(D1766,Master!$I:$K,3,FALSE),"")</f>
        <v/>
      </c>
      <c r="L1766" s="27" t="str">
        <f>IF(A1766&lt;&gt;"CFA",_xlfn.IFNA(VLOOKUP($G1766,Master!$V$2:$Z$8,5,0),""),"")</f>
        <v/>
      </c>
      <c r="P1766" s="6" t="str">
        <f t="shared" si="54"/>
        <v/>
      </c>
      <c r="Q1766" s="13">
        <f t="shared" si="55"/>
        <v>0</v>
      </c>
    </row>
    <row r="1767" spans="2:17" ht="15" customHeight="1">
      <c r="B1767" s="5" t="str">
        <f>_xlfn.IFNA(VLOOKUP(C1767,Master!$H:$I,2,FALSE),"")</f>
        <v/>
      </c>
      <c r="D1767" s="5" t="str">
        <f>_xlfn.IFNA(VLOOKUP(E1767,Master!$H:$I,2,FALSE),"")</f>
        <v/>
      </c>
      <c r="F1767" s="26" t="str">
        <f>+_xlfn.XLOOKUP(G1767,Master!$V$2:$V$8,Master!$U$2:$U$8,"")</f>
        <v/>
      </c>
      <c r="I1767" s="4" t="str">
        <f>_xlfn.IFNA(VLOOKUP(D1767,Master!$I:$K,2,FALSE),"")</f>
        <v/>
      </c>
      <c r="J1767" s="4" t="str">
        <f>_xlfn.IFNA(VLOOKUP(D1767,Master!$I:$K,3,FALSE),"")</f>
        <v/>
      </c>
      <c r="L1767" s="27" t="str">
        <f>IF(A1767&lt;&gt;"CFA",_xlfn.IFNA(VLOOKUP($G1767,Master!$V$2:$Z$8,5,0),""),"")</f>
        <v/>
      </c>
      <c r="P1767" s="6" t="str">
        <f t="shared" si="54"/>
        <v/>
      </c>
      <c r="Q1767" s="13">
        <f t="shared" si="55"/>
        <v>0</v>
      </c>
    </row>
    <row r="1768" spans="2:17" ht="15" customHeight="1">
      <c r="B1768" s="5" t="str">
        <f>_xlfn.IFNA(VLOOKUP(C1768,Master!$H:$I,2,FALSE),"")</f>
        <v/>
      </c>
      <c r="D1768" s="5" t="str">
        <f>_xlfn.IFNA(VLOOKUP(E1768,Master!$H:$I,2,FALSE),"")</f>
        <v/>
      </c>
      <c r="F1768" s="26" t="str">
        <f>+_xlfn.XLOOKUP(G1768,Master!$V$2:$V$8,Master!$U$2:$U$8,"")</f>
        <v/>
      </c>
      <c r="I1768" s="4" t="str">
        <f>_xlfn.IFNA(VLOOKUP(D1768,Master!$I:$K,2,FALSE),"")</f>
        <v/>
      </c>
      <c r="J1768" s="4" t="str">
        <f>_xlfn.IFNA(VLOOKUP(D1768,Master!$I:$K,3,FALSE),"")</f>
        <v/>
      </c>
      <c r="L1768" s="27" t="str">
        <f>IF(A1768&lt;&gt;"CFA",_xlfn.IFNA(VLOOKUP($G1768,Master!$V$2:$Z$8,5,0),""),"")</f>
        <v/>
      </c>
      <c r="P1768" s="6" t="str">
        <f t="shared" si="54"/>
        <v/>
      </c>
      <c r="Q1768" s="13">
        <f t="shared" si="55"/>
        <v>0</v>
      </c>
    </row>
    <row r="1769" spans="2:17" ht="15" customHeight="1">
      <c r="B1769" s="5" t="str">
        <f>_xlfn.IFNA(VLOOKUP(C1769,Master!$H:$I,2,FALSE),"")</f>
        <v/>
      </c>
      <c r="D1769" s="5" t="str">
        <f>_xlfn.IFNA(VLOOKUP(E1769,Master!$H:$I,2,FALSE),"")</f>
        <v/>
      </c>
      <c r="F1769" s="26" t="str">
        <f>+_xlfn.XLOOKUP(G1769,Master!$V$2:$V$8,Master!$U$2:$U$8,"")</f>
        <v/>
      </c>
      <c r="I1769" s="4" t="str">
        <f>_xlfn.IFNA(VLOOKUP(D1769,Master!$I:$K,2,FALSE),"")</f>
        <v/>
      </c>
      <c r="J1769" s="4" t="str">
        <f>_xlfn.IFNA(VLOOKUP(D1769,Master!$I:$K,3,FALSE),"")</f>
        <v/>
      </c>
      <c r="L1769" s="27" t="str">
        <f>IF(A1769&lt;&gt;"CFA",_xlfn.IFNA(VLOOKUP($G1769,Master!$V$2:$Z$8,5,0),""),"")</f>
        <v/>
      </c>
      <c r="P1769" s="6" t="str">
        <f t="shared" si="54"/>
        <v/>
      </c>
      <c r="Q1769" s="13">
        <f t="shared" si="55"/>
        <v>0</v>
      </c>
    </row>
    <row r="1770" spans="2:17" ht="15" customHeight="1">
      <c r="B1770" s="5" t="str">
        <f>_xlfn.IFNA(VLOOKUP(C1770,Master!$H:$I,2,FALSE),"")</f>
        <v/>
      </c>
      <c r="D1770" s="5" t="str">
        <f>_xlfn.IFNA(VLOOKUP(E1770,Master!$H:$I,2,FALSE),"")</f>
        <v/>
      </c>
      <c r="F1770" s="26" t="str">
        <f>+_xlfn.XLOOKUP(G1770,Master!$V$2:$V$8,Master!$U$2:$U$8,"")</f>
        <v/>
      </c>
      <c r="I1770" s="4" t="str">
        <f>_xlfn.IFNA(VLOOKUP(D1770,Master!$I:$K,2,FALSE),"")</f>
        <v/>
      </c>
      <c r="J1770" s="4" t="str">
        <f>_xlfn.IFNA(VLOOKUP(D1770,Master!$I:$K,3,FALSE),"")</f>
        <v/>
      </c>
      <c r="L1770" s="27" t="str">
        <f>IF(A1770&lt;&gt;"CFA",_xlfn.IFNA(VLOOKUP($G1770,Master!$V$2:$Z$8,5,0),""),"")</f>
        <v/>
      </c>
      <c r="P1770" s="6" t="str">
        <f t="shared" si="54"/>
        <v/>
      </c>
      <c r="Q1770" s="13">
        <f t="shared" si="55"/>
        <v>0</v>
      </c>
    </row>
    <row r="1771" spans="2:17" ht="15" customHeight="1">
      <c r="B1771" s="5" t="str">
        <f>_xlfn.IFNA(VLOOKUP(C1771,Master!$H:$I,2,FALSE),"")</f>
        <v/>
      </c>
      <c r="D1771" s="5" t="str">
        <f>_xlfn.IFNA(VLOOKUP(E1771,Master!$H:$I,2,FALSE),"")</f>
        <v/>
      </c>
      <c r="F1771" s="26" t="str">
        <f>+_xlfn.XLOOKUP(G1771,Master!$V$2:$V$8,Master!$U$2:$U$8,"")</f>
        <v/>
      </c>
      <c r="I1771" s="4" t="str">
        <f>_xlfn.IFNA(VLOOKUP(D1771,Master!$I:$K,2,FALSE),"")</f>
        <v/>
      </c>
      <c r="J1771" s="4" t="str">
        <f>_xlfn.IFNA(VLOOKUP(D1771,Master!$I:$K,3,FALSE),"")</f>
        <v/>
      </c>
      <c r="L1771" s="27" t="str">
        <f>IF(A1771&lt;&gt;"CFA",_xlfn.IFNA(VLOOKUP($G1771,Master!$V$2:$Z$8,5,0),""),"")</f>
        <v/>
      </c>
      <c r="P1771" s="6" t="str">
        <f t="shared" si="54"/>
        <v/>
      </c>
      <c r="Q1771" s="13">
        <f t="shared" si="55"/>
        <v>0</v>
      </c>
    </row>
    <row r="1772" spans="2:17" ht="15" customHeight="1">
      <c r="B1772" s="5" t="str">
        <f>_xlfn.IFNA(VLOOKUP(C1772,Master!$H:$I,2,FALSE),"")</f>
        <v/>
      </c>
      <c r="D1772" s="5" t="str">
        <f>_xlfn.IFNA(VLOOKUP(E1772,Master!$H:$I,2,FALSE),"")</f>
        <v/>
      </c>
      <c r="F1772" s="26" t="str">
        <f>+_xlfn.XLOOKUP(G1772,Master!$V$2:$V$8,Master!$U$2:$U$8,"")</f>
        <v/>
      </c>
      <c r="I1772" s="4" t="str">
        <f>_xlfn.IFNA(VLOOKUP(D1772,Master!$I:$K,2,FALSE),"")</f>
        <v/>
      </c>
      <c r="J1772" s="4" t="str">
        <f>_xlfn.IFNA(VLOOKUP(D1772,Master!$I:$K,3,FALSE),"")</f>
        <v/>
      </c>
      <c r="L1772" s="27" t="str">
        <f>IF(A1772&lt;&gt;"CFA",_xlfn.IFNA(VLOOKUP($G1772,Master!$V$2:$Z$8,5,0),""),"")</f>
        <v/>
      </c>
      <c r="P1772" s="6" t="str">
        <f t="shared" si="54"/>
        <v/>
      </c>
      <c r="Q1772" s="13">
        <f t="shared" si="55"/>
        <v>0</v>
      </c>
    </row>
    <row r="1773" spans="2:17" ht="15" customHeight="1">
      <c r="B1773" s="5" t="str">
        <f>_xlfn.IFNA(VLOOKUP(C1773,Master!$H:$I,2,FALSE),"")</f>
        <v/>
      </c>
      <c r="D1773" s="5" t="str">
        <f>_xlfn.IFNA(VLOOKUP(E1773,Master!$H:$I,2,FALSE),"")</f>
        <v/>
      </c>
      <c r="F1773" s="26" t="str">
        <f>+_xlfn.XLOOKUP(G1773,Master!$V$2:$V$8,Master!$U$2:$U$8,"")</f>
        <v/>
      </c>
      <c r="I1773" s="4" t="str">
        <f>_xlfn.IFNA(VLOOKUP(D1773,Master!$I:$K,2,FALSE),"")</f>
        <v/>
      </c>
      <c r="J1773" s="4" t="str">
        <f>_xlfn.IFNA(VLOOKUP(D1773,Master!$I:$K,3,FALSE),"")</f>
        <v/>
      </c>
      <c r="L1773" s="27" t="str">
        <f>IF(A1773&lt;&gt;"CFA",_xlfn.IFNA(VLOOKUP($G1773,Master!$V$2:$Z$8,5,0),""),"")</f>
        <v/>
      </c>
      <c r="P1773" s="6" t="str">
        <f t="shared" si="54"/>
        <v/>
      </c>
      <c r="Q1773" s="13">
        <f t="shared" si="55"/>
        <v>0</v>
      </c>
    </row>
    <row r="1774" spans="2:17" ht="15" customHeight="1">
      <c r="B1774" s="5" t="str">
        <f>_xlfn.IFNA(VLOOKUP(C1774,Master!$H:$I,2,FALSE),"")</f>
        <v/>
      </c>
      <c r="D1774" s="5" t="str">
        <f>_xlfn.IFNA(VLOOKUP(E1774,Master!$H:$I,2,FALSE),"")</f>
        <v/>
      </c>
      <c r="F1774" s="26" t="str">
        <f>+_xlfn.XLOOKUP(G1774,Master!$V$2:$V$8,Master!$U$2:$U$8,"")</f>
        <v/>
      </c>
      <c r="I1774" s="4" t="str">
        <f>_xlfn.IFNA(VLOOKUP(D1774,Master!$I:$K,2,FALSE),"")</f>
        <v/>
      </c>
      <c r="J1774" s="4" t="str">
        <f>_xlfn.IFNA(VLOOKUP(D1774,Master!$I:$K,3,FALSE),"")</f>
        <v/>
      </c>
      <c r="L1774" s="27" t="str">
        <f>IF(A1774&lt;&gt;"CFA",_xlfn.IFNA(VLOOKUP($G1774,Master!$V$2:$Z$8,5,0),""),"")</f>
        <v/>
      </c>
      <c r="P1774" s="6" t="str">
        <f t="shared" si="54"/>
        <v/>
      </c>
      <c r="Q1774" s="13">
        <f t="shared" si="55"/>
        <v>0</v>
      </c>
    </row>
    <row r="1775" spans="2:17" ht="15" customHeight="1">
      <c r="B1775" s="5" t="str">
        <f>_xlfn.IFNA(VLOOKUP(C1775,Master!$H:$I,2,FALSE),"")</f>
        <v/>
      </c>
      <c r="D1775" s="5" t="str">
        <f>_xlfn.IFNA(VLOOKUP(E1775,Master!$H:$I,2,FALSE),"")</f>
        <v/>
      </c>
      <c r="F1775" s="26" t="str">
        <f>+_xlfn.XLOOKUP(G1775,Master!$V$2:$V$8,Master!$U$2:$U$8,"")</f>
        <v/>
      </c>
      <c r="I1775" s="4" t="str">
        <f>_xlfn.IFNA(VLOOKUP(D1775,Master!$I:$K,2,FALSE),"")</f>
        <v/>
      </c>
      <c r="J1775" s="4" t="str">
        <f>_xlfn.IFNA(VLOOKUP(D1775,Master!$I:$K,3,FALSE),"")</f>
        <v/>
      </c>
      <c r="L1775" s="27" t="str">
        <f>IF(A1775&lt;&gt;"CFA",_xlfn.IFNA(VLOOKUP($G1775,Master!$V$2:$Z$8,5,0),""),"")</f>
        <v/>
      </c>
      <c r="P1775" s="6" t="str">
        <f t="shared" si="54"/>
        <v/>
      </c>
      <c r="Q1775" s="13">
        <f t="shared" si="55"/>
        <v>0</v>
      </c>
    </row>
    <row r="1776" spans="2:17" ht="15" customHeight="1">
      <c r="B1776" s="5" t="str">
        <f>_xlfn.IFNA(VLOOKUP(C1776,Master!$H:$I,2,FALSE),"")</f>
        <v/>
      </c>
      <c r="D1776" s="5" t="str">
        <f>_xlfn.IFNA(VLOOKUP(E1776,Master!$H:$I,2,FALSE),"")</f>
        <v/>
      </c>
      <c r="F1776" s="26" t="str">
        <f>+_xlfn.XLOOKUP(G1776,Master!$V$2:$V$8,Master!$U$2:$U$8,"")</f>
        <v/>
      </c>
      <c r="I1776" s="4" t="str">
        <f>_xlfn.IFNA(VLOOKUP(D1776,Master!$I:$K,2,FALSE),"")</f>
        <v/>
      </c>
      <c r="J1776" s="4" t="str">
        <f>_xlfn.IFNA(VLOOKUP(D1776,Master!$I:$K,3,FALSE),"")</f>
        <v/>
      </c>
      <c r="L1776" s="27" t="str">
        <f>IF(A1776&lt;&gt;"CFA",_xlfn.IFNA(VLOOKUP($G1776,Master!$V$2:$Z$8,5,0),""),"")</f>
        <v/>
      </c>
      <c r="P1776" s="6" t="str">
        <f t="shared" si="54"/>
        <v/>
      </c>
      <c r="Q1776" s="13">
        <f t="shared" si="55"/>
        <v>0</v>
      </c>
    </row>
    <row r="1777" spans="2:17" ht="15" customHeight="1">
      <c r="B1777" s="5" t="str">
        <f>_xlfn.IFNA(VLOOKUP(C1777,Master!$H:$I,2,FALSE),"")</f>
        <v/>
      </c>
      <c r="D1777" s="5" t="str">
        <f>_xlfn.IFNA(VLOOKUP(E1777,Master!$H:$I,2,FALSE),"")</f>
        <v/>
      </c>
      <c r="F1777" s="26" t="str">
        <f>+_xlfn.XLOOKUP(G1777,Master!$V$2:$V$8,Master!$U$2:$U$8,"")</f>
        <v/>
      </c>
      <c r="I1777" s="4" t="str">
        <f>_xlfn.IFNA(VLOOKUP(D1777,Master!$I:$K,2,FALSE),"")</f>
        <v/>
      </c>
      <c r="J1777" s="4" t="str">
        <f>_xlfn.IFNA(VLOOKUP(D1777,Master!$I:$K,3,FALSE),"")</f>
        <v/>
      </c>
      <c r="L1777" s="27" t="str">
        <f>IF(A1777&lt;&gt;"CFA",_xlfn.IFNA(VLOOKUP($G1777,Master!$V$2:$Z$8,5,0),""),"")</f>
        <v/>
      </c>
      <c r="P1777" s="6" t="str">
        <f t="shared" si="54"/>
        <v/>
      </c>
      <c r="Q1777" s="13">
        <f t="shared" si="55"/>
        <v>0</v>
      </c>
    </row>
    <row r="1778" spans="2:17" ht="15" customHeight="1">
      <c r="B1778" s="5" t="str">
        <f>_xlfn.IFNA(VLOOKUP(C1778,Master!$H:$I,2,FALSE),"")</f>
        <v/>
      </c>
      <c r="D1778" s="5" t="str">
        <f>_xlfn.IFNA(VLOOKUP(E1778,Master!$H:$I,2,FALSE),"")</f>
        <v/>
      </c>
      <c r="F1778" s="26" t="str">
        <f>+_xlfn.XLOOKUP(G1778,Master!$V$2:$V$8,Master!$U$2:$U$8,"")</f>
        <v/>
      </c>
      <c r="I1778" s="4" t="str">
        <f>_xlfn.IFNA(VLOOKUP(D1778,Master!$I:$K,2,FALSE),"")</f>
        <v/>
      </c>
      <c r="J1778" s="4" t="str">
        <f>_xlfn.IFNA(VLOOKUP(D1778,Master!$I:$K,3,FALSE),"")</f>
        <v/>
      </c>
      <c r="L1778" s="27" t="str">
        <f>IF(A1778&lt;&gt;"CFA",_xlfn.IFNA(VLOOKUP($G1778,Master!$V$2:$Z$8,5,0),""),"")</f>
        <v/>
      </c>
      <c r="P1778" s="6" t="str">
        <f t="shared" si="54"/>
        <v/>
      </c>
      <c r="Q1778" s="13">
        <f t="shared" si="55"/>
        <v>0</v>
      </c>
    </row>
    <row r="1779" spans="2:17" ht="15" customHeight="1">
      <c r="B1779" s="5" t="str">
        <f>_xlfn.IFNA(VLOOKUP(C1779,Master!$H:$I,2,FALSE),"")</f>
        <v/>
      </c>
      <c r="D1779" s="5" t="str">
        <f>_xlfn.IFNA(VLOOKUP(E1779,Master!$H:$I,2,FALSE),"")</f>
        <v/>
      </c>
      <c r="F1779" s="26" t="str">
        <f>+_xlfn.XLOOKUP(G1779,Master!$V$2:$V$8,Master!$U$2:$U$8,"")</f>
        <v/>
      </c>
      <c r="I1779" s="4" t="str">
        <f>_xlfn.IFNA(VLOOKUP(D1779,Master!$I:$K,2,FALSE),"")</f>
        <v/>
      </c>
      <c r="J1779" s="4" t="str">
        <f>_xlfn.IFNA(VLOOKUP(D1779,Master!$I:$K,3,FALSE),"")</f>
        <v/>
      </c>
      <c r="L1779" s="27" t="str">
        <f>IF(A1779&lt;&gt;"CFA",_xlfn.IFNA(VLOOKUP($G1779,Master!$V$2:$Z$8,5,0),""),"")</f>
        <v/>
      </c>
      <c r="P1779" s="6" t="str">
        <f t="shared" si="54"/>
        <v/>
      </c>
      <c r="Q1779" s="13">
        <f t="shared" si="55"/>
        <v>0</v>
      </c>
    </row>
    <row r="1780" spans="2:17" ht="15" customHeight="1">
      <c r="B1780" s="5" t="str">
        <f>_xlfn.IFNA(VLOOKUP(C1780,Master!$H:$I,2,FALSE),"")</f>
        <v/>
      </c>
      <c r="D1780" s="5" t="str">
        <f>_xlfn.IFNA(VLOOKUP(E1780,Master!$H:$I,2,FALSE),"")</f>
        <v/>
      </c>
      <c r="F1780" s="26" t="str">
        <f>+_xlfn.XLOOKUP(G1780,Master!$V$2:$V$8,Master!$U$2:$U$8,"")</f>
        <v/>
      </c>
      <c r="I1780" s="4" t="str">
        <f>_xlfn.IFNA(VLOOKUP(D1780,Master!$I:$K,2,FALSE),"")</f>
        <v/>
      </c>
      <c r="J1780" s="4" t="str">
        <f>_xlfn.IFNA(VLOOKUP(D1780,Master!$I:$K,3,FALSE),"")</f>
        <v/>
      </c>
      <c r="L1780" s="27" t="str">
        <f>IF(A1780&lt;&gt;"CFA",_xlfn.IFNA(VLOOKUP($G1780,Master!$V$2:$Z$8,5,0),""),"")</f>
        <v/>
      </c>
      <c r="P1780" s="6" t="str">
        <f t="shared" si="54"/>
        <v/>
      </c>
      <c r="Q1780" s="13">
        <f t="shared" si="55"/>
        <v>0</v>
      </c>
    </row>
    <row r="1781" spans="2:17" ht="15" customHeight="1">
      <c r="B1781" s="5" t="str">
        <f>_xlfn.IFNA(VLOOKUP(C1781,Master!$H:$I,2,FALSE),"")</f>
        <v/>
      </c>
      <c r="D1781" s="5" t="str">
        <f>_xlfn.IFNA(VLOOKUP(E1781,Master!$H:$I,2,FALSE),"")</f>
        <v/>
      </c>
      <c r="F1781" s="26" t="str">
        <f>+_xlfn.XLOOKUP(G1781,Master!$V$2:$V$8,Master!$U$2:$U$8,"")</f>
        <v/>
      </c>
      <c r="I1781" s="4" t="str">
        <f>_xlfn.IFNA(VLOOKUP(D1781,Master!$I:$K,2,FALSE),"")</f>
        <v/>
      </c>
      <c r="J1781" s="4" t="str">
        <f>_xlfn.IFNA(VLOOKUP(D1781,Master!$I:$K,3,FALSE),"")</f>
        <v/>
      </c>
      <c r="L1781" s="27" t="str">
        <f>IF(A1781&lt;&gt;"CFA",_xlfn.IFNA(VLOOKUP($G1781,Master!$V$2:$Z$8,5,0),""),"")</f>
        <v/>
      </c>
      <c r="P1781" s="6" t="str">
        <f t="shared" si="54"/>
        <v/>
      </c>
      <c r="Q1781" s="13">
        <f t="shared" si="55"/>
        <v>0</v>
      </c>
    </row>
    <row r="1782" spans="2:17" ht="15" customHeight="1">
      <c r="B1782" s="5" t="str">
        <f>_xlfn.IFNA(VLOOKUP(C1782,Master!$H:$I,2,FALSE),"")</f>
        <v/>
      </c>
      <c r="D1782" s="5" t="str">
        <f>_xlfn.IFNA(VLOOKUP(E1782,Master!$H:$I,2,FALSE),"")</f>
        <v/>
      </c>
      <c r="F1782" s="26" t="str">
        <f>+_xlfn.XLOOKUP(G1782,Master!$V$2:$V$8,Master!$U$2:$U$8,"")</f>
        <v/>
      </c>
      <c r="I1782" s="4" t="str">
        <f>_xlfn.IFNA(VLOOKUP(D1782,Master!$I:$K,2,FALSE),"")</f>
        <v/>
      </c>
      <c r="J1782" s="4" t="str">
        <f>_xlfn.IFNA(VLOOKUP(D1782,Master!$I:$K,3,FALSE),"")</f>
        <v/>
      </c>
      <c r="L1782" s="27" t="str">
        <f>IF(A1782&lt;&gt;"CFA",_xlfn.IFNA(VLOOKUP($G1782,Master!$V$2:$Z$8,5,0),""),"")</f>
        <v/>
      </c>
      <c r="P1782" s="6" t="str">
        <f t="shared" si="54"/>
        <v/>
      </c>
      <c r="Q1782" s="13">
        <f t="shared" si="55"/>
        <v>0</v>
      </c>
    </row>
    <row r="1783" spans="2:17" ht="15" customHeight="1">
      <c r="B1783" s="5" t="str">
        <f>_xlfn.IFNA(VLOOKUP(C1783,Master!$H:$I,2,FALSE),"")</f>
        <v/>
      </c>
      <c r="D1783" s="5" t="str">
        <f>_xlfn.IFNA(VLOOKUP(E1783,Master!$H:$I,2,FALSE),"")</f>
        <v/>
      </c>
      <c r="F1783" s="26" t="str">
        <f>+_xlfn.XLOOKUP(G1783,Master!$V$2:$V$8,Master!$U$2:$U$8,"")</f>
        <v/>
      </c>
      <c r="I1783" s="4" t="str">
        <f>_xlfn.IFNA(VLOOKUP(D1783,Master!$I:$K,2,FALSE),"")</f>
        <v/>
      </c>
      <c r="J1783" s="4" t="str">
        <f>_xlfn.IFNA(VLOOKUP(D1783,Master!$I:$K,3,FALSE),"")</f>
        <v/>
      </c>
      <c r="L1783" s="27" t="str">
        <f>IF(A1783&lt;&gt;"CFA",_xlfn.IFNA(VLOOKUP($G1783,Master!$V$2:$Z$8,5,0),""),"")</f>
        <v/>
      </c>
      <c r="P1783" s="6" t="str">
        <f t="shared" ref="P1783:P1846" si="56">IF(N1783&lt;&gt;"",IF(MONTH(N1783)&gt;=4,"FY1"&amp;RIGHT(YEAR(N1783)+1,2),"FY1"&amp;RIGHT(YEAR(N1783),2)),"")</f>
        <v/>
      </c>
      <c r="Q1783" s="13">
        <f t="shared" ref="Q1783:Q1846" si="57">IF(K1783&gt;0&amp;M1783&gt;0,K1783*M1783,"")</f>
        <v>0</v>
      </c>
    </row>
    <row r="1784" spans="2:17" ht="15" customHeight="1">
      <c r="B1784" s="5" t="str">
        <f>_xlfn.IFNA(VLOOKUP(C1784,Master!$H:$I,2,FALSE),"")</f>
        <v/>
      </c>
      <c r="D1784" s="5" t="str">
        <f>_xlfn.IFNA(VLOOKUP(E1784,Master!$H:$I,2,FALSE),"")</f>
        <v/>
      </c>
      <c r="F1784" s="26" t="str">
        <f>+_xlfn.XLOOKUP(G1784,Master!$V$2:$V$8,Master!$U$2:$U$8,"")</f>
        <v/>
      </c>
      <c r="I1784" s="4" t="str">
        <f>_xlfn.IFNA(VLOOKUP(D1784,Master!$I:$K,2,FALSE),"")</f>
        <v/>
      </c>
      <c r="J1784" s="4" t="str">
        <f>_xlfn.IFNA(VLOOKUP(D1784,Master!$I:$K,3,FALSE),"")</f>
        <v/>
      </c>
      <c r="L1784" s="27" t="str">
        <f>IF(A1784&lt;&gt;"CFA",_xlfn.IFNA(VLOOKUP($G1784,Master!$V$2:$Z$8,5,0),""),"")</f>
        <v/>
      </c>
      <c r="P1784" s="6" t="str">
        <f t="shared" si="56"/>
        <v/>
      </c>
      <c r="Q1784" s="13">
        <f t="shared" si="57"/>
        <v>0</v>
      </c>
    </row>
    <row r="1785" spans="2:17" ht="15" customHeight="1">
      <c r="B1785" s="5" t="str">
        <f>_xlfn.IFNA(VLOOKUP(C1785,Master!$H:$I,2,FALSE),"")</f>
        <v/>
      </c>
      <c r="D1785" s="5" t="str">
        <f>_xlfn.IFNA(VLOOKUP(E1785,Master!$H:$I,2,FALSE),"")</f>
        <v/>
      </c>
      <c r="F1785" s="26" t="str">
        <f>+_xlfn.XLOOKUP(G1785,Master!$V$2:$V$8,Master!$U$2:$U$8,"")</f>
        <v/>
      </c>
      <c r="I1785" s="4" t="str">
        <f>_xlfn.IFNA(VLOOKUP(D1785,Master!$I:$K,2,FALSE),"")</f>
        <v/>
      </c>
      <c r="J1785" s="4" t="str">
        <f>_xlfn.IFNA(VLOOKUP(D1785,Master!$I:$K,3,FALSE),"")</f>
        <v/>
      </c>
      <c r="L1785" s="27" t="str">
        <f>IF(A1785&lt;&gt;"CFA",_xlfn.IFNA(VLOOKUP($G1785,Master!$V$2:$Z$8,5,0),""),"")</f>
        <v/>
      </c>
      <c r="P1785" s="6" t="str">
        <f t="shared" si="56"/>
        <v/>
      </c>
      <c r="Q1785" s="13">
        <f t="shared" si="57"/>
        <v>0</v>
      </c>
    </row>
    <row r="1786" spans="2:17" ht="15" customHeight="1">
      <c r="B1786" s="5" t="str">
        <f>_xlfn.IFNA(VLOOKUP(C1786,Master!$H:$I,2,FALSE),"")</f>
        <v/>
      </c>
      <c r="D1786" s="5" t="str">
        <f>_xlfn.IFNA(VLOOKUP(E1786,Master!$H:$I,2,FALSE),"")</f>
        <v/>
      </c>
      <c r="F1786" s="26" t="str">
        <f>+_xlfn.XLOOKUP(G1786,Master!$V$2:$V$8,Master!$U$2:$U$8,"")</f>
        <v/>
      </c>
      <c r="I1786" s="4" t="str">
        <f>_xlfn.IFNA(VLOOKUP(D1786,Master!$I:$K,2,FALSE),"")</f>
        <v/>
      </c>
      <c r="J1786" s="4" t="str">
        <f>_xlfn.IFNA(VLOOKUP(D1786,Master!$I:$K,3,FALSE),"")</f>
        <v/>
      </c>
      <c r="L1786" s="27" t="str">
        <f>IF(A1786&lt;&gt;"CFA",_xlfn.IFNA(VLOOKUP($G1786,Master!$V$2:$Z$8,5,0),""),"")</f>
        <v/>
      </c>
      <c r="P1786" s="6" t="str">
        <f t="shared" si="56"/>
        <v/>
      </c>
      <c r="Q1786" s="13">
        <f t="shared" si="57"/>
        <v>0</v>
      </c>
    </row>
    <row r="1787" spans="2:17" ht="15" customHeight="1">
      <c r="B1787" s="5" t="str">
        <f>_xlfn.IFNA(VLOOKUP(C1787,Master!$H:$I,2,FALSE),"")</f>
        <v/>
      </c>
      <c r="D1787" s="5" t="str">
        <f>_xlfn.IFNA(VLOOKUP(E1787,Master!$H:$I,2,FALSE),"")</f>
        <v/>
      </c>
      <c r="F1787" s="26" t="str">
        <f>+_xlfn.XLOOKUP(G1787,Master!$V$2:$V$8,Master!$U$2:$U$8,"")</f>
        <v/>
      </c>
      <c r="I1787" s="4" t="str">
        <f>_xlfn.IFNA(VLOOKUP(D1787,Master!$I:$K,2,FALSE),"")</f>
        <v/>
      </c>
      <c r="J1787" s="4" t="str">
        <f>_xlfn.IFNA(VLOOKUP(D1787,Master!$I:$K,3,FALSE),"")</f>
        <v/>
      </c>
      <c r="L1787" s="27" t="str">
        <f>IF(A1787&lt;&gt;"CFA",_xlfn.IFNA(VLOOKUP($G1787,Master!$V$2:$Z$8,5,0),""),"")</f>
        <v/>
      </c>
      <c r="P1787" s="6" t="str">
        <f t="shared" si="56"/>
        <v/>
      </c>
      <c r="Q1787" s="13">
        <f t="shared" si="57"/>
        <v>0</v>
      </c>
    </row>
    <row r="1788" spans="2:17" ht="15" customHeight="1">
      <c r="B1788" s="5" t="str">
        <f>_xlfn.IFNA(VLOOKUP(C1788,Master!$H:$I,2,FALSE),"")</f>
        <v/>
      </c>
      <c r="D1788" s="5" t="str">
        <f>_xlfn.IFNA(VLOOKUP(E1788,Master!$H:$I,2,FALSE),"")</f>
        <v/>
      </c>
      <c r="F1788" s="26" t="str">
        <f>+_xlfn.XLOOKUP(G1788,Master!$V$2:$V$8,Master!$U$2:$U$8,"")</f>
        <v/>
      </c>
      <c r="I1788" s="4" t="str">
        <f>_xlfn.IFNA(VLOOKUP(D1788,Master!$I:$K,2,FALSE),"")</f>
        <v/>
      </c>
      <c r="J1788" s="4" t="str">
        <f>_xlfn.IFNA(VLOOKUP(D1788,Master!$I:$K,3,FALSE),"")</f>
        <v/>
      </c>
      <c r="L1788" s="27" t="str">
        <f>IF(A1788&lt;&gt;"CFA",_xlfn.IFNA(VLOOKUP($G1788,Master!$V$2:$Z$8,5,0),""),"")</f>
        <v/>
      </c>
      <c r="P1788" s="6" t="str">
        <f t="shared" si="56"/>
        <v/>
      </c>
      <c r="Q1788" s="13">
        <f t="shared" si="57"/>
        <v>0</v>
      </c>
    </row>
    <row r="1789" spans="2:17" ht="15" customHeight="1">
      <c r="B1789" s="5" t="str">
        <f>_xlfn.IFNA(VLOOKUP(C1789,Master!$H:$I,2,FALSE),"")</f>
        <v/>
      </c>
      <c r="D1789" s="5" t="str">
        <f>_xlfn.IFNA(VLOOKUP(E1789,Master!$H:$I,2,FALSE),"")</f>
        <v/>
      </c>
      <c r="F1789" s="26" t="str">
        <f>+_xlfn.XLOOKUP(G1789,Master!$V$2:$V$8,Master!$U$2:$U$8,"")</f>
        <v/>
      </c>
      <c r="I1789" s="4" t="str">
        <f>_xlfn.IFNA(VLOOKUP(D1789,Master!$I:$K,2,FALSE),"")</f>
        <v/>
      </c>
      <c r="J1789" s="4" t="str">
        <f>_xlfn.IFNA(VLOOKUP(D1789,Master!$I:$K,3,FALSE),"")</f>
        <v/>
      </c>
      <c r="L1789" s="27" t="str">
        <f>IF(A1789&lt;&gt;"CFA",_xlfn.IFNA(VLOOKUP($G1789,Master!$V$2:$Z$8,5,0),""),"")</f>
        <v/>
      </c>
      <c r="P1789" s="6" t="str">
        <f t="shared" si="56"/>
        <v/>
      </c>
      <c r="Q1789" s="13">
        <f t="shared" si="57"/>
        <v>0</v>
      </c>
    </row>
    <row r="1790" spans="2:17" ht="15" customHeight="1">
      <c r="B1790" s="5" t="str">
        <f>_xlfn.IFNA(VLOOKUP(C1790,Master!$H:$I,2,FALSE),"")</f>
        <v/>
      </c>
      <c r="D1790" s="5" t="str">
        <f>_xlfn.IFNA(VLOOKUP(E1790,Master!$H:$I,2,FALSE),"")</f>
        <v/>
      </c>
      <c r="F1790" s="26" t="str">
        <f>+_xlfn.XLOOKUP(G1790,Master!$V$2:$V$8,Master!$U$2:$U$8,"")</f>
        <v/>
      </c>
      <c r="I1790" s="4" t="str">
        <f>_xlfn.IFNA(VLOOKUP(D1790,Master!$I:$K,2,FALSE),"")</f>
        <v/>
      </c>
      <c r="J1790" s="4" t="str">
        <f>_xlfn.IFNA(VLOOKUP(D1790,Master!$I:$K,3,FALSE),"")</f>
        <v/>
      </c>
      <c r="L1790" s="27" t="str">
        <f>IF(A1790&lt;&gt;"CFA",_xlfn.IFNA(VLOOKUP($G1790,Master!$V$2:$Z$8,5,0),""),"")</f>
        <v/>
      </c>
      <c r="P1790" s="6" t="str">
        <f t="shared" si="56"/>
        <v/>
      </c>
      <c r="Q1790" s="13">
        <f t="shared" si="57"/>
        <v>0</v>
      </c>
    </row>
    <row r="1791" spans="2:17" ht="15" customHeight="1">
      <c r="B1791" s="5" t="str">
        <f>_xlfn.IFNA(VLOOKUP(C1791,Master!$H:$I,2,FALSE),"")</f>
        <v/>
      </c>
      <c r="D1791" s="5" t="str">
        <f>_xlfn.IFNA(VLOOKUP(E1791,Master!$H:$I,2,FALSE),"")</f>
        <v/>
      </c>
      <c r="F1791" s="26" t="str">
        <f>+_xlfn.XLOOKUP(G1791,Master!$V$2:$V$8,Master!$U$2:$U$8,"")</f>
        <v/>
      </c>
      <c r="I1791" s="4" t="str">
        <f>_xlfn.IFNA(VLOOKUP(D1791,Master!$I:$K,2,FALSE),"")</f>
        <v/>
      </c>
      <c r="J1791" s="4" t="str">
        <f>_xlfn.IFNA(VLOOKUP(D1791,Master!$I:$K,3,FALSE),"")</f>
        <v/>
      </c>
      <c r="L1791" s="27" t="str">
        <f>IF(A1791&lt;&gt;"CFA",_xlfn.IFNA(VLOOKUP($G1791,Master!$V$2:$Z$8,5,0),""),"")</f>
        <v/>
      </c>
      <c r="P1791" s="6" t="str">
        <f t="shared" si="56"/>
        <v/>
      </c>
      <c r="Q1791" s="13">
        <f t="shared" si="57"/>
        <v>0</v>
      </c>
    </row>
    <row r="1792" spans="2:17" ht="15" customHeight="1">
      <c r="B1792" s="5" t="str">
        <f>_xlfn.IFNA(VLOOKUP(C1792,Master!$H:$I,2,FALSE),"")</f>
        <v/>
      </c>
      <c r="D1792" s="5" t="str">
        <f>_xlfn.IFNA(VLOOKUP(E1792,Master!$H:$I,2,FALSE),"")</f>
        <v/>
      </c>
      <c r="F1792" s="26" t="str">
        <f>+_xlfn.XLOOKUP(G1792,Master!$V$2:$V$8,Master!$U$2:$U$8,"")</f>
        <v/>
      </c>
      <c r="I1792" s="4" t="str">
        <f>_xlfn.IFNA(VLOOKUP(D1792,Master!$I:$K,2,FALSE),"")</f>
        <v/>
      </c>
      <c r="J1792" s="4" t="str">
        <f>_xlfn.IFNA(VLOOKUP(D1792,Master!$I:$K,3,FALSE),"")</f>
        <v/>
      </c>
      <c r="L1792" s="27" t="str">
        <f>IF(A1792&lt;&gt;"CFA",_xlfn.IFNA(VLOOKUP($G1792,Master!$V$2:$Z$8,5,0),""),"")</f>
        <v/>
      </c>
      <c r="P1792" s="6" t="str">
        <f t="shared" si="56"/>
        <v/>
      </c>
      <c r="Q1792" s="13">
        <f t="shared" si="57"/>
        <v>0</v>
      </c>
    </row>
    <row r="1793" spans="2:17" ht="15" customHeight="1">
      <c r="B1793" s="5" t="str">
        <f>_xlfn.IFNA(VLOOKUP(C1793,Master!$H:$I,2,FALSE),"")</f>
        <v/>
      </c>
      <c r="D1793" s="5" t="str">
        <f>_xlfn.IFNA(VLOOKUP(E1793,Master!$H:$I,2,FALSE),"")</f>
        <v/>
      </c>
      <c r="F1793" s="26" t="str">
        <f>+_xlfn.XLOOKUP(G1793,Master!$V$2:$V$8,Master!$U$2:$U$8,"")</f>
        <v/>
      </c>
      <c r="I1793" s="4" t="str">
        <f>_xlfn.IFNA(VLOOKUP(D1793,Master!$I:$K,2,FALSE),"")</f>
        <v/>
      </c>
      <c r="J1793" s="4" t="str">
        <f>_xlfn.IFNA(VLOOKUP(D1793,Master!$I:$K,3,FALSE),"")</f>
        <v/>
      </c>
      <c r="L1793" s="27" t="str">
        <f>IF(A1793&lt;&gt;"CFA",_xlfn.IFNA(VLOOKUP($G1793,Master!$V$2:$Z$8,5,0),""),"")</f>
        <v/>
      </c>
      <c r="P1793" s="6" t="str">
        <f t="shared" si="56"/>
        <v/>
      </c>
      <c r="Q1793" s="13">
        <f t="shared" si="57"/>
        <v>0</v>
      </c>
    </row>
    <row r="1794" spans="2:17" ht="15" customHeight="1">
      <c r="B1794" s="5" t="str">
        <f>_xlfn.IFNA(VLOOKUP(C1794,Master!$H:$I,2,FALSE),"")</f>
        <v/>
      </c>
      <c r="D1794" s="5" t="str">
        <f>_xlfn.IFNA(VLOOKUP(E1794,Master!$H:$I,2,FALSE),"")</f>
        <v/>
      </c>
      <c r="F1794" s="26" t="str">
        <f>+_xlfn.XLOOKUP(G1794,Master!$V$2:$V$8,Master!$U$2:$U$8,"")</f>
        <v/>
      </c>
      <c r="I1794" s="4" t="str">
        <f>_xlfn.IFNA(VLOOKUP(D1794,Master!$I:$K,2,FALSE),"")</f>
        <v/>
      </c>
      <c r="J1794" s="4" t="str">
        <f>_xlfn.IFNA(VLOOKUP(D1794,Master!$I:$K,3,FALSE),"")</f>
        <v/>
      </c>
      <c r="L1794" s="27" t="str">
        <f>IF(A1794&lt;&gt;"CFA",_xlfn.IFNA(VLOOKUP($G1794,Master!$V$2:$Z$8,5,0),""),"")</f>
        <v/>
      </c>
      <c r="P1794" s="6" t="str">
        <f t="shared" si="56"/>
        <v/>
      </c>
      <c r="Q1794" s="13">
        <f t="shared" si="57"/>
        <v>0</v>
      </c>
    </row>
    <row r="1795" spans="2:17" ht="15" customHeight="1">
      <c r="B1795" s="5" t="str">
        <f>_xlfn.IFNA(VLOOKUP(C1795,Master!$H:$I,2,FALSE),"")</f>
        <v/>
      </c>
      <c r="D1795" s="5" t="str">
        <f>_xlfn.IFNA(VLOOKUP(E1795,Master!$H:$I,2,FALSE),"")</f>
        <v/>
      </c>
      <c r="F1795" s="26" t="str">
        <f>+_xlfn.XLOOKUP(G1795,Master!$V$2:$V$8,Master!$U$2:$U$8,"")</f>
        <v/>
      </c>
      <c r="I1795" s="4" t="str">
        <f>_xlfn.IFNA(VLOOKUP(D1795,Master!$I:$K,2,FALSE),"")</f>
        <v/>
      </c>
      <c r="J1795" s="4" t="str">
        <f>_xlfn.IFNA(VLOOKUP(D1795,Master!$I:$K,3,FALSE),"")</f>
        <v/>
      </c>
      <c r="L1795" s="27" t="str">
        <f>IF(A1795&lt;&gt;"CFA",_xlfn.IFNA(VLOOKUP($G1795,Master!$V$2:$Z$8,5,0),""),"")</f>
        <v/>
      </c>
      <c r="P1795" s="6" t="str">
        <f t="shared" si="56"/>
        <v/>
      </c>
      <c r="Q1795" s="13">
        <f t="shared" si="57"/>
        <v>0</v>
      </c>
    </row>
    <row r="1796" spans="2:17" ht="15" customHeight="1">
      <c r="B1796" s="5" t="str">
        <f>_xlfn.IFNA(VLOOKUP(C1796,Master!$H:$I,2,FALSE),"")</f>
        <v/>
      </c>
      <c r="D1796" s="5" t="str">
        <f>_xlfn.IFNA(VLOOKUP(E1796,Master!$H:$I,2,FALSE),"")</f>
        <v/>
      </c>
      <c r="F1796" s="26" t="str">
        <f>+_xlfn.XLOOKUP(G1796,Master!$V$2:$V$8,Master!$U$2:$U$8,"")</f>
        <v/>
      </c>
      <c r="I1796" s="4" t="str">
        <f>_xlfn.IFNA(VLOOKUP(D1796,Master!$I:$K,2,FALSE),"")</f>
        <v/>
      </c>
      <c r="J1796" s="4" t="str">
        <f>_xlfn.IFNA(VLOOKUP(D1796,Master!$I:$K,3,FALSE),"")</f>
        <v/>
      </c>
      <c r="L1796" s="27" t="str">
        <f>IF(A1796&lt;&gt;"CFA",_xlfn.IFNA(VLOOKUP($G1796,Master!$V$2:$Z$8,5,0),""),"")</f>
        <v/>
      </c>
      <c r="P1796" s="6" t="str">
        <f t="shared" si="56"/>
        <v/>
      </c>
      <c r="Q1796" s="13">
        <f t="shared" si="57"/>
        <v>0</v>
      </c>
    </row>
    <row r="1797" spans="2:17" ht="15" customHeight="1">
      <c r="B1797" s="5" t="str">
        <f>_xlfn.IFNA(VLOOKUP(C1797,Master!$H:$I,2,FALSE),"")</f>
        <v/>
      </c>
      <c r="D1797" s="5" t="str">
        <f>_xlfn.IFNA(VLOOKUP(E1797,Master!$H:$I,2,FALSE),"")</f>
        <v/>
      </c>
      <c r="F1797" s="26" t="str">
        <f>+_xlfn.XLOOKUP(G1797,Master!$V$2:$V$8,Master!$U$2:$U$8,"")</f>
        <v/>
      </c>
      <c r="I1797" s="4" t="str">
        <f>_xlfn.IFNA(VLOOKUP(D1797,Master!$I:$K,2,FALSE),"")</f>
        <v/>
      </c>
      <c r="J1797" s="4" t="str">
        <f>_xlfn.IFNA(VLOOKUP(D1797,Master!$I:$K,3,FALSE),"")</f>
        <v/>
      </c>
      <c r="L1797" s="27" t="str">
        <f>IF(A1797&lt;&gt;"CFA",_xlfn.IFNA(VLOOKUP($G1797,Master!$V$2:$Z$8,5,0),""),"")</f>
        <v/>
      </c>
      <c r="P1797" s="6" t="str">
        <f t="shared" si="56"/>
        <v/>
      </c>
      <c r="Q1797" s="13">
        <f t="shared" si="57"/>
        <v>0</v>
      </c>
    </row>
    <row r="1798" spans="2:17" ht="15" customHeight="1">
      <c r="B1798" s="5" t="str">
        <f>_xlfn.IFNA(VLOOKUP(C1798,Master!$H:$I,2,FALSE),"")</f>
        <v/>
      </c>
      <c r="D1798" s="5" t="str">
        <f>_xlfn.IFNA(VLOOKUP(E1798,Master!$H:$I,2,FALSE),"")</f>
        <v/>
      </c>
      <c r="F1798" s="26" t="str">
        <f>+_xlfn.XLOOKUP(G1798,Master!$V$2:$V$8,Master!$U$2:$U$8,"")</f>
        <v/>
      </c>
      <c r="I1798" s="4" t="str">
        <f>_xlfn.IFNA(VLOOKUP(D1798,Master!$I:$K,2,FALSE),"")</f>
        <v/>
      </c>
      <c r="J1798" s="4" t="str">
        <f>_xlfn.IFNA(VLOOKUP(D1798,Master!$I:$K,3,FALSE),"")</f>
        <v/>
      </c>
      <c r="L1798" s="27" t="str">
        <f>IF(A1798&lt;&gt;"CFA",_xlfn.IFNA(VLOOKUP($G1798,Master!$V$2:$Z$8,5,0),""),"")</f>
        <v/>
      </c>
      <c r="P1798" s="6" t="str">
        <f t="shared" si="56"/>
        <v/>
      </c>
      <c r="Q1798" s="13">
        <f t="shared" si="57"/>
        <v>0</v>
      </c>
    </row>
    <row r="1799" spans="2:17" ht="15" customHeight="1">
      <c r="B1799" s="5" t="str">
        <f>_xlfn.IFNA(VLOOKUP(C1799,Master!$H:$I,2,FALSE),"")</f>
        <v/>
      </c>
      <c r="D1799" s="5" t="str">
        <f>_xlfn.IFNA(VLOOKUP(E1799,Master!$H:$I,2,FALSE),"")</f>
        <v/>
      </c>
      <c r="F1799" s="26" t="str">
        <f>+_xlfn.XLOOKUP(G1799,Master!$V$2:$V$8,Master!$U$2:$U$8,"")</f>
        <v/>
      </c>
      <c r="I1799" s="4" t="str">
        <f>_xlfn.IFNA(VLOOKUP(D1799,Master!$I:$K,2,FALSE),"")</f>
        <v/>
      </c>
      <c r="J1799" s="4" t="str">
        <f>_xlfn.IFNA(VLOOKUP(D1799,Master!$I:$K,3,FALSE),"")</f>
        <v/>
      </c>
      <c r="L1799" s="27" t="str">
        <f>IF(A1799&lt;&gt;"CFA",_xlfn.IFNA(VLOOKUP($G1799,Master!$V$2:$Z$8,5,0),""),"")</f>
        <v/>
      </c>
      <c r="P1799" s="6" t="str">
        <f t="shared" si="56"/>
        <v/>
      </c>
      <c r="Q1799" s="13">
        <f t="shared" si="57"/>
        <v>0</v>
      </c>
    </row>
    <row r="1800" spans="2:17" ht="15" customHeight="1">
      <c r="B1800" s="5" t="str">
        <f>_xlfn.IFNA(VLOOKUP(C1800,Master!$H:$I,2,FALSE),"")</f>
        <v/>
      </c>
      <c r="D1800" s="5" t="str">
        <f>_xlfn.IFNA(VLOOKUP(E1800,Master!$H:$I,2,FALSE),"")</f>
        <v/>
      </c>
      <c r="F1800" s="26" t="str">
        <f>+_xlfn.XLOOKUP(G1800,Master!$V$2:$V$8,Master!$U$2:$U$8,"")</f>
        <v/>
      </c>
      <c r="I1800" s="4" t="str">
        <f>_xlfn.IFNA(VLOOKUP(D1800,Master!$I:$K,2,FALSE),"")</f>
        <v/>
      </c>
      <c r="J1800" s="4" t="str">
        <f>_xlfn.IFNA(VLOOKUP(D1800,Master!$I:$K,3,FALSE),"")</f>
        <v/>
      </c>
      <c r="L1800" s="27" t="str">
        <f>IF(A1800&lt;&gt;"CFA",_xlfn.IFNA(VLOOKUP($G1800,Master!$V$2:$Z$8,5,0),""),"")</f>
        <v/>
      </c>
      <c r="P1800" s="6" t="str">
        <f t="shared" si="56"/>
        <v/>
      </c>
      <c r="Q1800" s="13">
        <f t="shared" si="57"/>
        <v>0</v>
      </c>
    </row>
    <row r="1801" spans="2:17" ht="15" customHeight="1">
      <c r="B1801" s="5" t="str">
        <f>_xlfn.IFNA(VLOOKUP(C1801,Master!$H:$I,2,FALSE),"")</f>
        <v/>
      </c>
      <c r="D1801" s="5" t="str">
        <f>_xlfn.IFNA(VLOOKUP(E1801,Master!$H:$I,2,FALSE),"")</f>
        <v/>
      </c>
      <c r="F1801" s="26" t="str">
        <f>+_xlfn.XLOOKUP(G1801,Master!$V$2:$V$8,Master!$U$2:$U$8,"")</f>
        <v/>
      </c>
      <c r="I1801" s="4" t="str">
        <f>_xlfn.IFNA(VLOOKUP(D1801,Master!$I:$K,2,FALSE),"")</f>
        <v/>
      </c>
      <c r="J1801" s="4" t="str">
        <f>_xlfn.IFNA(VLOOKUP(D1801,Master!$I:$K,3,FALSE),"")</f>
        <v/>
      </c>
      <c r="L1801" s="27" t="str">
        <f>IF(A1801&lt;&gt;"CFA",_xlfn.IFNA(VLOOKUP($G1801,Master!$V$2:$Z$8,5,0),""),"")</f>
        <v/>
      </c>
      <c r="P1801" s="6" t="str">
        <f t="shared" si="56"/>
        <v/>
      </c>
      <c r="Q1801" s="13">
        <f t="shared" si="57"/>
        <v>0</v>
      </c>
    </row>
    <row r="1802" spans="2:17" ht="15" customHeight="1">
      <c r="B1802" s="5" t="str">
        <f>_xlfn.IFNA(VLOOKUP(C1802,Master!$H:$I,2,FALSE),"")</f>
        <v/>
      </c>
      <c r="D1802" s="5" t="str">
        <f>_xlfn.IFNA(VLOOKUP(E1802,Master!$H:$I,2,FALSE),"")</f>
        <v/>
      </c>
      <c r="F1802" s="26" t="str">
        <f>+_xlfn.XLOOKUP(G1802,Master!$V$2:$V$8,Master!$U$2:$U$8,"")</f>
        <v/>
      </c>
      <c r="I1802" s="4" t="str">
        <f>_xlfn.IFNA(VLOOKUP(D1802,Master!$I:$K,2,FALSE),"")</f>
        <v/>
      </c>
      <c r="J1802" s="4" t="str">
        <f>_xlfn.IFNA(VLOOKUP(D1802,Master!$I:$K,3,FALSE),"")</f>
        <v/>
      </c>
      <c r="L1802" s="27" t="str">
        <f>IF(A1802&lt;&gt;"CFA",_xlfn.IFNA(VLOOKUP($G1802,Master!$V$2:$Z$8,5,0),""),"")</f>
        <v/>
      </c>
      <c r="P1802" s="6" t="str">
        <f t="shared" si="56"/>
        <v/>
      </c>
      <c r="Q1802" s="13">
        <f t="shared" si="57"/>
        <v>0</v>
      </c>
    </row>
    <row r="1803" spans="2:17" ht="15" customHeight="1">
      <c r="B1803" s="5" t="str">
        <f>_xlfn.IFNA(VLOOKUP(C1803,Master!$H:$I,2,FALSE),"")</f>
        <v/>
      </c>
      <c r="D1803" s="5" t="str">
        <f>_xlfn.IFNA(VLOOKUP(E1803,Master!$H:$I,2,FALSE),"")</f>
        <v/>
      </c>
      <c r="F1803" s="26" t="str">
        <f>+_xlfn.XLOOKUP(G1803,Master!$V$2:$V$8,Master!$U$2:$U$8,"")</f>
        <v/>
      </c>
      <c r="I1803" s="4" t="str">
        <f>_xlfn.IFNA(VLOOKUP(D1803,Master!$I:$K,2,FALSE),"")</f>
        <v/>
      </c>
      <c r="J1803" s="4" t="str">
        <f>_xlfn.IFNA(VLOOKUP(D1803,Master!$I:$K,3,FALSE),"")</f>
        <v/>
      </c>
      <c r="L1803" s="27" t="str">
        <f>IF(A1803&lt;&gt;"CFA",_xlfn.IFNA(VLOOKUP($G1803,Master!$V$2:$Z$8,5,0),""),"")</f>
        <v/>
      </c>
      <c r="P1803" s="6" t="str">
        <f t="shared" si="56"/>
        <v/>
      </c>
      <c r="Q1803" s="13">
        <f t="shared" si="57"/>
        <v>0</v>
      </c>
    </row>
    <row r="1804" spans="2:17" ht="15" customHeight="1">
      <c r="B1804" s="5" t="str">
        <f>_xlfn.IFNA(VLOOKUP(C1804,Master!$H:$I,2,FALSE),"")</f>
        <v/>
      </c>
      <c r="D1804" s="5" t="str">
        <f>_xlfn.IFNA(VLOOKUP(E1804,Master!$H:$I,2,FALSE),"")</f>
        <v/>
      </c>
      <c r="F1804" s="26" t="str">
        <f>+_xlfn.XLOOKUP(G1804,Master!$V$2:$V$8,Master!$U$2:$U$8,"")</f>
        <v/>
      </c>
      <c r="I1804" s="4" t="str">
        <f>_xlfn.IFNA(VLOOKUP(D1804,Master!$I:$K,2,FALSE),"")</f>
        <v/>
      </c>
      <c r="J1804" s="4" t="str">
        <f>_xlfn.IFNA(VLOOKUP(D1804,Master!$I:$K,3,FALSE),"")</f>
        <v/>
      </c>
      <c r="L1804" s="27" t="str">
        <f>IF(A1804&lt;&gt;"CFA",_xlfn.IFNA(VLOOKUP($G1804,Master!$V$2:$Z$8,5,0),""),"")</f>
        <v/>
      </c>
      <c r="P1804" s="6" t="str">
        <f t="shared" si="56"/>
        <v/>
      </c>
      <c r="Q1804" s="13">
        <f t="shared" si="57"/>
        <v>0</v>
      </c>
    </row>
    <row r="1805" spans="2:17" ht="15" customHeight="1">
      <c r="B1805" s="5" t="str">
        <f>_xlfn.IFNA(VLOOKUP(C1805,Master!$H:$I,2,FALSE),"")</f>
        <v/>
      </c>
      <c r="D1805" s="5" t="str">
        <f>_xlfn.IFNA(VLOOKUP(E1805,Master!$H:$I,2,FALSE),"")</f>
        <v/>
      </c>
      <c r="F1805" s="26" t="str">
        <f>+_xlfn.XLOOKUP(G1805,Master!$V$2:$V$8,Master!$U$2:$U$8,"")</f>
        <v/>
      </c>
      <c r="I1805" s="4" t="str">
        <f>_xlfn.IFNA(VLOOKUP(D1805,Master!$I:$K,2,FALSE),"")</f>
        <v/>
      </c>
      <c r="J1805" s="4" t="str">
        <f>_xlfn.IFNA(VLOOKUP(D1805,Master!$I:$K,3,FALSE),"")</f>
        <v/>
      </c>
      <c r="L1805" s="27" t="str">
        <f>IF(A1805&lt;&gt;"CFA",_xlfn.IFNA(VLOOKUP($G1805,Master!$V$2:$Z$8,5,0),""),"")</f>
        <v/>
      </c>
      <c r="P1805" s="6" t="str">
        <f t="shared" si="56"/>
        <v/>
      </c>
      <c r="Q1805" s="13">
        <f t="shared" si="57"/>
        <v>0</v>
      </c>
    </row>
    <row r="1806" spans="2:17" ht="15" customHeight="1">
      <c r="B1806" s="5" t="str">
        <f>_xlfn.IFNA(VLOOKUP(C1806,Master!$H:$I,2,FALSE),"")</f>
        <v/>
      </c>
      <c r="D1806" s="5" t="str">
        <f>_xlfn.IFNA(VLOOKUP(E1806,Master!$H:$I,2,FALSE),"")</f>
        <v/>
      </c>
      <c r="F1806" s="26" t="str">
        <f>+_xlfn.XLOOKUP(G1806,Master!$V$2:$V$8,Master!$U$2:$U$8,"")</f>
        <v/>
      </c>
      <c r="I1806" s="4" t="str">
        <f>_xlfn.IFNA(VLOOKUP(D1806,Master!$I:$K,2,FALSE),"")</f>
        <v/>
      </c>
      <c r="J1806" s="4" t="str">
        <f>_xlfn.IFNA(VLOOKUP(D1806,Master!$I:$K,3,FALSE),"")</f>
        <v/>
      </c>
      <c r="L1806" s="27" t="str">
        <f>IF(A1806&lt;&gt;"CFA",_xlfn.IFNA(VLOOKUP($G1806,Master!$V$2:$Z$8,5,0),""),"")</f>
        <v/>
      </c>
      <c r="P1806" s="6" t="str">
        <f t="shared" si="56"/>
        <v/>
      </c>
      <c r="Q1806" s="13">
        <f t="shared" si="57"/>
        <v>0</v>
      </c>
    </row>
    <row r="1807" spans="2:17" ht="15" customHeight="1">
      <c r="B1807" s="5" t="str">
        <f>_xlfn.IFNA(VLOOKUP(C1807,Master!$H:$I,2,FALSE),"")</f>
        <v/>
      </c>
      <c r="D1807" s="5" t="str">
        <f>_xlfn.IFNA(VLOOKUP(E1807,Master!$H:$I,2,FALSE),"")</f>
        <v/>
      </c>
      <c r="F1807" s="26" t="str">
        <f>+_xlfn.XLOOKUP(G1807,Master!$V$2:$V$8,Master!$U$2:$U$8,"")</f>
        <v/>
      </c>
      <c r="I1807" s="4" t="str">
        <f>_xlfn.IFNA(VLOOKUP(D1807,Master!$I:$K,2,FALSE),"")</f>
        <v/>
      </c>
      <c r="J1807" s="4" t="str">
        <f>_xlfn.IFNA(VLOOKUP(D1807,Master!$I:$K,3,FALSE),"")</f>
        <v/>
      </c>
      <c r="L1807" s="27" t="str">
        <f>IF(A1807&lt;&gt;"CFA",_xlfn.IFNA(VLOOKUP($G1807,Master!$V$2:$Z$8,5,0),""),"")</f>
        <v/>
      </c>
      <c r="P1807" s="6" t="str">
        <f t="shared" si="56"/>
        <v/>
      </c>
      <c r="Q1807" s="13">
        <f t="shared" si="57"/>
        <v>0</v>
      </c>
    </row>
    <row r="1808" spans="2:17" ht="15" customHeight="1">
      <c r="B1808" s="5" t="str">
        <f>_xlfn.IFNA(VLOOKUP(C1808,Master!$H:$I,2,FALSE),"")</f>
        <v/>
      </c>
      <c r="D1808" s="5" t="str">
        <f>_xlfn.IFNA(VLOOKUP(E1808,Master!$H:$I,2,FALSE),"")</f>
        <v/>
      </c>
      <c r="F1808" s="26" t="str">
        <f>+_xlfn.XLOOKUP(G1808,Master!$V$2:$V$8,Master!$U$2:$U$8,"")</f>
        <v/>
      </c>
      <c r="I1808" s="4" t="str">
        <f>_xlfn.IFNA(VLOOKUP(D1808,Master!$I:$K,2,FALSE),"")</f>
        <v/>
      </c>
      <c r="J1808" s="4" t="str">
        <f>_xlfn.IFNA(VLOOKUP(D1808,Master!$I:$K,3,FALSE),"")</f>
        <v/>
      </c>
      <c r="L1808" s="27" t="str">
        <f>IF(A1808&lt;&gt;"CFA",_xlfn.IFNA(VLOOKUP($G1808,Master!$V$2:$Z$8,5,0),""),"")</f>
        <v/>
      </c>
      <c r="P1808" s="6" t="str">
        <f t="shared" si="56"/>
        <v/>
      </c>
      <c r="Q1808" s="13">
        <f t="shared" si="57"/>
        <v>0</v>
      </c>
    </row>
    <row r="1809" spans="2:17" ht="15" customHeight="1">
      <c r="B1809" s="5" t="str">
        <f>_xlfn.IFNA(VLOOKUP(C1809,Master!$H:$I,2,FALSE),"")</f>
        <v/>
      </c>
      <c r="D1809" s="5" t="str">
        <f>_xlfn.IFNA(VLOOKUP(E1809,Master!$H:$I,2,FALSE),"")</f>
        <v/>
      </c>
      <c r="F1809" s="26" t="str">
        <f>+_xlfn.XLOOKUP(G1809,Master!$V$2:$V$8,Master!$U$2:$U$8,"")</f>
        <v/>
      </c>
      <c r="I1809" s="4" t="str">
        <f>_xlfn.IFNA(VLOOKUP(D1809,Master!$I:$K,2,FALSE),"")</f>
        <v/>
      </c>
      <c r="J1809" s="4" t="str">
        <f>_xlfn.IFNA(VLOOKUP(D1809,Master!$I:$K,3,FALSE),"")</f>
        <v/>
      </c>
      <c r="L1809" s="27" t="str">
        <f>IF(A1809&lt;&gt;"CFA",_xlfn.IFNA(VLOOKUP($G1809,Master!$V$2:$Z$8,5,0),""),"")</f>
        <v/>
      </c>
      <c r="P1809" s="6" t="str">
        <f t="shared" si="56"/>
        <v/>
      </c>
      <c r="Q1809" s="13">
        <f t="shared" si="57"/>
        <v>0</v>
      </c>
    </row>
    <row r="1810" spans="2:17" ht="15" customHeight="1">
      <c r="B1810" s="5" t="str">
        <f>_xlfn.IFNA(VLOOKUP(C1810,Master!$H:$I,2,FALSE),"")</f>
        <v/>
      </c>
      <c r="D1810" s="5" t="str">
        <f>_xlfn.IFNA(VLOOKUP(E1810,Master!$H:$I,2,FALSE),"")</f>
        <v/>
      </c>
      <c r="F1810" s="26" t="str">
        <f>+_xlfn.XLOOKUP(G1810,Master!$V$2:$V$8,Master!$U$2:$U$8,"")</f>
        <v/>
      </c>
      <c r="I1810" s="4" t="str">
        <f>_xlfn.IFNA(VLOOKUP(D1810,Master!$I:$K,2,FALSE),"")</f>
        <v/>
      </c>
      <c r="J1810" s="4" t="str">
        <f>_xlfn.IFNA(VLOOKUP(D1810,Master!$I:$K,3,FALSE),"")</f>
        <v/>
      </c>
      <c r="L1810" s="27" t="str">
        <f>IF(A1810&lt;&gt;"CFA",_xlfn.IFNA(VLOOKUP($G1810,Master!$V$2:$Z$8,5,0),""),"")</f>
        <v/>
      </c>
      <c r="P1810" s="6" t="str">
        <f t="shared" si="56"/>
        <v/>
      </c>
      <c r="Q1810" s="13">
        <f t="shared" si="57"/>
        <v>0</v>
      </c>
    </row>
    <row r="1811" spans="2:17" ht="15" customHeight="1">
      <c r="B1811" s="5" t="str">
        <f>_xlfn.IFNA(VLOOKUP(C1811,Master!$H:$I,2,FALSE),"")</f>
        <v/>
      </c>
      <c r="D1811" s="5" t="str">
        <f>_xlfn.IFNA(VLOOKUP(E1811,Master!$H:$I,2,FALSE),"")</f>
        <v/>
      </c>
      <c r="F1811" s="26" t="str">
        <f>+_xlfn.XLOOKUP(G1811,Master!$V$2:$V$8,Master!$U$2:$U$8,"")</f>
        <v/>
      </c>
      <c r="I1811" s="4" t="str">
        <f>_xlfn.IFNA(VLOOKUP(D1811,Master!$I:$K,2,FALSE),"")</f>
        <v/>
      </c>
      <c r="J1811" s="4" t="str">
        <f>_xlfn.IFNA(VLOOKUP(D1811,Master!$I:$K,3,FALSE),"")</f>
        <v/>
      </c>
      <c r="L1811" s="27" t="str">
        <f>IF(A1811&lt;&gt;"CFA",_xlfn.IFNA(VLOOKUP($G1811,Master!$V$2:$Z$8,5,0),""),"")</f>
        <v/>
      </c>
      <c r="P1811" s="6" t="str">
        <f t="shared" si="56"/>
        <v/>
      </c>
      <c r="Q1811" s="13">
        <f t="shared" si="57"/>
        <v>0</v>
      </c>
    </row>
    <row r="1812" spans="2:17" ht="15" customHeight="1">
      <c r="B1812" s="5" t="str">
        <f>_xlfn.IFNA(VLOOKUP(C1812,Master!$H:$I,2,FALSE),"")</f>
        <v/>
      </c>
      <c r="D1812" s="5" t="str">
        <f>_xlfn.IFNA(VLOOKUP(E1812,Master!$H:$I,2,FALSE),"")</f>
        <v/>
      </c>
      <c r="F1812" s="26" t="str">
        <f>+_xlfn.XLOOKUP(G1812,Master!$V$2:$V$8,Master!$U$2:$U$8,"")</f>
        <v/>
      </c>
      <c r="I1812" s="4" t="str">
        <f>_xlfn.IFNA(VLOOKUP(D1812,Master!$I:$K,2,FALSE),"")</f>
        <v/>
      </c>
      <c r="J1812" s="4" t="str">
        <f>_xlfn.IFNA(VLOOKUP(D1812,Master!$I:$K,3,FALSE),"")</f>
        <v/>
      </c>
      <c r="L1812" s="27" t="str">
        <f>IF(A1812&lt;&gt;"CFA",_xlfn.IFNA(VLOOKUP($G1812,Master!$V$2:$Z$8,5,0),""),"")</f>
        <v/>
      </c>
      <c r="P1812" s="6" t="str">
        <f t="shared" si="56"/>
        <v/>
      </c>
      <c r="Q1812" s="13">
        <f t="shared" si="57"/>
        <v>0</v>
      </c>
    </row>
    <row r="1813" spans="2:17" ht="15" customHeight="1">
      <c r="B1813" s="5" t="str">
        <f>_xlfn.IFNA(VLOOKUP(C1813,Master!$H:$I,2,FALSE),"")</f>
        <v/>
      </c>
      <c r="D1813" s="5" t="str">
        <f>_xlfn.IFNA(VLOOKUP(E1813,Master!$H:$I,2,FALSE),"")</f>
        <v/>
      </c>
      <c r="F1813" s="26" t="str">
        <f>+_xlfn.XLOOKUP(G1813,Master!$V$2:$V$8,Master!$U$2:$U$8,"")</f>
        <v/>
      </c>
      <c r="I1813" s="4" t="str">
        <f>_xlfn.IFNA(VLOOKUP(D1813,Master!$I:$K,2,FALSE),"")</f>
        <v/>
      </c>
      <c r="J1813" s="4" t="str">
        <f>_xlfn.IFNA(VLOOKUP(D1813,Master!$I:$K,3,FALSE),"")</f>
        <v/>
      </c>
      <c r="L1813" s="27" t="str">
        <f>IF(A1813&lt;&gt;"CFA",_xlfn.IFNA(VLOOKUP($G1813,Master!$V$2:$Z$8,5,0),""),"")</f>
        <v/>
      </c>
      <c r="P1813" s="6" t="str">
        <f t="shared" si="56"/>
        <v/>
      </c>
      <c r="Q1813" s="13">
        <f t="shared" si="57"/>
        <v>0</v>
      </c>
    </row>
    <row r="1814" spans="2:17" ht="15" customHeight="1">
      <c r="B1814" s="5" t="str">
        <f>_xlfn.IFNA(VLOOKUP(C1814,Master!$H:$I,2,FALSE),"")</f>
        <v/>
      </c>
      <c r="D1814" s="5" t="str">
        <f>_xlfn.IFNA(VLOOKUP(E1814,Master!$H:$I,2,FALSE),"")</f>
        <v/>
      </c>
      <c r="F1814" s="26" t="str">
        <f>+_xlfn.XLOOKUP(G1814,Master!$V$2:$V$8,Master!$U$2:$U$8,"")</f>
        <v/>
      </c>
      <c r="I1814" s="4" t="str">
        <f>_xlfn.IFNA(VLOOKUP(D1814,Master!$I:$K,2,FALSE),"")</f>
        <v/>
      </c>
      <c r="J1814" s="4" t="str">
        <f>_xlfn.IFNA(VLOOKUP(D1814,Master!$I:$K,3,FALSE),"")</f>
        <v/>
      </c>
      <c r="L1814" s="27" t="str">
        <f>IF(A1814&lt;&gt;"CFA",_xlfn.IFNA(VLOOKUP($G1814,Master!$V$2:$Z$8,5,0),""),"")</f>
        <v/>
      </c>
      <c r="P1814" s="6" t="str">
        <f t="shared" si="56"/>
        <v/>
      </c>
      <c r="Q1814" s="13">
        <f t="shared" si="57"/>
        <v>0</v>
      </c>
    </row>
    <row r="1815" spans="2:17" ht="15" customHeight="1">
      <c r="B1815" s="5" t="str">
        <f>_xlfn.IFNA(VLOOKUP(C1815,Master!$H:$I,2,FALSE),"")</f>
        <v/>
      </c>
      <c r="D1815" s="5" t="str">
        <f>_xlfn.IFNA(VLOOKUP(E1815,Master!$H:$I,2,FALSE),"")</f>
        <v/>
      </c>
      <c r="F1815" s="26" t="str">
        <f>+_xlfn.XLOOKUP(G1815,Master!$V$2:$V$8,Master!$U$2:$U$8,"")</f>
        <v/>
      </c>
      <c r="I1815" s="4" t="str">
        <f>_xlfn.IFNA(VLOOKUP(D1815,Master!$I:$K,2,FALSE),"")</f>
        <v/>
      </c>
      <c r="J1815" s="4" t="str">
        <f>_xlfn.IFNA(VLOOKUP(D1815,Master!$I:$K,3,FALSE),"")</f>
        <v/>
      </c>
      <c r="L1815" s="27" t="str">
        <f>IF(A1815&lt;&gt;"CFA",_xlfn.IFNA(VLOOKUP($G1815,Master!$V$2:$Z$8,5,0),""),"")</f>
        <v/>
      </c>
      <c r="P1815" s="6" t="str">
        <f t="shared" si="56"/>
        <v/>
      </c>
      <c r="Q1815" s="13">
        <f t="shared" si="57"/>
        <v>0</v>
      </c>
    </row>
    <row r="1816" spans="2:17" ht="15" customHeight="1">
      <c r="B1816" s="5" t="str">
        <f>_xlfn.IFNA(VLOOKUP(C1816,Master!$H:$I,2,FALSE),"")</f>
        <v/>
      </c>
      <c r="D1816" s="5" t="str">
        <f>_xlfn.IFNA(VLOOKUP(E1816,Master!$H:$I,2,FALSE),"")</f>
        <v/>
      </c>
      <c r="F1816" s="26" t="str">
        <f>+_xlfn.XLOOKUP(G1816,Master!$V$2:$V$8,Master!$U$2:$U$8,"")</f>
        <v/>
      </c>
      <c r="I1816" s="4" t="str">
        <f>_xlfn.IFNA(VLOOKUP(D1816,Master!$I:$K,2,FALSE),"")</f>
        <v/>
      </c>
      <c r="J1816" s="4" t="str">
        <f>_xlfn.IFNA(VLOOKUP(D1816,Master!$I:$K,3,FALSE),"")</f>
        <v/>
      </c>
      <c r="L1816" s="27" t="str">
        <f>IF(A1816&lt;&gt;"CFA",_xlfn.IFNA(VLOOKUP($G1816,Master!$V$2:$Z$8,5,0),""),"")</f>
        <v/>
      </c>
      <c r="P1816" s="6" t="str">
        <f t="shared" si="56"/>
        <v/>
      </c>
      <c r="Q1816" s="13">
        <f t="shared" si="57"/>
        <v>0</v>
      </c>
    </row>
    <row r="1817" spans="2:17" ht="15" customHeight="1">
      <c r="B1817" s="5" t="str">
        <f>_xlfn.IFNA(VLOOKUP(C1817,Master!$H:$I,2,FALSE),"")</f>
        <v/>
      </c>
      <c r="D1817" s="5" t="str">
        <f>_xlfn.IFNA(VLOOKUP(E1817,Master!$H:$I,2,FALSE),"")</f>
        <v/>
      </c>
      <c r="F1817" s="26" t="str">
        <f>+_xlfn.XLOOKUP(G1817,Master!$V$2:$V$8,Master!$U$2:$U$8,"")</f>
        <v/>
      </c>
      <c r="I1817" s="4" t="str">
        <f>_xlfn.IFNA(VLOOKUP(D1817,Master!$I:$K,2,FALSE),"")</f>
        <v/>
      </c>
      <c r="J1817" s="4" t="str">
        <f>_xlfn.IFNA(VLOOKUP(D1817,Master!$I:$K,3,FALSE),"")</f>
        <v/>
      </c>
      <c r="L1817" s="27" t="str">
        <f>IF(A1817&lt;&gt;"CFA",_xlfn.IFNA(VLOOKUP($G1817,Master!$V$2:$Z$8,5,0),""),"")</f>
        <v/>
      </c>
      <c r="P1817" s="6" t="str">
        <f t="shared" si="56"/>
        <v/>
      </c>
      <c r="Q1817" s="13">
        <f t="shared" si="57"/>
        <v>0</v>
      </c>
    </row>
    <row r="1818" spans="2:17" ht="15" customHeight="1">
      <c r="B1818" s="5" t="str">
        <f>_xlfn.IFNA(VLOOKUP(C1818,Master!$H:$I,2,FALSE),"")</f>
        <v/>
      </c>
      <c r="D1818" s="5" t="str">
        <f>_xlfn.IFNA(VLOOKUP(E1818,Master!$H:$I,2,FALSE),"")</f>
        <v/>
      </c>
      <c r="F1818" s="26" t="str">
        <f>+_xlfn.XLOOKUP(G1818,Master!$V$2:$V$8,Master!$U$2:$U$8,"")</f>
        <v/>
      </c>
      <c r="I1818" s="4" t="str">
        <f>_xlfn.IFNA(VLOOKUP(D1818,Master!$I:$K,2,FALSE),"")</f>
        <v/>
      </c>
      <c r="J1818" s="4" t="str">
        <f>_xlfn.IFNA(VLOOKUP(D1818,Master!$I:$K,3,FALSE),"")</f>
        <v/>
      </c>
      <c r="L1818" s="27" t="str">
        <f>IF(A1818&lt;&gt;"CFA",_xlfn.IFNA(VLOOKUP($G1818,Master!$V$2:$Z$8,5,0),""),"")</f>
        <v/>
      </c>
      <c r="P1818" s="6" t="str">
        <f t="shared" si="56"/>
        <v/>
      </c>
      <c r="Q1818" s="13">
        <f t="shared" si="57"/>
        <v>0</v>
      </c>
    </row>
    <row r="1819" spans="2:17" ht="15" customHeight="1">
      <c r="B1819" s="5" t="str">
        <f>_xlfn.IFNA(VLOOKUP(C1819,Master!$H:$I,2,FALSE),"")</f>
        <v/>
      </c>
      <c r="D1819" s="5" t="str">
        <f>_xlfn.IFNA(VLOOKUP(E1819,Master!$H:$I,2,FALSE),"")</f>
        <v/>
      </c>
      <c r="F1819" s="26" t="str">
        <f>+_xlfn.XLOOKUP(G1819,Master!$V$2:$V$8,Master!$U$2:$U$8,"")</f>
        <v/>
      </c>
      <c r="I1819" s="4" t="str">
        <f>_xlfn.IFNA(VLOOKUP(D1819,Master!$I:$K,2,FALSE),"")</f>
        <v/>
      </c>
      <c r="J1819" s="4" t="str">
        <f>_xlfn.IFNA(VLOOKUP(D1819,Master!$I:$K,3,FALSE),"")</f>
        <v/>
      </c>
      <c r="L1819" s="27" t="str">
        <f>IF(A1819&lt;&gt;"CFA",_xlfn.IFNA(VLOOKUP($G1819,Master!$V$2:$Z$8,5,0),""),"")</f>
        <v/>
      </c>
      <c r="P1819" s="6" t="str">
        <f t="shared" si="56"/>
        <v/>
      </c>
      <c r="Q1819" s="13">
        <f t="shared" si="57"/>
        <v>0</v>
      </c>
    </row>
    <row r="1820" spans="2:17" ht="15" customHeight="1">
      <c r="B1820" s="5" t="str">
        <f>_xlfn.IFNA(VLOOKUP(C1820,Master!$H:$I,2,FALSE),"")</f>
        <v/>
      </c>
      <c r="D1820" s="5" t="str">
        <f>_xlfn.IFNA(VLOOKUP(E1820,Master!$H:$I,2,FALSE),"")</f>
        <v/>
      </c>
      <c r="F1820" s="26" t="str">
        <f>+_xlfn.XLOOKUP(G1820,Master!$V$2:$V$8,Master!$U$2:$U$8,"")</f>
        <v/>
      </c>
      <c r="I1820" s="4" t="str">
        <f>_xlfn.IFNA(VLOOKUP(D1820,Master!$I:$K,2,FALSE),"")</f>
        <v/>
      </c>
      <c r="J1820" s="4" t="str">
        <f>_xlfn.IFNA(VLOOKUP(D1820,Master!$I:$K,3,FALSE),"")</f>
        <v/>
      </c>
      <c r="L1820" s="27" t="str">
        <f>IF(A1820&lt;&gt;"CFA",_xlfn.IFNA(VLOOKUP($G1820,Master!$V$2:$Z$8,5,0),""),"")</f>
        <v/>
      </c>
      <c r="P1820" s="6" t="str">
        <f t="shared" si="56"/>
        <v/>
      </c>
      <c r="Q1820" s="13">
        <f t="shared" si="57"/>
        <v>0</v>
      </c>
    </row>
    <row r="1821" spans="2:17" ht="15" customHeight="1">
      <c r="B1821" s="5" t="str">
        <f>_xlfn.IFNA(VLOOKUP(C1821,Master!$H:$I,2,FALSE),"")</f>
        <v/>
      </c>
      <c r="D1821" s="5" t="str">
        <f>_xlfn.IFNA(VLOOKUP(E1821,Master!$H:$I,2,FALSE),"")</f>
        <v/>
      </c>
      <c r="F1821" s="26" t="str">
        <f>+_xlfn.XLOOKUP(G1821,Master!$V$2:$V$8,Master!$U$2:$U$8,"")</f>
        <v/>
      </c>
      <c r="I1821" s="4" t="str">
        <f>_xlfn.IFNA(VLOOKUP(D1821,Master!$I:$K,2,FALSE),"")</f>
        <v/>
      </c>
      <c r="J1821" s="4" t="str">
        <f>_xlfn.IFNA(VLOOKUP(D1821,Master!$I:$K,3,FALSE),"")</f>
        <v/>
      </c>
      <c r="L1821" s="27" t="str">
        <f>IF(A1821&lt;&gt;"CFA",_xlfn.IFNA(VLOOKUP($G1821,Master!$V$2:$Z$8,5,0),""),"")</f>
        <v/>
      </c>
      <c r="P1821" s="6" t="str">
        <f t="shared" si="56"/>
        <v/>
      </c>
      <c r="Q1821" s="13">
        <f t="shared" si="57"/>
        <v>0</v>
      </c>
    </row>
    <row r="1822" spans="2:17" ht="15" customHeight="1">
      <c r="B1822" s="5" t="str">
        <f>_xlfn.IFNA(VLOOKUP(C1822,Master!$H:$I,2,FALSE),"")</f>
        <v/>
      </c>
      <c r="D1822" s="5" t="str">
        <f>_xlfn.IFNA(VLOOKUP(E1822,Master!$H:$I,2,FALSE),"")</f>
        <v/>
      </c>
      <c r="F1822" s="26" t="str">
        <f>+_xlfn.XLOOKUP(G1822,Master!$V$2:$V$8,Master!$U$2:$U$8,"")</f>
        <v/>
      </c>
      <c r="I1822" s="4" t="str">
        <f>_xlfn.IFNA(VLOOKUP(D1822,Master!$I:$K,2,FALSE),"")</f>
        <v/>
      </c>
      <c r="J1822" s="4" t="str">
        <f>_xlfn.IFNA(VLOOKUP(D1822,Master!$I:$K,3,FALSE),"")</f>
        <v/>
      </c>
      <c r="L1822" s="27" t="str">
        <f>IF(A1822&lt;&gt;"CFA",_xlfn.IFNA(VLOOKUP($G1822,Master!$V$2:$Z$8,5,0),""),"")</f>
        <v/>
      </c>
      <c r="P1822" s="6" t="str">
        <f t="shared" si="56"/>
        <v/>
      </c>
      <c r="Q1822" s="13">
        <f t="shared" si="57"/>
        <v>0</v>
      </c>
    </row>
    <row r="1823" spans="2:17" ht="15" customHeight="1">
      <c r="B1823" s="5" t="str">
        <f>_xlfn.IFNA(VLOOKUP(C1823,Master!$H:$I,2,FALSE),"")</f>
        <v/>
      </c>
      <c r="D1823" s="5" t="str">
        <f>_xlfn.IFNA(VLOOKUP(E1823,Master!$H:$I,2,FALSE),"")</f>
        <v/>
      </c>
      <c r="F1823" s="26" t="str">
        <f>+_xlfn.XLOOKUP(G1823,Master!$V$2:$V$8,Master!$U$2:$U$8,"")</f>
        <v/>
      </c>
      <c r="I1823" s="4" t="str">
        <f>_xlfn.IFNA(VLOOKUP(D1823,Master!$I:$K,2,FALSE),"")</f>
        <v/>
      </c>
      <c r="J1823" s="4" t="str">
        <f>_xlfn.IFNA(VLOOKUP(D1823,Master!$I:$K,3,FALSE),"")</f>
        <v/>
      </c>
      <c r="L1823" s="27" t="str">
        <f>IF(A1823&lt;&gt;"CFA",_xlfn.IFNA(VLOOKUP($G1823,Master!$V$2:$Z$8,5,0),""),"")</f>
        <v/>
      </c>
      <c r="P1823" s="6" t="str">
        <f t="shared" si="56"/>
        <v/>
      </c>
      <c r="Q1823" s="13">
        <f t="shared" si="57"/>
        <v>0</v>
      </c>
    </row>
    <row r="1824" spans="2:17" ht="15" customHeight="1">
      <c r="B1824" s="5" t="str">
        <f>_xlfn.IFNA(VLOOKUP(C1824,Master!$H:$I,2,FALSE),"")</f>
        <v/>
      </c>
      <c r="D1824" s="5" t="str">
        <f>_xlfn.IFNA(VLOOKUP(E1824,Master!$H:$I,2,FALSE),"")</f>
        <v/>
      </c>
      <c r="F1824" s="26" t="str">
        <f>+_xlfn.XLOOKUP(G1824,Master!$V$2:$V$8,Master!$U$2:$U$8,"")</f>
        <v/>
      </c>
      <c r="I1824" s="4" t="str">
        <f>_xlfn.IFNA(VLOOKUP(D1824,Master!$I:$K,2,FALSE),"")</f>
        <v/>
      </c>
      <c r="J1824" s="4" t="str">
        <f>_xlfn.IFNA(VLOOKUP(D1824,Master!$I:$K,3,FALSE),"")</f>
        <v/>
      </c>
      <c r="L1824" s="27" t="str">
        <f>IF(A1824&lt;&gt;"CFA",_xlfn.IFNA(VLOOKUP($G1824,Master!$V$2:$Z$8,5,0),""),"")</f>
        <v/>
      </c>
      <c r="P1824" s="6" t="str">
        <f t="shared" si="56"/>
        <v/>
      </c>
      <c r="Q1824" s="13">
        <f t="shared" si="57"/>
        <v>0</v>
      </c>
    </row>
    <row r="1825" spans="2:17" ht="15" customHeight="1">
      <c r="B1825" s="5" t="str">
        <f>_xlfn.IFNA(VLOOKUP(C1825,Master!$H:$I,2,FALSE),"")</f>
        <v/>
      </c>
      <c r="D1825" s="5" t="str">
        <f>_xlfn.IFNA(VLOOKUP(E1825,Master!$H:$I,2,FALSE),"")</f>
        <v/>
      </c>
      <c r="F1825" s="26" t="str">
        <f>+_xlfn.XLOOKUP(G1825,Master!$V$2:$V$8,Master!$U$2:$U$8,"")</f>
        <v/>
      </c>
      <c r="I1825" s="4" t="str">
        <f>_xlfn.IFNA(VLOOKUP(D1825,Master!$I:$K,2,FALSE),"")</f>
        <v/>
      </c>
      <c r="J1825" s="4" t="str">
        <f>_xlfn.IFNA(VLOOKUP(D1825,Master!$I:$K,3,FALSE),"")</f>
        <v/>
      </c>
      <c r="L1825" s="27" t="str">
        <f>IF(A1825&lt;&gt;"CFA",_xlfn.IFNA(VLOOKUP($G1825,Master!$V$2:$Z$8,5,0),""),"")</f>
        <v/>
      </c>
      <c r="P1825" s="6" t="str">
        <f t="shared" si="56"/>
        <v/>
      </c>
      <c r="Q1825" s="13">
        <f t="shared" si="57"/>
        <v>0</v>
      </c>
    </row>
    <row r="1826" spans="2:17" ht="15" customHeight="1">
      <c r="B1826" s="5" t="str">
        <f>_xlfn.IFNA(VLOOKUP(C1826,Master!$H:$I,2,FALSE),"")</f>
        <v/>
      </c>
      <c r="D1826" s="5" t="str">
        <f>_xlfn.IFNA(VLOOKUP(E1826,Master!$H:$I,2,FALSE),"")</f>
        <v/>
      </c>
      <c r="F1826" s="26" t="str">
        <f>+_xlfn.XLOOKUP(G1826,Master!$V$2:$V$8,Master!$U$2:$U$8,"")</f>
        <v/>
      </c>
      <c r="I1826" s="4" t="str">
        <f>_xlfn.IFNA(VLOOKUP(D1826,Master!$I:$K,2,FALSE),"")</f>
        <v/>
      </c>
      <c r="J1826" s="4" t="str">
        <f>_xlfn.IFNA(VLOOKUP(D1826,Master!$I:$K,3,FALSE),"")</f>
        <v/>
      </c>
      <c r="L1826" s="27" t="str">
        <f>IF(A1826&lt;&gt;"CFA",_xlfn.IFNA(VLOOKUP($G1826,Master!$V$2:$Z$8,5,0),""),"")</f>
        <v/>
      </c>
      <c r="P1826" s="6" t="str">
        <f t="shared" si="56"/>
        <v/>
      </c>
      <c r="Q1826" s="13">
        <f t="shared" si="57"/>
        <v>0</v>
      </c>
    </row>
    <row r="1827" spans="2:17" ht="15" customHeight="1">
      <c r="B1827" s="5" t="str">
        <f>_xlfn.IFNA(VLOOKUP(C1827,Master!$H:$I,2,FALSE),"")</f>
        <v/>
      </c>
      <c r="D1827" s="5" t="str">
        <f>_xlfn.IFNA(VLOOKUP(E1827,Master!$H:$I,2,FALSE),"")</f>
        <v/>
      </c>
      <c r="F1827" s="26" t="str">
        <f>+_xlfn.XLOOKUP(G1827,Master!$V$2:$V$8,Master!$U$2:$U$8,"")</f>
        <v/>
      </c>
      <c r="I1827" s="4" t="str">
        <f>_xlfn.IFNA(VLOOKUP(D1827,Master!$I:$K,2,FALSE),"")</f>
        <v/>
      </c>
      <c r="J1827" s="4" t="str">
        <f>_xlfn.IFNA(VLOOKUP(D1827,Master!$I:$K,3,FALSE),"")</f>
        <v/>
      </c>
      <c r="L1827" s="27" t="str">
        <f>IF(A1827&lt;&gt;"CFA",_xlfn.IFNA(VLOOKUP($G1827,Master!$V$2:$Z$8,5,0),""),"")</f>
        <v/>
      </c>
      <c r="P1827" s="6" t="str">
        <f t="shared" si="56"/>
        <v/>
      </c>
      <c r="Q1827" s="13">
        <f t="shared" si="57"/>
        <v>0</v>
      </c>
    </row>
    <row r="1828" spans="2:17" ht="15" customHeight="1">
      <c r="B1828" s="5" t="str">
        <f>_xlfn.IFNA(VLOOKUP(C1828,Master!$H:$I,2,FALSE),"")</f>
        <v/>
      </c>
      <c r="D1828" s="5" t="str">
        <f>_xlfn.IFNA(VLOOKUP(E1828,Master!$H:$I,2,FALSE),"")</f>
        <v/>
      </c>
      <c r="F1828" s="26" t="str">
        <f>+_xlfn.XLOOKUP(G1828,Master!$V$2:$V$8,Master!$U$2:$U$8,"")</f>
        <v/>
      </c>
      <c r="I1828" s="4" t="str">
        <f>_xlfn.IFNA(VLOOKUP(D1828,Master!$I:$K,2,FALSE),"")</f>
        <v/>
      </c>
      <c r="J1828" s="4" t="str">
        <f>_xlfn.IFNA(VLOOKUP(D1828,Master!$I:$K,3,FALSE),"")</f>
        <v/>
      </c>
      <c r="L1828" s="27" t="str">
        <f>IF(A1828&lt;&gt;"CFA",_xlfn.IFNA(VLOOKUP($G1828,Master!$V$2:$Z$8,5,0),""),"")</f>
        <v/>
      </c>
      <c r="P1828" s="6" t="str">
        <f t="shared" si="56"/>
        <v/>
      </c>
      <c r="Q1828" s="13">
        <f t="shared" si="57"/>
        <v>0</v>
      </c>
    </row>
    <row r="1829" spans="2:17" ht="15" customHeight="1">
      <c r="B1829" s="5" t="str">
        <f>_xlfn.IFNA(VLOOKUP(C1829,Master!$H:$I,2,FALSE),"")</f>
        <v/>
      </c>
      <c r="D1829" s="5" t="str">
        <f>_xlfn.IFNA(VLOOKUP(E1829,Master!$H:$I,2,FALSE),"")</f>
        <v/>
      </c>
      <c r="F1829" s="26" t="str">
        <f>+_xlfn.XLOOKUP(G1829,Master!$V$2:$V$8,Master!$U$2:$U$8,"")</f>
        <v/>
      </c>
      <c r="I1829" s="4" t="str">
        <f>_xlfn.IFNA(VLOOKUP(D1829,Master!$I:$K,2,FALSE),"")</f>
        <v/>
      </c>
      <c r="J1829" s="4" t="str">
        <f>_xlfn.IFNA(VLOOKUP(D1829,Master!$I:$K,3,FALSE),"")</f>
        <v/>
      </c>
      <c r="L1829" s="27" t="str">
        <f>IF(A1829&lt;&gt;"CFA",_xlfn.IFNA(VLOOKUP($G1829,Master!$V$2:$Z$8,5,0),""),"")</f>
        <v/>
      </c>
      <c r="P1829" s="6" t="str">
        <f t="shared" si="56"/>
        <v/>
      </c>
      <c r="Q1829" s="13">
        <f t="shared" si="57"/>
        <v>0</v>
      </c>
    </row>
    <row r="1830" spans="2:17" ht="15" customHeight="1">
      <c r="B1830" s="5" t="str">
        <f>_xlfn.IFNA(VLOOKUP(C1830,Master!$H:$I,2,FALSE),"")</f>
        <v/>
      </c>
      <c r="D1830" s="5" t="str">
        <f>_xlfn.IFNA(VLOOKUP(E1830,Master!$H:$I,2,FALSE),"")</f>
        <v/>
      </c>
      <c r="F1830" s="26" t="str">
        <f>+_xlfn.XLOOKUP(G1830,Master!$V$2:$V$8,Master!$U$2:$U$8,"")</f>
        <v/>
      </c>
      <c r="I1830" s="4" t="str">
        <f>_xlfn.IFNA(VLOOKUP(D1830,Master!$I:$K,2,FALSE),"")</f>
        <v/>
      </c>
      <c r="J1830" s="4" t="str">
        <f>_xlfn.IFNA(VLOOKUP(D1830,Master!$I:$K,3,FALSE),"")</f>
        <v/>
      </c>
      <c r="L1830" s="27" t="str">
        <f>IF(A1830&lt;&gt;"CFA",_xlfn.IFNA(VLOOKUP($G1830,Master!$V$2:$Z$8,5,0),""),"")</f>
        <v/>
      </c>
      <c r="P1830" s="6" t="str">
        <f t="shared" si="56"/>
        <v/>
      </c>
      <c r="Q1830" s="13">
        <f t="shared" si="57"/>
        <v>0</v>
      </c>
    </row>
    <row r="1831" spans="2:17" ht="15" customHeight="1">
      <c r="B1831" s="5" t="str">
        <f>_xlfn.IFNA(VLOOKUP(C1831,Master!$H:$I,2,FALSE),"")</f>
        <v/>
      </c>
      <c r="D1831" s="5" t="str">
        <f>_xlfn.IFNA(VLOOKUP(E1831,Master!$H:$I,2,FALSE),"")</f>
        <v/>
      </c>
      <c r="F1831" s="26" t="str">
        <f>+_xlfn.XLOOKUP(G1831,Master!$V$2:$V$8,Master!$U$2:$U$8,"")</f>
        <v/>
      </c>
      <c r="I1831" s="4" t="str">
        <f>_xlfn.IFNA(VLOOKUP(D1831,Master!$I:$K,2,FALSE),"")</f>
        <v/>
      </c>
      <c r="J1831" s="4" t="str">
        <f>_xlfn.IFNA(VLOOKUP(D1831,Master!$I:$K,3,FALSE),"")</f>
        <v/>
      </c>
      <c r="L1831" s="27" t="str">
        <f>IF(A1831&lt;&gt;"CFA",_xlfn.IFNA(VLOOKUP($G1831,Master!$V$2:$Z$8,5,0),""),"")</f>
        <v/>
      </c>
      <c r="P1831" s="6" t="str">
        <f t="shared" si="56"/>
        <v/>
      </c>
      <c r="Q1831" s="13">
        <f t="shared" si="57"/>
        <v>0</v>
      </c>
    </row>
    <row r="1832" spans="2:17" ht="15" customHeight="1">
      <c r="B1832" s="5" t="str">
        <f>_xlfn.IFNA(VLOOKUP(C1832,Master!$H:$I,2,FALSE),"")</f>
        <v/>
      </c>
      <c r="D1832" s="5" t="str">
        <f>_xlfn.IFNA(VLOOKUP(E1832,Master!$H:$I,2,FALSE),"")</f>
        <v/>
      </c>
      <c r="F1832" s="26" t="str">
        <f>+_xlfn.XLOOKUP(G1832,Master!$V$2:$V$8,Master!$U$2:$U$8,"")</f>
        <v/>
      </c>
      <c r="I1832" s="4" t="str">
        <f>_xlfn.IFNA(VLOOKUP(D1832,Master!$I:$K,2,FALSE),"")</f>
        <v/>
      </c>
      <c r="J1832" s="4" t="str">
        <f>_xlfn.IFNA(VLOOKUP(D1832,Master!$I:$K,3,FALSE),"")</f>
        <v/>
      </c>
      <c r="L1832" s="27" t="str">
        <f>IF(A1832&lt;&gt;"CFA",_xlfn.IFNA(VLOOKUP($G1832,Master!$V$2:$Z$8,5,0),""),"")</f>
        <v/>
      </c>
      <c r="P1832" s="6" t="str">
        <f t="shared" si="56"/>
        <v/>
      </c>
      <c r="Q1832" s="13">
        <f t="shared" si="57"/>
        <v>0</v>
      </c>
    </row>
    <row r="1833" spans="2:17" ht="15" customHeight="1">
      <c r="B1833" s="5" t="str">
        <f>_xlfn.IFNA(VLOOKUP(C1833,Master!$H:$I,2,FALSE),"")</f>
        <v/>
      </c>
      <c r="D1833" s="5" t="str">
        <f>_xlfn.IFNA(VLOOKUP(E1833,Master!$H:$I,2,FALSE),"")</f>
        <v/>
      </c>
      <c r="F1833" s="26" t="str">
        <f>+_xlfn.XLOOKUP(G1833,Master!$V$2:$V$8,Master!$U$2:$U$8,"")</f>
        <v/>
      </c>
      <c r="I1833" s="4" t="str">
        <f>_xlfn.IFNA(VLOOKUP(D1833,Master!$I:$K,2,FALSE),"")</f>
        <v/>
      </c>
      <c r="J1833" s="4" t="str">
        <f>_xlfn.IFNA(VLOOKUP(D1833,Master!$I:$K,3,FALSE),"")</f>
        <v/>
      </c>
      <c r="L1833" s="27" t="str">
        <f>IF(A1833&lt;&gt;"CFA",_xlfn.IFNA(VLOOKUP($G1833,Master!$V$2:$Z$8,5,0),""),"")</f>
        <v/>
      </c>
      <c r="P1833" s="6" t="str">
        <f t="shared" si="56"/>
        <v/>
      </c>
      <c r="Q1833" s="13">
        <f t="shared" si="57"/>
        <v>0</v>
      </c>
    </row>
    <row r="1834" spans="2:17" ht="15" customHeight="1">
      <c r="B1834" s="5" t="str">
        <f>_xlfn.IFNA(VLOOKUP(C1834,Master!$H:$I,2,FALSE),"")</f>
        <v/>
      </c>
      <c r="D1834" s="5" t="str">
        <f>_xlfn.IFNA(VLOOKUP(E1834,Master!$H:$I,2,FALSE),"")</f>
        <v/>
      </c>
      <c r="F1834" s="26" t="str">
        <f>+_xlfn.XLOOKUP(G1834,Master!$V$2:$V$8,Master!$U$2:$U$8,"")</f>
        <v/>
      </c>
      <c r="I1834" s="4" t="str">
        <f>_xlfn.IFNA(VLOOKUP(D1834,Master!$I:$K,2,FALSE),"")</f>
        <v/>
      </c>
      <c r="J1834" s="4" t="str">
        <f>_xlfn.IFNA(VLOOKUP(D1834,Master!$I:$K,3,FALSE),"")</f>
        <v/>
      </c>
      <c r="L1834" s="27" t="str">
        <f>IF(A1834&lt;&gt;"CFA",_xlfn.IFNA(VLOOKUP($G1834,Master!$V$2:$Z$8,5,0),""),"")</f>
        <v/>
      </c>
      <c r="P1834" s="6" t="str">
        <f t="shared" si="56"/>
        <v/>
      </c>
      <c r="Q1834" s="13">
        <f t="shared" si="57"/>
        <v>0</v>
      </c>
    </row>
    <row r="1835" spans="2:17" ht="15" customHeight="1">
      <c r="B1835" s="5" t="str">
        <f>_xlfn.IFNA(VLOOKUP(C1835,Master!$H:$I,2,FALSE),"")</f>
        <v/>
      </c>
      <c r="D1835" s="5" t="str">
        <f>_xlfn.IFNA(VLOOKUP(E1835,Master!$H:$I,2,FALSE),"")</f>
        <v/>
      </c>
      <c r="F1835" s="26" t="str">
        <f>+_xlfn.XLOOKUP(G1835,Master!$V$2:$V$8,Master!$U$2:$U$8,"")</f>
        <v/>
      </c>
      <c r="I1835" s="4" t="str">
        <f>_xlfn.IFNA(VLOOKUP(D1835,Master!$I:$K,2,FALSE),"")</f>
        <v/>
      </c>
      <c r="J1835" s="4" t="str">
        <f>_xlfn.IFNA(VLOOKUP(D1835,Master!$I:$K,3,FALSE),"")</f>
        <v/>
      </c>
      <c r="L1835" s="27" t="str">
        <f>IF(A1835&lt;&gt;"CFA",_xlfn.IFNA(VLOOKUP($G1835,Master!$V$2:$Z$8,5,0),""),"")</f>
        <v/>
      </c>
      <c r="P1835" s="6" t="str">
        <f t="shared" si="56"/>
        <v/>
      </c>
      <c r="Q1835" s="13">
        <f t="shared" si="57"/>
        <v>0</v>
      </c>
    </row>
    <row r="1836" spans="2:17" ht="15" customHeight="1">
      <c r="B1836" s="5" t="str">
        <f>_xlfn.IFNA(VLOOKUP(C1836,Master!$H:$I,2,FALSE),"")</f>
        <v/>
      </c>
      <c r="D1836" s="5" t="str">
        <f>_xlfn.IFNA(VLOOKUP(E1836,Master!$H:$I,2,FALSE),"")</f>
        <v/>
      </c>
      <c r="F1836" s="26" t="str">
        <f>+_xlfn.XLOOKUP(G1836,Master!$V$2:$V$8,Master!$U$2:$U$8,"")</f>
        <v/>
      </c>
      <c r="I1836" s="4" t="str">
        <f>_xlfn.IFNA(VLOOKUP(D1836,Master!$I:$K,2,FALSE),"")</f>
        <v/>
      </c>
      <c r="J1836" s="4" t="str">
        <f>_xlfn.IFNA(VLOOKUP(D1836,Master!$I:$K,3,FALSE),"")</f>
        <v/>
      </c>
      <c r="L1836" s="27" t="str">
        <f>IF(A1836&lt;&gt;"CFA",_xlfn.IFNA(VLOOKUP($G1836,Master!$V$2:$Z$8,5,0),""),"")</f>
        <v/>
      </c>
      <c r="P1836" s="6" t="str">
        <f t="shared" si="56"/>
        <v/>
      </c>
      <c r="Q1836" s="13">
        <f t="shared" si="57"/>
        <v>0</v>
      </c>
    </row>
    <row r="1837" spans="2:17" ht="15" customHeight="1">
      <c r="B1837" s="5" t="str">
        <f>_xlfn.IFNA(VLOOKUP(C1837,Master!$H:$I,2,FALSE),"")</f>
        <v/>
      </c>
      <c r="D1837" s="5" t="str">
        <f>_xlfn.IFNA(VLOOKUP(E1837,Master!$H:$I,2,FALSE),"")</f>
        <v/>
      </c>
      <c r="F1837" s="26" t="str">
        <f>+_xlfn.XLOOKUP(G1837,Master!$V$2:$V$8,Master!$U$2:$U$8,"")</f>
        <v/>
      </c>
      <c r="I1837" s="4" t="str">
        <f>_xlfn.IFNA(VLOOKUP(D1837,Master!$I:$K,2,FALSE),"")</f>
        <v/>
      </c>
      <c r="J1837" s="4" t="str">
        <f>_xlfn.IFNA(VLOOKUP(D1837,Master!$I:$K,3,FALSE),"")</f>
        <v/>
      </c>
      <c r="L1837" s="27" t="str">
        <f>IF(A1837&lt;&gt;"CFA",_xlfn.IFNA(VLOOKUP($G1837,Master!$V$2:$Z$8,5,0),""),"")</f>
        <v/>
      </c>
      <c r="P1837" s="6" t="str">
        <f t="shared" si="56"/>
        <v/>
      </c>
      <c r="Q1837" s="13">
        <f t="shared" si="57"/>
        <v>0</v>
      </c>
    </row>
    <row r="1838" spans="2:17" ht="15" customHeight="1">
      <c r="B1838" s="5" t="str">
        <f>_xlfn.IFNA(VLOOKUP(C1838,Master!$H:$I,2,FALSE),"")</f>
        <v/>
      </c>
      <c r="D1838" s="5" t="str">
        <f>_xlfn.IFNA(VLOOKUP(E1838,Master!$H:$I,2,FALSE),"")</f>
        <v/>
      </c>
      <c r="F1838" s="26" t="str">
        <f>+_xlfn.XLOOKUP(G1838,Master!$V$2:$V$8,Master!$U$2:$U$8,"")</f>
        <v/>
      </c>
      <c r="I1838" s="4" t="str">
        <f>_xlfn.IFNA(VLOOKUP(D1838,Master!$I:$K,2,FALSE),"")</f>
        <v/>
      </c>
      <c r="J1838" s="4" t="str">
        <f>_xlfn.IFNA(VLOOKUP(D1838,Master!$I:$K,3,FALSE),"")</f>
        <v/>
      </c>
      <c r="L1838" s="27" t="str">
        <f>IF(A1838&lt;&gt;"CFA",_xlfn.IFNA(VLOOKUP($G1838,Master!$V$2:$Z$8,5,0),""),"")</f>
        <v/>
      </c>
      <c r="P1838" s="6" t="str">
        <f t="shared" si="56"/>
        <v/>
      </c>
      <c r="Q1838" s="13">
        <f t="shared" si="57"/>
        <v>0</v>
      </c>
    </row>
    <row r="1839" spans="2:17" ht="15" customHeight="1">
      <c r="B1839" s="5" t="str">
        <f>_xlfn.IFNA(VLOOKUP(C1839,Master!$H:$I,2,FALSE),"")</f>
        <v/>
      </c>
      <c r="D1839" s="5" t="str">
        <f>_xlfn.IFNA(VLOOKUP(E1839,Master!$H:$I,2,FALSE),"")</f>
        <v/>
      </c>
      <c r="F1839" s="26" t="str">
        <f>+_xlfn.XLOOKUP(G1839,Master!$V$2:$V$8,Master!$U$2:$U$8,"")</f>
        <v/>
      </c>
      <c r="I1839" s="4" t="str">
        <f>_xlfn.IFNA(VLOOKUP(D1839,Master!$I:$K,2,FALSE),"")</f>
        <v/>
      </c>
      <c r="J1839" s="4" t="str">
        <f>_xlfn.IFNA(VLOOKUP(D1839,Master!$I:$K,3,FALSE),"")</f>
        <v/>
      </c>
      <c r="L1839" s="27" t="str">
        <f>IF(A1839&lt;&gt;"CFA",_xlfn.IFNA(VLOOKUP($G1839,Master!$V$2:$Z$8,5,0),""),"")</f>
        <v/>
      </c>
      <c r="P1839" s="6" t="str">
        <f t="shared" si="56"/>
        <v/>
      </c>
      <c r="Q1839" s="13">
        <f t="shared" si="57"/>
        <v>0</v>
      </c>
    </row>
    <row r="1840" spans="2:17" ht="15" customHeight="1">
      <c r="B1840" s="5" t="str">
        <f>_xlfn.IFNA(VLOOKUP(C1840,Master!$H:$I,2,FALSE),"")</f>
        <v/>
      </c>
      <c r="D1840" s="5" t="str">
        <f>_xlfn.IFNA(VLOOKUP(E1840,Master!$H:$I,2,FALSE),"")</f>
        <v/>
      </c>
      <c r="F1840" s="26" t="str">
        <f>+_xlfn.XLOOKUP(G1840,Master!$V$2:$V$8,Master!$U$2:$U$8,"")</f>
        <v/>
      </c>
      <c r="I1840" s="4" t="str">
        <f>_xlfn.IFNA(VLOOKUP(D1840,Master!$I:$K,2,FALSE),"")</f>
        <v/>
      </c>
      <c r="J1840" s="4" t="str">
        <f>_xlfn.IFNA(VLOOKUP(D1840,Master!$I:$K,3,FALSE),"")</f>
        <v/>
      </c>
      <c r="L1840" s="27" t="str">
        <f>IF(A1840&lt;&gt;"CFA",_xlfn.IFNA(VLOOKUP($G1840,Master!$V$2:$Z$8,5,0),""),"")</f>
        <v/>
      </c>
      <c r="P1840" s="6" t="str">
        <f t="shared" si="56"/>
        <v/>
      </c>
      <c r="Q1840" s="13">
        <f t="shared" si="57"/>
        <v>0</v>
      </c>
    </row>
    <row r="1841" spans="2:17" ht="15" customHeight="1">
      <c r="B1841" s="5" t="str">
        <f>_xlfn.IFNA(VLOOKUP(C1841,Master!$H:$I,2,FALSE),"")</f>
        <v/>
      </c>
      <c r="D1841" s="5" t="str">
        <f>_xlfn.IFNA(VLOOKUP(E1841,Master!$H:$I,2,FALSE),"")</f>
        <v/>
      </c>
      <c r="F1841" s="26" t="str">
        <f>+_xlfn.XLOOKUP(G1841,Master!$V$2:$V$8,Master!$U$2:$U$8,"")</f>
        <v/>
      </c>
      <c r="I1841" s="4" t="str">
        <f>_xlfn.IFNA(VLOOKUP(D1841,Master!$I:$K,2,FALSE),"")</f>
        <v/>
      </c>
      <c r="J1841" s="4" t="str">
        <f>_xlfn.IFNA(VLOOKUP(D1841,Master!$I:$K,3,FALSE),"")</f>
        <v/>
      </c>
      <c r="L1841" s="27" t="str">
        <f>IF(A1841&lt;&gt;"CFA",_xlfn.IFNA(VLOOKUP($G1841,Master!$V$2:$Z$8,5,0),""),"")</f>
        <v/>
      </c>
      <c r="P1841" s="6" t="str">
        <f t="shared" si="56"/>
        <v/>
      </c>
      <c r="Q1841" s="13">
        <f t="shared" si="57"/>
        <v>0</v>
      </c>
    </row>
    <row r="1842" spans="2:17" ht="15" customHeight="1">
      <c r="B1842" s="5" t="str">
        <f>_xlfn.IFNA(VLOOKUP(C1842,Master!$H:$I,2,FALSE),"")</f>
        <v/>
      </c>
      <c r="D1842" s="5" t="str">
        <f>_xlfn.IFNA(VLOOKUP(E1842,Master!$H:$I,2,FALSE),"")</f>
        <v/>
      </c>
      <c r="F1842" s="26" t="str">
        <f>+_xlfn.XLOOKUP(G1842,Master!$V$2:$V$8,Master!$U$2:$U$8,"")</f>
        <v/>
      </c>
      <c r="I1842" s="4" t="str">
        <f>_xlfn.IFNA(VLOOKUP(D1842,Master!$I:$K,2,FALSE),"")</f>
        <v/>
      </c>
      <c r="J1842" s="4" t="str">
        <f>_xlfn.IFNA(VLOOKUP(D1842,Master!$I:$K,3,FALSE),"")</f>
        <v/>
      </c>
      <c r="L1842" s="27" t="str">
        <f>IF(A1842&lt;&gt;"CFA",_xlfn.IFNA(VLOOKUP($G1842,Master!$V$2:$Z$8,5,0),""),"")</f>
        <v/>
      </c>
      <c r="P1842" s="6" t="str">
        <f t="shared" si="56"/>
        <v/>
      </c>
      <c r="Q1842" s="13">
        <f t="shared" si="57"/>
        <v>0</v>
      </c>
    </row>
    <row r="1843" spans="2:17" ht="15" customHeight="1">
      <c r="B1843" s="5" t="str">
        <f>_xlfn.IFNA(VLOOKUP(C1843,Master!$H:$I,2,FALSE),"")</f>
        <v/>
      </c>
      <c r="D1843" s="5" t="str">
        <f>_xlfn.IFNA(VLOOKUP(E1843,Master!$H:$I,2,FALSE),"")</f>
        <v/>
      </c>
      <c r="F1843" s="26" t="str">
        <f>+_xlfn.XLOOKUP(G1843,Master!$V$2:$V$8,Master!$U$2:$U$8,"")</f>
        <v/>
      </c>
      <c r="I1843" s="4" t="str">
        <f>_xlfn.IFNA(VLOOKUP(D1843,Master!$I:$K,2,FALSE),"")</f>
        <v/>
      </c>
      <c r="J1843" s="4" t="str">
        <f>_xlfn.IFNA(VLOOKUP(D1843,Master!$I:$K,3,FALSE),"")</f>
        <v/>
      </c>
      <c r="L1843" s="27" t="str">
        <f>IF(A1843&lt;&gt;"CFA",_xlfn.IFNA(VLOOKUP($G1843,Master!$V$2:$Z$8,5,0),""),"")</f>
        <v/>
      </c>
      <c r="P1843" s="6" t="str">
        <f t="shared" si="56"/>
        <v/>
      </c>
      <c r="Q1843" s="13">
        <f t="shared" si="57"/>
        <v>0</v>
      </c>
    </row>
    <row r="1844" spans="2:17" ht="15" customHeight="1">
      <c r="B1844" s="5" t="str">
        <f>_xlfn.IFNA(VLOOKUP(C1844,Master!$H:$I,2,FALSE),"")</f>
        <v/>
      </c>
      <c r="D1844" s="5" t="str">
        <f>_xlfn.IFNA(VLOOKUP(E1844,Master!$H:$I,2,FALSE),"")</f>
        <v/>
      </c>
      <c r="F1844" s="26" t="str">
        <f>+_xlfn.XLOOKUP(G1844,Master!$V$2:$V$8,Master!$U$2:$U$8,"")</f>
        <v/>
      </c>
      <c r="I1844" s="4" t="str">
        <f>_xlfn.IFNA(VLOOKUP(D1844,Master!$I:$K,2,FALSE),"")</f>
        <v/>
      </c>
      <c r="J1844" s="4" t="str">
        <f>_xlfn.IFNA(VLOOKUP(D1844,Master!$I:$K,3,FALSE),"")</f>
        <v/>
      </c>
      <c r="L1844" s="27" t="str">
        <f>IF(A1844&lt;&gt;"CFA",_xlfn.IFNA(VLOOKUP($G1844,Master!$V$2:$Z$8,5,0),""),"")</f>
        <v/>
      </c>
      <c r="P1844" s="6" t="str">
        <f t="shared" si="56"/>
        <v/>
      </c>
      <c r="Q1844" s="13">
        <f t="shared" si="57"/>
        <v>0</v>
      </c>
    </row>
    <row r="1845" spans="2:17" ht="15" customHeight="1">
      <c r="B1845" s="5" t="str">
        <f>_xlfn.IFNA(VLOOKUP(C1845,Master!$H:$I,2,FALSE),"")</f>
        <v/>
      </c>
      <c r="D1845" s="5" t="str">
        <f>_xlfn.IFNA(VLOOKUP(E1845,Master!$H:$I,2,FALSE),"")</f>
        <v/>
      </c>
      <c r="F1845" s="26" t="str">
        <f>+_xlfn.XLOOKUP(G1845,Master!$V$2:$V$8,Master!$U$2:$U$8,"")</f>
        <v/>
      </c>
      <c r="I1845" s="4" t="str">
        <f>_xlfn.IFNA(VLOOKUP(D1845,Master!$I:$K,2,FALSE),"")</f>
        <v/>
      </c>
      <c r="J1845" s="4" t="str">
        <f>_xlfn.IFNA(VLOOKUP(D1845,Master!$I:$K,3,FALSE),"")</f>
        <v/>
      </c>
      <c r="L1845" s="27" t="str">
        <f>IF(A1845&lt;&gt;"CFA",_xlfn.IFNA(VLOOKUP($G1845,Master!$V$2:$Z$8,5,0),""),"")</f>
        <v/>
      </c>
      <c r="P1845" s="6" t="str">
        <f t="shared" si="56"/>
        <v/>
      </c>
      <c r="Q1845" s="13">
        <f t="shared" si="57"/>
        <v>0</v>
      </c>
    </row>
    <row r="1846" spans="2:17" ht="15" customHeight="1">
      <c r="B1846" s="5" t="str">
        <f>_xlfn.IFNA(VLOOKUP(C1846,Master!$H:$I,2,FALSE),"")</f>
        <v/>
      </c>
      <c r="D1846" s="5" t="str">
        <f>_xlfn.IFNA(VLOOKUP(E1846,Master!$H:$I,2,FALSE),"")</f>
        <v/>
      </c>
      <c r="F1846" s="26" t="str">
        <f>+_xlfn.XLOOKUP(G1846,Master!$V$2:$V$8,Master!$U$2:$U$8,"")</f>
        <v/>
      </c>
      <c r="I1846" s="4" t="str">
        <f>_xlfn.IFNA(VLOOKUP(D1846,Master!$I:$K,2,FALSE),"")</f>
        <v/>
      </c>
      <c r="J1846" s="4" t="str">
        <f>_xlfn.IFNA(VLOOKUP(D1846,Master!$I:$K,3,FALSE),"")</f>
        <v/>
      </c>
      <c r="L1846" s="27" t="str">
        <f>IF(A1846&lt;&gt;"CFA",_xlfn.IFNA(VLOOKUP($G1846,Master!$V$2:$Z$8,5,0),""),"")</f>
        <v/>
      </c>
      <c r="P1846" s="6" t="str">
        <f t="shared" si="56"/>
        <v/>
      </c>
      <c r="Q1846" s="13">
        <f t="shared" si="57"/>
        <v>0</v>
      </c>
    </row>
    <row r="1847" spans="2:17" ht="15" customHeight="1">
      <c r="B1847" s="5" t="str">
        <f>_xlfn.IFNA(VLOOKUP(C1847,Master!$H:$I,2,FALSE),"")</f>
        <v/>
      </c>
      <c r="D1847" s="5" t="str">
        <f>_xlfn.IFNA(VLOOKUP(E1847,Master!$H:$I,2,FALSE),"")</f>
        <v/>
      </c>
      <c r="F1847" s="26" t="str">
        <f>+_xlfn.XLOOKUP(G1847,Master!$V$2:$V$8,Master!$U$2:$U$8,"")</f>
        <v/>
      </c>
      <c r="I1847" s="4" t="str">
        <f>_xlfn.IFNA(VLOOKUP(D1847,Master!$I:$K,2,FALSE),"")</f>
        <v/>
      </c>
      <c r="J1847" s="4" t="str">
        <f>_xlfn.IFNA(VLOOKUP(D1847,Master!$I:$K,3,FALSE),"")</f>
        <v/>
      </c>
      <c r="L1847" s="27" t="str">
        <f>IF(A1847&lt;&gt;"CFA",_xlfn.IFNA(VLOOKUP($G1847,Master!$V$2:$Z$8,5,0),""),"")</f>
        <v/>
      </c>
      <c r="P1847" s="6" t="str">
        <f t="shared" ref="P1847:P1910" si="58">IF(N1847&lt;&gt;"",IF(MONTH(N1847)&gt;=4,"FY1"&amp;RIGHT(YEAR(N1847)+1,2),"FY1"&amp;RIGHT(YEAR(N1847),2)),"")</f>
        <v/>
      </c>
      <c r="Q1847" s="13">
        <f t="shared" ref="Q1847:Q1910" si="59">IF(K1847&gt;0&amp;M1847&gt;0,K1847*M1847,"")</f>
        <v>0</v>
      </c>
    </row>
    <row r="1848" spans="2:17" ht="15" customHeight="1">
      <c r="B1848" s="5" t="str">
        <f>_xlfn.IFNA(VLOOKUP(C1848,Master!$H:$I,2,FALSE),"")</f>
        <v/>
      </c>
      <c r="D1848" s="5" t="str">
        <f>_xlfn.IFNA(VLOOKUP(E1848,Master!$H:$I,2,FALSE),"")</f>
        <v/>
      </c>
      <c r="F1848" s="26" t="str">
        <f>+_xlfn.XLOOKUP(G1848,Master!$V$2:$V$8,Master!$U$2:$U$8,"")</f>
        <v/>
      </c>
      <c r="I1848" s="4" t="str">
        <f>_xlfn.IFNA(VLOOKUP(D1848,Master!$I:$K,2,FALSE),"")</f>
        <v/>
      </c>
      <c r="J1848" s="4" t="str">
        <f>_xlfn.IFNA(VLOOKUP(D1848,Master!$I:$K,3,FALSE),"")</f>
        <v/>
      </c>
      <c r="L1848" s="27" t="str">
        <f>IF(A1848&lt;&gt;"CFA",_xlfn.IFNA(VLOOKUP($G1848,Master!$V$2:$Z$8,5,0),""),"")</f>
        <v/>
      </c>
      <c r="P1848" s="6" t="str">
        <f t="shared" si="58"/>
        <v/>
      </c>
      <c r="Q1848" s="13">
        <f t="shared" si="59"/>
        <v>0</v>
      </c>
    </row>
    <row r="1849" spans="2:17" ht="15" customHeight="1">
      <c r="B1849" s="5" t="str">
        <f>_xlfn.IFNA(VLOOKUP(C1849,Master!$H:$I,2,FALSE),"")</f>
        <v/>
      </c>
      <c r="D1849" s="5" t="str">
        <f>_xlfn.IFNA(VLOOKUP(E1849,Master!$H:$I,2,FALSE),"")</f>
        <v/>
      </c>
      <c r="F1849" s="26" t="str">
        <f>+_xlfn.XLOOKUP(G1849,Master!$V$2:$V$8,Master!$U$2:$U$8,"")</f>
        <v/>
      </c>
      <c r="I1849" s="4" t="str">
        <f>_xlfn.IFNA(VLOOKUP(D1849,Master!$I:$K,2,FALSE),"")</f>
        <v/>
      </c>
      <c r="J1849" s="4" t="str">
        <f>_xlfn.IFNA(VLOOKUP(D1849,Master!$I:$K,3,FALSE),"")</f>
        <v/>
      </c>
      <c r="L1849" s="27" t="str">
        <f>IF(A1849&lt;&gt;"CFA",_xlfn.IFNA(VLOOKUP($G1849,Master!$V$2:$Z$8,5,0),""),"")</f>
        <v/>
      </c>
      <c r="P1849" s="6" t="str">
        <f t="shared" si="58"/>
        <v/>
      </c>
      <c r="Q1849" s="13">
        <f t="shared" si="59"/>
        <v>0</v>
      </c>
    </row>
    <row r="1850" spans="2:17" ht="15" customHeight="1">
      <c r="B1850" s="5" t="str">
        <f>_xlfn.IFNA(VLOOKUP(C1850,Master!$H:$I,2,FALSE),"")</f>
        <v/>
      </c>
      <c r="D1850" s="5" t="str">
        <f>_xlfn.IFNA(VLOOKUP(E1850,Master!$H:$I,2,FALSE),"")</f>
        <v/>
      </c>
      <c r="F1850" s="26" t="str">
        <f>+_xlfn.XLOOKUP(G1850,Master!$V$2:$V$8,Master!$U$2:$U$8,"")</f>
        <v/>
      </c>
      <c r="I1850" s="4" t="str">
        <f>_xlfn.IFNA(VLOOKUP(D1850,Master!$I:$K,2,FALSE),"")</f>
        <v/>
      </c>
      <c r="J1850" s="4" t="str">
        <f>_xlfn.IFNA(VLOOKUP(D1850,Master!$I:$K,3,FALSE),"")</f>
        <v/>
      </c>
      <c r="L1850" s="27" t="str">
        <f>IF(A1850&lt;&gt;"CFA",_xlfn.IFNA(VLOOKUP($G1850,Master!$V$2:$Z$8,5,0),""),"")</f>
        <v/>
      </c>
      <c r="P1850" s="6" t="str">
        <f t="shared" si="58"/>
        <v/>
      </c>
      <c r="Q1850" s="13">
        <f t="shared" si="59"/>
        <v>0</v>
      </c>
    </row>
    <row r="1851" spans="2:17" ht="15" customHeight="1">
      <c r="B1851" s="5" t="str">
        <f>_xlfn.IFNA(VLOOKUP(C1851,Master!$H:$I,2,FALSE),"")</f>
        <v/>
      </c>
      <c r="D1851" s="5" t="str">
        <f>_xlfn.IFNA(VLOOKUP(E1851,Master!$H:$I,2,FALSE),"")</f>
        <v/>
      </c>
      <c r="F1851" s="26" t="str">
        <f>+_xlfn.XLOOKUP(G1851,Master!$V$2:$V$8,Master!$U$2:$U$8,"")</f>
        <v/>
      </c>
      <c r="I1851" s="4" t="str">
        <f>_xlfn.IFNA(VLOOKUP(D1851,Master!$I:$K,2,FALSE),"")</f>
        <v/>
      </c>
      <c r="J1851" s="4" t="str">
        <f>_xlfn.IFNA(VLOOKUP(D1851,Master!$I:$K,3,FALSE),"")</f>
        <v/>
      </c>
      <c r="L1851" s="27" t="str">
        <f>IF(A1851&lt;&gt;"CFA",_xlfn.IFNA(VLOOKUP($G1851,Master!$V$2:$Z$8,5,0),""),"")</f>
        <v/>
      </c>
      <c r="P1851" s="6" t="str">
        <f t="shared" si="58"/>
        <v/>
      </c>
      <c r="Q1851" s="13">
        <f t="shared" si="59"/>
        <v>0</v>
      </c>
    </row>
    <row r="1852" spans="2:17" ht="15" customHeight="1">
      <c r="B1852" s="5" t="str">
        <f>_xlfn.IFNA(VLOOKUP(C1852,Master!$H:$I,2,FALSE),"")</f>
        <v/>
      </c>
      <c r="D1852" s="5" t="str">
        <f>_xlfn.IFNA(VLOOKUP(E1852,Master!$H:$I,2,FALSE),"")</f>
        <v/>
      </c>
      <c r="F1852" s="26" t="str">
        <f>+_xlfn.XLOOKUP(G1852,Master!$V$2:$V$8,Master!$U$2:$U$8,"")</f>
        <v/>
      </c>
      <c r="I1852" s="4" t="str">
        <f>_xlfn.IFNA(VLOOKUP(D1852,Master!$I:$K,2,FALSE),"")</f>
        <v/>
      </c>
      <c r="J1852" s="4" t="str">
        <f>_xlfn.IFNA(VLOOKUP(D1852,Master!$I:$K,3,FALSE),"")</f>
        <v/>
      </c>
      <c r="L1852" s="27" t="str">
        <f>IF(A1852&lt;&gt;"CFA",_xlfn.IFNA(VLOOKUP($G1852,Master!$V$2:$Z$8,5,0),""),"")</f>
        <v/>
      </c>
      <c r="P1852" s="6" t="str">
        <f t="shared" si="58"/>
        <v/>
      </c>
      <c r="Q1852" s="13">
        <f t="shared" si="59"/>
        <v>0</v>
      </c>
    </row>
    <row r="1853" spans="2:17" ht="15" customHeight="1">
      <c r="B1853" s="5" t="str">
        <f>_xlfn.IFNA(VLOOKUP(C1853,Master!$H:$I,2,FALSE),"")</f>
        <v/>
      </c>
      <c r="D1853" s="5" t="str">
        <f>_xlfn.IFNA(VLOOKUP(E1853,Master!$H:$I,2,FALSE),"")</f>
        <v/>
      </c>
      <c r="F1853" s="26" t="str">
        <f>+_xlfn.XLOOKUP(G1853,Master!$V$2:$V$8,Master!$U$2:$U$8,"")</f>
        <v/>
      </c>
      <c r="I1853" s="4" t="str">
        <f>_xlfn.IFNA(VLOOKUP(D1853,Master!$I:$K,2,FALSE),"")</f>
        <v/>
      </c>
      <c r="J1853" s="4" t="str">
        <f>_xlfn.IFNA(VLOOKUP(D1853,Master!$I:$K,3,FALSE),"")</f>
        <v/>
      </c>
      <c r="L1853" s="27" t="str">
        <f>IF(A1853&lt;&gt;"CFA",_xlfn.IFNA(VLOOKUP($G1853,Master!$V$2:$Z$8,5,0),""),"")</f>
        <v/>
      </c>
      <c r="P1853" s="6" t="str">
        <f t="shared" si="58"/>
        <v/>
      </c>
      <c r="Q1853" s="13">
        <f t="shared" si="59"/>
        <v>0</v>
      </c>
    </row>
    <row r="1854" spans="2:17" ht="15" customHeight="1">
      <c r="B1854" s="5" t="str">
        <f>_xlfn.IFNA(VLOOKUP(C1854,Master!$H:$I,2,FALSE),"")</f>
        <v/>
      </c>
      <c r="D1854" s="5" t="str">
        <f>_xlfn.IFNA(VLOOKUP(E1854,Master!$H:$I,2,FALSE),"")</f>
        <v/>
      </c>
      <c r="F1854" s="26" t="str">
        <f>+_xlfn.XLOOKUP(G1854,Master!$V$2:$V$8,Master!$U$2:$U$8,"")</f>
        <v/>
      </c>
      <c r="I1854" s="4" t="str">
        <f>_xlfn.IFNA(VLOOKUP(D1854,Master!$I:$K,2,FALSE),"")</f>
        <v/>
      </c>
      <c r="J1854" s="4" t="str">
        <f>_xlfn.IFNA(VLOOKUP(D1854,Master!$I:$K,3,FALSE),"")</f>
        <v/>
      </c>
      <c r="L1854" s="27" t="str">
        <f>IF(A1854&lt;&gt;"CFA",_xlfn.IFNA(VLOOKUP($G1854,Master!$V$2:$Z$8,5,0),""),"")</f>
        <v/>
      </c>
      <c r="P1854" s="6" t="str">
        <f t="shared" si="58"/>
        <v/>
      </c>
      <c r="Q1854" s="13">
        <f t="shared" si="59"/>
        <v>0</v>
      </c>
    </row>
    <row r="1855" spans="2:17" ht="15" customHeight="1">
      <c r="B1855" s="5" t="str">
        <f>_xlfn.IFNA(VLOOKUP(C1855,Master!$H:$I,2,FALSE),"")</f>
        <v/>
      </c>
      <c r="D1855" s="5" t="str">
        <f>_xlfn.IFNA(VLOOKUP(E1855,Master!$H:$I,2,FALSE),"")</f>
        <v/>
      </c>
      <c r="F1855" s="26" t="str">
        <f>+_xlfn.XLOOKUP(G1855,Master!$V$2:$V$8,Master!$U$2:$U$8,"")</f>
        <v/>
      </c>
      <c r="I1855" s="4" t="str">
        <f>_xlfn.IFNA(VLOOKUP(D1855,Master!$I:$K,2,FALSE),"")</f>
        <v/>
      </c>
      <c r="J1855" s="4" t="str">
        <f>_xlfn.IFNA(VLOOKUP(D1855,Master!$I:$K,3,FALSE),"")</f>
        <v/>
      </c>
      <c r="L1855" s="27" t="str">
        <f>IF(A1855&lt;&gt;"CFA",_xlfn.IFNA(VLOOKUP($G1855,Master!$V$2:$Z$8,5,0),""),"")</f>
        <v/>
      </c>
      <c r="P1855" s="6" t="str">
        <f t="shared" si="58"/>
        <v/>
      </c>
      <c r="Q1855" s="13">
        <f t="shared" si="59"/>
        <v>0</v>
      </c>
    </row>
    <row r="1856" spans="2:17" ht="15" customHeight="1">
      <c r="B1856" s="5" t="str">
        <f>_xlfn.IFNA(VLOOKUP(C1856,Master!$H:$I,2,FALSE),"")</f>
        <v/>
      </c>
      <c r="D1856" s="5" t="str">
        <f>_xlfn.IFNA(VLOOKUP(E1856,Master!$H:$I,2,FALSE),"")</f>
        <v/>
      </c>
      <c r="F1856" s="26" t="str">
        <f>+_xlfn.XLOOKUP(G1856,Master!$V$2:$V$8,Master!$U$2:$U$8,"")</f>
        <v/>
      </c>
      <c r="I1856" s="4" t="str">
        <f>_xlfn.IFNA(VLOOKUP(D1856,Master!$I:$K,2,FALSE),"")</f>
        <v/>
      </c>
      <c r="J1856" s="4" t="str">
        <f>_xlfn.IFNA(VLOOKUP(D1856,Master!$I:$K,3,FALSE),"")</f>
        <v/>
      </c>
      <c r="L1856" s="27" t="str">
        <f>IF(A1856&lt;&gt;"CFA",_xlfn.IFNA(VLOOKUP($G1856,Master!$V$2:$Z$8,5,0),""),"")</f>
        <v/>
      </c>
      <c r="P1856" s="6" t="str">
        <f t="shared" si="58"/>
        <v/>
      </c>
      <c r="Q1856" s="13">
        <f t="shared" si="59"/>
        <v>0</v>
      </c>
    </row>
    <row r="1857" spans="2:17" ht="15" customHeight="1">
      <c r="B1857" s="5" t="str">
        <f>_xlfn.IFNA(VLOOKUP(C1857,Master!$H:$I,2,FALSE),"")</f>
        <v/>
      </c>
      <c r="D1857" s="5" t="str">
        <f>_xlfn.IFNA(VLOOKUP(E1857,Master!$H:$I,2,FALSE),"")</f>
        <v/>
      </c>
      <c r="F1857" s="26" t="str">
        <f>+_xlfn.XLOOKUP(G1857,Master!$V$2:$V$8,Master!$U$2:$U$8,"")</f>
        <v/>
      </c>
      <c r="I1857" s="4" t="str">
        <f>_xlfn.IFNA(VLOOKUP(D1857,Master!$I:$K,2,FALSE),"")</f>
        <v/>
      </c>
      <c r="J1857" s="4" t="str">
        <f>_xlfn.IFNA(VLOOKUP(D1857,Master!$I:$K,3,FALSE),"")</f>
        <v/>
      </c>
      <c r="L1857" s="27" t="str">
        <f>IF(A1857&lt;&gt;"CFA",_xlfn.IFNA(VLOOKUP($G1857,Master!$V$2:$Z$8,5,0),""),"")</f>
        <v/>
      </c>
      <c r="P1857" s="6" t="str">
        <f t="shared" si="58"/>
        <v/>
      </c>
      <c r="Q1857" s="13">
        <f t="shared" si="59"/>
        <v>0</v>
      </c>
    </row>
    <row r="1858" spans="2:17" ht="15" customHeight="1">
      <c r="B1858" s="5" t="str">
        <f>_xlfn.IFNA(VLOOKUP(C1858,Master!$H:$I,2,FALSE),"")</f>
        <v/>
      </c>
      <c r="D1858" s="5" t="str">
        <f>_xlfn.IFNA(VLOOKUP(E1858,Master!$H:$I,2,FALSE),"")</f>
        <v/>
      </c>
      <c r="F1858" s="26" t="str">
        <f>+_xlfn.XLOOKUP(G1858,Master!$V$2:$V$8,Master!$U$2:$U$8,"")</f>
        <v/>
      </c>
      <c r="I1858" s="4" t="str">
        <f>_xlfn.IFNA(VLOOKUP(D1858,Master!$I:$K,2,FALSE),"")</f>
        <v/>
      </c>
      <c r="J1858" s="4" t="str">
        <f>_xlfn.IFNA(VLOOKUP(D1858,Master!$I:$K,3,FALSE),"")</f>
        <v/>
      </c>
      <c r="L1858" s="27" t="str">
        <f>IF(A1858&lt;&gt;"CFA",_xlfn.IFNA(VLOOKUP($G1858,Master!$V$2:$Z$8,5,0),""),"")</f>
        <v/>
      </c>
      <c r="P1858" s="6" t="str">
        <f t="shared" si="58"/>
        <v/>
      </c>
      <c r="Q1858" s="13">
        <f t="shared" si="59"/>
        <v>0</v>
      </c>
    </row>
    <row r="1859" spans="2:17" ht="15" customHeight="1">
      <c r="B1859" s="5" t="str">
        <f>_xlfn.IFNA(VLOOKUP(C1859,Master!$H:$I,2,FALSE),"")</f>
        <v/>
      </c>
      <c r="D1859" s="5" t="str">
        <f>_xlfn.IFNA(VLOOKUP(E1859,Master!$H:$I,2,FALSE),"")</f>
        <v/>
      </c>
      <c r="F1859" s="26" t="str">
        <f>+_xlfn.XLOOKUP(G1859,Master!$V$2:$V$8,Master!$U$2:$U$8,"")</f>
        <v/>
      </c>
      <c r="I1859" s="4" t="str">
        <f>_xlfn.IFNA(VLOOKUP(D1859,Master!$I:$K,2,FALSE),"")</f>
        <v/>
      </c>
      <c r="J1859" s="4" t="str">
        <f>_xlfn.IFNA(VLOOKUP(D1859,Master!$I:$K,3,FALSE),"")</f>
        <v/>
      </c>
      <c r="L1859" s="27" t="str">
        <f>IF(A1859&lt;&gt;"CFA",_xlfn.IFNA(VLOOKUP($G1859,Master!$V$2:$Z$8,5,0),""),"")</f>
        <v/>
      </c>
      <c r="P1859" s="6" t="str">
        <f t="shared" si="58"/>
        <v/>
      </c>
      <c r="Q1859" s="13">
        <f t="shared" si="59"/>
        <v>0</v>
      </c>
    </row>
    <row r="1860" spans="2:17" ht="15" customHeight="1">
      <c r="B1860" s="5" t="str">
        <f>_xlfn.IFNA(VLOOKUP(C1860,Master!$H:$I,2,FALSE),"")</f>
        <v/>
      </c>
      <c r="D1860" s="5" t="str">
        <f>_xlfn.IFNA(VLOOKUP(E1860,Master!$H:$I,2,FALSE),"")</f>
        <v/>
      </c>
      <c r="F1860" s="26" t="str">
        <f>+_xlfn.XLOOKUP(G1860,Master!$V$2:$V$8,Master!$U$2:$U$8,"")</f>
        <v/>
      </c>
      <c r="I1860" s="4" t="str">
        <f>_xlfn.IFNA(VLOOKUP(D1860,Master!$I:$K,2,FALSE),"")</f>
        <v/>
      </c>
      <c r="J1860" s="4" t="str">
        <f>_xlfn.IFNA(VLOOKUP(D1860,Master!$I:$K,3,FALSE),"")</f>
        <v/>
      </c>
      <c r="L1860" s="27" t="str">
        <f>IF(A1860&lt;&gt;"CFA",_xlfn.IFNA(VLOOKUP($G1860,Master!$V$2:$Z$8,5,0),""),"")</f>
        <v/>
      </c>
      <c r="P1860" s="6" t="str">
        <f t="shared" si="58"/>
        <v/>
      </c>
      <c r="Q1860" s="13">
        <f t="shared" si="59"/>
        <v>0</v>
      </c>
    </row>
    <row r="1861" spans="2:17" ht="15" customHeight="1">
      <c r="B1861" s="5" t="str">
        <f>_xlfn.IFNA(VLOOKUP(C1861,Master!$H:$I,2,FALSE),"")</f>
        <v/>
      </c>
      <c r="D1861" s="5" t="str">
        <f>_xlfn.IFNA(VLOOKUP(E1861,Master!$H:$I,2,FALSE),"")</f>
        <v/>
      </c>
      <c r="F1861" s="26" t="str">
        <f>+_xlfn.XLOOKUP(G1861,Master!$V$2:$V$8,Master!$U$2:$U$8,"")</f>
        <v/>
      </c>
      <c r="I1861" s="4" t="str">
        <f>_xlfn.IFNA(VLOOKUP(D1861,Master!$I:$K,2,FALSE),"")</f>
        <v/>
      </c>
      <c r="J1861" s="4" t="str">
        <f>_xlfn.IFNA(VLOOKUP(D1861,Master!$I:$K,3,FALSE),"")</f>
        <v/>
      </c>
      <c r="L1861" s="27" t="str">
        <f>IF(A1861&lt;&gt;"CFA",_xlfn.IFNA(VLOOKUP($G1861,Master!$V$2:$Z$8,5,0),""),"")</f>
        <v/>
      </c>
      <c r="P1861" s="6" t="str">
        <f t="shared" si="58"/>
        <v/>
      </c>
      <c r="Q1861" s="13">
        <f t="shared" si="59"/>
        <v>0</v>
      </c>
    </row>
    <row r="1862" spans="2:17" ht="15" customHeight="1">
      <c r="B1862" s="5" t="str">
        <f>_xlfn.IFNA(VLOOKUP(C1862,Master!$H:$I,2,FALSE),"")</f>
        <v/>
      </c>
      <c r="D1862" s="5" t="str">
        <f>_xlfn.IFNA(VLOOKUP(E1862,Master!$H:$I,2,FALSE),"")</f>
        <v/>
      </c>
      <c r="F1862" s="26" t="str">
        <f>+_xlfn.XLOOKUP(G1862,Master!$V$2:$V$8,Master!$U$2:$U$8,"")</f>
        <v/>
      </c>
      <c r="I1862" s="4" t="str">
        <f>_xlfn.IFNA(VLOOKUP(D1862,Master!$I:$K,2,FALSE),"")</f>
        <v/>
      </c>
      <c r="J1862" s="4" t="str">
        <f>_xlfn.IFNA(VLOOKUP(D1862,Master!$I:$K,3,FALSE),"")</f>
        <v/>
      </c>
      <c r="L1862" s="27" t="str">
        <f>IF(A1862&lt;&gt;"CFA",_xlfn.IFNA(VLOOKUP($G1862,Master!$V$2:$Z$8,5,0),""),"")</f>
        <v/>
      </c>
      <c r="P1862" s="6" t="str">
        <f t="shared" si="58"/>
        <v/>
      </c>
      <c r="Q1862" s="13">
        <f t="shared" si="59"/>
        <v>0</v>
      </c>
    </row>
    <row r="1863" spans="2:17" ht="15" customHeight="1">
      <c r="B1863" s="5" t="str">
        <f>_xlfn.IFNA(VLOOKUP(C1863,Master!$H:$I,2,FALSE),"")</f>
        <v/>
      </c>
      <c r="D1863" s="5" t="str">
        <f>_xlfn.IFNA(VLOOKUP(E1863,Master!$H:$I,2,FALSE),"")</f>
        <v/>
      </c>
      <c r="F1863" s="26" t="str">
        <f>+_xlfn.XLOOKUP(G1863,Master!$V$2:$V$8,Master!$U$2:$U$8,"")</f>
        <v/>
      </c>
      <c r="I1863" s="4" t="str">
        <f>_xlfn.IFNA(VLOOKUP(D1863,Master!$I:$K,2,FALSE),"")</f>
        <v/>
      </c>
      <c r="J1863" s="4" t="str">
        <f>_xlfn.IFNA(VLOOKUP(D1863,Master!$I:$K,3,FALSE),"")</f>
        <v/>
      </c>
      <c r="L1863" s="27" t="str">
        <f>IF(A1863&lt;&gt;"CFA",_xlfn.IFNA(VLOOKUP($G1863,Master!$V$2:$Z$8,5,0),""),"")</f>
        <v/>
      </c>
      <c r="P1863" s="6" t="str">
        <f t="shared" si="58"/>
        <v/>
      </c>
      <c r="Q1863" s="13">
        <f t="shared" si="59"/>
        <v>0</v>
      </c>
    </row>
    <row r="1864" spans="2:17" ht="15" customHeight="1">
      <c r="B1864" s="5" t="str">
        <f>_xlfn.IFNA(VLOOKUP(C1864,Master!$H:$I,2,FALSE),"")</f>
        <v/>
      </c>
      <c r="D1864" s="5" t="str">
        <f>_xlfn.IFNA(VLOOKUP(E1864,Master!$H:$I,2,FALSE),"")</f>
        <v/>
      </c>
      <c r="F1864" s="26" t="str">
        <f>+_xlfn.XLOOKUP(G1864,Master!$V$2:$V$8,Master!$U$2:$U$8,"")</f>
        <v/>
      </c>
      <c r="I1864" s="4" t="str">
        <f>_xlfn.IFNA(VLOOKUP(D1864,Master!$I:$K,2,FALSE),"")</f>
        <v/>
      </c>
      <c r="J1864" s="4" t="str">
        <f>_xlfn.IFNA(VLOOKUP(D1864,Master!$I:$K,3,FALSE),"")</f>
        <v/>
      </c>
      <c r="L1864" s="27" t="str">
        <f>IF(A1864&lt;&gt;"CFA",_xlfn.IFNA(VLOOKUP($G1864,Master!$V$2:$Z$8,5,0),""),"")</f>
        <v/>
      </c>
      <c r="P1864" s="6" t="str">
        <f t="shared" si="58"/>
        <v/>
      </c>
      <c r="Q1864" s="13">
        <f t="shared" si="59"/>
        <v>0</v>
      </c>
    </row>
    <row r="1865" spans="2:17" ht="15" customHeight="1">
      <c r="B1865" s="5" t="str">
        <f>_xlfn.IFNA(VLOOKUP(C1865,Master!$H:$I,2,FALSE),"")</f>
        <v/>
      </c>
      <c r="D1865" s="5" t="str">
        <f>_xlfn.IFNA(VLOOKUP(E1865,Master!$H:$I,2,FALSE),"")</f>
        <v/>
      </c>
      <c r="F1865" s="26" t="str">
        <f>+_xlfn.XLOOKUP(G1865,Master!$V$2:$V$8,Master!$U$2:$U$8,"")</f>
        <v/>
      </c>
      <c r="I1865" s="4" t="str">
        <f>_xlfn.IFNA(VLOOKUP(D1865,Master!$I:$K,2,FALSE),"")</f>
        <v/>
      </c>
      <c r="J1865" s="4" t="str">
        <f>_xlfn.IFNA(VLOOKUP(D1865,Master!$I:$K,3,FALSE),"")</f>
        <v/>
      </c>
      <c r="L1865" s="27" t="str">
        <f>IF(A1865&lt;&gt;"CFA",_xlfn.IFNA(VLOOKUP($G1865,Master!$V$2:$Z$8,5,0),""),"")</f>
        <v/>
      </c>
      <c r="P1865" s="6" t="str">
        <f t="shared" si="58"/>
        <v/>
      </c>
      <c r="Q1865" s="13">
        <f t="shared" si="59"/>
        <v>0</v>
      </c>
    </row>
    <row r="1866" spans="2:17" ht="15" customHeight="1">
      <c r="B1866" s="5" t="str">
        <f>_xlfn.IFNA(VLOOKUP(C1866,Master!$H:$I,2,FALSE),"")</f>
        <v/>
      </c>
      <c r="D1866" s="5" t="str">
        <f>_xlfn.IFNA(VLOOKUP(E1866,Master!$H:$I,2,FALSE),"")</f>
        <v/>
      </c>
      <c r="F1866" s="26" t="str">
        <f>+_xlfn.XLOOKUP(G1866,Master!$V$2:$V$8,Master!$U$2:$U$8,"")</f>
        <v/>
      </c>
      <c r="I1866" s="4" t="str">
        <f>_xlfn.IFNA(VLOOKUP(D1866,Master!$I:$K,2,FALSE),"")</f>
        <v/>
      </c>
      <c r="J1866" s="4" t="str">
        <f>_xlfn.IFNA(VLOOKUP(D1866,Master!$I:$K,3,FALSE),"")</f>
        <v/>
      </c>
      <c r="L1866" s="27" t="str">
        <f>IF(A1866&lt;&gt;"CFA",_xlfn.IFNA(VLOOKUP($G1866,Master!$V$2:$Z$8,5,0),""),"")</f>
        <v/>
      </c>
      <c r="P1866" s="6" t="str">
        <f t="shared" si="58"/>
        <v/>
      </c>
      <c r="Q1866" s="13">
        <f t="shared" si="59"/>
        <v>0</v>
      </c>
    </row>
    <row r="1867" spans="2:17" ht="15" customHeight="1">
      <c r="B1867" s="5" t="str">
        <f>_xlfn.IFNA(VLOOKUP(C1867,Master!$H:$I,2,FALSE),"")</f>
        <v/>
      </c>
      <c r="D1867" s="5" t="str">
        <f>_xlfn.IFNA(VLOOKUP(E1867,Master!$H:$I,2,FALSE),"")</f>
        <v/>
      </c>
      <c r="F1867" s="26" t="str">
        <f>+_xlfn.XLOOKUP(G1867,Master!$V$2:$V$8,Master!$U$2:$U$8,"")</f>
        <v/>
      </c>
      <c r="I1867" s="4" t="str">
        <f>_xlfn.IFNA(VLOOKUP(D1867,Master!$I:$K,2,FALSE),"")</f>
        <v/>
      </c>
      <c r="J1867" s="4" t="str">
        <f>_xlfn.IFNA(VLOOKUP(D1867,Master!$I:$K,3,FALSE),"")</f>
        <v/>
      </c>
      <c r="L1867" s="27" t="str">
        <f>IF(A1867&lt;&gt;"CFA",_xlfn.IFNA(VLOOKUP($G1867,Master!$V$2:$Z$8,5,0),""),"")</f>
        <v/>
      </c>
      <c r="P1867" s="6" t="str">
        <f t="shared" si="58"/>
        <v/>
      </c>
      <c r="Q1867" s="13">
        <f t="shared" si="59"/>
        <v>0</v>
      </c>
    </row>
    <row r="1868" spans="2:17" ht="15" customHeight="1">
      <c r="B1868" s="5" t="str">
        <f>_xlfn.IFNA(VLOOKUP(C1868,Master!$H:$I,2,FALSE),"")</f>
        <v/>
      </c>
      <c r="D1868" s="5" t="str">
        <f>_xlfn.IFNA(VLOOKUP(E1868,Master!$H:$I,2,FALSE),"")</f>
        <v/>
      </c>
      <c r="F1868" s="26" t="str">
        <f>+_xlfn.XLOOKUP(G1868,Master!$V$2:$V$8,Master!$U$2:$U$8,"")</f>
        <v/>
      </c>
      <c r="I1868" s="4" t="str">
        <f>_xlfn.IFNA(VLOOKUP(D1868,Master!$I:$K,2,FALSE),"")</f>
        <v/>
      </c>
      <c r="J1868" s="4" t="str">
        <f>_xlfn.IFNA(VLOOKUP(D1868,Master!$I:$K,3,FALSE),"")</f>
        <v/>
      </c>
      <c r="L1868" s="27" t="str">
        <f>IF(A1868&lt;&gt;"CFA",_xlfn.IFNA(VLOOKUP($G1868,Master!$V$2:$Z$8,5,0),""),"")</f>
        <v/>
      </c>
      <c r="P1868" s="6" t="str">
        <f t="shared" si="58"/>
        <v/>
      </c>
      <c r="Q1868" s="13">
        <f t="shared" si="59"/>
        <v>0</v>
      </c>
    </row>
    <row r="1869" spans="2:17" ht="15" customHeight="1">
      <c r="B1869" s="5" t="str">
        <f>_xlfn.IFNA(VLOOKUP(C1869,Master!$H:$I,2,FALSE),"")</f>
        <v/>
      </c>
      <c r="D1869" s="5" t="str">
        <f>_xlfn.IFNA(VLOOKUP(E1869,Master!$H:$I,2,FALSE),"")</f>
        <v/>
      </c>
      <c r="F1869" s="26" t="str">
        <f>+_xlfn.XLOOKUP(G1869,Master!$V$2:$V$8,Master!$U$2:$U$8,"")</f>
        <v/>
      </c>
      <c r="I1869" s="4" t="str">
        <f>_xlfn.IFNA(VLOOKUP(D1869,Master!$I:$K,2,FALSE),"")</f>
        <v/>
      </c>
      <c r="J1869" s="4" t="str">
        <f>_xlfn.IFNA(VLOOKUP(D1869,Master!$I:$K,3,FALSE),"")</f>
        <v/>
      </c>
      <c r="L1869" s="27" t="str">
        <f>IF(A1869&lt;&gt;"CFA",_xlfn.IFNA(VLOOKUP($G1869,Master!$V$2:$Z$8,5,0),""),"")</f>
        <v/>
      </c>
      <c r="P1869" s="6" t="str">
        <f t="shared" si="58"/>
        <v/>
      </c>
      <c r="Q1869" s="13">
        <f t="shared" si="59"/>
        <v>0</v>
      </c>
    </row>
    <row r="1870" spans="2:17" ht="15" customHeight="1">
      <c r="B1870" s="5" t="str">
        <f>_xlfn.IFNA(VLOOKUP(C1870,Master!$H:$I,2,FALSE),"")</f>
        <v/>
      </c>
      <c r="D1870" s="5" t="str">
        <f>_xlfn.IFNA(VLOOKUP(E1870,Master!$H:$I,2,FALSE),"")</f>
        <v/>
      </c>
      <c r="F1870" s="26" t="str">
        <f>+_xlfn.XLOOKUP(G1870,Master!$V$2:$V$8,Master!$U$2:$U$8,"")</f>
        <v/>
      </c>
      <c r="I1870" s="4" t="str">
        <f>_xlfn.IFNA(VLOOKUP(D1870,Master!$I:$K,2,FALSE),"")</f>
        <v/>
      </c>
      <c r="J1870" s="4" t="str">
        <f>_xlfn.IFNA(VLOOKUP(D1870,Master!$I:$K,3,FALSE),"")</f>
        <v/>
      </c>
      <c r="L1870" s="27" t="str">
        <f>IF(A1870&lt;&gt;"CFA",_xlfn.IFNA(VLOOKUP($G1870,Master!$V$2:$Z$8,5,0),""),"")</f>
        <v/>
      </c>
      <c r="P1870" s="6" t="str">
        <f t="shared" si="58"/>
        <v/>
      </c>
      <c r="Q1870" s="13">
        <f t="shared" si="59"/>
        <v>0</v>
      </c>
    </row>
    <row r="1871" spans="2:17" ht="15" customHeight="1">
      <c r="B1871" s="5" t="str">
        <f>_xlfn.IFNA(VLOOKUP(C1871,Master!$H:$I,2,FALSE),"")</f>
        <v/>
      </c>
      <c r="D1871" s="5" t="str">
        <f>_xlfn.IFNA(VLOOKUP(E1871,Master!$H:$I,2,FALSE),"")</f>
        <v/>
      </c>
      <c r="F1871" s="26" t="str">
        <f>+_xlfn.XLOOKUP(G1871,Master!$V$2:$V$8,Master!$U$2:$U$8,"")</f>
        <v/>
      </c>
      <c r="I1871" s="4" t="str">
        <f>_xlfn.IFNA(VLOOKUP(D1871,Master!$I:$K,2,FALSE),"")</f>
        <v/>
      </c>
      <c r="J1871" s="4" t="str">
        <f>_xlfn.IFNA(VLOOKUP(D1871,Master!$I:$K,3,FALSE),"")</f>
        <v/>
      </c>
      <c r="L1871" s="27" t="str">
        <f>IF(A1871&lt;&gt;"CFA",_xlfn.IFNA(VLOOKUP($G1871,Master!$V$2:$Z$8,5,0),""),"")</f>
        <v/>
      </c>
      <c r="P1871" s="6" t="str">
        <f t="shared" si="58"/>
        <v/>
      </c>
      <c r="Q1871" s="13">
        <f t="shared" si="59"/>
        <v>0</v>
      </c>
    </row>
    <row r="1872" spans="2:17" ht="15" customHeight="1">
      <c r="B1872" s="5" t="str">
        <f>_xlfn.IFNA(VLOOKUP(C1872,Master!$H:$I,2,FALSE),"")</f>
        <v/>
      </c>
      <c r="D1872" s="5" t="str">
        <f>_xlfn.IFNA(VLOOKUP(E1872,Master!$H:$I,2,FALSE),"")</f>
        <v/>
      </c>
      <c r="F1872" s="26" t="str">
        <f>+_xlfn.XLOOKUP(G1872,Master!$V$2:$V$8,Master!$U$2:$U$8,"")</f>
        <v/>
      </c>
      <c r="I1872" s="4" t="str">
        <f>_xlfn.IFNA(VLOOKUP(D1872,Master!$I:$K,2,FALSE),"")</f>
        <v/>
      </c>
      <c r="J1872" s="4" t="str">
        <f>_xlfn.IFNA(VLOOKUP(D1872,Master!$I:$K,3,FALSE),"")</f>
        <v/>
      </c>
      <c r="L1872" s="27" t="str">
        <f>IF(A1872&lt;&gt;"CFA",_xlfn.IFNA(VLOOKUP($G1872,Master!$V$2:$Z$8,5,0),""),"")</f>
        <v/>
      </c>
      <c r="P1872" s="6" t="str">
        <f t="shared" si="58"/>
        <v/>
      </c>
      <c r="Q1872" s="13">
        <f t="shared" si="59"/>
        <v>0</v>
      </c>
    </row>
    <row r="1873" spans="2:17" ht="15" customHeight="1">
      <c r="B1873" s="5" t="str">
        <f>_xlfn.IFNA(VLOOKUP(C1873,Master!$H:$I,2,FALSE),"")</f>
        <v/>
      </c>
      <c r="D1873" s="5" t="str">
        <f>_xlfn.IFNA(VLOOKUP(E1873,Master!$H:$I,2,FALSE),"")</f>
        <v/>
      </c>
      <c r="F1873" s="26" t="str">
        <f>+_xlfn.XLOOKUP(G1873,Master!$V$2:$V$8,Master!$U$2:$U$8,"")</f>
        <v/>
      </c>
      <c r="I1873" s="4" t="str">
        <f>_xlfn.IFNA(VLOOKUP(D1873,Master!$I:$K,2,FALSE),"")</f>
        <v/>
      </c>
      <c r="J1873" s="4" t="str">
        <f>_xlfn.IFNA(VLOOKUP(D1873,Master!$I:$K,3,FALSE),"")</f>
        <v/>
      </c>
      <c r="L1873" s="27" t="str">
        <f>IF(A1873&lt;&gt;"CFA",_xlfn.IFNA(VLOOKUP($G1873,Master!$V$2:$Z$8,5,0),""),"")</f>
        <v/>
      </c>
      <c r="P1873" s="6" t="str">
        <f t="shared" si="58"/>
        <v/>
      </c>
      <c r="Q1873" s="13">
        <f t="shared" si="59"/>
        <v>0</v>
      </c>
    </row>
    <row r="1874" spans="2:17" ht="15" customHeight="1">
      <c r="B1874" s="5" t="str">
        <f>_xlfn.IFNA(VLOOKUP(C1874,Master!$H:$I,2,FALSE),"")</f>
        <v/>
      </c>
      <c r="D1874" s="5" t="str">
        <f>_xlfn.IFNA(VLOOKUP(E1874,Master!$H:$I,2,FALSE),"")</f>
        <v/>
      </c>
      <c r="F1874" s="26" t="str">
        <f>+_xlfn.XLOOKUP(G1874,Master!$V$2:$V$8,Master!$U$2:$U$8,"")</f>
        <v/>
      </c>
      <c r="I1874" s="4" t="str">
        <f>_xlfn.IFNA(VLOOKUP(D1874,Master!$I:$K,2,FALSE),"")</f>
        <v/>
      </c>
      <c r="J1874" s="4" t="str">
        <f>_xlfn.IFNA(VLOOKUP(D1874,Master!$I:$K,3,FALSE),"")</f>
        <v/>
      </c>
      <c r="L1874" s="27" t="str">
        <f>IF(A1874&lt;&gt;"CFA",_xlfn.IFNA(VLOOKUP($G1874,Master!$V$2:$Z$8,5,0),""),"")</f>
        <v/>
      </c>
      <c r="P1874" s="6" t="str">
        <f t="shared" si="58"/>
        <v/>
      </c>
      <c r="Q1874" s="13">
        <f t="shared" si="59"/>
        <v>0</v>
      </c>
    </row>
    <row r="1875" spans="2:17" ht="15" customHeight="1">
      <c r="B1875" s="5" t="str">
        <f>_xlfn.IFNA(VLOOKUP(C1875,Master!$H:$I,2,FALSE),"")</f>
        <v/>
      </c>
      <c r="D1875" s="5" t="str">
        <f>_xlfn.IFNA(VLOOKUP(E1875,Master!$H:$I,2,FALSE),"")</f>
        <v/>
      </c>
      <c r="F1875" s="26" t="str">
        <f>+_xlfn.XLOOKUP(G1875,Master!$V$2:$V$8,Master!$U$2:$U$8,"")</f>
        <v/>
      </c>
      <c r="I1875" s="4" t="str">
        <f>_xlfn.IFNA(VLOOKUP(D1875,Master!$I:$K,2,FALSE),"")</f>
        <v/>
      </c>
      <c r="J1875" s="4" t="str">
        <f>_xlfn.IFNA(VLOOKUP(D1875,Master!$I:$K,3,FALSE),"")</f>
        <v/>
      </c>
      <c r="L1875" s="27" t="str">
        <f>IF(A1875&lt;&gt;"CFA",_xlfn.IFNA(VLOOKUP($G1875,Master!$V$2:$Z$8,5,0),""),"")</f>
        <v/>
      </c>
      <c r="P1875" s="6" t="str">
        <f t="shared" si="58"/>
        <v/>
      </c>
      <c r="Q1875" s="13">
        <f t="shared" si="59"/>
        <v>0</v>
      </c>
    </row>
    <row r="1876" spans="2:17" ht="15" customHeight="1">
      <c r="B1876" s="5" t="str">
        <f>_xlfn.IFNA(VLOOKUP(C1876,Master!$H:$I,2,FALSE),"")</f>
        <v/>
      </c>
      <c r="D1876" s="5" t="str">
        <f>_xlfn.IFNA(VLOOKUP(E1876,Master!$H:$I,2,FALSE),"")</f>
        <v/>
      </c>
      <c r="F1876" s="26" t="str">
        <f>+_xlfn.XLOOKUP(G1876,Master!$V$2:$V$8,Master!$U$2:$U$8,"")</f>
        <v/>
      </c>
      <c r="I1876" s="4" t="str">
        <f>_xlfn.IFNA(VLOOKUP(D1876,Master!$I:$K,2,FALSE),"")</f>
        <v/>
      </c>
      <c r="J1876" s="4" t="str">
        <f>_xlfn.IFNA(VLOOKUP(D1876,Master!$I:$K,3,FALSE),"")</f>
        <v/>
      </c>
      <c r="L1876" s="27" t="str">
        <f>IF(A1876&lt;&gt;"CFA",_xlfn.IFNA(VLOOKUP($G1876,Master!$V$2:$Z$8,5,0),""),"")</f>
        <v/>
      </c>
      <c r="P1876" s="6" t="str">
        <f t="shared" si="58"/>
        <v/>
      </c>
      <c r="Q1876" s="13">
        <f t="shared" si="59"/>
        <v>0</v>
      </c>
    </row>
    <row r="1877" spans="2:17" ht="15" customHeight="1">
      <c r="B1877" s="5" t="str">
        <f>_xlfn.IFNA(VLOOKUP(C1877,Master!$H:$I,2,FALSE),"")</f>
        <v/>
      </c>
      <c r="D1877" s="5" t="str">
        <f>_xlfn.IFNA(VLOOKUP(E1877,Master!$H:$I,2,FALSE),"")</f>
        <v/>
      </c>
      <c r="F1877" s="26" t="str">
        <f>+_xlfn.XLOOKUP(G1877,Master!$V$2:$V$8,Master!$U$2:$U$8,"")</f>
        <v/>
      </c>
      <c r="I1877" s="4" t="str">
        <f>_xlfn.IFNA(VLOOKUP(D1877,Master!$I:$K,2,FALSE),"")</f>
        <v/>
      </c>
      <c r="J1877" s="4" t="str">
        <f>_xlfn.IFNA(VLOOKUP(D1877,Master!$I:$K,3,FALSE),"")</f>
        <v/>
      </c>
      <c r="L1877" s="27" t="str">
        <f>IF(A1877&lt;&gt;"CFA",_xlfn.IFNA(VLOOKUP($G1877,Master!$V$2:$Z$8,5,0),""),"")</f>
        <v/>
      </c>
      <c r="P1877" s="6" t="str">
        <f t="shared" si="58"/>
        <v/>
      </c>
      <c r="Q1877" s="13">
        <f t="shared" si="59"/>
        <v>0</v>
      </c>
    </row>
    <row r="1878" spans="2:17" ht="15" customHeight="1">
      <c r="B1878" s="5" t="str">
        <f>_xlfn.IFNA(VLOOKUP(C1878,Master!$H:$I,2,FALSE),"")</f>
        <v/>
      </c>
      <c r="D1878" s="5" t="str">
        <f>_xlfn.IFNA(VLOOKUP(E1878,Master!$H:$I,2,FALSE),"")</f>
        <v/>
      </c>
      <c r="F1878" s="26" t="str">
        <f>+_xlfn.XLOOKUP(G1878,Master!$V$2:$V$8,Master!$U$2:$U$8,"")</f>
        <v/>
      </c>
      <c r="I1878" s="4" t="str">
        <f>_xlfn.IFNA(VLOOKUP(D1878,Master!$I:$K,2,FALSE),"")</f>
        <v/>
      </c>
      <c r="J1878" s="4" t="str">
        <f>_xlfn.IFNA(VLOOKUP(D1878,Master!$I:$K,3,FALSE),"")</f>
        <v/>
      </c>
      <c r="L1878" s="27" t="str">
        <f>IF(A1878&lt;&gt;"CFA",_xlfn.IFNA(VLOOKUP($G1878,Master!$V$2:$Z$8,5,0),""),"")</f>
        <v/>
      </c>
      <c r="P1878" s="6" t="str">
        <f t="shared" si="58"/>
        <v/>
      </c>
      <c r="Q1878" s="13">
        <f t="shared" si="59"/>
        <v>0</v>
      </c>
    </row>
    <row r="1879" spans="2:17" ht="15" customHeight="1">
      <c r="B1879" s="5" t="str">
        <f>_xlfn.IFNA(VLOOKUP(C1879,Master!$H:$I,2,FALSE),"")</f>
        <v/>
      </c>
      <c r="D1879" s="5" t="str">
        <f>_xlfn.IFNA(VLOOKUP(E1879,Master!$H:$I,2,FALSE),"")</f>
        <v/>
      </c>
      <c r="F1879" s="26" t="str">
        <f>+_xlfn.XLOOKUP(G1879,Master!$V$2:$V$8,Master!$U$2:$U$8,"")</f>
        <v/>
      </c>
      <c r="I1879" s="4" t="str">
        <f>_xlfn.IFNA(VLOOKUP(D1879,Master!$I:$K,2,FALSE),"")</f>
        <v/>
      </c>
      <c r="J1879" s="4" t="str">
        <f>_xlfn.IFNA(VLOOKUP(D1879,Master!$I:$K,3,FALSE),"")</f>
        <v/>
      </c>
      <c r="L1879" s="27" t="str">
        <f>IF(A1879&lt;&gt;"CFA",_xlfn.IFNA(VLOOKUP($G1879,Master!$V$2:$Z$8,5,0),""),"")</f>
        <v/>
      </c>
      <c r="P1879" s="6" t="str">
        <f t="shared" si="58"/>
        <v/>
      </c>
      <c r="Q1879" s="13">
        <f t="shared" si="59"/>
        <v>0</v>
      </c>
    </row>
    <row r="1880" spans="2:17" ht="15" customHeight="1">
      <c r="B1880" s="5" t="str">
        <f>_xlfn.IFNA(VLOOKUP(C1880,Master!$H:$I,2,FALSE),"")</f>
        <v/>
      </c>
      <c r="D1880" s="5" t="str">
        <f>_xlfn.IFNA(VLOOKUP(E1880,Master!$H:$I,2,FALSE),"")</f>
        <v/>
      </c>
      <c r="F1880" s="26" t="str">
        <f>+_xlfn.XLOOKUP(G1880,Master!$V$2:$V$8,Master!$U$2:$U$8,"")</f>
        <v/>
      </c>
      <c r="I1880" s="4" t="str">
        <f>_xlfn.IFNA(VLOOKUP(D1880,Master!$I:$K,2,FALSE),"")</f>
        <v/>
      </c>
      <c r="J1880" s="4" t="str">
        <f>_xlfn.IFNA(VLOOKUP(D1880,Master!$I:$K,3,FALSE),"")</f>
        <v/>
      </c>
      <c r="L1880" s="27" t="str">
        <f>IF(A1880&lt;&gt;"CFA",_xlfn.IFNA(VLOOKUP($G1880,Master!$V$2:$Z$8,5,0),""),"")</f>
        <v/>
      </c>
      <c r="P1880" s="6" t="str">
        <f t="shared" si="58"/>
        <v/>
      </c>
      <c r="Q1880" s="13">
        <f t="shared" si="59"/>
        <v>0</v>
      </c>
    </row>
    <row r="1881" spans="2:17" ht="15" customHeight="1">
      <c r="B1881" s="5" t="str">
        <f>_xlfn.IFNA(VLOOKUP(C1881,Master!$H:$I,2,FALSE),"")</f>
        <v/>
      </c>
      <c r="D1881" s="5" t="str">
        <f>_xlfn.IFNA(VLOOKUP(E1881,Master!$H:$I,2,FALSE),"")</f>
        <v/>
      </c>
      <c r="F1881" s="26" t="str">
        <f>+_xlfn.XLOOKUP(G1881,Master!$V$2:$V$8,Master!$U$2:$U$8,"")</f>
        <v/>
      </c>
      <c r="I1881" s="4" t="str">
        <f>_xlfn.IFNA(VLOOKUP(D1881,Master!$I:$K,2,FALSE),"")</f>
        <v/>
      </c>
      <c r="J1881" s="4" t="str">
        <f>_xlfn.IFNA(VLOOKUP(D1881,Master!$I:$K,3,FALSE),"")</f>
        <v/>
      </c>
      <c r="L1881" s="27" t="str">
        <f>IF(A1881&lt;&gt;"CFA",_xlfn.IFNA(VLOOKUP($G1881,Master!$V$2:$Z$8,5,0),""),"")</f>
        <v/>
      </c>
      <c r="P1881" s="6" t="str">
        <f t="shared" si="58"/>
        <v/>
      </c>
      <c r="Q1881" s="13">
        <f t="shared" si="59"/>
        <v>0</v>
      </c>
    </row>
    <row r="1882" spans="2:17" ht="15" customHeight="1">
      <c r="B1882" s="5" t="str">
        <f>_xlfn.IFNA(VLOOKUP(C1882,Master!$H:$I,2,FALSE),"")</f>
        <v/>
      </c>
      <c r="D1882" s="5" t="str">
        <f>_xlfn.IFNA(VLOOKUP(E1882,Master!$H:$I,2,FALSE),"")</f>
        <v/>
      </c>
      <c r="F1882" s="26" t="str">
        <f>+_xlfn.XLOOKUP(G1882,Master!$V$2:$V$8,Master!$U$2:$U$8,"")</f>
        <v/>
      </c>
      <c r="I1882" s="4" t="str">
        <f>_xlfn.IFNA(VLOOKUP(D1882,Master!$I:$K,2,FALSE),"")</f>
        <v/>
      </c>
      <c r="J1882" s="4" t="str">
        <f>_xlfn.IFNA(VLOOKUP(D1882,Master!$I:$K,3,FALSE),"")</f>
        <v/>
      </c>
      <c r="L1882" s="27" t="str">
        <f>IF(A1882&lt;&gt;"CFA",_xlfn.IFNA(VLOOKUP($G1882,Master!$V$2:$Z$8,5,0),""),"")</f>
        <v/>
      </c>
      <c r="P1882" s="6" t="str">
        <f t="shared" si="58"/>
        <v/>
      </c>
      <c r="Q1882" s="13">
        <f t="shared" si="59"/>
        <v>0</v>
      </c>
    </row>
    <row r="1883" spans="2:17" ht="15" customHeight="1">
      <c r="B1883" s="5" t="str">
        <f>_xlfn.IFNA(VLOOKUP(C1883,Master!$H:$I,2,FALSE),"")</f>
        <v/>
      </c>
      <c r="D1883" s="5" t="str">
        <f>_xlfn.IFNA(VLOOKUP(E1883,Master!$H:$I,2,FALSE),"")</f>
        <v/>
      </c>
      <c r="F1883" s="26" t="str">
        <f>+_xlfn.XLOOKUP(G1883,Master!$V$2:$V$8,Master!$U$2:$U$8,"")</f>
        <v/>
      </c>
      <c r="I1883" s="4" t="str">
        <f>_xlfn.IFNA(VLOOKUP(D1883,Master!$I:$K,2,FALSE),"")</f>
        <v/>
      </c>
      <c r="J1883" s="4" t="str">
        <f>_xlfn.IFNA(VLOOKUP(D1883,Master!$I:$K,3,FALSE),"")</f>
        <v/>
      </c>
      <c r="L1883" s="27" t="str">
        <f>IF(A1883&lt;&gt;"CFA",_xlfn.IFNA(VLOOKUP($G1883,Master!$V$2:$Z$8,5,0),""),"")</f>
        <v/>
      </c>
      <c r="P1883" s="6" t="str">
        <f t="shared" si="58"/>
        <v/>
      </c>
      <c r="Q1883" s="13">
        <f t="shared" si="59"/>
        <v>0</v>
      </c>
    </row>
    <row r="1884" spans="2:17" ht="15" customHeight="1">
      <c r="B1884" s="5" t="str">
        <f>_xlfn.IFNA(VLOOKUP(C1884,Master!$H:$I,2,FALSE),"")</f>
        <v/>
      </c>
      <c r="D1884" s="5" t="str">
        <f>_xlfn.IFNA(VLOOKUP(E1884,Master!$H:$I,2,FALSE),"")</f>
        <v/>
      </c>
      <c r="F1884" s="26" t="str">
        <f>+_xlfn.XLOOKUP(G1884,Master!$V$2:$V$8,Master!$U$2:$U$8,"")</f>
        <v/>
      </c>
      <c r="I1884" s="4" t="str">
        <f>_xlfn.IFNA(VLOOKUP(D1884,Master!$I:$K,2,FALSE),"")</f>
        <v/>
      </c>
      <c r="J1884" s="4" t="str">
        <f>_xlfn.IFNA(VLOOKUP(D1884,Master!$I:$K,3,FALSE),"")</f>
        <v/>
      </c>
      <c r="L1884" s="27" t="str">
        <f>IF(A1884&lt;&gt;"CFA",_xlfn.IFNA(VLOOKUP($G1884,Master!$V$2:$Z$8,5,0),""),"")</f>
        <v/>
      </c>
      <c r="P1884" s="6" t="str">
        <f t="shared" si="58"/>
        <v/>
      </c>
      <c r="Q1884" s="13">
        <f t="shared" si="59"/>
        <v>0</v>
      </c>
    </row>
    <row r="1885" spans="2:17" ht="15" customHeight="1">
      <c r="B1885" s="5" t="str">
        <f>_xlfn.IFNA(VLOOKUP(C1885,Master!$H:$I,2,FALSE),"")</f>
        <v/>
      </c>
      <c r="D1885" s="5" t="str">
        <f>_xlfn.IFNA(VLOOKUP(E1885,Master!$H:$I,2,FALSE),"")</f>
        <v/>
      </c>
      <c r="F1885" s="26" t="str">
        <f>+_xlfn.XLOOKUP(G1885,Master!$V$2:$V$8,Master!$U$2:$U$8,"")</f>
        <v/>
      </c>
      <c r="I1885" s="4" t="str">
        <f>_xlfn.IFNA(VLOOKUP(D1885,Master!$I:$K,2,FALSE),"")</f>
        <v/>
      </c>
      <c r="J1885" s="4" t="str">
        <f>_xlfn.IFNA(VLOOKUP(D1885,Master!$I:$K,3,FALSE),"")</f>
        <v/>
      </c>
      <c r="L1885" s="27" t="str">
        <f>IF(A1885&lt;&gt;"CFA",_xlfn.IFNA(VLOOKUP($G1885,Master!$V$2:$Z$8,5,0),""),"")</f>
        <v/>
      </c>
      <c r="P1885" s="6" t="str">
        <f t="shared" si="58"/>
        <v/>
      </c>
      <c r="Q1885" s="13">
        <f t="shared" si="59"/>
        <v>0</v>
      </c>
    </row>
    <row r="1886" spans="2:17" ht="15" customHeight="1">
      <c r="B1886" s="5" t="str">
        <f>_xlfn.IFNA(VLOOKUP(C1886,Master!$H:$I,2,FALSE),"")</f>
        <v/>
      </c>
      <c r="D1886" s="5" t="str">
        <f>_xlfn.IFNA(VLOOKUP(E1886,Master!$H:$I,2,FALSE),"")</f>
        <v/>
      </c>
      <c r="F1886" s="26" t="str">
        <f>+_xlfn.XLOOKUP(G1886,Master!$V$2:$V$8,Master!$U$2:$U$8,"")</f>
        <v/>
      </c>
      <c r="I1886" s="4" t="str">
        <f>_xlfn.IFNA(VLOOKUP(D1886,Master!$I:$K,2,FALSE),"")</f>
        <v/>
      </c>
      <c r="J1886" s="4" t="str">
        <f>_xlfn.IFNA(VLOOKUP(D1886,Master!$I:$K,3,FALSE),"")</f>
        <v/>
      </c>
      <c r="L1886" s="27" t="str">
        <f>IF(A1886&lt;&gt;"CFA",_xlfn.IFNA(VLOOKUP($G1886,Master!$V$2:$Z$8,5,0),""),"")</f>
        <v/>
      </c>
      <c r="P1886" s="6" t="str">
        <f t="shared" si="58"/>
        <v/>
      </c>
      <c r="Q1886" s="13">
        <f t="shared" si="59"/>
        <v>0</v>
      </c>
    </row>
    <row r="1887" spans="2:17" ht="15" customHeight="1">
      <c r="B1887" s="5" t="str">
        <f>_xlfn.IFNA(VLOOKUP(C1887,Master!$H:$I,2,FALSE),"")</f>
        <v/>
      </c>
      <c r="D1887" s="5" t="str">
        <f>_xlfn.IFNA(VLOOKUP(E1887,Master!$H:$I,2,FALSE),"")</f>
        <v/>
      </c>
      <c r="F1887" s="26" t="str">
        <f>+_xlfn.XLOOKUP(G1887,Master!$V$2:$V$8,Master!$U$2:$U$8,"")</f>
        <v/>
      </c>
      <c r="I1887" s="4" t="str">
        <f>_xlfn.IFNA(VLOOKUP(D1887,Master!$I:$K,2,FALSE),"")</f>
        <v/>
      </c>
      <c r="J1887" s="4" t="str">
        <f>_xlfn.IFNA(VLOOKUP(D1887,Master!$I:$K,3,FALSE),"")</f>
        <v/>
      </c>
      <c r="L1887" s="27" t="str">
        <f>IF(A1887&lt;&gt;"CFA",_xlfn.IFNA(VLOOKUP($G1887,Master!$V$2:$Z$8,5,0),""),"")</f>
        <v/>
      </c>
      <c r="P1887" s="6" t="str">
        <f t="shared" si="58"/>
        <v/>
      </c>
      <c r="Q1887" s="13">
        <f t="shared" si="59"/>
        <v>0</v>
      </c>
    </row>
    <row r="1888" spans="2:17" ht="15" customHeight="1">
      <c r="B1888" s="5" t="str">
        <f>_xlfn.IFNA(VLOOKUP(C1888,Master!$H:$I,2,FALSE),"")</f>
        <v/>
      </c>
      <c r="D1888" s="5" t="str">
        <f>_xlfn.IFNA(VLOOKUP(E1888,Master!$H:$I,2,FALSE),"")</f>
        <v/>
      </c>
      <c r="F1888" s="26" t="str">
        <f>+_xlfn.XLOOKUP(G1888,Master!$V$2:$V$8,Master!$U$2:$U$8,"")</f>
        <v/>
      </c>
      <c r="I1888" s="4" t="str">
        <f>_xlfn.IFNA(VLOOKUP(D1888,Master!$I:$K,2,FALSE),"")</f>
        <v/>
      </c>
      <c r="J1888" s="4" t="str">
        <f>_xlfn.IFNA(VLOOKUP(D1888,Master!$I:$K,3,FALSE),"")</f>
        <v/>
      </c>
      <c r="L1888" s="27" t="str">
        <f>IF(A1888&lt;&gt;"CFA",_xlfn.IFNA(VLOOKUP($G1888,Master!$V$2:$Z$8,5,0),""),"")</f>
        <v/>
      </c>
      <c r="P1888" s="6" t="str">
        <f t="shared" si="58"/>
        <v/>
      </c>
      <c r="Q1888" s="13">
        <f t="shared" si="59"/>
        <v>0</v>
      </c>
    </row>
    <row r="1889" spans="2:17" ht="15" customHeight="1">
      <c r="B1889" s="5" t="str">
        <f>_xlfn.IFNA(VLOOKUP(C1889,Master!$H:$I,2,FALSE),"")</f>
        <v/>
      </c>
      <c r="D1889" s="5" t="str">
        <f>_xlfn.IFNA(VLOOKUP(E1889,Master!$H:$I,2,FALSE),"")</f>
        <v/>
      </c>
      <c r="F1889" s="26" t="str">
        <f>+_xlfn.XLOOKUP(G1889,Master!$V$2:$V$8,Master!$U$2:$U$8,"")</f>
        <v/>
      </c>
      <c r="I1889" s="4" t="str">
        <f>_xlfn.IFNA(VLOOKUP(D1889,Master!$I:$K,2,FALSE),"")</f>
        <v/>
      </c>
      <c r="J1889" s="4" t="str">
        <f>_xlfn.IFNA(VLOOKUP(D1889,Master!$I:$K,3,FALSE),"")</f>
        <v/>
      </c>
      <c r="L1889" s="27" t="str">
        <f>IF(A1889&lt;&gt;"CFA",_xlfn.IFNA(VLOOKUP($G1889,Master!$V$2:$Z$8,5,0),""),"")</f>
        <v/>
      </c>
      <c r="P1889" s="6" t="str">
        <f t="shared" si="58"/>
        <v/>
      </c>
      <c r="Q1889" s="13">
        <f t="shared" si="59"/>
        <v>0</v>
      </c>
    </row>
    <row r="1890" spans="2:17" ht="15" customHeight="1">
      <c r="B1890" s="5" t="str">
        <f>_xlfn.IFNA(VLOOKUP(C1890,Master!$H:$I,2,FALSE),"")</f>
        <v/>
      </c>
      <c r="D1890" s="5" t="str">
        <f>_xlfn.IFNA(VLOOKUP(E1890,Master!$H:$I,2,FALSE),"")</f>
        <v/>
      </c>
      <c r="F1890" s="26" t="str">
        <f>+_xlfn.XLOOKUP(G1890,Master!$V$2:$V$8,Master!$U$2:$U$8,"")</f>
        <v/>
      </c>
      <c r="I1890" s="4" t="str">
        <f>_xlfn.IFNA(VLOOKUP(D1890,Master!$I:$K,2,FALSE),"")</f>
        <v/>
      </c>
      <c r="J1890" s="4" t="str">
        <f>_xlfn.IFNA(VLOOKUP(D1890,Master!$I:$K,3,FALSE),"")</f>
        <v/>
      </c>
      <c r="L1890" s="27" t="str">
        <f>IF(A1890&lt;&gt;"CFA",_xlfn.IFNA(VLOOKUP($G1890,Master!$V$2:$Z$8,5,0),""),"")</f>
        <v/>
      </c>
      <c r="P1890" s="6" t="str">
        <f t="shared" si="58"/>
        <v/>
      </c>
      <c r="Q1890" s="13">
        <f t="shared" si="59"/>
        <v>0</v>
      </c>
    </row>
    <row r="1891" spans="2:17" ht="15" customHeight="1">
      <c r="B1891" s="5" t="str">
        <f>_xlfn.IFNA(VLOOKUP(C1891,Master!$H:$I,2,FALSE),"")</f>
        <v/>
      </c>
      <c r="D1891" s="5" t="str">
        <f>_xlfn.IFNA(VLOOKUP(E1891,Master!$H:$I,2,FALSE),"")</f>
        <v/>
      </c>
      <c r="F1891" s="26" t="str">
        <f>+_xlfn.XLOOKUP(G1891,Master!$V$2:$V$8,Master!$U$2:$U$8,"")</f>
        <v/>
      </c>
      <c r="I1891" s="4" t="str">
        <f>_xlfn.IFNA(VLOOKUP(D1891,Master!$I:$K,2,FALSE),"")</f>
        <v/>
      </c>
      <c r="J1891" s="4" t="str">
        <f>_xlfn.IFNA(VLOOKUP(D1891,Master!$I:$K,3,FALSE),"")</f>
        <v/>
      </c>
      <c r="L1891" s="27" t="str">
        <f>IF(A1891&lt;&gt;"CFA",_xlfn.IFNA(VLOOKUP($G1891,Master!$V$2:$Z$8,5,0),""),"")</f>
        <v/>
      </c>
      <c r="P1891" s="6" t="str">
        <f t="shared" si="58"/>
        <v/>
      </c>
      <c r="Q1891" s="13">
        <f t="shared" si="59"/>
        <v>0</v>
      </c>
    </row>
    <row r="1892" spans="2:17" ht="15" customHeight="1">
      <c r="B1892" s="5" t="str">
        <f>_xlfn.IFNA(VLOOKUP(C1892,Master!$H:$I,2,FALSE),"")</f>
        <v/>
      </c>
      <c r="D1892" s="5" t="str">
        <f>_xlfn.IFNA(VLOOKUP(E1892,Master!$H:$I,2,FALSE),"")</f>
        <v/>
      </c>
      <c r="F1892" s="26" t="str">
        <f>+_xlfn.XLOOKUP(G1892,Master!$V$2:$V$8,Master!$U$2:$U$8,"")</f>
        <v/>
      </c>
      <c r="I1892" s="4" t="str">
        <f>_xlfn.IFNA(VLOOKUP(D1892,Master!$I:$K,2,FALSE),"")</f>
        <v/>
      </c>
      <c r="J1892" s="4" t="str">
        <f>_xlfn.IFNA(VLOOKUP(D1892,Master!$I:$K,3,FALSE),"")</f>
        <v/>
      </c>
      <c r="L1892" s="27" t="str">
        <f>IF(A1892&lt;&gt;"CFA",_xlfn.IFNA(VLOOKUP($G1892,Master!$V$2:$Z$8,5,0),""),"")</f>
        <v/>
      </c>
      <c r="P1892" s="6" t="str">
        <f t="shared" si="58"/>
        <v/>
      </c>
      <c r="Q1892" s="13">
        <f t="shared" si="59"/>
        <v>0</v>
      </c>
    </row>
    <row r="1893" spans="2:17" ht="15" customHeight="1">
      <c r="B1893" s="5" t="str">
        <f>_xlfn.IFNA(VLOOKUP(C1893,Master!$H:$I,2,FALSE),"")</f>
        <v/>
      </c>
      <c r="D1893" s="5" t="str">
        <f>_xlfn.IFNA(VLOOKUP(E1893,Master!$H:$I,2,FALSE),"")</f>
        <v/>
      </c>
      <c r="F1893" s="26" t="str">
        <f>+_xlfn.XLOOKUP(G1893,Master!$V$2:$V$8,Master!$U$2:$U$8,"")</f>
        <v/>
      </c>
      <c r="I1893" s="4" t="str">
        <f>_xlfn.IFNA(VLOOKUP(D1893,Master!$I:$K,2,FALSE),"")</f>
        <v/>
      </c>
      <c r="J1893" s="4" t="str">
        <f>_xlfn.IFNA(VLOOKUP(D1893,Master!$I:$K,3,FALSE),"")</f>
        <v/>
      </c>
      <c r="L1893" s="27" t="str">
        <f>IF(A1893&lt;&gt;"CFA",_xlfn.IFNA(VLOOKUP($G1893,Master!$V$2:$Z$8,5,0),""),"")</f>
        <v/>
      </c>
      <c r="P1893" s="6" t="str">
        <f t="shared" si="58"/>
        <v/>
      </c>
      <c r="Q1893" s="13">
        <f t="shared" si="59"/>
        <v>0</v>
      </c>
    </row>
    <row r="1894" spans="2:17" ht="15" customHeight="1">
      <c r="B1894" s="5" t="str">
        <f>_xlfn.IFNA(VLOOKUP(C1894,Master!$H:$I,2,FALSE),"")</f>
        <v/>
      </c>
      <c r="D1894" s="5" t="str">
        <f>_xlfn.IFNA(VLOOKUP(E1894,Master!$H:$I,2,FALSE),"")</f>
        <v/>
      </c>
      <c r="F1894" s="26" t="str">
        <f>+_xlfn.XLOOKUP(G1894,Master!$V$2:$V$8,Master!$U$2:$U$8,"")</f>
        <v/>
      </c>
      <c r="I1894" s="4" t="str">
        <f>_xlfn.IFNA(VLOOKUP(D1894,Master!$I:$K,2,FALSE),"")</f>
        <v/>
      </c>
      <c r="J1894" s="4" t="str">
        <f>_xlfn.IFNA(VLOOKUP(D1894,Master!$I:$K,3,FALSE),"")</f>
        <v/>
      </c>
      <c r="L1894" s="27" t="str">
        <f>IF(A1894&lt;&gt;"CFA",_xlfn.IFNA(VLOOKUP($G1894,Master!$V$2:$Z$8,5,0),""),"")</f>
        <v/>
      </c>
      <c r="P1894" s="6" t="str">
        <f t="shared" si="58"/>
        <v/>
      </c>
      <c r="Q1894" s="13">
        <f t="shared" si="59"/>
        <v>0</v>
      </c>
    </row>
    <row r="1895" spans="2:17" ht="15" customHeight="1">
      <c r="B1895" s="5" t="str">
        <f>_xlfn.IFNA(VLOOKUP(C1895,Master!$H:$I,2,FALSE),"")</f>
        <v/>
      </c>
      <c r="D1895" s="5" t="str">
        <f>_xlfn.IFNA(VLOOKUP(E1895,Master!$H:$I,2,FALSE),"")</f>
        <v/>
      </c>
      <c r="F1895" s="26" t="str">
        <f>+_xlfn.XLOOKUP(G1895,Master!$V$2:$V$8,Master!$U$2:$U$8,"")</f>
        <v/>
      </c>
      <c r="I1895" s="4" t="str">
        <f>_xlfn.IFNA(VLOOKUP(D1895,Master!$I:$K,2,FALSE),"")</f>
        <v/>
      </c>
      <c r="J1895" s="4" t="str">
        <f>_xlfn.IFNA(VLOOKUP(D1895,Master!$I:$K,3,FALSE),"")</f>
        <v/>
      </c>
      <c r="L1895" s="27" t="str">
        <f>IF(A1895&lt;&gt;"CFA",_xlfn.IFNA(VLOOKUP($G1895,Master!$V$2:$Z$8,5,0),""),"")</f>
        <v/>
      </c>
      <c r="P1895" s="6" t="str">
        <f t="shared" si="58"/>
        <v/>
      </c>
      <c r="Q1895" s="13">
        <f t="shared" si="59"/>
        <v>0</v>
      </c>
    </row>
    <row r="1896" spans="2:17" ht="15" customHeight="1">
      <c r="B1896" s="5" t="str">
        <f>_xlfn.IFNA(VLOOKUP(C1896,Master!$H:$I,2,FALSE),"")</f>
        <v/>
      </c>
      <c r="D1896" s="5" t="str">
        <f>_xlfn.IFNA(VLOOKUP(E1896,Master!$H:$I,2,FALSE),"")</f>
        <v/>
      </c>
      <c r="F1896" s="26" t="str">
        <f>+_xlfn.XLOOKUP(G1896,Master!$V$2:$V$8,Master!$U$2:$U$8,"")</f>
        <v/>
      </c>
      <c r="I1896" s="4" t="str">
        <f>_xlfn.IFNA(VLOOKUP(D1896,Master!$I:$K,2,FALSE),"")</f>
        <v/>
      </c>
      <c r="J1896" s="4" t="str">
        <f>_xlfn.IFNA(VLOOKUP(D1896,Master!$I:$K,3,FALSE),"")</f>
        <v/>
      </c>
      <c r="L1896" s="27" t="str">
        <f>IF(A1896&lt;&gt;"CFA",_xlfn.IFNA(VLOOKUP($G1896,Master!$V$2:$Z$8,5,0),""),"")</f>
        <v/>
      </c>
      <c r="P1896" s="6" t="str">
        <f t="shared" si="58"/>
        <v/>
      </c>
      <c r="Q1896" s="13">
        <f t="shared" si="59"/>
        <v>0</v>
      </c>
    </row>
    <row r="1897" spans="2:17" ht="15" customHeight="1">
      <c r="B1897" s="5" t="str">
        <f>_xlfn.IFNA(VLOOKUP(C1897,Master!$H:$I,2,FALSE),"")</f>
        <v/>
      </c>
      <c r="D1897" s="5" t="str">
        <f>_xlfn.IFNA(VLOOKUP(E1897,Master!$H:$I,2,FALSE),"")</f>
        <v/>
      </c>
      <c r="F1897" s="26" t="str">
        <f>+_xlfn.XLOOKUP(G1897,Master!$V$2:$V$8,Master!$U$2:$U$8,"")</f>
        <v/>
      </c>
      <c r="I1897" s="4" t="str">
        <f>_xlfn.IFNA(VLOOKUP(D1897,Master!$I:$K,2,FALSE),"")</f>
        <v/>
      </c>
      <c r="J1897" s="4" t="str">
        <f>_xlfn.IFNA(VLOOKUP(D1897,Master!$I:$K,3,FALSE),"")</f>
        <v/>
      </c>
      <c r="L1897" s="27" t="str">
        <f>IF(A1897&lt;&gt;"CFA",_xlfn.IFNA(VLOOKUP($G1897,Master!$V$2:$Z$8,5,0),""),"")</f>
        <v/>
      </c>
      <c r="P1897" s="6" t="str">
        <f t="shared" si="58"/>
        <v/>
      </c>
      <c r="Q1897" s="13">
        <f t="shared" si="59"/>
        <v>0</v>
      </c>
    </row>
    <row r="1898" spans="2:17" ht="15" customHeight="1">
      <c r="B1898" s="5" t="str">
        <f>_xlfn.IFNA(VLOOKUP(C1898,Master!$H:$I,2,FALSE),"")</f>
        <v/>
      </c>
      <c r="D1898" s="5" t="str">
        <f>_xlfn.IFNA(VLOOKUP(E1898,Master!$H:$I,2,FALSE),"")</f>
        <v/>
      </c>
      <c r="F1898" s="26" t="str">
        <f>+_xlfn.XLOOKUP(G1898,Master!$V$2:$V$8,Master!$U$2:$U$8,"")</f>
        <v/>
      </c>
      <c r="I1898" s="4" t="str">
        <f>_xlfn.IFNA(VLOOKUP(D1898,Master!$I:$K,2,FALSE),"")</f>
        <v/>
      </c>
      <c r="J1898" s="4" t="str">
        <f>_xlfn.IFNA(VLOOKUP(D1898,Master!$I:$K,3,FALSE),"")</f>
        <v/>
      </c>
      <c r="L1898" s="27" t="str">
        <f>IF(A1898&lt;&gt;"CFA",_xlfn.IFNA(VLOOKUP($G1898,Master!$V$2:$Z$8,5,0),""),"")</f>
        <v/>
      </c>
      <c r="P1898" s="6" t="str">
        <f t="shared" si="58"/>
        <v/>
      </c>
      <c r="Q1898" s="13">
        <f t="shared" si="59"/>
        <v>0</v>
      </c>
    </row>
    <row r="1899" spans="2:17" ht="15" customHeight="1">
      <c r="B1899" s="5" t="str">
        <f>_xlfn.IFNA(VLOOKUP(C1899,Master!$H:$I,2,FALSE),"")</f>
        <v/>
      </c>
      <c r="D1899" s="5" t="str">
        <f>_xlfn.IFNA(VLOOKUP(E1899,Master!$H:$I,2,FALSE),"")</f>
        <v/>
      </c>
      <c r="F1899" s="26" t="str">
        <f>+_xlfn.XLOOKUP(G1899,Master!$V$2:$V$8,Master!$U$2:$U$8,"")</f>
        <v/>
      </c>
      <c r="I1899" s="4" t="str">
        <f>_xlfn.IFNA(VLOOKUP(D1899,Master!$I:$K,2,FALSE),"")</f>
        <v/>
      </c>
      <c r="J1899" s="4" t="str">
        <f>_xlfn.IFNA(VLOOKUP(D1899,Master!$I:$K,3,FALSE),"")</f>
        <v/>
      </c>
      <c r="L1899" s="27" t="str">
        <f>IF(A1899&lt;&gt;"CFA",_xlfn.IFNA(VLOOKUP($G1899,Master!$V$2:$Z$8,5,0),""),"")</f>
        <v/>
      </c>
      <c r="P1899" s="6" t="str">
        <f t="shared" si="58"/>
        <v/>
      </c>
      <c r="Q1899" s="13">
        <f t="shared" si="59"/>
        <v>0</v>
      </c>
    </row>
    <row r="1900" spans="2:17" ht="15" customHeight="1">
      <c r="B1900" s="5" t="str">
        <f>_xlfn.IFNA(VLOOKUP(C1900,Master!$H:$I,2,FALSE),"")</f>
        <v/>
      </c>
      <c r="D1900" s="5" t="str">
        <f>_xlfn.IFNA(VLOOKUP(E1900,Master!$H:$I,2,FALSE),"")</f>
        <v/>
      </c>
      <c r="F1900" s="26" t="str">
        <f>+_xlfn.XLOOKUP(G1900,Master!$V$2:$V$8,Master!$U$2:$U$8,"")</f>
        <v/>
      </c>
      <c r="I1900" s="4" t="str">
        <f>_xlfn.IFNA(VLOOKUP(D1900,Master!$I:$K,2,FALSE),"")</f>
        <v/>
      </c>
      <c r="J1900" s="4" t="str">
        <f>_xlfn.IFNA(VLOOKUP(D1900,Master!$I:$K,3,FALSE),"")</f>
        <v/>
      </c>
      <c r="L1900" s="27" t="str">
        <f>IF(A1900&lt;&gt;"CFA",_xlfn.IFNA(VLOOKUP($G1900,Master!$V$2:$Z$8,5,0),""),"")</f>
        <v/>
      </c>
      <c r="P1900" s="6" t="str">
        <f t="shared" si="58"/>
        <v/>
      </c>
      <c r="Q1900" s="13">
        <f t="shared" si="59"/>
        <v>0</v>
      </c>
    </row>
    <row r="1901" spans="2:17" ht="15" customHeight="1">
      <c r="B1901" s="5" t="str">
        <f>_xlfn.IFNA(VLOOKUP(C1901,Master!$H:$I,2,FALSE),"")</f>
        <v/>
      </c>
      <c r="D1901" s="5" t="str">
        <f>_xlfn.IFNA(VLOOKUP(E1901,Master!$H:$I,2,FALSE),"")</f>
        <v/>
      </c>
      <c r="F1901" s="26" t="str">
        <f>+_xlfn.XLOOKUP(G1901,Master!$V$2:$V$8,Master!$U$2:$U$8,"")</f>
        <v/>
      </c>
      <c r="I1901" s="4" t="str">
        <f>_xlfn.IFNA(VLOOKUP(D1901,Master!$I:$K,2,FALSE),"")</f>
        <v/>
      </c>
      <c r="J1901" s="4" t="str">
        <f>_xlfn.IFNA(VLOOKUP(D1901,Master!$I:$K,3,FALSE),"")</f>
        <v/>
      </c>
      <c r="L1901" s="27" t="str">
        <f>IF(A1901&lt;&gt;"CFA",_xlfn.IFNA(VLOOKUP($G1901,Master!$V$2:$Z$8,5,0),""),"")</f>
        <v/>
      </c>
      <c r="P1901" s="6" t="str">
        <f t="shared" si="58"/>
        <v/>
      </c>
      <c r="Q1901" s="13">
        <f t="shared" si="59"/>
        <v>0</v>
      </c>
    </row>
    <row r="1902" spans="2:17" ht="15" customHeight="1">
      <c r="B1902" s="5" t="str">
        <f>_xlfn.IFNA(VLOOKUP(C1902,Master!$H:$I,2,FALSE),"")</f>
        <v/>
      </c>
      <c r="D1902" s="5" t="str">
        <f>_xlfn.IFNA(VLOOKUP(E1902,Master!$H:$I,2,FALSE),"")</f>
        <v/>
      </c>
      <c r="F1902" s="26" t="str">
        <f>+_xlfn.XLOOKUP(G1902,Master!$V$2:$V$8,Master!$U$2:$U$8,"")</f>
        <v/>
      </c>
      <c r="I1902" s="4" t="str">
        <f>_xlfn.IFNA(VLOOKUP(D1902,Master!$I:$K,2,FALSE),"")</f>
        <v/>
      </c>
      <c r="J1902" s="4" t="str">
        <f>_xlfn.IFNA(VLOOKUP(D1902,Master!$I:$K,3,FALSE),"")</f>
        <v/>
      </c>
      <c r="L1902" s="27" t="str">
        <f>IF(A1902&lt;&gt;"CFA",_xlfn.IFNA(VLOOKUP($G1902,Master!$V$2:$Z$8,5,0),""),"")</f>
        <v/>
      </c>
      <c r="P1902" s="6" t="str">
        <f t="shared" si="58"/>
        <v/>
      </c>
      <c r="Q1902" s="13">
        <f t="shared" si="59"/>
        <v>0</v>
      </c>
    </row>
    <row r="1903" spans="2:17" ht="15" customHeight="1">
      <c r="B1903" s="5" t="str">
        <f>_xlfn.IFNA(VLOOKUP(C1903,Master!$H:$I,2,FALSE),"")</f>
        <v/>
      </c>
      <c r="D1903" s="5" t="str">
        <f>_xlfn.IFNA(VLOOKUP(E1903,Master!$H:$I,2,FALSE),"")</f>
        <v/>
      </c>
      <c r="F1903" s="26" t="str">
        <f>+_xlfn.XLOOKUP(G1903,Master!$V$2:$V$8,Master!$U$2:$U$8,"")</f>
        <v/>
      </c>
      <c r="I1903" s="4" t="str">
        <f>_xlfn.IFNA(VLOOKUP(D1903,Master!$I:$K,2,FALSE),"")</f>
        <v/>
      </c>
      <c r="J1903" s="4" t="str">
        <f>_xlfn.IFNA(VLOOKUP(D1903,Master!$I:$K,3,FALSE),"")</f>
        <v/>
      </c>
      <c r="L1903" s="27" t="str">
        <f>IF(A1903&lt;&gt;"CFA",_xlfn.IFNA(VLOOKUP($G1903,Master!$V$2:$Z$8,5,0),""),"")</f>
        <v/>
      </c>
      <c r="P1903" s="6" t="str">
        <f t="shared" si="58"/>
        <v/>
      </c>
      <c r="Q1903" s="13">
        <f t="shared" si="59"/>
        <v>0</v>
      </c>
    </row>
    <row r="1904" spans="2:17" ht="15" customHeight="1">
      <c r="B1904" s="5" t="str">
        <f>_xlfn.IFNA(VLOOKUP(C1904,Master!$H:$I,2,FALSE),"")</f>
        <v/>
      </c>
      <c r="D1904" s="5" t="str">
        <f>_xlfn.IFNA(VLOOKUP(E1904,Master!$H:$I,2,FALSE),"")</f>
        <v/>
      </c>
      <c r="F1904" s="26" t="str">
        <f>+_xlfn.XLOOKUP(G1904,Master!$V$2:$V$8,Master!$U$2:$U$8,"")</f>
        <v/>
      </c>
      <c r="I1904" s="4" t="str">
        <f>_xlfn.IFNA(VLOOKUP(D1904,Master!$I:$K,2,FALSE),"")</f>
        <v/>
      </c>
      <c r="J1904" s="4" t="str">
        <f>_xlfn.IFNA(VLOOKUP(D1904,Master!$I:$K,3,FALSE),"")</f>
        <v/>
      </c>
      <c r="L1904" s="27" t="str">
        <f>IF(A1904&lt;&gt;"CFA",_xlfn.IFNA(VLOOKUP($G1904,Master!$V$2:$Z$8,5,0),""),"")</f>
        <v/>
      </c>
      <c r="P1904" s="6" t="str">
        <f t="shared" si="58"/>
        <v/>
      </c>
      <c r="Q1904" s="13">
        <f t="shared" si="59"/>
        <v>0</v>
      </c>
    </row>
    <row r="1905" spans="2:17" ht="15" customHeight="1">
      <c r="B1905" s="5" t="str">
        <f>_xlfn.IFNA(VLOOKUP(C1905,Master!$H:$I,2,FALSE),"")</f>
        <v/>
      </c>
      <c r="D1905" s="5" t="str">
        <f>_xlfn.IFNA(VLOOKUP(E1905,Master!$H:$I,2,FALSE),"")</f>
        <v/>
      </c>
      <c r="F1905" s="26" t="str">
        <f>+_xlfn.XLOOKUP(G1905,Master!$V$2:$V$8,Master!$U$2:$U$8,"")</f>
        <v/>
      </c>
      <c r="I1905" s="4" t="str">
        <f>_xlfn.IFNA(VLOOKUP(D1905,Master!$I:$K,2,FALSE),"")</f>
        <v/>
      </c>
      <c r="J1905" s="4" t="str">
        <f>_xlfn.IFNA(VLOOKUP(D1905,Master!$I:$K,3,FALSE),"")</f>
        <v/>
      </c>
      <c r="L1905" s="27" t="str">
        <f>IF(A1905&lt;&gt;"CFA",_xlfn.IFNA(VLOOKUP($G1905,Master!$V$2:$Z$8,5,0),""),"")</f>
        <v/>
      </c>
      <c r="P1905" s="6" t="str">
        <f t="shared" si="58"/>
        <v/>
      </c>
      <c r="Q1905" s="13">
        <f t="shared" si="59"/>
        <v>0</v>
      </c>
    </row>
    <row r="1906" spans="2:17" ht="15" customHeight="1">
      <c r="B1906" s="5" t="str">
        <f>_xlfn.IFNA(VLOOKUP(C1906,Master!$H:$I,2,FALSE),"")</f>
        <v/>
      </c>
      <c r="D1906" s="5" t="str">
        <f>_xlfn.IFNA(VLOOKUP(E1906,Master!$H:$I,2,FALSE),"")</f>
        <v/>
      </c>
      <c r="F1906" s="26" t="str">
        <f>+_xlfn.XLOOKUP(G1906,Master!$V$2:$V$8,Master!$U$2:$U$8,"")</f>
        <v/>
      </c>
      <c r="I1906" s="4" t="str">
        <f>_xlfn.IFNA(VLOOKUP(D1906,Master!$I:$K,2,FALSE),"")</f>
        <v/>
      </c>
      <c r="J1906" s="4" t="str">
        <f>_xlfn.IFNA(VLOOKUP(D1906,Master!$I:$K,3,FALSE),"")</f>
        <v/>
      </c>
      <c r="L1906" s="27" t="str">
        <f>IF(A1906&lt;&gt;"CFA",_xlfn.IFNA(VLOOKUP($G1906,Master!$V$2:$Z$8,5,0),""),"")</f>
        <v/>
      </c>
      <c r="P1906" s="6" t="str">
        <f t="shared" si="58"/>
        <v/>
      </c>
      <c r="Q1906" s="13">
        <f t="shared" si="59"/>
        <v>0</v>
      </c>
    </row>
    <row r="1907" spans="2:17" ht="15" customHeight="1">
      <c r="B1907" s="5" t="str">
        <f>_xlfn.IFNA(VLOOKUP(C1907,Master!$H:$I,2,FALSE),"")</f>
        <v/>
      </c>
      <c r="D1907" s="5" t="str">
        <f>_xlfn.IFNA(VLOOKUP(E1907,Master!$H:$I,2,FALSE),"")</f>
        <v/>
      </c>
      <c r="F1907" s="26" t="str">
        <f>+_xlfn.XLOOKUP(G1907,Master!$V$2:$V$8,Master!$U$2:$U$8,"")</f>
        <v/>
      </c>
      <c r="I1907" s="4" t="str">
        <f>_xlfn.IFNA(VLOOKUP(D1907,Master!$I:$K,2,FALSE),"")</f>
        <v/>
      </c>
      <c r="J1907" s="4" t="str">
        <f>_xlfn.IFNA(VLOOKUP(D1907,Master!$I:$K,3,FALSE),"")</f>
        <v/>
      </c>
      <c r="L1907" s="27" t="str">
        <f>IF(A1907&lt;&gt;"CFA",_xlfn.IFNA(VLOOKUP($G1907,Master!$V$2:$Z$8,5,0),""),"")</f>
        <v/>
      </c>
      <c r="P1907" s="6" t="str">
        <f t="shared" si="58"/>
        <v/>
      </c>
      <c r="Q1907" s="13">
        <f t="shared" si="59"/>
        <v>0</v>
      </c>
    </row>
    <row r="1908" spans="2:17" ht="15" customHeight="1">
      <c r="B1908" s="5" t="str">
        <f>_xlfn.IFNA(VLOOKUP(C1908,Master!$H:$I,2,FALSE),"")</f>
        <v/>
      </c>
      <c r="D1908" s="5" t="str">
        <f>_xlfn.IFNA(VLOOKUP(E1908,Master!$H:$I,2,FALSE),"")</f>
        <v/>
      </c>
      <c r="F1908" s="26" t="str">
        <f>+_xlfn.XLOOKUP(G1908,Master!$V$2:$V$8,Master!$U$2:$U$8,"")</f>
        <v/>
      </c>
      <c r="I1908" s="4" t="str">
        <f>_xlfn.IFNA(VLOOKUP(D1908,Master!$I:$K,2,FALSE),"")</f>
        <v/>
      </c>
      <c r="J1908" s="4" t="str">
        <f>_xlfn.IFNA(VLOOKUP(D1908,Master!$I:$K,3,FALSE),"")</f>
        <v/>
      </c>
      <c r="L1908" s="27" t="str">
        <f>IF(A1908&lt;&gt;"CFA",_xlfn.IFNA(VLOOKUP($G1908,Master!$V$2:$Z$8,5,0),""),"")</f>
        <v/>
      </c>
      <c r="P1908" s="6" t="str">
        <f t="shared" si="58"/>
        <v/>
      </c>
      <c r="Q1908" s="13">
        <f t="shared" si="59"/>
        <v>0</v>
      </c>
    </row>
    <row r="1909" spans="2:17" ht="15" customHeight="1">
      <c r="B1909" s="5" t="str">
        <f>_xlfn.IFNA(VLOOKUP(C1909,Master!$H:$I,2,FALSE),"")</f>
        <v/>
      </c>
      <c r="D1909" s="5" t="str">
        <f>_xlfn.IFNA(VLOOKUP(E1909,Master!$H:$I,2,FALSE),"")</f>
        <v/>
      </c>
      <c r="F1909" s="26" t="str">
        <f>+_xlfn.XLOOKUP(G1909,Master!$V$2:$V$8,Master!$U$2:$U$8,"")</f>
        <v/>
      </c>
      <c r="I1909" s="4" t="str">
        <f>_xlfn.IFNA(VLOOKUP(D1909,Master!$I:$K,2,FALSE),"")</f>
        <v/>
      </c>
      <c r="J1909" s="4" t="str">
        <f>_xlfn.IFNA(VLOOKUP(D1909,Master!$I:$K,3,FALSE),"")</f>
        <v/>
      </c>
      <c r="L1909" s="27" t="str">
        <f>IF(A1909&lt;&gt;"CFA",_xlfn.IFNA(VLOOKUP($G1909,Master!$V$2:$Z$8,5,0),""),"")</f>
        <v/>
      </c>
      <c r="P1909" s="6" t="str">
        <f t="shared" si="58"/>
        <v/>
      </c>
      <c r="Q1909" s="13">
        <f t="shared" si="59"/>
        <v>0</v>
      </c>
    </row>
    <row r="1910" spans="2:17" ht="15" customHeight="1">
      <c r="B1910" s="5" t="str">
        <f>_xlfn.IFNA(VLOOKUP(C1910,Master!$H:$I,2,FALSE),"")</f>
        <v/>
      </c>
      <c r="D1910" s="5" t="str">
        <f>_xlfn.IFNA(VLOOKUP(E1910,Master!$H:$I,2,FALSE),"")</f>
        <v/>
      </c>
      <c r="F1910" s="26" t="str">
        <f>+_xlfn.XLOOKUP(G1910,Master!$V$2:$V$8,Master!$U$2:$U$8,"")</f>
        <v/>
      </c>
      <c r="I1910" s="4" t="str">
        <f>_xlfn.IFNA(VLOOKUP(D1910,Master!$I:$K,2,FALSE),"")</f>
        <v/>
      </c>
      <c r="J1910" s="4" t="str">
        <f>_xlfn.IFNA(VLOOKUP(D1910,Master!$I:$K,3,FALSE),"")</f>
        <v/>
      </c>
      <c r="L1910" s="27" t="str">
        <f>IF(A1910&lt;&gt;"CFA",_xlfn.IFNA(VLOOKUP($G1910,Master!$V$2:$Z$8,5,0),""),"")</f>
        <v/>
      </c>
      <c r="P1910" s="6" t="str">
        <f t="shared" si="58"/>
        <v/>
      </c>
      <c r="Q1910" s="13">
        <f t="shared" si="59"/>
        <v>0</v>
      </c>
    </row>
    <row r="1911" spans="2:17" ht="15" customHeight="1">
      <c r="B1911" s="5" t="str">
        <f>_xlfn.IFNA(VLOOKUP(C1911,Master!$H:$I,2,FALSE),"")</f>
        <v/>
      </c>
      <c r="D1911" s="5" t="str">
        <f>_xlfn.IFNA(VLOOKUP(E1911,Master!$H:$I,2,FALSE),"")</f>
        <v/>
      </c>
      <c r="F1911" s="26" t="str">
        <f>+_xlfn.XLOOKUP(G1911,Master!$V$2:$V$8,Master!$U$2:$U$8,"")</f>
        <v/>
      </c>
      <c r="I1911" s="4" t="str">
        <f>_xlfn.IFNA(VLOOKUP(D1911,Master!$I:$K,2,FALSE),"")</f>
        <v/>
      </c>
      <c r="J1911" s="4" t="str">
        <f>_xlfn.IFNA(VLOOKUP(D1911,Master!$I:$K,3,FALSE),"")</f>
        <v/>
      </c>
      <c r="L1911" s="27" t="str">
        <f>IF(A1911&lt;&gt;"CFA",_xlfn.IFNA(VLOOKUP($G1911,Master!$V$2:$Z$8,5,0),""),"")</f>
        <v/>
      </c>
      <c r="P1911" s="6" t="str">
        <f t="shared" ref="P1911:P1974" si="60">IF(N1911&lt;&gt;"",IF(MONTH(N1911)&gt;=4,"FY1"&amp;RIGHT(YEAR(N1911)+1,2),"FY1"&amp;RIGHT(YEAR(N1911),2)),"")</f>
        <v/>
      </c>
      <c r="Q1911" s="13">
        <f t="shared" ref="Q1911:Q1974" si="61">IF(K1911&gt;0&amp;M1911&gt;0,K1911*M1911,"")</f>
        <v>0</v>
      </c>
    </row>
    <row r="1912" spans="2:17" ht="15" customHeight="1">
      <c r="B1912" s="5" t="str">
        <f>_xlfn.IFNA(VLOOKUP(C1912,Master!$H:$I,2,FALSE),"")</f>
        <v/>
      </c>
      <c r="D1912" s="5" t="str">
        <f>_xlfn.IFNA(VLOOKUP(E1912,Master!$H:$I,2,FALSE),"")</f>
        <v/>
      </c>
      <c r="F1912" s="26" t="str">
        <f>+_xlfn.XLOOKUP(G1912,Master!$V$2:$V$8,Master!$U$2:$U$8,"")</f>
        <v/>
      </c>
      <c r="I1912" s="4" t="str">
        <f>_xlfn.IFNA(VLOOKUP(D1912,Master!$I:$K,2,FALSE),"")</f>
        <v/>
      </c>
      <c r="J1912" s="4" t="str">
        <f>_xlfn.IFNA(VLOOKUP(D1912,Master!$I:$K,3,FALSE),"")</f>
        <v/>
      </c>
      <c r="L1912" s="27" t="str">
        <f>IF(A1912&lt;&gt;"CFA",_xlfn.IFNA(VLOOKUP($G1912,Master!$V$2:$Z$8,5,0),""),"")</f>
        <v/>
      </c>
      <c r="P1912" s="6" t="str">
        <f t="shared" si="60"/>
        <v/>
      </c>
      <c r="Q1912" s="13">
        <f t="shared" si="61"/>
        <v>0</v>
      </c>
    </row>
    <row r="1913" spans="2:17" ht="15" customHeight="1">
      <c r="B1913" s="5" t="str">
        <f>_xlfn.IFNA(VLOOKUP(C1913,Master!$H:$I,2,FALSE),"")</f>
        <v/>
      </c>
      <c r="D1913" s="5" t="str">
        <f>_xlfn.IFNA(VLOOKUP(E1913,Master!$H:$I,2,FALSE),"")</f>
        <v/>
      </c>
      <c r="F1913" s="26" t="str">
        <f>+_xlfn.XLOOKUP(G1913,Master!$V$2:$V$8,Master!$U$2:$U$8,"")</f>
        <v/>
      </c>
      <c r="I1913" s="4" t="str">
        <f>_xlfn.IFNA(VLOOKUP(D1913,Master!$I:$K,2,FALSE),"")</f>
        <v/>
      </c>
      <c r="J1913" s="4" t="str">
        <f>_xlfn.IFNA(VLOOKUP(D1913,Master!$I:$K,3,FALSE),"")</f>
        <v/>
      </c>
      <c r="L1913" s="27" t="str">
        <f>IF(A1913&lt;&gt;"CFA",_xlfn.IFNA(VLOOKUP($G1913,Master!$V$2:$Z$8,5,0),""),"")</f>
        <v/>
      </c>
      <c r="P1913" s="6" t="str">
        <f t="shared" si="60"/>
        <v/>
      </c>
      <c r="Q1913" s="13">
        <f t="shared" si="61"/>
        <v>0</v>
      </c>
    </row>
    <row r="1914" spans="2:17" ht="15" customHeight="1">
      <c r="B1914" s="5" t="str">
        <f>_xlfn.IFNA(VLOOKUP(C1914,Master!$H:$I,2,FALSE),"")</f>
        <v/>
      </c>
      <c r="D1914" s="5" t="str">
        <f>_xlfn.IFNA(VLOOKUP(E1914,Master!$H:$I,2,FALSE),"")</f>
        <v/>
      </c>
      <c r="F1914" s="26" t="str">
        <f>+_xlfn.XLOOKUP(G1914,Master!$V$2:$V$8,Master!$U$2:$U$8,"")</f>
        <v/>
      </c>
      <c r="I1914" s="4" t="str">
        <f>_xlfn.IFNA(VLOOKUP(D1914,Master!$I:$K,2,FALSE),"")</f>
        <v/>
      </c>
      <c r="J1914" s="4" t="str">
        <f>_xlfn.IFNA(VLOOKUP(D1914,Master!$I:$K,3,FALSE),"")</f>
        <v/>
      </c>
      <c r="L1914" s="27" t="str">
        <f>IF(A1914&lt;&gt;"CFA",_xlfn.IFNA(VLOOKUP($G1914,Master!$V$2:$Z$8,5,0),""),"")</f>
        <v/>
      </c>
      <c r="P1914" s="6" t="str">
        <f t="shared" si="60"/>
        <v/>
      </c>
      <c r="Q1914" s="13">
        <f t="shared" si="61"/>
        <v>0</v>
      </c>
    </row>
    <row r="1915" spans="2:17" ht="15" customHeight="1">
      <c r="B1915" s="5" t="str">
        <f>_xlfn.IFNA(VLOOKUP(C1915,Master!$H:$I,2,FALSE),"")</f>
        <v/>
      </c>
      <c r="D1915" s="5" t="str">
        <f>_xlfn.IFNA(VLOOKUP(E1915,Master!$H:$I,2,FALSE),"")</f>
        <v/>
      </c>
      <c r="F1915" s="26" t="str">
        <f>+_xlfn.XLOOKUP(G1915,Master!$V$2:$V$8,Master!$U$2:$U$8,"")</f>
        <v/>
      </c>
      <c r="I1915" s="4" t="str">
        <f>_xlfn.IFNA(VLOOKUP(D1915,Master!$I:$K,2,FALSE),"")</f>
        <v/>
      </c>
      <c r="J1915" s="4" t="str">
        <f>_xlfn.IFNA(VLOOKUP(D1915,Master!$I:$K,3,FALSE),"")</f>
        <v/>
      </c>
      <c r="L1915" s="27" t="str">
        <f>IF(A1915&lt;&gt;"CFA",_xlfn.IFNA(VLOOKUP($G1915,Master!$V$2:$Z$8,5,0),""),"")</f>
        <v/>
      </c>
      <c r="P1915" s="6" t="str">
        <f t="shared" si="60"/>
        <v/>
      </c>
      <c r="Q1915" s="13">
        <f t="shared" si="61"/>
        <v>0</v>
      </c>
    </row>
    <row r="1916" spans="2:17" ht="15" customHeight="1">
      <c r="B1916" s="5" t="str">
        <f>_xlfn.IFNA(VLOOKUP(C1916,Master!$H:$I,2,FALSE),"")</f>
        <v/>
      </c>
      <c r="D1916" s="5" t="str">
        <f>_xlfn.IFNA(VLOOKUP(E1916,Master!$H:$I,2,FALSE),"")</f>
        <v/>
      </c>
      <c r="F1916" s="26" t="str">
        <f>+_xlfn.XLOOKUP(G1916,Master!$V$2:$V$8,Master!$U$2:$U$8,"")</f>
        <v/>
      </c>
      <c r="I1916" s="4" t="str">
        <f>_xlfn.IFNA(VLOOKUP(D1916,Master!$I:$K,2,FALSE),"")</f>
        <v/>
      </c>
      <c r="J1916" s="4" t="str">
        <f>_xlfn.IFNA(VLOOKUP(D1916,Master!$I:$K,3,FALSE),"")</f>
        <v/>
      </c>
      <c r="L1916" s="27" t="str">
        <f>IF(A1916&lt;&gt;"CFA",_xlfn.IFNA(VLOOKUP($G1916,Master!$V$2:$Z$8,5,0),""),"")</f>
        <v/>
      </c>
      <c r="P1916" s="6" t="str">
        <f t="shared" si="60"/>
        <v/>
      </c>
      <c r="Q1916" s="13">
        <f t="shared" si="61"/>
        <v>0</v>
      </c>
    </row>
    <row r="1917" spans="2:17" ht="15" customHeight="1">
      <c r="B1917" s="5" t="str">
        <f>_xlfn.IFNA(VLOOKUP(C1917,Master!$H:$I,2,FALSE),"")</f>
        <v/>
      </c>
      <c r="D1917" s="5" t="str">
        <f>_xlfn.IFNA(VLOOKUP(E1917,Master!$H:$I,2,FALSE),"")</f>
        <v/>
      </c>
      <c r="F1917" s="26" t="str">
        <f>+_xlfn.XLOOKUP(G1917,Master!$V$2:$V$8,Master!$U$2:$U$8,"")</f>
        <v/>
      </c>
      <c r="I1917" s="4" t="str">
        <f>_xlfn.IFNA(VLOOKUP(D1917,Master!$I:$K,2,FALSE),"")</f>
        <v/>
      </c>
      <c r="J1917" s="4" t="str">
        <f>_xlfn.IFNA(VLOOKUP(D1917,Master!$I:$K,3,FALSE),"")</f>
        <v/>
      </c>
      <c r="L1917" s="27" t="str">
        <f>IF(A1917&lt;&gt;"CFA",_xlfn.IFNA(VLOOKUP($G1917,Master!$V$2:$Z$8,5,0),""),"")</f>
        <v/>
      </c>
      <c r="P1917" s="6" t="str">
        <f t="shared" si="60"/>
        <v/>
      </c>
      <c r="Q1917" s="13">
        <f t="shared" si="61"/>
        <v>0</v>
      </c>
    </row>
    <row r="1918" spans="2:17" ht="15" customHeight="1">
      <c r="B1918" s="5" t="str">
        <f>_xlfn.IFNA(VLOOKUP(C1918,Master!$H:$I,2,FALSE),"")</f>
        <v/>
      </c>
      <c r="D1918" s="5" t="str">
        <f>_xlfn.IFNA(VLOOKUP(E1918,Master!$H:$I,2,FALSE),"")</f>
        <v/>
      </c>
      <c r="F1918" s="26" t="str">
        <f>+_xlfn.XLOOKUP(G1918,Master!$V$2:$V$8,Master!$U$2:$U$8,"")</f>
        <v/>
      </c>
      <c r="I1918" s="4" t="str">
        <f>_xlfn.IFNA(VLOOKUP(D1918,Master!$I:$K,2,FALSE),"")</f>
        <v/>
      </c>
      <c r="J1918" s="4" t="str">
        <f>_xlfn.IFNA(VLOOKUP(D1918,Master!$I:$K,3,FALSE),"")</f>
        <v/>
      </c>
      <c r="L1918" s="27" t="str">
        <f>IF(A1918&lt;&gt;"CFA",_xlfn.IFNA(VLOOKUP($G1918,Master!$V$2:$Z$8,5,0),""),"")</f>
        <v/>
      </c>
      <c r="P1918" s="6" t="str">
        <f t="shared" si="60"/>
        <v/>
      </c>
      <c r="Q1918" s="13">
        <f t="shared" si="61"/>
        <v>0</v>
      </c>
    </row>
    <row r="1919" spans="2:17" ht="15" customHeight="1">
      <c r="B1919" s="5" t="str">
        <f>_xlfn.IFNA(VLOOKUP(C1919,Master!$H:$I,2,FALSE),"")</f>
        <v/>
      </c>
      <c r="D1919" s="5" t="str">
        <f>_xlfn.IFNA(VLOOKUP(E1919,Master!$H:$I,2,FALSE),"")</f>
        <v/>
      </c>
      <c r="F1919" s="26" t="str">
        <f>+_xlfn.XLOOKUP(G1919,Master!$V$2:$V$8,Master!$U$2:$U$8,"")</f>
        <v/>
      </c>
      <c r="I1919" s="4" t="str">
        <f>_xlfn.IFNA(VLOOKUP(D1919,Master!$I:$K,2,FALSE),"")</f>
        <v/>
      </c>
      <c r="J1919" s="4" t="str">
        <f>_xlfn.IFNA(VLOOKUP(D1919,Master!$I:$K,3,FALSE),"")</f>
        <v/>
      </c>
      <c r="L1919" s="27" t="str">
        <f>IF(A1919&lt;&gt;"CFA",_xlfn.IFNA(VLOOKUP($G1919,Master!$V$2:$Z$8,5,0),""),"")</f>
        <v/>
      </c>
      <c r="P1919" s="6" t="str">
        <f t="shared" si="60"/>
        <v/>
      </c>
      <c r="Q1919" s="13">
        <f t="shared" si="61"/>
        <v>0</v>
      </c>
    </row>
    <row r="1920" spans="2:17" ht="15" customHeight="1">
      <c r="B1920" s="5" t="str">
        <f>_xlfn.IFNA(VLOOKUP(C1920,Master!$H:$I,2,FALSE),"")</f>
        <v/>
      </c>
      <c r="D1920" s="5" t="str">
        <f>_xlfn.IFNA(VLOOKUP(E1920,Master!$H:$I,2,FALSE),"")</f>
        <v/>
      </c>
      <c r="F1920" s="26" t="str">
        <f>+_xlfn.XLOOKUP(G1920,Master!$V$2:$V$8,Master!$U$2:$U$8,"")</f>
        <v/>
      </c>
      <c r="I1920" s="4" t="str">
        <f>_xlfn.IFNA(VLOOKUP(D1920,Master!$I:$K,2,FALSE),"")</f>
        <v/>
      </c>
      <c r="J1920" s="4" t="str">
        <f>_xlfn.IFNA(VLOOKUP(D1920,Master!$I:$K,3,FALSE),"")</f>
        <v/>
      </c>
      <c r="L1920" s="27" t="str">
        <f>IF(A1920&lt;&gt;"CFA",_xlfn.IFNA(VLOOKUP($G1920,Master!$V$2:$Z$8,5,0),""),"")</f>
        <v/>
      </c>
      <c r="P1920" s="6" t="str">
        <f t="shared" si="60"/>
        <v/>
      </c>
      <c r="Q1920" s="13">
        <f t="shared" si="61"/>
        <v>0</v>
      </c>
    </row>
    <row r="1921" spans="2:17" ht="15" customHeight="1">
      <c r="B1921" s="5" t="str">
        <f>_xlfn.IFNA(VLOOKUP(C1921,Master!$H:$I,2,FALSE),"")</f>
        <v/>
      </c>
      <c r="D1921" s="5" t="str">
        <f>_xlfn.IFNA(VLOOKUP(E1921,Master!$H:$I,2,FALSE),"")</f>
        <v/>
      </c>
      <c r="F1921" s="26" t="str">
        <f>+_xlfn.XLOOKUP(G1921,Master!$V$2:$V$8,Master!$U$2:$U$8,"")</f>
        <v/>
      </c>
      <c r="I1921" s="4" t="str">
        <f>_xlfn.IFNA(VLOOKUP(D1921,Master!$I:$K,2,FALSE),"")</f>
        <v/>
      </c>
      <c r="J1921" s="4" t="str">
        <f>_xlfn.IFNA(VLOOKUP(D1921,Master!$I:$K,3,FALSE),"")</f>
        <v/>
      </c>
      <c r="L1921" s="27" t="str">
        <f>IF(A1921&lt;&gt;"CFA",_xlfn.IFNA(VLOOKUP($G1921,Master!$V$2:$Z$8,5,0),""),"")</f>
        <v/>
      </c>
      <c r="P1921" s="6" t="str">
        <f t="shared" si="60"/>
        <v/>
      </c>
      <c r="Q1921" s="13">
        <f t="shared" si="61"/>
        <v>0</v>
      </c>
    </row>
    <row r="1922" spans="2:17" ht="15" customHeight="1">
      <c r="B1922" s="5" t="str">
        <f>_xlfn.IFNA(VLOOKUP(C1922,Master!$H:$I,2,FALSE),"")</f>
        <v/>
      </c>
      <c r="D1922" s="5" t="str">
        <f>_xlfn.IFNA(VLOOKUP(E1922,Master!$H:$I,2,FALSE),"")</f>
        <v/>
      </c>
      <c r="F1922" s="26" t="str">
        <f>+_xlfn.XLOOKUP(G1922,Master!$V$2:$V$8,Master!$U$2:$U$8,"")</f>
        <v/>
      </c>
      <c r="I1922" s="4" t="str">
        <f>_xlfn.IFNA(VLOOKUP(D1922,Master!$I:$K,2,FALSE),"")</f>
        <v/>
      </c>
      <c r="J1922" s="4" t="str">
        <f>_xlfn.IFNA(VLOOKUP(D1922,Master!$I:$K,3,FALSE),"")</f>
        <v/>
      </c>
      <c r="L1922" s="27" t="str">
        <f>IF(A1922&lt;&gt;"CFA",_xlfn.IFNA(VLOOKUP($G1922,Master!$V$2:$Z$8,5,0),""),"")</f>
        <v/>
      </c>
      <c r="P1922" s="6" t="str">
        <f t="shared" si="60"/>
        <v/>
      </c>
      <c r="Q1922" s="13">
        <f t="shared" si="61"/>
        <v>0</v>
      </c>
    </row>
    <row r="1923" spans="2:17" ht="15" customHeight="1">
      <c r="B1923" s="5" t="str">
        <f>_xlfn.IFNA(VLOOKUP(C1923,Master!$H:$I,2,FALSE),"")</f>
        <v/>
      </c>
      <c r="D1923" s="5" t="str">
        <f>_xlfn.IFNA(VLOOKUP(E1923,Master!$H:$I,2,FALSE),"")</f>
        <v/>
      </c>
      <c r="F1923" s="26" t="str">
        <f>+_xlfn.XLOOKUP(G1923,Master!$V$2:$V$8,Master!$U$2:$U$8,"")</f>
        <v/>
      </c>
      <c r="I1923" s="4" t="str">
        <f>_xlfn.IFNA(VLOOKUP(D1923,Master!$I:$K,2,FALSE),"")</f>
        <v/>
      </c>
      <c r="J1923" s="4" t="str">
        <f>_xlfn.IFNA(VLOOKUP(D1923,Master!$I:$K,3,FALSE),"")</f>
        <v/>
      </c>
      <c r="L1923" s="27" t="str">
        <f>IF(A1923&lt;&gt;"CFA",_xlfn.IFNA(VLOOKUP($G1923,Master!$V$2:$Z$8,5,0),""),"")</f>
        <v/>
      </c>
      <c r="P1923" s="6" t="str">
        <f t="shared" si="60"/>
        <v/>
      </c>
      <c r="Q1923" s="13">
        <f t="shared" si="61"/>
        <v>0</v>
      </c>
    </row>
    <row r="1924" spans="2:17" ht="15" customHeight="1">
      <c r="B1924" s="5" t="str">
        <f>_xlfn.IFNA(VLOOKUP(C1924,Master!$H:$I,2,FALSE),"")</f>
        <v/>
      </c>
      <c r="D1924" s="5" t="str">
        <f>_xlfn.IFNA(VLOOKUP(E1924,Master!$H:$I,2,FALSE),"")</f>
        <v/>
      </c>
      <c r="F1924" s="26" t="str">
        <f>+_xlfn.XLOOKUP(G1924,Master!$V$2:$V$8,Master!$U$2:$U$8,"")</f>
        <v/>
      </c>
      <c r="I1924" s="4" t="str">
        <f>_xlfn.IFNA(VLOOKUP(D1924,Master!$I:$K,2,FALSE),"")</f>
        <v/>
      </c>
      <c r="J1924" s="4" t="str">
        <f>_xlfn.IFNA(VLOOKUP(D1924,Master!$I:$K,3,FALSE),"")</f>
        <v/>
      </c>
      <c r="L1924" s="27" t="str">
        <f>IF(A1924&lt;&gt;"CFA",_xlfn.IFNA(VLOOKUP($G1924,Master!$V$2:$Z$8,5,0),""),"")</f>
        <v/>
      </c>
      <c r="P1924" s="6" t="str">
        <f t="shared" si="60"/>
        <v/>
      </c>
      <c r="Q1924" s="13">
        <f t="shared" si="61"/>
        <v>0</v>
      </c>
    </row>
    <row r="1925" spans="2:17" ht="15" customHeight="1">
      <c r="B1925" s="5" t="str">
        <f>_xlfn.IFNA(VLOOKUP(C1925,Master!$H:$I,2,FALSE),"")</f>
        <v/>
      </c>
      <c r="D1925" s="5" t="str">
        <f>_xlfn.IFNA(VLOOKUP(E1925,Master!$H:$I,2,FALSE),"")</f>
        <v/>
      </c>
      <c r="F1925" s="26" t="str">
        <f>+_xlfn.XLOOKUP(G1925,Master!$V$2:$V$8,Master!$U$2:$U$8,"")</f>
        <v/>
      </c>
      <c r="I1925" s="4" t="str">
        <f>_xlfn.IFNA(VLOOKUP(D1925,Master!$I:$K,2,FALSE),"")</f>
        <v/>
      </c>
      <c r="J1925" s="4" t="str">
        <f>_xlfn.IFNA(VLOOKUP(D1925,Master!$I:$K,3,FALSE),"")</f>
        <v/>
      </c>
      <c r="L1925" s="27" t="str">
        <f>IF(A1925&lt;&gt;"CFA",_xlfn.IFNA(VLOOKUP($G1925,Master!$V$2:$Z$8,5,0),""),"")</f>
        <v/>
      </c>
      <c r="P1925" s="6" t="str">
        <f t="shared" si="60"/>
        <v/>
      </c>
      <c r="Q1925" s="13">
        <f t="shared" si="61"/>
        <v>0</v>
      </c>
    </row>
    <row r="1926" spans="2:17" ht="15" customHeight="1">
      <c r="B1926" s="5" t="str">
        <f>_xlfn.IFNA(VLOOKUP(C1926,Master!$H:$I,2,FALSE),"")</f>
        <v/>
      </c>
      <c r="D1926" s="5" t="str">
        <f>_xlfn.IFNA(VLOOKUP(E1926,Master!$H:$I,2,FALSE),"")</f>
        <v/>
      </c>
      <c r="F1926" s="26" t="str">
        <f>+_xlfn.XLOOKUP(G1926,Master!$V$2:$V$8,Master!$U$2:$U$8,"")</f>
        <v/>
      </c>
      <c r="I1926" s="4" t="str">
        <f>_xlfn.IFNA(VLOOKUP(D1926,Master!$I:$K,2,FALSE),"")</f>
        <v/>
      </c>
      <c r="J1926" s="4" t="str">
        <f>_xlfn.IFNA(VLOOKUP(D1926,Master!$I:$K,3,FALSE),"")</f>
        <v/>
      </c>
      <c r="L1926" s="27" t="str">
        <f>IF(A1926&lt;&gt;"CFA",_xlfn.IFNA(VLOOKUP($G1926,Master!$V$2:$Z$8,5,0),""),"")</f>
        <v/>
      </c>
      <c r="P1926" s="6" t="str">
        <f t="shared" si="60"/>
        <v/>
      </c>
      <c r="Q1926" s="13">
        <f t="shared" si="61"/>
        <v>0</v>
      </c>
    </row>
    <row r="1927" spans="2:17" ht="15" customHeight="1">
      <c r="B1927" s="5" t="str">
        <f>_xlfn.IFNA(VLOOKUP(C1927,Master!$H:$I,2,FALSE),"")</f>
        <v/>
      </c>
      <c r="D1927" s="5" t="str">
        <f>_xlfn.IFNA(VLOOKUP(E1927,Master!$H:$I,2,FALSE),"")</f>
        <v/>
      </c>
      <c r="F1927" s="26" t="str">
        <f>+_xlfn.XLOOKUP(G1927,Master!$V$2:$V$8,Master!$U$2:$U$8,"")</f>
        <v/>
      </c>
      <c r="I1927" s="4" t="str">
        <f>_xlfn.IFNA(VLOOKUP(D1927,Master!$I:$K,2,FALSE),"")</f>
        <v/>
      </c>
      <c r="J1927" s="4" t="str">
        <f>_xlfn.IFNA(VLOOKUP(D1927,Master!$I:$K,3,FALSE),"")</f>
        <v/>
      </c>
      <c r="L1927" s="27" t="str">
        <f>IF(A1927&lt;&gt;"CFA",_xlfn.IFNA(VLOOKUP($G1927,Master!$V$2:$Z$8,5,0),""),"")</f>
        <v/>
      </c>
      <c r="P1927" s="6" t="str">
        <f t="shared" si="60"/>
        <v/>
      </c>
      <c r="Q1927" s="13">
        <f t="shared" si="61"/>
        <v>0</v>
      </c>
    </row>
    <row r="1928" spans="2:17" ht="15" customHeight="1">
      <c r="B1928" s="5" t="str">
        <f>_xlfn.IFNA(VLOOKUP(C1928,Master!$H:$I,2,FALSE),"")</f>
        <v/>
      </c>
      <c r="D1928" s="5" t="str">
        <f>_xlfn.IFNA(VLOOKUP(E1928,Master!$H:$I,2,FALSE),"")</f>
        <v/>
      </c>
      <c r="F1928" s="26" t="str">
        <f>+_xlfn.XLOOKUP(G1928,Master!$V$2:$V$8,Master!$U$2:$U$8,"")</f>
        <v/>
      </c>
      <c r="I1928" s="4" t="str">
        <f>_xlfn.IFNA(VLOOKUP(D1928,Master!$I:$K,2,FALSE),"")</f>
        <v/>
      </c>
      <c r="J1928" s="4" t="str">
        <f>_xlfn.IFNA(VLOOKUP(D1928,Master!$I:$K,3,FALSE),"")</f>
        <v/>
      </c>
      <c r="L1928" s="27" t="str">
        <f>IF(A1928&lt;&gt;"CFA",_xlfn.IFNA(VLOOKUP($G1928,Master!$V$2:$Z$8,5,0),""),"")</f>
        <v/>
      </c>
      <c r="P1928" s="6" t="str">
        <f t="shared" si="60"/>
        <v/>
      </c>
      <c r="Q1928" s="13">
        <f t="shared" si="61"/>
        <v>0</v>
      </c>
    </row>
    <row r="1929" spans="2:17" ht="15" customHeight="1">
      <c r="B1929" s="5" t="str">
        <f>_xlfn.IFNA(VLOOKUP(C1929,Master!$H:$I,2,FALSE),"")</f>
        <v/>
      </c>
      <c r="D1929" s="5" t="str">
        <f>_xlfn.IFNA(VLOOKUP(E1929,Master!$H:$I,2,FALSE),"")</f>
        <v/>
      </c>
      <c r="F1929" s="26" t="str">
        <f>+_xlfn.XLOOKUP(G1929,Master!$V$2:$V$8,Master!$U$2:$U$8,"")</f>
        <v/>
      </c>
      <c r="I1929" s="4" t="str">
        <f>_xlfn.IFNA(VLOOKUP(D1929,Master!$I:$K,2,FALSE),"")</f>
        <v/>
      </c>
      <c r="J1929" s="4" t="str">
        <f>_xlfn.IFNA(VLOOKUP(D1929,Master!$I:$K,3,FALSE),"")</f>
        <v/>
      </c>
      <c r="L1929" s="27" t="str">
        <f>IF(A1929&lt;&gt;"CFA",_xlfn.IFNA(VLOOKUP($G1929,Master!$V$2:$Z$8,5,0),""),"")</f>
        <v/>
      </c>
      <c r="P1929" s="6" t="str">
        <f t="shared" si="60"/>
        <v/>
      </c>
      <c r="Q1929" s="13">
        <f t="shared" si="61"/>
        <v>0</v>
      </c>
    </row>
    <row r="1930" spans="2:17" ht="15" customHeight="1">
      <c r="B1930" s="5" t="str">
        <f>_xlfn.IFNA(VLOOKUP(C1930,Master!$H:$I,2,FALSE),"")</f>
        <v/>
      </c>
      <c r="D1930" s="5" t="str">
        <f>_xlfn.IFNA(VLOOKUP(E1930,Master!$H:$I,2,FALSE),"")</f>
        <v/>
      </c>
      <c r="F1930" s="26" t="str">
        <f>+_xlfn.XLOOKUP(G1930,Master!$V$2:$V$8,Master!$U$2:$U$8,"")</f>
        <v/>
      </c>
      <c r="I1930" s="4" t="str">
        <f>_xlfn.IFNA(VLOOKUP(D1930,Master!$I:$K,2,FALSE),"")</f>
        <v/>
      </c>
      <c r="J1930" s="4" t="str">
        <f>_xlfn.IFNA(VLOOKUP(D1930,Master!$I:$K,3,FALSE),"")</f>
        <v/>
      </c>
      <c r="L1930" s="27" t="str">
        <f>IF(A1930&lt;&gt;"CFA",_xlfn.IFNA(VLOOKUP($G1930,Master!$V$2:$Z$8,5,0),""),"")</f>
        <v/>
      </c>
      <c r="P1930" s="6" t="str">
        <f t="shared" si="60"/>
        <v/>
      </c>
      <c r="Q1930" s="13">
        <f t="shared" si="61"/>
        <v>0</v>
      </c>
    </row>
    <row r="1931" spans="2:17" ht="15" customHeight="1">
      <c r="B1931" s="5" t="str">
        <f>_xlfn.IFNA(VLOOKUP(C1931,Master!$H:$I,2,FALSE),"")</f>
        <v/>
      </c>
      <c r="D1931" s="5" t="str">
        <f>_xlfn.IFNA(VLOOKUP(E1931,Master!$H:$I,2,FALSE),"")</f>
        <v/>
      </c>
      <c r="F1931" s="26" t="str">
        <f>+_xlfn.XLOOKUP(G1931,Master!$V$2:$V$8,Master!$U$2:$U$8,"")</f>
        <v/>
      </c>
      <c r="I1931" s="4" t="str">
        <f>_xlfn.IFNA(VLOOKUP(D1931,Master!$I:$K,2,FALSE),"")</f>
        <v/>
      </c>
      <c r="J1931" s="4" t="str">
        <f>_xlfn.IFNA(VLOOKUP(D1931,Master!$I:$K,3,FALSE),"")</f>
        <v/>
      </c>
      <c r="L1931" s="27" t="str">
        <f>IF(A1931&lt;&gt;"CFA",_xlfn.IFNA(VLOOKUP($G1931,Master!$V$2:$Z$8,5,0),""),"")</f>
        <v/>
      </c>
      <c r="P1931" s="6" t="str">
        <f t="shared" si="60"/>
        <v/>
      </c>
      <c r="Q1931" s="13">
        <f t="shared" si="61"/>
        <v>0</v>
      </c>
    </row>
    <row r="1932" spans="2:17" ht="15" customHeight="1">
      <c r="B1932" s="5" t="str">
        <f>_xlfn.IFNA(VLOOKUP(C1932,Master!$H:$I,2,FALSE),"")</f>
        <v/>
      </c>
      <c r="D1932" s="5" t="str">
        <f>_xlfn.IFNA(VLOOKUP(E1932,Master!$H:$I,2,FALSE),"")</f>
        <v/>
      </c>
      <c r="F1932" s="26" t="str">
        <f>+_xlfn.XLOOKUP(G1932,Master!$V$2:$V$8,Master!$U$2:$U$8,"")</f>
        <v/>
      </c>
      <c r="I1932" s="4" t="str">
        <f>_xlfn.IFNA(VLOOKUP(D1932,Master!$I:$K,2,FALSE),"")</f>
        <v/>
      </c>
      <c r="J1932" s="4" t="str">
        <f>_xlfn.IFNA(VLOOKUP(D1932,Master!$I:$K,3,FALSE),"")</f>
        <v/>
      </c>
      <c r="L1932" s="27" t="str">
        <f>IF(A1932&lt;&gt;"CFA",_xlfn.IFNA(VLOOKUP($G1932,Master!$V$2:$Z$8,5,0),""),"")</f>
        <v/>
      </c>
      <c r="P1932" s="6" t="str">
        <f t="shared" si="60"/>
        <v/>
      </c>
      <c r="Q1932" s="13">
        <f t="shared" si="61"/>
        <v>0</v>
      </c>
    </row>
    <row r="1933" spans="2:17" ht="15" customHeight="1">
      <c r="B1933" s="5" t="str">
        <f>_xlfn.IFNA(VLOOKUP(C1933,Master!$H:$I,2,FALSE),"")</f>
        <v/>
      </c>
      <c r="D1933" s="5" t="str">
        <f>_xlfn.IFNA(VLOOKUP(E1933,Master!$H:$I,2,FALSE),"")</f>
        <v/>
      </c>
      <c r="F1933" s="26" t="str">
        <f>+_xlfn.XLOOKUP(G1933,Master!$V$2:$V$8,Master!$U$2:$U$8,"")</f>
        <v/>
      </c>
      <c r="I1933" s="4" t="str">
        <f>_xlfn.IFNA(VLOOKUP(D1933,Master!$I:$K,2,FALSE),"")</f>
        <v/>
      </c>
      <c r="J1933" s="4" t="str">
        <f>_xlfn.IFNA(VLOOKUP(D1933,Master!$I:$K,3,FALSE),"")</f>
        <v/>
      </c>
      <c r="L1933" s="27" t="str">
        <f>IF(A1933&lt;&gt;"CFA",_xlfn.IFNA(VLOOKUP($G1933,Master!$V$2:$Z$8,5,0),""),"")</f>
        <v/>
      </c>
      <c r="P1933" s="6" t="str">
        <f t="shared" si="60"/>
        <v/>
      </c>
      <c r="Q1933" s="13">
        <f t="shared" si="61"/>
        <v>0</v>
      </c>
    </row>
    <row r="1934" spans="2:17" ht="15" customHeight="1">
      <c r="B1934" s="5" t="str">
        <f>_xlfn.IFNA(VLOOKUP(C1934,Master!$H:$I,2,FALSE),"")</f>
        <v/>
      </c>
      <c r="D1934" s="5" t="str">
        <f>_xlfn.IFNA(VLOOKUP(E1934,Master!$H:$I,2,FALSE),"")</f>
        <v/>
      </c>
      <c r="F1934" s="26" t="str">
        <f>+_xlfn.XLOOKUP(G1934,Master!$V$2:$V$8,Master!$U$2:$U$8,"")</f>
        <v/>
      </c>
      <c r="I1934" s="4" t="str">
        <f>_xlfn.IFNA(VLOOKUP(D1934,Master!$I:$K,2,FALSE),"")</f>
        <v/>
      </c>
      <c r="J1934" s="4" t="str">
        <f>_xlfn.IFNA(VLOOKUP(D1934,Master!$I:$K,3,FALSE),"")</f>
        <v/>
      </c>
      <c r="L1934" s="27" t="str">
        <f>IF(A1934&lt;&gt;"CFA",_xlfn.IFNA(VLOOKUP($G1934,Master!$V$2:$Z$8,5,0),""),"")</f>
        <v/>
      </c>
      <c r="P1934" s="6" t="str">
        <f t="shared" si="60"/>
        <v/>
      </c>
      <c r="Q1934" s="13">
        <f t="shared" si="61"/>
        <v>0</v>
      </c>
    </row>
    <row r="1935" spans="2:17" ht="15" customHeight="1">
      <c r="B1935" s="5" t="str">
        <f>_xlfn.IFNA(VLOOKUP(C1935,Master!$H:$I,2,FALSE),"")</f>
        <v/>
      </c>
      <c r="D1935" s="5" t="str">
        <f>_xlfn.IFNA(VLOOKUP(E1935,Master!$H:$I,2,FALSE),"")</f>
        <v/>
      </c>
      <c r="F1935" s="26" t="str">
        <f>+_xlfn.XLOOKUP(G1935,Master!$V$2:$V$8,Master!$U$2:$U$8,"")</f>
        <v/>
      </c>
      <c r="I1935" s="4" t="str">
        <f>_xlfn.IFNA(VLOOKUP(D1935,Master!$I:$K,2,FALSE),"")</f>
        <v/>
      </c>
      <c r="J1935" s="4" t="str">
        <f>_xlfn.IFNA(VLOOKUP(D1935,Master!$I:$K,3,FALSE),"")</f>
        <v/>
      </c>
      <c r="L1935" s="27" t="str">
        <f>IF(A1935&lt;&gt;"CFA",_xlfn.IFNA(VLOOKUP($G1935,Master!$V$2:$Z$8,5,0),""),"")</f>
        <v/>
      </c>
      <c r="P1935" s="6" t="str">
        <f t="shared" si="60"/>
        <v/>
      </c>
      <c r="Q1935" s="13">
        <f t="shared" si="61"/>
        <v>0</v>
      </c>
    </row>
    <row r="1936" spans="2:17" ht="15" customHeight="1">
      <c r="B1936" s="5" t="str">
        <f>_xlfn.IFNA(VLOOKUP(C1936,Master!$H:$I,2,FALSE),"")</f>
        <v/>
      </c>
      <c r="D1936" s="5" t="str">
        <f>_xlfn.IFNA(VLOOKUP(E1936,Master!$H:$I,2,FALSE),"")</f>
        <v/>
      </c>
      <c r="F1936" s="26" t="str">
        <f>+_xlfn.XLOOKUP(G1936,Master!$V$2:$V$8,Master!$U$2:$U$8,"")</f>
        <v/>
      </c>
      <c r="I1936" s="4" t="str">
        <f>_xlfn.IFNA(VLOOKUP(D1936,Master!$I:$K,2,FALSE),"")</f>
        <v/>
      </c>
      <c r="J1936" s="4" t="str">
        <f>_xlfn.IFNA(VLOOKUP(D1936,Master!$I:$K,3,FALSE),"")</f>
        <v/>
      </c>
      <c r="L1936" s="27" t="str">
        <f>IF(A1936&lt;&gt;"CFA",_xlfn.IFNA(VLOOKUP($G1936,Master!$V$2:$Z$8,5,0),""),"")</f>
        <v/>
      </c>
      <c r="P1936" s="6" t="str">
        <f t="shared" si="60"/>
        <v/>
      </c>
      <c r="Q1936" s="13">
        <f t="shared" si="61"/>
        <v>0</v>
      </c>
    </row>
    <row r="1937" spans="2:17" ht="15" customHeight="1">
      <c r="B1937" s="5" t="str">
        <f>_xlfn.IFNA(VLOOKUP(C1937,Master!$H:$I,2,FALSE),"")</f>
        <v/>
      </c>
      <c r="D1937" s="5" t="str">
        <f>_xlfn.IFNA(VLOOKUP(E1937,Master!$H:$I,2,FALSE),"")</f>
        <v/>
      </c>
      <c r="F1937" s="26" t="str">
        <f>+_xlfn.XLOOKUP(G1937,Master!$V$2:$V$8,Master!$U$2:$U$8,"")</f>
        <v/>
      </c>
      <c r="I1937" s="4" t="str">
        <f>_xlfn.IFNA(VLOOKUP(D1937,Master!$I:$K,2,FALSE),"")</f>
        <v/>
      </c>
      <c r="J1937" s="4" t="str">
        <f>_xlfn.IFNA(VLOOKUP(D1937,Master!$I:$K,3,FALSE),"")</f>
        <v/>
      </c>
      <c r="L1937" s="27" t="str">
        <f>IF(A1937&lt;&gt;"CFA",_xlfn.IFNA(VLOOKUP($G1937,Master!$V$2:$Z$8,5,0),""),"")</f>
        <v/>
      </c>
      <c r="P1937" s="6" t="str">
        <f t="shared" si="60"/>
        <v/>
      </c>
      <c r="Q1937" s="13">
        <f t="shared" si="61"/>
        <v>0</v>
      </c>
    </row>
    <row r="1938" spans="2:17" ht="15" customHeight="1">
      <c r="B1938" s="5" t="str">
        <f>_xlfn.IFNA(VLOOKUP(C1938,Master!$H:$I,2,FALSE),"")</f>
        <v/>
      </c>
      <c r="D1938" s="5" t="str">
        <f>_xlfn.IFNA(VLOOKUP(E1938,Master!$H:$I,2,FALSE),"")</f>
        <v/>
      </c>
      <c r="F1938" s="26" t="str">
        <f>+_xlfn.XLOOKUP(G1938,Master!$V$2:$V$8,Master!$U$2:$U$8,"")</f>
        <v/>
      </c>
      <c r="I1938" s="4" t="str">
        <f>_xlfn.IFNA(VLOOKUP(D1938,Master!$I:$K,2,FALSE),"")</f>
        <v/>
      </c>
      <c r="J1938" s="4" t="str">
        <f>_xlfn.IFNA(VLOOKUP(D1938,Master!$I:$K,3,FALSE),"")</f>
        <v/>
      </c>
      <c r="L1938" s="27" t="str">
        <f>IF(A1938&lt;&gt;"CFA",_xlfn.IFNA(VLOOKUP($G1938,Master!$V$2:$Z$8,5,0),""),"")</f>
        <v/>
      </c>
      <c r="P1938" s="6" t="str">
        <f t="shared" si="60"/>
        <v/>
      </c>
      <c r="Q1938" s="13">
        <f t="shared" si="61"/>
        <v>0</v>
      </c>
    </row>
    <row r="1939" spans="2:17" ht="15" customHeight="1">
      <c r="B1939" s="5" t="str">
        <f>_xlfn.IFNA(VLOOKUP(C1939,Master!$H:$I,2,FALSE),"")</f>
        <v/>
      </c>
      <c r="D1939" s="5" t="str">
        <f>_xlfn.IFNA(VLOOKUP(E1939,Master!$H:$I,2,FALSE),"")</f>
        <v/>
      </c>
      <c r="F1939" s="26" t="str">
        <f>+_xlfn.XLOOKUP(G1939,Master!$V$2:$V$8,Master!$U$2:$U$8,"")</f>
        <v/>
      </c>
      <c r="I1939" s="4" t="str">
        <f>_xlfn.IFNA(VLOOKUP(D1939,Master!$I:$K,2,FALSE),"")</f>
        <v/>
      </c>
      <c r="J1939" s="4" t="str">
        <f>_xlfn.IFNA(VLOOKUP(D1939,Master!$I:$K,3,FALSE),"")</f>
        <v/>
      </c>
      <c r="L1939" s="27" t="str">
        <f>IF(A1939&lt;&gt;"CFA",_xlfn.IFNA(VLOOKUP($G1939,Master!$V$2:$Z$8,5,0),""),"")</f>
        <v/>
      </c>
      <c r="P1939" s="6" t="str">
        <f t="shared" si="60"/>
        <v/>
      </c>
      <c r="Q1939" s="13">
        <f t="shared" si="61"/>
        <v>0</v>
      </c>
    </row>
    <row r="1940" spans="2:17" ht="15" customHeight="1">
      <c r="B1940" s="5" t="str">
        <f>_xlfn.IFNA(VLOOKUP(C1940,Master!$H:$I,2,FALSE),"")</f>
        <v/>
      </c>
      <c r="D1940" s="5" t="str">
        <f>_xlfn.IFNA(VLOOKUP(E1940,Master!$H:$I,2,FALSE),"")</f>
        <v/>
      </c>
      <c r="F1940" s="26" t="str">
        <f>+_xlfn.XLOOKUP(G1940,Master!$V$2:$V$8,Master!$U$2:$U$8,"")</f>
        <v/>
      </c>
      <c r="I1940" s="4" t="str">
        <f>_xlfn.IFNA(VLOOKUP(D1940,Master!$I:$K,2,FALSE),"")</f>
        <v/>
      </c>
      <c r="J1940" s="4" t="str">
        <f>_xlfn.IFNA(VLOOKUP(D1940,Master!$I:$K,3,FALSE),"")</f>
        <v/>
      </c>
      <c r="L1940" s="27" t="str">
        <f>IF(A1940&lt;&gt;"CFA",_xlfn.IFNA(VLOOKUP($G1940,Master!$V$2:$Z$8,5,0),""),"")</f>
        <v/>
      </c>
      <c r="P1940" s="6" t="str">
        <f t="shared" si="60"/>
        <v/>
      </c>
      <c r="Q1940" s="13">
        <f t="shared" si="61"/>
        <v>0</v>
      </c>
    </row>
    <row r="1941" spans="2:17" ht="15" customHeight="1">
      <c r="B1941" s="5" t="str">
        <f>_xlfn.IFNA(VLOOKUP(C1941,Master!$H:$I,2,FALSE),"")</f>
        <v/>
      </c>
      <c r="D1941" s="5" t="str">
        <f>_xlfn.IFNA(VLOOKUP(E1941,Master!$H:$I,2,FALSE),"")</f>
        <v/>
      </c>
      <c r="F1941" s="26" t="str">
        <f>+_xlfn.XLOOKUP(G1941,Master!$V$2:$V$8,Master!$U$2:$U$8,"")</f>
        <v/>
      </c>
      <c r="I1941" s="4" t="str">
        <f>_xlfn.IFNA(VLOOKUP(D1941,Master!$I:$K,2,FALSE),"")</f>
        <v/>
      </c>
      <c r="J1941" s="4" t="str">
        <f>_xlfn.IFNA(VLOOKUP(D1941,Master!$I:$K,3,FALSE),"")</f>
        <v/>
      </c>
      <c r="L1941" s="27" t="str">
        <f>IF(A1941&lt;&gt;"CFA",_xlfn.IFNA(VLOOKUP($G1941,Master!$V$2:$Z$8,5,0),""),"")</f>
        <v/>
      </c>
      <c r="P1941" s="6" t="str">
        <f t="shared" si="60"/>
        <v/>
      </c>
      <c r="Q1941" s="13">
        <f t="shared" si="61"/>
        <v>0</v>
      </c>
    </row>
    <row r="1942" spans="2:17" ht="15" customHeight="1">
      <c r="B1942" s="5" t="str">
        <f>_xlfn.IFNA(VLOOKUP(C1942,Master!$H:$I,2,FALSE),"")</f>
        <v/>
      </c>
      <c r="D1942" s="5" t="str">
        <f>_xlfn.IFNA(VLOOKUP(E1942,Master!$H:$I,2,FALSE),"")</f>
        <v/>
      </c>
      <c r="F1942" s="26" t="str">
        <f>+_xlfn.XLOOKUP(G1942,Master!$V$2:$V$8,Master!$U$2:$U$8,"")</f>
        <v/>
      </c>
      <c r="I1942" s="4" t="str">
        <f>_xlfn.IFNA(VLOOKUP(D1942,Master!$I:$K,2,FALSE),"")</f>
        <v/>
      </c>
      <c r="J1942" s="4" t="str">
        <f>_xlfn.IFNA(VLOOKUP(D1942,Master!$I:$K,3,FALSE),"")</f>
        <v/>
      </c>
      <c r="L1942" s="27" t="str">
        <f>IF(A1942&lt;&gt;"CFA",_xlfn.IFNA(VLOOKUP($G1942,Master!$V$2:$Z$8,5,0),""),"")</f>
        <v/>
      </c>
      <c r="P1942" s="6" t="str">
        <f t="shared" si="60"/>
        <v/>
      </c>
      <c r="Q1942" s="13">
        <f t="shared" si="61"/>
        <v>0</v>
      </c>
    </row>
    <row r="1943" spans="2:17" ht="15" customHeight="1">
      <c r="B1943" s="5" t="str">
        <f>_xlfn.IFNA(VLOOKUP(C1943,Master!$H:$I,2,FALSE),"")</f>
        <v/>
      </c>
      <c r="D1943" s="5" t="str">
        <f>_xlfn.IFNA(VLOOKUP(E1943,Master!$H:$I,2,FALSE),"")</f>
        <v/>
      </c>
      <c r="F1943" s="26" t="str">
        <f>+_xlfn.XLOOKUP(G1943,Master!$V$2:$V$8,Master!$U$2:$U$8,"")</f>
        <v/>
      </c>
      <c r="I1943" s="4" t="str">
        <f>_xlfn.IFNA(VLOOKUP(D1943,Master!$I:$K,2,FALSE),"")</f>
        <v/>
      </c>
      <c r="J1943" s="4" t="str">
        <f>_xlfn.IFNA(VLOOKUP(D1943,Master!$I:$K,3,FALSE),"")</f>
        <v/>
      </c>
      <c r="L1943" s="27" t="str">
        <f>IF(A1943&lt;&gt;"CFA",_xlfn.IFNA(VLOOKUP($G1943,Master!$V$2:$Z$8,5,0),""),"")</f>
        <v/>
      </c>
      <c r="P1943" s="6" t="str">
        <f t="shared" si="60"/>
        <v/>
      </c>
      <c r="Q1943" s="13">
        <f t="shared" si="61"/>
        <v>0</v>
      </c>
    </row>
    <row r="1944" spans="2:17" ht="15" customHeight="1">
      <c r="B1944" s="5" t="str">
        <f>_xlfn.IFNA(VLOOKUP(C1944,Master!$H:$I,2,FALSE),"")</f>
        <v/>
      </c>
      <c r="D1944" s="5" t="str">
        <f>_xlfn.IFNA(VLOOKUP(E1944,Master!$H:$I,2,FALSE),"")</f>
        <v/>
      </c>
      <c r="F1944" s="26" t="str">
        <f>+_xlfn.XLOOKUP(G1944,Master!$V$2:$V$8,Master!$U$2:$U$8,"")</f>
        <v/>
      </c>
      <c r="I1944" s="4" t="str">
        <f>_xlfn.IFNA(VLOOKUP(D1944,Master!$I:$K,2,FALSE),"")</f>
        <v/>
      </c>
      <c r="J1944" s="4" t="str">
        <f>_xlfn.IFNA(VLOOKUP(D1944,Master!$I:$K,3,FALSE),"")</f>
        <v/>
      </c>
      <c r="L1944" s="27" t="str">
        <f>IF(A1944&lt;&gt;"CFA",_xlfn.IFNA(VLOOKUP($G1944,Master!$V$2:$Z$8,5,0),""),"")</f>
        <v/>
      </c>
      <c r="P1944" s="6" t="str">
        <f t="shared" si="60"/>
        <v/>
      </c>
      <c r="Q1944" s="13">
        <f t="shared" si="61"/>
        <v>0</v>
      </c>
    </row>
    <row r="1945" spans="2:17" ht="15" customHeight="1">
      <c r="B1945" s="5" t="str">
        <f>_xlfn.IFNA(VLOOKUP(C1945,Master!$H:$I,2,FALSE),"")</f>
        <v/>
      </c>
      <c r="D1945" s="5" t="str">
        <f>_xlfn.IFNA(VLOOKUP(E1945,Master!$H:$I,2,FALSE),"")</f>
        <v/>
      </c>
      <c r="F1945" s="26" t="str">
        <f>+_xlfn.XLOOKUP(G1945,Master!$V$2:$V$8,Master!$U$2:$U$8,"")</f>
        <v/>
      </c>
      <c r="I1945" s="4" t="str">
        <f>_xlfn.IFNA(VLOOKUP(D1945,Master!$I:$K,2,FALSE),"")</f>
        <v/>
      </c>
      <c r="J1945" s="4" t="str">
        <f>_xlfn.IFNA(VLOOKUP(D1945,Master!$I:$K,3,FALSE),"")</f>
        <v/>
      </c>
      <c r="L1945" s="27" t="str">
        <f>IF(A1945&lt;&gt;"CFA",_xlfn.IFNA(VLOOKUP($G1945,Master!$V$2:$Z$8,5,0),""),"")</f>
        <v/>
      </c>
      <c r="P1945" s="6" t="str">
        <f t="shared" si="60"/>
        <v/>
      </c>
      <c r="Q1945" s="13">
        <f t="shared" si="61"/>
        <v>0</v>
      </c>
    </row>
    <row r="1946" spans="2:17" ht="15" customHeight="1">
      <c r="B1946" s="5" t="str">
        <f>_xlfn.IFNA(VLOOKUP(C1946,Master!$H:$I,2,FALSE),"")</f>
        <v/>
      </c>
      <c r="D1946" s="5" t="str">
        <f>_xlfn.IFNA(VLOOKUP(E1946,Master!$H:$I,2,FALSE),"")</f>
        <v/>
      </c>
      <c r="F1946" s="26" t="str">
        <f>+_xlfn.XLOOKUP(G1946,Master!$V$2:$V$8,Master!$U$2:$U$8,"")</f>
        <v/>
      </c>
      <c r="I1946" s="4" t="str">
        <f>_xlfn.IFNA(VLOOKUP(D1946,Master!$I:$K,2,FALSE),"")</f>
        <v/>
      </c>
      <c r="J1946" s="4" t="str">
        <f>_xlfn.IFNA(VLOOKUP(D1946,Master!$I:$K,3,FALSE),"")</f>
        <v/>
      </c>
      <c r="L1946" s="27" t="str">
        <f>IF(A1946&lt;&gt;"CFA",_xlfn.IFNA(VLOOKUP($G1946,Master!$V$2:$Z$8,5,0),""),"")</f>
        <v/>
      </c>
      <c r="P1946" s="6" t="str">
        <f t="shared" si="60"/>
        <v/>
      </c>
      <c r="Q1946" s="13">
        <f t="shared" si="61"/>
        <v>0</v>
      </c>
    </row>
    <row r="1947" spans="2:17" ht="15" customHeight="1">
      <c r="B1947" s="5" t="str">
        <f>_xlfn.IFNA(VLOOKUP(C1947,Master!$H:$I,2,FALSE),"")</f>
        <v/>
      </c>
      <c r="D1947" s="5" t="str">
        <f>_xlfn.IFNA(VLOOKUP(E1947,Master!$H:$I,2,FALSE),"")</f>
        <v/>
      </c>
      <c r="F1947" s="26" t="str">
        <f>+_xlfn.XLOOKUP(G1947,Master!$V$2:$V$8,Master!$U$2:$U$8,"")</f>
        <v/>
      </c>
      <c r="I1947" s="4" t="str">
        <f>_xlfn.IFNA(VLOOKUP(D1947,Master!$I:$K,2,FALSE),"")</f>
        <v/>
      </c>
      <c r="J1947" s="4" t="str">
        <f>_xlfn.IFNA(VLOOKUP(D1947,Master!$I:$K,3,FALSE),"")</f>
        <v/>
      </c>
      <c r="L1947" s="27" t="str">
        <f>IF(A1947&lt;&gt;"CFA",_xlfn.IFNA(VLOOKUP($G1947,Master!$V$2:$Z$8,5,0),""),"")</f>
        <v/>
      </c>
      <c r="P1947" s="6" t="str">
        <f t="shared" si="60"/>
        <v/>
      </c>
      <c r="Q1947" s="13">
        <f t="shared" si="61"/>
        <v>0</v>
      </c>
    </row>
    <row r="1948" spans="2:17" ht="15" customHeight="1">
      <c r="B1948" s="5" t="str">
        <f>_xlfn.IFNA(VLOOKUP(C1948,Master!$H:$I,2,FALSE),"")</f>
        <v/>
      </c>
      <c r="D1948" s="5" t="str">
        <f>_xlfn.IFNA(VLOOKUP(E1948,Master!$H:$I,2,FALSE),"")</f>
        <v/>
      </c>
      <c r="F1948" s="26" t="str">
        <f>+_xlfn.XLOOKUP(G1948,Master!$V$2:$V$8,Master!$U$2:$U$8,"")</f>
        <v/>
      </c>
      <c r="I1948" s="4" t="str">
        <f>_xlfn.IFNA(VLOOKUP(D1948,Master!$I:$K,2,FALSE),"")</f>
        <v/>
      </c>
      <c r="J1948" s="4" t="str">
        <f>_xlfn.IFNA(VLOOKUP(D1948,Master!$I:$K,3,FALSE),"")</f>
        <v/>
      </c>
      <c r="L1948" s="27" t="str">
        <f>IF(A1948&lt;&gt;"CFA",_xlfn.IFNA(VLOOKUP($G1948,Master!$V$2:$Z$8,5,0),""),"")</f>
        <v/>
      </c>
      <c r="P1948" s="6" t="str">
        <f t="shared" si="60"/>
        <v/>
      </c>
      <c r="Q1948" s="13">
        <f t="shared" si="61"/>
        <v>0</v>
      </c>
    </row>
    <row r="1949" spans="2:17" ht="15" customHeight="1">
      <c r="B1949" s="5" t="str">
        <f>_xlfn.IFNA(VLOOKUP(C1949,Master!$H:$I,2,FALSE),"")</f>
        <v/>
      </c>
      <c r="D1949" s="5" t="str">
        <f>_xlfn.IFNA(VLOOKUP(E1949,Master!$H:$I,2,FALSE),"")</f>
        <v/>
      </c>
      <c r="F1949" s="26" t="str">
        <f>+_xlfn.XLOOKUP(G1949,Master!$V$2:$V$8,Master!$U$2:$U$8,"")</f>
        <v/>
      </c>
      <c r="I1949" s="4" t="str">
        <f>_xlfn.IFNA(VLOOKUP(D1949,Master!$I:$K,2,FALSE),"")</f>
        <v/>
      </c>
      <c r="J1949" s="4" t="str">
        <f>_xlfn.IFNA(VLOOKUP(D1949,Master!$I:$K,3,FALSE),"")</f>
        <v/>
      </c>
      <c r="L1949" s="27" t="str">
        <f>IF(A1949&lt;&gt;"CFA",_xlfn.IFNA(VLOOKUP($G1949,Master!$V$2:$Z$8,5,0),""),"")</f>
        <v/>
      </c>
      <c r="P1949" s="6" t="str">
        <f t="shared" si="60"/>
        <v/>
      </c>
      <c r="Q1949" s="13">
        <f t="shared" si="61"/>
        <v>0</v>
      </c>
    </row>
    <row r="1950" spans="2:17" ht="15" customHeight="1">
      <c r="B1950" s="5" t="str">
        <f>_xlfn.IFNA(VLOOKUP(C1950,Master!$H:$I,2,FALSE),"")</f>
        <v/>
      </c>
      <c r="D1950" s="5" t="str">
        <f>_xlfn.IFNA(VLOOKUP(E1950,Master!$H:$I,2,FALSE),"")</f>
        <v/>
      </c>
      <c r="F1950" s="26" t="str">
        <f>+_xlfn.XLOOKUP(G1950,Master!$V$2:$V$8,Master!$U$2:$U$8,"")</f>
        <v/>
      </c>
      <c r="I1950" s="4" t="str">
        <f>_xlfn.IFNA(VLOOKUP(D1950,Master!$I:$K,2,FALSE),"")</f>
        <v/>
      </c>
      <c r="J1950" s="4" t="str">
        <f>_xlfn.IFNA(VLOOKUP(D1950,Master!$I:$K,3,FALSE),"")</f>
        <v/>
      </c>
      <c r="L1950" s="27" t="str">
        <f>IF(A1950&lt;&gt;"CFA",_xlfn.IFNA(VLOOKUP($G1950,Master!$V$2:$Z$8,5,0),""),"")</f>
        <v/>
      </c>
      <c r="P1950" s="6" t="str">
        <f t="shared" si="60"/>
        <v/>
      </c>
      <c r="Q1950" s="13">
        <f t="shared" si="61"/>
        <v>0</v>
      </c>
    </row>
    <row r="1951" spans="2:17" ht="15" customHeight="1">
      <c r="B1951" s="5" t="str">
        <f>_xlfn.IFNA(VLOOKUP(C1951,Master!$H:$I,2,FALSE),"")</f>
        <v/>
      </c>
      <c r="D1951" s="5" t="str">
        <f>_xlfn.IFNA(VLOOKUP(E1951,Master!$H:$I,2,FALSE),"")</f>
        <v/>
      </c>
      <c r="F1951" s="26" t="str">
        <f>+_xlfn.XLOOKUP(G1951,Master!$V$2:$V$8,Master!$U$2:$U$8,"")</f>
        <v/>
      </c>
      <c r="I1951" s="4" t="str">
        <f>_xlfn.IFNA(VLOOKUP(D1951,Master!$I:$K,2,FALSE),"")</f>
        <v/>
      </c>
      <c r="J1951" s="4" t="str">
        <f>_xlfn.IFNA(VLOOKUP(D1951,Master!$I:$K,3,FALSE),"")</f>
        <v/>
      </c>
      <c r="L1951" s="27" t="str">
        <f>IF(A1951&lt;&gt;"CFA",_xlfn.IFNA(VLOOKUP($G1951,Master!$V$2:$Z$8,5,0),""),"")</f>
        <v/>
      </c>
      <c r="P1951" s="6" t="str">
        <f t="shared" si="60"/>
        <v/>
      </c>
      <c r="Q1951" s="13">
        <f t="shared" si="61"/>
        <v>0</v>
      </c>
    </row>
    <row r="1952" spans="2:17" ht="15" customHeight="1">
      <c r="B1952" s="5" t="str">
        <f>_xlfn.IFNA(VLOOKUP(C1952,Master!$H:$I,2,FALSE),"")</f>
        <v/>
      </c>
      <c r="D1952" s="5" t="str">
        <f>_xlfn.IFNA(VLOOKUP(E1952,Master!$H:$I,2,FALSE),"")</f>
        <v/>
      </c>
      <c r="F1952" s="26" t="str">
        <f>+_xlfn.XLOOKUP(G1952,Master!$V$2:$V$8,Master!$U$2:$U$8,"")</f>
        <v/>
      </c>
      <c r="I1952" s="4" t="str">
        <f>_xlfn.IFNA(VLOOKUP(D1952,Master!$I:$K,2,FALSE),"")</f>
        <v/>
      </c>
      <c r="J1952" s="4" t="str">
        <f>_xlfn.IFNA(VLOOKUP(D1952,Master!$I:$K,3,FALSE),"")</f>
        <v/>
      </c>
      <c r="L1952" s="27" t="str">
        <f>IF(A1952&lt;&gt;"CFA",_xlfn.IFNA(VLOOKUP($G1952,Master!$V$2:$Z$8,5,0),""),"")</f>
        <v/>
      </c>
      <c r="P1952" s="6" t="str">
        <f t="shared" si="60"/>
        <v/>
      </c>
      <c r="Q1952" s="13">
        <f t="shared" si="61"/>
        <v>0</v>
      </c>
    </row>
    <row r="1953" spans="2:17" ht="15" customHeight="1">
      <c r="B1953" s="5" t="str">
        <f>_xlfn.IFNA(VLOOKUP(C1953,Master!$H:$I,2,FALSE),"")</f>
        <v/>
      </c>
      <c r="D1953" s="5" t="str">
        <f>_xlfn.IFNA(VLOOKUP(E1953,Master!$H:$I,2,FALSE),"")</f>
        <v/>
      </c>
      <c r="F1953" s="26" t="str">
        <f>+_xlfn.XLOOKUP(G1953,Master!$V$2:$V$8,Master!$U$2:$U$8,"")</f>
        <v/>
      </c>
      <c r="I1953" s="4" t="str">
        <f>_xlfn.IFNA(VLOOKUP(D1953,Master!$I:$K,2,FALSE),"")</f>
        <v/>
      </c>
      <c r="J1953" s="4" t="str">
        <f>_xlfn.IFNA(VLOOKUP(D1953,Master!$I:$K,3,FALSE),"")</f>
        <v/>
      </c>
      <c r="L1953" s="27" t="str">
        <f>IF(A1953&lt;&gt;"CFA",_xlfn.IFNA(VLOOKUP($G1953,Master!$V$2:$Z$8,5,0),""),"")</f>
        <v/>
      </c>
      <c r="P1953" s="6" t="str">
        <f t="shared" si="60"/>
        <v/>
      </c>
      <c r="Q1953" s="13">
        <f t="shared" si="61"/>
        <v>0</v>
      </c>
    </row>
    <row r="1954" spans="2:17" ht="15" customHeight="1">
      <c r="B1954" s="5" t="str">
        <f>_xlfn.IFNA(VLOOKUP(C1954,Master!$H:$I,2,FALSE),"")</f>
        <v/>
      </c>
      <c r="D1954" s="5" t="str">
        <f>_xlfn.IFNA(VLOOKUP(E1954,Master!$H:$I,2,FALSE),"")</f>
        <v/>
      </c>
      <c r="F1954" s="26" t="str">
        <f>+_xlfn.XLOOKUP(G1954,Master!$V$2:$V$8,Master!$U$2:$U$8,"")</f>
        <v/>
      </c>
      <c r="I1954" s="4" t="str">
        <f>_xlfn.IFNA(VLOOKUP(D1954,Master!$I:$K,2,FALSE),"")</f>
        <v/>
      </c>
      <c r="J1954" s="4" t="str">
        <f>_xlfn.IFNA(VLOOKUP(D1954,Master!$I:$K,3,FALSE),"")</f>
        <v/>
      </c>
      <c r="L1954" s="27" t="str">
        <f>IF(A1954&lt;&gt;"CFA",_xlfn.IFNA(VLOOKUP($G1954,Master!$V$2:$Z$8,5,0),""),"")</f>
        <v/>
      </c>
      <c r="P1954" s="6" t="str">
        <f t="shared" si="60"/>
        <v/>
      </c>
      <c r="Q1954" s="13">
        <f t="shared" si="61"/>
        <v>0</v>
      </c>
    </row>
    <row r="1955" spans="2:17" ht="15" customHeight="1">
      <c r="B1955" s="5" t="str">
        <f>_xlfn.IFNA(VLOOKUP(C1955,Master!$H:$I,2,FALSE),"")</f>
        <v/>
      </c>
      <c r="D1955" s="5" t="str">
        <f>_xlfn.IFNA(VLOOKUP(E1955,Master!$H:$I,2,FALSE),"")</f>
        <v/>
      </c>
      <c r="F1955" s="26" t="str">
        <f>+_xlfn.XLOOKUP(G1955,Master!$V$2:$V$8,Master!$U$2:$U$8,"")</f>
        <v/>
      </c>
      <c r="I1955" s="4" t="str">
        <f>_xlfn.IFNA(VLOOKUP(D1955,Master!$I:$K,2,FALSE),"")</f>
        <v/>
      </c>
      <c r="J1955" s="4" t="str">
        <f>_xlfn.IFNA(VLOOKUP(D1955,Master!$I:$K,3,FALSE),"")</f>
        <v/>
      </c>
      <c r="L1955" s="27" t="str">
        <f>IF(A1955&lt;&gt;"CFA",_xlfn.IFNA(VLOOKUP($G1955,Master!$V$2:$Z$8,5,0),""),"")</f>
        <v/>
      </c>
      <c r="P1955" s="6" t="str">
        <f t="shared" si="60"/>
        <v/>
      </c>
      <c r="Q1955" s="13">
        <f t="shared" si="61"/>
        <v>0</v>
      </c>
    </row>
    <row r="1956" spans="2:17" ht="15" customHeight="1">
      <c r="B1956" s="5" t="str">
        <f>_xlfn.IFNA(VLOOKUP(C1956,Master!$H:$I,2,FALSE),"")</f>
        <v/>
      </c>
      <c r="D1956" s="5" t="str">
        <f>_xlfn.IFNA(VLOOKUP(E1956,Master!$H:$I,2,FALSE),"")</f>
        <v/>
      </c>
      <c r="F1956" s="26" t="str">
        <f>+_xlfn.XLOOKUP(G1956,Master!$V$2:$V$8,Master!$U$2:$U$8,"")</f>
        <v/>
      </c>
      <c r="I1956" s="4" t="str">
        <f>_xlfn.IFNA(VLOOKUP(D1956,Master!$I:$K,2,FALSE),"")</f>
        <v/>
      </c>
      <c r="J1956" s="4" t="str">
        <f>_xlfn.IFNA(VLOOKUP(D1956,Master!$I:$K,3,FALSE),"")</f>
        <v/>
      </c>
      <c r="L1956" s="27" t="str">
        <f>IF(A1956&lt;&gt;"CFA",_xlfn.IFNA(VLOOKUP($G1956,Master!$V$2:$Z$8,5,0),""),"")</f>
        <v/>
      </c>
      <c r="P1956" s="6" t="str">
        <f t="shared" si="60"/>
        <v/>
      </c>
      <c r="Q1956" s="13">
        <f t="shared" si="61"/>
        <v>0</v>
      </c>
    </row>
    <row r="1957" spans="2:17" ht="15" customHeight="1">
      <c r="B1957" s="5" t="str">
        <f>_xlfn.IFNA(VLOOKUP(C1957,Master!$H:$I,2,FALSE),"")</f>
        <v/>
      </c>
      <c r="D1957" s="5" t="str">
        <f>_xlfn.IFNA(VLOOKUP(E1957,Master!$H:$I,2,FALSE),"")</f>
        <v/>
      </c>
      <c r="F1957" s="26" t="str">
        <f>+_xlfn.XLOOKUP(G1957,Master!$V$2:$V$8,Master!$U$2:$U$8,"")</f>
        <v/>
      </c>
      <c r="I1957" s="4" t="str">
        <f>_xlfn.IFNA(VLOOKUP(D1957,Master!$I:$K,2,FALSE),"")</f>
        <v/>
      </c>
      <c r="J1957" s="4" t="str">
        <f>_xlfn.IFNA(VLOOKUP(D1957,Master!$I:$K,3,FALSE),"")</f>
        <v/>
      </c>
      <c r="L1957" s="27" t="str">
        <f>IF(A1957&lt;&gt;"CFA",_xlfn.IFNA(VLOOKUP($G1957,Master!$V$2:$Z$8,5,0),""),"")</f>
        <v/>
      </c>
      <c r="P1957" s="6" t="str">
        <f t="shared" si="60"/>
        <v/>
      </c>
      <c r="Q1957" s="13">
        <f t="shared" si="61"/>
        <v>0</v>
      </c>
    </row>
    <row r="1958" spans="2:17" ht="15" customHeight="1">
      <c r="B1958" s="5" t="str">
        <f>_xlfn.IFNA(VLOOKUP(C1958,Master!$H:$I,2,FALSE),"")</f>
        <v/>
      </c>
      <c r="D1958" s="5" t="str">
        <f>_xlfn.IFNA(VLOOKUP(E1958,Master!$H:$I,2,FALSE),"")</f>
        <v/>
      </c>
      <c r="F1958" s="26" t="str">
        <f>+_xlfn.XLOOKUP(G1958,Master!$V$2:$V$8,Master!$U$2:$U$8,"")</f>
        <v/>
      </c>
      <c r="I1958" s="4" t="str">
        <f>_xlfn.IFNA(VLOOKUP(D1958,Master!$I:$K,2,FALSE),"")</f>
        <v/>
      </c>
      <c r="J1958" s="4" t="str">
        <f>_xlfn.IFNA(VLOOKUP(D1958,Master!$I:$K,3,FALSE),"")</f>
        <v/>
      </c>
      <c r="L1958" s="27" t="str">
        <f>IF(A1958&lt;&gt;"CFA",_xlfn.IFNA(VLOOKUP($G1958,Master!$V$2:$Z$8,5,0),""),"")</f>
        <v/>
      </c>
      <c r="P1958" s="6" t="str">
        <f t="shared" si="60"/>
        <v/>
      </c>
      <c r="Q1958" s="13">
        <f t="shared" si="61"/>
        <v>0</v>
      </c>
    </row>
    <row r="1959" spans="2:17" ht="15" customHeight="1">
      <c r="B1959" s="5" t="str">
        <f>_xlfn.IFNA(VLOOKUP(C1959,Master!$H:$I,2,FALSE),"")</f>
        <v/>
      </c>
      <c r="D1959" s="5" t="str">
        <f>_xlfn.IFNA(VLOOKUP(E1959,Master!$H:$I,2,FALSE),"")</f>
        <v/>
      </c>
      <c r="F1959" s="26" t="str">
        <f>+_xlfn.XLOOKUP(G1959,Master!$V$2:$V$8,Master!$U$2:$U$8,"")</f>
        <v/>
      </c>
      <c r="I1959" s="4" t="str">
        <f>_xlfn.IFNA(VLOOKUP(D1959,Master!$I:$K,2,FALSE),"")</f>
        <v/>
      </c>
      <c r="J1959" s="4" t="str">
        <f>_xlfn.IFNA(VLOOKUP(D1959,Master!$I:$K,3,FALSE),"")</f>
        <v/>
      </c>
      <c r="L1959" s="27" t="str">
        <f>IF(A1959&lt;&gt;"CFA",_xlfn.IFNA(VLOOKUP($G1959,Master!$V$2:$Z$8,5,0),""),"")</f>
        <v/>
      </c>
      <c r="P1959" s="6" t="str">
        <f t="shared" si="60"/>
        <v/>
      </c>
      <c r="Q1959" s="13">
        <f t="shared" si="61"/>
        <v>0</v>
      </c>
    </row>
    <row r="1960" spans="2:17" ht="15" customHeight="1">
      <c r="B1960" s="5" t="str">
        <f>_xlfn.IFNA(VLOOKUP(C1960,Master!$H:$I,2,FALSE),"")</f>
        <v/>
      </c>
      <c r="D1960" s="5" t="str">
        <f>_xlfn.IFNA(VLOOKUP(E1960,Master!$H:$I,2,FALSE),"")</f>
        <v/>
      </c>
      <c r="F1960" s="26" t="str">
        <f>+_xlfn.XLOOKUP(G1960,Master!$V$2:$V$8,Master!$U$2:$U$8,"")</f>
        <v/>
      </c>
      <c r="I1960" s="4" t="str">
        <f>_xlfn.IFNA(VLOOKUP(D1960,Master!$I:$K,2,FALSE),"")</f>
        <v/>
      </c>
      <c r="J1960" s="4" t="str">
        <f>_xlfn.IFNA(VLOOKUP(D1960,Master!$I:$K,3,FALSE),"")</f>
        <v/>
      </c>
      <c r="L1960" s="27" t="str">
        <f>IF(A1960&lt;&gt;"CFA",_xlfn.IFNA(VLOOKUP($G1960,Master!$V$2:$Z$8,5,0),""),"")</f>
        <v/>
      </c>
      <c r="P1960" s="6" t="str">
        <f t="shared" si="60"/>
        <v/>
      </c>
      <c r="Q1960" s="13">
        <f t="shared" si="61"/>
        <v>0</v>
      </c>
    </row>
    <row r="1961" spans="2:17" ht="15" customHeight="1">
      <c r="B1961" s="5" t="str">
        <f>_xlfn.IFNA(VLOOKUP(C1961,Master!$H:$I,2,FALSE),"")</f>
        <v/>
      </c>
      <c r="D1961" s="5" t="str">
        <f>_xlfn.IFNA(VLOOKUP(E1961,Master!$H:$I,2,FALSE),"")</f>
        <v/>
      </c>
      <c r="F1961" s="26" t="str">
        <f>+_xlfn.XLOOKUP(G1961,Master!$V$2:$V$8,Master!$U$2:$U$8,"")</f>
        <v/>
      </c>
      <c r="I1961" s="4" t="str">
        <f>_xlfn.IFNA(VLOOKUP(D1961,Master!$I:$K,2,FALSE),"")</f>
        <v/>
      </c>
      <c r="J1961" s="4" t="str">
        <f>_xlfn.IFNA(VLOOKUP(D1961,Master!$I:$K,3,FALSE),"")</f>
        <v/>
      </c>
      <c r="L1961" s="27" t="str">
        <f>IF(A1961&lt;&gt;"CFA",_xlfn.IFNA(VLOOKUP($G1961,Master!$V$2:$Z$8,5,0),""),"")</f>
        <v/>
      </c>
      <c r="P1961" s="6" t="str">
        <f t="shared" si="60"/>
        <v/>
      </c>
      <c r="Q1961" s="13">
        <f t="shared" si="61"/>
        <v>0</v>
      </c>
    </row>
    <row r="1962" spans="2:17" ht="15" customHeight="1">
      <c r="B1962" s="5" t="str">
        <f>_xlfn.IFNA(VLOOKUP(C1962,Master!$H:$I,2,FALSE),"")</f>
        <v/>
      </c>
      <c r="D1962" s="5" t="str">
        <f>_xlfn.IFNA(VLOOKUP(E1962,Master!$H:$I,2,FALSE),"")</f>
        <v/>
      </c>
      <c r="F1962" s="26" t="str">
        <f>+_xlfn.XLOOKUP(G1962,Master!$V$2:$V$8,Master!$U$2:$U$8,"")</f>
        <v/>
      </c>
      <c r="I1962" s="4" t="str">
        <f>_xlfn.IFNA(VLOOKUP(D1962,Master!$I:$K,2,FALSE),"")</f>
        <v/>
      </c>
      <c r="J1962" s="4" t="str">
        <f>_xlfn.IFNA(VLOOKUP(D1962,Master!$I:$K,3,FALSE),"")</f>
        <v/>
      </c>
      <c r="L1962" s="27" t="str">
        <f>IF(A1962&lt;&gt;"CFA",_xlfn.IFNA(VLOOKUP($G1962,Master!$V$2:$Z$8,5,0),""),"")</f>
        <v/>
      </c>
      <c r="P1962" s="6" t="str">
        <f t="shared" si="60"/>
        <v/>
      </c>
      <c r="Q1962" s="13">
        <f t="shared" si="61"/>
        <v>0</v>
      </c>
    </row>
    <row r="1963" spans="2:17" ht="15" customHeight="1">
      <c r="B1963" s="5" t="str">
        <f>_xlfn.IFNA(VLOOKUP(C1963,Master!$H:$I,2,FALSE),"")</f>
        <v/>
      </c>
      <c r="D1963" s="5" t="str">
        <f>_xlfn.IFNA(VLOOKUP(E1963,Master!$H:$I,2,FALSE),"")</f>
        <v/>
      </c>
      <c r="F1963" s="26" t="str">
        <f>+_xlfn.XLOOKUP(G1963,Master!$V$2:$V$8,Master!$U$2:$U$8,"")</f>
        <v/>
      </c>
      <c r="I1963" s="4" t="str">
        <f>_xlfn.IFNA(VLOOKUP(D1963,Master!$I:$K,2,FALSE),"")</f>
        <v/>
      </c>
      <c r="J1963" s="4" t="str">
        <f>_xlfn.IFNA(VLOOKUP(D1963,Master!$I:$K,3,FALSE),"")</f>
        <v/>
      </c>
      <c r="L1963" s="27" t="str">
        <f>IF(A1963&lt;&gt;"CFA",_xlfn.IFNA(VLOOKUP($G1963,Master!$V$2:$Z$8,5,0),""),"")</f>
        <v/>
      </c>
      <c r="P1963" s="6" t="str">
        <f t="shared" si="60"/>
        <v/>
      </c>
      <c r="Q1963" s="13">
        <f t="shared" si="61"/>
        <v>0</v>
      </c>
    </row>
    <row r="1964" spans="2:17" ht="15" customHeight="1">
      <c r="B1964" s="5" t="str">
        <f>_xlfn.IFNA(VLOOKUP(C1964,Master!$H:$I,2,FALSE),"")</f>
        <v/>
      </c>
      <c r="D1964" s="5" t="str">
        <f>_xlfn.IFNA(VLOOKUP(E1964,Master!$H:$I,2,FALSE),"")</f>
        <v/>
      </c>
      <c r="F1964" s="26" t="str">
        <f>+_xlfn.XLOOKUP(G1964,Master!$V$2:$V$8,Master!$U$2:$U$8,"")</f>
        <v/>
      </c>
      <c r="I1964" s="4" t="str">
        <f>_xlfn.IFNA(VLOOKUP(D1964,Master!$I:$K,2,FALSE),"")</f>
        <v/>
      </c>
      <c r="J1964" s="4" t="str">
        <f>_xlfn.IFNA(VLOOKUP(D1964,Master!$I:$K,3,FALSE),"")</f>
        <v/>
      </c>
      <c r="L1964" s="27" t="str">
        <f>IF(A1964&lt;&gt;"CFA",_xlfn.IFNA(VLOOKUP($G1964,Master!$V$2:$Z$8,5,0),""),"")</f>
        <v/>
      </c>
      <c r="P1964" s="6" t="str">
        <f t="shared" si="60"/>
        <v/>
      </c>
      <c r="Q1964" s="13">
        <f t="shared" si="61"/>
        <v>0</v>
      </c>
    </row>
    <row r="1965" spans="2:17" ht="15" customHeight="1">
      <c r="B1965" s="5" t="str">
        <f>_xlfn.IFNA(VLOOKUP(C1965,Master!$H:$I,2,FALSE),"")</f>
        <v/>
      </c>
      <c r="D1965" s="5" t="str">
        <f>_xlfn.IFNA(VLOOKUP(E1965,Master!$H:$I,2,FALSE),"")</f>
        <v/>
      </c>
      <c r="F1965" s="26" t="str">
        <f>+_xlfn.XLOOKUP(G1965,Master!$V$2:$V$8,Master!$U$2:$U$8,"")</f>
        <v/>
      </c>
      <c r="I1965" s="4" t="str">
        <f>_xlfn.IFNA(VLOOKUP(D1965,Master!$I:$K,2,FALSE),"")</f>
        <v/>
      </c>
      <c r="J1965" s="4" t="str">
        <f>_xlfn.IFNA(VLOOKUP(D1965,Master!$I:$K,3,FALSE),"")</f>
        <v/>
      </c>
      <c r="L1965" s="27" t="str">
        <f>IF(A1965&lt;&gt;"CFA",_xlfn.IFNA(VLOOKUP($G1965,Master!$V$2:$Z$8,5,0),""),"")</f>
        <v/>
      </c>
      <c r="P1965" s="6" t="str">
        <f t="shared" si="60"/>
        <v/>
      </c>
      <c r="Q1965" s="13">
        <f t="shared" si="61"/>
        <v>0</v>
      </c>
    </row>
    <row r="1966" spans="2:17" ht="15" customHeight="1">
      <c r="B1966" s="5" t="str">
        <f>_xlfn.IFNA(VLOOKUP(C1966,Master!$H:$I,2,FALSE),"")</f>
        <v/>
      </c>
      <c r="D1966" s="5" t="str">
        <f>_xlfn.IFNA(VLOOKUP(E1966,Master!$H:$I,2,FALSE),"")</f>
        <v/>
      </c>
      <c r="F1966" s="26" t="str">
        <f>+_xlfn.XLOOKUP(G1966,Master!$V$2:$V$8,Master!$U$2:$U$8,"")</f>
        <v/>
      </c>
      <c r="I1966" s="4" t="str">
        <f>_xlfn.IFNA(VLOOKUP(D1966,Master!$I:$K,2,FALSE),"")</f>
        <v/>
      </c>
      <c r="J1966" s="4" t="str">
        <f>_xlfn.IFNA(VLOOKUP(D1966,Master!$I:$K,3,FALSE),"")</f>
        <v/>
      </c>
      <c r="L1966" s="27" t="str">
        <f>IF(A1966&lt;&gt;"CFA",_xlfn.IFNA(VLOOKUP($G1966,Master!$V$2:$Z$8,5,0),""),"")</f>
        <v/>
      </c>
      <c r="P1966" s="6" t="str">
        <f t="shared" si="60"/>
        <v/>
      </c>
      <c r="Q1966" s="13">
        <f t="shared" si="61"/>
        <v>0</v>
      </c>
    </row>
    <row r="1967" spans="2:17" ht="15" customHeight="1">
      <c r="B1967" s="5" t="str">
        <f>_xlfn.IFNA(VLOOKUP(C1967,Master!$H:$I,2,FALSE),"")</f>
        <v/>
      </c>
      <c r="D1967" s="5" t="str">
        <f>_xlfn.IFNA(VLOOKUP(E1967,Master!$H:$I,2,FALSE),"")</f>
        <v/>
      </c>
      <c r="F1967" s="26" t="str">
        <f>+_xlfn.XLOOKUP(G1967,Master!$V$2:$V$8,Master!$U$2:$U$8,"")</f>
        <v/>
      </c>
      <c r="I1967" s="4" t="str">
        <f>_xlfn.IFNA(VLOOKUP(D1967,Master!$I:$K,2,FALSE),"")</f>
        <v/>
      </c>
      <c r="J1967" s="4" t="str">
        <f>_xlfn.IFNA(VLOOKUP(D1967,Master!$I:$K,3,FALSE),"")</f>
        <v/>
      </c>
      <c r="L1967" s="27" t="str">
        <f>IF(A1967&lt;&gt;"CFA",_xlfn.IFNA(VLOOKUP($G1967,Master!$V$2:$Z$8,5,0),""),"")</f>
        <v/>
      </c>
      <c r="P1967" s="6" t="str">
        <f t="shared" si="60"/>
        <v/>
      </c>
      <c r="Q1967" s="13">
        <f t="shared" si="61"/>
        <v>0</v>
      </c>
    </row>
    <row r="1968" spans="2:17" ht="15" customHeight="1">
      <c r="B1968" s="5" t="str">
        <f>_xlfn.IFNA(VLOOKUP(C1968,Master!$H:$I,2,FALSE),"")</f>
        <v/>
      </c>
      <c r="D1968" s="5" t="str">
        <f>_xlfn.IFNA(VLOOKUP(E1968,Master!$H:$I,2,FALSE),"")</f>
        <v/>
      </c>
      <c r="F1968" s="26" t="str">
        <f>+_xlfn.XLOOKUP(G1968,Master!$V$2:$V$8,Master!$U$2:$U$8,"")</f>
        <v/>
      </c>
      <c r="I1968" s="4" t="str">
        <f>_xlfn.IFNA(VLOOKUP(D1968,Master!$I:$K,2,FALSE),"")</f>
        <v/>
      </c>
      <c r="J1968" s="4" t="str">
        <f>_xlfn.IFNA(VLOOKUP(D1968,Master!$I:$K,3,FALSE),"")</f>
        <v/>
      </c>
      <c r="L1968" s="27" t="str">
        <f>IF(A1968&lt;&gt;"CFA",_xlfn.IFNA(VLOOKUP($G1968,Master!$V$2:$Z$8,5,0),""),"")</f>
        <v/>
      </c>
      <c r="P1968" s="6" t="str">
        <f t="shared" si="60"/>
        <v/>
      </c>
      <c r="Q1968" s="13">
        <f t="shared" si="61"/>
        <v>0</v>
      </c>
    </row>
    <row r="1969" spans="2:17" ht="15" customHeight="1">
      <c r="B1969" s="5" t="str">
        <f>_xlfn.IFNA(VLOOKUP(C1969,Master!$H:$I,2,FALSE),"")</f>
        <v/>
      </c>
      <c r="D1969" s="5" t="str">
        <f>_xlfn.IFNA(VLOOKUP(E1969,Master!$H:$I,2,FALSE),"")</f>
        <v/>
      </c>
      <c r="F1969" s="26" t="str">
        <f>+_xlfn.XLOOKUP(G1969,Master!$V$2:$V$8,Master!$U$2:$U$8,"")</f>
        <v/>
      </c>
      <c r="I1969" s="4" t="str">
        <f>_xlfn.IFNA(VLOOKUP(D1969,Master!$I:$K,2,FALSE),"")</f>
        <v/>
      </c>
      <c r="J1969" s="4" t="str">
        <f>_xlfn.IFNA(VLOOKUP(D1969,Master!$I:$K,3,FALSE),"")</f>
        <v/>
      </c>
      <c r="L1969" s="27" t="str">
        <f>IF(A1969&lt;&gt;"CFA",_xlfn.IFNA(VLOOKUP($G1969,Master!$V$2:$Z$8,5,0),""),"")</f>
        <v/>
      </c>
      <c r="P1969" s="6" t="str">
        <f t="shared" si="60"/>
        <v/>
      </c>
      <c r="Q1969" s="13">
        <f t="shared" si="61"/>
        <v>0</v>
      </c>
    </row>
    <row r="1970" spans="2:17" ht="15" customHeight="1">
      <c r="B1970" s="5" t="str">
        <f>_xlfn.IFNA(VLOOKUP(C1970,Master!$H:$I,2,FALSE),"")</f>
        <v/>
      </c>
      <c r="D1970" s="5" t="str">
        <f>_xlfn.IFNA(VLOOKUP(E1970,Master!$H:$I,2,FALSE),"")</f>
        <v/>
      </c>
      <c r="F1970" s="26" t="str">
        <f>+_xlfn.XLOOKUP(G1970,Master!$V$2:$V$8,Master!$U$2:$U$8,"")</f>
        <v/>
      </c>
      <c r="I1970" s="4" t="str">
        <f>_xlfn.IFNA(VLOOKUP(D1970,Master!$I:$K,2,FALSE),"")</f>
        <v/>
      </c>
      <c r="J1970" s="4" t="str">
        <f>_xlfn.IFNA(VLOOKUP(D1970,Master!$I:$K,3,FALSE),"")</f>
        <v/>
      </c>
      <c r="L1970" s="27" t="str">
        <f>IF(A1970&lt;&gt;"CFA",_xlfn.IFNA(VLOOKUP($G1970,Master!$V$2:$Z$8,5,0),""),"")</f>
        <v/>
      </c>
      <c r="P1970" s="6" t="str">
        <f t="shared" si="60"/>
        <v/>
      </c>
      <c r="Q1970" s="13">
        <f t="shared" si="61"/>
        <v>0</v>
      </c>
    </row>
    <row r="1971" spans="2:17" ht="15" customHeight="1">
      <c r="B1971" s="5" t="str">
        <f>_xlfn.IFNA(VLOOKUP(C1971,Master!$H:$I,2,FALSE),"")</f>
        <v/>
      </c>
      <c r="D1971" s="5" t="str">
        <f>_xlfn.IFNA(VLOOKUP(E1971,Master!$H:$I,2,FALSE),"")</f>
        <v/>
      </c>
      <c r="F1971" s="26" t="str">
        <f>+_xlfn.XLOOKUP(G1971,Master!$V$2:$V$8,Master!$U$2:$U$8,"")</f>
        <v/>
      </c>
      <c r="I1971" s="4" t="str">
        <f>_xlfn.IFNA(VLOOKUP(D1971,Master!$I:$K,2,FALSE),"")</f>
        <v/>
      </c>
      <c r="J1971" s="4" t="str">
        <f>_xlfn.IFNA(VLOOKUP(D1971,Master!$I:$K,3,FALSE),"")</f>
        <v/>
      </c>
      <c r="L1971" s="27" t="str">
        <f>IF(A1971&lt;&gt;"CFA",_xlfn.IFNA(VLOOKUP($G1971,Master!$V$2:$Z$8,5,0),""),"")</f>
        <v/>
      </c>
      <c r="P1971" s="6" t="str">
        <f t="shared" si="60"/>
        <v/>
      </c>
      <c r="Q1971" s="13">
        <f t="shared" si="61"/>
        <v>0</v>
      </c>
    </row>
    <row r="1972" spans="2:17" ht="15" customHeight="1">
      <c r="B1972" s="5" t="str">
        <f>_xlfn.IFNA(VLOOKUP(C1972,Master!$H:$I,2,FALSE),"")</f>
        <v/>
      </c>
      <c r="D1972" s="5" t="str">
        <f>_xlfn.IFNA(VLOOKUP(E1972,Master!$H:$I,2,FALSE),"")</f>
        <v/>
      </c>
      <c r="F1972" s="26" t="str">
        <f>+_xlfn.XLOOKUP(G1972,Master!$V$2:$V$8,Master!$U$2:$U$8,"")</f>
        <v/>
      </c>
      <c r="I1972" s="4" t="str">
        <f>_xlfn.IFNA(VLOOKUP(D1972,Master!$I:$K,2,FALSE),"")</f>
        <v/>
      </c>
      <c r="J1972" s="4" t="str">
        <f>_xlfn.IFNA(VLOOKUP(D1972,Master!$I:$K,3,FALSE),"")</f>
        <v/>
      </c>
      <c r="L1972" s="27" t="str">
        <f>IF(A1972&lt;&gt;"CFA",_xlfn.IFNA(VLOOKUP($G1972,Master!$V$2:$Z$8,5,0),""),"")</f>
        <v/>
      </c>
      <c r="P1972" s="6" t="str">
        <f t="shared" si="60"/>
        <v/>
      </c>
      <c r="Q1972" s="13">
        <f t="shared" si="61"/>
        <v>0</v>
      </c>
    </row>
    <row r="1973" spans="2:17" ht="15" customHeight="1">
      <c r="B1973" s="5" t="str">
        <f>_xlfn.IFNA(VLOOKUP(C1973,Master!$H:$I,2,FALSE),"")</f>
        <v/>
      </c>
      <c r="D1973" s="5" t="str">
        <f>_xlfn.IFNA(VLOOKUP(E1973,Master!$H:$I,2,FALSE),"")</f>
        <v/>
      </c>
      <c r="F1973" s="26" t="str">
        <f>+_xlfn.XLOOKUP(G1973,Master!$V$2:$V$8,Master!$U$2:$U$8,"")</f>
        <v/>
      </c>
      <c r="I1973" s="4" t="str">
        <f>_xlfn.IFNA(VLOOKUP(D1973,Master!$I:$K,2,FALSE),"")</f>
        <v/>
      </c>
      <c r="J1973" s="4" t="str">
        <f>_xlfn.IFNA(VLOOKUP(D1973,Master!$I:$K,3,FALSE),"")</f>
        <v/>
      </c>
      <c r="L1973" s="27" t="str">
        <f>IF(A1973&lt;&gt;"CFA",_xlfn.IFNA(VLOOKUP($G1973,Master!$V$2:$Z$8,5,0),""),"")</f>
        <v/>
      </c>
      <c r="P1973" s="6" t="str">
        <f t="shared" si="60"/>
        <v/>
      </c>
      <c r="Q1973" s="13">
        <f t="shared" si="61"/>
        <v>0</v>
      </c>
    </row>
    <row r="1974" spans="2:17" ht="15" customHeight="1">
      <c r="B1974" s="5" t="str">
        <f>_xlfn.IFNA(VLOOKUP(C1974,Master!$H:$I,2,FALSE),"")</f>
        <v/>
      </c>
      <c r="D1974" s="5" t="str">
        <f>_xlfn.IFNA(VLOOKUP(E1974,Master!$H:$I,2,FALSE),"")</f>
        <v/>
      </c>
      <c r="F1974" s="26" t="str">
        <f>+_xlfn.XLOOKUP(G1974,Master!$V$2:$V$8,Master!$U$2:$U$8,"")</f>
        <v/>
      </c>
      <c r="I1974" s="4" t="str">
        <f>_xlfn.IFNA(VLOOKUP(D1974,Master!$I:$K,2,FALSE),"")</f>
        <v/>
      </c>
      <c r="J1974" s="4" t="str">
        <f>_xlfn.IFNA(VLOOKUP(D1974,Master!$I:$K,3,FALSE),"")</f>
        <v/>
      </c>
      <c r="L1974" s="27" t="str">
        <f>IF(A1974&lt;&gt;"CFA",_xlfn.IFNA(VLOOKUP($G1974,Master!$V$2:$Z$8,5,0),""),"")</f>
        <v/>
      </c>
      <c r="P1974" s="6" t="str">
        <f t="shared" si="60"/>
        <v/>
      </c>
      <c r="Q1974" s="13">
        <f t="shared" si="61"/>
        <v>0</v>
      </c>
    </row>
    <row r="1975" spans="2:17" ht="15" customHeight="1">
      <c r="B1975" s="5" t="str">
        <f>_xlfn.IFNA(VLOOKUP(C1975,Master!$H:$I,2,FALSE),"")</f>
        <v/>
      </c>
      <c r="D1975" s="5" t="str">
        <f>_xlfn.IFNA(VLOOKUP(E1975,Master!$H:$I,2,FALSE),"")</f>
        <v/>
      </c>
      <c r="F1975" s="26" t="str">
        <f>+_xlfn.XLOOKUP(G1975,Master!$V$2:$V$8,Master!$U$2:$U$8,"")</f>
        <v/>
      </c>
      <c r="I1975" s="4" t="str">
        <f>_xlfn.IFNA(VLOOKUP(D1975,Master!$I:$K,2,FALSE),"")</f>
        <v/>
      </c>
      <c r="J1975" s="4" t="str">
        <f>_xlfn.IFNA(VLOOKUP(D1975,Master!$I:$K,3,FALSE),"")</f>
        <v/>
      </c>
      <c r="L1975" s="27" t="str">
        <f>IF(A1975&lt;&gt;"CFA",_xlfn.IFNA(VLOOKUP($G1975,Master!$V$2:$Z$8,5,0),""),"")</f>
        <v/>
      </c>
      <c r="P1975" s="6" t="str">
        <f t="shared" ref="P1975:P2038" si="62">IF(N1975&lt;&gt;"",IF(MONTH(N1975)&gt;=4,"FY1"&amp;RIGHT(YEAR(N1975)+1,2),"FY1"&amp;RIGHT(YEAR(N1975),2)),"")</f>
        <v/>
      </c>
      <c r="Q1975" s="13">
        <f t="shared" ref="Q1975:Q2038" si="63">IF(K1975&gt;0&amp;M1975&gt;0,K1975*M1975,"")</f>
        <v>0</v>
      </c>
    </row>
    <row r="1976" spans="2:17" ht="15" customHeight="1">
      <c r="B1976" s="5" t="str">
        <f>_xlfn.IFNA(VLOOKUP(C1976,Master!$H:$I,2,FALSE),"")</f>
        <v/>
      </c>
      <c r="D1976" s="5" t="str">
        <f>_xlfn.IFNA(VLOOKUP(E1976,Master!$H:$I,2,FALSE),"")</f>
        <v/>
      </c>
      <c r="F1976" s="26" t="str">
        <f>+_xlfn.XLOOKUP(G1976,Master!$V$2:$V$8,Master!$U$2:$U$8,"")</f>
        <v/>
      </c>
      <c r="I1976" s="4" t="str">
        <f>_xlfn.IFNA(VLOOKUP(D1976,Master!$I:$K,2,FALSE),"")</f>
        <v/>
      </c>
      <c r="J1976" s="4" t="str">
        <f>_xlfn.IFNA(VLOOKUP(D1976,Master!$I:$K,3,FALSE),"")</f>
        <v/>
      </c>
      <c r="L1976" s="27" t="str">
        <f>IF(A1976&lt;&gt;"CFA",_xlfn.IFNA(VLOOKUP($G1976,Master!$V$2:$Z$8,5,0),""),"")</f>
        <v/>
      </c>
      <c r="P1976" s="6" t="str">
        <f t="shared" si="62"/>
        <v/>
      </c>
      <c r="Q1976" s="13">
        <f t="shared" si="63"/>
        <v>0</v>
      </c>
    </row>
    <row r="1977" spans="2:17" ht="15" customHeight="1">
      <c r="B1977" s="5" t="str">
        <f>_xlfn.IFNA(VLOOKUP(C1977,Master!$H:$I,2,FALSE),"")</f>
        <v/>
      </c>
      <c r="D1977" s="5" t="str">
        <f>_xlfn.IFNA(VLOOKUP(E1977,Master!$H:$I,2,FALSE),"")</f>
        <v/>
      </c>
      <c r="F1977" s="26" t="str">
        <f>+_xlfn.XLOOKUP(G1977,Master!$V$2:$V$8,Master!$U$2:$U$8,"")</f>
        <v/>
      </c>
      <c r="I1977" s="4" t="str">
        <f>_xlfn.IFNA(VLOOKUP(D1977,Master!$I:$K,2,FALSE),"")</f>
        <v/>
      </c>
      <c r="J1977" s="4" t="str">
        <f>_xlfn.IFNA(VLOOKUP(D1977,Master!$I:$K,3,FALSE),"")</f>
        <v/>
      </c>
      <c r="L1977" s="27" t="str">
        <f>IF(A1977&lt;&gt;"CFA",_xlfn.IFNA(VLOOKUP($G1977,Master!$V$2:$Z$8,5,0),""),"")</f>
        <v/>
      </c>
      <c r="P1977" s="6" t="str">
        <f t="shared" si="62"/>
        <v/>
      </c>
      <c r="Q1977" s="13">
        <f t="shared" si="63"/>
        <v>0</v>
      </c>
    </row>
    <row r="1978" spans="2:17" ht="15" customHeight="1">
      <c r="B1978" s="5" t="str">
        <f>_xlfn.IFNA(VLOOKUP(C1978,Master!$H:$I,2,FALSE),"")</f>
        <v/>
      </c>
      <c r="D1978" s="5" t="str">
        <f>_xlfn.IFNA(VLOOKUP(E1978,Master!$H:$I,2,FALSE),"")</f>
        <v/>
      </c>
      <c r="F1978" s="26" t="str">
        <f>+_xlfn.XLOOKUP(G1978,Master!$V$2:$V$8,Master!$U$2:$U$8,"")</f>
        <v/>
      </c>
      <c r="I1978" s="4" t="str">
        <f>_xlfn.IFNA(VLOOKUP(D1978,Master!$I:$K,2,FALSE),"")</f>
        <v/>
      </c>
      <c r="J1978" s="4" t="str">
        <f>_xlfn.IFNA(VLOOKUP(D1978,Master!$I:$K,3,FALSE),"")</f>
        <v/>
      </c>
      <c r="L1978" s="27" t="str">
        <f>IF(A1978&lt;&gt;"CFA",_xlfn.IFNA(VLOOKUP($G1978,Master!$V$2:$Z$8,5,0),""),"")</f>
        <v/>
      </c>
      <c r="P1978" s="6" t="str">
        <f t="shared" si="62"/>
        <v/>
      </c>
      <c r="Q1978" s="13">
        <f t="shared" si="63"/>
        <v>0</v>
      </c>
    </row>
    <row r="1979" spans="2:17" ht="15" customHeight="1">
      <c r="B1979" s="5" t="str">
        <f>_xlfn.IFNA(VLOOKUP(C1979,Master!$H:$I,2,FALSE),"")</f>
        <v/>
      </c>
      <c r="D1979" s="5" t="str">
        <f>_xlfn.IFNA(VLOOKUP(E1979,Master!$H:$I,2,FALSE),"")</f>
        <v/>
      </c>
      <c r="F1979" s="26" t="str">
        <f>+_xlfn.XLOOKUP(G1979,Master!$V$2:$V$8,Master!$U$2:$U$8,"")</f>
        <v/>
      </c>
      <c r="I1979" s="4" t="str">
        <f>_xlfn.IFNA(VLOOKUP(D1979,Master!$I:$K,2,FALSE),"")</f>
        <v/>
      </c>
      <c r="J1979" s="4" t="str">
        <f>_xlfn.IFNA(VLOOKUP(D1979,Master!$I:$K,3,FALSE),"")</f>
        <v/>
      </c>
      <c r="L1979" s="27" t="str">
        <f>IF(A1979&lt;&gt;"CFA",_xlfn.IFNA(VLOOKUP($G1979,Master!$V$2:$Z$8,5,0),""),"")</f>
        <v/>
      </c>
      <c r="P1979" s="6" t="str">
        <f t="shared" si="62"/>
        <v/>
      </c>
      <c r="Q1979" s="13">
        <f t="shared" si="63"/>
        <v>0</v>
      </c>
    </row>
    <row r="1980" spans="2:17" ht="15" customHeight="1">
      <c r="B1980" s="5" t="str">
        <f>_xlfn.IFNA(VLOOKUP(C1980,Master!$H:$I,2,FALSE),"")</f>
        <v/>
      </c>
      <c r="D1980" s="5" t="str">
        <f>_xlfn.IFNA(VLOOKUP(E1980,Master!$H:$I,2,FALSE),"")</f>
        <v/>
      </c>
      <c r="F1980" s="26" t="str">
        <f>+_xlfn.XLOOKUP(G1980,Master!$V$2:$V$8,Master!$U$2:$U$8,"")</f>
        <v/>
      </c>
      <c r="I1980" s="4" t="str">
        <f>_xlfn.IFNA(VLOOKUP(D1980,Master!$I:$K,2,FALSE),"")</f>
        <v/>
      </c>
      <c r="J1980" s="4" t="str">
        <f>_xlfn.IFNA(VLOOKUP(D1980,Master!$I:$K,3,FALSE),"")</f>
        <v/>
      </c>
      <c r="L1980" s="27" t="str">
        <f>IF(A1980&lt;&gt;"CFA",_xlfn.IFNA(VLOOKUP($G1980,Master!$V$2:$Z$8,5,0),""),"")</f>
        <v/>
      </c>
      <c r="P1980" s="6" t="str">
        <f t="shared" si="62"/>
        <v/>
      </c>
      <c r="Q1980" s="13">
        <f t="shared" si="63"/>
        <v>0</v>
      </c>
    </row>
    <row r="1981" spans="2:17" ht="15" customHeight="1">
      <c r="B1981" s="5" t="str">
        <f>_xlfn.IFNA(VLOOKUP(C1981,Master!$H:$I,2,FALSE),"")</f>
        <v/>
      </c>
      <c r="D1981" s="5" t="str">
        <f>_xlfn.IFNA(VLOOKUP(E1981,Master!$H:$I,2,FALSE),"")</f>
        <v/>
      </c>
      <c r="F1981" s="26" t="str">
        <f>+_xlfn.XLOOKUP(G1981,Master!$V$2:$V$8,Master!$U$2:$U$8,"")</f>
        <v/>
      </c>
      <c r="I1981" s="4" t="str">
        <f>_xlfn.IFNA(VLOOKUP(D1981,Master!$I:$K,2,FALSE),"")</f>
        <v/>
      </c>
      <c r="J1981" s="4" t="str">
        <f>_xlfn.IFNA(VLOOKUP(D1981,Master!$I:$K,3,FALSE),"")</f>
        <v/>
      </c>
      <c r="L1981" s="27" t="str">
        <f>IF(A1981&lt;&gt;"CFA",_xlfn.IFNA(VLOOKUP($G1981,Master!$V$2:$Z$8,5,0),""),"")</f>
        <v/>
      </c>
      <c r="P1981" s="6" t="str">
        <f t="shared" si="62"/>
        <v/>
      </c>
      <c r="Q1981" s="13">
        <f t="shared" si="63"/>
        <v>0</v>
      </c>
    </row>
    <row r="1982" spans="2:17" ht="15" customHeight="1">
      <c r="B1982" s="5" t="str">
        <f>_xlfn.IFNA(VLOOKUP(C1982,Master!$H:$I,2,FALSE),"")</f>
        <v/>
      </c>
      <c r="D1982" s="5" t="str">
        <f>_xlfn.IFNA(VLOOKUP(E1982,Master!$H:$I,2,FALSE),"")</f>
        <v/>
      </c>
      <c r="F1982" s="26" t="str">
        <f>+_xlfn.XLOOKUP(G1982,Master!$V$2:$V$8,Master!$U$2:$U$8,"")</f>
        <v/>
      </c>
      <c r="I1982" s="4" t="str">
        <f>_xlfn.IFNA(VLOOKUP(D1982,Master!$I:$K,2,FALSE),"")</f>
        <v/>
      </c>
      <c r="J1982" s="4" t="str">
        <f>_xlfn.IFNA(VLOOKUP(D1982,Master!$I:$K,3,FALSE),"")</f>
        <v/>
      </c>
      <c r="L1982" s="27" t="str">
        <f>IF(A1982&lt;&gt;"CFA",_xlfn.IFNA(VLOOKUP($G1982,Master!$V$2:$Z$8,5,0),""),"")</f>
        <v/>
      </c>
      <c r="P1982" s="6" t="str">
        <f t="shared" si="62"/>
        <v/>
      </c>
      <c r="Q1982" s="13">
        <f t="shared" si="63"/>
        <v>0</v>
      </c>
    </row>
    <row r="1983" spans="2:17" ht="15" customHeight="1">
      <c r="B1983" s="5" t="str">
        <f>_xlfn.IFNA(VLOOKUP(C1983,Master!$H:$I,2,FALSE),"")</f>
        <v/>
      </c>
      <c r="D1983" s="5" t="str">
        <f>_xlfn.IFNA(VLOOKUP(E1983,Master!$H:$I,2,FALSE),"")</f>
        <v/>
      </c>
      <c r="F1983" s="26" t="str">
        <f>+_xlfn.XLOOKUP(G1983,Master!$V$2:$V$8,Master!$U$2:$U$8,"")</f>
        <v/>
      </c>
      <c r="I1983" s="4" t="str">
        <f>_xlfn.IFNA(VLOOKUP(D1983,Master!$I:$K,2,FALSE),"")</f>
        <v/>
      </c>
      <c r="J1983" s="4" t="str">
        <f>_xlfn.IFNA(VLOOKUP(D1983,Master!$I:$K,3,FALSE),"")</f>
        <v/>
      </c>
      <c r="L1983" s="27" t="str">
        <f>IF(A1983&lt;&gt;"CFA",_xlfn.IFNA(VLOOKUP($G1983,Master!$V$2:$Z$8,5,0),""),"")</f>
        <v/>
      </c>
      <c r="P1983" s="6" t="str">
        <f t="shared" si="62"/>
        <v/>
      </c>
      <c r="Q1983" s="13">
        <f t="shared" si="63"/>
        <v>0</v>
      </c>
    </row>
    <row r="1984" spans="2:17" ht="15" customHeight="1">
      <c r="B1984" s="5" t="str">
        <f>_xlfn.IFNA(VLOOKUP(C1984,Master!$H:$I,2,FALSE),"")</f>
        <v/>
      </c>
      <c r="D1984" s="5" t="str">
        <f>_xlfn.IFNA(VLOOKUP(E1984,Master!$H:$I,2,FALSE),"")</f>
        <v/>
      </c>
      <c r="F1984" s="26" t="str">
        <f>+_xlfn.XLOOKUP(G1984,Master!$V$2:$V$8,Master!$U$2:$U$8,"")</f>
        <v/>
      </c>
      <c r="I1984" s="4" t="str">
        <f>_xlfn.IFNA(VLOOKUP(D1984,Master!$I:$K,2,FALSE),"")</f>
        <v/>
      </c>
      <c r="J1984" s="4" t="str">
        <f>_xlfn.IFNA(VLOOKUP(D1984,Master!$I:$K,3,FALSE),"")</f>
        <v/>
      </c>
      <c r="L1984" s="27" t="str">
        <f>IF(A1984&lt;&gt;"CFA",_xlfn.IFNA(VLOOKUP($G1984,Master!$V$2:$Z$8,5,0),""),"")</f>
        <v/>
      </c>
      <c r="P1984" s="6" t="str">
        <f t="shared" si="62"/>
        <v/>
      </c>
      <c r="Q1984" s="13">
        <f t="shared" si="63"/>
        <v>0</v>
      </c>
    </row>
    <row r="1985" spans="2:17" ht="15" customHeight="1">
      <c r="B1985" s="5" t="str">
        <f>_xlfn.IFNA(VLOOKUP(C1985,Master!$H:$I,2,FALSE),"")</f>
        <v/>
      </c>
      <c r="D1985" s="5" t="str">
        <f>_xlfn.IFNA(VLOOKUP(E1985,Master!$H:$I,2,FALSE),"")</f>
        <v/>
      </c>
      <c r="F1985" s="26" t="str">
        <f>+_xlfn.XLOOKUP(G1985,Master!$V$2:$V$8,Master!$U$2:$U$8,"")</f>
        <v/>
      </c>
      <c r="I1985" s="4" t="str">
        <f>_xlfn.IFNA(VLOOKUP(D1985,Master!$I:$K,2,FALSE),"")</f>
        <v/>
      </c>
      <c r="J1985" s="4" t="str">
        <f>_xlfn.IFNA(VLOOKUP(D1985,Master!$I:$K,3,FALSE),"")</f>
        <v/>
      </c>
      <c r="L1985" s="27" t="str">
        <f>IF(A1985&lt;&gt;"CFA",_xlfn.IFNA(VLOOKUP($G1985,Master!$V$2:$Z$8,5,0),""),"")</f>
        <v/>
      </c>
      <c r="P1985" s="6" t="str">
        <f t="shared" si="62"/>
        <v/>
      </c>
      <c r="Q1985" s="13">
        <f t="shared" si="63"/>
        <v>0</v>
      </c>
    </row>
    <row r="1986" spans="2:17" ht="15" customHeight="1">
      <c r="B1986" s="5" t="str">
        <f>_xlfn.IFNA(VLOOKUP(C1986,Master!$H:$I,2,FALSE),"")</f>
        <v/>
      </c>
      <c r="D1986" s="5" t="str">
        <f>_xlfn.IFNA(VLOOKUP(E1986,Master!$H:$I,2,FALSE),"")</f>
        <v/>
      </c>
      <c r="F1986" s="26" t="str">
        <f>+_xlfn.XLOOKUP(G1986,Master!$V$2:$V$8,Master!$U$2:$U$8,"")</f>
        <v/>
      </c>
      <c r="I1986" s="4" t="str">
        <f>_xlfn.IFNA(VLOOKUP(D1986,Master!$I:$K,2,FALSE),"")</f>
        <v/>
      </c>
      <c r="J1986" s="4" t="str">
        <f>_xlfn.IFNA(VLOOKUP(D1986,Master!$I:$K,3,FALSE),"")</f>
        <v/>
      </c>
      <c r="L1986" s="27" t="str">
        <f>IF(A1986&lt;&gt;"CFA",_xlfn.IFNA(VLOOKUP($G1986,Master!$V$2:$Z$8,5,0),""),"")</f>
        <v/>
      </c>
      <c r="P1986" s="6" t="str">
        <f t="shared" si="62"/>
        <v/>
      </c>
      <c r="Q1986" s="13">
        <f t="shared" si="63"/>
        <v>0</v>
      </c>
    </row>
    <row r="1987" spans="2:17" ht="15" customHeight="1">
      <c r="B1987" s="5" t="str">
        <f>_xlfn.IFNA(VLOOKUP(C1987,Master!$H:$I,2,FALSE),"")</f>
        <v/>
      </c>
      <c r="D1987" s="5" t="str">
        <f>_xlfn.IFNA(VLOOKUP(E1987,Master!$H:$I,2,FALSE),"")</f>
        <v/>
      </c>
      <c r="F1987" s="26" t="str">
        <f>+_xlfn.XLOOKUP(G1987,Master!$V$2:$V$8,Master!$U$2:$U$8,"")</f>
        <v/>
      </c>
      <c r="I1987" s="4" t="str">
        <f>_xlfn.IFNA(VLOOKUP(D1987,Master!$I:$K,2,FALSE),"")</f>
        <v/>
      </c>
      <c r="J1987" s="4" t="str">
        <f>_xlfn.IFNA(VLOOKUP(D1987,Master!$I:$K,3,FALSE),"")</f>
        <v/>
      </c>
      <c r="L1987" s="27" t="str">
        <f>IF(A1987&lt;&gt;"CFA",_xlfn.IFNA(VLOOKUP($G1987,Master!$V$2:$Z$8,5,0),""),"")</f>
        <v/>
      </c>
      <c r="P1987" s="6" t="str">
        <f t="shared" si="62"/>
        <v/>
      </c>
      <c r="Q1987" s="13">
        <f t="shared" si="63"/>
        <v>0</v>
      </c>
    </row>
    <row r="1988" spans="2:17" ht="15" customHeight="1">
      <c r="B1988" s="5" t="str">
        <f>_xlfn.IFNA(VLOOKUP(C1988,Master!$H:$I,2,FALSE),"")</f>
        <v/>
      </c>
      <c r="D1988" s="5" t="str">
        <f>_xlfn.IFNA(VLOOKUP(E1988,Master!$H:$I,2,FALSE),"")</f>
        <v/>
      </c>
      <c r="F1988" s="26" t="str">
        <f>+_xlfn.XLOOKUP(G1988,Master!$V$2:$V$8,Master!$U$2:$U$8,"")</f>
        <v/>
      </c>
      <c r="I1988" s="4" t="str">
        <f>_xlfn.IFNA(VLOOKUP(D1988,Master!$I:$K,2,FALSE),"")</f>
        <v/>
      </c>
      <c r="J1988" s="4" t="str">
        <f>_xlfn.IFNA(VLOOKUP(D1988,Master!$I:$K,3,FALSE),"")</f>
        <v/>
      </c>
      <c r="L1988" s="27" t="str">
        <f>IF(A1988&lt;&gt;"CFA",_xlfn.IFNA(VLOOKUP($G1988,Master!$V$2:$Z$8,5,0),""),"")</f>
        <v/>
      </c>
      <c r="P1988" s="6" t="str">
        <f t="shared" si="62"/>
        <v/>
      </c>
      <c r="Q1988" s="13">
        <f t="shared" si="63"/>
        <v>0</v>
      </c>
    </row>
    <row r="1989" spans="2:17" ht="15" customHeight="1">
      <c r="B1989" s="5" t="str">
        <f>_xlfn.IFNA(VLOOKUP(C1989,Master!$H:$I,2,FALSE),"")</f>
        <v/>
      </c>
      <c r="D1989" s="5" t="str">
        <f>_xlfn.IFNA(VLOOKUP(E1989,Master!$H:$I,2,FALSE),"")</f>
        <v/>
      </c>
      <c r="F1989" s="26" t="str">
        <f>+_xlfn.XLOOKUP(G1989,Master!$V$2:$V$8,Master!$U$2:$U$8,"")</f>
        <v/>
      </c>
      <c r="I1989" s="4" t="str">
        <f>_xlfn.IFNA(VLOOKUP(D1989,Master!$I:$K,2,FALSE),"")</f>
        <v/>
      </c>
      <c r="J1989" s="4" t="str">
        <f>_xlfn.IFNA(VLOOKUP(D1989,Master!$I:$K,3,FALSE),"")</f>
        <v/>
      </c>
      <c r="L1989" s="27" t="str">
        <f>IF(A1989&lt;&gt;"CFA",_xlfn.IFNA(VLOOKUP($G1989,Master!$V$2:$Z$8,5,0),""),"")</f>
        <v/>
      </c>
      <c r="P1989" s="6" t="str">
        <f t="shared" si="62"/>
        <v/>
      </c>
      <c r="Q1989" s="13">
        <f t="shared" si="63"/>
        <v>0</v>
      </c>
    </row>
    <row r="1990" spans="2:17" ht="15" customHeight="1">
      <c r="B1990" s="5" t="str">
        <f>_xlfn.IFNA(VLOOKUP(C1990,Master!$H:$I,2,FALSE),"")</f>
        <v/>
      </c>
      <c r="D1990" s="5" t="str">
        <f>_xlfn.IFNA(VLOOKUP(E1990,Master!$H:$I,2,FALSE),"")</f>
        <v/>
      </c>
      <c r="F1990" s="26" t="str">
        <f>+_xlfn.XLOOKUP(G1990,Master!$V$2:$V$8,Master!$U$2:$U$8,"")</f>
        <v/>
      </c>
      <c r="I1990" s="4" t="str">
        <f>_xlfn.IFNA(VLOOKUP(D1990,Master!$I:$K,2,FALSE),"")</f>
        <v/>
      </c>
      <c r="J1990" s="4" t="str">
        <f>_xlfn.IFNA(VLOOKUP(D1990,Master!$I:$K,3,FALSE),"")</f>
        <v/>
      </c>
      <c r="L1990" s="27" t="str">
        <f>IF(A1990&lt;&gt;"CFA",_xlfn.IFNA(VLOOKUP($G1990,Master!$V$2:$Z$8,5,0),""),"")</f>
        <v/>
      </c>
      <c r="P1990" s="6" t="str">
        <f t="shared" si="62"/>
        <v/>
      </c>
      <c r="Q1990" s="13">
        <f t="shared" si="63"/>
        <v>0</v>
      </c>
    </row>
    <row r="1991" spans="2:17" ht="15" customHeight="1">
      <c r="B1991" s="5" t="str">
        <f>_xlfn.IFNA(VLOOKUP(C1991,Master!$H:$I,2,FALSE),"")</f>
        <v/>
      </c>
      <c r="D1991" s="5" t="str">
        <f>_xlfn.IFNA(VLOOKUP(E1991,Master!$H:$I,2,FALSE),"")</f>
        <v/>
      </c>
      <c r="F1991" s="26" t="str">
        <f>+_xlfn.XLOOKUP(G1991,Master!$V$2:$V$8,Master!$U$2:$U$8,"")</f>
        <v/>
      </c>
      <c r="I1991" s="4" t="str">
        <f>_xlfn.IFNA(VLOOKUP(D1991,Master!$I:$K,2,FALSE),"")</f>
        <v/>
      </c>
      <c r="J1991" s="4" t="str">
        <f>_xlfn.IFNA(VLOOKUP(D1991,Master!$I:$K,3,FALSE),"")</f>
        <v/>
      </c>
      <c r="L1991" s="27" t="str">
        <f>IF(A1991&lt;&gt;"CFA",_xlfn.IFNA(VLOOKUP($G1991,Master!$V$2:$Z$8,5,0),""),"")</f>
        <v/>
      </c>
      <c r="P1991" s="6" t="str">
        <f t="shared" si="62"/>
        <v/>
      </c>
      <c r="Q1991" s="13">
        <f t="shared" si="63"/>
        <v>0</v>
      </c>
    </row>
    <row r="1992" spans="2:17" ht="15" customHeight="1">
      <c r="B1992" s="5" t="str">
        <f>_xlfn.IFNA(VLOOKUP(C1992,Master!$H:$I,2,FALSE),"")</f>
        <v/>
      </c>
      <c r="D1992" s="5" t="str">
        <f>_xlfn.IFNA(VLOOKUP(E1992,Master!$H:$I,2,FALSE),"")</f>
        <v/>
      </c>
      <c r="F1992" s="26" t="str">
        <f>+_xlfn.XLOOKUP(G1992,Master!$V$2:$V$8,Master!$U$2:$U$8,"")</f>
        <v/>
      </c>
      <c r="I1992" s="4" t="str">
        <f>_xlfn.IFNA(VLOOKUP(D1992,Master!$I:$K,2,FALSE),"")</f>
        <v/>
      </c>
      <c r="J1992" s="4" t="str">
        <f>_xlfn.IFNA(VLOOKUP(D1992,Master!$I:$K,3,FALSE),"")</f>
        <v/>
      </c>
      <c r="L1992" s="27" t="str">
        <f>IF(A1992&lt;&gt;"CFA",_xlfn.IFNA(VLOOKUP($G1992,Master!$V$2:$Z$8,5,0),""),"")</f>
        <v/>
      </c>
      <c r="P1992" s="6" t="str">
        <f t="shared" si="62"/>
        <v/>
      </c>
      <c r="Q1992" s="13">
        <f t="shared" si="63"/>
        <v>0</v>
      </c>
    </row>
    <row r="1993" spans="2:17" ht="15" customHeight="1">
      <c r="B1993" s="5" t="str">
        <f>_xlfn.IFNA(VLOOKUP(C1993,Master!$H:$I,2,FALSE),"")</f>
        <v/>
      </c>
      <c r="D1993" s="5" t="str">
        <f>_xlfn.IFNA(VLOOKUP(E1993,Master!$H:$I,2,FALSE),"")</f>
        <v/>
      </c>
      <c r="F1993" s="26" t="str">
        <f>+_xlfn.XLOOKUP(G1993,Master!$V$2:$V$8,Master!$U$2:$U$8,"")</f>
        <v/>
      </c>
      <c r="I1993" s="4" t="str">
        <f>_xlfn.IFNA(VLOOKUP(D1993,Master!$I:$K,2,FALSE),"")</f>
        <v/>
      </c>
      <c r="J1993" s="4" t="str">
        <f>_xlfn.IFNA(VLOOKUP(D1993,Master!$I:$K,3,FALSE),"")</f>
        <v/>
      </c>
      <c r="L1993" s="27" t="str">
        <f>IF(A1993&lt;&gt;"CFA",_xlfn.IFNA(VLOOKUP($G1993,Master!$V$2:$Z$8,5,0),""),"")</f>
        <v/>
      </c>
      <c r="P1993" s="6" t="str">
        <f t="shared" si="62"/>
        <v/>
      </c>
      <c r="Q1993" s="13">
        <f t="shared" si="63"/>
        <v>0</v>
      </c>
    </row>
    <row r="1994" spans="2:17" ht="15" customHeight="1">
      <c r="B1994" s="5" t="str">
        <f>_xlfn.IFNA(VLOOKUP(C1994,Master!$H:$I,2,FALSE),"")</f>
        <v/>
      </c>
      <c r="D1994" s="5" t="str">
        <f>_xlfn.IFNA(VLOOKUP(E1994,Master!$H:$I,2,FALSE),"")</f>
        <v/>
      </c>
      <c r="F1994" s="26" t="str">
        <f>+_xlfn.XLOOKUP(G1994,Master!$V$2:$V$8,Master!$U$2:$U$8,"")</f>
        <v/>
      </c>
      <c r="I1994" s="4" t="str">
        <f>_xlfn.IFNA(VLOOKUP(D1994,Master!$I:$K,2,FALSE),"")</f>
        <v/>
      </c>
      <c r="J1994" s="4" t="str">
        <f>_xlfn.IFNA(VLOOKUP(D1994,Master!$I:$K,3,FALSE),"")</f>
        <v/>
      </c>
      <c r="L1994" s="27" t="str">
        <f>IF(A1994&lt;&gt;"CFA",_xlfn.IFNA(VLOOKUP($G1994,Master!$V$2:$Z$8,5,0),""),"")</f>
        <v/>
      </c>
      <c r="P1994" s="6" t="str">
        <f t="shared" si="62"/>
        <v/>
      </c>
      <c r="Q1994" s="13">
        <f t="shared" si="63"/>
        <v>0</v>
      </c>
    </row>
    <row r="1995" spans="2:17" ht="15" customHeight="1">
      <c r="B1995" s="5" t="str">
        <f>_xlfn.IFNA(VLOOKUP(C1995,Master!$H:$I,2,FALSE),"")</f>
        <v/>
      </c>
      <c r="D1995" s="5" t="str">
        <f>_xlfn.IFNA(VLOOKUP(E1995,Master!$H:$I,2,FALSE),"")</f>
        <v/>
      </c>
      <c r="F1995" s="26" t="str">
        <f>+_xlfn.XLOOKUP(G1995,Master!$V$2:$V$8,Master!$U$2:$U$8,"")</f>
        <v/>
      </c>
      <c r="I1995" s="4" t="str">
        <f>_xlfn.IFNA(VLOOKUP(D1995,Master!$I:$K,2,FALSE),"")</f>
        <v/>
      </c>
      <c r="J1995" s="4" t="str">
        <f>_xlfn.IFNA(VLOOKUP(D1995,Master!$I:$K,3,FALSE),"")</f>
        <v/>
      </c>
      <c r="L1995" s="27" t="str">
        <f>IF(A1995&lt;&gt;"CFA",_xlfn.IFNA(VLOOKUP($G1995,Master!$V$2:$Z$8,5,0),""),"")</f>
        <v/>
      </c>
      <c r="P1995" s="6" t="str">
        <f t="shared" si="62"/>
        <v/>
      </c>
      <c r="Q1995" s="13">
        <f t="shared" si="63"/>
        <v>0</v>
      </c>
    </row>
    <row r="1996" spans="2:17" ht="15" customHeight="1">
      <c r="B1996" s="5" t="str">
        <f>_xlfn.IFNA(VLOOKUP(C1996,Master!$H:$I,2,FALSE),"")</f>
        <v/>
      </c>
      <c r="D1996" s="5" t="str">
        <f>_xlfn.IFNA(VLOOKUP(E1996,Master!$H:$I,2,FALSE),"")</f>
        <v/>
      </c>
      <c r="F1996" s="26" t="str">
        <f>+_xlfn.XLOOKUP(G1996,Master!$V$2:$V$8,Master!$U$2:$U$8,"")</f>
        <v/>
      </c>
      <c r="I1996" s="4" t="str">
        <f>_xlfn.IFNA(VLOOKUP(D1996,Master!$I:$K,2,FALSE),"")</f>
        <v/>
      </c>
      <c r="J1996" s="4" t="str">
        <f>_xlfn.IFNA(VLOOKUP(D1996,Master!$I:$K,3,FALSE),"")</f>
        <v/>
      </c>
      <c r="L1996" s="27" t="str">
        <f>IF(A1996&lt;&gt;"CFA",_xlfn.IFNA(VLOOKUP($G1996,Master!$V$2:$Z$8,5,0),""),"")</f>
        <v/>
      </c>
      <c r="P1996" s="6" t="str">
        <f t="shared" si="62"/>
        <v/>
      </c>
      <c r="Q1996" s="13">
        <f t="shared" si="63"/>
        <v>0</v>
      </c>
    </row>
    <row r="1997" spans="2:17" ht="15" customHeight="1">
      <c r="B1997" s="5" t="str">
        <f>_xlfn.IFNA(VLOOKUP(C1997,Master!$H:$I,2,FALSE),"")</f>
        <v/>
      </c>
      <c r="D1997" s="5" t="str">
        <f>_xlfn.IFNA(VLOOKUP(E1997,Master!$H:$I,2,FALSE),"")</f>
        <v/>
      </c>
      <c r="F1997" s="26" t="str">
        <f>+_xlfn.XLOOKUP(G1997,Master!$V$2:$V$8,Master!$U$2:$U$8,"")</f>
        <v/>
      </c>
      <c r="I1997" s="4" t="str">
        <f>_xlfn.IFNA(VLOOKUP(D1997,Master!$I:$K,2,FALSE),"")</f>
        <v/>
      </c>
      <c r="J1997" s="4" t="str">
        <f>_xlfn.IFNA(VLOOKUP(D1997,Master!$I:$K,3,FALSE),"")</f>
        <v/>
      </c>
      <c r="L1997" s="27" t="str">
        <f>IF(A1997&lt;&gt;"CFA",_xlfn.IFNA(VLOOKUP($G1997,Master!$V$2:$Z$8,5,0),""),"")</f>
        <v/>
      </c>
      <c r="P1997" s="6" t="str">
        <f t="shared" si="62"/>
        <v/>
      </c>
      <c r="Q1997" s="13">
        <f t="shared" si="63"/>
        <v>0</v>
      </c>
    </row>
    <row r="1998" spans="2:17" ht="15" customHeight="1">
      <c r="B1998" s="5" t="str">
        <f>_xlfn.IFNA(VLOOKUP(C1998,Master!$H:$I,2,FALSE),"")</f>
        <v/>
      </c>
      <c r="D1998" s="5" t="str">
        <f>_xlfn.IFNA(VLOOKUP(E1998,Master!$H:$I,2,FALSE),"")</f>
        <v/>
      </c>
      <c r="F1998" s="26" t="str">
        <f>+_xlfn.XLOOKUP(G1998,Master!$V$2:$V$8,Master!$U$2:$U$8,"")</f>
        <v/>
      </c>
      <c r="I1998" s="4" t="str">
        <f>_xlfn.IFNA(VLOOKUP(D1998,Master!$I:$K,2,FALSE),"")</f>
        <v/>
      </c>
      <c r="J1998" s="4" t="str">
        <f>_xlfn.IFNA(VLOOKUP(D1998,Master!$I:$K,3,FALSE),"")</f>
        <v/>
      </c>
      <c r="L1998" s="27" t="str">
        <f>IF(A1998&lt;&gt;"CFA",_xlfn.IFNA(VLOOKUP($G1998,Master!$V$2:$Z$8,5,0),""),"")</f>
        <v/>
      </c>
      <c r="P1998" s="6" t="str">
        <f t="shared" si="62"/>
        <v/>
      </c>
      <c r="Q1998" s="13">
        <f t="shared" si="63"/>
        <v>0</v>
      </c>
    </row>
    <row r="1999" spans="2:17" ht="15" customHeight="1">
      <c r="B1999" s="5" t="str">
        <f>_xlfn.IFNA(VLOOKUP(C1999,Master!$H:$I,2,FALSE),"")</f>
        <v/>
      </c>
      <c r="D1999" s="5" t="str">
        <f>_xlfn.IFNA(VLOOKUP(E1999,Master!$H:$I,2,FALSE),"")</f>
        <v/>
      </c>
      <c r="F1999" s="26" t="str">
        <f>+_xlfn.XLOOKUP(G1999,Master!$V$2:$V$8,Master!$U$2:$U$8,"")</f>
        <v/>
      </c>
      <c r="I1999" s="4" t="str">
        <f>_xlfn.IFNA(VLOOKUP(D1999,Master!$I:$K,2,FALSE),"")</f>
        <v/>
      </c>
      <c r="J1999" s="4" t="str">
        <f>_xlfn.IFNA(VLOOKUP(D1999,Master!$I:$K,3,FALSE),"")</f>
        <v/>
      </c>
      <c r="L1999" s="27" t="str">
        <f>IF(A1999&lt;&gt;"CFA",_xlfn.IFNA(VLOOKUP($G1999,Master!$V$2:$Z$8,5,0),""),"")</f>
        <v/>
      </c>
      <c r="P1999" s="6" t="str">
        <f t="shared" si="62"/>
        <v/>
      </c>
      <c r="Q1999" s="13">
        <f t="shared" si="63"/>
        <v>0</v>
      </c>
    </row>
    <row r="2000" spans="2:17" ht="15" customHeight="1">
      <c r="B2000" s="5" t="str">
        <f>_xlfn.IFNA(VLOOKUP(C2000,Master!$H:$I,2,FALSE),"")</f>
        <v/>
      </c>
      <c r="D2000" s="5" t="str">
        <f>_xlfn.IFNA(VLOOKUP(E2000,Master!$H:$I,2,FALSE),"")</f>
        <v/>
      </c>
      <c r="F2000" s="26" t="str">
        <f>+_xlfn.XLOOKUP(G2000,Master!$V$2:$V$8,Master!$U$2:$U$8,"")</f>
        <v/>
      </c>
      <c r="I2000" s="4" t="str">
        <f>_xlfn.IFNA(VLOOKUP(D2000,Master!$I:$K,2,FALSE),"")</f>
        <v/>
      </c>
      <c r="J2000" s="4" t="str">
        <f>_xlfn.IFNA(VLOOKUP(D2000,Master!$I:$K,3,FALSE),"")</f>
        <v/>
      </c>
      <c r="L2000" s="27" t="str">
        <f>IF(A2000&lt;&gt;"CFA",_xlfn.IFNA(VLOOKUP($G2000,Master!$V$2:$Z$8,5,0),""),"")</f>
        <v/>
      </c>
      <c r="P2000" s="6" t="str">
        <f t="shared" si="62"/>
        <v/>
      </c>
      <c r="Q2000" s="13">
        <f t="shared" si="63"/>
        <v>0</v>
      </c>
    </row>
    <row r="2001" spans="2:17" ht="15" customHeight="1">
      <c r="B2001" s="5" t="str">
        <f>_xlfn.IFNA(VLOOKUP(C2001,Master!$H:$I,2,FALSE),"")</f>
        <v/>
      </c>
      <c r="D2001" s="5" t="str">
        <f>_xlfn.IFNA(VLOOKUP(E2001,Master!$H:$I,2,FALSE),"")</f>
        <v/>
      </c>
      <c r="F2001" s="26" t="str">
        <f>+_xlfn.XLOOKUP(G2001,Master!$V$2:$V$8,Master!$U$2:$U$8,"")</f>
        <v/>
      </c>
      <c r="I2001" s="4" t="str">
        <f>_xlfn.IFNA(VLOOKUP(D2001,Master!$I:$K,2,FALSE),"")</f>
        <v/>
      </c>
      <c r="J2001" s="4" t="str">
        <f>_xlfn.IFNA(VLOOKUP(D2001,Master!$I:$K,3,FALSE),"")</f>
        <v/>
      </c>
      <c r="L2001" s="27" t="str">
        <f>IF(A2001&lt;&gt;"CFA",_xlfn.IFNA(VLOOKUP($G2001,Master!$V$2:$Z$8,5,0),""),"")</f>
        <v/>
      </c>
      <c r="P2001" s="6" t="str">
        <f t="shared" si="62"/>
        <v/>
      </c>
      <c r="Q2001" s="13">
        <f t="shared" si="63"/>
        <v>0</v>
      </c>
    </row>
    <row r="2002" spans="2:17" ht="15" customHeight="1">
      <c r="B2002" s="5" t="str">
        <f>_xlfn.IFNA(VLOOKUP(C2002,Master!$H:$I,2,FALSE),"")</f>
        <v/>
      </c>
      <c r="D2002" s="5" t="str">
        <f>_xlfn.IFNA(VLOOKUP(E2002,Master!$H:$I,2,FALSE),"")</f>
        <v/>
      </c>
      <c r="F2002" s="26" t="str">
        <f>+_xlfn.XLOOKUP(G2002,Master!$V$2:$V$8,Master!$U$2:$U$8,"")</f>
        <v/>
      </c>
      <c r="I2002" s="4" t="str">
        <f>_xlfn.IFNA(VLOOKUP(D2002,Master!$I:$K,2,FALSE),"")</f>
        <v/>
      </c>
      <c r="J2002" s="4" t="str">
        <f>_xlfn.IFNA(VLOOKUP(D2002,Master!$I:$K,3,FALSE),"")</f>
        <v/>
      </c>
      <c r="L2002" s="27" t="str">
        <f>IF(A2002&lt;&gt;"CFA",_xlfn.IFNA(VLOOKUP($G2002,Master!$V$2:$Z$8,5,0),""),"")</f>
        <v/>
      </c>
      <c r="P2002" s="6" t="str">
        <f t="shared" si="62"/>
        <v/>
      </c>
      <c r="Q2002" s="13">
        <f t="shared" si="63"/>
        <v>0</v>
      </c>
    </row>
    <row r="2003" spans="2:17" ht="15" customHeight="1">
      <c r="B2003" s="5" t="str">
        <f>_xlfn.IFNA(VLOOKUP(C2003,Master!$H:$I,2,FALSE),"")</f>
        <v/>
      </c>
      <c r="D2003" s="5" t="str">
        <f>_xlfn.IFNA(VLOOKUP(E2003,Master!$H:$I,2,FALSE),"")</f>
        <v/>
      </c>
      <c r="F2003" s="26" t="str">
        <f>+_xlfn.XLOOKUP(G2003,Master!$V$2:$V$8,Master!$U$2:$U$8,"")</f>
        <v/>
      </c>
      <c r="I2003" s="4" t="str">
        <f>_xlfn.IFNA(VLOOKUP(D2003,Master!$I:$K,2,FALSE),"")</f>
        <v/>
      </c>
      <c r="J2003" s="4" t="str">
        <f>_xlfn.IFNA(VLOOKUP(D2003,Master!$I:$K,3,FALSE),"")</f>
        <v/>
      </c>
      <c r="L2003" s="27" t="str">
        <f>IF(A2003&lt;&gt;"CFA",_xlfn.IFNA(VLOOKUP($G2003,Master!$V$2:$Z$8,5,0),""),"")</f>
        <v/>
      </c>
      <c r="P2003" s="6" t="str">
        <f t="shared" si="62"/>
        <v/>
      </c>
      <c r="Q2003" s="13">
        <f t="shared" si="63"/>
        <v>0</v>
      </c>
    </row>
    <row r="2004" spans="2:17" ht="15" customHeight="1">
      <c r="B2004" s="5" t="str">
        <f>_xlfn.IFNA(VLOOKUP(C2004,Master!$H:$I,2,FALSE),"")</f>
        <v/>
      </c>
      <c r="D2004" s="5" t="str">
        <f>_xlfn.IFNA(VLOOKUP(E2004,Master!$H:$I,2,FALSE),"")</f>
        <v/>
      </c>
      <c r="F2004" s="26" t="str">
        <f>+_xlfn.XLOOKUP(G2004,Master!$V$2:$V$8,Master!$U$2:$U$8,"")</f>
        <v/>
      </c>
      <c r="I2004" s="4" t="str">
        <f>_xlfn.IFNA(VLOOKUP(D2004,Master!$I:$K,2,FALSE),"")</f>
        <v/>
      </c>
      <c r="J2004" s="4" t="str">
        <f>_xlfn.IFNA(VLOOKUP(D2004,Master!$I:$K,3,FALSE),"")</f>
        <v/>
      </c>
      <c r="L2004" s="27" t="str">
        <f>IF(A2004&lt;&gt;"CFA",_xlfn.IFNA(VLOOKUP($G2004,Master!$V$2:$Z$8,5,0),""),"")</f>
        <v/>
      </c>
      <c r="P2004" s="6" t="str">
        <f t="shared" si="62"/>
        <v/>
      </c>
      <c r="Q2004" s="13">
        <f t="shared" si="63"/>
        <v>0</v>
      </c>
    </row>
    <row r="2005" spans="2:17" ht="15" customHeight="1">
      <c r="B2005" s="5" t="str">
        <f>_xlfn.IFNA(VLOOKUP(C2005,Master!$H:$I,2,FALSE),"")</f>
        <v/>
      </c>
      <c r="D2005" s="5" t="str">
        <f>_xlfn.IFNA(VLOOKUP(E2005,Master!$H:$I,2,FALSE),"")</f>
        <v/>
      </c>
      <c r="F2005" s="26" t="str">
        <f>+_xlfn.XLOOKUP(G2005,Master!$V$2:$V$8,Master!$U$2:$U$8,"")</f>
        <v/>
      </c>
      <c r="I2005" s="4" t="str">
        <f>_xlfn.IFNA(VLOOKUP(D2005,Master!$I:$K,2,FALSE),"")</f>
        <v/>
      </c>
      <c r="J2005" s="4" t="str">
        <f>_xlfn.IFNA(VLOOKUP(D2005,Master!$I:$K,3,FALSE),"")</f>
        <v/>
      </c>
      <c r="L2005" s="27" t="str">
        <f>IF(A2005&lt;&gt;"CFA",_xlfn.IFNA(VLOOKUP($G2005,Master!$V$2:$Z$8,5,0),""),"")</f>
        <v/>
      </c>
      <c r="P2005" s="6" t="str">
        <f t="shared" si="62"/>
        <v/>
      </c>
      <c r="Q2005" s="13">
        <f t="shared" si="63"/>
        <v>0</v>
      </c>
    </row>
    <row r="2006" spans="2:17" ht="15" customHeight="1">
      <c r="B2006" s="5" t="str">
        <f>_xlfn.IFNA(VLOOKUP(C2006,Master!$H:$I,2,FALSE),"")</f>
        <v/>
      </c>
      <c r="D2006" s="5" t="str">
        <f>_xlfn.IFNA(VLOOKUP(E2006,Master!$H:$I,2,FALSE),"")</f>
        <v/>
      </c>
      <c r="F2006" s="26" t="str">
        <f>+_xlfn.XLOOKUP(G2006,Master!$V$2:$V$8,Master!$U$2:$U$8,"")</f>
        <v/>
      </c>
      <c r="I2006" s="4" t="str">
        <f>_xlfn.IFNA(VLOOKUP(D2006,Master!$I:$K,2,FALSE),"")</f>
        <v/>
      </c>
      <c r="J2006" s="4" t="str">
        <f>_xlfn.IFNA(VLOOKUP(D2006,Master!$I:$K,3,FALSE),"")</f>
        <v/>
      </c>
      <c r="L2006" s="27" t="str">
        <f>IF(A2006&lt;&gt;"CFA",_xlfn.IFNA(VLOOKUP($G2006,Master!$V$2:$Z$8,5,0),""),"")</f>
        <v/>
      </c>
      <c r="P2006" s="6" t="str">
        <f t="shared" si="62"/>
        <v/>
      </c>
      <c r="Q2006" s="13">
        <f t="shared" si="63"/>
        <v>0</v>
      </c>
    </row>
    <row r="2007" spans="2:17" ht="15" customHeight="1">
      <c r="B2007" s="5" t="str">
        <f>_xlfn.IFNA(VLOOKUP(C2007,Master!$H:$I,2,FALSE),"")</f>
        <v/>
      </c>
      <c r="D2007" s="5" t="str">
        <f>_xlfn.IFNA(VLOOKUP(E2007,Master!$H:$I,2,FALSE),"")</f>
        <v/>
      </c>
      <c r="F2007" s="26" t="str">
        <f>+_xlfn.XLOOKUP(G2007,Master!$V$2:$V$8,Master!$U$2:$U$8,"")</f>
        <v/>
      </c>
      <c r="I2007" s="4" t="str">
        <f>_xlfn.IFNA(VLOOKUP(D2007,Master!$I:$K,2,FALSE),"")</f>
        <v/>
      </c>
      <c r="J2007" s="4" t="str">
        <f>_xlfn.IFNA(VLOOKUP(D2007,Master!$I:$K,3,FALSE),"")</f>
        <v/>
      </c>
      <c r="L2007" s="27" t="str">
        <f>IF(A2007&lt;&gt;"CFA",_xlfn.IFNA(VLOOKUP($G2007,Master!$V$2:$Z$8,5,0),""),"")</f>
        <v/>
      </c>
      <c r="P2007" s="6" t="str">
        <f t="shared" si="62"/>
        <v/>
      </c>
      <c r="Q2007" s="13">
        <f t="shared" si="63"/>
        <v>0</v>
      </c>
    </row>
    <row r="2008" spans="2:17" ht="15" customHeight="1">
      <c r="B2008" s="5" t="str">
        <f>_xlfn.IFNA(VLOOKUP(C2008,Master!$H:$I,2,FALSE),"")</f>
        <v/>
      </c>
      <c r="D2008" s="5" t="str">
        <f>_xlfn.IFNA(VLOOKUP(E2008,Master!$H:$I,2,FALSE),"")</f>
        <v/>
      </c>
      <c r="F2008" s="26" t="str">
        <f>+_xlfn.XLOOKUP(G2008,Master!$V$2:$V$8,Master!$U$2:$U$8,"")</f>
        <v/>
      </c>
      <c r="I2008" s="4" t="str">
        <f>_xlfn.IFNA(VLOOKUP(D2008,Master!$I:$K,2,FALSE),"")</f>
        <v/>
      </c>
      <c r="J2008" s="4" t="str">
        <f>_xlfn.IFNA(VLOOKUP(D2008,Master!$I:$K,3,FALSE),"")</f>
        <v/>
      </c>
      <c r="L2008" s="27" t="str">
        <f>IF(A2008&lt;&gt;"CFA",_xlfn.IFNA(VLOOKUP($G2008,Master!$V$2:$Z$8,5,0),""),"")</f>
        <v/>
      </c>
      <c r="P2008" s="6" t="str">
        <f t="shared" si="62"/>
        <v/>
      </c>
      <c r="Q2008" s="13">
        <f t="shared" si="63"/>
        <v>0</v>
      </c>
    </row>
    <row r="2009" spans="2:17" ht="15" customHeight="1">
      <c r="B2009" s="5" t="str">
        <f>_xlfn.IFNA(VLOOKUP(C2009,Master!$H:$I,2,FALSE),"")</f>
        <v/>
      </c>
      <c r="D2009" s="5" t="str">
        <f>_xlfn.IFNA(VLOOKUP(E2009,Master!$H:$I,2,FALSE),"")</f>
        <v/>
      </c>
      <c r="F2009" s="26" t="str">
        <f>+_xlfn.XLOOKUP(G2009,Master!$V$2:$V$8,Master!$U$2:$U$8,"")</f>
        <v/>
      </c>
      <c r="I2009" s="4" t="str">
        <f>_xlfn.IFNA(VLOOKUP(D2009,Master!$I:$K,2,FALSE),"")</f>
        <v/>
      </c>
      <c r="J2009" s="4" t="str">
        <f>_xlfn.IFNA(VLOOKUP(D2009,Master!$I:$K,3,FALSE),"")</f>
        <v/>
      </c>
      <c r="L2009" s="27" t="str">
        <f>IF(A2009&lt;&gt;"CFA",_xlfn.IFNA(VLOOKUP($G2009,Master!$V$2:$Z$8,5,0),""),"")</f>
        <v/>
      </c>
      <c r="P2009" s="6" t="str">
        <f t="shared" si="62"/>
        <v/>
      </c>
      <c r="Q2009" s="13">
        <f t="shared" si="63"/>
        <v>0</v>
      </c>
    </row>
    <row r="2010" spans="2:17" ht="15" customHeight="1">
      <c r="B2010" s="5" t="str">
        <f>_xlfn.IFNA(VLOOKUP(C2010,Master!$H:$I,2,FALSE),"")</f>
        <v/>
      </c>
      <c r="D2010" s="5" t="str">
        <f>_xlfn.IFNA(VLOOKUP(E2010,Master!$H:$I,2,FALSE),"")</f>
        <v/>
      </c>
      <c r="F2010" s="26" t="str">
        <f>+_xlfn.XLOOKUP(G2010,Master!$V$2:$V$8,Master!$U$2:$U$8,"")</f>
        <v/>
      </c>
      <c r="I2010" s="4" t="str">
        <f>_xlfn.IFNA(VLOOKUP(D2010,Master!$I:$K,2,FALSE),"")</f>
        <v/>
      </c>
      <c r="J2010" s="4" t="str">
        <f>_xlfn.IFNA(VLOOKUP(D2010,Master!$I:$K,3,FALSE),"")</f>
        <v/>
      </c>
      <c r="L2010" s="27" t="str">
        <f>IF(A2010&lt;&gt;"CFA",_xlfn.IFNA(VLOOKUP($G2010,Master!$V$2:$Z$8,5,0),""),"")</f>
        <v/>
      </c>
      <c r="P2010" s="6" t="str">
        <f t="shared" si="62"/>
        <v/>
      </c>
      <c r="Q2010" s="13">
        <f t="shared" si="63"/>
        <v>0</v>
      </c>
    </row>
    <row r="2011" spans="2:17" ht="15" customHeight="1">
      <c r="B2011" s="5" t="str">
        <f>_xlfn.IFNA(VLOOKUP(C2011,Master!$H:$I,2,FALSE),"")</f>
        <v/>
      </c>
      <c r="D2011" s="5" t="str">
        <f>_xlfn.IFNA(VLOOKUP(E2011,Master!$H:$I,2,FALSE),"")</f>
        <v/>
      </c>
      <c r="F2011" s="26" t="str">
        <f>+_xlfn.XLOOKUP(G2011,Master!$V$2:$V$8,Master!$U$2:$U$8,"")</f>
        <v/>
      </c>
      <c r="I2011" s="4" t="str">
        <f>_xlfn.IFNA(VLOOKUP(D2011,Master!$I:$K,2,FALSE),"")</f>
        <v/>
      </c>
      <c r="J2011" s="4" t="str">
        <f>_xlfn.IFNA(VLOOKUP(D2011,Master!$I:$K,3,FALSE),"")</f>
        <v/>
      </c>
      <c r="L2011" s="27" t="str">
        <f>IF(A2011&lt;&gt;"CFA",_xlfn.IFNA(VLOOKUP($G2011,Master!$V$2:$Z$8,5,0),""),"")</f>
        <v/>
      </c>
      <c r="P2011" s="6" t="str">
        <f t="shared" si="62"/>
        <v/>
      </c>
      <c r="Q2011" s="13">
        <f t="shared" si="63"/>
        <v>0</v>
      </c>
    </row>
    <row r="2012" spans="2:17" ht="15" customHeight="1">
      <c r="B2012" s="5" t="str">
        <f>_xlfn.IFNA(VLOOKUP(C2012,Master!$H:$I,2,FALSE),"")</f>
        <v/>
      </c>
      <c r="D2012" s="5" t="str">
        <f>_xlfn.IFNA(VLOOKUP(E2012,Master!$H:$I,2,FALSE),"")</f>
        <v/>
      </c>
      <c r="F2012" s="26" t="str">
        <f>+_xlfn.XLOOKUP(G2012,Master!$V$2:$V$8,Master!$U$2:$U$8,"")</f>
        <v/>
      </c>
      <c r="I2012" s="4" t="str">
        <f>_xlfn.IFNA(VLOOKUP(D2012,Master!$I:$K,2,FALSE),"")</f>
        <v/>
      </c>
      <c r="J2012" s="4" t="str">
        <f>_xlfn.IFNA(VLOOKUP(D2012,Master!$I:$K,3,FALSE),"")</f>
        <v/>
      </c>
      <c r="L2012" s="27" t="str">
        <f>IF(A2012&lt;&gt;"CFA",_xlfn.IFNA(VLOOKUP($G2012,Master!$V$2:$Z$8,5,0),""),"")</f>
        <v/>
      </c>
      <c r="P2012" s="6" t="str">
        <f t="shared" si="62"/>
        <v/>
      </c>
      <c r="Q2012" s="13">
        <f t="shared" si="63"/>
        <v>0</v>
      </c>
    </row>
    <row r="2013" spans="2:17" ht="15" customHeight="1">
      <c r="B2013" s="5" t="str">
        <f>_xlfn.IFNA(VLOOKUP(C2013,Master!$H:$I,2,FALSE),"")</f>
        <v/>
      </c>
      <c r="D2013" s="5" t="str">
        <f>_xlfn.IFNA(VLOOKUP(E2013,Master!$H:$I,2,FALSE),"")</f>
        <v/>
      </c>
      <c r="F2013" s="26" t="str">
        <f>+_xlfn.XLOOKUP(G2013,Master!$V$2:$V$8,Master!$U$2:$U$8,"")</f>
        <v/>
      </c>
      <c r="I2013" s="4" t="str">
        <f>_xlfn.IFNA(VLOOKUP(D2013,Master!$I:$K,2,FALSE),"")</f>
        <v/>
      </c>
      <c r="J2013" s="4" t="str">
        <f>_xlfn.IFNA(VLOOKUP(D2013,Master!$I:$K,3,FALSE),"")</f>
        <v/>
      </c>
      <c r="L2013" s="27" t="str">
        <f>IF(A2013&lt;&gt;"CFA",_xlfn.IFNA(VLOOKUP($G2013,Master!$V$2:$Z$8,5,0),""),"")</f>
        <v/>
      </c>
      <c r="P2013" s="6" t="str">
        <f t="shared" si="62"/>
        <v/>
      </c>
      <c r="Q2013" s="13">
        <f t="shared" si="63"/>
        <v>0</v>
      </c>
    </row>
    <row r="2014" spans="2:17" ht="15" customHeight="1">
      <c r="B2014" s="5" t="str">
        <f>_xlfn.IFNA(VLOOKUP(C2014,Master!$H:$I,2,FALSE),"")</f>
        <v/>
      </c>
      <c r="D2014" s="5" t="str">
        <f>_xlfn.IFNA(VLOOKUP(E2014,Master!$H:$I,2,FALSE),"")</f>
        <v/>
      </c>
      <c r="F2014" s="26" t="str">
        <f>+_xlfn.XLOOKUP(G2014,Master!$V$2:$V$8,Master!$U$2:$U$8,"")</f>
        <v/>
      </c>
      <c r="I2014" s="4" t="str">
        <f>_xlfn.IFNA(VLOOKUP(D2014,Master!$I:$K,2,FALSE),"")</f>
        <v/>
      </c>
      <c r="J2014" s="4" t="str">
        <f>_xlfn.IFNA(VLOOKUP(D2014,Master!$I:$K,3,FALSE),"")</f>
        <v/>
      </c>
      <c r="L2014" s="27" t="str">
        <f>IF(A2014&lt;&gt;"CFA",_xlfn.IFNA(VLOOKUP($G2014,Master!$V$2:$Z$8,5,0),""),"")</f>
        <v/>
      </c>
      <c r="P2014" s="6" t="str">
        <f t="shared" si="62"/>
        <v/>
      </c>
      <c r="Q2014" s="13">
        <f t="shared" si="63"/>
        <v>0</v>
      </c>
    </row>
    <row r="2015" spans="2:17" ht="15" customHeight="1">
      <c r="B2015" s="5" t="str">
        <f>_xlfn.IFNA(VLOOKUP(C2015,Master!$H:$I,2,FALSE),"")</f>
        <v/>
      </c>
      <c r="D2015" s="5" t="str">
        <f>_xlfn.IFNA(VLOOKUP(E2015,Master!$H:$I,2,FALSE),"")</f>
        <v/>
      </c>
      <c r="F2015" s="26" t="str">
        <f>+_xlfn.XLOOKUP(G2015,Master!$V$2:$V$8,Master!$U$2:$U$8,"")</f>
        <v/>
      </c>
      <c r="I2015" s="4" t="str">
        <f>_xlfn.IFNA(VLOOKUP(D2015,Master!$I:$K,2,FALSE),"")</f>
        <v/>
      </c>
      <c r="J2015" s="4" t="str">
        <f>_xlfn.IFNA(VLOOKUP(D2015,Master!$I:$K,3,FALSE),"")</f>
        <v/>
      </c>
      <c r="L2015" s="27" t="str">
        <f>IF(A2015&lt;&gt;"CFA",_xlfn.IFNA(VLOOKUP($G2015,Master!$V$2:$Z$8,5,0),""),"")</f>
        <v/>
      </c>
      <c r="P2015" s="6" t="str">
        <f t="shared" si="62"/>
        <v/>
      </c>
      <c r="Q2015" s="13">
        <f t="shared" si="63"/>
        <v>0</v>
      </c>
    </row>
    <row r="2016" spans="2:17" ht="15" customHeight="1">
      <c r="B2016" s="5" t="str">
        <f>_xlfn.IFNA(VLOOKUP(C2016,Master!$H:$I,2,FALSE),"")</f>
        <v/>
      </c>
      <c r="D2016" s="5" t="str">
        <f>_xlfn.IFNA(VLOOKUP(E2016,Master!$H:$I,2,FALSE),"")</f>
        <v/>
      </c>
      <c r="F2016" s="26" t="str">
        <f>+_xlfn.XLOOKUP(G2016,Master!$V$2:$V$8,Master!$U$2:$U$8,"")</f>
        <v/>
      </c>
      <c r="I2016" s="4" t="str">
        <f>_xlfn.IFNA(VLOOKUP(D2016,Master!$I:$K,2,FALSE),"")</f>
        <v/>
      </c>
      <c r="J2016" s="4" t="str">
        <f>_xlfn.IFNA(VLOOKUP(D2016,Master!$I:$K,3,FALSE),"")</f>
        <v/>
      </c>
      <c r="L2016" s="27" t="str">
        <f>IF(A2016&lt;&gt;"CFA",_xlfn.IFNA(VLOOKUP($G2016,Master!$V$2:$Z$8,5,0),""),"")</f>
        <v/>
      </c>
      <c r="P2016" s="6" t="str">
        <f t="shared" si="62"/>
        <v/>
      </c>
      <c r="Q2016" s="13">
        <f t="shared" si="63"/>
        <v>0</v>
      </c>
    </row>
    <row r="2017" spans="2:17" ht="15" customHeight="1">
      <c r="B2017" s="5" t="str">
        <f>_xlfn.IFNA(VLOOKUP(C2017,Master!$H:$I,2,FALSE),"")</f>
        <v/>
      </c>
      <c r="D2017" s="5" t="str">
        <f>_xlfn.IFNA(VLOOKUP(E2017,Master!$H:$I,2,FALSE),"")</f>
        <v/>
      </c>
      <c r="F2017" s="26" t="str">
        <f>+_xlfn.XLOOKUP(G2017,Master!$V$2:$V$8,Master!$U$2:$U$8,"")</f>
        <v/>
      </c>
      <c r="I2017" s="4" t="str">
        <f>_xlfn.IFNA(VLOOKUP(D2017,Master!$I:$K,2,FALSE),"")</f>
        <v/>
      </c>
      <c r="J2017" s="4" t="str">
        <f>_xlfn.IFNA(VLOOKUP(D2017,Master!$I:$K,3,FALSE),"")</f>
        <v/>
      </c>
      <c r="L2017" s="27" t="str">
        <f>IF(A2017&lt;&gt;"CFA",_xlfn.IFNA(VLOOKUP($G2017,Master!$V$2:$Z$8,5,0),""),"")</f>
        <v/>
      </c>
      <c r="P2017" s="6" t="str">
        <f t="shared" si="62"/>
        <v/>
      </c>
      <c r="Q2017" s="13">
        <f t="shared" si="63"/>
        <v>0</v>
      </c>
    </row>
    <row r="2018" spans="2:17" ht="15" customHeight="1">
      <c r="B2018" s="5" t="str">
        <f>_xlfn.IFNA(VLOOKUP(C2018,Master!$H:$I,2,FALSE),"")</f>
        <v/>
      </c>
      <c r="D2018" s="5" t="str">
        <f>_xlfn.IFNA(VLOOKUP(E2018,Master!$H:$I,2,FALSE),"")</f>
        <v/>
      </c>
      <c r="F2018" s="26" t="str">
        <f>+_xlfn.XLOOKUP(G2018,Master!$V$2:$V$8,Master!$U$2:$U$8,"")</f>
        <v/>
      </c>
      <c r="I2018" s="4" t="str">
        <f>_xlfn.IFNA(VLOOKUP(D2018,Master!$I:$K,2,FALSE),"")</f>
        <v/>
      </c>
      <c r="J2018" s="4" t="str">
        <f>_xlfn.IFNA(VLOOKUP(D2018,Master!$I:$K,3,FALSE),"")</f>
        <v/>
      </c>
      <c r="L2018" s="27" t="str">
        <f>IF(A2018&lt;&gt;"CFA",_xlfn.IFNA(VLOOKUP($G2018,Master!$V$2:$Z$8,5,0),""),"")</f>
        <v/>
      </c>
      <c r="P2018" s="6" t="str">
        <f t="shared" si="62"/>
        <v/>
      </c>
      <c r="Q2018" s="13">
        <f t="shared" si="63"/>
        <v>0</v>
      </c>
    </row>
    <row r="2019" spans="2:17" ht="15" customHeight="1">
      <c r="B2019" s="5" t="str">
        <f>_xlfn.IFNA(VLOOKUP(C2019,Master!$H:$I,2,FALSE),"")</f>
        <v/>
      </c>
      <c r="D2019" s="5" t="str">
        <f>_xlfn.IFNA(VLOOKUP(E2019,Master!$H:$I,2,FALSE),"")</f>
        <v/>
      </c>
      <c r="F2019" s="26" t="str">
        <f>+_xlfn.XLOOKUP(G2019,Master!$V$2:$V$8,Master!$U$2:$U$8,"")</f>
        <v/>
      </c>
      <c r="I2019" s="4" t="str">
        <f>_xlfn.IFNA(VLOOKUP(D2019,Master!$I:$K,2,FALSE),"")</f>
        <v/>
      </c>
      <c r="J2019" s="4" t="str">
        <f>_xlfn.IFNA(VLOOKUP(D2019,Master!$I:$K,3,FALSE),"")</f>
        <v/>
      </c>
      <c r="L2019" s="27" t="str">
        <f>IF(A2019&lt;&gt;"CFA",_xlfn.IFNA(VLOOKUP($G2019,Master!$V$2:$Z$8,5,0),""),"")</f>
        <v/>
      </c>
      <c r="P2019" s="6" t="str">
        <f t="shared" si="62"/>
        <v/>
      </c>
      <c r="Q2019" s="13">
        <f t="shared" si="63"/>
        <v>0</v>
      </c>
    </row>
    <row r="2020" spans="2:17" ht="15" customHeight="1">
      <c r="B2020" s="5" t="str">
        <f>_xlfn.IFNA(VLOOKUP(C2020,Master!$H:$I,2,FALSE),"")</f>
        <v/>
      </c>
      <c r="D2020" s="5" t="str">
        <f>_xlfn.IFNA(VLOOKUP(E2020,Master!$H:$I,2,FALSE),"")</f>
        <v/>
      </c>
      <c r="F2020" s="26" t="str">
        <f>+_xlfn.XLOOKUP(G2020,Master!$V$2:$V$8,Master!$U$2:$U$8,"")</f>
        <v/>
      </c>
      <c r="I2020" s="4" t="str">
        <f>_xlfn.IFNA(VLOOKUP(D2020,Master!$I:$K,2,FALSE),"")</f>
        <v/>
      </c>
      <c r="J2020" s="4" t="str">
        <f>_xlfn.IFNA(VLOOKUP(D2020,Master!$I:$K,3,FALSE),"")</f>
        <v/>
      </c>
      <c r="L2020" s="27" t="str">
        <f>IF(A2020&lt;&gt;"CFA",_xlfn.IFNA(VLOOKUP($G2020,Master!$V$2:$Z$8,5,0),""),"")</f>
        <v/>
      </c>
      <c r="P2020" s="6" t="str">
        <f t="shared" si="62"/>
        <v/>
      </c>
      <c r="Q2020" s="13">
        <f t="shared" si="63"/>
        <v>0</v>
      </c>
    </row>
    <row r="2021" spans="2:17" ht="15" customHeight="1">
      <c r="B2021" s="5" t="str">
        <f>_xlfn.IFNA(VLOOKUP(C2021,Master!$H:$I,2,FALSE),"")</f>
        <v/>
      </c>
      <c r="D2021" s="5" t="str">
        <f>_xlfn.IFNA(VLOOKUP(E2021,Master!$H:$I,2,FALSE),"")</f>
        <v/>
      </c>
      <c r="F2021" s="26" t="str">
        <f>+_xlfn.XLOOKUP(G2021,Master!$V$2:$V$8,Master!$U$2:$U$8,"")</f>
        <v/>
      </c>
      <c r="I2021" s="4" t="str">
        <f>_xlfn.IFNA(VLOOKUP(D2021,Master!$I:$K,2,FALSE),"")</f>
        <v/>
      </c>
      <c r="J2021" s="4" t="str">
        <f>_xlfn.IFNA(VLOOKUP(D2021,Master!$I:$K,3,FALSE),"")</f>
        <v/>
      </c>
      <c r="L2021" s="27" t="str">
        <f>IF(A2021&lt;&gt;"CFA",_xlfn.IFNA(VLOOKUP($G2021,Master!$V$2:$Z$8,5,0),""),"")</f>
        <v/>
      </c>
      <c r="P2021" s="6" t="str">
        <f t="shared" si="62"/>
        <v/>
      </c>
      <c r="Q2021" s="13">
        <f t="shared" si="63"/>
        <v>0</v>
      </c>
    </row>
    <row r="2022" spans="2:17" ht="15" customHeight="1">
      <c r="B2022" s="5" t="str">
        <f>_xlfn.IFNA(VLOOKUP(C2022,Master!$H:$I,2,FALSE),"")</f>
        <v/>
      </c>
      <c r="D2022" s="5" t="str">
        <f>_xlfn.IFNA(VLOOKUP(E2022,Master!$H:$I,2,FALSE),"")</f>
        <v/>
      </c>
      <c r="F2022" s="26" t="str">
        <f>+_xlfn.XLOOKUP(G2022,Master!$V$2:$V$8,Master!$U$2:$U$8,"")</f>
        <v/>
      </c>
      <c r="I2022" s="4" t="str">
        <f>_xlfn.IFNA(VLOOKUP(D2022,Master!$I:$K,2,FALSE),"")</f>
        <v/>
      </c>
      <c r="J2022" s="4" t="str">
        <f>_xlfn.IFNA(VLOOKUP(D2022,Master!$I:$K,3,FALSE),"")</f>
        <v/>
      </c>
      <c r="L2022" s="27" t="str">
        <f>IF(A2022&lt;&gt;"CFA",_xlfn.IFNA(VLOOKUP($G2022,Master!$V$2:$Z$8,5,0),""),"")</f>
        <v/>
      </c>
      <c r="P2022" s="6" t="str">
        <f t="shared" si="62"/>
        <v/>
      </c>
      <c r="Q2022" s="13">
        <f t="shared" si="63"/>
        <v>0</v>
      </c>
    </row>
    <row r="2023" spans="2:17" ht="15" customHeight="1">
      <c r="B2023" s="5" t="str">
        <f>_xlfn.IFNA(VLOOKUP(C2023,Master!$H:$I,2,FALSE),"")</f>
        <v/>
      </c>
      <c r="D2023" s="5" t="str">
        <f>_xlfn.IFNA(VLOOKUP(E2023,Master!$H:$I,2,FALSE),"")</f>
        <v/>
      </c>
      <c r="F2023" s="26" t="str">
        <f>+_xlfn.XLOOKUP(G2023,Master!$V$2:$V$8,Master!$U$2:$U$8,"")</f>
        <v/>
      </c>
      <c r="I2023" s="4" t="str">
        <f>_xlfn.IFNA(VLOOKUP(D2023,Master!$I:$K,2,FALSE),"")</f>
        <v/>
      </c>
      <c r="J2023" s="4" t="str">
        <f>_xlfn.IFNA(VLOOKUP(D2023,Master!$I:$K,3,FALSE),"")</f>
        <v/>
      </c>
      <c r="L2023" s="27" t="str">
        <f>IF(A2023&lt;&gt;"CFA",_xlfn.IFNA(VLOOKUP($G2023,Master!$V$2:$Z$8,5,0),""),"")</f>
        <v/>
      </c>
      <c r="P2023" s="6" t="str">
        <f t="shared" si="62"/>
        <v/>
      </c>
      <c r="Q2023" s="13">
        <f t="shared" si="63"/>
        <v>0</v>
      </c>
    </row>
    <row r="2024" spans="2:17" ht="15" customHeight="1">
      <c r="B2024" s="5" t="str">
        <f>_xlfn.IFNA(VLOOKUP(C2024,Master!$H:$I,2,FALSE),"")</f>
        <v/>
      </c>
      <c r="D2024" s="5" t="str">
        <f>_xlfn.IFNA(VLOOKUP(E2024,Master!$H:$I,2,FALSE),"")</f>
        <v/>
      </c>
      <c r="F2024" s="26" t="str">
        <f>+_xlfn.XLOOKUP(G2024,Master!$V$2:$V$8,Master!$U$2:$U$8,"")</f>
        <v/>
      </c>
      <c r="I2024" s="4" t="str">
        <f>_xlfn.IFNA(VLOOKUP(D2024,Master!$I:$K,2,FALSE),"")</f>
        <v/>
      </c>
      <c r="J2024" s="4" t="str">
        <f>_xlfn.IFNA(VLOOKUP(D2024,Master!$I:$K,3,FALSE),"")</f>
        <v/>
      </c>
      <c r="L2024" s="27" t="str">
        <f>IF(A2024&lt;&gt;"CFA",_xlfn.IFNA(VLOOKUP($G2024,Master!$V$2:$Z$8,5,0),""),"")</f>
        <v/>
      </c>
      <c r="P2024" s="6" t="str">
        <f t="shared" si="62"/>
        <v/>
      </c>
      <c r="Q2024" s="13">
        <f t="shared" si="63"/>
        <v>0</v>
      </c>
    </row>
    <row r="2025" spans="2:17" ht="15" customHeight="1">
      <c r="B2025" s="5" t="str">
        <f>_xlfn.IFNA(VLOOKUP(C2025,Master!$H:$I,2,FALSE),"")</f>
        <v/>
      </c>
      <c r="D2025" s="5" t="str">
        <f>_xlfn.IFNA(VLOOKUP(E2025,Master!$H:$I,2,FALSE),"")</f>
        <v/>
      </c>
      <c r="F2025" s="26" t="str">
        <f>+_xlfn.XLOOKUP(G2025,Master!$V$2:$V$8,Master!$U$2:$U$8,"")</f>
        <v/>
      </c>
      <c r="I2025" s="4" t="str">
        <f>_xlfn.IFNA(VLOOKUP(D2025,Master!$I:$K,2,FALSE),"")</f>
        <v/>
      </c>
      <c r="J2025" s="4" t="str">
        <f>_xlfn.IFNA(VLOOKUP(D2025,Master!$I:$K,3,FALSE),"")</f>
        <v/>
      </c>
      <c r="L2025" s="27" t="str">
        <f>IF(A2025&lt;&gt;"CFA",_xlfn.IFNA(VLOOKUP($G2025,Master!$V$2:$Z$8,5,0),""),"")</f>
        <v/>
      </c>
      <c r="P2025" s="6" t="str">
        <f t="shared" si="62"/>
        <v/>
      </c>
      <c r="Q2025" s="13">
        <f t="shared" si="63"/>
        <v>0</v>
      </c>
    </row>
    <row r="2026" spans="2:17" ht="15" customHeight="1">
      <c r="B2026" s="5" t="str">
        <f>_xlfn.IFNA(VLOOKUP(C2026,Master!$H:$I,2,FALSE),"")</f>
        <v/>
      </c>
      <c r="D2026" s="5" t="str">
        <f>_xlfn.IFNA(VLOOKUP(E2026,Master!$H:$I,2,FALSE),"")</f>
        <v/>
      </c>
      <c r="F2026" s="26" t="str">
        <f>+_xlfn.XLOOKUP(G2026,Master!$V$2:$V$8,Master!$U$2:$U$8,"")</f>
        <v/>
      </c>
      <c r="I2026" s="4" t="str">
        <f>_xlfn.IFNA(VLOOKUP(D2026,Master!$I:$K,2,FALSE),"")</f>
        <v/>
      </c>
      <c r="J2026" s="4" t="str">
        <f>_xlfn.IFNA(VLOOKUP(D2026,Master!$I:$K,3,FALSE),"")</f>
        <v/>
      </c>
      <c r="L2026" s="27" t="str">
        <f>IF(A2026&lt;&gt;"CFA",_xlfn.IFNA(VLOOKUP($G2026,Master!$V$2:$Z$8,5,0),""),"")</f>
        <v/>
      </c>
      <c r="P2026" s="6" t="str">
        <f t="shared" si="62"/>
        <v/>
      </c>
      <c r="Q2026" s="13">
        <f t="shared" si="63"/>
        <v>0</v>
      </c>
    </row>
    <row r="2027" spans="2:17" ht="15" customHeight="1">
      <c r="B2027" s="5" t="str">
        <f>_xlfn.IFNA(VLOOKUP(C2027,Master!$H:$I,2,FALSE),"")</f>
        <v/>
      </c>
      <c r="D2027" s="5" t="str">
        <f>_xlfn.IFNA(VLOOKUP(E2027,Master!$H:$I,2,FALSE),"")</f>
        <v/>
      </c>
      <c r="F2027" s="26" t="str">
        <f>+_xlfn.XLOOKUP(G2027,Master!$V$2:$V$8,Master!$U$2:$U$8,"")</f>
        <v/>
      </c>
      <c r="I2027" s="4" t="str">
        <f>_xlfn.IFNA(VLOOKUP(D2027,Master!$I:$K,2,FALSE),"")</f>
        <v/>
      </c>
      <c r="J2027" s="4" t="str">
        <f>_xlfn.IFNA(VLOOKUP(D2027,Master!$I:$K,3,FALSE),"")</f>
        <v/>
      </c>
      <c r="L2027" s="27" t="str">
        <f>IF(A2027&lt;&gt;"CFA",_xlfn.IFNA(VLOOKUP($G2027,Master!$V$2:$Z$8,5,0),""),"")</f>
        <v/>
      </c>
      <c r="P2027" s="6" t="str">
        <f t="shared" si="62"/>
        <v/>
      </c>
      <c r="Q2027" s="13">
        <f t="shared" si="63"/>
        <v>0</v>
      </c>
    </row>
    <row r="2028" spans="2:17" ht="15" customHeight="1">
      <c r="B2028" s="5" t="str">
        <f>_xlfn.IFNA(VLOOKUP(C2028,Master!$H:$I,2,FALSE),"")</f>
        <v/>
      </c>
      <c r="D2028" s="5" t="str">
        <f>_xlfn.IFNA(VLOOKUP(E2028,Master!$H:$I,2,FALSE),"")</f>
        <v/>
      </c>
      <c r="F2028" s="26" t="str">
        <f>+_xlfn.XLOOKUP(G2028,Master!$V$2:$V$8,Master!$U$2:$U$8,"")</f>
        <v/>
      </c>
      <c r="I2028" s="4" t="str">
        <f>_xlfn.IFNA(VLOOKUP(D2028,Master!$I:$K,2,FALSE),"")</f>
        <v/>
      </c>
      <c r="J2028" s="4" t="str">
        <f>_xlfn.IFNA(VLOOKUP(D2028,Master!$I:$K,3,FALSE),"")</f>
        <v/>
      </c>
      <c r="L2028" s="27" t="str">
        <f>IF(A2028&lt;&gt;"CFA",_xlfn.IFNA(VLOOKUP($G2028,Master!$V$2:$Z$8,5,0),""),"")</f>
        <v/>
      </c>
      <c r="P2028" s="6" t="str">
        <f t="shared" si="62"/>
        <v/>
      </c>
      <c r="Q2028" s="13">
        <f t="shared" si="63"/>
        <v>0</v>
      </c>
    </row>
    <row r="2029" spans="2:17" ht="15" customHeight="1">
      <c r="B2029" s="5" t="str">
        <f>_xlfn.IFNA(VLOOKUP(C2029,Master!$H:$I,2,FALSE),"")</f>
        <v/>
      </c>
      <c r="D2029" s="5" t="str">
        <f>_xlfn.IFNA(VLOOKUP(E2029,Master!$H:$I,2,FALSE),"")</f>
        <v/>
      </c>
      <c r="F2029" s="26" t="str">
        <f>+_xlfn.XLOOKUP(G2029,Master!$V$2:$V$8,Master!$U$2:$U$8,"")</f>
        <v/>
      </c>
      <c r="I2029" s="4" t="str">
        <f>_xlfn.IFNA(VLOOKUP(D2029,Master!$I:$K,2,FALSE),"")</f>
        <v/>
      </c>
      <c r="J2029" s="4" t="str">
        <f>_xlfn.IFNA(VLOOKUP(D2029,Master!$I:$K,3,FALSE),"")</f>
        <v/>
      </c>
      <c r="L2029" s="27" t="str">
        <f>IF(A2029&lt;&gt;"CFA",_xlfn.IFNA(VLOOKUP($G2029,Master!$V$2:$Z$8,5,0),""),"")</f>
        <v/>
      </c>
      <c r="P2029" s="6" t="str">
        <f t="shared" si="62"/>
        <v/>
      </c>
      <c r="Q2029" s="13">
        <f t="shared" si="63"/>
        <v>0</v>
      </c>
    </row>
    <row r="2030" spans="2:17" ht="15" customHeight="1">
      <c r="B2030" s="5" t="str">
        <f>_xlfn.IFNA(VLOOKUP(C2030,Master!$H:$I,2,FALSE),"")</f>
        <v/>
      </c>
      <c r="D2030" s="5" t="str">
        <f>_xlfn.IFNA(VLOOKUP(E2030,Master!$H:$I,2,FALSE),"")</f>
        <v/>
      </c>
      <c r="F2030" s="26" t="str">
        <f>+_xlfn.XLOOKUP(G2030,Master!$V$2:$V$8,Master!$U$2:$U$8,"")</f>
        <v/>
      </c>
      <c r="I2030" s="4" t="str">
        <f>_xlfn.IFNA(VLOOKUP(D2030,Master!$I:$K,2,FALSE),"")</f>
        <v/>
      </c>
      <c r="J2030" s="4" t="str">
        <f>_xlfn.IFNA(VLOOKUP(D2030,Master!$I:$K,3,FALSE),"")</f>
        <v/>
      </c>
      <c r="L2030" s="27" t="str">
        <f>IF(A2030&lt;&gt;"CFA",_xlfn.IFNA(VLOOKUP($G2030,Master!$V$2:$Z$8,5,0),""),"")</f>
        <v/>
      </c>
      <c r="P2030" s="6" t="str">
        <f t="shared" si="62"/>
        <v/>
      </c>
      <c r="Q2030" s="13">
        <f t="shared" si="63"/>
        <v>0</v>
      </c>
    </row>
    <row r="2031" spans="2:17" ht="15" customHeight="1">
      <c r="B2031" s="5" t="str">
        <f>_xlfn.IFNA(VLOOKUP(C2031,Master!$H:$I,2,FALSE),"")</f>
        <v/>
      </c>
      <c r="D2031" s="5" t="str">
        <f>_xlfn.IFNA(VLOOKUP(E2031,Master!$H:$I,2,FALSE),"")</f>
        <v/>
      </c>
      <c r="F2031" s="26" t="str">
        <f>+_xlfn.XLOOKUP(G2031,Master!$V$2:$V$8,Master!$U$2:$U$8,"")</f>
        <v/>
      </c>
      <c r="I2031" s="4" t="str">
        <f>_xlfn.IFNA(VLOOKUP(D2031,Master!$I:$K,2,FALSE),"")</f>
        <v/>
      </c>
      <c r="J2031" s="4" t="str">
        <f>_xlfn.IFNA(VLOOKUP(D2031,Master!$I:$K,3,FALSE),"")</f>
        <v/>
      </c>
      <c r="L2031" s="27" t="str">
        <f>IF(A2031&lt;&gt;"CFA",_xlfn.IFNA(VLOOKUP($G2031,Master!$V$2:$Z$8,5,0),""),"")</f>
        <v/>
      </c>
      <c r="P2031" s="6" t="str">
        <f t="shared" si="62"/>
        <v/>
      </c>
      <c r="Q2031" s="13">
        <f t="shared" si="63"/>
        <v>0</v>
      </c>
    </row>
    <row r="2032" spans="2:17" ht="15" customHeight="1">
      <c r="B2032" s="5" t="str">
        <f>_xlfn.IFNA(VLOOKUP(C2032,Master!$H:$I,2,FALSE),"")</f>
        <v/>
      </c>
      <c r="D2032" s="5" t="str">
        <f>_xlfn.IFNA(VLOOKUP(E2032,Master!$H:$I,2,FALSE),"")</f>
        <v/>
      </c>
      <c r="F2032" s="26" t="str">
        <f>+_xlfn.XLOOKUP(G2032,Master!$V$2:$V$8,Master!$U$2:$U$8,"")</f>
        <v/>
      </c>
      <c r="I2032" s="4" t="str">
        <f>_xlfn.IFNA(VLOOKUP(D2032,Master!$I:$K,2,FALSE),"")</f>
        <v/>
      </c>
      <c r="J2032" s="4" t="str">
        <f>_xlfn.IFNA(VLOOKUP(D2032,Master!$I:$K,3,FALSE),"")</f>
        <v/>
      </c>
      <c r="L2032" s="27" t="str">
        <f>IF(A2032&lt;&gt;"CFA",_xlfn.IFNA(VLOOKUP($G2032,Master!$V$2:$Z$8,5,0),""),"")</f>
        <v/>
      </c>
      <c r="P2032" s="6" t="str">
        <f t="shared" si="62"/>
        <v/>
      </c>
      <c r="Q2032" s="13">
        <f t="shared" si="63"/>
        <v>0</v>
      </c>
    </row>
    <row r="2033" spans="2:17" ht="15" customHeight="1">
      <c r="B2033" s="5" t="str">
        <f>_xlfn.IFNA(VLOOKUP(C2033,Master!$H:$I,2,FALSE),"")</f>
        <v/>
      </c>
      <c r="D2033" s="5" t="str">
        <f>_xlfn.IFNA(VLOOKUP(E2033,Master!$H:$I,2,FALSE),"")</f>
        <v/>
      </c>
      <c r="F2033" s="26" t="str">
        <f>+_xlfn.XLOOKUP(G2033,Master!$V$2:$V$8,Master!$U$2:$U$8,"")</f>
        <v/>
      </c>
      <c r="I2033" s="4" t="str">
        <f>_xlfn.IFNA(VLOOKUP(D2033,Master!$I:$K,2,FALSE),"")</f>
        <v/>
      </c>
      <c r="J2033" s="4" t="str">
        <f>_xlfn.IFNA(VLOOKUP(D2033,Master!$I:$K,3,FALSE),"")</f>
        <v/>
      </c>
      <c r="L2033" s="27" t="str">
        <f>IF(A2033&lt;&gt;"CFA",_xlfn.IFNA(VLOOKUP($G2033,Master!$V$2:$Z$8,5,0),""),"")</f>
        <v/>
      </c>
      <c r="P2033" s="6" t="str">
        <f t="shared" si="62"/>
        <v/>
      </c>
      <c r="Q2033" s="13">
        <f t="shared" si="63"/>
        <v>0</v>
      </c>
    </row>
    <row r="2034" spans="2:17" ht="15" customHeight="1">
      <c r="B2034" s="5" t="str">
        <f>_xlfn.IFNA(VLOOKUP(C2034,Master!$H:$I,2,FALSE),"")</f>
        <v/>
      </c>
      <c r="D2034" s="5" t="str">
        <f>_xlfn.IFNA(VLOOKUP(E2034,Master!$H:$I,2,FALSE),"")</f>
        <v/>
      </c>
      <c r="F2034" s="26" t="str">
        <f>+_xlfn.XLOOKUP(G2034,Master!$V$2:$V$8,Master!$U$2:$U$8,"")</f>
        <v/>
      </c>
      <c r="I2034" s="4" t="str">
        <f>_xlfn.IFNA(VLOOKUP(D2034,Master!$I:$K,2,FALSE),"")</f>
        <v/>
      </c>
      <c r="J2034" s="4" t="str">
        <f>_xlfn.IFNA(VLOOKUP(D2034,Master!$I:$K,3,FALSE),"")</f>
        <v/>
      </c>
      <c r="L2034" s="27" t="str">
        <f>IF(A2034&lt;&gt;"CFA",_xlfn.IFNA(VLOOKUP($G2034,Master!$V$2:$Z$8,5,0),""),"")</f>
        <v/>
      </c>
      <c r="P2034" s="6" t="str">
        <f t="shared" si="62"/>
        <v/>
      </c>
      <c r="Q2034" s="13">
        <f t="shared" si="63"/>
        <v>0</v>
      </c>
    </row>
    <row r="2035" spans="2:17" ht="15" customHeight="1">
      <c r="B2035" s="5" t="str">
        <f>_xlfn.IFNA(VLOOKUP(C2035,Master!$H:$I,2,FALSE),"")</f>
        <v/>
      </c>
      <c r="D2035" s="5" t="str">
        <f>_xlfn.IFNA(VLOOKUP(E2035,Master!$H:$I,2,FALSE),"")</f>
        <v/>
      </c>
      <c r="F2035" s="26" t="str">
        <f>+_xlfn.XLOOKUP(G2035,Master!$V$2:$V$8,Master!$U$2:$U$8,"")</f>
        <v/>
      </c>
      <c r="I2035" s="4" t="str">
        <f>_xlfn.IFNA(VLOOKUP(D2035,Master!$I:$K,2,FALSE),"")</f>
        <v/>
      </c>
      <c r="J2035" s="4" t="str">
        <f>_xlfn.IFNA(VLOOKUP(D2035,Master!$I:$K,3,FALSE),"")</f>
        <v/>
      </c>
      <c r="L2035" s="27" t="str">
        <f>IF(A2035&lt;&gt;"CFA",_xlfn.IFNA(VLOOKUP($G2035,Master!$V$2:$Z$8,5,0),""),"")</f>
        <v/>
      </c>
      <c r="P2035" s="6" t="str">
        <f t="shared" si="62"/>
        <v/>
      </c>
      <c r="Q2035" s="13">
        <f t="shared" si="63"/>
        <v>0</v>
      </c>
    </row>
    <row r="2036" spans="2:17" ht="15" customHeight="1">
      <c r="B2036" s="5" t="str">
        <f>_xlfn.IFNA(VLOOKUP(C2036,Master!$H:$I,2,FALSE),"")</f>
        <v/>
      </c>
      <c r="D2036" s="5" t="str">
        <f>_xlfn.IFNA(VLOOKUP(E2036,Master!$H:$I,2,FALSE),"")</f>
        <v/>
      </c>
      <c r="F2036" s="26" t="str">
        <f>+_xlfn.XLOOKUP(G2036,Master!$V$2:$V$8,Master!$U$2:$U$8,"")</f>
        <v/>
      </c>
      <c r="I2036" s="4" t="str">
        <f>_xlfn.IFNA(VLOOKUP(D2036,Master!$I:$K,2,FALSE),"")</f>
        <v/>
      </c>
      <c r="J2036" s="4" t="str">
        <f>_xlfn.IFNA(VLOOKUP(D2036,Master!$I:$K,3,FALSE),"")</f>
        <v/>
      </c>
      <c r="L2036" s="27" t="str">
        <f>IF(A2036&lt;&gt;"CFA",_xlfn.IFNA(VLOOKUP($G2036,Master!$V$2:$Z$8,5,0),""),"")</f>
        <v/>
      </c>
      <c r="P2036" s="6" t="str">
        <f t="shared" si="62"/>
        <v/>
      </c>
      <c r="Q2036" s="13">
        <f t="shared" si="63"/>
        <v>0</v>
      </c>
    </row>
    <row r="2037" spans="2:17" ht="15" customHeight="1">
      <c r="B2037" s="5" t="str">
        <f>_xlfn.IFNA(VLOOKUP(C2037,Master!$H:$I,2,FALSE),"")</f>
        <v/>
      </c>
      <c r="D2037" s="5" t="str">
        <f>_xlfn.IFNA(VLOOKUP(E2037,Master!$H:$I,2,FALSE),"")</f>
        <v/>
      </c>
      <c r="F2037" s="26" t="str">
        <f>+_xlfn.XLOOKUP(G2037,Master!$V$2:$V$8,Master!$U$2:$U$8,"")</f>
        <v/>
      </c>
      <c r="I2037" s="4" t="str">
        <f>_xlfn.IFNA(VLOOKUP(D2037,Master!$I:$K,2,FALSE),"")</f>
        <v/>
      </c>
      <c r="J2037" s="4" t="str">
        <f>_xlfn.IFNA(VLOOKUP(D2037,Master!$I:$K,3,FALSE),"")</f>
        <v/>
      </c>
      <c r="L2037" s="27" t="str">
        <f>IF(A2037&lt;&gt;"CFA",_xlfn.IFNA(VLOOKUP($G2037,Master!$V$2:$Z$8,5,0),""),"")</f>
        <v/>
      </c>
      <c r="P2037" s="6" t="str">
        <f t="shared" si="62"/>
        <v/>
      </c>
      <c r="Q2037" s="13">
        <f t="shared" si="63"/>
        <v>0</v>
      </c>
    </row>
    <row r="2038" spans="2:17" ht="15" customHeight="1">
      <c r="B2038" s="5" t="str">
        <f>_xlfn.IFNA(VLOOKUP(C2038,Master!$H:$I,2,FALSE),"")</f>
        <v/>
      </c>
      <c r="D2038" s="5" t="str">
        <f>_xlfn.IFNA(VLOOKUP(E2038,Master!$H:$I,2,FALSE),"")</f>
        <v/>
      </c>
      <c r="F2038" s="26" t="str">
        <f>+_xlfn.XLOOKUP(G2038,Master!$V$2:$V$8,Master!$U$2:$U$8,"")</f>
        <v/>
      </c>
      <c r="I2038" s="4" t="str">
        <f>_xlfn.IFNA(VLOOKUP(D2038,Master!$I:$K,2,FALSE),"")</f>
        <v/>
      </c>
      <c r="J2038" s="4" t="str">
        <f>_xlfn.IFNA(VLOOKUP(D2038,Master!$I:$K,3,FALSE),"")</f>
        <v/>
      </c>
      <c r="L2038" s="27" t="str">
        <f>IF(A2038&lt;&gt;"CFA",_xlfn.IFNA(VLOOKUP($G2038,Master!$V$2:$Z$8,5,0),""),"")</f>
        <v/>
      </c>
      <c r="P2038" s="6" t="str">
        <f t="shared" si="62"/>
        <v/>
      </c>
      <c r="Q2038" s="13">
        <f t="shared" si="63"/>
        <v>0</v>
      </c>
    </row>
    <row r="2039" spans="2:17" ht="15" customHeight="1">
      <c r="B2039" s="5" t="str">
        <f>_xlfn.IFNA(VLOOKUP(C2039,Master!$H:$I,2,FALSE),"")</f>
        <v/>
      </c>
      <c r="D2039" s="5" t="str">
        <f>_xlfn.IFNA(VLOOKUP(E2039,Master!$H:$I,2,FALSE),"")</f>
        <v/>
      </c>
      <c r="F2039" s="26" t="str">
        <f>+_xlfn.XLOOKUP(G2039,Master!$V$2:$V$8,Master!$U$2:$U$8,"")</f>
        <v/>
      </c>
      <c r="I2039" s="4" t="str">
        <f>_xlfn.IFNA(VLOOKUP(D2039,Master!$I:$K,2,FALSE),"")</f>
        <v/>
      </c>
      <c r="J2039" s="4" t="str">
        <f>_xlfn.IFNA(VLOOKUP(D2039,Master!$I:$K,3,FALSE),"")</f>
        <v/>
      </c>
      <c r="L2039" s="27" t="str">
        <f>IF(A2039&lt;&gt;"CFA",_xlfn.IFNA(VLOOKUP($G2039,Master!$V$2:$Z$8,5,0),""),"")</f>
        <v/>
      </c>
      <c r="P2039" s="6" t="str">
        <f t="shared" ref="P2039:P2102" si="64">IF(N2039&lt;&gt;"",IF(MONTH(N2039)&gt;=4,"FY1"&amp;RIGHT(YEAR(N2039)+1,2),"FY1"&amp;RIGHT(YEAR(N2039),2)),"")</f>
        <v/>
      </c>
      <c r="Q2039" s="13">
        <f t="shared" ref="Q2039:Q2102" si="65">IF(K2039&gt;0&amp;M2039&gt;0,K2039*M2039,"")</f>
        <v>0</v>
      </c>
    </row>
    <row r="2040" spans="2:17" ht="15" customHeight="1">
      <c r="B2040" s="5" t="str">
        <f>_xlfn.IFNA(VLOOKUP(C2040,Master!$H:$I,2,FALSE),"")</f>
        <v/>
      </c>
      <c r="D2040" s="5" t="str">
        <f>_xlfn.IFNA(VLOOKUP(E2040,Master!$H:$I,2,FALSE),"")</f>
        <v/>
      </c>
      <c r="F2040" s="26" t="str">
        <f>+_xlfn.XLOOKUP(G2040,Master!$V$2:$V$8,Master!$U$2:$U$8,"")</f>
        <v/>
      </c>
      <c r="I2040" s="4" t="str">
        <f>_xlfn.IFNA(VLOOKUP(D2040,Master!$I:$K,2,FALSE),"")</f>
        <v/>
      </c>
      <c r="J2040" s="4" t="str">
        <f>_xlfn.IFNA(VLOOKUP(D2040,Master!$I:$K,3,FALSE),"")</f>
        <v/>
      </c>
      <c r="L2040" s="27" t="str">
        <f>IF(A2040&lt;&gt;"CFA",_xlfn.IFNA(VLOOKUP($G2040,Master!$V$2:$Z$8,5,0),""),"")</f>
        <v/>
      </c>
      <c r="P2040" s="6" t="str">
        <f t="shared" si="64"/>
        <v/>
      </c>
      <c r="Q2040" s="13">
        <f t="shared" si="65"/>
        <v>0</v>
      </c>
    </row>
    <row r="2041" spans="2:17" ht="15" customHeight="1">
      <c r="B2041" s="5" t="str">
        <f>_xlfn.IFNA(VLOOKUP(C2041,Master!$H:$I,2,FALSE),"")</f>
        <v/>
      </c>
      <c r="D2041" s="5" t="str">
        <f>_xlfn.IFNA(VLOOKUP(E2041,Master!$H:$I,2,FALSE),"")</f>
        <v/>
      </c>
      <c r="F2041" s="26" t="str">
        <f>+_xlfn.XLOOKUP(G2041,Master!$V$2:$V$8,Master!$U$2:$U$8,"")</f>
        <v/>
      </c>
      <c r="I2041" s="4" t="str">
        <f>_xlfn.IFNA(VLOOKUP(D2041,Master!$I:$K,2,FALSE),"")</f>
        <v/>
      </c>
      <c r="J2041" s="4" t="str">
        <f>_xlfn.IFNA(VLOOKUP(D2041,Master!$I:$K,3,FALSE),"")</f>
        <v/>
      </c>
      <c r="L2041" s="27" t="str">
        <f>IF(A2041&lt;&gt;"CFA",_xlfn.IFNA(VLOOKUP($G2041,Master!$V$2:$Z$8,5,0),""),"")</f>
        <v/>
      </c>
      <c r="P2041" s="6" t="str">
        <f t="shared" si="64"/>
        <v/>
      </c>
      <c r="Q2041" s="13">
        <f t="shared" si="65"/>
        <v>0</v>
      </c>
    </row>
    <row r="2042" spans="2:17" ht="15" customHeight="1">
      <c r="B2042" s="5" t="str">
        <f>_xlfn.IFNA(VLOOKUP(C2042,Master!$H:$I,2,FALSE),"")</f>
        <v/>
      </c>
      <c r="D2042" s="5" t="str">
        <f>_xlfn.IFNA(VLOOKUP(E2042,Master!$H:$I,2,FALSE),"")</f>
        <v/>
      </c>
      <c r="F2042" s="26" t="str">
        <f>+_xlfn.XLOOKUP(G2042,Master!$V$2:$V$8,Master!$U$2:$U$8,"")</f>
        <v/>
      </c>
      <c r="I2042" s="4" t="str">
        <f>_xlfn.IFNA(VLOOKUP(D2042,Master!$I:$K,2,FALSE),"")</f>
        <v/>
      </c>
      <c r="J2042" s="4" t="str">
        <f>_xlfn.IFNA(VLOOKUP(D2042,Master!$I:$K,3,FALSE),"")</f>
        <v/>
      </c>
      <c r="L2042" s="27" t="str">
        <f>IF(A2042&lt;&gt;"CFA",_xlfn.IFNA(VLOOKUP($G2042,Master!$V$2:$Z$8,5,0),""),"")</f>
        <v/>
      </c>
      <c r="P2042" s="6" t="str">
        <f t="shared" si="64"/>
        <v/>
      </c>
      <c r="Q2042" s="13">
        <f t="shared" si="65"/>
        <v>0</v>
      </c>
    </row>
    <row r="2043" spans="2:17" ht="15" customHeight="1">
      <c r="B2043" s="5" t="str">
        <f>_xlfn.IFNA(VLOOKUP(C2043,Master!$H:$I,2,FALSE),"")</f>
        <v/>
      </c>
      <c r="D2043" s="5" t="str">
        <f>_xlfn.IFNA(VLOOKUP(E2043,Master!$H:$I,2,FALSE),"")</f>
        <v/>
      </c>
      <c r="F2043" s="26" t="str">
        <f>+_xlfn.XLOOKUP(G2043,Master!$V$2:$V$8,Master!$U$2:$U$8,"")</f>
        <v/>
      </c>
      <c r="I2043" s="4" t="str">
        <f>_xlfn.IFNA(VLOOKUP(D2043,Master!$I:$K,2,FALSE),"")</f>
        <v/>
      </c>
      <c r="J2043" s="4" t="str">
        <f>_xlfn.IFNA(VLOOKUP(D2043,Master!$I:$K,3,FALSE),"")</f>
        <v/>
      </c>
      <c r="L2043" s="27" t="str">
        <f>IF(A2043&lt;&gt;"CFA",_xlfn.IFNA(VLOOKUP($G2043,Master!$V$2:$Z$8,5,0),""),"")</f>
        <v/>
      </c>
      <c r="P2043" s="6" t="str">
        <f t="shared" si="64"/>
        <v/>
      </c>
      <c r="Q2043" s="13">
        <f t="shared" si="65"/>
        <v>0</v>
      </c>
    </row>
    <row r="2044" spans="2:17" ht="15" customHeight="1">
      <c r="B2044" s="5" t="str">
        <f>_xlfn.IFNA(VLOOKUP(C2044,Master!$H:$I,2,FALSE),"")</f>
        <v/>
      </c>
      <c r="D2044" s="5" t="str">
        <f>_xlfn.IFNA(VLOOKUP(E2044,Master!$H:$I,2,FALSE),"")</f>
        <v/>
      </c>
      <c r="F2044" s="26" t="str">
        <f>+_xlfn.XLOOKUP(G2044,Master!$V$2:$V$8,Master!$U$2:$U$8,"")</f>
        <v/>
      </c>
      <c r="I2044" s="4" t="str">
        <f>_xlfn.IFNA(VLOOKUP(D2044,Master!$I:$K,2,FALSE),"")</f>
        <v/>
      </c>
      <c r="J2044" s="4" t="str">
        <f>_xlfn.IFNA(VLOOKUP(D2044,Master!$I:$K,3,FALSE),"")</f>
        <v/>
      </c>
      <c r="L2044" s="27" t="str">
        <f>IF(A2044&lt;&gt;"CFA",_xlfn.IFNA(VLOOKUP($G2044,Master!$V$2:$Z$8,5,0),""),"")</f>
        <v/>
      </c>
      <c r="P2044" s="6" t="str">
        <f t="shared" si="64"/>
        <v/>
      </c>
      <c r="Q2044" s="13">
        <f t="shared" si="65"/>
        <v>0</v>
      </c>
    </row>
    <row r="2045" spans="2:17" ht="15" customHeight="1">
      <c r="B2045" s="5" t="str">
        <f>_xlfn.IFNA(VLOOKUP(C2045,Master!$H:$I,2,FALSE),"")</f>
        <v/>
      </c>
      <c r="D2045" s="5" t="str">
        <f>_xlfn.IFNA(VLOOKUP(E2045,Master!$H:$I,2,FALSE),"")</f>
        <v/>
      </c>
      <c r="F2045" s="26" t="str">
        <f>+_xlfn.XLOOKUP(G2045,Master!$V$2:$V$8,Master!$U$2:$U$8,"")</f>
        <v/>
      </c>
      <c r="I2045" s="4" t="str">
        <f>_xlfn.IFNA(VLOOKUP(D2045,Master!$I:$K,2,FALSE),"")</f>
        <v/>
      </c>
      <c r="J2045" s="4" t="str">
        <f>_xlfn.IFNA(VLOOKUP(D2045,Master!$I:$K,3,FALSE),"")</f>
        <v/>
      </c>
      <c r="L2045" s="27" t="str">
        <f>IF(A2045&lt;&gt;"CFA",_xlfn.IFNA(VLOOKUP($G2045,Master!$V$2:$Z$8,5,0),""),"")</f>
        <v/>
      </c>
      <c r="P2045" s="6" t="str">
        <f t="shared" si="64"/>
        <v/>
      </c>
      <c r="Q2045" s="13">
        <f t="shared" si="65"/>
        <v>0</v>
      </c>
    </row>
    <row r="2046" spans="2:17" ht="15" customHeight="1">
      <c r="B2046" s="5" t="str">
        <f>_xlfn.IFNA(VLOOKUP(C2046,Master!$H:$I,2,FALSE),"")</f>
        <v/>
      </c>
      <c r="D2046" s="5" t="str">
        <f>_xlfn.IFNA(VLOOKUP(E2046,Master!$H:$I,2,FALSE),"")</f>
        <v/>
      </c>
      <c r="F2046" s="26" t="str">
        <f>+_xlfn.XLOOKUP(G2046,Master!$V$2:$V$8,Master!$U$2:$U$8,"")</f>
        <v/>
      </c>
      <c r="I2046" s="4" t="str">
        <f>_xlfn.IFNA(VLOOKUP(D2046,Master!$I:$K,2,FALSE),"")</f>
        <v/>
      </c>
      <c r="J2046" s="4" t="str">
        <f>_xlfn.IFNA(VLOOKUP(D2046,Master!$I:$K,3,FALSE),"")</f>
        <v/>
      </c>
      <c r="L2046" s="27" t="str">
        <f>IF(A2046&lt;&gt;"CFA",_xlfn.IFNA(VLOOKUP($G2046,Master!$V$2:$Z$8,5,0),""),"")</f>
        <v/>
      </c>
      <c r="P2046" s="6" t="str">
        <f t="shared" si="64"/>
        <v/>
      </c>
      <c r="Q2046" s="13">
        <f t="shared" si="65"/>
        <v>0</v>
      </c>
    </row>
    <row r="2047" spans="2:17" ht="15" customHeight="1">
      <c r="B2047" s="5" t="str">
        <f>_xlfn.IFNA(VLOOKUP(C2047,Master!$H:$I,2,FALSE),"")</f>
        <v/>
      </c>
      <c r="D2047" s="5" t="str">
        <f>_xlfn.IFNA(VLOOKUP(E2047,Master!$H:$I,2,FALSE),"")</f>
        <v/>
      </c>
      <c r="F2047" s="26" t="str">
        <f>+_xlfn.XLOOKUP(G2047,Master!$V$2:$V$8,Master!$U$2:$U$8,"")</f>
        <v/>
      </c>
      <c r="I2047" s="4" t="str">
        <f>_xlfn.IFNA(VLOOKUP(D2047,Master!$I:$K,2,FALSE),"")</f>
        <v/>
      </c>
      <c r="J2047" s="4" t="str">
        <f>_xlfn.IFNA(VLOOKUP(D2047,Master!$I:$K,3,FALSE),"")</f>
        <v/>
      </c>
      <c r="L2047" s="27" t="str">
        <f>IF(A2047&lt;&gt;"CFA",_xlfn.IFNA(VLOOKUP($G2047,Master!$V$2:$Z$8,5,0),""),"")</f>
        <v/>
      </c>
      <c r="P2047" s="6" t="str">
        <f t="shared" si="64"/>
        <v/>
      </c>
      <c r="Q2047" s="13">
        <f t="shared" si="65"/>
        <v>0</v>
      </c>
    </row>
    <row r="2048" spans="2:17" ht="15" customHeight="1">
      <c r="B2048" s="5" t="str">
        <f>_xlfn.IFNA(VLOOKUP(C2048,Master!$H:$I,2,FALSE),"")</f>
        <v/>
      </c>
      <c r="D2048" s="5" t="str">
        <f>_xlfn.IFNA(VLOOKUP(E2048,Master!$H:$I,2,FALSE),"")</f>
        <v/>
      </c>
      <c r="F2048" s="26" t="str">
        <f>+_xlfn.XLOOKUP(G2048,Master!$V$2:$V$8,Master!$U$2:$U$8,"")</f>
        <v/>
      </c>
      <c r="I2048" s="4" t="str">
        <f>_xlfn.IFNA(VLOOKUP(D2048,Master!$I:$K,2,FALSE),"")</f>
        <v/>
      </c>
      <c r="J2048" s="4" t="str">
        <f>_xlfn.IFNA(VLOOKUP(D2048,Master!$I:$K,3,FALSE),"")</f>
        <v/>
      </c>
      <c r="L2048" s="27" t="str">
        <f>IF(A2048&lt;&gt;"CFA",_xlfn.IFNA(VLOOKUP($G2048,Master!$V$2:$Z$8,5,0),""),"")</f>
        <v/>
      </c>
      <c r="P2048" s="6" t="str">
        <f t="shared" si="64"/>
        <v/>
      </c>
      <c r="Q2048" s="13">
        <f t="shared" si="65"/>
        <v>0</v>
      </c>
    </row>
    <row r="2049" spans="2:17" ht="15" customHeight="1">
      <c r="B2049" s="5" t="str">
        <f>_xlfn.IFNA(VLOOKUP(C2049,Master!$H:$I,2,FALSE),"")</f>
        <v/>
      </c>
      <c r="D2049" s="5" t="str">
        <f>_xlfn.IFNA(VLOOKUP(E2049,Master!$H:$I,2,FALSE),"")</f>
        <v/>
      </c>
      <c r="F2049" s="26" t="str">
        <f>+_xlfn.XLOOKUP(G2049,Master!$V$2:$V$8,Master!$U$2:$U$8,"")</f>
        <v/>
      </c>
      <c r="I2049" s="4" t="str">
        <f>_xlfn.IFNA(VLOOKUP(D2049,Master!$I:$K,2,FALSE),"")</f>
        <v/>
      </c>
      <c r="J2049" s="4" t="str">
        <f>_xlfn.IFNA(VLOOKUP(D2049,Master!$I:$K,3,FALSE),"")</f>
        <v/>
      </c>
      <c r="L2049" s="27" t="str">
        <f>IF(A2049&lt;&gt;"CFA",_xlfn.IFNA(VLOOKUP($G2049,Master!$V$2:$Z$8,5,0),""),"")</f>
        <v/>
      </c>
      <c r="P2049" s="6" t="str">
        <f t="shared" si="64"/>
        <v/>
      </c>
      <c r="Q2049" s="13">
        <f t="shared" si="65"/>
        <v>0</v>
      </c>
    </row>
    <row r="2050" spans="2:17" ht="15" customHeight="1">
      <c r="B2050" s="5" t="str">
        <f>_xlfn.IFNA(VLOOKUP(C2050,Master!$H:$I,2,FALSE),"")</f>
        <v/>
      </c>
      <c r="D2050" s="5" t="str">
        <f>_xlfn.IFNA(VLOOKUP(E2050,Master!$H:$I,2,FALSE),"")</f>
        <v/>
      </c>
      <c r="F2050" s="26" t="str">
        <f>+_xlfn.XLOOKUP(G2050,Master!$V$2:$V$8,Master!$U$2:$U$8,"")</f>
        <v/>
      </c>
      <c r="I2050" s="4" t="str">
        <f>_xlfn.IFNA(VLOOKUP(D2050,Master!$I:$K,2,FALSE),"")</f>
        <v/>
      </c>
      <c r="J2050" s="4" t="str">
        <f>_xlfn.IFNA(VLOOKUP(D2050,Master!$I:$K,3,FALSE),"")</f>
        <v/>
      </c>
      <c r="L2050" s="27" t="str">
        <f>IF(A2050&lt;&gt;"CFA",_xlfn.IFNA(VLOOKUP($G2050,Master!$V$2:$Z$8,5,0),""),"")</f>
        <v/>
      </c>
      <c r="P2050" s="6" t="str">
        <f t="shared" si="64"/>
        <v/>
      </c>
      <c r="Q2050" s="13">
        <f t="shared" si="65"/>
        <v>0</v>
      </c>
    </row>
    <row r="2051" spans="2:17" ht="15" customHeight="1">
      <c r="B2051" s="5" t="str">
        <f>_xlfn.IFNA(VLOOKUP(C2051,Master!$H:$I,2,FALSE),"")</f>
        <v/>
      </c>
      <c r="D2051" s="5" t="str">
        <f>_xlfn.IFNA(VLOOKUP(E2051,Master!$H:$I,2,FALSE),"")</f>
        <v/>
      </c>
      <c r="F2051" s="26" t="str">
        <f>+_xlfn.XLOOKUP(G2051,Master!$V$2:$V$8,Master!$U$2:$U$8,"")</f>
        <v/>
      </c>
      <c r="I2051" s="4" t="str">
        <f>_xlfn.IFNA(VLOOKUP(D2051,Master!$I:$K,2,FALSE),"")</f>
        <v/>
      </c>
      <c r="J2051" s="4" t="str">
        <f>_xlfn.IFNA(VLOOKUP(D2051,Master!$I:$K,3,FALSE),"")</f>
        <v/>
      </c>
      <c r="L2051" s="27" t="str">
        <f>IF(A2051&lt;&gt;"CFA",_xlfn.IFNA(VLOOKUP($G2051,Master!$V$2:$Z$8,5,0),""),"")</f>
        <v/>
      </c>
      <c r="P2051" s="6" t="str">
        <f t="shared" si="64"/>
        <v/>
      </c>
      <c r="Q2051" s="13">
        <f t="shared" si="65"/>
        <v>0</v>
      </c>
    </row>
    <row r="2052" spans="2:17" ht="15" customHeight="1">
      <c r="B2052" s="5" t="str">
        <f>_xlfn.IFNA(VLOOKUP(C2052,Master!$H:$I,2,FALSE),"")</f>
        <v/>
      </c>
      <c r="D2052" s="5" t="str">
        <f>_xlfn.IFNA(VLOOKUP(E2052,Master!$H:$I,2,FALSE),"")</f>
        <v/>
      </c>
      <c r="F2052" s="26" t="str">
        <f>+_xlfn.XLOOKUP(G2052,Master!$V$2:$V$8,Master!$U$2:$U$8,"")</f>
        <v/>
      </c>
      <c r="I2052" s="4" t="str">
        <f>_xlfn.IFNA(VLOOKUP(D2052,Master!$I:$K,2,FALSE),"")</f>
        <v/>
      </c>
      <c r="J2052" s="4" t="str">
        <f>_xlfn.IFNA(VLOOKUP(D2052,Master!$I:$K,3,FALSE),"")</f>
        <v/>
      </c>
      <c r="L2052" s="27" t="str">
        <f>IF(A2052&lt;&gt;"CFA",_xlfn.IFNA(VLOOKUP($G2052,Master!$V$2:$Z$8,5,0),""),"")</f>
        <v/>
      </c>
      <c r="P2052" s="6" t="str">
        <f t="shared" si="64"/>
        <v/>
      </c>
      <c r="Q2052" s="13">
        <f t="shared" si="65"/>
        <v>0</v>
      </c>
    </row>
    <row r="2053" spans="2:17" ht="15" customHeight="1">
      <c r="B2053" s="5" t="str">
        <f>_xlfn.IFNA(VLOOKUP(C2053,Master!$H:$I,2,FALSE),"")</f>
        <v/>
      </c>
      <c r="D2053" s="5" t="str">
        <f>_xlfn.IFNA(VLOOKUP(E2053,Master!$H:$I,2,FALSE),"")</f>
        <v/>
      </c>
      <c r="F2053" s="26" t="str">
        <f>+_xlfn.XLOOKUP(G2053,Master!$V$2:$V$8,Master!$U$2:$U$8,"")</f>
        <v/>
      </c>
      <c r="I2053" s="4" t="str">
        <f>_xlfn.IFNA(VLOOKUP(D2053,Master!$I:$K,2,FALSE),"")</f>
        <v/>
      </c>
      <c r="J2053" s="4" t="str">
        <f>_xlfn.IFNA(VLOOKUP(D2053,Master!$I:$K,3,FALSE),"")</f>
        <v/>
      </c>
      <c r="L2053" s="27" t="str">
        <f>IF(A2053&lt;&gt;"CFA",_xlfn.IFNA(VLOOKUP($G2053,Master!$V$2:$Z$8,5,0),""),"")</f>
        <v/>
      </c>
      <c r="P2053" s="6" t="str">
        <f t="shared" si="64"/>
        <v/>
      </c>
      <c r="Q2053" s="13">
        <f t="shared" si="65"/>
        <v>0</v>
      </c>
    </row>
    <row r="2054" spans="2:17" ht="15" customHeight="1">
      <c r="B2054" s="5" t="str">
        <f>_xlfn.IFNA(VLOOKUP(C2054,Master!$H:$I,2,FALSE),"")</f>
        <v/>
      </c>
      <c r="D2054" s="5" t="str">
        <f>_xlfn.IFNA(VLOOKUP(E2054,Master!$H:$I,2,FALSE),"")</f>
        <v/>
      </c>
      <c r="F2054" s="26" t="str">
        <f>+_xlfn.XLOOKUP(G2054,Master!$V$2:$V$8,Master!$U$2:$U$8,"")</f>
        <v/>
      </c>
      <c r="I2054" s="4" t="str">
        <f>_xlfn.IFNA(VLOOKUP(D2054,Master!$I:$K,2,FALSE),"")</f>
        <v/>
      </c>
      <c r="J2054" s="4" t="str">
        <f>_xlfn.IFNA(VLOOKUP(D2054,Master!$I:$K,3,FALSE),"")</f>
        <v/>
      </c>
      <c r="L2054" s="27" t="str">
        <f>IF(A2054&lt;&gt;"CFA",_xlfn.IFNA(VLOOKUP($G2054,Master!$V$2:$Z$8,5,0),""),"")</f>
        <v/>
      </c>
      <c r="P2054" s="6" t="str">
        <f t="shared" si="64"/>
        <v/>
      </c>
      <c r="Q2054" s="13">
        <f t="shared" si="65"/>
        <v>0</v>
      </c>
    </row>
    <row r="2055" spans="2:17" ht="15" customHeight="1">
      <c r="B2055" s="5" t="str">
        <f>_xlfn.IFNA(VLOOKUP(C2055,Master!$H:$I,2,FALSE),"")</f>
        <v/>
      </c>
      <c r="D2055" s="5" t="str">
        <f>_xlfn.IFNA(VLOOKUP(E2055,Master!$H:$I,2,FALSE),"")</f>
        <v/>
      </c>
      <c r="F2055" s="26" t="str">
        <f>+_xlfn.XLOOKUP(G2055,Master!$V$2:$V$8,Master!$U$2:$U$8,"")</f>
        <v/>
      </c>
      <c r="I2055" s="4" t="str">
        <f>_xlfn.IFNA(VLOOKUP(D2055,Master!$I:$K,2,FALSE),"")</f>
        <v/>
      </c>
      <c r="J2055" s="4" t="str">
        <f>_xlfn.IFNA(VLOOKUP(D2055,Master!$I:$K,3,FALSE),"")</f>
        <v/>
      </c>
      <c r="L2055" s="27" t="str">
        <f>IF(A2055&lt;&gt;"CFA",_xlfn.IFNA(VLOOKUP($G2055,Master!$V$2:$Z$8,5,0),""),"")</f>
        <v/>
      </c>
      <c r="P2055" s="6" t="str">
        <f t="shared" si="64"/>
        <v/>
      </c>
      <c r="Q2055" s="13">
        <f t="shared" si="65"/>
        <v>0</v>
      </c>
    </row>
    <row r="2056" spans="2:17" ht="15" customHeight="1">
      <c r="B2056" s="5" t="str">
        <f>_xlfn.IFNA(VLOOKUP(C2056,Master!$H:$I,2,FALSE),"")</f>
        <v/>
      </c>
      <c r="D2056" s="5" t="str">
        <f>_xlfn.IFNA(VLOOKUP(E2056,Master!$H:$I,2,FALSE),"")</f>
        <v/>
      </c>
      <c r="F2056" s="26" t="str">
        <f>+_xlfn.XLOOKUP(G2056,Master!$V$2:$V$8,Master!$U$2:$U$8,"")</f>
        <v/>
      </c>
      <c r="I2056" s="4" t="str">
        <f>_xlfn.IFNA(VLOOKUP(D2056,Master!$I:$K,2,FALSE),"")</f>
        <v/>
      </c>
      <c r="J2056" s="4" t="str">
        <f>_xlfn.IFNA(VLOOKUP(D2056,Master!$I:$K,3,FALSE),"")</f>
        <v/>
      </c>
      <c r="L2056" s="27" t="str">
        <f>IF(A2056&lt;&gt;"CFA",_xlfn.IFNA(VLOOKUP($G2056,Master!$V$2:$Z$8,5,0),""),"")</f>
        <v/>
      </c>
      <c r="P2056" s="6" t="str">
        <f t="shared" si="64"/>
        <v/>
      </c>
      <c r="Q2056" s="13">
        <f t="shared" si="65"/>
        <v>0</v>
      </c>
    </row>
    <row r="2057" spans="2:17" ht="15" customHeight="1">
      <c r="B2057" s="5" t="str">
        <f>_xlfn.IFNA(VLOOKUP(C2057,Master!$H:$I,2,FALSE),"")</f>
        <v/>
      </c>
      <c r="D2057" s="5" t="str">
        <f>_xlfn.IFNA(VLOOKUP(E2057,Master!$H:$I,2,FALSE),"")</f>
        <v/>
      </c>
      <c r="F2057" s="26" t="str">
        <f>+_xlfn.XLOOKUP(G2057,Master!$V$2:$V$8,Master!$U$2:$U$8,"")</f>
        <v/>
      </c>
      <c r="I2057" s="4" t="str">
        <f>_xlfn.IFNA(VLOOKUP(D2057,Master!$I:$K,2,FALSE),"")</f>
        <v/>
      </c>
      <c r="J2057" s="4" t="str">
        <f>_xlfn.IFNA(VLOOKUP(D2057,Master!$I:$K,3,FALSE),"")</f>
        <v/>
      </c>
      <c r="L2057" s="27" t="str">
        <f>IF(A2057&lt;&gt;"CFA",_xlfn.IFNA(VLOOKUP($G2057,Master!$V$2:$Z$8,5,0),""),"")</f>
        <v/>
      </c>
      <c r="P2057" s="6" t="str">
        <f t="shared" si="64"/>
        <v/>
      </c>
      <c r="Q2057" s="13">
        <f t="shared" si="65"/>
        <v>0</v>
      </c>
    </row>
    <row r="2058" spans="2:17" ht="15" customHeight="1">
      <c r="B2058" s="5" t="str">
        <f>_xlfn.IFNA(VLOOKUP(C2058,Master!$H:$I,2,FALSE),"")</f>
        <v/>
      </c>
      <c r="D2058" s="5" t="str">
        <f>_xlfn.IFNA(VLOOKUP(E2058,Master!$H:$I,2,FALSE),"")</f>
        <v/>
      </c>
      <c r="F2058" s="26" t="str">
        <f>+_xlfn.XLOOKUP(G2058,Master!$V$2:$V$8,Master!$U$2:$U$8,"")</f>
        <v/>
      </c>
      <c r="I2058" s="4" t="str">
        <f>_xlfn.IFNA(VLOOKUP(D2058,Master!$I:$K,2,FALSE),"")</f>
        <v/>
      </c>
      <c r="J2058" s="4" t="str">
        <f>_xlfn.IFNA(VLOOKUP(D2058,Master!$I:$K,3,FALSE),"")</f>
        <v/>
      </c>
      <c r="L2058" s="27" t="str">
        <f>IF(A2058&lt;&gt;"CFA",_xlfn.IFNA(VLOOKUP($G2058,Master!$V$2:$Z$8,5,0),""),"")</f>
        <v/>
      </c>
      <c r="P2058" s="6" t="str">
        <f t="shared" si="64"/>
        <v/>
      </c>
      <c r="Q2058" s="13">
        <f t="shared" si="65"/>
        <v>0</v>
      </c>
    </row>
    <row r="2059" spans="2:17" ht="15" customHeight="1">
      <c r="B2059" s="5" t="str">
        <f>_xlfn.IFNA(VLOOKUP(C2059,Master!$H:$I,2,FALSE),"")</f>
        <v/>
      </c>
      <c r="D2059" s="5" t="str">
        <f>_xlfn.IFNA(VLOOKUP(E2059,Master!$H:$I,2,FALSE),"")</f>
        <v/>
      </c>
      <c r="F2059" s="26" t="str">
        <f>+_xlfn.XLOOKUP(G2059,Master!$V$2:$V$8,Master!$U$2:$U$8,"")</f>
        <v/>
      </c>
      <c r="I2059" s="4" t="str">
        <f>_xlfn.IFNA(VLOOKUP(D2059,Master!$I:$K,2,FALSE),"")</f>
        <v/>
      </c>
      <c r="J2059" s="4" t="str">
        <f>_xlfn.IFNA(VLOOKUP(D2059,Master!$I:$K,3,FALSE),"")</f>
        <v/>
      </c>
      <c r="L2059" s="27" t="str">
        <f>IF(A2059&lt;&gt;"CFA",_xlfn.IFNA(VLOOKUP($G2059,Master!$V$2:$Z$8,5,0),""),"")</f>
        <v/>
      </c>
      <c r="P2059" s="6" t="str">
        <f t="shared" si="64"/>
        <v/>
      </c>
      <c r="Q2059" s="13">
        <f t="shared" si="65"/>
        <v>0</v>
      </c>
    </row>
    <row r="2060" spans="2:17" ht="15" customHeight="1">
      <c r="B2060" s="5" t="str">
        <f>_xlfn.IFNA(VLOOKUP(C2060,Master!$H:$I,2,FALSE),"")</f>
        <v/>
      </c>
      <c r="D2060" s="5" t="str">
        <f>_xlfn.IFNA(VLOOKUP(E2060,Master!$H:$I,2,FALSE),"")</f>
        <v/>
      </c>
      <c r="F2060" s="26" t="str">
        <f>+_xlfn.XLOOKUP(G2060,Master!$V$2:$V$8,Master!$U$2:$U$8,"")</f>
        <v/>
      </c>
      <c r="I2060" s="4" t="str">
        <f>_xlfn.IFNA(VLOOKUP(D2060,Master!$I:$K,2,FALSE),"")</f>
        <v/>
      </c>
      <c r="J2060" s="4" t="str">
        <f>_xlfn.IFNA(VLOOKUP(D2060,Master!$I:$K,3,FALSE),"")</f>
        <v/>
      </c>
      <c r="L2060" s="27" t="str">
        <f>IF(A2060&lt;&gt;"CFA",_xlfn.IFNA(VLOOKUP($G2060,Master!$V$2:$Z$8,5,0),""),"")</f>
        <v/>
      </c>
      <c r="P2060" s="6" t="str">
        <f t="shared" si="64"/>
        <v/>
      </c>
      <c r="Q2060" s="13">
        <f t="shared" si="65"/>
        <v>0</v>
      </c>
    </row>
    <row r="2061" spans="2:17" ht="15" customHeight="1">
      <c r="B2061" s="5" t="str">
        <f>_xlfn.IFNA(VLOOKUP(C2061,Master!$H:$I,2,FALSE),"")</f>
        <v/>
      </c>
      <c r="D2061" s="5" t="str">
        <f>_xlfn.IFNA(VLOOKUP(E2061,Master!$H:$I,2,FALSE),"")</f>
        <v/>
      </c>
      <c r="F2061" s="26" t="str">
        <f>+_xlfn.XLOOKUP(G2061,Master!$V$2:$V$8,Master!$U$2:$U$8,"")</f>
        <v/>
      </c>
      <c r="I2061" s="4" t="str">
        <f>_xlfn.IFNA(VLOOKUP(D2061,Master!$I:$K,2,FALSE),"")</f>
        <v/>
      </c>
      <c r="J2061" s="4" t="str">
        <f>_xlfn.IFNA(VLOOKUP(D2061,Master!$I:$K,3,FALSE),"")</f>
        <v/>
      </c>
      <c r="L2061" s="27" t="str">
        <f>IF(A2061&lt;&gt;"CFA",_xlfn.IFNA(VLOOKUP($G2061,Master!$V$2:$Z$8,5,0),""),"")</f>
        <v/>
      </c>
      <c r="P2061" s="6" t="str">
        <f t="shared" si="64"/>
        <v/>
      </c>
      <c r="Q2061" s="13">
        <f t="shared" si="65"/>
        <v>0</v>
      </c>
    </row>
    <row r="2062" spans="2:17" ht="15" customHeight="1">
      <c r="B2062" s="5" t="str">
        <f>_xlfn.IFNA(VLOOKUP(C2062,Master!$H:$I,2,FALSE),"")</f>
        <v/>
      </c>
      <c r="D2062" s="5" t="str">
        <f>_xlfn.IFNA(VLOOKUP(E2062,Master!$H:$I,2,FALSE),"")</f>
        <v/>
      </c>
      <c r="F2062" s="26" t="str">
        <f>+_xlfn.XLOOKUP(G2062,Master!$V$2:$V$8,Master!$U$2:$U$8,"")</f>
        <v/>
      </c>
      <c r="I2062" s="4" t="str">
        <f>_xlfn.IFNA(VLOOKUP(D2062,Master!$I:$K,2,FALSE),"")</f>
        <v/>
      </c>
      <c r="J2062" s="4" t="str">
        <f>_xlfn.IFNA(VLOOKUP(D2062,Master!$I:$K,3,FALSE),"")</f>
        <v/>
      </c>
      <c r="L2062" s="27" t="str">
        <f>IF(A2062&lt;&gt;"CFA",_xlfn.IFNA(VLOOKUP($G2062,Master!$V$2:$Z$8,5,0),""),"")</f>
        <v/>
      </c>
      <c r="P2062" s="6" t="str">
        <f t="shared" si="64"/>
        <v/>
      </c>
      <c r="Q2062" s="13">
        <f t="shared" si="65"/>
        <v>0</v>
      </c>
    </row>
    <row r="2063" spans="2:17" ht="15" customHeight="1">
      <c r="B2063" s="5" t="str">
        <f>_xlfn.IFNA(VLOOKUP(C2063,Master!$H:$I,2,FALSE),"")</f>
        <v/>
      </c>
      <c r="D2063" s="5" t="str">
        <f>_xlfn.IFNA(VLOOKUP(E2063,Master!$H:$I,2,FALSE),"")</f>
        <v/>
      </c>
      <c r="F2063" s="26" t="str">
        <f>+_xlfn.XLOOKUP(G2063,Master!$V$2:$V$8,Master!$U$2:$U$8,"")</f>
        <v/>
      </c>
      <c r="I2063" s="4" t="str">
        <f>_xlfn.IFNA(VLOOKUP(D2063,Master!$I:$K,2,FALSE),"")</f>
        <v/>
      </c>
      <c r="J2063" s="4" t="str">
        <f>_xlfn.IFNA(VLOOKUP(D2063,Master!$I:$K,3,FALSE),"")</f>
        <v/>
      </c>
      <c r="L2063" s="27" t="str">
        <f>IF(A2063&lt;&gt;"CFA",_xlfn.IFNA(VLOOKUP($G2063,Master!$V$2:$Z$8,5,0),""),"")</f>
        <v/>
      </c>
      <c r="P2063" s="6" t="str">
        <f t="shared" si="64"/>
        <v/>
      </c>
      <c r="Q2063" s="13">
        <f t="shared" si="65"/>
        <v>0</v>
      </c>
    </row>
    <row r="2064" spans="2:17" ht="15" customHeight="1">
      <c r="B2064" s="5" t="str">
        <f>_xlfn.IFNA(VLOOKUP(C2064,Master!$H:$I,2,FALSE),"")</f>
        <v/>
      </c>
      <c r="D2064" s="5" t="str">
        <f>_xlfn.IFNA(VLOOKUP(E2064,Master!$H:$I,2,FALSE),"")</f>
        <v/>
      </c>
      <c r="F2064" s="26" t="str">
        <f>+_xlfn.XLOOKUP(G2064,Master!$V$2:$V$8,Master!$U$2:$U$8,"")</f>
        <v/>
      </c>
      <c r="I2064" s="4" t="str">
        <f>_xlfn.IFNA(VLOOKUP(D2064,Master!$I:$K,2,FALSE),"")</f>
        <v/>
      </c>
      <c r="J2064" s="4" t="str">
        <f>_xlfn.IFNA(VLOOKUP(D2064,Master!$I:$K,3,FALSE),"")</f>
        <v/>
      </c>
      <c r="L2064" s="27" t="str">
        <f>IF(A2064&lt;&gt;"CFA",_xlfn.IFNA(VLOOKUP($G2064,Master!$V$2:$Z$8,5,0),""),"")</f>
        <v/>
      </c>
      <c r="P2064" s="6" t="str">
        <f t="shared" si="64"/>
        <v/>
      </c>
      <c r="Q2064" s="13">
        <f t="shared" si="65"/>
        <v>0</v>
      </c>
    </row>
    <row r="2065" spans="2:17" ht="15" customHeight="1">
      <c r="B2065" s="5" t="str">
        <f>_xlfn.IFNA(VLOOKUP(C2065,Master!$H:$I,2,FALSE),"")</f>
        <v/>
      </c>
      <c r="D2065" s="5" t="str">
        <f>_xlfn.IFNA(VLOOKUP(E2065,Master!$H:$I,2,FALSE),"")</f>
        <v/>
      </c>
      <c r="F2065" s="26" t="str">
        <f>+_xlfn.XLOOKUP(G2065,Master!$V$2:$V$8,Master!$U$2:$U$8,"")</f>
        <v/>
      </c>
      <c r="I2065" s="4" t="str">
        <f>_xlfn.IFNA(VLOOKUP(D2065,Master!$I:$K,2,FALSE),"")</f>
        <v/>
      </c>
      <c r="J2065" s="4" t="str">
        <f>_xlfn.IFNA(VLOOKUP(D2065,Master!$I:$K,3,FALSE),"")</f>
        <v/>
      </c>
      <c r="L2065" s="27" t="str">
        <f>IF(A2065&lt;&gt;"CFA",_xlfn.IFNA(VLOOKUP($G2065,Master!$V$2:$Z$8,5,0),""),"")</f>
        <v/>
      </c>
      <c r="P2065" s="6" t="str">
        <f t="shared" si="64"/>
        <v/>
      </c>
      <c r="Q2065" s="13">
        <f t="shared" si="65"/>
        <v>0</v>
      </c>
    </row>
    <row r="2066" spans="2:17" ht="15" customHeight="1">
      <c r="B2066" s="5" t="str">
        <f>_xlfn.IFNA(VLOOKUP(C2066,Master!$H:$I,2,FALSE),"")</f>
        <v/>
      </c>
      <c r="D2066" s="5" t="str">
        <f>_xlfn.IFNA(VLOOKUP(E2066,Master!$H:$I,2,FALSE),"")</f>
        <v/>
      </c>
      <c r="F2066" s="26" t="str">
        <f>+_xlfn.XLOOKUP(G2066,Master!$V$2:$V$8,Master!$U$2:$U$8,"")</f>
        <v/>
      </c>
      <c r="I2066" s="4" t="str">
        <f>_xlfn.IFNA(VLOOKUP(D2066,Master!$I:$K,2,FALSE),"")</f>
        <v/>
      </c>
      <c r="J2066" s="4" t="str">
        <f>_xlfn.IFNA(VLOOKUP(D2066,Master!$I:$K,3,FALSE),"")</f>
        <v/>
      </c>
      <c r="L2066" s="27" t="str">
        <f>IF(A2066&lt;&gt;"CFA",_xlfn.IFNA(VLOOKUP($G2066,Master!$V$2:$Z$8,5,0),""),"")</f>
        <v/>
      </c>
      <c r="P2066" s="6" t="str">
        <f t="shared" si="64"/>
        <v/>
      </c>
      <c r="Q2066" s="13">
        <f t="shared" si="65"/>
        <v>0</v>
      </c>
    </row>
    <row r="2067" spans="2:17" ht="15" customHeight="1">
      <c r="B2067" s="5" t="str">
        <f>_xlfn.IFNA(VLOOKUP(C2067,Master!$H:$I,2,FALSE),"")</f>
        <v/>
      </c>
      <c r="D2067" s="5" t="str">
        <f>_xlfn.IFNA(VLOOKUP(E2067,Master!$H:$I,2,FALSE),"")</f>
        <v/>
      </c>
      <c r="F2067" s="26" t="str">
        <f>+_xlfn.XLOOKUP(G2067,Master!$V$2:$V$8,Master!$U$2:$U$8,"")</f>
        <v/>
      </c>
      <c r="I2067" s="4" t="str">
        <f>_xlfn.IFNA(VLOOKUP(D2067,Master!$I:$K,2,FALSE),"")</f>
        <v/>
      </c>
      <c r="J2067" s="4" t="str">
        <f>_xlfn.IFNA(VLOOKUP(D2067,Master!$I:$K,3,FALSE),"")</f>
        <v/>
      </c>
      <c r="L2067" s="27" t="str">
        <f>IF(A2067&lt;&gt;"CFA",_xlfn.IFNA(VLOOKUP($G2067,Master!$V$2:$Z$8,5,0),""),"")</f>
        <v/>
      </c>
      <c r="P2067" s="6" t="str">
        <f t="shared" si="64"/>
        <v/>
      </c>
      <c r="Q2067" s="13">
        <f t="shared" si="65"/>
        <v>0</v>
      </c>
    </row>
    <row r="2068" spans="2:17" ht="15" customHeight="1">
      <c r="B2068" s="5" t="str">
        <f>_xlfn.IFNA(VLOOKUP(C2068,Master!$H:$I,2,FALSE),"")</f>
        <v/>
      </c>
      <c r="D2068" s="5" t="str">
        <f>_xlfn.IFNA(VLOOKUP(E2068,Master!$H:$I,2,FALSE),"")</f>
        <v/>
      </c>
      <c r="F2068" s="26" t="str">
        <f>+_xlfn.XLOOKUP(G2068,Master!$V$2:$V$8,Master!$U$2:$U$8,"")</f>
        <v/>
      </c>
      <c r="I2068" s="4" t="str">
        <f>_xlfn.IFNA(VLOOKUP(D2068,Master!$I:$K,2,FALSE),"")</f>
        <v/>
      </c>
      <c r="J2068" s="4" t="str">
        <f>_xlfn.IFNA(VLOOKUP(D2068,Master!$I:$K,3,FALSE),"")</f>
        <v/>
      </c>
      <c r="L2068" s="27" t="str">
        <f>IF(A2068&lt;&gt;"CFA",_xlfn.IFNA(VLOOKUP($G2068,Master!$V$2:$Z$8,5,0),""),"")</f>
        <v/>
      </c>
      <c r="P2068" s="6" t="str">
        <f t="shared" si="64"/>
        <v/>
      </c>
      <c r="Q2068" s="13">
        <f t="shared" si="65"/>
        <v>0</v>
      </c>
    </row>
    <row r="2069" spans="2:17" ht="15" customHeight="1">
      <c r="B2069" s="5" t="str">
        <f>_xlfn.IFNA(VLOOKUP(C2069,Master!$H:$I,2,FALSE),"")</f>
        <v/>
      </c>
      <c r="D2069" s="5" t="str">
        <f>_xlfn.IFNA(VLOOKUP(E2069,Master!$H:$I,2,FALSE),"")</f>
        <v/>
      </c>
      <c r="F2069" s="26" t="str">
        <f>+_xlfn.XLOOKUP(G2069,Master!$V$2:$V$8,Master!$U$2:$U$8,"")</f>
        <v/>
      </c>
      <c r="I2069" s="4" t="str">
        <f>_xlfn.IFNA(VLOOKUP(D2069,Master!$I:$K,2,FALSE),"")</f>
        <v/>
      </c>
      <c r="J2069" s="4" t="str">
        <f>_xlfn.IFNA(VLOOKUP(D2069,Master!$I:$K,3,FALSE),"")</f>
        <v/>
      </c>
      <c r="L2069" s="27" t="str">
        <f>IF(A2069&lt;&gt;"CFA",_xlfn.IFNA(VLOOKUP($G2069,Master!$V$2:$Z$8,5,0),""),"")</f>
        <v/>
      </c>
      <c r="P2069" s="6" t="str">
        <f t="shared" si="64"/>
        <v/>
      </c>
      <c r="Q2069" s="13">
        <f t="shared" si="65"/>
        <v>0</v>
      </c>
    </row>
    <row r="2070" spans="2:17" ht="15" customHeight="1">
      <c r="B2070" s="5" t="str">
        <f>_xlfn.IFNA(VLOOKUP(C2070,Master!$H:$I,2,FALSE),"")</f>
        <v/>
      </c>
      <c r="D2070" s="5" t="str">
        <f>_xlfn.IFNA(VLOOKUP(E2070,Master!$H:$I,2,FALSE),"")</f>
        <v/>
      </c>
      <c r="F2070" s="26" t="str">
        <f>+_xlfn.XLOOKUP(G2070,Master!$V$2:$V$8,Master!$U$2:$U$8,"")</f>
        <v/>
      </c>
      <c r="I2070" s="4" t="str">
        <f>_xlfn.IFNA(VLOOKUP(D2070,Master!$I:$K,2,FALSE),"")</f>
        <v/>
      </c>
      <c r="J2070" s="4" t="str">
        <f>_xlfn.IFNA(VLOOKUP(D2070,Master!$I:$K,3,FALSE),"")</f>
        <v/>
      </c>
      <c r="L2070" s="27" t="str">
        <f>IF(A2070&lt;&gt;"CFA",_xlfn.IFNA(VLOOKUP($G2070,Master!$V$2:$Z$8,5,0),""),"")</f>
        <v/>
      </c>
      <c r="P2070" s="6" t="str">
        <f t="shared" si="64"/>
        <v/>
      </c>
      <c r="Q2070" s="13">
        <f t="shared" si="65"/>
        <v>0</v>
      </c>
    </row>
    <row r="2071" spans="2:17" ht="15" customHeight="1">
      <c r="B2071" s="5" t="str">
        <f>_xlfn.IFNA(VLOOKUP(C2071,Master!$H:$I,2,FALSE),"")</f>
        <v/>
      </c>
      <c r="D2071" s="5" t="str">
        <f>_xlfn.IFNA(VLOOKUP(E2071,Master!$H:$I,2,FALSE),"")</f>
        <v/>
      </c>
      <c r="F2071" s="26" t="str">
        <f>+_xlfn.XLOOKUP(G2071,Master!$V$2:$V$8,Master!$U$2:$U$8,"")</f>
        <v/>
      </c>
      <c r="I2071" s="4" t="str">
        <f>_xlfn.IFNA(VLOOKUP(D2071,Master!$I:$K,2,FALSE),"")</f>
        <v/>
      </c>
      <c r="J2071" s="4" t="str">
        <f>_xlfn.IFNA(VLOOKUP(D2071,Master!$I:$K,3,FALSE),"")</f>
        <v/>
      </c>
      <c r="L2071" s="27" t="str">
        <f>IF(A2071&lt;&gt;"CFA",_xlfn.IFNA(VLOOKUP($G2071,Master!$V$2:$Z$8,5,0),""),"")</f>
        <v/>
      </c>
      <c r="P2071" s="6" t="str">
        <f t="shared" si="64"/>
        <v/>
      </c>
      <c r="Q2071" s="13">
        <f t="shared" si="65"/>
        <v>0</v>
      </c>
    </row>
    <row r="2072" spans="2:17" ht="15" customHeight="1">
      <c r="B2072" s="5" t="str">
        <f>_xlfn.IFNA(VLOOKUP(C2072,Master!$H:$I,2,FALSE),"")</f>
        <v/>
      </c>
      <c r="D2072" s="5" t="str">
        <f>_xlfn.IFNA(VLOOKUP(E2072,Master!$H:$I,2,FALSE),"")</f>
        <v/>
      </c>
      <c r="F2072" s="26" t="str">
        <f>+_xlfn.XLOOKUP(G2072,Master!$V$2:$V$8,Master!$U$2:$U$8,"")</f>
        <v/>
      </c>
      <c r="I2072" s="4" t="str">
        <f>_xlfn.IFNA(VLOOKUP(D2072,Master!$I:$K,2,FALSE),"")</f>
        <v/>
      </c>
      <c r="J2072" s="4" t="str">
        <f>_xlfn.IFNA(VLOOKUP(D2072,Master!$I:$K,3,FALSE),"")</f>
        <v/>
      </c>
      <c r="L2072" s="27" t="str">
        <f>IF(A2072&lt;&gt;"CFA",_xlfn.IFNA(VLOOKUP($G2072,Master!$V$2:$Z$8,5,0),""),"")</f>
        <v/>
      </c>
      <c r="P2072" s="6" t="str">
        <f t="shared" si="64"/>
        <v/>
      </c>
      <c r="Q2072" s="13">
        <f t="shared" si="65"/>
        <v>0</v>
      </c>
    </row>
    <row r="2073" spans="2:17" ht="15" customHeight="1">
      <c r="B2073" s="5" t="str">
        <f>_xlfn.IFNA(VLOOKUP(C2073,Master!$H:$I,2,FALSE),"")</f>
        <v/>
      </c>
      <c r="D2073" s="5" t="str">
        <f>_xlfn.IFNA(VLOOKUP(E2073,Master!$H:$I,2,FALSE),"")</f>
        <v/>
      </c>
      <c r="F2073" s="26" t="str">
        <f>+_xlfn.XLOOKUP(G2073,Master!$V$2:$V$8,Master!$U$2:$U$8,"")</f>
        <v/>
      </c>
      <c r="I2073" s="4" t="str">
        <f>_xlfn.IFNA(VLOOKUP(D2073,Master!$I:$K,2,FALSE),"")</f>
        <v/>
      </c>
      <c r="J2073" s="4" t="str">
        <f>_xlfn.IFNA(VLOOKUP(D2073,Master!$I:$K,3,FALSE),"")</f>
        <v/>
      </c>
      <c r="L2073" s="27" t="str">
        <f>IF(A2073&lt;&gt;"CFA",_xlfn.IFNA(VLOOKUP($G2073,Master!$V$2:$Z$8,5,0),""),"")</f>
        <v/>
      </c>
      <c r="P2073" s="6" t="str">
        <f t="shared" si="64"/>
        <v/>
      </c>
      <c r="Q2073" s="13">
        <f t="shared" si="65"/>
        <v>0</v>
      </c>
    </row>
    <row r="2074" spans="2:17" ht="15" customHeight="1">
      <c r="B2074" s="5" t="str">
        <f>_xlfn.IFNA(VLOOKUP(C2074,Master!$H:$I,2,FALSE),"")</f>
        <v/>
      </c>
      <c r="D2074" s="5" t="str">
        <f>_xlfn.IFNA(VLOOKUP(E2074,Master!$H:$I,2,FALSE),"")</f>
        <v/>
      </c>
      <c r="F2074" s="26" t="str">
        <f>+_xlfn.XLOOKUP(G2074,Master!$V$2:$V$8,Master!$U$2:$U$8,"")</f>
        <v/>
      </c>
      <c r="I2074" s="4" t="str">
        <f>_xlfn.IFNA(VLOOKUP(D2074,Master!$I:$K,2,FALSE),"")</f>
        <v/>
      </c>
      <c r="J2074" s="4" t="str">
        <f>_xlfn.IFNA(VLOOKUP(D2074,Master!$I:$K,3,FALSE),"")</f>
        <v/>
      </c>
      <c r="L2074" s="27" t="str">
        <f>IF(A2074&lt;&gt;"CFA",_xlfn.IFNA(VLOOKUP($G2074,Master!$V$2:$Z$8,5,0),""),"")</f>
        <v/>
      </c>
      <c r="P2074" s="6" t="str">
        <f t="shared" si="64"/>
        <v/>
      </c>
      <c r="Q2074" s="13">
        <f t="shared" si="65"/>
        <v>0</v>
      </c>
    </row>
    <row r="2075" spans="2:17" ht="15" customHeight="1">
      <c r="B2075" s="5" t="str">
        <f>_xlfn.IFNA(VLOOKUP(C2075,Master!$H:$I,2,FALSE),"")</f>
        <v/>
      </c>
      <c r="D2075" s="5" t="str">
        <f>_xlfn.IFNA(VLOOKUP(E2075,Master!$H:$I,2,FALSE),"")</f>
        <v/>
      </c>
      <c r="F2075" s="26" t="str">
        <f>+_xlfn.XLOOKUP(G2075,Master!$V$2:$V$8,Master!$U$2:$U$8,"")</f>
        <v/>
      </c>
      <c r="I2075" s="4" t="str">
        <f>_xlfn.IFNA(VLOOKUP(D2075,Master!$I:$K,2,FALSE),"")</f>
        <v/>
      </c>
      <c r="J2075" s="4" t="str">
        <f>_xlfn.IFNA(VLOOKUP(D2075,Master!$I:$K,3,FALSE),"")</f>
        <v/>
      </c>
      <c r="L2075" s="27" t="str">
        <f>IF(A2075&lt;&gt;"CFA",_xlfn.IFNA(VLOOKUP($G2075,Master!$V$2:$Z$8,5,0),""),"")</f>
        <v/>
      </c>
      <c r="P2075" s="6" t="str">
        <f t="shared" si="64"/>
        <v/>
      </c>
      <c r="Q2075" s="13">
        <f t="shared" si="65"/>
        <v>0</v>
      </c>
    </row>
    <row r="2076" spans="2:17" ht="15" customHeight="1">
      <c r="B2076" s="5" t="str">
        <f>_xlfn.IFNA(VLOOKUP(C2076,Master!$H:$I,2,FALSE),"")</f>
        <v/>
      </c>
      <c r="D2076" s="5" t="str">
        <f>_xlfn.IFNA(VLOOKUP(E2076,Master!$H:$I,2,FALSE),"")</f>
        <v/>
      </c>
      <c r="F2076" s="26" t="str">
        <f>+_xlfn.XLOOKUP(G2076,Master!$V$2:$V$8,Master!$U$2:$U$8,"")</f>
        <v/>
      </c>
      <c r="I2076" s="4" t="str">
        <f>_xlfn.IFNA(VLOOKUP(D2076,Master!$I:$K,2,FALSE),"")</f>
        <v/>
      </c>
      <c r="J2076" s="4" t="str">
        <f>_xlfn.IFNA(VLOOKUP(D2076,Master!$I:$K,3,FALSE),"")</f>
        <v/>
      </c>
      <c r="L2076" s="27" t="str">
        <f>IF(A2076&lt;&gt;"CFA",_xlfn.IFNA(VLOOKUP($G2076,Master!$V$2:$Z$8,5,0),""),"")</f>
        <v/>
      </c>
      <c r="P2076" s="6" t="str">
        <f t="shared" si="64"/>
        <v/>
      </c>
      <c r="Q2076" s="13">
        <f t="shared" si="65"/>
        <v>0</v>
      </c>
    </row>
    <row r="2077" spans="2:17" ht="15" customHeight="1">
      <c r="B2077" s="5" t="str">
        <f>_xlfn.IFNA(VLOOKUP(C2077,Master!$H:$I,2,FALSE),"")</f>
        <v/>
      </c>
      <c r="D2077" s="5" t="str">
        <f>_xlfn.IFNA(VLOOKUP(E2077,Master!$H:$I,2,FALSE),"")</f>
        <v/>
      </c>
      <c r="F2077" s="26" t="str">
        <f>+_xlfn.XLOOKUP(G2077,Master!$V$2:$V$8,Master!$U$2:$U$8,"")</f>
        <v/>
      </c>
      <c r="I2077" s="4" t="str">
        <f>_xlfn.IFNA(VLOOKUP(D2077,Master!$I:$K,2,FALSE),"")</f>
        <v/>
      </c>
      <c r="J2077" s="4" t="str">
        <f>_xlfn.IFNA(VLOOKUP(D2077,Master!$I:$K,3,FALSE),"")</f>
        <v/>
      </c>
      <c r="L2077" s="27" t="str">
        <f>IF(A2077&lt;&gt;"CFA",_xlfn.IFNA(VLOOKUP($G2077,Master!$V$2:$Z$8,5,0),""),"")</f>
        <v/>
      </c>
      <c r="P2077" s="6" t="str">
        <f t="shared" si="64"/>
        <v/>
      </c>
      <c r="Q2077" s="13">
        <f t="shared" si="65"/>
        <v>0</v>
      </c>
    </row>
    <row r="2078" spans="2:17" ht="15" customHeight="1">
      <c r="B2078" s="5" t="str">
        <f>_xlfn.IFNA(VLOOKUP(C2078,Master!$H:$I,2,FALSE),"")</f>
        <v/>
      </c>
      <c r="D2078" s="5" t="str">
        <f>_xlfn.IFNA(VLOOKUP(E2078,Master!$H:$I,2,FALSE),"")</f>
        <v/>
      </c>
      <c r="F2078" s="26" t="str">
        <f>+_xlfn.XLOOKUP(G2078,Master!$V$2:$V$8,Master!$U$2:$U$8,"")</f>
        <v/>
      </c>
      <c r="I2078" s="4" t="str">
        <f>_xlfn.IFNA(VLOOKUP(D2078,Master!$I:$K,2,FALSE),"")</f>
        <v/>
      </c>
      <c r="J2078" s="4" t="str">
        <f>_xlfn.IFNA(VLOOKUP(D2078,Master!$I:$K,3,FALSE),"")</f>
        <v/>
      </c>
      <c r="L2078" s="27" t="str">
        <f>IF(A2078&lt;&gt;"CFA",_xlfn.IFNA(VLOOKUP($G2078,Master!$V$2:$Z$8,5,0),""),"")</f>
        <v/>
      </c>
      <c r="P2078" s="6" t="str">
        <f t="shared" si="64"/>
        <v/>
      </c>
      <c r="Q2078" s="13">
        <f t="shared" si="65"/>
        <v>0</v>
      </c>
    </row>
    <row r="2079" spans="2:17" ht="15" customHeight="1">
      <c r="B2079" s="5" t="str">
        <f>_xlfn.IFNA(VLOOKUP(C2079,Master!$H:$I,2,FALSE),"")</f>
        <v/>
      </c>
      <c r="D2079" s="5" t="str">
        <f>_xlfn.IFNA(VLOOKUP(E2079,Master!$H:$I,2,FALSE),"")</f>
        <v/>
      </c>
      <c r="F2079" s="26" t="str">
        <f>+_xlfn.XLOOKUP(G2079,Master!$V$2:$V$8,Master!$U$2:$U$8,"")</f>
        <v/>
      </c>
      <c r="I2079" s="4" t="str">
        <f>_xlfn.IFNA(VLOOKUP(D2079,Master!$I:$K,2,FALSE),"")</f>
        <v/>
      </c>
      <c r="J2079" s="4" t="str">
        <f>_xlfn.IFNA(VLOOKUP(D2079,Master!$I:$K,3,FALSE),"")</f>
        <v/>
      </c>
      <c r="L2079" s="27" t="str">
        <f>IF(A2079&lt;&gt;"CFA",_xlfn.IFNA(VLOOKUP($G2079,Master!$V$2:$Z$8,5,0),""),"")</f>
        <v/>
      </c>
      <c r="P2079" s="6" t="str">
        <f t="shared" si="64"/>
        <v/>
      </c>
      <c r="Q2079" s="13">
        <f t="shared" si="65"/>
        <v>0</v>
      </c>
    </row>
    <row r="2080" spans="2:17" ht="15" customHeight="1">
      <c r="B2080" s="5" t="str">
        <f>_xlfn.IFNA(VLOOKUP(C2080,Master!$H:$I,2,FALSE),"")</f>
        <v/>
      </c>
      <c r="D2080" s="5" t="str">
        <f>_xlfn.IFNA(VLOOKUP(E2080,Master!$H:$I,2,FALSE),"")</f>
        <v/>
      </c>
      <c r="F2080" s="26" t="str">
        <f>+_xlfn.XLOOKUP(G2080,Master!$V$2:$V$8,Master!$U$2:$U$8,"")</f>
        <v/>
      </c>
      <c r="I2080" s="4" t="str">
        <f>_xlfn.IFNA(VLOOKUP(D2080,Master!$I:$K,2,FALSE),"")</f>
        <v/>
      </c>
      <c r="J2080" s="4" t="str">
        <f>_xlfn.IFNA(VLOOKUP(D2080,Master!$I:$K,3,FALSE),"")</f>
        <v/>
      </c>
      <c r="L2080" s="27" t="str">
        <f>IF(A2080&lt;&gt;"CFA",_xlfn.IFNA(VLOOKUP($G2080,Master!$V$2:$Z$8,5,0),""),"")</f>
        <v/>
      </c>
      <c r="P2080" s="6" t="str">
        <f t="shared" si="64"/>
        <v/>
      </c>
      <c r="Q2080" s="13">
        <f t="shared" si="65"/>
        <v>0</v>
      </c>
    </row>
    <row r="2081" spans="2:17" ht="15" customHeight="1">
      <c r="B2081" s="5" t="str">
        <f>_xlfn.IFNA(VLOOKUP(C2081,Master!$H:$I,2,FALSE),"")</f>
        <v/>
      </c>
      <c r="D2081" s="5" t="str">
        <f>_xlfn.IFNA(VLOOKUP(E2081,Master!$H:$I,2,FALSE),"")</f>
        <v/>
      </c>
      <c r="F2081" s="26" t="str">
        <f>+_xlfn.XLOOKUP(G2081,Master!$V$2:$V$8,Master!$U$2:$U$8,"")</f>
        <v/>
      </c>
      <c r="I2081" s="4" t="str">
        <f>_xlfn.IFNA(VLOOKUP(D2081,Master!$I:$K,2,FALSE),"")</f>
        <v/>
      </c>
      <c r="J2081" s="4" t="str">
        <f>_xlfn.IFNA(VLOOKUP(D2081,Master!$I:$K,3,FALSE),"")</f>
        <v/>
      </c>
      <c r="L2081" s="27" t="str">
        <f>IF(A2081&lt;&gt;"CFA",_xlfn.IFNA(VLOOKUP($G2081,Master!$V$2:$Z$8,5,0),""),"")</f>
        <v/>
      </c>
      <c r="P2081" s="6" t="str">
        <f t="shared" si="64"/>
        <v/>
      </c>
      <c r="Q2081" s="13">
        <f t="shared" si="65"/>
        <v>0</v>
      </c>
    </row>
    <row r="2082" spans="2:17" ht="15" customHeight="1">
      <c r="B2082" s="5" t="str">
        <f>_xlfn.IFNA(VLOOKUP(C2082,Master!$H:$I,2,FALSE),"")</f>
        <v/>
      </c>
      <c r="D2082" s="5" t="str">
        <f>_xlfn.IFNA(VLOOKUP(E2082,Master!$H:$I,2,FALSE),"")</f>
        <v/>
      </c>
      <c r="F2082" s="26" t="str">
        <f>+_xlfn.XLOOKUP(G2082,Master!$V$2:$V$8,Master!$U$2:$U$8,"")</f>
        <v/>
      </c>
      <c r="I2082" s="4" t="str">
        <f>_xlfn.IFNA(VLOOKUP(D2082,Master!$I:$K,2,FALSE),"")</f>
        <v/>
      </c>
      <c r="J2082" s="4" t="str">
        <f>_xlfn.IFNA(VLOOKUP(D2082,Master!$I:$K,3,FALSE),"")</f>
        <v/>
      </c>
      <c r="L2082" s="27" t="str">
        <f>IF(A2082&lt;&gt;"CFA",_xlfn.IFNA(VLOOKUP($G2082,Master!$V$2:$Z$8,5,0),""),"")</f>
        <v/>
      </c>
      <c r="P2082" s="6" t="str">
        <f t="shared" si="64"/>
        <v/>
      </c>
      <c r="Q2082" s="13">
        <f t="shared" si="65"/>
        <v>0</v>
      </c>
    </row>
    <row r="2083" spans="2:17" ht="15" customHeight="1">
      <c r="B2083" s="5" t="str">
        <f>_xlfn.IFNA(VLOOKUP(C2083,Master!$H:$I,2,FALSE),"")</f>
        <v/>
      </c>
      <c r="D2083" s="5" t="str">
        <f>_xlfn.IFNA(VLOOKUP(E2083,Master!$H:$I,2,FALSE),"")</f>
        <v/>
      </c>
      <c r="F2083" s="26" t="str">
        <f>+_xlfn.XLOOKUP(G2083,Master!$V$2:$V$8,Master!$U$2:$U$8,"")</f>
        <v/>
      </c>
      <c r="I2083" s="4" t="str">
        <f>_xlfn.IFNA(VLOOKUP(D2083,Master!$I:$K,2,FALSE),"")</f>
        <v/>
      </c>
      <c r="J2083" s="4" t="str">
        <f>_xlfn.IFNA(VLOOKUP(D2083,Master!$I:$K,3,FALSE),"")</f>
        <v/>
      </c>
      <c r="L2083" s="27" t="str">
        <f>IF(A2083&lt;&gt;"CFA",_xlfn.IFNA(VLOOKUP($G2083,Master!$V$2:$Z$8,5,0),""),"")</f>
        <v/>
      </c>
      <c r="P2083" s="6" t="str">
        <f t="shared" si="64"/>
        <v/>
      </c>
      <c r="Q2083" s="13">
        <f t="shared" si="65"/>
        <v>0</v>
      </c>
    </row>
    <row r="2084" spans="2:17" ht="15" customHeight="1">
      <c r="B2084" s="5" t="str">
        <f>_xlfn.IFNA(VLOOKUP(C2084,Master!$H:$I,2,FALSE),"")</f>
        <v/>
      </c>
      <c r="D2084" s="5" t="str">
        <f>_xlfn.IFNA(VLOOKUP(E2084,Master!$H:$I,2,FALSE),"")</f>
        <v/>
      </c>
      <c r="F2084" s="26" t="str">
        <f>+_xlfn.XLOOKUP(G2084,Master!$V$2:$V$8,Master!$U$2:$U$8,"")</f>
        <v/>
      </c>
      <c r="I2084" s="4" t="str">
        <f>_xlfn.IFNA(VLOOKUP(D2084,Master!$I:$K,2,FALSE),"")</f>
        <v/>
      </c>
      <c r="J2084" s="4" t="str">
        <f>_xlfn.IFNA(VLOOKUP(D2084,Master!$I:$K,3,FALSE),"")</f>
        <v/>
      </c>
      <c r="L2084" s="27" t="str">
        <f>IF(A2084&lt;&gt;"CFA",_xlfn.IFNA(VLOOKUP($G2084,Master!$V$2:$Z$8,5,0),""),"")</f>
        <v/>
      </c>
      <c r="P2084" s="6" t="str">
        <f t="shared" si="64"/>
        <v/>
      </c>
      <c r="Q2084" s="13">
        <f t="shared" si="65"/>
        <v>0</v>
      </c>
    </row>
    <row r="2085" spans="2:17" ht="15" customHeight="1">
      <c r="B2085" s="5" t="str">
        <f>_xlfn.IFNA(VLOOKUP(C2085,Master!$H:$I,2,FALSE),"")</f>
        <v/>
      </c>
      <c r="D2085" s="5" t="str">
        <f>_xlfn.IFNA(VLOOKUP(E2085,Master!$H:$I,2,FALSE),"")</f>
        <v/>
      </c>
      <c r="F2085" s="26" t="str">
        <f>+_xlfn.XLOOKUP(G2085,Master!$V$2:$V$8,Master!$U$2:$U$8,"")</f>
        <v/>
      </c>
      <c r="I2085" s="4" t="str">
        <f>_xlfn.IFNA(VLOOKUP(D2085,Master!$I:$K,2,FALSE),"")</f>
        <v/>
      </c>
      <c r="J2085" s="4" t="str">
        <f>_xlfn.IFNA(VLOOKUP(D2085,Master!$I:$K,3,FALSE),"")</f>
        <v/>
      </c>
      <c r="L2085" s="27" t="str">
        <f>IF(A2085&lt;&gt;"CFA",_xlfn.IFNA(VLOOKUP($G2085,Master!$V$2:$Z$8,5,0),""),"")</f>
        <v/>
      </c>
      <c r="P2085" s="6" t="str">
        <f t="shared" si="64"/>
        <v/>
      </c>
      <c r="Q2085" s="13">
        <f t="shared" si="65"/>
        <v>0</v>
      </c>
    </row>
    <row r="2086" spans="2:17" ht="15" customHeight="1">
      <c r="B2086" s="5" t="str">
        <f>_xlfn.IFNA(VLOOKUP(C2086,Master!$H:$I,2,FALSE),"")</f>
        <v/>
      </c>
      <c r="D2086" s="5" t="str">
        <f>_xlfn.IFNA(VLOOKUP(E2086,Master!$H:$I,2,FALSE),"")</f>
        <v/>
      </c>
      <c r="F2086" s="26" t="str">
        <f>+_xlfn.XLOOKUP(G2086,Master!$V$2:$V$8,Master!$U$2:$U$8,"")</f>
        <v/>
      </c>
      <c r="I2086" s="4" t="str">
        <f>_xlfn.IFNA(VLOOKUP(D2086,Master!$I:$K,2,FALSE),"")</f>
        <v/>
      </c>
      <c r="J2086" s="4" t="str">
        <f>_xlfn.IFNA(VLOOKUP(D2086,Master!$I:$K,3,FALSE),"")</f>
        <v/>
      </c>
      <c r="L2086" s="27" t="str">
        <f>IF(A2086&lt;&gt;"CFA",_xlfn.IFNA(VLOOKUP($G2086,Master!$V$2:$Z$8,5,0),""),"")</f>
        <v/>
      </c>
      <c r="P2086" s="6" t="str">
        <f t="shared" si="64"/>
        <v/>
      </c>
      <c r="Q2086" s="13">
        <f t="shared" si="65"/>
        <v>0</v>
      </c>
    </row>
    <row r="2087" spans="2:17" ht="15" customHeight="1">
      <c r="B2087" s="5" t="str">
        <f>_xlfn.IFNA(VLOOKUP(C2087,Master!$H:$I,2,FALSE),"")</f>
        <v/>
      </c>
      <c r="D2087" s="5" t="str">
        <f>_xlfn.IFNA(VLOOKUP(E2087,Master!$H:$I,2,FALSE),"")</f>
        <v/>
      </c>
      <c r="F2087" s="26" t="str">
        <f>+_xlfn.XLOOKUP(G2087,Master!$V$2:$V$8,Master!$U$2:$U$8,"")</f>
        <v/>
      </c>
      <c r="I2087" s="4" t="str">
        <f>_xlfn.IFNA(VLOOKUP(D2087,Master!$I:$K,2,FALSE),"")</f>
        <v/>
      </c>
      <c r="J2087" s="4" t="str">
        <f>_xlfn.IFNA(VLOOKUP(D2087,Master!$I:$K,3,FALSE),"")</f>
        <v/>
      </c>
      <c r="L2087" s="27" t="str">
        <f>IF(A2087&lt;&gt;"CFA",_xlfn.IFNA(VLOOKUP($G2087,Master!$V$2:$Z$8,5,0),""),"")</f>
        <v/>
      </c>
      <c r="P2087" s="6" t="str">
        <f t="shared" si="64"/>
        <v/>
      </c>
      <c r="Q2087" s="13">
        <f t="shared" si="65"/>
        <v>0</v>
      </c>
    </row>
    <row r="2088" spans="2:17" ht="15" customHeight="1">
      <c r="B2088" s="5" t="str">
        <f>_xlfn.IFNA(VLOOKUP(C2088,Master!$H:$I,2,FALSE),"")</f>
        <v/>
      </c>
      <c r="D2088" s="5" t="str">
        <f>_xlfn.IFNA(VLOOKUP(E2088,Master!$H:$I,2,FALSE),"")</f>
        <v/>
      </c>
      <c r="F2088" s="26" t="str">
        <f>+_xlfn.XLOOKUP(G2088,Master!$V$2:$V$8,Master!$U$2:$U$8,"")</f>
        <v/>
      </c>
      <c r="I2088" s="4" t="str">
        <f>_xlfn.IFNA(VLOOKUP(D2088,Master!$I:$K,2,FALSE),"")</f>
        <v/>
      </c>
      <c r="J2088" s="4" t="str">
        <f>_xlfn.IFNA(VLOOKUP(D2088,Master!$I:$K,3,FALSE),"")</f>
        <v/>
      </c>
      <c r="L2088" s="27" t="str">
        <f>IF(A2088&lt;&gt;"CFA",_xlfn.IFNA(VLOOKUP($G2088,Master!$V$2:$Z$8,5,0),""),"")</f>
        <v/>
      </c>
      <c r="P2088" s="6" t="str">
        <f t="shared" si="64"/>
        <v/>
      </c>
      <c r="Q2088" s="13">
        <f t="shared" si="65"/>
        <v>0</v>
      </c>
    </row>
    <row r="2089" spans="2:17" ht="15" customHeight="1">
      <c r="B2089" s="5" t="str">
        <f>_xlfn.IFNA(VLOOKUP(C2089,Master!$H:$I,2,FALSE),"")</f>
        <v/>
      </c>
      <c r="D2089" s="5" t="str">
        <f>_xlfn.IFNA(VLOOKUP(E2089,Master!$H:$I,2,FALSE),"")</f>
        <v/>
      </c>
      <c r="F2089" s="26" t="str">
        <f>+_xlfn.XLOOKUP(G2089,Master!$V$2:$V$8,Master!$U$2:$U$8,"")</f>
        <v/>
      </c>
      <c r="I2089" s="4" t="str">
        <f>_xlfn.IFNA(VLOOKUP(D2089,Master!$I:$K,2,FALSE),"")</f>
        <v/>
      </c>
      <c r="J2089" s="4" t="str">
        <f>_xlfn.IFNA(VLOOKUP(D2089,Master!$I:$K,3,FALSE),"")</f>
        <v/>
      </c>
      <c r="L2089" s="27" t="str">
        <f>IF(A2089&lt;&gt;"CFA",_xlfn.IFNA(VLOOKUP($G2089,Master!$V$2:$Z$8,5,0),""),"")</f>
        <v/>
      </c>
      <c r="P2089" s="6" t="str">
        <f t="shared" si="64"/>
        <v/>
      </c>
      <c r="Q2089" s="13">
        <f t="shared" si="65"/>
        <v>0</v>
      </c>
    </row>
    <row r="2090" spans="2:17" ht="15" customHeight="1">
      <c r="B2090" s="5" t="str">
        <f>_xlfn.IFNA(VLOOKUP(C2090,Master!$H:$I,2,FALSE),"")</f>
        <v/>
      </c>
      <c r="D2090" s="5" t="str">
        <f>_xlfn.IFNA(VLOOKUP(E2090,Master!$H:$I,2,FALSE),"")</f>
        <v/>
      </c>
      <c r="F2090" s="26" t="str">
        <f>+_xlfn.XLOOKUP(G2090,Master!$V$2:$V$8,Master!$U$2:$U$8,"")</f>
        <v/>
      </c>
      <c r="I2090" s="4" t="str">
        <f>_xlfn.IFNA(VLOOKUP(D2090,Master!$I:$K,2,FALSE),"")</f>
        <v/>
      </c>
      <c r="J2090" s="4" t="str">
        <f>_xlfn.IFNA(VLOOKUP(D2090,Master!$I:$K,3,FALSE),"")</f>
        <v/>
      </c>
      <c r="L2090" s="27" t="str">
        <f>IF(A2090&lt;&gt;"CFA",_xlfn.IFNA(VLOOKUP($G2090,Master!$V$2:$Z$8,5,0),""),"")</f>
        <v/>
      </c>
      <c r="P2090" s="6" t="str">
        <f t="shared" si="64"/>
        <v/>
      </c>
      <c r="Q2090" s="13">
        <f t="shared" si="65"/>
        <v>0</v>
      </c>
    </row>
    <row r="2091" spans="2:17" ht="15" customHeight="1">
      <c r="B2091" s="5" t="str">
        <f>_xlfn.IFNA(VLOOKUP(C2091,Master!$H:$I,2,FALSE),"")</f>
        <v/>
      </c>
      <c r="D2091" s="5" t="str">
        <f>_xlfn.IFNA(VLOOKUP(E2091,Master!$H:$I,2,FALSE),"")</f>
        <v/>
      </c>
      <c r="F2091" s="26" t="str">
        <f>+_xlfn.XLOOKUP(G2091,Master!$V$2:$V$8,Master!$U$2:$U$8,"")</f>
        <v/>
      </c>
      <c r="I2091" s="4" t="str">
        <f>_xlfn.IFNA(VLOOKUP(D2091,Master!$I:$K,2,FALSE),"")</f>
        <v/>
      </c>
      <c r="J2091" s="4" t="str">
        <f>_xlfn.IFNA(VLOOKUP(D2091,Master!$I:$K,3,FALSE),"")</f>
        <v/>
      </c>
      <c r="L2091" s="27" t="str">
        <f>IF(A2091&lt;&gt;"CFA",_xlfn.IFNA(VLOOKUP($G2091,Master!$V$2:$Z$8,5,0),""),"")</f>
        <v/>
      </c>
      <c r="P2091" s="6" t="str">
        <f t="shared" si="64"/>
        <v/>
      </c>
      <c r="Q2091" s="13">
        <f t="shared" si="65"/>
        <v>0</v>
      </c>
    </row>
    <row r="2092" spans="2:17" ht="15" customHeight="1">
      <c r="B2092" s="5" t="str">
        <f>_xlfn.IFNA(VLOOKUP(C2092,Master!$H:$I,2,FALSE),"")</f>
        <v/>
      </c>
      <c r="D2092" s="5" t="str">
        <f>_xlfn.IFNA(VLOOKUP(E2092,Master!$H:$I,2,FALSE),"")</f>
        <v/>
      </c>
      <c r="F2092" s="26" t="str">
        <f>+_xlfn.XLOOKUP(G2092,Master!$V$2:$V$8,Master!$U$2:$U$8,"")</f>
        <v/>
      </c>
      <c r="I2092" s="4" t="str">
        <f>_xlfn.IFNA(VLOOKUP(D2092,Master!$I:$K,2,FALSE),"")</f>
        <v/>
      </c>
      <c r="J2092" s="4" t="str">
        <f>_xlfn.IFNA(VLOOKUP(D2092,Master!$I:$K,3,FALSE),"")</f>
        <v/>
      </c>
      <c r="L2092" s="27" t="str">
        <f>IF(A2092&lt;&gt;"CFA",_xlfn.IFNA(VLOOKUP($G2092,Master!$V$2:$Z$8,5,0),""),"")</f>
        <v/>
      </c>
      <c r="P2092" s="6" t="str">
        <f t="shared" si="64"/>
        <v/>
      </c>
      <c r="Q2092" s="13">
        <f t="shared" si="65"/>
        <v>0</v>
      </c>
    </row>
    <row r="2093" spans="2:17" ht="15" customHeight="1">
      <c r="B2093" s="5" t="str">
        <f>_xlfn.IFNA(VLOOKUP(C2093,Master!$H:$I,2,FALSE),"")</f>
        <v/>
      </c>
      <c r="D2093" s="5" t="str">
        <f>_xlfn.IFNA(VLOOKUP(E2093,Master!$H:$I,2,FALSE),"")</f>
        <v/>
      </c>
      <c r="F2093" s="26" t="str">
        <f>+_xlfn.XLOOKUP(G2093,Master!$V$2:$V$8,Master!$U$2:$U$8,"")</f>
        <v/>
      </c>
      <c r="I2093" s="4" t="str">
        <f>_xlfn.IFNA(VLOOKUP(D2093,Master!$I:$K,2,FALSE),"")</f>
        <v/>
      </c>
      <c r="J2093" s="4" t="str">
        <f>_xlfn.IFNA(VLOOKUP(D2093,Master!$I:$K,3,FALSE),"")</f>
        <v/>
      </c>
      <c r="L2093" s="27" t="str">
        <f>IF(A2093&lt;&gt;"CFA",_xlfn.IFNA(VLOOKUP($G2093,Master!$V$2:$Z$8,5,0),""),"")</f>
        <v/>
      </c>
      <c r="P2093" s="6" t="str">
        <f t="shared" si="64"/>
        <v/>
      </c>
      <c r="Q2093" s="13">
        <f t="shared" si="65"/>
        <v>0</v>
      </c>
    </row>
    <row r="2094" spans="2:17" ht="15" customHeight="1">
      <c r="B2094" s="5" t="str">
        <f>_xlfn.IFNA(VLOOKUP(C2094,Master!$H:$I,2,FALSE),"")</f>
        <v/>
      </c>
      <c r="D2094" s="5" t="str">
        <f>_xlfn.IFNA(VLOOKUP(E2094,Master!$H:$I,2,FALSE),"")</f>
        <v/>
      </c>
      <c r="F2094" s="26" t="str">
        <f>+_xlfn.XLOOKUP(G2094,Master!$V$2:$V$8,Master!$U$2:$U$8,"")</f>
        <v/>
      </c>
      <c r="I2094" s="4" t="str">
        <f>_xlfn.IFNA(VLOOKUP(D2094,Master!$I:$K,2,FALSE),"")</f>
        <v/>
      </c>
      <c r="J2094" s="4" t="str">
        <f>_xlfn.IFNA(VLOOKUP(D2094,Master!$I:$K,3,FALSE),"")</f>
        <v/>
      </c>
      <c r="L2094" s="27" t="str">
        <f>IF(A2094&lt;&gt;"CFA",_xlfn.IFNA(VLOOKUP($G2094,Master!$V$2:$Z$8,5,0),""),"")</f>
        <v/>
      </c>
      <c r="P2094" s="6" t="str">
        <f t="shared" si="64"/>
        <v/>
      </c>
      <c r="Q2094" s="13">
        <f t="shared" si="65"/>
        <v>0</v>
      </c>
    </row>
    <row r="2095" spans="2:17" ht="15" customHeight="1">
      <c r="B2095" s="5" t="str">
        <f>_xlfn.IFNA(VLOOKUP(C2095,Master!$H:$I,2,FALSE),"")</f>
        <v/>
      </c>
      <c r="D2095" s="5" t="str">
        <f>_xlfn.IFNA(VLOOKUP(E2095,Master!$H:$I,2,FALSE),"")</f>
        <v/>
      </c>
      <c r="F2095" s="26" t="str">
        <f>+_xlfn.XLOOKUP(G2095,Master!$V$2:$V$8,Master!$U$2:$U$8,"")</f>
        <v/>
      </c>
      <c r="I2095" s="4" t="str">
        <f>_xlfn.IFNA(VLOOKUP(D2095,Master!$I:$K,2,FALSE),"")</f>
        <v/>
      </c>
      <c r="J2095" s="4" t="str">
        <f>_xlfn.IFNA(VLOOKUP(D2095,Master!$I:$K,3,FALSE),"")</f>
        <v/>
      </c>
      <c r="L2095" s="27" t="str">
        <f>IF(A2095&lt;&gt;"CFA",_xlfn.IFNA(VLOOKUP($G2095,Master!$V$2:$Z$8,5,0),""),"")</f>
        <v/>
      </c>
      <c r="P2095" s="6" t="str">
        <f t="shared" si="64"/>
        <v/>
      </c>
      <c r="Q2095" s="13">
        <f t="shared" si="65"/>
        <v>0</v>
      </c>
    </row>
    <row r="2096" spans="2:17" ht="15" customHeight="1">
      <c r="B2096" s="5" t="str">
        <f>_xlfn.IFNA(VLOOKUP(C2096,Master!$H:$I,2,FALSE),"")</f>
        <v/>
      </c>
      <c r="D2096" s="5" t="str">
        <f>_xlfn.IFNA(VLOOKUP(E2096,Master!$H:$I,2,FALSE),"")</f>
        <v/>
      </c>
      <c r="F2096" s="26" t="str">
        <f>+_xlfn.XLOOKUP(G2096,Master!$V$2:$V$8,Master!$U$2:$U$8,"")</f>
        <v/>
      </c>
      <c r="I2096" s="4" t="str">
        <f>_xlfn.IFNA(VLOOKUP(D2096,Master!$I:$K,2,FALSE),"")</f>
        <v/>
      </c>
      <c r="J2096" s="4" t="str">
        <f>_xlfn.IFNA(VLOOKUP(D2096,Master!$I:$K,3,FALSE),"")</f>
        <v/>
      </c>
      <c r="L2096" s="27" t="str">
        <f>IF(A2096&lt;&gt;"CFA",_xlfn.IFNA(VLOOKUP($G2096,Master!$V$2:$Z$8,5,0),""),"")</f>
        <v/>
      </c>
      <c r="P2096" s="6" t="str">
        <f t="shared" si="64"/>
        <v/>
      </c>
      <c r="Q2096" s="13">
        <f t="shared" si="65"/>
        <v>0</v>
      </c>
    </row>
    <row r="2097" spans="2:17" ht="15" customHeight="1">
      <c r="B2097" s="5" t="str">
        <f>_xlfn.IFNA(VLOOKUP(C2097,Master!$H:$I,2,FALSE),"")</f>
        <v/>
      </c>
      <c r="D2097" s="5" t="str">
        <f>_xlfn.IFNA(VLOOKUP(E2097,Master!$H:$I,2,FALSE),"")</f>
        <v/>
      </c>
      <c r="F2097" s="26" t="str">
        <f>+_xlfn.XLOOKUP(G2097,Master!$V$2:$V$8,Master!$U$2:$U$8,"")</f>
        <v/>
      </c>
      <c r="I2097" s="4" t="str">
        <f>_xlfn.IFNA(VLOOKUP(D2097,Master!$I:$K,2,FALSE),"")</f>
        <v/>
      </c>
      <c r="J2097" s="4" t="str">
        <f>_xlfn.IFNA(VLOOKUP(D2097,Master!$I:$K,3,FALSE),"")</f>
        <v/>
      </c>
      <c r="L2097" s="27" t="str">
        <f>IF(A2097&lt;&gt;"CFA",_xlfn.IFNA(VLOOKUP($G2097,Master!$V$2:$Z$8,5,0),""),"")</f>
        <v/>
      </c>
      <c r="P2097" s="6" t="str">
        <f t="shared" si="64"/>
        <v/>
      </c>
      <c r="Q2097" s="13">
        <f t="shared" si="65"/>
        <v>0</v>
      </c>
    </row>
    <row r="2098" spans="2:17" ht="15" customHeight="1">
      <c r="B2098" s="5" t="str">
        <f>_xlfn.IFNA(VLOOKUP(C2098,Master!$H:$I,2,FALSE),"")</f>
        <v/>
      </c>
      <c r="D2098" s="5" t="str">
        <f>_xlfn.IFNA(VLOOKUP(E2098,Master!$H:$I,2,FALSE),"")</f>
        <v/>
      </c>
      <c r="F2098" s="26" t="str">
        <f>+_xlfn.XLOOKUP(G2098,Master!$V$2:$V$8,Master!$U$2:$U$8,"")</f>
        <v/>
      </c>
      <c r="I2098" s="4" t="str">
        <f>_xlfn.IFNA(VLOOKUP(D2098,Master!$I:$K,2,FALSE),"")</f>
        <v/>
      </c>
      <c r="J2098" s="4" t="str">
        <f>_xlfn.IFNA(VLOOKUP(D2098,Master!$I:$K,3,FALSE),"")</f>
        <v/>
      </c>
      <c r="L2098" s="27" t="str">
        <f>IF(A2098&lt;&gt;"CFA",_xlfn.IFNA(VLOOKUP($G2098,Master!$V$2:$Z$8,5,0),""),"")</f>
        <v/>
      </c>
      <c r="P2098" s="6" t="str">
        <f t="shared" si="64"/>
        <v/>
      </c>
      <c r="Q2098" s="13">
        <f t="shared" si="65"/>
        <v>0</v>
      </c>
    </row>
    <row r="2099" spans="2:17" ht="15" customHeight="1">
      <c r="B2099" s="5" t="str">
        <f>_xlfn.IFNA(VLOOKUP(C2099,Master!$H:$I,2,FALSE),"")</f>
        <v/>
      </c>
      <c r="D2099" s="5" t="str">
        <f>_xlfn.IFNA(VLOOKUP(E2099,Master!$H:$I,2,FALSE),"")</f>
        <v/>
      </c>
      <c r="F2099" s="26" t="str">
        <f>+_xlfn.XLOOKUP(G2099,Master!$V$2:$V$8,Master!$U$2:$U$8,"")</f>
        <v/>
      </c>
      <c r="I2099" s="4" t="str">
        <f>_xlfn.IFNA(VLOOKUP(D2099,Master!$I:$K,2,FALSE),"")</f>
        <v/>
      </c>
      <c r="J2099" s="4" t="str">
        <f>_xlfn.IFNA(VLOOKUP(D2099,Master!$I:$K,3,FALSE),"")</f>
        <v/>
      </c>
      <c r="L2099" s="27" t="str">
        <f>IF(A2099&lt;&gt;"CFA",_xlfn.IFNA(VLOOKUP($G2099,Master!$V$2:$Z$8,5,0),""),"")</f>
        <v/>
      </c>
      <c r="P2099" s="6" t="str">
        <f t="shared" si="64"/>
        <v/>
      </c>
      <c r="Q2099" s="13">
        <f t="shared" si="65"/>
        <v>0</v>
      </c>
    </row>
    <row r="2100" spans="2:17" ht="15" customHeight="1">
      <c r="B2100" s="5" t="str">
        <f>_xlfn.IFNA(VLOOKUP(C2100,Master!$H:$I,2,FALSE),"")</f>
        <v/>
      </c>
      <c r="D2100" s="5" t="str">
        <f>_xlfn.IFNA(VLOOKUP(E2100,Master!$H:$I,2,FALSE),"")</f>
        <v/>
      </c>
      <c r="F2100" s="26" t="str">
        <f>+_xlfn.XLOOKUP(G2100,Master!$V$2:$V$8,Master!$U$2:$U$8,"")</f>
        <v/>
      </c>
      <c r="I2100" s="4" t="str">
        <f>_xlfn.IFNA(VLOOKUP(D2100,Master!$I:$K,2,FALSE),"")</f>
        <v/>
      </c>
      <c r="J2100" s="4" t="str">
        <f>_xlfn.IFNA(VLOOKUP(D2100,Master!$I:$K,3,FALSE),"")</f>
        <v/>
      </c>
      <c r="L2100" s="27" t="str">
        <f>IF(A2100&lt;&gt;"CFA",_xlfn.IFNA(VLOOKUP($G2100,Master!$V$2:$Z$8,5,0),""),"")</f>
        <v/>
      </c>
      <c r="P2100" s="6" t="str">
        <f t="shared" si="64"/>
        <v/>
      </c>
      <c r="Q2100" s="13">
        <f t="shared" si="65"/>
        <v>0</v>
      </c>
    </row>
    <row r="2101" spans="2:17" ht="15" customHeight="1">
      <c r="B2101" s="5" t="str">
        <f>_xlfn.IFNA(VLOOKUP(C2101,Master!$H:$I,2,FALSE),"")</f>
        <v/>
      </c>
      <c r="D2101" s="5" t="str">
        <f>_xlfn.IFNA(VLOOKUP(E2101,Master!$H:$I,2,FALSE),"")</f>
        <v/>
      </c>
      <c r="F2101" s="26" t="str">
        <f>+_xlfn.XLOOKUP(G2101,Master!$V$2:$V$8,Master!$U$2:$U$8,"")</f>
        <v/>
      </c>
      <c r="I2101" s="4" t="str">
        <f>_xlfn.IFNA(VLOOKUP(D2101,Master!$I:$K,2,FALSE),"")</f>
        <v/>
      </c>
      <c r="J2101" s="4" t="str">
        <f>_xlfn.IFNA(VLOOKUP(D2101,Master!$I:$K,3,FALSE),"")</f>
        <v/>
      </c>
      <c r="L2101" s="27" t="str">
        <f>IF(A2101&lt;&gt;"CFA",_xlfn.IFNA(VLOOKUP($G2101,Master!$V$2:$Z$8,5,0),""),"")</f>
        <v/>
      </c>
      <c r="P2101" s="6" t="str">
        <f t="shared" si="64"/>
        <v/>
      </c>
      <c r="Q2101" s="13">
        <f t="shared" si="65"/>
        <v>0</v>
      </c>
    </row>
    <row r="2102" spans="2:17" ht="15" customHeight="1">
      <c r="B2102" s="5" t="str">
        <f>_xlfn.IFNA(VLOOKUP(C2102,Master!$H:$I,2,FALSE),"")</f>
        <v/>
      </c>
      <c r="D2102" s="5" t="str">
        <f>_xlfn.IFNA(VLOOKUP(E2102,Master!$H:$I,2,FALSE),"")</f>
        <v/>
      </c>
      <c r="F2102" s="26" t="str">
        <f>+_xlfn.XLOOKUP(G2102,Master!$V$2:$V$8,Master!$U$2:$U$8,"")</f>
        <v/>
      </c>
      <c r="I2102" s="4" t="str">
        <f>_xlfn.IFNA(VLOOKUP(D2102,Master!$I:$K,2,FALSE),"")</f>
        <v/>
      </c>
      <c r="J2102" s="4" t="str">
        <f>_xlfn.IFNA(VLOOKUP(D2102,Master!$I:$K,3,FALSE),"")</f>
        <v/>
      </c>
      <c r="L2102" s="27" t="str">
        <f>IF(A2102&lt;&gt;"CFA",_xlfn.IFNA(VLOOKUP($G2102,Master!$V$2:$Z$8,5,0),""),"")</f>
        <v/>
      </c>
      <c r="P2102" s="6" t="str">
        <f t="shared" si="64"/>
        <v/>
      </c>
      <c r="Q2102" s="13">
        <f t="shared" si="65"/>
        <v>0</v>
      </c>
    </row>
    <row r="2103" spans="2:17" ht="15" customHeight="1">
      <c r="B2103" s="5" t="str">
        <f>_xlfn.IFNA(VLOOKUP(C2103,Master!$H:$I,2,FALSE),"")</f>
        <v/>
      </c>
      <c r="D2103" s="5" t="str">
        <f>_xlfn.IFNA(VLOOKUP(E2103,Master!$H:$I,2,FALSE),"")</f>
        <v/>
      </c>
      <c r="F2103" s="26" t="str">
        <f>+_xlfn.XLOOKUP(G2103,Master!$V$2:$V$8,Master!$U$2:$U$8,"")</f>
        <v/>
      </c>
      <c r="I2103" s="4" t="str">
        <f>_xlfn.IFNA(VLOOKUP(D2103,Master!$I:$K,2,FALSE),"")</f>
        <v/>
      </c>
      <c r="J2103" s="4" t="str">
        <f>_xlfn.IFNA(VLOOKUP(D2103,Master!$I:$K,3,FALSE),"")</f>
        <v/>
      </c>
      <c r="L2103" s="27" t="str">
        <f>IF(A2103&lt;&gt;"CFA",_xlfn.IFNA(VLOOKUP($G2103,Master!$V$2:$Z$8,5,0),""),"")</f>
        <v/>
      </c>
      <c r="P2103" s="6" t="str">
        <f t="shared" ref="P2103:P2166" si="66">IF(N2103&lt;&gt;"",IF(MONTH(N2103)&gt;=4,"FY1"&amp;RIGHT(YEAR(N2103)+1,2),"FY1"&amp;RIGHT(YEAR(N2103),2)),"")</f>
        <v/>
      </c>
      <c r="Q2103" s="13">
        <f t="shared" ref="Q2103:Q2166" si="67">IF(K2103&gt;0&amp;M2103&gt;0,K2103*M2103,"")</f>
        <v>0</v>
      </c>
    </row>
    <row r="2104" spans="2:17" ht="15" customHeight="1">
      <c r="B2104" s="5" t="str">
        <f>_xlfn.IFNA(VLOOKUP(C2104,Master!$H:$I,2,FALSE),"")</f>
        <v/>
      </c>
      <c r="D2104" s="5" t="str">
        <f>_xlfn.IFNA(VLOOKUP(E2104,Master!$H:$I,2,FALSE),"")</f>
        <v/>
      </c>
      <c r="F2104" s="26" t="str">
        <f>+_xlfn.XLOOKUP(G2104,Master!$V$2:$V$8,Master!$U$2:$U$8,"")</f>
        <v/>
      </c>
      <c r="I2104" s="4" t="str">
        <f>_xlfn.IFNA(VLOOKUP(D2104,Master!$I:$K,2,FALSE),"")</f>
        <v/>
      </c>
      <c r="J2104" s="4" t="str">
        <f>_xlfn.IFNA(VLOOKUP(D2104,Master!$I:$K,3,FALSE),"")</f>
        <v/>
      </c>
      <c r="L2104" s="27" t="str">
        <f>IF(A2104&lt;&gt;"CFA",_xlfn.IFNA(VLOOKUP($G2104,Master!$V$2:$Z$8,5,0),""),"")</f>
        <v/>
      </c>
      <c r="P2104" s="6" t="str">
        <f t="shared" si="66"/>
        <v/>
      </c>
      <c r="Q2104" s="13">
        <f t="shared" si="67"/>
        <v>0</v>
      </c>
    </row>
    <row r="2105" spans="2:17" ht="15" customHeight="1">
      <c r="B2105" s="5" t="str">
        <f>_xlfn.IFNA(VLOOKUP(C2105,Master!$H:$I,2,FALSE),"")</f>
        <v/>
      </c>
      <c r="D2105" s="5" t="str">
        <f>_xlfn.IFNA(VLOOKUP(E2105,Master!$H:$I,2,FALSE),"")</f>
        <v/>
      </c>
      <c r="F2105" s="26" t="str">
        <f>+_xlfn.XLOOKUP(G2105,Master!$V$2:$V$8,Master!$U$2:$U$8,"")</f>
        <v/>
      </c>
      <c r="I2105" s="4" t="str">
        <f>_xlfn.IFNA(VLOOKUP(D2105,Master!$I:$K,2,FALSE),"")</f>
        <v/>
      </c>
      <c r="J2105" s="4" t="str">
        <f>_xlfn.IFNA(VLOOKUP(D2105,Master!$I:$K,3,FALSE),"")</f>
        <v/>
      </c>
      <c r="L2105" s="27" t="str">
        <f>IF(A2105&lt;&gt;"CFA",_xlfn.IFNA(VLOOKUP($G2105,Master!$V$2:$Z$8,5,0),""),"")</f>
        <v/>
      </c>
      <c r="P2105" s="6" t="str">
        <f t="shared" si="66"/>
        <v/>
      </c>
      <c r="Q2105" s="13">
        <f t="shared" si="67"/>
        <v>0</v>
      </c>
    </row>
    <row r="2106" spans="2:17" ht="15" customHeight="1">
      <c r="B2106" s="5" t="str">
        <f>_xlfn.IFNA(VLOOKUP(C2106,Master!$H:$I,2,FALSE),"")</f>
        <v/>
      </c>
      <c r="D2106" s="5" t="str">
        <f>_xlfn.IFNA(VLOOKUP(E2106,Master!$H:$I,2,FALSE),"")</f>
        <v/>
      </c>
      <c r="F2106" s="26" t="str">
        <f>+_xlfn.XLOOKUP(G2106,Master!$V$2:$V$8,Master!$U$2:$U$8,"")</f>
        <v/>
      </c>
      <c r="I2106" s="4" t="str">
        <f>_xlfn.IFNA(VLOOKUP(D2106,Master!$I:$K,2,FALSE),"")</f>
        <v/>
      </c>
      <c r="J2106" s="4" t="str">
        <f>_xlfn.IFNA(VLOOKUP(D2106,Master!$I:$K,3,FALSE),"")</f>
        <v/>
      </c>
      <c r="L2106" s="27" t="str">
        <f>IF(A2106&lt;&gt;"CFA",_xlfn.IFNA(VLOOKUP($G2106,Master!$V$2:$Z$8,5,0),""),"")</f>
        <v/>
      </c>
      <c r="P2106" s="6" t="str">
        <f t="shared" si="66"/>
        <v/>
      </c>
      <c r="Q2106" s="13">
        <f t="shared" si="67"/>
        <v>0</v>
      </c>
    </row>
    <row r="2107" spans="2:17" ht="15" customHeight="1">
      <c r="B2107" s="5" t="str">
        <f>_xlfn.IFNA(VLOOKUP(C2107,Master!$H:$I,2,FALSE),"")</f>
        <v/>
      </c>
      <c r="D2107" s="5" t="str">
        <f>_xlfn.IFNA(VLOOKUP(E2107,Master!$H:$I,2,FALSE),"")</f>
        <v/>
      </c>
      <c r="F2107" s="26" t="str">
        <f>+_xlfn.XLOOKUP(G2107,Master!$V$2:$V$8,Master!$U$2:$U$8,"")</f>
        <v/>
      </c>
      <c r="I2107" s="4" t="str">
        <f>_xlfn.IFNA(VLOOKUP(D2107,Master!$I:$K,2,FALSE),"")</f>
        <v/>
      </c>
      <c r="J2107" s="4" t="str">
        <f>_xlfn.IFNA(VLOOKUP(D2107,Master!$I:$K,3,FALSE),"")</f>
        <v/>
      </c>
      <c r="L2107" s="27" t="str">
        <f>IF(A2107&lt;&gt;"CFA",_xlfn.IFNA(VLOOKUP($G2107,Master!$V$2:$Z$8,5,0),""),"")</f>
        <v/>
      </c>
      <c r="P2107" s="6" t="str">
        <f t="shared" si="66"/>
        <v/>
      </c>
      <c r="Q2107" s="13">
        <f t="shared" si="67"/>
        <v>0</v>
      </c>
    </row>
    <row r="2108" spans="2:17" ht="15" customHeight="1">
      <c r="B2108" s="5" t="str">
        <f>_xlfn.IFNA(VLOOKUP(C2108,Master!$H:$I,2,FALSE),"")</f>
        <v/>
      </c>
      <c r="D2108" s="5" t="str">
        <f>_xlfn.IFNA(VLOOKUP(E2108,Master!$H:$I,2,FALSE),"")</f>
        <v/>
      </c>
      <c r="F2108" s="26" t="str">
        <f>+_xlfn.XLOOKUP(G2108,Master!$V$2:$V$8,Master!$U$2:$U$8,"")</f>
        <v/>
      </c>
      <c r="I2108" s="4" t="str">
        <f>_xlfn.IFNA(VLOOKUP(D2108,Master!$I:$K,2,FALSE),"")</f>
        <v/>
      </c>
      <c r="J2108" s="4" t="str">
        <f>_xlfn.IFNA(VLOOKUP(D2108,Master!$I:$K,3,FALSE),"")</f>
        <v/>
      </c>
      <c r="L2108" s="27" t="str">
        <f>IF(A2108&lt;&gt;"CFA",_xlfn.IFNA(VLOOKUP($G2108,Master!$V$2:$Z$8,5,0),""),"")</f>
        <v/>
      </c>
      <c r="P2108" s="6" t="str">
        <f t="shared" si="66"/>
        <v/>
      </c>
      <c r="Q2108" s="13">
        <f t="shared" si="67"/>
        <v>0</v>
      </c>
    </row>
    <row r="2109" spans="2:17" ht="15" customHeight="1">
      <c r="B2109" s="5" t="str">
        <f>_xlfn.IFNA(VLOOKUP(C2109,Master!$H:$I,2,FALSE),"")</f>
        <v/>
      </c>
      <c r="D2109" s="5" t="str">
        <f>_xlfn.IFNA(VLOOKUP(E2109,Master!$H:$I,2,FALSE),"")</f>
        <v/>
      </c>
      <c r="F2109" s="26" t="str">
        <f>+_xlfn.XLOOKUP(G2109,Master!$V$2:$V$8,Master!$U$2:$U$8,"")</f>
        <v/>
      </c>
      <c r="I2109" s="4" t="str">
        <f>_xlfn.IFNA(VLOOKUP(D2109,Master!$I:$K,2,FALSE),"")</f>
        <v/>
      </c>
      <c r="J2109" s="4" t="str">
        <f>_xlfn.IFNA(VLOOKUP(D2109,Master!$I:$K,3,FALSE),"")</f>
        <v/>
      </c>
      <c r="L2109" s="27" t="str">
        <f>IF(A2109&lt;&gt;"CFA",_xlfn.IFNA(VLOOKUP($G2109,Master!$V$2:$Z$8,5,0),""),"")</f>
        <v/>
      </c>
      <c r="P2109" s="6" t="str">
        <f t="shared" si="66"/>
        <v/>
      </c>
      <c r="Q2109" s="13">
        <f t="shared" si="67"/>
        <v>0</v>
      </c>
    </row>
    <row r="2110" spans="2:17" ht="15" customHeight="1">
      <c r="B2110" s="5" t="str">
        <f>_xlfn.IFNA(VLOOKUP(C2110,Master!$H:$I,2,FALSE),"")</f>
        <v/>
      </c>
      <c r="D2110" s="5" t="str">
        <f>_xlfn.IFNA(VLOOKUP(E2110,Master!$H:$I,2,FALSE),"")</f>
        <v/>
      </c>
      <c r="F2110" s="26" t="str">
        <f>+_xlfn.XLOOKUP(G2110,Master!$V$2:$V$8,Master!$U$2:$U$8,"")</f>
        <v/>
      </c>
      <c r="I2110" s="4" t="str">
        <f>_xlfn.IFNA(VLOOKUP(D2110,Master!$I:$K,2,FALSE),"")</f>
        <v/>
      </c>
      <c r="J2110" s="4" t="str">
        <f>_xlfn.IFNA(VLOOKUP(D2110,Master!$I:$K,3,FALSE),"")</f>
        <v/>
      </c>
      <c r="L2110" s="27" t="str">
        <f>IF(A2110&lt;&gt;"CFA",_xlfn.IFNA(VLOOKUP($G2110,Master!$V$2:$Z$8,5,0),""),"")</f>
        <v/>
      </c>
      <c r="P2110" s="6" t="str">
        <f t="shared" si="66"/>
        <v/>
      </c>
      <c r="Q2110" s="13">
        <f t="shared" si="67"/>
        <v>0</v>
      </c>
    </row>
    <row r="2111" spans="2:17" ht="15" customHeight="1">
      <c r="B2111" s="5" t="str">
        <f>_xlfn.IFNA(VLOOKUP(C2111,Master!$H:$I,2,FALSE),"")</f>
        <v/>
      </c>
      <c r="D2111" s="5" t="str">
        <f>_xlfn.IFNA(VLOOKUP(E2111,Master!$H:$I,2,FALSE),"")</f>
        <v/>
      </c>
      <c r="F2111" s="26" t="str">
        <f>+_xlfn.XLOOKUP(G2111,Master!$V$2:$V$8,Master!$U$2:$U$8,"")</f>
        <v/>
      </c>
      <c r="I2111" s="4" t="str">
        <f>_xlfn.IFNA(VLOOKUP(D2111,Master!$I:$K,2,FALSE),"")</f>
        <v/>
      </c>
      <c r="J2111" s="4" t="str">
        <f>_xlfn.IFNA(VLOOKUP(D2111,Master!$I:$K,3,FALSE),"")</f>
        <v/>
      </c>
      <c r="L2111" s="27" t="str">
        <f>IF(A2111&lt;&gt;"CFA",_xlfn.IFNA(VLOOKUP($G2111,Master!$V$2:$Z$8,5,0),""),"")</f>
        <v/>
      </c>
      <c r="P2111" s="6" t="str">
        <f t="shared" si="66"/>
        <v/>
      </c>
      <c r="Q2111" s="13">
        <f t="shared" si="67"/>
        <v>0</v>
      </c>
    </row>
    <row r="2112" spans="2:17" ht="15" customHeight="1">
      <c r="B2112" s="5" t="str">
        <f>_xlfn.IFNA(VLOOKUP(C2112,Master!$H:$I,2,FALSE),"")</f>
        <v/>
      </c>
      <c r="D2112" s="5" t="str">
        <f>_xlfn.IFNA(VLOOKUP(E2112,Master!$H:$I,2,FALSE),"")</f>
        <v/>
      </c>
      <c r="F2112" s="26" t="str">
        <f>+_xlfn.XLOOKUP(G2112,Master!$V$2:$V$8,Master!$U$2:$U$8,"")</f>
        <v/>
      </c>
      <c r="I2112" s="4" t="str">
        <f>_xlfn.IFNA(VLOOKUP(D2112,Master!$I:$K,2,FALSE),"")</f>
        <v/>
      </c>
      <c r="J2112" s="4" t="str">
        <f>_xlfn.IFNA(VLOOKUP(D2112,Master!$I:$K,3,FALSE),"")</f>
        <v/>
      </c>
      <c r="L2112" s="27" t="str">
        <f>IF(A2112&lt;&gt;"CFA",_xlfn.IFNA(VLOOKUP($G2112,Master!$V$2:$Z$8,5,0),""),"")</f>
        <v/>
      </c>
      <c r="P2112" s="6" t="str">
        <f t="shared" si="66"/>
        <v/>
      </c>
      <c r="Q2112" s="13">
        <f t="shared" si="67"/>
        <v>0</v>
      </c>
    </row>
    <row r="2113" spans="2:17" ht="15" customHeight="1">
      <c r="B2113" s="5" t="str">
        <f>_xlfn.IFNA(VLOOKUP(C2113,Master!$H:$I,2,FALSE),"")</f>
        <v/>
      </c>
      <c r="D2113" s="5" t="str">
        <f>_xlfn.IFNA(VLOOKUP(E2113,Master!$H:$I,2,FALSE),"")</f>
        <v/>
      </c>
      <c r="F2113" s="26" t="str">
        <f>+_xlfn.XLOOKUP(G2113,Master!$V$2:$V$8,Master!$U$2:$U$8,"")</f>
        <v/>
      </c>
      <c r="I2113" s="4" t="str">
        <f>_xlfn.IFNA(VLOOKUP(D2113,Master!$I:$K,2,FALSE),"")</f>
        <v/>
      </c>
      <c r="J2113" s="4" t="str">
        <f>_xlfn.IFNA(VLOOKUP(D2113,Master!$I:$K,3,FALSE),"")</f>
        <v/>
      </c>
      <c r="L2113" s="27" t="str">
        <f>IF(A2113&lt;&gt;"CFA",_xlfn.IFNA(VLOOKUP($G2113,Master!$V$2:$Z$8,5,0),""),"")</f>
        <v/>
      </c>
      <c r="P2113" s="6" t="str">
        <f t="shared" si="66"/>
        <v/>
      </c>
      <c r="Q2113" s="13">
        <f t="shared" si="67"/>
        <v>0</v>
      </c>
    </row>
    <row r="2114" spans="2:17" ht="15" customHeight="1">
      <c r="B2114" s="5" t="str">
        <f>_xlfn.IFNA(VLOOKUP(C2114,Master!$H:$I,2,FALSE),"")</f>
        <v/>
      </c>
      <c r="D2114" s="5" t="str">
        <f>_xlfn.IFNA(VLOOKUP(E2114,Master!$H:$I,2,FALSE),"")</f>
        <v/>
      </c>
      <c r="F2114" s="26" t="str">
        <f>+_xlfn.XLOOKUP(G2114,Master!$V$2:$V$8,Master!$U$2:$U$8,"")</f>
        <v/>
      </c>
      <c r="I2114" s="4" t="str">
        <f>_xlfn.IFNA(VLOOKUP(D2114,Master!$I:$K,2,FALSE),"")</f>
        <v/>
      </c>
      <c r="J2114" s="4" t="str">
        <f>_xlfn.IFNA(VLOOKUP(D2114,Master!$I:$K,3,FALSE),"")</f>
        <v/>
      </c>
      <c r="L2114" s="27" t="str">
        <f>IF(A2114&lt;&gt;"CFA",_xlfn.IFNA(VLOOKUP($G2114,Master!$V$2:$Z$8,5,0),""),"")</f>
        <v/>
      </c>
      <c r="P2114" s="6" t="str">
        <f t="shared" si="66"/>
        <v/>
      </c>
      <c r="Q2114" s="13">
        <f t="shared" si="67"/>
        <v>0</v>
      </c>
    </row>
    <row r="2115" spans="2:17" ht="15" customHeight="1">
      <c r="B2115" s="5" t="str">
        <f>_xlfn.IFNA(VLOOKUP(C2115,Master!$H:$I,2,FALSE),"")</f>
        <v/>
      </c>
      <c r="D2115" s="5" t="str">
        <f>_xlfn.IFNA(VLOOKUP(E2115,Master!$H:$I,2,FALSE),"")</f>
        <v/>
      </c>
      <c r="F2115" s="26" t="str">
        <f>+_xlfn.XLOOKUP(G2115,Master!$V$2:$V$8,Master!$U$2:$U$8,"")</f>
        <v/>
      </c>
      <c r="I2115" s="4" t="str">
        <f>_xlfn.IFNA(VLOOKUP(D2115,Master!$I:$K,2,FALSE),"")</f>
        <v/>
      </c>
      <c r="J2115" s="4" t="str">
        <f>_xlfn.IFNA(VLOOKUP(D2115,Master!$I:$K,3,FALSE),"")</f>
        <v/>
      </c>
      <c r="L2115" s="27" t="str">
        <f>IF(A2115&lt;&gt;"CFA",_xlfn.IFNA(VLOOKUP($G2115,Master!$V$2:$Z$8,5,0),""),"")</f>
        <v/>
      </c>
      <c r="P2115" s="6" t="str">
        <f t="shared" si="66"/>
        <v/>
      </c>
      <c r="Q2115" s="13">
        <f t="shared" si="67"/>
        <v>0</v>
      </c>
    </row>
    <row r="2116" spans="2:17" ht="15" customHeight="1">
      <c r="B2116" s="5" t="str">
        <f>_xlfn.IFNA(VLOOKUP(C2116,Master!$H:$I,2,FALSE),"")</f>
        <v/>
      </c>
      <c r="D2116" s="5" t="str">
        <f>_xlfn.IFNA(VLOOKUP(E2116,Master!$H:$I,2,FALSE),"")</f>
        <v/>
      </c>
      <c r="F2116" s="26" t="str">
        <f>+_xlfn.XLOOKUP(G2116,Master!$V$2:$V$8,Master!$U$2:$U$8,"")</f>
        <v/>
      </c>
      <c r="I2116" s="4" t="str">
        <f>_xlfn.IFNA(VLOOKUP(D2116,Master!$I:$K,2,FALSE),"")</f>
        <v/>
      </c>
      <c r="J2116" s="4" t="str">
        <f>_xlfn.IFNA(VLOOKUP(D2116,Master!$I:$K,3,FALSE),"")</f>
        <v/>
      </c>
      <c r="L2116" s="27" t="str">
        <f>IF(A2116&lt;&gt;"CFA",_xlfn.IFNA(VLOOKUP($G2116,Master!$V$2:$Z$8,5,0),""),"")</f>
        <v/>
      </c>
      <c r="P2116" s="6" t="str">
        <f t="shared" si="66"/>
        <v/>
      </c>
      <c r="Q2116" s="13">
        <f t="shared" si="67"/>
        <v>0</v>
      </c>
    </row>
    <row r="2117" spans="2:17" ht="15" customHeight="1">
      <c r="B2117" s="5" t="str">
        <f>_xlfn.IFNA(VLOOKUP(C2117,Master!$H:$I,2,FALSE),"")</f>
        <v/>
      </c>
      <c r="D2117" s="5" t="str">
        <f>_xlfn.IFNA(VLOOKUP(E2117,Master!$H:$I,2,FALSE),"")</f>
        <v/>
      </c>
      <c r="F2117" s="26" t="str">
        <f>+_xlfn.XLOOKUP(G2117,Master!$V$2:$V$8,Master!$U$2:$U$8,"")</f>
        <v/>
      </c>
      <c r="I2117" s="4" t="str">
        <f>_xlfn.IFNA(VLOOKUP(D2117,Master!$I:$K,2,FALSE),"")</f>
        <v/>
      </c>
      <c r="J2117" s="4" t="str">
        <f>_xlfn.IFNA(VLOOKUP(D2117,Master!$I:$K,3,FALSE),"")</f>
        <v/>
      </c>
      <c r="L2117" s="27" t="str">
        <f>IF(A2117&lt;&gt;"CFA",_xlfn.IFNA(VLOOKUP($G2117,Master!$V$2:$Z$8,5,0),""),"")</f>
        <v/>
      </c>
      <c r="P2117" s="6" t="str">
        <f t="shared" si="66"/>
        <v/>
      </c>
      <c r="Q2117" s="13">
        <f t="shared" si="67"/>
        <v>0</v>
      </c>
    </row>
    <row r="2118" spans="2:17" ht="15" customHeight="1">
      <c r="B2118" s="5" t="str">
        <f>_xlfn.IFNA(VLOOKUP(C2118,Master!$H:$I,2,FALSE),"")</f>
        <v/>
      </c>
      <c r="D2118" s="5" t="str">
        <f>_xlfn.IFNA(VLOOKUP(E2118,Master!$H:$I,2,FALSE),"")</f>
        <v/>
      </c>
      <c r="F2118" s="26" t="str">
        <f>+_xlfn.XLOOKUP(G2118,Master!$V$2:$V$8,Master!$U$2:$U$8,"")</f>
        <v/>
      </c>
      <c r="I2118" s="4" t="str">
        <f>_xlfn.IFNA(VLOOKUP(D2118,Master!$I:$K,2,FALSE),"")</f>
        <v/>
      </c>
      <c r="J2118" s="4" t="str">
        <f>_xlfn.IFNA(VLOOKUP(D2118,Master!$I:$K,3,FALSE),"")</f>
        <v/>
      </c>
      <c r="L2118" s="27" t="str">
        <f>IF(A2118&lt;&gt;"CFA",_xlfn.IFNA(VLOOKUP($G2118,Master!$V$2:$Z$8,5,0),""),"")</f>
        <v/>
      </c>
      <c r="P2118" s="6" t="str">
        <f t="shared" si="66"/>
        <v/>
      </c>
      <c r="Q2118" s="13">
        <f t="shared" si="67"/>
        <v>0</v>
      </c>
    </row>
    <row r="2119" spans="2:17" ht="15" customHeight="1">
      <c r="B2119" s="5" t="str">
        <f>_xlfn.IFNA(VLOOKUP(C2119,Master!$H:$I,2,FALSE),"")</f>
        <v/>
      </c>
      <c r="D2119" s="5" t="str">
        <f>_xlfn.IFNA(VLOOKUP(E2119,Master!$H:$I,2,FALSE),"")</f>
        <v/>
      </c>
      <c r="F2119" s="26" t="str">
        <f>+_xlfn.XLOOKUP(G2119,Master!$V$2:$V$8,Master!$U$2:$U$8,"")</f>
        <v/>
      </c>
      <c r="I2119" s="4" t="str">
        <f>_xlfn.IFNA(VLOOKUP(D2119,Master!$I:$K,2,FALSE),"")</f>
        <v/>
      </c>
      <c r="J2119" s="4" t="str">
        <f>_xlfn.IFNA(VLOOKUP(D2119,Master!$I:$K,3,FALSE),"")</f>
        <v/>
      </c>
      <c r="L2119" s="27" t="str">
        <f>IF(A2119&lt;&gt;"CFA",_xlfn.IFNA(VLOOKUP($G2119,Master!$V$2:$Z$8,5,0),""),"")</f>
        <v/>
      </c>
      <c r="P2119" s="6" t="str">
        <f t="shared" si="66"/>
        <v/>
      </c>
      <c r="Q2119" s="13">
        <f t="shared" si="67"/>
        <v>0</v>
      </c>
    </row>
    <row r="2120" spans="2:17" ht="15" customHeight="1">
      <c r="B2120" s="5" t="str">
        <f>_xlfn.IFNA(VLOOKUP(C2120,Master!$H:$I,2,FALSE),"")</f>
        <v/>
      </c>
      <c r="D2120" s="5" t="str">
        <f>_xlfn.IFNA(VLOOKUP(E2120,Master!$H:$I,2,FALSE),"")</f>
        <v/>
      </c>
      <c r="F2120" s="26" t="str">
        <f>+_xlfn.XLOOKUP(G2120,Master!$V$2:$V$8,Master!$U$2:$U$8,"")</f>
        <v/>
      </c>
      <c r="I2120" s="4" t="str">
        <f>_xlfn.IFNA(VLOOKUP(D2120,Master!$I:$K,2,FALSE),"")</f>
        <v/>
      </c>
      <c r="J2120" s="4" t="str">
        <f>_xlfn.IFNA(VLOOKUP(D2120,Master!$I:$K,3,FALSE),"")</f>
        <v/>
      </c>
      <c r="L2120" s="27" t="str">
        <f>IF(A2120&lt;&gt;"CFA",_xlfn.IFNA(VLOOKUP($G2120,Master!$V$2:$Z$8,5,0),""),"")</f>
        <v/>
      </c>
      <c r="P2120" s="6" t="str">
        <f t="shared" si="66"/>
        <v/>
      </c>
      <c r="Q2120" s="13">
        <f t="shared" si="67"/>
        <v>0</v>
      </c>
    </row>
    <row r="2121" spans="2:17" ht="15" customHeight="1">
      <c r="B2121" s="5" t="str">
        <f>_xlfn.IFNA(VLOOKUP(C2121,Master!$H:$I,2,FALSE),"")</f>
        <v/>
      </c>
      <c r="D2121" s="5" t="str">
        <f>_xlfn.IFNA(VLOOKUP(E2121,Master!$H:$I,2,FALSE),"")</f>
        <v/>
      </c>
      <c r="F2121" s="26" t="str">
        <f>+_xlfn.XLOOKUP(G2121,Master!$V$2:$V$8,Master!$U$2:$U$8,"")</f>
        <v/>
      </c>
      <c r="I2121" s="4" t="str">
        <f>_xlfn.IFNA(VLOOKUP(D2121,Master!$I:$K,2,FALSE),"")</f>
        <v/>
      </c>
      <c r="J2121" s="4" t="str">
        <f>_xlfn.IFNA(VLOOKUP(D2121,Master!$I:$K,3,FALSE),"")</f>
        <v/>
      </c>
      <c r="L2121" s="27" t="str">
        <f>IF(A2121&lt;&gt;"CFA",_xlfn.IFNA(VLOOKUP($G2121,Master!$V$2:$Z$8,5,0),""),"")</f>
        <v/>
      </c>
      <c r="P2121" s="6" t="str">
        <f t="shared" si="66"/>
        <v/>
      </c>
      <c r="Q2121" s="13">
        <f t="shared" si="67"/>
        <v>0</v>
      </c>
    </row>
    <row r="2122" spans="2:17" ht="15" customHeight="1">
      <c r="B2122" s="5" t="str">
        <f>_xlfn.IFNA(VLOOKUP(C2122,Master!$H:$I,2,FALSE),"")</f>
        <v/>
      </c>
      <c r="D2122" s="5" t="str">
        <f>_xlfn.IFNA(VLOOKUP(E2122,Master!$H:$I,2,FALSE),"")</f>
        <v/>
      </c>
      <c r="F2122" s="26" t="str">
        <f>+_xlfn.XLOOKUP(G2122,Master!$V$2:$V$8,Master!$U$2:$U$8,"")</f>
        <v/>
      </c>
      <c r="I2122" s="4" t="str">
        <f>_xlfn.IFNA(VLOOKUP(D2122,Master!$I:$K,2,FALSE),"")</f>
        <v/>
      </c>
      <c r="J2122" s="4" t="str">
        <f>_xlfn.IFNA(VLOOKUP(D2122,Master!$I:$K,3,FALSE),"")</f>
        <v/>
      </c>
      <c r="L2122" s="27" t="str">
        <f>IF(A2122&lt;&gt;"CFA",_xlfn.IFNA(VLOOKUP($G2122,Master!$V$2:$Z$8,5,0),""),"")</f>
        <v/>
      </c>
      <c r="P2122" s="6" t="str">
        <f t="shared" si="66"/>
        <v/>
      </c>
      <c r="Q2122" s="13">
        <f t="shared" si="67"/>
        <v>0</v>
      </c>
    </row>
    <row r="2123" spans="2:17" ht="15" customHeight="1">
      <c r="B2123" s="5" t="str">
        <f>_xlfn.IFNA(VLOOKUP(C2123,Master!$H:$I,2,FALSE),"")</f>
        <v/>
      </c>
      <c r="D2123" s="5" t="str">
        <f>_xlfn.IFNA(VLOOKUP(E2123,Master!$H:$I,2,FALSE),"")</f>
        <v/>
      </c>
      <c r="F2123" s="26" t="str">
        <f>+_xlfn.XLOOKUP(G2123,Master!$V$2:$V$8,Master!$U$2:$U$8,"")</f>
        <v/>
      </c>
      <c r="I2123" s="4" t="str">
        <f>_xlfn.IFNA(VLOOKUP(D2123,Master!$I:$K,2,FALSE),"")</f>
        <v/>
      </c>
      <c r="J2123" s="4" t="str">
        <f>_xlfn.IFNA(VLOOKUP(D2123,Master!$I:$K,3,FALSE),"")</f>
        <v/>
      </c>
      <c r="L2123" s="27" t="str">
        <f>IF(A2123&lt;&gt;"CFA",_xlfn.IFNA(VLOOKUP($G2123,Master!$V$2:$Z$8,5,0),""),"")</f>
        <v/>
      </c>
      <c r="P2123" s="6" t="str">
        <f t="shared" si="66"/>
        <v/>
      </c>
      <c r="Q2123" s="13">
        <f t="shared" si="67"/>
        <v>0</v>
      </c>
    </row>
    <row r="2124" spans="2:17" ht="15" customHeight="1">
      <c r="B2124" s="5" t="str">
        <f>_xlfn.IFNA(VLOOKUP(C2124,Master!$H:$I,2,FALSE),"")</f>
        <v/>
      </c>
      <c r="D2124" s="5" t="str">
        <f>_xlfn.IFNA(VLOOKUP(E2124,Master!$H:$I,2,FALSE),"")</f>
        <v/>
      </c>
      <c r="F2124" s="26" t="str">
        <f>+_xlfn.XLOOKUP(G2124,Master!$V$2:$V$8,Master!$U$2:$U$8,"")</f>
        <v/>
      </c>
      <c r="I2124" s="4" t="str">
        <f>_xlfn.IFNA(VLOOKUP(D2124,Master!$I:$K,2,FALSE),"")</f>
        <v/>
      </c>
      <c r="J2124" s="4" t="str">
        <f>_xlfn.IFNA(VLOOKUP(D2124,Master!$I:$K,3,FALSE),"")</f>
        <v/>
      </c>
      <c r="L2124" s="27" t="str">
        <f>IF(A2124&lt;&gt;"CFA",_xlfn.IFNA(VLOOKUP($G2124,Master!$V$2:$Z$8,5,0),""),"")</f>
        <v/>
      </c>
      <c r="P2124" s="6" t="str">
        <f t="shared" si="66"/>
        <v/>
      </c>
      <c r="Q2124" s="13">
        <f t="shared" si="67"/>
        <v>0</v>
      </c>
    </row>
    <row r="2125" spans="2:17" ht="15" customHeight="1">
      <c r="B2125" s="5" t="str">
        <f>_xlfn.IFNA(VLOOKUP(C2125,Master!$H:$I,2,FALSE),"")</f>
        <v/>
      </c>
      <c r="D2125" s="5" t="str">
        <f>_xlfn.IFNA(VLOOKUP(E2125,Master!$H:$I,2,FALSE),"")</f>
        <v/>
      </c>
      <c r="F2125" s="26" t="str">
        <f>+_xlfn.XLOOKUP(G2125,Master!$V$2:$V$8,Master!$U$2:$U$8,"")</f>
        <v/>
      </c>
      <c r="I2125" s="4" t="str">
        <f>_xlfn.IFNA(VLOOKUP(D2125,Master!$I:$K,2,FALSE),"")</f>
        <v/>
      </c>
      <c r="J2125" s="4" t="str">
        <f>_xlfn.IFNA(VLOOKUP(D2125,Master!$I:$K,3,FALSE),"")</f>
        <v/>
      </c>
      <c r="L2125" s="27" t="str">
        <f>IF(A2125&lt;&gt;"CFA",_xlfn.IFNA(VLOOKUP($G2125,Master!$V$2:$Z$8,5,0),""),"")</f>
        <v/>
      </c>
      <c r="P2125" s="6" t="str">
        <f t="shared" si="66"/>
        <v/>
      </c>
      <c r="Q2125" s="13">
        <f t="shared" si="67"/>
        <v>0</v>
      </c>
    </row>
    <row r="2126" spans="2:17" ht="15" customHeight="1">
      <c r="B2126" s="5" t="str">
        <f>_xlfn.IFNA(VLOOKUP(C2126,Master!$H:$I,2,FALSE),"")</f>
        <v/>
      </c>
      <c r="D2126" s="5" t="str">
        <f>_xlfn.IFNA(VLOOKUP(E2126,Master!$H:$I,2,FALSE),"")</f>
        <v/>
      </c>
      <c r="F2126" s="26" t="str">
        <f>+_xlfn.XLOOKUP(G2126,Master!$V$2:$V$8,Master!$U$2:$U$8,"")</f>
        <v/>
      </c>
      <c r="I2126" s="4" t="str">
        <f>_xlfn.IFNA(VLOOKUP(D2126,Master!$I:$K,2,FALSE),"")</f>
        <v/>
      </c>
      <c r="J2126" s="4" t="str">
        <f>_xlfn.IFNA(VLOOKUP(D2126,Master!$I:$K,3,FALSE),"")</f>
        <v/>
      </c>
      <c r="L2126" s="27" t="str">
        <f>IF(A2126&lt;&gt;"CFA",_xlfn.IFNA(VLOOKUP($G2126,Master!$V$2:$Z$8,5,0),""),"")</f>
        <v/>
      </c>
      <c r="P2126" s="6" t="str">
        <f t="shared" si="66"/>
        <v/>
      </c>
      <c r="Q2126" s="13">
        <f t="shared" si="67"/>
        <v>0</v>
      </c>
    </row>
    <row r="2127" spans="2:17" ht="15" customHeight="1">
      <c r="B2127" s="5" t="str">
        <f>_xlfn.IFNA(VLOOKUP(C2127,Master!$H:$I,2,FALSE),"")</f>
        <v/>
      </c>
      <c r="D2127" s="5" t="str">
        <f>_xlfn.IFNA(VLOOKUP(E2127,Master!$H:$I,2,FALSE),"")</f>
        <v/>
      </c>
      <c r="F2127" s="26" t="str">
        <f>+_xlfn.XLOOKUP(G2127,Master!$V$2:$V$8,Master!$U$2:$U$8,"")</f>
        <v/>
      </c>
      <c r="I2127" s="4" t="str">
        <f>_xlfn.IFNA(VLOOKUP(D2127,Master!$I:$K,2,FALSE),"")</f>
        <v/>
      </c>
      <c r="J2127" s="4" t="str">
        <f>_xlfn.IFNA(VLOOKUP(D2127,Master!$I:$K,3,FALSE),"")</f>
        <v/>
      </c>
      <c r="L2127" s="27" t="str">
        <f>IF(A2127&lt;&gt;"CFA",_xlfn.IFNA(VLOOKUP($G2127,Master!$V$2:$Z$8,5,0),""),"")</f>
        <v/>
      </c>
      <c r="P2127" s="6" t="str">
        <f t="shared" si="66"/>
        <v/>
      </c>
      <c r="Q2127" s="13">
        <f t="shared" si="67"/>
        <v>0</v>
      </c>
    </row>
    <row r="2128" spans="2:17" ht="15" customHeight="1">
      <c r="B2128" s="5" t="str">
        <f>_xlfn.IFNA(VLOOKUP(C2128,Master!$H:$I,2,FALSE),"")</f>
        <v/>
      </c>
      <c r="D2128" s="5" t="str">
        <f>_xlfn.IFNA(VLOOKUP(E2128,Master!$H:$I,2,FALSE),"")</f>
        <v/>
      </c>
      <c r="F2128" s="26" t="str">
        <f>+_xlfn.XLOOKUP(G2128,Master!$V$2:$V$8,Master!$U$2:$U$8,"")</f>
        <v/>
      </c>
      <c r="I2128" s="4" t="str">
        <f>_xlfn.IFNA(VLOOKUP(D2128,Master!$I:$K,2,FALSE),"")</f>
        <v/>
      </c>
      <c r="J2128" s="4" t="str">
        <f>_xlfn.IFNA(VLOOKUP(D2128,Master!$I:$K,3,FALSE),"")</f>
        <v/>
      </c>
      <c r="L2128" s="27" t="str">
        <f>IF(A2128&lt;&gt;"CFA",_xlfn.IFNA(VLOOKUP($G2128,Master!$V$2:$Z$8,5,0),""),"")</f>
        <v/>
      </c>
      <c r="P2128" s="6" t="str">
        <f t="shared" si="66"/>
        <v/>
      </c>
      <c r="Q2128" s="13">
        <f t="shared" si="67"/>
        <v>0</v>
      </c>
    </row>
    <row r="2129" spans="2:17" ht="15" customHeight="1">
      <c r="B2129" s="5" t="str">
        <f>_xlfn.IFNA(VLOOKUP(C2129,Master!$H:$I,2,FALSE),"")</f>
        <v/>
      </c>
      <c r="D2129" s="5" t="str">
        <f>_xlfn.IFNA(VLOOKUP(E2129,Master!$H:$I,2,FALSE),"")</f>
        <v/>
      </c>
      <c r="F2129" s="26" t="str">
        <f>+_xlfn.XLOOKUP(G2129,Master!$V$2:$V$8,Master!$U$2:$U$8,"")</f>
        <v/>
      </c>
      <c r="I2129" s="4" t="str">
        <f>_xlfn.IFNA(VLOOKUP(D2129,Master!$I:$K,2,FALSE),"")</f>
        <v/>
      </c>
      <c r="J2129" s="4" t="str">
        <f>_xlfn.IFNA(VLOOKUP(D2129,Master!$I:$K,3,FALSE),"")</f>
        <v/>
      </c>
      <c r="L2129" s="27" t="str">
        <f>IF(A2129&lt;&gt;"CFA",_xlfn.IFNA(VLOOKUP($G2129,Master!$V$2:$Z$8,5,0),""),"")</f>
        <v/>
      </c>
      <c r="P2129" s="6" t="str">
        <f t="shared" si="66"/>
        <v/>
      </c>
      <c r="Q2129" s="13">
        <f t="shared" si="67"/>
        <v>0</v>
      </c>
    </row>
    <row r="2130" spans="2:17" ht="15" customHeight="1">
      <c r="B2130" s="5" t="str">
        <f>_xlfn.IFNA(VLOOKUP(C2130,Master!$H:$I,2,FALSE),"")</f>
        <v/>
      </c>
      <c r="D2130" s="5" t="str">
        <f>_xlfn.IFNA(VLOOKUP(E2130,Master!$H:$I,2,FALSE),"")</f>
        <v/>
      </c>
      <c r="F2130" s="26" t="str">
        <f>+_xlfn.XLOOKUP(G2130,Master!$V$2:$V$8,Master!$U$2:$U$8,"")</f>
        <v/>
      </c>
      <c r="I2130" s="4" t="str">
        <f>_xlfn.IFNA(VLOOKUP(D2130,Master!$I:$K,2,FALSE),"")</f>
        <v/>
      </c>
      <c r="J2130" s="4" t="str">
        <f>_xlfn.IFNA(VLOOKUP(D2130,Master!$I:$K,3,FALSE),"")</f>
        <v/>
      </c>
      <c r="L2130" s="27" t="str">
        <f>IF(A2130&lt;&gt;"CFA",_xlfn.IFNA(VLOOKUP($G2130,Master!$V$2:$Z$8,5,0),""),"")</f>
        <v/>
      </c>
      <c r="P2130" s="6" t="str">
        <f t="shared" si="66"/>
        <v/>
      </c>
      <c r="Q2130" s="13">
        <f t="shared" si="67"/>
        <v>0</v>
      </c>
    </row>
    <row r="2131" spans="2:17" ht="15" customHeight="1">
      <c r="B2131" s="5" t="str">
        <f>_xlfn.IFNA(VLOOKUP(C2131,Master!$H:$I,2,FALSE),"")</f>
        <v/>
      </c>
      <c r="D2131" s="5" t="str">
        <f>_xlfn.IFNA(VLOOKUP(E2131,Master!$H:$I,2,FALSE),"")</f>
        <v/>
      </c>
      <c r="F2131" s="26" t="str">
        <f>+_xlfn.XLOOKUP(G2131,Master!$V$2:$V$8,Master!$U$2:$U$8,"")</f>
        <v/>
      </c>
      <c r="I2131" s="4" t="str">
        <f>_xlfn.IFNA(VLOOKUP(D2131,Master!$I:$K,2,FALSE),"")</f>
        <v/>
      </c>
      <c r="J2131" s="4" t="str">
        <f>_xlfn.IFNA(VLOOKUP(D2131,Master!$I:$K,3,FALSE),"")</f>
        <v/>
      </c>
      <c r="L2131" s="27" t="str">
        <f>IF(A2131&lt;&gt;"CFA",_xlfn.IFNA(VLOOKUP($G2131,Master!$V$2:$Z$8,5,0),""),"")</f>
        <v/>
      </c>
      <c r="P2131" s="6" t="str">
        <f t="shared" si="66"/>
        <v/>
      </c>
      <c r="Q2131" s="13">
        <f t="shared" si="67"/>
        <v>0</v>
      </c>
    </row>
    <row r="2132" spans="2:17" ht="15" customHeight="1">
      <c r="B2132" s="5" t="str">
        <f>_xlfn.IFNA(VLOOKUP(C2132,Master!$H:$I,2,FALSE),"")</f>
        <v/>
      </c>
      <c r="D2132" s="5" t="str">
        <f>_xlfn.IFNA(VLOOKUP(E2132,Master!$H:$I,2,FALSE),"")</f>
        <v/>
      </c>
      <c r="F2132" s="26" t="str">
        <f>+_xlfn.XLOOKUP(G2132,Master!$V$2:$V$8,Master!$U$2:$U$8,"")</f>
        <v/>
      </c>
      <c r="I2132" s="4" t="str">
        <f>_xlfn.IFNA(VLOOKUP(D2132,Master!$I:$K,2,FALSE),"")</f>
        <v/>
      </c>
      <c r="J2132" s="4" t="str">
        <f>_xlfn.IFNA(VLOOKUP(D2132,Master!$I:$K,3,FALSE),"")</f>
        <v/>
      </c>
      <c r="L2132" s="27" t="str">
        <f>IF(A2132&lt;&gt;"CFA",_xlfn.IFNA(VLOOKUP($G2132,Master!$V$2:$Z$8,5,0),""),"")</f>
        <v/>
      </c>
      <c r="P2132" s="6" t="str">
        <f t="shared" si="66"/>
        <v/>
      </c>
      <c r="Q2132" s="13">
        <f t="shared" si="67"/>
        <v>0</v>
      </c>
    </row>
    <row r="2133" spans="2:17" ht="15" customHeight="1">
      <c r="B2133" s="5" t="str">
        <f>_xlfn.IFNA(VLOOKUP(C2133,Master!$H:$I,2,FALSE),"")</f>
        <v/>
      </c>
      <c r="D2133" s="5" t="str">
        <f>_xlfn.IFNA(VLOOKUP(E2133,Master!$H:$I,2,FALSE),"")</f>
        <v/>
      </c>
      <c r="F2133" s="26" t="str">
        <f>+_xlfn.XLOOKUP(G2133,Master!$V$2:$V$8,Master!$U$2:$U$8,"")</f>
        <v/>
      </c>
      <c r="I2133" s="4" t="str">
        <f>_xlfn.IFNA(VLOOKUP(D2133,Master!$I:$K,2,FALSE),"")</f>
        <v/>
      </c>
      <c r="J2133" s="4" t="str">
        <f>_xlfn.IFNA(VLOOKUP(D2133,Master!$I:$K,3,FALSE),"")</f>
        <v/>
      </c>
      <c r="L2133" s="27" t="str">
        <f>IF(A2133&lt;&gt;"CFA",_xlfn.IFNA(VLOOKUP($G2133,Master!$V$2:$Z$8,5,0),""),"")</f>
        <v/>
      </c>
      <c r="P2133" s="6" t="str">
        <f t="shared" si="66"/>
        <v/>
      </c>
      <c r="Q2133" s="13">
        <f t="shared" si="67"/>
        <v>0</v>
      </c>
    </row>
    <row r="2134" spans="2:17" ht="15" customHeight="1">
      <c r="B2134" s="5" t="str">
        <f>_xlfn.IFNA(VLOOKUP(C2134,Master!$H:$I,2,FALSE),"")</f>
        <v/>
      </c>
      <c r="D2134" s="5" t="str">
        <f>_xlfn.IFNA(VLOOKUP(E2134,Master!$H:$I,2,FALSE),"")</f>
        <v/>
      </c>
      <c r="F2134" s="26" t="str">
        <f>+_xlfn.XLOOKUP(G2134,Master!$V$2:$V$8,Master!$U$2:$U$8,"")</f>
        <v/>
      </c>
      <c r="I2134" s="4" t="str">
        <f>_xlfn.IFNA(VLOOKUP(D2134,Master!$I:$K,2,FALSE),"")</f>
        <v/>
      </c>
      <c r="J2134" s="4" t="str">
        <f>_xlfn.IFNA(VLOOKUP(D2134,Master!$I:$K,3,FALSE),"")</f>
        <v/>
      </c>
      <c r="L2134" s="27" t="str">
        <f>IF(A2134&lt;&gt;"CFA",_xlfn.IFNA(VLOOKUP($G2134,Master!$V$2:$Z$8,5,0),""),"")</f>
        <v/>
      </c>
      <c r="P2134" s="6" t="str">
        <f t="shared" si="66"/>
        <v/>
      </c>
      <c r="Q2134" s="13">
        <f t="shared" si="67"/>
        <v>0</v>
      </c>
    </row>
    <row r="2135" spans="2:17" ht="15" customHeight="1">
      <c r="B2135" s="5" t="str">
        <f>_xlfn.IFNA(VLOOKUP(C2135,Master!$H:$I,2,FALSE),"")</f>
        <v/>
      </c>
      <c r="D2135" s="5" t="str">
        <f>_xlfn.IFNA(VLOOKUP(E2135,Master!$H:$I,2,FALSE),"")</f>
        <v/>
      </c>
      <c r="F2135" s="26" t="str">
        <f>+_xlfn.XLOOKUP(G2135,Master!$V$2:$V$8,Master!$U$2:$U$8,"")</f>
        <v/>
      </c>
      <c r="I2135" s="4" t="str">
        <f>_xlfn.IFNA(VLOOKUP(D2135,Master!$I:$K,2,FALSE),"")</f>
        <v/>
      </c>
      <c r="J2135" s="4" t="str">
        <f>_xlfn.IFNA(VLOOKUP(D2135,Master!$I:$K,3,FALSE),"")</f>
        <v/>
      </c>
      <c r="L2135" s="27" t="str">
        <f>IF(A2135&lt;&gt;"CFA",_xlfn.IFNA(VLOOKUP($G2135,Master!$V$2:$Z$8,5,0),""),"")</f>
        <v/>
      </c>
      <c r="P2135" s="6" t="str">
        <f t="shared" si="66"/>
        <v/>
      </c>
      <c r="Q2135" s="13">
        <f t="shared" si="67"/>
        <v>0</v>
      </c>
    </row>
    <row r="2136" spans="2:17" ht="15" customHeight="1">
      <c r="B2136" s="5" t="str">
        <f>_xlfn.IFNA(VLOOKUP(C2136,Master!$H:$I,2,FALSE),"")</f>
        <v/>
      </c>
      <c r="D2136" s="5" t="str">
        <f>_xlfn.IFNA(VLOOKUP(E2136,Master!$H:$I,2,FALSE),"")</f>
        <v/>
      </c>
      <c r="F2136" s="26" t="str">
        <f>+_xlfn.XLOOKUP(G2136,Master!$V$2:$V$8,Master!$U$2:$U$8,"")</f>
        <v/>
      </c>
      <c r="I2136" s="4" t="str">
        <f>_xlfn.IFNA(VLOOKUP(D2136,Master!$I:$K,2,FALSE),"")</f>
        <v/>
      </c>
      <c r="J2136" s="4" t="str">
        <f>_xlfn.IFNA(VLOOKUP(D2136,Master!$I:$K,3,FALSE),"")</f>
        <v/>
      </c>
      <c r="L2136" s="27" t="str">
        <f>IF(A2136&lt;&gt;"CFA",_xlfn.IFNA(VLOOKUP($G2136,Master!$V$2:$Z$8,5,0),""),"")</f>
        <v/>
      </c>
      <c r="P2136" s="6" t="str">
        <f t="shared" si="66"/>
        <v/>
      </c>
      <c r="Q2136" s="13">
        <f t="shared" si="67"/>
        <v>0</v>
      </c>
    </row>
    <row r="2137" spans="2:17" ht="15" customHeight="1">
      <c r="B2137" s="5" t="str">
        <f>_xlfn.IFNA(VLOOKUP(C2137,Master!$H:$I,2,FALSE),"")</f>
        <v/>
      </c>
      <c r="D2137" s="5" t="str">
        <f>_xlfn.IFNA(VLOOKUP(E2137,Master!$H:$I,2,FALSE),"")</f>
        <v/>
      </c>
      <c r="F2137" s="26" t="str">
        <f>+_xlfn.XLOOKUP(G2137,Master!$V$2:$V$8,Master!$U$2:$U$8,"")</f>
        <v/>
      </c>
      <c r="I2137" s="4" t="str">
        <f>_xlfn.IFNA(VLOOKUP(D2137,Master!$I:$K,2,FALSE),"")</f>
        <v/>
      </c>
      <c r="J2137" s="4" t="str">
        <f>_xlfn.IFNA(VLOOKUP(D2137,Master!$I:$K,3,FALSE),"")</f>
        <v/>
      </c>
      <c r="L2137" s="27" t="str">
        <f>IF(A2137&lt;&gt;"CFA",_xlfn.IFNA(VLOOKUP($G2137,Master!$V$2:$Z$8,5,0),""),"")</f>
        <v/>
      </c>
      <c r="P2137" s="6" t="str">
        <f t="shared" si="66"/>
        <v/>
      </c>
      <c r="Q2137" s="13">
        <f t="shared" si="67"/>
        <v>0</v>
      </c>
    </row>
    <row r="2138" spans="2:17" ht="15" customHeight="1">
      <c r="B2138" s="5" t="str">
        <f>_xlfn.IFNA(VLOOKUP(C2138,Master!$H:$I,2,FALSE),"")</f>
        <v/>
      </c>
      <c r="D2138" s="5" t="str">
        <f>_xlfn.IFNA(VLOOKUP(E2138,Master!$H:$I,2,FALSE),"")</f>
        <v/>
      </c>
      <c r="F2138" s="26" t="str">
        <f>+_xlfn.XLOOKUP(G2138,Master!$V$2:$V$8,Master!$U$2:$U$8,"")</f>
        <v/>
      </c>
      <c r="I2138" s="4" t="str">
        <f>_xlfn.IFNA(VLOOKUP(D2138,Master!$I:$K,2,FALSE),"")</f>
        <v/>
      </c>
      <c r="J2138" s="4" t="str">
        <f>_xlfn.IFNA(VLOOKUP(D2138,Master!$I:$K,3,FALSE),"")</f>
        <v/>
      </c>
      <c r="L2138" s="27" t="str">
        <f>IF(A2138&lt;&gt;"CFA",_xlfn.IFNA(VLOOKUP($G2138,Master!$V$2:$Z$8,5,0),""),"")</f>
        <v/>
      </c>
      <c r="P2138" s="6" t="str">
        <f t="shared" si="66"/>
        <v/>
      </c>
      <c r="Q2138" s="13">
        <f t="shared" si="67"/>
        <v>0</v>
      </c>
    </row>
    <row r="2139" spans="2:17" ht="15" customHeight="1">
      <c r="B2139" s="5" t="str">
        <f>_xlfn.IFNA(VLOOKUP(C2139,Master!$H:$I,2,FALSE),"")</f>
        <v/>
      </c>
      <c r="D2139" s="5" t="str">
        <f>_xlfn.IFNA(VLOOKUP(E2139,Master!$H:$I,2,FALSE),"")</f>
        <v/>
      </c>
      <c r="F2139" s="26" t="str">
        <f>+_xlfn.XLOOKUP(G2139,Master!$V$2:$V$8,Master!$U$2:$U$8,"")</f>
        <v/>
      </c>
      <c r="I2139" s="4" t="str">
        <f>_xlfn.IFNA(VLOOKUP(D2139,Master!$I:$K,2,FALSE),"")</f>
        <v/>
      </c>
      <c r="J2139" s="4" t="str">
        <f>_xlfn.IFNA(VLOOKUP(D2139,Master!$I:$K,3,FALSE),"")</f>
        <v/>
      </c>
      <c r="L2139" s="27" t="str">
        <f>IF(A2139&lt;&gt;"CFA",_xlfn.IFNA(VLOOKUP($G2139,Master!$V$2:$Z$8,5,0),""),"")</f>
        <v/>
      </c>
      <c r="P2139" s="6" t="str">
        <f t="shared" si="66"/>
        <v/>
      </c>
      <c r="Q2139" s="13">
        <f t="shared" si="67"/>
        <v>0</v>
      </c>
    </row>
    <row r="2140" spans="2:17" ht="15" customHeight="1">
      <c r="B2140" s="5" t="str">
        <f>_xlfn.IFNA(VLOOKUP(C2140,Master!$H:$I,2,FALSE),"")</f>
        <v/>
      </c>
      <c r="D2140" s="5" t="str">
        <f>_xlfn.IFNA(VLOOKUP(E2140,Master!$H:$I,2,FALSE),"")</f>
        <v/>
      </c>
      <c r="F2140" s="26" t="str">
        <f>+_xlfn.XLOOKUP(G2140,Master!$V$2:$V$8,Master!$U$2:$U$8,"")</f>
        <v/>
      </c>
      <c r="I2140" s="4" t="str">
        <f>_xlfn.IFNA(VLOOKUP(D2140,Master!$I:$K,2,FALSE),"")</f>
        <v/>
      </c>
      <c r="J2140" s="4" t="str">
        <f>_xlfn.IFNA(VLOOKUP(D2140,Master!$I:$K,3,FALSE),"")</f>
        <v/>
      </c>
      <c r="L2140" s="27" t="str">
        <f>IF(A2140&lt;&gt;"CFA",_xlfn.IFNA(VLOOKUP($G2140,Master!$V$2:$Z$8,5,0),""),"")</f>
        <v/>
      </c>
      <c r="P2140" s="6" t="str">
        <f t="shared" si="66"/>
        <v/>
      </c>
      <c r="Q2140" s="13">
        <f t="shared" si="67"/>
        <v>0</v>
      </c>
    </row>
    <row r="2141" spans="2:17" ht="15" customHeight="1">
      <c r="B2141" s="5" t="str">
        <f>_xlfn.IFNA(VLOOKUP(C2141,Master!$H:$I,2,FALSE),"")</f>
        <v/>
      </c>
      <c r="D2141" s="5" t="str">
        <f>_xlfn.IFNA(VLOOKUP(E2141,Master!$H:$I,2,FALSE),"")</f>
        <v/>
      </c>
      <c r="F2141" s="26" t="str">
        <f>+_xlfn.XLOOKUP(G2141,Master!$V$2:$V$8,Master!$U$2:$U$8,"")</f>
        <v/>
      </c>
      <c r="I2141" s="4" t="str">
        <f>_xlfn.IFNA(VLOOKUP(D2141,Master!$I:$K,2,FALSE),"")</f>
        <v/>
      </c>
      <c r="J2141" s="4" t="str">
        <f>_xlfn.IFNA(VLOOKUP(D2141,Master!$I:$K,3,FALSE),"")</f>
        <v/>
      </c>
      <c r="L2141" s="27" t="str">
        <f>IF(A2141&lt;&gt;"CFA",_xlfn.IFNA(VLOOKUP($G2141,Master!$V$2:$Z$8,5,0),""),"")</f>
        <v/>
      </c>
      <c r="P2141" s="6" t="str">
        <f t="shared" si="66"/>
        <v/>
      </c>
      <c r="Q2141" s="13">
        <f t="shared" si="67"/>
        <v>0</v>
      </c>
    </row>
    <row r="2142" spans="2:17" ht="15" customHeight="1">
      <c r="B2142" s="5" t="str">
        <f>_xlfn.IFNA(VLOOKUP(C2142,Master!$H:$I,2,FALSE),"")</f>
        <v/>
      </c>
      <c r="D2142" s="5" t="str">
        <f>_xlfn.IFNA(VLOOKUP(E2142,Master!$H:$I,2,FALSE),"")</f>
        <v/>
      </c>
      <c r="F2142" s="26" t="str">
        <f>+_xlfn.XLOOKUP(G2142,Master!$V$2:$V$8,Master!$U$2:$U$8,"")</f>
        <v/>
      </c>
      <c r="I2142" s="4" t="str">
        <f>_xlfn.IFNA(VLOOKUP(D2142,Master!$I:$K,2,FALSE),"")</f>
        <v/>
      </c>
      <c r="J2142" s="4" t="str">
        <f>_xlfn.IFNA(VLOOKUP(D2142,Master!$I:$K,3,FALSE),"")</f>
        <v/>
      </c>
      <c r="L2142" s="27" t="str">
        <f>IF(A2142&lt;&gt;"CFA",_xlfn.IFNA(VLOOKUP($G2142,Master!$V$2:$Z$8,5,0),""),"")</f>
        <v/>
      </c>
      <c r="P2142" s="6" t="str">
        <f t="shared" si="66"/>
        <v/>
      </c>
      <c r="Q2142" s="13">
        <f t="shared" si="67"/>
        <v>0</v>
      </c>
    </row>
    <row r="2143" spans="2:17" ht="15" customHeight="1">
      <c r="B2143" s="5" t="str">
        <f>_xlfn.IFNA(VLOOKUP(C2143,Master!$H:$I,2,FALSE),"")</f>
        <v/>
      </c>
      <c r="D2143" s="5" t="str">
        <f>_xlfn.IFNA(VLOOKUP(E2143,Master!$H:$I,2,FALSE),"")</f>
        <v/>
      </c>
      <c r="F2143" s="26" t="str">
        <f>+_xlfn.XLOOKUP(G2143,Master!$V$2:$V$8,Master!$U$2:$U$8,"")</f>
        <v/>
      </c>
      <c r="I2143" s="4" t="str">
        <f>_xlfn.IFNA(VLOOKUP(D2143,Master!$I:$K,2,FALSE),"")</f>
        <v/>
      </c>
      <c r="J2143" s="4" t="str">
        <f>_xlfn.IFNA(VLOOKUP(D2143,Master!$I:$K,3,FALSE),"")</f>
        <v/>
      </c>
      <c r="L2143" s="27" t="str">
        <f>IF(A2143&lt;&gt;"CFA",_xlfn.IFNA(VLOOKUP($G2143,Master!$V$2:$Z$8,5,0),""),"")</f>
        <v/>
      </c>
      <c r="P2143" s="6" t="str">
        <f t="shared" si="66"/>
        <v/>
      </c>
      <c r="Q2143" s="13">
        <f t="shared" si="67"/>
        <v>0</v>
      </c>
    </row>
    <row r="2144" spans="2:17" ht="15" customHeight="1">
      <c r="B2144" s="5" t="str">
        <f>_xlfn.IFNA(VLOOKUP(C2144,Master!$H:$I,2,FALSE),"")</f>
        <v/>
      </c>
      <c r="D2144" s="5" t="str">
        <f>_xlfn.IFNA(VLOOKUP(E2144,Master!$H:$I,2,FALSE),"")</f>
        <v/>
      </c>
      <c r="F2144" s="26" t="str">
        <f>+_xlfn.XLOOKUP(G2144,Master!$V$2:$V$8,Master!$U$2:$U$8,"")</f>
        <v/>
      </c>
      <c r="I2144" s="4" t="str">
        <f>_xlfn.IFNA(VLOOKUP(D2144,Master!$I:$K,2,FALSE),"")</f>
        <v/>
      </c>
      <c r="J2144" s="4" t="str">
        <f>_xlfn.IFNA(VLOOKUP(D2144,Master!$I:$K,3,FALSE),"")</f>
        <v/>
      </c>
      <c r="L2144" s="27" t="str">
        <f>IF(A2144&lt;&gt;"CFA",_xlfn.IFNA(VLOOKUP($G2144,Master!$V$2:$Z$8,5,0),""),"")</f>
        <v/>
      </c>
      <c r="P2144" s="6" t="str">
        <f t="shared" si="66"/>
        <v/>
      </c>
      <c r="Q2144" s="13">
        <f t="shared" si="67"/>
        <v>0</v>
      </c>
    </row>
    <row r="2145" spans="2:17" ht="15" customHeight="1">
      <c r="B2145" s="5" t="str">
        <f>_xlfn.IFNA(VLOOKUP(C2145,Master!$H:$I,2,FALSE),"")</f>
        <v/>
      </c>
      <c r="D2145" s="5" t="str">
        <f>_xlfn.IFNA(VLOOKUP(E2145,Master!$H:$I,2,FALSE),"")</f>
        <v/>
      </c>
      <c r="F2145" s="26" t="str">
        <f>+_xlfn.XLOOKUP(G2145,Master!$V$2:$V$8,Master!$U$2:$U$8,"")</f>
        <v/>
      </c>
      <c r="I2145" s="4" t="str">
        <f>_xlfn.IFNA(VLOOKUP(D2145,Master!$I:$K,2,FALSE),"")</f>
        <v/>
      </c>
      <c r="J2145" s="4" t="str">
        <f>_xlfn.IFNA(VLOOKUP(D2145,Master!$I:$K,3,FALSE),"")</f>
        <v/>
      </c>
      <c r="L2145" s="27" t="str">
        <f>IF(A2145&lt;&gt;"CFA",_xlfn.IFNA(VLOOKUP($G2145,Master!$V$2:$Z$8,5,0),""),"")</f>
        <v/>
      </c>
      <c r="P2145" s="6" t="str">
        <f t="shared" si="66"/>
        <v/>
      </c>
      <c r="Q2145" s="13">
        <f t="shared" si="67"/>
        <v>0</v>
      </c>
    </row>
    <row r="2146" spans="2:17" ht="15" customHeight="1">
      <c r="B2146" s="5" t="str">
        <f>_xlfn.IFNA(VLOOKUP(C2146,Master!$H:$I,2,FALSE),"")</f>
        <v/>
      </c>
      <c r="D2146" s="5" t="str">
        <f>_xlfn.IFNA(VLOOKUP(E2146,Master!$H:$I,2,FALSE),"")</f>
        <v/>
      </c>
      <c r="F2146" s="26" t="str">
        <f>+_xlfn.XLOOKUP(G2146,Master!$V$2:$V$8,Master!$U$2:$U$8,"")</f>
        <v/>
      </c>
      <c r="I2146" s="4" t="str">
        <f>_xlfn.IFNA(VLOOKUP(D2146,Master!$I:$K,2,FALSE),"")</f>
        <v/>
      </c>
      <c r="J2146" s="4" t="str">
        <f>_xlfn.IFNA(VLOOKUP(D2146,Master!$I:$K,3,FALSE),"")</f>
        <v/>
      </c>
      <c r="L2146" s="27" t="str">
        <f>IF(A2146&lt;&gt;"CFA",_xlfn.IFNA(VLOOKUP($G2146,Master!$V$2:$Z$8,5,0),""),"")</f>
        <v/>
      </c>
      <c r="P2146" s="6" t="str">
        <f t="shared" si="66"/>
        <v/>
      </c>
      <c r="Q2146" s="13">
        <f t="shared" si="67"/>
        <v>0</v>
      </c>
    </row>
    <row r="2147" spans="2:17" ht="15" customHeight="1">
      <c r="B2147" s="5" t="str">
        <f>_xlfn.IFNA(VLOOKUP(C2147,Master!$H:$I,2,FALSE),"")</f>
        <v/>
      </c>
      <c r="D2147" s="5" t="str">
        <f>_xlfn.IFNA(VLOOKUP(E2147,Master!$H:$I,2,FALSE),"")</f>
        <v/>
      </c>
      <c r="F2147" s="26" t="str">
        <f>+_xlfn.XLOOKUP(G2147,Master!$V$2:$V$8,Master!$U$2:$U$8,"")</f>
        <v/>
      </c>
      <c r="I2147" s="4" t="str">
        <f>_xlfn.IFNA(VLOOKUP(D2147,Master!$I:$K,2,FALSE),"")</f>
        <v/>
      </c>
      <c r="J2147" s="4" t="str">
        <f>_xlfn.IFNA(VLOOKUP(D2147,Master!$I:$K,3,FALSE),"")</f>
        <v/>
      </c>
      <c r="L2147" s="27" t="str">
        <f>IF(A2147&lt;&gt;"CFA",_xlfn.IFNA(VLOOKUP($G2147,Master!$V$2:$Z$8,5,0),""),"")</f>
        <v/>
      </c>
      <c r="P2147" s="6" t="str">
        <f t="shared" si="66"/>
        <v/>
      </c>
      <c r="Q2147" s="13">
        <f t="shared" si="67"/>
        <v>0</v>
      </c>
    </row>
    <row r="2148" spans="2:17" ht="15" customHeight="1">
      <c r="B2148" s="5" t="str">
        <f>_xlfn.IFNA(VLOOKUP(C2148,Master!$H:$I,2,FALSE),"")</f>
        <v/>
      </c>
      <c r="D2148" s="5" t="str">
        <f>_xlfn.IFNA(VLOOKUP(E2148,Master!$H:$I,2,FALSE),"")</f>
        <v/>
      </c>
      <c r="F2148" s="26" t="str">
        <f>+_xlfn.XLOOKUP(G2148,Master!$V$2:$V$8,Master!$U$2:$U$8,"")</f>
        <v/>
      </c>
      <c r="I2148" s="4" t="str">
        <f>_xlfn.IFNA(VLOOKUP(D2148,Master!$I:$K,2,FALSE),"")</f>
        <v/>
      </c>
      <c r="J2148" s="4" t="str">
        <f>_xlfn.IFNA(VLOOKUP(D2148,Master!$I:$K,3,FALSE),"")</f>
        <v/>
      </c>
      <c r="L2148" s="27" t="str">
        <f>IF(A2148&lt;&gt;"CFA",_xlfn.IFNA(VLOOKUP($G2148,Master!$V$2:$Z$8,5,0),""),"")</f>
        <v/>
      </c>
      <c r="P2148" s="6" t="str">
        <f t="shared" si="66"/>
        <v/>
      </c>
      <c r="Q2148" s="13">
        <f t="shared" si="67"/>
        <v>0</v>
      </c>
    </row>
    <row r="2149" spans="2:17" ht="15" customHeight="1">
      <c r="B2149" s="5" t="str">
        <f>_xlfn.IFNA(VLOOKUP(C2149,Master!$H:$I,2,FALSE),"")</f>
        <v/>
      </c>
      <c r="D2149" s="5" t="str">
        <f>_xlfn.IFNA(VLOOKUP(E2149,Master!$H:$I,2,FALSE),"")</f>
        <v/>
      </c>
      <c r="F2149" s="26" t="str">
        <f>+_xlfn.XLOOKUP(G2149,Master!$V$2:$V$8,Master!$U$2:$U$8,"")</f>
        <v/>
      </c>
      <c r="I2149" s="4" t="str">
        <f>_xlfn.IFNA(VLOOKUP(D2149,Master!$I:$K,2,FALSE),"")</f>
        <v/>
      </c>
      <c r="J2149" s="4" t="str">
        <f>_xlfn.IFNA(VLOOKUP(D2149,Master!$I:$K,3,FALSE),"")</f>
        <v/>
      </c>
      <c r="L2149" s="27" t="str">
        <f>IF(A2149&lt;&gt;"CFA",_xlfn.IFNA(VLOOKUP($G2149,Master!$V$2:$Z$8,5,0),""),"")</f>
        <v/>
      </c>
      <c r="P2149" s="6" t="str">
        <f t="shared" si="66"/>
        <v/>
      </c>
      <c r="Q2149" s="13">
        <f t="shared" si="67"/>
        <v>0</v>
      </c>
    </row>
    <row r="2150" spans="2:17" ht="15" customHeight="1">
      <c r="B2150" s="5" t="str">
        <f>_xlfn.IFNA(VLOOKUP(C2150,Master!$H:$I,2,FALSE),"")</f>
        <v/>
      </c>
      <c r="D2150" s="5" t="str">
        <f>_xlfn.IFNA(VLOOKUP(E2150,Master!$H:$I,2,FALSE),"")</f>
        <v/>
      </c>
      <c r="F2150" s="26" t="str">
        <f>+_xlfn.XLOOKUP(G2150,Master!$V$2:$V$8,Master!$U$2:$U$8,"")</f>
        <v/>
      </c>
      <c r="I2150" s="4" t="str">
        <f>_xlfn.IFNA(VLOOKUP(D2150,Master!$I:$K,2,FALSE),"")</f>
        <v/>
      </c>
      <c r="J2150" s="4" t="str">
        <f>_xlfn.IFNA(VLOOKUP(D2150,Master!$I:$K,3,FALSE),"")</f>
        <v/>
      </c>
      <c r="L2150" s="27" t="str">
        <f>IF(A2150&lt;&gt;"CFA",_xlfn.IFNA(VLOOKUP($G2150,Master!$V$2:$Z$8,5,0),""),"")</f>
        <v/>
      </c>
      <c r="P2150" s="6" t="str">
        <f t="shared" si="66"/>
        <v/>
      </c>
      <c r="Q2150" s="13">
        <f t="shared" si="67"/>
        <v>0</v>
      </c>
    </row>
    <row r="2151" spans="2:17" ht="15" customHeight="1">
      <c r="B2151" s="5" t="str">
        <f>_xlfn.IFNA(VLOOKUP(C2151,Master!$H:$I,2,FALSE),"")</f>
        <v/>
      </c>
      <c r="D2151" s="5" t="str">
        <f>_xlfn.IFNA(VLOOKUP(E2151,Master!$H:$I,2,FALSE),"")</f>
        <v/>
      </c>
      <c r="F2151" s="26" t="str">
        <f>+_xlfn.XLOOKUP(G2151,Master!$V$2:$V$8,Master!$U$2:$U$8,"")</f>
        <v/>
      </c>
      <c r="I2151" s="4" t="str">
        <f>_xlfn.IFNA(VLOOKUP(D2151,Master!$I:$K,2,FALSE),"")</f>
        <v/>
      </c>
      <c r="J2151" s="4" t="str">
        <f>_xlfn.IFNA(VLOOKUP(D2151,Master!$I:$K,3,FALSE),"")</f>
        <v/>
      </c>
      <c r="L2151" s="27" t="str">
        <f>IF(A2151&lt;&gt;"CFA",_xlfn.IFNA(VLOOKUP($G2151,Master!$V$2:$Z$8,5,0),""),"")</f>
        <v/>
      </c>
      <c r="P2151" s="6" t="str">
        <f t="shared" si="66"/>
        <v/>
      </c>
      <c r="Q2151" s="13">
        <f t="shared" si="67"/>
        <v>0</v>
      </c>
    </row>
    <row r="2152" spans="2:17" ht="15" customHeight="1">
      <c r="B2152" s="5" t="str">
        <f>_xlfn.IFNA(VLOOKUP(C2152,Master!$H:$I,2,FALSE),"")</f>
        <v/>
      </c>
      <c r="D2152" s="5" t="str">
        <f>_xlfn.IFNA(VLOOKUP(E2152,Master!$H:$I,2,FALSE),"")</f>
        <v/>
      </c>
      <c r="F2152" s="26" t="str">
        <f>+_xlfn.XLOOKUP(G2152,Master!$V$2:$V$8,Master!$U$2:$U$8,"")</f>
        <v/>
      </c>
      <c r="I2152" s="4" t="str">
        <f>_xlfn.IFNA(VLOOKUP(D2152,Master!$I:$K,2,FALSE),"")</f>
        <v/>
      </c>
      <c r="J2152" s="4" t="str">
        <f>_xlfn.IFNA(VLOOKUP(D2152,Master!$I:$K,3,FALSE),"")</f>
        <v/>
      </c>
      <c r="L2152" s="27" t="str">
        <f>IF(A2152&lt;&gt;"CFA",_xlfn.IFNA(VLOOKUP($G2152,Master!$V$2:$Z$8,5,0),""),"")</f>
        <v/>
      </c>
      <c r="P2152" s="6" t="str">
        <f t="shared" si="66"/>
        <v/>
      </c>
      <c r="Q2152" s="13">
        <f t="shared" si="67"/>
        <v>0</v>
      </c>
    </row>
    <row r="2153" spans="2:17" ht="15" customHeight="1">
      <c r="B2153" s="5" t="str">
        <f>_xlfn.IFNA(VLOOKUP(C2153,Master!$H:$I,2,FALSE),"")</f>
        <v/>
      </c>
      <c r="D2153" s="5" t="str">
        <f>_xlfn.IFNA(VLOOKUP(E2153,Master!$H:$I,2,FALSE),"")</f>
        <v/>
      </c>
      <c r="F2153" s="26" t="str">
        <f>+_xlfn.XLOOKUP(G2153,Master!$V$2:$V$8,Master!$U$2:$U$8,"")</f>
        <v/>
      </c>
      <c r="I2153" s="4" t="str">
        <f>_xlfn.IFNA(VLOOKUP(D2153,Master!$I:$K,2,FALSE),"")</f>
        <v/>
      </c>
      <c r="J2153" s="4" t="str">
        <f>_xlfn.IFNA(VLOOKUP(D2153,Master!$I:$K,3,FALSE),"")</f>
        <v/>
      </c>
      <c r="L2153" s="27" t="str">
        <f>IF(A2153&lt;&gt;"CFA",_xlfn.IFNA(VLOOKUP($G2153,Master!$V$2:$Z$8,5,0),""),"")</f>
        <v/>
      </c>
      <c r="P2153" s="6" t="str">
        <f t="shared" si="66"/>
        <v/>
      </c>
      <c r="Q2153" s="13">
        <f t="shared" si="67"/>
        <v>0</v>
      </c>
    </row>
    <row r="2154" spans="2:17" ht="15" customHeight="1">
      <c r="B2154" s="5" t="str">
        <f>_xlfn.IFNA(VLOOKUP(C2154,Master!$H:$I,2,FALSE),"")</f>
        <v/>
      </c>
      <c r="D2154" s="5" t="str">
        <f>_xlfn.IFNA(VLOOKUP(E2154,Master!$H:$I,2,FALSE),"")</f>
        <v/>
      </c>
      <c r="F2154" s="26" t="str">
        <f>+_xlfn.XLOOKUP(G2154,Master!$V$2:$V$8,Master!$U$2:$U$8,"")</f>
        <v/>
      </c>
      <c r="I2154" s="4" t="str">
        <f>_xlfn.IFNA(VLOOKUP(D2154,Master!$I:$K,2,FALSE),"")</f>
        <v/>
      </c>
      <c r="J2154" s="4" t="str">
        <f>_xlfn.IFNA(VLOOKUP(D2154,Master!$I:$K,3,FALSE),"")</f>
        <v/>
      </c>
      <c r="L2154" s="27" t="str">
        <f>IF(A2154&lt;&gt;"CFA",_xlfn.IFNA(VLOOKUP($G2154,Master!$V$2:$Z$8,5,0),""),"")</f>
        <v/>
      </c>
      <c r="P2154" s="6" t="str">
        <f t="shared" si="66"/>
        <v/>
      </c>
      <c r="Q2154" s="13">
        <f t="shared" si="67"/>
        <v>0</v>
      </c>
    </row>
    <row r="2155" spans="2:17" ht="15" customHeight="1">
      <c r="B2155" s="5" t="str">
        <f>_xlfn.IFNA(VLOOKUP(C2155,Master!$H:$I,2,FALSE),"")</f>
        <v/>
      </c>
      <c r="D2155" s="5" t="str">
        <f>_xlfn.IFNA(VLOOKUP(E2155,Master!$H:$I,2,FALSE),"")</f>
        <v/>
      </c>
      <c r="F2155" s="26" t="str">
        <f>+_xlfn.XLOOKUP(G2155,Master!$V$2:$V$8,Master!$U$2:$U$8,"")</f>
        <v/>
      </c>
      <c r="I2155" s="4" t="str">
        <f>_xlfn.IFNA(VLOOKUP(D2155,Master!$I:$K,2,FALSE),"")</f>
        <v/>
      </c>
      <c r="J2155" s="4" t="str">
        <f>_xlfn.IFNA(VLOOKUP(D2155,Master!$I:$K,3,FALSE),"")</f>
        <v/>
      </c>
      <c r="L2155" s="27" t="str">
        <f>IF(A2155&lt;&gt;"CFA",_xlfn.IFNA(VLOOKUP($G2155,Master!$V$2:$Z$8,5,0),""),"")</f>
        <v/>
      </c>
      <c r="P2155" s="6" t="str">
        <f t="shared" si="66"/>
        <v/>
      </c>
      <c r="Q2155" s="13">
        <f t="shared" si="67"/>
        <v>0</v>
      </c>
    </row>
    <row r="2156" spans="2:17" ht="15" customHeight="1">
      <c r="B2156" s="5" t="str">
        <f>_xlfn.IFNA(VLOOKUP(C2156,Master!$H:$I,2,FALSE),"")</f>
        <v/>
      </c>
      <c r="D2156" s="5" t="str">
        <f>_xlfn.IFNA(VLOOKUP(E2156,Master!$H:$I,2,FALSE),"")</f>
        <v/>
      </c>
      <c r="F2156" s="26" t="str">
        <f>+_xlfn.XLOOKUP(G2156,Master!$V$2:$V$8,Master!$U$2:$U$8,"")</f>
        <v/>
      </c>
      <c r="I2156" s="4" t="str">
        <f>_xlfn.IFNA(VLOOKUP(D2156,Master!$I:$K,2,FALSE),"")</f>
        <v/>
      </c>
      <c r="J2156" s="4" t="str">
        <f>_xlfn.IFNA(VLOOKUP(D2156,Master!$I:$K,3,FALSE),"")</f>
        <v/>
      </c>
      <c r="L2156" s="27" t="str">
        <f>IF(A2156&lt;&gt;"CFA",_xlfn.IFNA(VLOOKUP($G2156,Master!$V$2:$Z$8,5,0),""),"")</f>
        <v/>
      </c>
      <c r="P2156" s="6" t="str">
        <f t="shared" si="66"/>
        <v/>
      </c>
      <c r="Q2156" s="13">
        <f t="shared" si="67"/>
        <v>0</v>
      </c>
    </row>
    <row r="2157" spans="2:17" ht="15" customHeight="1">
      <c r="B2157" s="5" t="str">
        <f>_xlfn.IFNA(VLOOKUP(C2157,Master!$H:$I,2,FALSE),"")</f>
        <v/>
      </c>
      <c r="D2157" s="5" t="str">
        <f>_xlfn.IFNA(VLOOKUP(E2157,Master!$H:$I,2,FALSE),"")</f>
        <v/>
      </c>
      <c r="F2157" s="26" t="str">
        <f>+_xlfn.XLOOKUP(G2157,Master!$V$2:$V$8,Master!$U$2:$U$8,"")</f>
        <v/>
      </c>
      <c r="I2157" s="4" t="str">
        <f>_xlfn.IFNA(VLOOKUP(D2157,Master!$I:$K,2,FALSE),"")</f>
        <v/>
      </c>
      <c r="J2157" s="4" t="str">
        <f>_xlfn.IFNA(VLOOKUP(D2157,Master!$I:$K,3,FALSE),"")</f>
        <v/>
      </c>
      <c r="L2157" s="27" t="str">
        <f>IF(A2157&lt;&gt;"CFA",_xlfn.IFNA(VLOOKUP($G2157,Master!$V$2:$Z$8,5,0),""),"")</f>
        <v/>
      </c>
      <c r="P2157" s="6" t="str">
        <f t="shared" si="66"/>
        <v/>
      </c>
      <c r="Q2157" s="13">
        <f t="shared" si="67"/>
        <v>0</v>
      </c>
    </row>
    <row r="2158" spans="2:17" ht="15" customHeight="1">
      <c r="B2158" s="5" t="str">
        <f>_xlfn.IFNA(VLOOKUP(C2158,Master!$H:$I,2,FALSE),"")</f>
        <v/>
      </c>
      <c r="D2158" s="5" t="str">
        <f>_xlfn.IFNA(VLOOKUP(E2158,Master!$H:$I,2,FALSE),"")</f>
        <v/>
      </c>
      <c r="F2158" s="26" t="str">
        <f>+_xlfn.XLOOKUP(G2158,Master!$V$2:$V$8,Master!$U$2:$U$8,"")</f>
        <v/>
      </c>
      <c r="I2158" s="4" t="str">
        <f>_xlfn.IFNA(VLOOKUP(D2158,Master!$I:$K,2,FALSE),"")</f>
        <v/>
      </c>
      <c r="J2158" s="4" t="str">
        <f>_xlfn.IFNA(VLOOKUP(D2158,Master!$I:$K,3,FALSE),"")</f>
        <v/>
      </c>
      <c r="L2158" s="27" t="str">
        <f>IF(A2158&lt;&gt;"CFA",_xlfn.IFNA(VLOOKUP($G2158,Master!$V$2:$Z$8,5,0),""),"")</f>
        <v/>
      </c>
      <c r="P2158" s="6" t="str">
        <f t="shared" si="66"/>
        <v/>
      </c>
      <c r="Q2158" s="13">
        <f t="shared" si="67"/>
        <v>0</v>
      </c>
    </row>
    <row r="2159" spans="2:17" ht="15" customHeight="1">
      <c r="B2159" s="5" t="str">
        <f>_xlfn.IFNA(VLOOKUP(C2159,Master!$H:$I,2,FALSE),"")</f>
        <v/>
      </c>
      <c r="D2159" s="5" t="str">
        <f>_xlfn.IFNA(VLOOKUP(E2159,Master!$H:$I,2,FALSE),"")</f>
        <v/>
      </c>
      <c r="F2159" s="26" t="str">
        <f>+_xlfn.XLOOKUP(G2159,Master!$V$2:$V$8,Master!$U$2:$U$8,"")</f>
        <v/>
      </c>
      <c r="I2159" s="4" t="str">
        <f>_xlfn.IFNA(VLOOKUP(D2159,Master!$I:$K,2,FALSE),"")</f>
        <v/>
      </c>
      <c r="J2159" s="4" t="str">
        <f>_xlfn.IFNA(VLOOKUP(D2159,Master!$I:$K,3,FALSE),"")</f>
        <v/>
      </c>
      <c r="L2159" s="27" t="str">
        <f>IF(A2159&lt;&gt;"CFA",_xlfn.IFNA(VLOOKUP($G2159,Master!$V$2:$Z$8,5,0),""),"")</f>
        <v/>
      </c>
      <c r="P2159" s="6" t="str">
        <f t="shared" si="66"/>
        <v/>
      </c>
      <c r="Q2159" s="13">
        <f t="shared" si="67"/>
        <v>0</v>
      </c>
    </row>
    <row r="2160" spans="2:17" ht="15" customHeight="1">
      <c r="B2160" s="5" t="str">
        <f>_xlfn.IFNA(VLOOKUP(C2160,Master!$H:$I,2,FALSE),"")</f>
        <v/>
      </c>
      <c r="D2160" s="5" t="str">
        <f>_xlfn.IFNA(VLOOKUP(E2160,Master!$H:$I,2,FALSE),"")</f>
        <v/>
      </c>
      <c r="F2160" s="26" t="str">
        <f>+_xlfn.XLOOKUP(G2160,Master!$V$2:$V$8,Master!$U$2:$U$8,"")</f>
        <v/>
      </c>
      <c r="I2160" s="4" t="str">
        <f>_xlfn.IFNA(VLOOKUP(D2160,Master!$I:$K,2,FALSE),"")</f>
        <v/>
      </c>
      <c r="J2160" s="4" t="str">
        <f>_xlfn.IFNA(VLOOKUP(D2160,Master!$I:$K,3,FALSE),"")</f>
        <v/>
      </c>
      <c r="L2160" s="27" t="str">
        <f>IF(A2160&lt;&gt;"CFA",_xlfn.IFNA(VLOOKUP($G2160,Master!$V$2:$Z$8,5,0),""),"")</f>
        <v/>
      </c>
      <c r="P2160" s="6" t="str">
        <f t="shared" si="66"/>
        <v/>
      </c>
      <c r="Q2160" s="13">
        <f t="shared" si="67"/>
        <v>0</v>
      </c>
    </row>
    <row r="2161" spans="2:17" ht="15" customHeight="1">
      <c r="B2161" s="5" t="str">
        <f>_xlfn.IFNA(VLOOKUP(C2161,Master!$H:$I,2,FALSE),"")</f>
        <v/>
      </c>
      <c r="D2161" s="5" t="str">
        <f>_xlfn.IFNA(VLOOKUP(E2161,Master!$H:$I,2,FALSE),"")</f>
        <v/>
      </c>
      <c r="F2161" s="26" t="str">
        <f>+_xlfn.XLOOKUP(G2161,Master!$V$2:$V$8,Master!$U$2:$U$8,"")</f>
        <v/>
      </c>
      <c r="I2161" s="4" t="str">
        <f>_xlfn.IFNA(VLOOKUP(D2161,Master!$I:$K,2,FALSE),"")</f>
        <v/>
      </c>
      <c r="J2161" s="4" t="str">
        <f>_xlfn.IFNA(VLOOKUP(D2161,Master!$I:$K,3,FALSE),"")</f>
        <v/>
      </c>
      <c r="L2161" s="27" t="str">
        <f>IF(A2161&lt;&gt;"CFA",_xlfn.IFNA(VLOOKUP($G2161,Master!$V$2:$Z$8,5,0),""),"")</f>
        <v/>
      </c>
      <c r="P2161" s="6" t="str">
        <f t="shared" si="66"/>
        <v/>
      </c>
      <c r="Q2161" s="13">
        <f t="shared" si="67"/>
        <v>0</v>
      </c>
    </row>
    <row r="2162" spans="2:17" ht="15" customHeight="1">
      <c r="B2162" s="5" t="str">
        <f>_xlfn.IFNA(VLOOKUP(C2162,Master!$H:$I,2,FALSE),"")</f>
        <v/>
      </c>
      <c r="D2162" s="5" t="str">
        <f>_xlfn.IFNA(VLOOKUP(E2162,Master!$H:$I,2,FALSE),"")</f>
        <v/>
      </c>
      <c r="F2162" s="26" t="str">
        <f>+_xlfn.XLOOKUP(G2162,Master!$V$2:$V$8,Master!$U$2:$U$8,"")</f>
        <v/>
      </c>
      <c r="I2162" s="4" t="str">
        <f>_xlfn.IFNA(VLOOKUP(D2162,Master!$I:$K,2,FALSE),"")</f>
        <v/>
      </c>
      <c r="J2162" s="4" t="str">
        <f>_xlfn.IFNA(VLOOKUP(D2162,Master!$I:$K,3,FALSE),"")</f>
        <v/>
      </c>
      <c r="L2162" s="27" t="str">
        <f>IF(A2162&lt;&gt;"CFA",_xlfn.IFNA(VLOOKUP($G2162,Master!$V$2:$Z$8,5,0),""),"")</f>
        <v/>
      </c>
      <c r="P2162" s="6" t="str">
        <f t="shared" si="66"/>
        <v/>
      </c>
      <c r="Q2162" s="13">
        <f t="shared" si="67"/>
        <v>0</v>
      </c>
    </row>
    <row r="2163" spans="2:17" ht="15" customHeight="1">
      <c r="B2163" s="5" t="str">
        <f>_xlfn.IFNA(VLOOKUP(C2163,Master!$H:$I,2,FALSE),"")</f>
        <v/>
      </c>
      <c r="D2163" s="5" t="str">
        <f>_xlfn.IFNA(VLOOKUP(E2163,Master!$H:$I,2,FALSE),"")</f>
        <v/>
      </c>
      <c r="F2163" s="26" t="str">
        <f>+_xlfn.XLOOKUP(G2163,Master!$V$2:$V$8,Master!$U$2:$U$8,"")</f>
        <v/>
      </c>
      <c r="I2163" s="4" t="str">
        <f>_xlfn.IFNA(VLOOKUP(D2163,Master!$I:$K,2,FALSE),"")</f>
        <v/>
      </c>
      <c r="J2163" s="4" t="str">
        <f>_xlfn.IFNA(VLOOKUP(D2163,Master!$I:$K,3,FALSE),"")</f>
        <v/>
      </c>
      <c r="L2163" s="27" t="str">
        <f>IF(A2163&lt;&gt;"CFA",_xlfn.IFNA(VLOOKUP($G2163,Master!$V$2:$Z$8,5,0),""),"")</f>
        <v/>
      </c>
      <c r="P2163" s="6" t="str">
        <f t="shared" si="66"/>
        <v/>
      </c>
      <c r="Q2163" s="13">
        <f t="shared" si="67"/>
        <v>0</v>
      </c>
    </row>
    <row r="2164" spans="2:17" ht="15" customHeight="1">
      <c r="B2164" s="5" t="str">
        <f>_xlfn.IFNA(VLOOKUP(C2164,Master!$H:$I,2,FALSE),"")</f>
        <v/>
      </c>
      <c r="D2164" s="5" t="str">
        <f>_xlfn.IFNA(VLOOKUP(E2164,Master!$H:$I,2,FALSE),"")</f>
        <v/>
      </c>
      <c r="F2164" s="26" t="str">
        <f>+_xlfn.XLOOKUP(G2164,Master!$V$2:$V$8,Master!$U$2:$U$8,"")</f>
        <v/>
      </c>
      <c r="I2164" s="4" t="str">
        <f>_xlfn.IFNA(VLOOKUP(D2164,Master!$I:$K,2,FALSE),"")</f>
        <v/>
      </c>
      <c r="J2164" s="4" t="str">
        <f>_xlfn.IFNA(VLOOKUP(D2164,Master!$I:$K,3,FALSE),"")</f>
        <v/>
      </c>
      <c r="L2164" s="27" t="str">
        <f>IF(A2164&lt;&gt;"CFA",_xlfn.IFNA(VLOOKUP($G2164,Master!$V$2:$Z$8,5,0),""),"")</f>
        <v/>
      </c>
      <c r="P2164" s="6" t="str">
        <f t="shared" si="66"/>
        <v/>
      </c>
      <c r="Q2164" s="13">
        <f t="shared" si="67"/>
        <v>0</v>
      </c>
    </row>
    <row r="2165" spans="2:17" ht="15" customHeight="1">
      <c r="B2165" s="5" t="str">
        <f>_xlfn.IFNA(VLOOKUP(C2165,Master!$H:$I,2,FALSE),"")</f>
        <v/>
      </c>
      <c r="D2165" s="5" t="str">
        <f>_xlfn.IFNA(VLOOKUP(E2165,Master!$H:$I,2,FALSE),"")</f>
        <v/>
      </c>
      <c r="F2165" s="26" t="str">
        <f>+_xlfn.XLOOKUP(G2165,Master!$V$2:$V$8,Master!$U$2:$U$8,"")</f>
        <v/>
      </c>
      <c r="I2165" s="4" t="str">
        <f>_xlfn.IFNA(VLOOKUP(D2165,Master!$I:$K,2,FALSE),"")</f>
        <v/>
      </c>
      <c r="J2165" s="4" t="str">
        <f>_xlfn.IFNA(VLOOKUP(D2165,Master!$I:$K,3,FALSE),"")</f>
        <v/>
      </c>
      <c r="L2165" s="27" t="str">
        <f>IF(A2165&lt;&gt;"CFA",_xlfn.IFNA(VLOOKUP($G2165,Master!$V$2:$Z$8,5,0),""),"")</f>
        <v/>
      </c>
      <c r="P2165" s="6" t="str">
        <f t="shared" si="66"/>
        <v/>
      </c>
      <c r="Q2165" s="13">
        <f t="shared" si="67"/>
        <v>0</v>
      </c>
    </row>
    <row r="2166" spans="2:17" ht="15" customHeight="1">
      <c r="B2166" s="5" t="str">
        <f>_xlfn.IFNA(VLOOKUP(C2166,Master!$H:$I,2,FALSE),"")</f>
        <v/>
      </c>
      <c r="D2166" s="5" t="str">
        <f>_xlfn.IFNA(VLOOKUP(E2166,Master!$H:$I,2,FALSE),"")</f>
        <v/>
      </c>
      <c r="F2166" s="26" t="str">
        <f>+_xlfn.XLOOKUP(G2166,Master!$V$2:$V$8,Master!$U$2:$U$8,"")</f>
        <v/>
      </c>
      <c r="I2166" s="4" t="str">
        <f>_xlfn.IFNA(VLOOKUP(D2166,Master!$I:$K,2,FALSE),"")</f>
        <v/>
      </c>
      <c r="J2166" s="4" t="str">
        <f>_xlfn.IFNA(VLOOKUP(D2166,Master!$I:$K,3,FALSE),"")</f>
        <v/>
      </c>
      <c r="L2166" s="27" t="str">
        <f>IF(A2166&lt;&gt;"CFA",_xlfn.IFNA(VLOOKUP($G2166,Master!$V$2:$Z$8,5,0),""),"")</f>
        <v/>
      </c>
      <c r="P2166" s="6" t="str">
        <f t="shared" si="66"/>
        <v/>
      </c>
      <c r="Q2166" s="13">
        <f t="shared" si="67"/>
        <v>0</v>
      </c>
    </row>
    <row r="2167" spans="2:17" ht="15" customHeight="1">
      <c r="B2167" s="5" t="str">
        <f>_xlfn.IFNA(VLOOKUP(C2167,Master!$H:$I,2,FALSE),"")</f>
        <v/>
      </c>
      <c r="D2167" s="5" t="str">
        <f>_xlfn.IFNA(VLOOKUP(E2167,Master!$H:$I,2,FALSE),"")</f>
        <v/>
      </c>
      <c r="F2167" s="26" t="str">
        <f>+_xlfn.XLOOKUP(G2167,Master!$V$2:$V$8,Master!$U$2:$U$8,"")</f>
        <v/>
      </c>
      <c r="I2167" s="4" t="str">
        <f>_xlfn.IFNA(VLOOKUP(D2167,Master!$I:$K,2,FALSE),"")</f>
        <v/>
      </c>
      <c r="J2167" s="4" t="str">
        <f>_xlfn.IFNA(VLOOKUP(D2167,Master!$I:$K,3,FALSE),"")</f>
        <v/>
      </c>
      <c r="L2167" s="27" t="str">
        <f>IF(A2167&lt;&gt;"CFA",_xlfn.IFNA(VLOOKUP($G2167,Master!$V$2:$Z$8,5,0),""),"")</f>
        <v/>
      </c>
      <c r="P2167" s="6" t="str">
        <f t="shared" ref="P2167:P2230" si="68">IF(N2167&lt;&gt;"",IF(MONTH(N2167)&gt;=4,"FY1"&amp;RIGHT(YEAR(N2167)+1,2),"FY1"&amp;RIGHT(YEAR(N2167),2)),"")</f>
        <v/>
      </c>
      <c r="Q2167" s="13">
        <f t="shared" ref="Q2167:Q2230" si="69">IF(K2167&gt;0&amp;M2167&gt;0,K2167*M2167,"")</f>
        <v>0</v>
      </c>
    </row>
    <row r="2168" spans="2:17" ht="15" customHeight="1">
      <c r="B2168" s="5" t="str">
        <f>_xlfn.IFNA(VLOOKUP(C2168,Master!$H:$I,2,FALSE),"")</f>
        <v/>
      </c>
      <c r="D2168" s="5" t="str">
        <f>_xlfn.IFNA(VLOOKUP(E2168,Master!$H:$I,2,FALSE),"")</f>
        <v/>
      </c>
      <c r="F2168" s="26" t="str">
        <f>+_xlfn.XLOOKUP(G2168,Master!$V$2:$V$8,Master!$U$2:$U$8,"")</f>
        <v/>
      </c>
      <c r="I2168" s="4" t="str">
        <f>_xlfn.IFNA(VLOOKUP(D2168,Master!$I:$K,2,FALSE),"")</f>
        <v/>
      </c>
      <c r="J2168" s="4" t="str">
        <f>_xlfn.IFNA(VLOOKUP(D2168,Master!$I:$K,3,FALSE),"")</f>
        <v/>
      </c>
      <c r="L2168" s="27" t="str">
        <f>IF(A2168&lt;&gt;"CFA",_xlfn.IFNA(VLOOKUP($G2168,Master!$V$2:$Z$8,5,0),""),"")</f>
        <v/>
      </c>
      <c r="P2168" s="6" t="str">
        <f t="shared" si="68"/>
        <v/>
      </c>
      <c r="Q2168" s="13">
        <f t="shared" si="69"/>
        <v>0</v>
      </c>
    </row>
    <row r="2169" spans="2:17" ht="15" customHeight="1">
      <c r="B2169" s="5" t="str">
        <f>_xlfn.IFNA(VLOOKUP(C2169,Master!$H:$I,2,FALSE),"")</f>
        <v/>
      </c>
      <c r="D2169" s="5" t="str">
        <f>_xlfn.IFNA(VLOOKUP(E2169,Master!$H:$I,2,FALSE),"")</f>
        <v/>
      </c>
      <c r="F2169" s="26" t="str">
        <f>+_xlfn.XLOOKUP(G2169,Master!$V$2:$V$8,Master!$U$2:$U$8,"")</f>
        <v/>
      </c>
      <c r="I2169" s="4" t="str">
        <f>_xlfn.IFNA(VLOOKUP(D2169,Master!$I:$K,2,FALSE),"")</f>
        <v/>
      </c>
      <c r="J2169" s="4" t="str">
        <f>_xlfn.IFNA(VLOOKUP(D2169,Master!$I:$K,3,FALSE),"")</f>
        <v/>
      </c>
      <c r="L2169" s="27" t="str">
        <f>IF(A2169&lt;&gt;"CFA",_xlfn.IFNA(VLOOKUP($G2169,Master!$V$2:$Z$8,5,0),""),"")</f>
        <v/>
      </c>
      <c r="P2169" s="6" t="str">
        <f t="shared" si="68"/>
        <v/>
      </c>
      <c r="Q2169" s="13">
        <f t="shared" si="69"/>
        <v>0</v>
      </c>
    </row>
    <row r="2170" spans="2:17" ht="15" customHeight="1">
      <c r="B2170" s="5" t="str">
        <f>_xlfn.IFNA(VLOOKUP(C2170,Master!$H:$I,2,FALSE),"")</f>
        <v/>
      </c>
      <c r="D2170" s="5" t="str">
        <f>_xlfn.IFNA(VLOOKUP(E2170,Master!$H:$I,2,FALSE),"")</f>
        <v/>
      </c>
      <c r="F2170" s="26" t="str">
        <f>+_xlfn.XLOOKUP(G2170,Master!$V$2:$V$8,Master!$U$2:$U$8,"")</f>
        <v/>
      </c>
      <c r="I2170" s="4" t="str">
        <f>_xlfn.IFNA(VLOOKUP(D2170,Master!$I:$K,2,FALSE),"")</f>
        <v/>
      </c>
      <c r="J2170" s="4" t="str">
        <f>_xlfn.IFNA(VLOOKUP(D2170,Master!$I:$K,3,FALSE),"")</f>
        <v/>
      </c>
      <c r="L2170" s="27" t="str">
        <f>IF(A2170&lt;&gt;"CFA",_xlfn.IFNA(VLOOKUP($G2170,Master!$V$2:$Z$8,5,0),""),"")</f>
        <v/>
      </c>
      <c r="P2170" s="6" t="str">
        <f t="shared" si="68"/>
        <v/>
      </c>
      <c r="Q2170" s="13">
        <f t="shared" si="69"/>
        <v>0</v>
      </c>
    </row>
    <row r="2171" spans="2:17" ht="15" customHeight="1">
      <c r="B2171" s="5" t="str">
        <f>_xlfn.IFNA(VLOOKUP(C2171,Master!$H:$I,2,FALSE),"")</f>
        <v/>
      </c>
      <c r="D2171" s="5" t="str">
        <f>_xlfn.IFNA(VLOOKUP(E2171,Master!$H:$I,2,FALSE),"")</f>
        <v/>
      </c>
      <c r="F2171" s="26" t="str">
        <f>+_xlfn.XLOOKUP(G2171,Master!$V$2:$V$8,Master!$U$2:$U$8,"")</f>
        <v/>
      </c>
      <c r="I2171" s="4" t="str">
        <f>_xlfn.IFNA(VLOOKUP(D2171,Master!$I:$K,2,FALSE),"")</f>
        <v/>
      </c>
      <c r="J2171" s="4" t="str">
        <f>_xlfn.IFNA(VLOOKUP(D2171,Master!$I:$K,3,FALSE),"")</f>
        <v/>
      </c>
      <c r="L2171" s="27" t="str">
        <f>IF(A2171&lt;&gt;"CFA",_xlfn.IFNA(VLOOKUP($G2171,Master!$V$2:$Z$8,5,0),""),"")</f>
        <v/>
      </c>
      <c r="P2171" s="6" t="str">
        <f t="shared" si="68"/>
        <v/>
      </c>
      <c r="Q2171" s="13">
        <f t="shared" si="69"/>
        <v>0</v>
      </c>
    </row>
    <row r="2172" spans="2:17" ht="15" customHeight="1">
      <c r="B2172" s="5" t="str">
        <f>_xlfn.IFNA(VLOOKUP(C2172,Master!$H:$I,2,FALSE),"")</f>
        <v/>
      </c>
      <c r="D2172" s="5" t="str">
        <f>_xlfn.IFNA(VLOOKUP(E2172,Master!$H:$I,2,FALSE),"")</f>
        <v/>
      </c>
      <c r="F2172" s="26" t="str">
        <f>+_xlfn.XLOOKUP(G2172,Master!$V$2:$V$8,Master!$U$2:$U$8,"")</f>
        <v/>
      </c>
      <c r="I2172" s="4" t="str">
        <f>_xlfn.IFNA(VLOOKUP(D2172,Master!$I:$K,2,FALSE),"")</f>
        <v/>
      </c>
      <c r="J2172" s="4" t="str">
        <f>_xlfn.IFNA(VLOOKUP(D2172,Master!$I:$K,3,FALSE),"")</f>
        <v/>
      </c>
      <c r="L2172" s="27" t="str">
        <f>IF(A2172&lt;&gt;"CFA",_xlfn.IFNA(VLOOKUP($G2172,Master!$V$2:$Z$8,5,0),""),"")</f>
        <v/>
      </c>
      <c r="P2172" s="6" t="str">
        <f t="shared" si="68"/>
        <v/>
      </c>
      <c r="Q2172" s="13">
        <f t="shared" si="69"/>
        <v>0</v>
      </c>
    </row>
    <row r="2173" spans="2:17" ht="15" customHeight="1">
      <c r="B2173" s="5" t="str">
        <f>_xlfn.IFNA(VLOOKUP(C2173,Master!$H:$I,2,FALSE),"")</f>
        <v/>
      </c>
      <c r="D2173" s="5" t="str">
        <f>_xlfn.IFNA(VLOOKUP(E2173,Master!$H:$I,2,FALSE),"")</f>
        <v/>
      </c>
      <c r="F2173" s="26" t="str">
        <f>+_xlfn.XLOOKUP(G2173,Master!$V$2:$V$8,Master!$U$2:$U$8,"")</f>
        <v/>
      </c>
      <c r="I2173" s="4" t="str">
        <f>_xlfn.IFNA(VLOOKUP(D2173,Master!$I:$K,2,FALSE),"")</f>
        <v/>
      </c>
      <c r="J2173" s="4" t="str">
        <f>_xlfn.IFNA(VLOOKUP(D2173,Master!$I:$K,3,FALSE),"")</f>
        <v/>
      </c>
      <c r="L2173" s="27" t="str">
        <f>IF(A2173&lt;&gt;"CFA",_xlfn.IFNA(VLOOKUP($G2173,Master!$V$2:$Z$8,5,0),""),"")</f>
        <v/>
      </c>
      <c r="P2173" s="6" t="str">
        <f t="shared" si="68"/>
        <v/>
      </c>
      <c r="Q2173" s="13">
        <f t="shared" si="69"/>
        <v>0</v>
      </c>
    </row>
    <row r="2174" spans="2:17" ht="15" customHeight="1">
      <c r="B2174" s="5" t="str">
        <f>_xlfn.IFNA(VLOOKUP(C2174,Master!$H:$I,2,FALSE),"")</f>
        <v/>
      </c>
      <c r="D2174" s="5" t="str">
        <f>_xlfn.IFNA(VLOOKUP(E2174,Master!$H:$I,2,FALSE),"")</f>
        <v/>
      </c>
      <c r="F2174" s="26" t="str">
        <f>+_xlfn.XLOOKUP(G2174,Master!$V$2:$V$8,Master!$U$2:$U$8,"")</f>
        <v/>
      </c>
      <c r="I2174" s="4" t="str">
        <f>_xlfn.IFNA(VLOOKUP(D2174,Master!$I:$K,2,FALSE),"")</f>
        <v/>
      </c>
      <c r="J2174" s="4" t="str">
        <f>_xlfn.IFNA(VLOOKUP(D2174,Master!$I:$K,3,FALSE),"")</f>
        <v/>
      </c>
      <c r="L2174" s="27" t="str">
        <f>IF(A2174&lt;&gt;"CFA",_xlfn.IFNA(VLOOKUP($G2174,Master!$V$2:$Z$8,5,0),""),"")</f>
        <v/>
      </c>
      <c r="P2174" s="6" t="str">
        <f t="shared" si="68"/>
        <v/>
      </c>
      <c r="Q2174" s="13">
        <f t="shared" si="69"/>
        <v>0</v>
      </c>
    </row>
    <row r="2175" spans="2:17" ht="15" customHeight="1">
      <c r="B2175" s="5" t="str">
        <f>_xlfn.IFNA(VLOOKUP(C2175,Master!$H:$I,2,FALSE),"")</f>
        <v/>
      </c>
      <c r="D2175" s="5" t="str">
        <f>_xlfn.IFNA(VLOOKUP(E2175,Master!$H:$I,2,FALSE),"")</f>
        <v/>
      </c>
      <c r="F2175" s="26" t="str">
        <f>+_xlfn.XLOOKUP(G2175,Master!$V$2:$V$8,Master!$U$2:$U$8,"")</f>
        <v/>
      </c>
      <c r="I2175" s="4" t="str">
        <f>_xlfn.IFNA(VLOOKUP(D2175,Master!$I:$K,2,FALSE),"")</f>
        <v/>
      </c>
      <c r="J2175" s="4" t="str">
        <f>_xlfn.IFNA(VLOOKUP(D2175,Master!$I:$K,3,FALSE),"")</f>
        <v/>
      </c>
      <c r="L2175" s="27" t="str">
        <f>IF(A2175&lt;&gt;"CFA",_xlfn.IFNA(VLOOKUP($G2175,Master!$V$2:$Z$8,5,0),""),"")</f>
        <v/>
      </c>
      <c r="P2175" s="6" t="str">
        <f t="shared" si="68"/>
        <v/>
      </c>
      <c r="Q2175" s="13">
        <f t="shared" si="69"/>
        <v>0</v>
      </c>
    </row>
    <row r="2176" spans="2:17" ht="15" customHeight="1">
      <c r="B2176" s="5" t="str">
        <f>_xlfn.IFNA(VLOOKUP(C2176,Master!$H:$I,2,FALSE),"")</f>
        <v/>
      </c>
      <c r="D2176" s="5" t="str">
        <f>_xlfn.IFNA(VLOOKUP(E2176,Master!$H:$I,2,FALSE),"")</f>
        <v/>
      </c>
      <c r="F2176" s="26" t="str">
        <f>+_xlfn.XLOOKUP(G2176,Master!$V$2:$V$8,Master!$U$2:$U$8,"")</f>
        <v/>
      </c>
      <c r="I2176" s="4" t="str">
        <f>_xlfn.IFNA(VLOOKUP(D2176,Master!$I:$K,2,FALSE),"")</f>
        <v/>
      </c>
      <c r="J2176" s="4" t="str">
        <f>_xlfn.IFNA(VLOOKUP(D2176,Master!$I:$K,3,FALSE),"")</f>
        <v/>
      </c>
      <c r="L2176" s="27" t="str">
        <f>IF(A2176&lt;&gt;"CFA",_xlfn.IFNA(VLOOKUP($G2176,Master!$V$2:$Z$8,5,0),""),"")</f>
        <v/>
      </c>
      <c r="P2176" s="6" t="str">
        <f t="shared" si="68"/>
        <v/>
      </c>
      <c r="Q2176" s="13">
        <f t="shared" si="69"/>
        <v>0</v>
      </c>
    </row>
    <row r="2177" spans="2:17" ht="15" customHeight="1">
      <c r="B2177" s="5" t="str">
        <f>_xlfn.IFNA(VLOOKUP(C2177,Master!$H:$I,2,FALSE),"")</f>
        <v/>
      </c>
      <c r="D2177" s="5" t="str">
        <f>_xlfn.IFNA(VLOOKUP(E2177,Master!$H:$I,2,FALSE),"")</f>
        <v/>
      </c>
      <c r="F2177" s="26" t="str">
        <f>+_xlfn.XLOOKUP(G2177,Master!$V$2:$V$8,Master!$U$2:$U$8,"")</f>
        <v/>
      </c>
      <c r="I2177" s="4" t="str">
        <f>_xlfn.IFNA(VLOOKUP(D2177,Master!$I:$K,2,FALSE),"")</f>
        <v/>
      </c>
      <c r="J2177" s="4" t="str">
        <f>_xlfn.IFNA(VLOOKUP(D2177,Master!$I:$K,3,FALSE),"")</f>
        <v/>
      </c>
      <c r="L2177" s="27" t="str">
        <f>IF(A2177&lt;&gt;"CFA",_xlfn.IFNA(VLOOKUP($G2177,Master!$V$2:$Z$8,5,0),""),"")</f>
        <v/>
      </c>
      <c r="P2177" s="6" t="str">
        <f t="shared" si="68"/>
        <v/>
      </c>
      <c r="Q2177" s="13">
        <f t="shared" si="69"/>
        <v>0</v>
      </c>
    </row>
    <row r="2178" spans="2:17" ht="15" customHeight="1">
      <c r="B2178" s="5" t="str">
        <f>_xlfn.IFNA(VLOOKUP(C2178,Master!$H:$I,2,FALSE),"")</f>
        <v/>
      </c>
      <c r="D2178" s="5" t="str">
        <f>_xlfn.IFNA(VLOOKUP(E2178,Master!$H:$I,2,FALSE),"")</f>
        <v/>
      </c>
      <c r="F2178" s="26" t="str">
        <f>+_xlfn.XLOOKUP(G2178,Master!$V$2:$V$8,Master!$U$2:$U$8,"")</f>
        <v/>
      </c>
      <c r="I2178" s="4" t="str">
        <f>_xlfn.IFNA(VLOOKUP(D2178,Master!$I:$K,2,FALSE),"")</f>
        <v/>
      </c>
      <c r="J2178" s="4" t="str">
        <f>_xlfn.IFNA(VLOOKUP(D2178,Master!$I:$K,3,FALSE),"")</f>
        <v/>
      </c>
      <c r="L2178" s="27" t="str">
        <f>IF(A2178&lt;&gt;"CFA",_xlfn.IFNA(VLOOKUP($G2178,Master!$V$2:$Z$8,5,0),""),"")</f>
        <v/>
      </c>
      <c r="P2178" s="6" t="str">
        <f t="shared" si="68"/>
        <v/>
      </c>
      <c r="Q2178" s="13">
        <f t="shared" si="69"/>
        <v>0</v>
      </c>
    </row>
    <row r="2179" spans="2:17" ht="15" customHeight="1">
      <c r="B2179" s="5" t="str">
        <f>_xlfn.IFNA(VLOOKUP(C2179,Master!$H:$I,2,FALSE),"")</f>
        <v/>
      </c>
      <c r="D2179" s="5" t="str">
        <f>_xlfn.IFNA(VLOOKUP(E2179,Master!$H:$I,2,FALSE),"")</f>
        <v/>
      </c>
      <c r="F2179" s="26" t="str">
        <f>+_xlfn.XLOOKUP(G2179,Master!$V$2:$V$8,Master!$U$2:$U$8,"")</f>
        <v/>
      </c>
      <c r="I2179" s="4" t="str">
        <f>_xlfn.IFNA(VLOOKUP(D2179,Master!$I:$K,2,FALSE),"")</f>
        <v/>
      </c>
      <c r="J2179" s="4" t="str">
        <f>_xlfn.IFNA(VLOOKUP(D2179,Master!$I:$K,3,FALSE),"")</f>
        <v/>
      </c>
      <c r="L2179" s="27" t="str">
        <f>IF(A2179&lt;&gt;"CFA",_xlfn.IFNA(VLOOKUP($G2179,Master!$V$2:$Z$8,5,0),""),"")</f>
        <v/>
      </c>
      <c r="P2179" s="6" t="str">
        <f t="shared" si="68"/>
        <v/>
      </c>
      <c r="Q2179" s="13">
        <f t="shared" si="69"/>
        <v>0</v>
      </c>
    </row>
    <row r="2180" spans="2:17" ht="15" customHeight="1">
      <c r="B2180" s="5" t="str">
        <f>_xlfn.IFNA(VLOOKUP(C2180,Master!$H:$I,2,FALSE),"")</f>
        <v/>
      </c>
      <c r="D2180" s="5" t="str">
        <f>_xlfn.IFNA(VLOOKUP(E2180,Master!$H:$I,2,FALSE),"")</f>
        <v/>
      </c>
      <c r="F2180" s="26" t="str">
        <f>+_xlfn.XLOOKUP(G2180,Master!$V$2:$V$8,Master!$U$2:$U$8,"")</f>
        <v/>
      </c>
      <c r="I2180" s="4" t="str">
        <f>_xlfn.IFNA(VLOOKUP(D2180,Master!$I:$K,2,FALSE),"")</f>
        <v/>
      </c>
      <c r="J2180" s="4" t="str">
        <f>_xlfn.IFNA(VLOOKUP(D2180,Master!$I:$K,3,FALSE),"")</f>
        <v/>
      </c>
      <c r="L2180" s="27" t="str">
        <f>IF(A2180&lt;&gt;"CFA",_xlfn.IFNA(VLOOKUP($G2180,Master!$V$2:$Z$8,5,0),""),"")</f>
        <v/>
      </c>
      <c r="P2180" s="6" t="str">
        <f t="shared" si="68"/>
        <v/>
      </c>
      <c r="Q2180" s="13">
        <f t="shared" si="69"/>
        <v>0</v>
      </c>
    </row>
    <row r="2181" spans="2:17" ht="15" customHeight="1">
      <c r="B2181" s="5" t="str">
        <f>_xlfn.IFNA(VLOOKUP(C2181,Master!$H:$I,2,FALSE),"")</f>
        <v/>
      </c>
      <c r="D2181" s="5" t="str">
        <f>_xlfn.IFNA(VLOOKUP(E2181,Master!$H:$I,2,FALSE),"")</f>
        <v/>
      </c>
      <c r="F2181" s="26" t="str">
        <f>+_xlfn.XLOOKUP(G2181,Master!$V$2:$V$8,Master!$U$2:$U$8,"")</f>
        <v/>
      </c>
      <c r="I2181" s="4" t="str">
        <f>_xlfn.IFNA(VLOOKUP(D2181,Master!$I:$K,2,FALSE),"")</f>
        <v/>
      </c>
      <c r="J2181" s="4" t="str">
        <f>_xlfn.IFNA(VLOOKUP(D2181,Master!$I:$K,3,FALSE),"")</f>
        <v/>
      </c>
      <c r="L2181" s="27" t="str">
        <f>IF(A2181&lt;&gt;"CFA",_xlfn.IFNA(VLOOKUP($G2181,Master!$V$2:$Z$8,5,0),""),"")</f>
        <v/>
      </c>
      <c r="P2181" s="6" t="str">
        <f t="shared" si="68"/>
        <v/>
      </c>
      <c r="Q2181" s="13">
        <f t="shared" si="69"/>
        <v>0</v>
      </c>
    </row>
    <row r="2182" spans="2:17" ht="15" customHeight="1">
      <c r="B2182" s="5" t="str">
        <f>_xlfn.IFNA(VLOOKUP(C2182,Master!$H:$I,2,FALSE),"")</f>
        <v/>
      </c>
      <c r="D2182" s="5" t="str">
        <f>_xlfn.IFNA(VLOOKUP(E2182,Master!$H:$I,2,FALSE),"")</f>
        <v/>
      </c>
      <c r="F2182" s="26" t="str">
        <f>+_xlfn.XLOOKUP(G2182,Master!$V$2:$V$8,Master!$U$2:$U$8,"")</f>
        <v/>
      </c>
      <c r="I2182" s="4" t="str">
        <f>_xlfn.IFNA(VLOOKUP(D2182,Master!$I:$K,2,FALSE),"")</f>
        <v/>
      </c>
      <c r="J2182" s="4" t="str">
        <f>_xlfn.IFNA(VLOOKUP(D2182,Master!$I:$K,3,FALSE),"")</f>
        <v/>
      </c>
      <c r="L2182" s="27" t="str">
        <f>IF(A2182&lt;&gt;"CFA",_xlfn.IFNA(VLOOKUP($G2182,Master!$V$2:$Z$8,5,0),""),"")</f>
        <v/>
      </c>
      <c r="P2182" s="6" t="str">
        <f t="shared" si="68"/>
        <v/>
      </c>
      <c r="Q2182" s="13">
        <f t="shared" si="69"/>
        <v>0</v>
      </c>
    </row>
    <row r="2183" spans="2:17" ht="15" customHeight="1">
      <c r="B2183" s="5" t="str">
        <f>_xlfn.IFNA(VLOOKUP(C2183,Master!$H:$I,2,FALSE),"")</f>
        <v/>
      </c>
      <c r="D2183" s="5" t="str">
        <f>_xlfn.IFNA(VLOOKUP(E2183,Master!$H:$I,2,FALSE),"")</f>
        <v/>
      </c>
      <c r="F2183" s="26" t="str">
        <f>+_xlfn.XLOOKUP(G2183,Master!$V$2:$V$8,Master!$U$2:$U$8,"")</f>
        <v/>
      </c>
      <c r="I2183" s="4" t="str">
        <f>_xlfn.IFNA(VLOOKUP(D2183,Master!$I:$K,2,FALSE),"")</f>
        <v/>
      </c>
      <c r="J2183" s="4" t="str">
        <f>_xlfn.IFNA(VLOOKUP(D2183,Master!$I:$K,3,FALSE),"")</f>
        <v/>
      </c>
      <c r="L2183" s="27" t="str">
        <f>IF(A2183&lt;&gt;"CFA",_xlfn.IFNA(VLOOKUP($G2183,Master!$V$2:$Z$8,5,0),""),"")</f>
        <v/>
      </c>
      <c r="P2183" s="6" t="str">
        <f t="shared" si="68"/>
        <v/>
      </c>
      <c r="Q2183" s="13">
        <f t="shared" si="69"/>
        <v>0</v>
      </c>
    </row>
    <row r="2184" spans="2:17" ht="15" customHeight="1">
      <c r="B2184" s="5" t="str">
        <f>_xlfn.IFNA(VLOOKUP(C2184,Master!$H:$I,2,FALSE),"")</f>
        <v/>
      </c>
      <c r="D2184" s="5" t="str">
        <f>_xlfn.IFNA(VLOOKUP(E2184,Master!$H:$I,2,FALSE),"")</f>
        <v/>
      </c>
      <c r="F2184" s="26" t="str">
        <f>+_xlfn.XLOOKUP(G2184,Master!$V$2:$V$8,Master!$U$2:$U$8,"")</f>
        <v/>
      </c>
      <c r="I2184" s="4" t="str">
        <f>_xlfn.IFNA(VLOOKUP(D2184,Master!$I:$K,2,FALSE),"")</f>
        <v/>
      </c>
      <c r="J2184" s="4" t="str">
        <f>_xlfn.IFNA(VLOOKUP(D2184,Master!$I:$K,3,FALSE),"")</f>
        <v/>
      </c>
      <c r="L2184" s="27" t="str">
        <f>IF(A2184&lt;&gt;"CFA",_xlfn.IFNA(VLOOKUP($G2184,Master!$V$2:$Z$8,5,0),""),"")</f>
        <v/>
      </c>
      <c r="P2184" s="6" t="str">
        <f t="shared" si="68"/>
        <v/>
      </c>
      <c r="Q2184" s="13">
        <f t="shared" si="69"/>
        <v>0</v>
      </c>
    </row>
    <row r="2185" spans="2:17" ht="15" customHeight="1">
      <c r="B2185" s="5" t="str">
        <f>_xlfn.IFNA(VLOOKUP(C2185,Master!$H:$I,2,FALSE),"")</f>
        <v/>
      </c>
      <c r="D2185" s="5" t="str">
        <f>_xlfn.IFNA(VLOOKUP(E2185,Master!$H:$I,2,FALSE),"")</f>
        <v/>
      </c>
      <c r="F2185" s="26" t="str">
        <f>+_xlfn.XLOOKUP(G2185,Master!$V$2:$V$8,Master!$U$2:$U$8,"")</f>
        <v/>
      </c>
      <c r="I2185" s="4" t="str">
        <f>_xlfn.IFNA(VLOOKUP(D2185,Master!$I:$K,2,FALSE),"")</f>
        <v/>
      </c>
      <c r="J2185" s="4" t="str">
        <f>_xlfn.IFNA(VLOOKUP(D2185,Master!$I:$K,3,FALSE),"")</f>
        <v/>
      </c>
      <c r="L2185" s="27" t="str">
        <f>IF(A2185&lt;&gt;"CFA",_xlfn.IFNA(VLOOKUP($G2185,Master!$V$2:$Z$8,5,0),""),"")</f>
        <v/>
      </c>
      <c r="P2185" s="6" t="str">
        <f t="shared" si="68"/>
        <v/>
      </c>
      <c r="Q2185" s="13">
        <f t="shared" si="69"/>
        <v>0</v>
      </c>
    </row>
    <row r="2186" spans="2:17" ht="15" customHeight="1">
      <c r="B2186" s="5" t="str">
        <f>_xlfn.IFNA(VLOOKUP(C2186,Master!$H:$I,2,FALSE),"")</f>
        <v/>
      </c>
      <c r="D2186" s="5" t="str">
        <f>_xlfn.IFNA(VLOOKUP(E2186,Master!$H:$I,2,FALSE),"")</f>
        <v/>
      </c>
      <c r="F2186" s="26" t="str">
        <f>+_xlfn.XLOOKUP(G2186,Master!$V$2:$V$8,Master!$U$2:$U$8,"")</f>
        <v/>
      </c>
      <c r="I2186" s="4" t="str">
        <f>_xlfn.IFNA(VLOOKUP(D2186,Master!$I:$K,2,FALSE),"")</f>
        <v/>
      </c>
      <c r="J2186" s="4" t="str">
        <f>_xlfn.IFNA(VLOOKUP(D2186,Master!$I:$K,3,FALSE),"")</f>
        <v/>
      </c>
      <c r="L2186" s="27" t="str">
        <f>IF(A2186&lt;&gt;"CFA",_xlfn.IFNA(VLOOKUP($G2186,Master!$V$2:$Z$8,5,0),""),"")</f>
        <v/>
      </c>
      <c r="P2186" s="6" t="str">
        <f t="shared" si="68"/>
        <v/>
      </c>
      <c r="Q2186" s="13">
        <f t="shared" si="69"/>
        <v>0</v>
      </c>
    </row>
    <row r="2187" spans="2:17" ht="15" customHeight="1">
      <c r="B2187" s="5" t="str">
        <f>_xlfn.IFNA(VLOOKUP(C2187,Master!$H:$I,2,FALSE),"")</f>
        <v/>
      </c>
      <c r="D2187" s="5" t="str">
        <f>_xlfn.IFNA(VLOOKUP(E2187,Master!$H:$I,2,FALSE),"")</f>
        <v/>
      </c>
      <c r="F2187" s="26" t="str">
        <f>+_xlfn.XLOOKUP(G2187,Master!$V$2:$V$8,Master!$U$2:$U$8,"")</f>
        <v/>
      </c>
      <c r="I2187" s="4" t="str">
        <f>_xlfn.IFNA(VLOOKUP(D2187,Master!$I:$K,2,FALSE),"")</f>
        <v/>
      </c>
      <c r="J2187" s="4" t="str">
        <f>_xlfn.IFNA(VLOOKUP(D2187,Master!$I:$K,3,FALSE),"")</f>
        <v/>
      </c>
      <c r="L2187" s="27" t="str">
        <f>IF(A2187&lt;&gt;"CFA",_xlfn.IFNA(VLOOKUP($G2187,Master!$V$2:$Z$8,5,0),""),"")</f>
        <v/>
      </c>
      <c r="P2187" s="6" t="str">
        <f t="shared" si="68"/>
        <v/>
      </c>
      <c r="Q2187" s="13">
        <f t="shared" si="69"/>
        <v>0</v>
      </c>
    </row>
    <row r="2188" spans="2:17" ht="15" customHeight="1">
      <c r="B2188" s="5" t="str">
        <f>_xlfn.IFNA(VLOOKUP(C2188,Master!$H:$I,2,FALSE),"")</f>
        <v/>
      </c>
      <c r="D2188" s="5" t="str">
        <f>_xlfn.IFNA(VLOOKUP(E2188,Master!$H:$I,2,FALSE),"")</f>
        <v/>
      </c>
      <c r="F2188" s="26" t="str">
        <f>+_xlfn.XLOOKUP(G2188,Master!$V$2:$V$8,Master!$U$2:$U$8,"")</f>
        <v/>
      </c>
      <c r="I2188" s="4" t="str">
        <f>_xlfn.IFNA(VLOOKUP(D2188,Master!$I:$K,2,FALSE),"")</f>
        <v/>
      </c>
      <c r="J2188" s="4" t="str">
        <f>_xlfn.IFNA(VLOOKUP(D2188,Master!$I:$K,3,FALSE),"")</f>
        <v/>
      </c>
      <c r="L2188" s="27" t="str">
        <f>IF(A2188&lt;&gt;"CFA",_xlfn.IFNA(VLOOKUP($G2188,Master!$V$2:$Z$8,5,0),""),"")</f>
        <v/>
      </c>
      <c r="P2188" s="6" t="str">
        <f t="shared" si="68"/>
        <v/>
      </c>
      <c r="Q2188" s="13">
        <f t="shared" si="69"/>
        <v>0</v>
      </c>
    </row>
    <row r="2189" spans="2:17" ht="15" customHeight="1">
      <c r="B2189" s="5" t="str">
        <f>_xlfn.IFNA(VLOOKUP(C2189,Master!$H:$I,2,FALSE),"")</f>
        <v/>
      </c>
      <c r="D2189" s="5" t="str">
        <f>_xlfn.IFNA(VLOOKUP(E2189,Master!$H:$I,2,FALSE),"")</f>
        <v/>
      </c>
      <c r="F2189" s="26" t="str">
        <f>+_xlfn.XLOOKUP(G2189,Master!$V$2:$V$8,Master!$U$2:$U$8,"")</f>
        <v/>
      </c>
      <c r="I2189" s="4" t="str">
        <f>_xlfn.IFNA(VLOOKUP(D2189,Master!$I:$K,2,FALSE),"")</f>
        <v/>
      </c>
      <c r="J2189" s="4" t="str">
        <f>_xlfn.IFNA(VLOOKUP(D2189,Master!$I:$K,3,FALSE),"")</f>
        <v/>
      </c>
      <c r="L2189" s="27" t="str">
        <f>IF(A2189&lt;&gt;"CFA",_xlfn.IFNA(VLOOKUP($G2189,Master!$V$2:$Z$8,5,0),""),"")</f>
        <v/>
      </c>
      <c r="P2189" s="6" t="str">
        <f t="shared" si="68"/>
        <v/>
      </c>
      <c r="Q2189" s="13">
        <f t="shared" si="69"/>
        <v>0</v>
      </c>
    </row>
    <row r="2190" spans="2:17" ht="15" customHeight="1">
      <c r="B2190" s="5" t="str">
        <f>_xlfn.IFNA(VLOOKUP(C2190,Master!$H:$I,2,FALSE),"")</f>
        <v/>
      </c>
      <c r="D2190" s="5" t="str">
        <f>_xlfn.IFNA(VLOOKUP(E2190,Master!$H:$I,2,FALSE),"")</f>
        <v/>
      </c>
      <c r="F2190" s="26" t="str">
        <f>+_xlfn.XLOOKUP(G2190,Master!$V$2:$V$8,Master!$U$2:$U$8,"")</f>
        <v/>
      </c>
      <c r="I2190" s="4" t="str">
        <f>_xlfn.IFNA(VLOOKUP(D2190,Master!$I:$K,2,FALSE),"")</f>
        <v/>
      </c>
      <c r="J2190" s="4" t="str">
        <f>_xlfn.IFNA(VLOOKUP(D2190,Master!$I:$K,3,FALSE),"")</f>
        <v/>
      </c>
      <c r="L2190" s="27" t="str">
        <f>IF(A2190&lt;&gt;"CFA",_xlfn.IFNA(VLOOKUP($G2190,Master!$V$2:$Z$8,5,0),""),"")</f>
        <v/>
      </c>
      <c r="P2190" s="6" t="str">
        <f t="shared" si="68"/>
        <v/>
      </c>
      <c r="Q2190" s="13">
        <f t="shared" si="69"/>
        <v>0</v>
      </c>
    </row>
    <row r="2191" spans="2:17" ht="15" customHeight="1">
      <c r="B2191" s="5" t="str">
        <f>_xlfn.IFNA(VLOOKUP(C2191,Master!$H:$I,2,FALSE),"")</f>
        <v/>
      </c>
      <c r="D2191" s="5" t="str">
        <f>_xlfn.IFNA(VLOOKUP(E2191,Master!$H:$I,2,FALSE),"")</f>
        <v/>
      </c>
      <c r="F2191" s="26" t="str">
        <f>+_xlfn.XLOOKUP(G2191,Master!$V$2:$V$8,Master!$U$2:$U$8,"")</f>
        <v/>
      </c>
      <c r="I2191" s="4" t="str">
        <f>_xlfn.IFNA(VLOOKUP(D2191,Master!$I:$K,2,FALSE),"")</f>
        <v/>
      </c>
      <c r="J2191" s="4" t="str">
        <f>_xlfn.IFNA(VLOOKUP(D2191,Master!$I:$K,3,FALSE),"")</f>
        <v/>
      </c>
      <c r="L2191" s="27" t="str">
        <f>IF(A2191&lt;&gt;"CFA",_xlfn.IFNA(VLOOKUP($G2191,Master!$V$2:$Z$8,5,0),""),"")</f>
        <v/>
      </c>
      <c r="P2191" s="6" t="str">
        <f t="shared" si="68"/>
        <v/>
      </c>
      <c r="Q2191" s="13">
        <f t="shared" si="69"/>
        <v>0</v>
      </c>
    </row>
    <row r="2192" spans="2:17" ht="15" customHeight="1">
      <c r="B2192" s="5" t="str">
        <f>_xlfn.IFNA(VLOOKUP(C2192,Master!$H:$I,2,FALSE),"")</f>
        <v/>
      </c>
      <c r="D2192" s="5" t="str">
        <f>_xlfn.IFNA(VLOOKUP(E2192,Master!$H:$I,2,FALSE),"")</f>
        <v/>
      </c>
      <c r="F2192" s="26" t="str">
        <f>+_xlfn.XLOOKUP(G2192,Master!$V$2:$V$8,Master!$U$2:$U$8,"")</f>
        <v/>
      </c>
      <c r="I2192" s="4" t="str">
        <f>_xlfn.IFNA(VLOOKUP(D2192,Master!$I:$K,2,FALSE),"")</f>
        <v/>
      </c>
      <c r="J2192" s="4" t="str">
        <f>_xlfn.IFNA(VLOOKUP(D2192,Master!$I:$K,3,FALSE),"")</f>
        <v/>
      </c>
      <c r="L2192" s="27" t="str">
        <f>IF(A2192&lt;&gt;"CFA",_xlfn.IFNA(VLOOKUP($G2192,Master!$V$2:$Z$8,5,0),""),"")</f>
        <v/>
      </c>
      <c r="P2192" s="6" t="str">
        <f t="shared" si="68"/>
        <v/>
      </c>
      <c r="Q2192" s="13">
        <f t="shared" si="69"/>
        <v>0</v>
      </c>
    </row>
    <row r="2193" spans="2:17" ht="15" customHeight="1">
      <c r="B2193" s="5" t="str">
        <f>_xlfn.IFNA(VLOOKUP(C2193,Master!$H:$I,2,FALSE),"")</f>
        <v/>
      </c>
      <c r="D2193" s="5" t="str">
        <f>_xlfn.IFNA(VLOOKUP(E2193,Master!$H:$I,2,FALSE),"")</f>
        <v/>
      </c>
      <c r="F2193" s="26" t="str">
        <f>+_xlfn.XLOOKUP(G2193,Master!$V$2:$V$8,Master!$U$2:$U$8,"")</f>
        <v/>
      </c>
      <c r="I2193" s="4" t="str">
        <f>_xlfn.IFNA(VLOOKUP(D2193,Master!$I:$K,2,FALSE),"")</f>
        <v/>
      </c>
      <c r="J2193" s="4" t="str">
        <f>_xlfn.IFNA(VLOOKUP(D2193,Master!$I:$K,3,FALSE),"")</f>
        <v/>
      </c>
      <c r="L2193" s="27" t="str">
        <f>IF(A2193&lt;&gt;"CFA",_xlfn.IFNA(VLOOKUP($G2193,Master!$V$2:$Z$8,5,0),""),"")</f>
        <v/>
      </c>
      <c r="P2193" s="6" t="str">
        <f t="shared" si="68"/>
        <v/>
      </c>
      <c r="Q2193" s="13">
        <f t="shared" si="69"/>
        <v>0</v>
      </c>
    </row>
    <row r="2194" spans="2:17" ht="15" customHeight="1">
      <c r="B2194" s="5" t="str">
        <f>_xlfn.IFNA(VLOOKUP(C2194,Master!$H:$I,2,FALSE),"")</f>
        <v/>
      </c>
      <c r="D2194" s="5" t="str">
        <f>_xlfn.IFNA(VLOOKUP(E2194,Master!$H:$I,2,FALSE),"")</f>
        <v/>
      </c>
      <c r="F2194" s="26" t="str">
        <f>+_xlfn.XLOOKUP(G2194,Master!$V$2:$V$8,Master!$U$2:$U$8,"")</f>
        <v/>
      </c>
      <c r="I2194" s="4" t="str">
        <f>_xlfn.IFNA(VLOOKUP(D2194,Master!$I:$K,2,FALSE),"")</f>
        <v/>
      </c>
      <c r="J2194" s="4" t="str">
        <f>_xlfn.IFNA(VLOOKUP(D2194,Master!$I:$K,3,FALSE),"")</f>
        <v/>
      </c>
      <c r="L2194" s="27" t="str">
        <f>IF(A2194&lt;&gt;"CFA",_xlfn.IFNA(VLOOKUP($G2194,Master!$V$2:$Z$8,5,0),""),"")</f>
        <v/>
      </c>
      <c r="P2194" s="6" t="str">
        <f t="shared" si="68"/>
        <v/>
      </c>
      <c r="Q2194" s="13">
        <f t="shared" si="69"/>
        <v>0</v>
      </c>
    </row>
    <row r="2195" spans="2:17" ht="15" customHeight="1">
      <c r="B2195" s="5" t="str">
        <f>_xlfn.IFNA(VLOOKUP(C2195,Master!$H:$I,2,FALSE),"")</f>
        <v/>
      </c>
      <c r="D2195" s="5" t="str">
        <f>_xlfn.IFNA(VLOOKUP(E2195,Master!$H:$I,2,FALSE),"")</f>
        <v/>
      </c>
      <c r="F2195" s="26" t="str">
        <f>+_xlfn.XLOOKUP(G2195,Master!$V$2:$V$8,Master!$U$2:$U$8,"")</f>
        <v/>
      </c>
      <c r="I2195" s="4" t="str">
        <f>_xlfn.IFNA(VLOOKUP(D2195,Master!$I:$K,2,FALSE),"")</f>
        <v/>
      </c>
      <c r="J2195" s="4" t="str">
        <f>_xlfn.IFNA(VLOOKUP(D2195,Master!$I:$K,3,FALSE),"")</f>
        <v/>
      </c>
      <c r="L2195" s="27" t="str">
        <f>IF(A2195&lt;&gt;"CFA",_xlfn.IFNA(VLOOKUP($G2195,Master!$V$2:$Z$8,5,0),""),"")</f>
        <v/>
      </c>
      <c r="P2195" s="6" t="str">
        <f t="shared" si="68"/>
        <v/>
      </c>
      <c r="Q2195" s="13">
        <f t="shared" si="69"/>
        <v>0</v>
      </c>
    </row>
    <row r="2196" spans="2:17" ht="15" customHeight="1">
      <c r="B2196" s="5" t="str">
        <f>_xlfn.IFNA(VLOOKUP(C2196,Master!$H:$I,2,FALSE),"")</f>
        <v/>
      </c>
      <c r="D2196" s="5" t="str">
        <f>_xlfn.IFNA(VLOOKUP(E2196,Master!$H:$I,2,FALSE),"")</f>
        <v/>
      </c>
      <c r="F2196" s="26" t="str">
        <f>+_xlfn.XLOOKUP(G2196,Master!$V$2:$V$8,Master!$U$2:$U$8,"")</f>
        <v/>
      </c>
      <c r="I2196" s="4" t="str">
        <f>_xlfn.IFNA(VLOOKUP(D2196,Master!$I:$K,2,FALSE),"")</f>
        <v/>
      </c>
      <c r="J2196" s="4" t="str">
        <f>_xlfn.IFNA(VLOOKUP(D2196,Master!$I:$K,3,FALSE),"")</f>
        <v/>
      </c>
      <c r="L2196" s="27" t="str">
        <f>IF(A2196&lt;&gt;"CFA",_xlfn.IFNA(VLOOKUP($G2196,Master!$V$2:$Z$8,5,0),""),"")</f>
        <v/>
      </c>
      <c r="P2196" s="6" t="str">
        <f t="shared" si="68"/>
        <v/>
      </c>
      <c r="Q2196" s="13">
        <f t="shared" si="69"/>
        <v>0</v>
      </c>
    </row>
    <row r="2197" spans="2:17" ht="15" customHeight="1">
      <c r="B2197" s="5" t="str">
        <f>_xlfn.IFNA(VLOOKUP(C2197,Master!$H:$I,2,FALSE),"")</f>
        <v/>
      </c>
      <c r="D2197" s="5" t="str">
        <f>_xlfn.IFNA(VLOOKUP(E2197,Master!$H:$I,2,FALSE),"")</f>
        <v/>
      </c>
      <c r="F2197" s="26" t="str">
        <f>+_xlfn.XLOOKUP(G2197,Master!$V$2:$V$8,Master!$U$2:$U$8,"")</f>
        <v/>
      </c>
      <c r="I2197" s="4" t="str">
        <f>_xlfn.IFNA(VLOOKUP(D2197,Master!$I:$K,2,FALSE),"")</f>
        <v/>
      </c>
      <c r="J2197" s="4" t="str">
        <f>_xlfn.IFNA(VLOOKUP(D2197,Master!$I:$K,3,FALSE),"")</f>
        <v/>
      </c>
      <c r="L2197" s="27" t="str">
        <f>IF(A2197&lt;&gt;"CFA",_xlfn.IFNA(VLOOKUP($G2197,Master!$V$2:$Z$8,5,0),""),"")</f>
        <v/>
      </c>
      <c r="P2197" s="6" t="str">
        <f t="shared" si="68"/>
        <v/>
      </c>
      <c r="Q2197" s="13">
        <f t="shared" si="69"/>
        <v>0</v>
      </c>
    </row>
    <row r="2198" spans="2:17" ht="15" customHeight="1">
      <c r="B2198" s="5" t="str">
        <f>_xlfn.IFNA(VLOOKUP(C2198,Master!$H:$I,2,FALSE),"")</f>
        <v/>
      </c>
      <c r="D2198" s="5" t="str">
        <f>_xlfn.IFNA(VLOOKUP(E2198,Master!$H:$I,2,FALSE),"")</f>
        <v/>
      </c>
      <c r="F2198" s="26" t="str">
        <f>+_xlfn.XLOOKUP(G2198,Master!$V$2:$V$8,Master!$U$2:$U$8,"")</f>
        <v/>
      </c>
      <c r="I2198" s="4" t="str">
        <f>_xlfn.IFNA(VLOOKUP(D2198,Master!$I:$K,2,FALSE),"")</f>
        <v/>
      </c>
      <c r="J2198" s="4" t="str">
        <f>_xlfn.IFNA(VLOOKUP(D2198,Master!$I:$K,3,FALSE),"")</f>
        <v/>
      </c>
      <c r="L2198" s="27" t="str">
        <f>IF(A2198&lt;&gt;"CFA",_xlfn.IFNA(VLOOKUP($G2198,Master!$V$2:$Z$8,5,0),""),"")</f>
        <v/>
      </c>
      <c r="P2198" s="6" t="str">
        <f t="shared" si="68"/>
        <v/>
      </c>
      <c r="Q2198" s="13">
        <f t="shared" si="69"/>
        <v>0</v>
      </c>
    </row>
    <row r="2199" spans="2:17" ht="15" customHeight="1">
      <c r="B2199" s="5" t="str">
        <f>_xlfn.IFNA(VLOOKUP(C2199,Master!$H:$I,2,FALSE),"")</f>
        <v/>
      </c>
      <c r="D2199" s="5" t="str">
        <f>_xlfn.IFNA(VLOOKUP(E2199,Master!$H:$I,2,FALSE),"")</f>
        <v/>
      </c>
      <c r="F2199" s="26" t="str">
        <f>+_xlfn.XLOOKUP(G2199,Master!$V$2:$V$8,Master!$U$2:$U$8,"")</f>
        <v/>
      </c>
      <c r="I2199" s="4" t="str">
        <f>_xlfn.IFNA(VLOOKUP(D2199,Master!$I:$K,2,FALSE),"")</f>
        <v/>
      </c>
      <c r="J2199" s="4" t="str">
        <f>_xlfn.IFNA(VLOOKUP(D2199,Master!$I:$K,3,FALSE),"")</f>
        <v/>
      </c>
      <c r="L2199" s="27" t="str">
        <f>IF(A2199&lt;&gt;"CFA",_xlfn.IFNA(VLOOKUP($G2199,Master!$V$2:$Z$8,5,0),""),"")</f>
        <v/>
      </c>
      <c r="P2199" s="6" t="str">
        <f t="shared" si="68"/>
        <v/>
      </c>
      <c r="Q2199" s="13">
        <f t="shared" si="69"/>
        <v>0</v>
      </c>
    </row>
    <row r="2200" spans="2:17" ht="15" customHeight="1">
      <c r="B2200" s="5" t="str">
        <f>_xlfn.IFNA(VLOOKUP(C2200,Master!$H:$I,2,FALSE),"")</f>
        <v/>
      </c>
      <c r="D2200" s="5" t="str">
        <f>_xlfn.IFNA(VLOOKUP(E2200,Master!$H:$I,2,FALSE),"")</f>
        <v/>
      </c>
      <c r="F2200" s="26" t="str">
        <f>+_xlfn.XLOOKUP(G2200,Master!$V$2:$V$8,Master!$U$2:$U$8,"")</f>
        <v/>
      </c>
      <c r="I2200" s="4" t="str">
        <f>_xlfn.IFNA(VLOOKUP(D2200,Master!$I:$K,2,FALSE),"")</f>
        <v/>
      </c>
      <c r="J2200" s="4" t="str">
        <f>_xlfn.IFNA(VLOOKUP(D2200,Master!$I:$K,3,FALSE),"")</f>
        <v/>
      </c>
      <c r="L2200" s="27" t="str">
        <f>IF(A2200&lt;&gt;"CFA",_xlfn.IFNA(VLOOKUP($G2200,Master!$V$2:$Z$8,5,0),""),"")</f>
        <v/>
      </c>
      <c r="P2200" s="6" t="str">
        <f t="shared" si="68"/>
        <v/>
      </c>
      <c r="Q2200" s="13">
        <f t="shared" si="69"/>
        <v>0</v>
      </c>
    </row>
    <row r="2201" spans="2:17" ht="15" customHeight="1">
      <c r="B2201" s="5" t="str">
        <f>_xlfn.IFNA(VLOOKUP(C2201,Master!$H:$I,2,FALSE),"")</f>
        <v/>
      </c>
      <c r="D2201" s="5" t="str">
        <f>_xlfn.IFNA(VLOOKUP(E2201,Master!$H:$I,2,FALSE),"")</f>
        <v/>
      </c>
      <c r="F2201" s="26" t="str">
        <f>+_xlfn.XLOOKUP(G2201,Master!$V$2:$V$8,Master!$U$2:$U$8,"")</f>
        <v/>
      </c>
      <c r="I2201" s="4" t="str">
        <f>_xlfn.IFNA(VLOOKUP(D2201,Master!$I:$K,2,FALSE),"")</f>
        <v/>
      </c>
      <c r="J2201" s="4" t="str">
        <f>_xlfn.IFNA(VLOOKUP(D2201,Master!$I:$K,3,FALSE),"")</f>
        <v/>
      </c>
      <c r="L2201" s="27" t="str">
        <f>IF(A2201&lt;&gt;"CFA",_xlfn.IFNA(VLOOKUP($G2201,Master!$V$2:$Z$8,5,0),""),"")</f>
        <v/>
      </c>
      <c r="P2201" s="6" t="str">
        <f t="shared" si="68"/>
        <v/>
      </c>
      <c r="Q2201" s="13">
        <f t="shared" si="69"/>
        <v>0</v>
      </c>
    </row>
    <row r="2202" spans="2:17" ht="15" customHeight="1">
      <c r="B2202" s="5" t="str">
        <f>_xlfn.IFNA(VLOOKUP(C2202,Master!$H:$I,2,FALSE),"")</f>
        <v/>
      </c>
      <c r="D2202" s="5" t="str">
        <f>_xlfn.IFNA(VLOOKUP(E2202,Master!$H:$I,2,FALSE),"")</f>
        <v/>
      </c>
      <c r="F2202" s="26" t="str">
        <f>+_xlfn.XLOOKUP(G2202,Master!$V$2:$V$8,Master!$U$2:$U$8,"")</f>
        <v/>
      </c>
      <c r="I2202" s="4" t="str">
        <f>_xlfn.IFNA(VLOOKUP(D2202,Master!$I:$K,2,FALSE),"")</f>
        <v/>
      </c>
      <c r="J2202" s="4" t="str">
        <f>_xlfn.IFNA(VLOOKUP(D2202,Master!$I:$K,3,FALSE),"")</f>
        <v/>
      </c>
      <c r="L2202" s="27" t="str">
        <f>IF(A2202&lt;&gt;"CFA",_xlfn.IFNA(VLOOKUP($G2202,Master!$V$2:$Z$8,5,0),""),"")</f>
        <v/>
      </c>
      <c r="P2202" s="6" t="str">
        <f t="shared" si="68"/>
        <v/>
      </c>
      <c r="Q2202" s="13">
        <f t="shared" si="69"/>
        <v>0</v>
      </c>
    </row>
    <row r="2203" spans="2:17" ht="15" customHeight="1">
      <c r="B2203" s="5" t="str">
        <f>_xlfn.IFNA(VLOOKUP(C2203,Master!$H:$I,2,FALSE),"")</f>
        <v/>
      </c>
      <c r="D2203" s="5" t="str">
        <f>_xlfn.IFNA(VLOOKUP(E2203,Master!$H:$I,2,FALSE),"")</f>
        <v/>
      </c>
      <c r="F2203" s="26" t="str">
        <f>+_xlfn.XLOOKUP(G2203,Master!$V$2:$V$8,Master!$U$2:$U$8,"")</f>
        <v/>
      </c>
      <c r="I2203" s="4" t="str">
        <f>_xlfn.IFNA(VLOOKUP(D2203,Master!$I:$K,2,FALSE),"")</f>
        <v/>
      </c>
      <c r="J2203" s="4" t="str">
        <f>_xlfn.IFNA(VLOOKUP(D2203,Master!$I:$K,3,FALSE),"")</f>
        <v/>
      </c>
      <c r="L2203" s="27" t="str">
        <f>IF(A2203&lt;&gt;"CFA",_xlfn.IFNA(VLOOKUP($G2203,Master!$V$2:$Z$8,5,0),""),"")</f>
        <v/>
      </c>
      <c r="P2203" s="6" t="str">
        <f t="shared" si="68"/>
        <v/>
      </c>
      <c r="Q2203" s="13">
        <f t="shared" si="69"/>
        <v>0</v>
      </c>
    </row>
    <row r="2204" spans="2:17" ht="15" customHeight="1">
      <c r="B2204" s="5" t="str">
        <f>_xlfn.IFNA(VLOOKUP(C2204,Master!$H:$I,2,FALSE),"")</f>
        <v/>
      </c>
      <c r="D2204" s="5" t="str">
        <f>_xlfn.IFNA(VLOOKUP(E2204,Master!$H:$I,2,FALSE),"")</f>
        <v/>
      </c>
      <c r="F2204" s="26" t="str">
        <f>+_xlfn.XLOOKUP(G2204,Master!$V$2:$V$8,Master!$U$2:$U$8,"")</f>
        <v/>
      </c>
      <c r="I2204" s="4" t="str">
        <f>_xlfn.IFNA(VLOOKUP(D2204,Master!$I:$K,2,FALSE),"")</f>
        <v/>
      </c>
      <c r="J2204" s="4" t="str">
        <f>_xlfn.IFNA(VLOOKUP(D2204,Master!$I:$K,3,FALSE),"")</f>
        <v/>
      </c>
      <c r="L2204" s="27" t="str">
        <f>IF(A2204&lt;&gt;"CFA",_xlfn.IFNA(VLOOKUP($G2204,Master!$V$2:$Z$8,5,0),""),"")</f>
        <v/>
      </c>
      <c r="P2204" s="6" t="str">
        <f t="shared" si="68"/>
        <v/>
      </c>
      <c r="Q2204" s="13">
        <f t="shared" si="69"/>
        <v>0</v>
      </c>
    </row>
    <row r="2205" spans="2:17" ht="15" customHeight="1">
      <c r="B2205" s="5" t="str">
        <f>_xlfn.IFNA(VLOOKUP(C2205,Master!$H:$I,2,FALSE),"")</f>
        <v/>
      </c>
      <c r="D2205" s="5" t="str">
        <f>_xlfn.IFNA(VLOOKUP(E2205,Master!$H:$I,2,FALSE),"")</f>
        <v/>
      </c>
      <c r="F2205" s="26" t="str">
        <f>+_xlfn.XLOOKUP(G2205,Master!$V$2:$V$8,Master!$U$2:$U$8,"")</f>
        <v/>
      </c>
      <c r="I2205" s="4" t="str">
        <f>_xlfn.IFNA(VLOOKUP(D2205,Master!$I:$K,2,FALSE),"")</f>
        <v/>
      </c>
      <c r="J2205" s="4" t="str">
        <f>_xlfn.IFNA(VLOOKUP(D2205,Master!$I:$K,3,FALSE),"")</f>
        <v/>
      </c>
      <c r="L2205" s="27" t="str">
        <f>IF(A2205&lt;&gt;"CFA",_xlfn.IFNA(VLOOKUP($G2205,Master!$V$2:$Z$8,5,0),""),"")</f>
        <v/>
      </c>
      <c r="P2205" s="6" t="str">
        <f t="shared" si="68"/>
        <v/>
      </c>
      <c r="Q2205" s="13">
        <f t="shared" si="69"/>
        <v>0</v>
      </c>
    </row>
    <row r="2206" spans="2:17" ht="15" customHeight="1">
      <c r="B2206" s="5" t="str">
        <f>_xlfn.IFNA(VLOOKUP(C2206,Master!$H:$I,2,FALSE),"")</f>
        <v/>
      </c>
      <c r="D2206" s="5" t="str">
        <f>_xlfn.IFNA(VLOOKUP(E2206,Master!$H:$I,2,FALSE),"")</f>
        <v/>
      </c>
      <c r="F2206" s="26" t="str">
        <f>+_xlfn.XLOOKUP(G2206,Master!$V$2:$V$8,Master!$U$2:$U$8,"")</f>
        <v/>
      </c>
      <c r="I2206" s="4" t="str">
        <f>_xlfn.IFNA(VLOOKUP(D2206,Master!$I:$K,2,FALSE),"")</f>
        <v/>
      </c>
      <c r="J2206" s="4" t="str">
        <f>_xlfn.IFNA(VLOOKUP(D2206,Master!$I:$K,3,FALSE),"")</f>
        <v/>
      </c>
      <c r="L2206" s="27" t="str">
        <f>IF(A2206&lt;&gt;"CFA",_xlfn.IFNA(VLOOKUP($G2206,Master!$V$2:$Z$8,5,0),""),"")</f>
        <v/>
      </c>
      <c r="P2206" s="6" t="str">
        <f t="shared" si="68"/>
        <v/>
      </c>
      <c r="Q2206" s="13">
        <f t="shared" si="69"/>
        <v>0</v>
      </c>
    </row>
    <row r="2207" spans="2:17" ht="15" customHeight="1">
      <c r="B2207" s="5" t="str">
        <f>_xlfn.IFNA(VLOOKUP(C2207,Master!$H:$I,2,FALSE),"")</f>
        <v/>
      </c>
      <c r="D2207" s="5" t="str">
        <f>_xlfn.IFNA(VLOOKUP(E2207,Master!$H:$I,2,FALSE),"")</f>
        <v/>
      </c>
      <c r="F2207" s="26" t="str">
        <f>+_xlfn.XLOOKUP(G2207,Master!$V$2:$V$8,Master!$U$2:$U$8,"")</f>
        <v/>
      </c>
      <c r="I2207" s="4" t="str">
        <f>_xlfn.IFNA(VLOOKUP(D2207,Master!$I:$K,2,FALSE),"")</f>
        <v/>
      </c>
      <c r="J2207" s="4" t="str">
        <f>_xlfn.IFNA(VLOOKUP(D2207,Master!$I:$K,3,FALSE),"")</f>
        <v/>
      </c>
      <c r="L2207" s="27" t="str">
        <f>IF(A2207&lt;&gt;"CFA",_xlfn.IFNA(VLOOKUP($G2207,Master!$V$2:$Z$8,5,0),""),"")</f>
        <v/>
      </c>
      <c r="P2207" s="6" t="str">
        <f t="shared" si="68"/>
        <v/>
      </c>
      <c r="Q2207" s="13">
        <f t="shared" si="69"/>
        <v>0</v>
      </c>
    </row>
    <row r="2208" spans="2:17" ht="15" customHeight="1">
      <c r="B2208" s="5" t="str">
        <f>_xlfn.IFNA(VLOOKUP(C2208,Master!$H:$I,2,FALSE),"")</f>
        <v/>
      </c>
      <c r="D2208" s="5" t="str">
        <f>_xlfn.IFNA(VLOOKUP(E2208,Master!$H:$I,2,FALSE),"")</f>
        <v/>
      </c>
      <c r="F2208" s="26" t="str">
        <f>+_xlfn.XLOOKUP(G2208,Master!$V$2:$V$8,Master!$U$2:$U$8,"")</f>
        <v/>
      </c>
      <c r="I2208" s="4" t="str">
        <f>_xlfn.IFNA(VLOOKUP(D2208,Master!$I:$K,2,FALSE),"")</f>
        <v/>
      </c>
      <c r="J2208" s="4" t="str">
        <f>_xlfn.IFNA(VLOOKUP(D2208,Master!$I:$K,3,FALSE),"")</f>
        <v/>
      </c>
      <c r="L2208" s="27" t="str">
        <f>IF(A2208&lt;&gt;"CFA",_xlfn.IFNA(VLOOKUP($G2208,Master!$V$2:$Z$8,5,0),""),"")</f>
        <v/>
      </c>
      <c r="P2208" s="6" t="str">
        <f t="shared" si="68"/>
        <v/>
      </c>
      <c r="Q2208" s="13">
        <f t="shared" si="69"/>
        <v>0</v>
      </c>
    </row>
    <row r="2209" spans="2:17" ht="15" customHeight="1">
      <c r="B2209" s="5" t="str">
        <f>_xlfn.IFNA(VLOOKUP(C2209,Master!$H:$I,2,FALSE),"")</f>
        <v/>
      </c>
      <c r="D2209" s="5" t="str">
        <f>_xlfn.IFNA(VLOOKUP(E2209,Master!$H:$I,2,FALSE),"")</f>
        <v/>
      </c>
      <c r="F2209" s="26" t="str">
        <f>+_xlfn.XLOOKUP(G2209,Master!$V$2:$V$8,Master!$U$2:$U$8,"")</f>
        <v/>
      </c>
      <c r="I2209" s="4" t="str">
        <f>_xlfn.IFNA(VLOOKUP(D2209,Master!$I:$K,2,FALSE),"")</f>
        <v/>
      </c>
      <c r="J2209" s="4" t="str">
        <f>_xlfn.IFNA(VLOOKUP(D2209,Master!$I:$K,3,FALSE),"")</f>
        <v/>
      </c>
      <c r="L2209" s="27" t="str">
        <f>IF(A2209&lt;&gt;"CFA",_xlfn.IFNA(VLOOKUP($G2209,Master!$V$2:$Z$8,5,0),""),"")</f>
        <v/>
      </c>
      <c r="P2209" s="6" t="str">
        <f t="shared" si="68"/>
        <v/>
      </c>
      <c r="Q2209" s="13">
        <f t="shared" si="69"/>
        <v>0</v>
      </c>
    </row>
    <row r="2210" spans="2:17" ht="15" customHeight="1">
      <c r="B2210" s="5" t="str">
        <f>_xlfn.IFNA(VLOOKUP(C2210,Master!$H:$I,2,FALSE),"")</f>
        <v/>
      </c>
      <c r="D2210" s="5" t="str">
        <f>_xlfn.IFNA(VLOOKUP(E2210,Master!$H:$I,2,FALSE),"")</f>
        <v/>
      </c>
      <c r="F2210" s="26" t="str">
        <f>+_xlfn.XLOOKUP(G2210,Master!$V$2:$V$8,Master!$U$2:$U$8,"")</f>
        <v/>
      </c>
      <c r="I2210" s="4" t="str">
        <f>_xlfn.IFNA(VLOOKUP(D2210,Master!$I:$K,2,FALSE),"")</f>
        <v/>
      </c>
      <c r="J2210" s="4" t="str">
        <f>_xlfn.IFNA(VLOOKUP(D2210,Master!$I:$K,3,FALSE),"")</f>
        <v/>
      </c>
      <c r="L2210" s="27" t="str">
        <f>IF(A2210&lt;&gt;"CFA",_xlfn.IFNA(VLOOKUP($G2210,Master!$V$2:$Z$8,5,0),""),"")</f>
        <v/>
      </c>
      <c r="P2210" s="6" t="str">
        <f t="shared" si="68"/>
        <v/>
      </c>
      <c r="Q2210" s="13">
        <f t="shared" si="69"/>
        <v>0</v>
      </c>
    </row>
    <row r="2211" spans="2:17" ht="15" customHeight="1">
      <c r="B2211" s="5" t="str">
        <f>_xlfn.IFNA(VLOOKUP(C2211,Master!$H:$I,2,FALSE),"")</f>
        <v/>
      </c>
      <c r="D2211" s="5" t="str">
        <f>_xlfn.IFNA(VLOOKUP(E2211,Master!$H:$I,2,FALSE),"")</f>
        <v/>
      </c>
      <c r="F2211" s="26" t="str">
        <f>+_xlfn.XLOOKUP(G2211,Master!$V$2:$V$8,Master!$U$2:$U$8,"")</f>
        <v/>
      </c>
      <c r="I2211" s="4" t="str">
        <f>_xlfn.IFNA(VLOOKUP(D2211,Master!$I:$K,2,FALSE),"")</f>
        <v/>
      </c>
      <c r="J2211" s="4" t="str">
        <f>_xlfn.IFNA(VLOOKUP(D2211,Master!$I:$K,3,FALSE),"")</f>
        <v/>
      </c>
      <c r="L2211" s="27" t="str">
        <f>IF(A2211&lt;&gt;"CFA",_xlfn.IFNA(VLOOKUP($G2211,Master!$V$2:$Z$8,5,0),""),"")</f>
        <v/>
      </c>
      <c r="P2211" s="6" t="str">
        <f t="shared" si="68"/>
        <v/>
      </c>
      <c r="Q2211" s="13">
        <f t="shared" si="69"/>
        <v>0</v>
      </c>
    </row>
    <row r="2212" spans="2:17" ht="15" customHeight="1">
      <c r="B2212" s="5" t="str">
        <f>_xlfn.IFNA(VLOOKUP(C2212,Master!$H:$I,2,FALSE),"")</f>
        <v/>
      </c>
      <c r="D2212" s="5" t="str">
        <f>_xlfn.IFNA(VLOOKUP(E2212,Master!$H:$I,2,FALSE),"")</f>
        <v/>
      </c>
      <c r="F2212" s="26" t="str">
        <f>+_xlfn.XLOOKUP(G2212,Master!$V$2:$V$8,Master!$U$2:$U$8,"")</f>
        <v/>
      </c>
      <c r="I2212" s="4" t="str">
        <f>_xlfn.IFNA(VLOOKUP(D2212,Master!$I:$K,2,FALSE),"")</f>
        <v/>
      </c>
      <c r="J2212" s="4" t="str">
        <f>_xlfn.IFNA(VLOOKUP(D2212,Master!$I:$K,3,FALSE),"")</f>
        <v/>
      </c>
      <c r="L2212" s="27" t="str">
        <f>IF(A2212&lt;&gt;"CFA",_xlfn.IFNA(VLOOKUP($G2212,Master!$V$2:$Z$8,5,0),""),"")</f>
        <v/>
      </c>
      <c r="P2212" s="6" t="str">
        <f t="shared" si="68"/>
        <v/>
      </c>
      <c r="Q2212" s="13">
        <f t="shared" si="69"/>
        <v>0</v>
      </c>
    </row>
    <row r="2213" spans="2:17" ht="15" customHeight="1">
      <c r="B2213" s="5" t="str">
        <f>_xlfn.IFNA(VLOOKUP(C2213,Master!$H:$I,2,FALSE),"")</f>
        <v/>
      </c>
      <c r="D2213" s="5" t="str">
        <f>_xlfn.IFNA(VLOOKUP(E2213,Master!$H:$I,2,FALSE),"")</f>
        <v/>
      </c>
      <c r="F2213" s="26" t="str">
        <f>+_xlfn.XLOOKUP(G2213,Master!$V$2:$V$8,Master!$U$2:$U$8,"")</f>
        <v/>
      </c>
      <c r="I2213" s="4" t="str">
        <f>_xlfn.IFNA(VLOOKUP(D2213,Master!$I:$K,2,FALSE),"")</f>
        <v/>
      </c>
      <c r="J2213" s="4" t="str">
        <f>_xlfn.IFNA(VLOOKUP(D2213,Master!$I:$K,3,FALSE),"")</f>
        <v/>
      </c>
      <c r="L2213" s="27" t="str">
        <f>IF(A2213&lt;&gt;"CFA",_xlfn.IFNA(VLOOKUP($G2213,Master!$V$2:$Z$8,5,0),""),"")</f>
        <v/>
      </c>
      <c r="P2213" s="6" t="str">
        <f t="shared" si="68"/>
        <v/>
      </c>
      <c r="Q2213" s="13">
        <f t="shared" si="69"/>
        <v>0</v>
      </c>
    </row>
    <row r="2214" spans="2:17" ht="15" customHeight="1">
      <c r="B2214" s="5" t="str">
        <f>_xlfn.IFNA(VLOOKUP(C2214,Master!$H:$I,2,FALSE),"")</f>
        <v/>
      </c>
      <c r="D2214" s="5" t="str">
        <f>_xlfn.IFNA(VLOOKUP(E2214,Master!$H:$I,2,FALSE),"")</f>
        <v/>
      </c>
      <c r="F2214" s="26" t="str">
        <f>+_xlfn.XLOOKUP(G2214,Master!$V$2:$V$8,Master!$U$2:$U$8,"")</f>
        <v/>
      </c>
      <c r="I2214" s="4" t="str">
        <f>_xlfn.IFNA(VLOOKUP(D2214,Master!$I:$K,2,FALSE),"")</f>
        <v/>
      </c>
      <c r="J2214" s="4" t="str">
        <f>_xlfn.IFNA(VLOOKUP(D2214,Master!$I:$K,3,FALSE),"")</f>
        <v/>
      </c>
      <c r="L2214" s="27" t="str">
        <f>IF(A2214&lt;&gt;"CFA",_xlfn.IFNA(VLOOKUP($G2214,Master!$V$2:$Z$8,5,0),""),"")</f>
        <v/>
      </c>
      <c r="P2214" s="6" t="str">
        <f t="shared" si="68"/>
        <v/>
      </c>
      <c r="Q2214" s="13">
        <f t="shared" si="69"/>
        <v>0</v>
      </c>
    </row>
    <row r="2215" spans="2:17" ht="15" customHeight="1">
      <c r="B2215" s="5" t="str">
        <f>_xlfn.IFNA(VLOOKUP(C2215,Master!$H:$I,2,FALSE),"")</f>
        <v/>
      </c>
      <c r="D2215" s="5" t="str">
        <f>_xlfn.IFNA(VLOOKUP(E2215,Master!$H:$I,2,FALSE),"")</f>
        <v/>
      </c>
      <c r="F2215" s="26" t="str">
        <f>+_xlfn.XLOOKUP(G2215,Master!$V$2:$V$8,Master!$U$2:$U$8,"")</f>
        <v/>
      </c>
      <c r="I2215" s="4" t="str">
        <f>_xlfn.IFNA(VLOOKUP(D2215,Master!$I:$K,2,FALSE),"")</f>
        <v/>
      </c>
      <c r="J2215" s="4" t="str">
        <f>_xlfn.IFNA(VLOOKUP(D2215,Master!$I:$K,3,FALSE),"")</f>
        <v/>
      </c>
      <c r="L2215" s="27" t="str">
        <f>IF(A2215&lt;&gt;"CFA",_xlfn.IFNA(VLOOKUP($G2215,Master!$V$2:$Z$8,5,0),""),"")</f>
        <v/>
      </c>
      <c r="P2215" s="6" t="str">
        <f t="shared" si="68"/>
        <v/>
      </c>
      <c r="Q2215" s="13">
        <f t="shared" si="69"/>
        <v>0</v>
      </c>
    </row>
    <row r="2216" spans="2:17" ht="15" customHeight="1">
      <c r="B2216" s="5" t="str">
        <f>_xlfn.IFNA(VLOOKUP(C2216,Master!$H:$I,2,FALSE),"")</f>
        <v/>
      </c>
      <c r="D2216" s="5" t="str">
        <f>_xlfn.IFNA(VLOOKUP(E2216,Master!$H:$I,2,FALSE),"")</f>
        <v/>
      </c>
      <c r="F2216" s="26" t="str">
        <f>+_xlfn.XLOOKUP(G2216,Master!$V$2:$V$8,Master!$U$2:$U$8,"")</f>
        <v/>
      </c>
      <c r="I2216" s="4" t="str">
        <f>_xlfn.IFNA(VLOOKUP(D2216,Master!$I:$K,2,FALSE),"")</f>
        <v/>
      </c>
      <c r="J2216" s="4" t="str">
        <f>_xlfn.IFNA(VLOOKUP(D2216,Master!$I:$K,3,FALSE),"")</f>
        <v/>
      </c>
      <c r="L2216" s="27" t="str">
        <f>IF(A2216&lt;&gt;"CFA",_xlfn.IFNA(VLOOKUP($G2216,Master!$V$2:$Z$8,5,0),""),"")</f>
        <v/>
      </c>
      <c r="P2216" s="6" t="str">
        <f t="shared" si="68"/>
        <v/>
      </c>
      <c r="Q2216" s="13">
        <f t="shared" si="69"/>
        <v>0</v>
      </c>
    </row>
    <row r="2217" spans="2:17" ht="15" customHeight="1">
      <c r="B2217" s="5" t="str">
        <f>_xlfn.IFNA(VLOOKUP(C2217,Master!$H:$I,2,FALSE),"")</f>
        <v/>
      </c>
      <c r="D2217" s="5" t="str">
        <f>_xlfn.IFNA(VLOOKUP(E2217,Master!$H:$I,2,FALSE),"")</f>
        <v/>
      </c>
      <c r="F2217" s="26" t="str">
        <f>+_xlfn.XLOOKUP(G2217,Master!$V$2:$V$8,Master!$U$2:$U$8,"")</f>
        <v/>
      </c>
      <c r="I2217" s="4" t="str">
        <f>_xlfn.IFNA(VLOOKUP(D2217,Master!$I:$K,2,FALSE),"")</f>
        <v/>
      </c>
      <c r="J2217" s="4" t="str">
        <f>_xlfn.IFNA(VLOOKUP(D2217,Master!$I:$K,3,FALSE),"")</f>
        <v/>
      </c>
      <c r="L2217" s="27" t="str">
        <f>IF(A2217&lt;&gt;"CFA",_xlfn.IFNA(VLOOKUP($G2217,Master!$V$2:$Z$8,5,0),""),"")</f>
        <v/>
      </c>
      <c r="P2217" s="6" t="str">
        <f t="shared" si="68"/>
        <v/>
      </c>
      <c r="Q2217" s="13">
        <f t="shared" si="69"/>
        <v>0</v>
      </c>
    </row>
    <row r="2218" spans="2:17" ht="15" customHeight="1">
      <c r="B2218" s="5" t="str">
        <f>_xlfn.IFNA(VLOOKUP(C2218,Master!$H:$I,2,FALSE),"")</f>
        <v/>
      </c>
      <c r="D2218" s="5" t="str">
        <f>_xlfn.IFNA(VLOOKUP(E2218,Master!$H:$I,2,FALSE),"")</f>
        <v/>
      </c>
      <c r="F2218" s="26" t="str">
        <f>+_xlfn.XLOOKUP(G2218,Master!$V$2:$V$8,Master!$U$2:$U$8,"")</f>
        <v/>
      </c>
      <c r="I2218" s="4" t="str">
        <f>_xlfn.IFNA(VLOOKUP(D2218,Master!$I:$K,2,FALSE),"")</f>
        <v/>
      </c>
      <c r="J2218" s="4" t="str">
        <f>_xlfn.IFNA(VLOOKUP(D2218,Master!$I:$K,3,FALSE),"")</f>
        <v/>
      </c>
      <c r="L2218" s="27" t="str">
        <f>IF(A2218&lt;&gt;"CFA",_xlfn.IFNA(VLOOKUP($G2218,Master!$V$2:$Z$8,5,0),""),"")</f>
        <v/>
      </c>
      <c r="P2218" s="6" t="str">
        <f t="shared" si="68"/>
        <v/>
      </c>
      <c r="Q2218" s="13">
        <f t="shared" si="69"/>
        <v>0</v>
      </c>
    </row>
    <row r="2219" spans="2:17" ht="15" customHeight="1">
      <c r="B2219" s="5" t="str">
        <f>_xlfn.IFNA(VLOOKUP(C2219,Master!$H:$I,2,FALSE),"")</f>
        <v/>
      </c>
      <c r="D2219" s="5" t="str">
        <f>_xlfn.IFNA(VLOOKUP(E2219,Master!$H:$I,2,FALSE),"")</f>
        <v/>
      </c>
      <c r="F2219" s="26" t="str">
        <f>+_xlfn.XLOOKUP(G2219,Master!$V$2:$V$8,Master!$U$2:$U$8,"")</f>
        <v/>
      </c>
      <c r="I2219" s="4" t="str">
        <f>_xlfn.IFNA(VLOOKUP(D2219,Master!$I:$K,2,FALSE),"")</f>
        <v/>
      </c>
      <c r="J2219" s="4" t="str">
        <f>_xlfn.IFNA(VLOOKUP(D2219,Master!$I:$K,3,FALSE),"")</f>
        <v/>
      </c>
      <c r="L2219" s="27" t="str">
        <f>IF(A2219&lt;&gt;"CFA",_xlfn.IFNA(VLOOKUP($G2219,Master!$V$2:$Z$8,5,0),""),"")</f>
        <v/>
      </c>
      <c r="P2219" s="6" t="str">
        <f t="shared" si="68"/>
        <v/>
      </c>
      <c r="Q2219" s="13">
        <f t="shared" si="69"/>
        <v>0</v>
      </c>
    </row>
    <row r="2220" spans="2:17" ht="15" customHeight="1">
      <c r="B2220" s="5" t="str">
        <f>_xlfn.IFNA(VLOOKUP(C2220,Master!$H:$I,2,FALSE),"")</f>
        <v/>
      </c>
      <c r="D2220" s="5" t="str">
        <f>_xlfn.IFNA(VLOOKUP(E2220,Master!$H:$I,2,FALSE),"")</f>
        <v/>
      </c>
      <c r="F2220" s="26" t="str">
        <f>+_xlfn.XLOOKUP(G2220,Master!$V$2:$V$8,Master!$U$2:$U$8,"")</f>
        <v/>
      </c>
      <c r="I2220" s="4" t="str">
        <f>_xlfn.IFNA(VLOOKUP(D2220,Master!$I:$K,2,FALSE),"")</f>
        <v/>
      </c>
      <c r="J2220" s="4" t="str">
        <f>_xlfn.IFNA(VLOOKUP(D2220,Master!$I:$K,3,FALSE),"")</f>
        <v/>
      </c>
      <c r="L2220" s="27" t="str">
        <f>IF(A2220&lt;&gt;"CFA",_xlfn.IFNA(VLOOKUP($G2220,Master!$V$2:$Z$8,5,0),""),"")</f>
        <v/>
      </c>
      <c r="P2220" s="6" t="str">
        <f t="shared" si="68"/>
        <v/>
      </c>
      <c r="Q2220" s="13">
        <f t="shared" si="69"/>
        <v>0</v>
      </c>
    </row>
    <row r="2221" spans="2:17" ht="15" customHeight="1">
      <c r="B2221" s="5" t="str">
        <f>_xlfn.IFNA(VLOOKUP(C2221,Master!$H:$I,2,FALSE),"")</f>
        <v/>
      </c>
      <c r="D2221" s="5" t="str">
        <f>_xlfn.IFNA(VLOOKUP(E2221,Master!$H:$I,2,FALSE),"")</f>
        <v/>
      </c>
      <c r="F2221" s="26" t="str">
        <f>+_xlfn.XLOOKUP(G2221,Master!$V$2:$V$8,Master!$U$2:$U$8,"")</f>
        <v/>
      </c>
      <c r="I2221" s="4" t="str">
        <f>_xlfn.IFNA(VLOOKUP(D2221,Master!$I:$K,2,FALSE),"")</f>
        <v/>
      </c>
      <c r="J2221" s="4" t="str">
        <f>_xlfn.IFNA(VLOOKUP(D2221,Master!$I:$K,3,FALSE),"")</f>
        <v/>
      </c>
      <c r="L2221" s="27" t="str">
        <f>IF(A2221&lt;&gt;"CFA",_xlfn.IFNA(VLOOKUP($G2221,Master!$V$2:$Z$8,5,0),""),"")</f>
        <v/>
      </c>
      <c r="P2221" s="6" t="str">
        <f t="shared" si="68"/>
        <v/>
      </c>
      <c r="Q2221" s="13">
        <f t="shared" si="69"/>
        <v>0</v>
      </c>
    </row>
    <row r="2222" spans="2:17" ht="15" customHeight="1">
      <c r="B2222" s="5" t="str">
        <f>_xlfn.IFNA(VLOOKUP(C2222,Master!$H:$I,2,FALSE),"")</f>
        <v/>
      </c>
      <c r="D2222" s="5" t="str">
        <f>_xlfn.IFNA(VLOOKUP(E2222,Master!$H:$I,2,FALSE),"")</f>
        <v/>
      </c>
      <c r="F2222" s="26" t="str">
        <f>+_xlfn.XLOOKUP(G2222,Master!$V$2:$V$8,Master!$U$2:$U$8,"")</f>
        <v/>
      </c>
      <c r="I2222" s="4" t="str">
        <f>_xlfn.IFNA(VLOOKUP(D2222,Master!$I:$K,2,FALSE),"")</f>
        <v/>
      </c>
      <c r="J2222" s="4" t="str">
        <f>_xlfn.IFNA(VLOOKUP(D2222,Master!$I:$K,3,FALSE),"")</f>
        <v/>
      </c>
      <c r="L2222" s="27" t="str">
        <f>IF(A2222&lt;&gt;"CFA",_xlfn.IFNA(VLOOKUP($G2222,Master!$V$2:$Z$8,5,0),""),"")</f>
        <v/>
      </c>
      <c r="P2222" s="6" t="str">
        <f t="shared" si="68"/>
        <v/>
      </c>
      <c r="Q2222" s="13">
        <f t="shared" si="69"/>
        <v>0</v>
      </c>
    </row>
    <row r="2223" spans="2:17" ht="15" customHeight="1">
      <c r="B2223" s="5" t="str">
        <f>_xlfn.IFNA(VLOOKUP(C2223,Master!$H:$I,2,FALSE),"")</f>
        <v/>
      </c>
      <c r="D2223" s="5" t="str">
        <f>_xlfn.IFNA(VLOOKUP(E2223,Master!$H:$I,2,FALSE),"")</f>
        <v/>
      </c>
      <c r="F2223" s="26" t="str">
        <f>+_xlfn.XLOOKUP(G2223,Master!$V$2:$V$8,Master!$U$2:$U$8,"")</f>
        <v/>
      </c>
      <c r="I2223" s="4" t="str">
        <f>_xlfn.IFNA(VLOOKUP(D2223,Master!$I:$K,2,FALSE),"")</f>
        <v/>
      </c>
      <c r="J2223" s="4" t="str">
        <f>_xlfn.IFNA(VLOOKUP(D2223,Master!$I:$K,3,FALSE),"")</f>
        <v/>
      </c>
      <c r="L2223" s="27" t="str">
        <f>IF(A2223&lt;&gt;"CFA",_xlfn.IFNA(VLOOKUP($G2223,Master!$V$2:$Z$8,5,0),""),"")</f>
        <v/>
      </c>
      <c r="P2223" s="6" t="str">
        <f t="shared" si="68"/>
        <v/>
      </c>
      <c r="Q2223" s="13">
        <f t="shared" si="69"/>
        <v>0</v>
      </c>
    </row>
    <row r="2224" spans="2:17" ht="15" customHeight="1">
      <c r="B2224" s="5" t="str">
        <f>_xlfn.IFNA(VLOOKUP(C2224,Master!$H:$I,2,FALSE),"")</f>
        <v/>
      </c>
      <c r="D2224" s="5" t="str">
        <f>_xlfn.IFNA(VLOOKUP(E2224,Master!$H:$I,2,FALSE),"")</f>
        <v/>
      </c>
      <c r="F2224" s="26" t="str">
        <f>+_xlfn.XLOOKUP(G2224,Master!$V$2:$V$8,Master!$U$2:$U$8,"")</f>
        <v/>
      </c>
      <c r="I2224" s="4" t="str">
        <f>_xlfn.IFNA(VLOOKUP(D2224,Master!$I:$K,2,FALSE),"")</f>
        <v/>
      </c>
      <c r="J2224" s="4" t="str">
        <f>_xlfn.IFNA(VLOOKUP(D2224,Master!$I:$K,3,FALSE),"")</f>
        <v/>
      </c>
      <c r="L2224" s="27" t="str">
        <f>IF(A2224&lt;&gt;"CFA",_xlfn.IFNA(VLOOKUP($G2224,Master!$V$2:$Z$8,5,0),""),"")</f>
        <v/>
      </c>
      <c r="P2224" s="6" t="str">
        <f t="shared" si="68"/>
        <v/>
      </c>
      <c r="Q2224" s="13">
        <f t="shared" si="69"/>
        <v>0</v>
      </c>
    </row>
    <row r="2225" spans="2:17" ht="15" customHeight="1">
      <c r="B2225" s="5" t="str">
        <f>_xlfn.IFNA(VLOOKUP(C2225,Master!$H:$I,2,FALSE),"")</f>
        <v/>
      </c>
      <c r="D2225" s="5" t="str">
        <f>_xlfn.IFNA(VLOOKUP(E2225,Master!$H:$I,2,FALSE),"")</f>
        <v/>
      </c>
      <c r="F2225" s="26" t="str">
        <f>+_xlfn.XLOOKUP(G2225,Master!$V$2:$V$8,Master!$U$2:$U$8,"")</f>
        <v/>
      </c>
      <c r="I2225" s="4" t="str">
        <f>_xlfn.IFNA(VLOOKUP(D2225,Master!$I:$K,2,FALSE),"")</f>
        <v/>
      </c>
      <c r="J2225" s="4" t="str">
        <f>_xlfn.IFNA(VLOOKUP(D2225,Master!$I:$K,3,FALSE),"")</f>
        <v/>
      </c>
      <c r="L2225" s="27" t="str">
        <f>IF(A2225&lt;&gt;"CFA",_xlfn.IFNA(VLOOKUP($G2225,Master!$V$2:$Z$8,5,0),""),"")</f>
        <v/>
      </c>
      <c r="P2225" s="6" t="str">
        <f t="shared" si="68"/>
        <v/>
      </c>
      <c r="Q2225" s="13">
        <f t="shared" si="69"/>
        <v>0</v>
      </c>
    </row>
    <row r="2226" spans="2:17" ht="15" customHeight="1">
      <c r="B2226" s="5" t="str">
        <f>_xlfn.IFNA(VLOOKUP(C2226,Master!$H:$I,2,FALSE),"")</f>
        <v/>
      </c>
      <c r="D2226" s="5" t="str">
        <f>_xlfn.IFNA(VLOOKUP(E2226,Master!$H:$I,2,FALSE),"")</f>
        <v/>
      </c>
      <c r="F2226" s="26" t="str">
        <f>+_xlfn.XLOOKUP(G2226,Master!$V$2:$V$8,Master!$U$2:$U$8,"")</f>
        <v/>
      </c>
      <c r="I2226" s="4" t="str">
        <f>_xlfn.IFNA(VLOOKUP(D2226,Master!$I:$K,2,FALSE),"")</f>
        <v/>
      </c>
      <c r="J2226" s="4" t="str">
        <f>_xlfn.IFNA(VLOOKUP(D2226,Master!$I:$K,3,FALSE),"")</f>
        <v/>
      </c>
      <c r="L2226" s="27" t="str">
        <f>IF(A2226&lt;&gt;"CFA",_xlfn.IFNA(VLOOKUP($G2226,Master!$V$2:$Z$8,5,0),""),"")</f>
        <v/>
      </c>
      <c r="P2226" s="6" t="str">
        <f t="shared" si="68"/>
        <v/>
      </c>
      <c r="Q2226" s="13">
        <f t="shared" si="69"/>
        <v>0</v>
      </c>
    </row>
    <row r="2227" spans="2:17" ht="15" customHeight="1">
      <c r="B2227" s="5" t="str">
        <f>_xlfn.IFNA(VLOOKUP(C2227,Master!$H:$I,2,FALSE),"")</f>
        <v/>
      </c>
      <c r="D2227" s="5" t="str">
        <f>_xlfn.IFNA(VLOOKUP(E2227,Master!$H:$I,2,FALSE),"")</f>
        <v/>
      </c>
      <c r="F2227" s="26" t="str">
        <f>+_xlfn.XLOOKUP(G2227,Master!$V$2:$V$8,Master!$U$2:$U$8,"")</f>
        <v/>
      </c>
      <c r="I2227" s="4" t="str">
        <f>_xlfn.IFNA(VLOOKUP(D2227,Master!$I:$K,2,FALSE),"")</f>
        <v/>
      </c>
      <c r="J2227" s="4" t="str">
        <f>_xlfn.IFNA(VLOOKUP(D2227,Master!$I:$K,3,FALSE),"")</f>
        <v/>
      </c>
      <c r="L2227" s="27" t="str">
        <f>IF(A2227&lt;&gt;"CFA",_xlfn.IFNA(VLOOKUP($G2227,Master!$V$2:$Z$8,5,0),""),"")</f>
        <v/>
      </c>
      <c r="P2227" s="6" t="str">
        <f t="shared" si="68"/>
        <v/>
      </c>
      <c r="Q2227" s="13">
        <f t="shared" si="69"/>
        <v>0</v>
      </c>
    </row>
    <row r="2228" spans="2:17" ht="15" customHeight="1">
      <c r="B2228" s="5" t="str">
        <f>_xlfn.IFNA(VLOOKUP(C2228,Master!$H:$I,2,FALSE),"")</f>
        <v/>
      </c>
      <c r="D2228" s="5" t="str">
        <f>_xlfn.IFNA(VLOOKUP(E2228,Master!$H:$I,2,FALSE),"")</f>
        <v/>
      </c>
      <c r="F2228" s="26" t="str">
        <f>+_xlfn.XLOOKUP(G2228,Master!$V$2:$V$8,Master!$U$2:$U$8,"")</f>
        <v/>
      </c>
      <c r="I2228" s="4" t="str">
        <f>_xlfn.IFNA(VLOOKUP(D2228,Master!$I:$K,2,FALSE),"")</f>
        <v/>
      </c>
      <c r="J2228" s="4" t="str">
        <f>_xlfn.IFNA(VLOOKUP(D2228,Master!$I:$K,3,FALSE),"")</f>
        <v/>
      </c>
      <c r="L2228" s="27" t="str">
        <f>IF(A2228&lt;&gt;"CFA",_xlfn.IFNA(VLOOKUP($G2228,Master!$V$2:$Z$8,5,0),""),"")</f>
        <v/>
      </c>
      <c r="P2228" s="6" t="str">
        <f t="shared" si="68"/>
        <v/>
      </c>
      <c r="Q2228" s="13">
        <f t="shared" si="69"/>
        <v>0</v>
      </c>
    </row>
    <row r="2229" spans="2:17" ht="15" customHeight="1">
      <c r="B2229" s="5" t="str">
        <f>_xlfn.IFNA(VLOOKUP(C2229,Master!$H:$I,2,FALSE),"")</f>
        <v/>
      </c>
      <c r="D2229" s="5" t="str">
        <f>_xlfn.IFNA(VLOOKUP(E2229,Master!$H:$I,2,FALSE),"")</f>
        <v/>
      </c>
      <c r="F2229" s="26" t="str">
        <f>+_xlfn.XLOOKUP(G2229,Master!$V$2:$V$8,Master!$U$2:$U$8,"")</f>
        <v/>
      </c>
      <c r="I2229" s="4" t="str">
        <f>_xlfn.IFNA(VLOOKUP(D2229,Master!$I:$K,2,FALSE),"")</f>
        <v/>
      </c>
      <c r="J2229" s="4" t="str">
        <f>_xlfn.IFNA(VLOOKUP(D2229,Master!$I:$K,3,FALSE),"")</f>
        <v/>
      </c>
      <c r="L2229" s="27" t="str">
        <f>IF(A2229&lt;&gt;"CFA",_xlfn.IFNA(VLOOKUP($G2229,Master!$V$2:$Z$8,5,0),""),"")</f>
        <v/>
      </c>
      <c r="P2229" s="6" t="str">
        <f t="shared" si="68"/>
        <v/>
      </c>
      <c r="Q2229" s="13">
        <f t="shared" si="69"/>
        <v>0</v>
      </c>
    </row>
    <row r="2230" spans="2:17" ht="15" customHeight="1">
      <c r="B2230" s="5" t="str">
        <f>_xlfn.IFNA(VLOOKUP(C2230,Master!$H:$I,2,FALSE),"")</f>
        <v/>
      </c>
      <c r="D2230" s="5" t="str">
        <f>_xlfn.IFNA(VLOOKUP(E2230,Master!$H:$I,2,FALSE),"")</f>
        <v/>
      </c>
      <c r="F2230" s="26" t="str">
        <f>+_xlfn.XLOOKUP(G2230,Master!$V$2:$V$8,Master!$U$2:$U$8,"")</f>
        <v/>
      </c>
      <c r="I2230" s="4" t="str">
        <f>_xlfn.IFNA(VLOOKUP(D2230,Master!$I:$K,2,FALSE),"")</f>
        <v/>
      </c>
      <c r="J2230" s="4" t="str">
        <f>_xlfn.IFNA(VLOOKUP(D2230,Master!$I:$K,3,FALSE),"")</f>
        <v/>
      </c>
      <c r="L2230" s="27" t="str">
        <f>IF(A2230&lt;&gt;"CFA",_xlfn.IFNA(VLOOKUP($G2230,Master!$V$2:$Z$8,5,0),""),"")</f>
        <v/>
      </c>
      <c r="P2230" s="6" t="str">
        <f t="shared" si="68"/>
        <v/>
      </c>
      <c r="Q2230" s="13">
        <f t="shared" si="69"/>
        <v>0</v>
      </c>
    </row>
    <row r="2231" spans="2:17" ht="15" customHeight="1">
      <c r="B2231" s="5" t="str">
        <f>_xlfn.IFNA(VLOOKUP(C2231,Master!$H:$I,2,FALSE),"")</f>
        <v/>
      </c>
      <c r="D2231" s="5" t="str">
        <f>_xlfn.IFNA(VLOOKUP(E2231,Master!$H:$I,2,FALSE),"")</f>
        <v/>
      </c>
      <c r="F2231" s="26" t="str">
        <f>+_xlfn.XLOOKUP(G2231,Master!$V$2:$V$8,Master!$U$2:$U$8,"")</f>
        <v/>
      </c>
      <c r="I2231" s="4" t="str">
        <f>_xlfn.IFNA(VLOOKUP(D2231,Master!$I:$K,2,FALSE),"")</f>
        <v/>
      </c>
      <c r="J2231" s="4" t="str">
        <f>_xlfn.IFNA(VLOOKUP(D2231,Master!$I:$K,3,FALSE),"")</f>
        <v/>
      </c>
      <c r="L2231" s="27" t="str">
        <f>IF(A2231&lt;&gt;"CFA",_xlfn.IFNA(VLOOKUP($G2231,Master!$V$2:$Z$8,5,0),""),"")</f>
        <v/>
      </c>
      <c r="P2231" s="6" t="str">
        <f t="shared" ref="P2231:P2294" si="70">IF(N2231&lt;&gt;"",IF(MONTH(N2231)&gt;=4,"FY1"&amp;RIGHT(YEAR(N2231)+1,2),"FY1"&amp;RIGHT(YEAR(N2231),2)),"")</f>
        <v/>
      </c>
      <c r="Q2231" s="13">
        <f t="shared" ref="Q2231:Q2294" si="71">IF(K2231&gt;0&amp;M2231&gt;0,K2231*M2231,"")</f>
        <v>0</v>
      </c>
    </row>
    <row r="2232" spans="2:17" ht="15" customHeight="1">
      <c r="B2232" s="5" t="str">
        <f>_xlfn.IFNA(VLOOKUP(C2232,Master!$H:$I,2,FALSE),"")</f>
        <v/>
      </c>
      <c r="D2232" s="5" t="str">
        <f>_xlfn.IFNA(VLOOKUP(E2232,Master!$H:$I,2,FALSE),"")</f>
        <v/>
      </c>
      <c r="F2232" s="26" t="str">
        <f>+_xlfn.XLOOKUP(G2232,Master!$V$2:$V$8,Master!$U$2:$U$8,"")</f>
        <v/>
      </c>
      <c r="I2232" s="4" t="str">
        <f>_xlfn.IFNA(VLOOKUP(D2232,Master!$I:$K,2,FALSE),"")</f>
        <v/>
      </c>
      <c r="J2232" s="4" t="str">
        <f>_xlfn.IFNA(VLOOKUP(D2232,Master!$I:$K,3,FALSE),"")</f>
        <v/>
      </c>
      <c r="L2232" s="27" t="str">
        <f>IF(A2232&lt;&gt;"CFA",_xlfn.IFNA(VLOOKUP($G2232,Master!$V$2:$Z$8,5,0),""),"")</f>
        <v/>
      </c>
      <c r="P2232" s="6" t="str">
        <f t="shared" si="70"/>
        <v/>
      </c>
      <c r="Q2232" s="13">
        <f t="shared" si="71"/>
        <v>0</v>
      </c>
    </row>
    <row r="2233" spans="2:17" ht="15" customHeight="1">
      <c r="B2233" s="5" t="str">
        <f>_xlfn.IFNA(VLOOKUP(C2233,Master!$H:$I,2,FALSE),"")</f>
        <v/>
      </c>
      <c r="D2233" s="5" t="str">
        <f>_xlfn.IFNA(VLOOKUP(E2233,Master!$H:$I,2,FALSE),"")</f>
        <v/>
      </c>
      <c r="F2233" s="26" t="str">
        <f>+_xlfn.XLOOKUP(G2233,Master!$V$2:$V$8,Master!$U$2:$U$8,"")</f>
        <v/>
      </c>
      <c r="I2233" s="4" t="str">
        <f>_xlfn.IFNA(VLOOKUP(D2233,Master!$I:$K,2,FALSE),"")</f>
        <v/>
      </c>
      <c r="J2233" s="4" t="str">
        <f>_xlfn.IFNA(VLOOKUP(D2233,Master!$I:$K,3,FALSE),"")</f>
        <v/>
      </c>
      <c r="L2233" s="27" t="str">
        <f>IF(A2233&lt;&gt;"CFA",_xlfn.IFNA(VLOOKUP($G2233,Master!$V$2:$Z$8,5,0),""),"")</f>
        <v/>
      </c>
      <c r="P2233" s="6" t="str">
        <f t="shared" si="70"/>
        <v/>
      </c>
      <c r="Q2233" s="13">
        <f t="shared" si="71"/>
        <v>0</v>
      </c>
    </row>
    <row r="2234" spans="2:17" ht="15" customHeight="1">
      <c r="B2234" s="5" t="str">
        <f>_xlfn.IFNA(VLOOKUP(C2234,Master!$H:$I,2,FALSE),"")</f>
        <v/>
      </c>
      <c r="D2234" s="5" t="str">
        <f>_xlfn.IFNA(VLOOKUP(E2234,Master!$H:$I,2,FALSE),"")</f>
        <v/>
      </c>
      <c r="F2234" s="26" t="str">
        <f>+_xlfn.XLOOKUP(G2234,Master!$V$2:$V$8,Master!$U$2:$U$8,"")</f>
        <v/>
      </c>
      <c r="I2234" s="4" t="str">
        <f>_xlfn.IFNA(VLOOKUP(D2234,Master!$I:$K,2,FALSE),"")</f>
        <v/>
      </c>
      <c r="J2234" s="4" t="str">
        <f>_xlfn.IFNA(VLOOKUP(D2234,Master!$I:$K,3,FALSE),"")</f>
        <v/>
      </c>
      <c r="L2234" s="27" t="str">
        <f>IF(A2234&lt;&gt;"CFA",_xlfn.IFNA(VLOOKUP($G2234,Master!$V$2:$Z$8,5,0),""),"")</f>
        <v/>
      </c>
      <c r="P2234" s="6" t="str">
        <f t="shared" si="70"/>
        <v/>
      </c>
      <c r="Q2234" s="13">
        <f t="shared" si="71"/>
        <v>0</v>
      </c>
    </row>
    <row r="2235" spans="2:17" ht="15" customHeight="1">
      <c r="B2235" s="5" t="str">
        <f>_xlfn.IFNA(VLOOKUP(C2235,Master!$H:$I,2,FALSE),"")</f>
        <v/>
      </c>
      <c r="D2235" s="5" t="str">
        <f>_xlfn.IFNA(VLOOKUP(E2235,Master!$H:$I,2,FALSE),"")</f>
        <v/>
      </c>
      <c r="F2235" s="26" t="str">
        <f>+_xlfn.XLOOKUP(G2235,Master!$V$2:$V$8,Master!$U$2:$U$8,"")</f>
        <v/>
      </c>
      <c r="I2235" s="4" t="str">
        <f>_xlfn.IFNA(VLOOKUP(D2235,Master!$I:$K,2,FALSE),"")</f>
        <v/>
      </c>
      <c r="J2235" s="4" t="str">
        <f>_xlfn.IFNA(VLOOKUP(D2235,Master!$I:$K,3,FALSE),"")</f>
        <v/>
      </c>
      <c r="L2235" s="27" t="str">
        <f>IF(A2235&lt;&gt;"CFA",_xlfn.IFNA(VLOOKUP($G2235,Master!$V$2:$Z$8,5,0),""),"")</f>
        <v/>
      </c>
      <c r="P2235" s="6" t="str">
        <f t="shared" si="70"/>
        <v/>
      </c>
      <c r="Q2235" s="13">
        <f t="shared" si="71"/>
        <v>0</v>
      </c>
    </row>
    <row r="2236" spans="2:17" ht="15" customHeight="1">
      <c r="B2236" s="5" t="str">
        <f>_xlfn.IFNA(VLOOKUP(C2236,Master!$H:$I,2,FALSE),"")</f>
        <v/>
      </c>
      <c r="D2236" s="5" t="str">
        <f>_xlfn.IFNA(VLOOKUP(E2236,Master!$H:$I,2,FALSE),"")</f>
        <v/>
      </c>
      <c r="F2236" s="26" t="str">
        <f>+_xlfn.XLOOKUP(G2236,Master!$V$2:$V$8,Master!$U$2:$U$8,"")</f>
        <v/>
      </c>
      <c r="I2236" s="4" t="str">
        <f>_xlfn.IFNA(VLOOKUP(D2236,Master!$I:$K,2,FALSE),"")</f>
        <v/>
      </c>
      <c r="J2236" s="4" t="str">
        <f>_xlfn.IFNA(VLOOKUP(D2236,Master!$I:$K,3,FALSE),"")</f>
        <v/>
      </c>
      <c r="L2236" s="27" t="str">
        <f>IF(A2236&lt;&gt;"CFA",_xlfn.IFNA(VLOOKUP($G2236,Master!$V$2:$Z$8,5,0),""),"")</f>
        <v/>
      </c>
      <c r="P2236" s="6" t="str">
        <f t="shared" si="70"/>
        <v/>
      </c>
      <c r="Q2236" s="13">
        <f t="shared" si="71"/>
        <v>0</v>
      </c>
    </row>
    <row r="2237" spans="2:17" ht="15" customHeight="1">
      <c r="B2237" s="5" t="str">
        <f>_xlfn.IFNA(VLOOKUP(C2237,Master!$H:$I,2,FALSE),"")</f>
        <v/>
      </c>
      <c r="D2237" s="5" t="str">
        <f>_xlfn.IFNA(VLOOKUP(E2237,Master!$H:$I,2,FALSE),"")</f>
        <v/>
      </c>
      <c r="F2237" s="26" t="str">
        <f>+_xlfn.XLOOKUP(G2237,Master!$V$2:$V$8,Master!$U$2:$U$8,"")</f>
        <v/>
      </c>
      <c r="I2237" s="4" t="str">
        <f>_xlfn.IFNA(VLOOKUP(D2237,Master!$I:$K,2,FALSE),"")</f>
        <v/>
      </c>
      <c r="J2237" s="4" t="str">
        <f>_xlfn.IFNA(VLOOKUP(D2237,Master!$I:$K,3,FALSE),"")</f>
        <v/>
      </c>
      <c r="L2237" s="27" t="str">
        <f>IF(A2237&lt;&gt;"CFA",_xlfn.IFNA(VLOOKUP($G2237,Master!$V$2:$Z$8,5,0),""),"")</f>
        <v/>
      </c>
      <c r="P2237" s="6" t="str">
        <f t="shared" si="70"/>
        <v/>
      </c>
      <c r="Q2237" s="13">
        <f t="shared" si="71"/>
        <v>0</v>
      </c>
    </row>
    <row r="2238" spans="2:17" ht="15" customHeight="1">
      <c r="B2238" s="5" t="str">
        <f>_xlfn.IFNA(VLOOKUP(C2238,Master!$H:$I,2,FALSE),"")</f>
        <v/>
      </c>
      <c r="D2238" s="5" t="str">
        <f>_xlfn.IFNA(VLOOKUP(E2238,Master!$H:$I,2,FALSE),"")</f>
        <v/>
      </c>
      <c r="F2238" s="26" t="str">
        <f>+_xlfn.XLOOKUP(G2238,Master!$V$2:$V$8,Master!$U$2:$U$8,"")</f>
        <v/>
      </c>
      <c r="I2238" s="4" t="str">
        <f>_xlfn.IFNA(VLOOKUP(D2238,Master!$I:$K,2,FALSE),"")</f>
        <v/>
      </c>
      <c r="J2238" s="4" t="str">
        <f>_xlfn.IFNA(VLOOKUP(D2238,Master!$I:$K,3,FALSE),"")</f>
        <v/>
      </c>
      <c r="L2238" s="27" t="str">
        <f>IF(A2238&lt;&gt;"CFA",_xlfn.IFNA(VLOOKUP($G2238,Master!$V$2:$Z$8,5,0),""),"")</f>
        <v/>
      </c>
      <c r="P2238" s="6" t="str">
        <f t="shared" si="70"/>
        <v/>
      </c>
      <c r="Q2238" s="13">
        <f t="shared" si="71"/>
        <v>0</v>
      </c>
    </row>
    <row r="2239" spans="2:17" ht="15" customHeight="1">
      <c r="B2239" s="5" t="str">
        <f>_xlfn.IFNA(VLOOKUP(C2239,Master!$H:$I,2,FALSE),"")</f>
        <v/>
      </c>
      <c r="D2239" s="5" t="str">
        <f>_xlfn.IFNA(VLOOKUP(E2239,Master!$H:$I,2,FALSE),"")</f>
        <v/>
      </c>
      <c r="F2239" s="26" t="str">
        <f>+_xlfn.XLOOKUP(G2239,Master!$V$2:$V$8,Master!$U$2:$U$8,"")</f>
        <v/>
      </c>
      <c r="I2239" s="4" t="str">
        <f>_xlfn.IFNA(VLOOKUP(D2239,Master!$I:$K,2,FALSE),"")</f>
        <v/>
      </c>
      <c r="J2239" s="4" t="str">
        <f>_xlfn.IFNA(VLOOKUP(D2239,Master!$I:$K,3,FALSE),"")</f>
        <v/>
      </c>
      <c r="L2239" s="27" t="str">
        <f>IF(A2239&lt;&gt;"CFA",_xlfn.IFNA(VLOOKUP($G2239,Master!$V$2:$Z$8,5,0),""),"")</f>
        <v/>
      </c>
      <c r="P2239" s="6" t="str">
        <f t="shared" si="70"/>
        <v/>
      </c>
      <c r="Q2239" s="13">
        <f t="shared" si="71"/>
        <v>0</v>
      </c>
    </row>
    <row r="2240" spans="2:17" ht="15" customHeight="1">
      <c r="B2240" s="5" t="str">
        <f>_xlfn.IFNA(VLOOKUP(C2240,Master!$H:$I,2,FALSE),"")</f>
        <v/>
      </c>
      <c r="D2240" s="5" t="str">
        <f>_xlfn.IFNA(VLOOKUP(E2240,Master!$H:$I,2,FALSE),"")</f>
        <v/>
      </c>
      <c r="F2240" s="26" t="str">
        <f>+_xlfn.XLOOKUP(G2240,Master!$V$2:$V$8,Master!$U$2:$U$8,"")</f>
        <v/>
      </c>
      <c r="I2240" s="4" t="str">
        <f>_xlfn.IFNA(VLOOKUP(D2240,Master!$I:$K,2,FALSE),"")</f>
        <v/>
      </c>
      <c r="J2240" s="4" t="str">
        <f>_xlfn.IFNA(VLOOKUP(D2240,Master!$I:$K,3,FALSE),"")</f>
        <v/>
      </c>
      <c r="L2240" s="27" t="str">
        <f>IF(A2240&lt;&gt;"CFA",_xlfn.IFNA(VLOOKUP($G2240,Master!$V$2:$Z$8,5,0),""),"")</f>
        <v/>
      </c>
      <c r="P2240" s="6" t="str">
        <f t="shared" si="70"/>
        <v/>
      </c>
      <c r="Q2240" s="13">
        <f t="shared" si="71"/>
        <v>0</v>
      </c>
    </row>
    <row r="2241" spans="2:17" ht="15" customHeight="1">
      <c r="B2241" s="5" t="str">
        <f>_xlfn.IFNA(VLOOKUP(C2241,Master!$H:$I,2,FALSE),"")</f>
        <v/>
      </c>
      <c r="D2241" s="5" t="str">
        <f>_xlfn.IFNA(VLOOKUP(E2241,Master!$H:$I,2,FALSE),"")</f>
        <v/>
      </c>
      <c r="F2241" s="26" t="str">
        <f>+_xlfn.XLOOKUP(G2241,Master!$V$2:$V$8,Master!$U$2:$U$8,"")</f>
        <v/>
      </c>
      <c r="I2241" s="4" t="str">
        <f>_xlfn.IFNA(VLOOKUP(D2241,Master!$I:$K,2,FALSE),"")</f>
        <v/>
      </c>
      <c r="J2241" s="4" t="str">
        <f>_xlfn.IFNA(VLOOKUP(D2241,Master!$I:$K,3,FALSE),"")</f>
        <v/>
      </c>
      <c r="L2241" s="27" t="str">
        <f>IF(A2241&lt;&gt;"CFA",_xlfn.IFNA(VLOOKUP($G2241,Master!$V$2:$Z$8,5,0),""),"")</f>
        <v/>
      </c>
      <c r="P2241" s="6" t="str">
        <f t="shared" si="70"/>
        <v/>
      </c>
      <c r="Q2241" s="13">
        <f t="shared" si="71"/>
        <v>0</v>
      </c>
    </row>
    <row r="2242" spans="2:17" ht="15" customHeight="1">
      <c r="B2242" s="5" t="str">
        <f>_xlfn.IFNA(VLOOKUP(C2242,Master!$H:$I,2,FALSE),"")</f>
        <v/>
      </c>
      <c r="D2242" s="5" t="str">
        <f>_xlfn.IFNA(VLOOKUP(E2242,Master!$H:$I,2,FALSE),"")</f>
        <v/>
      </c>
      <c r="F2242" s="26" t="str">
        <f>+_xlfn.XLOOKUP(G2242,Master!$V$2:$V$8,Master!$U$2:$U$8,"")</f>
        <v/>
      </c>
      <c r="I2242" s="4" t="str">
        <f>_xlfn.IFNA(VLOOKUP(D2242,Master!$I:$K,2,FALSE),"")</f>
        <v/>
      </c>
      <c r="J2242" s="4" t="str">
        <f>_xlfn.IFNA(VLOOKUP(D2242,Master!$I:$K,3,FALSE),"")</f>
        <v/>
      </c>
      <c r="L2242" s="27" t="str">
        <f>IF(A2242&lt;&gt;"CFA",_xlfn.IFNA(VLOOKUP($G2242,Master!$V$2:$Z$8,5,0),""),"")</f>
        <v/>
      </c>
      <c r="P2242" s="6" t="str">
        <f t="shared" si="70"/>
        <v/>
      </c>
      <c r="Q2242" s="13">
        <f t="shared" si="71"/>
        <v>0</v>
      </c>
    </row>
    <row r="2243" spans="2:17" ht="15" customHeight="1">
      <c r="B2243" s="5" t="str">
        <f>_xlfn.IFNA(VLOOKUP(C2243,Master!$H:$I,2,FALSE),"")</f>
        <v/>
      </c>
      <c r="D2243" s="5" t="str">
        <f>_xlfn.IFNA(VLOOKUP(E2243,Master!$H:$I,2,FALSE),"")</f>
        <v/>
      </c>
      <c r="F2243" s="26" t="str">
        <f>+_xlfn.XLOOKUP(G2243,Master!$V$2:$V$8,Master!$U$2:$U$8,"")</f>
        <v/>
      </c>
      <c r="I2243" s="4" t="str">
        <f>_xlfn.IFNA(VLOOKUP(D2243,Master!$I:$K,2,FALSE),"")</f>
        <v/>
      </c>
      <c r="J2243" s="4" t="str">
        <f>_xlfn.IFNA(VLOOKUP(D2243,Master!$I:$K,3,FALSE),"")</f>
        <v/>
      </c>
      <c r="L2243" s="27" t="str">
        <f>IF(A2243&lt;&gt;"CFA",_xlfn.IFNA(VLOOKUP($G2243,Master!$V$2:$Z$8,5,0),""),"")</f>
        <v/>
      </c>
      <c r="P2243" s="6" t="str">
        <f t="shared" si="70"/>
        <v/>
      </c>
      <c r="Q2243" s="13">
        <f t="shared" si="71"/>
        <v>0</v>
      </c>
    </row>
    <row r="2244" spans="2:17" ht="15" customHeight="1">
      <c r="B2244" s="5" t="str">
        <f>_xlfn.IFNA(VLOOKUP(C2244,Master!$H:$I,2,FALSE),"")</f>
        <v/>
      </c>
      <c r="D2244" s="5" t="str">
        <f>_xlfn.IFNA(VLOOKUP(E2244,Master!$H:$I,2,FALSE),"")</f>
        <v/>
      </c>
      <c r="F2244" s="26" t="str">
        <f>+_xlfn.XLOOKUP(G2244,Master!$V$2:$V$8,Master!$U$2:$U$8,"")</f>
        <v/>
      </c>
      <c r="I2244" s="4" t="str">
        <f>_xlfn.IFNA(VLOOKUP(D2244,Master!$I:$K,2,FALSE),"")</f>
        <v/>
      </c>
      <c r="J2244" s="4" t="str">
        <f>_xlfn.IFNA(VLOOKUP(D2244,Master!$I:$K,3,FALSE),"")</f>
        <v/>
      </c>
      <c r="L2244" s="27" t="str">
        <f>IF(A2244&lt;&gt;"CFA",_xlfn.IFNA(VLOOKUP($G2244,Master!$V$2:$Z$8,5,0),""),"")</f>
        <v/>
      </c>
      <c r="P2244" s="6" t="str">
        <f t="shared" si="70"/>
        <v/>
      </c>
      <c r="Q2244" s="13">
        <f t="shared" si="71"/>
        <v>0</v>
      </c>
    </row>
    <row r="2245" spans="2:17" ht="15" customHeight="1">
      <c r="B2245" s="5" t="str">
        <f>_xlfn.IFNA(VLOOKUP(C2245,Master!$H:$I,2,FALSE),"")</f>
        <v/>
      </c>
      <c r="D2245" s="5" t="str">
        <f>_xlfn.IFNA(VLOOKUP(E2245,Master!$H:$I,2,FALSE),"")</f>
        <v/>
      </c>
      <c r="F2245" s="26" t="str">
        <f>+_xlfn.XLOOKUP(G2245,Master!$V$2:$V$8,Master!$U$2:$U$8,"")</f>
        <v/>
      </c>
      <c r="I2245" s="4" t="str">
        <f>_xlfn.IFNA(VLOOKUP(D2245,Master!$I:$K,2,FALSE),"")</f>
        <v/>
      </c>
      <c r="J2245" s="4" t="str">
        <f>_xlfn.IFNA(VLOOKUP(D2245,Master!$I:$K,3,FALSE),"")</f>
        <v/>
      </c>
      <c r="L2245" s="27" t="str">
        <f>IF(A2245&lt;&gt;"CFA",_xlfn.IFNA(VLOOKUP($G2245,Master!$V$2:$Z$8,5,0),""),"")</f>
        <v/>
      </c>
      <c r="P2245" s="6" t="str">
        <f t="shared" si="70"/>
        <v/>
      </c>
      <c r="Q2245" s="13">
        <f t="shared" si="71"/>
        <v>0</v>
      </c>
    </row>
    <row r="2246" spans="2:17" ht="15" customHeight="1">
      <c r="B2246" s="5" t="str">
        <f>_xlfn.IFNA(VLOOKUP(C2246,Master!$H:$I,2,FALSE),"")</f>
        <v/>
      </c>
      <c r="D2246" s="5" t="str">
        <f>_xlfn.IFNA(VLOOKUP(E2246,Master!$H:$I,2,FALSE),"")</f>
        <v/>
      </c>
      <c r="F2246" s="26" t="str">
        <f>+_xlfn.XLOOKUP(G2246,Master!$V$2:$V$8,Master!$U$2:$U$8,"")</f>
        <v/>
      </c>
      <c r="I2246" s="4" t="str">
        <f>_xlfn.IFNA(VLOOKUP(D2246,Master!$I:$K,2,FALSE),"")</f>
        <v/>
      </c>
      <c r="J2246" s="4" t="str">
        <f>_xlfn.IFNA(VLOOKUP(D2246,Master!$I:$K,3,FALSE),"")</f>
        <v/>
      </c>
      <c r="L2246" s="27" t="str">
        <f>IF(A2246&lt;&gt;"CFA",_xlfn.IFNA(VLOOKUP($G2246,Master!$V$2:$Z$8,5,0),""),"")</f>
        <v/>
      </c>
      <c r="P2246" s="6" t="str">
        <f t="shared" si="70"/>
        <v/>
      </c>
      <c r="Q2246" s="13">
        <f t="shared" si="71"/>
        <v>0</v>
      </c>
    </row>
    <row r="2247" spans="2:17" ht="15" customHeight="1">
      <c r="B2247" s="5" t="str">
        <f>_xlfn.IFNA(VLOOKUP(C2247,Master!$H:$I,2,FALSE),"")</f>
        <v/>
      </c>
      <c r="D2247" s="5" t="str">
        <f>_xlfn.IFNA(VLOOKUP(E2247,Master!$H:$I,2,FALSE),"")</f>
        <v/>
      </c>
      <c r="F2247" s="26" t="str">
        <f>+_xlfn.XLOOKUP(G2247,Master!$V$2:$V$8,Master!$U$2:$U$8,"")</f>
        <v/>
      </c>
      <c r="I2247" s="4" t="str">
        <f>_xlfn.IFNA(VLOOKUP(D2247,Master!$I:$K,2,FALSE),"")</f>
        <v/>
      </c>
      <c r="J2247" s="4" t="str">
        <f>_xlfn.IFNA(VLOOKUP(D2247,Master!$I:$K,3,FALSE),"")</f>
        <v/>
      </c>
      <c r="L2247" s="27" t="str">
        <f>IF(A2247&lt;&gt;"CFA",_xlfn.IFNA(VLOOKUP($G2247,Master!$V$2:$Z$8,5,0),""),"")</f>
        <v/>
      </c>
      <c r="P2247" s="6" t="str">
        <f t="shared" si="70"/>
        <v/>
      </c>
      <c r="Q2247" s="13">
        <f t="shared" si="71"/>
        <v>0</v>
      </c>
    </row>
    <row r="2248" spans="2:17" ht="15" customHeight="1">
      <c r="B2248" s="5" t="str">
        <f>_xlfn.IFNA(VLOOKUP(C2248,Master!$H:$I,2,FALSE),"")</f>
        <v/>
      </c>
      <c r="D2248" s="5" t="str">
        <f>_xlfn.IFNA(VLOOKUP(E2248,Master!$H:$I,2,FALSE),"")</f>
        <v/>
      </c>
      <c r="F2248" s="26" t="str">
        <f>+_xlfn.XLOOKUP(G2248,Master!$V$2:$V$8,Master!$U$2:$U$8,"")</f>
        <v/>
      </c>
      <c r="I2248" s="4" t="str">
        <f>_xlfn.IFNA(VLOOKUP(D2248,Master!$I:$K,2,FALSE),"")</f>
        <v/>
      </c>
      <c r="J2248" s="4" t="str">
        <f>_xlfn.IFNA(VLOOKUP(D2248,Master!$I:$K,3,FALSE),"")</f>
        <v/>
      </c>
      <c r="L2248" s="27" t="str">
        <f>IF(A2248&lt;&gt;"CFA",_xlfn.IFNA(VLOOKUP($G2248,Master!$V$2:$Z$8,5,0),""),"")</f>
        <v/>
      </c>
      <c r="P2248" s="6" t="str">
        <f t="shared" si="70"/>
        <v/>
      </c>
      <c r="Q2248" s="13">
        <f t="shared" si="71"/>
        <v>0</v>
      </c>
    </row>
    <row r="2249" spans="2:17" ht="15" customHeight="1">
      <c r="B2249" s="5" t="str">
        <f>_xlfn.IFNA(VLOOKUP(C2249,Master!$H:$I,2,FALSE),"")</f>
        <v/>
      </c>
      <c r="D2249" s="5" t="str">
        <f>_xlfn.IFNA(VLOOKUP(E2249,Master!$H:$I,2,FALSE),"")</f>
        <v/>
      </c>
      <c r="F2249" s="26" t="str">
        <f>+_xlfn.XLOOKUP(G2249,Master!$V$2:$V$8,Master!$U$2:$U$8,"")</f>
        <v/>
      </c>
      <c r="I2249" s="4" t="str">
        <f>_xlfn.IFNA(VLOOKUP(D2249,Master!$I:$K,2,FALSE),"")</f>
        <v/>
      </c>
      <c r="J2249" s="4" t="str">
        <f>_xlfn.IFNA(VLOOKUP(D2249,Master!$I:$K,3,FALSE),"")</f>
        <v/>
      </c>
      <c r="L2249" s="27" t="str">
        <f>IF(A2249&lt;&gt;"CFA",_xlfn.IFNA(VLOOKUP($G2249,Master!$V$2:$Z$8,5,0),""),"")</f>
        <v/>
      </c>
      <c r="P2249" s="6" t="str">
        <f t="shared" si="70"/>
        <v/>
      </c>
      <c r="Q2249" s="13">
        <f t="shared" si="71"/>
        <v>0</v>
      </c>
    </row>
    <row r="2250" spans="2:17" ht="15" customHeight="1">
      <c r="B2250" s="5" t="str">
        <f>_xlfn.IFNA(VLOOKUP(C2250,Master!$H:$I,2,FALSE),"")</f>
        <v/>
      </c>
      <c r="D2250" s="5" t="str">
        <f>_xlfn.IFNA(VLOOKUP(E2250,Master!$H:$I,2,FALSE),"")</f>
        <v/>
      </c>
      <c r="F2250" s="26" t="str">
        <f>+_xlfn.XLOOKUP(G2250,Master!$V$2:$V$8,Master!$U$2:$U$8,"")</f>
        <v/>
      </c>
      <c r="I2250" s="4" t="str">
        <f>_xlfn.IFNA(VLOOKUP(D2250,Master!$I:$K,2,FALSE),"")</f>
        <v/>
      </c>
      <c r="J2250" s="4" t="str">
        <f>_xlfn.IFNA(VLOOKUP(D2250,Master!$I:$K,3,FALSE),"")</f>
        <v/>
      </c>
      <c r="L2250" s="27" t="str">
        <f>IF(A2250&lt;&gt;"CFA",_xlfn.IFNA(VLOOKUP($G2250,Master!$V$2:$Z$8,5,0),""),"")</f>
        <v/>
      </c>
      <c r="P2250" s="6" t="str">
        <f t="shared" si="70"/>
        <v/>
      </c>
      <c r="Q2250" s="13">
        <f t="shared" si="71"/>
        <v>0</v>
      </c>
    </row>
    <row r="2251" spans="2:17" ht="15" customHeight="1">
      <c r="B2251" s="5" t="str">
        <f>_xlfn.IFNA(VLOOKUP(C2251,Master!$H:$I,2,FALSE),"")</f>
        <v/>
      </c>
      <c r="D2251" s="5" t="str">
        <f>_xlfn.IFNA(VLOOKUP(E2251,Master!$H:$I,2,FALSE),"")</f>
        <v/>
      </c>
      <c r="F2251" s="26" t="str">
        <f>+_xlfn.XLOOKUP(G2251,Master!$V$2:$V$8,Master!$U$2:$U$8,"")</f>
        <v/>
      </c>
      <c r="I2251" s="4" t="str">
        <f>_xlfn.IFNA(VLOOKUP(D2251,Master!$I:$K,2,FALSE),"")</f>
        <v/>
      </c>
      <c r="J2251" s="4" t="str">
        <f>_xlfn.IFNA(VLOOKUP(D2251,Master!$I:$K,3,FALSE),"")</f>
        <v/>
      </c>
      <c r="L2251" s="27" t="str">
        <f>IF(A2251&lt;&gt;"CFA",_xlfn.IFNA(VLOOKUP($G2251,Master!$V$2:$Z$8,5,0),""),"")</f>
        <v/>
      </c>
      <c r="P2251" s="6" t="str">
        <f t="shared" si="70"/>
        <v/>
      </c>
      <c r="Q2251" s="13">
        <f t="shared" si="71"/>
        <v>0</v>
      </c>
    </row>
    <row r="2252" spans="2:17" ht="15" customHeight="1">
      <c r="B2252" s="5" t="str">
        <f>_xlfn.IFNA(VLOOKUP(C2252,Master!$H:$I,2,FALSE),"")</f>
        <v/>
      </c>
      <c r="D2252" s="5" t="str">
        <f>_xlfn.IFNA(VLOOKUP(E2252,Master!$H:$I,2,FALSE),"")</f>
        <v/>
      </c>
      <c r="F2252" s="26" t="str">
        <f>+_xlfn.XLOOKUP(G2252,Master!$V$2:$V$8,Master!$U$2:$U$8,"")</f>
        <v/>
      </c>
      <c r="I2252" s="4" t="str">
        <f>_xlfn.IFNA(VLOOKUP(D2252,Master!$I:$K,2,FALSE),"")</f>
        <v/>
      </c>
      <c r="J2252" s="4" t="str">
        <f>_xlfn.IFNA(VLOOKUP(D2252,Master!$I:$K,3,FALSE),"")</f>
        <v/>
      </c>
      <c r="L2252" s="27" t="str">
        <f>IF(A2252&lt;&gt;"CFA",_xlfn.IFNA(VLOOKUP($G2252,Master!$V$2:$Z$8,5,0),""),"")</f>
        <v/>
      </c>
      <c r="P2252" s="6" t="str">
        <f t="shared" si="70"/>
        <v/>
      </c>
      <c r="Q2252" s="13">
        <f t="shared" si="71"/>
        <v>0</v>
      </c>
    </row>
    <row r="2253" spans="2:17" ht="15" customHeight="1">
      <c r="B2253" s="5" t="str">
        <f>_xlfn.IFNA(VLOOKUP(C2253,Master!$H:$I,2,FALSE),"")</f>
        <v/>
      </c>
      <c r="D2253" s="5" t="str">
        <f>_xlfn.IFNA(VLOOKUP(E2253,Master!$H:$I,2,FALSE),"")</f>
        <v/>
      </c>
      <c r="F2253" s="26" t="str">
        <f>+_xlfn.XLOOKUP(G2253,Master!$V$2:$V$8,Master!$U$2:$U$8,"")</f>
        <v/>
      </c>
      <c r="I2253" s="4" t="str">
        <f>_xlfn.IFNA(VLOOKUP(D2253,Master!$I:$K,2,FALSE),"")</f>
        <v/>
      </c>
      <c r="J2253" s="4" t="str">
        <f>_xlfn.IFNA(VLOOKUP(D2253,Master!$I:$K,3,FALSE),"")</f>
        <v/>
      </c>
      <c r="L2253" s="27" t="str">
        <f>IF(A2253&lt;&gt;"CFA",_xlfn.IFNA(VLOOKUP($G2253,Master!$V$2:$Z$8,5,0),""),"")</f>
        <v/>
      </c>
      <c r="P2253" s="6" t="str">
        <f t="shared" si="70"/>
        <v/>
      </c>
      <c r="Q2253" s="13">
        <f t="shared" si="71"/>
        <v>0</v>
      </c>
    </row>
    <row r="2254" spans="2:17" ht="15" customHeight="1">
      <c r="B2254" s="5" t="str">
        <f>_xlfn.IFNA(VLOOKUP(C2254,Master!$H:$I,2,FALSE),"")</f>
        <v/>
      </c>
      <c r="D2254" s="5" t="str">
        <f>_xlfn.IFNA(VLOOKUP(E2254,Master!$H:$I,2,FALSE),"")</f>
        <v/>
      </c>
      <c r="F2254" s="26" t="str">
        <f>+_xlfn.XLOOKUP(G2254,Master!$V$2:$V$8,Master!$U$2:$U$8,"")</f>
        <v/>
      </c>
      <c r="I2254" s="4" t="str">
        <f>_xlfn.IFNA(VLOOKUP(D2254,Master!$I:$K,2,FALSE),"")</f>
        <v/>
      </c>
      <c r="J2254" s="4" t="str">
        <f>_xlfn.IFNA(VLOOKUP(D2254,Master!$I:$K,3,FALSE),"")</f>
        <v/>
      </c>
      <c r="L2254" s="27" t="str">
        <f>IF(A2254&lt;&gt;"CFA",_xlfn.IFNA(VLOOKUP($G2254,Master!$V$2:$Z$8,5,0),""),"")</f>
        <v/>
      </c>
      <c r="P2254" s="6" t="str">
        <f t="shared" si="70"/>
        <v/>
      </c>
      <c r="Q2254" s="13">
        <f t="shared" si="71"/>
        <v>0</v>
      </c>
    </row>
    <row r="2255" spans="2:17" ht="15" customHeight="1">
      <c r="B2255" s="5" t="str">
        <f>_xlfn.IFNA(VLOOKUP(C2255,Master!$H:$I,2,FALSE),"")</f>
        <v/>
      </c>
      <c r="D2255" s="5" t="str">
        <f>_xlfn.IFNA(VLOOKUP(E2255,Master!$H:$I,2,FALSE),"")</f>
        <v/>
      </c>
      <c r="F2255" s="26" t="str">
        <f>+_xlfn.XLOOKUP(G2255,Master!$V$2:$V$8,Master!$U$2:$U$8,"")</f>
        <v/>
      </c>
      <c r="I2255" s="4" t="str">
        <f>_xlfn.IFNA(VLOOKUP(D2255,Master!$I:$K,2,FALSE),"")</f>
        <v/>
      </c>
      <c r="J2255" s="4" t="str">
        <f>_xlfn.IFNA(VLOOKUP(D2255,Master!$I:$K,3,FALSE),"")</f>
        <v/>
      </c>
      <c r="L2255" s="27" t="str">
        <f>IF(A2255&lt;&gt;"CFA",_xlfn.IFNA(VLOOKUP($G2255,Master!$V$2:$Z$8,5,0),""),"")</f>
        <v/>
      </c>
      <c r="P2255" s="6" t="str">
        <f t="shared" si="70"/>
        <v/>
      </c>
      <c r="Q2255" s="13">
        <f t="shared" si="71"/>
        <v>0</v>
      </c>
    </row>
    <row r="2256" spans="2:17" ht="15" customHeight="1">
      <c r="B2256" s="5" t="str">
        <f>_xlfn.IFNA(VLOOKUP(C2256,Master!$H:$I,2,FALSE),"")</f>
        <v/>
      </c>
      <c r="D2256" s="5" t="str">
        <f>_xlfn.IFNA(VLOOKUP(E2256,Master!$H:$I,2,FALSE),"")</f>
        <v/>
      </c>
      <c r="F2256" s="26" t="str">
        <f>+_xlfn.XLOOKUP(G2256,Master!$V$2:$V$8,Master!$U$2:$U$8,"")</f>
        <v/>
      </c>
      <c r="I2256" s="4" t="str">
        <f>_xlfn.IFNA(VLOOKUP(D2256,Master!$I:$K,2,FALSE),"")</f>
        <v/>
      </c>
      <c r="J2256" s="4" t="str">
        <f>_xlfn.IFNA(VLOOKUP(D2256,Master!$I:$K,3,FALSE),"")</f>
        <v/>
      </c>
      <c r="L2256" s="27" t="str">
        <f>IF(A2256&lt;&gt;"CFA",_xlfn.IFNA(VLOOKUP($G2256,Master!$V$2:$Z$8,5,0),""),"")</f>
        <v/>
      </c>
      <c r="P2256" s="6" t="str">
        <f t="shared" si="70"/>
        <v/>
      </c>
      <c r="Q2256" s="13">
        <f t="shared" si="71"/>
        <v>0</v>
      </c>
    </row>
    <row r="2257" spans="2:17" ht="15" customHeight="1">
      <c r="B2257" s="5" t="str">
        <f>_xlfn.IFNA(VLOOKUP(C2257,Master!$H:$I,2,FALSE),"")</f>
        <v/>
      </c>
      <c r="D2257" s="5" t="str">
        <f>_xlfn.IFNA(VLOOKUP(E2257,Master!$H:$I,2,FALSE),"")</f>
        <v/>
      </c>
      <c r="F2257" s="26" t="str">
        <f>+_xlfn.XLOOKUP(G2257,Master!$V$2:$V$8,Master!$U$2:$U$8,"")</f>
        <v/>
      </c>
      <c r="I2257" s="4" t="str">
        <f>_xlfn.IFNA(VLOOKUP(D2257,Master!$I:$K,2,FALSE),"")</f>
        <v/>
      </c>
      <c r="J2257" s="4" t="str">
        <f>_xlfn.IFNA(VLOOKUP(D2257,Master!$I:$K,3,FALSE),"")</f>
        <v/>
      </c>
      <c r="L2257" s="27" t="str">
        <f>IF(A2257&lt;&gt;"CFA",_xlfn.IFNA(VLOOKUP($G2257,Master!$V$2:$Z$8,5,0),""),"")</f>
        <v/>
      </c>
      <c r="P2257" s="6" t="str">
        <f t="shared" si="70"/>
        <v/>
      </c>
      <c r="Q2257" s="13">
        <f t="shared" si="71"/>
        <v>0</v>
      </c>
    </row>
    <row r="2258" spans="2:17" ht="15" customHeight="1">
      <c r="B2258" s="5" t="str">
        <f>_xlfn.IFNA(VLOOKUP(C2258,Master!$H:$I,2,FALSE),"")</f>
        <v/>
      </c>
      <c r="D2258" s="5" t="str">
        <f>_xlfn.IFNA(VLOOKUP(E2258,Master!$H:$I,2,FALSE),"")</f>
        <v/>
      </c>
      <c r="F2258" s="26" t="str">
        <f>+_xlfn.XLOOKUP(G2258,Master!$V$2:$V$8,Master!$U$2:$U$8,"")</f>
        <v/>
      </c>
      <c r="I2258" s="4" t="str">
        <f>_xlfn.IFNA(VLOOKUP(D2258,Master!$I:$K,2,FALSE),"")</f>
        <v/>
      </c>
      <c r="J2258" s="4" t="str">
        <f>_xlfn.IFNA(VLOOKUP(D2258,Master!$I:$K,3,FALSE),"")</f>
        <v/>
      </c>
      <c r="L2258" s="27" t="str">
        <f>IF(A2258&lt;&gt;"CFA",_xlfn.IFNA(VLOOKUP($G2258,Master!$V$2:$Z$8,5,0),""),"")</f>
        <v/>
      </c>
      <c r="P2258" s="6" t="str">
        <f t="shared" si="70"/>
        <v/>
      </c>
      <c r="Q2258" s="13">
        <f t="shared" si="71"/>
        <v>0</v>
      </c>
    </row>
    <row r="2259" spans="2:17" ht="15" customHeight="1">
      <c r="B2259" s="5" t="str">
        <f>_xlfn.IFNA(VLOOKUP(C2259,Master!$H:$I,2,FALSE),"")</f>
        <v/>
      </c>
      <c r="D2259" s="5" t="str">
        <f>_xlfn.IFNA(VLOOKUP(E2259,Master!$H:$I,2,FALSE),"")</f>
        <v/>
      </c>
      <c r="F2259" s="26" t="str">
        <f>+_xlfn.XLOOKUP(G2259,Master!$V$2:$V$8,Master!$U$2:$U$8,"")</f>
        <v/>
      </c>
      <c r="I2259" s="4" t="str">
        <f>_xlfn.IFNA(VLOOKUP(D2259,Master!$I:$K,2,FALSE),"")</f>
        <v/>
      </c>
      <c r="J2259" s="4" t="str">
        <f>_xlfn.IFNA(VLOOKUP(D2259,Master!$I:$K,3,FALSE),"")</f>
        <v/>
      </c>
      <c r="L2259" s="27" t="str">
        <f>IF(A2259&lt;&gt;"CFA",_xlfn.IFNA(VLOOKUP($G2259,Master!$V$2:$Z$8,5,0),""),"")</f>
        <v/>
      </c>
      <c r="P2259" s="6" t="str">
        <f t="shared" si="70"/>
        <v/>
      </c>
      <c r="Q2259" s="13">
        <f t="shared" si="71"/>
        <v>0</v>
      </c>
    </row>
    <row r="2260" spans="2:17" ht="15" customHeight="1">
      <c r="B2260" s="5" t="str">
        <f>_xlfn.IFNA(VLOOKUP(C2260,Master!$H:$I,2,FALSE),"")</f>
        <v/>
      </c>
      <c r="D2260" s="5" t="str">
        <f>_xlfn.IFNA(VLOOKUP(E2260,Master!$H:$I,2,FALSE),"")</f>
        <v/>
      </c>
      <c r="F2260" s="26" t="str">
        <f>+_xlfn.XLOOKUP(G2260,Master!$V$2:$V$8,Master!$U$2:$U$8,"")</f>
        <v/>
      </c>
      <c r="I2260" s="4" t="str">
        <f>_xlfn.IFNA(VLOOKUP(D2260,Master!$I:$K,2,FALSE),"")</f>
        <v/>
      </c>
      <c r="J2260" s="4" t="str">
        <f>_xlfn.IFNA(VLOOKUP(D2260,Master!$I:$K,3,FALSE),"")</f>
        <v/>
      </c>
      <c r="L2260" s="27" t="str">
        <f>IF(A2260&lt;&gt;"CFA",_xlfn.IFNA(VLOOKUP($G2260,Master!$V$2:$Z$8,5,0),""),"")</f>
        <v/>
      </c>
      <c r="P2260" s="6" t="str">
        <f t="shared" si="70"/>
        <v/>
      </c>
      <c r="Q2260" s="13">
        <f t="shared" si="71"/>
        <v>0</v>
      </c>
    </row>
    <row r="2261" spans="2:17" ht="15" customHeight="1">
      <c r="B2261" s="5" t="str">
        <f>_xlfn.IFNA(VLOOKUP(C2261,Master!$H:$I,2,FALSE),"")</f>
        <v/>
      </c>
      <c r="D2261" s="5" t="str">
        <f>_xlfn.IFNA(VLOOKUP(E2261,Master!$H:$I,2,FALSE),"")</f>
        <v/>
      </c>
      <c r="F2261" s="26" t="str">
        <f>+_xlfn.XLOOKUP(G2261,Master!$V$2:$V$8,Master!$U$2:$U$8,"")</f>
        <v/>
      </c>
      <c r="I2261" s="4" t="str">
        <f>_xlfn.IFNA(VLOOKUP(D2261,Master!$I:$K,2,FALSE),"")</f>
        <v/>
      </c>
      <c r="J2261" s="4" t="str">
        <f>_xlfn.IFNA(VLOOKUP(D2261,Master!$I:$K,3,FALSE),"")</f>
        <v/>
      </c>
      <c r="L2261" s="27" t="str">
        <f>IF(A2261&lt;&gt;"CFA",_xlfn.IFNA(VLOOKUP($G2261,Master!$V$2:$Z$8,5,0),""),"")</f>
        <v/>
      </c>
      <c r="P2261" s="6" t="str">
        <f t="shared" si="70"/>
        <v/>
      </c>
      <c r="Q2261" s="13">
        <f t="shared" si="71"/>
        <v>0</v>
      </c>
    </row>
    <row r="2262" spans="2:17" ht="15" customHeight="1">
      <c r="B2262" s="5" t="str">
        <f>_xlfn.IFNA(VLOOKUP(C2262,Master!$H:$I,2,FALSE),"")</f>
        <v/>
      </c>
      <c r="D2262" s="5" t="str">
        <f>_xlfn.IFNA(VLOOKUP(E2262,Master!$H:$I,2,FALSE),"")</f>
        <v/>
      </c>
      <c r="F2262" s="26" t="str">
        <f>+_xlfn.XLOOKUP(G2262,Master!$V$2:$V$8,Master!$U$2:$U$8,"")</f>
        <v/>
      </c>
      <c r="I2262" s="4" t="str">
        <f>_xlfn.IFNA(VLOOKUP(D2262,Master!$I:$K,2,FALSE),"")</f>
        <v/>
      </c>
      <c r="J2262" s="4" t="str">
        <f>_xlfn.IFNA(VLOOKUP(D2262,Master!$I:$K,3,FALSE),"")</f>
        <v/>
      </c>
      <c r="L2262" s="27" t="str">
        <f>IF(A2262&lt;&gt;"CFA",_xlfn.IFNA(VLOOKUP($G2262,Master!$V$2:$Z$8,5,0),""),"")</f>
        <v/>
      </c>
      <c r="P2262" s="6" t="str">
        <f t="shared" si="70"/>
        <v/>
      </c>
      <c r="Q2262" s="13">
        <f t="shared" si="71"/>
        <v>0</v>
      </c>
    </row>
    <row r="2263" spans="2:17" ht="15" customHeight="1">
      <c r="B2263" s="5" t="str">
        <f>_xlfn.IFNA(VLOOKUP(C2263,Master!$H:$I,2,FALSE),"")</f>
        <v/>
      </c>
      <c r="D2263" s="5" t="str">
        <f>_xlfn.IFNA(VLOOKUP(E2263,Master!$H:$I,2,FALSE),"")</f>
        <v/>
      </c>
      <c r="F2263" s="26" t="str">
        <f>+_xlfn.XLOOKUP(G2263,Master!$V$2:$V$8,Master!$U$2:$U$8,"")</f>
        <v/>
      </c>
      <c r="I2263" s="4" t="str">
        <f>_xlfn.IFNA(VLOOKUP(D2263,Master!$I:$K,2,FALSE),"")</f>
        <v/>
      </c>
      <c r="J2263" s="4" t="str">
        <f>_xlfn.IFNA(VLOOKUP(D2263,Master!$I:$K,3,FALSE),"")</f>
        <v/>
      </c>
      <c r="L2263" s="27" t="str">
        <f>IF(A2263&lt;&gt;"CFA",_xlfn.IFNA(VLOOKUP($G2263,Master!$V$2:$Z$8,5,0),""),"")</f>
        <v/>
      </c>
      <c r="P2263" s="6" t="str">
        <f t="shared" si="70"/>
        <v/>
      </c>
      <c r="Q2263" s="13">
        <f t="shared" si="71"/>
        <v>0</v>
      </c>
    </row>
    <row r="2264" spans="2:17" ht="15" customHeight="1">
      <c r="B2264" s="5" t="str">
        <f>_xlfn.IFNA(VLOOKUP(C2264,Master!$H:$I,2,FALSE),"")</f>
        <v/>
      </c>
      <c r="D2264" s="5" t="str">
        <f>_xlfn.IFNA(VLOOKUP(E2264,Master!$H:$I,2,FALSE),"")</f>
        <v/>
      </c>
      <c r="F2264" s="26" t="str">
        <f>+_xlfn.XLOOKUP(G2264,Master!$V$2:$V$8,Master!$U$2:$U$8,"")</f>
        <v/>
      </c>
      <c r="I2264" s="4" t="str">
        <f>_xlfn.IFNA(VLOOKUP(D2264,Master!$I:$K,2,FALSE),"")</f>
        <v/>
      </c>
      <c r="J2264" s="4" t="str">
        <f>_xlfn.IFNA(VLOOKUP(D2264,Master!$I:$K,3,FALSE),"")</f>
        <v/>
      </c>
      <c r="L2264" s="27" t="str">
        <f>IF(A2264&lt;&gt;"CFA",_xlfn.IFNA(VLOOKUP($G2264,Master!$V$2:$Z$8,5,0),""),"")</f>
        <v/>
      </c>
      <c r="P2264" s="6" t="str">
        <f t="shared" si="70"/>
        <v/>
      </c>
      <c r="Q2264" s="13">
        <f t="shared" si="71"/>
        <v>0</v>
      </c>
    </row>
    <row r="2265" spans="2:17" ht="15" customHeight="1">
      <c r="B2265" s="5" t="str">
        <f>_xlfn.IFNA(VLOOKUP(C2265,Master!$H:$I,2,FALSE),"")</f>
        <v/>
      </c>
      <c r="D2265" s="5" t="str">
        <f>_xlfn.IFNA(VLOOKUP(E2265,Master!$H:$I,2,FALSE),"")</f>
        <v/>
      </c>
      <c r="F2265" s="26" t="str">
        <f>+_xlfn.XLOOKUP(G2265,Master!$V$2:$V$8,Master!$U$2:$U$8,"")</f>
        <v/>
      </c>
      <c r="I2265" s="4" t="str">
        <f>_xlfn.IFNA(VLOOKUP(D2265,Master!$I:$K,2,FALSE),"")</f>
        <v/>
      </c>
      <c r="J2265" s="4" t="str">
        <f>_xlfn.IFNA(VLOOKUP(D2265,Master!$I:$K,3,FALSE),"")</f>
        <v/>
      </c>
      <c r="L2265" s="27" t="str">
        <f>IF(A2265&lt;&gt;"CFA",_xlfn.IFNA(VLOOKUP($G2265,Master!$V$2:$Z$8,5,0),""),"")</f>
        <v/>
      </c>
      <c r="P2265" s="6" t="str">
        <f t="shared" si="70"/>
        <v/>
      </c>
      <c r="Q2265" s="13">
        <f t="shared" si="71"/>
        <v>0</v>
      </c>
    </row>
    <row r="2266" spans="2:17" ht="15" customHeight="1">
      <c r="B2266" s="5" t="str">
        <f>_xlfn.IFNA(VLOOKUP(C2266,Master!$H:$I,2,FALSE),"")</f>
        <v/>
      </c>
      <c r="D2266" s="5" t="str">
        <f>_xlfn.IFNA(VLOOKUP(E2266,Master!$H:$I,2,FALSE),"")</f>
        <v/>
      </c>
      <c r="F2266" s="26" t="str">
        <f>+_xlfn.XLOOKUP(G2266,Master!$V$2:$V$8,Master!$U$2:$U$8,"")</f>
        <v/>
      </c>
      <c r="I2266" s="4" t="str">
        <f>_xlfn.IFNA(VLOOKUP(D2266,Master!$I:$K,2,FALSE),"")</f>
        <v/>
      </c>
      <c r="J2266" s="4" t="str">
        <f>_xlfn.IFNA(VLOOKUP(D2266,Master!$I:$K,3,FALSE),"")</f>
        <v/>
      </c>
      <c r="L2266" s="27" t="str">
        <f>IF(A2266&lt;&gt;"CFA",_xlfn.IFNA(VLOOKUP($G2266,Master!$V$2:$Z$8,5,0),""),"")</f>
        <v/>
      </c>
      <c r="P2266" s="6" t="str">
        <f t="shared" si="70"/>
        <v/>
      </c>
      <c r="Q2266" s="13">
        <f t="shared" si="71"/>
        <v>0</v>
      </c>
    </row>
    <row r="2267" spans="2:17" ht="15" customHeight="1">
      <c r="B2267" s="5" t="str">
        <f>_xlfn.IFNA(VLOOKUP(C2267,Master!$H:$I,2,FALSE),"")</f>
        <v/>
      </c>
      <c r="D2267" s="5" t="str">
        <f>_xlfn.IFNA(VLOOKUP(E2267,Master!$H:$I,2,FALSE),"")</f>
        <v/>
      </c>
      <c r="F2267" s="26" t="str">
        <f>+_xlfn.XLOOKUP(G2267,Master!$V$2:$V$8,Master!$U$2:$U$8,"")</f>
        <v/>
      </c>
      <c r="I2267" s="4" t="str">
        <f>_xlfn.IFNA(VLOOKUP(D2267,Master!$I:$K,2,FALSE),"")</f>
        <v/>
      </c>
      <c r="J2267" s="4" t="str">
        <f>_xlfn.IFNA(VLOOKUP(D2267,Master!$I:$K,3,FALSE),"")</f>
        <v/>
      </c>
      <c r="L2267" s="27" t="str">
        <f>IF(A2267&lt;&gt;"CFA",_xlfn.IFNA(VLOOKUP($G2267,Master!$V$2:$Z$8,5,0),""),"")</f>
        <v/>
      </c>
      <c r="P2267" s="6" t="str">
        <f t="shared" si="70"/>
        <v/>
      </c>
      <c r="Q2267" s="13">
        <f t="shared" si="71"/>
        <v>0</v>
      </c>
    </row>
    <row r="2268" spans="2:17" ht="15" customHeight="1">
      <c r="B2268" s="5" t="str">
        <f>_xlfn.IFNA(VLOOKUP(C2268,Master!$H:$I,2,FALSE),"")</f>
        <v/>
      </c>
      <c r="D2268" s="5" t="str">
        <f>_xlfn.IFNA(VLOOKUP(E2268,Master!$H:$I,2,FALSE),"")</f>
        <v/>
      </c>
      <c r="F2268" s="26" t="str">
        <f>+_xlfn.XLOOKUP(G2268,Master!$V$2:$V$8,Master!$U$2:$U$8,"")</f>
        <v/>
      </c>
      <c r="I2268" s="4" t="str">
        <f>_xlfn.IFNA(VLOOKUP(D2268,Master!$I:$K,2,FALSE),"")</f>
        <v/>
      </c>
      <c r="J2268" s="4" t="str">
        <f>_xlfn.IFNA(VLOOKUP(D2268,Master!$I:$K,3,FALSE),"")</f>
        <v/>
      </c>
      <c r="L2268" s="27" t="str">
        <f>IF(A2268&lt;&gt;"CFA",_xlfn.IFNA(VLOOKUP($G2268,Master!$V$2:$Z$8,5,0),""),"")</f>
        <v/>
      </c>
      <c r="P2268" s="6" t="str">
        <f t="shared" si="70"/>
        <v/>
      </c>
      <c r="Q2268" s="13">
        <f t="shared" si="71"/>
        <v>0</v>
      </c>
    </row>
    <row r="2269" spans="2:17" ht="15" customHeight="1">
      <c r="B2269" s="5" t="str">
        <f>_xlfn.IFNA(VLOOKUP(C2269,Master!$H:$I,2,FALSE),"")</f>
        <v/>
      </c>
      <c r="D2269" s="5" t="str">
        <f>_xlfn.IFNA(VLOOKUP(E2269,Master!$H:$I,2,FALSE),"")</f>
        <v/>
      </c>
      <c r="F2269" s="26" t="str">
        <f>+_xlfn.XLOOKUP(G2269,Master!$V$2:$V$8,Master!$U$2:$U$8,"")</f>
        <v/>
      </c>
      <c r="I2269" s="4" t="str">
        <f>_xlfn.IFNA(VLOOKUP(D2269,Master!$I:$K,2,FALSE),"")</f>
        <v/>
      </c>
      <c r="J2269" s="4" t="str">
        <f>_xlfn.IFNA(VLOOKUP(D2269,Master!$I:$K,3,FALSE),"")</f>
        <v/>
      </c>
      <c r="L2269" s="27" t="str">
        <f>IF(A2269&lt;&gt;"CFA",_xlfn.IFNA(VLOOKUP($G2269,Master!$V$2:$Z$8,5,0),""),"")</f>
        <v/>
      </c>
      <c r="P2269" s="6" t="str">
        <f t="shared" si="70"/>
        <v/>
      </c>
      <c r="Q2269" s="13">
        <f t="shared" si="71"/>
        <v>0</v>
      </c>
    </row>
    <row r="2270" spans="2:17" ht="15" customHeight="1">
      <c r="B2270" s="5" t="str">
        <f>_xlfn.IFNA(VLOOKUP(C2270,Master!$H:$I,2,FALSE),"")</f>
        <v/>
      </c>
      <c r="D2270" s="5" t="str">
        <f>_xlfn.IFNA(VLOOKUP(E2270,Master!$H:$I,2,FALSE),"")</f>
        <v/>
      </c>
      <c r="F2270" s="26" t="str">
        <f>+_xlfn.XLOOKUP(G2270,Master!$V$2:$V$8,Master!$U$2:$U$8,"")</f>
        <v/>
      </c>
      <c r="I2270" s="4" t="str">
        <f>_xlfn.IFNA(VLOOKUP(D2270,Master!$I:$K,2,FALSE),"")</f>
        <v/>
      </c>
      <c r="J2270" s="4" t="str">
        <f>_xlfn.IFNA(VLOOKUP(D2270,Master!$I:$K,3,FALSE),"")</f>
        <v/>
      </c>
      <c r="L2270" s="27" t="str">
        <f>IF(A2270&lt;&gt;"CFA",_xlfn.IFNA(VLOOKUP($G2270,Master!$V$2:$Z$8,5,0),""),"")</f>
        <v/>
      </c>
      <c r="P2270" s="6" t="str">
        <f t="shared" si="70"/>
        <v/>
      </c>
      <c r="Q2270" s="13">
        <f t="shared" si="71"/>
        <v>0</v>
      </c>
    </row>
    <row r="2271" spans="2:17" ht="15" customHeight="1">
      <c r="B2271" s="5" t="str">
        <f>_xlfn.IFNA(VLOOKUP(C2271,Master!$H:$I,2,FALSE),"")</f>
        <v/>
      </c>
      <c r="D2271" s="5" t="str">
        <f>_xlfn.IFNA(VLOOKUP(E2271,Master!$H:$I,2,FALSE),"")</f>
        <v/>
      </c>
      <c r="F2271" s="26" t="str">
        <f>+_xlfn.XLOOKUP(G2271,Master!$V$2:$V$8,Master!$U$2:$U$8,"")</f>
        <v/>
      </c>
      <c r="I2271" s="4" t="str">
        <f>_xlfn.IFNA(VLOOKUP(D2271,Master!$I:$K,2,FALSE),"")</f>
        <v/>
      </c>
      <c r="J2271" s="4" t="str">
        <f>_xlfn.IFNA(VLOOKUP(D2271,Master!$I:$K,3,FALSE),"")</f>
        <v/>
      </c>
      <c r="L2271" s="27" t="str">
        <f>IF(A2271&lt;&gt;"CFA",_xlfn.IFNA(VLOOKUP($G2271,Master!$V$2:$Z$8,5,0),""),"")</f>
        <v/>
      </c>
      <c r="P2271" s="6" t="str">
        <f t="shared" si="70"/>
        <v/>
      </c>
      <c r="Q2271" s="13">
        <f t="shared" si="71"/>
        <v>0</v>
      </c>
    </row>
    <row r="2272" spans="2:17" ht="15" customHeight="1">
      <c r="B2272" s="5" t="str">
        <f>_xlfn.IFNA(VLOOKUP(C2272,Master!$H:$I,2,FALSE),"")</f>
        <v/>
      </c>
      <c r="D2272" s="5" t="str">
        <f>_xlfn.IFNA(VLOOKUP(E2272,Master!$H:$I,2,FALSE),"")</f>
        <v/>
      </c>
      <c r="F2272" s="26" t="str">
        <f>+_xlfn.XLOOKUP(G2272,Master!$V$2:$V$8,Master!$U$2:$U$8,"")</f>
        <v/>
      </c>
      <c r="I2272" s="4" t="str">
        <f>_xlfn.IFNA(VLOOKUP(D2272,Master!$I:$K,2,FALSE),"")</f>
        <v/>
      </c>
      <c r="J2272" s="4" t="str">
        <f>_xlfn.IFNA(VLOOKUP(D2272,Master!$I:$K,3,FALSE),"")</f>
        <v/>
      </c>
      <c r="L2272" s="27" t="str">
        <f>IF(A2272&lt;&gt;"CFA",_xlfn.IFNA(VLOOKUP($G2272,Master!$V$2:$Z$8,5,0),""),"")</f>
        <v/>
      </c>
      <c r="P2272" s="6" t="str">
        <f t="shared" si="70"/>
        <v/>
      </c>
      <c r="Q2272" s="13">
        <f t="shared" si="71"/>
        <v>0</v>
      </c>
    </row>
    <row r="2273" spans="2:17" ht="15" customHeight="1">
      <c r="B2273" s="5" t="str">
        <f>_xlfn.IFNA(VLOOKUP(C2273,Master!$H:$I,2,FALSE),"")</f>
        <v/>
      </c>
      <c r="D2273" s="5" t="str">
        <f>_xlfn.IFNA(VLOOKUP(E2273,Master!$H:$I,2,FALSE),"")</f>
        <v/>
      </c>
      <c r="F2273" s="26" t="str">
        <f>+_xlfn.XLOOKUP(G2273,Master!$V$2:$V$8,Master!$U$2:$U$8,"")</f>
        <v/>
      </c>
      <c r="I2273" s="4" t="str">
        <f>_xlfn.IFNA(VLOOKUP(D2273,Master!$I:$K,2,FALSE),"")</f>
        <v/>
      </c>
      <c r="J2273" s="4" t="str">
        <f>_xlfn.IFNA(VLOOKUP(D2273,Master!$I:$K,3,FALSE),"")</f>
        <v/>
      </c>
      <c r="L2273" s="27" t="str">
        <f>IF(A2273&lt;&gt;"CFA",_xlfn.IFNA(VLOOKUP($G2273,Master!$V$2:$Z$8,5,0),""),"")</f>
        <v/>
      </c>
      <c r="P2273" s="6" t="str">
        <f t="shared" si="70"/>
        <v/>
      </c>
      <c r="Q2273" s="13">
        <f t="shared" si="71"/>
        <v>0</v>
      </c>
    </row>
    <row r="2274" spans="2:17" ht="15" customHeight="1">
      <c r="B2274" s="5" t="str">
        <f>_xlfn.IFNA(VLOOKUP(C2274,Master!$H:$I,2,FALSE),"")</f>
        <v/>
      </c>
      <c r="D2274" s="5" t="str">
        <f>_xlfn.IFNA(VLOOKUP(E2274,Master!$H:$I,2,FALSE),"")</f>
        <v/>
      </c>
      <c r="F2274" s="26" t="str">
        <f>+_xlfn.XLOOKUP(G2274,Master!$V$2:$V$8,Master!$U$2:$U$8,"")</f>
        <v/>
      </c>
      <c r="I2274" s="4" t="str">
        <f>_xlfn.IFNA(VLOOKUP(D2274,Master!$I:$K,2,FALSE),"")</f>
        <v/>
      </c>
      <c r="J2274" s="4" t="str">
        <f>_xlfn.IFNA(VLOOKUP(D2274,Master!$I:$K,3,FALSE),"")</f>
        <v/>
      </c>
      <c r="L2274" s="27" t="str">
        <f>IF(A2274&lt;&gt;"CFA",_xlfn.IFNA(VLOOKUP($G2274,Master!$V$2:$Z$8,5,0),""),"")</f>
        <v/>
      </c>
      <c r="P2274" s="6" t="str">
        <f t="shared" si="70"/>
        <v/>
      </c>
      <c r="Q2274" s="13">
        <f t="shared" si="71"/>
        <v>0</v>
      </c>
    </row>
    <row r="2275" spans="2:17" ht="15" customHeight="1">
      <c r="B2275" s="5" t="str">
        <f>_xlfn.IFNA(VLOOKUP(C2275,Master!$H:$I,2,FALSE),"")</f>
        <v/>
      </c>
      <c r="D2275" s="5" t="str">
        <f>_xlfn.IFNA(VLOOKUP(E2275,Master!$H:$I,2,FALSE),"")</f>
        <v/>
      </c>
      <c r="F2275" s="26" t="str">
        <f>+_xlfn.XLOOKUP(G2275,Master!$V$2:$V$8,Master!$U$2:$U$8,"")</f>
        <v/>
      </c>
      <c r="I2275" s="4" t="str">
        <f>_xlfn.IFNA(VLOOKUP(D2275,Master!$I:$K,2,FALSE),"")</f>
        <v/>
      </c>
      <c r="J2275" s="4" t="str">
        <f>_xlfn.IFNA(VLOOKUP(D2275,Master!$I:$K,3,FALSE),"")</f>
        <v/>
      </c>
      <c r="L2275" s="27" t="str">
        <f>IF(A2275&lt;&gt;"CFA",_xlfn.IFNA(VLOOKUP($G2275,Master!$V$2:$Z$8,5,0),""),"")</f>
        <v/>
      </c>
      <c r="P2275" s="6" t="str">
        <f t="shared" si="70"/>
        <v/>
      </c>
      <c r="Q2275" s="13">
        <f t="shared" si="71"/>
        <v>0</v>
      </c>
    </row>
    <row r="2276" spans="2:17" ht="15" customHeight="1">
      <c r="B2276" s="5" t="str">
        <f>_xlfn.IFNA(VLOOKUP(C2276,Master!$H:$I,2,FALSE),"")</f>
        <v/>
      </c>
      <c r="D2276" s="5" t="str">
        <f>_xlfn.IFNA(VLOOKUP(E2276,Master!$H:$I,2,FALSE),"")</f>
        <v/>
      </c>
      <c r="F2276" s="26" t="str">
        <f>+_xlfn.XLOOKUP(G2276,Master!$V$2:$V$8,Master!$U$2:$U$8,"")</f>
        <v/>
      </c>
      <c r="I2276" s="4" t="str">
        <f>_xlfn.IFNA(VLOOKUP(D2276,Master!$I:$K,2,FALSE),"")</f>
        <v/>
      </c>
      <c r="J2276" s="4" t="str">
        <f>_xlfn.IFNA(VLOOKUP(D2276,Master!$I:$K,3,FALSE),"")</f>
        <v/>
      </c>
      <c r="L2276" s="27" t="str">
        <f>IF(A2276&lt;&gt;"CFA",_xlfn.IFNA(VLOOKUP($G2276,Master!$V$2:$Z$8,5,0),""),"")</f>
        <v/>
      </c>
      <c r="P2276" s="6" t="str">
        <f t="shared" si="70"/>
        <v/>
      </c>
      <c r="Q2276" s="13">
        <f t="shared" si="71"/>
        <v>0</v>
      </c>
    </row>
    <row r="2277" spans="2:17" ht="15" customHeight="1">
      <c r="B2277" s="5" t="str">
        <f>_xlfn.IFNA(VLOOKUP(C2277,Master!$H:$I,2,FALSE),"")</f>
        <v/>
      </c>
      <c r="D2277" s="5" t="str">
        <f>_xlfn.IFNA(VLOOKUP(E2277,Master!$H:$I,2,FALSE),"")</f>
        <v/>
      </c>
      <c r="F2277" s="26" t="str">
        <f>+_xlfn.XLOOKUP(G2277,Master!$V$2:$V$8,Master!$U$2:$U$8,"")</f>
        <v/>
      </c>
      <c r="I2277" s="4" t="str">
        <f>_xlfn.IFNA(VLOOKUP(D2277,Master!$I:$K,2,FALSE),"")</f>
        <v/>
      </c>
      <c r="J2277" s="4" t="str">
        <f>_xlfn.IFNA(VLOOKUP(D2277,Master!$I:$K,3,FALSE),"")</f>
        <v/>
      </c>
      <c r="L2277" s="27" t="str">
        <f>IF(A2277&lt;&gt;"CFA",_xlfn.IFNA(VLOOKUP($G2277,Master!$V$2:$Z$8,5,0),""),"")</f>
        <v/>
      </c>
      <c r="P2277" s="6" t="str">
        <f t="shared" si="70"/>
        <v/>
      </c>
      <c r="Q2277" s="13">
        <f t="shared" si="71"/>
        <v>0</v>
      </c>
    </row>
    <row r="2278" spans="2:17" ht="15" customHeight="1">
      <c r="B2278" s="5" t="str">
        <f>_xlfn.IFNA(VLOOKUP(C2278,Master!$H:$I,2,FALSE),"")</f>
        <v/>
      </c>
      <c r="D2278" s="5" t="str">
        <f>_xlfn.IFNA(VLOOKUP(E2278,Master!$H:$I,2,FALSE),"")</f>
        <v/>
      </c>
      <c r="F2278" s="26" t="str">
        <f>+_xlfn.XLOOKUP(G2278,Master!$V$2:$V$8,Master!$U$2:$U$8,"")</f>
        <v/>
      </c>
      <c r="I2278" s="4" t="str">
        <f>_xlfn.IFNA(VLOOKUP(D2278,Master!$I:$K,2,FALSE),"")</f>
        <v/>
      </c>
      <c r="J2278" s="4" t="str">
        <f>_xlfn.IFNA(VLOOKUP(D2278,Master!$I:$K,3,FALSE),"")</f>
        <v/>
      </c>
      <c r="L2278" s="27" t="str">
        <f>IF(A2278&lt;&gt;"CFA",_xlfn.IFNA(VLOOKUP($G2278,Master!$V$2:$Z$8,5,0),""),"")</f>
        <v/>
      </c>
      <c r="P2278" s="6" t="str">
        <f t="shared" si="70"/>
        <v/>
      </c>
      <c r="Q2278" s="13">
        <f t="shared" si="71"/>
        <v>0</v>
      </c>
    </row>
    <row r="2279" spans="2:17" ht="15" customHeight="1">
      <c r="B2279" s="5" t="str">
        <f>_xlfn.IFNA(VLOOKUP(C2279,Master!$H:$I,2,FALSE),"")</f>
        <v/>
      </c>
      <c r="D2279" s="5" t="str">
        <f>_xlfn.IFNA(VLOOKUP(E2279,Master!$H:$I,2,FALSE),"")</f>
        <v/>
      </c>
      <c r="F2279" s="26" t="str">
        <f>+_xlfn.XLOOKUP(G2279,Master!$V$2:$V$8,Master!$U$2:$U$8,"")</f>
        <v/>
      </c>
      <c r="I2279" s="4" t="str">
        <f>_xlfn.IFNA(VLOOKUP(D2279,Master!$I:$K,2,FALSE),"")</f>
        <v/>
      </c>
      <c r="J2279" s="4" t="str">
        <f>_xlfn.IFNA(VLOOKUP(D2279,Master!$I:$K,3,FALSE),"")</f>
        <v/>
      </c>
      <c r="L2279" s="27" t="str">
        <f>IF(A2279&lt;&gt;"CFA",_xlfn.IFNA(VLOOKUP($G2279,Master!$V$2:$Z$8,5,0),""),"")</f>
        <v/>
      </c>
      <c r="P2279" s="6" t="str">
        <f t="shared" si="70"/>
        <v/>
      </c>
      <c r="Q2279" s="13">
        <f t="shared" si="71"/>
        <v>0</v>
      </c>
    </row>
    <row r="2280" spans="2:17" ht="15" customHeight="1">
      <c r="B2280" s="5" t="str">
        <f>_xlfn.IFNA(VLOOKUP(C2280,Master!$H:$I,2,FALSE),"")</f>
        <v/>
      </c>
      <c r="D2280" s="5" t="str">
        <f>_xlfn.IFNA(VLOOKUP(E2280,Master!$H:$I,2,FALSE),"")</f>
        <v/>
      </c>
      <c r="F2280" s="26" t="str">
        <f>+_xlfn.XLOOKUP(G2280,Master!$V$2:$V$8,Master!$U$2:$U$8,"")</f>
        <v/>
      </c>
      <c r="I2280" s="4" t="str">
        <f>_xlfn.IFNA(VLOOKUP(D2280,Master!$I:$K,2,FALSE),"")</f>
        <v/>
      </c>
      <c r="J2280" s="4" t="str">
        <f>_xlfn.IFNA(VLOOKUP(D2280,Master!$I:$K,3,FALSE),"")</f>
        <v/>
      </c>
      <c r="L2280" s="27" t="str">
        <f>IF(A2280&lt;&gt;"CFA",_xlfn.IFNA(VLOOKUP($G2280,Master!$V$2:$Z$8,5,0),""),"")</f>
        <v/>
      </c>
      <c r="P2280" s="6" t="str">
        <f t="shared" si="70"/>
        <v/>
      </c>
      <c r="Q2280" s="13">
        <f t="shared" si="71"/>
        <v>0</v>
      </c>
    </row>
    <row r="2281" spans="2:17" ht="15" customHeight="1">
      <c r="B2281" s="5" t="str">
        <f>_xlfn.IFNA(VLOOKUP(C2281,Master!$H:$I,2,FALSE),"")</f>
        <v/>
      </c>
      <c r="D2281" s="5" t="str">
        <f>_xlfn.IFNA(VLOOKUP(E2281,Master!$H:$I,2,FALSE),"")</f>
        <v/>
      </c>
      <c r="F2281" s="26" t="str">
        <f>+_xlfn.XLOOKUP(G2281,Master!$V$2:$V$8,Master!$U$2:$U$8,"")</f>
        <v/>
      </c>
      <c r="I2281" s="4" t="str">
        <f>_xlfn.IFNA(VLOOKUP(D2281,Master!$I:$K,2,FALSE),"")</f>
        <v/>
      </c>
      <c r="J2281" s="4" t="str">
        <f>_xlfn.IFNA(VLOOKUP(D2281,Master!$I:$K,3,FALSE),"")</f>
        <v/>
      </c>
      <c r="L2281" s="27" t="str">
        <f>IF(A2281&lt;&gt;"CFA",_xlfn.IFNA(VLOOKUP($G2281,Master!$V$2:$Z$8,5,0),""),"")</f>
        <v/>
      </c>
      <c r="P2281" s="6" t="str">
        <f t="shared" si="70"/>
        <v/>
      </c>
      <c r="Q2281" s="13">
        <f t="shared" si="71"/>
        <v>0</v>
      </c>
    </row>
    <row r="2282" spans="2:17" ht="15" customHeight="1">
      <c r="B2282" s="5" t="str">
        <f>_xlfn.IFNA(VLOOKUP(C2282,Master!$H:$I,2,FALSE),"")</f>
        <v/>
      </c>
      <c r="D2282" s="5" t="str">
        <f>_xlfn.IFNA(VLOOKUP(E2282,Master!$H:$I,2,FALSE),"")</f>
        <v/>
      </c>
      <c r="F2282" s="26" t="str">
        <f>+_xlfn.XLOOKUP(G2282,Master!$V$2:$V$8,Master!$U$2:$U$8,"")</f>
        <v/>
      </c>
      <c r="I2282" s="4" t="str">
        <f>_xlfn.IFNA(VLOOKUP(D2282,Master!$I:$K,2,FALSE),"")</f>
        <v/>
      </c>
      <c r="J2282" s="4" t="str">
        <f>_xlfn.IFNA(VLOOKUP(D2282,Master!$I:$K,3,FALSE),"")</f>
        <v/>
      </c>
      <c r="L2282" s="27" t="str">
        <f>IF(A2282&lt;&gt;"CFA",_xlfn.IFNA(VLOOKUP($G2282,Master!$V$2:$Z$8,5,0),""),"")</f>
        <v/>
      </c>
      <c r="P2282" s="6" t="str">
        <f t="shared" si="70"/>
        <v/>
      </c>
      <c r="Q2282" s="13">
        <f t="shared" si="71"/>
        <v>0</v>
      </c>
    </row>
    <row r="2283" spans="2:17" ht="15" customHeight="1">
      <c r="B2283" s="5" t="str">
        <f>_xlfn.IFNA(VLOOKUP(C2283,Master!$H:$I,2,FALSE),"")</f>
        <v/>
      </c>
      <c r="D2283" s="5" t="str">
        <f>_xlfn.IFNA(VLOOKUP(E2283,Master!$H:$I,2,FALSE),"")</f>
        <v/>
      </c>
      <c r="F2283" s="26" t="str">
        <f>+_xlfn.XLOOKUP(G2283,Master!$V$2:$V$8,Master!$U$2:$U$8,"")</f>
        <v/>
      </c>
      <c r="I2283" s="4" t="str">
        <f>_xlfn.IFNA(VLOOKUP(D2283,Master!$I:$K,2,FALSE),"")</f>
        <v/>
      </c>
      <c r="J2283" s="4" t="str">
        <f>_xlfn.IFNA(VLOOKUP(D2283,Master!$I:$K,3,FALSE),"")</f>
        <v/>
      </c>
      <c r="L2283" s="27" t="str">
        <f>IF(A2283&lt;&gt;"CFA",_xlfn.IFNA(VLOOKUP($G2283,Master!$V$2:$Z$8,5,0),""),"")</f>
        <v/>
      </c>
      <c r="P2283" s="6" t="str">
        <f t="shared" si="70"/>
        <v/>
      </c>
      <c r="Q2283" s="13">
        <f t="shared" si="71"/>
        <v>0</v>
      </c>
    </row>
    <row r="2284" spans="2:17" ht="15" customHeight="1">
      <c r="B2284" s="5" t="str">
        <f>_xlfn.IFNA(VLOOKUP(C2284,Master!$H:$I,2,FALSE),"")</f>
        <v/>
      </c>
      <c r="D2284" s="5" t="str">
        <f>_xlfn.IFNA(VLOOKUP(E2284,Master!$H:$I,2,FALSE),"")</f>
        <v/>
      </c>
      <c r="F2284" s="26" t="str">
        <f>+_xlfn.XLOOKUP(G2284,Master!$V$2:$V$8,Master!$U$2:$U$8,"")</f>
        <v/>
      </c>
      <c r="I2284" s="4" t="str">
        <f>_xlfn.IFNA(VLOOKUP(D2284,Master!$I:$K,2,FALSE),"")</f>
        <v/>
      </c>
      <c r="J2284" s="4" t="str">
        <f>_xlfn.IFNA(VLOOKUP(D2284,Master!$I:$K,3,FALSE),"")</f>
        <v/>
      </c>
      <c r="L2284" s="27" t="str">
        <f>IF(A2284&lt;&gt;"CFA",_xlfn.IFNA(VLOOKUP($G2284,Master!$V$2:$Z$8,5,0),""),"")</f>
        <v/>
      </c>
      <c r="P2284" s="6" t="str">
        <f t="shared" si="70"/>
        <v/>
      </c>
      <c r="Q2284" s="13">
        <f t="shared" si="71"/>
        <v>0</v>
      </c>
    </row>
    <row r="2285" spans="2:17" ht="15" customHeight="1">
      <c r="B2285" s="5" t="str">
        <f>_xlfn.IFNA(VLOOKUP(C2285,Master!$H:$I,2,FALSE),"")</f>
        <v/>
      </c>
      <c r="D2285" s="5" t="str">
        <f>_xlfn.IFNA(VLOOKUP(E2285,Master!$H:$I,2,FALSE),"")</f>
        <v/>
      </c>
      <c r="F2285" s="26" t="str">
        <f>+_xlfn.XLOOKUP(G2285,Master!$V$2:$V$8,Master!$U$2:$U$8,"")</f>
        <v/>
      </c>
      <c r="I2285" s="4" t="str">
        <f>_xlfn.IFNA(VLOOKUP(D2285,Master!$I:$K,2,FALSE),"")</f>
        <v/>
      </c>
      <c r="J2285" s="4" t="str">
        <f>_xlfn.IFNA(VLOOKUP(D2285,Master!$I:$K,3,FALSE),"")</f>
        <v/>
      </c>
      <c r="L2285" s="27" t="str">
        <f>IF(A2285&lt;&gt;"CFA",_xlfn.IFNA(VLOOKUP($G2285,Master!$V$2:$Z$8,5,0),""),"")</f>
        <v/>
      </c>
      <c r="P2285" s="6" t="str">
        <f t="shared" si="70"/>
        <v/>
      </c>
      <c r="Q2285" s="13">
        <f t="shared" si="71"/>
        <v>0</v>
      </c>
    </row>
    <row r="2286" spans="2:17" ht="15" customHeight="1">
      <c r="B2286" s="5" t="str">
        <f>_xlfn.IFNA(VLOOKUP(C2286,Master!$H:$I,2,FALSE),"")</f>
        <v/>
      </c>
      <c r="D2286" s="5" t="str">
        <f>_xlfn.IFNA(VLOOKUP(E2286,Master!$H:$I,2,FALSE),"")</f>
        <v/>
      </c>
      <c r="F2286" s="26" t="str">
        <f>+_xlfn.XLOOKUP(G2286,Master!$V$2:$V$8,Master!$U$2:$U$8,"")</f>
        <v/>
      </c>
      <c r="I2286" s="4" t="str">
        <f>_xlfn.IFNA(VLOOKUP(D2286,Master!$I:$K,2,FALSE),"")</f>
        <v/>
      </c>
      <c r="J2286" s="4" t="str">
        <f>_xlfn.IFNA(VLOOKUP(D2286,Master!$I:$K,3,FALSE),"")</f>
        <v/>
      </c>
      <c r="L2286" s="27" t="str">
        <f>IF(A2286&lt;&gt;"CFA",_xlfn.IFNA(VLOOKUP($G2286,Master!$V$2:$Z$8,5,0),""),"")</f>
        <v/>
      </c>
      <c r="P2286" s="6" t="str">
        <f t="shared" si="70"/>
        <v/>
      </c>
      <c r="Q2286" s="13">
        <f t="shared" si="71"/>
        <v>0</v>
      </c>
    </row>
    <row r="2287" spans="2:17" ht="15" customHeight="1">
      <c r="B2287" s="5" t="str">
        <f>_xlfn.IFNA(VLOOKUP(C2287,Master!$H:$I,2,FALSE),"")</f>
        <v/>
      </c>
      <c r="D2287" s="5" t="str">
        <f>_xlfn.IFNA(VLOOKUP(E2287,Master!$H:$I,2,FALSE),"")</f>
        <v/>
      </c>
      <c r="F2287" s="26" t="str">
        <f>+_xlfn.XLOOKUP(G2287,Master!$V$2:$V$8,Master!$U$2:$U$8,"")</f>
        <v/>
      </c>
      <c r="I2287" s="4" t="str">
        <f>_xlfn.IFNA(VLOOKUP(D2287,Master!$I:$K,2,FALSE),"")</f>
        <v/>
      </c>
      <c r="J2287" s="4" t="str">
        <f>_xlfn.IFNA(VLOOKUP(D2287,Master!$I:$K,3,FALSE),"")</f>
        <v/>
      </c>
      <c r="L2287" s="27" t="str">
        <f>IF(A2287&lt;&gt;"CFA",_xlfn.IFNA(VLOOKUP($G2287,Master!$V$2:$Z$8,5,0),""),"")</f>
        <v/>
      </c>
      <c r="P2287" s="6" t="str">
        <f t="shared" si="70"/>
        <v/>
      </c>
      <c r="Q2287" s="13">
        <f t="shared" si="71"/>
        <v>0</v>
      </c>
    </row>
    <row r="2288" spans="2:17" ht="15" customHeight="1">
      <c r="B2288" s="5" t="str">
        <f>_xlfn.IFNA(VLOOKUP(C2288,Master!$H:$I,2,FALSE),"")</f>
        <v/>
      </c>
      <c r="D2288" s="5" t="str">
        <f>_xlfn.IFNA(VLOOKUP(E2288,Master!$H:$I,2,FALSE),"")</f>
        <v/>
      </c>
      <c r="F2288" s="26" t="str">
        <f>+_xlfn.XLOOKUP(G2288,Master!$V$2:$V$8,Master!$U$2:$U$8,"")</f>
        <v/>
      </c>
      <c r="I2288" s="4" t="str">
        <f>_xlfn.IFNA(VLOOKUP(D2288,Master!$I:$K,2,FALSE),"")</f>
        <v/>
      </c>
      <c r="J2288" s="4" t="str">
        <f>_xlfn.IFNA(VLOOKUP(D2288,Master!$I:$K,3,FALSE),"")</f>
        <v/>
      </c>
      <c r="L2288" s="27" t="str">
        <f>IF(A2288&lt;&gt;"CFA",_xlfn.IFNA(VLOOKUP($G2288,Master!$V$2:$Z$8,5,0),""),"")</f>
        <v/>
      </c>
      <c r="P2288" s="6" t="str">
        <f t="shared" si="70"/>
        <v/>
      </c>
      <c r="Q2288" s="13">
        <f t="shared" si="71"/>
        <v>0</v>
      </c>
    </row>
    <row r="2289" spans="2:17" ht="15" customHeight="1">
      <c r="B2289" s="5" t="str">
        <f>_xlfn.IFNA(VLOOKUP(C2289,Master!$H:$I,2,FALSE),"")</f>
        <v/>
      </c>
      <c r="D2289" s="5" t="str">
        <f>_xlfn.IFNA(VLOOKUP(E2289,Master!$H:$I,2,FALSE),"")</f>
        <v/>
      </c>
      <c r="F2289" s="26" t="str">
        <f>+_xlfn.XLOOKUP(G2289,Master!$V$2:$V$8,Master!$U$2:$U$8,"")</f>
        <v/>
      </c>
      <c r="I2289" s="4" t="str">
        <f>_xlfn.IFNA(VLOOKUP(D2289,Master!$I:$K,2,FALSE),"")</f>
        <v/>
      </c>
      <c r="J2289" s="4" t="str">
        <f>_xlfn.IFNA(VLOOKUP(D2289,Master!$I:$K,3,FALSE),"")</f>
        <v/>
      </c>
      <c r="L2289" s="27" t="str">
        <f>IF(A2289&lt;&gt;"CFA",_xlfn.IFNA(VLOOKUP($G2289,Master!$V$2:$Z$8,5,0),""),"")</f>
        <v/>
      </c>
      <c r="P2289" s="6" t="str">
        <f t="shared" si="70"/>
        <v/>
      </c>
      <c r="Q2289" s="13">
        <f t="shared" si="71"/>
        <v>0</v>
      </c>
    </row>
    <row r="2290" spans="2:17" ht="15" customHeight="1">
      <c r="B2290" s="5" t="str">
        <f>_xlfn.IFNA(VLOOKUP(C2290,Master!$H:$I,2,FALSE),"")</f>
        <v/>
      </c>
      <c r="D2290" s="5" t="str">
        <f>_xlfn.IFNA(VLOOKUP(E2290,Master!$H:$I,2,FALSE),"")</f>
        <v/>
      </c>
      <c r="F2290" s="26" t="str">
        <f>+_xlfn.XLOOKUP(G2290,Master!$V$2:$V$8,Master!$U$2:$U$8,"")</f>
        <v/>
      </c>
      <c r="I2290" s="4" t="str">
        <f>_xlfn.IFNA(VLOOKUP(D2290,Master!$I:$K,2,FALSE),"")</f>
        <v/>
      </c>
      <c r="J2290" s="4" t="str">
        <f>_xlfn.IFNA(VLOOKUP(D2290,Master!$I:$K,3,FALSE),"")</f>
        <v/>
      </c>
      <c r="L2290" s="27" t="str">
        <f>IF(A2290&lt;&gt;"CFA",_xlfn.IFNA(VLOOKUP($G2290,Master!$V$2:$Z$8,5,0),""),"")</f>
        <v/>
      </c>
      <c r="P2290" s="6" t="str">
        <f t="shared" si="70"/>
        <v/>
      </c>
      <c r="Q2290" s="13">
        <f t="shared" si="71"/>
        <v>0</v>
      </c>
    </row>
    <row r="2291" spans="2:17" ht="15" customHeight="1">
      <c r="B2291" s="5" t="str">
        <f>_xlfn.IFNA(VLOOKUP(C2291,Master!$H:$I,2,FALSE),"")</f>
        <v/>
      </c>
      <c r="D2291" s="5" t="str">
        <f>_xlfn.IFNA(VLOOKUP(E2291,Master!$H:$I,2,FALSE),"")</f>
        <v/>
      </c>
      <c r="F2291" s="26" t="str">
        <f>+_xlfn.XLOOKUP(G2291,Master!$V$2:$V$8,Master!$U$2:$U$8,"")</f>
        <v/>
      </c>
      <c r="I2291" s="4" t="str">
        <f>_xlfn.IFNA(VLOOKUP(D2291,Master!$I:$K,2,FALSE),"")</f>
        <v/>
      </c>
      <c r="J2291" s="4" t="str">
        <f>_xlfn.IFNA(VLOOKUP(D2291,Master!$I:$K,3,FALSE),"")</f>
        <v/>
      </c>
      <c r="L2291" s="27" t="str">
        <f>IF(A2291&lt;&gt;"CFA",_xlfn.IFNA(VLOOKUP($G2291,Master!$V$2:$Z$8,5,0),""),"")</f>
        <v/>
      </c>
      <c r="P2291" s="6" t="str">
        <f t="shared" si="70"/>
        <v/>
      </c>
      <c r="Q2291" s="13">
        <f t="shared" si="71"/>
        <v>0</v>
      </c>
    </row>
    <row r="2292" spans="2:17" ht="15" customHeight="1">
      <c r="B2292" s="5" t="str">
        <f>_xlfn.IFNA(VLOOKUP(C2292,Master!$H:$I,2,FALSE),"")</f>
        <v/>
      </c>
      <c r="D2292" s="5" t="str">
        <f>_xlfn.IFNA(VLOOKUP(E2292,Master!$H:$I,2,FALSE),"")</f>
        <v/>
      </c>
      <c r="F2292" s="26" t="str">
        <f>+_xlfn.XLOOKUP(G2292,Master!$V$2:$V$8,Master!$U$2:$U$8,"")</f>
        <v/>
      </c>
      <c r="I2292" s="4" t="str">
        <f>_xlfn.IFNA(VLOOKUP(D2292,Master!$I:$K,2,FALSE),"")</f>
        <v/>
      </c>
      <c r="J2292" s="4" t="str">
        <f>_xlfn.IFNA(VLOOKUP(D2292,Master!$I:$K,3,FALSE),"")</f>
        <v/>
      </c>
      <c r="L2292" s="27" t="str">
        <f>IF(A2292&lt;&gt;"CFA",_xlfn.IFNA(VLOOKUP($G2292,Master!$V$2:$Z$8,5,0),""),"")</f>
        <v/>
      </c>
      <c r="P2292" s="6" t="str">
        <f t="shared" si="70"/>
        <v/>
      </c>
      <c r="Q2292" s="13">
        <f t="shared" si="71"/>
        <v>0</v>
      </c>
    </row>
    <row r="2293" spans="2:17" ht="15" customHeight="1">
      <c r="B2293" s="5" t="str">
        <f>_xlfn.IFNA(VLOOKUP(C2293,Master!$H:$I,2,FALSE),"")</f>
        <v/>
      </c>
      <c r="D2293" s="5" t="str">
        <f>_xlfn.IFNA(VLOOKUP(E2293,Master!$H:$I,2,FALSE),"")</f>
        <v/>
      </c>
      <c r="F2293" s="26" t="str">
        <f>+_xlfn.XLOOKUP(G2293,Master!$V$2:$V$8,Master!$U$2:$U$8,"")</f>
        <v/>
      </c>
      <c r="I2293" s="4" t="str">
        <f>_xlfn.IFNA(VLOOKUP(D2293,Master!$I:$K,2,FALSE),"")</f>
        <v/>
      </c>
      <c r="J2293" s="4" t="str">
        <f>_xlfn.IFNA(VLOOKUP(D2293,Master!$I:$K,3,FALSE),"")</f>
        <v/>
      </c>
      <c r="L2293" s="27" t="str">
        <f>IF(A2293&lt;&gt;"CFA",_xlfn.IFNA(VLOOKUP($G2293,Master!$V$2:$Z$8,5,0),""),"")</f>
        <v/>
      </c>
      <c r="P2293" s="6" t="str">
        <f t="shared" si="70"/>
        <v/>
      </c>
      <c r="Q2293" s="13">
        <f t="shared" si="71"/>
        <v>0</v>
      </c>
    </row>
    <row r="2294" spans="2:17" ht="15" customHeight="1">
      <c r="B2294" s="5" t="str">
        <f>_xlfn.IFNA(VLOOKUP(C2294,Master!$H:$I,2,FALSE),"")</f>
        <v/>
      </c>
      <c r="D2294" s="5" t="str">
        <f>_xlfn.IFNA(VLOOKUP(E2294,Master!$H:$I,2,FALSE),"")</f>
        <v/>
      </c>
      <c r="F2294" s="26" t="str">
        <f>+_xlfn.XLOOKUP(G2294,Master!$V$2:$V$8,Master!$U$2:$U$8,"")</f>
        <v/>
      </c>
      <c r="I2294" s="4" t="str">
        <f>_xlfn.IFNA(VLOOKUP(D2294,Master!$I:$K,2,FALSE),"")</f>
        <v/>
      </c>
      <c r="J2294" s="4" t="str">
        <f>_xlfn.IFNA(VLOOKUP(D2294,Master!$I:$K,3,FALSE),"")</f>
        <v/>
      </c>
      <c r="L2294" s="27" t="str">
        <f>IF(A2294&lt;&gt;"CFA",_xlfn.IFNA(VLOOKUP($G2294,Master!$V$2:$Z$8,5,0),""),"")</f>
        <v/>
      </c>
      <c r="P2294" s="6" t="str">
        <f t="shared" si="70"/>
        <v/>
      </c>
      <c r="Q2294" s="13">
        <f t="shared" si="71"/>
        <v>0</v>
      </c>
    </row>
    <row r="2295" spans="2:17" ht="15" customHeight="1">
      <c r="B2295" s="5" t="str">
        <f>_xlfn.IFNA(VLOOKUP(C2295,Master!$H:$I,2,FALSE),"")</f>
        <v/>
      </c>
      <c r="D2295" s="5" t="str">
        <f>_xlfn.IFNA(VLOOKUP(E2295,Master!$H:$I,2,FALSE),"")</f>
        <v/>
      </c>
      <c r="F2295" s="26" t="str">
        <f>+_xlfn.XLOOKUP(G2295,Master!$V$2:$V$8,Master!$U$2:$U$8,"")</f>
        <v/>
      </c>
      <c r="I2295" s="4" t="str">
        <f>_xlfn.IFNA(VLOOKUP(D2295,Master!$I:$K,2,FALSE),"")</f>
        <v/>
      </c>
      <c r="J2295" s="4" t="str">
        <f>_xlfn.IFNA(VLOOKUP(D2295,Master!$I:$K,3,FALSE),"")</f>
        <v/>
      </c>
      <c r="L2295" s="27" t="str">
        <f>IF(A2295&lt;&gt;"CFA",_xlfn.IFNA(VLOOKUP($G2295,Master!$V$2:$Z$8,5,0),""),"")</f>
        <v/>
      </c>
      <c r="P2295" s="6" t="str">
        <f t="shared" ref="P2295:P2358" si="72">IF(N2295&lt;&gt;"",IF(MONTH(N2295)&gt;=4,"FY1"&amp;RIGHT(YEAR(N2295)+1,2),"FY1"&amp;RIGHT(YEAR(N2295),2)),"")</f>
        <v/>
      </c>
      <c r="Q2295" s="13">
        <f t="shared" ref="Q2295:Q2358" si="73">IF(K2295&gt;0&amp;M2295&gt;0,K2295*M2295,"")</f>
        <v>0</v>
      </c>
    </row>
    <row r="2296" spans="2:17" ht="15" customHeight="1">
      <c r="B2296" s="5" t="str">
        <f>_xlfn.IFNA(VLOOKUP(C2296,Master!$H:$I,2,FALSE),"")</f>
        <v/>
      </c>
      <c r="D2296" s="5" t="str">
        <f>_xlfn.IFNA(VLOOKUP(E2296,Master!$H:$I,2,FALSE),"")</f>
        <v/>
      </c>
      <c r="F2296" s="26" t="str">
        <f>+_xlfn.XLOOKUP(G2296,Master!$V$2:$V$8,Master!$U$2:$U$8,"")</f>
        <v/>
      </c>
      <c r="I2296" s="4" t="str">
        <f>_xlfn.IFNA(VLOOKUP(D2296,Master!$I:$K,2,FALSE),"")</f>
        <v/>
      </c>
      <c r="J2296" s="4" t="str">
        <f>_xlfn.IFNA(VLOOKUP(D2296,Master!$I:$K,3,FALSE),"")</f>
        <v/>
      </c>
      <c r="L2296" s="27" t="str">
        <f>IF(A2296&lt;&gt;"CFA",_xlfn.IFNA(VLOOKUP($G2296,Master!$V$2:$Z$8,5,0),""),"")</f>
        <v/>
      </c>
      <c r="P2296" s="6" t="str">
        <f t="shared" si="72"/>
        <v/>
      </c>
      <c r="Q2296" s="13">
        <f t="shared" si="73"/>
        <v>0</v>
      </c>
    </row>
    <row r="2297" spans="2:17" ht="15" customHeight="1">
      <c r="B2297" s="5" t="str">
        <f>_xlfn.IFNA(VLOOKUP(C2297,Master!$H:$I,2,FALSE),"")</f>
        <v/>
      </c>
      <c r="D2297" s="5" t="str">
        <f>_xlfn.IFNA(VLOOKUP(E2297,Master!$H:$I,2,FALSE),"")</f>
        <v/>
      </c>
      <c r="F2297" s="26" t="str">
        <f>+_xlfn.XLOOKUP(G2297,Master!$V$2:$V$8,Master!$U$2:$U$8,"")</f>
        <v/>
      </c>
      <c r="I2297" s="4" t="str">
        <f>_xlfn.IFNA(VLOOKUP(D2297,Master!$I:$K,2,FALSE),"")</f>
        <v/>
      </c>
      <c r="J2297" s="4" t="str">
        <f>_xlfn.IFNA(VLOOKUP(D2297,Master!$I:$K,3,FALSE),"")</f>
        <v/>
      </c>
      <c r="L2297" s="27" t="str">
        <f>IF(A2297&lt;&gt;"CFA",_xlfn.IFNA(VLOOKUP($G2297,Master!$V$2:$Z$8,5,0),""),"")</f>
        <v/>
      </c>
      <c r="P2297" s="6" t="str">
        <f t="shared" si="72"/>
        <v/>
      </c>
      <c r="Q2297" s="13">
        <f t="shared" si="73"/>
        <v>0</v>
      </c>
    </row>
    <row r="2298" spans="2:17" ht="15" customHeight="1">
      <c r="B2298" s="5" t="str">
        <f>_xlfn.IFNA(VLOOKUP(C2298,Master!$H:$I,2,FALSE),"")</f>
        <v/>
      </c>
      <c r="D2298" s="5" t="str">
        <f>_xlfn.IFNA(VLOOKUP(E2298,Master!$H:$I,2,FALSE),"")</f>
        <v/>
      </c>
      <c r="F2298" s="26" t="str">
        <f>+_xlfn.XLOOKUP(G2298,Master!$V$2:$V$8,Master!$U$2:$U$8,"")</f>
        <v/>
      </c>
      <c r="I2298" s="4" t="str">
        <f>_xlfn.IFNA(VLOOKUP(D2298,Master!$I:$K,2,FALSE),"")</f>
        <v/>
      </c>
      <c r="J2298" s="4" t="str">
        <f>_xlfn.IFNA(VLOOKUP(D2298,Master!$I:$K,3,FALSE),"")</f>
        <v/>
      </c>
      <c r="L2298" s="27" t="str">
        <f>IF(A2298&lt;&gt;"CFA",_xlfn.IFNA(VLOOKUP($G2298,Master!$V$2:$Z$8,5,0),""),"")</f>
        <v/>
      </c>
      <c r="P2298" s="6" t="str">
        <f t="shared" si="72"/>
        <v/>
      </c>
      <c r="Q2298" s="13">
        <f t="shared" si="73"/>
        <v>0</v>
      </c>
    </row>
    <row r="2299" spans="2:17" ht="15" customHeight="1">
      <c r="B2299" s="5" t="str">
        <f>_xlfn.IFNA(VLOOKUP(C2299,Master!$H:$I,2,FALSE),"")</f>
        <v/>
      </c>
      <c r="D2299" s="5" t="str">
        <f>_xlfn.IFNA(VLOOKUP(E2299,Master!$H:$I,2,FALSE),"")</f>
        <v/>
      </c>
      <c r="F2299" s="26" t="str">
        <f>+_xlfn.XLOOKUP(G2299,Master!$V$2:$V$8,Master!$U$2:$U$8,"")</f>
        <v/>
      </c>
      <c r="I2299" s="4" t="str">
        <f>_xlfn.IFNA(VLOOKUP(D2299,Master!$I:$K,2,FALSE),"")</f>
        <v/>
      </c>
      <c r="J2299" s="4" t="str">
        <f>_xlfn.IFNA(VLOOKUP(D2299,Master!$I:$K,3,FALSE),"")</f>
        <v/>
      </c>
      <c r="L2299" s="27" t="str">
        <f>IF(A2299&lt;&gt;"CFA",_xlfn.IFNA(VLOOKUP($G2299,Master!$V$2:$Z$8,5,0),""),"")</f>
        <v/>
      </c>
      <c r="P2299" s="6" t="str">
        <f t="shared" si="72"/>
        <v/>
      </c>
      <c r="Q2299" s="13">
        <f t="shared" si="73"/>
        <v>0</v>
      </c>
    </row>
    <row r="2300" spans="2:17" ht="15" customHeight="1">
      <c r="B2300" s="5" t="str">
        <f>_xlfn.IFNA(VLOOKUP(C2300,Master!$H:$I,2,FALSE),"")</f>
        <v/>
      </c>
      <c r="D2300" s="5" t="str">
        <f>_xlfn.IFNA(VLOOKUP(E2300,Master!$H:$I,2,FALSE),"")</f>
        <v/>
      </c>
      <c r="F2300" s="26" t="str">
        <f>+_xlfn.XLOOKUP(G2300,Master!$V$2:$V$8,Master!$U$2:$U$8,"")</f>
        <v/>
      </c>
      <c r="I2300" s="4" t="str">
        <f>_xlfn.IFNA(VLOOKUP(D2300,Master!$I:$K,2,FALSE),"")</f>
        <v/>
      </c>
      <c r="J2300" s="4" t="str">
        <f>_xlfn.IFNA(VLOOKUP(D2300,Master!$I:$K,3,FALSE),"")</f>
        <v/>
      </c>
      <c r="L2300" s="27" t="str">
        <f>IF(A2300&lt;&gt;"CFA",_xlfn.IFNA(VLOOKUP($G2300,Master!$V$2:$Z$8,5,0),""),"")</f>
        <v/>
      </c>
      <c r="P2300" s="6" t="str">
        <f t="shared" si="72"/>
        <v/>
      </c>
      <c r="Q2300" s="13">
        <f t="shared" si="73"/>
        <v>0</v>
      </c>
    </row>
    <row r="2301" spans="2:17" ht="15" customHeight="1">
      <c r="B2301" s="5" t="str">
        <f>_xlfn.IFNA(VLOOKUP(C2301,Master!$H:$I,2,FALSE),"")</f>
        <v/>
      </c>
      <c r="D2301" s="5" t="str">
        <f>_xlfn.IFNA(VLOOKUP(E2301,Master!$H:$I,2,FALSE),"")</f>
        <v/>
      </c>
      <c r="F2301" s="26" t="str">
        <f>+_xlfn.XLOOKUP(G2301,Master!$V$2:$V$8,Master!$U$2:$U$8,"")</f>
        <v/>
      </c>
      <c r="I2301" s="4" t="str">
        <f>_xlfn.IFNA(VLOOKUP(D2301,Master!$I:$K,2,FALSE),"")</f>
        <v/>
      </c>
      <c r="J2301" s="4" t="str">
        <f>_xlfn.IFNA(VLOOKUP(D2301,Master!$I:$K,3,FALSE),"")</f>
        <v/>
      </c>
      <c r="L2301" s="27" t="str">
        <f>IF(A2301&lt;&gt;"CFA",_xlfn.IFNA(VLOOKUP($G2301,Master!$V$2:$Z$8,5,0),""),"")</f>
        <v/>
      </c>
      <c r="P2301" s="6" t="str">
        <f t="shared" si="72"/>
        <v/>
      </c>
      <c r="Q2301" s="13">
        <f t="shared" si="73"/>
        <v>0</v>
      </c>
    </row>
    <row r="2302" spans="2:17" ht="15" customHeight="1">
      <c r="B2302" s="5" t="str">
        <f>_xlfn.IFNA(VLOOKUP(C2302,Master!$H:$I,2,FALSE),"")</f>
        <v/>
      </c>
      <c r="D2302" s="5" t="str">
        <f>_xlfn.IFNA(VLOOKUP(E2302,Master!$H:$I,2,FALSE),"")</f>
        <v/>
      </c>
      <c r="F2302" s="26" t="str">
        <f>+_xlfn.XLOOKUP(G2302,Master!$V$2:$V$8,Master!$U$2:$U$8,"")</f>
        <v/>
      </c>
      <c r="I2302" s="4" t="str">
        <f>_xlfn.IFNA(VLOOKUP(D2302,Master!$I:$K,2,FALSE),"")</f>
        <v/>
      </c>
      <c r="J2302" s="4" t="str">
        <f>_xlfn.IFNA(VLOOKUP(D2302,Master!$I:$K,3,FALSE),"")</f>
        <v/>
      </c>
      <c r="L2302" s="27" t="str">
        <f>IF(A2302&lt;&gt;"CFA",_xlfn.IFNA(VLOOKUP($G2302,Master!$V$2:$Z$8,5,0),""),"")</f>
        <v/>
      </c>
      <c r="P2302" s="6" t="str">
        <f t="shared" si="72"/>
        <v/>
      </c>
      <c r="Q2302" s="13">
        <f t="shared" si="73"/>
        <v>0</v>
      </c>
    </row>
    <row r="2303" spans="2:17" ht="15" customHeight="1">
      <c r="B2303" s="5" t="str">
        <f>_xlfn.IFNA(VLOOKUP(C2303,Master!$H:$I,2,FALSE),"")</f>
        <v/>
      </c>
      <c r="D2303" s="5" t="str">
        <f>_xlfn.IFNA(VLOOKUP(E2303,Master!$H:$I,2,FALSE),"")</f>
        <v/>
      </c>
      <c r="F2303" s="26" t="str">
        <f>+_xlfn.XLOOKUP(G2303,Master!$V$2:$V$8,Master!$U$2:$U$8,"")</f>
        <v/>
      </c>
      <c r="I2303" s="4" t="str">
        <f>_xlfn.IFNA(VLOOKUP(D2303,Master!$I:$K,2,FALSE),"")</f>
        <v/>
      </c>
      <c r="J2303" s="4" t="str">
        <f>_xlfn.IFNA(VLOOKUP(D2303,Master!$I:$K,3,FALSE),"")</f>
        <v/>
      </c>
      <c r="L2303" s="27" t="str">
        <f>IF(A2303&lt;&gt;"CFA",_xlfn.IFNA(VLOOKUP($G2303,Master!$V$2:$Z$8,5,0),""),"")</f>
        <v/>
      </c>
      <c r="P2303" s="6" t="str">
        <f t="shared" si="72"/>
        <v/>
      </c>
      <c r="Q2303" s="13">
        <f t="shared" si="73"/>
        <v>0</v>
      </c>
    </row>
    <row r="2304" spans="2:17" ht="15" customHeight="1">
      <c r="B2304" s="5" t="str">
        <f>_xlfn.IFNA(VLOOKUP(C2304,Master!$H:$I,2,FALSE),"")</f>
        <v/>
      </c>
      <c r="D2304" s="5" t="str">
        <f>_xlfn.IFNA(VLOOKUP(E2304,Master!$H:$I,2,FALSE),"")</f>
        <v/>
      </c>
      <c r="F2304" s="26" t="str">
        <f>+_xlfn.XLOOKUP(G2304,Master!$V$2:$V$8,Master!$U$2:$U$8,"")</f>
        <v/>
      </c>
      <c r="I2304" s="4" t="str">
        <f>_xlfn.IFNA(VLOOKUP(D2304,Master!$I:$K,2,FALSE),"")</f>
        <v/>
      </c>
      <c r="J2304" s="4" t="str">
        <f>_xlfn.IFNA(VLOOKUP(D2304,Master!$I:$K,3,FALSE),"")</f>
        <v/>
      </c>
      <c r="L2304" s="27" t="str">
        <f>IF(A2304&lt;&gt;"CFA",_xlfn.IFNA(VLOOKUP($G2304,Master!$V$2:$Z$8,5,0),""),"")</f>
        <v/>
      </c>
      <c r="P2304" s="6" t="str">
        <f t="shared" si="72"/>
        <v/>
      </c>
      <c r="Q2304" s="13">
        <f t="shared" si="73"/>
        <v>0</v>
      </c>
    </row>
    <row r="2305" spans="2:17" ht="15" customHeight="1">
      <c r="B2305" s="5" t="str">
        <f>_xlfn.IFNA(VLOOKUP(C2305,Master!$H:$I,2,FALSE),"")</f>
        <v/>
      </c>
      <c r="D2305" s="5" t="str">
        <f>_xlfn.IFNA(VLOOKUP(E2305,Master!$H:$I,2,FALSE),"")</f>
        <v/>
      </c>
      <c r="F2305" s="26" t="str">
        <f>+_xlfn.XLOOKUP(G2305,Master!$V$2:$V$8,Master!$U$2:$U$8,"")</f>
        <v/>
      </c>
      <c r="I2305" s="4" t="str">
        <f>_xlfn.IFNA(VLOOKUP(D2305,Master!$I:$K,2,FALSE),"")</f>
        <v/>
      </c>
      <c r="J2305" s="4" t="str">
        <f>_xlfn.IFNA(VLOOKUP(D2305,Master!$I:$K,3,FALSE),"")</f>
        <v/>
      </c>
      <c r="L2305" s="27" t="str">
        <f>IF(A2305&lt;&gt;"CFA",_xlfn.IFNA(VLOOKUP($G2305,Master!$V$2:$Z$8,5,0),""),"")</f>
        <v/>
      </c>
      <c r="P2305" s="6" t="str">
        <f t="shared" si="72"/>
        <v/>
      </c>
      <c r="Q2305" s="13">
        <f t="shared" si="73"/>
        <v>0</v>
      </c>
    </row>
    <row r="2306" spans="2:17" ht="15" customHeight="1">
      <c r="B2306" s="5" t="str">
        <f>_xlfn.IFNA(VLOOKUP(C2306,Master!$H:$I,2,FALSE),"")</f>
        <v/>
      </c>
      <c r="D2306" s="5" t="str">
        <f>_xlfn.IFNA(VLOOKUP(E2306,Master!$H:$I,2,FALSE),"")</f>
        <v/>
      </c>
      <c r="F2306" s="26" t="str">
        <f>+_xlfn.XLOOKUP(G2306,Master!$V$2:$V$8,Master!$U$2:$U$8,"")</f>
        <v/>
      </c>
      <c r="I2306" s="4" t="str">
        <f>_xlfn.IFNA(VLOOKUP(D2306,Master!$I:$K,2,FALSE),"")</f>
        <v/>
      </c>
      <c r="J2306" s="4" t="str">
        <f>_xlfn.IFNA(VLOOKUP(D2306,Master!$I:$K,3,FALSE),"")</f>
        <v/>
      </c>
      <c r="L2306" s="27" t="str">
        <f>IF(A2306&lt;&gt;"CFA",_xlfn.IFNA(VLOOKUP($G2306,Master!$V$2:$Z$8,5,0),""),"")</f>
        <v/>
      </c>
      <c r="P2306" s="6" t="str">
        <f t="shared" si="72"/>
        <v/>
      </c>
      <c r="Q2306" s="13">
        <f t="shared" si="73"/>
        <v>0</v>
      </c>
    </row>
    <row r="2307" spans="2:17" ht="15" customHeight="1">
      <c r="B2307" s="5" t="str">
        <f>_xlfn.IFNA(VLOOKUP(C2307,Master!$H:$I,2,FALSE),"")</f>
        <v/>
      </c>
      <c r="D2307" s="5" t="str">
        <f>_xlfn.IFNA(VLOOKUP(E2307,Master!$H:$I,2,FALSE),"")</f>
        <v/>
      </c>
      <c r="F2307" s="26" t="str">
        <f>+_xlfn.XLOOKUP(G2307,Master!$V$2:$V$8,Master!$U$2:$U$8,"")</f>
        <v/>
      </c>
      <c r="I2307" s="4" t="str">
        <f>_xlfn.IFNA(VLOOKUP(D2307,Master!$I:$K,2,FALSE),"")</f>
        <v/>
      </c>
      <c r="J2307" s="4" t="str">
        <f>_xlfn.IFNA(VLOOKUP(D2307,Master!$I:$K,3,FALSE),"")</f>
        <v/>
      </c>
      <c r="L2307" s="27" t="str">
        <f>IF(A2307&lt;&gt;"CFA",_xlfn.IFNA(VLOOKUP($G2307,Master!$V$2:$Z$8,5,0),""),"")</f>
        <v/>
      </c>
      <c r="P2307" s="6" t="str">
        <f t="shared" si="72"/>
        <v/>
      </c>
      <c r="Q2307" s="13">
        <f t="shared" si="73"/>
        <v>0</v>
      </c>
    </row>
    <row r="2308" spans="2:17" ht="15" customHeight="1">
      <c r="B2308" s="5" t="str">
        <f>_xlfn.IFNA(VLOOKUP(C2308,Master!$H:$I,2,FALSE),"")</f>
        <v/>
      </c>
      <c r="D2308" s="5" t="str">
        <f>_xlfn.IFNA(VLOOKUP(E2308,Master!$H:$I,2,FALSE),"")</f>
        <v/>
      </c>
      <c r="F2308" s="26" t="str">
        <f>+_xlfn.XLOOKUP(G2308,Master!$V$2:$V$8,Master!$U$2:$U$8,"")</f>
        <v/>
      </c>
      <c r="I2308" s="4" t="str">
        <f>_xlfn.IFNA(VLOOKUP(D2308,Master!$I:$K,2,FALSE),"")</f>
        <v/>
      </c>
      <c r="J2308" s="4" t="str">
        <f>_xlfn.IFNA(VLOOKUP(D2308,Master!$I:$K,3,FALSE),"")</f>
        <v/>
      </c>
      <c r="L2308" s="27" t="str">
        <f>IF(A2308&lt;&gt;"CFA",_xlfn.IFNA(VLOOKUP($G2308,Master!$V$2:$Z$8,5,0),""),"")</f>
        <v/>
      </c>
      <c r="P2308" s="6" t="str">
        <f t="shared" si="72"/>
        <v/>
      </c>
      <c r="Q2308" s="13">
        <f t="shared" si="73"/>
        <v>0</v>
      </c>
    </row>
    <row r="2309" spans="2:17" ht="15" customHeight="1">
      <c r="B2309" s="5" t="str">
        <f>_xlfn.IFNA(VLOOKUP(C2309,Master!$H:$I,2,FALSE),"")</f>
        <v/>
      </c>
      <c r="D2309" s="5" t="str">
        <f>_xlfn.IFNA(VLOOKUP(E2309,Master!$H:$I,2,FALSE),"")</f>
        <v/>
      </c>
      <c r="F2309" s="26" t="str">
        <f>+_xlfn.XLOOKUP(G2309,Master!$V$2:$V$8,Master!$U$2:$U$8,"")</f>
        <v/>
      </c>
      <c r="I2309" s="4" t="str">
        <f>_xlfn.IFNA(VLOOKUP(D2309,Master!$I:$K,2,FALSE),"")</f>
        <v/>
      </c>
      <c r="J2309" s="4" t="str">
        <f>_xlfn.IFNA(VLOOKUP(D2309,Master!$I:$K,3,FALSE),"")</f>
        <v/>
      </c>
      <c r="L2309" s="27" t="str">
        <f>IF(A2309&lt;&gt;"CFA",_xlfn.IFNA(VLOOKUP($G2309,Master!$V$2:$Z$8,5,0),""),"")</f>
        <v/>
      </c>
      <c r="P2309" s="6" t="str">
        <f t="shared" si="72"/>
        <v/>
      </c>
      <c r="Q2309" s="13">
        <f t="shared" si="73"/>
        <v>0</v>
      </c>
    </row>
    <row r="2310" spans="2:17" ht="15" customHeight="1">
      <c r="B2310" s="5" t="str">
        <f>_xlfn.IFNA(VLOOKUP(C2310,Master!$H:$I,2,FALSE),"")</f>
        <v/>
      </c>
      <c r="D2310" s="5" t="str">
        <f>_xlfn.IFNA(VLOOKUP(E2310,Master!$H:$I,2,FALSE),"")</f>
        <v/>
      </c>
      <c r="F2310" s="26" t="str">
        <f>+_xlfn.XLOOKUP(G2310,Master!$V$2:$V$8,Master!$U$2:$U$8,"")</f>
        <v/>
      </c>
      <c r="I2310" s="4" t="str">
        <f>_xlfn.IFNA(VLOOKUP(D2310,Master!$I:$K,2,FALSE),"")</f>
        <v/>
      </c>
      <c r="J2310" s="4" t="str">
        <f>_xlfn.IFNA(VLOOKUP(D2310,Master!$I:$K,3,FALSE),"")</f>
        <v/>
      </c>
      <c r="L2310" s="27" t="str">
        <f>IF(A2310&lt;&gt;"CFA",_xlfn.IFNA(VLOOKUP($G2310,Master!$V$2:$Z$8,5,0),""),"")</f>
        <v/>
      </c>
      <c r="P2310" s="6" t="str">
        <f t="shared" si="72"/>
        <v/>
      </c>
      <c r="Q2310" s="13">
        <f t="shared" si="73"/>
        <v>0</v>
      </c>
    </row>
    <row r="2311" spans="2:17" ht="15" customHeight="1">
      <c r="B2311" s="5" t="str">
        <f>_xlfn.IFNA(VLOOKUP(C2311,Master!$H:$I,2,FALSE),"")</f>
        <v/>
      </c>
      <c r="D2311" s="5" t="str">
        <f>_xlfn.IFNA(VLOOKUP(E2311,Master!$H:$I,2,FALSE),"")</f>
        <v/>
      </c>
      <c r="F2311" s="26" t="str">
        <f>+_xlfn.XLOOKUP(G2311,Master!$V$2:$V$8,Master!$U$2:$U$8,"")</f>
        <v/>
      </c>
      <c r="I2311" s="4" t="str">
        <f>_xlfn.IFNA(VLOOKUP(D2311,Master!$I:$K,2,FALSE),"")</f>
        <v/>
      </c>
      <c r="J2311" s="4" t="str">
        <f>_xlfn.IFNA(VLOOKUP(D2311,Master!$I:$K,3,FALSE),"")</f>
        <v/>
      </c>
      <c r="L2311" s="27" t="str">
        <f>IF(A2311&lt;&gt;"CFA",_xlfn.IFNA(VLOOKUP($G2311,Master!$V$2:$Z$8,5,0),""),"")</f>
        <v/>
      </c>
      <c r="P2311" s="6" t="str">
        <f t="shared" si="72"/>
        <v/>
      </c>
      <c r="Q2311" s="13">
        <f t="shared" si="73"/>
        <v>0</v>
      </c>
    </row>
    <row r="2312" spans="2:17" ht="15" customHeight="1">
      <c r="B2312" s="5" t="str">
        <f>_xlfn.IFNA(VLOOKUP(C2312,Master!$H:$I,2,FALSE),"")</f>
        <v/>
      </c>
      <c r="D2312" s="5" t="str">
        <f>_xlfn.IFNA(VLOOKUP(E2312,Master!$H:$I,2,FALSE),"")</f>
        <v/>
      </c>
      <c r="F2312" s="26" t="str">
        <f>+_xlfn.XLOOKUP(G2312,Master!$V$2:$V$8,Master!$U$2:$U$8,"")</f>
        <v/>
      </c>
      <c r="I2312" s="4" t="str">
        <f>_xlfn.IFNA(VLOOKUP(D2312,Master!$I:$K,2,FALSE),"")</f>
        <v/>
      </c>
      <c r="J2312" s="4" t="str">
        <f>_xlfn.IFNA(VLOOKUP(D2312,Master!$I:$K,3,FALSE),"")</f>
        <v/>
      </c>
      <c r="L2312" s="27" t="str">
        <f>IF(A2312&lt;&gt;"CFA",_xlfn.IFNA(VLOOKUP($G2312,Master!$V$2:$Z$8,5,0),""),"")</f>
        <v/>
      </c>
      <c r="P2312" s="6" t="str">
        <f t="shared" si="72"/>
        <v/>
      </c>
      <c r="Q2312" s="13">
        <f t="shared" si="73"/>
        <v>0</v>
      </c>
    </row>
    <row r="2313" spans="2:17" ht="15" customHeight="1">
      <c r="B2313" s="5" t="str">
        <f>_xlfn.IFNA(VLOOKUP(C2313,Master!$H:$I,2,FALSE),"")</f>
        <v/>
      </c>
      <c r="D2313" s="5" t="str">
        <f>_xlfn.IFNA(VLOOKUP(E2313,Master!$H:$I,2,FALSE),"")</f>
        <v/>
      </c>
      <c r="F2313" s="26" t="str">
        <f>+_xlfn.XLOOKUP(G2313,Master!$V$2:$V$8,Master!$U$2:$U$8,"")</f>
        <v/>
      </c>
      <c r="I2313" s="4" t="str">
        <f>_xlfn.IFNA(VLOOKUP(D2313,Master!$I:$K,2,FALSE),"")</f>
        <v/>
      </c>
      <c r="J2313" s="4" t="str">
        <f>_xlfn.IFNA(VLOOKUP(D2313,Master!$I:$K,3,FALSE),"")</f>
        <v/>
      </c>
      <c r="L2313" s="27" t="str">
        <f>IF(A2313&lt;&gt;"CFA",_xlfn.IFNA(VLOOKUP($G2313,Master!$V$2:$Z$8,5,0),""),"")</f>
        <v/>
      </c>
      <c r="P2313" s="6" t="str">
        <f t="shared" si="72"/>
        <v/>
      </c>
      <c r="Q2313" s="13">
        <f t="shared" si="73"/>
        <v>0</v>
      </c>
    </row>
    <row r="2314" spans="2:17" ht="15" customHeight="1">
      <c r="B2314" s="5" t="str">
        <f>_xlfn.IFNA(VLOOKUP(C2314,Master!$H:$I,2,FALSE),"")</f>
        <v/>
      </c>
      <c r="D2314" s="5" t="str">
        <f>_xlfn.IFNA(VLOOKUP(E2314,Master!$H:$I,2,FALSE),"")</f>
        <v/>
      </c>
      <c r="F2314" s="26" t="str">
        <f>+_xlfn.XLOOKUP(G2314,Master!$V$2:$V$8,Master!$U$2:$U$8,"")</f>
        <v/>
      </c>
      <c r="I2314" s="4" t="str">
        <f>_xlfn.IFNA(VLOOKUP(D2314,Master!$I:$K,2,FALSE),"")</f>
        <v/>
      </c>
      <c r="J2314" s="4" t="str">
        <f>_xlfn.IFNA(VLOOKUP(D2314,Master!$I:$K,3,FALSE),"")</f>
        <v/>
      </c>
      <c r="L2314" s="27" t="str">
        <f>IF(A2314&lt;&gt;"CFA",_xlfn.IFNA(VLOOKUP($G2314,Master!$V$2:$Z$8,5,0),""),"")</f>
        <v/>
      </c>
      <c r="P2314" s="6" t="str">
        <f t="shared" si="72"/>
        <v/>
      </c>
      <c r="Q2314" s="13">
        <f t="shared" si="73"/>
        <v>0</v>
      </c>
    </row>
    <row r="2315" spans="2:17" ht="15" customHeight="1">
      <c r="B2315" s="5" t="str">
        <f>_xlfn.IFNA(VLOOKUP(C2315,Master!$H:$I,2,FALSE),"")</f>
        <v/>
      </c>
      <c r="D2315" s="5" t="str">
        <f>_xlfn.IFNA(VLOOKUP(E2315,Master!$H:$I,2,FALSE),"")</f>
        <v/>
      </c>
      <c r="F2315" s="26" t="str">
        <f>+_xlfn.XLOOKUP(G2315,Master!$V$2:$V$8,Master!$U$2:$U$8,"")</f>
        <v/>
      </c>
      <c r="I2315" s="4" t="str">
        <f>_xlfn.IFNA(VLOOKUP(D2315,Master!$I:$K,2,FALSE),"")</f>
        <v/>
      </c>
      <c r="J2315" s="4" t="str">
        <f>_xlfn.IFNA(VLOOKUP(D2315,Master!$I:$K,3,FALSE),"")</f>
        <v/>
      </c>
      <c r="L2315" s="27" t="str">
        <f>IF(A2315&lt;&gt;"CFA",_xlfn.IFNA(VLOOKUP($G2315,Master!$V$2:$Z$8,5,0),""),"")</f>
        <v/>
      </c>
      <c r="P2315" s="6" t="str">
        <f t="shared" si="72"/>
        <v/>
      </c>
      <c r="Q2315" s="13">
        <f t="shared" si="73"/>
        <v>0</v>
      </c>
    </row>
    <row r="2316" spans="2:17" ht="15" customHeight="1">
      <c r="B2316" s="5" t="str">
        <f>_xlfn.IFNA(VLOOKUP(C2316,Master!$H:$I,2,FALSE),"")</f>
        <v/>
      </c>
      <c r="D2316" s="5" t="str">
        <f>_xlfn.IFNA(VLOOKUP(E2316,Master!$H:$I,2,FALSE),"")</f>
        <v/>
      </c>
      <c r="F2316" s="26" t="str">
        <f>+_xlfn.XLOOKUP(G2316,Master!$V$2:$V$8,Master!$U$2:$U$8,"")</f>
        <v/>
      </c>
      <c r="I2316" s="4" t="str">
        <f>_xlfn.IFNA(VLOOKUP(D2316,Master!$I:$K,2,FALSE),"")</f>
        <v/>
      </c>
      <c r="J2316" s="4" t="str">
        <f>_xlfn.IFNA(VLOOKUP(D2316,Master!$I:$K,3,FALSE),"")</f>
        <v/>
      </c>
      <c r="L2316" s="27" t="str">
        <f>IF(A2316&lt;&gt;"CFA",_xlfn.IFNA(VLOOKUP($G2316,Master!$V$2:$Z$8,5,0),""),"")</f>
        <v/>
      </c>
      <c r="P2316" s="6" t="str">
        <f t="shared" si="72"/>
        <v/>
      </c>
      <c r="Q2316" s="13">
        <f t="shared" si="73"/>
        <v>0</v>
      </c>
    </row>
    <row r="2317" spans="2:17" ht="15" customHeight="1">
      <c r="B2317" s="5" t="str">
        <f>_xlfn.IFNA(VLOOKUP(C2317,Master!$H:$I,2,FALSE),"")</f>
        <v/>
      </c>
      <c r="D2317" s="5" t="str">
        <f>_xlfn.IFNA(VLOOKUP(E2317,Master!$H:$I,2,FALSE),"")</f>
        <v/>
      </c>
      <c r="F2317" s="26" t="str">
        <f>+_xlfn.XLOOKUP(G2317,Master!$V$2:$V$8,Master!$U$2:$U$8,"")</f>
        <v/>
      </c>
      <c r="I2317" s="4" t="str">
        <f>_xlfn.IFNA(VLOOKUP(D2317,Master!$I:$K,2,FALSE),"")</f>
        <v/>
      </c>
      <c r="J2317" s="4" t="str">
        <f>_xlfn.IFNA(VLOOKUP(D2317,Master!$I:$K,3,FALSE),"")</f>
        <v/>
      </c>
      <c r="L2317" s="27" t="str">
        <f>IF(A2317&lt;&gt;"CFA",_xlfn.IFNA(VLOOKUP($G2317,Master!$V$2:$Z$8,5,0),""),"")</f>
        <v/>
      </c>
      <c r="P2317" s="6" t="str">
        <f t="shared" si="72"/>
        <v/>
      </c>
      <c r="Q2317" s="13">
        <f t="shared" si="73"/>
        <v>0</v>
      </c>
    </row>
    <row r="2318" spans="2:17" ht="15" customHeight="1">
      <c r="B2318" s="5" t="str">
        <f>_xlfn.IFNA(VLOOKUP(C2318,Master!$H:$I,2,FALSE),"")</f>
        <v/>
      </c>
      <c r="D2318" s="5" t="str">
        <f>_xlfn.IFNA(VLOOKUP(E2318,Master!$H:$I,2,FALSE),"")</f>
        <v/>
      </c>
      <c r="F2318" s="26" t="str">
        <f>+_xlfn.XLOOKUP(G2318,Master!$V$2:$V$8,Master!$U$2:$U$8,"")</f>
        <v/>
      </c>
      <c r="I2318" s="4" t="str">
        <f>_xlfn.IFNA(VLOOKUP(D2318,Master!$I:$K,2,FALSE),"")</f>
        <v/>
      </c>
      <c r="J2318" s="4" t="str">
        <f>_xlfn.IFNA(VLOOKUP(D2318,Master!$I:$K,3,FALSE),"")</f>
        <v/>
      </c>
      <c r="L2318" s="27" t="str">
        <f>IF(A2318&lt;&gt;"CFA",_xlfn.IFNA(VLOOKUP($G2318,Master!$V$2:$Z$8,5,0),""),"")</f>
        <v/>
      </c>
      <c r="P2318" s="6" t="str">
        <f t="shared" si="72"/>
        <v/>
      </c>
      <c r="Q2318" s="13">
        <f t="shared" si="73"/>
        <v>0</v>
      </c>
    </row>
    <row r="2319" spans="2:17" ht="15" customHeight="1">
      <c r="B2319" s="5" t="str">
        <f>_xlfn.IFNA(VLOOKUP(C2319,Master!$H:$I,2,FALSE),"")</f>
        <v/>
      </c>
      <c r="D2319" s="5" t="str">
        <f>_xlfn.IFNA(VLOOKUP(E2319,Master!$H:$I,2,FALSE),"")</f>
        <v/>
      </c>
      <c r="F2319" s="26" t="str">
        <f>+_xlfn.XLOOKUP(G2319,Master!$V$2:$V$8,Master!$U$2:$U$8,"")</f>
        <v/>
      </c>
      <c r="I2319" s="4" t="str">
        <f>_xlfn.IFNA(VLOOKUP(D2319,Master!$I:$K,2,FALSE),"")</f>
        <v/>
      </c>
      <c r="J2319" s="4" t="str">
        <f>_xlfn.IFNA(VLOOKUP(D2319,Master!$I:$K,3,FALSE),"")</f>
        <v/>
      </c>
      <c r="L2319" s="27" t="str">
        <f>IF(A2319&lt;&gt;"CFA",_xlfn.IFNA(VLOOKUP($G2319,Master!$V$2:$Z$8,5,0),""),"")</f>
        <v/>
      </c>
      <c r="P2319" s="6" t="str">
        <f t="shared" si="72"/>
        <v/>
      </c>
      <c r="Q2319" s="13">
        <f t="shared" si="73"/>
        <v>0</v>
      </c>
    </row>
    <row r="2320" spans="2:17" ht="15" customHeight="1">
      <c r="B2320" s="5" t="str">
        <f>_xlfn.IFNA(VLOOKUP(C2320,Master!$H:$I,2,FALSE),"")</f>
        <v/>
      </c>
      <c r="D2320" s="5" t="str">
        <f>_xlfn.IFNA(VLOOKUP(E2320,Master!$H:$I,2,FALSE),"")</f>
        <v/>
      </c>
      <c r="F2320" s="26" t="str">
        <f>+_xlfn.XLOOKUP(G2320,Master!$V$2:$V$8,Master!$U$2:$U$8,"")</f>
        <v/>
      </c>
      <c r="I2320" s="4" t="str">
        <f>_xlfn.IFNA(VLOOKUP(D2320,Master!$I:$K,2,FALSE),"")</f>
        <v/>
      </c>
      <c r="J2320" s="4" t="str">
        <f>_xlfn.IFNA(VLOOKUP(D2320,Master!$I:$K,3,FALSE),"")</f>
        <v/>
      </c>
      <c r="L2320" s="27" t="str">
        <f>IF(A2320&lt;&gt;"CFA",_xlfn.IFNA(VLOOKUP($G2320,Master!$V$2:$Z$8,5,0),""),"")</f>
        <v/>
      </c>
      <c r="P2320" s="6" t="str">
        <f t="shared" si="72"/>
        <v/>
      </c>
      <c r="Q2320" s="13">
        <f t="shared" si="73"/>
        <v>0</v>
      </c>
    </row>
    <row r="2321" spans="2:17" ht="15" customHeight="1">
      <c r="B2321" s="5" t="str">
        <f>_xlfn.IFNA(VLOOKUP(C2321,Master!$H:$I,2,FALSE),"")</f>
        <v/>
      </c>
      <c r="D2321" s="5" t="str">
        <f>_xlfn.IFNA(VLOOKUP(E2321,Master!$H:$I,2,FALSE),"")</f>
        <v/>
      </c>
      <c r="F2321" s="26" t="str">
        <f>+_xlfn.XLOOKUP(G2321,Master!$V$2:$V$8,Master!$U$2:$U$8,"")</f>
        <v/>
      </c>
      <c r="I2321" s="4" t="str">
        <f>_xlfn.IFNA(VLOOKUP(D2321,Master!$I:$K,2,FALSE),"")</f>
        <v/>
      </c>
      <c r="J2321" s="4" t="str">
        <f>_xlfn.IFNA(VLOOKUP(D2321,Master!$I:$K,3,FALSE),"")</f>
        <v/>
      </c>
      <c r="L2321" s="27" t="str">
        <f>IF(A2321&lt;&gt;"CFA",_xlfn.IFNA(VLOOKUP($G2321,Master!$V$2:$Z$8,5,0),""),"")</f>
        <v/>
      </c>
      <c r="P2321" s="6" t="str">
        <f t="shared" si="72"/>
        <v/>
      </c>
      <c r="Q2321" s="13">
        <f t="shared" si="73"/>
        <v>0</v>
      </c>
    </row>
    <row r="2322" spans="2:17" ht="15" customHeight="1">
      <c r="B2322" s="5" t="str">
        <f>_xlfn.IFNA(VLOOKUP(C2322,Master!$H:$I,2,FALSE),"")</f>
        <v/>
      </c>
      <c r="D2322" s="5" t="str">
        <f>_xlfn.IFNA(VLOOKUP(E2322,Master!$H:$I,2,FALSE),"")</f>
        <v/>
      </c>
      <c r="F2322" s="26" t="str">
        <f>+_xlfn.XLOOKUP(G2322,Master!$V$2:$V$8,Master!$U$2:$U$8,"")</f>
        <v/>
      </c>
      <c r="I2322" s="4" t="str">
        <f>_xlfn.IFNA(VLOOKUP(D2322,Master!$I:$K,2,FALSE),"")</f>
        <v/>
      </c>
      <c r="J2322" s="4" t="str">
        <f>_xlfn.IFNA(VLOOKUP(D2322,Master!$I:$K,3,FALSE),"")</f>
        <v/>
      </c>
      <c r="L2322" s="27" t="str">
        <f>IF(A2322&lt;&gt;"CFA",_xlfn.IFNA(VLOOKUP($G2322,Master!$V$2:$Z$8,5,0),""),"")</f>
        <v/>
      </c>
      <c r="P2322" s="6" t="str">
        <f t="shared" si="72"/>
        <v/>
      </c>
      <c r="Q2322" s="13">
        <f t="shared" si="73"/>
        <v>0</v>
      </c>
    </row>
    <row r="2323" spans="2:17" ht="15" customHeight="1">
      <c r="B2323" s="5" t="str">
        <f>_xlfn.IFNA(VLOOKUP(C2323,Master!$H:$I,2,FALSE),"")</f>
        <v/>
      </c>
      <c r="D2323" s="5" t="str">
        <f>_xlfn.IFNA(VLOOKUP(E2323,Master!$H:$I,2,FALSE),"")</f>
        <v/>
      </c>
      <c r="F2323" s="26" t="str">
        <f>+_xlfn.XLOOKUP(G2323,Master!$V$2:$V$8,Master!$U$2:$U$8,"")</f>
        <v/>
      </c>
      <c r="I2323" s="4" t="str">
        <f>_xlfn.IFNA(VLOOKUP(D2323,Master!$I:$K,2,FALSE),"")</f>
        <v/>
      </c>
      <c r="J2323" s="4" t="str">
        <f>_xlfn.IFNA(VLOOKUP(D2323,Master!$I:$K,3,FALSE),"")</f>
        <v/>
      </c>
      <c r="L2323" s="27" t="str">
        <f>IF(A2323&lt;&gt;"CFA",_xlfn.IFNA(VLOOKUP($G2323,Master!$V$2:$Z$8,5,0),""),"")</f>
        <v/>
      </c>
      <c r="P2323" s="6" t="str">
        <f t="shared" si="72"/>
        <v/>
      </c>
      <c r="Q2323" s="13">
        <f t="shared" si="73"/>
        <v>0</v>
      </c>
    </row>
    <row r="2324" spans="2:17" ht="15" customHeight="1">
      <c r="B2324" s="5" t="str">
        <f>_xlfn.IFNA(VLOOKUP(C2324,Master!$H:$I,2,FALSE),"")</f>
        <v/>
      </c>
      <c r="D2324" s="5" t="str">
        <f>_xlfn.IFNA(VLOOKUP(E2324,Master!$H:$I,2,FALSE),"")</f>
        <v/>
      </c>
      <c r="F2324" s="26" t="str">
        <f>+_xlfn.XLOOKUP(G2324,Master!$V$2:$V$8,Master!$U$2:$U$8,"")</f>
        <v/>
      </c>
      <c r="I2324" s="4" t="str">
        <f>_xlfn.IFNA(VLOOKUP(D2324,Master!$I:$K,2,FALSE),"")</f>
        <v/>
      </c>
      <c r="J2324" s="4" t="str">
        <f>_xlfn.IFNA(VLOOKUP(D2324,Master!$I:$K,3,FALSE),"")</f>
        <v/>
      </c>
      <c r="L2324" s="27" t="str">
        <f>IF(A2324&lt;&gt;"CFA",_xlfn.IFNA(VLOOKUP($G2324,Master!$V$2:$Z$8,5,0),""),"")</f>
        <v/>
      </c>
      <c r="P2324" s="6" t="str">
        <f t="shared" si="72"/>
        <v/>
      </c>
      <c r="Q2324" s="13">
        <f t="shared" si="73"/>
        <v>0</v>
      </c>
    </row>
    <row r="2325" spans="2:17" ht="15" customHeight="1">
      <c r="B2325" s="5" t="str">
        <f>_xlfn.IFNA(VLOOKUP(C2325,Master!$H:$I,2,FALSE),"")</f>
        <v/>
      </c>
      <c r="D2325" s="5" t="str">
        <f>_xlfn.IFNA(VLOOKUP(E2325,Master!$H:$I,2,FALSE),"")</f>
        <v/>
      </c>
      <c r="F2325" s="26" t="str">
        <f>+_xlfn.XLOOKUP(G2325,Master!$V$2:$V$8,Master!$U$2:$U$8,"")</f>
        <v/>
      </c>
      <c r="I2325" s="4" t="str">
        <f>_xlfn.IFNA(VLOOKUP(D2325,Master!$I:$K,2,FALSE),"")</f>
        <v/>
      </c>
      <c r="J2325" s="4" t="str">
        <f>_xlfn.IFNA(VLOOKUP(D2325,Master!$I:$K,3,FALSE),"")</f>
        <v/>
      </c>
      <c r="L2325" s="27" t="str">
        <f>IF(A2325&lt;&gt;"CFA",_xlfn.IFNA(VLOOKUP($G2325,Master!$V$2:$Z$8,5,0),""),"")</f>
        <v/>
      </c>
      <c r="P2325" s="6" t="str">
        <f t="shared" si="72"/>
        <v/>
      </c>
      <c r="Q2325" s="13">
        <f t="shared" si="73"/>
        <v>0</v>
      </c>
    </row>
    <row r="2326" spans="2:17" ht="15" customHeight="1">
      <c r="B2326" s="5" t="str">
        <f>_xlfn.IFNA(VLOOKUP(C2326,Master!$H:$I,2,FALSE),"")</f>
        <v/>
      </c>
      <c r="D2326" s="5" t="str">
        <f>_xlfn.IFNA(VLOOKUP(E2326,Master!$H:$I,2,FALSE),"")</f>
        <v/>
      </c>
      <c r="F2326" s="26" t="str">
        <f>+_xlfn.XLOOKUP(G2326,Master!$V$2:$V$8,Master!$U$2:$U$8,"")</f>
        <v/>
      </c>
      <c r="I2326" s="4" t="str">
        <f>_xlfn.IFNA(VLOOKUP(D2326,Master!$I:$K,2,FALSE),"")</f>
        <v/>
      </c>
      <c r="J2326" s="4" t="str">
        <f>_xlfn.IFNA(VLOOKUP(D2326,Master!$I:$K,3,FALSE),"")</f>
        <v/>
      </c>
      <c r="L2326" s="27" t="str">
        <f>IF(A2326&lt;&gt;"CFA",_xlfn.IFNA(VLOOKUP($G2326,Master!$V$2:$Z$8,5,0),""),"")</f>
        <v/>
      </c>
      <c r="P2326" s="6" t="str">
        <f t="shared" si="72"/>
        <v/>
      </c>
      <c r="Q2326" s="13">
        <f t="shared" si="73"/>
        <v>0</v>
      </c>
    </row>
    <row r="2327" spans="2:17" ht="15" customHeight="1">
      <c r="B2327" s="5" t="str">
        <f>_xlfn.IFNA(VLOOKUP(C2327,Master!$H:$I,2,FALSE),"")</f>
        <v/>
      </c>
      <c r="D2327" s="5" t="str">
        <f>_xlfn.IFNA(VLOOKUP(E2327,Master!$H:$I,2,FALSE),"")</f>
        <v/>
      </c>
      <c r="F2327" s="26" t="str">
        <f>+_xlfn.XLOOKUP(G2327,Master!$V$2:$V$8,Master!$U$2:$U$8,"")</f>
        <v/>
      </c>
      <c r="I2327" s="4" t="str">
        <f>_xlfn.IFNA(VLOOKUP(D2327,Master!$I:$K,2,FALSE),"")</f>
        <v/>
      </c>
      <c r="J2327" s="4" t="str">
        <f>_xlfn.IFNA(VLOOKUP(D2327,Master!$I:$K,3,FALSE),"")</f>
        <v/>
      </c>
      <c r="L2327" s="27" t="str">
        <f>IF(A2327&lt;&gt;"CFA",_xlfn.IFNA(VLOOKUP($G2327,Master!$V$2:$Z$8,5,0),""),"")</f>
        <v/>
      </c>
      <c r="P2327" s="6" t="str">
        <f t="shared" si="72"/>
        <v/>
      </c>
      <c r="Q2327" s="13">
        <f t="shared" si="73"/>
        <v>0</v>
      </c>
    </row>
    <row r="2328" spans="2:17" ht="15" customHeight="1">
      <c r="B2328" s="5" t="str">
        <f>_xlfn.IFNA(VLOOKUP(C2328,Master!$H:$I,2,FALSE),"")</f>
        <v/>
      </c>
      <c r="D2328" s="5" t="str">
        <f>_xlfn.IFNA(VLOOKUP(E2328,Master!$H:$I,2,FALSE),"")</f>
        <v/>
      </c>
      <c r="F2328" s="26" t="str">
        <f>+_xlfn.XLOOKUP(G2328,Master!$V$2:$V$8,Master!$U$2:$U$8,"")</f>
        <v/>
      </c>
      <c r="I2328" s="4" t="str">
        <f>_xlfn.IFNA(VLOOKUP(D2328,Master!$I:$K,2,FALSE),"")</f>
        <v/>
      </c>
      <c r="J2328" s="4" t="str">
        <f>_xlfn.IFNA(VLOOKUP(D2328,Master!$I:$K,3,FALSE),"")</f>
        <v/>
      </c>
      <c r="L2328" s="27" t="str">
        <f>IF(A2328&lt;&gt;"CFA",_xlfn.IFNA(VLOOKUP($G2328,Master!$V$2:$Z$8,5,0),""),"")</f>
        <v/>
      </c>
      <c r="P2328" s="6" t="str">
        <f t="shared" si="72"/>
        <v/>
      </c>
      <c r="Q2328" s="13">
        <f t="shared" si="73"/>
        <v>0</v>
      </c>
    </row>
    <row r="2329" spans="2:17" ht="15" customHeight="1">
      <c r="B2329" s="5" t="str">
        <f>_xlfn.IFNA(VLOOKUP(C2329,Master!$H:$I,2,FALSE),"")</f>
        <v/>
      </c>
      <c r="D2329" s="5" t="str">
        <f>_xlfn.IFNA(VLOOKUP(E2329,Master!$H:$I,2,FALSE),"")</f>
        <v/>
      </c>
      <c r="F2329" s="26" t="str">
        <f>+_xlfn.XLOOKUP(G2329,Master!$V$2:$V$8,Master!$U$2:$U$8,"")</f>
        <v/>
      </c>
      <c r="I2329" s="4" t="str">
        <f>_xlfn.IFNA(VLOOKUP(D2329,Master!$I:$K,2,FALSE),"")</f>
        <v/>
      </c>
      <c r="J2329" s="4" t="str">
        <f>_xlfn.IFNA(VLOOKUP(D2329,Master!$I:$K,3,FALSE),"")</f>
        <v/>
      </c>
      <c r="L2329" s="27" t="str">
        <f>IF(A2329&lt;&gt;"CFA",_xlfn.IFNA(VLOOKUP($G2329,Master!$V$2:$Z$8,5,0),""),"")</f>
        <v/>
      </c>
      <c r="P2329" s="6" t="str">
        <f t="shared" si="72"/>
        <v/>
      </c>
      <c r="Q2329" s="13">
        <f t="shared" si="73"/>
        <v>0</v>
      </c>
    </row>
    <row r="2330" spans="2:17" ht="15" customHeight="1">
      <c r="B2330" s="5" t="str">
        <f>_xlfn.IFNA(VLOOKUP(C2330,Master!$H:$I,2,FALSE),"")</f>
        <v/>
      </c>
      <c r="D2330" s="5" t="str">
        <f>_xlfn.IFNA(VLOOKUP(E2330,Master!$H:$I,2,FALSE),"")</f>
        <v/>
      </c>
      <c r="F2330" s="26" t="str">
        <f>+_xlfn.XLOOKUP(G2330,Master!$V$2:$V$8,Master!$U$2:$U$8,"")</f>
        <v/>
      </c>
      <c r="I2330" s="4" t="str">
        <f>_xlfn.IFNA(VLOOKUP(D2330,Master!$I:$K,2,FALSE),"")</f>
        <v/>
      </c>
      <c r="J2330" s="4" t="str">
        <f>_xlfn.IFNA(VLOOKUP(D2330,Master!$I:$K,3,FALSE),"")</f>
        <v/>
      </c>
      <c r="L2330" s="27" t="str">
        <f>IF(A2330&lt;&gt;"CFA",_xlfn.IFNA(VLOOKUP($G2330,Master!$V$2:$Z$8,5,0),""),"")</f>
        <v/>
      </c>
      <c r="P2330" s="6" t="str">
        <f t="shared" si="72"/>
        <v/>
      </c>
      <c r="Q2330" s="13">
        <f t="shared" si="73"/>
        <v>0</v>
      </c>
    </row>
    <row r="2331" spans="2:17" ht="15" customHeight="1">
      <c r="B2331" s="5" t="str">
        <f>_xlfn.IFNA(VLOOKUP(C2331,Master!$H:$I,2,FALSE),"")</f>
        <v/>
      </c>
      <c r="D2331" s="5" t="str">
        <f>_xlfn.IFNA(VLOOKUP(E2331,Master!$H:$I,2,FALSE),"")</f>
        <v/>
      </c>
      <c r="F2331" s="26" t="str">
        <f>+_xlfn.XLOOKUP(G2331,Master!$V$2:$V$8,Master!$U$2:$U$8,"")</f>
        <v/>
      </c>
      <c r="I2331" s="4" t="str">
        <f>_xlfn.IFNA(VLOOKUP(D2331,Master!$I:$K,2,FALSE),"")</f>
        <v/>
      </c>
      <c r="J2331" s="4" t="str">
        <f>_xlfn.IFNA(VLOOKUP(D2331,Master!$I:$K,3,FALSE),"")</f>
        <v/>
      </c>
      <c r="L2331" s="27" t="str">
        <f>IF(A2331&lt;&gt;"CFA",_xlfn.IFNA(VLOOKUP($G2331,Master!$V$2:$Z$8,5,0),""),"")</f>
        <v/>
      </c>
      <c r="P2331" s="6" t="str">
        <f t="shared" si="72"/>
        <v/>
      </c>
      <c r="Q2331" s="13">
        <f t="shared" si="73"/>
        <v>0</v>
      </c>
    </row>
    <row r="2332" spans="2:17" ht="15" customHeight="1">
      <c r="B2332" s="5" t="str">
        <f>_xlfn.IFNA(VLOOKUP(C2332,Master!$H:$I,2,FALSE),"")</f>
        <v/>
      </c>
      <c r="D2332" s="5" t="str">
        <f>_xlfn.IFNA(VLOOKUP(E2332,Master!$H:$I,2,FALSE),"")</f>
        <v/>
      </c>
      <c r="F2332" s="26" t="str">
        <f>+_xlfn.XLOOKUP(G2332,Master!$V$2:$V$8,Master!$U$2:$U$8,"")</f>
        <v/>
      </c>
      <c r="I2332" s="4" t="str">
        <f>_xlfn.IFNA(VLOOKUP(D2332,Master!$I:$K,2,FALSE),"")</f>
        <v/>
      </c>
      <c r="J2332" s="4" t="str">
        <f>_xlfn.IFNA(VLOOKUP(D2332,Master!$I:$K,3,FALSE),"")</f>
        <v/>
      </c>
      <c r="L2332" s="27" t="str">
        <f>IF(A2332&lt;&gt;"CFA",_xlfn.IFNA(VLOOKUP($G2332,Master!$V$2:$Z$8,5,0),""),"")</f>
        <v/>
      </c>
      <c r="P2332" s="6" t="str">
        <f t="shared" si="72"/>
        <v/>
      </c>
      <c r="Q2332" s="13">
        <f t="shared" si="73"/>
        <v>0</v>
      </c>
    </row>
    <row r="2333" spans="2:17" ht="15" customHeight="1">
      <c r="B2333" s="5" t="str">
        <f>_xlfn.IFNA(VLOOKUP(C2333,Master!$H:$I,2,FALSE),"")</f>
        <v/>
      </c>
      <c r="D2333" s="5" t="str">
        <f>_xlfn.IFNA(VLOOKUP(E2333,Master!$H:$I,2,FALSE),"")</f>
        <v/>
      </c>
      <c r="F2333" s="26" t="str">
        <f>+_xlfn.XLOOKUP(G2333,Master!$V$2:$V$8,Master!$U$2:$U$8,"")</f>
        <v/>
      </c>
      <c r="I2333" s="4" t="str">
        <f>_xlfn.IFNA(VLOOKUP(D2333,Master!$I:$K,2,FALSE),"")</f>
        <v/>
      </c>
      <c r="J2333" s="4" t="str">
        <f>_xlfn.IFNA(VLOOKUP(D2333,Master!$I:$K,3,FALSE),"")</f>
        <v/>
      </c>
      <c r="L2333" s="27" t="str">
        <f>IF(A2333&lt;&gt;"CFA",_xlfn.IFNA(VLOOKUP($G2333,Master!$V$2:$Z$8,5,0),""),"")</f>
        <v/>
      </c>
      <c r="P2333" s="6" t="str">
        <f t="shared" si="72"/>
        <v/>
      </c>
      <c r="Q2333" s="13">
        <f t="shared" si="73"/>
        <v>0</v>
      </c>
    </row>
    <row r="2334" spans="2:17" ht="15" customHeight="1">
      <c r="B2334" s="5" t="str">
        <f>_xlfn.IFNA(VLOOKUP(C2334,Master!$H:$I,2,FALSE),"")</f>
        <v/>
      </c>
      <c r="D2334" s="5" t="str">
        <f>_xlfn.IFNA(VLOOKUP(E2334,Master!$H:$I,2,FALSE),"")</f>
        <v/>
      </c>
      <c r="F2334" s="26" t="str">
        <f>+_xlfn.XLOOKUP(G2334,Master!$V$2:$V$8,Master!$U$2:$U$8,"")</f>
        <v/>
      </c>
      <c r="I2334" s="4" t="str">
        <f>_xlfn.IFNA(VLOOKUP(D2334,Master!$I:$K,2,FALSE),"")</f>
        <v/>
      </c>
      <c r="J2334" s="4" t="str">
        <f>_xlfn.IFNA(VLOOKUP(D2334,Master!$I:$K,3,FALSE),"")</f>
        <v/>
      </c>
      <c r="L2334" s="27" t="str">
        <f>IF(A2334&lt;&gt;"CFA",_xlfn.IFNA(VLOOKUP($G2334,Master!$V$2:$Z$8,5,0),""),"")</f>
        <v/>
      </c>
      <c r="P2334" s="6" t="str">
        <f t="shared" si="72"/>
        <v/>
      </c>
      <c r="Q2334" s="13">
        <f t="shared" si="73"/>
        <v>0</v>
      </c>
    </row>
    <row r="2335" spans="2:17" ht="15" customHeight="1">
      <c r="B2335" s="5" t="str">
        <f>_xlfn.IFNA(VLOOKUP(C2335,Master!$H:$I,2,FALSE),"")</f>
        <v/>
      </c>
      <c r="D2335" s="5" t="str">
        <f>_xlfn.IFNA(VLOOKUP(E2335,Master!$H:$I,2,FALSE),"")</f>
        <v/>
      </c>
      <c r="F2335" s="26" t="str">
        <f>+_xlfn.XLOOKUP(G2335,Master!$V$2:$V$8,Master!$U$2:$U$8,"")</f>
        <v/>
      </c>
      <c r="I2335" s="4" t="str">
        <f>_xlfn.IFNA(VLOOKUP(D2335,Master!$I:$K,2,FALSE),"")</f>
        <v/>
      </c>
      <c r="J2335" s="4" t="str">
        <f>_xlfn.IFNA(VLOOKUP(D2335,Master!$I:$K,3,FALSE),"")</f>
        <v/>
      </c>
      <c r="L2335" s="27" t="str">
        <f>IF(A2335&lt;&gt;"CFA",_xlfn.IFNA(VLOOKUP($G2335,Master!$V$2:$Z$8,5,0),""),"")</f>
        <v/>
      </c>
      <c r="P2335" s="6" t="str">
        <f t="shared" si="72"/>
        <v/>
      </c>
      <c r="Q2335" s="13">
        <f t="shared" si="73"/>
        <v>0</v>
      </c>
    </row>
    <row r="2336" spans="2:17" ht="15" customHeight="1">
      <c r="B2336" s="5" t="str">
        <f>_xlfn.IFNA(VLOOKUP(C2336,Master!$H:$I,2,FALSE),"")</f>
        <v/>
      </c>
      <c r="D2336" s="5" t="str">
        <f>_xlfn.IFNA(VLOOKUP(E2336,Master!$H:$I,2,FALSE),"")</f>
        <v/>
      </c>
      <c r="F2336" s="26" t="str">
        <f>+_xlfn.XLOOKUP(G2336,Master!$V$2:$V$8,Master!$U$2:$U$8,"")</f>
        <v/>
      </c>
      <c r="I2336" s="4" t="str">
        <f>_xlfn.IFNA(VLOOKUP(D2336,Master!$I:$K,2,FALSE),"")</f>
        <v/>
      </c>
      <c r="J2336" s="4" t="str">
        <f>_xlfn.IFNA(VLOOKUP(D2336,Master!$I:$K,3,FALSE),"")</f>
        <v/>
      </c>
      <c r="L2336" s="27" t="str">
        <f>IF(A2336&lt;&gt;"CFA",_xlfn.IFNA(VLOOKUP($G2336,Master!$V$2:$Z$8,5,0),""),"")</f>
        <v/>
      </c>
      <c r="P2336" s="6" t="str">
        <f t="shared" si="72"/>
        <v/>
      </c>
      <c r="Q2336" s="13">
        <f t="shared" si="73"/>
        <v>0</v>
      </c>
    </row>
    <row r="2337" spans="2:17" ht="15" customHeight="1">
      <c r="B2337" s="5" t="str">
        <f>_xlfn.IFNA(VLOOKUP(C2337,Master!$H:$I,2,FALSE),"")</f>
        <v/>
      </c>
      <c r="D2337" s="5" t="str">
        <f>_xlfn.IFNA(VLOOKUP(E2337,Master!$H:$I,2,FALSE),"")</f>
        <v/>
      </c>
      <c r="F2337" s="26" t="str">
        <f>+_xlfn.XLOOKUP(G2337,Master!$V$2:$V$8,Master!$U$2:$U$8,"")</f>
        <v/>
      </c>
      <c r="I2337" s="4" t="str">
        <f>_xlfn.IFNA(VLOOKUP(D2337,Master!$I:$K,2,FALSE),"")</f>
        <v/>
      </c>
      <c r="J2337" s="4" t="str">
        <f>_xlfn.IFNA(VLOOKUP(D2337,Master!$I:$K,3,FALSE),"")</f>
        <v/>
      </c>
      <c r="L2337" s="27" t="str">
        <f>IF(A2337&lt;&gt;"CFA",_xlfn.IFNA(VLOOKUP($G2337,Master!$V$2:$Z$8,5,0),""),"")</f>
        <v/>
      </c>
      <c r="P2337" s="6" t="str">
        <f t="shared" si="72"/>
        <v/>
      </c>
      <c r="Q2337" s="13">
        <f t="shared" si="73"/>
        <v>0</v>
      </c>
    </row>
    <row r="2338" spans="2:17" ht="15" customHeight="1">
      <c r="B2338" s="5" t="str">
        <f>_xlfn.IFNA(VLOOKUP(C2338,Master!$H:$I,2,FALSE),"")</f>
        <v/>
      </c>
      <c r="D2338" s="5" t="str">
        <f>_xlfn.IFNA(VLOOKUP(E2338,Master!$H:$I,2,FALSE),"")</f>
        <v/>
      </c>
      <c r="F2338" s="26" t="str">
        <f>+_xlfn.XLOOKUP(G2338,Master!$V$2:$V$8,Master!$U$2:$U$8,"")</f>
        <v/>
      </c>
      <c r="I2338" s="4" t="str">
        <f>_xlfn.IFNA(VLOOKUP(D2338,Master!$I:$K,2,FALSE),"")</f>
        <v/>
      </c>
      <c r="J2338" s="4" t="str">
        <f>_xlfn.IFNA(VLOOKUP(D2338,Master!$I:$K,3,FALSE),"")</f>
        <v/>
      </c>
      <c r="L2338" s="27" t="str">
        <f>IF(A2338&lt;&gt;"CFA",_xlfn.IFNA(VLOOKUP($G2338,Master!$V$2:$Z$8,5,0),""),"")</f>
        <v/>
      </c>
      <c r="P2338" s="6" t="str">
        <f t="shared" si="72"/>
        <v/>
      </c>
      <c r="Q2338" s="13">
        <f t="shared" si="73"/>
        <v>0</v>
      </c>
    </row>
    <row r="2339" spans="2:17" ht="15" customHeight="1">
      <c r="B2339" s="5" t="str">
        <f>_xlfn.IFNA(VLOOKUP(C2339,Master!$H:$I,2,FALSE),"")</f>
        <v/>
      </c>
      <c r="D2339" s="5" t="str">
        <f>_xlfn.IFNA(VLOOKUP(E2339,Master!$H:$I,2,FALSE),"")</f>
        <v/>
      </c>
      <c r="F2339" s="26" t="str">
        <f>+_xlfn.XLOOKUP(G2339,Master!$V$2:$V$8,Master!$U$2:$U$8,"")</f>
        <v/>
      </c>
      <c r="I2339" s="4" t="str">
        <f>_xlfn.IFNA(VLOOKUP(D2339,Master!$I:$K,2,FALSE),"")</f>
        <v/>
      </c>
      <c r="J2339" s="4" t="str">
        <f>_xlfn.IFNA(VLOOKUP(D2339,Master!$I:$K,3,FALSE),"")</f>
        <v/>
      </c>
      <c r="L2339" s="27" t="str">
        <f>IF(A2339&lt;&gt;"CFA",_xlfn.IFNA(VLOOKUP($G2339,Master!$V$2:$Z$8,5,0),""),"")</f>
        <v/>
      </c>
      <c r="P2339" s="6" t="str">
        <f t="shared" si="72"/>
        <v/>
      </c>
      <c r="Q2339" s="13">
        <f t="shared" si="73"/>
        <v>0</v>
      </c>
    </row>
    <row r="2340" spans="2:17" ht="15" customHeight="1">
      <c r="B2340" s="5" t="str">
        <f>_xlfn.IFNA(VLOOKUP(C2340,Master!$H:$I,2,FALSE),"")</f>
        <v/>
      </c>
      <c r="D2340" s="5" t="str">
        <f>_xlfn.IFNA(VLOOKUP(E2340,Master!$H:$I,2,FALSE),"")</f>
        <v/>
      </c>
      <c r="F2340" s="26" t="str">
        <f>+_xlfn.XLOOKUP(G2340,Master!$V$2:$V$8,Master!$U$2:$U$8,"")</f>
        <v/>
      </c>
      <c r="I2340" s="4" t="str">
        <f>_xlfn.IFNA(VLOOKUP(D2340,Master!$I:$K,2,FALSE),"")</f>
        <v/>
      </c>
      <c r="J2340" s="4" t="str">
        <f>_xlfn.IFNA(VLOOKUP(D2340,Master!$I:$K,3,FALSE),"")</f>
        <v/>
      </c>
      <c r="L2340" s="27" t="str">
        <f>IF(A2340&lt;&gt;"CFA",_xlfn.IFNA(VLOOKUP($G2340,Master!$V$2:$Z$8,5,0),""),"")</f>
        <v/>
      </c>
      <c r="P2340" s="6" t="str">
        <f t="shared" si="72"/>
        <v/>
      </c>
      <c r="Q2340" s="13">
        <f t="shared" si="73"/>
        <v>0</v>
      </c>
    </row>
    <row r="2341" spans="2:17" ht="15" customHeight="1">
      <c r="B2341" s="5" t="str">
        <f>_xlfn.IFNA(VLOOKUP(C2341,Master!$H:$I,2,FALSE),"")</f>
        <v/>
      </c>
      <c r="D2341" s="5" t="str">
        <f>_xlfn.IFNA(VLOOKUP(E2341,Master!$H:$I,2,FALSE),"")</f>
        <v/>
      </c>
      <c r="F2341" s="26" t="str">
        <f>+_xlfn.XLOOKUP(G2341,Master!$V$2:$V$8,Master!$U$2:$U$8,"")</f>
        <v/>
      </c>
      <c r="I2341" s="4" t="str">
        <f>_xlfn.IFNA(VLOOKUP(D2341,Master!$I:$K,2,FALSE),"")</f>
        <v/>
      </c>
      <c r="J2341" s="4" t="str">
        <f>_xlfn.IFNA(VLOOKUP(D2341,Master!$I:$K,3,FALSE),"")</f>
        <v/>
      </c>
      <c r="L2341" s="27" t="str">
        <f>IF(A2341&lt;&gt;"CFA",_xlfn.IFNA(VLOOKUP($G2341,Master!$V$2:$Z$8,5,0),""),"")</f>
        <v/>
      </c>
      <c r="P2341" s="6" t="str">
        <f t="shared" si="72"/>
        <v/>
      </c>
      <c r="Q2341" s="13">
        <f t="shared" si="73"/>
        <v>0</v>
      </c>
    </row>
    <row r="2342" spans="2:17" ht="15" customHeight="1">
      <c r="B2342" s="5" t="str">
        <f>_xlfn.IFNA(VLOOKUP(C2342,Master!$H:$I,2,FALSE),"")</f>
        <v/>
      </c>
      <c r="D2342" s="5" t="str">
        <f>_xlfn.IFNA(VLOOKUP(E2342,Master!$H:$I,2,FALSE),"")</f>
        <v/>
      </c>
      <c r="F2342" s="26" t="str">
        <f>+_xlfn.XLOOKUP(G2342,Master!$V$2:$V$8,Master!$U$2:$U$8,"")</f>
        <v/>
      </c>
      <c r="I2342" s="4" t="str">
        <f>_xlfn.IFNA(VLOOKUP(D2342,Master!$I:$K,2,FALSE),"")</f>
        <v/>
      </c>
      <c r="J2342" s="4" t="str">
        <f>_xlfn.IFNA(VLOOKUP(D2342,Master!$I:$K,3,FALSE),"")</f>
        <v/>
      </c>
      <c r="L2342" s="27" t="str">
        <f>IF(A2342&lt;&gt;"CFA",_xlfn.IFNA(VLOOKUP($G2342,Master!$V$2:$Z$8,5,0),""),"")</f>
        <v/>
      </c>
      <c r="P2342" s="6" t="str">
        <f t="shared" si="72"/>
        <v/>
      </c>
      <c r="Q2342" s="13">
        <f t="shared" si="73"/>
        <v>0</v>
      </c>
    </row>
    <row r="2343" spans="2:17" ht="15" customHeight="1">
      <c r="B2343" s="5" t="str">
        <f>_xlfn.IFNA(VLOOKUP(C2343,Master!$H:$I,2,FALSE),"")</f>
        <v/>
      </c>
      <c r="D2343" s="5" t="str">
        <f>_xlfn.IFNA(VLOOKUP(E2343,Master!$H:$I,2,FALSE),"")</f>
        <v/>
      </c>
      <c r="F2343" s="26" t="str">
        <f>+_xlfn.XLOOKUP(G2343,Master!$V$2:$V$8,Master!$U$2:$U$8,"")</f>
        <v/>
      </c>
      <c r="I2343" s="4" t="str">
        <f>_xlfn.IFNA(VLOOKUP(D2343,Master!$I:$K,2,FALSE),"")</f>
        <v/>
      </c>
      <c r="J2343" s="4" t="str">
        <f>_xlfn.IFNA(VLOOKUP(D2343,Master!$I:$K,3,FALSE),"")</f>
        <v/>
      </c>
      <c r="L2343" s="27" t="str">
        <f>IF(A2343&lt;&gt;"CFA",_xlfn.IFNA(VLOOKUP($G2343,Master!$V$2:$Z$8,5,0),""),"")</f>
        <v/>
      </c>
      <c r="P2343" s="6" t="str">
        <f t="shared" si="72"/>
        <v/>
      </c>
      <c r="Q2343" s="13">
        <f t="shared" si="73"/>
        <v>0</v>
      </c>
    </row>
    <row r="2344" spans="2:17" ht="15" customHeight="1">
      <c r="B2344" s="5" t="str">
        <f>_xlfn.IFNA(VLOOKUP(C2344,Master!$H:$I,2,FALSE),"")</f>
        <v/>
      </c>
      <c r="D2344" s="5" t="str">
        <f>_xlfn.IFNA(VLOOKUP(E2344,Master!$H:$I,2,FALSE),"")</f>
        <v/>
      </c>
      <c r="F2344" s="26" t="str">
        <f>+_xlfn.XLOOKUP(G2344,Master!$V$2:$V$8,Master!$U$2:$U$8,"")</f>
        <v/>
      </c>
      <c r="I2344" s="4" t="str">
        <f>_xlfn.IFNA(VLOOKUP(D2344,Master!$I:$K,2,FALSE),"")</f>
        <v/>
      </c>
      <c r="J2344" s="4" t="str">
        <f>_xlfn.IFNA(VLOOKUP(D2344,Master!$I:$K,3,FALSE),"")</f>
        <v/>
      </c>
      <c r="L2344" s="27" t="str">
        <f>IF(A2344&lt;&gt;"CFA",_xlfn.IFNA(VLOOKUP($G2344,Master!$V$2:$Z$8,5,0),""),"")</f>
        <v/>
      </c>
      <c r="P2344" s="6" t="str">
        <f t="shared" si="72"/>
        <v/>
      </c>
      <c r="Q2344" s="13">
        <f t="shared" si="73"/>
        <v>0</v>
      </c>
    </row>
    <row r="2345" spans="2:17" ht="15" customHeight="1">
      <c r="B2345" s="5" t="str">
        <f>_xlfn.IFNA(VLOOKUP(C2345,Master!$H:$I,2,FALSE),"")</f>
        <v/>
      </c>
      <c r="D2345" s="5" t="str">
        <f>_xlfn.IFNA(VLOOKUP(E2345,Master!$H:$I,2,FALSE),"")</f>
        <v/>
      </c>
      <c r="F2345" s="26" t="str">
        <f>+_xlfn.XLOOKUP(G2345,Master!$V$2:$V$8,Master!$U$2:$U$8,"")</f>
        <v/>
      </c>
      <c r="I2345" s="4" t="str">
        <f>_xlfn.IFNA(VLOOKUP(D2345,Master!$I:$K,2,FALSE),"")</f>
        <v/>
      </c>
      <c r="J2345" s="4" t="str">
        <f>_xlfn.IFNA(VLOOKUP(D2345,Master!$I:$K,3,FALSE),"")</f>
        <v/>
      </c>
      <c r="L2345" s="27" t="str">
        <f>IF(A2345&lt;&gt;"CFA",_xlfn.IFNA(VLOOKUP($G2345,Master!$V$2:$Z$8,5,0),""),"")</f>
        <v/>
      </c>
      <c r="P2345" s="6" t="str">
        <f t="shared" si="72"/>
        <v/>
      </c>
      <c r="Q2345" s="13">
        <f t="shared" si="73"/>
        <v>0</v>
      </c>
    </row>
    <row r="2346" spans="2:17" ht="15" customHeight="1">
      <c r="B2346" s="5" t="str">
        <f>_xlfn.IFNA(VLOOKUP(C2346,Master!$H:$I,2,FALSE),"")</f>
        <v/>
      </c>
      <c r="D2346" s="5" t="str">
        <f>_xlfn.IFNA(VLOOKUP(E2346,Master!$H:$I,2,FALSE),"")</f>
        <v/>
      </c>
      <c r="F2346" s="26" t="str">
        <f>+_xlfn.XLOOKUP(G2346,Master!$V$2:$V$8,Master!$U$2:$U$8,"")</f>
        <v/>
      </c>
      <c r="I2346" s="4" t="str">
        <f>_xlfn.IFNA(VLOOKUP(D2346,Master!$I:$K,2,FALSE),"")</f>
        <v/>
      </c>
      <c r="J2346" s="4" t="str">
        <f>_xlfn.IFNA(VLOOKUP(D2346,Master!$I:$K,3,FALSE),"")</f>
        <v/>
      </c>
      <c r="L2346" s="27" t="str">
        <f>IF(A2346&lt;&gt;"CFA",_xlfn.IFNA(VLOOKUP($G2346,Master!$V$2:$Z$8,5,0),""),"")</f>
        <v/>
      </c>
      <c r="P2346" s="6" t="str">
        <f t="shared" si="72"/>
        <v/>
      </c>
      <c r="Q2346" s="13">
        <f t="shared" si="73"/>
        <v>0</v>
      </c>
    </row>
    <row r="2347" spans="2:17" ht="15" customHeight="1">
      <c r="B2347" s="5" t="str">
        <f>_xlfn.IFNA(VLOOKUP(C2347,Master!$H:$I,2,FALSE),"")</f>
        <v/>
      </c>
      <c r="D2347" s="5" t="str">
        <f>_xlfn.IFNA(VLOOKUP(E2347,Master!$H:$I,2,FALSE),"")</f>
        <v/>
      </c>
      <c r="F2347" s="26" t="str">
        <f>+_xlfn.XLOOKUP(G2347,Master!$V$2:$V$8,Master!$U$2:$U$8,"")</f>
        <v/>
      </c>
      <c r="I2347" s="4" t="str">
        <f>_xlfn.IFNA(VLOOKUP(D2347,Master!$I:$K,2,FALSE),"")</f>
        <v/>
      </c>
      <c r="J2347" s="4" t="str">
        <f>_xlfn.IFNA(VLOOKUP(D2347,Master!$I:$K,3,FALSE),"")</f>
        <v/>
      </c>
      <c r="L2347" s="27" t="str">
        <f>IF(A2347&lt;&gt;"CFA",_xlfn.IFNA(VLOOKUP($G2347,Master!$V$2:$Z$8,5,0),""),"")</f>
        <v/>
      </c>
      <c r="P2347" s="6" t="str">
        <f t="shared" si="72"/>
        <v/>
      </c>
      <c r="Q2347" s="13">
        <f t="shared" si="73"/>
        <v>0</v>
      </c>
    </row>
    <row r="2348" spans="2:17" ht="15" customHeight="1">
      <c r="B2348" s="5" t="str">
        <f>_xlfn.IFNA(VLOOKUP(C2348,Master!$H:$I,2,FALSE),"")</f>
        <v/>
      </c>
      <c r="D2348" s="5" t="str">
        <f>_xlfn.IFNA(VLOOKUP(E2348,Master!$H:$I,2,FALSE),"")</f>
        <v/>
      </c>
      <c r="F2348" s="26" t="str">
        <f>+_xlfn.XLOOKUP(G2348,Master!$V$2:$V$8,Master!$U$2:$U$8,"")</f>
        <v/>
      </c>
      <c r="I2348" s="4" t="str">
        <f>_xlfn.IFNA(VLOOKUP(D2348,Master!$I:$K,2,FALSE),"")</f>
        <v/>
      </c>
      <c r="J2348" s="4" t="str">
        <f>_xlfn.IFNA(VLOOKUP(D2348,Master!$I:$K,3,FALSE),"")</f>
        <v/>
      </c>
      <c r="L2348" s="27" t="str">
        <f>IF(A2348&lt;&gt;"CFA",_xlfn.IFNA(VLOOKUP($G2348,Master!$V$2:$Z$8,5,0),""),"")</f>
        <v/>
      </c>
      <c r="P2348" s="6" t="str">
        <f t="shared" si="72"/>
        <v/>
      </c>
      <c r="Q2348" s="13">
        <f t="shared" si="73"/>
        <v>0</v>
      </c>
    </row>
    <row r="2349" spans="2:17" ht="15" customHeight="1">
      <c r="B2349" s="5" t="str">
        <f>_xlfn.IFNA(VLOOKUP(C2349,Master!$H:$I,2,FALSE),"")</f>
        <v/>
      </c>
      <c r="D2349" s="5" t="str">
        <f>_xlfn.IFNA(VLOOKUP(E2349,Master!$H:$I,2,FALSE),"")</f>
        <v/>
      </c>
      <c r="F2349" s="26" t="str">
        <f>+_xlfn.XLOOKUP(G2349,Master!$V$2:$V$8,Master!$U$2:$U$8,"")</f>
        <v/>
      </c>
      <c r="I2349" s="4" t="str">
        <f>_xlfn.IFNA(VLOOKUP(D2349,Master!$I:$K,2,FALSE),"")</f>
        <v/>
      </c>
      <c r="J2349" s="4" t="str">
        <f>_xlfn.IFNA(VLOOKUP(D2349,Master!$I:$K,3,FALSE),"")</f>
        <v/>
      </c>
      <c r="L2349" s="27" t="str">
        <f>IF(A2349&lt;&gt;"CFA",_xlfn.IFNA(VLOOKUP($G2349,Master!$V$2:$Z$8,5,0),""),"")</f>
        <v/>
      </c>
      <c r="P2349" s="6" t="str">
        <f t="shared" si="72"/>
        <v/>
      </c>
      <c r="Q2349" s="13">
        <f t="shared" si="73"/>
        <v>0</v>
      </c>
    </row>
    <row r="2350" spans="2:17" ht="15" customHeight="1">
      <c r="B2350" s="5" t="str">
        <f>_xlfn.IFNA(VLOOKUP(C2350,Master!$H:$I,2,FALSE),"")</f>
        <v/>
      </c>
      <c r="D2350" s="5" t="str">
        <f>_xlfn.IFNA(VLOOKUP(E2350,Master!$H:$I,2,FALSE),"")</f>
        <v/>
      </c>
      <c r="F2350" s="26" t="str">
        <f>+_xlfn.XLOOKUP(G2350,Master!$V$2:$V$8,Master!$U$2:$U$8,"")</f>
        <v/>
      </c>
      <c r="I2350" s="4" t="str">
        <f>_xlfn.IFNA(VLOOKUP(D2350,Master!$I:$K,2,FALSE),"")</f>
        <v/>
      </c>
      <c r="J2350" s="4" t="str">
        <f>_xlfn.IFNA(VLOOKUP(D2350,Master!$I:$K,3,FALSE),"")</f>
        <v/>
      </c>
      <c r="L2350" s="27" t="str">
        <f>IF(A2350&lt;&gt;"CFA",_xlfn.IFNA(VLOOKUP($G2350,Master!$V$2:$Z$8,5,0),""),"")</f>
        <v/>
      </c>
      <c r="P2350" s="6" t="str">
        <f t="shared" si="72"/>
        <v/>
      </c>
      <c r="Q2350" s="13">
        <f t="shared" si="73"/>
        <v>0</v>
      </c>
    </row>
    <row r="2351" spans="2:17" ht="15" customHeight="1">
      <c r="B2351" s="5" t="str">
        <f>_xlfn.IFNA(VLOOKUP(C2351,Master!$H:$I,2,FALSE),"")</f>
        <v/>
      </c>
      <c r="D2351" s="5" t="str">
        <f>_xlfn.IFNA(VLOOKUP(E2351,Master!$H:$I,2,FALSE),"")</f>
        <v/>
      </c>
      <c r="F2351" s="26" t="str">
        <f>+_xlfn.XLOOKUP(G2351,Master!$V$2:$V$8,Master!$U$2:$U$8,"")</f>
        <v/>
      </c>
      <c r="I2351" s="4" t="str">
        <f>_xlfn.IFNA(VLOOKUP(D2351,Master!$I:$K,2,FALSE),"")</f>
        <v/>
      </c>
      <c r="J2351" s="4" t="str">
        <f>_xlfn.IFNA(VLOOKUP(D2351,Master!$I:$K,3,FALSE),"")</f>
        <v/>
      </c>
      <c r="L2351" s="27" t="str">
        <f>IF(A2351&lt;&gt;"CFA",_xlfn.IFNA(VLOOKUP($G2351,Master!$V$2:$Z$8,5,0),""),"")</f>
        <v/>
      </c>
      <c r="P2351" s="6" t="str">
        <f t="shared" si="72"/>
        <v/>
      </c>
      <c r="Q2351" s="13">
        <f t="shared" si="73"/>
        <v>0</v>
      </c>
    </row>
    <row r="2352" spans="2:17" ht="15" customHeight="1">
      <c r="B2352" s="5" t="str">
        <f>_xlfn.IFNA(VLOOKUP(C2352,Master!$H:$I,2,FALSE),"")</f>
        <v/>
      </c>
      <c r="D2352" s="5" t="str">
        <f>_xlfn.IFNA(VLOOKUP(E2352,Master!$H:$I,2,FALSE),"")</f>
        <v/>
      </c>
      <c r="F2352" s="26" t="str">
        <f>+_xlfn.XLOOKUP(G2352,Master!$V$2:$V$8,Master!$U$2:$U$8,"")</f>
        <v/>
      </c>
      <c r="I2352" s="4" t="str">
        <f>_xlfn.IFNA(VLOOKUP(D2352,Master!$I:$K,2,FALSE),"")</f>
        <v/>
      </c>
      <c r="J2352" s="4" t="str">
        <f>_xlfn.IFNA(VLOOKUP(D2352,Master!$I:$K,3,FALSE),"")</f>
        <v/>
      </c>
      <c r="L2352" s="27" t="str">
        <f>IF(A2352&lt;&gt;"CFA",_xlfn.IFNA(VLOOKUP($G2352,Master!$V$2:$Z$8,5,0),""),"")</f>
        <v/>
      </c>
      <c r="P2352" s="6" t="str">
        <f t="shared" si="72"/>
        <v/>
      </c>
      <c r="Q2352" s="13">
        <f t="shared" si="73"/>
        <v>0</v>
      </c>
    </row>
    <row r="2353" spans="2:17" ht="15" customHeight="1">
      <c r="B2353" s="5" t="str">
        <f>_xlfn.IFNA(VLOOKUP(C2353,Master!$H:$I,2,FALSE),"")</f>
        <v/>
      </c>
      <c r="D2353" s="5" t="str">
        <f>_xlfn.IFNA(VLOOKUP(E2353,Master!$H:$I,2,FALSE),"")</f>
        <v/>
      </c>
      <c r="F2353" s="26" t="str">
        <f>+_xlfn.XLOOKUP(G2353,Master!$V$2:$V$8,Master!$U$2:$U$8,"")</f>
        <v/>
      </c>
      <c r="I2353" s="4" t="str">
        <f>_xlfn.IFNA(VLOOKUP(D2353,Master!$I:$K,2,FALSE),"")</f>
        <v/>
      </c>
      <c r="J2353" s="4" t="str">
        <f>_xlfn.IFNA(VLOOKUP(D2353,Master!$I:$K,3,FALSE),"")</f>
        <v/>
      </c>
      <c r="L2353" s="27" t="str">
        <f>IF(A2353&lt;&gt;"CFA",_xlfn.IFNA(VLOOKUP($G2353,Master!$V$2:$Z$8,5,0),""),"")</f>
        <v/>
      </c>
      <c r="P2353" s="6" t="str">
        <f t="shared" si="72"/>
        <v/>
      </c>
      <c r="Q2353" s="13">
        <f t="shared" si="73"/>
        <v>0</v>
      </c>
    </row>
    <row r="2354" spans="2:17" ht="15" customHeight="1">
      <c r="B2354" s="5" t="str">
        <f>_xlfn.IFNA(VLOOKUP(C2354,Master!$H:$I,2,FALSE),"")</f>
        <v/>
      </c>
      <c r="D2354" s="5" t="str">
        <f>_xlfn.IFNA(VLOOKUP(E2354,Master!$H:$I,2,FALSE),"")</f>
        <v/>
      </c>
      <c r="F2354" s="26" t="str">
        <f>+_xlfn.XLOOKUP(G2354,Master!$V$2:$V$8,Master!$U$2:$U$8,"")</f>
        <v/>
      </c>
      <c r="I2354" s="4" t="str">
        <f>_xlfn.IFNA(VLOOKUP(D2354,Master!$I:$K,2,FALSE),"")</f>
        <v/>
      </c>
      <c r="J2354" s="4" t="str">
        <f>_xlfn.IFNA(VLOOKUP(D2354,Master!$I:$K,3,FALSE),"")</f>
        <v/>
      </c>
      <c r="L2354" s="27" t="str">
        <f>IF(A2354&lt;&gt;"CFA",_xlfn.IFNA(VLOOKUP($G2354,Master!$V$2:$Z$8,5,0),""),"")</f>
        <v/>
      </c>
      <c r="P2354" s="6" t="str">
        <f t="shared" si="72"/>
        <v/>
      </c>
      <c r="Q2354" s="13">
        <f t="shared" si="73"/>
        <v>0</v>
      </c>
    </row>
    <row r="2355" spans="2:17" ht="15" customHeight="1">
      <c r="B2355" s="5" t="str">
        <f>_xlfn.IFNA(VLOOKUP(C2355,Master!$H:$I,2,FALSE),"")</f>
        <v/>
      </c>
      <c r="D2355" s="5" t="str">
        <f>_xlfn.IFNA(VLOOKUP(E2355,Master!$H:$I,2,FALSE),"")</f>
        <v/>
      </c>
      <c r="F2355" s="26" t="str">
        <f>+_xlfn.XLOOKUP(G2355,Master!$V$2:$V$8,Master!$U$2:$U$8,"")</f>
        <v/>
      </c>
      <c r="I2355" s="4" t="str">
        <f>_xlfn.IFNA(VLOOKUP(D2355,Master!$I:$K,2,FALSE),"")</f>
        <v/>
      </c>
      <c r="J2355" s="4" t="str">
        <f>_xlfn.IFNA(VLOOKUP(D2355,Master!$I:$K,3,FALSE),"")</f>
        <v/>
      </c>
      <c r="L2355" s="27" t="str">
        <f>IF(A2355&lt;&gt;"CFA",_xlfn.IFNA(VLOOKUP($G2355,Master!$V$2:$Z$8,5,0),""),"")</f>
        <v/>
      </c>
      <c r="P2355" s="6" t="str">
        <f t="shared" si="72"/>
        <v/>
      </c>
      <c r="Q2355" s="13">
        <f t="shared" si="73"/>
        <v>0</v>
      </c>
    </row>
    <row r="2356" spans="2:17" ht="15" customHeight="1">
      <c r="B2356" s="5" t="str">
        <f>_xlfn.IFNA(VLOOKUP(C2356,Master!$H:$I,2,FALSE),"")</f>
        <v/>
      </c>
      <c r="D2356" s="5" t="str">
        <f>_xlfn.IFNA(VLOOKUP(E2356,Master!$H:$I,2,FALSE),"")</f>
        <v/>
      </c>
      <c r="F2356" s="26" t="str">
        <f>+_xlfn.XLOOKUP(G2356,Master!$V$2:$V$8,Master!$U$2:$U$8,"")</f>
        <v/>
      </c>
      <c r="I2356" s="4" t="str">
        <f>_xlfn.IFNA(VLOOKUP(D2356,Master!$I:$K,2,FALSE),"")</f>
        <v/>
      </c>
      <c r="J2356" s="4" t="str">
        <f>_xlfn.IFNA(VLOOKUP(D2356,Master!$I:$K,3,FALSE),"")</f>
        <v/>
      </c>
      <c r="L2356" s="27" t="str">
        <f>IF(A2356&lt;&gt;"CFA",_xlfn.IFNA(VLOOKUP($G2356,Master!$V$2:$Z$8,5,0),""),"")</f>
        <v/>
      </c>
      <c r="P2356" s="6" t="str">
        <f t="shared" si="72"/>
        <v/>
      </c>
      <c r="Q2356" s="13">
        <f t="shared" si="73"/>
        <v>0</v>
      </c>
    </row>
    <row r="2357" spans="2:17" ht="15" customHeight="1">
      <c r="B2357" s="5" t="str">
        <f>_xlfn.IFNA(VLOOKUP(C2357,Master!$H:$I,2,FALSE),"")</f>
        <v/>
      </c>
      <c r="D2357" s="5" t="str">
        <f>_xlfn.IFNA(VLOOKUP(E2357,Master!$H:$I,2,FALSE),"")</f>
        <v/>
      </c>
      <c r="F2357" s="26" t="str">
        <f>+_xlfn.XLOOKUP(G2357,Master!$V$2:$V$8,Master!$U$2:$U$8,"")</f>
        <v/>
      </c>
      <c r="I2357" s="4" t="str">
        <f>_xlfn.IFNA(VLOOKUP(D2357,Master!$I:$K,2,FALSE),"")</f>
        <v/>
      </c>
      <c r="J2357" s="4" t="str">
        <f>_xlfn.IFNA(VLOOKUP(D2357,Master!$I:$K,3,FALSE),"")</f>
        <v/>
      </c>
      <c r="L2357" s="27" t="str">
        <f>IF(A2357&lt;&gt;"CFA",_xlfn.IFNA(VLOOKUP($G2357,Master!$V$2:$Z$8,5,0),""),"")</f>
        <v/>
      </c>
      <c r="P2357" s="6" t="str">
        <f t="shared" si="72"/>
        <v/>
      </c>
      <c r="Q2357" s="13">
        <f t="shared" si="73"/>
        <v>0</v>
      </c>
    </row>
    <row r="2358" spans="2:17" ht="15" customHeight="1">
      <c r="B2358" s="5" t="str">
        <f>_xlfn.IFNA(VLOOKUP(C2358,Master!$H:$I,2,FALSE),"")</f>
        <v/>
      </c>
      <c r="D2358" s="5" t="str">
        <f>_xlfn.IFNA(VLOOKUP(E2358,Master!$H:$I,2,FALSE),"")</f>
        <v/>
      </c>
      <c r="F2358" s="26" t="str">
        <f>+_xlfn.XLOOKUP(G2358,Master!$V$2:$V$8,Master!$U$2:$U$8,"")</f>
        <v/>
      </c>
      <c r="I2358" s="4" t="str">
        <f>_xlfn.IFNA(VLOOKUP(D2358,Master!$I:$K,2,FALSE),"")</f>
        <v/>
      </c>
      <c r="J2358" s="4" t="str">
        <f>_xlfn.IFNA(VLOOKUP(D2358,Master!$I:$K,3,FALSE),"")</f>
        <v/>
      </c>
      <c r="L2358" s="27" t="str">
        <f>IF(A2358&lt;&gt;"CFA",_xlfn.IFNA(VLOOKUP($G2358,Master!$V$2:$Z$8,5,0),""),"")</f>
        <v/>
      </c>
      <c r="P2358" s="6" t="str">
        <f t="shared" si="72"/>
        <v/>
      </c>
      <c r="Q2358" s="13">
        <f t="shared" si="73"/>
        <v>0</v>
      </c>
    </row>
    <row r="2359" spans="2:17" ht="15" customHeight="1">
      <c r="B2359" s="5" t="str">
        <f>_xlfn.IFNA(VLOOKUP(C2359,Master!$H:$I,2,FALSE),"")</f>
        <v/>
      </c>
      <c r="D2359" s="5" t="str">
        <f>_xlfn.IFNA(VLOOKUP(E2359,Master!$H:$I,2,FALSE),"")</f>
        <v/>
      </c>
      <c r="F2359" s="26" t="str">
        <f>+_xlfn.XLOOKUP(G2359,Master!$V$2:$V$8,Master!$U$2:$U$8,"")</f>
        <v/>
      </c>
      <c r="I2359" s="4" t="str">
        <f>_xlfn.IFNA(VLOOKUP(D2359,Master!$I:$K,2,FALSE),"")</f>
        <v/>
      </c>
      <c r="J2359" s="4" t="str">
        <f>_xlfn.IFNA(VLOOKUP(D2359,Master!$I:$K,3,FALSE),"")</f>
        <v/>
      </c>
      <c r="L2359" s="27" t="str">
        <f>IF(A2359&lt;&gt;"CFA",_xlfn.IFNA(VLOOKUP($G2359,Master!$V$2:$Z$8,5,0),""),"")</f>
        <v/>
      </c>
      <c r="P2359" s="6" t="str">
        <f t="shared" ref="P2359:P2422" si="74">IF(N2359&lt;&gt;"",IF(MONTH(N2359)&gt;=4,"FY1"&amp;RIGHT(YEAR(N2359)+1,2),"FY1"&amp;RIGHT(YEAR(N2359),2)),"")</f>
        <v/>
      </c>
      <c r="Q2359" s="13">
        <f t="shared" ref="Q2359:Q2422" si="75">IF(K2359&gt;0&amp;M2359&gt;0,K2359*M2359,"")</f>
        <v>0</v>
      </c>
    </row>
    <row r="2360" spans="2:17" ht="15" customHeight="1">
      <c r="B2360" s="5" t="str">
        <f>_xlfn.IFNA(VLOOKUP(C2360,Master!$H:$I,2,FALSE),"")</f>
        <v/>
      </c>
      <c r="D2360" s="5" t="str">
        <f>_xlfn.IFNA(VLOOKUP(E2360,Master!$H:$I,2,FALSE),"")</f>
        <v/>
      </c>
      <c r="F2360" s="26" t="str">
        <f>+_xlfn.XLOOKUP(G2360,Master!$V$2:$V$8,Master!$U$2:$U$8,"")</f>
        <v/>
      </c>
      <c r="I2360" s="4" t="str">
        <f>_xlfn.IFNA(VLOOKUP(D2360,Master!$I:$K,2,FALSE),"")</f>
        <v/>
      </c>
      <c r="J2360" s="4" t="str">
        <f>_xlfn.IFNA(VLOOKUP(D2360,Master!$I:$K,3,FALSE),"")</f>
        <v/>
      </c>
      <c r="L2360" s="27" t="str">
        <f>IF(A2360&lt;&gt;"CFA",_xlfn.IFNA(VLOOKUP($G2360,Master!$V$2:$Z$8,5,0),""),"")</f>
        <v/>
      </c>
      <c r="P2360" s="6" t="str">
        <f t="shared" si="74"/>
        <v/>
      </c>
      <c r="Q2360" s="13">
        <f t="shared" si="75"/>
        <v>0</v>
      </c>
    </row>
    <row r="2361" spans="2:17" ht="15" customHeight="1">
      <c r="B2361" s="5" t="str">
        <f>_xlfn.IFNA(VLOOKUP(C2361,Master!$H:$I,2,FALSE),"")</f>
        <v/>
      </c>
      <c r="D2361" s="5" t="str">
        <f>_xlfn.IFNA(VLOOKUP(E2361,Master!$H:$I,2,FALSE),"")</f>
        <v/>
      </c>
      <c r="F2361" s="26" t="str">
        <f>+_xlfn.XLOOKUP(G2361,Master!$V$2:$V$8,Master!$U$2:$U$8,"")</f>
        <v/>
      </c>
      <c r="I2361" s="4" t="str">
        <f>_xlfn.IFNA(VLOOKUP(D2361,Master!$I:$K,2,FALSE),"")</f>
        <v/>
      </c>
      <c r="J2361" s="4" t="str">
        <f>_xlfn.IFNA(VLOOKUP(D2361,Master!$I:$K,3,FALSE),"")</f>
        <v/>
      </c>
      <c r="L2361" s="27" t="str">
        <f>IF(A2361&lt;&gt;"CFA",_xlfn.IFNA(VLOOKUP($G2361,Master!$V$2:$Z$8,5,0),""),"")</f>
        <v/>
      </c>
      <c r="P2361" s="6" t="str">
        <f t="shared" si="74"/>
        <v/>
      </c>
      <c r="Q2361" s="13">
        <f t="shared" si="75"/>
        <v>0</v>
      </c>
    </row>
    <row r="2362" spans="2:17" ht="15" customHeight="1">
      <c r="B2362" s="5" t="str">
        <f>_xlfn.IFNA(VLOOKUP(C2362,Master!$H:$I,2,FALSE),"")</f>
        <v/>
      </c>
      <c r="D2362" s="5" t="str">
        <f>_xlfn.IFNA(VLOOKUP(E2362,Master!$H:$I,2,FALSE),"")</f>
        <v/>
      </c>
      <c r="F2362" s="26" t="str">
        <f>+_xlfn.XLOOKUP(G2362,Master!$V$2:$V$8,Master!$U$2:$U$8,"")</f>
        <v/>
      </c>
      <c r="I2362" s="4" t="str">
        <f>_xlfn.IFNA(VLOOKUP(D2362,Master!$I:$K,2,FALSE),"")</f>
        <v/>
      </c>
      <c r="J2362" s="4" t="str">
        <f>_xlfn.IFNA(VLOOKUP(D2362,Master!$I:$K,3,FALSE),"")</f>
        <v/>
      </c>
      <c r="L2362" s="27" t="str">
        <f>IF(A2362&lt;&gt;"CFA",_xlfn.IFNA(VLOOKUP($G2362,Master!$V$2:$Z$8,5,0),""),"")</f>
        <v/>
      </c>
      <c r="P2362" s="6" t="str">
        <f t="shared" si="74"/>
        <v/>
      </c>
      <c r="Q2362" s="13">
        <f t="shared" si="75"/>
        <v>0</v>
      </c>
    </row>
    <row r="2363" spans="2:17" ht="15" customHeight="1">
      <c r="B2363" s="5" t="str">
        <f>_xlfn.IFNA(VLOOKUP(C2363,Master!$H:$I,2,FALSE),"")</f>
        <v/>
      </c>
      <c r="D2363" s="5" t="str">
        <f>_xlfn.IFNA(VLOOKUP(E2363,Master!$H:$I,2,FALSE),"")</f>
        <v/>
      </c>
      <c r="F2363" s="26" t="str">
        <f>+_xlfn.XLOOKUP(G2363,Master!$V$2:$V$8,Master!$U$2:$U$8,"")</f>
        <v/>
      </c>
      <c r="I2363" s="4" t="str">
        <f>_xlfn.IFNA(VLOOKUP(D2363,Master!$I:$K,2,FALSE),"")</f>
        <v/>
      </c>
      <c r="J2363" s="4" t="str">
        <f>_xlfn.IFNA(VLOOKUP(D2363,Master!$I:$K,3,FALSE),"")</f>
        <v/>
      </c>
      <c r="L2363" s="27" t="str">
        <f>IF(A2363&lt;&gt;"CFA",_xlfn.IFNA(VLOOKUP($G2363,Master!$V$2:$Z$8,5,0),""),"")</f>
        <v/>
      </c>
      <c r="P2363" s="6" t="str">
        <f t="shared" si="74"/>
        <v/>
      </c>
      <c r="Q2363" s="13">
        <f t="shared" si="75"/>
        <v>0</v>
      </c>
    </row>
    <row r="2364" spans="2:17" ht="15" customHeight="1">
      <c r="B2364" s="5" t="str">
        <f>_xlfn.IFNA(VLOOKUP(C2364,Master!$H:$I,2,FALSE),"")</f>
        <v/>
      </c>
      <c r="D2364" s="5" t="str">
        <f>_xlfn.IFNA(VLOOKUP(E2364,Master!$H:$I,2,FALSE),"")</f>
        <v/>
      </c>
      <c r="F2364" s="26" t="str">
        <f>+_xlfn.XLOOKUP(G2364,Master!$V$2:$V$8,Master!$U$2:$U$8,"")</f>
        <v/>
      </c>
      <c r="I2364" s="4" t="str">
        <f>_xlfn.IFNA(VLOOKUP(D2364,Master!$I:$K,2,FALSE),"")</f>
        <v/>
      </c>
      <c r="J2364" s="4" t="str">
        <f>_xlfn.IFNA(VLOOKUP(D2364,Master!$I:$K,3,FALSE),"")</f>
        <v/>
      </c>
      <c r="L2364" s="27" t="str">
        <f>IF(A2364&lt;&gt;"CFA",_xlfn.IFNA(VLOOKUP($G2364,Master!$V$2:$Z$8,5,0),""),"")</f>
        <v/>
      </c>
      <c r="P2364" s="6" t="str">
        <f t="shared" si="74"/>
        <v/>
      </c>
      <c r="Q2364" s="13">
        <f t="shared" si="75"/>
        <v>0</v>
      </c>
    </row>
    <row r="2365" spans="2:17" ht="15" customHeight="1">
      <c r="B2365" s="5" t="str">
        <f>_xlfn.IFNA(VLOOKUP(C2365,Master!$H:$I,2,FALSE),"")</f>
        <v/>
      </c>
      <c r="D2365" s="5" t="str">
        <f>_xlfn.IFNA(VLOOKUP(E2365,Master!$H:$I,2,FALSE),"")</f>
        <v/>
      </c>
      <c r="F2365" s="26" t="str">
        <f>+_xlfn.XLOOKUP(G2365,Master!$V$2:$V$8,Master!$U$2:$U$8,"")</f>
        <v/>
      </c>
      <c r="I2365" s="4" t="str">
        <f>_xlfn.IFNA(VLOOKUP(D2365,Master!$I:$K,2,FALSE),"")</f>
        <v/>
      </c>
      <c r="J2365" s="4" t="str">
        <f>_xlfn.IFNA(VLOOKUP(D2365,Master!$I:$K,3,FALSE),"")</f>
        <v/>
      </c>
      <c r="L2365" s="27" t="str">
        <f>IF(A2365&lt;&gt;"CFA",_xlfn.IFNA(VLOOKUP($G2365,Master!$V$2:$Z$8,5,0),""),"")</f>
        <v/>
      </c>
      <c r="P2365" s="6" t="str">
        <f t="shared" si="74"/>
        <v/>
      </c>
      <c r="Q2365" s="13">
        <f t="shared" si="75"/>
        <v>0</v>
      </c>
    </row>
    <row r="2366" spans="2:17" ht="15" customHeight="1">
      <c r="B2366" s="5" t="str">
        <f>_xlfn.IFNA(VLOOKUP(C2366,Master!$H:$I,2,FALSE),"")</f>
        <v/>
      </c>
      <c r="D2366" s="5" t="str">
        <f>_xlfn.IFNA(VLOOKUP(E2366,Master!$H:$I,2,FALSE),"")</f>
        <v/>
      </c>
      <c r="F2366" s="26" t="str">
        <f>+_xlfn.XLOOKUP(G2366,Master!$V$2:$V$8,Master!$U$2:$U$8,"")</f>
        <v/>
      </c>
      <c r="I2366" s="4" t="str">
        <f>_xlfn.IFNA(VLOOKUP(D2366,Master!$I:$K,2,FALSE),"")</f>
        <v/>
      </c>
      <c r="J2366" s="4" t="str">
        <f>_xlfn.IFNA(VLOOKUP(D2366,Master!$I:$K,3,FALSE),"")</f>
        <v/>
      </c>
      <c r="L2366" s="27" t="str">
        <f>IF(A2366&lt;&gt;"CFA",_xlfn.IFNA(VLOOKUP($G2366,Master!$V$2:$Z$8,5,0),""),"")</f>
        <v/>
      </c>
      <c r="P2366" s="6" t="str">
        <f t="shared" si="74"/>
        <v/>
      </c>
      <c r="Q2366" s="13">
        <f t="shared" si="75"/>
        <v>0</v>
      </c>
    </row>
    <row r="2367" spans="2:17" ht="15" customHeight="1">
      <c r="B2367" s="5" t="str">
        <f>_xlfn.IFNA(VLOOKUP(C2367,Master!$H:$I,2,FALSE),"")</f>
        <v/>
      </c>
      <c r="D2367" s="5" t="str">
        <f>_xlfn.IFNA(VLOOKUP(E2367,Master!$H:$I,2,FALSE),"")</f>
        <v/>
      </c>
      <c r="F2367" s="26" t="str">
        <f>+_xlfn.XLOOKUP(G2367,Master!$V$2:$V$8,Master!$U$2:$U$8,"")</f>
        <v/>
      </c>
      <c r="I2367" s="4" t="str">
        <f>_xlfn.IFNA(VLOOKUP(D2367,Master!$I:$K,2,FALSE),"")</f>
        <v/>
      </c>
      <c r="J2367" s="4" t="str">
        <f>_xlfn.IFNA(VLOOKUP(D2367,Master!$I:$K,3,FALSE),"")</f>
        <v/>
      </c>
      <c r="L2367" s="27" t="str">
        <f>IF(A2367&lt;&gt;"CFA",_xlfn.IFNA(VLOOKUP($G2367,Master!$V$2:$Z$8,5,0),""),"")</f>
        <v/>
      </c>
      <c r="P2367" s="6" t="str">
        <f t="shared" si="74"/>
        <v/>
      </c>
      <c r="Q2367" s="13">
        <f t="shared" si="75"/>
        <v>0</v>
      </c>
    </row>
    <row r="2368" spans="2:17" ht="15" customHeight="1">
      <c r="B2368" s="5" t="str">
        <f>_xlfn.IFNA(VLOOKUP(C2368,Master!$H:$I,2,FALSE),"")</f>
        <v/>
      </c>
      <c r="D2368" s="5" t="str">
        <f>_xlfn.IFNA(VLOOKUP(E2368,Master!$H:$I,2,FALSE),"")</f>
        <v/>
      </c>
      <c r="F2368" s="26" t="str">
        <f>+_xlfn.XLOOKUP(G2368,Master!$V$2:$V$8,Master!$U$2:$U$8,"")</f>
        <v/>
      </c>
      <c r="I2368" s="4" t="str">
        <f>_xlfn.IFNA(VLOOKUP(D2368,Master!$I:$K,2,FALSE),"")</f>
        <v/>
      </c>
      <c r="J2368" s="4" t="str">
        <f>_xlfn.IFNA(VLOOKUP(D2368,Master!$I:$K,3,FALSE),"")</f>
        <v/>
      </c>
      <c r="L2368" s="27" t="str">
        <f>IF(A2368&lt;&gt;"CFA",_xlfn.IFNA(VLOOKUP($G2368,Master!$V$2:$Z$8,5,0),""),"")</f>
        <v/>
      </c>
      <c r="P2368" s="6" t="str">
        <f t="shared" si="74"/>
        <v/>
      </c>
      <c r="Q2368" s="13">
        <f t="shared" si="75"/>
        <v>0</v>
      </c>
    </row>
    <row r="2369" spans="2:17" ht="15" customHeight="1">
      <c r="B2369" s="5" t="str">
        <f>_xlfn.IFNA(VLOOKUP(C2369,Master!$H:$I,2,FALSE),"")</f>
        <v/>
      </c>
      <c r="D2369" s="5" t="str">
        <f>_xlfn.IFNA(VLOOKUP(E2369,Master!$H:$I,2,FALSE),"")</f>
        <v/>
      </c>
      <c r="F2369" s="26" t="str">
        <f>+_xlfn.XLOOKUP(G2369,Master!$V$2:$V$8,Master!$U$2:$U$8,"")</f>
        <v/>
      </c>
      <c r="I2369" s="4" t="str">
        <f>_xlfn.IFNA(VLOOKUP(D2369,Master!$I:$K,2,FALSE),"")</f>
        <v/>
      </c>
      <c r="J2369" s="4" t="str">
        <f>_xlfn.IFNA(VLOOKUP(D2369,Master!$I:$K,3,FALSE),"")</f>
        <v/>
      </c>
      <c r="L2369" s="27" t="str">
        <f>IF(A2369&lt;&gt;"CFA",_xlfn.IFNA(VLOOKUP($G2369,Master!$V$2:$Z$8,5,0),""),"")</f>
        <v/>
      </c>
      <c r="P2369" s="6" t="str">
        <f t="shared" si="74"/>
        <v/>
      </c>
      <c r="Q2369" s="13">
        <f t="shared" si="75"/>
        <v>0</v>
      </c>
    </row>
    <row r="2370" spans="2:17" ht="15" customHeight="1">
      <c r="B2370" s="5" t="str">
        <f>_xlfn.IFNA(VLOOKUP(C2370,Master!$H:$I,2,FALSE),"")</f>
        <v/>
      </c>
      <c r="D2370" s="5" t="str">
        <f>_xlfn.IFNA(VLOOKUP(E2370,Master!$H:$I,2,FALSE),"")</f>
        <v/>
      </c>
      <c r="F2370" s="26" t="str">
        <f>+_xlfn.XLOOKUP(G2370,Master!$V$2:$V$8,Master!$U$2:$U$8,"")</f>
        <v/>
      </c>
      <c r="I2370" s="4" t="str">
        <f>_xlfn.IFNA(VLOOKUP(D2370,Master!$I:$K,2,FALSE),"")</f>
        <v/>
      </c>
      <c r="J2370" s="4" t="str">
        <f>_xlfn.IFNA(VLOOKUP(D2370,Master!$I:$K,3,FALSE),"")</f>
        <v/>
      </c>
      <c r="L2370" s="27" t="str">
        <f>IF(A2370&lt;&gt;"CFA",_xlfn.IFNA(VLOOKUP($G2370,Master!$V$2:$Z$8,5,0),""),"")</f>
        <v/>
      </c>
      <c r="P2370" s="6" t="str">
        <f t="shared" si="74"/>
        <v/>
      </c>
      <c r="Q2370" s="13">
        <f t="shared" si="75"/>
        <v>0</v>
      </c>
    </row>
    <row r="2371" spans="2:17" ht="15" customHeight="1">
      <c r="B2371" s="5" t="str">
        <f>_xlfn.IFNA(VLOOKUP(C2371,Master!$H:$I,2,FALSE),"")</f>
        <v/>
      </c>
      <c r="D2371" s="5" t="str">
        <f>_xlfn.IFNA(VLOOKUP(E2371,Master!$H:$I,2,FALSE),"")</f>
        <v/>
      </c>
      <c r="F2371" s="26" t="str">
        <f>+_xlfn.XLOOKUP(G2371,Master!$V$2:$V$8,Master!$U$2:$U$8,"")</f>
        <v/>
      </c>
      <c r="I2371" s="4" t="str">
        <f>_xlfn.IFNA(VLOOKUP(D2371,Master!$I:$K,2,FALSE),"")</f>
        <v/>
      </c>
      <c r="J2371" s="4" t="str">
        <f>_xlfn.IFNA(VLOOKUP(D2371,Master!$I:$K,3,FALSE),"")</f>
        <v/>
      </c>
      <c r="L2371" s="27" t="str">
        <f>IF(A2371&lt;&gt;"CFA",_xlfn.IFNA(VLOOKUP($G2371,Master!$V$2:$Z$8,5,0),""),"")</f>
        <v/>
      </c>
      <c r="P2371" s="6" t="str">
        <f t="shared" si="74"/>
        <v/>
      </c>
      <c r="Q2371" s="13">
        <f t="shared" si="75"/>
        <v>0</v>
      </c>
    </row>
    <row r="2372" spans="2:17" ht="15" customHeight="1">
      <c r="B2372" s="5" t="str">
        <f>_xlfn.IFNA(VLOOKUP(C2372,Master!$H:$I,2,FALSE),"")</f>
        <v/>
      </c>
      <c r="D2372" s="5" t="str">
        <f>_xlfn.IFNA(VLOOKUP(E2372,Master!$H:$I,2,FALSE),"")</f>
        <v/>
      </c>
      <c r="F2372" s="26" t="str">
        <f>+_xlfn.XLOOKUP(G2372,Master!$V$2:$V$8,Master!$U$2:$U$8,"")</f>
        <v/>
      </c>
      <c r="I2372" s="4" t="str">
        <f>_xlfn.IFNA(VLOOKUP(D2372,Master!$I:$K,2,FALSE),"")</f>
        <v/>
      </c>
      <c r="J2372" s="4" t="str">
        <f>_xlfn.IFNA(VLOOKUP(D2372,Master!$I:$K,3,FALSE),"")</f>
        <v/>
      </c>
      <c r="L2372" s="27" t="str">
        <f>IF(A2372&lt;&gt;"CFA",_xlfn.IFNA(VLOOKUP($G2372,Master!$V$2:$Z$8,5,0),""),"")</f>
        <v/>
      </c>
      <c r="P2372" s="6" t="str">
        <f t="shared" si="74"/>
        <v/>
      </c>
      <c r="Q2372" s="13">
        <f t="shared" si="75"/>
        <v>0</v>
      </c>
    </row>
    <row r="2373" spans="2:17" ht="15" customHeight="1">
      <c r="B2373" s="5" t="str">
        <f>_xlfn.IFNA(VLOOKUP(C2373,Master!$H:$I,2,FALSE),"")</f>
        <v/>
      </c>
      <c r="D2373" s="5" t="str">
        <f>_xlfn.IFNA(VLOOKUP(E2373,Master!$H:$I,2,FALSE),"")</f>
        <v/>
      </c>
      <c r="F2373" s="26" t="str">
        <f>+_xlfn.XLOOKUP(G2373,Master!$V$2:$V$8,Master!$U$2:$U$8,"")</f>
        <v/>
      </c>
      <c r="I2373" s="4" t="str">
        <f>_xlfn.IFNA(VLOOKUP(D2373,Master!$I:$K,2,FALSE),"")</f>
        <v/>
      </c>
      <c r="J2373" s="4" t="str">
        <f>_xlfn.IFNA(VLOOKUP(D2373,Master!$I:$K,3,FALSE),"")</f>
        <v/>
      </c>
      <c r="L2373" s="27" t="str">
        <f>IF(A2373&lt;&gt;"CFA",_xlfn.IFNA(VLOOKUP($G2373,Master!$V$2:$Z$8,5,0),""),"")</f>
        <v/>
      </c>
      <c r="P2373" s="6" t="str">
        <f t="shared" si="74"/>
        <v/>
      </c>
      <c r="Q2373" s="13">
        <f t="shared" si="75"/>
        <v>0</v>
      </c>
    </row>
    <row r="2374" spans="2:17" ht="15" customHeight="1">
      <c r="B2374" s="5" t="str">
        <f>_xlfn.IFNA(VLOOKUP(C2374,Master!$H:$I,2,FALSE),"")</f>
        <v/>
      </c>
      <c r="D2374" s="5" t="str">
        <f>_xlfn.IFNA(VLOOKUP(E2374,Master!$H:$I,2,FALSE),"")</f>
        <v/>
      </c>
      <c r="F2374" s="26" t="str">
        <f>+_xlfn.XLOOKUP(G2374,Master!$V$2:$V$8,Master!$U$2:$U$8,"")</f>
        <v/>
      </c>
      <c r="I2374" s="4" t="str">
        <f>_xlfn.IFNA(VLOOKUP(D2374,Master!$I:$K,2,FALSE),"")</f>
        <v/>
      </c>
      <c r="J2374" s="4" t="str">
        <f>_xlfn.IFNA(VLOOKUP(D2374,Master!$I:$K,3,FALSE),"")</f>
        <v/>
      </c>
      <c r="L2374" s="27" t="str">
        <f>IF(A2374&lt;&gt;"CFA",_xlfn.IFNA(VLOOKUP($G2374,Master!$V$2:$Z$8,5,0),""),"")</f>
        <v/>
      </c>
      <c r="P2374" s="6" t="str">
        <f t="shared" si="74"/>
        <v/>
      </c>
      <c r="Q2374" s="13">
        <f t="shared" si="75"/>
        <v>0</v>
      </c>
    </row>
    <row r="2375" spans="2:17" ht="15" customHeight="1">
      <c r="B2375" s="5" t="str">
        <f>_xlfn.IFNA(VLOOKUP(C2375,Master!$H:$I,2,FALSE),"")</f>
        <v/>
      </c>
      <c r="D2375" s="5" t="str">
        <f>_xlfn.IFNA(VLOOKUP(E2375,Master!$H:$I,2,FALSE),"")</f>
        <v/>
      </c>
      <c r="F2375" s="26" t="str">
        <f>+_xlfn.XLOOKUP(G2375,Master!$V$2:$V$8,Master!$U$2:$U$8,"")</f>
        <v/>
      </c>
      <c r="I2375" s="4" t="str">
        <f>_xlfn.IFNA(VLOOKUP(D2375,Master!$I:$K,2,FALSE),"")</f>
        <v/>
      </c>
      <c r="J2375" s="4" t="str">
        <f>_xlfn.IFNA(VLOOKUP(D2375,Master!$I:$K,3,FALSE),"")</f>
        <v/>
      </c>
      <c r="L2375" s="27" t="str">
        <f>IF(A2375&lt;&gt;"CFA",_xlfn.IFNA(VLOOKUP($G2375,Master!$V$2:$Z$8,5,0),""),"")</f>
        <v/>
      </c>
      <c r="P2375" s="6" t="str">
        <f t="shared" si="74"/>
        <v/>
      </c>
      <c r="Q2375" s="13">
        <f t="shared" si="75"/>
        <v>0</v>
      </c>
    </row>
    <row r="2376" spans="2:17" ht="15" customHeight="1">
      <c r="B2376" s="5" t="str">
        <f>_xlfn.IFNA(VLOOKUP(C2376,Master!$H:$I,2,FALSE),"")</f>
        <v/>
      </c>
      <c r="D2376" s="5" t="str">
        <f>_xlfn.IFNA(VLOOKUP(E2376,Master!$H:$I,2,FALSE),"")</f>
        <v/>
      </c>
      <c r="F2376" s="26" t="str">
        <f>+_xlfn.XLOOKUP(G2376,Master!$V$2:$V$8,Master!$U$2:$U$8,"")</f>
        <v/>
      </c>
      <c r="I2376" s="4" t="str">
        <f>_xlfn.IFNA(VLOOKUP(D2376,Master!$I:$K,2,FALSE),"")</f>
        <v/>
      </c>
      <c r="J2376" s="4" t="str">
        <f>_xlfn.IFNA(VLOOKUP(D2376,Master!$I:$K,3,FALSE),"")</f>
        <v/>
      </c>
      <c r="L2376" s="27" t="str">
        <f>IF(A2376&lt;&gt;"CFA",_xlfn.IFNA(VLOOKUP($G2376,Master!$V$2:$Z$8,5,0),""),"")</f>
        <v/>
      </c>
      <c r="P2376" s="6" t="str">
        <f t="shared" si="74"/>
        <v/>
      </c>
      <c r="Q2376" s="13">
        <f t="shared" si="75"/>
        <v>0</v>
      </c>
    </row>
    <row r="2377" spans="2:17" ht="15" customHeight="1">
      <c r="B2377" s="5" t="str">
        <f>_xlfn.IFNA(VLOOKUP(C2377,Master!$H:$I,2,FALSE),"")</f>
        <v/>
      </c>
      <c r="D2377" s="5" t="str">
        <f>_xlfn.IFNA(VLOOKUP(E2377,Master!$H:$I,2,FALSE),"")</f>
        <v/>
      </c>
      <c r="F2377" s="26" t="str">
        <f>+_xlfn.XLOOKUP(G2377,Master!$V$2:$V$8,Master!$U$2:$U$8,"")</f>
        <v/>
      </c>
      <c r="I2377" s="4" t="str">
        <f>_xlfn.IFNA(VLOOKUP(D2377,Master!$I:$K,2,FALSE),"")</f>
        <v/>
      </c>
      <c r="J2377" s="4" t="str">
        <f>_xlfn.IFNA(VLOOKUP(D2377,Master!$I:$K,3,FALSE),"")</f>
        <v/>
      </c>
      <c r="L2377" s="27" t="str">
        <f>IF(A2377&lt;&gt;"CFA",_xlfn.IFNA(VLOOKUP($G2377,Master!$V$2:$Z$8,5,0),""),"")</f>
        <v/>
      </c>
      <c r="P2377" s="6" t="str">
        <f t="shared" si="74"/>
        <v/>
      </c>
      <c r="Q2377" s="13">
        <f t="shared" si="75"/>
        <v>0</v>
      </c>
    </row>
    <row r="2378" spans="2:17" ht="15" customHeight="1">
      <c r="B2378" s="5" t="str">
        <f>_xlfn.IFNA(VLOOKUP(C2378,Master!$H:$I,2,FALSE),"")</f>
        <v/>
      </c>
      <c r="D2378" s="5" t="str">
        <f>_xlfn.IFNA(VLOOKUP(E2378,Master!$H:$I,2,FALSE),"")</f>
        <v/>
      </c>
      <c r="F2378" s="26" t="str">
        <f>+_xlfn.XLOOKUP(G2378,Master!$V$2:$V$8,Master!$U$2:$U$8,"")</f>
        <v/>
      </c>
      <c r="I2378" s="4" t="str">
        <f>_xlfn.IFNA(VLOOKUP(D2378,Master!$I:$K,2,FALSE),"")</f>
        <v/>
      </c>
      <c r="J2378" s="4" t="str">
        <f>_xlfn.IFNA(VLOOKUP(D2378,Master!$I:$K,3,FALSE),"")</f>
        <v/>
      </c>
      <c r="L2378" s="27" t="str">
        <f>IF(A2378&lt;&gt;"CFA",_xlfn.IFNA(VLOOKUP($G2378,Master!$V$2:$Z$8,5,0),""),"")</f>
        <v/>
      </c>
      <c r="P2378" s="6" t="str">
        <f t="shared" si="74"/>
        <v/>
      </c>
      <c r="Q2378" s="13">
        <f t="shared" si="75"/>
        <v>0</v>
      </c>
    </row>
    <row r="2379" spans="2:17" ht="15" customHeight="1">
      <c r="B2379" s="5" t="str">
        <f>_xlfn.IFNA(VLOOKUP(C2379,Master!$H:$I,2,FALSE),"")</f>
        <v/>
      </c>
      <c r="D2379" s="5" t="str">
        <f>_xlfn.IFNA(VLOOKUP(E2379,Master!$H:$I,2,FALSE),"")</f>
        <v/>
      </c>
      <c r="F2379" s="26" t="str">
        <f>+_xlfn.XLOOKUP(G2379,Master!$V$2:$V$8,Master!$U$2:$U$8,"")</f>
        <v/>
      </c>
      <c r="I2379" s="4" t="str">
        <f>_xlfn.IFNA(VLOOKUP(D2379,Master!$I:$K,2,FALSE),"")</f>
        <v/>
      </c>
      <c r="J2379" s="4" t="str">
        <f>_xlfn.IFNA(VLOOKUP(D2379,Master!$I:$K,3,FALSE),"")</f>
        <v/>
      </c>
      <c r="L2379" s="27" t="str">
        <f>IF(A2379&lt;&gt;"CFA",_xlfn.IFNA(VLOOKUP($G2379,Master!$V$2:$Z$8,5,0),""),"")</f>
        <v/>
      </c>
      <c r="P2379" s="6" t="str">
        <f t="shared" si="74"/>
        <v/>
      </c>
      <c r="Q2379" s="13">
        <f t="shared" si="75"/>
        <v>0</v>
      </c>
    </row>
    <row r="2380" spans="2:17" ht="15" customHeight="1">
      <c r="B2380" s="5" t="str">
        <f>_xlfn.IFNA(VLOOKUP(C2380,Master!$H:$I,2,FALSE),"")</f>
        <v/>
      </c>
      <c r="D2380" s="5" t="str">
        <f>_xlfn.IFNA(VLOOKUP(E2380,Master!$H:$I,2,FALSE),"")</f>
        <v/>
      </c>
      <c r="F2380" s="26" t="str">
        <f>+_xlfn.XLOOKUP(G2380,Master!$V$2:$V$8,Master!$U$2:$U$8,"")</f>
        <v/>
      </c>
      <c r="I2380" s="4" t="str">
        <f>_xlfn.IFNA(VLOOKUP(D2380,Master!$I:$K,2,FALSE),"")</f>
        <v/>
      </c>
      <c r="J2380" s="4" t="str">
        <f>_xlfn.IFNA(VLOOKUP(D2380,Master!$I:$K,3,FALSE),"")</f>
        <v/>
      </c>
      <c r="L2380" s="27" t="str">
        <f>IF(A2380&lt;&gt;"CFA",_xlfn.IFNA(VLOOKUP($G2380,Master!$V$2:$Z$8,5,0),""),"")</f>
        <v/>
      </c>
      <c r="P2380" s="6" t="str">
        <f t="shared" si="74"/>
        <v/>
      </c>
      <c r="Q2380" s="13">
        <f t="shared" si="75"/>
        <v>0</v>
      </c>
    </row>
    <row r="2381" spans="2:17" ht="15" customHeight="1">
      <c r="B2381" s="5" t="str">
        <f>_xlfn.IFNA(VLOOKUP(C2381,Master!$H:$I,2,FALSE),"")</f>
        <v/>
      </c>
      <c r="D2381" s="5" t="str">
        <f>_xlfn.IFNA(VLOOKUP(E2381,Master!$H:$I,2,FALSE),"")</f>
        <v/>
      </c>
      <c r="F2381" s="26" t="str">
        <f>+_xlfn.XLOOKUP(G2381,Master!$V$2:$V$8,Master!$U$2:$U$8,"")</f>
        <v/>
      </c>
      <c r="I2381" s="4" t="str">
        <f>_xlfn.IFNA(VLOOKUP(D2381,Master!$I:$K,2,FALSE),"")</f>
        <v/>
      </c>
      <c r="J2381" s="4" t="str">
        <f>_xlfn.IFNA(VLOOKUP(D2381,Master!$I:$K,3,FALSE),"")</f>
        <v/>
      </c>
      <c r="L2381" s="27" t="str">
        <f>IF(A2381&lt;&gt;"CFA",_xlfn.IFNA(VLOOKUP($G2381,Master!$V$2:$Z$8,5,0),""),"")</f>
        <v/>
      </c>
      <c r="P2381" s="6" t="str">
        <f t="shared" si="74"/>
        <v/>
      </c>
      <c r="Q2381" s="13">
        <f t="shared" si="75"/>
        <v>0</v>
      </c>
    </row>
    <row r="2382" spans="2:17" ht="15" customHeight="1">
      <c r="B2382" s="5" t="str">
        <f>_xlfn.IFNA(VLOOKUP(C2382,Master!$H:$I,2,FALSE),"")</f>
        <v/>
      </c>
      <c r="D2382" s="5" t="str">
        <f>_xlfn.IFNA(VLOOKUP(E2382,Master!$H:$I,2,FALSE),"")</f>
        <v/>
      </c>
      <c r="F2382" s="26" t="str">
        <f>+_xlfn.XLOOKUP(G2382,Master!$V$2:$V$8,Master!$U$2:$U$8,"")</f>
        <v/>
      </c>
      <c r="I2382" s="4" t="str">
        <f>_xlfn.IFNA(VLOOKUP(D2382,Master!$I:$K,2,FALSE),"")</f>
        <v/>
      </c>
      <c r="J2382" s="4" t="str">
        <f>_xlfn.IFNA(VLOOKUP(D2382,Master!$I:$K,3,FALSE),"")</f>
        <v/>
      </c>
      <c r="L2382" s="27" t="str">
        <f>IF(A2382&lt;&gt;"CFA",_xlfn.IFNA(VLOOKUP($G2382,Master!$V$2:$Z$8,5,0),""),"")</f>
        <v/>
      </c>
      <c r="P2382" s="6" t="str">
        <f t="shared" si="74"/>
        <v/>
      </c>
      <c r="Q2382" s="13">
        <f t="shared" si="75"/>
        <v>0</v>
      </c>
    </row>
    <row r="2383" spans="2:17" ht="15" customHeight="1">
      <c r="B2383" s="5" t="str">
        <f>_xlfn.IFNA(VLOOKUP(C2383,Master!$H:$I,2,FALSE),"")</f>
        <v/>
      </c>
      <c r="D2383" s="5" t="str">
        <f>_xlfn.IFNA(VLOOKUP(E2383,Master!$H:$I,2,FALSE),"")</f>
        <v/>
      </c>
      <c r="F2383" s="26" t="str">
        <f>+_xlfn.XLOOKUP(G2383,Master!$V$2:$V$8,Master!$U$2:$U$8,"")</f>
        <v/>
      </c>
      <c r="I2383" s="4" t="str">
        <f>_xlfn.IFNA(VLOOKUP(D2383,Master!$I:$K,2,FALSE),"")</f>
        <v/>
      </c>
      <c r="J2383" s="4" t="str">
        <f>_xlfn.IFNA(VLOOKUP(D2383,Master!$I:$K,3,FALSE),"")</f>
        <v/>
      </c>
      <c r="L2383" s="27" t="str">
        <f>IF(A2383&lt;&gt;"CFA",_xlfn.IFNA(VLOOKUP($G2383,Master!$V$2:$Z$8,5,0),""),"")</f>
        <v/>
      </c>
      <c r="P2383" s="6" t="str">
        <f t="shared" si="74"/>
        <v/>
      </c>
      <c r="Q2383" s="13">
        <f t="shared" si="75"/>
        <v>0</v>
      </c>
    </row>
    <row r="2384" spans="2:17" ht="15" customHeight="1">
      <c r="B2384" s="5" t="str">
        <f>_xlfn.IFNA(VLOOKUP(C2384,Master!$H:$I,2,FALSE),"")</f>
        <v/>
      </c>
      <c r="D2384" s="5" t="str">
        <f>_xlfn.IFNA(VLOOKUP(E2384,Master!$H:$I,2,FALSE),"")</f>
        <v/>
      </c>
      <c r="F2384" s="26" t="str">
        <f>+_xlfn.XLOOKUP(G2384,Master!$V$2:$V$8,Master!$U$2:$U$8,"")</f>
        <v/>
      </c>
      <c r="I2384" s="4" t="str">
        <f>_xlfn.IFNA(VLOOKUP(D2384,Master!$I:$K,2,FALSE),"")</f>
        <v/>
      </c>
      <c r="J2384" s="4" t="str">
        <f>_xlfn.IFNA(VLOOKUP(D2384,Master!$I:$K,3,FALSE),"")</f>
        <v/>
      </c>
      <c r="L2384" s="27" t="str">
        <f>IF(A2384&lt;&gt;"CFA",_xlfn.IFNA(VLOOKUP($G2384,Master!$V$2:$Z$8,5,0),""),"")</f>
        <v/>
      </c>
      <c r="P2384" s="6" t="str">
        <f t="shared" si="74"/>
        <v/>
      </c>
      <c r="Q2384" s="13">
        <f t="shared" si="75"/>
        <v>0</v>
      </c>
    </row>
    <row r="2385" spans="2:17" ht="15" customHeight="1">
      <c r="B2385" s="5" t="str">
        <f>_xlfn.IFNA(VLOOKUP(C2385,Master!$H:$I,2,FALSE),"")</f>
        <v/>
      </c>
      <c r="D2385" s="5" t="str">
        <f>_xlfn.IFNA(VLOOKUP(E2385,Master!$H:$I,2,FALSE),"")</f>
        <v/>
      </c>
      <c r="F2385" s="26" t="str">
        <f>+_xlfn.XLOOKUP(G2385,Master!$V$2:$V$8,Master!$U$2:$U$8,"")</f>
        <v/>
      </c>
      <c r="I2385" s="4" t="str">
        <f>_xlfn.IFNA(VLOOKUP(D2385,Master!$I:$K,2,FALSE),"")</f>
        <v/>
      </c>
      <c r="J2385" s="4" t="str">
        <f>_xlfn.IFNA(VLOOKUP(D2385,Master!$I:$K,3,FALSE),"")</f>
        <v/>
      </c>
      <c r="L2385" s="27" t="str">
        <f>IF(A2385&lt;&gt;"CFA",_xlfn.IFNA(VLOOKUP($G2385,Master!$V$2:$Z$8,5,0),""),"")</f>
        <v/>
      </c>
      <c r="P2385" s="6" t="str">
        <f t="shared" si="74"/>
        <v/>
      </c>
      <c r="Q2385" s="13">
        <f t="shared" si="75"/>
        <v>0</v>
      </c>
    </row>
    <row r="2386" spans="2:17" ht="15" customHeight="1">
      <c r="B2386" s="5" t="str">
        <f>_xlfn.IFNA(VLOOKUP(C2386,Master!$H:$I,2,FALSE),"")</f>
        <v/>
      </c>
      <c r="D2386" s="5" t="str">
        <f>_xlfn.IFNA(VLOOKUP(E2386,Master!$H:$I,2,FALSE),"")</f>
        <v/>
      </c>
      <c r="F2386" s="26" t="str">
        <f>+_xlfn.XLOOKUP(G2386,Master!$V$2:$V$8,Master!$U$2:$U$8,"")</f>
        <v/>
      </c>
      <c r="I2386" s="4" t="str">
        <f>_xlfn.IFNA(VLOOKUP(D2386,Master!$I:$K,2,FALSE),"")</f>
        <v/>
      </c>
      <c r="J2386" s="4" t="str">
        <f>_xlfn.IFNA(VLOOKUP(D2386,Master!$I:$K,3,FALSE),"")</f>
        <v/>
      </c>
      <c r="L2386" s="27" t="str">
        <f>IF(A2386&lt;&gt;"CFA",_xlfn.IFNA(VLOOKUP($G2386,Master!$V$2:$Z$8,5,0),""),"")</f>
        <v/>
      </c>
      <c r="P2386" s="6" t="str">
        <f t="shared" si="74"/>
        <v/>
      </c>
      <c r="Q2386" s="13">
        <f t="shared" si="75"/>
        <v>0</v>
      </c>
    </row>
    <row r="2387" spans="2:17" ht="15" customHeight="1">
      <c r="B2387" s="5" t="str">
        <f>_xlfn.IFNA(VLOOKUP(C2387,Master!$H:$I,2,FALSE),"")</f>
        <v/>
      </c>
      <c r="D2387" s="5" t="str">
        <f>_xlfn.IFNA(VLOOKUP(E2387,Master!$H:$I,2,FALSE),"")</f>
        <v/>
      </c>
      <c r="F2387" s="26" t="str">
        <f>+_xlfn.XLOOKUP(G2387,Master!$V$2:$V$8,Master!$U$2:$U$8,"")</f>
        <v/>
      </c>
      <c r="I2387" s="4" t="str">
        <f>_xlfn.IFNA(VLOOKUP(D2387,Master!$I:$K,2,FALSE),"")</f>
        <v/>
      </c>
      <c r="J2387" s="4" t="str">
        <f>_xlfn.IFNA(VLOOKUP(D2387,Master!$I:$K,3,FALSE),"")</f>
        <v/>
      </c>
      <c r="L2387" s="27" t="str">
        <f>IF(A2387&lt;&gt;"CFA",_xlfn.IFNA(VLOOKUP($G2387,Master!$V$2:$Z$8,5,0),""),"")</f>
        <v/>
      </c>
      <c r="P2387" s="6" t="str">
        <f t="shared" si="74"/>
        <v/>
      </c>
      <c r="Q2387" s="13">
        <f t="shared" si="75"/>
        <v>0</v>
      </c>
    </row>
    <row r="2388" spans="2:17" ht="15" customHeight="1">
      <c r="B2388" s="5" t="str">
        <f>_xlfn.IFNA(VLOOKUP(C2388,Master!$H:$I,2,FALSE),"")</f>
        <v/>
      </c>
      <c r="D2388" s="5" t="str">
        <f>_xlfn.IFNA(VLOOKUP(E2388,Master!$H:$I,2,FALSE),"")</f>
        <v/>
      </c>
      <c r="F2388" s="26" t="str">
        <f>+_xlfn.XLOOKUP(G2388,Master!$V$2:$V$8,Master!$U$2:$U$8,"")</f>
        <v/>
      </c>
      <c r="I2388" s="4" t="str">
        <f>_xlfn.IFNA(VLOOKUP(D2388,Master!$I:$K,2,FALSE),"")</f>
        <v/>
      </c>
      <c r="J2388" s="4" t="str">
        <f>_xlfn.IFNA(VLOOKUP(D2388,Master!$I:$K,3,FALSE),"")</f>
        <v/>
      </c>
      <c r="L2388" s="27" t="str">
        <f>IF(A2388&lt;&gt;"CFA",_xlfn.IFNA(VLOOKUP($G2388,Master!$V$2:$Z$8,5,0),""),"")</f>
        <v/>
      </c>
      <c r="P2388" s="6" t="str">
        <f t="shared" si="74"/>
        <v/>
      </c>
      <c r="Q2388" s="13">
        <f t="shared" si="75"/>
        <v>0</v>
      </c>
    </row>
    <row r="2389" spans="2:17" ht="15" customHeight="1">
      <c r="B2389" s="5" t="str">
        <f>_xlfn.IFNA(VLOOKUP(C2389,Master!$H:$I,2,FALSE),"")</f>
        <v/>
      </c>
      <c r="D2389" s="5" t="str">
        <f>_xlfn.IFNA(VLOOKUP(E2389,Master!$H:$I,2,FALSE),"")</f>
        <v/>
      </c>
      <c r="F2389" s="26" t="str">
        <f>+_xlfn.XLOOKUP(G2389,Master!$V$2:$V$8,Master!$U$2:$U$8,"")</f>
        <v/>
      </c>
      <c r="I2389" s="4" t="str">
        <f>_xlfn.IFNA(VLOOKUP(D2389,Master!$I:$K,2,FALSE),"")</f>
        <v/>
      </c>
      <c r="J2389" s="4" t="str">
        <f>_xlfn.IFNA(VLOOKUP(D2389,Master!$I:$K,3,FALSE),"")</f>
        <v/>
      </c>
      <c r="L2389" s="27" t="str">
        <f>IF(A2389&lt;&gt;"CFA",_xlfn.IFNA(VLOOKUP($G2389,Master!$V$2:$Z$8,5,0),""),"")</f>
        <v/>
      </c>
      <c r="P2389" s="6" t="str">
        <f t="shared" si="74"/>
        <v/>
      </c>
      <c r="Q2389" s="13">
        <f t="shared" si="75"/>
        <v>0</v>
      </c>
    </row>
    <row r="2390" spans="2:17" ht="15" customHeight="1">
      <c r="B2390" s="5" t="str">
        <f>_xlfn.IFNA(VLOOKUP(C2390,Master!$H:$I,2,FALSE),"")</f>
        <v/>
      </c>
      <c r="D2390" s="5" t="str">
        <f>_xlfn.IFNA(VLOOKUP(E2390,Master!$H:$I,2,FALSE),"")</f>
        <v/>
      </c>
      <c r="F2390" s="26" t="str">
        <f>+_xlfn.XLOOKUP(G2390,Master!$V$2:$V$8,Master!$U$2:$U$8,"")</f>
        <v/>
      </c>
      <c r="I2390" s="4" t="str">
        <f>_xlfn.IFNA(VLOOKUP(D2390,Master!$I:$K,2,FALSE),"")</f>
        <v/>
      </c>
      <c r="J2390" s="4" t="str">
        <f>_xlfn.IFNA(VLOOKUP(D2390,Master!$I:$K,3,FALSE),"")</f>
        <v/>
      </c>
      <c r="L2390" s="27" t="str">
        <f>IF(A2390&lt;&gt;"CFA",_xlfn.IFNA(VLOOKUP($G2390,Master!$V$2:$Z$8,5,0),""),"")</f>
        <v/>
      </c>
      <c r="P2390" s="6" t="str">
        <f t="shared" si="74"/>
        <v/>
      </c>
      <c r="Q2390" s="13">
        <f t="shared" si="75"/>
        <v>0</v>
      </c>
    </row>
    <row r="2391" spans="2:17" ht="15" customHeight="1">
      <c r="B2391" s="5" t="str">
        <f>_xlfn.IFNA(VLOOKUP(C2391,Master!$H:$I,2,FALSE),"")</f>
        <v/>
      </c>
      <c r="D2391" s="5" t="str">
        <f>_xlfn.IFNA(VLOOKUP(E2391,Master!$H:$I,2,FALSE),"")</f>
        <v/>
      </c>
      <c r="F2391" s="26" t="str">
        <f>+_xlfn.XLOOKUP(G2391,Master!$V$2:$V$8,Master!$U$2:$U$8,"")</f>
        <v/>
      </c>
      <c r="I2391" s="4" t="str">
        <f>_xlfn.IFNA(VLOOKUP(D2391,Master!$I:$K,2,FALSE),"")</f>
        <v/>
      </c>
      <c r="J2391" s="4" t="str">
        <f>_xlfn.IFNA(VLOOKUP(D2391,Master!$I:$K,3,FALSE),"")</f>
        <v/>
      </c>
      <c r="L2391" s="27" t="str">
        <f>IF(A2391&lt;&gt;"CFA",_xlfn.IFNA(VLOOKUP($G2391,Master!$V$2:$Z$8,5,0),""),"")</f>
        <v/>
      </c>
      <c r="P2391" s="6" t="str">
        <f t="shared" si="74"/>
        <v/>
      </c>
      <c r="Q2391" s="13">
        <f t="shared" si="75"/>
        <v>0</v>
      </c>
    </row>
    <row r="2392" spans="2:17" ht="15" customHeight="1">
      <c r="B2392" s="5" t="str">
        <f>_xlfn.IFNA(VLOOKUP(C2392,Master!$H:$I,2,FALSE),"")</f>
        <v/>
      </c>
      <c r="D2392" s="5" t="str">
        <f>_xlfn.IFNA(VLOOKUP(E2392,Master!$H:$I,2,FALSE),"")</f>
        <v/>
      </c>
      <c r="F2392" s="26" t="str">
        <f>+_xlfn.XLOOKUP(G2392,Master!$V$2:$V$8,Master!$U$2:$U$8,"")</f>
        <v/>
      </c>
      <c r="I2392" s="4" t="str">
        <f>_xlfn.IFNA(VLOOKUP(D2392,Master!$I:$K,2,FALSE),"")</f>
        <v/>
      </c>
      <c r="J2392" s="4" t="str">
        <f>_xlfn.IFNA(VLOOKUP(D2392,Master!$I:$K,3,FALSE),"")</f>
        <v/>
      </c>
      <c r="L2392" s="27" t="str">
        <f>IF(A2392&lt;&gt;"CFA",_xlfn.IFNA(VLOOKUP($G2392,Master!$V$2:$Z$8,5,0),""),"")</f>
        <v/>
      </c>
      <c r="P2392" s="6" t="str">
        <f t="shared" si="74"/>
        <v/>
      </c>
      <c r="Q2392" s="13">
        <f t="shared" si="75"/>
        <v>0</v>
      </c>
    </row>
    <row r="2393" spans="2:17" ht="15" customHeight="1">
      <c r="B2393" s="5" t="str">
        <f>_xlfn.IFNA(VLOOKUP(C2393,Master!$H:$I,2,FALSE),"")</f>
        <v/>
      </c>
      <c r="D2393" s="5" t="str">
        <f>_xlfn.IFNA(VLOOKUP(E2393,Master!$H:$I,2,FALSE),"")</f>
        <v/>
      </c>
      <c r="F2393" s="26" t="str">
        <f>+_xlfn.XLOOKUP(G2393,Master!$V$2:$V$8,Master!$U$2:$U$8,"")</f>
        <v/>
      </c>
      <c r="I2393" s="4" t="str">
        <f>_xlfn.IFNA(VLOOKUP(D2393,Master!$I:$K,2,FALSE),"")</f>
        <v/>
      </c>
      <c r="J2393" s="4" t="str">
        <f>_xlfn.IFNA(VLOOKUP(D2393,Master!$I:$K,3,FALSE),"")</f>
        <v/>
      </c>
      <c r="L2393" s="27" t="str">
        <f>IF(A2393&lt;&gt;"CFA",_xlfn.IFNA(VLOOKUP($G2393,Master!$V$2:$Z$8,5,0),""),"")</f>
        <v/>
      </c>
      <c r="P2393" s="6" t="str">
        <f t="shared" si="74"/>
        <v/>
      </c>
      <c r="Q2393" s="13">
        <f t="shared" si="75"/>
        <v>0</v>
      </c>
    </row>
    <row r="2394" spans="2:17" ht="15" customHeight="1">
      <c r="B2394" s="5" t="str">
        <f>_xlfn.IFNA(VLOOKUP(C2394,Master!$H:$I,2,FALSE),"")</f>
        <v/>
      </c>
      <c r="D2394" s="5" t="str">
        <f>_xlfn.IFNA(VLOOKUP(E2394,Master!$H:$I,2,FALSE),"")</f>
        <v/>
      </c>
      <c r="F2394" s="26" t="str">
        <f>+_xlfn.XLOOKUP(G2394,Master!$V$2:$V$8,Master!$U$2:$U$8,"")</f>
        <v/>
      </c>
      <c r="I2394" s="4" t="str">
        <f>_xlfn.IFNA(VLOOKUP(D2394,Master!$I:$K,2,FALSE),"")</f>
        <v/>
      </c>
      <c r="J2394" s="4" t="str">
        <f>_xlfn.IFNA(VLOOKUP(D2394,Master!$I:$K,3,FALSE),"")</f>
        <v/>
      </c>
      <c r="L2394" s="27" t="str">
        <f>IF(A2394&lt;&gt;"CFA",_xlfn.IFNA(VLOOKUP($G2394,Master!$V$2:$Z$8,5,0),""),"")</f>
        <v/>
      </c>
      <c r="P2394" s="6" t="str">
        <f t="shared" si="74"/>
        <v/>
      </c>
      <c r="Q2394" s="13">
        <f t="shared" si="75"/>
        <v>0</v>
      </c>
    </row>
    <row r="2395" spans="2:17" ht="15" customHeight="1">
      <c r="B2395" s="5" t="str">
        <f>_xlfn.IFNA(VLOOKUP(C2395,Master!$H:$I,2,FALSE),"")</f>
        <v/>
      </c>
      <c r="D2395" s="5" t="str">
        <f>_xlfn.IFNA(VLOOKUP(E2395,Master!$H:$I,2,FALSE),"")</f>
        <v/>
      </c>
      <c r="F2395" s="26" t="str">
        <f>+_xlfn.XLOOKUP(G2395,Master!$V$2:$V$8,Master!$U$2:$U$8,"")</f>
        <v/>
      </c>
      <c r="I2395" s="4" t="str">
        <f>_xlfn.IFNA(VLOOKUP(D2395,Master!$I:$K,2,FALSE),"")</f>
        <v/>
      </c>
      <c r="J2395" s="4" t="str">
        <f>_xlfn.IFNA(VLOOKUP(D2395,Master!$I:$K,3,FALSE),"")</f>
        <v/>
      </c>
      <c r="L2395" s="27" t="str">
        <f>IF(A2395&lt;&gt;"CFA",_xlfn.IFNA(VLOOKUP($G2395,Master!$V$2:$Z$8,5,0),""),"")</f>
        <v/>
      </c>
      <c r="P2395" s="6" t="str">
        <f t="shared" si="74"/>
        <v/>
      </c>
      <c r="Q2395" s="13">
        <f t="shared" si="75"/>
        <v>0</v>
      </c>
    </row>
    <row r="2396" spans="2:17" ht="15" customHeight="1">
      <c r="B2396" s="5" t="str">
        <f>_xlfn.IFNA(VLOOKUP(C2396,Master!$H:$I,2,FALSE),"")</f>
        <v/>
      </c>
      <c r="D2396" s="5" t="str">
        <f>_xlfn.IFNA(VLOOKUP(E2396,Master!$H:$I,2,FALSE),"")</f>
        <v/>
      </c>
      <c r="F2396" s="26" t="str">
        <f>+_xlfn.XLOOKUP(G2396,Master!$V$2:$V$8,Master!$U$2:$U$8,"")</f>
        <v/>
      </c>
      <c r="I2396" s="4" t="str">
        <f>_xlfn.IFNA(VLOOKUP(D2396,Master!$I:$K,2,FALSE),"")</f>
        <v/>
      </c>
      <c r="J2396" s="4" t="str">
        <f>_xlfn.IFNA(VLOOKUP(D2396,Master!$I:$K,3,FALSE),"")</f>
        <v/>
      </c>
      <c r="L2396" s="27" t="str">
        <f>IF(A2396&lt;&gt;"CFA",_xlfn.IFNA(VLOOKUP($G2396,Master!$V$2:$Z$8,5,0),""),"")</f>
        <v/>
      </c>
      <c r="P2396" s="6" t="str">
        <f t="shared" si="74"/>
        <v/>
      </c>
      <c r="Q2396" s="13">
        <f t="shared" si="75"/>
        <v>0</v>
      </c>
    </row>
    <row r="2397" spans="2:17" ht="15" customHeight="1">
      <c r="B2397" s="5" t="str">
        <f>_xlfn.IFNA(VLOOKUP(C2397,Master!$H:$I,2,FALSE),"")</f>
        <v/>
      </c>
      <c r="D2397" s="5" t="str">
        <f>_xlfn.IFNA(VLOOKUP(E2397,Master!$H:$I,2,FALSE),"")</f>
        <v/>
      </c>
      <c r="F2397" s="26" t="str">
        <f>+_xlfn.XLOOKUP(G2397,Master!$V$2:$V$8,Master!$U$2:$U$8,"")</f>
        <v/>
      </c>
      <c r="I2397" s="4" t="str">
        <f>_xlfn.IFNA(VLOOKUP(D2397,Master!$I:$K,2,FALSE),"")</f>
        <v/>
      </c>
      <c r="J2397" s="4" t="str">
        <f>_xlfn.IFNA(VLOOKUP(D2397,Master!$I:$K,3,FALSE),"")</f>
        <v/>
      </c>
      <c r="L2397" s="27" t="str">
        <f>IF(A2397&lt;&gt;"CFA",_xlfn.IFNA(VLOOKUP($G2397,Master!$V$2:$Z$8,5,0),""),"")</f>
        <v/>
      </c>
      <c r="P2397" s="6" t="str">
        <f t="shared" si="74"/>
        <v/>
      </c>
      <c r="Q2397" s="13">
        <f t="shared" si="75"/>
        <v>0</v>
      </c>
    </row>
    <row r="2398" spans="2:17" ht="15" customHeight="1">
      <c r="B2398" s="5" t="str">
        <f>_xlfn.IFNA(VLOOKUP(C2398,Master!$H:$I,2,FALSE),"")</f>
        <v/>
      </c>
      <c r="D2398" s="5" t="str">
        <f>_xlfn.IFNA(VLOOKUP(E2398,Master!$H:$I,2,FALSE),"")</f>
        <v/>
      </c>
      <c r="F2398" s="26" t="str">
        <f>+_xlfn.XLOOKUP(G2398,Master!$V$2:$V$8,Master!$U$2:$U$8,"")</f>
        <v/>
      </c>
      <c r="I2398" s="4" t="str">
        <f>_xlfn.IFNA(VLOOKUP(D2398,Master!$I:$K,2,FALSE),"")</f>
        <v/>
      </c>
      <c r="J2398" s="4" t="str">
        <f>_xlfn.IFNA(VLOOKUP(D2398,Master!$I:$K,3,FALSE),"")</f>
        <v/>
      </c>
      <c r="L2398" s="27" t="str">
        <f>IF(A2398&lt;&gt;"CFA",_xlfn.IFNA(VLOOKUP($G2398,Master!$V$2:$Z$8,5,0),""),"")</f>
        <v/>
      </c>
      <c r="P2398" s="6" t="str">
        <f t="shared" si="74"/>
        <v/>
      </c>
      <c r="Q2398" s="13">
        <f t="shared" si="75"/>
        <v>0</v>
      </c>
    </row>
    <row r="2399" spans="2:17" ht="15" customHeight="1">
      <c r="B2399" s="5" t="str">
        <f>_xlfn.IFNA(VLOOKUP(C2399,Master!$H:$I,2,FALSE),"")</f>
        <v/>
      </c>
      <c r="D2399" s="5" t="str">
        <f>_xlfn.IFNA(VLOOKUP(E2399,Master!$H:$I,2,FALSE),"")</f>
        <v/>
      </c>
      <c r="F2399" s="26" t="str">
        <f>+_xlfn.XLOOKUP(G2399,Master!$V$2:$V$8,Master!$U$2:$U$8,"")</f>
        <v/>
      </c>
      <c r="I2399" s="4" t="str">
        <f>_xlfn.IFNA(VLOOKUP(D2399,Master!$I:$K,2,FALSE),"")</f>
        <v/>
      </c>
      <c r="J2399" s="4" t="str">
        <f>_xlfn.IFNA(VLOOKUP(D2399,Master!$I:$K,3,FALSE),"")</f>
        <v/>
      </c>
      <c r="L2399" s="27" t="str">
        <f>IF(A2399&lt;&gt;"CFA",_xlfn.IFNA(VLOOKUP($G2399,Master!$V$2:$Z$8,5,0),""),"")</f>
        <v/>
      </c>
      <c r="P2399" s="6" t="str">
        <f t="shared" si="74"/>
        <v/>
      </c>
      <c r="Q2399" s="13">
        <f t="shared" si="75"/>
        <v>0</v>
      </c>
    </row>
    <row r="2400" spans="2:17" ht="15" customHeight="1">
      <c r="B2400" s="5" t="str">
        <f>_xlfn.IFNA(VLOOKUP(C2400,Master!$H:$I,2,FALSE),"")</f>
        <v/>
      </c>
      <c r="D2400" s="5" t="str">
        <f>_xlfn.IFNA(VLOOKUP(E2400,Master!$H:$I,2,FALSE),"")</f>
        <v/>
      </c>
      <c r="F2400" s="26" t="str">
        <f>+_xlfn.XLOOKUP(G2400,Master!$V$2:$V$8,Master!$U$2:$U$8,"")</f>
        <v/>
      </c>
      <c r="I2400" s="4" t="str">
        <f>_xlfn.IFNA(VLOOKUP(D2400,Master!$I:$K,2,FALSE),"")</f>
        <v/>
      </c>
      <c r="J2400" s="4" t="str">
        <f>_xlfn.IFNA(VLOOKUP(D2400,Master!$I:$K,3,FALSE),"")</f>
        <v/>
      </c>
      <c r="L2400" s="27" t="str">
        <f>IF(A2400&lt;&gt;"CFA",_xlfn.IFNA(VLOOKUP($G2400,Master!$V$2:$Z$8,5,0),""),"")</f>
        <v/>
      </c>
      <c r="P2400" s="6" t="str">
        <f t="shared" si="74"/>
        <v/>
      </c>
      <c r="Q2400" s="13">
        <f t="shared" si="75"/>
        <v>0</v>
      </c>
    </row>
    <row r="2401" spans="2:17" ht="15" customHeight="1">
      <c r="B2401" s="5" t="str">
        <f>_xlfn.IFNA(VLOOKUP(C2401,Master!$H:$I,2,FALSE),"")</f>
        <v/>
      </c>
      <c r="D2401" s="5" t="str">
        <f>_xlfn.IFNA(VLOOKUP(E2401,Master!$H:$I,2,FALSE),"")</f>
        <v/>
      </c>
      <c r="F2401" s="26" t="str">
        <f>+_xlfn.XLOOKUP(G2401,Master!$V$2:$V$8,Master!$U$2:$U$8,"")</f>
        <v/>
      </c>
      <c r="I2401" s="4" t="str">
        <f>_xlfn.IFNA(VLOOKUP(D2401,Master!$I:$K,2,FALSE),"")</f>
        <v/>
      </c>
      <c r="J2401" s="4" t="str">
        <f>_xlfn.IFNA(VLOOKUP(D2401,Master!$I:$K,3,FALSE),"")</f>
        <v/>
      </c>
      <c r="L2401" s="27" t="str">
        <f>IF(A2401&lt;&gt;"CFA",_xlfn.IFNA(VLOOKUP($G2401,Master!$V$2:$Z$8,5,0),""),"")</f>
        <v/>
      </c>
      <c r="P2401" s="6" t="str">
        <f t="shared" si="74"/>
        <v/>
      </c>
      <c r="Q2401" s="13">
        <f t="shared" si="75"/>
        <v>0</v>
      </c>
    </row>
    <row r="2402" spans="2:17" ht="15" customHeight="1">
      <c r="B2402" s="5" t="str">
        <f>_xlfn.IFNA(VLOOKUP(C2402,Master!$H:$I,2,FALSE),"")</f>
        <v/>
      </c>
      <c r="D2402" s="5" t="str">
        <f>_xlfn.IFNA(VLOOKUP(E2402,Master!$H:$I,2,FALSE),"")</f>
        <v/>
      </c>
      <c r="F2402" s="26" t="str">
        <f>+_xlfn.XLOOKUP(G2402,Master!$V$2:$V$8,Master!$U$2:$U$8,"")</f>
        <v/>
      </c>
      <c r="I2402" s="4" t="str">
        <f>_xlfn.IFNA(VLOOKUP(D2402,Master!$I:$K,2,FALSE),"")</f>
        <v/>
      </c>
      <c r="J2402" s="4" t="str">
        <f>_xlfn.IFNA(VLOOKUP(D2402,Master!$I:$K,3,FALSE),"")</f>
        <v/>
      </c>
      <c r="L2402" s="27" t="str">
        <f>IF(A2402&lt;&gt;"CFA",_xlfn.IFNA(VLOOKUP($G2402,Master!$V$2:$Z$8,5,0),""),"")</f>
        <v/>
      </c>
      <c r="P2402" s="6" t="str">
        <f t="shared" si="74"/>
        <v/>
      </c>
      <c r="Q2402" s="13">
        <f t="shared" si="75"/>
        <v>0</v>
      </c>
    </row>
    <row r="2403" spans="2:17" ht="15" customHeight="1">
      <c r="B2403" s="5" t="str">
        <f>_xlfn.IFNA(VLOOKUP(C2403,Master!$H:$I,2,FALSE),"")</f>
        <v/>
      </c>
      <c r="D2403" s="5" t="str">
        <f>_xlfn.IFNA(VLOOKUP(E2403,Master!$H:$I,2,FALSE),"")</f>
        <v/>
      </c>
      <c r="F2403" s="26" t="str">
        <f>+_xlfn.XLOOKUP(G2403,Master!$V$2:$V$8,Master!$U$2:$U$8,"")</f>
        <v/>
      </c>
      <c r="I2403" s="4" t="str">
        <f>_xlfn.IFNA(VLOOKUP(D2403,Master!$I:$K,2,FALSE),"")</f>
        <v/>
      </c>
      <c r="J2403" s="4" t="str">
        <f>_xlfn.IFNA(VLOOKUP(D2403,Master!$I:$K,3,FALSE),"")</f>
        <v/>
      </c>
      <c r="L2403" s="27" t="str">
        <f>IF(A2403&lt;&gt;"CFA",_xlfn.IFNA(VLOOKUP($G2403,Master!$V$2:$Z$8,5,0),""),"")</f>
        <v/>
      </c>
      <c r="P2403" s="6" t="str">
        <f t="shared" si="74"/>
        <v/>
      </c>
      <c r="Q2403" s="13">
        <f t="shared" si="75"/>
        <v>0</v>
      </c>
    </row>
    <row r="2404" spans="2:17" ht="15" customHeight="1">
      <c r="B2404" s="5" t="str">
        <f>_xlfn.IFNA(VLOOKUP(C2404,Master!$H:$I,2,FALSE),"")</f>
        <v/>
      </c>
      <c r="D2404" s="5" t="str">
        <f>_xlfn.IFNA(VLOOKUP(E2404,Master!$H:$I,2,FALSE),"")</f>
        <v/>
      </c>
      <c r="F2404" s="26" t="str">
        <f>+_xlfn.XLOOKUP(G2404,Master!$V$2:$V$8,Master!$U$2:$U$8,"")</f>
        <v/>
      </c>
      <c r="I2404" s="4" t="str">
        <f>_xlfn.IFNA(VLOOKUP(D2404,Master!$I:$K,2,FALSE),"")</f>
        <v/>
      </c>
      <c r="J2404" s="4" t="str">
        <f>_xlfn.IFNA(VLOOKUP(D2404,Master!$I:$K,3,FALSE),"")</f>
        <v/>
      </c>
      <c r="L2404" s="27" t="str">
        <f>IF(A2404&lt;&gt;"CFA",_xlfn.IFNA(VLOOKUP($G2404,Master!$V$2:$Z$8,5,0),""),"")</f>
        <v/>
      </c>
      <c r="P2404" s="6" t="str">
        <f t="shared" si="74"/>
        <v/>
      </c>
      <c r="Q2404" s="13">
        <f t="shared" si="75"/>
        <v>0</v>
      </c>
    </row>
    <row r="2405" spans="2:17" ht="15" customHeight="1">
      <c r="B2405" s="5" t="str">
        <f>_xlfn.IFNA(VLOOKUP(C2405,Master!$H:$I,2,FALSE),"")</f>
        <v/>
      </c>
      <c r="D2405" s="5" t="str">
        <f>_xlfn.IFNA(VLOOKUP(E2405,Master!$H:$I,2,FALSE),"")</f>
        <v/>
      </c>
      <c r="F2405" s="26" t="str">
        <f>+_xlfn.XLOOKUP(G2405,Master!$V$2:$V$8,Master!$U$2:$U$8,"")</f>
        <v/>
      </c>
      <c r="I2405" s="4" t="str">
        <f>_xlfn.IFNA(VLOOKUP(D2405,Master!$I:$K,2,FALSE),"")</f>
        <v/>
      </c>
      <c r="J2405" s="4" t="str">
        <f>_xlfn.IFNA(VLOOKUP(D2405,Master!$I:$K,3,FALSE),"")</f>
        <v/>
      </c>
      <c r="L2405" s="27" t="str">
        <f>IF(A2405&lt;&gt;"CFA",_xlfn.IFNA(VLOOKUP($G2405,Master!$V$2:$Z$8,5,0),""),"")</f>
        <v/>
      </c>
      <c r="P2405" s="6" t="str">
        <f t="shared" si="74"/>
        <v/>
      </c>
      <c r="Q2405" s="13">
        <f t="shared" si="75"/>
        <v>0</v>
      </c>
    </row>
    <row r="2406" spans="2:17" ht="15" customHeight="1">
      <c r="B2406" s="5" t="str">
        <f>_xlfn.IFNA(VLOOKUP(C2406,Master!$H:$I,2,FALSE),"")</f>
        <v/>
      </c>
      <c r="D2406" s="5" t="str">
        <f>_xlfn.IFNA(VLOOKUP(E2406,Master!$H:$I,2,FALSE),"")</f>
        <v/>
      </c>
      <c r="F2406" s="26" t="str">
        <f>+_xlfn.XLOOKUP(G2406,Master!$V$2:$V$8,Master!$U$2:$U$8,"")</f>
        <v/>
      </c>
      <c r="I2406" s="4" t="str">
        <f>_xlfn.IFNA(VLOOKUP(D2406,Master!$I:$K,2,FALSE),"")</f>
        <v/>
      </c>
      <c r="J2406" s="4" t="str">
        <f>_xlfn.IFNA(VLOOKUP(D2406,Master!$I:$K,3,FALSE),"")</f>
        <v/>
      </c>
      <c r="L2406" s="27" t="str">
        <f>IF(A2406&lt;&gt;"CFA",_xlfn.IFNA(VLOOKUP($G2406,Master!$V$2:$Z$8,5,0),""),"")</f>
        <v/>
      </c>
      <c r="P2406" s="6" t="str">
        <f t="shared" si="74"/>
        <v/>
      </c>
      <c r="Q2406" s="13">
        <f t="shared" si="75"/>
        <v>0</v>
      </c>
    </row>
    <row r="2407" spans="2:17" ht="15" customHeight="1">
      <c r="B2407" s="5" t="str">
        <f>_xlfn.IFNA(VLOOKUP(C2407,Master!$H:$I,2,FALSE),"")</f>
        <v/>
      </c>
      <c r="D2407" s="5" t="str">
        <f>_xlfn.IFNA(VLOOKUP(E2407,Master!$H:$I,2,FALSE),"")</f>
        <v/>
      </c>
      <c r="F2407" s="26" t="str">
        <f>+_xlfn.XLOOKUP(G2407,Master!$V$2:$V$8,Master!$U$2:$U$8,"")</f>
        <v/>
      </c>
      <c r="I2407" s="4" t="str">
        <f>_xlfn.IFNA(VLOOKUP(D2407,Master!$I:$K,2,FALSE),"")</f>
        <v/>
      </c>
      <c r="J2407" s="4" t="str">
        <f>_xlfn.IFNA(VLOOKUP(D2407,Master!$I:$K,3,FALSE),"")</f>
        <v/>
      </c>
      <c r="L2407" s="27" t="str">
        <f>IF(A2407&lt;&gt;"CFA",_xlfn.IFNA(VLOOKUP($G2407,Master!$V$2:$Z$8,5,0),""),"")</f>
        <v/>
      </c>
      <c r="P2407" s="6" t="str">
        <f t="shared" si="74"/>
        <v/>
      </c>
      <c r="Q2407" s="13">
        <f t="shared" si="75"/>
        <v>0</v>
      </c>
    </row>
    <row r="2408" spans="2:17" ht="15" customHeight="1">
      <c r="B2408" s="5" t="str">
        <f>_xlfn.IFNA(VLOOKUP(C2408,Master!$H:$I,2,FALSE),"")</f>
        <v/>
      </c>
      <c r="D2408" s="5" t="str">
        <f>_xlfn.IFNA(VLOOKUP(E2408,Master!$H:$I,2,FALSE),"")</f>
        <v/>
      </c>
      <c r="F2408" s="26" t="str">
        <f>+_xlfn.XLOOKUP(G2408,Master!$V$2:$V$8,Master!$U$2:$U$8,"")</f>
        <v/>
      </c>
      <c r="I2408" s="4" t="str">
        <f>_xlfn.IFNA(VLOOKUP(D2408,Master!$I:$K,2,FALSE),"")</f>
        <v/>
      </c>
      <c r="J2408" s="4" t="str">
        <f>_xlfn.IFNA(VLOOKUP(D2408,Master!$I:$K,3,FALSE),"")</f>
        <v/>
      </c>
      <c r="L2408" s="27" t="str">
        <f>IF(A2408&lt;&gt;"CFA",_xlfn.IFNA(VLOOKUP($G2408,Master!$V$2:$Z$8,5,0),""),"")</f>
        <v/>
      </c>
      <c r="P2408" s="6" t="str">
        <f t="shared" si="74"/>
        <v/>
      </c>
      <c r="Q2408" s="13">
        <f t="shared" si="75"/>
        <v>0</v>
      </c>
    </row>
    <row r="2409" spans="2:17" ht="15" customHeight="1">
      <c r="B2409" s="5" t="str">
        <f>_xlfn.IFNA(VLOOKUP(C2409,Master!$H:$I,2,FALSE),"")</f>
        <v/>
      </c>
      <c r="D2409" s="5" t="str">
        <f>_xlfn.IFNA(VLOOKUP(E2409,Master!$H:$I,2,FALSE),"")</f>
        <v/>
      </c>
      <c r="F2409" s="26" t="str">
        <f>+_xlfn.XLOOKUP(G2409,Master!$V$2:$V$8,Master!$U$2:$U$8,"")</f>
        <v/>
      </c>
      <c r="I2409" s="4" t="str">
        <f>_xlfn.IFNA(VLOOKUP(D2409,Master!$I:$K,2,FALSE),"")</f>
        <v/>
      </c>
      <c r="J2409" s="4" t="str">
        <f>_xlfn.IFNA(VLOOKUP(D2409,Master!$I:$K,3,FALSE),"")</f>
        <v/>
      </c>
      <c r="L2409" s="27" t="str">
        <f>IF(A2409&lt;&gt;"CFA",_xlfn.IFNA(VLOOKUP($G2409,Master!$V$2:$Z$8,5,0),""),"")</f>
        <v/>
      </c>
      <c r="P2409" s="6" t="str">
        <f t="shared" si="74"/>
        <v/>
      </c>
      <c r="Q2409" s="13">
        <f t="shared" si="75"/>
        <v>0</v>
      </c>
    </row>
    <row r="2410" spans="2:17" ht="15" customHeight="1">
      <c r="B2410" s="5" t="str">
        <f>_xlfn.IFNA(VLOOKUP(C2410,Master!$H:$I,2,FALSE),"")</f>
        <v/>
      </c>
      <c r="D2410" s="5" t="str">
        <f>_xlfn.IFNA(VLOOKUP(E2410,Master!$H:$I,2,FALSE),"")</f>
        <v/>
      </c>
      <c r="F2410" s="26" t="str">
        <f>+_xlfn.XLOOKUP(G2410,Master!$V$2:$V$8,Master!$U$2:$U$8,"")</f>
        <v/>
      </c>
      <c r="I2410" s="4" t="str">
        <f>_xlfn.IFNA(VLOOKUP(D2410,Master!$I:$K,2,FALSE),"")</f>
        <v/>
      </c>
      <c r="J2410" s="4" t="str">
        <f>_xlfn.IFNA(VLOOKUP(D2410,Master!$I:$K,3,FALSE),"")</f>
        <v/>
      </c>
      <c r="L2410" s="27" t="str">
        <f>IF(A2410&lt;&gt;"CFA",_xlfn.IFNA(VLOOKUP($G2410,Master!$V$2:$Z$8,5,0),""),"")</f>
        <v/>
      </c>
      <c r="P2410" s="6" t="str">
        <f t="shared" si="74"/>
        <v/>
      </c>
      <c r="Q2410" s="13">
        <f t="shared" si="75"/>
        <v>0</v>
      </c>
    </row>
    <row r="2411" spans="2:17" ht="15" customHeight="1">
      <c r="B2411" s="5" t="str">
        <f>_xlfn.IFNA(VLOOKUP(C2411,Master!$H:$I,2,FALSE),"")</f>
        <v/>
      </c>
      <c r="D2411" s="5" t="str">
        <f>_xlfn.IFNA(VLOOKUP(E2411,Master!$H:$I,2,FALSE),"")</f>
        <v/>
      </c>
      <c r="F2411" s="26" t="str">
        <f>+_xlfn.XLOOKUP(G2411,Master!$V$2:$V$8,Master!$U$2:$U$8,"")</f>
        <v/>
      </c>
      <c r="I2411" s="4" t="str">
        <f>_xlfn.IFNA(VLOOKUP(D2411,Master!$I:$K,2,FALSE),"")</f>
        <v/>
      </c>
      <c r="J2411" s="4" t="str">
        <f>_xlfn.IFNA(VLOOKUP(D2411,Master!$I:$K,3,FALSE),"")</f>
        <v/>
      </c>
      <c r="L2411" s="27" t="str">
        <f>IF(A2411&lt;&gt;"CFA",_xlfn.IFNA(VLOOKUP($G2411,Master!$V$2:$Z$8,5,0),""),"")</f>
        <v/>
      </c>
      <c r="P2411" s="6" t="str">
        <f t="shared" si="74"/>
        <v/>
      </c>
      <c r="Q2411" s="13">
        <f t="shared" si="75"/>
        <v>0</v>
      </c>
    </row>
    <row r="2412" spans="2:17" ht="15" customHeight="1">
      <c r="B2412" s="5" t="str">
        <f>_xlfn.IFNA(VLOOKUP(C2412,Master!$H:$I,2,FALSE),"")</f>
        <v/>
      </c>
      <c r="D2412" s="5" t="str">
        <f>_xlfn.IFNA(VLOOKUP(E2412,Master!$H:$I,2,FALSE),"")</f>
        <v/>
      </c>
      <c r="F2412" s="26" t="str">
        <f>+_xlfn.XLOOKUP(G2412,Master!$V$2:$V$8,Master!$U$2:$U$8,"")</f>
        <v/>
      </c>
      <c r="I2412" s="4" t="str">
        <f>_xlfn.IFNA(VLOOKUP(D2412,Master!$I:$K,2,FALSE),"")</f>
        <v/>
      </c>
      <c r="J2412" s="4" t="str">
        <f>_xlfn.IFNA(VLOOKUP(D2412,Master!$I:$K,3,FALSE),"")</f>
        <v/>
      </c>
      <c r="L2412" s="27" t="str">
        <f>IF(A2412&lt;&gt;"CFA",_xlfn.IFNA(VLOOKUP($G2412,Master!$V$2:$Z$8,5,0),""),"")</f>
        <v/>
      </c>
      <c r="P2412" s="6" t="str">
        <f t="shared" si="74"/>
        <v/>
      </c>
      <c r="Q2412" s="13">
        <f t="shared" si="75"/>
        <v>0</v>
      </c>
    </row>
    <row r="2413" spans="2:17" ht="15" customHeight="1">
      <c r="B2413" s="5" t="str">
        <f>_xlfn.IFNA(VLOOKUP(C2413,Master!$H:$I,2,FALSE),"")</f>
        <v/>
      </c>
      <c r="D2413" s="5" t="str">
        <f>_xlfn.IFNA(VLOOKUP(E2413,Master!$H:$I,2,FALSE),"")</f>
        <v/>
      </c>
      <c r="F2413" s="26" t="str">
        <f>+_xlfn.XLOOKUP(G2413,Master!$V$2:$V$8,Master!$U$2:$U$8,"")</f>
        <v/>
      </c>
      <c r="I2413" s="4" t="str">
        <f>_xlfn.IFNA(VLOOKUP(D2413,Master!$I:$K,2,FALSE),"")</f>
        <v/>
      </c>
      <c r="J2413" s="4" t="str">
        <f>_xlfn.IFNA(VLOOKUP(D2413,Master!$I:$K,3,FALSE),"")</f>
        <v/>
      </c>
      <c r="L2413" s="27" t="str">
        <f>IF(A2413&lt;&gt;"CFA",_xlfn.IFNA(VLOOKUP($G2413,Master!$V$2:$Z$8,5,0),""),"")</f>
        <v/>
      </c>
      <c r="P2413" s="6" t="str">
        <f t="shared" si="74"/>
        <v/>
      </c>
      <c r="Q2413" s="13">
        <f t="shared" si="75"/>
        <v>0</v>
      </c>
    </row>
    <row r="2414" spans="2:17" ht="15" customHeight="1">
      <c r="B2414" s="5" t="str">
        <f>_xlfn.IFNA(VLOOKUP(C2414,Master!$H:$I,2,FALSE),"")</f>
        <v/>
      </c>
      <c r="D2414" s="5" t="str">
        <f>_xlfn.IFNA(VLOOKUP(E2414,Master!$H:$I,2,FALSE),"")</f>
        <v/>
      </c>
      <c r="F2414" s="26" t="str">
        <f>+_xlfn.XLOOKUP(G2414,Master!$V$2:$V$8,Master!$U$2:$U$8,"")</f>
        <v/>
      </c>
      <c r="I2414" s="4" t="str">
        <f>_xlfn.IFNA(VLOOKUP(D2414,Master!$I:$K,2,FALSE),"")</f>
        <v/>
      </c>
      <c r="J2414" s="4" t="str">
        <f>_xlfn.IFNA(VLOOKUP(D2414,Master!$I:$K,3,FALSE),"")</f>
        <v/>
      </c>
      <c r="L2414" s="27" t="str">
        <f>IF(A2414&lt;&gt;"CFA",_xlfn.IFNA(VLOOKUP($G2414,Master!$V$2:$Z$8,5,0),""),"")</f>
        <v/>
      </c>
      <c r="P2414" s="6" t="str">
        <f t="shared" si="74"/>
        <v/>
      </c>
      <c r="Q2414" s="13">
        <f t="shared" si="75"/>
        <v>0</v>
      </c>
    </row>
    <row r="2415" spans="2:17" ht="15" customHeight="1">
      <c r="B2415" s="5" t="str">
        <f>_xlfn.IFNA(VLOOKUP(C2415,Master!$H:$I,2,FALSE),"")</f>
        <v/>
      </c>
      <c r="D2415" s="5" t="str">
        <f>_xlfn.IFNA(VLOOKUP(E2415,Master!$H:$I,2,FALSE),"")</f>
        <v/>
      </c>
      <c r="F2415" s="26" t="str">
        <f>+_xlfn.XLOOKUP(G2415,Master!$V$2:$V$8,Master!$U$2:$U$8,"")</f>
        <v/>
      </c>
      <c r="I2415" s="4" t="str">
        <f>_xlfn.IFNA(VLOOKUP(D2415,Master!$I:$K,2,FALSE),"")</f>
        <v/>
      </c>
      <c r="J2415" s="4" t="str">
        <f>_xlfn.IFNA(VLOOKUP(D2415,Master!$I:$K,3,FALSE),"")</f>
        <v/>
      </c>
      <c r="L2415" s="27" t="str">
        <f>IF(A2415&lt;&gt;"CFA",_xlfn.IFNA(VLOOKUP($G2415,Master!$V$2:$Z$8,5,0),""),"")</f>
        <v/>
      </c>
      <c r="P2415" s="6" t="str">
        <f t="shared" si="74"/>
        <v/>
      </c>
      <c r="Q2415" s="13">
        <f t="shared" si="75"/>
        <v>0</v>
      </c>
    </row>
    <row r="2416" spans="2:17" ht="15" customHeight="1">
      <c r="B2416" s="5" t="str">
        <f>_xlfn.IFNA(VLOOKUP(C2416,Master!$H:$I,2,FALSE),"")</f>
        <v/>
      </c>
      <c r="D2416" s="5" t="str">
        <f>_xlfn.IFNA(VLOOKUP(E2416,Master!$H:$I,2,FALSE),"")</f>
        <v/>
      </c>
      <c r="F2416" s="26" t="str">
        <f>+_xlfn.XLOOKUP(G2416,Master!$V$2:$V$8,Master!$U$2:$U$8,"")</f>
        <v/>
      </c>
      <c r="I2416" s="4" t="str">
        <f>_xlfn.IFNA(VLOOKUP(D2416,Master!$I:$K,2,FALSE),"")</f>
        <v/>
      </c>
      <c r="J2416" s="4" t="str">
        <f>_xlfn.IFNA(VLOOKUP(D2416,Master!$I:$K,3,FALSE),"")</f>
        <v/>
      </c>
      <c r="L2416" s="27" t="str">
        <f>IF(A2416&lt;&gt;"CFA",_xlfn.IFNA(VLOOKUP($G2416,Master!$V$2:$Z$8,5,0),""),"")</f>
        <v/>
      </c>
      <c r="P2416" s="6" t="str">
        <f t="shared" si="74"/>
        <v/>
      </c>
      <c r="Q2416" s="13">
        <f t="shared" si="75"/>
        <v>0</v>
      </c>
    </row>
    <row r="2417" spans="2:17" ht="15" customHeight="1">
      <c r="B2417" s="5" t="str">
        <f>_xlfn.IFNA(VLOOKUP(C2417,Master!$H:$I,2,FALSE),"")</f>
        <v/>
      </c>
      <c r="D2417" s="5" t="str">
        <f>_xlfn.IFNA(VLOOKUP(E2417,Master!$H:$I,2,FALSE),"")</f>
        <v/>
      </c>
      <c r="F2417" s="26" t="str">
        <f>+_xlfn.XLOOKUP(G2417,Master!$V$2:$V$8,Master!$U$2:$U$8,"")</f>
        <v/>
      </c>
      <c r="I2417" s="4" t="str">
        <f>_xlfn.IFNA(VLOOKUP(D2417,Master!$I:$K,2,FALSE),"")</f>
        <v/>
      </c>
      <c r="J2417" s="4" t="str">
        <f>_xlfn.IFNA(VLOOKUP(D2417,Master!$I:$K,3,FALSE),"")</f>
        <v/>
      </c>
      <c r="L2417" s="27" t="str">
        <f>IF(A2417&lt;&gt;"CFA",_xlfn.IFNA(VLOOKUP($G2417,Master!$V$2:$Z$8,5,0),""),"")</f>
        <v/>
      </c>
      <c r="P2417" s="6" t="str">
        <f t="shared" si="74"/>
        <v/>
      </c>
      <c r="Q2417" s="13">
        <f t="shared" si="75"/>
        <v>0</v>
      </c>
    </row>
    <row r="2418" spans="2:17" ht="15" customHeight="1">
      <c r="B2418" s="5" t="str">
        <f>_xlfn.IFNA(VLOOKUP(C2418,Master!$H:$I,2,FALSE),"")</f>
        <v/>
      </c>
      <c r="D2418" s="5" t="str">
        <f>_xlfn.IFNA(VLOOKUP(E2418,Master!$H:$I,2,FALSE),"")</f>
        <v/>
      </c>
      <c r="F2418" s="26" t="str">
        <f>+_xlfn.XLOOKUP(G2418,Master!$V$2:$V$8,Master!$U$2:$U$8,"")</f>
        <v/>
      </c>
      <c r="I2418" s="4" t="str">
        <f>_xlfn.IFNA(VLOOKUP(D2418,Master!$I:$K,2,FALSE),"")</f>
        <v/>
      </c>
      <c r="J2418" s="4" t="str">
        <f>_xlfn.IFNA(VLOOKUP(D2418,Master!$I:$K,3,FALSE),"")</f>
        <v/>
      </c>
      <c r="L2418" s="27" t="str">
        <f>IF(A2418&lt;&gt;"CFA",_xlfn.IFNA(VLOOKUP($G2418,Master!$V$2:$Z$8,5,0),""),"")</f>
        <v/>
      </c>
      <c r="P2418" s="6" t="str">
        <f t="shared" si="74"/>
        <v/>
      </c>
      <c r="Q2418" s="13">
        <f t="shared" si="75"/>
        <v>0</v>
      </c>
    </row>
    <row r="2419" spans="2:17" ht="15" customHeight="1">
      <c r="B2419" s="5" t="str">
        <f>_xlfn.IFNA(VLOOKUP(C2419,Master!$H:$I,2,FALSE),"")</f>
        <v/>
      </c>
      <c r="D2419" s="5" t="str">
        <f>_xlfn.IFNA(VLOOKUP(E2419,Master!$H:$I,2,FALSE),"")</f>
        <v/>
      </c>
      <c r="F2419" s="26" t="str">
        <f>+_xlfn.XLOOKUP(G2419,Master!$V$2:$V$8,Master!$U$2:$U$8,"")</f>
        <v/>
      </c>
      <c r="I2419" s="4" t="str">
        <f>_xlfn.IFNA(VLOOKUP(D2419,Master!$I:$K,2,FALSE),"")</f>
        <v/>
      </c>
      <c r="J2419" s="4" t="str">
        <f>_xlfn.IFNA(VLOOKUP(D2419,Master!$I:$K,3,FALSE),"")</f>
        <v/>
      </c>
      <c r="L2419" s="27" t="str">
        <f>IF(A2419&lt;&gt;"CFA",_xlfn.IFNA(VLOOKUP($G2419,Master!$V$2:$Z$8,5,0),""),"")</f>
        <v/>
      </c>
      <c r="P2419" s="6" t="str">
        <f t="shared" si="74"/>
        <v/>
      </c>
      <c r="Q2419" s="13">
        <f t="shared" si="75"/>
        <v>0</v>
      </c>
    </row>
    <row r="2420" spans="2:17" ht="15" customHeight="1">
      <c r="B2420" s="5" t="str">
        <f>_xlfn.IFNA(VLOOKUP(C2420,Master!$H:$I,2,FALSE),"")</f>
        <v/>
      </c>
      <c r="D2420" s="5" t="str">
        <f>_xlfn.IFNA(VLOOKUP(E2420,Master!$H:$I,2,FALSE),"")</f>
        <v/>
      </c>
      <c r="F2420" s="26" t="str">
        <f>+_xlfn.XLOOKUP(G2420,Master!$V$2:$V$8,Master!$U$2:$U$8,"")</f>
        <v/>
      </c>
      <c r="I2420" s="4" t="str">
        <f>_xlfn.IFNA(VLOOKUP(D2420,Master!$I:$K,2,FALSE),"")</f>
        <v/>
      </c>
      <c r="J2420" s="4" t="str">
        <f>_xlfn.IFNA(VLOOKUP(D2420,Master!$I:$K,3,FALSE),"")</f>
        <v/>
      </c>
      <c r="L2420" s="27" t="str">
        <f>IF(A2420&lt;&gt;"CFA",_xlfn.IFNA(VLOOKUP($G2420,Master!$V$2:$Z$8,5,0),""),"")</f>
        <v/>
      </c>
      <c r="P2420" s="6" t="str">
        <f t="shared" si="74"/>
        <v/>
      </c>
      <c r="Q2420" s="13">
        <f t="shared" si="75"/>
        <v>0</v>
      </c>
    </row>
    <row r="2421" spans="2:17" ht="15" customHeight="1">
      <c r="B2421" s="5" t="str">
        <f>_xlfn.IFNA(VLOOKUP(C2421,Master!$H:$I,2,FALSE),"")</f>
        <v/>
      </c>
      <c r="D2421" s="5" t="str">
        <f>_xlfn.IFNA(VLOOKUP(E2421,Master!$H:$I,2,FALSE),"")</f>
        <v/>
      </c>
      <c r="F2421" s="26" t="str">
        <f>+_xlfn.XLOOKUP(G2421,Master!$V$2:$V$8,Master!$U$2:$U$8,"")</f>
        <v/>
      </c>
      <c r="I2421" s="4" t="str">
        <f>_xlfn.IFNA(VLOOKUP(D2421,Master!$I:$K,2,FALSE),"")</f>
        <v/>
      </c>
      <c r="J2421" s="4" t="str">
        <f>_xlfn.IFNA(VLOOKUP(D2421,Master!$I:$K,3,FALSE),"")</f>
        <v/>
      </c>
      <c r="L2421" s="27" t="str">
        <f>IF(A2421&lt;&gt;"CFA",_xlfn.IFNA(VLOOKUP($G2421,Master!$V$2:$Z$8,5,0),""),"")</f>
        <v/>
      </c>
      <c r="P2421" s="6" t="str">
        <f t="shared" si="74"/>
        <v/>
      </c>
      <c r="Q2421" s="13">
        <f t="shared" si="75"/>
        <v>0</v>
      </c>
    </row>
    <row r="2422" spans="2:17" ht="15" customHeight="1">
      <c r="B2422" s="5" t="str">
        <f>_xlfn.IFNA(VLOOKUP(C2422,Master!$H:$I,2,FALSE),"")</f>
        <v/>
      </c>
      <c r="D2422" s="5" t="str">
        <f>_xlfn.IFNA(VLOOKUP(E2422,Master!$H:$I,2,FALSE),"")</f>
        <v/>
      </c>
      <c r="F2422" s="26" t="str">
        <f>+_xlfn.XLOOKUP(G2422,Master!$V$2:$V$8,Master!$U$2:$U$8,"")</f>
        <v/>
      </c>
      <c r="I2422" s="4" t="str">
        <f>_xlfn.IFNA(VLOOKUP(D2422,Master!$I:$K,2,FALSE),"")</f>
        <v/>
      </c>
      <c r="J2422" s="4" t="str">
        <f>_xlfn.IFNA(VLOOKUP(D2422,Master!$I:$K,3,FALSE),"")</f>
        <v/>
      </c>
      <c r="L2422" s="27" t="str">
        <f>IF(A2422&lt;&gt;"CFA",_xlfn.IFNA(VLOOKUP($G2422,Master!$V$2:$Z$8,5,0),""),"")</f>
        <v/>
      </c>
      <c r="P2422" s="6" t="str">
        <f t="shared" si="74"/>
        <v/>
      </c>
      <c r="Q2422" s="13">
        <f t="shared" si="75"/>
        <v>0</v>
      </c>
    </row>
    <row r="2423" spans="2:17" ht="15" customHeight="1">
      <c r="B2423" s="5" t="str">
        <f>_xlfn.IFNA(VLOOKUP(C2423,Master!$H:$I,2,FALSE),"")</f>
        <v/>
      </c>
      <c r="D2423" s="5" t="str">
        <f>_xlfn.IFNA(VLOOKUP(E2423,Master!$H:$I,2,FALSE),"")</f>
        <v/>
      </c>
      <c r="F2423" s="26" t="str">
        <f>+_xlfn.XLOOKUP(G2423,Master!$V$2:$V$8,Master!$U$2:$U$8,"")</f>
        <v/>
      </c>
      <c r="I2423" s="4" t="str">
        <f>_xlfn.IFNA(VLOOKUP(D2423,Master!$I:$K,2,FALSE),"")</f>
        <v/>
      </c>
      <c r="J2423" s="4" t="str">
        <f>_xlfn.IFNA(VLOOKUP(D2423,Master!$I:$K,3,FALSE),"")</f>
        <v/>
      </c>
      <c r="L2423" s="27" t="str">
        <f>IF(A2423&lt;&gt;"CFA",_xlfn.IFNA(VLOOKUP($G2423,Master!$V$2:$Z$8,5,0),""),"")</f>
        <v/>
      </c>
      <c r="P2423" s="6" t="str">
        <f t="shared" ref="P2423:P2486" si="76">IF(N2423&lt;&gt;"",IF(MONTH(N2423)&gt;=4,"FY1"&amp;RIGHT(YEAR(N2423)+1,2),"FY1"&amp;RIGHT(YEAR(N2423),2)),"")</f>
        <v/>
      </c>
      <c r="Q2423" s="13">
        <f t="shared" ref="Q2423:Q2486" si="77">IF(K2423&gt;0&amp;M2423&gt;0,K2423*M2423,"")</f>
        <v>0</v>
      </c>
    </row>
    <row r="2424" spans="2:17" ht="15" customHeight="1">
      <c r="B2424" s="5" t="str">
        <f>_xlfn.IFNA(VLOOKUP(C2424,Master!$H:$I,2,FALSE),"")</f>
        <v/>
      </c>
      <c r="D2424" s="5" t="str">
        <f>_xlfn.IFNA(VLOOKUP(E2424,Master!$H:$I,2,FALSE),"")</f>
        <v/>
      </c>
      <c r="F2424" s="26" t="str">
        <f>+_xlfn.XLOOKUP(G2424,Master!$V$2:$V$8,Master!$U$2:$U$8,"")</f>
        <v/>
      </c>
      <c r="I2424" s="4" t="str">
        <f>_xlfn.IFNA(VLOOKUP(D2424,Master!$I:$K,2,FALSE),"")</f>
        <v/>
      </c>
      <c r="J2424" s="4" t="str">
        <f>_xlfn.IFNA(VLOOKUP(D2424,Master!$I:$K,3,FALSE),"")</f>
        <v/>
      </c>
      <c r="L2424" s="27" t="str">
        <f>IF(A2424&lt;&gt;"CFA",_xlfn.IFNA(VLOOKUP($G2424,Master!$V$2:$Z$8,5,0),""),"")</f>
        <v/>
      </c>
      <c r="P2424" s="6" t="str">
        <f t="shared" si="76"/>
        <v/>
      </c>
      <c r="Q2424" s="13">
        <f t="shared" si="77"/>
        <v>0</v>
      </c>
    </row>
    <row r="2425" spans="2:17" ht="15" customHeight="1">
      <c r="B2425" s="5" t="str">
        <f>_xlfn.IFNA(VLOOKUP(C2425,Master!$H:$I,2,FALSE),"")</f>
        <v/>
      </c>
      <c r="D2425" s="5" t="str">
        <f>_xlfn.IFNA(VLOOKUP(E2425,Master!$H:$I,2,FALSE),"")</f>
        <v/>
      </c>
      <c r="F2425" s="26" t="str">
        <f>+_xlfn.XLOOKUP(G2425,Master!$V$2:$V$8,Master!$U$2:$U$8,"")</f>
        <v/>
      </c>
      <c r="I2425" s="4" t="str">
        <f>_xlfn.IFNA(VLOOKUP(D2425,Master!$I:$K,2,FALSE),"")</f>
        <v/>
      </c>
      <c r="J2425" s="4" t="str">
        <f>_xlfn.IFNA(VLOOKUP(D2425,Master!$I:$K,3,FALSE),"")</f>
        <v/>
      </c>
      <c r="L2425" s="27" t="str">
        <f>IF(A2425&lt;&gt;"CFA",_xlfn.IFNA(VLOOKUP($G2425,Master!$V$2:$Z$8,5,0),""),"")</f>
        <v/>
      </c>
      <c r="P2425" s="6" t="str">
        <f t="shared" si="76"/>
        <v/>
      </c>
      <c r="Q2425" s="13">
        <f t="shared" si="77"/>
        <v>0</v>
      </c>
    </row>
    <row r="2426" spans="2:17" ht="15" customHeight="1">
      <c r="B2426" s="5" t="str">
        <f>_xlfn.IFNA(VLOOKUP(C2426,Master!$H:$I,2,FALSE),"")</f>
        <v/>
      </c>
      <c r="D2426" s="5" t="str">
        <f>_xlfn.IFNA(VLOOKUP(E2426,Master!$H:$I,2,FALSE),"")</f>
        <v/>
      </c>
      <c r="F2426" s="26" t="str">
        <f>+_xlfn.XLOOKUP(G2426,Master!$V$2:$V$8,Master!$U$2:$U$8,"")</f>
        <v/>
      </c>
      <c r="I2426" s="4" t="str">
        <f>_xlfn.IFNA(VLOOKUP(D2426,Master!$I:$K,2,FALSE),"")</f>
        <v/>
      </c>
      <c r="J2426" s="4" t="str">
        <f>_xlfn.IFNA(VLOOKUP(D2426,Master!$I:$K,3,FALSE),"")</f>
        <v/>
      </c>
      <c r="L2426" s="27" t="str">
        <f>IF(A2426&lt;&gt;"CFA",_xlfn.IFNA(VLOOKUP($G2426,Master!$V$2:$Z$8,5,0),""),"")</f>
        <v/>
      </c>
      <c r="P2426" s="6" t="str">
        <f t="shared" si="76"/>
        <v/>
      </c>
      <c r="Q2426" s="13">
        <f t="shared" si="77"/>
        <v>0</v>
      </c>
    </row>
    <row r="2427" spans="2:17" ht="15" customHeight="1">
      <c r="B2427" s="5" t="str">
        <f>_xlfn.IFNA(VLOOKUP(C2427,Master!$H:$I,2,FALSE),"")</f>
        <v/>
      </c>
      <c r="D2427" s="5" t="str">
        <f>_xlfn.IFNA(VLOOKUP(E2427,Master!$H:$I,2,FALSE),"")</f>
        <v/>
      </c>
      <c r="F2427" s="26" t="str">
        <f>+_xlfn.XLOOKUP(G2427,Master!$V$2:$V$8,Master!$U$2:$U$8,"")</f>
        <v/>
      </c>
      <c r="I2427" s="4" t="str">
        <f>_xlfn.IFNA(VLOOKUP(D2427,Master!$I:$K,2,FALSE),"")</f>
        <v/>
      </c>
      <c r="J2427" s="4" t="str">
        <f>_xlfn.IFNA(VLOOKUP(D2427,Master!$I:$K,3,FALSE),"")</f>
        <v/>
      </c>
      <c r="L2427" s="27" t="str">
        <f>IF(A2427&lt;&gt;"CFA",_xlfn.IFNA(VLOOKUP($G2427,Master!$V$2:$Z$8,5,0),""),"")</f>
        <v/>
      </c>
      <c r="P2427" s="6" t="str">
        <f t="shared" si="76"/>
        <v/>
      </c>
      <c r="Q2427" s="13">
        <f t="shared" si="77"/>
        <v>0</v>
      </c>
    </row>
    <row r="2428" spans="2:17" ht="15" customHeight="1">
      <c r="B2428" s="5" t="str">
        <f>_xlfn.IFNA(VLOOKUP(C2428,Master!$H:$I,2,FALSE),"")</f>
        <v/>
      </c>
      <c r="D2428" s="5" t="str">
        <f>_xlfn.IFNA(VLOOKUP(E2428,Master!$H:$I,2,FALSE),"")</f>
        <v/>
      </c>
      <c r="F2428" s="26" t="str">
        <f>+_xlfn.XLOOKUP(G2428,Master!$V$2:$V$8,Master!$U$2:$U$8,"")</f>
        <v/>
      </c>
      <c r="I2428" s="4" t="str">
        <f>_xlfn.IFNA(VLOOKUP(D2428,Master!$I:$K,2,FALSE),"")</f>
        <v/>
      </c>
      <c r="J2428" s="4" t="str">
        <f>_xlfn.IFNA(VLOOKUP(D2428,Master!$I:$K,3,FALSE),"")</f>
        <v/>
      </c>
      <c r="L2428" s="27" t="str">
        <f>IF(A2428&lt;&gt;"CFA",_xlfn.IFNA(VLOOKUP($G2428,Master!$V$2:$Z$8,5,0),""),"")</f>
        <v/>
      </c>
      <c r="P2428" s="6" t="str">
        <f t="shared" si="76"/>
        <v/>
      </c>
      <c r="Q2428" s="13">
        <f t="shared" si="77"/>
        <v>0</v>
      </c>
    </row>
    <row r="2429" spans="2:17" ht="15" customHeight="1">
      <c r="B2429" s="5" t="str">
        <f>_xlfn.IFNA(VLOOKUP(C2429,Master!$H:$I,2,FALSE),"")</f>
        <v/>
      </c>
      <c r="D2429" s="5" t="str">
        <f>_xlfn.IFNA(VLOOKUP(E2429,Master!$H:$I,2,FALSE),"")</f>
        <v/>
      </c>
      <c r="F2429" s="26" t="str">
        <f>+_xlfn.XLOOKUP(G2429,Master!$V$2:$V$8,Master!$U$2:$U$8,"")</f>
        <v/>
      </c>
      <c r="I2429" s="4" t="str">
        <f>_xlfn.IFNA(VLOOKUP(D2429,Master!$I:$K,2,FALSE),"")</f>
        <v/>
      </c>
      <c r="J2429" s="4" t="str">
        <f>_xlfn.IFNA(VLOOKUP(D2429,Master!$I:$K,3,FALSE),"")</f>
        <v/>
      </c>
      <c r="L2429" s="27" t="str">
        <f>IF(A2429&lt;&gt;"CFA",_xlfn.IFNA(VLOOKUP($G2429,Master!$V$2:$Z$8,5,0),""),"")</f>
        <v/>
      </c>
      <c r="P2429" s="6" t="str">
        <f t="shared" si="76"/>
        <v/>
      </c>
      <c r="Q2429" s="13">
        <f t="shared" si="77"/>
        <v>0</v>
      </c>
    </row>
    <row r="2430" spans="2:17" ht="15" customHeight="1">
      <c r="B2430" s="5" t="str">
        <f>_xlfn.IFNA(VLOOKUP(C2430,Master!$H:$I,2,FALSE),"")</f>
        <v/>
      </c>
      <c r="D2430" s="5" t="str">
        <f>_xlfn.IFNA(VLOOKUP(E2430,Master!$H:$I,2,FALSE),"")</f>
        <v/>
      </c>
      <c r="F2430" s="26" t="str">
        <f>+_xlfn.XLOOKUP(G2430,Master!$V$2:$V$8,Master!$U$2:$U$8,"")</f>
        <v/>
      </c>
      <c r="I2430" s="4" t="str">
        <f>_xlfn.IFNA(VLOOKUP(D2430,Master!$I:$K,2,FALSE),"")</f>
        <v/>
      </c>
      <c r="J2430" s="4" t="str">
        <f>_xlfn.IFNA(VLOOKUP(D2430,Master!$I:$K,3,FALSE),"")</f>
        <v/>
      </c>
      <c r="L2430" s="27" t="str">
        <f>IF(A2430&lt;&gt;"CFA",_xlfn.IFNA(VLOOKUP($G2430,Master!$V$2:$Z$8,5,0),""),"")</f>
        <v/>
      </c>
      <c r="P2430" s="6" t="str">
        <f t="shared" si="76"/>
        <v/>
      </c>
      <c r="Q2430" s="13">
        <f t="shared" si="77"/>
        <v>0</v>
      </c>
    </row>
    <row r="2431" spans="2:17" ht="15" customHeight="1">
      <c r="B2431" s="5" t="str">
        <f>_xlfn.IFNA(VLOOKUP(C2431,Master!$H:$I,2,FALSE),"")</f>
        <v/>
      </c>
      <c r="D2431" s="5" t="str">
        <f>_xlfn.IFNA(VLOOKUP(E2431,Master!$H:$I,2,FALSE),"")</f>
        <v/>
      </c>
      <c r="F2431" s="26" t="str">
        <f>+_xlfn.XLOOKUP(G2431,Master!$V$2:$V$8,Master!$U$2:$U$8,"")</f>
        <v/>
      </c>
      <c r="I2431" s="4" t="str">
        <f>_xlfn.IFNA(VLOOKUP(D2431,Master!$I:$K,2,FALSE),"")</f>
        <v/>
      </c>
      <c r="J2431" s="4" t="str">
        <f>_xlfn.IFNA(VLOOKUP(D2431,Master!$I:$K,3,FALSE),"")</f>
        <v/>
      </c>
      <c r="L2431" s="27" t="str">
        <f>IF(A2431&lt;&gt;"CFA",_xlfn.IFNA(VLOOKUP($G2431,Master!$V$2:$Z$8,5,0),""),"")</f>
        <v/>
      </c>
      <c r="P2431" s="6" t="str">
        <f t="shared" si="76"/>
        <v/>
      </c>
      <c r="Q2431" s="13">
        <f t="shared" si="77"/>
        <v>0</v>
      </c>
    </row>
    <row r="2432" spans="2:17" ht="15" customHeight="1">
      <c r="B2432" s="5" t="str">
        <f>_xlfn.IFNA(VLOOKUP(C2432,Master!$H:$I,2,FALSE),"")</f>
        <v/>
      </c>
      <c r="D2432" s="5" t="str">
        <f>_xlfn.IFNA(VLOOKUP(E2432,Master!$H:$I,2,FALSE),"")</f>
        <v/>
      </c>
      <c r="F2432" s="26" t="str">
        <f>+_xlfn.XLOOKUP(G2432,Master!$V$2:$V$8,Master!$U$2:$U$8,"")</f>
        <v/>
      </c>
      <c r="I2432" s="4" t="str">
        <f>_xlfn.IFNA(VLOOKUP(D2432,Master!$I:$K,2,FALSE),"")</f>
        <v/>
      </c>
      <c r="J2432" s="4" t="str">
        <f>_xlfn.IFNA(VLOOKUP(D2432,Master!$I:$K,3,FALSE),"")</f>
        <v/>
      </c>
      <c r="L2432" s="27" t="str">
        <f>IF(A2432&lt;&gt;"CFA",_xlfn.IFNA(VLOOKUP($G2432,Master!$V$2:$Z$8,5,0),""),"")</f>
        <v/>
      </c>
      <c r="P2432" s="6" t="str">
        <f t="shared" si="76"/>
        <v/>
      </c>
      <c r="Q2432" s="13">
        <f t="shared" si="77"/>
        <v>0</v>
      </c>
    </row>
    <row r="2433" spans="2:17" ht="15" customHeight="1">
      <c r="B2433" s="5" t="str">
        <f>_xlfn.IFNA(VLOOKUP(C2433,Master!$H:$I,2,FALSE),"")</f>
        <v/>
      </c>
      <c r="D2433" s="5" t="str">
        <f>_xlfn.IFNA(VLOOKUP(E2433,Master!$H:$I,2,FALSE),"")</f>
        <v/>
      </c>
      <c r="F2433" s="26" t="str">
        <f>+_xlfn.XLOOKUP(G2433,Master!$V$2:$V$8,Master!$U$2:$U$8,"")</f>
        <v/>
      </c>
      <c r="I2433" s="4" t="str">
        <f>_xlfn.IFNA(VLOOKUP(D2433,Master!$I:$K,2,FALSE),"")</f>
        <v/>
      </c>
      <c r="J2433" s="4" t="str">
        <f>_xlfn.IFNA(VLOOKUP(D2433,Master!$I:$K,3,FALSE),"")</f>
        <v/>
      </c>
      <c r="L2433" s="27" t="str">
        <f>IF(A2433&lt;&gt;"CFA",_xlfn.IFNA(VLOOKUP($G2433,Master!$V$2:$Z$8,5,0),""),"")</f>
        <v/>
      </c>
      <c r="P2433" s="6" t="str">
        <f t="shared" si="76"/>
        <v/>
      </c>
      <c r="Q2433" s="13">
        <f t="shared" si="77"/>
        <v>0</v>
      </c>
    </row>
    <row r="2434" spans="2:17" ht="15" customHeight="1">
      <c r="B2434" s="5" t="str">
        <f>_xlfn.IFNA(VLOOKUP(C2434,Master!$H:$I,2,FALSE),"")</f>
        <v/>
      </c>
      <c r="D2434" s="5" t="str">
        <f>_xlfn.IFNA(VLOOKUP(E2434,Master!$H:$I,2,FALSE),"")</f>
        <v/>
      </c>
      <c r="F2434" s="26" t="str">
        <f>+_xlfn.XLOOKUP(G2434,Master!$V$2:$V$8,Master!$U$2:$U$8,"")</f>
        <v/>
      </c>
      <c r="I2434" s="4" t="str">
        <f>_xlfn.IFNA(VLOOKUP(D2434,Master!$I:$K,2,FALSE),"")</f>
        <v/>
      </c>
      <c r="J2434" s="4" t="str">
        <f>_xlfn.IFNA(VLOOKUP(D2434,Master!$I:$K,3,FALSE),"")</f>
        <v/>
      </c>
      <c r="L2434" s="27" t="str">
        <f>IF(A2434&lt;&gt;"CFA",_xlfn.IFNA(VLOOKUP($G2434,Master!$V$2:$Z$8,5,0),""),"")</f>
        <v/>
      </c>
      <c r="P2434" s="6" t="str">
        <f t="shared" si="76"/>
        <v/>
      </c>
      <c r="Q2434" s="13">
        <f t="shared" si="77"/>
        <v>0</v>
      </c>
    </row>
    <row r="2435" spans="2:17" ht="15" customHeight="1">
      <c r="B2435" s="5" t="str">
        <f>_xlfn.IFNA(VLOOKUP(C2435,Master!$H:$I,2,FALSE),"")</f>
        <v/>
      </c>
      <c r="D2435" s="5" t="str">
        <f>_xlfn.IFNA(VLOOKUP(E2435,Master!$H:$I,2,FALSE),"")</f>
        <v/>
      </c>
      <c r="F2435" s="26" t="str">
        <f>+_xlfn.XLOOKUP(G2435,Master!$V$2:$V$8,Master!$U$2:$U$8,"")</f>
        <v/>
      </c>
      <c r="I2435" s="4" t="str">
        <f>_xlfn.IFNA(VLOOKUP(D2435,Master!$I:$K,2,FALSE),"")</f>
        <v/>
      </c>
      <c r="J2435" s="4" t="str">
        <f>_xlfn.IFNA(VLOOKUP(D2435,Master!$I:$K,3,FALSE),"")</f>
        <v/>
      </c>
      <c r="L2435" s="27" t="str">
        <f>IF(A2435&lt;&gt;"CFA",_xlfn.IFNA(VLOOKUP($G2435,Master!$V$2:$Z$8,5,0),""),"")</f>
        <v/>
      </c>
      <c r="P2435" s="6" t="str">
        <f t="shared" si="76"/>
        <v/>
      </c>
      <c r="Q2435" s="13">
        <f t="shared" si="77"/>
        <v>0</v>
      </c>
    </row>
    <row r="2436" spans="2:17" ht="15" customHeight="1">
      <c r="B2436" s="5" t="str">
        <f>_xlfn.IFNA(VLOOKUP(C2436,Master!$H:$I,2,FALSE),"")</f>
        <v/>
      </c>
      <c r="D2436" s="5" t="str">
        <f>_xlfn.IFNA(VLOOKUP(E2436,Master!$H:$I,2,FALSE),"")</f>
        <v/>
      </c>
      <c r="F2436" s="26" t="str">
        <f>+_xlfn.XLOOKUP(G2436,Master!$V$2:$V$8,Master!$U$2:$U$8,"")</f>
        <v/>
      </c>
      <c r="I2436" s="4" t="str">
        <f>_xlfn.IFNA(VLOOKUP(D2436,Master!$I:$K,2,FALSE),"")</f>
        <v/>
      </c>
      <c r="J2436" s="4" t="str">
        <f>_xlfn.IFNA(VLOOKUP(D2436,Master!$I:$K,3,FALSE),"")</f>
        <v/>
      </c>
      <c r="L2436" s="27" t="str">
        <f>IF(A2436&lt;&gt;"CFA",_xlfn.IFNA(VLOOKUP($G2436,Master!$V$2:$Z$8,5,0),""),"")</f>
        <v/>
      </c>
      <c r="P2436" s="6" t="str">
        <f t="shared" si="76"/>
        <v/>
      </c>
      <c r="Q2436" s="13">
        <f t="shared" si="77"/>
        <v>0</v>
      </c>
    </row>
    <row r="2437" spans="2:17" ht="15" customHeight="1">
      <c r="B2437" s="5" t="str">
        <f>_xlfn.IFNA(VLOOKUP(C2437,Master!$H:$I,2,FALSE),"")</f>
        <v/>
      </c>
      <c r="D2437" s="5" t="str">
        <f>_xlfn.IFNA(VLOOKUP(E2437,Master!$H:$I,2,FALSE),"")</f>
        <v/>
      </c>
      <c r="F2437" s="26" t="str">
        <f>+_xlfn.XLOOKUP(G2437,Master!$V$2:$V$8,Master!$U$2:$U$8,"")</f>
        <v/>
      </c>
      <c r="I2437" s="4" t="str">
        <f>_xlfn.IFNA(VLOOKUP(D2437,Master!$I:$K,2,FALSE),"")</f>
        <v/>
      </c>
      <c r="J2437" s="4" t="str">
        <f>_xlfn.IFNA(VLOOKUP(D2437,Master!$I:$K,3,FALSE),"")</f>
        <v/>
      </c>
      <c r="L2437" s="27" t="str">
        <f>IF(A2437&lt;&gt;"CFA",_xlfn.IFNA(VLOOKUP($G2437,Master!$V$2:$Z$8,5,0),""),"")</f>
        <v/>
      </c>
      <c r="P2437" s="6" t="str">
        <f t="shared" si="76"/>
        <v/>
      </c>
      <c r="Q2437" s="13">
        <f t="shared" si="77"/>
        <v>0</v>
      </c>
    </row>
    <row r="2438" spans="2:17" ht="15" customHeight="1">
      <c r="B2438" s="5" t="str">
        <f>_xlfn.IFNA(VLOOKUP(C2438,Master!$H:$I,2,FALSE),"")</f>
        <v/>
      </c>
      <c r="D2438" s="5" t="str">
        <f>_xlfn.IFNA(VLOOKUP(E2438,Master!$H:$I,2,FALSE),"")</f>
        <v/>
      </c>
      <c r="F2438" s="26" t="str">
        <f>+_xlfn.XLOOKUP(G2438,Master!$V$2:$V$8,Master!$U$2:$U$8,"")</f>
        <v/>
      </c>
      <c r="I2438" s="4" t="str">
        <f>_xlfn.IFNA(VLOOKUP(D2438,Master!$I:$K,2,FALSE),"")</f>
        <v/>
      </c>
      <c r="J2438" s="4" t="str">
        <f>_xlfn.IFNA(VLOOKUP(D2438,Master!$I:$K,3,FALSE),"")</f>
        <v/>
      </c>
      <c r="L2438" s="27" t="str">
        <f>IF(A2438&lt;&gt;"CFA",_xlfn.IFNA(VLOOKUP($G2438,Master!$V$2:$Z$8,5,0),""),"")</f>
        <v/>
      </c>
      <c r="P2438" s="6" t="str">
        <f t="shared" si="76"/>
        <v/>
      </c>
      <c r="Q2438" s="13">
        <f t="shared" si="77"/>
        <v>0</v>
      </c>
    </row>
    <row r="2439" spans="2:17" ht="15" customHeight="1">
      <c r="B2439" s="5" t="str">
        <f>_xlfn.IFNA(VLOOKUP(C2439,Master!$H:$I,2,FALSE),"")</f>
        <v/>
      </c>
      <c r="D2439" s="5" t="str">
        <f>_xlfn.IFNA(VLOOKUP(E2439,Master!$H:$I,2,FALSE),"")</f>
        <v/>
      </c>
      <c r="F2439" s="26" t="str">
        <f>+_xlfn.XLOOKUP(G2439,Master!$V$2:$V$8,Master!$U$2:$U$8,"")</f>
        <v/>
      </c>
      <c r="I2439" s="4" t="str">
        <f>_xlfn.IFNA(VLOOKUP(D2439,Master!$I:$K,2,FALSE),"")</f>
        <v/>
      </c>
      <c r="J2439" s="4" t="str">
        <f>_xlfn.IFNA(VLOOKUP(D2439,Master!$I:$K,3,FALSE),"")</f>
        <v/>
      </c>
      <c r="L2439" s="27" t="str">
        <f>IF(A2439&lt;&gt;"CFA",_xlfn.IFNA(VLOOKUP($G2439,Master!$V$2:$Z$8,5,0),""),"")</f>
        <v/>
      </c>
      <c r="P2439" s="6" t="str">
        <f t="shared" si="76"/>
        <v/>
      </c>
      <c r="Q2439" s="13">
        <f t="shared" si="77"/>
        <v>0</v>
      </c>
    </row>
    <row r="2440" spans="2:17" ht="15" customHeight="1">
      <c r="B2440" s="5" t="str">
        <f>_xlfn.IFNA(VLOOKUP(C2440,Master!$H:$I,2,FALSE),"")</f>
        <v/>
      </c>
      <c r="D2440" s="5" t="str">
        <f>_xlfn.IFNA(VLOOKUP(E2440,Master!$H:$I,2,FALSE),"")</f>
        <v/>
      </c>
      <c r="F2440" s="26" t="str">
        <f>+_xlfn.XLOOKUP(G2440,Master!$V$2:$V$8,Master!$U$2:$U$8,"")</f>
        <v/>
      </c>
      <c r="I2440" s="4" t="str">
        <f>_xlfn.IFNA(VLOOKUP(D2440,Master!$I:$K,2,FALSE),"")</f>
        <v/>
      </c>
      <c r="J2440" s="4" t="str">
        <f>_xlfn.IFNA(VLOOKUP(D2440,Master!$I:$K,3,FALSE),"")</f>
        <v/>
      </c>
      <c r="L2440" s="27" t="str">
        <f>IF(A2440&lt;&gt;"CFA",_xlfn.IFNA(VLOOKUP($G2440,Master!$V$2:$Z$8,5,0),""),"")</f>
        <v/>
      </c>
      <c r="P2440" s="6" t="str">
        <f t="shared" si="76"/>
        <v/>
      </c>
      <c r="Q2440" s="13">
        <f t="shared" si="77"/>
        <v>0</v>
      </c>
    </row>
    <row r="2441" spans="2:17" ht="15" customHeight="1">
      <c r="B2441" s="5" t="str">
        <f>_xlfn.IFNA(VLOOKUP(C2441,Master!$H:$I,2,FALSE),"")</f>
        <v/>
      </c>
      <c r="D2441" s="5" t="str">
        <f>_xlfn.IFNA(VLOOKUP(E2441,Master!$H:$I,2,FALSE),"")</f>
        <v/>
      </c>
      <c r="F2441" s="26" t="str">
        <f>+_xlfn.XLOOKUP(G2441,Master!$V$2:$V$8,Master!$U$2:$U$8,"")</f>
        <v/>
      </c>
      <c r="I2441" s="4" t="str">
        <f>_xlfn.IFNA(VLOOKUP(D2441,Master!$I:$K,2,FALSE),"")</f>
        <v/>
      </c>
      <c r="J2441" s="4" t="str">
        <f>_xlfn.IFNA(VLOOKUP(D2441,Master!$I:$K,3,FALSE),"")</f>
        <v/>
      </c>
      <c r="L2441" s="27" t="str">
        <f>IF(A2441&lt;&gt;"CFA",_xlfn.IFNA(VLOOKUP($G2441,Master!$V$2:$Z$8,5,0),""),"")</f>
        <v/>
      </c>
      <c r="P2441" s="6" t="str">
        <f t="shared" si="76"/>
        <v/>
      </c>
      <c r="Q2441" s="13">
        <f t="shared" si="77"/>
        <v>0</v>
      </c>
    </row>
    <row r="2442" spans="2:17" ht="15" customHeight="1">
      <c r="B2442" s="5" t="str">
        <f>_xlfn.IFNA(VLOOKUP(C2442,Master!$H:$I,2,FALSE),"")</f>
        <v/>
      </c>
      <c r="D2442" s="5" t="str">
        <f>_xlfn.IFNA(VLOOKUP(E2442,Master!$H:$I,2,FALSE),"")</f>
        <v/>
      </c>
      <c r="F2442" s="26" t="str">
        <f>+_xlfn.XLOOKUP(G2442,Master!$V$2:$V$8,Master!$U$2:$U$8,"")</f>
        <v/>
      </c>
      <c r="I2442" s="4" t="str">
        <f>_xlfn.IFNA(VLOOKUP(D2442,Master!$I:$K,2,FALSE),"")</f>
        <v/>
      </c>
      <c r="J2442" s="4" t="str">
        <f>_xlfn.IFNA(VLOOKUP(D2442,Master!$I:$K,3,FALSE),"")</f>
        <v/>
      </c>
      <c r="L2442" s="27" t="str">
        <f>IF(A2442&lt;&gt;"CFA",_xlfn.IFNA(VLOOKUP($G2442,Master!$V$2:$Z$8,5,0),""),"")</f>
        <v/>
      </c>
      <c r="P2442" s="6" t="str">
        <f t="shared" si="76"/>
        <v/>
      </c>
      <c r="Q2442" s="13">
        <f t="shared" si="77"/>
        <v>0</v>
      </c>
    </row>
    <row r="2443" spans="2:17" ht="15" customHeight="1">
      <c r="B2443" s="5" t="str">
        <f>_xlfn.IFNA(VLOOKUP(C2443,Master!$H:$I,2,FALSE),"")</f>
        <v/>
      </c>
      <c r="D2443" s="5" t="str">
        <f>_xlfn.IFNA(VLOOKUP(E2443,Master!$H:$I,2,FALSE),"")</f>
        <v/>
      </c>
      <c r="F2443" s="26" t="str">
        <f>+_xlfn.XLOOKUP(G2443,Master!$V$2:$V$8,Master!$U$2:$U$8,"")</f>
        <v/>
      </c>
      <c r="I2443" s="4" t="str">
        <f>_xlfn.IFNA(VLOOKUP(D2443,Master!$I:$K,2,FALSE),"")</f>
        <v/>
      </c>
      <c r="J2443" s="4" t="str">
        <f>_xlfn.IFNA(VLOOKUP(D2443,Master!$I:$K,3,FALSE),"")</f>
        <v/>
      </c>
      <c r="L2443" s="27" t="str">
        <f>IF(A2443&lt;&gt;"CFA",_xlfn.IFNA(VLOOKUP($G2443,Master!$V$2:$Z$8,5,0),""),"")</f>
        <v/>
      </c>
      <c r="P2443" s="6" t="str">
        <f t="shared" si="76"/>
        <v/>
      </c>
      <c r="Q2443" s="13">
        <f t="shared" si="77"/>
        <v>0</v>
      </c>
    </row>
    <row r="2444" spans="2:17" ht="15" customHeight="1">
      <c r="B2444" s="5" t="str">
        <f>_xlfn.IFNA(VLOOKUP(C2444,Master!$H:$I,2,FALSE),"")</f>
        <v/>
      </c>
      <c r="D2444" s="5" t="str">
        <f>_xlfn.IFNA(VLOOKUP(E2444,Master!$H:$I,2,FALSE),"")</f>
        <v/>
      </c>
      <c r="F2444" s="26" t="str">
        <f>+_xlfn.XLOOKUP(G2444,Master!$V$2:$V$8,Master!$U$2:$U$8,"")</f>
        <v/>
      </c>
      <c r="I2444" s="4" t="str">
        <f>_xlfn.IFNA(VLOOKUP(D2444,Master!$I:$K,2,FALSE),"")</f>
        <v/>
      </c>
      <c r="J2444" s="4" t="str">
        <f>_xlfn.IFNA(VLOOKUP(D2444,Master!$I:$K,3,FALSE),"")</f>
        <v/>
      </c>
      <c r="L2444" s="27" t="str">
        <f>IF(A2444&lt;&gt;"CFA",_xlfn.IFNA(VLOOKUP($G2444,Master!$V$2:$Z$8,5,0),""),"")</f>
        <v/>
      </c>
      <c r="P2444" s="6" t="str">
        <f t="shared" si="76"/>
        <v/>
      </c>
      <c r="Q2444" s="13">
        <f t="shared" si="77"/>
        <v>0</v>
      </c>
    </row>
    <row r="2445" spans="2:17" ht="15" customHeight="1">
      <c r="B2445" s="5" t="str">
        <f>_xlfn.IFNA(VLOOKUP(C2445,Master!$H:$I,2,FALSE),"")</f>
        <v/>
      </c>
      <c r="D2445" s="5" t="str">
        <f>_xlfn.IFNA(VLOOKUP(E2445,Master!$H:$I,2,FALSE),"")</f>
        <v/>
      </c>
      <c r="F2445" s="26" t="str">
        <f>+_xlfn.XLOOKUP(G2445,Master!$V$2:$V$8,Master!$U$2:$U$8,"")</f>
        <v/>
      </c>
      <c r="I2445" s="4" t="str">
        <f>_xlfn.IFNA(VLOOKUP(D2445,Master!$I:$K,2,FALSE),"")</f>
        <v/>
      </c>
      <c r="J2445" s="4" t="str">
        <f>_xlfn.IFNA(VLOOKUP(D2445,Master!$I:$K,3,FALSE),"")</f>
        <v/>
      </c>
      <c r="L2445" s="27" t="str">
        <f>IF(A2445&lt;&gt;"CFA",_xlfn.IFNA(VLOOKUP($G2445,Master!$V$2:$Z$8,5,0),""),"")</f>
        <v/>
      </c>
      <c r="P2445" s="6" t="str">
        <f t="shared" si="76"/>
        <v/>
      </c>
      <c r="Q2445" s="13">
        <f t="shared" si="77"/>
        <v>0</v>
      </c>
    </row>
    <row r="2446" spans="2:17" ht="15" customHeight="1">
      <c r="B2446" s="5" t="str">
        <f>_xlfn.IFNA(VLOOKUP(C2446,Master!$H:$I,2,FALSE),"")</f>
        <v/>
      </c>
      <c r="D2446" s="5" t="str">
        <f>_xlfn.IFNA(VLOOKUP(E2446,Master!$H:$I,2,FALSE),"")</f>
        <v/>
      </c>
      <c r="F2446" s="26" t="str">
        <f>+_xlfn.XLOOKUP(G2446,Master!$V$2:$V$8,Master!$U$2:$U$8,"")</f>
        <v/>
      </c>
      <c r="I2446" s="4" t="str">
        <f>_xlfn.IFNA(VLOOKUP(D2446,Master!$I:$K,2,FALSE),"")</f>
        <v/>
      </c>
      <c r="J2446" s="4" t="str">
        <f>_xlfn.IFNA(VLOOKUP(D2446,Master!$I:$K,3,FALSE),"")</f>
        <v/>
      </c>
      <c r="L2446" s="27" t="str">
        <f>IF(A2446&lt;&gt;"CFA",_xlfn.IFNA(VLOOKUP($G2446,Master!$V$2:$Z$8,5,0),""),"")</f>
        <v/>
      </c>
      <c r="P2446" s="6" t="str">
        <f t="shared" si="76"/>
        <v/>
      </c>
      <c r="Q2446" s="13">
        <f t="shared" si="77"/>
        <v>0</v>
      </c>
    </row>
    <row r="2447" spans="2:17" ht="15" customHeight="1">
      <c r="B2447" s="5" t="str">
        <f>_xlfn.IFNA(VLOOKUP(C2447,Master!$H:$I,2,FALSE),"")</f>
        <v/>
      </c>
      <c r="D2447" s="5" t="str">
        <f>_xlfn.IFNA(VLOOKUP(E2447,Master!$H:$I,2,FALSE),"")</f>
        <v/>
      </c>
      <c r="F2447" s="26" t="str">
        <f>+_xlfn.XLOOKUP(G2447,Master!$V$2:$V$8,Master!$U$2:$U$8,"")</f>
        <v/>
      </c>
      <c r="I2447" s="4" t="str">
        <f>_xlfn.IFNA(VLOOKUP(D2447,Master!$I:$K,2,FALSE),"")</f>
        <v/>
      </c>
      <c r="J2447" s="4" t="str">
        <f>_xlfn.IFNA(VLOOKUP(D2447,Master!$I:$K,3,FALSE),"")</f>
        <v/>
      </c>
      <c r="L2447" s="27" t="str">
        <f>IF(A2447&lt;&gt;"CFA",_xlfn.IFNA(VLOOKUP($G2447,Master!$V$2:$Z$8,5,0),""),"")</f>
        <v/>
      </c>
      <c r="P2447" s="6" t="str">
        <f t="shared" si="76"/>
        <v/>
      </c>
      <c r="Q2447" s="13">
        <f t="shared" si="77"/>
        <v>0</v>
      </c>
    </row>
    <row r="2448" spans="2:17" ht="15" customHeight="1">
      <c r="B2448" s="5" t="str">
        <f>_xlfn.IFNA(VLOOKUP(C2448,Master!$H:$I,2,FALSE),"")</f>
        <v/>
      </c>
      <c r="D2448" s="5" t="str">
        <f>_xlfn.IFNA(VLOOKUP(E2448,Master!$H:$I,2,FALSE),"")</f>
        <v/>
      </c>
      <c r="F2448" s="26" t="str">
        <f>+_xlfn.XLOOKUP(G2448,Master!$V$2:$V$8,Master!$U$2:$U$8,"")</f>
        <v/>
      </c>
      <c r="I2448" s="4" t="str">
        <f>_xlfn.IFNA(VLOOKUP(D2448,Master!$I:$K,2,FALSE),"")</f>
        <v/>
      </c>
      <c r="J2448" s="4" t="str">
        <f>_xlfn.IFNA(VLOOKUP(D2448,Master!$I:$K,3,FALSE),"")</f>
        <v/>
      </c>
      <c r="L2448" s="27" t="str">
        <f>IF(A2448&lt;&gt;"CFA",_xlfn.IFNA(VLOOKUP($G2448,Master!$V$2:$Z$8,5,0),""),"")</f>
        <v/>
      </c>
      <c r="P2448" s="6" t="str">
        <f t="shared" si="76"/>
        <v/>
      </c>
      <c r="Q2448" s="13">
        <f t="shared" si="77"/>
        <v>0</v>
      </c>
    </row>
    <row r="2449" spans="2:17" ht="15" customHeight="1">
      <c r="B2449" s="5" t="str">
        <f>_xlfn.IFNA(VLOOKUP(C2449,Master!$H:$I,2,FALSE),"")</f>
        <v/>
      </c>
      <c r="D2449" s="5" t="str">
        <f>_xlfn.IFNA(VLOOKUP(E2449,Master!$H:$I,2,FALSE),"")</f>
        <v/>
      </c>
      <c r="F2449" s="26" t="str">
        <f>+_xlfn.XLOOKUP(G2449,Master!$V$2:$V$8,Master!$U$2:$U$8,"")</f>
        <v/>
      </c>
      <c r="I2449" s="4" t="str">
        <f>_xlfn.IFNA(VLOOKUP(D2449,Master!$I:$K,2,FALSE),"")</f>
        <v/>
      </c>
      <c r="J2449" s="4" t="str">
        <f>_xlfn.IFNA(VLOOKUP(D2449,Master!$I:$K,3,FALSE),"")</f>
        <v/>
      </c>
      <c r="L2449" s="27" t="str">
        <f>IF(A2449&lt;&gt;"CFA",_xlfn.IFNA(VLOOKUP($G2449,Master!$V$2:$Z$8,5,0),""),"")</f>
        <v/>
      </c>
      <c r="P2449" s="6" t="str">
        <f t="shared" si="76"/>
        <v/>
      </c>
      <c r="Q2449" s="13">
        <f t="shared" si="77"/>
        <v>0</v>
      </c>
    </row>
    <row r="2450" spans="2:17" ht="15" customHeight="1">
      <c r="B2450" s="5" t="str">
        <f>_xlfn.IFNA(VLOOKUP(C2450,Master!$H:$I,2,FALSE),"")</f>
        <v/>
      </c>
      <c r="D2450" s="5" t="str">
        <f>_xlfn.IFNA(VLOOKUP(E2450,Master!$H:$I,2,FALSE),"")</f>
        <v/>
      </c>
      <c r="F2450" s="26" t="str">
        <f>+_xlfn.XLOOKUP(G2450,Master!$V$2:$V$8,Master!$U$2:$U$8,"")</f>
        <v/>
      </c>
      <c r="I2450" s="4" t="str">
        <f>_xlfn.IFNA(VLOOKUP(D2450,Master!$I:$K,2,FALSE),"")</f>
        <v/>
      </c>
      <c r="J2450" s="4" t="str">
        <f>_xlfn.IFNA(VLOOKUP(D2450,Master!$I:$K,3,FALSE),"")</f>
        <v/>
      </c>
      <c r="L2450" s="27" t="str">
        <f>IF(A2450&lt;&gt;"CFA",_xlfn.IFNA(VLOOKUP($G2450,Master!$V$2:$Z$8,5,0),""),"")</f>
        <v/>
      </c>
      <c r="P2450" s="6" t="str">
        <f t="shared" si="76"/>
        <v/>
      </c>
      <c r="Q2450" s="13">
        <f t="shared" si="77"/>
        <v>0</v>
      </c>
    </row>
    <row r="2451" spans="2:17" ht="15" customHeight="1">
      <c r="B2451" s="5" t="str">
        <f>_xlfn.IFNA(VLOOKUP(C2451,Master!$H:$I,2,FALSE),"")</f>
        <v/>
      </c>
      <c r="D2451" s="5" t="str">
        <f>_xlfn.IFNA(VLOOKUP(E2451,Master!$H:$I,2,FALSE),"")</f>
        <v/>
      </c>
      <c r="F2451" s="26" t="str">
        <f>+_xlfn.XLOOKUP(G2451,Master!$V$2:$V$8,Master!$U$2:$U$8,"")</f>
        <v/>
      </c>
      <c r="I2451" s="4" t="str">
        <f>_xlfn.IFNA(VLOOKUP(D2451,Master!$I:$K,2,FALSE),"")</f>
        <v/>
      </c>
      <c r="J2451" s="4" t="str">
        <f>_xlfn.IFNA(VLOOKUP(D2451,Master!$I:$K,3,FALSE),"")</f>
        <v/>
      </c>
      <c r="L2451" s="27" t="str">
        <f>IF(A2451&lt;&gt;"CFA",_xlfn.IFNA(VLOOKUP($G2451,Master!$V$2:$Z$8,5,0),""),"")</f>
        <v/>
      </c>
      <c r="P2451" s="6" t="str">
        <f t="shared" si="76"/>
        <v/>
      </c>
      <c r="Q2451" s="13">
        <f t="shared" si="77"/>
        <v>0</v>
      </c>
    </row>
    <row r="2452" spans="2:17" ht="15" customHeight="1">
      <c r="B2452" s="5" t="str">
        <f>_xlfn.IFNA(VLOOKUP(C2452,Master!$H:$I,2,FALSE),"")</f>
        <v/>
      </c>
      <c r="D2452" s="5" t="str">
        <f>_xlfn.IFNA(VLOOKUP(E2452,Master!$H:$I,2,FALSE),"")</f>
        <v/>
      </c>
      <c r="F2452" s="26" t="str">
        <f>+_xlfn.XLOOKUP(G2452,Master!$V$2:$V$8,Master!$U$2:$U$8,"")</f>
        <v/>
      </c>
      <c r="I2452" s="4" t="str">
        <f>_xlfn.IFNA(VLOOKUP(D2452,Master!$I:$K,2,FALSE),"")</f>
        <v/>
      </c>
      <c r="J2452" s="4" t="str">
        <f>_xlfn.IFNA(VLOOKUP(D2452,Master!$I:$K,3,FALSE),"")</f>
        <v/>
      </c>
      <c r="L2452" s="27" t="str">
        <f>IF(A2452&lt;&gt;"CFA",_xlfn.IFNA(VLOOKUP($G2452,Master!$V$2:$Z$8,5,0),""),"")</f>
        <v/>
      </c>
      <c r="P2452" s="6" t="str">
        <f t="shared" si="76"/>
        <v/>
      </c>
      <c r="Q2452" s="13">
        <f t="shared" si="77"/>
        <v>0</v>
      </c>
    </row>
    <row r="2453" spans="2:17" ht="15" customHeight="1">
      <c r="B2453" s="5" t="str">
        <f>_xlfn.IFNA(VLOOKUP(C2453,Master!$H:$I,2,FALSE),"")</f>
        <v/>
      </c>
      <c r="D2453" s="5" t="str">
        <f>_xlfn.IFNA(VLOOKUP(E2453,Master!$H:$I,2,FALSE),"")</f>
        <v/>
      </c>
      <c r="F2453" s="26" t="str">
        <f>+_xlfn.XLOOKUP(G2453,Master!$V$2:$V$8,Master!$U$2:$U$8,"")</f>
        <v/>
      </c>
      <c r="I2453" s="4" t="str">
        <f>_xlfn.IFNA(VLOOKUP(D2453,Master!$I:$K,2,FALSE),"")</f>
        <v/>
      </c>
      <c r="J2453" s="4" t="str">
        <f>_xlfn.IFNA(VLOOKUP(D2453,Master!$I:$K,3,FALSE),"")</f>
        <v/>
      </c>
      <c r="L2453" s="27" t="str">
        <f>IF(A2453&lt;&gt;"CFA",_xlfn.IFNA(VLOOKUP($G2453,Master!$V$2:$Z$8,5,0),""),"")</f>
        <v/>
      </c>
      <c r="P2453" s="6" t="str">
        <f t="shared" si="76"/>
        <v/>
      </c>
      <c r="Q2453" s="13">
        <f t="shared" si="77"/>
        <v>0</v>
      </c>
    </row>
    <row r="2454" spans="2:17" ht="15" customHeight="1">
      <c r="B2454" s="5" t="str">
        <f>_xlfn.IFNA(VLOOKUP(C2454,Master!$H:$I,2,FALSE),"")</f>
        <v/>
      </c>
      <c r="D2454" s="5" t="str">
        <f>_xlfn.IFNA(VLOOKUP(E2454,Master!$H:$I,2,FALSE),"")</f>
        <v/>
      </c>
      <c r="F2454" s="26" t="str">
        <f>+_xlfn.XLOOKUP(G2454,Master!$V$2:$V$8,Master!$U$2:$U$8,"")</f>
        <v/>
      </c>
      <c r="I2454" s="4" t="str">
        <f>_xlfn.IFNA(VLOOKUP(D2454,Master!$I:$K,2,FALSE),"")</f>
        <v/>
      </c>
      <c r="J2454" s="4" t="str">
        <f>_xlfn.IFNA(VLOOKUP(D2454,Master!$I:$K,3,FALSE),"")</f>
        <v/>
      </c>
      <c r="L2454" s="27" t="str">
        <f>IF(A2454&lt;&gt;"CFA",_xlfn.IFNA(VLOOKUP($G2454,Master!$V$2:$Z$8,5,0),""),"")</f>
        <v/>
      </c>
      <c r="P2454" s="6" t="str">
        <f t="shared" si="76"/>
        <v/>
      </c>
      <c r="Q2454" s="13">
        <f t="shared" si="77"/>
        <v>0</v>
      </c>
    </row>
    <row r="2455" spans="2:17" ht="15" customHeight="1">
      <c r="B2455" s="5" t="str">
        <f>_xlfn.IFNA(VLOOKUP(C2455,Master!$H:$I,2,FALSE),"")</f>
        <v/>
      </c>
      <c r="D2455" s="5" t="str">
        <f>_xlfn.IFNA(VLOOKUP(E2455,Master!$H:$I,2,FALSE),"")</f>
        <v/>
      </c>
      <c r="F2455" s="26" t="str">
        <f>+_xlfn.XLOOKUP(G2455,Master!$V$2:$V$8,Master!$U$2:$U$8,"")</f>
        <v/>
      </c>
      <c r="I2455" s="4" t="str">
        <f>_xlfn.IFNA(VLOOKUP(D2455,Master!$I:$K,2,FALSE),"")</f>
        <v/>
      </c>
      <c r="J2455" s="4" t="str">
        <f>_xlfn.IFNA(VLOOKUP(D2455,Master!$I:$K,3,FALSE),"")</f>
        <v/>
      </c>
      <c r="L2455" s="27" t="str">
        <f>IF(A2455&lt;&gt;"CFA",_xlfn.IFNA(VLOOKUP($G2455,Master!$V$2:$Z$8,5,0),""),"")</f>
        <v/>
      </c>
      <c r="P2455" s="6" t="str">
        <f t="shared" si="76"/>
        <v/>
      </c>
      <c r="Q2455" s="13">
        <f t="shared" si="77"/>
        <v>0</v>
      </c>
    </row>
    <row r="2456" spans="2:17" ht="15" customHeight="1">
      <c r="B2456" s="5" t="str">
        <f>_xlfn.IFNA(VLOOKUP(C2456,Master!$H:$I,2,FALSE),"")</f>
        <v/>
      </c>
      <c r="D2456" s="5" t="str">
        <f>_xlfn.IFNA(VLOOKUP(E2456,Master!$H:$I,2,FALSE),"")</f>
        <v/>
      </c>
      <c r="F2456" s="26" t="str">
        <f>+_xlfn.XLOOKUP(G2456,Master!$V$2:$V$8,Master!$U$2:$U$8,"")</f>
        <v/>
      </c>
      <c r="I2456" s="4" t="str">
        <f>_xlfn.IFNA(VLOOKUP(D2456,Master!$I:$K,2,FALSE),"")</f>
        <v/>
      </c>
      <c r="J2456" s="4" t="str">
        <f>_xlfn.IFNA(VLOOKUP(D2456,Master!$I:$K,3,FALSE),"")</f>
        <v/>
      </c>
      <c r="L2456" s="27" t="str">
        <f>IF(A2456&lt;&gt;"CFA",_xlfn.IFNA(VLOOKUP($G2456,Master!$V$2:$Z$8,5,0),""),"")</f>
        <v/>
      </c>
      <c r="P2456" s="6" t="str">
        <f t="shared" si="76"/>
        <v/>
      </c>
      <c r="Q2456" s="13">
        <f t="shared" si="77"/>
        <v>0</v>
      </c>
    </row>
    <row r="2457" spans="2:17" ht="15" customHeight="1">
      <c r="B2457" s="5" t="str">
        <f>_xlfn.IFNA(VLOOKUP(C2457,Master!$H:$I,2,FALSE),"")</f>
        <v/>
      </c>
      <c r="D2457" s="5" t="str">
        <f>_xlfn.IFNA(VLOOKUP(E2457,Master!$H:$I,2,FALSE),"")</f>
        <v/>
      </c>
      <c r="F2457" s="26" t="str">
        <f>+_xlfn.XLOOKUP(G2457,Master!$V$2:$V$8,Master!$U$2:$U$8,"")</f>
        <v/>
      </c>
      <c r="I2457" s="4" t="str">
        <f>_xlfn.IFNA(VLOOKUP(D2457,Master!$I:$K,2,FALSE),"")</f>
        <v/>
      </c>
      <c r="J2457" s="4" t="str">
        <f>_xlfn.IFNA(VLOOKUP(D2457,Master!$I:$K,3,FALSE),"")</f>
        <v/>
      </c>
      <c r="L2457" s="27" t="str">
        <f>IF(A2457&lt;&gt;"CFA",_xlfn.IFNA(VLOOKUP($G2457,Master!$V$2:$Z$8,5,0),""),"")</f>
        <v/>
      </c>
      <c r="P2457" s="6" t="str">
        <f t="shared" si="76"/>
        <v/>
      </c>
      <c r="Q2457" s="13">
        <f t="shared" si="77"/>
        <v>0</v>
      </c>
    </row>
    <row r="2458" spans="2:17" ht="15" customHeight="1">
      <c r="B2458" s="5" t="str">
        <f>_xlfn.IFNA(VLOOKUP(C2458,Master!$H:$I,2,FALSE),"")</f>
        <v/>
      </c>
      <c r="D2458" s="5" t="str">
        <f>_xlfn.IFNA(VLOOKUP(E2458,Master!$H:$I,2,FALSE),"")</f>
        <v/>
      </c>
      <c r="F2458" s="26" t="str">
        <f>+_xlfn.XLOOKUP(G2458,Master!$V$2:$V$8,Master!$U$2:$U$8,"")</f>
        <v/>
      </c>
      <c r="I2458" s="4" t="str">
        <f>_xlfn.IFNA(VLOOKUP(D2458,Master!$I:$K,2,FALSE),"")</f>
        <v/>
      </c>
      <c r="J2458" s="4" t="str">
        <f>_xlfn.IFNA(VLOOKUP(D2458,Master!$I:$K,3,FALSE),"")</f>
        <v/>
      </c>
      <c r="L2458" s="27" t="str">
        <f>IF(A2458&lt;&gt;"CFA",_xlfn.IFNA(VLOOKUP($G2458,Master!$V$2:$Z$8,5,0),""),"")</f>
        <v/>
      </c>
      <c r="P2458" s="6" t="str">
        <f t="shared" si="76"/>
        <v/>
      </c>
      <c r="Q2458" s="13">
        <f t="shared" si="77"/>
        <v>0</v>
      </c>
    </row>
    <row r="2459" spans="2:17" ht="15" customHeight="1">
      <c r="B2459" s="5" t="str">
        <f>_xlfn.IFNA(VLOOKUP(C2459,Master!$H:$I,2,FALSE),"")</f>
        <v/>
      </c>
      <c r="D2459" s="5" t="str">
        <f>_xlfn.IFNA(VLOOKUP(E2459,Master!$H:$I,2,FALSE),"")</f>
        <v/>
      </c>
      <c r="F2459" s="26" t="str">
        <f>+_xlfn.XLOOKUP(G2459,Master!$V$2:$V$8,Master!$U$2:$U$8,"")</f>
        <v/>
      </c>
      <c r="I2459" s="4" t="str">
        <f>_xlfn.IFNA(VLOOKUP(D2459,Master!$I:$K,2,FALSE),"")</f>
        <v/>
      </c>
      <c r="J2459" s="4" t="str">
        <f>_xlfn.IFNA(VLOOKUP(D2459,Master!$I:$K,3,FALSE),"")</f>
        <v/>
      </c>
      <c r="L2459" s="27" t="str">
        <f>IF(A2459&lt;&gt;"CFA",_xlfn.IFNA(VLOOKUP($G2459,Master!$V$2:$Z$8,5,0),""),"")</f>
        <v/>
      </c>
      <c r="P2459" s="6" t="str">
        <f t="shared" si="76"/>
        <v/>
      </c>
      <c r="Q2459" s="13">
        <f t="shared" si="77"/>
        <v>0</v>
      </c>
    </row>
    <row r="2460" spans="2:17" ht="15" customHeight="1">
      <c r="B2460" s="5" t="str">
        <f>_xlfn.IFNA(VLOOKUP(C2460,Master!$H:$I,2,FALSE),"")</f>
        <v/>
      </c>
      <c r="D2460" s="5" t="str">
        <f>_xlfn.IFNA(VLOOKUP(E2460,Master!$H:$I,2,FALSE),"")</f>
        <v/>
      </c>
      <c r="F2460" s="26" t="str">
        <f>+_xlfn.XLOOKUP(G2460,Master!$V$2:$V$8,Master!$U$2:$U$8,"")</f>
        <v/>
      </c>
      <c r="I2460" s="4" t="str">
        <f>_xlfn.IFNA(VLOOKUP(D2460,Master!$I:$K,2,FALSE),"")</f>
        <v/>
      </c>
      <c r="J2460" s="4" t="str">
        <f>_xlfn.IFNA(VLOOKUP(D2460,Master!$I:$K,3,FALSE),"")</f>
        <v/>
      </c>
      <c r="L2460" s="27" t="str">
        <f>IF(A2460&lt;&gt;"CFA",_xlfn.IFNA(VLOOKUP($G2460,Master!$V$2:$Z$8,5,0),""),"")</f>
        <v/>
      </c>
      <c r="P2460" s="6" t="str">
        <f t="shared" si="76"/>
        <v/>
      </c>
      <c r="Q2460" s="13">
        <f t="shared" si="77"/>
        <v>0</v>
      </c>
    </row>
    <row r="2461" spans="2:17" ht="15" customHeight="1">
      <c r="B2461" s="5" t="str">
        <f>_xlfn.IFNA(VLOOKUP(C2461,Master!$H:$I,2,FALSE),"")</f>
        <v/>
      </c>
      <c r="D2461" s="5" t="str">
        <f>_xlfn.IFNA(VLOOKUP(E2461,Master!$H:$I,2,FALSE),"")</f>
        <v/>
      </c>
      <c r="F2461" s="26" t="str">
        <f>+_xlfn.XLOOKUP(G2461,Master!$V$2:$V$8,Master!$U$2:$U$8,"")</f>
        <v/>
      </c>
      <c r="I2461" s="4" t="str">
        <f>_xlfn.IFNA(VLOOKUP(D2461,Master!$I:$K,2,FALSE),"")</f>
        <v/>
      </c>
      <c r="J2461" s="4" t="str">
        <f>_xlfn.IFNA(VLOOKUP(D2461,Master!$I:$K,3,FALSE),"")</f>
        <v/>
      </c>
      <c r="L2461" s="27" t="str">
        <f>IF(A2461&lt;&gt;"CFA",_xlfn.IFNA(VLOOKUP($G2461,Master!$V$2:$Z$8,5,0),""),"")</f>
        <v/>
      </c>
      <c r="P2461" s="6" t="str">
        <f t="shared" si="76"/>
        <v/>
      </c>
      <c r="Q2461" s="13">
        <f t="shared" si="77"/>
        <v>0</v>
      </c>
    </row>
    <row r="2462" spans="2:17" ht="15" customHeight="1">
      <c r="B2462" s="5" t="str">
        <f>_xlfn.IFNA(VLOOKUP(C2462,Master!$H:$I,2,FALSE),"")</f>
        <v/>
      </c>
      <c r="D2462" s="5" t="str">
        <f>_xlfn.IFNA(VLOOKUP(E2462,Master!$H:$I,2,FALSE),"")</f>
        <v/>
      </c>
      <c r="F2462" s="26" t="str">
        <f>+_xlfn.XLOOKUP(G2462,Master!$V$2:$V$8,Master!$U$2:$U$8,"")</f>
        <v/>
      </c>
      <c r="I2462" s="4" t="str">
        <f>_xlfn.IFNA(VLOOKUP(D2462,Master!$I:$K,2,FALSE),"")</f>
        <v/>
      </c>
      <c r="J2462" s="4" t="str">
        <f>_xlfn.IFNA(VLOOKUP(D2462,Master!$I:$K,3,FALSE),"")</f>
        <v/>
      </c>
      <c r="L2462" s="27" t="str">
        <f>IF(A2462&lt;&gt;"CFA",_xlfn.IFNA(VLOOKUP($G2462,Master!$V$2:$Z$8,5,0),""),"")</f>
        <v/>
      </c>
      <c r="P2462" s="6" t="str">
        <f t="shared" si="76"/>
        <v/>
      </c>
      <c r="Q2462" s="13">
        <f t="shared" si="77"/>
        <v>0</v>
      </c>
    </row>
    <row r="2463" spans="2:17" ht="15" customHeight="1">
      <c r="B2463" s="5" t="str">
        <f>_xlfn.IFNA(VLOOKUP(C2463,Master!$H:$I,2,FALSE),"")</f>
        <v/>
      </c>
      <c r="D2463" s="5" t="str">
        <f>_xlfn.IFNA(VLOOKUP(E2463,Master!$H:$I,2,FALSE),"")</f>
        <v/>
      </c>
      <c r="F2463" s="26" t="str">
        <f>+_xlfn.XLOOKUP(G2463,Master!$V$2:$V$8,Master!$U$2:$U$8,"")</f>
        <v/>
      </c>
      <c r="I2463" s="4" t="str">
        <f>_xlfn.IFNA(VLOOKUP(D2463,Master!$I:$K,2,FALSE),"")</f>
        <v/>
      </c>
      <c r="J2463" s="4" t="str">
        <f>_xlfn.IFNA(VLOOKUP(D2463,Master!$I:$K,3,FALSE),"")</f>
        <v/>
      </c>
      <c r="L2463" s="27" t="str">
        <f>IF(A2463&lt;&gt;"CFA",_xlfn.IFNA(VLOOKUP($G2463,Master!$V$2:$Z$8,5,0),""),"")</f>
        <v/>
      </c>
      <c r="P2463" s="6" t="str">
        <f t="shared" si="76"/>
        <v/>
      </c>
      <c r="Q2463" s="13">
        <f t="shared" si="77"/>
        <v>0</v>
      </c>
    </row>
    <row r="2464" spans="2:17" ht="15" customHeight="1">
      <c r="B2464" s="5" t="str">
        <f>_xlfn.IFNA(VLOOKUP(C2464,Master!$H:$I,2,FALSE),"")</f>
        <v/>
      </c>
      <c r="D2464" s="5" t="str">
        <f>_xlfn.IFNA(VLOOKUP(E2464,Master!$H:$I,2,FALSE),"")</f>
        <v/>
      </c>
      <c r="F2464" s="26" t="str">
        <f>+_xlfn.XLOOKUP(G2464,Master!$V$2:$V$8,Master!$U$2:$U$8,"")</f>
        <v/>
      </c>
      <c r="I2464" s="4" t="str">
        <f>_xlfn.IFNA(VLOOKUP(D2464,Master!$I:$K,2,FALSE),"")</f>
        <v/>
      </c>
      <c r="J2464" s="4" t="str">
        <f>_xlfn.IFNA(VLOOKUP(D2464,Master!$I:$K,3,FALSE),"")</f>
        <v/>
      </c>
      <c r="L2464" s="27" t="str">
        <f>IF(A2464&lt;&gt;"CFA",_xlfn.IFNA(VLOOKUP($G2464,Master!$V$2:$Z$8,5,0),""),"")</f>
        <v/>
      </c>
      <c r="P2464" s="6" t="str">
        <f t="shared" si="76"/>
        <v/>
      </c>
      <c r="Q2464" s="13">
        <f t="shared" si="77"/>
        <v>0</v>
      </c>
    </row>
    <row r="2465" spans="2:17" ht="15" customHeight="1">
      <c r="B2465" s="5" t="str">
        <f>_xlfn.IFNA(VLOOKUP(C2465,Master!$H:$I,2,FALSE),"")</f>
        <v/>
      </c>
      <c r="D2465" s="5" t="str">
        <f>_xlfn.IFNA(VLOOKUP(E2465,Master!$H:$I,2,FALSE),"")</f>
        <v/>
      </c>
      <c r="F2465" s="26" t="str">
        <f>+_xlfn.XLOOKUP(G2465,Master!$V$2:$V$8,Master!$U$2:$U$8,"")</f>
        <v/>
      </c>
      <c r="I2465" s="4" t="str">
        <f>_xlfn.IFNA(VLOOKUP(D2465,Master!$I:$K,2,FALSE),"")</f>
        <v/>
      </c>
      <c r="J2465" s="4" t="str">
        <f>_xlfn.IFNA(VLOOKUP(D2465,Master!$I:$K,3,FALSE),"")</f>
        <v/>
      </c>
      <c r="L2465" s="27" t="str">
        <f>IF(A2465&lt;&gt;"CFA",_xlfn.IFNA(VLOOKUP($G2465,Master!$V$2:$Z$8,5,0),""),"")</f>
        <v/>
      </c>
      <c r="P2465" s="6" t="str">
        <f t="shared" si="76"/>
        <v/>
      </c>
      <c r="Q2465" s="13">
        <f t="shared" si="77"/>
        <v>0</v>
      </c>
    </row>
    <row r="2466" spans="2:17" ht="15" customHeight="1">
      <c r="B2466" s="5" t="str">
        <f>_xlfn.IFNA(VLOOKUP(C2466,Master!$H:$I,2,FALSE),"")</f>
        <v/>
      </c>
      <c r="D2466" s="5" t="str">
        <f>_xlfn.IFNA(VLOOKUP(E2466,Master!$H:$I,2,FALSE),"")</f>
        <v/>
      </c>
      <c r="F2466" s="26" t="str">
        <f>+_xlfn.XLOOKUP(G2466,Master!$V$2:$V$8,Master!$U$2:$U$8,"")</f>
        <v/>
      </c>
      <c r="I2466" s="4" t="str">
        <f>_xlfn.IFNA(VLOOKUP(D2466,Master!$I:$K,2,FALSE),"")</f>
        <v/>
      </c>
      <c r="J2466" s="4" t="str">
        <f>_xlfn.IFNA(VLOOKUP(D2466,Master!$I:$K,3,FALSE),"")</f>
        <v/>
      </c>
      <c r="L2466" s="27" t="str">
        <f>IF(A2466&lt;&gt;"CFA",_xlfn.IFNA(VLOOKUP($G2466,Master!$V$2:$Z$8,5,0),""),"")</f>
        <v/>
      </c>
      <c r="P2466" s="6" t="str">
        <f t="shared" si="76"/>
        <v/>
      </c>
      <c r="Q2466" s="13">
        <f t="shared" si="77"/>
        <v>0</v>
      </c>
    </row>
    <row r="2467" spans="2:17" ht="15" customHeight="1">
      <c r="B2467" s="5" t="str">
        <f>_xlfn.IFNA(VLOOKUP(C2467,Master!$H:$I,2,FALSE),"")</f>
        <v/>
      </c>
      <c r="D2467" s="5" t="str">
        <f>_xlfn.IFNA(VLOOKUP(E2467,Master!$H:$I,2,FALSE),"")</f>
        <v/>
      </c>
      <c r="F2467" s="26" t="str">
        <f>+_xlfn.XLOOKUP(G2467,Master!$V$2:$V$8,Master!$U$2:$U$8,"")</f>
        <v/>
      </c>
      <c r="I2467" s="4" t="str">
        <f>_xlfn.IFNA(VLOOKUP(D2467,Master!$I:$K,2,FALSE),"")</f>
        <v/>
      </c>
      <c r="J2467" s="4" t="str">
        <f>_xlfn.IFNA(VLOOKUP(D2467,Master!$I:$K,3,FALSE),"")</f>
        <v/>
      </c>
      <c r="L2467" s="27" t="str">
        <f>IF(A2467&lt;&gt;"CFA",_xlfn.IFNA(VLOOKUP($G2467,Master!$V$2:$Z$8,5,0),""),"")</f>
        <v/>
      </c>
      <c r="P2467" s="6" t="str">
        <f t="shared" si="76"/>
        <v/>
      </c>
      <c r="Q2467" s="13">
        <f t="shared" si="77"/>
        <v>0</v>
      </c>
    </row>
    <row r="2468" spans="2:17" ht="15" customHeight="1">
      <c r="B2468" s="5" t="str">
        <f>_xlfn.IFNA(VLOOKUP(C2468,Master!$H:$I,2,FALSE),"")</f>
        <v/>
      </c>
      <c r="D2468" s="5" t="str">
        <f>_xlfn.IFNA(VLOOKUP(E2468,Master!$H:$I,2,FALSE),"")</f>
        <v/>
      </c>
      <c r="F2468" s="26" t="str">
        <f>+_xlfn.XLOOKUP(G2468,Master!$V$2:$V$8,Master!$U$2:$U$8,"")</f>
        <v/>
      </c>
      <c r="I2468" s="4" t="str">
        <f>_xlfn.IFNA(VLOOKUP(D2468,Master!$I:$K,2,FALSE),"")</f>
        <v/>
      </c>
      <c r="J2468" s="4" t="str">
        <f>_xlfn.IFNA(VLOOKUP(D2468,Master!$I:$K,3,FALSE),"")</f>
        <v/>
      </c>
      <c r="L2468" s="27" t="str">
        <f>IF(A2468&lt;&gt;"CFA",_xlfn.IFNA(VLOOKUP($G2468,Master!$V$2:$Z$8,5,0),""),"")</f>
        <v/>
      </c>
      <c r="P2468" s="6" t="str">
        <f t="shared" si="76"/>
        <v/>
      </c>
      <c r="Q2468" s="13">
        <f t="shared" si="77"/>
        <v>0</v>
      </c>
    </row>
    <row r="2469" spans="2:17" ht="15" customHeight="1">
      <c r="B2469" s="5" t="str">
        <f>_xlfn.IFNA(VLOOKUP(C2469,Master!$H:$I,2,FALSE),"")</f>
        <v/>
      </c>
      <c r="D2469" s="5" t="str">
        <f>_xlfn.IFNA(VLOOKUP(E2469,Master!$H:$I,2,FALSE),"")</f>
        <v/>
      </c>
      <c r="F2469" s="26" t="str">
        <f>+_xlfn.XLOOKUP(G2469,Master!$V$2:$V$8,Master!$U$2:$U$8,"")</f>
        <v/>
      </c>
      <c r="I2469" s="4" t="str">
        <f>_xlfn.IFNA(VLOOKUP(D2469,Master!$I:$K,2,FALSE),"")</f>
        <v/>
      </c>
      <c r="J2469" s="4" t="str">
        <f>_xlfn.IFNA(VLOOKUP(D2469,Master!$I:$K,3,FALSE),"")</f>
        <v/>
      </c>
      <c r="L2469" s="27" t="str">
        <f>IF(A2469&lt;&gt;"CFA",_xlfn.IFNA(VLOOKUP($G2469,Master!$V$2:$Z$8,5,0),""),"")</f>
        <v/>
      </c>
      <c r="P2469" s="6" t="str">
        <f t="shared" si="76"/>
        <v/>
      </c>
      <c r="Q2469" s="13">
        <f t="shared" si="77"/>
        <v>0</v>
      </c>
    </row>
    <row r="2470" spans="2:17" ht="15" customHeight="1">
      <c r="B2470" s="5" t="str">
        <f>_xlfn.IFNA(VLOOKUP(C2470,Master!$H:$I,2,FALSE),"")</f>
        <v/>
      </c>
      <c r="D2470" s="5" t="str">
        <f>_xlfn.IFNA(VLOOKUP(E2470,Master!$H:$I,2,FALSE),"")</f>
        <v/>
      </c>
      <c r="F2470" s="26" t="str">
        <f>+_xlfn.XLOOKUP(G2470,Master!$V$2:$V$8,Master!$U$2:$U$8,"")</f>
        <v/>
      </c>
      <c r="I2470" s="4" t="str">
        <f>_xlfn.IFNA(VLOOKUP(D2470,Master!$I:$K,2,FALSE),"")</f>
        <v/>
      </c>
      <c r="J2470" s="4" t="str">
        <f>_xlfn.IFNA(VLOOKUP(D2470,Master!$I:$K,3,FALSE),"")</f>
        <v/>
      </c>
      <c r="L2470" s="27" t="str">
        <f>IF(A2470&lt;&gt;"CFA",_xlfn.IFNA(VLOOKUP($G2470,Master!$V$2:$Z$8,5,0),""),"")</f>
        <v/>
      </c>
      <c r="P2470" s="6" t="str">
        <f t="shared" si="76"/>
        <v/>
      </c>
      <c r="Q2470" s="13">
        <f t="shared" si="77"/>
        <v>0</v>
      </c>
    </row>
    <row r="2471" spans="2:17" ht="15" customHeight="1">
      <c r="B2471" s="5" t="str">
        <f>_xlfn.IFNA(VLOOKUP(C2471,Master!$H:$I,2,FALSE),"")</f>
        <v/>
      </c>
      <c r="D2471" s="5" t="str">
        <f>_xlfn.IFNA(VLOOKUP(E2471,Master!$H:$I,2,FALSE),"")</f>
        <v/>
      </c>
      <c r="F2471" s="26" t="str">
        <f>+_xlfn.XLOOKUP(G2471,Master!$V$2:$V$8,Master!$U$2:$U$8,"")</f>
        <v/>
      </c>
      <c r="I2471" s="4" t="str">
        <f>_xlfn.IFNA(VLOOKUP(D2471,Master!$I:$K,2,FALSE),"")</f>
        <v/>
      </c>
      <c r="J2471" s="4" t="str">
        <f>_xlfn.IFNA(VLOOKUP(D2471,Master!$I:$K,3,FALSE),"")</f>
        <v/>
      </c>
      <c r="L2471" s="27" t="str">
        <f>IF(A2471&lt;&gt;"CFA",_xlfn.IFNA(VLOOKUP($G2471,Master!$V$2:$Z$8,5,0),""),"")</f>
        <v/>
      </c>
      <c r="P2471" s="6" t="str">
        <f t="shared" si="76"/>
        <v/>
      </c>
      <c r="Q2471" s="13">
        <f t="shared" si="77"/>
        <v>0</v>
      </c>
    </row>
    <row r="2472" spans="2:17" ht="15" customHeight="1">
      <c r="B2472" s="5" t="str">
        <f>_xlfn.IFNA(VLOOKUP(C2472,Master!$H:$I,2,FALSE),"")</f>
        <v/>
      </c>
      <c r="D2472" s="5" t="str">
        <f>_xlfn.IFNA(VLOOKUP(E2472,Master!$H:$I,2,FALSE),"")</f>
        <v/>
      </c>
      <c r="F2472" s="26" t="str">
        <f>+_xlfn.XLOOKUP(G2472,Master!$V$2:$V$8,Master!$U$2:$U$8,"")</f>
        <v/>
      </c>
      <c r="I2472" s="4" t="str">
        <f>_xlfn.IFNA(VLOOKUP(D2472,Master!$I:$K,2,FALSE),"")</f>
        <v/>
      </c>
      <c r="J2472" s="4" t="str">
        <f>_xlfn.IFNA(VLOOKUP(D2472,Master!$I:$K,3,FALSE),"")</f>
        <v/>
      </c>
      <c r="L2472" s="27" t="str">
        <f>IF(A2472&lt;&gt;"CFA",_xlfn.IFNA(VLOOKUP($G2472,Master!$V$2:$Z$8,5,0),""),"")</f>
        <v/>
      </c>
      <c r="P2472" s="6" t="str">
        <f t="shared" si="76"/>
        <v/>
      </c>
      <c r="Q2472" s="13">
        <f t="shared" si="77"/>
        <v>0</v>
      </c>
    </row>
    <row r="2473" spans="2:17" ht="15" customHeight="1">
      <c r="B2473" s="5" t="str">
        <f>_xlfn.IFNA(VLOOKUP(C2473,Master!$H:$I,2,FALSE),"")</f>
        <v/>
      </c>
      <c r="D2473" s="5" t="str">
        <f>_xlfn.IFNA(VLOOKUP(E2473,Master!$H:$I,2,FALSE),"")</f>
        <v/>
      </c>
      <c r="F2473" s="26" t="str">
        <f>+_xlfn.XLOOKUP(G2473,Master!$V$2:$V$8,Master!$U$2:$U$8,"")</f>
        <v/>
      </c>
      <c r="I2473" s="4" t="str">
        <f>_xlfn.IFNA(VLOOKUP(D2473,Master!$I:$K,2,FALSE),"")</f>
        <v/>
      </c>
      <c r="J2473" s="4" t="str">
        <f>_xlfn.IFNA(VLOOKUP(D2473,Master!$I:$K,3,FALSE),"")</f>
        <v/>
      </c>
      <c r="L2473" s="27" t="str">
        <f>IF(A2473&lt;&gt;"CFA",_xlfn.IFNA(VLOOKUP($G2473,Master!$V$2:$Z$8,5,0),""),"")</f>
        <v/>
      </c>
      <c r="P2473" s="6" t="str">
        <f t="shared" si="76"/>
        <v/>
      </c>
      <c r="Q2473" s="13">
        <f t="shared" si="77"/>
        <v>0</v>
      </c>
    </row>
    <row r="2474" spans="2:17" ht="15" customHeight="1">
      <c r="B2474" s="5" t="str">
        <f>_xlfn.IFNA(VLOOKUP(C2474,Master!$H:$I,2,FALSE),"")</f>
        <v/>
      </c>
      <c r="D2474" s="5" t="str">
        <f>_xlfn.IFNA(VLOOKUP(E2474,Master!$H:$I,2,FALSE),"")</f>
        <v/>
      </c>
      <c r="F2474" s="26" t="str">
        <f>+_xlfn.XLOOKUP(G2474,Master!$V$2:$V$8,Master!$U$2:$U$8,"")</f>
        <v/>
      </c>
      <c r="I2474" s="4" t="str">
        <f>_xlfn.IFNA(VLOOKUP(D2474,Master!$I:$K,2,FALSE),"")</f>
        <v/>
      </c>
      <c r="J2474" s="4" t="str">
        <f>_xlfn.IFNA(VLOOKUP(D2474,Master!$I:$K,3,FALSE),"")</f>
        <v/>
      </c>
      <c r="L2474" s="27" t="str">
        <f>IF(A2474&lt;&gt;"CFA",_xlfn.IFNA(VLOOKUP($G2474,Master!$V$2:$Z$8,5,0),""),"")</f>
        <v/>
      </c>
      <c r="P2474" s="6" t="str">
        <f t="shared" si="76"/>
        <v/>
      </c>
      <c r="Q2474" s="13">
        <f t="shared" si="77"/>
        <v>0</v>
      </c>
    </row>
    <row r="2475" spans="2:17" ht="15" customHeight="1">
      <c r="B2475" s="5" t="str">
        <f>_xlfn.IFNA(VLOOKUP(C2475,Master!$H:$I,2,FALSE),"")</f>
        <v/>
      </c>
      <c r="D2475" s="5" t="str">
        <f>_xlfn.IFNA(VLOOKUP(E2475,Master!$H:$I,2,FALSE),"")</f>
        <v/>
      </c>
      <c r="F2475" s="26" t="str">
        <f>+_xlfn.XLOOKUP(G2475,Master!$V$2:$V$8,Master!$U$2:$U$8,"")</f>
        <v/>
      </c>
      <c r="I2475" s="4" t="str">
        <f>_xlfn.IFNA(VLOOKUP(D2475,Master!$I:$K,2,FALSE),"")</f>
        <v/>
      </c>
      <c r="J2475" s="4" t="str">
        <f>_xlfn.IFNA(VLOOKUP(D2475,Master!$I:$K,3,FALSE),"")</f>
        <v/>
      </c>
      <c r="L2475" s="27" t="str">
        <f>IF(A2475&lt;&gt;"CFA",_xlfn.IFNA(VLOOKUP($G2475,Master!$V$2:$Z$8,5,0),""),"")</f>
        <v/>
      </c>
      <c r="P2475" s="6" t="str">
        <f t="shared" si="76"/>
        <v/>
      </c>
      <c r="Q2475" s="13">
        <f t="shared" si="77"/>
        <v>0</v>
      </c>
    </row>
    <row r="2476" spans="2:17" ht="15" customHeight="1">
      <c r="B2476" s="5" t="str">
        <f>_xlfn.IFNA(VLOOKUP(C2476,Master!$H:$I,2,FALSE),"")</f>
        <v/>
      </c>
      <c r="D2476" s="5" t="str">
        <f>_xlfn.IFNA(VLOOKUP(E2476,Master!$H:$I,2,FALSE),"")</f>
        <v/>
      </c>
      <c r="F2476" s="26" t="str">
        <f>+_xlfn.XLOOKUP(G2476,Master!$V$2:$V$8,Master!$U$2:$U$8,"")</f>
        <v/>
      </c>
      <c r="I2476" s="4" t="str">
        <f>_xlfn.IFNA(VLOOKUP(D2476,Master!$I:$K,2,FALSE),"")</f>
        <v/>
      </c>
      <c r="J2476" s="4" t="str">
        <f>_xlfn.IFNA(VLOOKUP(D2476,Master!$I:$K,3,FALSE),"")</f>
        <v/>
      </c>
      <c r="L2476" s="27" t="str">
        <f>IF(A2476&lt;&gt;"CFA",_xlfn.IFNA(VLOOKUP($G2476,Master!$V$2:$Z$8,5,0),""),"")</f>
        <v/>
      </c>
      <c r="P2476" s="6" t="str">
        <f t="shared" si="76"/>
        <v/>
      </c>
      <c r="Q2476" s="13">
        <f t="shared" si="77"/>
        <v>0</v>
      </c>
    </row>
    <row r="2477" spans="2:17" ht="15" customHeight="1">
      <c r="B2477" s="5" t="str">
        <f>_xlfn.IFNA(VLOOKUP(C2477,Master!$H:$I,2,FALSE),"")</f>
        <v/>
      </c>
      <c r="D2477" s="5" t="str">
        <f>_xlfn.IFNA(VLOOKUP(E2477,Master!$H:$I,2,FALSE),"")</f>
        <v/>
      </c>
      <c r="F2477" s="26" t="str">
        <f>+_xlfn.XLOOKUP(G2477,Master!$V$2:$V$8,Master!$U$2:$U$8,"")</f>
        <v/>
      </c>
      <c r="I2477" s="4" t="str">
        <f>_xlfn.IFNA(VLOOKUP(D2477,Master!$I:$K,2,FALSE),"")</f>
        <v/>
      </c>
      <c r="J2477" s="4" t="str">
        <f>_xlfn.IFNA(VLOOKUP(D2477,Master!$I:$K,3,FALSE),"")</f>
        <v/>
      </c>
      <c r="L2477" s="27" t="str">
        <f>IF(A2477&lt;&gt;"CFA",_xlfn.IFNA(VLOOKUP($G2477,Master!$V$2:$Z$8,5,0),""),"")</f>
        <v/>
      </c>
      <c r="P2477" s="6" t="str">
        <f t="shared" si="76"/>
        <v/>
      </c>
      <c r="Q2477" s="13">
        <f t="shared" si="77"/>
        <v>0</v>
      </c>
    </row>
    <row r="2478" spans="2:17" ht="15" customHeight="1">
      <c r="B2478" s="5" t="str">
        <f>_xlfn.IFNA(VLOOKUP(C2478,Master!$H:$I,2,FALSE),"")</f>
        <v/>
      </c>
      <c r="D2478" s="5" t="str">
        <f>_xlfn.IFNA(VLOOKUP(E2478,Master!$H:$I,2,FALSE),"")</f>
        <v/>
      </c>
      <c r="F2478" s="26" t="str">
        <f>+_xlfn.XLOOKUP(G2478,Master!$V$2:$V$8,Master!$U$2:$U$8,"")</f>
        <v/>
      </c>
      <c r="I2478" s="4" t="str">
        <f>_xlfn.IFNA(VLOOKUP(D2478,Master!$I:$K,2,FALSE),"")</f>
        <v/>
      </c>
      <c r="J2478" s="4" t="str">
        <f>_xlfn.IFNA(VLOOKUP(D2478,Master!$I:$K,3,FALSE),"")</f>
        <v/>
      </c>
      <c r="L2478" s="27" t="str">
        <f>IF(A2478&lt;&gt;"CFA",_xlfn.IFNA(VLOOKUP($G2478,Master!$V$2:$Z$8,5,0),""),"")</f>
        <v/>
      </c>
      <c r="P2478" s="6" t="str">
        <f t="shared" si="76"/>
        <v/>
      </c>
      <c r="Q2478" s="13">
        <f t="shared" si="77"/>
        <v>0</v>
      </c>
    </row>
    <row r="2479" spans="2:17" ht="15" customHeight="1">
      <c r="B2479" s="5" t="str">
        <f>_xlfn.IFNA(VLOOKUP(C2479,Master!$H:$I,2,FALSE),"")</f>
        <v/>
      </c>
      <c r="D2479" s="5" t="str">
        <f>_xlfn.IFNA(VLOOKUP(E2479,Master!$H:$I,2,FALSE),"")</f>
        <v/>
      </c>
      <c r="F2479" s="26" t="str">
        <f>+_xlfn.XLOOKUP(G2479,Master!$V$2:$V$8,Master!$U$2:$U$8,"")</f>
        <v/>
      </c>
      <c r="I2479" s="4" t="str">
        <f>_xlfn.IFNA(VLOOKUP(D2479,Master!$I:$K,2,FALSE),"")</f>
        <v/>
      </c>
      <c r="J2479" s="4" t="str">
        <f>_xlfn.IFNA(VLOOKUP(D2479,Master!$I:$K,3,FALSE),"")</f>
        <v/>
      </c>
      <c r="L2479" s="27" t="str">
        <f>IF(A2479&lt;&gt;"CFA",_xlfn.IFNA(VLOOKUP($G2479,Master!$V$2:$Z$8,5,0),""),"")</f>
        <v/>
      </c>
      <c r="P2479" s="6" t="str">
        <f t="shared" si="76"/>
        <v/>
      </c>
      <c r="Q2479" s="13">
        <f t="shared" si="77"/>
        <v>0</v>
      </c>
    </row>
    <row r="2480" spans="2:17" ht="15" customHeight="1">
      <c r="B2480" s="5" t="str">
        <f>_xlfn.IFNA(VLOOKUP(C2480,Master!$H:$I,2,FALSE),"")</f>
        <v/>
      </c>
      <c r="D2480" s="5" t="str">
        <f>_xlfn.IFNA(VLOOKUP(E2480,Master!$H:$I,2,FALSE),"")</f>
        <v/>
      </c>
      <c r="F2480" s="26" t="str">
        <f>+_xlfn.XLOOKUP(G2480,Master!$V$2:$V$8,Master!$U$2:$U$8,"")</f>
        <v/>
      </c>
      <c r="I2480" s="4" t="str">
        <f>_xlfn.IFNA(VLOOKUP(D2480,Master!$I:$K,2,FALSE),"")</f>
        <v/>
      </c>
      <c r="J2480" s="4" t="str">
        <f>_xlfn.IFNA(VLOOKUP(D2480,Master!$I:$K,3,FALSE),"")</f>
        <v/>
      </c>
      <c r="L2480" s="27" t="str">
        <f>IF(A2480&lt;&gt;"CFA",_xlfn.IFNA(VLOOKUP($G2480,Master!$V$2:$Z$8,5,0),""),"")</f>
        <v/>
      </c>
      <c r="P2480" s="6" t="str">
        <f t="shared" si="76"/>
        <v/>
      </c>
      <c r="Q2480" s="13">
        <f t="shared" si="77"/>
        <v>0</v>
      </c>
    </row>
    <row r="2481" spans="2:17" ht="15" customHeight="1">
      <c r="B2481" s="5" t="str">
        <f>_xlfn.IFNA(VLOOKUP(C2481,Master!$H:$I,2,FALSE),"")</f>
        <v/>
      </c>
      <c r="D2481" s="5" t="str">
        <f>_xlfn.IFNA(VLOOKUP(E2481,Master!$H:$I,2,FALSE),"")</f>
        <v/>
      </c>
      <c r="F2481" s="26" t="str">
        <f>+_xlfn.XLOOKUP(G2481,Master!$V$2:$V$8,Master!$U$2:$U$8,"")</f>
        <v/>
      </c>
      <c r="I2481" s="4" t="str">
        <f>_xlfn.IFNA(VLOOKUP(D2481,Master!$I:$K,2,FALSE),"")</f>
        <v/>
      </c>
      <c r="J2481" s="4" t="str">
        <f>_xlfn.IFNA(VLOOKUP(D2481,Master!$I:$K,3,FALSE),"")</f>
        <v/>
      </c>
      <c r="L2481" s="27" t="str">
        <f>IF(A2481&lt;&gt;"CFA",_xlfn.IFNA(VLOOKUP($G2481,Master!$V$2:$Z$8,5,0),""),"")</f>
        <v/>
      </c>
      <c r="P2481" s="6" t="str">
        <f t="shared" si="76"/>
        <v/>
      </c>
      <c r="Q2481" s="13">
        <f t="shared" si="77"/>
        <v>0</v>
      </c>
    </row>
    <row r="2482" spans="2:17" ht="15" customHeight="1">
      <c r="B2482" s="5" t="str">
        <f>_xlfn.IFNA(VLOOKUP(C2482,Master!$H:$I,2,FALSE),"")</f>
        <v/>
      </c>
      <c r="D2482" s="5" t="str">
        <f>_xlfn.IFNA(VLOOKUP(E2482,Master!$H:$I,2,FALSE),"")</f>
        <v/>
      </c>
      <c r="F2482" s="26" t="str">
        <f>+_xlfn.XLOOKUP(G2482,Master!$V$2:$V$8,Master!$U$2:$U$8,"")</f>
        <v/>
      </c>
      <c r="I2482" s="4" t="str">
        <f>_xlfn.IFNA(VLOOKUP(D2482,Master!$I:$K,2,FALSE),"")</f>
        <v/>
      </c>
      <c r="J2482" s="4" t="str">
        <f>_xlfn.IFNA(VLOOKUP(D2482,Master!$I:$K,3,FALSE),"")</f>
        <v/>
      </c>
      <c r="L2482" s="27" t="str">
        <f>IF(A2482&lt;&gt;"CFA",_xlfn.IFNA(VLOOKUP($G2482,Master!$V$2:$Z$8,5,0),""),"")</f>
        <v/>
      </c>
      <c r="P2482" s="6" t="str">
        <f t="shared" si="76"/>
        <v/>
      </c>
      <c r="Q2482" s="13">
        <f t="shared" si="77"/>
        <v>0</v>
      </c>
    </row>
    <row r="2483" spans="2:17" ht="15" customHeight="1">
      <c r="B2483" s="5" t="str">
        <f>_xlfn.IFNA(VLOOKUP(C2483,Master!$H:$I,2,FALSE),"")</f>
        <v/>
      </c>
      <c r="D2483" s="5" t="str">
        <f>_xlfn.IFNA(VLOOKUP(E2483,Master!$H:$I,2,FALSE),"")</f>
        <v/>
      </c>
      <c r="F2483" s="26" t="str">
        <f>+_xlfn.XLOOKUP(G2483,Master!$V$2:$V$8,Master!$U$2:$U$8,"")</f>
        <v/>
      </c>
      <c r="I2483" s="4" t="str">
        <f>_xlfn.IFNA(VLOOKUP(D2483,Master!$I:$K,2,FALSE),"")</f>
        <v/>
      </c>
      <c r="J2483" s="4" t="str">
        <f>_xlfn.IFNA(VLOOKUP(D2483,Master!$I:$K,3,FALSE),"")</f>
        <v/>
      </c>
      <c r="L2483" s="27" t="str">
        <f>IF(A2483&lt;&gt;"CFA",_xlfn.IFNA(VLOOKUP($G2483,Master!$V$2:$Z$8,5,0),""),"")</f>
        <v/>
      </c>
      <c r="P2483" s="6" t="str">
        <f t="shared" si="76"/>
        <v/>
      </c>
      <c r="Q2483" s="13">
        <f t="shared" si="77"/>
        <v>0</v>
      </c>
    </row>
    <row r="2484" spans="2:17" ht="15" customHeight="1">
      <c r="B2484" s="5" t="str">
        <f>_xlfn.IFNA(VLOOKUP(C2484,Master!$H:$I,2,FALSE),"")</f>
        <v/>
      </c>
      <c r="D2484" s="5" t="str">
        <f>_xlfn.IFNA(VLOOKUP(E2484,Master!$H:$I,2,FALSE),"")</f>
        <v/>
      </c>
      <c r="F2484" s="26" t="str">
        <f>+_xlfn.XLOOKUP(G2484,Master!$V$2:$V$8,Master!$U$2:$U$8,"")</f>
        <v/>
      </c>
      <c r="I2484" s="4" t="str">
        <f>_xlfn.IFNA(VLOOKUP(D2484,Master!$I:$K,2,FALSE),"")</f>
        <v/>
      </c>
      <c r="J2484" s="4" t="str">
        <f>_xlfn.IFNA(VLOOKUP(D2484,Master!$I:$K,3,FALSE),"")</f>
        <v/>
      </c>
      <c r="L2484" s="27" t="str">
        <f>IF(A2484&lt;&gt;"CFA",_xlfn.IFNA(VLOOKUP($G2484,Master!$V$2:$Z$8,5,0),""),"")</f>
        <v/>
      </c>
      <c r="P2484" s="6" t="str">
        <f t="shared" si="76"/>
        <v/>
      </c>
      <c r="Q2484" s="13">
        <f t="shared" si="77"/>
        <v>0</v>
      </c>
    </row>
    <row r="2485" spans="2:17" ht="15" customHeight="1">
      <c r="B2485" s="5" t="str">
        <f>_xlfn.IFNA(VLOOKUP(C2485,Master!$H:$I,2,FALSE),"")</f>
        <v/>
      </c>
      <c r="D2485" s="5" t="str">
        <f>_xlfn.IFNA(VLOOKUP(E2485,Master!$H:$I,2,FALSE),"")</f>
        <v/>
      </c>
      <c r="F2485" s="26" t="str">
        <f>+_xlfn.XLOOKUP(G2485,Master!$V$2:$V$8,Master!$U$2:$U$8,"")</f>
        <v/>
      </c>
      <c r="I2485" s="4" t="str">
        <f>_xlfn.IFNA(VLOOKUP(D2485,Master!$I:$K,2,FALSE),"")</f>
        <v/>
      </c>
      <c r="J2485" s="4" t="str">
        <f>_xlfn.IFNA(VLOOKUP(D2485,Master!$I:$K,3,FALSE),"")</f>
        <v/>
      </c>
      <c r="L2485" s="27" t="str">
        <f>IF(A2485&lt;&gt;"CFA",_xlfn.IFNA(VLOOKUP($G2485,Master!$V$2:$Z$8,5,0),""),"")</f>
        <v/>
      </c>
      <c r="P2485" s="6" t="str">
        <f t="shared" si="76"/>
        <v/>
      </c>
      <c r="Q2485" s="13">
        <f t="shared" si="77"/>
        <v>0</v>
      </c>
    </row>
    <row r="2486" spans="2:17" ht="15" customHeight="1">
      <c r="B2486" s="5" t="str">
        <f>_xlfn.IFNA(VLOOKUP(C2486,Master!$H:$I,2,FALSE),"")</f>
        <v/>
      </c>
      <c r="D2486" s="5" t="str">
        <f>_xlfn.IFNA(VLOOKUP(E2486,Master!$H:$I,2,FALSE),"")</f>
        <v/>
      </c>
      <c r="F2486" s="26" t="str">
        <f>+_xlfn.XLOOKUP(G2486,Master!$V$2:$V$8,Master!$U$2:$U$8,"")</f>
        <v/>
      </c>
      <c r="I2486" s="4" t="str">
        <f>_xlfn.IFNA(VLOOKUP(D2486,Master!$I:$K,2,FALSE),"")</f>
        <v/>
      </c>
      <c r="J2486" s="4" t="str">
        <f>_xlfn.IFNA(VLOOKUP(D2486,Master!$I:$K,3,FALSE),"")</f>
        <v/>
      </c>
      <c r="L2486" s="27" t="str">
        <f>IF(A2486&lt;&gt;"CFA",_xlfn.IFNA(VLOOKUP($G2486,Master!$V$2:$Z$8,5,0),""),"")</f>
        <v/>
      </c>
      <c r="P2486" s="6" t="str">
        <f t="shared" si="76"/>
        <v/>
      </c>
      <c r="Q2486" s="13">
        <f t="shared" si="77"/>
        <v>0</v>
      </c>
    </row>
    <row r="2487" spans="2:17" ht="15" customHeight="1">
      <c r="B2487" s="5" t="str">
        <f>_xlfn.IFNA(VLOOKUP(C2487,Master!$H:$I,2,FALSE),"")</f>
        <v/>
      </c>
      <c r="D2487" s="5" t="str">
        <f>_xlfn.IFNA(VLOOKUP(E2487,Master!$H:$I,2,FALSE),"")</f>
        <v/>
      </c>
      <c r="F2487" s="26" t="str">
        <f>+_xlfn.XLOOKUP(G2487,Master!$V$2:$V$8,Master!$U$2:$U$8,"")</f>
        <v/>
      </c>
      <c r="I2487" s="4" t="str">
        <f>_xlfn.IFNA(VLOOKUP(D2487,Master!$I:$K,2,FALSE),"")</f>
        <v/>
      </c>
      <c r="J2487" s="4" t="str">
        <f>_xlfn.IFNA(VLOOKUP(D2487,Master!$I:$K,3,FALSE),"")</f>
        <v/>
      </c>
      <c r="L2487" s="27" t="str">
        <f>IF(A2487&lt;&gt;"CFA",_xlfn.IFNA(VLOOKUP($G2487,Master!$V$2:$Z$8,5,0),""),"")</f>
        <v/>
      </c>
      <c r="P2487" s="6" t="str">
        <f t="shared" ref="P2487:P2500" si="78">IF(N2487&lt;&gt;"",IF(MONTH(N2487)&gt;=4,"FY1"&amp;RIGHT(YEAR(N2487)+1,2),"FY1"&amp;RIGHT(YEAR(N2487),2)),"")</f>
        <v/>
      </c>
      <c r="Q2487" s="13">
        <f t="shared" ref="Q2487:Q2500" si="79">IF(K2487&gt;0&amp;M2487&gt;0,K2487*M2487,"")</f>
        <v>0</v>
      </c>
    </row>
    <row r="2488" spans="2:17" ht="15" customHeight="1">
      <c r="B2488" s="5" t="str">
        <f>_xlfn.IFNA(VLOOKUP(C2488,Master!$H:$I,2,FALSE),"")</f>
        <v/>
      </c>
      <c r="D2488" s="5" t="str">
        <f>_xlfn.IFNA(VLOOKUP(E2488,Master!$H:$I,2,FALSE),"")</f>
        <v/>
      </c>
      <c r="F2488" s="26" t="str">
        <f>+_xlfn.XLOOKUP(G2488,Master!$V$2:$V$8,Master!$U$2:$U$8,"")</f>
        <v/>
      </c>
      <c r="I2488" s="4" t="str">
        <f>_xlfn.IFNA(VLOOKUP(D2488,Master!$I:$K,2,FALSE),"")</f>
        <v/>
      </c>
      <c r="J2488" s="4" t="str">
        <f>_xlfn.IFNA(VLOOKUP(D2488,Master!$I:$K,3,FALSE),"")</f>
        <v/>
      </c>
      <c r="L2488" s="27" t="str">
        <f>IF(A2488&lt;&gt;"CFA",_xlfn.IFNA(VLOOKUP($G2488,Master!$V$2:$Z$8,5,0),""),"")</f>
        <v/>
      </c>
      <c r="P2488" s="6" t="str">
        <f t="shared" si="78"/>
        <v/>
      </c>
      <c r="Q2488" s="13">
        <f t="shared" si="79"/>
        <v>0</v>
      </c>
    </row>
    <row r="2489" spans="2:17" ht="15" customHeight="1">
      <c r="B2489" s="5" t="str">
        <f>_xlfn.IFNA(VLOOKUP(C2489,Master!$H:$I,2,FALSE),"")</f>
        <v/>
      </c>
      <c r="D2489" s="5" t="str">
        <f>_xlfn.IFNA(VLOOKUP(E2489,Master!$H:$I,2,FALSE),"")</f>
        <v/>
      </c>
      <c r="F2489" s="26" t="str">
        <f>+_xlfn.XLOOKUP(G2489,Master!$V$2:$V$8,Master!$U$2:$U$8,"")</f>
        <v/>
      </c>
      <c r="I2489" s="4" t="str">
        <f>_xlfn.IFNA(VLOOKUP(D2489,Master!$I:$K,2,FALSE),"")</f>
        <v/>
      </c>
      <c r="J2489" s="4" t="str">
        <f>_xlfn.IFNA(VLOOKUP(D2489,Master!$I:$K,3,FALSE),"")</f>
        <v/>
      </c>
      <c r="L2489" s="27" t="str">
        <f>IF(A2489&lt;&gt;"CFA",_xlfn.IFNA(VLOOKUP($G2489,Master!$V$2:$Z$8,5,0),""),"")</f>
        <v/>
      </c>
      <c r="P2489" s="6" t="str">
        <f t="shared" si="78"/>
        <v/>
      </c>
      <c r="Q2489" s="13">
        <f t="shared" si="79"/>
        <v>0</v>
      </c>
    </row>
    <row r="2490" spans="2:17" ht="15" customHeight="1">
      <c r="B2490" s="5" t="str">
        <f>_xlfn.IFNA(VLOOKUP(C2490,Master!$H:$I,2,FALSE),"")</f>
        <v/>
      </c>
      <c r="D2490" s="5" t="str">
        <f>_xlfn.IFNA(VLOOKUP(E2490,Master!$H:$I,2,FALSE),"")</f>
        <v/>
      </c>
      <c r="F2490" s="26" t="str">
        <f>+_xlfn.XLOOKUP(G2490,Master!$V$2:$V$8,Master!$U$2:$U$8,"")</f>
        <v/>
      </c>
      <c r="I2490" s="4" t="str">
        <f>_xlfn.IFNA(VLOOKUP(D2490,Master!$I:$K,2,FALSE),"")</f>
        <v/>
      </c>
      <c r="J2490" s="4" t="str">
        <f>_xlfn.IFNA(VLOOKUP(D2490,Master!$I:$K,3,FALSE),"")</f>
        <v/>
      </c>
      <c r="L2490" s="27" t="str">
        <f>IF(A2490&lt;&gt;"CFA",_xlfn.IFNA(VLOOKUP($G2490,Master!$V$2:$Z$8,5,0),""),"")</f>
        <v/>
      </c>
      <c r="P2490" s="6" t="str">
        <f t="shared" si="78"/>
        <v/>
      </c>
      <c r="Q2490" s="13">
        <f t="shared" si="79"/>
        <v>0</v>
      </c>
    </row>
    <row r="2491" spans="2:17" ht="15" customHeight="1">
      <c r="B2491" s="5" t="str">
        <f>_xlfn.IFNA(VLOOKUP(C2491,Master!$H:$I,2,FALSE),"")</f>
        <v/>
      </c>
      <c r="D2491" s="5" t="str">
        <f>_xlfn.IFNA(VLOOKUP(E2491,Master!$H:$I,2,FALSE),"")</f>
        <v/>
      </c>
      <c r="F2491" s="26" t="str">
        <f>+_xlfn.XLOOKUP(G2491,Master!$V$2:$V$8,Master!$U$2:$U$8,"")</f>
        <v/>
      </c>
      <c r="I2491" s="4" t="str">
        <f>_xlfn.IFNA(VLOOKUP(D2491,Master!$I:$K,2,FALSE),"")</f>
        <v/>
      </c>
      <c r="J2491" s="4" t="str">
        <f>_xlfn.IFNA(VLOOKUP(D2491,Master!$I:$K,3,FALSE),"")</f>
        <v/>
      </c>
      <c r="L2491" s="27" t="str">
        <f>IF(A2491&lt;&gt;"CFA",_xlfn.IFNA(VLOOKUP($G2491,Master!$V$2:$Z$8,5,0),""),"")</f>
        <v/>
      </c>
      <c r="P2491" s="6" t="str">
        <f t="shared" si="78"/>
        <v/>
      </c>
      <c r="Q2491" s="13">
        <f t="shared" si="79"/>
        <v>0</v>
      </c>
    </row>
    <row r="2492" spans="2:17" ht="15" customHeight="1">
      <c r="B2492" s="5" t="str">
        <f>_xlfn.IFNA(VLOOKUP(C2492,Master!$H:$I,2,FALSE),"")</f>
        <v/>
      </c>
      <c r="D2492" s="5" t="str">
        <f>_xlfn.IFNA(VLOOKUP(E2492,Master!$H:$I,2,FALSE),"")</f>
        <v/>
      </c>
      <c r="F2492" s="26" t="str">
        <f>+_xlfn.XLOOKUP(G2492,Master!$V$2:$V$8,Master!$U$2:$U$8,"")</f>
        <v/>
      </c>
      <c r="I2492" s="4" t="str">
        <f>_xlfn.IFNA(VLOOKUP(D2492,Master!$I:$K,2,FALSE),"")</f>
        <v/>
      </c>
      <c r="J2492" s="4" t="str">
        <f>_xlfn.IFNA(VLOOKUP(D2492,Master!$I:$K,3,FALSE),"")</f>
        <v/>
      </c>
      <c r="L2492" s="27" t="str">
        <f>IF(A2492&lt;&gt;"CFA",_xlfn.IFNA(VLOOKUP($G2492,Master!$V$2:$Z$8,5,0),""),"")</f>
        <v/>
      </c>
      <c r="P2492" s="6" t="str">
        <f t="shared" si="78"/>
        <v/>
      </c>
      <c r="Q2492" s="13">
        <f t="shared" si="79"/>
        <v>0</v>
      </c>
    </row>
    <row r="2493" spans="2:17" ht="15" customHeight="1">
      <c r="B2493" s="5" t="str">
        <f>_xlfn.IFNA(VLOOKUP(C2493,Master!$H:$I,2,FALSE),"")</f>
        <v/>
      </c>
      <c r="D2493" s="5" t="str">
        <f>_xlfn.IFNA(VLOOKUP(E2493,Master!$H:$I,2,FALSE),"")</f>
        <v/>
      </c>
      <c r="F2493" s="26" t="str">
        <f>+_xlfn.XLOOKUP(G2493,Master!$V$2:$V$8,Master!$U$2:$U$8,"")</f>
        <v/>
      </c>
      <c r="I2493" s="4" t="str">
        <f>_xlfn.IFNA(VLOOKUP(D2493,Master!$I:$K,2,FALSE),"")</f>
        <v/>
      </c>
      <c r="J2493" s="4" t="str">
        <f>_xlfn.IFNA(VLOOKUP(D2493,Master!$I:$K,3,FALSE),"")</f>
        <v/>
      </c>
      <c r="L2493" s="27" t="str">
        <f>IF(A2493&lt;&gt;"CFA",_xlfn.IFNA(VLOOKUP($G2493,Master!$V$2:$Z$8,5,0),""),"")</f>
        <v/>
      </c>
      <c r="P2493" s="6" t="str">
        <f t="shared" si="78"/>
        <v/>
      </c>
      <c r="Q2493" s="13">
        <f t="shared" si="79"/>
        <v>0</v>
      </c>
    </row>
    <row r="2494" spans="2:17" ht="15" customHeight="1">
      <c r="B2494" s="5" t="str">
        <f>_xlfn.IFNA(VLOOKUP(C2494,Master!$H:$I,2,FALSE),"")</f>
        <v/>
      </c>
      <c r="D2494" s="5" t="str">
        <f>_xlfn.IFNA(VLOOKUP(E2494,Master!$H:$I,2,FALSE),"")</f>
        <v/>
      </c>
      <c r="F2494" s="26" t="str">
        <f>+_xlfn.XLOOKUP(G2494,Master!$V$2:$V$8,Master!$U$2:$U$8,"")</f>
        <v/>
      </c>
      <c r="I2494" s="4" t="str">
        <f>_xlfn.IFNA(VLOOKUP(D2494,Master!$I:$K,2,FALSE),"")</f>
        <v/>
      </c>
      <c r="J2494" s="4" t="str">
        <f>_xlfn.IFNA(VLOOKUP(D2494,Master!$I:$K,3,FALSE),"")</f>
        <v/>
      </c>
      <c r="L2494" s="27" t="str">
        <f>IF(A2494&lt;&gt;"CFA",_xlfn.IFNA(VLOOKUP($G2494,Master!$V$2:$Z$8,5,0),""),"")</f>
        <v/>
      </c>
      <c r="P2494" s="6" t="str">
        <f t="shared" si="78"/>
        <v/>
      </c>
      <c r="Q2494" s="13">
        <f t="shared" si="79"/>
        <v>0</v>
      </c>
    </row>
    <row r="2495" spans="2:17" ht="15" customHeight="1">
      <c r="B2495" s="5" t="str">
        <f>_xlfn.IFNA(VLOOKUP(C2495,Master!$H:$I,2,FALSE),"")</f>
        <v/>
      </c>
      <c r="D2495" s="5" t="str">
        <f>_xlfn.IFNA(VLOOKUP(E2495,Master!$H:$I,2,FALSE),"")</f>
        <v/>
      </c>
      <c r="F2495" s="26" t="str">
        <f>+_xlfn.XLOOKUP(G2495,Master!$V$2:$V$8,Master!$U$2:$U$8,"")</f>
        <v/>
      </c>
      <c r="I2495" s="4" t="str">
        <f>_xlfn.IFNA(VLOOKUP(D2495,Master!$I:$K,2,FALSE),"")</f>
        <v/>
      </c>
      <c r="J2495" s="4" t="str">
        <f>_xlfn.IFNA(VLOOKUP(D2495,Master!$I:$K,3,FALSE),"")</f>
        <v/>
      </c>
      <c r="L2495" s="27" t="str">
        <f>IF(A2495&lt;&gt;"CFA",_xlfn.IFNA(VLOOKUP($G2495,Master!$V$2:$Z$8,5,0),""),"")</f>
        <v/>
      </c>
      <c r="P2495" s="6" t="str">
        <f t="shared" si="78"/>
        <v/>
      </c>
      <c r="Q2495" s="13">
        <f t="shared" si="79"/>
        <v>0</v>
      </c>
    </row>
    <row r="2496" spans="2:17" ht="15" customHeight="1">
      <c r="B2496" s="5" t="str">
        <f>_xlfn.IFNA(VLOOKUP(C2496,Master!$H:$I,2,FALSE),"")</f>
        <v/>
      </c>
      <c r="D2496" s="5" t="str">
        <f>_xlfn.IFNA(VLOOKUP(E2496,Master!$H:$I,2,FALSE),"")</f>
        <v/>
      </c>
      <c r="F2496" s="26" t="str">
        <f>+_xlfn.XLOOKUP(G2496,Master!$V$2:$V$8,Master!$U$2:$U$8,"")</f>
        <v/>
      </c>
      <c r="I2496" s="4" t="str">
        <f>_xlfn.IFNA(VLOOKUP(D2496,Master!$I:$K,2,FALSE),"")</f>
        <v/>
      </c>
      <c r="J2496" s="4" t="str">
        <f>_xlfn.IFNA(VLOOKUP(D2496,Master!$I:$K,3,FALSE),"")</f>
        <v/>
      </c>
      <c r="L2496" s="27" t="str">
        <f>IF(A2496&lt;&gt;"CFA",_xlfn.IFNA(VLOOKUP($G2496,Master!$V$2:$Z$8,5,0),""),"")</f>
        <v/>
      </c>
      <c r="P2496" s="6" t="str">
        <f t="shared" si="78"/>
        <v/>
      </c>
      <c r="Q2496" s="13">
        <f t="shared" si="79"/>
        <v>0</v>
      </c>
    </row>
    <row r="2497" spans="2:17" ht="15" customHeight="1">
      <c r="B2497" s="5" t="str">
        <f>_xlfn.IFNA(VLOOKUP(C2497,Master!$H:$I,2,FALSE),"")</f>
        <v/>
      </c>
      <c r="D2497" s="5" t="str">
        <f>_xlfn.IFNA(VLOOKUP(E2497,Master!$H:$I,2,FALSE),"")</f>
        <v/>
      </c>
      <c r="F2497" s="26" t="str">
        <f>+_xlfn.XLOOKUP(G2497,Master!$V$2:$V$8,Master!$U$2:$U$8,"")</f>
        <v/>
      </c>
      <c r="I2497" s="4" t="str">
        <f>_xlfn.IFNA(VLOOKUP(D2497,Master!$I:$K,2,FALSE),"")</f>
        <v/>
      </c>
      <c r="J2497" s="4" t="str">
        <f>_xlfn.IFNA(VLOOKUP(D2497,Master!$I:$K,3,FALSE),"")</f>
        <v/>
      </c>
      <c r="L2497" s="27" t="str">
        <f>IF(A2497&lt;&gt;"CFA",_xlfn.IFNA(VLOOKUP($G2497,Master!$V$2:$Z$8,5,0),""),"")</f>
        <v/>
      </c>
      <c r="P2497" s="6" t="str">
        <f t="shared" si="78"/>
        <v/>
      </c>
      <c r="Q2497" s="13">
        <f t="shared" si="79"/>
        <v>0</v>
      </c>
    </row>
    <row r="2498" spans="2:17" ht="15" customHeight="1">
      <c r="B2498" s="5" t="str">
        <f>_xlfn.IFNA(VLOOKUP(C2498,Master!$H:$I,2,FALSE),"")</f>
        <v/>
      </c>
      <c r="D2498" s="5" t="str">
        <f>_xlfn.IFNA(VLOOKUP(E2498,Master!$H:$I,2,FALSE),"")</f>
        <v/>
      </c>
      <c r="F2498" s="26" t="str">
        <f>+_xlfn.XLOOKUP(G2498,Master!$V$2:$V$8,Master!$U$2:$U$8,"")</f>
        <v/>
      </c>
      <c r="I2498" s="4" t="str">
        <f>_xlfn.IFNA(VLOOKUP(D2498,Master!$I:$K,2,FALSE),"")</f>
        <v/>
      </c>
      <c r="J2498" s="4" t="str">
        <f>_xlfn.IFNA(VLOOKUP(D2498,Master!$I:$K,3,FALSE),"")</f>
        <v/>
      </c>
      <c r="L2498" s="27" t="str">
        <f>IF(A2498&lt;&gt;"CFA",_xlfn.IFNA(VLOOKUP($G2498,Master!$V$2:$Z$8,5,0),""),"")</f>
        <v/>
      </c>
      <c r="P2498" s="6" t="str">
        <f t="shared" si="78"/>
        <v/>
      </c>
      <c r="Q2498" s="13">
        <f t="shared" si="79"/>
        <v>0</v>
      </c>
    </row>
    <row r="2499" spans="2:17" ht="15" customHeight="1">
      <c r="B2499" s="5" t="str">
        <f>_xlfn.IFNA(VLOOKUP(C2499,Master!$H:$I,2,FALSE),"")</f>
        <v/>
      </c>
      <c r="D2499" s="5" t="str">
        <f>_xlfn.IFNA(VLOOKUP(E2499,Master!$H:$I,2,FALSE),"")</f>
        <v/>
      </c>
      <c r="F2499" s="26" t="str">
        <f>+_xlfn.XLOOKUP(G2499,Master!$V$2:$V$8,Master!$U$2:$U$8,"")</f>
        <v/>
      </c>
      <c r="I2499" s="4" t="str">
        <f>_xlfn.IFNA(VLOOKUP(D2499,Master!$I:$K,2,FALSE),"")</f>
        <v/>
      </c>
      <c r="J2499" s="4" t="str">
        <f>_xlfn.IFNA(VLOOKUP(D2499,Master!$I:$K,3,FALSE),"")</f>
        <v/>
      </c>
      <c r="L2499" s="27" t="str">
        <f>IF(A2499&lt;&gt;"CFA",_xlfn.IFNA(VLOOKUP($G2499,Master!$V$2:$Z$8,5,0),""),"")</f>
        <v/>
      </c>
      <c r="P2499" s="6" t="str">
        <f t="shared" si="78"/>
        <v/>
      </c>
      <c r="Q2499" s="13">
        <f t="shared" si="79"/>
        <v>0</v>
      </c>
    </row>
    <row r="2500" spans="2:17" ht="15" customHeight="1">
      <c r="B2500" s="5" t="str">
        <f>_xlfn.IFNA(VLOOKUP(C2500,Master!$H:$I,2,FALSE),"")</f>
        <v/>
      </c>
      <c r="D2500" s="5" t="str">
        <f>_xlfn.IFNA(VLOOKUP(E2500,Master!$H:$I,2,FALSE),"")</f>
        <v/>
      </c>
      <c r="F2500" s="26" t="str">
        <f>+_xlfn.XLOOKUP(G2500,Master!$V$2:$V$8,Master!$U$2:$U$8,"")</f>
        <v/>
      </c>
      <c r="I2500" s="4" t="str">
        <f>_xlfn.IFNA(VLOOKUP(D2500,Master!$I:$K,2,FALSE),"")</f>
        <v/>
      </c>
      <c r="J2500" s="4" t="str">
        <f>_xlfn.IFNA(VLOOKUP(D2500,Master!$I:$K,3,FALSE),"")</f>
        <v/>
      </c>
      <c r="L2500" s="27" t="str">
        <f>IF(A2500&lt;&gt;"CFA",_xlfn.IFNA(VLOOKUP($G2500,Master!$V$2:$Z$8,5,0),""),"")</f>
        <v/>
      </c>
      <c r="P2500" s="6" t="str">
        <f t="shared" si="78"/>
        <v/>
      </c>
      <c r="Q2500" s="13">
        <f t="shared" si="79"/>
        <v>0</v>
      </c>
    </row>
  </sheetData>
  <sheetProtection algorithmName="SHA-512" hashValue="KwBmPADrjaq9p5nrdzXB6X+eX+wGTmDaLUYR9q3Docx10zA7W500zG+227a5hvMDc9CSA3u/Ry39NxKlng9KnA==" saltValue="wklo4sV0khvJVdm6q6bBTA==" spinCount="100000" sheet="1" objects="1" scenarios="1"/>
  <autoFilter ref="H1:O1" xr:uid="{217A82DE-71A0-4D1C-913B-F16E91CA4E32}"/>
  <phoneticPr fontId="20" type="noConversion"/>
  <conditionalFormatting sqref="A1:A1048576 C1:C1048576 E1:E1048576 G1:H1048576 K1:K1048576 M1:O1048576">
    <cfRule type="containsBlanks" dxfId="2" priority="4">
      <formula>LEN(TRIM(A1))=0</formula>
    </cfRule>
  </conditionalFormatting>
  <conditionalFormatting sqref="B1:B1048576 D1:D1048576 F1:F1048576 I1:J1048576 L1:L1048576 P1:Q1048576">
    <cfRule type="containsBlanks" dxfId="1" priority="3">
      <formula>LEN(TRIM(B1))=0</formula>
    </cfRule>
  </conditionalFormatting>
  <conditionalFormatting sqref="Q1:Q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xr:uid="{57FFE111-A99B-4321-86D8-5E8E6AB2EAC8}">
          <x14:formula1>
            <xm:f>Priority!$A$2:$A$4</xm:f>
          </x14:formula1>
          <xm:sqref>O2:O1048576</xm:sqref>
        </x14:dataValidation>
        <x14:dataValidation type="list" allowBlank="1" showInputMessage="1" showErrorMessage="1" xr:uid="{37A1847A-938A-47A2-870D-94DBA3AD11B6}">
          <x14:formula1>
            <xm:f>Master!$H$2:$H$42</xm:f>
          </x14:formula1>
          <xm:sqref>C2</xm:sqref>
        </x14:dataValidation>
        <x14:dataValidation type="list" allowBlank="1" showInputMessage="1" showErrorMessage="1" xr:uid="{33C40FD3-5B90-4C14-B9AF-A2303A68A447}">
          <x14:formula1>
            <xm:f>Master!$N$6:$N$8</xm:f>
          </x14:formula1>
          <xm:sqref>A2:A1048576</xm:sqref>
        </x14:dataValidation>
        <x14:dataValidation type="list" allowBlank="1" showInputMessage="1" showErrorMessage="1" xr:uid="{5CFADC9D-F5B5-4089-88D4-F6F8A140339F}">
          <x14:formula1>
            <xm:f>Master!$V$2:$V$8</xm:f>
          </x14:formula1>
          <xm:sqref>G2:G1048576</xm:sqref>
        </x14:dataValidation>
        <x14:dataValidation type="list" allowBlank="1" showInputMessage="1" showErrorMessage="1" xr:uid="{FC15CC25-0D24-4F1E-B461-DD9DAC1A4147}">
          <x14:formula1>
            <xm:f>Master!$H$2:$H$43</xm:f>
          </x14:formula1>
          <xm:sqref>E2:E1048576 C3:C1048576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0AA0-08F8-4782-9AAE-D6A3D48FC9B5}">
  <dimension ref="A1"/>
  <sheetViews>
    <sheetView workbookViewId="0">
      <selection activeCell="A10" sqref="A10"/>
    </sheetView>
  </sheetViews>
  <sheetFormatPr defaultRowHeight="14.4"/>
  <cols>
    <col min="1" max="1" width="53.44140625" bestFit="1" customWidth="1"/>
  </cols>
  <sheetData>
    <row r="1" spans="1:1">
      <c r="A1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C908-891A-4794-88BF-4603A66FB4C2}">
  <dimension ref="A1"/>
  <sheetViews>
    <sheetView workbookViewId="0">
      <selection activeCell="AO2" sqref="AO2"/>
    </sheetView>
  </sheetViews>
  <sheetFormatPr defaultRowHeight="14.4"/>
  <sheetData>
    <row r="1" spans="1:1">
      <c r="A1" t="s">
        <v>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344F-8A9E-45F8-A59E-57E01FB26749}">
  <dimension ref="A1:C4"/>
  <sheetViews>
    <sheetView showGridLines="0" zoomScale="85" zoomScaleNormal="85" workbookViewId="0">
      <selection activeCell="C4" sqref="C4"/>
    </sheetView>
  </sheetViews>
  <sheetFormatPr defaultRowHeight="14.4"/>
  <cols>
    <col min="1" max="1" width="13.44140625" bestFit="1" customWidth="1"/>
    <col min="2" max="2" width="14.109375" bestFit="1" customWidth="1"/>
    <col min="3" max="3" width="72.6640625" bestFit="1" customWidth="1"/>
  </cols>
  <sheetData>
    <row r="1" spans="1:3">
      <c r="A1" s="15" t="s">
        <v>288</v>
      </c>
      <c r="B1" s="15" t="s">
        <v>289</v>
      </c>
      <c r="C1" s="15" t="s">
        <v>3</v>
      </c>
    </row>
    <row r="2" spans="1:3">
      <c r="A2" s="41" t="s">
        <v>279</v>
      </c>
      <c r="B2" s="12" t="s">
        <v>280</v>
      </c>
      <c r="C2" s="12" t="s">
        <v>281</v>
      </c>
    </row>
    <row r="3" spans="1:3">
      <c r="A3" s="41" t="s">
        <v>282</v>
      </c>
      <c r="B3" s="12" t="s">
        <v>283</v>
      </c>
      <c r="C3" s="12" t="s">
        <v>284</v>
      </c>
    </row>
    <row r="4" spans="1:3">
      <c r="A4" s="41" t="s">
        <v>285</v>
      </c>
      <c r="B4" s="12" t="s">
        <v>286</v>
      </c>
      <c r="C4" s="12" t="s">
        <v>287</v>
      </c>
    </row>
  </sheetData>
  <sheetProtection algorithmName="SHA-512" hashValue="6lKBxnIYgSGQdk9SI1VMnLG0/K/urnR3JbtrkVs8HyyzteJiiPd1UybvDRSsnKuA0P8iUw+XA3nAw5Nbpu7YNA==" saltValue="2jTggE1d53mzFz17z/oiwQ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1871-B522-4360-BDA4-9BF4A4426FC5}">
  <dimension ref="A1:AB174"/>
  <sheetViews>
    <sheetView topLeftCell="S1" zoomScale="80" zoomScaleNormal="80" workbookViewId="0">
      <selection activeCell="S3" sqref="S3"/>
    </sheetView>
  </sheetViews>
  <sheetFormatPr defaultColWidth="8.88671875" defaultRowHeight="13.2"/>
  <cols>
    <col min="1" max="1" width="56.109375" style="18" bestFit="1" customWidth="1"/>
    <col min="2" max="2" width="10.5546875" style="19" bestFit="1" customWidth="1"/>
    <col min="3" max="3" width="12.5546875" style="20" bestFit="1" customWidth="1"/>
    <col min="4" max="4" width="12.44140625" style="20" bestFit="1" customWidth="1"/>
    <col min="5" max="5" width="13.88671875" style="20" bestFit="1" customWidth="1"/>
    <col min="6" max="6" width="50.6640625" style="18" hidden="1" customWidth="1"/>
    <col min="7" max="7" width="0.88671875" style="21" customWidth="1"/>
    <col min="8" max="8" width="28.5546875" style="18" bestFit="1" customWidth="1"/>
    <col min="9" max="9" width="11.44140625" style="19" bestFit="1" customWidth="1"/>
    <col min="10" max="10" width="15.88671875" style="18" bestFit="1" customWidth="1"/>
    <col min="11" max="11" width="19.44140625" style="18" bestFit="1" customWidth="1"/>
    <col min="12" max="12" width="28.5546875" style="18" bestFit="1" customWidth="1"/>
    <col min="13" max="13" width="0.88671875" style="21" customWidth="1"/>
    <col min="14" max="14" width="9.88671875" style="18" bestFit="1" customWidth="1"/>
    <col min="15" max="15" width="25.109375" style="18" bestFit="1" customWidth="1"/>
    <col min="16" max="16" width="0.88671875" style="21" customWidth="1"/>
    <col min="17" max="17" width="18.44140625" style="7" bestFit="1" customWidth="1"/>
    <col min="18" max="18" width="19" style="8" bestFit="1" customWidth="1"/>
    <col min="19" max="19" width="72.5546875" style="9" bestFit="1" customWidth="1"/>
    <col min="20" max="20" width="0.88671875" style="21" customWidth="1"/>
    <col min="21" max="21" width="8" style="18" bestFit="1" customWidth="1"/>
    <col min="22" max="22" width="30.109375" style="18" bestFit="1" customWidth="1"/>
    <col min="23" max="24" width="8" style="18" bestFit="1" customWidth="1"/>
    <col min="25" max="25" width="41.44140625" style="18" bestFit="1" customWidth="1"/>
    <col min="26" max="26" width="7.33203125" style="18" bestFit="1" customWidth="1"/>
    <col min="27" max="27" width="13.44140625" style="18" customWidth="1"/>
    <col min="28" max="28" width="107.77734375" style="18" bestFit="1" customWidth="1"/>
    <col min="29" max="16384" width="8.88671875" style="18"/>
  </cols>
  <sheetData>
    <row r="1" spans="1:28" s="17" customFormat="1" ht="60" customHeight="1">
      <c r="A1" s="42" t="s">
        <v>332</v>
      </c>
      <c r="B1" s="42" t="s">
        <v>333</v>
      </c>
      <c r="C1" s="43" t="s">
        <v>0</v>
      </c>
      <c r="D1" s="43" t="s">
        <v>1</v>
      </c>
      <c r="E1" s="43" t="s">
        <v>2</v>
      </c>
      <c r="F1" s="42" t="s">
        <v>3</v>
      </c>
      <c r="G1" s="44"/>
      <c r="H1" s="15" t="s">
        <v>339</v>
      </c>
      <c r="I1" s="15" t="s">
        <v>179</v>
      </c>
      <c r="J1" s="45" t="s">
        <v>180</v>
      </c>
      <c r="K1" s="45" t="s">
        <v>181</v>
      </c>
      <c r="L1" s="15" t="s">
        <v>340</v>
      </c>
      <c r="M1" s="46"/>
      <c r="N1" s="15" t="s">
        <v>341</v>
      </c>
      <c r="O1" s="15" t="s">
        <v>340</v>
      </c>
      <c r="P1" s="46"/>
      <c r="Q1" s="15" t="s">
        <v>288</v>
      </c>
      <c r="R1" s="15" t="s">
        <v>289</v>
      </c>
      <c r="S1" s="16" t="s">
        <v>3</v>
      </c>
      <c r="T1" s="46"/>
      <c r="U1" s="16" t="s">
        <v>182</v>
      </c>
      <c r="V1" s="16" t="s">
        <v>183</v>
      </c>
      <c r="W1" s="16" t="s">
        <v>182</v>
      </c>
      <c r="X1" s="16" t="s">
        <v>184</v>
      </c>
      <c r="Y1" s="16" t="s">
        <v>185</v>
      </c>
      <c r="Z1" s="16" t="s">
        <v>274</v>
      </c>
      <c r="AA1" s="16" t="s">
        <v>325</v>
      </c>
      <c r="AB1" s="16" t="s">
        <v>3</v>
      </c>
    </row>
    <row r="2" spans="1:28" ht="18" customHeight="1">
      <c r="A2" s="18" t="s">
        <v>4</v>
      </c>
      <c r="B2" s="19">
        <v>7511101</v>
      </c>
      <c r="C2" s="20" t="s">
        <v>5</v>
      </c>
      <c r="D2" s="20" t="s">
        <v>342</v>
      </c>
      <c r="E2" s="20" t="s">
        <v>6</v>
      </c>
      <c r="F2" s="18" t="s">
        <v>4</v>
      </c>
      <c r="H2" s="2" t="s">
        <v>186</v>
      </c>
      <c r="I2" s="3" t="s">
        <v>187</v>
      </c>
      <c r="J2" s="22" t="s">
        <v>5</v>
      </c>
      <c r="K2" s="23" t="s">
        <v>188</v>
      </c>
      <c r="L2" s="23" t="s">
        <v>186</v>
      </c>
      <c r="N2" s="23">
        <v>53450</v>
      </c>
      <c r="O2" s="23" t="s">
        <v>338</v>
      </c>
      <c r="Q2" s="11" t="s">
        <v>279</v>
      </c>
      <c r="R2" s="12" t="s">
        <v>280</v>
      </c>
      <c r="S2" s="10" t="s">
        <v>281</v>
      </c>
      <c r="U2" s="23">
        <v>2111100</v>
      </c>
      <c r="V2" s="23" t="s">
        <v>542</v>
      </c>
      <c r="W2" s="23">
        <v>2111100</v>
      </c>
      <c r="X2" s="23">
        <v>7611100</v>
      </c>
      <c r="Y2" s="23" t="s">
        <v>61</v>
      </c>
      <c r="Z2" s="23">
        <v>240</v>
      </c>
      <c r="AA2" s="23" t="s">
        <v>337</v>
      </c>
      <c r="AB2" s="23" t="s">
        <v>319</v>
      </c>
    </row>
    <row r="3" spans="1:28" ht="18" customHeight="1">
      <c r="A3" s="18" t="s">
        <v>7</v>
      </c>
      <c r="B3" s="19">
        <v>7511102</v>
      </c>
      <c r="C3" s="20" t="s">
        <v>5</v>
      </c>
      <c r="D3" s="20" t="s">
        <v>343</v>
      </c>
      <c r="E3" s="20" t="s">
        <v>6</v>
      </c>
      <c r="F3" s="18" t="s">
        <v>8</v>
      </c>
      <c r="H3" s="2" t="s">
        <v>189</v>
      </c>
      <c r="I3" s="3" t="s">
        <v>190</v>
      </c>
      <c r="J3" s="22" t="s">
        <v>5</v>
      </c>
      <c r="K3" s="23" t="s">
        <v>188</v>
      </c>
      <c r="L3" s="23" t="s">
        <v>189</v>
      </c>
      <c r="N3" s="23"/>
      <c r="O3" s="23"/>
      <c r="Q3" s="11" t="s">
        <v>282</v>
      </c>
      <c r="R3" s="12" t="s">
        <v>283</v>
      </c>
      <c r="S3" s="10" t="s">
        <v>284</v>
      </c>
      <c r="U3" s="23">
        <v>2111100</v>
      </c>
      <c r="V3" s="23" t="s">
        <v>543</v>
      </c>
      <c r="W3" s="23">
        <v>2111100</v>
      </c>
      <c r="X3" s="23">
        <v>7611100</v>
      </c>
      <c r="Y3" s="23" t="s">
        <v>61</v>
      </c>
      <c r="Z3" s="23">
        <v>120</v>
      </c>
      <c r="AA3" s="23" t="s">
        <v>334</v>
      </c>
      <c r="AB3" s="23" t="s">
        <v>319</v>
      </c>
    </row>
    <row r="4" spans="1:28" ht="18" customHeight="1">
      <c r="A4" s="18" t="s">
        <v>344</v>
      </c>
      <c r="B4" s="19">
        <v>7511103</v>
      </c>
      <c r="C4" s="20" t="s">
        <v>5</v>
      </c>
      <c r="D4" s="20" t="s">
        <v>345</v>
      </c>
      <c r="E4" s="20" t="s">
        <v>9</v>
      </c>
      <c r="F4" s="18" t="s">
        <v>10</v>
      </c>
      <c r="H4" s="2" t="s">
        <v>191</v>
      </c>
      <c r="I4" s="3" t="s">
        <v>192</v>
      </c>
      <c r="J4" s="22" t="s">
        <v>5</v>
      </c>
      <c r="K4" s="23" t="s">
        <v>188</v>
      </c>
      <c r="L4" s="23" t="s">
        <v>191</v>
      </c>
      <c r="N4" s="23"/>
      <c r="O4" s="23"/>
      <c r="Q4" s="11" t="s">
        <v>285</v>
      </c>
      <c r="R4" s="12" t="s">
        <v>286</v>
      </c>
      <c r="S4" s="10" t="s">
        <v>287</v>
      </c>
      <c r="U4" s="23">
        <v>2121000</v>
      </c>
      <c r="V4" s="23" t="s">
        <v>317</v>
      </c>
      <c r="W4" s="23">
        <v>2121000</v>
      </c>
      <c r="X4" s="23">
        <v>7611300</v>
      </c>
      <c r="Y4" s="23" t="s">
        <v>64</v>
      </c>
      <c r="Z4" s="23">
        <v>120</v>
      </c>
      <c r="AA4" s="23" t="s">
        <v>336</v>
      </c>
      <c r="AB4" s="23" t="s">
        <v>320</v>
      </c>
    </row>
    <row r="5" spans="1:28" ht="18" customHeight="1">
      <c r="A5" s="18" t="s">
        <v>11</v>
      </c>
      <c r="B5" s="19">
        <v>7511111</v>
      </c>
      <c r="C5" s="20" t="s">
        <v>5</v>
      </c>
      <c r="D5" s="20" t="s">
        <v>346</v>
      </c>
      <c r="E5" s="20" t="s">
        <v>9</v>
      </c>
      <c r="F5" s="18" t="s">
        <v>12</v>
      </c>
      <c r="H5" s="2" t="s">
        <v>194</v>
      </c>
      <c r="I5" s="3" t="s">
        <v>195</v>
      </c>
      <c r="J5" s="22" t="s">
        <v>5</v>
      </c>
      <c r="K5" s="23" t="s">
        <v>188</v>
      </c>
      <c r="L5" s="23" t="s">
        <v>194</v>
      </c>
      <c r="N5" s="54" t="s">
        <v>314</v>
      </c>
      <c r="O5" s="54"/>
      <c r="U5" s="23">
        <v>2121000</v>
      </c>
      <c r="V5" s="23" t="s">
        <v>318</v>
      </c>
      <c r="W5" s="23">
        <v>2121000</v>
      </c>
      <c r="X5" s="23">
        <v>7611300</v>
      </c>
      <c r="Y5" s="23" t="s">
        <v>64</v>
      </c>
      <c r="Z5" s="23">
        <v>84</v>
      </c>
      <c r="AA5" s="23" t="s">
        <v>335</v>
      </c>
      <c r="AB5" s="23" t="s">
        <v>321</v>
      </c>
    </row>
    <row r="6" spans="1:28" ht="18" customHeight="1">
      <c r="A6" s="18" t="s">
        <v>13</v>
      </c>
      <c r="B6" s="19">
        <v>7511112</v>
      </c>
      <c r="C6" s="20" t="s">
        <v>5</v>
      </c>
      <c r="D6" s="20" t="s">
        <v>347</v>
      </c>
      <c r="E6" s="20" t="s">
        <v>9</v>
      </c>
      <c r="F6" s="18" t="s">
        <v>14</v>
      </c>
      <c r="H6" s="2" t="s">
        <v>197</v>
      </c>
      <c r="I6" s="3" t="s">
        <v>198</v>
      </c>
      <c r="J6" s="22" t="s">
        <v>5</v>
      </c>
      <c r="K6" s="23" t="s">
        <v>188</v>
      </c>
      <c r="L6" s="23" t="s">
        <v>197</v>
      </c>
      <c r="N6" s="23" t="s">
        <v>277</v>
      </c>
      <c r="O6" s="23" t="s">
        <v>539</v>
      </c>
      <c r="U6" s="23">
        <v>2131000</v>
      </c>
      <c r="V6" s="23" t="s">
        <v>193</v>
      </c>
      <c r="W6" s="23">
        <v>2131000</v>
      </c>
      <c r="X6" s="23">
        <v>7611500</v>
      </c>
      <c r="Y6" s="23" t="s">
        <v>66</v>
      </c>
      <c r="Z6" s="23">
        <v>60</v>
      </c>
      <c r="AA6" s="23" t="s">
        <v>334</v>
      </c>
      <c r="AB6" s="23" t="s">
        <v>322</v>
      </c>
    </row>
    <row r="7" spans="1:28" ht="18" customHeight="1">
      <c r="A7" s="18" t="s">
        <v>15</v>
      </c>
      <c r="B7" s="19">
        <v>7511121</v>
      </c>
      <c r="C7" s="20" t="s">
        <v>5</v>
      </c>
      <c r="D7" s="20" t="s">
        <v>348</v>
      </c>
      <c r="E7" s="20" t="s">
        <v>9</v>
      </c>
      <c r="F7" s="18" t="s">
        <v>16</v>
      </c>
      <c r="H7" s="2" t="s">
        <v>200</v>
      </c>
      <c r="I7" s="3" t="s">
        <v>201</v>
      </c>
      <c r="J7" s="22" t="s">
        <v>5</v>
      </c>
      <c r="K7" s="23" t="s">
        <v>188</v>
      </c>
      <c r="L7" s="23" t="s">
        <v>200</v>
      </c>
      <c r="N7" s="23" t="s">
        <v>278</v>
      </c>
      <c r="O7" s="23" t="s">
        <v>540</v>
      </c>
      <c r="U7" s="23">
        <v>2141000</v>
      </c>
      <c r="V7" s="23" t="s">
        <v>196</v>
      </c>
      <c r="W7" s="23">
        <v>2141000</v>
      </c>
      <c r="X7" s="23">
        <v>7611600</v>
      </c>
      <c r="Y7" s="23" t="s">
        <v>68</v>
      </c>
      <c r="Z7" s="23">
        <v>60</v>
      </c>
      <c r="AA7" s="23" t="s">
        <v>323</v>
      </c>
      <c r="AB7" s="23" t="s">
        <v>324</v>
      </c>
    </row>
    <row r="8" spans="1:28" ht="18" customHeight="1">
      <c r="A8" s="18" t="s">
        <v>17</v>
      </c>
      <c r="B8" s="19">
        <v>7511122</v>
      </c>
      <c r="C8" s="20" t="s">
        <v>5</v>
      </c>
      <c r="D8" s="20" t="s">
        <v>349</v>
      </c>
      <c r="E8" s="20" t="s">
        <v>9</v>
      </c>
      <c r="F8" s="18" t="s">
        <v>18</v>
      </c>
      <c r="H8" s="2" t="s">
        <v>202</v>
      </c>
      <c r="I8" s="3" t="s">
        <v>203</v>
      </c>
      <c r="J8" s="22" t="s">
        <v>5</v>
      </c>
      <c r="K8" s="23" t="s">
        <v>188</v>
      </c>
      <c r="L8" s="23" t="s">
        <v>202</v>
      </c>
      <c r="N8" s="23" t="s">
        <v>316</v>
      </c>
      <c r="O8" s="23" t="s">
        <v>541</v>
      </c>
      <c r="U8" s="23">
        <v>2221101</v>
      </c>
      <c r="V8" s="23" t="s">
        <v>199</v>
      </c>
      <c r="W8" s="23">
        <v>2221101</v>
      </c>
      <c r="X8" s="23">
        <v>7611700</v>
      </c>
      <c r="Y8" s="23" t="s">
        <v>70</v>
      </c>
      <c r="Z8" s="23">
        <v>60</v>
      </c>
      <c r="AA8" s="23" t="s">
        <v>334</v>
      </c>
      <c r="AB8" s="23"/>
    </row>
    <row r="9" spans="1:28" ht="18" customHeight="1">
      <c r="A9" s="18" t="s">
        <v>19</v>
      </c>
      <c r="B9" s="19">
        <v>7511201</v>
      </c>
      <c r="C9" s="20" t="s">
        <v>5</v>
      </c>
      <c r="D9" s="20" t="s">
        <v>350</v>
      </c>
      <c r="E9" s="20" t="s">
        <v>20</v>
      </c>
      <c r="F9" s="18" t="s">
        <v>21</v>
      </c>
      <c r="H9" s="2" t="s">
        <v>204</v>
      </c>
      <c r="I9" s="3" t="s">
        <v>205</v>
      </c>
      <c r="J9" s="22" t="s">
        <v>5</v>
      </c>
      <c r="K9" s="23" t="s">
        <v>188</v>
      </c>
      <c r="L9" s="23" t="s">
        <v>204</v>
      </c>
    </row>
    <row r="10" spans="1:28" ht="18" customHeight="1">
      <c r="A10" s="18" t="s">
        <v>22</v>
      </c>
      <c r="B10" s="19">
        <v>7512111</v>
      </c>
      <c r="C10" s="20" t="s">
        <v>5</v>
      </c>
      <c r="D10" s="20" t="s">
        <v>351</v>
      </c>
      <c r="E10" s="20" t="s">
        <v>23</v>
      </c>
      <c r="F10" s="18" t="s">
        <v>24</v>
      </c>
      <c r="H10" s="2" t="s">
        <v>206</v>
      </c>
      <c r="I10" s="3" t="s">
        <v>207</v>
      </c>
      <c r="J10" s="22" t="s">
        <v>5</v>
      </c>
      <c r="K10" s="23" t="s">
        <v>188</v>
      </c>
      <c r="L10" s="23" t="s">
        <v>206</v>
      </c>
    </row>
    <row r="11" spans="1:28" ht="18" customHeight="1">
      <c r="A11" s="18" t="s">
        <v>25</v>
      </c>
      <c r="B11" s="19">
        <v>7512112</v>
      </c>
      <c r="C11" s="20" t="s">
        <v>5</v>
      </c>
      <c r="D11" s="20" t="s">
        <v>352</v>
      </c>
      <c r="E11" s="20" t="s">
        <v>23</v>
      </c>
      <c r="F11" s="18" t="s">
        <v>26</v>
      </c>
      <c r="H11" s="2" t="s">
        <v>208</v>
      </c>
      <c r="I11" s="3" t="s">
        <v>209</v>
      </c>
      <c r="J11" s="22" t="s">
        <v>5</v>
      </c>
      <c r="K11" s="23" t="s">
        <v>188</v>
      </c>
      <c r="L11" s="23" t="s">
        <v>208</v>
      </c>
    </row>
    <row r="12" spans="1:28" ht="18" customHeight="1">
      <c r="A12" s="18" t="s">
        <v>27</v>
      </c>
      <c r="B12" s="19">
        <v>7514101</v>
      </c>
      <c r="C12" s="20" t="s">
        <v>5</v>
      </c>
      <c r="D12" s="20" t="s">
        <v>353</v>
      </c>
      <c r="E12" s="20" t="s">
        <v>9</v>
      </c>
      <c r="F12" s="18" t="s">
        <v>28</v>
      </c>
      <c r="H12" s="2" t="s">
        <v>210</v>
      </c>
      <c r="I12" s="3" t="s">
        <v>211</v>
      </c>
      <c r="J12" s="22" t="s">
        <v>5</v>
      </c>
      <c r="K12" s="23" t="s">
        <v>188</v>
      </c>
      <c r="L12" s="23" t="s">
        <v>210</v>
      </c>
    </row>
    <row r="13" spans="1:28" ht="18" customHeight="1">
      <c r="A13" s="18" t="s">
        <v>29</v>
      </c>
      <c r="B13" s="19">
        <v>7514102</v>
      </c>
      <c r="C13" s="20" t="s">
        <v>5</v>
      </c>
      <c r="D13" s="20" t="s">
        <v>354</v>
      </c>
      <c r="E13" s="20" t="s">
        <v>9</v>
      </c>
      <c r="F13" s="18" t="s">
        <v>30</v>
      </c>
      <c r="H13" s="2" t="s">
        <v>212</v>
      </c>
      <c r="I13" s="3" t="s">
        <v>213</v>
      </c>
      <c r="J13" s="22" t="s">
        <v>5</v>
      </c>
      <c r="K13" s="23" t="s">
        <v>188</v>
      </c>
      <c r="L13" s="23" t="s">
        <v>212</v>
      </c>
    </row>
    <row r="14" spans="1:28" ht="18" customHeight="1">
      <c r="A14" s="18" t="s">
        <v>31</v>
      </c>
      <c r="B14" s="19">
        <v>7515401</v>
      </c>
      <c r="C14" s="20" t="s">
        <v>5</v>
      </c>
      <c r="D14" s="20" t="s">
        <v>355</v>
      </c>
      <c r="E14" s="20" t="s">
        <v>23</v>
      </c>
      <c r="F14" s="18" t="s">
        <v>32</v>
      </c>
      <c r="H14" s="2" t="s">
        <v>214</v>
      </c>
      <c r="I14" s="3" t="s">
        <v>215</v>
      </c>
      <c r="J14" s="22" t="s">
        <v>5</v>
      </c>
      <c r="K14" s="23" t="s">
        <v>188</v>
      </c>
      <c r="L14" s="23" t="s">
        <v>214</v>
      </c>
    </row>
    <row r="15" spans="1:28" ht="18" customHeight="1">
      <c r="A15" s="18" t="s">
        <v>33</v>
      </c>
      <c r="B15" s="19">
        <v>7515402</v>
      </c>
      <c r="C15" s="20" t="s">
        <v>5</v>
      </c>
      <c r="D15" s="20" t="s">
        <v>356</v>
      </c>
      <c r="E15" s="20" t="s">
        <v>23</v>
      </c>
      <c r="F15" s="18" t="s">
        <v>34</v>
      </c>
      <c r="H15" s="2" t="s">
        <v>326</v>
      </c>
      <c r="I15" s="3" t="s">
        <v>327</v>
      </c>
      <c r="J15" s="22" t="s">
        <v>5</v>
      </c>
      <c r="K15" s="23" t="s">
        <v>188</v>
      </c>
      <c r="L15" s="23" t="s">
        <v>326</v>
      </c>
    </row>
    <row r="16" spans="1:28" ht="18" customHeight="1">
      <c r="A16" s="18" t="s">
        <v>35</v>
      </c>
      <c r="B16" s="19">
        <v>7515403</v>
      </c>
      <c r="C16" s="20" t="s">
        <v>5</v>
      </c>
      <c r="D16" s="20" t="s">
        <v>357</v>
      </c>
      <c r="E16" s="20" t="s">
        <v>23</v>
      </c>
      <c r="F16" s="18" t="s">
        <v>36</v>
      </c>
      <c r="H16" s="2" t="s">
        <v>216</v>
      </c>
      <c r="I16" s="3" t="s">
        <v>217</v>
      </c>
      <c r="J16" s="23" t="s">
        <v>157</v>
      </c>
      <c r="K16" s="23" t="s">
        <v>218</v>
      </c>
      <c r="L16" s="23" t="s">
        <v>216</v>
      </c>
    </row>
    <row r="17" spans="1:12" ht="18" customHeight="1">
      <c r="A17" s="18" t="s">
        <v>37</v>
      </c>
      <c r="B17" s="19">
        <v>7515404</v>
      </c>
      <c r="C17" s="20" t="s">
        <v>5</v>
      </c>
      <c r="D17" s="20" t="s">
        <v>358</v>
      </c>
      <c r="E17" s="20" t="s">
        <v>23</v>
      </c>
      <c r="F17" s="18" t="s">
        <v>38</v>
      </c>
      <c r="H17" s="2" t="s">
        <v>219</v>
      </c>
      <c r="I17" s="3" t="s">
        <v>220</v>
      </c>
      <c r="J17" s="23" t="s">
        <v>157</v>
      </c>
      <c r="K17" s="23" t="s">
        <v>218</v>
      </c>
      <c r="L17" s="23" t="s">
        <v>219</v>
      </c>
    </row>
    <row r="18" spans="1:12" ht="18" customHeight="1">
      <c r="A18" s="18" t="s">
        <v>39</v>
      </c>
      <c r="B18" s="19">
        <v>7515405</v>
      </c>
      <c r="C18" s="20" t="s">
        <v>5</v>
      </c>
      <c r="D18" s="20" t="s">
        <v>359</v>
      </c>
      <c r="E18" s="20" t="s">
        <v>23</v>
      </c>
      <c r="F18" s="18" t="s">
        <v>40</v>
      </c>
      <c r="H18" s="2" t="s">
        <v>221</v>
      </c>
      <c r="I18" s="3" t="s">
        <v>222</v>
      </c>
      <c r="J18" s="23" t="s">
        <v>157</v>
      </c>
      <c r="K18" s="23" t="s">
        <v>218</v>
      </c>
      <c r="L18" s="23" t="s">
        <v>221</v>
      </c>
    </row>
    <row r="19" spans="1:12" ht="18" customHeight="1">
      <c r="A19" s="18" t="s">
        <v>41</v>
      </c>
      <c r="B19" s="19">
        <v>7515406</v>
      </c>
      <c r="C19" s="20" t="s">
        <v>5</v>
      </c>
      <c r="D19" s="20" t="s">
        <v>360</v>
      </c>
      <c r="E19" s="20" t="s">
        <v>23</v>
      </c>
      <c r="F19" s="18" t="s">
        <v>42</v>
      </c>
      <c r="H19" s="2" t="s">
        <v>223</v>
      </c>
      <c r="I19" s="3" t="s">
        <v>224</v>
      </c>
      <c r="J19" s="23" t="s">
        <v>157</v>
      </c>
      <c r="K19" s="23" t="s">
        <v>218</v>
      </c>
      <c r="L19" s="23" t="s">
        <v>223</v>
      </c>
    </row>
    <row r="20" spans="1:12" ht="18" customHeight="1">
      <c r="A20" s="18" t="s">
        <v>291</v>
      </c>
      <c r="B20" s="19">
        <v>7515407</v>
      </c>
      <c r="C20" s="20" t="s">
        <v>5</v>
      </c>
      <c r="D20" s="20" t="s">
        <v>361</v>
      </c>
      <c r="E20" s="20" t="s">
        <v>23</v>
      </c>
      <c r="F20" s="18" t="s">
        <v>362</v>
      </c>
      <c r="H20" s="49" t="s">
        <v>225</v>
      </c>
      <c r="I20" s="50" t="s">
        <v>226</v>
      </c>
      <c r="J20" s="51" t="s">
        <v>157</v>
      </c>
      <c r="K20" s="51" t="s">
        <v>218</v>
      </c>
      <c r="L20" s="51" t="s">
        <v>225</v>
      </c>
    </row>
    <row r="21" spans="1:12" ht="18" customHeight="1">
      <c r="A21" s="18" t="s">
        <v>43</v>
      </c>
      <c r="B21" s="19">
        <v>7515408</v>
      </c>
      <c r="C21" s="20" t="s">
        <v>5</v>
      </c>
      <c r="D21" s="20" t="s">
        <v>363</v>
      </c>
      <c r="E21" s="20" t="s">
        <v>23</v>
      </c>
      <c r="F21" s="18" t="s">
        <v>44</v>
      </c>
      <c r="H21" s="2" t="s">
        <v>331</v>
      </c>
      <c r="I21" s="3" t="s">
        <v>328</v>
      </c>
      <c r="J21" s="23" t="s">
        <v>157</v>
      </c>
      <c r="K21" s="23" t="s">
        <v>218</v>
      </c>
      <c r="L21" s="23" t="s">
        <v>331</v>
      </c>
    </row>
    <row r="22" spans="1:12" ht="18" customHeight="1">
      <c r="A22" s="18" t="s">
        <v>45</v>
      </c>
      <c r="B22" s="19">
        <v>7515409</v>
      </c>
      <c r="C22" s="20" t="s">
        <v>5</v>
      </c>
      <c r="D22" s="20" t="s">
        <v>364</v>
      </c>
      <c r="E22" s="20" t="s">
        <v>23</v>
      </c>
      <c r="F22" s="18" t="s">
        <v>46</v>
      </c>
      <c r="H22" s="2" t="s">
        <v>227</v>
      </c>
      <c r="I22" s="3" t="s">
        <v>228</v>
      </c>
      <c r="J22" s="23" t="s">
        <v>157</v>
      </c>
      <c r="K22" s="23" t="s">
        <v>218</v>
      </c>
      <c r="L22" s="23" t="s">
        <v>227</v>
      </c>
    </row>
    <row r="23" spans="1:12" ht="18" customHeight="1">
      <c r="A23" s="18" t="s">
        <v>47</v>
      </c>
      <c r="B23" s="19">
        <v>7515410</v>
      </c>
      <c r="C23" s="20" t="s">
        <v>5</v>
      </c>
      <c r="D23" s="20" t="s">
        <v>365</v>
      </c>
      <c r="E23" s="20" t="s">
        <v>23</v>
      </c>
      <c r="F23" s="18" t="s">
        <v>48</v>
      </c>
      <c r="H23" s="2" t="s">
        <v>229</v>
      </c>
      <c r="I23" s="3" t="s">
        <v>230</v>
      </c>
      <c r="J23" s="23" t="s">
        <v>157</v>
      </c>
      <c r="K23" s="23" t="s">
        <v>218</v>
      </c>
      <c r="L23" s="23" t="s">
        <v>229</v>
      </c>
    </row>
    <row r="24" spans="1:12" ht="18" customHeight="1">
      <c r="A24" s="18" t="s">
        <v>49</v>
      </c>
      <c r="B24" s="19">
        <v>7515499</v>
      </c>
      <c r="C24" s="20" t="s">
        <v>5</v>
      </c>
      <c r="D24" s="20" t="s">
        <v>366</v>
      </c>
      <c r="E24" s="20" t="s">
        <v>23</v>
      </c>
      <c r="F24" s="18" t="s">
        <v>50</v>
      </c>
      <c r="H24" s="2" t="s">
        <v>231</v>
      </c>
      <c r="I24" s="3" t="s">
        <v>232</v>
      </c>
      <c r="J24" s="23" t="s">
        <v>157</v>
      </c>
      <c r="K24" s="23" t="s">
        <v>218</v>
      </c>
      <c r="L24" s="23" t="s">
        <v>231</v>
      </c>
    </row>
    <row r="25" spans="1:12" ht="18" customHeight="1">
      <c r="A25" s="18" t="s">
        <v>51</v>
      </c>
      <c r="B25" s="19">
        <v>7516102</v>
      </c>
      <c r="C25" s="20" t="s">
        <v>5</v>
      </c>
      <c r="D25" s="20" t="s">
        <v>367</v>
      </c>
      <c r="E25" s="20" t="s">
        <v>368</v>
      </c>
      <c r="F25" s="18" t="s">
        <v>52</v>
      </c>
      <c r="H25" s="2" t="s">
        <v>233</v>
      </c>
      <c r="I25" s="3" t="s">
        <v>234</v>
      </c>
      <c r="J25" s="23" t="s">
        <v>157</v>
      </c>
      <c r="K25" s="23" t="s">
        <v>218</v>
      </c>
      <c r="L25" s="23" t="s">
        <v>233</v>
      </c>
    </row>
    <row r="26" spans="1:12" ht="18" customHeight="1">
      <c r="A26" s="18" t="s">
        <v>53</v>
      </c>
      <c r="B26" s="19">
        <v>7519101</v>
      </c>
      <c r="C26" s="20" t="s">
        <v>5</v>
      </c>
      <c r="D26" s="20" t="s">
        <v>369</v>
      </c>
      <c r="E26" s="20" t="s">
        <v>6</v>
      </c>
      <c r="F26" s="18" t="s">
        <v>54</v>
      </c>
      <c r="H26" s="49" t="s">
        <v>235</v>
      </c>
      <c r="I26" s="50" t="s">
        <v>236</v>
      </c>
      <c r="J26" s="51" t="s">
        <v>157</v>
      </c>
      <c r="K26" s="51" t="s">
        <v>218</v>
      </c>
      <c r="L26" s="51" t="s">
        <v>235</v>
      </c>
    </row>
    <row r="27" spans="1:12" ht="18" customHeight="1">
      <c r="A27" s="18" t="s">
        <v>55</v>
      </c>
      <c r="B27" s="19">
        <v>7521101</v>
      </c>
      <c r="C27" s="20" t="s">
        <v>5</v>
      </c>
      <c r="D27" s="20" t="s">
        <v>370</v>
      </c>
      <c r="E27" s="20" t="s">
        <v>9</v>
      </c>
      <c r="F27" s="18" t="s">
        <v>56</v>
      </c>
      <c r="H27" s="2" t="s">
        <v>237</v>
      </c>
      <c r="I27" s="3" t="s">
        <v>238</v>
      </c>
      <c r="J27" s="23" t="s">
        <v>157</v>
      </c>
      <c r="K27" s="23" t="s">
        <v>218</v>
      </c>
      <c r="L27" s="23" t="s">
        <v>237</v>
      </c>
    </row>
    <row r="28" spans="1:12" ht="18" customHeight="1">
      <c r="A28" s="18" t="s">
        <v>57</v>
      </c>
      <c r="B28" s="19">
        <v>7521102</v>
      </c>
      <c r="C28" s="20" t="s">
        <v>5</v>
      </c>
      <c r="D28" s="20" t="s">
        <v>371</v>
      </c>
      <c r="E28" s="20" t="s">
        <v>20</v>
      </c>
      <c r="F28" s="18" t="s">
        <v>58</v>
      </c>
      <c r="H28" s="2" t="s">
        <v>239</v>
      </c>
      <c r="I28" s="3" t="s">
        <v>240</v>
      </c>
      <c r="J28" s="23" t="s">
        <v>157</v>
      </c>
      <c r="K28" s="23" t="s">
        <v>218</v>
      </c>
      <c r="L28" s="23" t="s">
        <v>239</v>
      </c>
    </row>
    <row r="29" spans="1:12" ht="18" customHeight="1">
      <c r="A29" s="18" t="s">
        <v>59</v>
      </c>
      <c r="B29" s="19">
        <v>7571101</v>
      </c>
      <c r="C29" s="20" t="s">
        <v>5</v>
      </c>
      <c r="D29" s="20" t="s">
        <v>372</v>
      </c>
      <c r="E29" s="20" t="s">
        <v>373</v>
      </c>
      <c r="F29" s="18" t="s">
        <v>60</v>
      </c>
      <c r="H29" s="2" t="s">
        <v>241</v>
      </c>
      <c r="I29" s="3" t="s">
        <v>242</v>
      </c>
      <c r="J29" s="23" t="s">
        <v>157</v>
      </c>
      <c r="K29" s="23" t="s">
        <v>218</v>
      </c>
      <c r="L29" s="23" t="s">
        <v>241</v>
      </c>
    </row>
    <row r="30" spans="1:12" ht="18" customHeight="1">
      <c r="A30" s="18" t="s">
        <v>61</v>
      </c>
      <c r="B30" s="19">
        <v>7611100</v>
      </c>
      <c r="C30" s="20" t="s">
        <v>5</v>
      </c>
      <c r="D30" s="20" t="s">
        <v>374</v>
      </c>
      <c r="E30" s="20" t="s">
        <v>62</v>
      </c>
      <c r="F30" s="18" t="s">
        <v>63</v>
      </c>
      <c r="H30" s="2" t="s">
        <v>243</v>
      </c>
      <c r="I30" s="3" t="s">
        <v>244</v>
      </c>
      <c r="J30" s="23" t="s">
        <v>157</v>
      </c>
      <c r="K30" s="23" t="s">
        <v>245</v>
      </c>
      <c r="L30" s="23" t="s">
        <v>243</v>
      </c>
    </row>
    <row r="31" spans="1:12" ht="18" customHeight="1">
      <c r="A31" s="18" t="s">
        <v>64</v>
      </c>
      <c r="B31" s="19">
        <v>7611300</v>
      </c>
      <c r="C31" s="20" t="s">
        <v>5</v>
      </c>
      <c r="D31" s="20" t="s">
        <v>375</v>
      </c>
      <c r="E31" s="20" t="s">
        <v>62</v>
      </c>
      <c r="F31" s="18" t="s">
        <v>65</v>
      </c>
      <c r="H31" s="2" t="s">
        <v>246</v>
      </c>
      <c r="I31" s="3" t="s">
        <v>247</v>
      </c>
      <c r="J31" s="23" t="s">
        <v>157</v>
      </c>
      <c r="K31" s="23" t="s">
        <v>245</v>
      </c>
      <c r="L31" s="23" t="s">
        <v>246</v>
      </c>
    </row>
    <row r="32" spans="1:12" ht="18" customHeight="1">
      <c r="A32" s="18" t="s">
        <v>292</v>
      </c>
      <c r="B32" s="19">
        <v>7611400</v>
      </c>
      <c r="C32" s="20" t="s">
        <v>5</v>
      </c>
      <c r="D32" s="20" t="s">
        <v>376</v>
      </c>
      <c r="E32" s="20" t="s">
        <v>62</v>
      </c>
      <c r="F32" s="18" t="s">
        <v>293</v>
      </c>
      <c r="H32" s="2" t="s">
        <v>248</v>
      </c>
      <c r="I32" s="3" t="s">
        <v>249</v>
      </c>
      <c r="J32" s="23" t="s">
        <v>157</v>
      </c>
      <c r="K32" s="23" t="s">
        <v>245</v>
      </c>
      <c r="L32" s="23" t="s">
        <v>248</v>
      </c>
    </row>
    <row r="33" spans="1:12" ht="18" customHeight="1">
      <c r="A33" s="18" t="s">
        <v>66</v>
      </c>
      <c r="B33" s="19">
        <v>7611500</v>
      </c>
      <c r="C33" s="20" t="s">
        <v>5</v>
      </c>
      <c r="D33" s="20" t="s">
        <v>377</v>
      </c>
      <c r="E33" s="20" t="s">
        <v>62</v>
      </c>
      <c r="F33" s="18" t="s">
        <v>67</v>
      </c>
      <c r="H33" s="2" t="s">
        <v>250</v>
      </c>
      <c r="I33" s="3" t="s">
        <v>251</v>
      </c>
      <c r="J33" s="23" t="s">
        <v>157</v>
      </c>
      <c r="K33" s="23" t="s">
        <v>245</v>
      </c>
      <c r="L33" s="23" t="s">
        <v>250</v>
      </c>
    </row>
    <row r="34" spans="1:12" ht="18" customHeight="1">
      <c r="A34" s="18" t="s">
        <v>68</v>
      </c>
      <c r="B34" s="19">
        <v>7611600</v>
      </c>
      <c r="C34" s="20" t="s">
        <v>5</v>
      </c>
      <c r="D34" s="20" t="s">
        <v>378</v>
      </c>
      <c r="E34" s="20" t="s">
        <v>62</v>
      </c>
      <c r="F34" s="18" t="s">
        <v>69</v>
      </c>
      <c r="H34" s="2" t="s">
        <v>252</v>
      </c>
      <c r="I34" s="3" t="s">
        <v>253</v>
      </c>
      <c r="J34" s="23" t="s">
        <v>157</v>
      </c>
      <c r="K34" s="23" t="s">
        <v>245</v>
      </c>
      <c r="L34" s="23" t="s">
        <v>252</v>
      </c>
    </row>
    <row r="35" spans="1:12" ht="18" customHeight="1">
      <c r="A35" s="18" t="s">
        <v>70</v>
      </c>
      <c r="B35" s="19">
        <v>7611700</v>
      </c>
      <c r="C35" s="20" t="s">
        <v>5</v>
      </c>
      <c r="D35" s="20" t="s">
        <v>379</v>
      </c>
      <c r="E35" s="20" t="s">
        <v>62</v>
      </c>
      <c r="F35" s="18" t="s">
        <v>380</v>
      </c>
      <c r="H35" s="2" t="s">
        <v>254</v>
      </c>
      <c r="I35" s="3" t="s">
        <v>255</v>
      </c>
      <c r="J35" s="23" t="s">
        <v>157</v>
      </c>
      <c r="K35" s="23" t="s">
        <v>245</v>
      </c>
      <c r="L35" s="23" t="s">
        <v>254</v>
      </c>
    </row>
    <row r="36" spans="1:12" ht="18" customHeight="1">
      <c r="A36" s="18" t="s">
        <v>294</v>
      </c>
      <c r="B36" s="19">
        <v>7611800</v>
      </c>
      <c r="C36" s="20" t="s">
        <v>5</v>
      </c>
      <c r="D36" s="20" t="s">
        <v>381</v>
      </c>
      <c r="E36" s="20" t="s">
        <v>62</v>
      </c>
      <c r="F36" s="18" t="s">
        <v>295</v>
      </c>
      <c r="H36" s="2" t="s">
        <v>256</v>
      </c>
      <c r="I36" s="3" t="s">
        <v>257</v>
      </c>
      <c r="J36" s="23" t="s">
        <v>157</v>
      </c>
      <c r="K36" s="23" t="s">
        <v>245</v>
      </c>
      <c r="L36" s="23" t="s">
        <v>256</v>
      </c>
    </row>
    <row r="37" spans="1:12" ht="18" customHeight="1">
      <c r="A37" s="18" t="s">
        <v>71</v>
      </c>
      <c r="B37" s="19">
        <v>7621101</v>
      </c>
      <c r="C37" s="20" t="s">
        <v>5</v>
      </c>
      <c r="D37" s="20" t="s">
        <v>382</v>
      </c>
      <c r="E37" s="20" t="s">
        <v>72</v>
      </c>
      <c r="F37" s="18" t="s">
        <v>73</v>
      </c>
      <c r="H37" s="2" t="s">
        <v>258</v>
      </c>
      <c r="I37" s="3" t="s">
        <v>259</v>
      </c>
      <c r="J37" s="23" t="s">
        <v>157</v>
      </c>
      <c r="K37" s="23" t="s">
        <v>245</v>
      </c>
      <c r="L37" s="23" t="s">
        <v>258</v>
      </c>
    </row>
    <row r="38" spans="1:12" ht="18" customHeight="1">
      <c r="A38" s="18" t="s">
        <v>383</v>
      </c>
      <c r="B38" s="19">
        <v>7621199</v>
      </c>
      <c r="C38" s="20" t="s">
        <v>5</v>
      </c>
      <c r="D38" s="20" t="s">
        <v>384</v>
      </c>
      <c r="E38" s="20" t="s">
        <v>74</v>
      </c>
      <c r="F38" s="18" t="s">
        <v>75</v>
      </c>
      <c r="H38" s="2" t="s">
        <v>260</v>
      </c>
      <c r="I38" s="3" t="s">
        <v>261</v>
      </c>
      <c r="J38" s="23" t="s">
        <v>157</v>
      </c>
      <c r="K38" s="23" t="s">
        <v>245</v>
      </c>
      <c r="L38" s="23" t="s">
        <v>260</v>
      </c>
    </row>
    <row r="39" spans="1:12" ht="18" customHeight="1">
      <c r="A39" s="18" t="s">
        <v>76</v>
      </c>
      <c r="B39" s="19">
        <v>7631101</v>
      </c>
      <c r="C39" s="20" t="s">
        <v>5</v>
      </c>
      <c r="D39" s="20" t="s">
        <v>385</v>
      </c>
      <c r="E39" s="20" t="s">
        <v>77</v>
      </c>
      <c r="F39" s="18" t="s">
        <v>78</v>
      </c>
      <c r="H39" s="2" t="s">
        <v>262</v>
      </c>
      <c r="I39" s="3" t="s">
        <v>263</v>
      </c>
      <c r="J39" s="23" t="s">
        <v>157</v>
      </c>
      <c r="K39" s="23" t="s">
        <v>245</v>
      </c>
      <c r="L39" s="23" t="s">
        <v>262</v>
      </c>
    </row>
    <row r="40" spans="1:12" ht="18" customHeight="1">
      <c r="A40" s="18" t="s">
        <v>79</v>
      </c>
      <c r="B40" s="19">
        <v>7631102</v>
      </c>
      <c r="C40" s="20" t="s">
        <v>5</v>
      </c>
      <c r="D40" s="20" t="s">
        <v>386</v>
      </c>
      <c r="E40" s="20" t="s">
        <v>80</v>
      </c>
      <c r="F40" s="18" t="s">
        <v>81</v>
      </c>
      <c r="H40" s="52" t="s">
        <v>266</v>
      </c>
      <c r="I40" s="53" t="s">
        <v>267</v>
      </c>
      <c r="J40" s="52" t="s">
        <v>5</v>
      </c>
      <c r="K40" s="52" t="s">
        <v>188</v>
      </c>
      <c r="L40" s="52" t="s">
        <v>266</v>
      </c>
    </row>
    <row r="41" spans="1:12" ht="18" customHeight="1">
      <c r="A41" s="18" t="s">
        <v>82</v>
      </c>
      <c r="B41" s="19">
        <v>7641101</v>
      </c>
      <c r="C41" s="20" t="s">
        <v>5</v>
      </c>
      <c r="D41" s="20" t="s">
        <v>387</v>
      </c>
      <c r="E41" s="20" t="s">
        <v>83</v>
      </c>
      <c r="F41" s="18" t="s">
        <v>84</v>
      </c>
      <c r="H41" s="2" t="s">
        <v>264</v>
      </c>
      <c r="I41" s="3" t="s">
        <v>265</v>
      </c>
      <c r="J41" s="23" t="s">
        <v>157</v>
      </c>
      <c r="K41" s="23" t="s">
        <v>245</v>
      </c>
      <c r="L41" s="23" t="s">
        <v>264</v>
      </c>
    </row>
    <row r="42" spans="1:12" ht="18" customHeight="1">
      <c r="A42" s="18" t="s">
        <v>85</v>
      </c>
      <c r="B42" s="19">
        <v>7641102</v>
      </c>
      <c r="C42" s="20" t="s">
        <v>5</v>
      </c>
      <c r="D42" s="20" t="s">
        <v>388</v>
      </c>
      <c r="E42" s="20" t="s">
        <v>83</v>
      </c>
      <c r="F42" s="18" t="s">
        <v>86</v>
      </c>
      <c r="H42" s="2" t="s">
        <v>268</v>
      </c>
      <c r="I42" s="3" t="s">
        <v>269</v>
      </c>
      <c r="J42" s="23" t="s">
        <v>157</v>
      </c>
      <c r="K42" s="23" t="s">
        <v>245</v>
      </c>
      <c r="L42" s="23" t="s">
        <v>268</v>
      </c>
    </row>
    <row r="43" spans="1:12" ht="18" customHeight="1">
      <c r="A43" s="18" t="s">
        <v>87</v>
      </c>
      <c r="B43" s="19">
        <v>7641103</v>
      </c>
      <c r="C43" s="20" t="s">
        <v>5</v>
      </c>
      <c r="D43" s="20" t="s">
        <v>389</v>
      </c>
      <c r="E43" s="20" t="s">
        <v>88</v>
      </c>
      <c r="F43" s="18" t="s">
        <v>89</v>
      </c>
      <c r="H43" s="52" t="s">
        <v>537</v>
      </c>
      <c r="I43" s="53" t="s">
        <v>538</v>
      </c>
      <c r="J43" s="52" t="s">
        <v>5</v>
      </c>
      <c r="K43" s="52" t="s">
        <v>188</v>
      </c>
      <c r="L43" s="52" t="s">
        <v>537</v>
      </c>
    </row>
    <row r="44" spans="1:12" ht="18" customHeight="1">
      <c r="A44" s="18" t="s">
        <v>90</v>
      </c>
      <c r="B44" s="19">
        <v>7641104</v>
      </c>
      <c r="C44" s="20" t="s">
        <v>5</v>
      </c>
      <c r="D44" s="20" t="s">
        <v>390</v>
      </c>
      <c r="E44" s="20" t="s">
        <v>88</v>
      </c>
      <c r="F44" s="18" t="s">
        <v>91</v>
      </c>
      <c r="H44" s="18" t="s">
        <v>296</v>
      </c>
      <c r="I44" s="19" t="s">
        <v>296</v>
      </c>
      <c r="L44" s="18" t="s">
        <v>296</v>
      </c>
    </row>
    <row r="45" spans="1:12" ht="18" customHeight="1">
      <c r="A45" s="18" t="s">
        <v>92</v>
      </c>
      <c r="B45" s="19">
        <v>7651101</v>
      </c>
      <c r="C45" s="20" t="s">
        <v>5</v>
      </c>
      <c r="D45" s="20" t="s">
        <v>391</v>
      </c>
      <c r="E45" s="20" t="s">
        <v>72</v>
      </c>
      <c r="F45" s="18" t="s">
        <v>93</v>
      </c>
    </row>
    <row r="46" spans="1:12" ht="18" customHeight="1">
      <c r="A46" s="18" t="s">
        <v>94</v>
      </c>
      <c r="B46" s="19">
        <v>7651102</v>
      </c>
      <c r="C46" s="20" t="s">
        <v>5</v>
      </c>
      <c r="D46" s="20" t="s">
        <v>392</v>
      </c>
      <c r="E46" s="20" t="s">
        <v>72</v>
      </c>
      <c r="F46" s="18" t="s">
        <v>95</v>
      </c>
    </row>
    <row r="47" spans="1:12" ht="18" customHeight="1">
      <c r="A47" s="18" t="s">
        <v>96</v>
      </c>
      <c r="B47" s="19">
        <v>7651103</v>
      </c>
      <c r="C47" s="20" t="s">
        <v>5</v>
      </c>
      <c r="D47" s="20" t="s">
        <v>393</v>
      </c>
      <c r="E47" s="20" t="s">
        <v>72</v>
      </c>
      <c r="F47" s="18" t="s">
        <v>97</v>
      </c>
    </row>
    <row r="48" spans="1:12" ht="18" customHeight="1">
      <c r="A48" s="18" t="s">
        <v>98</v>
      </c>
      <c r="B48" s="19">
        <v>7661101</v>
      </c>
      <c r="C48" s="20" t="s">
        <v>5</v>
      </c>
      <c r="D48" s="20" t="s">
        <v>394</v>
      </c>
      <c r="E48" s="20" t="s">
        <v>99</v>
      </c>
      <c r="F48" s="18" t="s">
        <v>100</v>
      </c>
    </row>
    <row r="49" spans="1:6" ht="18" customHeight="1">
      <c r="A49" s="18" t="s">
        <v>101</v>
      </c>
      <c r="B49" s="19">
        <v>7671102</v>
      </c>
      <c r="C49" s="20" t="s">
        <v>5</v>
      </c>
      <c r="D49" s="20" t="s">
        <v>395</v>
      </c>
      <c r="E49" s="20" t="s">
        <v>88</v>
      </c>
      <c r="F49" s="18" t="s">
        <v>102</v>
      </c>
    </row>
    <row r="50" spans="1:6" ht="18" customHeight="1">
      <c r="A50" s="18" t="s">
        <v>103</v>
      </c>
      <c r="B50" s="19">
        <v>7671103</v>
      </c>
      <c r="C50" s="20" t="s">
        <v>5</v>
      </c>
      <c r="D50" s="20" t="s">
        <v>396</v>
      </c>
      <c r="E50" s="20" t="s">
        <v>88</v>
      </c>
      <c r="F50" s="18" t="s">
        <v>104</v>
      </c>
    </row>
    <row r="51" spans="1:6" ht="18" customHeight="1">
      <c r="A51" s="18" t="s">
        <v>105</v>
      </c>
      <c r="B51" s="19">
        <v>7681101</v>
      </c>
      <c r="C51" s="20" t="s">
        <v>5</v>
      </c>
      <c r="D51" s="20" t="s">
        <v>397</v>
      </c>
      <c r="E51" s="20" t="s">
        <v>88</v>
      </c>
      <c r="F51" s="18" t="s">
        <v>106</v>
      </c>
    </row>
    <row r="52" spans="1:6" ht="18" customHeight="1">
      <c r="A52" s="18" t="s">
        <v>107</v>
      </c>
      <c r="B52" s="19">
        <v>7691000</v>
      </c>
      <c r="C52" s="20" t="s">
        <v>5</v>
      </c>
      <c r="D52" s="20" t="s">
        <v>398</v>
      </c>
      <c r="E52" s="20" t="s">
        <v>88</v>
      </c>
      <c r="F52" s="18" t="s">
        <v>108</v>
      </c>
    </row>
    <row r="53" spans="1:6" ht="18" customHeight="1">
      <c r="A53" s="18" t="s">
        <v>109</v>
      </c>
      <c r="B53" s="19">
        <v>7711101</v>
      </c>
      <c r="C53" s="20" t="s">
        <v>5</v>
      </c>
      <c r="D53" s="20" t="s">
        <v>399</v>
      </c>
      <c r="E53" s="20" t="s">
        <v>88</v>
      </c>
      <c r="F53" s="18" t="s">
        <v>110</v>
      </c>
    </row>
    <row r="54" spans="1:6" ht="18" customHeight="1">
      <c r="A54" s="18" t="s">
        <v>111</v>
      </c>
      <c r="B54" s="19">
        <v>7711102</v>
      </c>
      <c r="C54" s="20" t="s">
        <v>5</v>
      </c>
      <c r="D54" s="20" t="s">
        <v>400</v>
      </c>
      <c r="E54" s="20" t="s">
        <v>112</v>
      </c>
      <c r="F54" s="18" t="s">
        <v>113</v>
      </c>
    </row>
    <row r="55" spans="1:6" ht="18" customHeight="1">
      <c r="A55" s="18" t="s">
        <v>114</v>
      </c>
      <c r="B55" s="19">
        <v>7711103</v>
      </c>
      <c r="C55" s="20" t="s">
        <v>5</v>
      </c>
      <c r="D55" s="20" t="s">
        <v>401</v>
      </c>
      <c r="E55" s="20" t="s">
        <v>88</v>
      </c>
      <c r="F55" s="18" t="s">
        <v>115</v>
      </c>
    </row>
    <row r="56" spans="1:6" ht="18" customHeight="1">
      <c r="A56" s="18" t="s">
        <v>297</v>
      </c>
      <c r="B56" s="19">
        <v>7721101</v>
      </c>
      <c r="C56" s="20" t="s">
        <v>5</v>
      </c>
      <c r="D56" s="20" t="s">
        <v>402</v>
      </c>
      <c r="E56" s="20" t="s">
        <v>117</v>
      </c>
      <c r="F56" s="18" t="s">
        <v>298</v>
      </c>
    </row>
    <row r="57" spans="1:6" ht="18" customHeight="1">
      <c r="A57" s="18" t="s">
        <v>116</v>
      </c>
      <c r="B57" s="19">
        <v>7729101</v>
      </c>
      <c r="C57" s="20" t="s">
        <v>5</v>
      </c>
      <c r="D57" s="20" t="s">
        <v>403</v>
      </c>
      <c r="E57" s="20" t="s">
        <v>117</v>
      </c>
      <c r="F57" s="18" t="s">
        <v>118</v>
      </c>
    </row>
    <row r="58" spans="1:6" ht="18" customHeight="1">
      <c r="A58" s="18" t="s">
        <v>119</v>
      </c>
      <c r="B58" s="19">
        <v>7729103</v>
      </c>
      <c r="C58" s="20" t="s">
        <v>5</v>
      </c>
      <c r="D58" s="20" t="s">
        <v>404</v>
      </c>
      <c r="E58" s="20" t="s">
        <v>405</v>
      </c>
      <c r="F58" s="18" t="s">
        <v>120</v>
      </c>
    </row>
    <row r="59" spans="1:6" ht="18" customHeight="1">
      <c r="A59" s="18" t="s">
        <v>121</v>
      </c>
      <c r="B59" s="19">
        <v>7729105</v>
      </c>
      <c r="C59" s="20" t="s">
        <v>5</v>
      </c>
      <c r="D59" s="20" t="s">
        <v>406</v>
      </c>
      <c r="E59" s="20" t="s">
        <v>88</v>
      </c>
      <c r="F59" s="18" t="s">
        <v>122</v>
      </c>
    </row>
    <row r="60" spans="1:6" ht="18" customHeight="1">
      <c r="A60" s="18" t="s">
        <v>123</v>
      </c>
      <c r="B60" s="19">
        <v>7781101</v>
      </c>
      <c r="C60" s="20" t="s">
        <v>5</v>
      </c>
      <c r="D60" s="20" t="s">
        <v>407</v>
      </c>
      <c r="E60" s="20" t="s">
        <v>88</v>
      </c>
      <c r="F60" s="18" t="s">
        <v>124</v>
      </c>
    </row>
    <row r="61" spans="1:6" ht="18" customHeight="1">
      <c r="A61" s="18" t="s">
        <v>125</v>
      </c>
      <c r="B61" s="19">
        <v>7781103</v>
      </c>
      <c r="C61" s="20" t="s">
        <v>5</v>
      </c>
      <c r="D61" s="20" t="s">
        <v>408</v>
      </c>
      <c r="E61" s="20" t="s">
        <v>88</v>
      </c>
      <c r="F61" s="18" t="s">
        <v>126</v>
      </c>
    </row>
    <row r="62" spans="1:6" ht="18" customHeight="1">
      <c r="A62" s="18" t="s">
        <v>127</v>
      </c>
      <c r="B62" s="19">
        <v>7781104</v>
      </c>
      <c r="C62" s="20" t="s">
        <v>5</v>
      </c>
      <c r="D62" s="20" t="s">
        <v>409</v>
      </c>
      <c r="E62" s="20" t="s">
        <v>88</v>
      </c>
      <c r="F62" s="18" t="s">
        <v>128</v>
      </c>
    </row>
    <row r="63" spans="1:6" ht="18" customHeight="1">
      <c r="A63" s="18" t="s">
        <v>299</v>
      </c>
      <c r="B63" s="19">
        <v>7781105</v>
      </c>
      <c r="C63" s="20" t="s">
        <v>5</v>
      </c>
      <c r="D63" s="20" t="s">
        <v>410</v>
      </c>
      <c r="E63" s="20" t="s">
        <v>117</v>
      </c>
      <c r="F63" s="18" t="s">
        <v>300</v>
      </c>
    </row>
    <row r="64" spans="1:6" ht="18" customHeight="1">
      <c r="A64" s="18" t="s">
        <v>301</v>
      </c>
      <c r="B64" s="19">
        <v>7781106</v>
      </c>
      <c r="C64" s="20" t="s">
        <v>5</v>
      </c>
      <c r="D64" s="20" t="s">
        <v>411</v>
      </c>
      <c r="E64" s="20" t="s">
        <v>88</v>
      </c>
      <c r="F64" s="18" t="s">
        <v>302</v>
      </c>
    </row>
    <row r="65" spans="1:6" ht="18" customHeight="1">
      <c r="A65" s="18" t="s">
        <v>129</v>
      </c>
      <c r="B65" s="19">
        <v>7781107</v>
      </c>
      <c r="C65" s="20" t="s">
        <v>5</v>
      </c>
      <c r="D65" s="20" t="s">
        <v>412</v>
      </c>
      <c r="E65" s="20" t="s">
        <v>130</v>
      </c>
      <c r="F65" s="18" t="s">
        <v>131</v>
      </c>
    </row>
    <row r="66" spans="1:6" ht="18" customHeight="1">
      <c r="A66" s="18" t="s">
        <v>132</v>
      </c>
      <c r="B66" s="19">
        <v>7781111</v>
      </c>
      <c r="C66" s="20" t="s">
        <v>5</v>
      </c>
      <c r="D66" s="20" t="s">
        <v>413</v>
      </c>
      <c r="E66" s="20" t="s">
        <v>88</v>
      </c>
      <c r="F66" s="18" t="s">
        <v>133</v>
      </c>
    </row>
    <row r="67" spans="1:6" ht="18" customHeight="1">
      <c r="A67" s="18" t="s">
        <v>134</v>
      </c>
      <c r="B67" s="19">
        <v>7781112</v>
      </c>
      <c r="C67" s="20" t="s">
        <v>5</v>
      </c>
      <c r="D67" s="20" t="s">
        <v>414</v>
      </c>
      <c r="E67" s="20" t="s">
        <v>88</v>
      </c>
      <c r="F67" s="18" t="s">
        <v>135</v>
      </c>
    </row>
    <row r="68" spans="1:6" ht="18" customHeight="1">
      <c r="A68" s="18" t="s">
        <v>136</v>
      </c>
      <c r="B68" s="19">
        <v>7781113</v>
      </c>
      <c r="C68" s="20" t="s">
        <v>5</v>
      </c>
      <c r="D68" s="20" t="s">
        <v>415</v>
      </c>
      <c r="E68" s="20" t="s">
        <v>88</v>
      </c>
      <c r="F68" s="18" t="s">
        <v>137</v>
      </c>
    </row>
    <row r="69" spans="1:6" ht="18" customHeight="1">
      <c r="A69" s="18" t="s">
        <v>138</v>
      </c>
      <c r="B69" s="19">
        <v>7411101</v>
      </c>
      <c r="C69" s="20" t="s">
        <v>5</v>
      </c>
      <c r="D69" s="20" t="s">
        <v>416</v>
      </c>
      <c r="E69" s="20" t="s">
        <v>139</v>
      </c>
      <c r="F69" s="18" t="s">
        <v>140</v>
      </c>
    </row>
    <row r="70" spans="1:6" ht="18" customHeight="1">
      <c r="A70" s="18" t="s">
        <v>141</v>
      </c>
      <c r="B70" s="19">
        <v>7411103</v>
      </c>
      <c r="C70" s="20" t="s">
        <v>5</v>
      </c>
      <c r="D70" s="20" t="s">
        <v>417</v>
      </c>
      <c r="E70" s="20" t="s">
        <v>142</v>
      </c>
      <c r="F70" s="18" t="s">
        <v>143</v>
      </c>
    </row>
    <row r="71" spans="1:6" ht="18" customHeight="1">
      <c r="A71" s="18" t="s">
        <v>144</v>
      </c>
      <c r="B71" s="19">
        <v>7411104</v>
      </c>
      <c r="C71" s="20" t="s">
        <v>5</v>
      </c>
      <c r="D71" s="20" t="s">
        <v>418</v>
      </c>
      <c r="E71" s="20" t="s">
        <v>145</v>
      </c>
      <c r="F71" s="18" t="s">
        <v>146</v>
      </c>
    </row>
    <row r="72" spans="1:6" ht="18" customHeight="1">
      <c r="A72" s="18" t="s">
        <v>147</v>
      </c>
      <c r="B72" s="19">
        <v>7431101</v>
      </c>
      <c r="C72" s="20" t="s">
        <v>5</v>
      </c>
      <c r="D72" s="20" t="s">
        <v>419</v>
      </c>
      <c r="E72" s="20" t="s">
        <v>148</v>
      </c>
      <c r="F72" s="18" t="s">
        <v>149</v>
      </c>
    </row>
    <row r="73" spans="1:6" ht="18" customHeight="1">
      <c r="A73" s="18" t="s">
        <v>420</v>
      </c>
      <c r="B73" s="19">
        <v>7451101</v>
      </c>
      <c r="C73" s="20" t="s">
        <v>5</v>
      </c>
      <c r="D73" s="20" t="s">
        <v>421</v>
      </c>
      <c r="E73" s="20" t="s">
        <v>422</v>
      </c>
      <c r="F73" s="18" t="s">
        <v>423</v>
      </c>
    </row>
    <row r="74" spans="1:6" ht="18" customHeight="1">
      <c r="A74" s="18" t="s">
        <v>424</v>
      </c>
      <c r="B74" s="19">
        <v>7451102</v>
      </c>
      <c r="C74" s="20" t="s">
        <v>5</v>
      </c>
      <c r="D74" s="20" t="s">
        <v>425</v>
      </c>
      <c r="E74" s="20" t="s">
        <v>426</v>
      </c>
      <c r="F74" s="18" t="s">
        <v>427</v>
      </c>
    </row>
    <row r="75" spans="1:6" ht="18" customHeight="1">
      <c r="A75" s="18" t="s">
        <v>428</v>
      </c>
      <c r="B75" s="19">
        <v>7451103</v>
      </c>
      <c r="C75" s="20" t="s">
        <v>5</v>
      </c>
      <c r="D75" s="20" t="s">
        <v>429</v>
      </c>
      <c r="E75" s="20" t="s">
        <v>430</v>
      </c>
      <c r="F75" s="18" t="s">
        <v>431</v>
      </c>
    </row>
    <row r="76" spans="1:6" ht="18" customHeight="1">
      <c r="A76" s="18" t="s">
        <v>151</v>
      </c>
      <c r="B76" s="19">
        <v>7461101</v>
      </c>
      <c r="C76" s="20" t="s">
        <v>5</v>
      </c>
      <c r="D76" s="20" t="s">
        <v>432</v>
      </c>
      <c r="E76" s="20" t="s">
        <v>150</v>
      </c>
      <c r="F76" s="18" t="s">
        <v>151</v>
      </c>
    </row>
    <row r="77" spans="1:6" ht="18" customHeight="1">
      <c r="A77" s="18" t="s">
        <v>152</v>
      </c>
      <c r="B77" s="19">
        <v>7411105</v>
      </c>
      <c r="C77" s="20" t="s">
        <v>5</v>
      </c>
      <c r="D77" s="20" t="s">
        <v>433</v>
      </c>
      <c r="E77" s="47" t="s">
        <v>434</v>
      </c>
    </row>
    <row r="78" spans="1:6" ht="18" customHeight="1">
      <c r="A78" s="18" t="s">
        <v>153</v>
      </c>
      <c r="B78" s="19">
        <v>7471201</v>
      </c>
      <c r="C78" s="20" t="s">
        <v>5</v>
      </c>
      <c r="D78" s="20" t="s">
        <v>435</v>
      </c>
      <c r="E78" s="47" t="s">
        <v>436</v>
      </c>
    </row>
    <row r="79" spans="1:6" ht="18" customHeight="1">
      <c r="A79" s="18" t="s">
        <v>154</v>
      </c>
      <c r="B79" s="19">
        <v>7751101</v>
      </c>
      <c r="C79" s="20" t="s">
        <v>5</v>
      </c>
      <c r="D79" s="20" t="s">
        <v>437</v>
      </c>
      <c r="E79" s="20" t="s">
        <v>438</v>
      </c>
    </row>
    <row r="80" spans="1:6" ht="18" customHeight="1">
      <c r="A80" s="18" t="s">
        <v>155</v>
      </c>
      <c r="B80" s="19">
        <v>7751102</v>
      </c>
      <c r="C80" s="20" t="s">
        <v>5</v>
      </c>
      <c r="D80" s="20" t="s">
        <v>439</v>
      </c>
      <c r="E80" s="20" t="s">
        <v>438</v>
      </c>
    </row>
    <row r="81" spans="1:6" ht="18" customHeight="1">
      <c r="A81" s="18" t="s">
        <v>156</v>
      </c>
      <c r="B81" s="24">
        <v>7111211</v>
      </c>
      <c r="C81" s="24" t="s">
        <v>157</v>
      </c>
      <c r="D81" s="24" t="s">
        <v>440</v>
      </c>
    </row>
    <row r="82" spans="1:6" ht="18" customHeight="1">
      <c r="A82" s="18" t="s">
        <v>303</v>
      </c>
      <c r="B82" s="24">
        <v>7111212</v>
      </c>
      <c r="C82" s="24" t="s">
        <v>157</v>
      </c>
      <c r="D82" s="24" t="s">
        <v>441</v>
      </c>
    </row>
    <row r="83" spans="1:6" ht="18" customHeight="1">
      <c r="A83" s="18" t="s">
        <v>158</v>
      </c>
      <c r="B83" s="24">
        <v>7111221</v>
      </c>
      <c r="C83" s="24" t="s">
        <v>157</v>
      </c>
      <c r="D83" s="24" t="s">
        <v>442</v>
      </c>
    </row>
    <row r="84" spans="1:6" ht="18" customHeight="1">
      <c r="A84" s="18" t="s">
        <v>159</v>
      </c>
      <c r="B84" s="24">
        <v>7111222</v>
      </c>
      <c r="C84" s="24" t="s">
        <v>157</v>
      </c>
      <c r="D84" s="24" t="s">
        <v>443</v>
      </c>
    </row>
    <row r="85" spans="1:6" ht="18" customHeight="1">
      <c r="A85" s="18" t="s">
        <v>160</v>
      </c>
      <c r="B85" s="24">
        <v>7111223</v>
      </c>
      <c r="C85" s="24" t="s">
        <v>157</v>
      </c>
      <c r="D85" s="24" t="s">
        <v>444</v>
      </c>
    </row>
    <row r="86" spans="1:6" ht="18" customHeight="1">
      <c r="A86" s="18" t="s">
        <v>161</v>
      </c>
      <c r="B86" s="24">
        <v>7111311</v>
      </c>
      <c r="C86" s="24" t="s">
        <v>157</v>
      </c>
      <c r="D86" s="24" t="s">
        <v>445</v>
      </c>
    </row>
    <row r="87" spans="1:6" ht="18" customHeight="1">
      <c r="A87" s="18" t="s">
        <v>304</v>
      </c>
      <c r="B87" s="24">
        <v>7111312</v>
      </c>
      <c r="C87" s="24" t="s">
        <v>157</v>
      </c>
      <c r="D87" s="24" t="s">
        <v>446</v>
      </c>
    </row>
    <row r="88" spans="1:6" ht="18" customHeight="1">
      <c r="A88" s="18" t="s">
        <v>162</v>
      </c>
      <c r="B88" s="24">
        <v>7111321</v>
      </c>
      <c r="C88" s="24" t="s">
        <v>157</v>
      </c>
      <c r="D88" s="24" t="s">
        <v>447</v>
      </c>
    </row>
    <row r="89" spans="1:6" ht="18" customHeight="1">
      <c r="A89" s="18" t="s">
        <v>163</v>
      </c>
      <c r="B89" s="24">
        <v>7111322</v>
      </c>
      <c r="C89" s="24" t="s">
        <v>157</v>
      </c>
      <c r="D89" s="24" t="s">
        <v>448</v>
      </c>
    </row>
    <row r="90" spans="1:6" ht="18" customHeight="1">
      <c r="A90" s="18" t="s">
        <v>164</v>
      </c>
      <c r="B90" s="24">
        <v>7111323</v>
      </c>
      <c r="C90" s="24" t="s">
        <v>157</v>
      </c>
      <c r="D90" s="24" t="s">
        <v>449</v>
      </c>
    </row>
    <row r="91" spans="1:6" ht="18" customHeight="1">
      <c r="A91" s="18" t="s">
        <v>305</v>
      </c>
      <c r="B91" s="24">
        <v>7111411</v>
      </c>
      <c r="C91" s="24" t="s">
        <v>157</v>
      </c>
      <c r="D91" s="24" t="s">
        <v>450</v>
      </c>
    </row>
    <row r="92" spans="1:6" ht="18" customHeight="1">
      <c r="A92" s="18" t="s">
        <v>306</v>
      </c>
      <c r="B92" s="24">
        <v>7151101</v>
      </c>
      <c r="C92" s="24" t="s">
        <v>157</v>
      </c>
      <c r="D92" s="24" t="s">
        <v>451</v>
      </c>
    </row>
    <row r="93" spans="1:6" ht="18" customHeight="1">
      <c r="A93" s="18" t="s">
        <v>307</v>
      </c>
      <c r="B93" s="24">
        <v>7200000</v>
      </c>
      <c r="C93" s="24" t="s">
        <v>157</v>
      </c>
      <c r="D93" s="24" t="s">
        <v>452</v>
      </c>
    </row>
    <row r="94" spans="1:6" ht="18" customHeight="1">
      <c r="A94" s="18" t="s">
        <v>165</v>
      </c>
      <c r="B94" s="24">
        <v>7211101</v>
      </c>
      <c r="C94" s="24" t="s">
        <v>157</v>
      </c>
      <c r="D94" s="24" t="s">
        <v>453</v>
      </c>
    </row>
    <row r="95" spans="1:6" ht="18" customHeight="1">
      <c r="A95" s="18" t="s">
        <v>454</v>
      </c>
      <c r="B95" s="24">
        <v>7211102</v>
      </c>
      <c r="C95" s="24" t="s">
        <v>157</v>
      </c>
      <c r="D95" s="24" t="s">
        <v>455</v>
      </c>
      <c r="E95" s="24">
        <v>901</v>
      </c>
      <c r="F95" s="18" t="s">
        <v>166</v>
      </c>
    </row>
    <row r="96" spans="1:6" ht="18" customHeight="1">
      <c r="A96" s="18" t="s">
        <v>167</v>
      </c>
      <c r="B96" s="24">
        <v>7211103</v>
      </c>
      <c r="C96" s="24" t="s">
        <v>157</v>
      </c>
      <c r="D96" s="24" t="s">
        <v>456</v>
      </c>
      <c r="E96" s="24"/>
    </row>
    <row r="97" spans="1:6" ht="18" customHeight="1">
      <c r="A97" s="18" t="s">
        <v>308</v>
      </c>
      <c r="B97" s="24">
        <v>7211104</v>
      </c>
      <c r="C97" s="24" t="s">
        <v>157</v>
      </c>
      <c r="D97" s="24" t="s">
        <v>457</v>
      </c>
      <c r="E97" s="24">
        <v>302</v>
      </c>
    </row>
    <row r="98" spans="1:6" ht="18" customHeight="1">
      <c r="A98" s="18" t="s">
        <v>168</v>
      </c>
      <c r="B98" s="24">
        <v>7221101</v>
      </c>
      <c r="C98" s="24" t="s">
        <v>157</v>
      </c>
      <c r="D98" s="24" t="s">
        <v>458</v>
      </c>
      <c r="E98" s="24">
        <v>302</v>
      </c>
      <c r="F98" s="18" t="s">
        <v>169</v>
      </c>
    </row>
    <row r="99" spans="1:6" ht="18" customHeight="1">
      <c r="A99" s="18" t="s">
        <v>170</v>
      </c>
      <c r="B99" s="24">
        <v>7221102</v>
      </c>
      <c r="C99" s="24" t="s">
        <v>157</v>
      </c>
      <c r="D99" s="24" t="s">
        <v>459</v>
      </c>
      <c r="E99" s="24">
        <v>301</v>
      </c>
      <c r="F99" s="18" t="s">
        <v>171</v>
      </c>
    </row>
    <row r="100" spans="1:6" ht="18" customHeight="1">
      <c r="A100" s="18" t="s">
        <v>4</v>
      </c>
      <c r="B100" s="24">
        <v>7511101</v>
      </c>
      <c r="C100" s="24" t="s">
        <v>157</v>
      </c>
      <c r="D100" s="24" t="s">
        <v>460</v>
      </c>
      <c r="E100" s="24">
        <v>602</v>
      </c>
      <c r="F100" s="18" t="s">
        <v>4</v>
      </c>
    </row>
    <row r="101" spans="1:6" ht="18" customHeight="1">
      <c r="A101" s="18" t="s">
        <v>7</v>
      </c>
      <c r="B101" s="24">
        <v>7511102</v>
      </c>
      <c r="C101" s="24" t="s">
        <v>157</v>
      </c>
      <c r="D101" s="24" t="s">
        <v>461</v>
      </c>
      <c r="E101" s="24">
        <v>602</v>
      </c>
      <c r="F101" s="18" t="s">
        <v>8</v>
      </c>
    </row>
    <row r="102" spans="1:6" ht="18" customHeight="1">
      <c r="A102" s="18" t="s">
        <v>344</v>
      </c>
      <c r="B102" s="24">
        <v>7511103</v>
      </c>
      <c r="C102" s="24" t="s">
        <v>157</v>
      </c>
      <c r="D102" s="24" t="s">
        <v>462</v>
      </c>
      <c r="E102" s="24">
        <v>601</v>
      </c>
      <c r="F102" s="18" t="s">
        <v>10</v>
      </c>
    </row>
    <row r="103" spans="1:6" ht="18" customHeight="1">
      <c r="A103" s="18" t="s">
        <v>11</v>
      </c>
      <c r="B103" s="24">
        <v>7511111</v>
      </c>
      <c r="C103" s="24" t="s">
        <v>157</v>
      </c>
      <c r="D103" s="24" t="s">
        <v>463</v>
      </c>
      <c r="E103" s="24">
        <v>601</v>
      </c>
      <c r="F103" s="18" t="s">
        <v>12</v>
      </c>
    </row>
    <row r="104" spans="1:6" ht="18" customHeight="1">
      <c r="A104" s="18" t="s">
        <v>13</v>
      </c>
      <c r="B104" s="24">
        <v>7511112</v>
      </c>
      <c r="C104" s="24" t="s">
        <v>157</v>
      </c>
      <c r="D104" s="24" t="s">
        <v>464</v>
      </c>
      <c r="E104" s="24">
        <v>601</v>
      </c>
      <c r="F104" s="18" t="s">
        <v>14</v>
      </c>
    </row>
    <row r="105" spans="1:6" ht="18" customHeight="1">
      <c r="A105" s="18" t="s">
        <v>15</v>
      </c>
      <c r="B105" s="24">
        <v>7511121</v>
      </c>
      <c r="C105" s="24" t="s">
        <v>157</v>
      </c>
      <c r="D105" s="24" t="s">
        <v>465</v>
      </c>
      <c r="E105" s="24">
        <v>601</v>
      </c>
      <c r="F105" s="18" t="s">
        <v>16</v>
      </c>
    </row>
    <row r="106" spans="1:6" ht="18" customHeight="1">
      <c r="A106" s="18" t="s">
        <v>17</v>
      </c>
      <c r="B106" s="24">
        <v>7511122</v>
      </c>
      <c r="C106" s="24" t="s">
        <v>157</v>
      </c>
      <c r="D106" s="24" t="s">
        <v>466</v>
      </c>
      <c r="E106" s="24">
        <v>601</v>
      </c>
      <c r="F106" s="18" t="s">
        <v>18</v>
      </c>
    </row>
    <row r="107" spans="1:6" ht="18" customHeight="1">
      <c r="A107" s="18" t="s">
        <v>19</v>
      </c>
      <c r="B107" s="24">
        <v>7511201</v>
      </c>
      <c r="C107" s="24" t="s">
        <v>157</v>
      </c>
      <c r="D107" s="24" t="s">
        <v>467</v>
      </c>
      <c r="E107" s="24">
        <v>603</v>
      </c>
      <c r="F107" s="18" t="s">
        <v>21</v>
      </c>
    </row>
    <row r="108" spans="1:6" ht="18" customHeight="1">
      <c r="A108" s="18" t="s">
        <v>22</v>
      </c>
      <c r="B108" s="24">
        <v>7512111</v>
      </c>
      <c r="C108" s="24" t="s">
        <v>157</v>
      </c>
      <c r="D108" s="24" t="s">
        <v>468</v>
      </c>
      <c r="E108" s="24">
        <v>604</v>
      </c>
      <c r="F108" s="18" t="s">
        <v>24</v>
      </c>
    </row>
    <row r="109" spans="1:6" ht="18" customHeight="1">
      <c r="A109" s="18" t="s">
        <v>25</v>
      </c>
      <c r="B109" s="24">
        <v>7512112</v>
      </c>
      <c r="C109" s="24" t="s">
        <v>157</v>
      </c>
      <c r="D109" s="24" t="s">
        <v>469</v>
      </c>
      <c r="E109" s="24">
        <v>604</v>
      </c>
      <c r="F109" s="18" t="s">
        <v>26</v>
      </c>
    </row>
    <row r="110" spans="1:6" ht="18" customHeight="1">
      <c r="A110" s="18" t="s">
        <v>27</v>
      </c>
      <c r="B110" s="24">
        <v>7514101</v>
      </c>
      <c r="C110" s="24" t="s">
        <v>157</v>
      </c>
      <c r="D110" s="24" t="s">
        <v>470</v>
      </c>
      <c r="E110" s="24">
        <v>601</v>
      </c>
      <c r="F110" s="18" t="s">
        <v>28</v>
      </c>
    </row>
    <row r="111" spans="1:6" ht="18" customHeight="1">
      <c r="A111" s="18" t="s">
        <v>29</v>
      </c>
      <c r="B111" s="24">
        <v>7514102</v>
      </c>
      <c r="C111" s="24" t="s">
        <v>157</v>
      </c>
      <c r="D111" s="24" t="s">
        <v>471</v>
      </c>
      <c r="E111" s="24">
        <v>601</v>
      </c>
      <c r="F111" s="18" t="s">
        <v>30</v>
      </c>
    </row>
    <row r="112" spans="1:6" ht="18" customHeight="1">
      <c r="A112" s="18" t="s">
        <v>31</v>
      </c>
      <c r="B112" s="24">
        <v>7515401</v>
      </c>
      <c r="C112" s="24" t="s">
        <v>157</v>
      </c>
      <c r="D112" s="24" t="s">
        <v>472</v>
      </c>
      <c r="E112" s="24">
        <v>604</v>
      </c>
      <c r="F112" s="18" t="s">
        <v>32</v>
      </c>
    </row>
    <row r="113" spans="1:6" ht="18" customHeight="1">
      <c r="A113" s="18" t="s">
        <v>33</v>
      </c>
      <c r="B113" s="24">
        <v>7515402</v>
      </c>
      <c r="C113" s="24" t="s">
        <v>157</v>
      </c>
      <c r="D113" s="24" t="s">
        <v>473</v>
      </c>
      <c r="E113" s="24">
        <v>604</v>
      </c>
      <c r="F113" s="18" t="s">
        <v>34</v>
      </c>
    </row>
    <row r="114" spans="1:6" ht="18" customHeight="1">
      <c r="A114" s="18" t="s">
        <v>35</v>
      </c>
      <c r="B114" s="24">
        <v>7515403</v>
      </c>
      <c r="C114" s="24" t="s">
        <v>157</v>
      </c>
      <c r="D114" s="24" t="s">
        <v>474</v>
      </c>
      <c r="E114" s="24">
        <v>604</v>
      </c>
      <c r="F114" s="18" t="s">
        <v>36</v>
      </c>
    </row>
    <row r="115" spans="1:6" ht="18" customHeight="1">
      <c r="A115" s="18" t="s">
        <v>37</v>
      </c>
      <c r="B115" s="24">
        <v>7515404</v>
      </c>
      <c r="C115" s="24" t="s">
        <v>157</v>
      </c>
      <c r="D115" s="24" t="s">
        <v>475</v>
      </c>
      <c r="E115" s="24">
        <v>604</v>
      </c>
      <c r="F115" s="18" t="s">
        <v>38</v>
      </c>
    </row>
    <row r="116" spans="1:6" ht="18" customHeight="1">
      <c r="A116" s="18" t="s">
        <v>39</v>
      </c>
      <c r="B116" s="24">
        <v>7515405</v>
      </c>
      <c r="C116" s="24" t="s">
        <v>157</v>
      </c>
      <c r="D116" s="24" t="s">
        <v>476</v>
      </c>
      <c r="E116" s="24">
        <v>604</v>
      </c>
      <c r="F116" s="18" t="s">
        <v>40</v>
      </c>
    </row>
    <row r="117" spans="1:6" ht="18" customHeight="1">
      <c r="A117" s="18" t="s">
        <v>41</v>
      </c>
      <c r="B117" s="24">
        <v>7515406</v>
      </c>
      <c r="C117" s="24" t="s">
        <v>157</v>
      </c>
      <c r="D117" s="24" t="s">
        <v>477</v>
      </c>
      <c r="E117" s="24">
        <v>604</v>
      </c>
      <c r="F117" s="18" t="s">
        <v>42</v>
      </c>
    </row>
    <row r="118" spans="1:6" ht="18" customHeight="1">
      <c r="A118" s="18" t="s">
        <v>291</v>
      </c>
      <c r="B118" s="24">
        <v>7515407</v>
      </c>
      <c r="C118" s="24" t="s">
        <v>157</v>
      </c>
      <c r="D118" s="24" t="s">
        <v>478</v>
      </c>
      <c r="E118" s="24">
        <v>604</v>
      </c>
    </row>
    <row r="119" spans="1:6" ht="18" customHeight="1">
      <c r="A119" s="18" t="s">
        <v>43</v>
      </c>
      <c r="B119" s="24">
        <v>7515408</v>
      </c>
      <c r="C119" s="24" t="s">
        <v>157</v>
      </c>
      <c r="D119" s="24" t="s">
        <v>479</v>
      </c>
      <c r="E119" s="24">
        <v>604</v>
      </c>
      <c r="F119" s="18" t="s">
        <v>44</v>
      </c>
    </row>
    <row r="120" spans="1:6" ht="18" customHeight="1">
      <c r="A120" s="18" t="s">
        <v>45</v>
      </c>
      <c r="B120" s="24">
        <v>7515409</v>
      </c>
      <c r="C120" s="24" t="s">
        <v>157</v>
      </c>
      <c r="D120" s="24" t="s">
        <v>480</v>
      </c>
      <c r="E120" s="24">
        <v>604</v>
      </c>
      <c r="F120" s="18" t="s">
        <v>46</v>
      </c>
    </row>
    <row r="121" spans="1:6" ht="18" customHeight="1">
      <c r="A121" s="18" t="s">
        <v>47</v>
      </c>
      <c r="B121" s="24">
        <v>7515410</v>
      </c>
      <c r="C121" s="24" t="s">
        <v>157</v>
      </c>
      <c r="D121" s="24" t="s">
        <v>481</v>
      </c>
      <c r="E121" s="24">
        <v>604</v>
      </c>
      <c r="F121" s="18" t="s">
        <v>48</v>
      </c>
    </row>
    <row r="122" spans="1:6" ht="18" customHeight="1">
      <c r="A122" s="18" t="s">
        <v>49</v>
      </c>
      <c r="B122" s="24">
        <v>7515499</v>
      </c>
      <c r="C122" s="24" t="s">
        <v>157</v>
      </c>
      <c r="D122" s="24" t="s">
        <v>482</v>
      </c>
      <c r="E122" s="24">
        <v>604</v>
      </c>
      <c r="F122" s="18" t="s">
        <v>50</v>
      </c>
    </row>
    <row r="123" spans="1:6" ht="18" customHeight="1">
      <c r="A123" s="18" t="s">
        <v>51</v>
      </c>
      <c r="B123" s="24">
        <v>7516102</v>
      </c>
      <c r="C123" s="24" t="s">
        <v>157</v>
      </c>
      <c r="D123" s="24" t="s">
        <v>483</v>
      </c>
      <c r="E123" s="24">
        <v>605</v>
      </c>
      <c r="F123" s="18" t="s">
        <v>52</v>
      </c>
    </row>
    <row r="124" spans="1:6" ht="18" customHeight="1">
      <c r="A124" s="18" t="s">
        <v>53</v>
      </c>
      <c r="B124" s="24">
        <v>7519101</v>
      </c>
      <c r="C124" s="24" t="s">
        <v>157</v>
      </c>
      <c r="D124" s="24" t="s">
        <v>484</v>
      </c>
      <c r="E124" s="24">
        <v>602</v>
      </c>
      <c r="F124" s="18" t="s">
        <v>54</v>
      </c>
    </row>
    <row r="125" spans="1:6" ht="18" customHeight="1">
      <c r="A125" s="18" t="s">
        <v>55</v>
      </c>
      <c r="B125" s="24">
        <v>7521101</v>
      </c>
      <c r="C125" s="24" t="s">
        <v>157</v>
      </c>
      <c r="D125" s="24" t="s">
        <v>485</v>
      </c>
      <c r="E125" s="24">
        <v>601</v>
      </c>
      <c r="F125" s="18" t="s">
        <v>56</v>
      </c>
    </row>
    <row r="126" spans="1:6" ht="18" customHeight="1">
      <c r="A126" s="18" t="s">
        <v>57</v>
      </c>
      <c r="B126" s="24">
        <v>7521102</v>
      </c>
      <c r="C126" s="24" t="s">
        <v>157</v>
      </c>
      <c r="D126" s="24" t="s">
        <v>486</v>
      </c>
      <c r="E126" s="24">
        <v>603</v>
      </c>
      <c r="F126" s="18" t="s">
        <v>58</v>
      </c>
    </row>
    <row r="127" spans="1:6" ht="18" customHeight="1">
      <c r="A127" s="18" t="s">
        <v>59</v>
      </c>
      <c r="B127" s="24">
        <v>7571101</v>
      </c>
      <c r="C127" s="24" t="s">
        <v>157</v>
      </c>
      <c r="D127" s="24" t="s">
        <v>487</v>
      </c>
      <c r="E127" s="24">
        <v>606</v>
      </c>
      <c r="F127" s="18" t="s">
        <v>60</v>
      </c>
    </row>
    <row r="128" spans="1:6" ht="18" customHeight="1">
      <c r="A128" s="18" t="s">
        <v>61</v>
      </c>
      <c r="B128" s="24">
        <v>7611100</v>
      </c>
      <c r="C128" s="24" t="s">
        <v>157</v>
      </c>
      <c r="D128" s="24" t="s">
        <v>488</v>
      </c>
      <c r="E128" s="24">
        <v>701</v>
      </c>
      <c r="F128" s="18" t="s">
        <v>63</v>
      </c>
    </row>
    <row r="129" spans="1:6" ht="18" customHeight="1">
      <c r="A129" s="18" t="s">
        <v>64</v>
      </c>
      <c r="B129" s="24">
        <v>7611300</v>
      </c>
      <c r="C129" s="24" t="s">
        <v>157</v>
      </c>
      <c r="D129" s="24" t="s">
        <v>489</v>
      </c>
      <c r="E129" s="24">
        <v>701</v>
      </c>
      <c r="F129" s="18" t="s">
        <v>65</v>
      </c>
    </row>
    <row r="130" spans="1:6" ht="18" customHeight="1">
      <c r="A130" s="18" t="s">
        <v>292</v>
      </c>
      <c r="B130" s="24">
        <v>7611400</v>
      </c>
      <c r="C130" s="24" t="s">
        <v>157</v>
      </c>
      <c r="D130" s="24" t="s">
        <v>490</v>
      </c>
      <c r="E130" s="24">
        <v>701</v>
      </c>
      <c r="F130" s="18" t="s">
        <v>293</v>
      </c>
    </row>
    <row r="131" spans="1:6" ht="18" customHeight="1">
      <c r="A131" s="18" t="s">
        <v>66</v>
      </c>
      <c r="B131" s="24">
        <v>7611500</v>
      </c>
      <c r="C131" s="24" t="s">
        <v>157</v>
      </c>
      <c r="D131" s="24" t="s">
        <v>491</v>
      </c>
      <c r="E131" s="24">
        <v>701</v>
      </c>
      <c r="F131" s="18" t="s">
        <v>67</v>
      </c>
    </row>
    <row r="132" spans="1:6" ht="18" customHeight="1">
      <c r="A132" s="18" t="s">
        <v>68</v>
      </c>
      <c r="B132" s="24">
        <v>7611600</v>
      </c>
      <c r="C132" s="24" t="s">
        <v>157</v>
      </c>
      <c r="D132" s="24" t="s">
        <v>492</v>
      </c>
      <c r="E132" s="24">
        <v>701</v>
      </c>
      <c r="F132" s="18" t="s">
        <v>69</v>
      </c>
    </row>
    <row r="133" spans="1:6" ht="18" customHeight="1">
      <c r="A133" s="18" t="s">
        <v>70</v>
      </c>
      <c r="B133" s="24">
        <v>7611700</v>
      </c>
      <c r="C133" s="24" t="s">
        <v>157</v>
      </c>
      <c r="D133" s="24" t="s">
        <v>493</v>
      </c>
      <c r="E133" s="24">
        <v>701</v>
      </c>
      <c r="F133" s="18" t="s">
        <v>380</v>
      </c>
    </row>
    <row r="134" spans="1:6" ht="18" customHeight="1">
      <c r="A134" s="18" t="s">
        <v>294</v>
      </c>
      <c r="B134" s="24">
        <v>7611800</v>
      </c>
      <c r="C134" s="24" t="s">
        <v>157</v>
      </c>
      <c r="D134" s="24" t="s">
        <v>494</v>
      </c>
      <c r="E134" s="24">
        <v>701</v>
      </c>
      <c r="F134" s="18" t="s">
        <v>295</v>
      </c>
    </row>
    <row r="135" spans="1:6" ht="18" customHeight="1">
      <c r="A135" s="18" t="s">
        <v>71</v>
      </c>
      <c r="B135" s="24">
        <v>7621101</v>
      </c>
      <c r="C135" s="24" t="s">
        <v>157</v>
      </c>
      <c r="D135" s="24" t="s">
        <v>495</v>
      </c>
      <c r="E135" s="24">
        <v>903</v>
      </c>
      <c r="F135" s="18" t="s">
        <v>73</v>
      </c>
    </row>
    <row r="136" spans="1:6" ht="18" customHeight="1">
      <c r="A136" s="18" t="s">
        <v>383</v>
      </c>
      <c r="B136" s="48">
        <v>7621199</v>
      </c>
      <c r="C136" s="24" t="s">
        <v>157</v>
      </c>
      <c r="D136" s="24" t="s">
        <v>496</v>
      </c>
      <c r="E136" s="24">
        <v>801</v>
      </c>
      <c r="F136" s="18" t="s">
        <v>75</v>
      </c>
    </row>
    <row r="137" spans="1:6" ht="18" customHeight="1">
      <c r="A137" s="18" t="s">
        <v>76</v>
      </c>
      <c r="B137" s="24">
        <v>7631101</v>
      </c>
      <c r="C137" s="24" t="s">
        <v>157</v>
      </c>
      <c r="D137" s="24" t="s">
        <v>497</v>
      </c>
      <c r="E137" s="24">
        <v>501</v>
      </c>
      <c r="F137" s="18" t="s">
        <v>78</v>
      </c>
    </row>
    <row r="138" spans="1:6" ht="18" customHeight="1">
      <c r="A138" s="18" t="s">
        <v>79</v>
      </c>
      <c r="B138" s="24">
        <v>7631102</v>
      </c>
      <c r="C138" s="24" t="s">
        <v>157</v>
      </c>
      <c r="D138" s="24" t="s">
        <v>498</v>
      </c>
      <c r="E138" s="24">
        <v>502</v>
      </c>
      <c r="F138" s="18" t="s">
        <v>81</v>
      </c>
    </row>
    <row r="139" spans="1:6" ht="18" customHeight="1">
      <c r="A139" s="18" t="s">
        <v>82</v>
      </c>
      <c r="B139" s="24">
        <v>7641101</v>
      </c>
      <c r="C139" s="24" t="s">
        <v>157</v>
      </c>
      <c r="D139" s="24" t="s">
        <v>499</v>
      </c>
      <c r="E139" s="24">
        <v>401</v>
      </c>
      <c r="F139" s="18" t="s">
        <v>84</v>
      </c>
    </row>
    <row r="140" spans="1:6" ht="18" customHeight="1">
      <c r="A140" s="18" t="s">
        <v>85</v>
      </c>
      <c r="B140" s="24">
        <v>7641102</v>
      </c>
      <c r="C140" s="24" t="s">
        <v>157</v>
      </c>
      <c r="D140" s="24" t="s">
        <v>500</v>
      </c>
      <c r="E140" s="24">
        <v>401</v>
      </c>
      <c r="F140" s="18" t="s">
        <v>86</v>
      </c>
    </row>
    <row r="141" spans="1:6" ht="18" customHeight="1">
      <c r="A141" s="18" t="s">
        <v>87</v>
      </c>
      <c r="B141" s="24">
        <v>7641103</v>
      </c>
      <c r="C141" s="24" t="s">
        <v>157</v>
      </c>
      <c r="D141" s="24" t="s">
        <v>501</v>
      </c>
      <c r="E141" s="24">
        <v>902</v>
      </c>
      <c r="F141" s="18" t="s">
        <v>89</v>
      </c>
    </row>
    <row r="142" spans="1:6" ht="18" customHeight="1">
      <c r="A142" s="18" t="s">
        <v>90</v>
      </c>
      <c r="B142" s="24">
        <v>7641104</v>
      </c>
      <c r="C142" s="24" t="s">
        <v>157</v>
      </c>
      <c r="D142" s="24" t="s">
        <v>502</v>
      </c>
      <c r="E142" s="24">
        <v>999</v>
      </c>
      <c r="F142" s="18" t="s">
        <v>91</v>
      </c>
    </row>
    <row r="143" spans="1:6" ht="18" customHeight="1">
      <c r="A143" s="18" t="s">
        <v>92</v>
      </c>
      <c r="B143" s="24">
        <v>7651101</v>
      </c>
      <c r="C143" s="24" t="s">
        <v>157</v>
      </c>
      <c r="D143" s="24" t="s">
        <v>503</v>
      </c>
      <c r="E143" s="24">
        <v>903</v>
      </c>
      <c r="F143" s="18" t="s">
        <v>93</v>
      </c>
    </row>
    <row r="144" spans="1:6" ht="18" customHeight="1">
      <c r="A144" s="18" t="s">
        <v>94</v>
      </c>
      <c r="B144" s="24">
        <v>7651102</v>
      </c>
      <c r="C144" s="24" t="s">
        <v>157</v>
      </c>
      <c r="D144" s="24" t="s">
        <v>504</v>
      </c>
      <c r="E144" s="24">
        <v>903</v>
      </c>
      <c r="F144" s="18" t="s">
        <v>95</v>
      </c>
    </row>
    <row r="145" spans="1:6" ht="18" customHeight="1">
      <c r="A145" s="18" t="s">
        <v>96</v>
      </c>
      <c r="B145" s="24">
        <v>7651103</v>
      </c>
      <c r="C145" s="24" t="s">
        <v>157</v>
      </c>
      <c r="D145" s="24" t="s">
        <v>505</v>
      </c>
      <c r="E145" s="24">
        <v>903</v>
      </c>
      <c r="F145" s="18" t="s">
        <v>97</v>
      </c>
    </row>
    <row r="146" spans="1:6" ht="18" customHeight="1">
      <c r="A146" s="18" t="s">
        <v>98</v>
      </c>
      <c r="B146" s="24">
        <v>7661101</v>
      </c>
      <c r="C146" s="24" t="s">
        <v>157</v>
      </c>
      <c r="D146" s="24" t="s">
        <v>506</v>
      </c>
      <c r="E146" s="24">
        <v>999</v>
      </c>
      <c r="F146" s="18" t="s">
        <v>100</v>
      </c>
    </row>
    <row r="147" spans="1:6" ht="18" customHeight="1">
      <c r="A147" s="18" t="s">
        <v>101</v>
      </c>
      <c r="B147" s="24">
        <v>7671102</v>
      </c>
      <c r="C147" s="24" t="s">
        <v>157</v>
      </c>
      <c r="D147" s="24" t="s">
        <v>507</v>
      </c>
      <c r="E147" s="24">
        <v>999</v>
      </c>
      <c r="F147" s="18" t="s">
        <v>102</v>
      </c>
    </row>
    <row r="148" spans="1:6" ht="18" customHeight="1">
      <c r="A148" s="18" t="s">
        <v>103</v>
      </c>
      <c r="B148" s="24">
        <v>7671103</v>
      </c>
      <c r="C148" s="24" t="s">
        <v>157</v>
      </c>
      <c r="D148" s="24" t="s">
        <v>508</v>
      </c>
      <c r="E148" s="24">
        <v>999</v>
      </c>
      <c r="F148" s="18" t="s">
        <v>104</v>
      </c>
    </row>
    <row r="149" spans="1:6" ht="18" customHeight="1">
      <c r="A149" s="18" t="s">
        <v>105</v>
      </c>
      <c r="B149" s="24">
        <v>7681101</v>
      </c>
      <c r="C149" s="24" t="s">
        <v>157</v>
      </c>
      <c r="D149" s="24" t="s">
        <v>509</v>
      </c>
      <c r="E149" s="24">
        <v>999</v>
      </c>
      <c r="F149" s="18" t="s">
        <v>106</v>
      </c>
    </row>
    <row r="150" spans="1:6" ht="18" customHeight="1">
      <c r="A150" s="18" t="s">
        <v>107</v>
      </c>
      <c r="B150" s="24">
        <v>7691000</v>
      </c>
      <c r="C150" s="24" t="s">
        <v>157</v>
      </c>
      <c r="D150" s="24" t="s">
        <v>510</v>
      </c>
      <c r="E150" s="24">
        <v>999</v>
      </c>
      <c r="F150" s="18" t="s">
        <v>108</v>
      </c>
    </row>
    <row r="151" spans="1:6" ht="18" customHeight="1">
      <c r="A151" s="18" t="s">
        <v>109</v>
      </c>
      <c r="B151" s="24">
        <v>7711101</v>
      </c>
      <c r="C151" s="24" t="s">
        <v>157</v>
      </c>
      <c r="D151" s="24" t="s">
        <v>511</v>
      </c>
      <c r="E151" s="24">
        <v>999</v>
      </c>
      <c r="F151" s="18" t="s">
        <v>110</v>
      </c>
    </row>
    <row r="152" spans="1:6" ht="18" customHeight="1">
      <c r="A152" s="18" t="s">
        <v>111</v>
      </c>
      <c r="B152" s="24">
        <v>7711102</v>
      </c>
      <c r="C152" s="24" t="s">
        <v>157</v>
      </c>
      <c r="D152" s="24" t="s">
        <v>512</v>
      </c>
      <c r="E152" s="24">
        <v>904</v>
      </c>
      <c r="F152" s="18" t="s">
        <v>113</v>
      </c>
    </row>
    <row r="153" spans="1:6" ht="18" customHeight="1">
      <c r="A153" s="18" t="s">
        <v>114</v>
      </c>
      <c r="B153" s="24">
        <v>7711103</v>
      </c>
      <c r="C153" s="24" t="s">
        <v>157</v>
      </c>
      <c r="D153" s="24" t="s">
        <v>513</v>
      </c>
      <c r="E153" s="24">
        <v>999</v>
      </c>
      <c r="F153" s="18" t="s">
        <v>115</v>
      </c>
    </row>
    <row r="154" spans="1:6" ht="18" customHeight="1">
      <c r="A154" s="18" t="s">
        <v>297</v>
      </c>
      <c r="B154" s="24">
        <v>7721101</v>
      </c>
      <c r="C154" s="24" t="s">
        <v>157</v>
      </c>
      <c r="D154" s="24" t="s">
        <v>514</v>
      </c>
      <c r="E154" s="24">
        <v>905</v>
      </c>
      <c r="F154" s="18" t="s">
        <v>298</v>
      </c>
    </row>
    <row r="155" spans="1:6" ht="18" customHeight="1">
      <c r="A155" s="18" t="s">
        <v>116</v>
      </c>
      <c r="B155" s="24">
        <v>7729101</v>
      </c>
      <c r="C155" s="24" t="s">
        <v>157</v>
      </c>
      <c r="D155" s="24" t="s">
        <v>515</v>
      </c>
      <c r="E155" s="24">
        <v>905</v>
      </c>
      <c r="F155" s="18" t="s">
        <v>118</v>
      </c>
    </row>
    <row r="156" spans="1:6" ht="18" customHeight="1">
      <c r="A156" s="18" t="s">
        <v>119</v>
      </c>
      <c r="B156" s="24">
        <v>7729103</v>
      </c>
      <c r="C156" s="24" t="s">
        <v>157</v>
      </c>
      <c r="D156" s="24" t="s">
        <v>516</v>
      </c>
      <c r="E156" s="25">
        <v>1001</v>
      </c>
      <c r="F156" s="18" t="s">
        <v>120</v>
      </c>
    </row>
    <row r="157" spans="1:6" ht="18" customHeight="1">
      <c r="A157" s="18" t="s">
        <v>121</v>
      </c>
      <c r="B157" s="24">
        <v>7729105</v>
      </c>
      <c r="C157" s="24" t="s">
        <v>157</v>
      </c>
      <c r="D157" s="24" t="s">
        <v>517</v>
      </c>
      <c r="E157" s="24">
        <v>999</v>
      </c>
      <c r="F157" s="18" t="s">
        <v>122</v>
      </c>
    </row>
    <row r="158" spans="1:6" ht="18" customHeight="1">
      <c r="A158" s="18" t="s">
        <v>123</v>
      </c>
      <c r="B158" s="24">
        <v>7781101</v>
      </c>
      <c r="C158" s="24" t="s">
        <v>157</v>
      </c>
      <c r="D158" s="24" t="s">
        <v>518</v>
      </c>
      <c r="E158" s="24">
        <v>999</v>
      </c>
      <c r="F158" s="18" t="s">
        <v>124</v>
      </c>
    </row>
    <row r="159" spans="1:6" ht="18" customHeight="1">
      <c r="A159" s="18" t="s">
        <v>125</v>
      </c>
      <c r="B159" s="24">
        <v>7781103</v>
      </c>
      <c r="C159" s="24" t="s">
        <v>157</v>
      </c>
      <c r="D159" s="24" t="s">
        <v>519</v>
      </c>
      <c r="E159" s="24">
        <v>999</v>
      </c>
      <c r="F159" s="18" t="s">
        <v>126</v>
      </c>
    </row>
    <row r="160" spans="1:6" ht="18" customHeight="1">
      <c r="A160" s="18" t="s">
        <v>127</v>
      </c>
      <c r="B160" s="24">
        <v>7781104</v>
      </c>
      <c r="C160" s="24" t="s">
        <v>157</v>
      </c>
      <c r="D160" s="24" t="s">
        <v>520</v>
      </c>
      <c r="E160" s="24">
        <v>999</v>
      </c>
      <c r="F160" s="18" t="s">
        <v>128</v>
      </c>
    </row>
    <row r="161" spans="1:6" ht="18" customHeight="1">
      <c r="A161" s="18" t="s">
        <v>299</v>
      </c>
      <c r="B161" s="24">
        <v>7781105</v>
      </c>
      <c r="C161" s="24" t="s">
        <v>157</v>
      </c>
      <c r="D161" s="24" t="s">
        <v>521</v>
      </c>
      <c r="E161" s="25">
        <v>905</v>
      </c>
      <c r="F161" s="18" t="s">
        <v>300</v>
      </c>
    </row>
    <row r="162" spans="1:6" ht="18" customHeight="1">
      <c r="A162" s="18" t="s">
        <v>301</v>
      </c>
      <c r="B162" s="24">
        <v>7781106</v>
      </c>
      <c r="C162" s="24" t="s">
        <v>157</v>
      </c>
      <c r="D162" s="24" t="s">
        <v>522</v>
      </c>
      <c r="E162" s="24">
        <v>999</v>
      </c>
      <c r="F162" s="18" t="s">
        <v>302</v>
      </c>
    </row>
    <row r="163" spans="1:6" ht="18" customHeight="1">
      <c r="A163" s="18" t="s">
        <v>129</v>
      </c>
      <c r="B163" s="24">
        <v>7781107</v>
      </c>
      <c r="C163" s="24" t="s">
        <v>157</v>
      </c>
      <c r="D163" s="24" t="s">
        <v>523</v>
      </c>
      <c r="E163" s="24">
        <v>906</v>
      </c>
      <c r="F163" s="18" t="s">
        <v>131</v>
      </c>
    </row>
    <row r="164" spans="1:6" ht="18" customHeight="1">
      <c r="A164" s="18" t="s">
        <v>132</v>
      </c>
      <c r="B164" s="24">
        <v>7781111</v>
      </c>
      <c r="C164" s="24" t="s">
        <v>157</v>
      </c>
      <c r="D164" s="24" t="s">
        <v>524</v>
      </c>
      <c r="E164" s="24">
        <v>999</v>
      </c>
      <c r="F164" s="18" t="s">
        <v>133</v>
      </c>
    </row>
    <row r="165" spans="1:6" ht="18" customHeight="1">
      <c r="A165" s="18" t="s">
        <v>134</v>
      </c>
      <c r="B165" s="24">
        <v>7781112</v>
      </c>
      <c r="C165" s="24" t="s">
        <v>157</v>
      </c>
      <c r="D165" s="24" t="s">
        <v>525</v>
      </c>
      <c r="E165" s="24">
        <v>999</v>
      </c>
      <c r="F165" s="18" t="s">
        <v>135</v>
      </c>
    </row>
    <row r="166" spans="1:6" ht="18" customHeight="1">
      <c r="A166" s="18" t="s">
        <v>136</v>
      </c>
      <c r="B166" s="24">
        <v>7781113</v>
      </c>
      <c r="C166" s="24" t="s">
        <v>157</v>
      </c>
      <c r="D166" s="24" t="s">
        <v>526</v>
      </c>
      <c r="E166" s="24">
        <v>999</v>
      </c>
      <c r="F166" s="18" t="s">
        <v>137</v>
      </c>
    </row>
    <row r="167" spans="1:6" ht="18" customHeight="1">
      <c r="A167" s="18" t="s">
        <v>172</v>
      </c>
      <c r="B167" s="19">
        <v>8291101</v>
      </c>
      <c r="C167" s="20" t="s">
        <v>173</v>
      </c>
      <c r="D167" s="20" t="s">
        <v>527</v>
      </c>
    </row>
    <row r="168" spans="1:6" ht="18" customHeight="1">
      <c r="A168" s="18" t="s">
        <v>174</v>
      </c>
      <c r="B168" s="19">
        <v>8291102</v>
      </c>
      <c r="C168" s="20" t="s">
        <v>173</v>
      </c>
      <c r="D168" s="20" t="s">
        <v>528</v>
      </c>
    </row>
    <row r="169" spans="1:6" ht="18" customHeight="1">
      <c r="A169" s="18" t="s">
        <v>175</v>
      </c>
      <c r="B169" s="19">
        <v>8291201</v>
      </c>
      <c r="C169" s="20" t="s">
        <v>173</v>
      </c>
      <c r="D169" s="20" t="s">
        <v>529</v>
      </c>
    </row>
    <row r="170" spans="1:6" ht="18" customHeight="1">
      <c r="A170" s="18" t="s">
        <v>176</v>
      </c>
      <c r="B170" s="19">
        <v>8291202</v>
      </c>
      <c r="C170" s="20" t="s">
        <v>173</v>
      </c>
      <c r="D170" s="20" t="s">
        <v>530</v>
      </c>
    </row>
    <row r="171" spans="1:6" ht="18" customHeight="1">
      <c r="A171" s="18" t="s">
        <v>177</v>
      </c>
      <c r="B171" s="19">
        <v>8291203</v>
      </c>
      <c r="C171" s="20" t="s">
        <v>173</v>
      </c>
      <c r="D171" s="20" t="s">
        <v>531</v>
      </c>
    </row>
    <row r="172" spans="1:6" ht="18" customHeight="1">
      <c r="A172" s="18" t="s">
        <v>178</v>
      </c>
      <c r="B172" s="19">
        <v>8191101</v>
      </c>
      <c r="C172" s="20" t="s">
        <v>173</v>
      </c>
      <c r="D172" s="20" t="s">
        <v>532</v>
      </c>
    </row>
    <row r="173" spans="1:6" ht="18" customHeight="1">
      <c r="A173" s="18" t="s">
        <v>533</v>
      </c>
      <c r="B173" s="19">
        <v>8311101</v>
      </c>
      <c r="C173" s="20" t="s">
        <v>173</v>
      </c>
      <c r="D173" s="20" t="s">
        <v>534</v>
      </c>
      <c r="E173" s="1"/>
    </row>
    <row r="174" spans="1:6">
      <c r="A174" s="18" t="s">
        <v>535</v>
      </c>
      <c r="B174" s="19">
        <v>8413101</v>
      </c>
      <c r="C174" s="20" t="s">
        <v>173</v>
      </c>
      <c r="D174" s="20" t="s">
        <v>536</v>
      </c>
    </row>
  </sheetData>
  <sheetProtection algorithmName="SHA-512" hashValue="xn1T+mwAH//Sn2Ou5ZFfD5dP5wdCn4a+nU8tehZvHMpxIyf8N523veKxaYVAYctb+g8FfjPnCzfy/oNcy3X/Aw==" saltValue="qc/IPqPQQhSE00KqkofaHQ==" spinCount="100000" sheet="1" objects="1" scenarios="1"/>
  <phoneticPr fontId="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V1</vt:lpstr>
      <vt:lpstr>Password</vt:lpstr>
      <vt:lpstr>Priority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User 47 NGKBUSI</cp:lastModifiedBy>
  <dcterms:created xsi:type="dcterms:W3CDTF">2020-10-12T08:41:42Z</dcterms:created>
  <dcterms:modified xsi:type="dcterms:W3CDTF">2025-10-07T05:14:31Z</dcterms:modified>
</cp:coreProperties>
</file>
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◆ISEKI\定例業務対応\【予算】123期予算\"/>
    </mc:Choice>
  </mc:AlternateContent>
  <xr:revisionPtr revIDLastSave="0" documentId="13_ncr:1_{0AFBB48D-4EE5-45A5-B3EA-386A3AD504CA}" xr6:coauthVersionLast="47" xr6:coauthVersionMax="47" xr10:uidLastSave="{00000000-0000-0000-0000-000000000000}"/>
  <bookViews>
    <workbookView xWindow="-120" yWindow="-120" windowWidth="29040" windowHeight="15840" xr2:uid="{C53FDC34-7892-4F4E-9408-2EF96F6145C2}"/>
  </bookViews>
  <sheets>
    <sheet name="Upload" sheetId="1" r:id="rId1"/>
    <sheet name="Master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j102" localSheetId="1">#REF!</definedName>
    <definedName name="__j102">#REF!</definedName>
    <definedName name="_1">#N/A</definedName>
    <definedName name="_Fill" localSheetId="1" hidden="1">#REF!</definedName>
    <definedName name="_Fill" hidden="1">#REF!</definedName>
    <definedName name="_xlnm._FilterDatabase" localSheetId="0" hidden="1">Upload!$A$1:$AH$1001</definedName>
    <definedName name="_xlnm._FilterDatabase" hidden="1">[1]金具工程見出し!$A$9:$K$9</definedName>
    <definedName name="_j102" localSheetId="1">#REF!</definedName>
    <definedName name="_j102">#REF!</definedName>
    <definedName name="_Key1" localSheetId="1" hidden="1">#REF!</definedName>
    <definedName name="_Key1" hidden="1">#REF!</definedName>
    <definedName name="_Order1" hidden="1">255</definedName>
    <definedName name="_Sort" localSheetId="1" hidden="1">#REF!</definedName>
    <definedName name="_Sort" hidden="1">#REF!</definedName>
    <definedName name="aa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>#REF!</definedName>
    <definedName name="kissakei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_xlnm.Print_Titles" localSheetId="1">#REF!</definedName>
    <definedName name="_xlnm.Print_Titles">#REF!</definedName>
    <definedName name="PRINT_TITLES_MI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>#REF!</definedName>
    <definedName name="tgll" localSheetId="1">#REF!</definedName>
    <definedName name="tgll">#REF!</definedName>
    <definedName name="tr" localSheetId="1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>#REF!</definedName>
    <definedName name="為替" localSheetId="1">#REF!</definedName>
    <definedName name="為替">#REF!</definedName>
    <definedName name="為替レートEU" localSheetId="1">#REF!</definedName>
    <definedName name="為替レートEU">#REF!</definedName>
    <definedName name="為替レートUS">#REF!</definedName>
    <definedName name="印刷領域" localSheetId="1">#REF!</definedName>
    <definedName name="印刷領域">#REF!</definedName>
    <definedName name="円">#REF!</definedName>
    <definedName name="円vsドル_レート">#REF!</definedName>
    <definedName name="開発経費合計181">#REF!</definedName>
    <definedName name="開発経費合計182">#REF!</definedName>
    <definedName name="期" localSheetId="1">#REF!</definedName>
    <definedName name="期">#REF!</definedName>
    <definedName name="機能分類リスト">[6]開発計画品番リスト!#REF!</definedName>
    <definedName name="技術開発経費181" localSheetId="1">#REF!</definedName>
    <definedName name="技術開発経費181">#REF!</definedName>
    <definedName name="技術開発経費182">#REF!</definedName>
    <definedName name="決算期区分" localSheetId="1">#REF!</definedName>
    <definedName name="決算期区分">#REF!</definedName>
    <definedName name="元">#REF!</definedName>
    <definedName name="雇用">#REF!</definedName>
    <definedName name="今" localSheetId="1">#REF!</definedName>
    <definedName name="今">#REF!</definedName>
    <definedName name="梱包_Ｍ３">'[7]KB,MOLD ESTIMATE.00'!$F$13:$X$13</definedName>
    <definedName name="支援まとめ">'[8]予定日別1-6'!$U$4:$GV$4</definedName>
    <definedName name="実績レート" localSheetId="1">#REF!</definedName>
    <definedName name="実績レート">#REF!</definedName>
    <definedName name="出発">[9]支援計画・０４!$G$4:$G$171</definedName>
    <definedName name="商品群">[10]テーブル!$B$2:$B$7</definedName>
    <definedName name="生産拠点">[10]テーブル!$C$2:$C$6</definedName>
    <definedName name="対象日数" localSheetId="1">#REF!</definedName>
    <definedName name="対象日数">#REF!</definedName>
    <definedName name="担当者">[10]テーブル!$F$2:$F$24</definedName>
    <definedName name="仲介">#REF!</definedName>
    <definedName name="直販ｺｰﾄﾞ">'[4]ｺﾋﾟｰ用（直セ）'!$F$1:$AN$263</definedName>
    <definedName name="電話代補助">#REF!</definedName>
    <definedName name="到着">[9]支援計画・０４!$F$4:$F$171</definedName>
    <definedName name="日数" localSheetId="1">#REF!</definedName>
    <definedName name="日数">#REF!</definedName>
    <definedName name="日付">[9]支援計画・０４!$J$4:$CW$4</definedName>
    <definedName name="配布先">#REF!</definedName>
    <definedName name="販管費率">#REF!</definedName>
    <definedName name="比率">[11]調達計画!#REF!</definedName>
    <definedName name="品種別ｺｰﾄﾞ">'[4]ｺﾋﾟｰ用（全社）'!$F$1:$Z$245</definedName>
    <definedName name="品種別実績" localSheetId="1">#REF!</definedName>
    <definedName name="品種別実績">#REF!</definedName>
    <definedName name="品種別出荷ﾃﾞｰﾀ">'[4]ｺﾋﾟｰ用（全社）'!$E$1:$X$65536</definedName>
    <definedName name="品種別出荷ﾃﾞｰﾀ全社">'[4]ｺﾋﾟｰ用（全社）'!$E$1:$X$65536</definedName>
    <definedName name="補助部門比率" localSheetId="1">#REF!</definedName>
    <definedName name="補助部門比率">#REF!</definedName>
    <definedName name="補助部門費_設計以外181" localSheetId="1">#REF!</definedName>
    <definedName name="補助部門費_設計以外181">#REF!</definedName>
    <definedName name="補助部門費_設計以外182" localSheetId="1">#REF!</definedName>
    <definedName name="補助部門費_設計以外182">#REF!</definedName>
    <definedName name="輸入">#REF!</definedName>
    <definedName name="予算ﾚｰﾄ" localSheetId="1">#REF!</definedName>
    <definedName name="予算ﾚｰﾄ">#REF!</definedName>
    <definedName name="立上月">[10]テーブル!$D$2:$D$13</definedName>
    <definedName name="立上年">[10]テーブル!$A$2:$A$11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AC36" i="1"/>
  <c r="AC37" i="1"/>
  <c r="AC38" i="1"/>
  <c r="AC39" i="1"/>
  <c r="AC40" i="1"/>
  <c r="AC41" i="1"/>
  <c r="AC42" i="1"/>
  <c r="AC43" i="1"/>
  <c r="AC44" i="1"/>
  <c r="AC45" i="1"/>
  <c r="AC46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AB29" i="1"/>
  <c r="V29" i="1"/>
  <c r="AD43" i="1"/>
  <c r="J43" i="1"/>
  <c r="I43" i="1"/>
  <c r="N47" i="1" l="1"/>
  <c r="Y15" i="1"/>
  <c r="Y14" i="1"/>
  <c r="W12" i="1"/>
  <c r="W11" i="1"/>
  <c r="R12" i="1"/>
  <c r="R11" i="1"/>
  <c r="P47" i="1" l="1"/>
  <c r="AC47" i="1" s="1"/>
  <c r="O47" i="1"/>
  <c r="AB38" i="1"/>
  <c r="AB9" i="1"/>
  <c r="Z6" i="1"/>
  <c r="AB8" i="1"/>
  <c r="Z5" i="1"/>
  <c r="AD46" i="1" l="1"/>
  <c r="AD45" i="1"/>
  <c r="AD44" i="1"/>
  <c r="AD42" i="1"/>
  <c r="AD41" i="1"/>
  <c r="AD40" i="1"/>
  <c r="AD39" i="1"/>
  <c r="AD38" i="1"/>
  <c r="AD37" i="1"/>
  <c r="AD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AD4" i="1"/>
  <c r="AC4" i="1"/>
  <c r="AD3" i="1"/>
  <c r="AC3" i="1"/>
  <c r="AD2" i="1"/>
  <c r="AC2" i="1"/>
  <c r="AF1" i="1" l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K1" i="1"/>
  <c r="L1" i="1"/>
  <c r="M1" i="1"/>
  <c r="N1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4" i="1"/>
  <c r="J44" i="1"/>
  <c r="I45" i="1"/>
  <c r="J45" i="1"/>
  <c r="I46" i="1"/>
  <c r="J46" i="1"/>
  <c r="D2" i="1"/>
  <c r="F2" i="1"/>
  <c r="B2" i="1"/>
</calcChain>
</file>

<file path=xl/sharedStrings.xml><?xml version="1.0" encoding="utf-8"?>
<sst xmlns="http://schemas.openxmlformats.org/spreadsheetml/2006/main" count="1338" uniqueCount="564">
  <si>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</si>
  <si>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</si>
  <si>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</si>
  <si>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</si>
  <si>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</si>
  <si>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</si>
  <si>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</si>
  <si>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</si>
  <si>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</si>
  <si>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</si>
  <si>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UNIQ</t>
  </si>
  <si>
    <t>Priority Category</t>
  </si>
  <si>
    <t>BUDGET NO.</t>
  </si>
  <si>
    <t>BEX</t>
  </si>
  <si>
    <t>Accounting &amp; Finance</t>
  </si>
  <si>
    <t>SP PD- WT</t>
  </si>
  <si>
    <t>Top Management</t>
  </si>
  <si>
    <t>Salary for Director</t>
  </si>
  <si>
    <t>Staff Welfare - Welfare Others</t>
  </si>
  <si>
    <t>Staff Welfare - Outpatient (Medical)</t>
  </si>
  <si>
    <t>Travel Expense-Oversea</t>
  </si>
  <si>
    <t>Travel Expense-Domestic</t>
  </si>
  <si>
    <t>Consultancy/Professional Fee</t>
  </si>
  <si>
    <t>Transportation Fee for employee</t>
  </si>
  <si>
    <t>Entertainment</t>
  </si>
  <si>
    <t>Publishing Expense</t>
  </si>
  <si>
    <t>Expatriate expenses exclude labor cost</t>
  </si>
  <si>
    <t>Communication expenses</t>
  </si>
  <si>
    <t>House Rent Allowance</t>
  </si>
  <si>
    <t>Repair of Equipment</t>
  </si>
  <si>
    <t>B2300</t>
  </si>
  <si>
    <t>B4103</t>
  </si>
  <si>
    <t>DIR</t>
  </si>
  <si>
    <t>MFG</t>
  </si>
  <si>
    <t>MFG-7211102</t>
  </si>
  <si>
    <t>B1000</t>
  </si>
  <si>
    <t>ADM</t>
  </si>
  <si>
    <t>SGA</t>
  </si>
  <si>
    <t>SGA-7511102</t>
  </si>
  <si>
    <t>A502</t>
  </si>
  <si>
    <t>SGA-7515499</t>
  </si>
  <si>
    <t>A504</t>
  </si>
  <si>
    <t>SGA-7515401</t>
  </si>
  <si>
    <t>SGA-7651103</t>
  </si>
  <si>
    <t>A801</t>
  </si>
  <si>
    <t>SGA-7651102</t>
  </si>
  <si>
    <t>A601</t>
  </si>
  <si>
    <t>SGA-7729101</t>
  </si>
  <si>
    <t>A901</t>
  </si>
  <si>
    <t>SGA-7651101</t>
  </si>
  <si>
    <t>SGA-7661101</t>
  </si>
  <si>
    <t>A1001</t>
  </si>
  <si>
    <t>SGA-7781103</t>
  </si>
  <si>
    <t>A1099</t>
  </si>
  <si>
    <t>SGA-7781112</t>
  </si>
  <si>
    <t>SGA-7711101</t>
  </si>
  <si>
    <t>SGA-7781107</t>
  </si>
  <si>
    <t>A1006</t>
  </si>
  <si>
    <t>SGA-7519101</t>
  </si>
  <si>
    <t>SGA-7641102</t>
  </si>
  <si>
    <t>A1002</t>
  </si>
  <si>
    <t>B5007</t>
  </si>
  <si>
    <t>Continuous Improvement</t>
  </si>
  <si>
    <t>IND</t>
  </si>
  <si>
    <t>MFG-7515401</t>
  </si>
  <si>
    <t>Staff Welfare - Hospitalization</t>
  </si>
  <si>
    <t>MFG-7515402</t>
  </si>
  <si>
    <t>Staff Welfare - Kaizen &amp; QCC reward</t>
  </si>
  <si>
    <t>MFG-7515410</t>
  </si>
  <si>
    <t>MFG-7651102</t>
  </si>
  <si>
    <t>Office supply &amp; Stationary Expense</t>
  </si>
  <si>
    <t>MFG-7691000</t>
  </si>
  <si>
    <t>MFG-7711101</t>
  </si>
  <si>
    <t>IT Expense</t>
  </si>
  <si>
    <t>MFG-7711102</t>
  </si>
  <si>
    <t>MFG-7729101</t>
  </si>
  <si>
    <t>Miscellaneous Expense</t>
  </si>
  <si>
    <t>MFG-7781101</t>
  </si>
  <si>
    <t>B5000</t>
  </si>
  <si>
    <t>Plant Operation (Indirect Mfg)</t>
  </si>
  <si>
    <t>MFG-7511102</t>
  </si>
  <si>
    <t>B3100</t>
  </si>
  <si>
    <t>Sales &amp; MKTG Dept.- Automotive</t>
  </si>
  <si>
    <t>B2200</t>
  </si>
  <si>
    <t>Admin &amp; HR</t>
  </si>
  <si>
    <t>Expatriate fee Tax (BADORA)</t>
  </si>
  <si>
    <t>SGA-7781113</t>
  </si>
  <si>
    <t>MFG-7781113</t>
  </si>
  <si>
    <t>Depreciation - Right of use Assets</t>
  </si>
  <si>
    <t>SGA-7611800</t>
  </si>
  <si>
    <t>MFG-7519101</t>
  </si>
  <si>
    <t>MFG-7611800</t>
  </si>
  <si>
    <t>Audit Fee</t>
  </si>
  <si>
    <t>SGA-7721101</t>
  </si>
  <si>
    <t>SGA-7711102</t>
  </si>
  <si>
    <t>A1005</t>
  </si>
  <si>
    <t>SGA-7781101</t>
  </si>
  <si>
    <t>NGK group service fee</t>
  </si>
  <si>
    <t>MFG-7729103</t>
  </si>
  <si>
    <t>B3150</t>
  </si>
  <si>
    <t>SCM - FG WH</t>
  </si>
  <si>
    <t>SGA-7729103</t>
  </si>
  <si>
    <t>A1007</t>
  </si>
  <si>
    <t>B3130</t>
  </si>
  <si>
    <t>Sales - IAM</t>
  </si>
  <si>
    <t>B2400</t>
  </si>
  <si>
    <t>Information Technology</t>
  </si>
  <si>
    <t>B5500</t>
  </si>
  <si>
    <t>Maintenance</t>
  </si>
  <si>
    <t>B3160</t>
  </si>
  <si>
    <t>Marketing</t>
  </si>
  <si>
    <t>B5200</t>
  </si>
  <si>
    <t>Inventory Control</t>
  </si>
  <si>
    <t>SGA-7691000</t>
  </si>
  <si>
    <t>Others - Miscellaneous Tax</t>
  </si>
  <si>
    <t>B1001</t>
  </si>
  <si>
    <t>Commissioner</t>
  </si>
  <si>
    <t>Salary for Commissioner</t>
  </si>
  <si>
    <t>SGA-7511101</t>
  </si>
  <si>
    <t>B3120</t>
  </si>
  <si>
    <t>Sales - OES</t>
  </si>
  <si>
    <t>Sales - Royalty to Independence Party</t>
  </si>
  <si>
    <t>SGA-7751102</t>
  </si>
  <si>
    <t>Staff Welfare - Dental</t>
  </si>
  <si>
    <t>SGA-7515404</t>
  </si>
  <si>
    <t>Staff Welfare - Glasses</t>
  </si>
  <si>
    <t>SGA-7515403</t>
  </si>
  <si>
    <t>SGA-7515402</t>
  </si>
  <si>
    <t>Staff Welfare - Meals of canteen &amp; other meals</t>
  </si>
  <si>
    <t>SGA-7515409</t>
  </si>
  <si>
    <t>Stamp/Post Fee</t>
  </si>
  <si>
    <t>SGA-7711103</t>
  </si>
  <si>
    <t>B4101</t>
  </si>
  <si>
    <t>SP PD- CF</t>
  </si>
  <si>
    <t>Insurance Premium</t>
  </si>
  <si>
    <t>MFG-7681101</t>
  </si>
  <si>
    <t>B4102</t>
  </si>
  <si>
    <t>SP PD- CM</t>
  </si>
  <si>
    <t>B4105</t>
  </si>
  <si>
    <t>SP PD- Plating</t>
  </si>
  <si>
    <t>B4106</t>
  </si>
  <si>
    <t>SP PD- Insulator Sealing</t>
  </si>
  <si>
    <t>B4110</t>
  </si>
  <si>
    <t>SP PD- Assy</t>
  </si>
  <si>
    <t>B4114</t>
  </si>
  <si>
    <t>SP PD- Bending</t>
  </si>
  <si>
    <t>B4115</t>
  </si>
  <si>
    <t>SP-PD-Assy-Auto Assembly</t>
  </si>
  <si>
    <t>B4120</t>
  </si>
  <si>
    <t>SP PD- Final Inspection</t>
  </si>
  <si>
    <t>B4121</t>
  </si>
  <si>
    <t>SP PD- QC - OEM</t>
  </si>
  <si>
    <t>B4410</t>
  </si>
  <si>
    <t>PC PD- Injection</t>
  </si>
  <si>
    <t>B4430</t>
  </si>
  <si>
    <t>PC PD- Assy</t>
  </si>
  <si>
    <t>B4440</t>
  </si>
  <si>
    <t>PC PD- QC</t>
  </si>
  <si>
    <t>SGA-7681101</t>
  </si>
  <si>
    <t>B2210</t>
  </si>
  <si>
    <t>General Affair</t>
  </si>
  <si>
    <t>B2220</t>
  </si>
  <si>
    <t>Human Resource</t>
  </si>
  <si>
    <t>B2230</t>
  </si>
  <si>
    <t>Health, Safety &amp; Environment</t>
  </si>
  <si>
    <t>B3110</t>
  </si>
  <si>
    <t>Sales - OEM</t>
  </si>
  <si>
    <t>B5101</t>
  </si>
  <si>
    <t>Production Office (SP)</t>
  </si>
  <si>
    <t>B5130</t>
  </si>
  <si>
    <t>Supply Procurement</t>
  </si>
  <si>
    <t>B5600</t>
  </si>
  <si>
    <t>Production Engineering</t>
  </si>
  <si>
    <t>B5710</t>
  </si>
  <si>
    <t>WH Dept.- KD &amp; RM</t>
  </si>
  <si>
    <t>B5800</t>
  </si>
  <si>
    <t>Quality Assurance</t>
  </si>
  <si>
    <t>B5900</t>
  </si>
  <si>
    <t>Quality Control</t>
  </si>
  <si>
    <t>Amortization of Land &amp; Building tax (PBB)</t>
  </si>
  <si>
    <t>MFG-7671102</t>
  </si>
  <si>
    <t>SGA-7671102</t>
  </si>
  <si>
    <t>B5100</t>
  </si>
  <si>
    <t>Production Office</t>
  </si>
  <si>
    <t>Sales - Insurance of AR (Credit Insurance)</t>
  </si>
  <si>
    <t>SGA-7471201</t>
  </si>
  <si>
    <t>Sales - Insurance of Delivery or Shipment</t>
  </si>
  <si>
    <t>SGA-7411105</t>
  </si>
  <si>
    <t>License fee</t>
  </si>
  <si>
    <t>SGA-7671103</t>
  </si>
  <si>
    <t>Staff Welfare - Uniform</t>
  </si>
  <si>
    <t>MFG-7515406</t>
  </si>
  <si>
    <t>B5104</t>
  </si>
  <si>
    <t>Production Office (PC)</t>
  </si>
  <si>
    <t>SGA-7515406</t>
  </si>
  <si>
    <t>Staff Welfare - Family Gathering / Anniversary</t>
  </si>
  <si>
    <t>SGA-7515408</t>
  </si>
  <si>
    <t>MFG-7515409</t>
  </si>
  <si>
    <t>Training Expense</t>
  </si>
  <si>
    <t>Recruitment Fee</t>
  </si>
  <si>
    <t>SGA-7781111</t>
  </si>
  <si>
    <t>Others - Sport Activity</t>
  </si>
  <si>
    <t>Staff Welfare - Medical Check Up</t>
  </si>
  <si>
    <t>SGA-7515405</t>
  </si>
  <si>
    <t>Repair Building</t>
  </si>
  <si>
    <t>SGA-7641101</t>
  </si>
  <si>
    <t>Others - Miscellaneous Waste</t>
  </si>
  <si>
    <t>Others - Retribution / Garbage Cost</t>
  </si>
  <si>
    <t>Others - Miscellaneous Non Operational Expense</t>
  </si>
  <si>
    <t>Factory Supply Expense</t>
  </si>
  <si>
    <t>SGA-7641103</t>
  </si>
  <si>
    <t>MFG-7515405</t>
  </si>
  <si>
    <t>MFG-7641103</t>
  </si>
  <si>
    <t>MFG-7781107</t>
  </si>
  <si>
    <t>MFG-7651103</t>
  </si>
  <si>
    <t>MFG-7515403</t>
  </si>
  <si>
    <t>MFG-7515404</t>
  </si>
  <si>
    <t>MFG-7641102</t>
  </si>
  <si>
    <t>MFG-7641101</t>
  </si>
  <si>
    <t>Electricity Charge</t>
  </si>
  <si>
    <t>MFG-7631101</t>
  </si>
  <si>
    <t>SGA-7631101</t>
  </si>
  <si>
    <t>A1003</t>
  </si>
  <si>
    <t>Water Supply Charge</t>
  </si>
  <si>
    <t>MFG-7631102</t>
  </si>
  <si>
    <t>SGA-7631102</t>
  </si>
  <si>
    <t>A1004</t>
  </si>
  <si>
    <t>Cost of Tooling</t>
  </si>
  <si>
    <t>MFG-7221101</t>
  </si>
  <si>
    <t>Cost of Machinery parts</t>
  </si>
  <si>
    <t>MFG-7221102</t>
  </si>
  <si>
    <t>A</t>
  </si>
  <si>
    <t>MFG-7651101</t>
  </si>
  <si>
    <t>MFG-7515499</t>
  </si>
  <si>
    <t>Cost of Packaging</t>
  </si>
  <si>
    <t>MFG-7211103</t>
  </si>
  <si>
    <t>Personnel expense transferred</t>
  </si>
  <si>
    <t>MFG-7571101</t>
  </si>
  <si>
    <t>Calibration Cost</t>
  </si>
  <si>
    <t>MFG-7641104</t>
  </si>
  <si>
    <t>SGA-7451103</t>
  </si>
  <si>
    <t>B</t>
  </si>
  <si>
    <t>Advertising expenses</t>
  </si>
  <si>
    <t>SGA-7431101</t>
  </si>
  <si>
    <t>A401</t>
  </si>
  <si>
    <t>SGA-7451102</t>
  </si>
  <si>
    <t>Transportation for Goods</t>
  </si>
  <si>
    <t>SGA-7411103</t>
  </si>
  <si>
    <t>A202</t>
  </si>
  <si>
    <t>SGA-7411101</t>
  </si>
  <si>
    <t>A201</t>
  </si>
  <si>
    <t>MFG-7661101</t>
  </si>
  <si>
    <t>MFG-7781112</t>
  </si>
  <si>
    <t>MFG-7781103</t>
  </si>
  <si>
    <t>Security Guard</t>
  </si>
  <si>
    <t>Name COA AX</t>
  </si>
  <si>
    <t>COA AX</t>
  </si>
  <si>
    <t>Group Cost</t>
  </si>
  <si>
    <t>COA Budget</t>
  </si>
  <si>
    <t>Description</t>
  </si>
  <si>
    <t>Name</t>
    <phoneticPr fontId="0"/>
  </si>
  <si>
    <t>BNGK</t>
  </si>
  <si>
    <t>Code</t>
    <phoneticPr fontId="0"/>
  </si>
  <si>
    <t>Priority Code</t>
  </si>
  <si>
    <t>Priority Name</t>
  </si>
  <si>
    <t>NGK BUSI INDONESIA</t>
  </si>
  <si>
    <t>Must</t>
  </si>
  <si>
    <t>If this is not done, the company or our team cannot continue its business.</t>
  </si>
  <si>
    <t>Salary for Director &amp; Expat</t>
  </si>
  <si>
    <t>Want to</t>
  </si>
  <si>
    <t>We want to do it as a team this term. we need it.</t>
  </si>
  <si>
    <t>Staff Labor - Baslc Salary</t>
  </si>
  <si>
    <t>A501</t>
  </si>
  <si>
    <t>Basic Salary of permanent employee</t>
  </si>
  <si>
    <t>C</t>
  </si>
  <si>
    <t>Challenge</t>
  </si>
  <si>
    <t>We want to do it for this term or the future. But it doesn't matter if it's not this term.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</si>
  <si>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</si>
  <si>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</si>
  <si>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</si>
  <si>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</si>
  <si>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</si>
  <si>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</si>
  <si>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</si>
  <si>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</si>
  <si>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</si>
  <si>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</si>
  <si>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</si>
  <si>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</si>
  <si>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</si>
  <si>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</si>
  <si>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</si>
  <si>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</si>
  <si>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</si>
  <si>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</si>
  <si>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</si>
  <si>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outpatient treatment costs</t>
  </si>
  <si>
    <t>hospitalization costs</t>
  </si>
  <si>
    <t>glasses costs</t>
  </si>
  <si>
    <t>dental costs</t>
  </si>
  <si>
    <t>Medical Check Up cost</t>
  </si>
  <si>
    <t>uniform costs</t>
  </si>
  <si>
    <t>SP PD- MS Insp.</t>
  </si>
  <si>
    <t>B4109</t>
  </si>
  <si>
    <t>Staff Welfare - Safety Shoes</t>
  </si>
  <si>
    <t>Family Gathering / Anniversary</t>
  </si>
  <si>
    <t>Meals of canteen &amp; other meals cost</t>
  </si>
  <si>
    <t>an expense, arising from Kaizen and QCC acitivity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</si>
  <si>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</si>
  <si>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</si>
  <si>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</si>
  <si>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</si>
  <si>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</si>
  <si>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</si>
  <si>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</si>
  <si>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</si>
  <si>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</si>
  <si>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A506</t>
    <phoneticPr fontId="0"/>
  </si>
  <si>
    <t>Transfer Labor cost from one section into another section</t>
  </si>
  <si>
    <t>Depreciation-Building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</si>
  <si>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</si>
  <si>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</si>
  <si>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</si>
  <si>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Depreciation-Lease Machinery &amp; equipment</t>
  </si>
  <si>
    <t>the amount of depreciation of tangible assets for machinery &amp; factory equipment (Leases)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</si>
  <si>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</si>
  <si>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</si>
  <si>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</si>
  <si>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</si>
  <si>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</si>
  <si>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</si>
  <si>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the amount of depreciation of right of use assets</t>
  </si>
  <si>
    <t>Rental car</t>
  </si>
  <si>
    <t>The expenses of car rent</t>
  </si>
  <si>
    <t>Other rental fee</t>
  </si>
  <si>
    <t>A701</t>
  </si>
  <si>
    <t>The expenses of rent beside car rent, such as copy machine, dispenser, etc.</t>
  </si>
  <si>
    <t xml:space="preserve">Electricity consumption </t>
  </si>
  <si>
    <t xml:space="preserve">Water consumption </t>
  </si>
  <si>
    <t>expenses for repair and maintenance asset building</t>
  </si>
  <si>
    <t>expenses for repair and maintenance tangible assets, intangible assets and other assets beside building</t>
  </si>
  <si>
    <t xml:space="preserve">All cost that arrising to support factory acitivity </t>
  </si>
  <si>
    <t>All</t>
  </si>
  <si>
    <t>B0000</t>
  </si>
  <si>
    <t>Cost of calibration for tools and equipment of factory and others</t>
  </si>
  <si>
    <t>Gasoline of company cars &amp; expense for Local transportation</t>
  </si>
  <si>
    <t>expenses for business trip, including allowance for business trip to an employee only for domestic travel</t>
  </si>
  <si>
    <t>expenses for business trip, including allowance for business trip to an employee only for overseas travel</t>
  </si>
  <si>
    <t>the amount of expenses for the act of entertaining the business partner</t>
  </si>
  <si>
    <t>the amount of depreciation of intangible of Land &amp; Building Tax (PBB)</t>
  </si>
  <si>
    <t>The expense related with the documentation process, such as : KIR, Car lisence, company lisence, etc.</t>
  </si>
  <si>
    <t>expenses for risk management with no premium at the end of the term, such as fire insurance for plants and inventories</t>
  </si>
  <si>
    <t>the amount of supplies for office, such as stationery. Small office equipment included</t>
  </si>
  <si>
    <t>expenses for communication with a people in remote place, such as expense for telephone and postage</t>
  </si>
  <si>
    <t>the amount of supplies for IT tools</t>
  </si>
  <si>
    <t>The expenses related with stamp duty</t>
  </si>
  <si>
    <t>a fee for external auditor of accounting assessment</t>
  </si>
  <si>
    <t>a fee for professional who not only public qualification holders, such as a CPA or an attorney, but also a person or an organization with technical knowledge such as a consultant or a translator.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</si>
  <si>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</si>
  <si>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</si>
  <si>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</si>
  <si>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others operational expense</t>
  </si>
  <si>
    <t>News paper, magazine, and other publishing cost</t>
  </si>
  <si>
    <t>Cleaning Expense</t>
  </si>
  <si>
    <t>The expenses related with the tools or other for cleaning activity</t>
  </si>
  <si>
    <t>Fee for security from outsourcing company</t>
  </si>
  <si>
    <t>Service Fee (Canteen Meal &amp; other service for staff)</t>
  </si>
  <si>
    <t>Expense for canteen</t>
  </si>
  <si>
    <t>Training cost</t>
  </si>
  <si>
    <t>Cost for recruitment process</t>
  </si>
  <si>
    <t>Incidental costs related to expatriete</t>
  </si>
  <si>
    <t>Tax income from expatriete</t>
  </si>
  <si>
    <t>Freights and Export expense</t>
  </si>
  <si>
    <t>an expense, arising from export transaction such as; insurance, pallet, freight cost</t>
  </si>
  <si>
    <t>Transportion expense of local goods sales</t>
  </si>
  <si>
    <t>Packing for Sale</t>
  </si>
  <si>
    <t>A203</t>
  </si>
  <si>
    <t>Packing expense for local good sales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</si>
  <si>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</si>
  <si>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</si>
  <si>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</si>
  <si>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</si>
  <si>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</si>
  <si>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</si>
  <si>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</si>
  <si>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</si>
  <si>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</si>
  <si>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</si>
  <si>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</si>
  <si>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A299</t>
    <phoneticPr fontId="10"/>
  </si>
  <si>
    <t>Sales - Royalty to NGK Group</t>
  </si>
  <si>
    <t>Import Duty-purchased FG from NGK group</t>
  </si>
  <si>
    <t>Import Duty-purchased FG from outside supplier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</si>
  <si>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</si>
  <si>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</si>
  <si>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</si>
  <si>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</si>
  <si>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FG from outside supplier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</si>
  <si>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</si>
  <si>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</si>
  <si>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</si>
  <si>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Expense-purchased Packaging material from outside supplier</t>
  </si>
  <si>
    <t>Subcontracting Cost</t>
  </si>
  <si>
    <t>Indirect material costs</t>
  </si>
  <si>
    <t>Cost of Factory Supply</t>
  </si>
  <si>
    <t>Cost of Chemical</t>
    <phoneticPr fontId="0"/>
  </si>
  <si>
    <t>The expenses of Chemicals consumption</t>
  </si>
  <si>
    <t>Cost of Oil</t>
  </si>
  <si>
    <t>The expenses of Tooling consumption</t>
  </si>
  <si>
    <t>The expenses of Spare Parts consumption</t>
  </si>
  <si>
    <t>Casual Staff Labor</t>
  </si>
  <si>
    <t>OTH</t>
  </si>
  <si>
    <t>Other Income</t>
  </si>
  <si>
    <t>SGA-7781105</t>
  </si>
  <si>
    <t>MFG-7611100</t>
  </si>
  <si>
    <t>SGA-7611100</t>
  </si>
  <si>
    <t>MFG-7611600</t>
  </si>
  <si>
    <t>SGA-7611600</t>
  </si>
  <si>
    <t>MFG-7611300</t>
  </si>
  <si>
    <t>SGA-7611300</t>
  </si>
  <si>
    <t>MFG-7611700</t>
  </si>
  <si>
    <t>SGA-7611700</t>
  </si>
  <si>
    <t>MFG-7611500</t>
  </si>
  <si>
    <t>SGA-7611500</t>
  </si>
  <si>
    <t>MFG-7511103</t>
  </si>
  <si>
    <t>MFG-7511111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</si>
  <si>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</si>
  <si>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</si>
  <si>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</si>
  <si>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</si>
  <si>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</si>
  <si>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</si>
  <si>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</si>
  <si>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MFG-7516102</t>
  </si>
  <si>
    <t>MFG-7521101</t>
  </si>
  <si>
    <t>MFG-7521102</t>
  </si>
  <si>
    <t>SGA-7511103</t>
  </si>
  <si>
    <t>SGA-7511111</t>
  </si>
  <si>
    <t>SGA-7511121</t>
  </si>
  <si>
    <t>SGA-7511122</t>
  </si>
  <si>
    <t>SGA-7511201</t>
  </si>
  <si>
    <t>SGA-7512111</t>
  </si>
  <si>
    <t>SGA-7512112</t>
  </si>
  <si>
    <t>SGA-7514101</t>
  </si>
  <si>
    <t>SGA-7514102</t>
  </si>
  <si>
    <t>SGA-7516102</t>
  </si>
  <si>
    <t>SGA-7521101</t>
  </si>
  <si>
    <t>SGA-7521102</t>
  </si>
  <si>
    <t>MFG-7111211</t>
  </si>
  <si>
    <t>MFG-7111221</t>
  </si>
  <si>
    <t>MFG-7111222</t>
  </si>
  <si>
    <t>MFG-7111223</t>
  </si>
  <si>
    <t>MFG-7111311</t>
  </si>
  <si>
    <t>MFG-7111321</t>
  </si>
  <si>
    <t>MFG-7111322</t>
  </si>
  <si>
    <t>MFG-7111323</t>
  </si>
  <si>
    <t>SGA-7511112</t>
  </si>
  <si>
    <t>SGA-7515407</t>
  </si>
  <si>
    <t>SGA-7515410</t>
  </si>
  <si>
    <t>SGA-7571101</t>
  </si>
  <si>
    <t>SGA-7611400</t>
  </si>
  <si>
    <t>SGA-7621101</t>
  </si>
  <si>
    <t>SGA-7621199</t>
  </si>
  <si>
    <t>SGA-7641104</t>
  </si>
  <si>
    <t>SGA-7729105</t>
  </si>
  <si>
    <t>SGA-7781104</t>
  </si>
  <si>
    <t>SGA-7781106</t>
  </si>
  <si>
    <t>SGA-7411104</t>
  </si>
  <si>
    <t>SGA-7451101</t>
  </si>
  <si>
    <t>SGA-7461101</t>
  </si>
  <si>
    <t>SGA-7751101</t>
  </si>
  <si>
    <t>MFG-7111212</t>
  </si>
  <si>
    <t>MFG-7111312</t>
  </si>
  <si>
    <t>MFG-7111411</t>
  </si>
  <si>
    <t>MFG-7151101</t>
  </si>
  <si>
    <t>MFG-7200000</t>
  </si>
  <si>
    <t>MFG-7211101</t>
  </si>
  <si>
    <t>MFG-7211104</t>
  </si>
  <si>
    <t>MFG-7511101</t>
  </si>
  <si>
    <t>MFG-7511112</t>
  </si>
  <si>
    <t>MFG-7515407</t>
  </si>
  <si>
    <t>MFG-7515408</t>
  </si>
  <si>
    <t>MFG-7611400</t>
  </si>
  <si>
    <t>MFG-7621101</t>
  </si>
  <si>
    <t>MFG-7621199</t>
  </si>
  <si>
    <t>MFG-7671103</t>
  </si>
  <si>
    <t>MFG-7711103</t>
  </si>
  <si>
    <t>MFG-7721101</t>
  </si>
  <si>
    <t>MFG-7729105</t>
  </si>
  <si>
    <t>MFG-7781104</t>
  </si>
  <si>
    <t>MFG-7781105</t>
  </si>
  <si>
    <t>MFG-7781106</t>
  </si>
  <si>
    <t>MFG-7781111</t>
  </si>
  <si>
    <t>OTH-8291101</t>
  </si>
  <si>
    <t>OTH-8291102</t>
  </si>
  <si>
    <t>OTH-8291201</t>
  </si>
  <si>
    <t>OTH-8291202</t>
  </si>
  <si>
    <t>OTH-8291203</t>
  </si>
  <si>
    <t>OTH-8191101</t>
  </si>
  <si>
    <t>Sales Promotion-Activity</t>
  </si>
  <si>
    <t>Sales Promotion- Goods</t>
  </si>
  <si>
    <t>BEL</t>
  </si>
  <si>
    <t>School fee Aoki san's family</t>
    <phoneticPr fontId="9" type="noConversion"/>
  </si>
  <si>
    <t>School bus fee Aoki san's family</t>
    <phoneticPr fontId="9" type="noConversion"/>
  </si>
  <si>
    <t>Thaiand for budget hotel [2N3D]_Aoki</t>
  </si>
  <si>
    <t>Thaiand for budget daily fee [2N3D]_Aoki</t>
  </si>
  <si>
    <t>Thailand for manager meeting fright [3N4D]_Aoki</t>
  </si>
  <si>
    <t>Thaiand for manager meeting hotel [3N4D]_Aoki</t>
  </si>
  <si>
    <t>Thaiand for manager meeting daily fee [3N4D]_Aoki</t>
  </si>
  <si>
    <t>Thailand for sales meeting fright [3N4D]_Aoki</t>
  </si>
  <si>
    <t>Thaiand for sales meeting hotel [3N4D]_Aoki</t>
  </si>
  <si>
    <t>Thaiand for sales meeting daily fee [3N4D]_Aoki</t>
  </si>
  <si>
    <t>Solo fright [1N2D]_Aoki</t>
  </si>
  <si>
    <t>Solo hotel [1N2D]_Aoki</t>
  </si>
  <si>
    <t>Solo daily fee [1N2D]_Aoki</t>
  </si>
  <si>
    <t>Medan fright [1N2D]_Aoki</t>
  </si>
  <si>
    <t>Medan hotel [1N2D]_Aoki</t>
  </si>
  <si>
    <t>Medan daily fee [1N2D]_Aoki</t>
  </si>
  <si>
    <t>Parenbang fright [1N2D]_Aoki</t>
  </si>
  <si>
    <t>Parenbang hotel [1N2D]_Aoki</t>
  </si>
  <si>
    <t>Parenbang daily fee [1N2D]_Aoki</t>
  </si>
  <si>
    <t>Karimantan fright [1N2D]_Aoki</t>
  </si>
  <si>
    <t>Karimantan hotel [1N2D]_Aoki</t>
  </si>
  <si>
    <t>Karimantan daily fee [1N2D]_Aoki</t>
  </si>
  <si>
    <t>Thaiand for budget fright [2N3D]_Aoki</t>
    <phoneticPr fontId="9" type="noConversion"/>
  </si>
  <si>
    <t>Toll&amp;Parking_Aoki</t>
    <phoneticPr fontId="9" type="noConversion"/>
  </si>
  <si>
    <t>Gasoline_Aoki</t>
    <phoneticPr fontId="9" type="noConversion"/>
  </si>
  <si>
    <t>NNA Daily for BOD</t>
  </si>
  <si>
    <t>Publishing Expense</t>
    <phoneticPr fontId="28"/>
  </si>
  <si>
    <t>ADM supplier club 2022</t>
    <phoneticPr fontId="28"/>
  </si>
  <si>
    <t>The Daily Jakarta Shimbun</t>
    <phoneticPr fontId="9" type="noConversion"/>
  </si>
  <si>
    <t>Annual corporate member fee JJC</t>
    <phoneticPr fontId="29"/>
  </si>
  <si>
    <t>Annual fee for The Japanese School</t>
    <phoneticPr fontId="9" type="noConversion"/>
  </si>
  <si>
    <t>Membership Bogor Raya Golf_Aoki</t>
    <phoneticPr fontId="9" type="noConversion"/>
  </si>
  <si>
    <t>KITAS renewal exppense_Aoki</t>
    <phoneticPr fontId="9" type="noConversion"/>
  </si>
  <si>
    <t>DPKK_Aoki</t>
    <phoneticPr fontId="9" type="noConversion"/>
  </si>
  <si>
    <t>Cooperate card annual fee_BNI_Aoki</t>
    <phoneticPr fontId="9" type="noConversion"/>
  </si>
  <si>
    <t>Handphone bill &amp; Document shipment_Aoki</t>
    <phoneticPr fontId="9" type="noConversion"/>
  </si>
  <si>
    <t>Indonesia language_Aoki</t>
    <phoneticPr fontId="28"/>
  </si>
  <si>
    <t>Maintenance_Operational car</t>
    <phoneticPr fontId="28"/>
  </si>
  <si>
    <t>Annual fee_YAMAHA KAI_2022</t>
    <phoneticPr fontId="9" type="noConversion"/>
  </si>
  <si>
    <t>entertaiment golf</t>
  </si>
  <si>
    <t>entertaiment beverage for customer and NGK-G</t>
    <phoneticPr fontId="28"/>
  </si>
  <si>
    <t>Thailand for SVB fright [3N4D]_Aoki</t>
    <phoneticPr fontId="9" type="noConversion"/>
  </si>
  <si>
    <t>Thaiand for SVB hotel [3N4D]_Aoki</t>
    <phoneticPr fontId="9" type="noConversion"/>
  </si>
  <si>
    <t>Thaiand for SVB daily fee [3N4D]_Aoki</t>
    <phoneticPr fontId="9" type="noConversion"/>
  </si>
  <si>
    <t>Bundun hotel [1N2D]_Aoki</t>
    <phoneticPr fontId="9" type="noConversion"/>
  </si>
  <si>
    <t>Bundun daily fee [1N2D]_Aoki</t>
    <phoneticPr fontId="9" type="noConversion"/>
  </si>
  <si>
    <t>Indonesia language_Aoki’s family</t>
    <phoneticPr fontId="28"/>
  </si>
  <si>
    <t>Thaiand for budget fright [2N3D]_ISEKI</t>
  </si>
  <si>
    <t xml:space="preserve">Thaiand for budget hotel [2N3D]_ISEKI </t>
  </si>
  <si>
    <t xml:space="preserve">Thaiand for budget daily fee [2N3D]_ISEKI </t>
  </si>
  <si>
    <t xml:space="preserve">Thaiand for meeting fright [2N3D]_ISEKI </t>
  </si>
  <si>
    <t xml:space="preserve">Thaiand for meeting hotel [2N3D]_ISEKI </t>
  </si>
  <si>
    <t xml:space="preserve">Thaiand for meeting daily fee [2N3D]_ISEKI </t>
  </si>
  <si>
    <t>Toll&amp;Parking_ISEKI</t>
  </si>
  <si>
    <t>Gasoline_ISEKI</t>
  </si>
  <si>
    <t>Cooperate card annual fee_ISEKI</t>
  </si>
  <si>
    <t>Handphone bill &amp; Document shipment_ISEKI</t>
  </si>
  <si>
    <t>KITAS renewal exppense_ISEKI</t>
  </si>
  <si>
    <t>DPKK_ISEKI</t>
  </si>
  <si>
    <t>Entertaiment fee for cutomer_ISEKI</t>
  </si>
  <si>
    <t>IT expense</t>
  </si>
  <si>
    <t>Repair laptop_ISEKI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</si>
</sst>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6" formatCode="_(* #,##0.00_);_(* \(#,##0.00\);_(* &quot;-&quot;??_);_(@_)"/>
    <numFmt numFmtId="177" formatCode="_(* #,##0_);_(* \(#,##0\);_(* &quot;-&quot;??_);_(@_)"/>
  </numFmts>
  <fonts count="3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"/>
      <scheme val="minor"/>
    </font>
    <font>
      <b/>
      <sz val="10"/>
      <name val="游ゴシック"/>
      <family val="2"/>
      <scheme val="minor"/>
    </font>
    <font>
      <b/>
      <sz val="10"/>
      <color theme="0"/>
      <name val="游ゴシック"/>
      <family val="2"/>
      <scheme val="minor"/>
    </font>
    <font>
      <sz val="10"/>
      <name val="游ゴシック"/>
      <family val="2"/>
      <scheme val="minor"/>
    </font>
    <font>
      <sz val="10"/>
      <color indexed="8"/>
      <name val="Arial"/>
      <family val="2"/>
    </font>
    <font>
      <sz val="8"/>
      <name val="游ゴシック"/>
      <family val="2"/>
      <scheme val="minor"/>
    </font>
    <font>
      <b/>
      <sz val="15"/>
      <color theme="3"/>
      <name val="游ゴシック"/>
      <family val="2"/>
      <scheme val="minor"/>
    </font>
    <font>
      <b/>
      <sz val="10"/>
      <color rgb="FF0000FF"/>
      <name val="游ゴシック"/>
      <family val="2"/>
      <scheme val="minor"/>
    </font>
    <font>
      <sz val="10"/>
      <color rgb="FF0000FF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游ゴシック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游ゴシック"/>
      <family val="2"/>
      <scheme val="minor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4" fillId="0" borderId="0"/>
    <xf numFmtId="0" fontId="3" fillId="0" borderId="0"/>
    <xf numFmtId="17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8" fillId="0" borderId="0">
      <alignment vertical="top"/>
    </xf>
    <xf numFmtId="176" fontId="3" fillId="0" borderId="0" applyFont="0" applyFill="0" applyBorder="0" applyAlignment="0" applyProtection="0"/>
    <xf numFmtId="0" fontId="13" fillId="0" borderId="0">
      <alignment vertical="center"/>
    </xf>
    <xf numFmtId="0" fontId="21" fillId="11" borderId="0"/>
    <xf numFmtId="176" fontId="3" fillId="0" borderId="0" applyFont="0" applyFill="0" applyBorder="0" applyAlignment="0" applyProtection="0"/>
    <xf numFmtId="0" fontId="26" fillId="0" borderId="0"/>
    <xf numFmtId="176" fontId="26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27" fillId="0" borderId="0"/>
    <xf numFmtId="3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>
      <alignment vertical="center"/>
    </xf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5" fillId="2" borderId="0" xfId="1" applyFont="1" applyFill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5" fillId="2" borderId="0" xfId="3" applyNumberFormat="1" applyFont="1" applyFill="1" applyBorder="1" applyAlignment="1">
      <alignment horizontal="center" vertical="center" wrapText="1"/>
    </xf>
    <xf numFmtId="177" fontId="5" fillId="2" borderId="0" xfId="3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177" fontId="7" fillId="0" borderId="0" xfId="3" applyNumberFormat="1" applyFont="1" applyFill="1" applyBorder="1" applyAlignment="1">
      <alignment horizontal="center" vertical="center"/>
    </xf>
    <xf numFmtId="0" fontId="7" fillId="0" borderId="0" xfId="3" applyNumberFormat="1" applyFont="1" applyFill="1" applyBorder="1" applyAlignment="1">
      <alignment horizontal="center" vertical="center"/>
    </xf>
    <xf numFmtId="0" fontId="7" fillId="0" borderId="0" xfId="2" applyFont="1" applyFill="1" applyAlignment="1">
      <alignment horizontal="center" vertical="center"/>
    </xf>
    <xf numFmtId="177" fontId="5" fillId="3" borderId="0" xfId="7" applyNumberFormat="1" applyFont="1" applyFill="1" applyBorder="1" applyAlignment="1">
      <alignment horizontal="center" vertical="center" wrapText="1"/>
    </xf>
    <xf numFmtId="177" fontId="5" fillId="4" borderId="0" xfId="7" applyNumberFormat="1" applyFont="1" applyFill="1" applyBorder="1" applyAlignment="1">
      <alignment horizontal="center" vertical="center" wrapText="1"/>
    </xf>
    <xf numFmtId="177" fontId="6" fillId="5" borderId="0" xfId="7" applyNumberFormat="1" applyFont="1" applyFill="1" applyBorder="1" applyAlignment="1">
      <alignment horizontal="center" vertical="center" wrapText="1"/>
    </xf>
    <xf numFmtId="177" fontId="7" fillId="0" borderId="0" xfId="7" applyNumberFormat="1" applyFont="1" applyFill="1" applyBorder="1" applyAlignment="1">
      <alignment vertical="center"/>
    </xf>
    <xf numFmtId="0" fontId="11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4" fillId="5" borderId="0" xfId="8" applyFont="1" applyFill="1" applyAlignment="1">
      <alignment horizontal="center" vertical="center" wrapText="1"/>
    </xf>
    <xf numFmtId="0" fontId="15" fillId="8" borderId="0" xfId="8" applyFont="1" applyFill="1" applyAlignment="1">
      <alignment horizontal="center" vertical="center" wrapText="1"/>
    </xf>
    <xf numFmtId="0" fontId="16" fillId="9" borderId="0" xfId="8" applyFont="1" applyFill="1" applyAlignment="1">
      <alignment vertical="center" wrapText="1"/>
    </xf>
    <xf numFmtId="0" fontId="17" fillId="10" borderId="1" xfId="8" applyFont="1" applyFill="1" applyBorder="1" applyAlignment="1">
      <alignment horizontal="center" vertical="center"/>
    </xf>
    <xf numFmtId="0" fontId="17" fillId="5" borderId="0" xfId="8" applyFont="1" applyFill="1">
      <alignment vertical="center"/>
    </xf>
    <xf numFmtId="0" fontId="17" fillId="9" borderId="1" xfId="8" applyFont="1" applyFill="1" applyBorder="1" applyAlignment="1">
      <alignment horizontal="center" vertical="center"/>
    </xf>
    <xf numFmtId="0" fontId="18" fillId="10" borderId="1" xfId="8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16" fillId="0" borderId="0" xfId="8" applyFont="1" applyAlignment="1">
      <alignment vertical="center" wrapText="1"/>
    </xf>
    <xf numFmtId="0" fontId="19" fillId="0" borderId="0" xfId="8" applyFont="1">
      <alignment vertical="center"/>
    </xf>
    <xf numFmtId="0" fontId="19" fillId="0" borderId="0" xfId="8" applyFont="1" applyAlignment="1">
      <alignment horizontal="center" vertical="center"/>
    </xf>
    <xf numFmtId="0" fontId="20" fillId="0" borderId="0" xfId="8" applyFont="1" applyAlignment="1">
      <alignment horizontal="center" vertical="center"/>
    </xf>
    <xf numFmtId="0" fontId="20" fillId="0" borderId="0" xfId="8" applyFont="1">
      <alignment vertical="center"/>
    </xf>
    <xf numFmtId="0" fontId="19" fillId="9" borderId="0" xfId="8" applyFont="1" applyFill="1">
      <alignment vertical="center"/>
    </xf>
    <xf numFmtId="0" fontId="22" fillId="0" borderId="1" xfId="9" applyFont="1" applyFill="1" applyBorder="1" applyAlignment="1">
      <alignment vertical="center"/>
    </xf>
    <xf numFmtId="0" fontId="22" fillId="0" borderId="1" xfId="9" applyFont="1" applyFill="1" applyBorder="1" applyAlignment="1">
      <alignment horizontal="center" vertical="center"/>
    </xf>
    <xf numFmtId="0" fontId="23" fillId="0" borderId="1" xfId="8" applyFont="1" applyBorder="1">
      <alignment vertical="center"/>
    </xf>
    <xf numFmtId="0" fontId="19" fillId="0" borderId="1" xfId="8" applyFont="1" applyBorder="1">
      <alignment vertical="center"/>
    </xf>
    <xf numFmtId="0" fontId="2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4" fillId="0" borderId="0" xfId="0" applyFont="1" applyAlignment="1">
      <alignment horizontal="center" vertical="top"/>
    </xf>
    <xf numFmtId="0" fontId="24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22" fillId="0" borderId="1" xfId="8" applyFont="1" applyBorder="1">
      <alignment vertical="center"/>
    </xf>
    <xf numFmtId="0" fontId="23" fillId="6" borderId="1" xfId="9" applyFont="1" applyFill="1" applyBorder="1" applyAlignment="1">
      <alignment vertical="center"/>
    </xf>
    <xf numFmtId="0" fontId="23" fillId="6" borderId="1" xfId="9" applyFont="1" applyFill="1" applyBorder="1" applyAlignment="1">
      <alignment horizontal="center" vertical="center"/>
    </xf>
    <xf numFmtId="0" fontId="23" fillId="6" borderId="1" xfId="8" applyFont="1" applyFill="1" applyBorder="1">
      <alignment vertical="center"/>
    </xf>
    <xf numFmtId="0" fontId="19" fillId="7" borderId="0" xfId="8" applyFont="1" applyFill="1">
      <alignment vertical="center"/>
    </xf>
    <xf numFmtId="0" fontId="20" fillId="12" borderId="0" xfId="8" applyFont="1" applyFill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5" fillId="7" borderId="0" xfId="8" applyFont="1" applyFill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 wrapText="1"/>
    </xf>
    <xf numFmtId="0" fontId="12" fillId="0" borderId="0" xfId="2" applyNumberFormat="1" applyFont="1" applyAlignment="1">
      <alignment horizontal="center" vertical="center"/>
    </xf>
    <xf numFmtId="0" fontId="5" fillId="6" borderId="0" xfId="1" applyNumberFormat="1" applyFont="1" applyFill="1" applyAlignment="1">
      <alignment horizontal="right" vertical="center" wrapText="1"/>
    </xf>
    <xf numFmtId="0" fontId="5" fillId="6" borderId="0" xfId="1" applyNumberFormat="1" applyFont="1" applyFill="1" applyAlignment="1">
      <alignment horizontal="center" vertical="center" wrapText="1"/>
    </xf>
    <xf numFmtId="0" fontId="7" fillId="0" borderId="0" xfId="2" applyNumberFormat="1" applyFont="1" applyAlignment="1">
      <alignment horizontal="center" vertical="center"/>
    </xf>
    <xf numFmtId="0" fontId="7" fillId="0" borderId="0" xfId="2" applyNumberFormat="1" applyFont="1" applyAlignment="1">
      <alignment horizontal="right" vertical="center"/>
    </xf>
    <xf numFmtId="0" fontId="6" fillId="0" borderId="0" xfId="1" applyFont="1" applyAlignment="1">
      <alignment horizontal="center" vertical="center" wrapText="1"/>
    </xf>
    <xf numFmtId="0" fontId="7" fillId="0" borderId="0" xfId="4" applyFont="1" applyAlignment="1">
      <alignment vertical="top"/>
    </xf>
    <xf numFmtId="38" fontId="30" fillId="0" borderId="0" xfId="16" applyFont="1">
      <alignment vertical="center"/>
    </xf>
    <xf numFmtId="38" fontId="7" fillId="0" borderId="0" xfId="16" applyFont="1" applyAlignment="1">
      <alignment vertical="top"/>
    </xf>
    <xf numFmtId="0" fontId="30" fillId="0" borderId="0" xfId="0" applyFont="1" applyAlignment="1">
      <alignment vertical="center"/>
    </xf>
    <xf numFmtId="177" fontId="7" fillId="0" borderId="0" xfId="3" applyNumberFormat="1" applyFont="1" applyFill="1" applyBorder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NumberFormat="1" applyFont="1" applyAlignment="1">
      <alignment horizontal="right" vertical="center"/>
    </xf>
    <xf numFmtId="0" fontId="0" fillId="0" borderId="0" xfId="0"/>
    <xf numFmtId="0" fontId="7" fillId="0" borderId="0" xfId="2" applyFont="1" applyAlignment="1">
      <alignment vertical="center"/>
    </xf>
    <xf numFmtId="0" fontId="7" fillId="0" borderId="0" xfId="2" applyFont="1" applyFill="1" applyAlignment="1">
      <alignment horizontal="center" vertical="center"/>
    </xf>
    <xf numFmtId="177" fontId="7" fillId="0" borderId="0" xfId="18" applyNumberFormat="1" applyFont="1" applyFill="1" applyBorder="1" applyAlignment="1">
      <alignment vertical="center"/>
    </xf>
    <xf numFmtId="0" fontId="12" fillId="0" borderId="0" xfId="2" applyFont="1" applyFill="1" applyAlignment="1">
      <alignment horizontal="center" vertical="center"/>
    </xf>
    <xf numFmtId="0" fontId="7" fillId="0" borderId="0" xfId="2" applyNumberFormat="1" applyFont="1" applyAlignment="1">
      <alignment horizontal="center" vertical="center"/>
    </xf>
  </cellXfs>
  <cellStyles count="26">
    <cellStyle name="Comma 2" xfId="14" xr:uid="{E10D9FDB-20DE-48B4-8EC0-7BC04BCD7841}"/>
    <cellStyle name="Comma 2 2" xfId="12" xr:uid="{64725D1B-13C6-4AB0-9665-94C443150534}"/>
    <cellStyle name="Comma 2 2 2" xfId="21" xr:uid="{321176B9-83EB-4BD4-8093-DF653AB4C6F4}"/>
    <cellStyle name="Comma 2 3" xfId="23" xr:uid="{EFBF8621-8679-469C-9379-A43A09C5822C}"/>
    <cellStyle name="Comma 2 4" xfId="25" xr:uid="{D4E1E9FF-9F57-45CB-8E59-ECB97849F075}"/>
    <cellStyle name="Comma 3 2" xfId="3" xr:uid="{3560898D-4EE0-46D7-AA5F-D1E76649A006}"/>
    <cellStyle name="Comma 3 2 2" xfId="10" xr:uid="{DE1BA802-0771-4788-A6F4-9D30182DE490}"/>
    <cellStyle name="Comma 3 2 2 2" xfId="13" xr:uid="{3B59815C-0AF9-41A1-89EF-8D8B7F852D3C}"/>
    <cellStyle name="Comma 3 2 2 2 2" xfId="22" xr:uid="{9914B001-94B4-4501-9B15-C189EDDE5AA4}"/>
    <cellStyle name="Comma 3 2 2 3" xfId="20" xr:uid="{7F320465-6117-45E5-B5E9-0DD7A47738E0}"/>
    <cellStyle name="Comma 3 2 3" xfId="17" xr:uid="{56535B8C-903B-4BD9-84DF-FF996A0A330D}"/>
    <cellStyle name="Normal 11" xfId="6" xr:uid="{A9335861-4218-43F3-8E90-052A954401F7}"/>
    <cellStyle name="Normal 2" xfId="11" xr:uid="{4AE43548-A181-4128-AC71-89C704B9537B}"/>
    <cellStyle name="Normal 2 2" xfId="8" xr:uid="{209D6541-1D5D-41FF-9914-84311ABD526A}"/>
    <cellStyle name="Normal 2 2 2" xfId="15" xr:uid="{7EBF89D6-0537-4D1B-8D8F-F8073378D933}"/>
    <cellStyle name="Normal 2 2 3" xfId="19" xr:uid="{947AA698-E469-480E-867D-C33E5EED70E7}"/>
    <cellStyle name="Normal 2 2 4" xfId="24" xr:uid="{1B68089B-3895-4479-95D9-FE8B526C6270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桁区切り" xfId="16" builtinId="6"/>
    <cellStyle name="桁区切り [0.00]" xfId="7" builtinId="3"/>
    <cellStyle name="桁区切り [0.00] 2" xfId="18" xr:uid="{3863DFBD-D979-4D14-9031-1DDAA4262124}"/>
    <cellStyle name="標準" xfId="0" builtinId="0"/>
    <cellStyle name="標準 2 2" xfId="9" xr:uid="{AC0D5CAA-1594-412F-B86B-57C06222F44F}"/>
  </cellStyles>
  <dxfs count="1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DC44CB83-4E4A-45DB-800A-C09A42F8595D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PKWT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001"/>
  <sheetViews>
    <sheetView tabSelected="1" zoomScale="140" zoomScaleNormal="140" workbookViewId="0">
      <pane ySplit="1" topLeftCell="A5" activePane="bottomLeft" state="frozen"/>
      <selection activeCell="E1" sqref="E1"/>
      <selection pane="bottomLeft" activeCell="P1006" sqref="P1006"/>
    </sheetView>
  </sheetViews>
  <sheetFormatPr defaultColWidth="11.25" defaultRowHeight="15" customHeight="1" x14ac:dyDescent="0.4"/>
  <cols>
    <col min="1" max="1" width="19.125" style="6" customWidth="1"/>
    <col min="2" max="2" width="10" style="7" customWidth="1"/>
    <col min="3" max="3" width="21.25" style="6" customWidth="1"/>
    <col min="4" max="4" width="9.25" style="53" customWidth="1"/>
    <col min="5" max="5" width="30.25" style="6" bestFit="1" customWidth="1"/>
    <col min="6" max="6" width="10.375" style="16" customWidth="1"/>
    <col min="7" max="7" width="33.75" style="6" bestFit="1" customWidth="1"/>
    <col min="8" max="8" width="43.5" style="6" bestFit="1" customWidth="1"/>
    <col min="9" max="9" width="7.75" style="9" bestFit="1" customWidth="1"/>
    <col min="10" max="10" width="7.25" style="8" bestFit="1" customWidth="1"/>
    <col min="11" max="16" width="14.75" style="14" customWidth="1"/>
    <col min="17" max="17" width="17.75" style="14" customWidth="1"/>
    <col min="18" max="28" width="14.75" style="14" customWidth="1"/>
    <col min="29" max="30" width="21.25" style="14" customWidth="1"/>
    <col min="31" max="32" width="24" style="14" customWidth="1"/>
    <col min="33" max="33" width="14.25" style="56" bestFit="1" customWidth="1"/>
    <col min="34" max="34" width="22.375" style="57" customWidth="1"/>
    <col min="35" max="16384" width="11.25" style="6"/>
  </cols>
  <sheetData>
    <row r="1" spans="1:35" s="5" customFormat="1" ht="40.5" customHeight="1" x14ac:dyDescent="0.4">
      <c r="A1" s="1" t="s">
        <v>0</v>
      </c>
      <c r="B1" s="1" t="s">
        <v>1</v>
      </c>
      <c r="C1" s="1" t="s">
        <v>2</v>
      </c>
      <c r="D1" s="52" t="s">
        <v>3</v>
      </c>
      <c r="E1" s="1" t="s">
        <v>4</v>
      </c>
      <c r="F1" s="15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1" t="str">
        <f>$AI$1 &amp; "_" &amp; "10"</f>
        <v>2021_10</v>
      </c>
      <c r="L1" s="11" t="str">
        <f>$AI$1 &amp; "_" &amp; "11"</f>
        <v>2021_11</v>
      </c>
      <c r="M1" s="11" t="str">
        <f>$AI$1 &amp; "_" &amp; "12"</f>
        <v>2021_12</v>
      </c>
      <c r="N1" s="11" t="str">
        <f>$AI$1 + 1 &amp; "_" &amp; "01"</f>
        <v>2022_01</v>
      </c>
      <c r="O1" s="11" t="str">
        <f>$AI$1 + 1 &amp; "_" &amp; "02"</f>
        <v>2022_02</v>
      </c>
      <c r="P1" s="11" t="str">
        <f>$AI$1 + 1 &amp; "_" &amp; "03"</f>
        <v>2022_03</v>
      </c>
      <c r="Q1" s="12" t="str">
        <f>$AI$1 + 1 &amp; "_" &amp; "04"</f>
        <v>2022_04</v>
      </c>
      <c r="R1" s="12" t="str">
        <f>$AI$1 + 1 &amp; "_" &amp; "05"</f>
        <v>2022_05</v>
      </c>
      <c r="S1" s="12" t="str">
        <f>$AI$1 + 1 &amp; "_" &amp; "06"</f>
        <v>2022_06</v>
      </c>
      <c r="T1" s="12" t="str">
        <f>$AI$1 + 1 &amp; "_" &amp; "07"</f>
        <v>2022_07</v>
      </c>
      <c r="U1" s="12" t="str">
        <f>$AI$1 + 1 &amp; "_" &amp; "08"</f>
        <v>2022_08</v>
      </c>
      <c r="V1" s="12" t="str">
        <f>$AI$1 + 1 &amp; "_" &amp; "09"</f>
        <v>2022_09</v>
      </c>
      <c r="W1" s="12" t="str">
        <f>$AI$1 + 1 &amp; "_" &amp; "10"</f>
        <v>2022_10</v>
      </c>
      <c r="X1" s="12" t="str">
        <f>$AI$1 + 1 &amp; "_" &amp; "11"</f>
        <v>2022_11</v>
      </c>
      <c r="Y1" s="12" t="str">
        <f>$AI$1 + 1 &amp; "_" &amp; "12"</f>
        <v>2022_12</v>
      </c>
      <c r="Z1" s="12" t="str">
        <f>$AI$1 + 2 &amp; "_" &amp; "01"</f>
        <v>2023_01</v>
      </c>
      <c r="AA1" s="12" t="str">
        <f>$AI$1 + 2&amp; "_" &amp; "02"</f>
        <v>2023_02</v>
      </c>
      <c r="AB1" s="12" t="str">
        <f>$AI$1 + 2 &amp; "_" &amp; "03"</f>
        <v>2023_03</v>
      </c>
      <c r="AC1" s="13" t="str">
        <f>"TOTAL FY1" &amp; RIGHT(AI1 + 1,2)</f>
        <v>TOTAL FY122</v>
      </c>
      <c r="AD1" s="13" t="str">
        <f>"TOTAL FY1" &amp; RIGHT(AI1 + 2,2)</f>
        <v>TOTAL FY123</v>
      </c>
      <c r="AE1" s="13" t="str">
        <f>"TOTAL FY1" &amp; RIGHT(AI1 + 3,2)</f>
        <v>TOTAL FY124</v>
      </c>
      <c r="AF1" s="13" t="str">
        <f>"TOTAL FY1" &amp; RIGHT(AI1 + 4,2)</f>
        <v>TOTAL FY125</v>
      </c>
      <c r="AG1" s="55" t="s">
        <v>11</v>
      </c>
      <c r="AH1" s="54" t="s">
        <v>12</v>
      </c>
      <c r="AI1" s="58">
        <v>2021</v>
      </c>
    </row>
    <row r="2" spans="1:35" ht="15" customHeight="1" x14ac:dyDescent="0.4">
      <c r="A2" s="6" t="s">
        <v>13</v>
      </c>
      <c r="B2" s="10" t="str">
        <f>_xlfn.IFNA(VLOOKUP(C2,Master!$J:$K,2,0),"")</f>
        <v>B1000</v>
      </c>
      <c r="C2" s="6" t="s">
        <v>16</v>
      </c>
      <c r="D2" s="17" t="str">
        <f>_xlfn.IFNA(VLOOKUP(E2,Master!$J:$K,2,0),"")</f>
        <v>B1000</v>
      </c>
      <c r="E2" s="6" t="s">
        <v>16</v>
      </c>
      <c r="F2" s="17">
        <f>_xlfn.IFNA(VLOOKUP(G2,Master!B:C,2,0),"")</f>
        <v>7781112</v>
      </c>
      <c r="G2" s="6" t="s">
        <v>26</v>
      </c>
      <c r="H2" s="6" t="s">
        <v>502</v>
      </c>
      <c r="I2" s="10" t="str">
        <f>_xlfn.IFNA(VLOOKUP(E2,Master!$J:$M,4,0),"")</f>
        <v>ADM</v>
      </c>
      <c r="J2" s="10" t="str">
        <f>_xlfn.IFNA(VLOOKUP($E2,Master!$J:$M,3,0),"")</f>
        <v>SGA</v>
      </c>
      <c r="R2" s="14">
        <v>57600000</v>
      </c>
      <c r="AC2" s="14">
        <f t="shared" ref="AC2:AC65" si="0">SUM(K2:P2)</f>
        <v>0</v>
      </c>
      <c r="AD2" s="14">
        <f t="shared" ref="AD2:AD65" si="1">SUM(Q2:AB2)</f>
        <v>57600000</v>
      </c>
      <c r="AE2" s="14">
        <v>57600000</v>
      </c>
      <c r="AF2" s="14">
        <v>57600000</v>
      </c>
      <c r="AG2" s="56" t="s">
        <v>231</v>
      </c>
    </row>
    <row r="3" spans="1:35" ht="15" customHeight="1" x14ac:dyDescent="0.4">
      <c r="A3" s="68" t="s">
        <v>13</v>
      </c>
      <c r="B3" s="69" t="str">
        <f>_xlfn.IFNA(VLOOKUP(C3,Master!$J:$K,2,0),"")</f>
        <v>B1000</v>
      </c>
      <c r="C3" s="6" t="s">
        <v>16</v>
      </c>
      <c r="D3" s="71" t="str">
        <f>_xlfn.IFNA(VLOOKUP(E3,Master!$J:$K,2,0),"")</f>
        <v>B1000</v>
      </c>
      <c r="E3" s="6" t="s">
        <v>16</v>
      </c>
      <c r="F3" s="71">
        <f>_xlfn.IFNA(VLOOKUP(G3,Master!B:C,2,0),"")</f>
        <v>7781112</v>
      </c>
      <c r="G3" s="6" t="s">
        <v>26</v>
      </c>
      <c r="H3" s="6" t="s">
        <v>503</v>
      </c>
      <c r="I3" s="10" t="str">
        <f>_xlfn.IFNA(VLOOKUP(E3,Master!$J:$M,4,0),"")</f>
        <v>ADM</v>
      </c>
      <c r="J3" s="10" t="str">
        <f>_xlfn.IFNA(VLOOKUP($E3,Master!$J:$M,3,0),"")</f>
        <v>SGA</v>
      </c>
      <c r="R3" s="14">
        <v>45000000</v>
      </c>
      <c r="AC3" s="14">
        <f t="shared" si="0"/>
        <v>0</v>
      </c>
      <c r="AD3" s="14">
        <f t="shared" si="1"/>
        <v>45000000</v>
      </c>
      <c r="AE3" s="14">
        <v>45000000</v>
      </c>
      <c r="AF3" s="14">
        <v>45000000</v>
      </c>
      <c r="AG3" s="72" t="s">
        <v>231</v>
      </c>
    </row>
    <row r="4" spans="1:35" ht="15" customHeight="1" x14ac:dyDescent="0.4">
      <c r="A4" s="68" t="s">
        <v>13</v>
      </c>
      <c r="B4" s="69" t="str">
        <f>_xlfn.IFNA(VLOOKUP(C4,Master!$J:$K,2,0),"")</f>
        <v>B1000</v>
      </c>
      <c r="C4" s="6" t="s">
        <v>16</v>
      </c>
      <c r="D4" s="71" t="str">
        <f>_xlfn.IFNA(VLOOKUP(E4,Master!$J:$K,2,0),"")</f>
        <v>B1000</v>
      </c>
      <c r="E4" s="6" t="s">
        <v>16</v>
      </c>
      <c r="F4" s="71">
        <f>_xlfn.IFNA(VLOOKUP(G4,Master!B:C,2,0),"")</f>
        <v>7651103</v>
      </c>
      <c r="G4" s="6" t="s">
        <v>20</v>
      </c>
      <c r="H4" s="6" t="s">
        <v>524</v>
      </c>
      <c r="I4" s="10" t="str">
        <f>_xlfn.IFNA(VLOOKUP(E4,Master!$J:$M,4,0),"")</f>
        <v>ADM</v>
      </c>
      <c r="J4" s="10" t="str">
        <f>_xlfn.IFNA(VLOOKUP($E4,Master!$J:$M,3,0),"")</f>
        <v>SGA</v>
      </c>
      <c r="Z4" s="63">
        <v>7100000</v>
      </c>
      <c r="AC4" s="14">
        <f t="shared" si="0"/>
        <v>0</v>
      </c>
      <c r="AD4" s="14">
        <f t="shared" si="1"/>
        <v>7100000</v>
      </c>
      <c r="AE4" s="14">
        <v>7100000</v>
      </c>
      <c r="AF4" s="14">
        <v>7100000</v>
      </c>
      <c r="AG4" s="72" t="s">
        <v>231</v>
      </c>
    </row>
    <row r="5" spans="1:35" ht="15" customHeight="1" x14ac:dyDescent="0.4">
      <c r="A5" s="68" t="s">
        <v>13</v>
      </c>
      <c r="B5" s="69" t="str">
        <f>_xlfn.IFNA(VLOOKUP(C5,Master!$J:$K,2,0),"")</f>
        <v>B1000</v>
      </c>
      <c r="C5" s="6" t="s">
        <v>16</v>
      </c>
      <c r="D5" s="71" t="str">
        <f>_xlfn.IFNA(VLOOKUP(E5,Master!$J:$K,2,0),"")</f>
        <v>B1000</v>
      </c>
      <c r="E5" s="6" t="s">
        <v>16</v>
      </c>
      <c r="F5" s="71">
        <f>_xlfn.IFNA(VLOOKUP(G5,Master!B:C,2,0),"")</f>
        <v>7651103</v>
      </c>
      <c r="G5" s="6" t="s">
        <v>20</v>
      </c>
      <c r="H5" s="6" t="s">
        <v>504</v>
      </c>
      <c r="I5" s="10" t="str">
        <f>_xlfn.IFNA(VLOOKUP(E5,Master!$J:$M,4,0),"")</f>
        <v>ADM</v>
      </c>
      <c r="J5" s="10" t="str">
        <f>_xlfn.IFNA(VLOOKUP($E5,Master!$J:$M,3,0),"")</f>
        <v>SGA</v>
      </c>
      <c r="Z5" s="63">
        <f>1060000*2</f>
        <v>2120000</v>
      </c>
      <c r="AC5" s="14">
        <f t="shared" si="0"/>
        <v>0</v>
      </c>
      <c r="AD5" s="14">
        <f t="shared" si="1"/>
        <v>2120000</v>
      </c>
      <c r="AE5" s="14">
        <v>2120000</v>
      </c>
      <c r="AF5" s="14">
        <v>2120000</v>
      </c>
      <c r="AG5" s="72" t="s">
        <v>231</v>
      </c>
    </row>
    <row r="6" spans="1:35" ht="15" customHeight="1" x14ac:dyDescent="0.4">
      <c r="A6" s="68" t="s">
        <v>13</v>
      </c>
      <c r="B6" s="69" t="str">
        <f>_xlfn.IFNA(VLOOKUP(C6,Master!$J:$K,2,0),"")</f>
        <v>B1000</v>
      </c>
      <c r="C6" s="6" t="s">
        <v>16</v>
      </c>
      <c r="D6" s="71" t="str">
        <f>_xlfn.IFNA(VLOOKUP(E6,Master!$J:$K,2,0),"")</f>
        <v>B1000</v>
      </c>
      <c r="E6" s="6" t="s">
        <v>16</v>
      </c>
      <c r="F6" s="71">
        <f>_xlfn.IFNA(VLOOKUP(G6,Master!B:C,2,0),"")</f>
        <v>7651103</v>
      </c>
      <c r="G6" s="6" t="s">
        <v>20</v>
      </c>
      <c r="H6" s="6" t="s">
        <v>505</v>
      </c>
      <c r="I6" s="10" t="str">
        <f>_xlfn.IFNA(VLOOKUP(E6,Master!$J:$M,4,0),"")</f>
        <v>ADM</v>
      </c>
      <c r="J6" s="10" t="str">
        <f>_xlfn.IFNA(VLOOKUP($E6,Master!$J:$M,3,0),"")</f>
        <v>SGA</v>
      </c>
      <c r="Z6" s="63">
        <f>496202*3+170126*3</f>
        <v>1998984</v>
      </c>
      <c r="AC6" s="14">
        <f t="shared" si="0"/>
        <v>0</v>
      </c>
      <c r="AD6" s="14">
        <f t="shared" si="1"/>
        <v>1998984</v>
      </c>
      <c r="AE6" s="14">
        <v>1998984</v>
      </c>
      <c r="AF6" s="14">
        <v>1998984</v>
      </c>
      <c r="AG6" s="72" t="s">
        <v>231</v>
      </c>
    </row>
    <row r="7" spans="1:35" ht="15" customHeight="1" x14ac:dyDescent="0.4">
      <c r="A7" s="68" t="s">
        <v>13</v>
      </c>
      <c r="B7" s="69" t="str">
        <f>_xlfn.IFNA(VLOOKUP(C7,Master!$J:$K,2,0),"")</f>
        <v>B1000</v>
      </c>
      <c r="C7" s="6" t="s">
        <v>16</v>
      </c>
      <c r="D7" s="71" t="str">
        <f>_xlfn.IFNA(VLOOKUP(E7,Master!$J:$K,2,0),"")</f>
        <v>B1000</v>
      </c>
      <c r="E7" s="6" t="s">
        <v>16</v>
      </c>
      <c r="F7" s="71">
        <f>_xlfn.IFNA(VLOOKUP(G7,Master!B:C,2,0),"")</f>
        <v>7651103</v>
      </c>
      <c r="G7" s="6" t="s">
        <v>20</v>
      </c>
      <c r="H7" s="6" t="s">
        <v>506</v>
      </c>
      <c r="I7" s="10" t="str">
        <f>_xlfn.IFNA(VLOOKUP(E7,Master!$J:$M,4,0),"")</f>
        <v>ADM</v>
      </c>
      <c r="J7" s="10" t="str">
        <f>_xlfn.IFNA(VLOOKUP($E7,Master!$J:$M,3,0),"")</f>
        <v>SGA</v>
      </c>
      <c r="AB7" s="63">
        <v>7100000</v>
      </c>
      <c r="AC7" s="14">
        <f t="shared" si="0"/>
        <v>0</v>
      </c>
      <c r="AD7" s="14">
        <f t="shared" si="1"/>
        <v>7100000</v>
      </c>
      <c r="AE7" s="14">
        <v>7100000</v>
      </c>
      <c r="AF7" s="14">
        <v>7100000</v>
      </c>
      <c r="AG7" s="72" t="s">
        <v>231</v>
      </c>
    </row>
    <row r="8" spans="1:35" ht="15" customHeight="1" x14ac:dyDescent="0.4">
      <c r="A8" s="68" t="s">
        <v>13</v>
      </c>
      <c r="B8" s="69" t="str">
        <f>_xlfn.IFNA(VLOOKUP(C8,Master!$J:$K,2,0),"")</f>
        <v>B1000</v>
      </c>
      <c r="C8" s="6" t="s">
        <v>16</v>
      </c>
      <c r="D8" s="71" t="str">
        <f>_xlfn.IFNA(VLOOKUP(E8,Master!$J:$K,2,0),"")</f>
        <v>B1000</v>
      </c>
      <c r="E8" s="6" t="s">
        <v>16</v>
      </c>
      <c r="F8" s="71">
        <f>_xlfn.IFNA(VLOOKUP(G8,Master!B:C,2,0),"")</f>
        <v>7651103</v>
      </c>
      <c r="G8" s="6" t="s">
        <v>20</v>
      </c>
      <c r="H8" s="6" t="s">
        <v>507</v>
      </c>
      <c r="I8" s="10" t="str">
        <f>_xlfn.IFNA(VLOOKUP(E8,Master!$J:$M,4,0),"")</f>
        <v>ADM</v>
      </c>
      <c r="J8" s="10" t="str">
        <f>_xlfn.IFNA(VLOOKUP($E8,Master!$J:$M,3,0),"")</f>
        <v>SGA</v>
      </c>
      <c r="AB8" s="63">
        <f>1060000*3</f>
        <v>3180000</v>
      </c>
      <c r="AC8" s="14">
        <f t="shared" si="0"/>
        <v>0</v>
      </c>
      <c r="AD8" s="14">
        <f t="shared" si="1"/>
        <v>3180000</v>
      </c>
      <c r="AE8" s="14">
        <v>3180000</v>
      </c>
      <c r="AF8" s="14">
        <v>3180000</v>
      </c>
      <c r="AG8" s="72" t="s">
        <v>231</v>
      </c>
    </row>
    <row r="9" spans="1:35" ht="15" customHeight="1" x14ac:dyDescent="0.4">
      <c r="A9" s="68" t="s">
        <v>13</v>
      </c>
      <c r="B9" s="69" t="str">
        <f>_xlfn.IFNA(VLOOKUP(C9,Master!$J:$K,2,0),"")</f>
        <v>B1000</v>
      </c>
      <c r="C9" s="6" t="s">
        <v>16</v>
      </c>
      <c r="D9" s="71" t="str">
        <f>_xlfn.IFNA(VLOOKUP(E9,Master!$J:$K,2,0),"")</f>
        <v>B1000</v>
      </c>
      <c r="E9" s="6" t="s">
        <v>16</v>
      </c>
      <c r="F9" s="71">
        <f>_xlfn.IFNA(VLOOKUP(G9,Master!B:C,2,0),"")</f>
        <v>7651103</v>
      </c>
      <c r="G9" s="6" t="s">
        <v>20</v>
      </c>
      <c r="H9" s="6" t="s">
        <v>508</v>
      </c>
      <c r="I9" s="10" t="str">
        <f>_xlfn.IFNA(VLOOKUP(E9,Master!$J:$M,4,0),"")</f>
        <v>ADM</v>
      </c>
      <c r="J9" s="10" t="str">
        <f>_xlfn.IFNA(VLOOKUP($E9,Master!$J:$M,3,0),"")</f>
        <v>SGA</v>
      </c>
      <c r="AB9" s="63">
        <f>496202*4+170126*4</f>
        <v>2665312</v>
      </c>
      <c r="AC9" s="14">
        <f t="shared" si="0"/>
        <v>0</v>
      </c>
      <c r="AD9" s="14">
        <f t="shared" si="1"/>
        <v>2665312</v>
      </c>
      <c r="AE9" s="14">
        <v>2665312</v>
      </c>
      <c r="AF9" s="14">
        <v>2665312</v>
      </c>
      <c r="AG9" s="72" t="s">
        <v>231</v>
      </c>
    </row>
    <row r="10" spans="1:35" ht="15" customHeight="1" x14ac:dyDescent="0.4">
      <c r="A10" s="68" t="s">
        <v>13</v>
      </c>
      <c r="B10" s="69" t="str">
        <f>_xlfn.IFNA(VLOOKUP(C10,Master!$J:$K,2,0),"")</f>
        <v>B1000</v>
      </c>
      <c r="C10" s="6" t="s">
        <v>16</v>
      </c>
      <c r="D10" s="71" t="str">
        <f>_xlfn.IFNA(VLOOKUP(E10,Master!$J:$K,2,0),"")</f>
        <v>B1000</v>
      </c>
      <c r="E10" s="6" t="s">
        <v>16</v>
      </c>
      <c r="F10" s="71">
        <f>_xlfn.IFNA(VLOOKUP(G10,Master!B:C,2,0),"")</f>
        <v>7651103</v>
      </c>
      <c r="G10" s="6" t="s">
        <v>20</v>
      </c>
      <c r="H10" s="6" t="s">
        <v>509</v>
      </c>
      <c r="I10" s="10" t="str">
        <f>_xlfn.IFNA(VLOOKUP(E10,Master!$J:$M,4,0),"")</f>
        <v>ADM</v>
      </c>
      <c r="J10" s="10" t="str">
        <f>_xlfn.IFNA(VLOOKUP($E10,Master!$J:$M,3,0),"")</f>
        <v>SGA</v>
      </c>
      <c r="R10" s="63">
        <v>7100000</v>
      </c>
      <c r="S10" s="63"/>
      <c r="W10" s="63">
        <v>7100000</v>
      </c>
      <c r="Y10" s="63"/>
      <c r="AC10" s="14">
        <f t="shared" si="0"/>
        <v>0</v>
      </c>
      <c r="AD10" s="14">
        <f t="shared" si="1"/>
        <v>14200000</v>
      </c>
      <c r="AE10" s="14">
        <v>14200000</v>
      </c>
      <c r="AF10" s="14">
        <v>14200000</v>
      </c>
      <c r="AG10" s="72" t="s">
        <v>231</v>
      </c>
    </row>
    <row r="11" spans="1:35" ht="15" customHeight="1" x14ac:dyDescent="0.4">
      <c r="A11" s="68" t="s">
        <v>13</v>
      </c>
      <c r="B11" s="69" t="str">
        <f>_xlfn.IFNA(VLOOKUP(C11,Master!$J:$K,2,0),"")</f>
        <v>B1000</v>
      </c>
      <c r="C11" s="6" t="s">
        <v>16</v>
      </c>
      <c r="D11" s="71" t="str">
        <f>_xlfn.IFNA(VLOOKUP(E11,Master!$J:$K,2,0),"")</f>
        <v>B1000</v>
      </c>
      <c r="E11" s="6" t="s">
        <v>16</v>
      </c>
      <c r="F11" s="71">
        <f>_xlfn.IFNA(VLOOKUP(G11,Master!B:C,2,0),"")</f>
        <v>7651103</v>
      </c>
      <c r="G11" s="6" t="s">
        <v>20</v>
      </c>
      <c r="H11" s="6" t="s">
        <v>510</v>
      </c>
      <c r="I11" s="10" t="str">
        <f>_xlfn.IFNA(VLOOKUP(E11,Master!$J:$M,4,0),"")</f>
        <v>ADM</v>
      </c>
      <c r="J11" s="10" t="str">
        <f>_xlfn.IFNA(VLOOKUP($E11,Master!$J:$M,3,0),"")</f>
        <v>SGA</v>
      </c>
      <c r="R11" s="63">
        <f>1060000*3</f>
        <v>3180000</v>
      </c>
      <c r="S11" s="63"/>
      <c r="W11" s="63">
        <f>1060000*3</f>
        <v>3180000</v>
      </c>
      <c r="Y11" s="63"/>
      <c r="AC11" s="14">
        <f t="shared" si="0"/>
        <v>0</v>
      </c>
      <c r="AD11" s="14">
        <f t="shared" si="1"/>
        <v>6360000</v>
      </c>
      <c r="AE11" s="14">
        <v>6360000</v>
      </c>
      <c r="AF11" s="14">
        <v>6360000</v>
      </c>
      <c r="AG11" s="72" t="s">
        <v>231</v>
      </c>
    </row>
    <row r="12" spans="1:35" ht="15" customHeight="1" x14ac:dyDescent="0.4">
      <c r="A12" s="68" t="s">
        <v>13</v>
      </c>
      <c r="B12" s="69" t="str">
        <f>_xlfn.IFNA(VLOOKUP(C12,Master!$J:$K,2,0),"")</f>
        <v>B1000</v>
      </c>
      <c r="C12" s="6" t="s">
        <v>16</v>
      </c>
      <c r="D12" s="71" t="str">
        <f>_xlfn.IFNA(VLOOKUP(E12,Master!$J:$K,2,0),"")</f>
        <v>B1000</v>
      </c>
      <c r="E12" s="6" t="s">
        <v>16</v>
      </c>
      <c r="F12" s="71">
        <f>_xlfn.IFNA(VLOOKUP(G12,Master!B:C,2,0),"")</f>
        <v>7651103</v>
      </c>
      <c r="G12" s="6" t="s">
        <v>20</v>
      </c>
      <c r="H12" s="6" t="s">
        <v>511</v>
      </c>
      <c r="I12" s="10" t="str">
        <f>_xlfn.IFNA(VLOOKUP(E12,Master!$J:$M,4,0),"")</f>
        <v>ADM</v>
      </c>
      <c r="J12" s="10" t="str">
        <f>_xlfn.IFNA(VLOOKUP($E12,Master!$J:$M,3,0),"")</f>
        <v>SGA</v>
      </c>
      <c r="R12" s="63">
        <f>496202*4+170126*4</f>
        <v>2665312</v>
      </c>
      <c r="S12" s="63"/>
      <c r="W12" s="63">
        <f>496202*4+170126*4</f>
        <v>2665312</v>
      </c>
      <c r="Y12" s="63"/>
      <c r="AC12" s="14">
        <f t="shared" si="0"/>
        <v>0</v>
      </c>
      <c r="AD12" s="14">
        <f t="shared" si="1"/>
        <v>5330624</v>
      </c>
      <c r="AE12" s="14">
        <v>5330624</v>
      </c>
      <c r="AF12" s="14">
        <v>5330624</v>
      </c>
      <c r="AG12" s="72" t="s">
        <v>231</v>
      </c>
    </row>
    <row r="13" spans="1:35" ht="15" customHeight="1" x14ac:dyDescent="0.4">
      <c r="A13" s="68" t="s">
        <v>13</v>
      </c>
      <c r="B13" s="69" t="str">
        <f>_xlfn.IFNA(VLOOKUP(C13,Master!$J:$K,2,0),"")</f>
        <v>B1000</v>
      </c>
      <c r="C13" s="6" t="s">
        <v>16</v>
      </c>
      <c r="D13" s="71" t="str">
        <f>_xlfn.IFNA(VLOOKUP(E13,Master!$J:$K,2,0),"")</f>
        <v>B1000</v>
      </c>
      <c r="E13" s="6" t="s">
        <v>16</v>
      </c>
      <c r="F13" s="71">
        <f>_xlfn.IFNA(VLOOKUP(G13,Master!B:C,2,0),"")</f>
        <v>7651103</v>
      </c>
      <c r="G13" s="6" t="s">
        <v>20</v>
      </c>
      <c r="H13" s="6" t="s">
        <v>543</v>
      </c>
      <c r="I13" s="10" t="str">
        <f>_xlfn.IFNA(VLOOKUP(E13,Master!$J:$M,4,0),"")</f>
        <v>ADM</v>
      </c>
      <c r="J13" s="10" t="str">
        <f>_xlfn.IFNA(VLOOKUP($E13,Master!$J:$M,3,0),"")</f>
        <v>SGA</v>
      </c>
      <c r="X13" s="63"/>
      <c r="Y13" s="63">
        <v>7100000</v>
      </c>
      <c r="Z13" s="63"/>
      <c r="AC13" s="14">
        <f t="shared" si="0"/>
        <v>0</v>
      </c>
      <c r="AD13" s="14">
        <f t="shared" si="1"/>
        <v>7100000</v>
      </c>
      <c r="AE13" s="14">
        <v>7100000</v>
      </c>
      <c r="AF13" s="14">
        <v>7100000</v>
      </c>
      <c r="AG13" s="72" t="s">
        <v>231</v>
      </c>
    </row>
    <row r="14" spans="1:35" ht="15" customHeight="1" x14ac:dyDescent="0.4">
      <c r="A14" s="68" t="s">
        <v>13</v>
      </c>
      <c r="B14" s="69" t="str">
        <f>_xlfn.IFNA(VLOOKUP(C14,Master!$J:$K,2,0),"")</f>
        <v>B1000</v>
      </c>
      <c r="C14" s="6" t="s">
        <v>16</v>
      </c>
      <c r="D14" s="71" t="str">
        <f>_xlfn.IFNA(VLOOKUP(E14,Master!$J:$K,2,0),"")</f>
        <v>B1000</v>
      </c>
      <c r="E14" s="6" t="s">
        <v>16</v>
      </c>
      <c r="F14" s="71">
        <f>_xlfn.IFNA(VLOOKUP(G14,Master!B:C,2,0),"")</f>
        <v>7651103</v>
      </c>
      <c r="G14" s="6" t="s">
        <v>20</v>
      </c>
      <c r="H14" s="6" t="s">
        <v>544</v>
      </c>
      <c r="I14" s="10" t="str">
        <f>_xlfn.IFNA(VLOOKUP(E14,Master!$J:$M,4,0),"")</f>
        <v>ADM</v>
      </c>
      <c r="J14" s="10" t="str">
        <f>_xlfn.IFNA(VLOOKUP($E14,Master!$J:$M,3,0),"")</f>
        <v>SGA</v>
      </c>
      <c r="X14" s="63"/>
      <c r="Y14" s="63">
        <f>1060000*3</f>
        <v>3180000</v>
      </c>
      <c r="Z14" s="63"/>
      <c r="AC14" s="14">
        <f t="shared" si="0"/>
        <v>0</v>
      </c>
      <c r="AD14" s="14">
        <f t="shared" si="1"/>
        <v>3180000</v>
      </c>
      <c r="AE14" s="14">
        <v>3180000</v>
      </c>
      <c r="AF14" s="14">
        <v>3180000</v>
      </c>
      <c r="AG14" s="72" t="s">
        <v>231</v>
      </c>
    </row>
    <row r="15" spans="1:35" ht="15" customHeight="1" x14ac:dyDescent="0.4">
      <c r="A15" s="68" t="s">
        <v>13</v>
      </c>
      <c r="B15" s="69" t="str">
        <f>_xlfn.IFNA(VLOOKUP(C15,Master!$J:$K,2,0),"")</f>
        <v>B1000</v>
      </c>
      <c r="C15" s="6" t="s">
        <v>16</v>
      </c>
      <c r="D15" s="71" t="str">
        <f>_xlfn.IFNA(VLOOKUP(E15,Master!$J:$K,2,0),"")</f>
        <v>B1000</v>
      </c>
      <c r="E15" s="6" t="s">
        <v>16</v>
      </c>
      <c r="F15" s="71">
        <f>_xlfn.IFNA(VLOOKUP(G15,Master!B:C,2,0),"")</f>
        <v>7651103</v>
      </c>
      <c r="G15" s="6" t="s">
        <v>20</v>
      </c>
      <c r="H15" s="6" t="s">
        <v>545</v>
      </c>
      <c r="I15" s="10" t="str">
        <f>_xlfn.IFNA(VLOOKUP(E15,Master!$J:$M,4,0),"")</f>
        <v>ADM</v>
      </c>
      <c r="J15" s="10" t="str">
        <f>_xlfn.IFNA(VLOOKUP($E15,Master!$J:$M,3,0),"")</f>
        <v>SGA</v>
      </c>
      <c r="X15" s="63"/>
      <c r="Y15" s="63">
        <f>496202*4+170126*4</f>
        <v>2665312</v>
      </c>
      <c r="Z15" s="63"/>
      <c r="AC15" s="14">
        <f t="shared" si="0"/>
        <v>0</v>
      </c>
      <c r="AD15" s="14">
        <f t="shared" si="1"/>
        <v>2665312</v>
      </c>
      <c r="AE15" s="14">
        <v>2665312</v>
      </c>
      <c r="AF15" s="14">
        <v>2665312</v>
      </c>
      <c r="AG15" s="72" t="s">
        <v>231</v>
      </c>
    </row>
    <row r="16" spans="1:35" ht="15" customHeight="1" x14ac:dyDescent="0.4">
      <c r="A16" s="68" t="s">
        <v>13</v>
      </c>
      <c r="B16" s="69" t="str">
        <f>_xlfn.IFNA(VLOOKUP(C16,Master!$J:$K,2,0),"")</f>
        <v>B1000</v>
      </c>
      <c r="C16" s="6" t="s">
        <v>16</v>
      </c>
      <c r="D16" s="71" t="str">
        <f>_xlfn.IFNA(VLOOKUP(E16,Master!$J:$K,2,0),"")</f>
        <v>B1000</v>
      </c>
      <c r="E16" s="6" t="s">
        <v>16</v>
      </c>
      <c r="F16" s="71">
        <f>_xlfn.IFNA(VLOOKUP(G16,Master!B:C,2,0),"")</f>
        <v>7651102</v>
      </c>
      <c r="G16" s="6" t="s">
        <v>21</v>
      </c>
      <c r="H16" s="6" t="s">
        <v>512</v>
      </c>
      <c r="I16" s="10" t="str">
        <f>_xlfn.IFNA(VLOOKUP(E16,Master!$J:$M,4,0),"")</f>
        <v>ADM</v>
      </c>
      <c r="J16" s="10" t="str">
        <f>_xlfn.IFNA(VLOOKUP($E16,Master!$J:$M,3,0),"")</f>
        <v>SGA</v>
      </c>
      <c r="R16" s="14">
        <v>823000</v>
      </c>
      <c r="W16" s="14">
        <v>823000</v>
      </c>
      <c r="AC16" s="14">
        <f t="shared" si="0"/>
        <v>0</v>
      </c>
      <c r="AD16" s="14">
        <f t="shared" si="1"/>
        <v>1646000</v>
      </c>
      <c r="AE16" s="14">
        <v>823000</v>
      </c>
      <c r="AF16" s="14">
        <v>823000</v>
      </c>
      <c r="AG16" s="72" t="s">
        <v>231</v>
      </c>
    </row>
    <row r="17" spans="1:33" ht="15" customHeight="1" x14ac:dyDescent="0.4">
      <c r="A17" s="68" t="s">
        <v>13</v>
      </c>
      <c r="B17" s="69" t="str">
        <f>_xlfn.IFNA(VLOOKUP(C17,Master!$J:$K,2,0),"")</f>
        <v>B1000</v>
      </c>
      <c r="C17" s="6" t="s">
        <v>16</v>
      </c>
      <c r="D17" s="71" t="str">
        <f>_xlfn.IFNA(VLOOKUP(E17,Master!$J:$K,2,0),"")</f>
        <v>B1000</v>
      </c>
      <c r="E17" s="6" t="s">
        <v>16</v>
      </c>
      <c r="F17" s="71">
        <f>_xlfn.IFNA(VLOOKUP(G17,Master!B:C,2,0),"")</f>
        <v>7651102</v>
      </c>
      <c r="G17" s="6" t="s">
        <v>21</v>
      </c>
      <c r="H17" s="6" t="s">
        <v>513</v>
      </c>
      <c r="I17" s="10" t="str">
        <f>_xlfn.IFNA(VLOOKUP(E17,Master!$J:$M,4,0),"")</f>
        <v>ADM</v>
      </c>
      <c r="J17" s="10" t="str">
        <f>_xlfn.IFNA(VLOOKUP($E17,Master!$J:$M,3,0),"")</f>
        <v>SGA</v>
      </c>
      <c r="R17" s="14">
        <v>900000</v>
      </c>
      <c r="W17" s="14">
        <v>900000</v>
      </c>
      <c r="AC17" s="14">
        <f t="shared" si="0"/>
        <v>0</v>
      </c>
      <c r="AD17" s="14">
        <f t="shared" si="1"/>
        <v>1800000</v>
      </c>
      <c r="AE17" s="14">
        <v>900000</v>
      </c>
      <c r="AF17" s="14">
        <v>900000</v>
      </c>
      <c r="AG17" s="72" t="s">
        <v>231</v>
      </c>
    </row>
    <row r="18" spans="1:33" ht="15" customHeight="1" x14ac:dyDescent="0.4">
      <c r="A18" s="68" t="s">
        <v>13</v>
      </c>
      <c r="B18" s="69" t="str">
        <f>_xlfn.IFNA(VLOOKUP(C18,Master!$J:$K,2,0),"")</f>
        <v>B1000</v>
      </c>
      <c r="C18" s="6" t="s">
        <v>16</v>
      </c>
      <c r="D18" s="71" t="str">
        <f>_xlfn.IFNA(VLOOKUP(E18,Master!$J:$K,2,0),"")</f>
        <v>B1000</v>
      </c>
      <c r="E18" s="6" t="s">
        <v>16</v>
      </c>
      <c r="F18" s="71">
        <f>_xlfn.IFNA(VLOOKUP(G18,Master!B:C,2,0),"")</f>
        <v>7651102</v>
      </c>
      <c r="G18" s="6" t="s">
        <v>21</v>
      </c>
      <c r="H18" s="6" t="s">
        <v>514</v>
      </c>
      <c r="I18" s="10" t="str">
        <f>_xlfn.IFNA(VLOOKUP(E18,Master!$J:$M,4,0),"")</f>
        <v>ADM</v>
      </c>
      <c r="J18" s="10" t="str">
        <f>_xlfn.IFNA(VLOOKUP($E18,Master!$J:$M,3,0),"")</f>
        <v>SGA</v>
      </c>
      <c r="R18" s="14">
        <v>700000</v>
      </c>
      <c r="W18" s="14">
        <v>700000</v>
      </c>
      <c r="AC18" s="14">
        <f t="shared" si="0"/>
        <v>0</v>
      </c>
      <c r="AD18" s="14">
        <f t="shared" si="1"/>
        <v>1400000</v>
      </c>
      <c r="AE18" s="14">
        <v>700000</v>
      </c>
      <c r="AF18" s="14">
        <v>700000</v>
      </c>
      <c r="AG18" s="72" t="s">
        <v>231</v>
      </c>
    </row>
    <row r="19" spans="1:33" ht="15" customHeight="1" x14ac:dyDescent="0.4">
      <c r="A19" s="68" t="s">
        <v>13</v>
      </c>
      <c r="B19" s="69" t="str">
        <f>_xlfn.IFNA(VLOOKUP(C19,Master!$J:$K,2,0),"")</f>
        <v>B1000</v>
      </c>
      <c r="C19" s="6" t="s">
        <v>16</v>
      </c>
      <c r="D19" s="71" t="str">
        <f>_xlfn.IFNA(VLOOKUP(E19,Master!$J:$K,2,0),"")</f>
        <v>B1000</v>
      </c>
      <c r="E19" s="6" t="s">
        <v>16</v>
      </c>
      <c r="F19" s="71">
        <f>_xlfn.IFNA(VLOOKUP(G19,Master!B:C,2,0),"")</f>
        <v>7651102</v>
      </c>
      <c r="G19" s="6" t="s">
        <v>21</v>
      </c>
      <c r="H19" s="6" t="s">
        <v>515</v>
      </c>
      <c r="I19" s="10" t="str">
        <f>_xlfn.IFNA(VLOOKUP(E19,Master!$J:$M,4,0),"")</f>
        <v>ADM</v>
      </c>
      <c r="J19" s="10" t="str">
        <f>_xlfn.IFNA(VLOOKUP($E19,Master!$J:$M,3,0),"")</f>
        <v>SGA</v>
      </c>
      <c r="S19" s="14">
        <v>1185000</v>
      </c>
      <c r="X19" s="14">
        <v>1185000</v>
      </c>
      <c r="AC19" s="14">
        <f t="shared" si="0"/>
        <v>0</v>
      </c>
      <c r="AD19" s="14">
        <f t="shared" si="1"/>
        <v>2370000</v>
      </c>
      <c r="AE19" s="14">
        <v>1185000</v>
      </c>
      <c r="AF19" s="14">
        <v>1185000</v>
      </c>
      <c r="AG19" s="72" t="s">
        <v>231</v>
      </c>
    </row>
    <row r="20" spans="1:33" ht="15" customHeight="1" x14ac:dyDescent="0.4">
      <c r="A20" s="68" t="s">
        <v>13</v>
      </c>
      <c r="B20" s="69" t="str">
        <f>_xlfn.IFNA(VLOOKUP(C20,Master!$J:$K,2,0),"")</f>
        <v>B1000</v>
      </c>
      <c r="C20" s="6" t="s">
        <v>16</v>
      </c>
      <c r="D20" s="71" t="str">
        <f>_xlfn.IFNA(VLOOKUP(E20,Master!$J:$K,2,0),"")</f>
        <v>B1000</v>
      </c>
      <c r="E20" s="6" t="s">
        <v>16</v>
      </c>
      <c r="F20" s="71">
        <f>_xlfn.IFNA(VLOOKUP(G20,Master!B:C,2,0),"")</f>
        <v>7651102</v>
      </c>
      <c r="G20" s="6" t="s">
        <v>21</v>
      </c>
      <c r="H20" s="6" t="s">
        <v>516</v>
      </c>
      <c r="I20" s="10" t="str">
        <f>_xlfn.IFNA(VLOOKUP(E20,Master!$J:$M,4,0),"")</f>
        <v>ADM</v>
      </c>
      <c r="J20" s="10" t="str">
        <f>_xlfn.IFNA(VLOOKUP($E20,Master!$J:$M,3,0),"")</f>
        <v>SGA</v>
      </c>
      <c r="S20" s="14">
        <v>900000</v>
      </c>
      <c r="X20" s="14">
        <v>900000</v>
      </c>
      <c r="AC20" s="14">
        <f t="shared" si="0"/>
        <v>0</v>
      </c>
      <c r="AD20" s="14">
        <f t="shared" si="1"/>
        <v>1800000</v>
      </c>
      <c r="AE20" s="14">
        <v>900000</v>
      </c>
      <c r="AF20" s="14">
        <v>900000</v>
      </c>
      <c r="AG20" s="72" t="s">
        <v>231</v>
      </c>
    </row>
    <row r="21" spans="1:33" ht="15" customHeight="1" x14ac:dyDescent="0.4">
      <c r="A21" s="68" t="s">
        <v>13</v>
      </c>
      <c r="B21" s="69" t="str">
        <f>_xlfn.IFNA(VLOOKUP(C21,Master!$J:$K,2,0),"")</f>
        <v>B1000</v>
      </c>
      <c r="C21" s="6" t="s">
        <v>16</v>
      </c>
      <c r="D21" s="71" t="str">
        <f>_xlfn.IFNA(VLOOKUP(E21,Master!$J:$K,2,0),"")</f>
        <v>B1000</v>
      </c>
      <c r="E21" s="6" t="s">
        <v>16</v>
      </c>
      <c r="F21" s="71">
        <f>_xlfn.IFNA(VLOOKUP(G21,Master!B:C,2,0),"")</f>
        <v>7651102</v>
      </c>
      <c r="G21" s="6" t="s">
        <v>21</v>
      </c>
      <c r="H21" s="6" t="s">
        <v>517</v>
      </c>
      <c r="I21" s="10" t="str">
        <f>_xlfn.IFNA(VLOOKUP(E21,Master!$J:$M,4,0),"")</f>
        <v>ADM</v>
      </c>
      <c r="J21" s="10" t="str">
        <f>_xlfn.IFNA(VLOOKUP($E21,Master!$J:$M,3,0),"")</f>
        <v>SGA</v>
      </c>
      <c r="S21" s="14">
        <v>700000</v>
      </c>
      <c r="X21" s="14">
        <v>700000</v>
      </c>
      <c r="AC21" s="14">
        <f t="shared" si="0"/>
        <v>0</v>
      </c>
      <c r="AD21" s="14">
        <f t="shared" si="1"/>
        <v>1400000</v>
      </c>
      <c r="AE21" s="14">
        <v>700000</v>
      </c>
      <c r="AF21" s="14">
        <v>700000</v>
      </c>
      <c r="AG21" s="72" t="s">
        <v>231</v>
      </c>
    </row>
    <row r="22" spans="1:33" ht="15" customHeight="1" x14ac:dyDescent="0.4">
      <c r="A22" s="68" t="s">
        <v>13</v>
      </c>
      <c r="B22" s="69" t="str">
        <f>_xlfn.IFNA(VLOOKUP(C22,Master!$J:$K,2,0),"")</f>
        <v>B1000</v>
      </c>
      <c r="C22" s="6" t="s">
        <v>16</v>
      </c>
      <c r="D22" s="71" t="str">
        <f>_xlfn.IFNA(VLOOKUP(E22,Master!$J:$K,2,0),"")</f>
        <v>B1000</v>
      </c>
      <c r="E22" s="6" t="s">
        <v>16</v>
      </c>
      <c r="F22" s="71">
        <f>_xlfn.IFNA(VLOOKUP(G22,Master!B:C,2,0),"")</f>
        <v>7651102</v>
      </c>
      <c r="G22" s="6" t="s">
        <v>21</v>
      </c>
      <c r="H22" s="6" t="s">
        <v>518</v>
      </c>
      <c r="I22" s="10" t="str">
        <f>_xlfn.IFNA(VLOOKUP(E22,Master!$J:$M,4,0),"")</f>
        <v>ADM</v>
      </c>
      <c r="J22" s="10" t="str">
        <f>_xlfn.IFNA(VLOOKUP($E22,Master!$J:$M,3,0),"")</f>
        <v>SGA</v>
      </c>
      <c r="T22" s="14">
        <v>838000</v>
      </c>
      <c r="Y22" s="14">
        <v>838000</v>
      </c>
      <c r="AC22" s="14">
        <f t="shared" si="0"/>
        <v>0</v>
      </c>
      <c r="AD22" s="14">
        <f t="shared" si="1"/>
        <v>1676000</v>
      </c>
      <c r="AE22" s="14">
        <v>838000</v>
      </c>
      <c r="AF22" s="14">
        <v>838000</v>
      </c>
      <c r="AG22" s="72" t="s">
        <v>231</v>
      </c>
    </row>
    <row r="23" spans="1:33" ht="15" customHeight="1" x14ac:dyDescent="0.4">
      <c r="A23" s="68" t="s">
        <v>13</v>
      </c>
      <c r="B23" s="69" t="str">
        <f>_xlfn.IFNA(VLOOKUP(C23,Master!$J:$K,2,0),"")</f>
        <v>B1000</v>
      </c>
      <c r="C23" s="6" t="s">
        <v>16</v>
      </c>
      <c r="D23" s="71" t="str">
        <f>_xlfn.IFNA(VLOOKUP(E23,Master!$J:$K,2,0),"")</f>
        <v>B1000</v>
      </c>
      <c r="E23" s="6" t="s">
        <v>16</v>
      </c>
      <c r="F23" s="71">
        <f>_xlfn.IFNA(VLOOKUP(G23,Master!B:C,2,0),"")</f>
        <v>7651102</v>
      </c>
      <c r="G23" s="6" t="s">
        <v>21</v>
      </c>
      <c r="H23" s="6" t="s">
        <v>519</v>
      </c>
      <c r="I23" s="10" t="str">
        <f>_xlfn.IFNA(VLOOKUP(E23,Master!$J:$M,4,0),"")</f>
        <v>ADM</v>
      </c>
      <c r="J23" s="10" t="str">
        <f>_xlfn.IFNA(VLOOKUP($E23,Master!$J:$M,3,0),"")</f>
        <v>SGA</v>
      </c>
      <c r="T23" s="14">
        <v>900000</v>
      </c>
      <c r="Y23" s="14">
        <v>900000</v>
      </c>
      <c r="AC23" s="14">
        <f t="shared" si="0"/>
        <v>0</v>
      </c>
      <c r="AD23" s="14">
        <f t="shared" si="1"/>
        <v>1800000</v>
      </c>
      <c r="AE23" s="14">
        <v>900000</v>
      </c>
      <c r="AF23" s="14">
        <v>900000</v>
      </c>
      <c r="AG23" s="72" t="s">
        <v>231</v>
      </c>
    </row>
    <row r="24" spans="1:33" ht="15" customHeight="1" x14ac:dyDescent="0.4">
      <c r="A24" s="68" t="s">
        <v>13</v>
      </c>
      <c r="B24" s="69" t="str">
        <f>_xlfn.IFNA(VLOOKUP(C24,Master!$J:$K,2,0),"")</f>
        <v>B1000</v>
      </c>
      <c r="C24" s="6" t="s">
        <v>16</v>
      </c>
      <c r="D24" s="71" t="str">
        <f>_xlfn.IFNA(VLOOKUP(E24,Master!$J:$K,2,0),"")</f>
        <v>B1000</v>
      </c>
      <c r="E24" s="6" t="s">
        <v>16</v>
      </c>
      <c r="F24" s="71">
        <f>_xlfn.IFNA(VLOOKUP(G24,Master!B:C,2,0),"")</f>
        <v>7651102</v>
      </c>
      <c r="G24" s="6" t="s">
        <v>21</v>
      </c>
      <c r="H24" s="6" t="s">
        <v>520</v>
      </c>
      <c r="I24" s="10" t="str">
        <f>_xlfn.IFNA(VLOOKUP(E24,Master!$J:$M,4,0),"")</f>
        <v>ADM</v>
      </c>
      <c r="J24" s="10" t="str">
        <f>_xlfn.IFNA(VLOOKUP($E24,Master!$J:$M,3,0),"")</f>
        <v>SGA</v>
      </c>
      <c r="T24" s="14">
        <v>700000</v>
      </c>
      <c r="Y24" s="14">
        <v>700000</v>
      </c>
      <c r="AC24" s="14">
        <f t="shared" si="0"/>
        <v>0</v>
      </c>
      <c r="AD24" s="14">
        <f t="shared" si="1"/>
        <v>1400000</v>
      </c>
      <c r="AE24" s="14">
        <v>700000</v>
      </c>
      <c r="AF24" s="14">
        <v>700000</v>
      </c>
      <c r="AG24" s="72" t="s">
        <v>231</v>
      </c>
    </row>
    <row r="25" spans="1:33" ht="15" customHeight="1" x14ac:dyDescent="0.4">
      <c r="A25" s="68" t="s">
        <v>13</v>
      </c>
      <c r="B25" s="69" t="str">
        <f>_xlfn.IFNA(VLOOKUP(C25,Master!$J:$K,2,0),"")</f>
        <v>B1000</v>
      </c>
      <c r="C25" s="6" t="s">
        <v>16</v>
      </c>
      <c r="D25" s="71" t="str">
        <f>_xlfn.IFNA(VLOOKUP(E25,Master!$J:$K,2,0),"")</f>
        <v>B1000</v>
      </c>
      <c r="E25" s="6" t="s">
        <v>16</v>
      </c>
      <c r="F25" s="71">
        <f>_xlfn.IFNA(VLOOKUP(G25,Master!B:C,2,0),"")</f>
        <v>7651102</v>
      </c>
      <c r="G25" s="6" t="s">
        <v>21</v>
      </c>
      <c r="H25" s="6" t="s">
        <v>521</v>
      </c>
      <c r="I25" s="10" t="str">
        <f>_xlfn.IFNA(VLOOKUP(E25,Master!$J:$M,4,0),"")</f>
        <v>ADM</v>
      </c>
      <c r="J25" s="10" t="str">
        <f>_xlfn.IFNA(VLOOKUP($E25,Master!$J:$M,3,0),"")</f>
        <v>SGA</v>
      </c>
      <c r="U25" s="14">
        <v>1092000</v>
      </c>
      <c r="AA25" s="14">
        <v>1092000</v>
      </c>
      <c r="AC25" s="14">
        <f t="shared" si="0"/>
        <v>0</v>
      </c>
      <c r="AD25" s="14">
        <f t="shared" si="1"/>
        <v>2184000</v>
      </c>
      <c r="AE25" s="14">
        <v>1092000</v>
      </c>
      <c r="AF25" s="14">
        <v>1092000</v>
      </c>
      <c r="AG25" s="72" t="s">
        <v>231</v>
      </c>
    </row>
    <row r="26" spans="1:33" ht="15" customHeight="1" x14ac:dyDescent="0.4">
      <c r="A26" s="68" t="s">
        <v>13</v>
      </c>
      <c r="B26" s="69" t="str">
        <f>_xlfn.IFNA(VLOOKUP(C26,Master!$J:$K,2,0),"")</f>
        <v>B1000</v>
      </c>
      <c r="C26" s="6" t="s">
        <v>16</v>
      </c>
      <c r="D26" s="71" t="str">
        <f>_xlfn.IFNA(VLOOKUP(E26,Master!$J:$K,2,0),"")</f>
        <v>B1000</v>
      </c>
      <c r="E26" s="6" t="s">
        <v>16</v>
      </c>
      <c r="F26" s="71">
        <f>_xlfn.IFNA(VLOOKUP(G26,Master!B:C,2,0),"")</f>
        <v>7651102</v>
      </c>
      <c r="G26" s="6" t="s">
        <v>21</v>
      </c>
      <c r="H26" s="6" t="s">
        <v>522</v>
      </c>
      <c r="I26" s="10" t="str">
        <f>_xlfn.IFNA(VLOOKUP(E26,Master!$J:$M,4,0),"")</f>
        <v>ADM</v>
      </c>
      <c r="J26" s="10" t="str">
        <f>_xlfn.IFNA(VLOOKUP($E26,Master!$J:$M,3,0),"")</f>
        <v>SGA</v>
      </c>
      <c r="U26" s="14">
        <v>900000</v>
      </c>
      <c r="AA26" s="14">
        <v>900000</v>
      </c>
      <c r="AC26" s="14">
        <f t="shared" si="0"/>
        <v>0</v>
      </c>
      <c r="AD26" s="14">
        <f t="shared" si="1"/>
        <v>1800000</v>
      </c>
      <c r="AE26" s="14">
        <v>900000</v>
      </c>
      <c r="AF26" s="14">
        <v>900000</v>
      </c>
      <c r="AG26" s="72" t="s">
        <v>231</v>
      </c>
    </row>
    <row r="27" spans="1:33" ht="15" customHeight="1" x14ac:dyDescent="0.4">
      <c r="A27" s="68" t="s">
        <v>13</v>
      </c>
      <c r="B27" s="69" t="str">
        <f>_xlfn.IFNA(VLOOKUP(C27,Master!$J:$K,2,0),"")</f>
        <v>B1000</v>
      </c>
      <c r="C27" s="6" t="s">
        <v>16</v>
      </c>
      <c r="D27" s="71" t="str">
        <f>_xlfn.IFNA(VLOOKUP(E27,Master!$J:$K,2,0),"")</f>
        <v>B1000</v>
      </c>
      <c r="E27" s="6" t="s">
        <v>16</v>
      </c>
      <c r="F27" s="71">
        <f>_xlfn.IFNA(VLOOKUP(G27,Master!B:C,2,0),"")</f>
        <v>7651102</v>
      </c>
      <c r="G27" s="6" t="s">
        <v>21</v>
      </c>
      <c r="H27" s="6" t="s">
        <v>523</v>
      </c>
      <c r="I27" s="10" t="str">
        <f>_xlfn.IFNA(VLOOKUP(E27,Master!$J:$M,4,0),"")</f>
        <v>ADM</v>
      </c>
      <c r="J27" s="10" t="str">
        <f>_xlfn.IFNA(VLOOKUP($E27,Master!$J:$M,3,0),"")</f>
        <v>SGA</v>
      </c>
      <c r="U27" s="14">
        <v>700000</v>
      </c>
      <c r="AA27" s="14">
        <v>700000</v>
      </c>
      <c r="AC27" s="14">
        <f t="shared" si="0"/>
        <v>0</v>
      </c>
      <c r="AD27" s="14">
        <f t="shared" si="1"/>
        <v>1400000</v>
      </c>
      <c r="AE27" s="14">
        <v>700000</v>
      </c>
      <c r="AF27" s="14">
        <v>700000</v>
      </c>
      <c r="AG27" s="72" t="s">
        <v>231</v>
      </c>
    </row>
    <row r="28" spans="1:33" ht="15" customHeight="1" x14ac:dyDescent="0.4">
      <c r="A28" s="68" t="s">
        <v>13</v>
      </c>
      <c r="B28" s="69" t="str">
        <f>_xlfn.IFNA(VLOOKUP(C28,Master!$J:$K,2,0),"")</f>
        <v>B1000</v>
      </c>
      <c r="C28" s="6" t="s">
        <v>16</v>
      </c>
      <c r="D28" s="71" t="str">
        <f>_xlfn.IFNA(VLOOKUP(E28,Master!$J:$K,2,0),"")</f>
        <v>B1000</v>
      </c>
      <c r="E28" s="6" t="s">
        <v>16</v>
      </c>
      <c r="F28" s="71">
        <f>_xlfn.IFNA(VLOOKUP(G28,Master!B:C,2,0),"")</f>
        <v>7651102</v>
      </c>
      <c r="G28" s="6" t="s">
        <v>21</v>
      </c>
      <c r="H28" s="6" t="s">
        <v>546</v>
      </c>
      <c r="I28" s="10" t="str">
        <f>_xlfn.IFNA(VLOOKUP(E28,Master!$J:$M,4,0),"")</f>
        <v>ADM</v>
      </c>
      <c r="J28" s="10" t="str">
        <f>_xlfn.IFNA(VLOOKUP($E28,Master!$J:$M,3,0),"")</f>
        <v>SGA</v>
      </c>
      <c r="S28" s="63"/>
      <c r="V28" s="63">
        <v>900000</v>
      </c>
      <c r="X28" s="63"/>
      <c r="AB28" s="63">
        <v>900000</v>
      </c>
      <c r="AC28" s="14">
        <f t="shared" si="0"/>
        <v>0</v>
      </c>
      <c r="AD28" s="14">
        <f t="shared" si="1"/>
        <v>1800000</v>
      </c>
      <c r="AE28" s="14">
        <v>900000</v>
      </c>
      <c r="AF28" s="14">
        <v>900000</v>
      </c>
      <c r="AG28" s="72" t="s">
        <v>231</v>
      </c>
    </row>
    <row r="29" spans="1:33" ht="15" customHeight="1" x14ac:dyDescent="0.4">
      <c r="A29" s="68" t="s">
        <v>13</v>
      </c>
      <c r="B29" s="69" t="str">
        <f>_xlfn.IFNA(VLOOKUP(C29,Master!$J:$K,2,0),"")</f>
        <v>B1000</v>
      </c>
      <c r="C29" s="6" t="s">
        <v>16</v>
      </c>
      <c r="D29" s="71" t="str">
        <f>_xlfn.IFNA(VLOOKUP(E29,Master!$J:$K,2,0),"")</f>
        <v>B1000</v>
      </c>
      <c r="E29" s="6" t="s">
        <v>16</v>
      </c>
      <c r="F29" s="71">
        <f>_xlfn.IFNA(VLOOKUP(G29,Master!B:C,2,0),"")</f>
        <v>7651102</v>
      </c>
      <c r="G29" s="6" t="s">
        <v>21</v>
      </c>
      <c r="H29" s="6" t="s">
        <v>547</v>
      </c>
      <c r="I29" s="10" t="str">
        <f>_xlfn.IFNA(VLOOKUP(E29,Master!$J:$M,4,0),"")</f>
        <v>ADM</v>
      </c>
      <c r="J29" s="10" t="str">
        <f>_xlfn.IFNA(VLOOKUP($E29,Master!$J:$M,3,0),"")</f>
        <v>SGA</v>
      </c>
      <c r="S29" s="63"/>
      <c r="V29" s="63">
        <f>300000*2+50000*2</f>
        <v>700000</v>
      </c>
      <c r="X29" s="63"/>
      <c r="AB29" s="63">
        <f>300000*2+50000*2</f>
        <v>700000</v>
      </c>
      <c r="AC29" s="14">
        <f t="shared" si="0"/>
        <v>0</v>
      </c>
      <c r="AD29" s="14">
        <f t="shared" si="1"/>
        <v>1400000</v>
      </c>
      <c r="AE29" s="14">
        <v>700000</v>
      </c>
      <c r="AF29" s="14">
        <v>700000</v>
      </c>
      <c r="AG29" s="72" t="s">
        <v>231</v>
      </c>
    </row>
    <row r="30" spans="1:33" ht="15" customHeight="1" x14ac:dyDescent="0.4">
      <c r="A30" s="68" t="s">
        <v>13</v>
      </c>
      <c r="B30" s="69" t="str">
        <f>_xlfn.IFNA(VLOOKUP(C30,Master!$J:$K,2,0),"")</f>
        <v>B1000</v>
      </c>
      <c r="C30" s="64" t="s">
        <v>16</v>
      </c>
      <c r="D30" s="71" t="str">
        <f>_xlfn.IFNA(VLOOKUP(E30,Master!$J:$K,2,0),"")</f>
        <v>B1000</v>
      </c>
      <c r="E30" s="64" t="s">
        <v>16</v>
      </c>
      <c r="F30" s="71">
        <f>_xlfn.IFNA(VLOOKUP(G30,Master!B:C,2,0),"")</f>
        <v>7651101</v>
      </c>
      <c r="G30" s="64" t="s">
        <v>23</v>
      </c>
      <c r="H30" s="64" t="s">
        <v>525</v>
      </c>
      <c r="I30" s="10" t="str">
        <f>_xlfn.IFNA(VLOOKUP(E30,Master!$J:$M,4,0),"")</f>
        <v>ADM</v>
      </c>
      <c r="J30" s="10" t="str">
        <f>_xlfn.IFNA(VLOOKUP($E30,Master!$J:$M,3,0),"")</f>
        <v>SGA</v>
      </c>
      <c r="K30" s="14">
        <v>2000000</v>
      </c>
      <c r="L30" s="14">
        <v>2000000</v>
      </c>
      <c r="M30" s="14">
        <v>2000000</v>
      </c>
      <c r="N30" s="14">
        <v>2000000</v>
      </c>
      <c r="O30" s="14">
        <v>2000000</v>
      </c>
      <c r="P30" s="14">
        <v>2000000</v>
      </c>
      <c r="Q30" s="14">
        <v>2000000</v>
      </c>
      <c r="R30" s="14">
        <v>2000000</v>
      </c>
      <c r="S30" s="14">
        <v>2000000</v>
      </c>
      <c r="T30" s="14">
        <v>2000000</v>
      </c>
      <c r="U30" s="14">
        <v>2000000</v>
      </c>
      <c r="V30" s="14">
        <v>2000000</v>
      </c>
      <c r="W30" s="14">
        <v>2000000</v>
      </c>
      <c r="X30" s="14">
        <v>2000000</v>
      </c>
      <c r="Y30" s="14">
        <v>2000000</v>
      </c>
      <c r="Z30" s="14">
        <v>2000000</v>
      </c>
      <c r="AA30" s="14">
        <v>2000000</v>
      </c>
      <c r="AB30" s="14">
        <v>2000000</v>
      </c>
      <c r="AC30" s="14">
        <f t="shared" si="0"/>
        <v>12000000</v>
      </c>
      <c r="AD30" s="14">
        <f t="shared" si="1"/>
        <v>24000000</v>
      </c>
      <c r="AE30" s="14">
        <v>24000000</v>
      </c>
      <c r="AF30" s="14">
        <v>24000000</v>
      </c>
      <c r="AG30" s="72" t="s">
        <v>231</v>
      </c>
    </row>
    <row r="31" spans="1:33" ht="15" customHeight="1" x14ac:dyDescent="0.4">
      <c r="A31" s="68" t="s">
        <v>13</v>
      </c>
      <c r="B31" s="69" t="str">
        <f>_xlfn.IFNA(VLOOKUP(C31,Master!$J:$K,2,0),"")</f>
        <v>B1000</v>
      </c>
      <c r="C31" s="64" t="s">
        <v>16</v>
      </c>
      <c r="D31" s="71" t="str">
        <f>_xlfn.IFNA(VLOOKUP(E31,Master!$J:$K,2,0),"")</f>
        <v>B1000</v>
      </c>
      <c r="E31" s="64" t="s">
        <v>16</v>
      </c>
      <c r="F31" s="71">
        <f>_xlfn.IFNA(VLOOKUP(G31,Master!B:C,2,0),"")</f>
        <v>7651101</v>
      </c>
      <c r="G31" s="64" t="s">
        <v>23</v>
      </c>
      <c r="H31" s="64" t="s">
        <v>526</v>
      </c>
      <c r="I31" s="10" t="str">
        <f>_xlfn.IFNA(VLOOKUP(E31,Master!$J:$M,4,0),"")</f>
        <v>ADM</v>
      </c>
      <c r="J31" s="10" t="str">
        <f>_xlfn.IFNA(VLOOKUP($E31,Master!$J:$M,3,0),"")</f>
        <v>SGA</v>
      </c>
      <c r="K31" s="14">
        <v>2000000</v>
      </c>
      <c r="L31" s="14">
        <v>2000000</v>
      </c>
      <c r="M31" s="14">
        <v>2000000</v>
      </c>
      <c r="N31" s="14">
        <v>2000000</v>
      </c>
      <c r="O31" s="14">
        <v>2000000</v>
      </c>
      <c r="P31" s="14">
        <v>2000000</v>
      </c>
      <c r="Q31" s="14">
        <v>2000000</v>
      </c>
      <c r="R31" s="14">
        <v>2000000</v>
      </c>
      <c r="S31" s="14">
        <v>2000000</v>
      </c>
      <c r="T31" s="14">
        <v>2000000</v>
      </c>
      <c r="U31" s="14">
        <v>2000000</v>
      </c>
      <c r="V31" s="14">
        <v>2000000</v>
      </c>
      <c r="W31" s="14">
        <v>2000000</v>
      </c>
      <c r="X31" s="14">
        <v>2000000</v>
      </c>
      <c r="Y31" s="14">
        <v>2000000</v>
      </c>
      <c r="Z31" s="14">
        <v>2000000</v>
      </c>
      <c r="AA31" s="14">
        <v>2000000</v>
      </c>
      <c r="AB31" s="14">
        <v>2000000</v>
      </c>
      <c r="AC31" s="14">
        <f t="shared" si="0"/>
        <v>12000000</v>
      </c>
      <c r="AD31" s="14">
        <f t="shared" si="1"/>
        <v>24000000</v>
      </c>
      <c r="AE31" s="14">
        <v>24000000</v>
      </c>
      <c r="AF31" s="14">
        <v>24000000</v>
      </c>
      <c r="AG31" s="72" t="s">
        <v>231</v>
      </c>
    </row>
    <row r="32" spans="1:33" ht="15" customHeight="1" x14ac:dyDescent="0.4">
      <c r="A32" s="68" t="s">
        <v>13</v>
      </c>
      <c r="B32" s="69" t="str">
        <f>_xlfn.IFNA(VLOOKUP(C32,Master!$J:$K,2,0),"")</f>
        <v>B1000</v>
      </c>
      <c r="C32" s="64" t="s">
        <v>16</v>
      </c>
      <c r="D32" s="71" t="str">
        <f>_xlfn.IFNA(VLOOKUP(E32,Master!$J:$K,2,0),"")</f>
        <v>B1000</v>
      </c>
      <c r="E32" s="64" t="s">
        <v>16</v>
      </c>
      <c r="F32" s="71">
        <f>_xlfn.IFNA(VLOOKUP(G32,Master!B:C,2,0),"")</f>
        <v>7781103</v>
      </c>
      <c r="G32" s="59" t="s">
        <v>528</v>
      </c>
      <c r="H32" s="59" t="s">
        <v>527</v>
      </c>
      <c r="I32" s="10" t="str">
        <f>_xlfn.IFNA(VLOOKUP(E32,Master!$J:$M,4,0),"")</f>
        <v>ADM</v>
      </c>
      <c r="J32" s="10" t="str">
        <f>_xlfn.IFNA(VLOOKUP($E32,Master!$J:$M,3,0),"")</f>
        <v>SGA</v>
      </c>
      <c r="K32" s="61">
        <v>2160000</v>
      </c>
      <c r="L32" s="61">
        <v>2160000</v>
      </c>
      <c r="M32" s="61">
        <v>2160000</v>
      </c>
      <c r="N32" s="61">
        <v>2160000</v>
      </c>
      <c r="O32" s="61">
        <v>2160000</v>
      </c>
      <c r="P32" s="61">
        <v>2160000</v>
      </c>
      <c r="Q32" s="61">
        <v>2160000</v>
      </c>
      <c r="R32" s="61">
        <v>2160000</v>
      </c>
      <c r="S32" s="61">
        <v>2160000</v>
      </c>
      <c r="T32" s="61">
        <v>2160000</v>
      </c>
      <c r="U32" s="61">
        <v>2160000</v>
      </c>
      <c r="V32" s="61">
        <v>2160000</v>
      </c>
      <c r="W32" s="61">
        <v>2160000</v>
      </c>
      <c r="X32" s="61">
        <v>2160000</v>
      </c>
      <c r="Y32" s="61">
        <v>2160000</v>
      </c>
      <c r="Z32" s="61">
        <v>2160000</v>
      </c>
      <c r="AA32" s="61">
        <v>2160000</v>
      </c>
      <c r="AB32" s="61">
        <v>2160000</v>
      </c>
      <c r="AC32" s="14">
        <f t="shared" si="0"/>
        <v>12960000</v>
      </c>
      <c r="AD32" s="14">
        <f t="shared" si="1"/>
        <v>25920000</v>
      </c>
      <c r="AE32" s="14">
        <v>25920000</v>
      </c>
      <c r="AF32" s="14">
        <v>25920000</v>
      </c>
      <c r="AG32" s="72" t="s">
        <v>231</v>
      </c>
    </row>
    <row r="33" spans="1:35" ht="15" customHeight="1" x14ac:dyDescent="0.4">
      <c r="A33" s="68" t="s">
        <v>13</v>
      </c>
      <c r="B33" s="69" t="str">
        <f>_xlfn.IFNA(VLOOKUP(C33,Master!$J:$K,2,0),"")</f>
        <v>B1000</v>
      </c>
      <c r="C33" s="64" t="s">
        <v>16</v>
      </c>
      <c r="D33" s="71" t="str">
        <f>_xlfn.IFNA(VLOOKUP(E33,Master!$J:$K,2,0),"")</f>
        <v>B1000</v>
      </c>
      <c r="E33" s="64" t="s">
        <v>16</v>
      </c>
      <c r="F33" s="71">
        <f>_xlfn.IFNA(VLOOKUP(G33,Master!B:C,2,0),"")</f>
        <v>7781103</v>
      </c>
      <c r="G33" s="59" t="s">
        <v>528</v>
      </c>
      <c r="H33" s="59" t="s">
        <v>530</v>
      </c>
      <c r="I33" s="10" t="str">
        <f>_xlfn.IFNA(VLOOKUP(E33,Master!$J:$M,4,0),"")</f>
        <v>ADM</v>
      </c>
      <c r="J33" s="10" t="str">
        <f>_xlfn.IFNA(VLOOKUP($E33,Master!$J:$M,3,0),"")</f>
        <v>SGA</v>
      </c>
      <c r="K33" s="14">
        <v>300000</v>
      </c>
      <c r="L33" s="14">
        <v>300000</v>
      </c>
      <c r="M33" s="14">
        <v>300000</v>
      </c>
      <c r="N33" s="14">
        <v>300000</v>
      </c>
      <c r="O33" s="14">
        <v>300000</v>
      </c>
      <c r="P33" s="14">
        <v>300000</v>
      </c>
      <c r="Q33" s="14">
        <v>300000</v>
      </c>
      <c r="R33" s="14">
        <v>300000</v>
      </c>
      <c r="S33" s="14">
        <v>300000</v>
      </c>
      <c r="T33" s="14">
        <v>300000</v>
      </c>
      <c r="U33" s="14">
        <v>300000</v>
      </c>
      <c r="V33" s="14">
        <v>300000</v>
      </c>
      <c r="W33" s="14">
        <v>300000</v>
      </c>
      <c r="X33" s="14">
        <v>300000</v>
      </c>
      <c r="Y33" s="14">
        <v>300000</v>
      </c>
      <c r="Z33" s="14">
        <v>300000</v>
      </c>
      <c r="AA33" s="14">
        <v>300000</v>
      </c>
      <c r="AB33" s="14">
        <v>300000</v>
      </c>
      <c r="AC33" s="14">
        <f t="shared" si="0"/>
        <v>1800000</v>
      </c>
      <c r="AD33" s="14">
        <f t="shared" si="1"/>
        <v>3600000</v>
      </c>
      <c r="AE33" s="14">
        <v>3600000</v>
      </c>
      <c r="AF33" s="14">
        <v>3600000</v>
      </c>
      <c r="AG33" s="72" t="s">
        <v>231</v>
      </c>
    </row>
    <row r="34" spans="1:35" ht="15" customHeight="1" x14ac:dyDescent="0.4">
      <c r="A34" s="68" t="s">
        <v>13</v>
      </c>
      <c r="B34" s="69" t="str">
        <f>_xlfn.IFNA(VLOOKUP(C34,Master!$J:$K,2,0),"")</f>
        <v>B1000</v>
      </c>
      <c r="C34" s="64" t="s">
        <v>16</v>
      </c>
      <c r="D34" s="71" t="str">
        <f>_xlfn.IFNA(VLOOKUP(E34,Master!$J:$K,2,0),"")</f>
        <v>B1000</v>
      </c>
      <c r="E34" s="64" t="s">
        <v>16</v>
      </c>
      <c r="F34" s="71">
        <f>_xlfn.IFNA(VLOOKUP(G34,Master!B:C,2,0),"")</f>
        <v>7781103</v>
      </c>
      <c r="G34" s="59" t="s">
        <v>528</v>
      </c>
      <c r="H34" s="59" t="s">
        <v>531</v>
      </c>
      <c r="I34" s="10" t="str">
        <f>_xlfn.IFNA(VLOOKUP(E34,Master!$J:$M,4,0),"")</f>
        <v>ADM</v>
      </c>
      <c r="J34" s="10" t="str">
        <f>_xlfn.IFNA(VLOOKUP($E34,Master!$J:$M,3,0),"")</f>
        <v>SGA</v>
      </c>
      <c r="K34" s="14">
        <v>4000000</v>
      </c>
      <c r="L34" s="14">
        <v>4000000</v>
      </c>
      <c r="M34" s="14">
        <v>4000000</v>
      </c>
      <c r="N34" s="14">
        <v>4000000</v>
      </c>
      <c r="O34" s="14">
        <v>4000000</v>
      </c>
      <c r="P34" s="14">
        <v>4000000</v>
      </c>
      <c r="Q34" s="14">
        <v>4000000</v>
      </c>
      <c r="R34" s="14">
        <v>4000000</v>
      </c>
      <c r="S34" s="14">
        <v>4000000</v>
      </c>
      <c r="T34" s="14">
        <v>4000000</v>
      </c>
      <c r="U34" s="14">
        <v>4000000</v>
      </c>
      <c r="V34" s="14">
        <v>4000000</v>
      </c>
      <c r="W34" s="14">
        <v>4000000</v>
      </c>
      <c r="X34" s="14">
        <v>4000000</v>
      </c>
      <c r="Y34" s="14">
        <v>4000000</v>
      </c>
      <c r="Z34" s="14">
        <v>4000000</v>
      </c>
      <c r="AA34" s="14">
        <v>4000000</v>
      </c>
      <c r="AB34" s="14">
        <v>4000000</v>
      </c>
      <c r="AC34" s="14">
        <f t="shared" si="0"/>
        <v>24000000</v>
      </c>
      <c r="AD34" s="14">
        <f t="shared" si="1"/>
        <v>48000000</v>
      </c>
      <c r="AE34" s="14">
        <v>48000000</v>
      </c>
      <c r="AF34" s="14">
        <v>48000000</v>
      </c>
      <c r="AG34" s="72" t="s">
        <v>231</v>
      </c>
    </row>
    <row r="35" spans="1:35" ht="15" customHeight="1" x14ac:dyDescent="0.4">
      <c r="A35" s="68" t="s">
        <v>13</v>
      </c>
      <c r="B35" s="69" t="str">
        <f>_xlfn.IFNA(VLOOKUP(C35,Master!$J:$K,2,0),"")</f>
        <v>B1000</v>
      </c>
      <c r="C35" s="64" t="s">
        <v>16</v>
      </c>
      <c r="D35" s="71" t="str">
        <f>_xlfn.IFNA(VLOOKUP(E35,Master!$J:$K,2,0),"")</f>
        <v>B1000</v>
      </c>
      <c r="E35" s="64" t="s">
        <v>16</v>
      </c>
      <c r="F35" s="71">
        <f>_xlfn.IFNA(VLOOKUP(G35,Master!B:C,2,0),"")</f>
        <v>7781103</v>
      </c>
      <c r="G35" s="59" t="s">
        <v>528</v>
      </c>
      <c r="H35" s="59" t="s">
        <v>532</v>
      </c>
      <c r="I35" s="10" t="str">
        <f>_xlfn.IFNA(VLOOKUP(E35,Master!$J:$M,4,0),"")</f>
        <v>ADM</v>
      </c>
      <c r="J35" s="10" t="str">
        <f>_xlfn.IFNA(VLOOKUP($E35,Master!$J:$M,3,0),"")</f>
        <v>SGA</v>
      </c>
      <c r="K35" s="14">
        <v>330000</v>
      </c>
      <c r="L35" s="14">
        <v>330000</v>
      </c>
      <c r="M35" s="14">
        <v>330000</v>
      </c>
      <c r="N35" s="14">
        <v>330000</v>
      </c>
      <c r="O35" s="14">
        <v>330000</v>
      </c>
      <c r="P35" s="14">
        <v>330000</v>
      </c>
      <c r="Q35" s="14">
        <v>330000</v>
      </c>
      <c r="R35" s="14">
        <v>330000</v>
      </c>
      <c r="S35" s="14">
        <v>330000</v>
      </c>
      <c r="T35" s="14">
        <v>330000</v>
      </c>
      <c r="U35" s="14">
        <v>330000</v>
      </c>
      <c r="V35" s="14">
        <v>330000</v>
      </c>
      <c r="W35" s="14">
        <v>330000</v>
      </c>
      <c r="X35" s="14">
        <v>330000</v>
      </c>
      <c r="Y35" s="14">
        <v>330000</v>
      </c>
      <c r="Z35" s="14">
        <v>330000</v>
      </c>
      <c r="AA35" s="14">
        <v>330000</v>
      </c>
      <c r="AB35" s="14">
        <v>330000</v>
      </c>
      <c r="AC35" s="14">
        <f t="shared" si="0"/>
        <v>1980000</v>
      </c>
      <c r="AD35" s="14">
        <f t="shared" si="1"/>
        <v>3960000</v>
      </c>
      <c r="AE35" s="14">
        <v>3960000</v>
      </c>
      <c r="AF35" s="14">
        <v>3960000</v>
      </c>
      <c r="AG35" s="72" t="s">
        <v>231</v>
      </c>
    </row>
    <row r="36" spans="1:35" ht="15" customHeight="1" x14ac:dyDescent="0.4">
      <c r="A36" s="68" t="s">
        <v>13</v>
      </c>
      <c r="B36" s="69" t="str">
        <f>_xlfn.IFNA(VLOOKUP(C36,Master!$J:$K,2,0),"")</f>
        <v>B1000</v>
      </c>
      <c r="C36" s="64" t="s">
        <v>16</v>
      </c>
      <c r="D36" s="71" t="str">
        <f>_xlfn.IFNA(VLOOKUP(E36,Master!$J:$K,2,0),"")</f>
        <v>B1000</v>
      </c>
      <c r="E36" s="64" t="s">
        <v>16</v>
      </c>
      <c r="F36" s="71">
        <f>_xlfn.IFNA(VLOOKUP(G36,Master!B:C,2,0),"")</f>
        <v>7781103</v>
      </c>
      <c r="G36" s="59" t="s">
        <v>528</v>
      </c>
      <c r="H36" s="59" t="s">
        <v>533</v>
      </c>
      <c r="I36" s="10" t="str">
        <f>_xlfn.IFNA(VLOOKUP(E36,Master!$J:$M,4,0),"")</f>
        <v>ADM</v>
      </c>
      <c r="J36" s="10" t="str">
        <f>_xlfn.IFNA(VLOOKUP($E36,Master!$J:$M,3,0),"")</f>
        <v>SGA</v>
      </c>
      <c r="K36" s="14">
        <v>2100000</v>
      </c>
      <c r="L36" s="14">
        <v>2100000</v>
      </c>
      <c r="M36" s="14">
        <v>2100000</v>
      </c>
      <c r="N36" s="14">
        <v>2100000</v>
      </c>
      <c r="O36" s="14">
        <v>2100000</v>
      </c>
      <c r="P36" s="14">
        <v>2100000</v>
      </c>
      <c r="Q36" s="14">
        <v>2100000</v>
      </c>
      <c r="R36" s="14">
        <v>2100000</v>
      </c>
      <c r="S36" s="14">
        <v>2100000</v>
      </c>
      <c r="T36" s="14">
        <v>2100000</v>
      </c>
      <c r="U36" s="14">
        <v>2100000</v>
      </c>
      <c r="V36" s="14">
        <v>2100000</v>
      </c>
      <c r="W36" s="14">
        <v>2100000</v>
      </c>
      <c r="X36" s="14">
        <v>2100000</v>
      </c>
      <c r="Y36" s="14">
        <v>2100000</v>
      </c>
      <c r="Z36" s="14">
        <v>2100000</v>
      </c>
      <c r="AA36" s="14">
        <v>2100000</v>
      </c>
      <c r="AB36" s="14">
        <v>2100000</v>
      </c>
      <c r="AC36" s="14">
        <f t="shared" si="0"/>
        <v>12600000</v>
      </c>
      <c r="AD36" s="14">
        <f t="shared" si="1"/>
        <v>25200000</v>
      </c>
      <c r="AE36" s="14">
        <v>25200000</v>
      </c>
      <c r="AF36" s="14">
        <v>25200000</v>
      </c>
      <c r="AG36" s="72" t="s">
        <v>231</v>
      </c>
    </row>
    <row r="37" spans="1:35" ht="15" customHeight="1" x14ac:dyDescent="0.4">
      <c r="A37" s="68" t="s">
        <v>13</v>
      </c>
      <c r="B37" s="69" t="str">
        <f>_xlfn.IFNA(VLOOKUP(C37,Master!$J:$K,2,0),"")</f>
        <v>B1000</v>
      </c>
      <c r="C37" s="64" t="s">
        <v>16</v>
      </c>
      <c r="D37" s="71" t="str">
        <f>_xlfn.IFNA(VLOOKUP(E37,Master!$J:$K,2,0),"")</f>
        <v>B1000</v>
      </c>
      <c r="E37" s="64" t="s">
        <v>16</v>
      </c>
      <c r="F37" s="71">
        <f>_xlfn.IFNA(VLOOKUP(G37,Master!B:C,2,0),"")</f>
        <v>7781103</v>
      </c>
      <c r="G37" s="59" t="s">
        <v>528</v>
      </c>
      <c r="H37" s="62" t="s">
        <v>529</v>
      </c>
      <c r="I37" s="10" t="str">
        <f>_xlfn.IFNA(VLOOKUP(E37,Master!$J:$M,4,0),"")</f>
        <v>ADM</v>
      </c>
      <c r="J37" s="10" t="str">
        <f>_xlfn.IFNA(VLOOKUP($E37,Master!$J:$M,3,0),"")</f>
        <v>SGA</v>
      </c>
      <c r="Q37" s="61">
        <v>1500000</v>
      </c>
      <c r="AC37" s="14">
        <f t="shared" si="0"/>
        <v>0</v>
      </c>
      <c r="AD37" s="14">
        <f t="shared" si="1"/>
        <v>1500000</v>
      </c>
      <c r="AE37" s="14">
        <v>1500000</v>
      </c>
      <c r="AF37" s="14">
        <v>1500000</v>
      </c>
      <c r="AG37" s="72" t="s">
        <v>231</v>
      </c>
    </row>
    <row r="38" spans="1:35" ht="15" customHeight="1" x14ac:dyDescent="0.4">
      <c r="A38" s="68" t="s">
        <v>13</v>
      </c>
      <c r="B38" s="69" t="str">
        <f>_xlfn.IFNA(VLOOKUP(C38,Master!$J:$K,2,0),"")</f>
        <v>B1000</v>
      </c>
      <c r="C38" s="64" t="s">
        <v>16</v>
      </c>
      <c r="D38" s="71" t="str">
        <f>_xlfn.IFNA(VLOOKUP(E38,Master!$J:$K,2,0),"")</f>
        <v>B1000</v>
      </c>
      <c r="E38" s="64" t="s">
        <v>16</v>
      </c>
      <c r="F38" s="71">
        <f>_xlfn.IFNA(VLOOKUP(G38,Master!B:C,2,0),"")</f>
        <v>7781112</v>
      </c>
      <c r="G38" s="59" t="s">
        <v>26</v>
      </c>
      <c r="H38" s="64" t="s">
        <v>534</v>
      </c>
      <c r="I38" s="10" t="str">
        <f>_xlfn.IFNA(VLOOKUP(E38,Master!$J:$M,4,0),"")</f>
        <v>ADM</v>
      </c>
      <c r="J38" s="10" t="str">
        <f>_xlfn.IFNA(VLOOKUP($E38,Master!$J:$M,3,0),"")</f>
        <v>SGA</v>
      </c>
      <c r="AB38" s="14">
        <f>9400000*3</f>
        <v>28200000</v>
      </c>
      <c r="AC38" s="14">
        <f t="shared" si="0"/>
        <v>0</v>
      </c>
      <c r="AD38" s="14">
        <f t="shared" si="1"/>
        <v>28200000</v>
      </c>
      <c r="AE38" s="14">
        <v>28200000</v>
      </c>
      <c r="AF38" s="14">
        <v>28200000</v>
      </c>
      <c r="AG38" s="72" t="s">
        <v>231</v>
      </c>
    </row>
    <row r="39" spans="1:35" ht="15" customHeight="1" x14ac:dyDescent="0.4">
      <c r="A39" s="68" t="s">
        <v>13</v>
      </c>
      <c r="B39" s="69" t="str">
        <f>_xlfn.IFNA(VLOOKUP(C39,Master!$J:$K,2,0),"")</f>
        <v>B1000</v>
      </c>
      <c r="C39" s="64" t="s">
        <v>16</v>
      </c>
      <c r="D39" s="71" t="str">
        <f>_xlfn.IFNA(VLOOKUP(E39,Master!$J:$K,2,0),"")</f>
        <v>B1000</v>
      </c>
      <c r="E39" s="64" t="s">
        <v>16</v>
      </c>
      <c r="F39" s="71">
        <f>_xlfn.IFNA(VLOOKUP(G39,Master!B:C,2,0),"")</f>
        <v>7781112</v>
      </c>
      <c r="G39" s="59" t="s">
        <v>26</v>
      </c>
      <c r="H39" s="64" t="s">
        <v>535</v>
      </c>
      <c r="I39" s="10" t="str">
        <f>_xlfn.IFNA(VLOOKUP(E39,Master!$J:$M,4,0),"")</f>
        <v>ADM</v>
      </c>
      <c r="J39" s="10" t="str">
        <f>_xlfn.IFNA(VLOOKUP($E39,Master!$J:$M,3,0),"")</f>
        <v>SGA</v>
      </c>
      <c r="K39" s="14">
        <v>1417720</v>
      </c>
      <c r="L39" s="14">
        <v>1417720</v>
      </c>
      <c r="M39" s="14">
        <v>1417720</v>
      </c>
      <c r="N39" s="14">
        <v>1417720</v>
      </c>
      <c r="O39" s="14">
        <v>1417720</v>
      </c>
      <c r="P39" s="14">
        <v>1417720</v>
      </c>
      <c r="Q39" s="14">
        <v>1417720</v>
      </c>
      <c r="R39" s="14">
        <v>1417720</v>
      </c>
      <c r="S39" s="14">
        <v>1417720</v>
      </c>
      <c r="T39" s="14">
        <v>1417720</v>
      </c>
      <c r="U39" s="14">
        <v>1417720</v>
      </c>
      <c r="V39" s="14">
        <v>1417720</v>
      </c>
      <c r="W39" s="14">
        <v>1417720</v>
      </c>
      <c r="X39" s="14">
        <v>1417720</v>
      </c>
      <c r="Y39" s="14">
        <v>1417720</v>
      </c>
      <c r="Z39" s="14">
        <v>1417720</v>
      </c>
      <c r="AA39" s="14">
        <v>1417720</v>
      </c>
      <c r="AB39" s="14">
        <v>1417720</v>
      </c>
      <c r="AC39" s="14">
        <f t="shared" si="0"/>
        <v>8506320</v>
      </c>
      <c r="AD39" s="14">
        <f t="shared" si="1"/>
        <v>17012640</v>
      </c>
      <c r="AE39" s="14">
        <v>17012640</v>
      </c>
      <c r="AF39" s="14">
        <v>17012640</v>
      </c>
      <c r="AG39" s="72" t="s">
        <v>231</v>
      </c>
    </row>
    <row r="40" spans="1:35" ht="15" customHeight="1" x14ac:dyDescent="0.4">
      <c r="A40" s="68" t="s">
        <v>13</v>
      </c>
      <c r="B40" s="69" t="str">
        <f>_xlfn.IFNA(VLOOKUP(C40,Master!$J:$K,2,0),"")</f>
        <v>B1000</v>
      </c>
      <c r="C40" s="64" t="s">
        <v>16</v>
      </c>
      <c r="D40" s="71" t="str">
        <f>_xlfn.IFNA(VLOOKUP(E40,Master!$J:$K,2,0),"")</f>
        <v>B1000</v>
      </c>
      <c r="E40" s="64" t="s">
        <v>16</v>
      </c>
      <c r="F40" s="71">
        <f>_xlfn.IFNA(VLOOKUP(G40,Master!B:C,2,0),"")</f>
        <v>7781103</v>
      </c>
      <c r="G40" s="59" t="s">
        <v>528</v>
      </c>
      <c r="H40" s="59" t="s">
        <v>536</v>
      </c>
      <c r="I40" s="10" t="str">
        <f>_xlfn.IFNA(VLOOKUP(E40,Master!$J:$M,4,0),"")</f>
        <v>ADM</v>
      </c>
      <c r="J40" s="10" t="str">
        <f>_xlfn.IFNA(VLOOKUP($E40,Master!$J:$M,3,0),"")</f>
        <v>SGA</v>
      </c>
      <c r="Q40" s="60">
        <v>600000</v>
      </c>
      <c r="AC40" s="14">
        <f t="shared" si="0"/>
        <v>0</v>
      </c>
      <c r="AD40" s="14">
        <f t="shared" si="1"/>
        <v>600000</v>
      </c>
      <c r="AE40" s="14">
        <v>600000</v>
      </c>
      <c r="AF40" s="14">
        <v>600000</v>
      </c>
      <c r="AG40" s="72" t="s">
        <v>231</v>
      </c>
    </row>
    <row r="41" spans="1:35" ht="15" customHeight="1" x14ac:dyDescent="0.4">
      <c r="A41" s="68" t="s">
        <v>13</v>
      </c>
      <c r="B41" s="69" t="str">
        <f>_xlfn.IFNA(VLOOKUP(C41,Master!$J:$K,2,0),"")</f>
        <v>B1000</v>
      </c>
      <c r="C41" s="64" t="s">
        <v>16</v>
      </c>
      <c r="D41" s="71" t="str">
        <f>_xlfn.IFNA(VLOOKUP(E41,Master!$J:$K,2,0),"")</f>
        <v>B1000</v>
      </c>
      <c r="E41" s="64" t="s">
        <v>16</v>
      </c>
      <c r="F41" s="71">
        <f>_xlfn.IFNA(VLOOKUP(G41,Master!B:C,2,0),"")</f>
        <v>7711101</v>
      </c>
      <c r="G41" s="59" t="s">
        <v>27</v>
      </c>
      <c r="H41" s="64" t="s">
        <v>537</v>
      </c>
      <c r="I41" s="10" t="str">
        <f>_xlfn.IFNA(VLOOKUP(E41,Master!$J:$M,4,0),"")</f>
        <v>ADM</v>
      </c>
      <c r="J41" s="10" t="str">
        <f>_xlfn.IFNA(VLOOKUP($E41,Master!$J:$M,3,0),"")</f>
        <v>SGA</v>
      </c>
      <c r="K41" s="14">
        <v>1000000</v>
      </c>
      <c r="L41" s="14">
        <v>1000000</v>
      </c>
      <c r="M41" s="14">
        <v>1000000</v>
      </c>
      <c r="N41" s="14">
        <v>1000000</v>
      </c>
      <c r="O41" s="14">
        <v>1000000</v>
      </c>
      <c r="P41" s="14">
        <v>1000000</v>
      </c>
      <c r="Q41" s="14">
        <v>1000000</v>
      </c>
      <c r="R41" s="14">
        <v>1000000</v>
      </c>
      <c r="S41" s="14">
        <v>1000000</v>
      </c>
      <c r="T41" s="14">
        <v>1000000</v>
      </c>
      <c r="U41" s="14">
        <v>1000000</v>
      </c>
      <c r="V41" s="14">
        <v>1000000</v>
      </c>
      <c r="W41" s="14">
        <v>1000000</v>
      </c>
      <c r="X41" s="14">
        <v>1000000</v>
      </c>
      <c r="Y41" s="14">
        <v>1000000</v>
      </c>
      <c r="Z41" s="14">
        <v>1000000</v>
      </c>
      <c r="AA41" s="14">
        <v>1000000</v>
      </c>
      <c r="AB41" s="14">
        <v>1000000</v>
      </c>
      <c r="AC41" s="14">
        <f t="shared" si="0"/>
        <v>6000000</v>
      </c>
      <c r="AD41" s="14">
        <f t="shared" si="1"/>
        <v>12000000</v>
      </c>
      <c r="AE41" s="14">
        <v>12000000</v>
      </c>
      <c r="AF41" s="14">
        <v>12000000</v>
      </c>
      <c r="AG41" s="72" t="s">
        <v>231</v>
      </c>
    </row>
    <row r="42" spans="1:35" ht="15" customHeight="1" x14ac:dyDescent="0.4">
      <c r="A42" s="68" t="s">
        <v>13</v>
      </c>
      <c r="B42" s="69" t="str">
        <f>_xlfn.IFNA(VLOOKUP(C42,Master!$J:$K,2,0),"")</f>
        <v>B1000</v>
      </c>
      <c r="C42" s="64" t="s">
        <v>16</v>
      </c>
      <c r="D42" s="71" t="str">
        <f>_xlfn.IFNA(VLOOKUP(E42,Master!$J:$K,2,0),"")</f>
        <v>B1000</v>
      </c>
      <c r="E42" s="64" t="s">
        <v>16</v>
      </c>
      <c r="F42" s="71">
        <f>_xlfn.IFNA(VLOOKUP(G42,Master!B:C,2,0),"")</f>
        <v>7781107</v>
      </c>
      <c r="G42" s="6" t="s">
        <v>198</v>
      </c>
      <c r="H42" s="64" t="s">
        <v>538</v>
      </c>
      <c r="I42" s="10" t="str">
        <f>_xlfn.IFNA(VLOOKUP(E42,Master!$J:$M,4,0),"")</f>
        <v>ADM</v>
      </c>
      <c r="J42" s="10" t="str">
        <f>_xlfn.IFNA(VLOOKUP($E42,Master!$J:$M,3,0),"")</f>
        <v>SGA</v>
      </c>
      <c r="K42" s="14">
        <v>1500000</v>
      </c>
      <c r="L42" s="14">
        <v>1500000</v>
      </c>
      <c r="M42" s="14">
        <v>1500000</v>
      </c>
      <c r="N42" s="14">
        <v>1500000</v>
      </c>
      <c r="O42" s="14">
        <v>1500000</v>
      </c>
      <c r="P42" s="14">
        <v>1500000</v>
      </c>
      <c r="Q42" s="14">
        <v>1500000</v>
      </c>
      <c r="R42" s="14">
        <v>1500000</v>
      </c>
      <c r="S42" s="14">
        <v>1500000</v>
      </c>
      <c r="T42" s="14">
        <v>1500000</v>
      </c>
      <c r="U42" s="14">
        <v>1500000</v>
      </c>
      <c r="V42" s="14">
        <v>1500000</v>
      </c>
      <c r="W42" s="14">
        <v>1500000</v>
      </c>
      <c r="X42" s="14">
        <v>1500000</v>
      </c>
      <c r="Y42" s="14">
        <v>1500000</v>
      </c>
      <c r="Z42" s="14">
        <v>1500000</v>
      </c>
      <c r="AA42" s="14">
        <v>1500000</v>
      </c>
      <c r="AB42" s="14">
        <v>1500000</v>
      </c>
      <c r="AC42" s="14">
        <f t="shared" si="0"/>
        <v>9000000</v>
      </c>
      <c r="AD42" s="14">
        <f t="shared" si="1"/>
        <v>18000000</v>
      </c>
      <c r="AE42" s="14">
        <v>18000000</v>
      </c>
      <c r="AF42" s="14">
        <v>18000000</v>
      </c>
      <c r="AG42" s="72" t="s">
        <v>231</v>
      </c>
    </row>
    <row r="43" spans="1:35" s="64" customFormat="1" ht="15" customHeight="1" x14ac:dyDescent="0.4">
      <c r="A43" s="68" t="s">
        <v>13</v>
      </c>
      <c r="B43" s="69" t="str">
        <f>_xlfn.IFNA(VLOOKUP(C43,Master!$J:$K,2,0),"")</f>
        <v>B1000</v>
      </c>
      <c r="C43" s="64" t="s">
        <v>16</v>
      </c>
      <c r="D43" s="71" t="str">
        <f>_xlfn.IFNA(VLOOKUP(E43,Master!$J:$K,2,0),"")</f>
        <v>B1000</v>
      </c>
      <c r="E43" s="64" t="s">
        <v>16</v>
      </c>
      <c r="F43" s="71">
        <f>_xlfn.IFNA(VLOOKUP(G43,Master!B:C,2,0),"")</f>
        <v>7781107</v>
      </c>
      <c r="G43" s="64" t="s">
        <v>198</v>
      </c>
      <c r="H43" s="64" t="s">
        <v>548</v>
      </c>
      <c r="I43" s="65" t="str">
        <f>_xlfn.IFNA(VLOOKUP(E43,Master!$J:$M,4,0),"")</f>
        <v>ADM</v>
      </c>
      <c r="J43" s="65" t="str">
        <f>_xlfn.IFNA(VLOOKUP($E43,Master!$J:$M,3,0),"")</f>
        <v>SGA</v>
      </c>
      <c r="K43" s="14"/>
      <c r="L43" s="14"/>
      <c r="M43" s="14"/>
      <c r="N43" s="14"/>
      <c r="O43" s="14"/>
      <c r="P43" s="14"/>
      <c r="Q43" s="14">
        <v>1500000</v>
      </c>
      <c r="R43" s="14">
        <v>1500000</v>
      </c>
      <c r="S43" s="14">
        <v>1500000</v>
      </c>
      <c r="T43" s="14">
        <v>1500000</v>
      </c>
      <c r="U43" s="14">
        <v>1500000</v>
      </c>
      <c r="V43" s="14">
        <v>1500000</v>
      </c>
      <c r="W43" s="14">
        <v>1500000</v>
      </c>
      <c r="X43" s="14">
        <v>1500000</v>
      </c>
      <c r="Y43" s="14">
        <v>1500000</v>
      </c>
      <c r="Z43" s="14">
        <v>1500000</v>
      </c>
      <c r="AA43" s="14">
        <v>1500000</v>
      </c>
      <c r="AB43" s="14">
        <v>1500000</v>
      </c>
      <c r="AC43" s="14">
        <f t="shared" si="0"/>
        <v>0</v>
      </c>
      <c r="AD43" s="14">
        <f t="shared" ref="AD43" si="2">SUM(Q43:AB43)</f>
        <v>18000000</v>
      </c>
      <c r="AE43" s="14">
        <v>18000000</v>
      </c>
      <c r="AF43" s="14">
        <v>18000000</v>
      </c>
      <c r="AG43" s="72" t="s">
        <v>231</v>
      </c>
      <c r="AH43" s="66"/>
    </row>
    <row r="44" spans="1:35" ht="15" customHeight="1" x14ac:dyDescent="0.4">
      <c r="A44" s="68" t="s">
        <v>13</v>
      </c>
      <c r="B44" s="69" t="str">
        <f>_xlfn.IFNA(VLOOKUP(C44,Master!$J:$K,2,0),"")</f>
        <v>B1000</v>
      </c>
      <c r="C44" s="64" t="s">
        <v>16</v>
      </c>
      <c r="D44" s="71" t="str">
        <f>_xlfn.IFNA(VLOOKUP(E44,Master!$J:$K,2,0),"")</f>
        <v>B1000</v>
      </c>
      <c r="E44" s="64" t="s">
        <v>16</v>
      </c>
      <c r="F44" s="71">
        <f>_xlfn.IFNA(VLOOKUP(G44,Master!B:C,2,0),"")</f>
        <v>7641102</v>
      </c>
      <c r="G44" s="6" t="s">
        <v>29</v>
      </c>
      <c r="H44" s="64" t="s">
        <v>539</v>
      </c>
      <c r="I44" s="10" t="str">
        <f>_xlfn.IFNA(VLOOKUP(E44,Master!$J:$M,4,0),"")</f>
        <v>ADM</v>
      </c>
      <c r="J44" s="10" t="str">
        <f>_xlfn.IFNA(VLOOKUP($E44,Master!$J:$M,3,0),"")</f>
        <v>SGA</v>
      </c>
      <c r="Q44" s="14">
        <v>1500000</v>
      </c>
      <c r="R44" s="14">
        <v>1500000</v>
      </c>
      <c r="S44" s="14">
        <v>1500000</v>
      </c>
      <c r="T44" s="14">
        <v>1500000</v>
      </c>
      <c r="U44" s="14">
        <v>1500000</v>
      </c>
      <c r="V44" s="14">
        <v>1500000</v>
      </c>
      <c r="W44" s="14">
        <v>1500000</v>
      </c>
      <c r="X44" s="14">
        <v>1500000</v>
      </c>
      <c r="Y44" s="14">
        <v>1500000</v>
      </c>
      <c r="Z44" s="14">
        <v>1500000</v>
      </c>
      <c r="AA44" s="14">
        <v>1500000</v>
      </c>
      <c r="AB44" s="14">
        <v>1500000</v>
      </c>
      <c r="AC44" s="14">
        <f t="shared" si="0"/>
        <v>0</v>
      </c>
      <c r="AD44" s="14">
        <f t="shared" si="1"/>
        <v>18000000</v>
      </c>
      <c r="AE44" s="14">
        <v>18000000</v>
      </c>
      <c r="AF44" s="14">
        <v>18000000</v>
      </c>
      <c r="AG44" s="72" t="s">
        <v>231</v>
      </c>
    </row>
    <row r="45" spans="1:35" ht="15" customHeight="1" x14ac:dyDescent="0.4">
      <c r="A45" s="68" t="s">
        <v>13</v>
      </c>
      <c r="B45" s="69" t="str">
        <f>_xlfn.IFNA(VLOOKUP(C45,Master!$J:$K,2,0),"")</f>
        <v>B1000</v>
      </c>
      <c r="C45" s="64" t="s">
        <v>16</v>
      </c>
      <c r="D45" s="71" t="str">
        <f>_xlfn.IFNA(VLOOKUP(E45,Master!$J:$K,2,0),"")</f>
        <v>B1000</v>
      </c>
      <c r="E45" s="64" t="s">
        <v>16</v>
      </c>
      <c r="F45" s="71">
        <f>_xlfn.IFNA(VLOOKUP(G45,Master!B:C,2,0),"")</f>
        <v>7661101</v>
      </c>
      <c r="G45" s="6" t="s">
        <v>24</v>
      </c>
      <c r="H45" s="6" t="s">
        <v>540</v>
      </c>
      <c r="I45" s="10" t="str">
        <f>_xlfn.IFNA(VLOOKUP(E45,Master!$J:$M,4,0),"")</f>
        <v>ADM</v>
      </c>
      <c r="J45" s="10" t="str">
        <f>_xlfn.IFNA(VLOOKUP($E45,Master!$J:$M,3,0),"")</f>
        <v>SGA</v>
      </c>
      <c r="Q45" s="61">
        <v>4500000</v>
      </c>
      <c r="AC45" s="14">
        <f t="shared" si="0"/>
        <v>0</v>
      </c>
      <c r="AD45" s="14">
        <f t="shared" si="1"/>
        <v>4500000</v>
      </c>
      <c r="AE45" s="14">
        <v>4500000</v>
      </c>
      <c r="AF45" s="14">
        <v>4500000</v>
      </c>
      <c r="AG45" s="72" t="s">
        <v>231</v>
      </c>
    </row>
    <row r="46" spans="1:35" ht="15" customHeight="1" x14ac:dyDescent="0.4">
      <c r="A46" s="68" t="s">
        <v>13</v>
      </c>
      <c r="B46" s="69" t="str">
        <f>_xlfn.IFNA(VLOOKUP(C46,Master!$J:$K,2,0),"")</f>
        <v>B1000</v>
      </c>
      <c r="C46" s="64" t="s">
        <v>16</v>
      </c>
      <c r="D46" s="71" t="str">
        <f>_xlfn.IFNA(VLOOKUP(E46,Master!$J:$K,2,0),"")</f>
        <v>B1000</v>
      </c>
      <c r="E46" s="64" t="s">
        <v>16</v>
      </c>
      <c r="F46" s="71">
        <f>_xlfn.IFNA(VLOOKUP(G46,Master!B:C,2,0),"")</f>
        <v>7661101</v>
      </c>
      <c r="G46" s="64" t="s">
        <v>24</v>
      </c>
      <c r="H46" s="64" t="s">
        <v>541</v>
      </c>
      <c r="I46" s="10" t="str">
        <f>_xlfn.IFNA(VLOOKUP(E46,Master!$J:$M,4,0),"")</f>
        <v>ADM</v>
      </c>
      <c r="J46" s="10" t="str">
        <f>_xlfn.IFNA(VLOOKUP($E46,Master!$J:$M,3,0),"")</f>
        <v>SGA</v>
      </c>
      <c r="K46" s="61"/>
      <c r="L46" s="61"/>
      <c r="M46" s="61"/>
      <c r="N46" s="61">
        <v>2650000</v>
      </c>
      <c r="O46" s="61">
        <v>2650000</v>
      </c>
      <c r="P46" s="61">
        <v>2650000</v>
      </c>
      <c r="Q46" s="61">
        <v>10000000</v>
      </c>
      <c r="R46" s="61">
        <v>10000000</v>
      </c>
      <c r="S46" s="61">
        <v>10000000</v>
      </c>
      <c r="T46" s="61">
        <v>10000000</v>
      </c>
      <c r="U46" s="61">
        <v>10000000</v>
      </c>
      <c r="V46" s="61">
        <v>10000000</v>
      </c>
      <c r="W46" s="61">
        <v>10000000</v>
      </c>
      <c r="X46" s="61">
        <v>10000000</v>
      </c>
      <c r="Y46" s="61">
        <v>10000000</v>
      </c>
      <c r="Z46" s="61">
        <v>10000000</v>
      </c>
      <c r="AA46" s="61">
        <v>10000000</v>
      </c>
      <c r="AB46" s="61">
        <v>10000000</v>
      </c>
      <c r="AC46" s="14">
        <f t="shared" si="0"/>
        <v>7950000</v>
      </c>
      <c r="AD46" s="14">
        <f t="shared" si="1"/>
        <v>120000000</v>
      </c>
      <c r="AE46" s="14">
        <v>120000000</v>
      </c>
      <c r="AF46" s="14">
        <v>120000000</v>
      </c>
      <c r="AG46" s="72" t="s">
        <v>231</v>
      </c>
    </row>
    <row r="47" spans="1:35" ht="15" customHeight="1" x14ac:dyDescent="0.4">
      <c r="A47" s="68" t="s">
        <v>13</v>
      </c>
      <c r="B47" s="69" t="str">
        <f>_xlfn.IFNA(VLOOKUP(C47,Master!$J:$K,2,0),"")</f>
        <v>B1000</v>
      </c>
      <c r="C47" s="64" t="s">
        <v>16</v>
      </c>
      <c r="D47" s="71" t="str">
        <f>_xlfn.IFNA(VLOOKUP(E47,Master!$J:$K,2,0),"")</f>
        <v>B1000</v>
      </c>
      <c r="E47" s="64" t="s">
        <v>16</v>
      </c>
      <c r="F47" s="71">
        <f>_xlfn.IFNA(VLOOKUP(G47,Master!B:C,2,0),"")</f>
        <v>7661101</v>
      </c>
      <c r="G47" s="64" t="s">
        <v>24</v>
      </c>
      <c r="H47" s="59" t="s">
        <v>542</v>
      </c>
      <c r="I47" s="69" t="str">
        <f>_xlfn.IFNA(VLOOKUP(E47,Master!$J:$M,4,0),"")</f>
        <v>ADM</v>
      </c>
      <c r="J47" s="69" t="str">
        <f>_xlfn.IFNA(VLOOKUP($E47,Master!$J:$M,3,0),"")</f>
        <v>SGA</v>
      </c>
      <c r="K47" s="61"/>
      <c r="L47" s="61"/>
      <c r="M47" s="61"/>
      <c r="N47" s="61">
        <f>63000000/12</f>
        <v>5250000</v>
      </c>
      <c r="O47" s="61">
        <f t="shared" ref="O47:P47" si="3">63000000/12</f>
        <v>5250000</v>
      </c>
      <c r="P47" s="61">
        <f t="shared" si="3"/>
        <v>5250000</v>
      </c>
      <c r="Q47" s="61">
        <v>12000000</v>
      </c>
      <c r="R47" s="61">
        <v>12000000</v>
      </c>
      <c r="S47" s="61">
        <v>12000000</v>
      </c>
      <c r="T47" s="61">
        <v>12000000</v>
      </c>
      <c r="U47" s="61">
        <v>12000000</v>
      </c>
      <c r="V47" s="61">
        <v>12000000</v>
      </c>
      <c r="W47" s="61">
        <v>12000000</v>
      </c>
      <c r="X47" s="61">
        <v>12000000</v>
      </c>
      <c r="Y47" s="61">
        <v>12000000</v>
      </c>
      <c r="Z47" s="61">
        <v>12000000</v>
      </c>
      <c r="AA47" s="61">
        <v>12000000</v>
      </c>
      <c r="AB47" s="61">
        <v>12000000</v>
      </c>
      <c r="AC47" s="14">
        <f t="shared" si="0"/>
        <v>15750000</v>
      </c>
      <c r="AD47" s="14">
        <f t="shared" si="1"/>
        <v>144000000</v>
      </c>
      <c r="AE47" s="14">
        <v>144000000</v>
      </c>
      <c r="AF47" s="14">
        <v>144000000</v>
      </c>
      <c r="AG47" s="72" t="s">
        <v>231</v>
      </c>
    </row>
    <row r="48" spans="1:35" ht="15" customHeight="1" x14ac:dyDescent="0.4">
      <c r="A48" s="68" t="s">
        <v>13</v>
      </c>
      <c r="B48" s="69" t="str">
        <f>_xlfn.IFNA(VLOOKUP(C48,Master!$J:$K,2,0),"")</f>
        <v>B1000</v>
      </c>
      <c r="C48" s="68" t="s">
        <v>16</v>
      </c>
      <c r="D48" s="71" t="str">
        <f>_xlfn.IFNA(VLOOKUP(E48,Master!$J:$K,2,0),"")</f>
        <v>B2300</v>
      </c>
      <c r="E48" s="68" t="s">
        <v>14</v>
      </c>
      <c r="F48" s="71">
        <f>_xlfn.IFNA(VLOOKUP(G48,Master!B:C,2,0),"")</f>
        <v>7651103</v>
      </c>
      <c r="G48" s="68" t="s">
        <v>20</v>
      </c>
      <c r="H48" s="68" t="s">
        <v>549</v>
      </c>
      <c r="I48" s="69" t="str">
        <f>_xlfn.IFNA(VLOOKUP(E48,Master!$J:$M,4,0),"")</f>
        <v>ADM</v>
      </c>
      <c r="J48" s="69" t="str">
        <f>_xlfn.IFNA(VLOOKUP($E48,Master!$J:$M,3,0),"")</f>
        <v>SGA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70">
        <v>7100000</v>
      </c>
      <c r="AA48" s="67"/>
      <c r="AB48" s="67"/>
      <c r="AC48" s="14">
        <f t="shared" si="0"/>
        <v>0</v>
      </c>
      <c r="AD48" s="14">
        <f t="shared" si="1"/>
        <v>7100000</v>
      </c>
      <c r="AE48" s="70">
        <v>7100000</v>
      </c>
      <c r="AF48" s="70">
        <v>7100000</v>
      </c>
      <c r="AG48" s="72" t="s">
        <v>231</v>
      </c>
      <c r="AH48" s="67"/>
      <c r="AI48" s="67"/>
    </row>
    <row r="49" spans="1:35" ht="15" customHeight="1" x14ac:dyDescent="0.4">
      <c r="A49" s="68" t="s">
        <v>13</v>
      </c>
      <c r="B49" s="69" t="str">
        <f>_xlfn.IFNA(VLOOKUP(C49,Master!$J:$K,2,0),"")</f>
        <v>B1000</v>
      </c>
      <c r="C49" s="68" t="s">
        <v>16</v>
      </c>
      <c r="D49" s="71" t="str">
        <f>_xlfn.IFNA(VLOOKUP(E49,Master!$J:$K,2,0),"")</f>
        <v>B2300</v>
      </c>
      <c r="E49" s="68" t="s">
        <v>14</v>
      </c>
      <c r="F49" s="71">
        <f>_xlfn.IFNA(VLOOKUP(G49,Master!B:C,2,0),"")</f>
        <v>7651103</v>
      </c>
      <c r="G49" s="68" t="s">
        <v>20</v>
      </c>
      <c r="H49" s="68" t="s">
        <v>550</v>
      </c>
      <c r="I49" s="69" t="str">
        <f>_xlfn.IFNA(VLOOKUP(E49,Master!$J:$M,4,0),"")</f>
        <v>ADM</v>
      </c>
      <c r="J49" s="69" t="str">
        <f>_xlfn.IFNA(VLOOKUP($E49,Master!$J:$M,3,0),"")</f>
        <v>SGA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70">
        <v>2120000</v>
      </c>
      <c r="AA49" s="67"/>
      <c r="AB49" s="67"/>
      <c r="AC49" s="14">
        <f t="shared" si="0"/>
        <v>0</v>
      </c>
      <c r="AD49" s="14">
        <f t="shared" si="1"/>
        <v>2120000</v>
      </c>
      <c r="AE49" s="70">
        <v>2120000</v>
      </c>
      <c r="AF49" s="70">
        <v>2120000</v>
      </c>
      <c r="AG49" s="72" t="s">
        <v>231</v>
      </c>
      <c r="AH49" s="67"/>
      <c r="AI49" s="67"/>
    </row>
    <row r="50" spans="1:35" ht="15" customHeight="1" x14ac:dyDescent="0.4">
      <c r="A50" s="68" t="s">
        <v>13</v>
      </c>
      <c r="B50" s="69" t="str">
        <f>_xlfn.IFNA(VLOOKUP(C50,Master!$J:$K,2,0),"")</f>
        <v>B1000</v>
      </c>
      <c r="C50" s="68" t="s">
        <v>16</v>
      </c>
      <c r="D50" s="71" t="str">
        <f>_xlfn.IFNA(VLOOKUP(E50,Master!$J:$K,2,0),"")</f>
        <v>B2300</v>
      </c>
      <c r="E50" s="68" t="s">
        <v>14</v>
      </c>
      <c r="F50" s="71">
        <f>_xlfn.IFNA(VLOOKUP(G50,Master!B:C,2,0),"")</f>
        <v>7651103</v>
      </c>
      <c r="G50" s="68" t="s">
        <v>20</v>
      </c>
      <c r="H50" s="68" t="s">
        <v>551</v>
      </c>
      <c r="I50" s="69" t="str">
        <f>_xlfn.IFNA(VLOOKUP(E50,Master!$J:$M,4,0),"")</f>
        <v>ADM</v>
      </c>
      <c r="J50" s="69" t="str">
        <f>_xlfn.IFNA(VLOOKUP($E50,Master!$J:$M,3,0),"")</f>
        <v>SGA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70">
        <v>1998985.2000000002</v>
      </c>
      <c r="AA50" s="67"/>
      <c r="AB50" s="67"/>
      <c r="AC50" s="14">
        <f t="shared" si="0"/>
        <v>0</v>
      </c>
      <c r="AD50" s="14">
        <f t="shared" si="1"/>
        <v>1998985.2000000002</v>
      </c>
      <c r="AE50" s="70">
        <v>2013162.4000000001</v>
      </c>
      <c r="AF50" s="70">
        <v>2013162.4000000001</v>
      </c>
      <c r="AG50" s="72" t="s">
        <v>231</v>
      </c>
      <c r="AH50" s="67"/>
      <c r="AI50" s="67"/>
    </row>
    <row r="51" spans="1:35" ht="15" customHeight="1" x14ac:dyDescent="0.4">
      <c r="A51" s="68" t="s">
        <v>13</v>
      </c>
      <c r="B51" s="69" t="str">
        <f>_xlfn.IFNA(VLOOKUP(C51,Master!$J:$K,2,0),"")</f>
        <v>B1000</v>
      </c>
      <c r="C51" s="68" t="s">
        <v>16</v>
      </c>
      <c r="D51" s="71" t="str">
        <f>_xlfn.IFNA(VLOOKUP(E51,Master!$J:$K,2,0),"")</f>
        <v>B2300</v>
      </c>
      <c r="E51" s="68" t="s">
        <v>14</v>
      </c>
      <c r="F51" s="71">
        <f>_xlfn.IFNA(VLOOKUP(G51,Master!B:C,2,0),"")</f>
        <v>7651103</v>
      </c>
      <c r="G51" s="68" t="s">
        <v>20</v>
      </c>
      <c r="H51" s="68" t="s">
        <v>552</v>
      </c>
      <c r="I51" s="69" t="str">
        <f>_xlfn.IFNA(VLOOKUP(E51,Master!$J:$M,4,0),"")</f>
        <v>ADM</v>
      </c>
      <c r="J51" s="69" t="str">
        <f>_xlfn.IFNA(VLOOKUP($E51,Master!$J:$M,3,0),"")</f>
        <v>SGA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70">
        <v>7100000</v>
      </c>
      <c r="X51" s="67"/>
      <c r="Y51" s="67"/>
      <c r="Z51" s="67"/>
      <c r="AA51" s="67"/>
      <c r="AB51" s="67"/>
      <c r="AC51" s="14">
        <f t="shared" si="0"/>
        <v>0</v>
      </c>
      <c r="AD51" s="14">
        <f t="shared" si="1"/>
        <v>7100000</v>
      </c>
      <c r="AE51" s="70">
        <v>7100000</v>
      </c>
      <c r="AF51" s="70">
        <v>7100000</v>
      </c>
      <c r="AG51" s="72" t="s">
        <v>231</v>
      </c>
      <c r="AH51" s="67"/>
      <c r="AI51" s="67"/>
    </row>
    <row r="52" spans="1:35" ht="15" customHeight="1" x14ac:dyDescent="0.4">
      <c r="A52" s="68" t="s">
        <v>13</v>
      </c>
      <c r="B52" s="69" t="str">
        <f>_xlfn.IFNA(VLOOKUP(C52,Master!$J:$K,2,0),"")</f>
        <v>B1000</v>
      </c>
      <c r="C52" s="68" t="s">
        <v>16</v>
      </c>
      <c r="D52" s="71" t="str">
        <f>_xlfn.IFNA(VLOOKUP(E52,Master!$J:$K,2,0),"")</f>
        <v>B2300</v>
      </c>
      <c r="E52" s="68" t="s">
        <v>14</v>
      </c>
      <c r="F52" s="71">
        <f>_xlfn.IFNA(VLOOKUP(G52,Master!B:C,2,0),"")</f>
        <v>7651103</v>
      </c>
      <c r="G52" s="68" t="s">
        <v>20</v>
      </c>
      <c r="H52" s="68" t="s">
        <v>553</v>
      </c>
      <c r="I52" s="69" t="str">
        <f>_xlfn.IFNA(VLOOKUP(E52,Master!$J:$M,4,0),"")</f>
        <v>ADM</v>
      </c>
      <c r="J52" s="69" t="str">
        <f>_xlfn.IFNA(VLOOKUP($E52,Master!$J:$M,3,0),"")</f>
        <v>SGA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70">
        <v>2120000</v>
      </c>
      <c r="X52" s="67"/>
      <c r="Y52" s="67"/>
      <c r="Z52" s="67"/>
      <c r="AA52" s="67"/>
      <c r="AB52" s="67"/>
      <c r="AC52" s="14">
        <f t="shared" si="0"/>
        <v>0</v>
      </c>
      <c r="AD52" s="14">
        <f t="shared" si="1"/>
        <v>2120000</v>
      </c>
      <c r="AE52" s="70">
        <v>2120000</v>
      </c>
      <c r="AF52" s="70">
        <v>2120000</v>
      </c>
      <c r="AG52" s="72" t="s">
        <v>231</v>
      </c>
      <c r="AH52" s="67"/>
      <c r="AI52" s="67"/>
    </row>
    <row r="53" spans="1:35" ht="15" customHeight="1" x14ac:dyDescent="0.4">
      <c r="A53" s="68" t="s">
        <v>13</v>
      </c>
      <c r="B53" s="69" t="str">
        <f>_xlfn.IFNA(VLOOKUP(C53,Master!$J:$K,2,0),"")</f>
        <v>B1000</v>
      </c>
      <c r="C53" s="68" t="s">
        <v>16</v>
      </c>
      <c r="D53" s="71" t="str">
        <f>_xlfn.IFNA(VLOOKUP(E53,Master!$J:$K,2,0),"")</f>
        <v>B2300</v>
      </c>
      <c r="E53" s="68" t="s">
        <v>14</v>
      </c>
      <c r="F53" s="71">
        <f>_xlfn.IFNA(VLOOKUP(G53,Master!B:C,2,0),"")</f>
        <v>7651103</v>
      </c>
      <c r="G53" s="68" t="s">
        <v>20</v>
      </c>
      <c r="H53" s="68" t="s">
        <v>554</v>
      </c>
      <c r="I53" s="69" t="str">
        <f>_xlfn.IFNA(VLOOKUP(E53,Master!$J:$M,4,0),"")</f>
        <v>ADM</v>
      </c>
      <c r="J53" s="69" t="str">
        <f>_xlfn.IFNA(VLOOKUP($E53,Master!$J:$M,3,0),"")</f>
        <v>SGA</v>
      </c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70">
        <v>2509364.4000000004</v>
      </c>
      <c r="X53" s="67"/>
      <c r="Y53" s="67"/>
      <c r="Z53" s="67"/>
      <c r="AA53" s="67"/>
      <c r="AB53" s="67"/>
      <c r="AC53" s="14">
        <f t="shared" si="0"/>
        <v>0</v>
      </c>
      <c r="AD53" s="14">
        <f t="shared" si="1"/>
        <v>2509364.4000000004</v>
      </c>
      <c r="AE53" s="70">
        <v>2013162.4000000001</v>
      </c>
      <c r="AF53" s="70">
        <v>2013162.4000000001</v>
      </c>
      <c r="AG53" s="72" t="s">
        <v>231</v>
      </c>
      <c r="AH53" s="67"/>
      <c r="AI53" s="67"/>
    </row>
    <row r="54" spans="1:35" ht="15" customHeight="1" x14ac:dyDescent="0.4">
      <c r="A54" s="68" t="s">
        <v>13</v>
      </c>
      <c r="B54" s="69" t="str">
        <f>_xlfn.IFNA(VLOOKUP(C54,Master!$J:$K,2,0),"")</f>
        <v>B1000</v>
      </c>
      <c r="C54" s="68" t="s">
        <v>16</v>
      </c>
      <c r="D54" s="71" t="str">
        <f>_xlfn.IFNA(VLOOKUP(E54,Master!$J:$K,2,0),"")</f>
        <v>B2300</v>
      </c>
      <c r="E54" s="68" t="s">
        <v>14</v>
      </c>
      <c r="F54" s="71">
        <f>_xlfn.IFNA(VLOOKUP(G54,Master!B:C,2,0),"")</f>
        <v>7651101</v>
      </c>
      <c r="G54" s="68" t="s">
        <v>23</v>
      </c>
      <c r="H54" s="68" t="s">
        <v>555</v>
      </c>
      <c r="I54" s="69" t="str">
        <f>_xlfn.IFNA(VLOOKUP(E54,Master!$J:$M,4,0),"")</f>
        <v>ADM</v>
      </c>
      <c r="J54" s="69" t="str">
        <f>_xlfn.IFNA(VLOOKUP($E54,Master!$J:$M,3,0),"")</f>
        <v>SGA</v>
      </c>
      <c r="K54" s="70">
        <v>2000000</v>
      </c>
      <c r="L54" s="70">
        <v>2000000</v>
      </c>
      <c r="M54" s="70">
        <v>2000000</v>
      </c>
      <c r="N54" s="70">
        <v>2000000</v>
      </c>
      <c r="O54" s="70">
        <v>2000000</v>
      </c>
      <c r="P54" s="70">
        <v>2000000</v>
      </c>
      <c r="Q54" s="70">
        <v>2000000</v>
      </c>
      <c r="R54" s="70">
        <v>2000000</v>
      </c>
      <c r="S54" s="70">
        <v>2000000</v>
      </c>
      <c r="T54" s="70">
        <v>2000000</v>
      </c>
      <c r="U54" s="70">
        <v>2000000</v>
      </c>
      <c r="V54" s="70">
        <v>2000000</v>
      </c>
      <c r="W54" s="70">
        <v>2000000</v>
      </c>
      <c r="X54" s="70">
        <v>2000000</v>
      </c>
      <c r="Y54" s="70">
        <v>2000000</v>
      </c>
      <c r="Z54" s="70">
        <v>2000000</v>
      </c>
      <c r="AA54" s="70">
        <v>2000000</v>
      </c>
      <c r="AB54" s="70">
        <v>2000000</v>
      </c>
      <c r="AC54" s="14">
        <f t="shared" si="0"/>
        <v>12000000</v>
      </c>
      <c r="AD54" s="14">
        <f t="shared" si="1"/>
        <v>24000000</v>
      </c>
      <c r="AE54" s="70">
        <v>24000000</v>
      </c>
      <c r="AF54" s="70">
        <v>24000000</v>
      </c>
      <c r="AG54" s="72" t="s">
        <v>231</v>
      </c>
      <c r="AH54" s="67"/>
      <c r="AI54" s="67"/>
    </row>
    <row r="55" spans="1:35" ht="15" customHeight="1" x14ac:dyDescent="0.4">
      <c r="A55" s="68" t="s">
        <v>13</v>
      </c>
      <c r="B55" s="69" t="str">
        <f>_xlfn.IFNA(VLOOKUP(C55,Master!$J:$K,2,0),"")</f>
        <v>B1000</v>
      </c>
      <c r="C55" s="68" t="s">
        <v>16</v>
      </c>
      <c r="D55" s="71" t="str">
        <f>_xlfn.IFNA(VLOOKUP(E55,Master!$J:$K,2,0),"")</f>
        <v>B2300</v>
      </c>
      <c r="E55" s="68" t="s">
        <v>14</v>
      </c>
      <c r="F55" s="71">
        <f>_xlfn.IFNA(VLOOKUP(G55,Master!B:C,2,0),"")</f>
        <v>7651101</v>
      </c>
      <c r="G55" s="68" t="s">
        <v>23</v>
      </c>
      <c r="H55" s="68" t="s">
        <v>556</v>
      </c>
      <c r="I55" s="69" t="str">
        <f>_xlfn.IFNA(VLOOKUP(E55,Master!$J:$M,4,0),"")</f>
        <v>ADM</v>
      </c>
      <c r="J55" s="69" t="str">
        <f>_xlfn.IFNA(VLOOKUP($E55,Master!$J:$M,3,0),"")</f>
        <v>SGA</v>
      </c>
      <c r="K55" s="70">
        <v>2000000</v>
      </c>
      <c r="L55" s="70">
        <v>2000000</v>
      </c>
      <c r="M55" s="70">
        <v>2000000</v>
      </c>
      <c r="N55" s="70">
        <v>2000000</v>
      </c>
      <c r="O55" s="70">
        <v>2000000</v>
      </c>
      <c r="P55" s="70">
        <v>2000000</v>
      </c>
      <c r="Q55" s="70">
        <v>2000000</v>
      </c>
      <c r="R55" s="70">
        <v>2000000</v>
      </c>
      <c r="S55" s="70">
        <v>2000000</v>
      </c>
      <c r="T55" s="70">
        <v>2000000</v>
      </c>
      <c r="U55" s="70">
        <v>2000000</v>
      </c>
      <c r="V55" s="70">
        <v>2000000</v>
      </c>
      <c r="W55" s="70">
        <v>2000000</v>
      </c>
      <c r="X55" s="70">
        <v>2000000</v>
      </c>
      <c r="Y55" s="70">
        <v>2000000</v>
      </c>
      <c r="Z55" s="70">
        <v>2000000</v>
      </c>
      <c r="AA55" s="70">
        <v>2000000</v>
      </c>
      <c r="AB55" s="70">
        <v>2000000</v>
      </c>
      <c r="AC55" s="14">
        <f t="shared" si="0"/>
        <v>12000000</v>
      </c>
      <c r="AD55" s="14">
        <f t="shared" si="1"/>
        <v>24000000</v>
      </c>
      <c r="AE55" s="70">
        <v>24000000</v>
      </c>
      <c r="AF55" s="70">
        <v>24000000</v>
      </c>
      <c r="AG55" s="72" t="s">
        <v>231</v>
      </c>
      <c r="AH55" s="67"/>
      <c r="AI55" s="67"/>
    </row>
    <row r="56" spans="1:35" ht="15" customHeight="1" x14ac:dyDescent="0.4">
      <c r="A56" s="68" t="s">
        <v>13</v>
      </c>
      <c r="B56" s="69" t="str">
        <f>_xlfn.IFNA(VLOOKUP(C56,Master!$J:$K,2,0),"")</f>
        <v>B1000</v>
      </c>
      <c r="C56" s="68" t="s">
        <v>16</v>
      </c>
      <c r="D56" s="71" t="str">
        <f>_xlfn.IFNA(VLOOKUP(E56,Master!$J:$K,2,0),"")</f>
        <v>B2300</v>
      </c>
      <c r="E56" s="68" t="s">
        <v>14</v>
      </c>
      <c r="F56" s="71">
        <f>_xlfn.IFNA(VLOOKUP(G56,Master!B:C,2,0),"")</f>
        <v>7781103</v>
      </c>
      <c r="G56" s="68" t="s">
        <v>25</v>
      </c>
      <c r="H56" s="68" t="s">
        <v>557</v>
      </c>
      <c r="I56" s="69" t="str">
        <f>_xlfn.IFNA(VLOOKUP(E56,Master!$J:$M,4,0),"")</f>
        <v>ADM</v>
      </c>
      <c r="J56" s="69" t="str">
        <f>_xlfn.IFNA(VLOOKUP($E56,Master!$J:$M,3,0),"")</f>
        <v>SGA</v>
      </c>
      <c r="K56" s="70">
        <v>600000</v>
      </c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70">
        <v>600000</v>
      </c>
      <c r="X56" s="67"/>
      <c r="Y56" s="67"/>
      <c r="Z56" s="67"/>
      <c r="AA56" s="67"/>
      <c r="AB56" s="67"/>
      <c r="AC56" s="14">
        <f t="shared" si="0"/>
        <v>600000</v>
      </c>
      <c r="AD56" s="14">
        <f t="shared" si="1"/>
        <v>600000</v>
      </c>
      <c r="AE56" s="70">
        <v>600000</v>
      </c>
      <c r="AF56" s="70">
        <v>600000</v>
      </c>
      <c r="AG56" s="72" t="s">
        <v>231</v>
      </c>
      <c r="AH56" s="67"/>
      <c r="AI56" s="67"/>
    </row>
    <row r="57" spans="1:35" ht="15" customHeight="1" x14ac:dyDescent="0.4">
      <c r="A57" s="68" t="s">
        <v>13</v>
      </c>
      <c r="B57" s="69" t="str">
        <f>_xlfn.IFNA(VLOOKUP(C57,Master!$J:$K,2,0),"")</f>
        <v>B1000</v>
      </c>
      <c r="C57" s="68" t="s">
        <v>16</v>
      </c>
      <c r="D57" s="71" t="str">
        <f>_xlfn.IFNA(VLOOKUP(E57,Master!$J:$K,2,0),"")</f>
        <v>B2300</v>
      </c>
      <c r="E57" s="68" t="s">
        <v>14</v>
      </c>
      <c r="F57" s="71">
        <f>_xlfn.IFNA(VLOOKUP(G57,Master!B:C,2,0),"")</f>
        <v>7711101</v>
      </c>
      <c r="G57" s="68" t="s">
        <v>27</v>
      </c>
      <c r="H57" s="68" t="s">
        <v>558</v>
      </c>
      <c r="I57" s="69" t="str">
        <f>_xlfn.IFNA(VLOOKUP(E57,Master!$J:$M,4,0),"")</f>
        <v>ADM</v>
      </c>
      <c r="J57" s="69" t="str">
        <f>_xlfn.IFNA(VLOOKUP($E57,Master!$J:$M,3,0),"")</f>
        <v>SGA</v>
      </c>
      <c r="K57" s="70">
        <v>1000000</v>
      </c>
      <c r="L57" s="70">
        <v>1000000</v>
      </c>
      <c r="M57" s="70">
        <v>1000000</v>
      </c>
      <c r="N57" s="70">
        <v>1000000</v>
      </c>
      <c r="O57" s="70">
        <v>1000000</v>
      </c>
      <c r="P57" s="70">
        <v>1000000</v>
      </c>
      <c r="Q57" s="70">
        <v>1000000</v>
      </c>
      <c r="R57" s="70">
        <v>1000000</v>
      </c>
      <c r="S57" s="70">
        <v>1000000</v>
      </c>
      <c r="T57" s="70">
        <v>1000000</v>
      </c>
      <c r="U57" s="70">
        <v>1000000</v>
      </c>
      <c r="V57" s="70">
        <v>1000000</v>
      </c>
      <c r="W57" s="70">
        <v>1000000</v>
      </c>
      <c r="X57" s="70">
        <v>1000000</v>
      </c>
      <c r="Y57" s="70">
        <v>1000000</v>
      </c>
      <c r="Z57" s="70">
        <v>1000000</v>
      </c>
      <c r="AA57" s="70">
        <v>1000000</v>
      </c>
      <c r="AB57" s="70">
        <v>1000000</v>
      </c>
      <c r="AC57" s="14">
        <f t="shared" si="0"/>
        <v>6000000</v>
      </c>
      <c r="AD57" s="14">
        <f t="shared" si="1"/>
        <v>12000000</v>
      </c>
      <c r="AE57" s="70">
        <v>12000000</v>
      </c>
      <c r="AF57" s="70">
        <v>12000000</v>
      </c>
      <c r="AG57" s="72" t="s">
        <v>231</v>
      </c>
      <c r="AH57" s="67"/>
      <c r="AI57" s="67"/>
    </row>
    <row r="58" spans="1:35" ht="15" customHeight="1" x14ac:dyDescent="0.4">
      <c r="A58" s="68" t="s">
        <v>13</v>
      </c>
      <c r="B58" s="69" t="str">
        <f>_xlfn.IFNA(VLOOKUP(C58,Master!$J:$K,2,0),"")</f>
        <v>B1000</v>
      </c>
      <c r="C58" s="68" t="s">
        <v>16</v>
      </c>
      <c r="D58" s="71" t="str">
        <f>_xlfn.IFNA(VLOOKUP(E58,Master!$J:$K,2,0),"")</f>
        <v>B2300</v>
      </c>
      <c r="E58" s="68" t="s">
        <v>14</v>
      </c>
      <c r="F58" s="71">
        <f>_xlfn.IFNA(VLOOKUP(G58,Master!B:C,2,0),"")</f>
        <v>7781112</v>
      </c>
      <c r="G58" s="68" t="s">
        <v>26</v>
      </c>
      <c r="H58" s="68" t="s">
        <v>559</v>
      </c>
      <c r="I58" s="69" t="str">
        <f>_xlfn.IFNA(VLOOKUP(E58,Master!$J:$M,4,0),"")</f>
        <v>ADM</v>
      </c>
      <c r="J58" s="69" t="str">
        <f>_xlfn.IFNA(VLOOKUP($E58,Master!$J:$M,3,0),"")</f>
        <v>SGA</v>
      </c>
      <c r="K58" s="70">
        <v>18800000</v>
      </c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70">
        <v>18800000</v>
      </c>
      <c r="X58" s="67"/>
      <c r="Y58" s="67"/>
      <c r="Z58" s="67"/>
      <c r="AA58" s="67"/>
      <c r="AB58" s="67"/>
      <c r="AC58" s="14">
        <f t="shared" si="0"/>
        <v>18800000</v>
      </c>
      <c r="AD58" s="14">
        <f t="shared" si="1"/>
        <v>18800000</v>
      </c>
      <c r="AE58" s="70">
        <v>18800000</v>
      </c>
      <c r="AF58" s="70">
        <v>18800000</v>
      </c>
      <c r="AG58" s="72" t="s">
        <v>231</v>
      </c>
      <c r="AH58" s="67"/>
      <c r="AI58" s="67"/>
    </row>
    <row r="59" spans="1:35" ht="15" customHeight="1" x14ac:dyDescent="0.4">
      <c r="A59" s="68" t="s">
        <v>13</v>
      </c>
      <c r="B59" s="69" t="str">
        <f>_xlfn.IFNA(VLOOKUP(C59,Master!$J:$K,2,0),"")</f>
        <v>B1000</v>
      </c>
      <c r="C59" s="68" t="s">
        <v>16</v>
      </c>
      <c r="D59" s="71" t="str">
        <f>_xlfn.IFNA(VLOOKUP(E59,Master!$J:$K,2,0),"")</f>
        <v>B2300</v>
      </c>
      <c r="E59" s="68" t="s">
        <v>14</v>
      </c>
      <c r="F59" s="71">
        <f>_xlfn.IFNA(VLOOKUP(G59,Master!B:C,2,0),"")</f>
        <v>7781112</v>
      </c>
      <c r="G59" s="68" t="s">
        <v>26</v>
      </c>
      <c r="H59" s="68" t="s">
        <v>560</v>
      </c>
      <c r="I59" s="69" t="str">
        <f>_xlfn.IFNA(VLOOKUP(E59,Master!$J:$M,4,0),"")</f>
        <v>ADM</v>
      </c>
      <c r="J59" s="69" t="str">
        <f>_xlfn.IFNA(VLOOKUP($E59,Master!$J:$M,3,0),"")</f>
        <v>SGA</v>
      </c>
      <c r="K59" s="70">
        <v>1417720</v>
      </c>
      <c r="L59" s="70">
        <v>1417720</v>
      </c>
      <c r="M59" s="70">
        <v>1417720</v>
      </c>
      <c r="N59" s="70">
        <v>1417720</v>
      </c>
      <c r="O59" s="70">
        <v>1417720</v>
      </c>
      <c r="P59" s="70">
        <v>1417720</v>
      </c>
      <c r="Q59" s="70">
        <v>1417720</v>
      </c>
      <c r="R59" s="70">
        <v>1417720</v>
      </c>
      <c r="S59" s="70">
        <v>1417720</v>
      </c>
      <c r="T59" s="70">
        <v>1417720</v>
      </c>
      <c r="U59" s="70">
        <v>1417720</v>
      </c>
      <c r="V59" s="70">
        <v>1417720</v>
      </c>
      <c r="W59" s="70">
        <v>1417720</v>
      </c>
      <c r="X59" s="70">
        <v>1417720</v>
      </c>
      <c r="Y59" s="70">
        <v>1417720</v>
      </c>
      <c r="Z59" s="70">
        <v>1417720</v>
      </c>
      <c r="AA59" s="70">
        <v>1417720</v>
      </c>
      <c r="AB59" s="70">
        <v>1417720</v>
      </c>
      <c r="AC59" s="14">
        <f t="shared" si="0"/>
        <v>8506320</v>
      </c>
      <c r="AD59" s="14">
        <f t="shared" si="1"/>
        <v>17012640</v>
      </c>
      <c r="AE59" s="70">
        <v>17012640</v>
      </c>
      <c r="AF59" s="70">
        <v>17012640</v>
      </c>
      <c r="AG59" s="72" t="s">
        <v>231</v>
      </c>
      <c r="AH59" s="67"/>
      <c r="AI59" s="67"/>
    </row>
    <row r="60" spans="1:35" ht="15" customHeight="1" x14ac:dyDescent="0.4">
      <c r="A60" s="68" t="s">
        <v>13</v>
      </c>
      <c r="B60" s="69" t="str">
        <f>_xlfn.IFNA(VLOOKUP(C60,Master!$J:$K,2,0),"")</f>
        <v>B1000</v>
      </c>
      <c r="C60" s="68" t="s">
        <v>16</v>
      </c>
      <c r="D60" s="71" t="str">
        <f>_xlfn.IFNA(VLOOKUP(E60,Master!$J:$K,2,0),"")</f>
        <v>B2300</v>
      </c>
      <c r="E60" s="68" t="s">
        <v>14</v>
      </c>
      <c r="F60" s="71">
        <f>_xlfn.IFNA(VLOOKUP(G60,Master!B:C,2,0),"")</f>
        <v>7661101</v>
      </c>
      <c r="G60" s="68" t="s">
        <v>24</v>
      </c>
      <c r="H60" s="68" t="s">
        <v>561</v>
      </c>
      <c r="I60" s="69" t="str">
        <f>_xlfn.IFNA(VLOOKUP(E60,Master!$J:$M,4,0),"")</f>
        <v>ADM</v>
      </c>
      <c r="J60" s="69" t="str">
        <f>_xlfn.IFNA(VLOOKUP($E60,Master!$J:$M,3,0),"")</f>
        <v>SGA</v>
      </c>
      <c r="K60" s="70">
        <v>1700000</v>
      </c>
      <c r="L60" s="70">
        <v>950000</v>
      </c>
      <c r="M60" s="70">
        <v>1700000</v>
      </c>
      <c r="N60" s="70">
        <v>950000</v>
      </c>
      <c r="O60" s="70">
        <v>1700000</v>
      </c>
      <c r="P60" s="70">
        <v>950000</v>
      </c>
      <c r="Q60" s="70">
        <v>1700000</v>
      </c>
      <c r="R60" s="70">
        <v>950000</v>
      </c>
      <c r="S60" s="70">
        <v>1700000</v>
      </c>
      <c r="T60" s="70">
        <v>950000</v>
      </c>
      <c r="U60" s="70">
        <v>1700000</v>
      </c>
      <c r="V60" s="70">
        <v>950000</v>
      </c>
      <c r="W60" s="70">
        <v>1700000</v>
      </c>
      <c r="X60" s="70">
        <v>950000</v>
      </c>
      <c r="Y60" s="70">
        <v>1700000</v>
      </c>
      <c r="Z60" s="70">
        <v>950000</v>
      </c>
      <c r="AA60" s="70">
        <v>1700000</v>
      </c>
      <c r="AB60" s="70">
        <v>950000</v>
      </c>
      <c r="AC60" s="14">
        <f t="shared" si="0"/>
        <v>7950000</v>
      </c>
      <c r="AD60" s="14">
        <f t="shared" si="1"/>
        <v>15900000</v>
      </c>
      <c r="AE60" s="70">
        <v>15900000</v>
      </c>
      <c r="AF60" s="70">
        <v>15900000</v>
      </c>
      <c r="AG60" s="72" t="s">
        <v>231</v>
      </c>
      <c r="AH60" s="67"/>
      <c r="AI60" s="67"/>
    </row>
    <row r="61" spans="1:35" ht="15" customHeight="1" x14ac:dyDescent="0.4">
      <c r="A61" s="68" t="s">
        <v>13</v>
      </c>
      <c r="B61" s="69" t="str">
        <f>_xlfn.IFNA(VLOOKUP(C61,Master!$J:$K,2,0),"")</f>
        <v>B1000</v>
      </c>
      <c r="C61" s="68" t="s">
        <v>16</v>
      </c>
      <c r="D61" s="71" t="str">
        <f>_xlfn.IFNA(VLOOKUP(E61,Master!$J:$K,2,0),"")</f>
        <v>B2300</v>
      </c>
      <c r="E61" s="68" t="s">
        <v>14</v>
      </c>
      <c r="F61" s="71">
        <f>_xlfn.IFNA(VLOOKUP(G61,Master!B:C,2,0),"")</f>
        <v>7711102</v>
      </c>
      <c r="G61" s="68" t="s">
        <v>562</v>
      </c>
      <c r="H61" s="68" t="s">
        <v>563</v>
      </c>
      <c r="I61" s="69" t="str">
        <f>_xlfn.IFNA(VLOOKUP(E61,Master!$J:$M,4,0),"")</f>
        <v>ADM</v>
      </c>
      <c r="J61" s="69" t="str">
        <f>_xlfn.IFNA(VLOOKUP($E61,Master!$J:$M,3,0),"")</f>
        <v>SGA</v>
      </c>
      <c r="K61" s="67"/>
      <c r="L61" s="67"/>
      <c r="M61" s="67"/>
      <c r="N61" s="67"/>
      <c r="O61" s="67"/>
      <c r="P61" s="67"/>
      <c r="Q61" s="70">
        <v>5000000</v>
      </c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14">
        <f t="shared" si="0"/>
        <v>0</v>
      </c>
      <c r="AD61" s="14">
        <f t="shared" si="1"/>
        <v>5000000</v>
      </c>
      <c r="AE61" s="70">
        <v>5000000</v>
      </c>
      <c r="AF61" s="70">
        <v>5000000</v>
      </c>
      <c r="AG61" s="72" t="s">
        <v>231</v>
      </c>
      <c r="AH61" s="67"/>
      <c r="AI61" s="67"/>
    </row>
    <row r="62" spans="1:35" ht="15" customHeight="1" x14ac:dyDescent="0.4">
      <c r="B62" s="69" t="str">
        <f>_xlfn.IFNA(VLOOKUP(C62,Master!$J:$K,2,0),"")</f>
        <v/>
      </c>
      <c r="D62" s="71" t="str">
        <f>_xlfn.IFNA(VLOOKUP(E62,Master!$J:$K,2,0),"")</f>
        <v/>
      </c>
      <c r="F62" s="71" t="str">
        <f>_xlfn.IFNA(VLOOKUP(G62,Master!B:C,2,0),"")</f>
        <v/>
      </c>
      <c r="I62" s="69" t="str">
        <f>_xlfn.IFNA(VLOOKUP(E62,Master!$J:$M,4,0),"")</f>
        <v/>
      </c>
      <c r="J62" s="69" t="str">
        <f>_xlfn.IFNA(VLOOKUP($E62,Master!$J:$M,3,0),"")</f>
        <v/>
      </c>
      <c r="AC62" s="14">
        <f t="shared" si="0"/>
        <v>0</v>
      </c>
      <c r="AD62" s="14">
        <f t="shared" si="1"/>
        <v>0</v>
      </c>
    </row>
    <row r="63" spans="1:35" ht="15" customHeight="1" x14ac:dyDescent="0.4">
      <c r="B63" s="69" t="str">
        <f>_xlfn.IFNA(VLOOKUP(C63,Master!$J:$K,2,0),"")</f>
        <v/>
      </c>
      <c r="D63" s="71" t="str">
        <f>_xlfn.IFNA(VLOOKUP(E63,Master!$J:$K,2,0),"")</f>
        <v/>
      </c>
      <c r="F63" s="71" t="str">
        <f>_xlfn.IFNA(VLOOKUP(G63,Master!B:C,2,0),"")</f>
        <v/>
      </c>
      <c r="I63" s="69" t="str">
        <f>_xlfn.IFNA(VLOOKUP(E63,Master!$J:$M,4,0),"")</f>
        <v/>
      </c>
      <c r="J63" s="69" t="str">
        <f>_xlfn.IFNA(VLOOKUP($E63,Master!$J:$M,3,0),"")</f>
        <v/>
      </c>
      <c r="AC63" s="14">
        <f t="shared" si="0"/>
        <v>0</v>
      </c>
      <c r="AD63" s="14">
        <f t="shared" si="1"/>
        <v>0</v>
      </c>
    </row>
    <row r="64" spans="1:35" ht="15" customHeight="1" x14ac:dyDescent="0.4">
      <c r="B64" s="69" t="str">
        <f>_xlfn.IFNA(VLOOKUP(C64,Master!$J:$K,2,0),"")</f>
        <v/>
      </c>
      <c r="D64" s="71" t="str">
        <f>_xlfn.IFNA(VLOOKUP(E64,Master!$J:$K,2,0),"")</f>
        <v/>
      </c>
      <c r="F64" s="71" t="str">
        <f>_xlfn.IFNA(VLOOKUP(G64,Master!B:C,2,0),"")</f>
        <v/>
      </c>
      <c r="I64" s="69" t="str">
        <f>_xlfn.IFNA(VLOOKUP(E64,Master!$J:$M,4,0),"")</f>
        <v/>
      </c>
      <c r="J64" s="69" t="str">
        <f>_xlfn.IFNA(VLOOKUP($E64,Master!$J:$M,3,0),"")</f>
        <v/>
      </c>
      <c r="AC64" s="14">
        <f t="shared" si="0"/>
        <v>0</v>
      </c>
      <c r="AD64" s="14">
        <f t="shared" si="1"/>
        <v>0</v>
      </c>
    </row>
    <row r="65" spans="2:30" ht="15" customHeight="1" x14ac:dyDescent="0.4">
      <c r="B65" s="69" t="str">
        <f>_xlfn.IFNA(VLOOKUP(C65,Master!$J:$K,2,0),"")</f>
        <v/>
      </c>
      <c r="D65" s="71" t="str">
        <f>_xlfn.IFNA(VLOOKUP(E65,Master!$J:$K,2,0),"")</f>
        <v/>
      </c>
      <c r="F65" s="71" t="str">
        <f>_xlfn.IFNA(VLOOKUP(G65,Master!B:C,2,0),"")</f>
        <v/>
      </c>
      <c r="I65" s="69" t="str">
        <f>_xlfn.IFNA(VLOOKUP(E65,Master!$J:$M,4,0),"")</f>
        <v/>
      </c>
      <c r="J65" s="69" t="str">
        <f>_xlfn.IFNA(VLOOKUP($E65,Master!$J:$M,3,0),"")</f>
        <v/>
      </c>
      <c r="AC65" s="14">
        <f t="shared" si="0"/>
        <v>0</v>
      </c>
      <c r="AD65" s="14">
        <f t="shared" si="1"/>
        <v>0</v>
      </c>
    </row>
    <row r="66" spans="2:30" ht="15" customHeight="1" x14ac:dyDescent="0.4">
      <c r="B66" s="69" t="str">
        <f>_xlfn.IFNA(VLOOKUP(C66,Master!$J:$K,2,0),"")</f>
        <v/>
      </c>
      <c r="D66" s="71" t="str">
        <f>_xlfn.IFNA(VLOOKUP(E66,Master!$J:$K,2,0),"")</f>
        <v/>
      </c>
      <c r="F66" s="71" t="str">
        <f>_xlfn.IFNA(VLOOKUP(G66,Master!B:C,2,0),"")</f>
        <v/>
      </c>
      <c r="I66" s="69" t="str">
        <f>_xlfn.IFNA(VLOOKUP(E66,Master!$J:$M,4,0),"")</f>
        <v/>
      </c>
      <c r="J66" s="69" t="str">
        <f>_xlfn.IFNA(VLOOKUP($E66,Master!$J:$M,3,0),"")</f>
        <v/>
      </c>
      <c r="AC66" s="14">
        <f t="shared" ref="AC66:AC129" si="4">SUM(K66:P66)</f>
        <v>0</v>
      </c>
      <c r="AD66" s="14">
        <f t="shared" ref="AD66:AD129" si="5">SUM(Q66:AB66)</f>
        <v>0</v>
      </c>
    </row>
    <row r="67" spans="2:30" ht="15" customHeight="1" x14ac:dyDescent="0.4">
      <c r="B67" s="69" t="str">
        <f>_xlfn.IFNA(VLOOKUP(C67,Master!$J:$K,2,0),"")</f>
        <v/>
      </c>
      <c r="D67" s="71" t="str">
        <f>_xlfn.IFNA(VLOOKUP(E67,Master!$J:$K,2,0),"")</f>
        <v/>
      </c>
      <c r="F67" s="71" t="str">
        <f>_xlfn.IFNA(VLOOKUP(G67,Master!B:C,2,0),"")</f>
        <v/>
      </c>
      <c r="I67" s="69" t="str">
        <f>_xlfn.IFNA(VLOOKUP(E67,Master!$J:$M,4,0),"")</f>
        <v/>
      </c>
      <c r="J67" s="69" t="str">
        <f>_xlfn.IFNA(VLOOKUP($E67,Master!$J:$M,3,0),"")</f>
        <v/>
      </c>
      <c r="AC67" s="14">
        <f t="shared" si="4"/>
        <v>0</v>
      </c>
      <c r="AD67" s="14">
        <f t="shared" si="5"/>
        <v>0</v>
      </c>
    </row>
    <row r="68" spans="2:30" ht="15" customHeight="1" x14ac:dyDescent="0.4">
      <c r="B68" s="69" t="str">
        <f>_xlfn.IFNA(VLOOKUP(C68,Master!$J:$K,2,0),"")</f>
        <v/>
      </c>
      <c r="D68" s="71" t="str">
        <f>_xlfn.IFNA(VLOOKUP(E68,Master!$J:$K,2,0),"")</f>
        <v/>
      </c>
      <c r="F68" s="71" t="str">
        <f>_xlfn.IFNA(VLOOKUP(G68,Master!B:C,2,0),"")</f>
        <v/>
      </c>
      <c r="I68" s="69" t="str">
        <f>_xlfn.IFNA(VLOOKUP(E68,Master!$J:$M,4,0),"")</f>
        <v/>
      </c>
      <c r="J68" s="69" t="str">
        <f>_xlfn.IFNA(VLOOKUP($E68,Master!$J:$M,3,0),"")</f>
        <v/>
      </c>
      <c r="AC68" s="14">
        <f t="shared" si="4"/>
        <v>0</v>
      </c>
      <c r="AD68" s="14">
        <f t="shared" si="5"/>
        <v>0</v>
      </c>
    </row>
    <row r="69" spans="2:30" ht="15" customHeight="1" x14ac:dyDescent="0.4">
      <c r="B69" s="69" t="str">
        <f>_xlfn.IFNA(VLOOKUP(C69,Master!$J:$K,2,0),"")</f>
        <v/>
      </c>
      <c r="D69" s="71" t="str">
        <f>_xlfn.IFNA(VLOOKUP(E69,Master!$J:$K,2,0),"")</f>
        <v/>
      </c>
      <c r="F69" s="71" t="str">
        <f>_xlfn.IFNA(VLOOKUP(G69,Master!B:C,2,0),"")</f>
        <v/>
      </c>
      <c r="I69" s="69" t="str">
        <f>_xlfn.IFNA(VLOOKUP(E69,Master!$J:$M,4,0),"")</f>
        <v/>
      </c>
      <c r="J69" s="69" t="str">
        <f>_xlfn.IFNA(VLOOKUP($E69,Master!$J:$M,3,0),"")</f>
        <v/>
      </c>
      <c r="AC69" s="14">
        <f t="shared" si="4"/>
        <v>0</v>
      </c>
      <c r="AD69" s="14">
        <f t="shared" si="5"/>
        <v>0</v>
      </c>
    </row>
    <row r="70" spans="2:30" ht="15" customHeight="1" x14ac:dyDescent="0.4">
      <c r="B70" s="69" t="str">
        <f>_xlfn.IFNA(VLOOKUP(C70,Master!$J:$K,2,0),"")</f>
        <v/>
      </c>
      <c r="D70" s="71" t="str">
        <f>_xlfn.IFNA(VLOOKUP(E70,Master!$J:$K,2,0),"")</f>
        <v/>
      </c>
      <c r="F70" s="71" t="str">
        <f>_xlfn.IFNA(VLOOKUP(G70,Master!B:C,2,0),"")</f>
        <v/>
      </c>
      <c r="I70" s="69" t="str">
        <f>_xlfn.IFNA(VLOOKUP(E70,Master!$J:$M,4,0),"")</f>
        <v/>
      </c>
      <c r="J70" s="69" t="str">
        <f>_xlfn.IFNA(VLOOKUP($E70,Master!$J:$M,3,0),"")</f>
        <v/>
      </c>
      <c r="AC70" s="14">
        <f t="shared" si="4"/>
        <v>0</v>
      </c>
      <c r="AD70" s="14">
        <f t="shared" si="5"/>
        <v>0</v>
      </c>
    </row>
    <row r="71" spans="2:30" ht="15" customHeight="1" x14ac:dyDescent="0.4">
      <c r="B71" s="69" t="str">
        <f>_xlfn.IFNA(VLOOKUP(C71,Master!$J:$K,2,0),"")</f>
        <v/>
      </c>
      <c r="D71" s="71" t="str">
        <f>_xlfn.IFNA(VLOOKUP(E71,Master!$J:$K,2,0),"")</f>
        <v/>
      </c>
      <c r="F71" s="71" t="str">
        <f>_xlfn.IFNA(VLOOKUP(G71,Master!B:C,2,0),"")</f>
        <v/>
      </c>
      <c r="I71" s="69" t="str">
        <f>_xlfn.IFNA(VLOOKUP(E71,Master!$J:$M,4,0),"")</f>
        <v/>
      </c>
      <c r="J71" s="69" t="str">
        <f>_xlfn.IFNA(VLOOKUP($E71,Master!$J:$M,3,0),"")</f>
        <v/>
      </c>
      <c r="AC71" s="14">
        <f t="shared" si="4"/>
        <v>0</v>
      </c>
      <c r="AD71" s="14">
        <f t="shared" si="5"/>
        <v>0</v>
      </c>
    </row>
    <row r="72" spans="2:30" ht="15" customHeight="1" x14ac:dyDescent="0.4">
      <c r="B72" s="69" t="str">
        <f>_xlfn.IFNA(VLOOKUP(C72,Master!$J:$K,2,0),"")</f>
        <v/>
      </c>
      <c r="D72" s="71" t="str">
        <f>_xlfn.IFNA(VLOOKUP(E72,Master!$J:$K,2,0),"")</f>
        <v/>
      </c>
      <c r="F72" s="71" t="str">
        <f>_xlfn.IFNA(VLOOKUP(G72,Master!B:C,2,0),"")</f>
        <v/>
      </c>
      <c r="I72" s="69" t="str">
        <f>_xlfn.IFNA(VLOOKUP(E72,Master!$J:$M,4,0),"")</f>
        <v/>
      </c>
      <c r="J72" s="69" t="str">
        <f>_xlfn.IFNA(VLOOKUP($E72,Master!$J:$M,3,0),"")</f>
        <v/>
      </c>
      <c r="AC72" s="14">
        <f t="shared" si="4"/>
        <v>0</v>
      </c>
      <c r="AD72" s="14">
        <f t="shared" si="5"/>
        <v>0</v>
      </c>
    </row>
    <row r="73" spans="2:30" ht="15" customHeight="1" x14ac:dyDescent="0.4">
      <c r="B73" s="69" t="str">
        <f>_xlfn.IFNA(VLOOKUP(C73,Master!$J:$K,2,0),"")</f>
        <v/>
      </c>
      <c r="D73" s="71" t="str">
        <f>_xlfn.IFNA(VLOOKUP(E73,Master!$J:$K,2,0),"")</f>
        <v/>
      </c>
      <c r="F73" s="71" t="str">
        <f>_xlfn.IFNA(VLOOKUP(G73,Master!B:C,2,0),"")</f>
        <v/>
      </c>
      <c r="I73" s="69" t="str">
        <f>_xlfn.IFNA(VLOOKUP(E73,Master!$J:$M,4,0),"")</f>
        <v/>
      </c>
      <c r="J73" s="69" t="str">
        <f>_xlfn.IFNA(VLOOKUP($E73,Master!$J:$M,3,0),"")</f>
        <v/>
      </c>
      <c r="AC73" s="14">
        <f t="shared" si="4"/>
        <v>0</v>
      </c>
      <c r="AD73" s="14">
        <f t="shared" si="5"/>
        <v>0</v>
      </c>
    </row>
    <row r="74" spans="2:30" ht="15" customHeight="1" x14ac:dyDescent="0.4">
      <c r="B74" s="69" t="str">
        <f>_xlfn.IFNA(VLOOKUP(C74,Master!$J:$K,2,0),"")</f>
        <v/>
      </c>
      <c r="D74" s="71" t="str">
        <f>_xlfn.IFNA(VLOOKUP(E74,Master!$J:$K,2,0),"")</f>
        <v/>
      </c>
      <c r="F74" s="71" t="str">
        <f>_xlfn.IFNA(VLOOKUP(G74,Master!B:C,2,0),"")</f>
        <v/>
      </c>
      <c r="I74" s="69" t="str">
        <f>_xlfn.IFNA(VLOOKUP(E74,Master!$J:$M,4,0),"")</f>
        <v/>
      </c>
      <c r="J74" s="69" t="str">
        <f>_xlfn.IFNA(VLOOKUP($E74,Master!$J:$M,3,0),"")</f>
        <v/>
      </c>
      <c r="AC74" s="14">
        <f t="shared" si="4"/>
        <v>0</v>
      </c>
      <c r="AD74" s="14">
        <f t="shared" si="5"/>
        <v>0</v>
      </c>
    </row>
    <row r="75" spans="2:30" ht="15" customHeight="1" x14ac:dyDescent="0.4">
      <c r="B75" s="69" t="str">
        <f>_xlfn.IFNA(VLOOKUP(C75,Master!$J:$K,2,0),"")</f>
        <v/>
      </c>
      <c r="D75" s="71" t="str">
        <f>_xlfn.IFNA(VLOOKUP(E75,Master!$J:$K,2,0),"")</f>
        <v/>
      </c>
      <c r="F75" s="71" t="str">
        <f>_xlfn.IFNA(VLOOKUP(G75,Master!B:C,2,0),"")</f>
        <v/>
      </c>
      <c r="I75" s="69" t="str">
        <f>_xlfn.IFNA(VLOOKUP(E75,Master!$J:$M,4,0),"")</f>
        <v/>
      </c>
      <c r="J75" s="69" t="str">
        <f>_xlfn.IFNA(VLOOKUP($E75,Master!$J:$M,3,0),"")</f>
        <v/>
      </c>
      <c r="AC75" s="14">
        <f t="shared" si="4"/>
        <v>0</v>
      </c>
      <c r="AD75" s="14">
        <f t="shared" si="5"/>
        <v>0</v>
      </c>
    </row>
    <row r="76" spans="2:30" ht="15" customHeight="1" x14ac:dyDescent="0.4">
      <c r="B76" s="69" t="str">
        <f>_xlfn.IFNA(VLOOKUP(C76,Master!$J:$K,2,0),"")</f>
        <v/>
      </c>
      <c r="D76" s="71" t="str">
        <f>_xlfn.IFNA(VLOOKUP(E76,Master!$J:$K,2,0),"")</f>
        <v/>
      </c>
      <c r="F76" s="71" t="str">
        <f>_xlfn.IFNA(VLOOKUP(G76,Master!B:C,2,0),"")</f>
        <v/>
      </c>
      <c r="I76" s="69" t="str">
        <f>_xlfn.IFNA(VLOOKUP(E76,Master!$J:$M,4,0),"")</f>
        <v/>
      </c>
      <c r="J76" s="69" t="str">
        <f>_xlfn.IFNA(VLOOKUP($E76,Master!$J:$M,3,0),"")</f>
        <v/>
      </c>
      <c r="AC76" s="14">
        <f t="shared" si="4"/>
        <v>0</v>
      </c>
      <c r="AD76" s="14">
        <f t="shared" si="5"/>
        <v>0</v>
      </c>
    </row>
    <row r="77" spans="2:30" ht="15" customHeight="1" x14ac:dyDescent="0.4">
      <c r="B77" s="69" t="str">
        <f>_xlfn.IFNA(VLOOKUP(C77,Master!$J:$K,2,0),"")</f>
        <v/>
      </c>
      <c r="D77" s="71" t="str">
        <f>_xlfn.IFNA(VLOOKUP(E77,Master!$J:$K,2,0),"")</f>
        <v/>
      </c>
      <c r="F77" s="71" t="str">
        <f>_xlfn.IFNA(VLOOKUP(G77,Master!B:C,2,0),"")</f>
        <v/>
      </c>
      <c r="I77" s="69" t="str">
        <f>_xlfn.IFNA(VLOOKUP(E77,Master!$J:$M,4,0),"")</f>
        <v/>
      </c>
      <c r="J77" s="69" t="str">
        <f>_xlfn.IFNA(VLOOKUP($E77,Master!$J:$M,3,0),"")</f>
        <v/>
      </c>
      <c r="AC77" s="14">
        <f t="shared" si="4"/>
        <v>0</v>
      </c>
      <c r="AD77" s="14">
        <f t="shared" si="5"/>
        <v>0</v>
      </c>
    </row>
    <row r="78" spans="2:30" ht="15" customHeight="1" x14ac:dyDescent="0.4">
      <c r="B78" s="69" t="str">
        <f>_xlfn.IFNA(VLOOKUP(C78,Master!$J:$K,2,0),"")</f>
        <v/>
      </c>
      <c r="D78" s="71" t="str">
        <f>_xlfn.IFNA(VLOOKUP(E78,Master!$J:$K,2,0),"")</f>
        <v/>
      </c>
      <c r="F78" s="71" t="str">
        <f>_xlfn.IFNA(VLOOKUP(G78,Master!B:C,2,0),"")</f>
        <v/>
      </c>
      <c r="I78" s="69" t="str">
        <f>_xlfn.IFNA(VLOOKUP(E78,Master!$J:$M,4,0),"")</f>
        <v/>
      </c>
      <c r="J78" s="69" t="str">
        <f>_xlfn.IFNA(VLOOKUP($E78,Master!$J:$M,3,0),"")</f>
        <v/>
      </c>
      <c r="AC78" s="14">
        <f t="shared" si="4"/>
        <v>0</v>
      </c>
      <c r="AD78" s="14">
        <f t="shared" si="5"/>
        <v>0</v>
      </c>
    </row>
    <row r="79" spans="2:30" ht="15" customHeight="1" x14ac:dyDescent="0.4">
      <c r="B79" s="69" t="str">
        <f>_xlfn.IFNA(VLOOKUP(C79,Master!$J:$K,2,0),"")</f>
        <v/>
      </c>
      <c r="D79" s="71" t="str">
        <f>_xlfn.IFNA(VLOOKUP(E79,Master!$J:$K,2,0),"")</f>
        <v/>
      </c>
      <c r="F79" s="71" t="str">
        <f>_xlfn.IFNA(VLOOKUP(G79,Master!B:C,2,0),"")</f>
        <v/>
      </c>
      <c r="I79" s="69" t="str">
        <f>_xlfn.IFNA(VLOOKUP(E79,Master!$J:$M,4,0),"")</f>
        <v/>
      </c>
      <c r="J79" s="69" t="str">
        <f>_xlfn.IFNA(VLOOKUP($E79,Master!$J:$M,3,0),"")</f>
        <v/>
      </c>
      <c r="AC79" s="14">
        <f t="shared" si="4"/>
        <v>0</v>
      </c>
      <c r="AD79" s="14">
        <f t="shared" si="5"/>
        <v>0</v>
      </c>
    </row>
    <row r="80" spans="2:30" ht="15" customHeight="1" x14ac:dyDescent="0.4">
      <c r="B80" s="69" t="str">
        <f>_xlfn.IFNA(VLOOKUP(C80,Master!$J:$K,2,0),"")</f>
        <v/>
      </c>
      <c r="D80" s="71" t="str">
        <f>_xlfn.IFNA(VLOOKUP(E80,Master!$J:$K,2,0),"")</f>
        <v/>
      </c>
      <c r="F80" s="71" t="str">
        <f>_xlfn.IFNA(VLOOKUP(G80,Master!B:C,2,0),"")</f>
        <v/>
      </c>
      <c r="I80" s="69" t="str">
        <f>_xlfn.IFNA(VLOOKUP(E80,Master!$J:$M,4,0),"")</f>
        <v/>
      </c>
      <c r="J80" s="69" t="str">
        <f>_xlfn.IFNA(VLOOKUP($E80,Master!$J:$M,3,0),"")</f>
        <v/>
      </c>
      <c r="AC80" s="14">
        <f t="shared" si="4"/>
        <v>0</v>
      </c>
      <c r="AD80" s="14">
        <f t="shared" si="5"/>
        <v>0</v>
      </c>
    </row>
    <row r="81" spans="2:30" ht="15" customHeight="1" x14ac:dyDescent="0.4">
      <c r="B81" s="69" t="str">
        <f>_xlfn.IFNA(VLOOKUP(C81,Master!$J:$K,2,0),"")</f>
        <v/>
      </c>
      <c r="D81" s="71" t="str">
        <f>_xlfn.IFNA(VLOOKUP(E81,Master!$J:$K,2,0),"")</f>
        <v/>
      </c>
      <c r="F81" s="71" t="str">
        <f>_xlfn.IFNA(VLOOKUP(G81,Master!B:C,2,0),"")</f>
        <v/>
      </c>
      <c r="I81" s="69" t="str">
        <f>_xlfn.IFNA(VLOOKUP(E81,Master!$J:$M,4,0),"")</f>
        <v/>
      </c>
      <c r="J81" s="69" t="str">
        <f>_xlfn.IFNA(VLOOKUP($E81,Master!$J:$M,3,0),"")</f>
        <v/>
      </c>
      <c r="AC81" s="14">
        <f t="shared" si="4"/>
        <v>0</v>
      </c>
      <c r="AD81" s="14">
        <f t="shared" si="5"/>
        <v>0</v>
      </c>
    </row>
    <row r="82" spans="2:30" ht="15" customHeight="1" x14ac:dyDescent="0.4">
      <c r="B82" s="69" t="str">
        <f>_xlfn.IFNA(VLOOKUP(C82,Master!$J:$K,2,0),"")</f>
        <v/>
      </c>
      <c r="D82" s="71" t="str">
        <f>_xlfn.IFNA(VLOOKUP(E82,Master!$J:$K,2,0),"")</f>
        <v/>
      </c>
      <c r="F82" s="71" t="str">
        <f>_xlfn.IFNA(VLOOKUP(G82,Master!B:C,2,0),"")</f>
        <v/>
      </c>
      <c r="I82" s="69" t="str">
        <f>_xlfn.IFNA(VLOOKUP(E82,Master!$J:$M,4,0),"")</f>
        <v/>
      </c>
      <c r="J82" s="69" t="str">
        <f>_xlfn.IFNA(VLOOKUP($E82,Master!$J:$M,3,0),"")</f>
        <v/>
      </c>
      <c r="AC82" s="14">
        <f t="shared" si="4"/>
        <v>0</v>
      </c>
      <c r="AD82" s="14">
        <f t="shared" si="5"/>
        <v>0</v>
      </c>
    </row>
    <row r="83" spans="2:30" ht="15" customHeight="1" x14ac:dyDescent="0.4">
      <c r="B83" s="69" t="str">
        <f>_xlfn.IFNA(VLOOKUP(C83,Master!$J:$K,2,0),"")</f>
        <v/>
      </c>
      <c r="D83" s="71" t="str">
        <f>_xlfn.IFNA(VLOOKUP(E83,Master!$J:$K,2,0),"")</f>
        <v/>
      </c>
      <c r="F83" s="71" t="str">
        <f>_xlfn.IFNA(VLOOKUP(G83,Master!B:C,2,0),"")</f>
        <v/>
      </c>
      <c r="I83" s="69" t="str">
        <f>_xlfn.IFNA(VLOOKUP(E83,Master!$J:$M,4,0),"")</f>
        <v/>
      </c>
      <c r="J83" s="69" t="str">
        <f>_xlfn.IFNA(VLOOKUP($E83,Master!$J:$M,3,0),"")</f>
        <v/>
      </c>
      <c r="AC83" s="14">
        <f t="shared" si="4"/>
        <v>0</v>
      </c>
      <c r="AD83" s="14">
        <f t="shared" si="5"/>
        <v>0</v>
      </c>
    </row>
    <row r="84" spans="2:30" ht="15" customHeight="1" x14ac:dyDescent="0.4">
      <c r="B84" s="69" t="str">
        <f>_xlfn.IFNA(VLOOKUP(C84,Master!$J:$K,2,0),"")</f>
        <v/>
      </c>
      <c r="D84" s="71" t="str">
        <f>_xlfn.IFNA(VLOOKUP(E84,Master!$J:$K,2,0),"")</f>
        <v/>
      </c>
      <c r="F84" s="71" t="str">
        <f>_xlfn.IFNA(VLOOKUP(G84,Master!B:C,2,0),"")</f>
        <v/>
      </c>
      <c r="I84" s="69" t="str">
        <f>_xlfn.IFNA(VLOOKUP(E84,Master!$J:$M,4,0),"")</f>
        <v/>
      </c>
      <c r="J84" s="69" t="str">
        <f>_xlfn.IFNA(VLOOKUP($E84,Master!$J:$M,3,0),"")</f>
        <v/>
      </c>
      <c r="AC84" s="14">
        <f t="shared" si="4"/>
        <v>0</v>
      </c>
      <c r="AD84" s="14">
        <f t="shared" si="5"/>
        <v>0</v>
      </c>
    </row>
    <row r="85" spans="2:30" ht="15" customHeight="1" x14ac:dyDescent="0.4">
      <c r="B85" s="69" t="str">
        <f>_xlfn.IFNA(VLOOKUP(C85,Master!$J:$K,2,0),"")</f>
        <v/>
      </c>
      <c r="D85" s="71" t="str">
        <f>_xlfn.IFNA(VLOOKUP(E85,Master!$J:$K,2,0),"")</f>
        <v/>
      </c>
      <c r="F85" s="71" t="str">
        <f>_xlfn.IFNA(VLOOKUP(G85,Master!B:C,2,0),"")</f>
        <v/>
      </c>
      <c r="I85" s="69" t="str">
        <f>_xlfn.IFNA(VLOOKUP(E85,Master!$J:$M,4,0),"")</f>
        <v/>
      </c>
      <c r="J85" s="69" t="str">
        <f>_xlfn.IFNA(VLOOKUP($E85,Master!$J:$M,3,0),"")</f>
        <v/>
      </c>
      <c r="AC85" s="14">
        <f t="shared" si="4"/>
        <v>0</v>
      </c>
      <c r="AD85" s="14">
        <f t="shared" si="5"/>
        <v>0</v>
      </c>
    </row>
    <row r="86" spans="2:30" ht="15" customHeight="1" x14ac:dyDescent="0.4">
      <c r="B86" s="69" t="str">
        <f>_xlfn.IFNA(VLOOKUP(C86,Master!$J:$K,2,0),"")</f>
        <v/>
      </c>
      <c r="D86" s="71" t="str">
        <f>_xlfn.IFNA(VLOOKUP(E86,Master!$J:$K,2,0),"")</f>
        <v/>
      </c>
      <c r="F86" s="71" t="str">
        <f>_xlfn.IFNA(VLOOKUP(G86,Master!B:C,2,0),"")</f>
        <v/>
      </c>
      <c r="I86" s="69" t="str">
        <f>_xlfn.IFNA(VLOOKUP(E86,Master!$J:$M,4,0),"")</f>
        <v/>
      </c>
      <c r="J86" s="69" t="str">
        <f>_xlfn.IFNA(VLOOKUP($E86,Master!$J:$M,3,0),"")</f>
        <v/>
      </c>
      <c r="AC86" s="14">
        <f t="shared" si="4"/>
        <v>0</v>
      </c>
      <c r="AD86" s="14">
        <f t="shared" si="5"/>
        <v>0</v>
      </c>
    </row>
    <row r="87" spans="2:30" ht="15" customHeight="1" x14ac:dyDescent="0.4">
      <c r="B87" s="69" t="str">
        <f>_xlfn.IFNA(VLOOKUP(C87,Master!$J:$K,2,0),"")</f>
        <v/>
      </c>
      <c r="D87" s="71" t="str">
        <f>_xlfn.IFNA(VLOOKUP(E87,Master!$J:$K,2,0),"")</f>
        <v/>
      </c>
      <c r="F87" s="71" t="str">
        <f>_xlfn.IFNA(VLOOKUP(G87,Master!B:C,2,0),"")</f>
        <v/>
      </c>
      <c r="I87" s="69" t="str">
        <f>_xlfn.IFNA(VLOOKUP(E87,Master!$J:$M,4,0),"")</f>
        <v/>
      </c>
      <c r="J87" s="69" t="str">
        <f>_xlfn.IFNA(VLOOKUP($E87,Master!$J:$M,3,0),"")</f>
        <v/>
      </c>
      <c r="AC87" s="14">
        <f t="shared" si="4"/>
        <v>0</v>
      </c>
      <c r="AD87" s="14">
        <f t="shared" si="5"/>
        <v>0</v>
      </c>
    </row>
    <row r="88" spans="2:30" ht="15" customHeight="1" x14ac:dyDescent="0.4">
      <c r="B88" s="69" t="str">
        <f>_xlfn.IFNA(VLOOKUP(C88,Master!$J:$K,2,0),"")</f>
        <v/>
      </c>
      <c r="D88" s="71" t="str">
        <f>_xlfn.IFNA(VLOOKUP(E88,Master!$J:$K,2,0),"")</f>
        <v/>
      </c>
      <c r="F88" s="71" t="str">
        <f>_xlfn.IFNA(VLOOKUP(G88,Master!B:C,2,0),"")</f>
        <v/>
      </c>
      <c r="I88" s="69" t="str">
        <f>_xlfn.IFNA(VLOOKUP(E88,Master!$J:$M,4,0),"")</f>
        <v/>
      </c>
      <c r="J88" s="69" t="str">
        <f>_xlfn.IFNA(VLOOKUP($E88,Master!$J:$M,3,0),"")</f>
        <v/>
      </c>
      <c r="AC88" s="14">
        <f t="shared" si="4"/>
        <v>0</v>
      </c>
      <c r="AD88" s="14">
        <f t="shared" si="5"/>
        <v>0</v>
      </c>
    </row>
    <row r="89" spans="2:30" ht="15" customHeight="1" x14ac:dyDescent="0.4">
      <c r="B89" s="69" t="str">
        <f>_xlfn.IFNA(VLOOKUP(C89,Master!$J:$K,2,0),"")</f>
        <v/>
      </c>
      <c r="D89" s="71" t="str">
        <f>_xlfn.IFNA(VLOOKUP(E89,Master!$J:$K,2,0),"")</f>
        <v/>
      </c>
      <c r="F89" s="71" t="str">
        <f>_xlfn.IFNA(VLOOKUP(G89,Master!B:C,2,0),"")</f>
        <v/>
      </c>
      <c r="I89" s="69" t="str">
        <f>_xlfn.IFNA(VLOOKUP(E89,Master!$J:$M,4,0),"")</f>
        <v/>
      </c>
      <c r="J89" s="69" t="str">
        <f>_xlfn.IFNA(VLOOKUP($E89,Master!$J:$M,3,0),"")</f>
        <v/>
      </c>
      <c r="AC89" s="14">
        <f t="shared" si="4"/>
        <v>0</v>
      </c>
      <c r="AD89" s="14">
        <f t="shared" si="5"/>
        <v>0</v>
      </c>
    </row>
    <row r="90" spans="2:30" ht="15" customHeight="1" x14ac:dyDescent="0.4">
      <c r="B90" s="69" t="str">
        <f>_xlfn.IFNA(VLOOKUP(C90,Master!$J:$K,2,0),"")</f>
        <v/>
      </c>
      <c r="D90" s="71" t="str">
        <f>_xlfn.IFNA(VLOOKUP(E90,Master!$J:$K,2,0),"")</f>
        <v/>
      </c>
      <c r="F90" s="71" t="str">
        <f>_xlfn.IFNA(VLOOKUP(G90,Master!B:C,2,0),"")</f>
        <v/>
      </c>
      <c r="I90" s="69" t="str">
        <f>_xlfn.IFNA(VLOOKUP(E90,Master!$J:$M,4,0),"")</f>
        <v/>
      </c>
      <c r="J90" s="69" t="str">
        <f>_xlfn.IFNA(VLOOKUP($E90,Master!$J:$M,3,0),"")</f>
        <v/>
      </c>
      <c r="AC90" s="14">
        <f t="shared" si="4"/>
        <v>0</v>
      </c>
      <c r="AD90" s="14">
        <f t="shared" si="5"/>
        <v>0</v>
      </c>
    </row>
    <row r="91" spans="2:30" ht="15" customHeight="1" x14ac:dyDescent="0.4">
      <c r="B91" s="69" t="str">
        <f>_xlfn.IFNA(VLOOKUP(C91,Master!$J:$K,2,0),"")</f>
        <v/>
      </c>
      <c r="D91" s="71" t="str">
        <f>_xlfn.IFNA(VLOOKUP(E91,Master!$J:$K,2,0),"")</f>
        <v/>
      </c>
      <c r="F91" s="71" t="str">
        <f>_xlfn.IFNA(VLOOKUP(G91,Master!B:C,2,0),"")</f>
        <v/>
      </c>
      <c r="I91" s="69" t="str">
        <f>_xlfn.IFNA(VLOOKUP(E91,Master!$J:$M,4,0),"")</f>
        <v/>
      </c>
      <c r="J91" s="69" t="str">
        <f>_xlfn.IFNA(VLOOKUP($E91,Master!$J:$M,3,0),"")</f>
        <v/>
      </c>
      <c r="AC91" s="14">
        <f t="shared" si="4"/>
        <v>0</v>
      </c>
      <c r="AD91" s="14">
        <f t="shared" si="5"/>
        <v>0</v>
      </c>
    </row>
    <row r="92" spans="2:30" ht="15" customHeight="1" x14ac:dyDescent="0.4">
      <c r="B92" s="69" t="str">
        <f>_xlfn.IFNA(VLOOKUP(C92,Master!$J:$K,2,0),"")</f>
        <v/>
      </c>
      <c r="D92" s="71" t="str">
        <f>_xlfn.IFNA(VLOOKUP(E92,Master!$J:$K,2,0),"")</f>
        <v/>
      </c>
      <c r="F92" s="71" t="str">
        <f>_xlfn.IFNA(VLOOKUP(G92,Master!B:C,2,0),"")</f>
        <v/>
      </c>
      <c r="I92" s="69" t="str">
        <f>_xlfn.IFNA(VLOOKUP(E92,Master!$J:$M,4,0),"")</f>
        <v/>
      </c>
      <c r="J92" s="69" t="str">
        <f>_xlfn.IFNA(VLOOKUP($E92,Master!$J:$M,3,0),"")</f>
        <v/>
      </c>
      <c r="AC92" s="14">
        <f t="shared" si="4"/>
        <v>0</v>
      </c>
      <c r="AD92" s="14">
        <f t="shared" si="5"/>
        <v>0</v>
      </c>
    </row>
    <row r="93" spans="2:30" ht="15" customHeight="1" x14ac:dyDescent="0.4">
      <c r="B93" s="69" t="str">
        <f>_xlfn.IFNA(VLOOKUP(C93,Master!$J:$K,2,0),"")</f>
        <v/>
      </c>
      <c r="D93" s="71" t="str">
        <f>_xlfn.IFNA(VLOOKUP(E93,Master!$J:$K,2,0),"")</f>
        <v/>
      </c>
      <c r="F93" s="71" t="str">
        <f>_xlfn.IFNA(VLOOKUP(G93,Master!B:C,2,0),"")</f>
        <v/>
      </c>
      <c r="I93" s="69" t="str">
        <f>_xlfn.IFNA(VLOOKUP(E93,Master!$J:$M,4,0),"")</f>
        <v/>
      </c>
      <c r="J93" s="69" t="str">
        <f>_xlfn.IFNA(VLOOKUP($E93,Master!$J:$M,3,0),"")</f>
        <v/>
      </c>
      <c r="AC93" s="14">
        <f t="shared" si="4"/>
        <v>0</v>
      </c>
      <c r="AD93" s="14">
        <f t="shared" si="5"/>
        <v>0</v>
      </c>
    </row>
    <row r="94" spans="2:30" ht="15" customHeight="1" x14ac:dyDescent="0.4">
      <c r="B94" s="69" t="str">
        <f>_xlfn.IFNA(VLOOKUP(C94,Master!$J:$K,2,0),"")</f>
        <v/>
      </c>
      <c r="D94" s="71" t="str">
        <f>_xlfn.IFNA(VLOOKUP(E94,Master!$J:$K,2,0),"")</f>
        <v/>
      </c>
      <c r="F94" s="71" t="str">
        <f>_xlfn.IFNA(VLOOKUP(G94,Master!B:C,2,0),"")</f>
        <v/>
      </c>
      <c r="I94" s="69" t="str">
        <f>_xlfn.IFNA(VLOOKUP(E94,Master!$J:$M,4,0),"")</f>
        <v/>
      </c>
      <c r="J94" s="69" t="str">
        <f>_xlfn.IFNA(VLOOKUP($E94,Master!$J:$M,3,0),"")</f>
        <v/>
      </c>
      <c r="AC94" s="14">
        <f t="shared" si="4"/>
        <v>0</v>
      </c>
      <c r="AD94" s="14">
        <f t="shared" si="5"/>
        <v>0</v>
      </c>
    </row>
    <row r="95" spans="2:30" ht="15" customHeight="1" x14ac:dyDescent="0.4">
      <c r="B95" s="69" t="str">
        <f>_xlfn.IFNA(VLOOKUP(C95,Master!$J:$K,2,0),"")</f>
        <v/>
      </c>
      <c r="D95" s="71" t="str">
        <f>_xlfn.IFNA(VLOOKUP(E95,Master!$J:$K,2,0),"")</f>
        <v/>
      </c>
      <c r="F95" s="71" t="str">
        <f>_xlfn.IFNA(VLOOKUP(G95,Master!B:C,2,0),"")</f>
        <v/>
      </c>
      <c r="I95" s="69" t="str">
        <f>_xlfn.IFNA(VLOOKUP(E95,Master!$J:$M,4,0),"")</f>
        <v/>
      </c>
      <c r="J95" s="69" t="str">
        <f>_xlfn.IFNA(VLOOKUP($E95,Master!$J:$M,3,0),"")</f>
        <v/>
      </c>
      <c r="AC95" s="14">
        <f t="shared" si="4"/>
        <v>0</v>
      </c>
      <c r="AD95" s="14">
        <f t="shared" si="5"/>
        <v>0</v>
      </c>
    </row>
    <row r="96" spans="2:30" ht="15" customHeight="1" x14ac:dyDescent="0.4">
      <c r="B96" s="69" t="str">
        <f>_xlfn.IFNA(VLOOKUP(C96,Master!$J:$K,2,0),"")</f>
        <v/>
      </c>
      <c r="D96" s="71" t="str">
        <f>_xlfn.IFNA(VLOOKUP(E96,Master!$J:$K,2,0),"")</f>
        <v/>
      </c>
      <c r="F96" s="71" t="str">
        <f>_xlfn.IFNA(VLOOKUP(G96,Master!B:C,2,0),"")</f>
        <v/>
      </c>
      <c r="I96" s="69" t="str">
        <f>_xlfn.IFNA(VLOOKUP(E96,Master!$J:$M,4,0),"")</f>
        <v/>
      </c>
      <c r="J96" s="69" t="str">
        <f>_xlfn.IFNA(VLOOKUP($E96,Master!$J:$M,3,0),"")</f>
        <v/>
      </c>
      <c r="AC96" s="14">
        <f t="shared" si="4"/>
        <v>0</v>
      </c>
      <c r="AD96" s="14">
        <f t="shared" si="5"/>
        <v>0</v>
      </c>
    </row>
    <row r="97" spans="2:30" ht="15" customHeight="1" x14ac:dyDescent="0.4">
      <c r="B97" s="69" t="str">
        <f>_xlfn.IFNA(VLOOKUP(C97,Master!$J:$K,2,0),"")</f>
        <v/>
      </c>
      <c r="D97" s="71" t="str">
        <f>_xlfn.IFNA(VLOOKUP(E97,Master!$J:$K,2,0),"")</f>
        <v/>
      </c>
      <c r="F97" s="71" t="str">
        <f>_xlfn.IFNA(VLOOKUP(G97,Master!B:C,2,0),"")</f>
        <v/>
      </c>
      <c r="I97" s="69" t="str">
        <f>_xlfn.IFNA(VLOOKUP(E97,Master!$J:$M,4,0),"")</f>
        <v/>
      </c>
      <c r="J97" s="69" t="str">
        <f>_xlfn.IFNA(VLOOKUP($E97,Master!$J:$M,3,0),"")</f>
        <v/>
      </c>
      <c r="AC97" s="14">
        <f t="shared" si="4"/>
        <v>0</v>
      </c>
      <c r="AD97" s="14">
        <f t="shared" si="5"/>
        <v>0</v>
      </c>
    </row>
    <row r="98" spans="2:30" ht="15" customHeight="1" x14ac:dyDescent="0.4">
      <c r="B98" s="69" t="str">
        <f>_xlfn.IFNA(VLOOKUP(C98,Master!$J:$K,2,0),"")</f>
        <v/>
      </c>
      <c r="D98" s="71" t="str">
        <f>_xlfn.IFNA(VLOOKUP(E98,Master!$J:$K,2,0),"")</f>
        <v/>
      </c>
      <c r="F98" s="71" t="str">
        <f>_xlfn.IFNA(VLOOKUP(G98,Master!B:C,2,0),"")</f>
        <v/>
      </c>
      <c r="I98" s="69" t="str">
        <f>_xlfn.IFNA(VLOOKUP(E98,Master!$J:$M,4,0),"")</f>
        <v/>
      </c>
      <c r="J98" s="69" t="str">
        <f>_xlfn.IFNA(VLOOKUP($E98,Master!$J:$M,3,0),"")</f>
        <v/>
      </c>
      <c r="AC98" s="14">
        <f t="shared" si="4"/>
        <v>0</v>
      </c>
      <c r="AD98" s="14">
        <f t="shared" si="5"/>
        <v>0</v>
      </c>
    </row>
    <row r="99" spans="2:30" ht="15" customHeight="1" x14ac:dyDescent="0.4">
      <c r="B99" s="69" t="str">
        <f>_xlfn.IFNA(VLOOKUP(C99,Master!$J:$K,2,0),"")</f>
        <v/>
      </c>
      <c r="D99" s="71" t="str">
        <f>_xlfn.IFNA(VLOOKUP(E99,Master!$J:$K,2,0),"")</f>
        <v/>
      </c>
      <c r="F99" s="71" t="str">
        <f>_xlfn.IFNA(VLOOKUP(G99,Master!B:C,2,0),"")</f>
        <v/>
      </c>
      <c r="I99" s="69" t="str">
        <f>_xlfn.IFNA(VLOOKUP(E99,Master!$J:$M,4,0),"")</f>
        <v/>
      </c>
      <c r="J99" s="69" t="str">
        <f>_xlfn.IFNA(VLOOKUP($E99,Master!$J:$M,3,0),"")</f>
        <v/>
      </c>
      <c r="AC99" s="14">
        <f t="shared" si="4"/>
        <v>0</v>
      </c>
      <c r="AD99" s="14">
        <f t="shared" si="5"/>
        <v>0</v>
      </c>
    </row>
    <row r="100" spans="2:30" ht="15" customHeight="1" x14ac:dyDescent="0.4">
      <c r="B100" s="69" t="str">
        <f>_xlfn.IFNA(VLOOKUP(C100,Master!$J:$K,2,0),"")</f>
        <v/>
      </c>
      <c r="D100" s="71" t="str">
        <f>_xlfn.IFNA(VLOOKUP(E100,Master!$J:$K,2,0),"")</f>
        <v/>
      </c>
      <c r="F100" s="71" t="str">
        <f>_xlfn.IFNA(VLOOKUP(G100,Master!B:C,2,0),"")</f>
        <v/>
      </c>
      <c r="I100" s="69" t="str">
        <f>_xlfn.IFNA(VLOOKUP(E100,Master!$J:$M,4,0),"")</f>
        <v/>
      </c>
      <c r="J100" s="69" t="str">
        <f>_xlfn.IFNA(VLOOKUP($E100,Master!$J:$M,3,0),"")</f>
        <v/>
      </c>
      <c r="AC100" s="14">
        <f t="shared" si="4"/>
        <v>0</v>
      </c>
      <c r="AD100" s="14">
        <f t="shared" si="5"/>
        <v>0</v>
      </c>
    </row>
    <row r="101" spans="2:30" ht="15" customHeight="1" x14ac:dyDescent="0.4">
      <c r="B101" s="69" t="str">
        <f>_xlfn.IFNA(VLOOKUP(C101,Master!$J:$K,2,0),"")</f>
        <v/>
      </c>
      <c r="D101" s="71" t="str">
        <f>_xlfn.IFNA(VLOOKUP(E101,Master!$J:$K,2,0),"")</f>
        <v/>
      </c>
      <c r="F101" s="71" t="str">
        <f>_xlfn.IFNA(VLOOKUP(G101,Master!B:C,2,0),"")</f>
        <v/>
      </c>
      <c r="I101" s="69" t="str">
        <f>_xlfn.IFNA(VLOOKUP(E101,Master!$J:$M,4,0),"")</f>
        <v/>
      </c>
      <c r="J101" s="69" t="str">
        <f>_xlfn.IFNA(VLOOKUP($E101,Master!$J:$M,3,0),"")</f>
        <v/>
      </c>
      <c r="AC101" s="14">
        <f t="shared" si="4"/>
        <v>0</v>
      </c>
      <c r="AD101" s="14">
        <f t="shared" si="5"/>
        <v>0</v>
      </c>
    </row>
    <row r="102" spans="2:30" ht="15" customHeight="1" x14ac:dyDescent="0.4">
      <c r="B102" s="69" t="str">
        <f>_xlfn.IFNA(VLOOKUP(C102,Master!$J:$K,2,0),"")</f>
        <v/>
      </c>
      <c r="D102" s="71" t="str">
        <f>_xlfn.IFNA(VLOOKUP(E102,Master!$J:$K,2,0),"")</f>
        <v/>
      </c>
      <c r="F102" s="71" t="str">
        <f>_xlfn.IFNA(VLOOKUP(G102,Master!B:C,2,0),"")</f>
        <v/>
      </c>
      <c r="I102" s="69" t="str">
        <f>_xlfn.IFNA(VLOOKUP(E102,Master!$J:$M,4,0),"")</f>
        <v/>
      </c>
      <c r="J102" s="69" t="str">
        <f>_xlfn.IFNA(VLOOKUP($E102,Master!$J:$M,3,0),"")</f>
        <v/>
      </c>
      <c r="AC102" s="14">
        <f t="shared" si="4"/>
        <v>0</v>
      </c>
      <c r="AD102" s="14">
        <f t="shared" si="5"/>
        <v>0</v>
      </c>
    </row>
    <row r="103" spans="2:30" ht="15" customHeight="1" x14ac:dyDescent="0.4">
      <c r="B103" s="69" t="str">
        <f>_xlfn.IFNA(VLOOKUP(C103,Master!$J:$K,2,0),"")</f>
        <v/>
      </c>
      <c r="D103" s="71" t="str">
        <f>_xlfn.IFNA(VLOOKUP(E103,Master!$J:$K,2,0),"")</f>
        <v/>
      </c>
      <c r="F103" s="71" t="str">
        <f>_xlfn.IFNA(VLOOKUP(G103,Master!B:C,2,0),"")</f>
        <v/>
      </c>
      <c r="I103" s="69" t="str">
        <f>_xlfn.IFNA(VLOOKUP(E103,Master!$J:$M,4,0),"")</f>
        <v/>
      </c>
      <c r="J103" s="69" t="str">
        <f>_xlfn.IFNA(VLOOKUP($E103,Master!$J:$M,3,0),"")</f>
        <v/>
      </c>
      <c r="AC103" s="14">
        <f t="shared" si="4"/>
        <v>0</v>
      </c>
      <c r="AD103" s="14">
        <f t="shared" si="5"/>
        <v>0</v>
      </c>
    </row>
    <row r="104" spans="2:30" ht="15" customHeight="1" x14ac:dyDescent="0.4">
      <c r="B104" s="69" t="str">
        <f>_xlfn.IFNA(VLOOKUP(C104,Master!$J:$K,2,0),"")</f>
        <v/>
      </c>
      <c r="D104" s="71" t="str">
        <f>_xlfn.IFNA(VLOOKUP(E104,Master!$J:$K,2,0),"")</f>
        <v/>
      </c>
      <c r="F104" s="71" t="str">
        <f>_xlfn.IFNA(VLOOKUP(G104,Master!B:C,2,0),"")</f>
        <v/>
      </c>
      <c r="I104" s="69" t="str">
        <f>_xlfn.IFNA(VLOOKUP(E104,Master!$J:$M,4,0),"")</f>
        <v/>
      </c>
      <c r="J104" s="69" t="str">
        <f>_xlfn.IFNA(VLOOKUP($E104,Master!$J:$M,3,0),"")</f>
        <v/>
      </c>
      <c r="AC104" s="14">
        <f t="shared" si="4"/>
        <v>0</v>
      </c>
      <c r="AD104" s="14">
        <f t="shared" si="5"/>
        <v>0</v>
      </c>
    </row>
    <row r="105" spans="2:30" ht="15" customHeight="1" x14ac:dyDescent="0.4">
      <c r="B105" s="69" t="str">
        <f>_xlfn.IFNA(VLOOKUP(C105,Master!$J:$K,2,0),"")</f>
        <v/>
      </c>
      <c r="D105" s="71" t="str">
        <f>_xlfn.IFNA(VLOOKUP(E105,Master!$J:$K,2,0),"")</f>
        <v/>
      </c>
      <c r="F105" s="71" t="str">
        <f>_xlfn.IFNA(VLOOKUP(G105,Master!B:C,2,0),"")</f>
        <v/>
      </c>
      <c r="I105" s="69" t="str">
        <f>_xlfn.IFNA(VLOOKUP(E105,Master!$J:$M,4,0),"")</f>
        <v/>
      </c>
      <c r="J105" s="69" t="str">
        <f>_xlfn.IFNA(VLOOKUP($E105,Master!$J:$M,3,0),"")</f>
        <v/>
      </c>
      <c r="AC105" s="14">
        <f t="shared" si="4"/>
        <v>0</v>
      </c>
      <c r="AD105" s="14">
        <f t="shared" si="5"/>
        <v>0</v>
      </c>
    </row>
    <row r="106" spans="2:30" ht="15" customHeight="1" x14ac:dyDescent="0.4">
      <c r="B106" s="69" t="str">
        <f>_xlfn.IFNA(VLOOKUP(C106,Master!$J:$K,2,0),"")</f>
        <v/>
      </c>
      <c r="D106" s="71" t="str">
        <f>_xlfn.IFNA(VLOOKUP(E106,Master!$J:$K,2,0),"")</f>
        <v/>
      </c>
      <c r="F106" s="71" t="str">
        <f>_xlfn.IFNA(VLOOKUP(G106,Master!B:C,2,0),"")</f>
        <v/>
      </c>
      <c r="I106" s="69" t="str">
        <f>_xlfn.IFNA(VLOOKUP(E106,Master!$J:$M,4,0),"")</f>
        <v/>
      </c>
      <c r="J106" s="69" t="str">
        <f>_xlfn.IFNA(VLOOKUP($E106,Master!$J:$M,3,0),"")</f>
        <v/>
      </c>
      <c r="AC106" s="14">
        <f t="shared" si="4"/>
        <v>0</v>
      </c>
      <c r="AD106" s="14">
        <f t="shared" si="5"/>
        <v>0</v>
      </c>
    </row>
    <row r="107" spans="2:30" ht="15" customHeight="1" x14ac:dyDescent="0.4">
      <c r="B107" s="69" t="str">
        <f>_xlfn.IFNA(VLOOKUP(C107,Master!$J:$K,2,0),"")</f>
        <v/>
      </c>
      <c r="D107" s="71" t="str">
        <f>_xlfn.IFNA(VLOOKUP(E107,Master!$J:$K,2,0),"")</f>
        <v/>
      </c>
      <c r="F107" s="71" t="str">
        <f>_xlfn.IFNA(VLOOKUP(G107,Master!B:C,2,0),"")</f>
        <v/>
      </c>
      <c r="I107" s="69" t="str">
        <f>_xlfn.IFNA(VLOOKUP(E107,Master!$J:$M,4,0),"")</f>
        <v/>
      </c>
      <c r="J107" s="69" t="str">
        <f>_xlfn.IFNA(VLOOKUP($E107,Master!$J:$M,3,0),"")</f>
        <v/>
      </c>
      <c r="AC107" s="14">
        <f t="shared" si="4"/>
        <v>0</v>
      </c>
      <c r="AD107" s="14">
        <f t="shared" si="5"/>
        <v>0</v>
      </c>
    </row>
    <row r="108" spans="2:30" ht="15" customHeight="1" x14ac:dyDescent="0.4">
      <c r="B108" s="69" t="str">
        <f>_xlfn.IFNA(VLOOKUP(C108,Master!$J:$K,2,0),"")</f>
        <v/>
      </c>
      <c r="D108" s="71" t="str">
        <f>_xlfn.IFNA(VLOOKUP(E108,Master!$J:$K,2,0),"")</f>
        <v/>
      </c>
      <c r="F108" s="71" t="str">
        <f>_xlfn.IFNA(VLOOKUP(G108,Master!B:C,2,0),"")</f>
        <v/>
      </c>
      <c r="I108" s="69" t="str">
        <f>_xlfn.IFNA(VLOOKUP(E108,Master!$J:$M,4,0),"")</f>
        <v/>
      </c>
      <c r="J108" s="69" t="str">
        <f>_xlfn.IFNA(VLOOKUP($E108,Master!$J:$M,3,0),"")</f>
        <v/>
      </c>
      <c r="AC108" s="14">
        <f t="shared" si="4"/>
        <v>0</v>
      </c>
      <c r="AD108" s="14">
        <f t="shared" si="5"/>
        <v>0</v>
      </c>
    </row>
    <row r="109" spans="2:30" ht="15" customHeight="1" x14ac:dyDescent="0.4">
      <c r="B109" s="69" t="str">
        <f>_xlfn.IFNA(VLOOKUP(C109,Master!$J:$K,2,0),"")</f>
        <v/>
      </c>
      <c r="D109" s="71" t="str">
        <f>_xlfn.IFNA(VLOOKUP(E109,Master!$J:$K,2,0),"")</f>
        <v/>
      </c>
      <c r="F109" s="71" t="str">
        <f>_xlfn.IFNA(VLOOKUP(G109,Master!B:C,2,0),"")</f>
        <v/>
      </c>
      <c r="I109" s="69" t="str">
        <f>_xlfn.IFNA(VLOOKUP(E109,Master!$J:$M,4,0),"")</f>
        <v/>
      </c>
      <c r="J109" s="69" t="str">
        <f>_xlfn.IFNA(VLOOKUP($E109,Master!$J:$M,3,0),"")</f>
        <v/>
      </c>
      <c r="AC109" s="14">
        <f t="shared" si="4"/>
        <v>0</v>
      </c>
      <c r="AD109" s="14">
        <f t="shared" si="5"/>
        <v>0</v>
      </c>
    </row>
    <row r="110" spans="2:30" ht="15" customHeight="1" x14ac:dyDescent="0.4">
      <c r="B110" s="69" t="str">
        <f>_xlfn.IFNA(VLOOKUP(C110,Master!$J:$K,2,0),"")</f>
        <v/>
      </c>
      <c r="D110" s="71" t="str">
        <f>_xlfn.IFNA(VLOOKUP(E110,Master!$J:$K,2,0),"")</f>
        <v/>
      </c>
      <c r="F110" s="71" t="str">
        <f>_xlfn.IFNA(VLOOKUP(G110,Master!B:C,2,0),"")</f>
        <v/>
      </c>
      <c r="I110" s="69" t="str">
        <f>_xlfn.IFNA(VLOOKUP(E110,Master!$J:$M,4,0),"")</f>
        <v/>
      </c>
      <c r="J110" s="69" t="str">
        <f>_xlfn.IFNA(VLOOKUP($E110,Master!$J:$M,3,0),"")</f>
        <v/>
      </c>
      <c r="AC110" s="14">
        <f t="shared" si="4"/>
        <v>0</v>
      </c>
      <c r="AD110" s="14">
        <f t="shared" si="5"/>
        <v>0</v>
      </c>
    </row>
    <row r="111" spans="2:30" ht="15" customHeight="1" x14ac:dyDescent="0.4">
      <c r="B111" s="69" t="str">
        <f>_xlfn.IFNA(VLOOKUP(C111,Master!$J:$K,2,0),"")</f>
        <v/>
      </c>
      <c r="D111" s="71" t="str">
        <f>_xlfn.IFNA(VLOOKUP(E111,Master!$J:$K,2,0),"")</f>
        <v/>
      </c>
      <c r="F111" s="71" t="str">
        <f>_xlfn.IFNA(VLOOKUP(G111,Master!B:C,2,0),"")</f>
        <v/>
      </c>
      <c r="I111" s="69" t="str">
        <f>_xlfn.IFNA(VLOOKUP(E111,Master!$J:$M,4,0),"")</f>
        <v/>
      </c>
      <c r="J111" s="69" t="str">
        <f>_xlfn.IFNA(VLOOKUP($E111,Master!$J:$M,3,0),"")</f>
        <v/>
      </c>
      <c r="AC111" s="14">
        <f t="shared" si="4"/>
        <v>0</v>
      </c>
      <c r="AD111" s="14">
        <f t="shared" si="5"/>
        <v>0</v>
      </c>
    </row>
    <row r="112" spans="2:30" ht="15" customHeight="1" x14ac:dyDescent="0.4">
      <c r="B112" s="69" t="str">
        <f>_xlfn.IFNA(VLOOKUP(C112,Master!$J:$K,2,0),"")</f>
        <v/>
      </c>
      <c r="D112" s="71" t="str">
        <f>_xlfn.IFNA(VLOOKUP(E112,Master!$J:$K,2,0),"")</f>
        <v/>
      </c>
      <c r="F112" s="71" t="str">
        <f>_xlfn.IFNA(VLOOKUP(G112,Master!B:C,2,0),"")</f>
        <v/>
      </c>
      <c r="I112" s="69" t="str">
        <f>_xlfn.IFNA(VLOOKUP(E112,Master!$J:$M,4,0),"")</f>
        <v/>
      </c>
      <c r="J112" s="69" t="str">
        <f>_xlfn.IFNA(VLOOKUP($E112,Master!$J:$M,3,0),"")</f>
        <v/>
      </c>
      <c r="AC112" s="14">
        <f t="shared" si="4"/>
        <v>0</v>
      </c>
      <c r="AD112" s="14">
        <f t="shared" si="5"/>
        <v>0</v>
      </c>
    </row>
    <row r="113" spans="2:30" ht="15" customHeight="1" x14ac:dyDescent="0.4">
      <c r="B113" s="69" t="str">
        <f>_xlfn.IFNA(VLOOKUP(C113,Master!$J:$K,2,0),"")</f>
        <v/>
      </c>
      <c r="D113" s="71" t="str">
        <f>_xlfn.IFNA(VLOOKUP(E113,Master!$J:$K,2,0),"")</f>
        <v/>
      </c>
      <c r="F113" s="71" t="str">
        <f>_xlfn.IFNA(VLOOKUP(G113,Master!B:C,2,0),"")</f>
        <v/>
      </c>
      <c r="I113" s="69" t="str">
        <f>_xlfn.IFNA(VLOOKUP(E113,Master!$J:$M,4,0),"")</f>
        <v/>
      </c>
      <c r="J113" s="69" t="str">
        <f>_xlfn.IFNA(VLOOKUP($E113,Master!$J:$M,3,0),"")</f>
        <v/>
      </c>
      <c r="AC113" s="14">
        <f t="shared" si="4"/>
        <v>0</v>
      </c>
      <c r="AD113" s="14">
        <f t="shared" si="5"/>
        <v>0</v>
      </c>
    </row>
    <row r="114" spans="2:30" ht="15" customHeight="1" x14ac:dyDescent="0.4">
      <c r="B114" s="69" t="str">
        <f>_xlfn.IFNA(VLOOKUP(C114,Master!$J:$K,2,0),"")</f>
        <v/>
      </c>
      <c r="D114" s="71" t="str">
        <f>_xlfn.IFNA(VLOOKUP(E114,Master!$J:$K,2,0),"")</f>
        <v/>
      </c>
      <c r="F114" s="71" t="str">
        <f>_xlfn.IFNA(VLOOKUP(G114,Master!B:C,2,0),"")</f>
        <v/>
      </c>
      <c r="I114" s="69" t="str">
        <f>_xlfn.IFNA(VLOOKUP(E114,Master!$J:$M,4,0),"")</f>
        <v/>
      </c>
      <c r="J114" s="69" t="str">
        <f>_xlfn.IFNA(VLOOKUP($E114,Master!$J:$M,3,0),"")</f>
        <v/>
      </c>
      <c r="AC114" s="14">
        <f t="shared" si="4"/>
        <v>0</v>
      </c>
      <c r="AD114" s="14">
        <f t="shared" si="5"/>
        <v>0</v>
      </c>
    </row>
    <row r="115" spans="2:30" ht="15" customHeight="1" x14ac:dyDescent="0.4">
      <c r="B115" s="69" t="str">
        <f>_xlfn.IFNA(VLOOKUP(C115,Master!$J:$K,2,0),"")</f>
        <v/>
      </c>
      <c r="D115" s="71" t="str">
        <f>_xlfn.IFNA(VLOOKUP(E115,Master!$J:$K,2,0),"")</f>
        <v/>
      </c>
      <c r="F115" s="71" t="str">
        <f>_xlfn.IFNA(VLOOKUP(G115,Master!B:C,2,0),"")</f>
        <v/>
      </c>
      <c r="I115" s="69" t="str">
        <f>_xlfn.IFNA(VLOOKUP(E115,Master!$J:$M,4,0),"")</f>
        <v/>
      </c>
      <c r="J115" s="69" t="str">
        <f>_xlfn.IFNA(VLOOKUP($E115,Master!$J:$M,3,0),"")</f>
        <v/>
      </c>
      <c r="AC115" s="14">
        <f t="shared" si="4"/>
        <v>0</v>
      </c>
      <c r="AD115" s="14">
        <f t="shared" si="5"/>
        <v>0</v>
      </c>
    </row>
    <row r="116" spans="2:30" ht="15" customHeight="1" x14ac:dyDescent="0.4">
      <c r="B116" s="69" t="str">
        <f>_xlfn.IFNA(VLOOKUP(C116,Master!$J:$K,2,0),"")</f>
        <v/>
      </c>
      <c r="D116" s="71" t="str">
        <f>_xlfn.IFNA(VLOOKUP(E116,Master!$J:$K,2,0),"")</f>
        <v/>
      </c>
      <c r="F116" s="71" t="str">
        <f>_xlfn.IFNA(VLOOKUP(G116,Master!B:C,2,0),"")</f>
        <v/>
      </c>
      <c r="I116" s="69" t="str">
        <f>_xlfn.IFNA(VLOOKUP(E116,Master!$J:$M,4,0),"")</f>
        <v/>
      </c>
      <c r="J116" s="69" t="str">
        <f>_xlfn.IFNA(VLOOKUP($E116,Master!$J:$M,3,0),"")</f>
        <v/>
      </c>
      <c r="AC116" s="14">
        <f t="shared" si="4"/>
        <v>0</v>
      </c>
      <c r="AD116" s="14">
        <f t="shared" si="5"/>
        <v>0</v>
      </c>
    </row>
    <row r="117" spans="2:30" ht="15" customHeight="1" x14ac:dyDescent="0.4">
      <c r="B117" s="69" t="str">
        <f>_xlfn.IFNA(VLOOKUP(C117,Master!$J:$K,2,0),"")</f>
        <v/>
      </c>
      <c r="D117" s="71" t="str">
        <f>_xlfn.IFNA(VLOOKUP(E117,Master!$J:$K,2,0),"")</f>
        <v/>
      </c>
      <c r="F117" s="71" t="str">
        <f>_xlfn.IFNA(VLOOKUP(G117,Master!B:C,2,0),"")</f>
        <v/>
      </c>
      <c r="I117" s="69" t="str">
        <f>_xlfn.IFNA(VLOOKUP(E117,Master!$J:$M,4,0),"")</f>
        <v/>
      </c>
      <c r="J117" s="69" t="str">
        <f>_xlfn.IFNA(VLOOKUP($E117,Master!$J:$M,3,0),"")</f>
        <v/>
      </c>
      <c r="AC117" s="14">
        <f t="shared" si="4"/>
        <v>0</v>
      </c>
      <c r="AD117" s="14">
        <f t="shared" si="5"/>
        <v>0</v>
      </c>
    </row>
    <row r="118" spans="2:30" ht="15" customHeight="1" x14ac:dyDescent="0.4">
      <c r="B118" s="69" t="str">
        <f>_xlfn.IFNA(VLOOKUP(C118,Master!$J:$K,2,0),"")</f>
        <v/>
      </c>
      <c r="D118" s="71" t="str">
        <f>_xlfn.IFNA(VLOOKUP(E118,Master!$J:$K,2,0),"")</f>
        <v/>
      </c>
      <c r="F118" s="71" t="str">
        <f>_xlfn.IFNA(VLOOKUP(G118,Master!B:C,2,0),"")</f>
        <v/>
      </c>
      <c r="I118" s="69" t="str">
        <f>_xlfn.IFNA(VLOOKUP(E118,Master!$J:$M,4,0),"")</f>
        <v/>
      </c>
      <c r="J118" s="69" t="str">
        <f>_xlfn.IFNA(VLOOKUP($E118,Master!$J:$M,3,0),"")</f>
        <v/>
      </c>
      <c r="AC118" s="14">
        <f t="shared" si="4"/>
        <v>0</v>
      </c>
      <c r="AD118" s="14">
        <f t="shared" si="5"/>
        <v>0</v>
      </c>
    </row>
    <row r="119" spans="2:30" ht="15" customHeight="1" x14ac:dyDescent="0.4">
      <c r="B119" s="69" t="str">
        <f>_xlfn.IFNA(VLOOKUP(C119,Master!$J:$K,2,0),"")</f>
        <v/>
      </c>
      <c r="D119" s="71" t="str">
        <f>_xlfn.IFNA(VLOOKUP(E119,Master!$J:$K,2,0),"")</f>
        <v/>
      </c>
      <c r="F119" s="71" t="str">
        <f>_xlfn.IFNA(VLOOKUP(G119,Master!B:C,2,0),"")</f>
        <v/>
      </c>
      <c r="I119" s="69" t="str">
        <f>_xlfn.IFNA(VLOOKUP(E119,Master!$J:$M,4,0),"")</f>
        <v/>
      </c>
      <c r="J119" s="69" t="str">
        <f>_xlfn.IFNA(VLOOKUP($E119,Master!$J:$M,3,0),"")</f>
        <v/>
      </c>
      <c r="AC119" s="14">
        <f t="shared" si="4"/>
        <v>0</v>
      </c>
      <c r="AD119" s="14">
        <f t="shared" si="5"/>
        <v>0</v>
      </c>
    </row>
    <row r="120" spans="2:30" ht="15" customHeight="1" x14ac:dyDescent="0.4">
      <c r="B120" s="69" t="str">
        <f>_xlfn.IFNA(VLOOKUP(C120,Master!$J:$K,2,0),"")</f>
        <v/>
      </c>
      <c r="D120" s="71" t="str">
        <f>_xlfn.IFNA(VLOOKUP(E120,Master!$J:$K,2,0),"")</f>
        <v/>
      </c>
      <c r="F120" s="71" t="str">
        <f>_xlfn.IFNA(VLOOKUP(G120,Master!B:C,2,0),"")</f>
        <v/>
      </c>
      <c r="I120" s="69" t="str">
        <f>_xlfn.IFNA(VLOOKUP(E120,Master!$J:$M,4,0),"")</f>
        <v/>
      </c>
      <c r="J120" s="69" t="str">
        <f>_xlfn.IFNA(VLOOKUP($E120,Master!$J:$M,3,0),"")</f>
        <v/>
      </c>
      <c r="AC120" s="14">
        <f t="shared" si="4"/>
        <v>0</v>
      </c>
      <c r="AD120" s="14">
        <f t="shared" si="5"/>
        <v>0</v>
      </c>
    </row>
    <row r="121" spans="2:30" ht="15" customHeight="1" x14ac:dyDescent="0.4">
      <c r="B121" s="69" t="str">
        <f>_xlfn.IFNA(VLOOKUP(C121,Master!$J:$K,2,0),"")</f>
        <v/>
      </c>
      <c r="D121" s="71" t="str">
        <f>_xlfn.IFNA(VLOOKUP(E121,Master!$J:$K,2,0),"")</f>
        <v/>
      </c>
      <c r="F121" s="71" t="str">
        <f>_xlfn.IFNA(VLOOKUP(G121,Master!B:C,2,0),"")</f>
        <v/>
      </c>
      <c r="I121" s="69" t="str">
        <f>_xlfn.IFNA(VLOOKUP(E121,Master!$J:$M,4,0),"")</f>
        <v/>
      </c>
      <c r="J121" s="69" t="str">
        <f>_xlfn.IFNA(VLOOKUP($E121,Master!$J:$M,3,0),"")</f>
        <v/>
      </c>
      <c r="AC121" s="14">
        <f t="shared" si="4"/>
        <v>0</v>
      </c>
      <c r="AD121" s="14">
        <f t="shared" si="5"/>
        <v>0</v>
      </c>
    </row>
    <row r="122" spans="2:30" ht="15" customHeight="1" x14ac:dyDescent="0.4">
      <c r="B122" s="69" t="str">
        <f>_xlfn.IFNA(VLOOKUP(C122,Master!$J:$K,2,0),"")</f>
        <v/>
      </c>
      <c r="D122" s="71" t="str">
        <f>_xlfn.IFNA(VLOOKUP(E122,Master!$J:$K,2,0),"")</f>
        <v/>
      </c>
      <c r="F122" s="71" t="str">
        <f>_xlfn.IFNA(VLOOKUP(G122,Master!B:C,2,0),"")</f>
        <v/>
      </c>
      <c r="I122" s="69" t="str">
        <f>_xlfn.IFNA(VLOOKUP(E122,Master!$J:$M,4,0),"")</f>
        <v/>
      </c>
      <c r="J122" s="69" t="str">
        <f>_xlfn.IFNA(VLOOKUP($E122,Master!$J:$M,3,0),"")</f>
        <v/>
      </c>
      <c r="AC122" s="14">
        <f t="shared" si="4"/>
        <v>0</v>
      </c>
      <c r="AD122" s="14">
        <f t="shared" si="5"/>
        <v>0</v>
      </c>
    </row>
    <row r="123" spans="2:30" ht="15" customHeight="1" x14ac:dyDescent="0.4">
      <c r="B123" s="69" t="str">
        <f>_xlfn.IFNA(VLOOKUP(C123,Master!$J:$K,2,0),"")</f>
        <v/>
      </c>
      <c r="D123" s="71" t="str">
        <f>_xlfn.IFNA(VLOOKUP(E123,Master!$J:$K,2,0),"")</f>
        <v/>
      </c>
      <c r="F123" s="71" t="str">
        <f>_xlfn.IFNA(VLOOKUP(G123,Master!B:C,2,0),"")</f>
        <v/>
      </c>
      <c r="I123" s="69" t="str">
        <f>_xlfn.IFNA(VLOOKUP(E123,Master!$J:$M,4,0),"")</f>
        <v/>
      </c>
      <c r="J123" s="69" t="str">
        <f>_xlfn.IFNA(VLOOKUP($E123,Master!$J:$M,3,0),"")</f>
        <v/>
      </c>
      <c r="AC123" s="14">
        <f t="shared" si="4"/>
        <v>0</v>
      </c>
      <c r="AD123" s="14">
        <f t="shared" si="5"/>
        <v>0</v>
      </c>
    </row>
    <row r="124" spans="2:30" ht="15" customHeight="1" x14ac:dyDescent="0.4">
      <c r="B124" s="69" t="str">
        <f>_xlfn.IFNA(VLOOKUP(C124,Master!$J:$K,2,0),"")</f>
        <v/>
      </c>
      <c r="D124" s="71" t="str">
        <f>_xlfn.IFNA(VLOOKUP(E124,Master!$J:$K,2,0),"")</f>
        <v/>
      </c>
      <c r="F124" s="71" t="str">
        <f>_xlfn.IFNA(VLOOKUP(G124,Master!B:C,2,0),"")</f>
        <v/>
      </c>
      <c r="I124" s="69" t="str">
        <f>_xlfn.IFNA(VLOOKUP(E124,Master!$J:$M,4,0),"")</f>
        <v/>
      </c>
      <c r="J124" s="69" t="str">
        <f>_xlfn.IFNA(VLOOKUP($E124,Master!$J:$M,3,0),"")</f>
        <v/>
      </c>
      <c r="AC124" s="14">
        <f t="shared" si="4"/>
        <v>0</v>
      </c>
      <c r="AD124" s="14">
        <f t="shared" si="5"/>
        <v>0</v>
      </c>
    </row>
    <row r="125" spans="2:30" ht="15" customHeight="1" x14ac:dyDescent="0.4">
      <c r="B125" s="69" t="str">
        <f>_xlfn.IFNA(VLOOKUP(C125,Master!$J:$K,2,0),"")</f>
        <v/>
      </c>
      <c r="D125" s="71" t="str">
        <f>_xlfn.IFNA(VLOOKUP(E125,Master!$J:$K,2,0),"")</f>
        <v/>
      </c>
      <c r="F125" s="71" t="str">
        <f>_xlfn.IFNA(VLOOKUP(G125,Master!B:C,2,0),"")</f>
        <v/>
      </c>
      <c r="I125" s="69" t="str">
        <f>_xlfn.IFNA(VLOOKUP(E125,Master!$J:$M,4,0),"")</f>
        <v/>
      </c>
      <c r="J125" s="69" t="str">
        <f>_xlfn.IFNA(VLOOKUP($E125,Master!$J:$M,3,0),"")</f>
        <v/>
      </c>
      <c r="AC125" s="14">
        <f t="shared" si="4"/>
        <v>0</v>
      </c>
      <c r="AD125" s="14">
        <f t="shared" si="5"/>
        <v>0</v>
      </c>
    </row>
    <row r="126" spans="2:30" ht="15" customHeight="1" x14ac:dyDescent="0.4">
      <c r="B126" s="69" t="str">
        <f>_xlfn.IFNA(VLOOKUP(C126,Master!$J:$K,2,0),"")</f>
        <v/>
      </c>
      <c r="D126" s="71" t="str">
        <f>_xlfn.IFNA(VLOOKUP(E126,Master!$J:$K,2,0),"")</f>
        <v/>
      </c>
      <c r="F126" s="71" t="str">
        <f>_xlfn.IFNA(VLOOKUP(G126,Master!B:C,2,0),"")</f>
        <v/>
      </c>
      <c r="I126" s="69" t="str">
        <f>_xlfn.IFNA(VLOOKUP(E126,Master!$J:$M,4,0),"")</f>
        <v/>
      </c>
      <c r="J126" s="69" t="str">
        <f>_xlfn.IFNA(VLOOKUP($E126,Master!$J:$M,3,0),"")</f>
        <v/>
      </c>
      <c r="AC126" s="14">
        <f t="shared" si="4"/>
        <v>0</v>
      </c>
      <c r="AD126" s="14">
        <f t="shared" si="5"/>
        <v>0</v>
      </c>
    </row>
    <row r="127" spans="2:30" ht="15" customHeight="1" x14ac:dyDescent="0.4">
      <c r="B127" s="69" t="str">
        <f>_xlfn.IFNA(VLOOKUP(C127,Master!$J:$K,2,0),"")</f>
        <v/>
      </c>
      <c r="D127" s="71" t="str">
        <f>_xlfn.IFNA(VLOOKUP(E127,Master!$J:$K,2,0),"")</f>
        <v/>
      </c>
      <c r="F127" s="71" t="str">
        <f>_xlfn.IFNA(VLOOKUP(G127,Master!B:C,2,0),"")</f>
        <v/>
      </c>
      <c r="I127" s="69" t="str">
        <f>_xlfn.IFNA(VLOOKUP(E127,Master!$J:$M,4,0),"")</f>
        <v/>
      </c>
      <c r="J127" s="69" t="str">
        <f>_xlfn.IFNA(VLOOKUP($E127,Master!$J:$M,3,0),"")</f>
        <v/>
      </c>
      <c r="AC127" s="14">
        <f t="shared" si="4"/>
        <v>0</v>
      </c>
      <c r="AD127" s="14">
        <f t="shared" si="5"/>
        <v>0</v>
      </c>
    </row>
    <row r="128" spans="2:30" ht="15" customHeight="1" x14ac:dyDescent="0.4">
      <c r="B128" s="69" t="str">
        <f>_xlfn.IFNA(VLOOKUP(C128,Master!$J:$K,2,0),"")</f>
        <v/>
      </c>
      <c r="D128" s="71" t="str">
        <f>_xlfn.IFNA(VLOOKUP(E128,Master!$J:$K,2,0),"")</f>
        <v/>
      </c>
      <c r="F128" s="71" t="str">
        <f>_xlfn.IFNA(VLOOKUP(G128,Master!B:C,2,0),"")</f>
        <v/>
      </c>
      <c r="I128" s="69" t="str">
        <f>_xlfn.IFNA(VLOOKUP(E128,Master!$J:$M,4,0),"")</f>
        <v/>
      </c>
      <c r="J128" s="69" t="str">
        <f>_xlfn.IFNA(VLOOKUP($E128,Master!$J:$M,3,0),"")</f>
        <v/>
      </c>
      <c r="AC128" s="14">
        <f t="shared" si="4"/>
        <v>0</v>
      </c>
      <c r="AD128" s="14">
        <f t="shared" si="5"/>
        <v>0</v>
      </c>
    </row>
    <row r="129" spans="2:30" ht="15" customHeight="1" x14ac:dyDescent="0.4">
      <c r="B129" s="69" t="str">
        <f>_xlfn.IFNA(VLOOKUP(C129,Master!$J:$K,2,0),"")</f>
        <v/>
      </c>
      <c r="D129" s="71" t="str">
        <f>_xlfn.IFNA(VLOOKUP(E129,Master!$J:$K,2,0),"")</f>
        <v/>
      </c>
      <c r="F129" s="71" t="str">
        <f>_xlfn.IFNA(VLOOKUP(G129,Master!B:C,2,0),"")</f>
        <v/>
      </c>
      <c r="I129" s="69" t="str">
        <f>_xlfn.IFNA(VLOOKUP(E129,Master!$J:$M,4,0),"")</f>
        <v/>
      </c>
      <c r="J129" s="69" t="str">
        <f>_xlfn.IFNA(VLOOKUP($E129,Master!$J:$M,3,0),"")</f>
        <v/>
      </c>
      <c r="AC129" s="14">
        <f t="shared" si="4"/>
        <v>0</v>
      </c>
      <c r="AD129" s="14">
        <f t="shared" si="5"/>
        <v>0</v>
      </c>
    </row>
    <row r="130" spans="2:30" ht="15" customHeight="1" x14ac:dyDescent="0.4">
      <c r="B130" s="69" t="str">
        <f>_xlfn.IFNA(VLOOKUP(C130,Master!$J:$K,2,0),"")</f>
        <v/>
      </c>
      <c r="D130" s="71" t="str">
        <f>_xlfn.IFNA(VLOOKUP(E130,Master!$J:$K,2,0),"")</f>
        <v/>
      </c>
      <c r="F130" s="71" t="str">
        <f>_xlfn.IFNA(VLOOKUP(G130,Master!B:C,2,0),"")</f>
        <v/>
      </c>
      <c r="I130" s="69" t="str">
        <f>_xlfn.IFNA(VLOOKUP(E130,Master!$J:$M,4,0),"")</f>
        <v/>
      </c>
      <c r="J130" s="69" t="str">
        <f>_xlfn.IFNA(VLOOKUP($E130,Master!$J:$M,3,0),"")</f>
        <v/>
      </c>
      <c r="AC130" s="14">
        <f t="shared" ref="AC130:AC193" si="6">SUM(K130:P130)</f>
        <v>0</v>
      </c>
      <c r="AD130" s="14">
        <f t="shared" ref="AD130:AD193" si="7">SUM(Q130:AB130)</f>
        <v>0</v>
      </c>
    </row>
    <row r="131" spans="2:30" ht="15" customHeight="1" x14ac:dyDescent="0.4">
      <c r="B131" s="69" t="str">
        <f>_xlfn.IFNA(VLOOKUP(C131,Master!$J:$K,2,0),"")</f>
        <v/>
      </c>
      <c r="D131" s="71" t="str">
        <f>_xlfn.IFNA(VLOOKUP(E131,Master!$J:$K,2,0),"")</f>
        <v/>
      </c>
      <c r="F131" s="71" t="str">
        <f>_xlfn.IFNA(VLOOKUP(G131,Master!B:C,2,0),"")</f>
        <v/>
      </c>
      <c r="I131" s="69" t="str">
        <f>_xlfn.IFNA(VLOOKUP(E131,Master!$J:$M,4,0),"")</f>
        <v/>
      </c>
      <c r="J131" s="69" t="str">
        <f>_xlfn.IFNA(VLOOKUP($E131,Master!$J:$M,3,0),"")</f>
        <v/>
      </c>
      <c r="AC131" s="14">
        <f t="shared" si="6"/>
        <v>0</v>
      </c>
      <c r="AD131" s="14">
        <f t="shared" si="7"/>
        <v>0</v>
      </c>
    </row>
    <row r="132" spans="2:30" ht="15" customHeight="1" x14ac:dyDescent="0.4">
      <c r="B132" s="69" t="str">
        <f>_xlfn.IFNA(VLOOKUP(C132,Master!$J:$K,2,0),"")</f>
        <v/>
      </c>
      <c r="D132" s="71" t="str">
        <f>_xlfn.IFNA(VLOOKUP(E132,Master!$J:$K,2,0),"")</f>
        <v/>
      </c>
      <c r="F132" s="71" t="str">
        <f>_xlfn.IFNA(VLOOKUP(G132,Master!B:C,2,0),"")</f>
        <v/>
      </c>
      <c r="I132" s="69" t="str">
        <f>_xlfn.IFNA(VLOOKUP(E132,Master!$J:$M,4,0),"")</f>
        <v/>
      </c>
      <c r="J132" s="69" t="str">
        <f>_xlfn.IFNA(VLOOKUP($E132,Master!$J:$M,3,0),"")</f>
        <v/>
      </c>
      <c r="AC132" s="14">
        <f t="shared" si="6"/>
        <v>0</v>
      </c>
      <c r="AD132" s="14">
        <f t="shared" si="7"/>
        <v>0</v>
      </c>
    </row>
    <row r="133" spans="2:30" ht="15" customHeight="1" x14ac:dyDescent="0.4">
      <c r="B133" s="69" t="str">
        <f>_xlfn.IFNA(VLOOKUP(C133,Master!$J:$K,2,0),"")</f>
        <v/>
      </c>
      <c r="D133" s="71" t="str">
        <f>_xlfn.IFNA(VLOOKUP(E133,Master!$J:$K,2,0),"")</f>
        <v/>
      </c>
      <c r="F133" s="71" t="str">
        <f>_xlfn.IFNA(VLOOKUP(G133,Master!B:C,2,0),"")</f>
        <v/>
      </c>
      <c r="I133" s="69" t="str">
        <f>_xlfn.IFNA(VLOOKUP(E133,Master!$J:$M,4,0),"")</f>
        <v/>
      </c>
      <c r="J133" s="69" t="str">
        <f>_xlfn.IFNA(VLOOKUP($E133,Master!$J:$M,3,0),"")</f>
        <v/>
      </c>
      <c r="AC133" s="14">
        <f t="shared" si="6"/>
        <v>0</v>
      </c>
      <c r="AD133" s="14">
        <f t="shared" si="7"/>
        <v>0</v>
      </c>
    </row>
    <row r="134" spans="2:30" ht="15" customHeight="1" x14ac:dyDescent="0.4">
      <c r="B134" s="69" t="str">
        <f>_xlfn.IFNA(VLOOKUP(C134,Master!$J:$K,2,0),"")</f>
        <v/>
      </c>
      <c r="D134" s="71" t="str">
        <f>_xlfn.IFNA(VLOOKUP(E134,Master!$J:$K,2,0),"")</f>
        <v/>
      </c>
      <c r="F134" s="71" t="str">
        <f>_xlfn.IFNA(VLOOKUP(G134,Master!B:C,2,0),"")</f>
        <v/>
      </c>
      <c r="I134" s="69" t="str">
        <f>_xlfn.IFNA(VLOOKUP(E134,Master!$J:$M,4,0),"")</f>
        <v/>
      </c>
      <c r="J134" s="69" t="str">
        <f>_xlfn.IFNA(VLOOKUP($E134,Master!$J:$M,3,0),"")</f>
        <v/>
      </c>
      <c r="AC134" s="14">
        <f t="shared" si="6"/>
        <v>0</v>
      </c>
      <c r="AD134" s="14">
        <f t="shared" si="7"/>
        <v>0</v>
      </c>
    </row>
    <row r="135" spans="2:30" ht="15" customHeight="1" x14ac:dyDescent="0.4">
      <c r="B135" s="69" t="str">
        <f>_xlfn.IFNA(VLOOKUP(C135,Master!$J:$K,2,0),"")</f>
        <v/>
      </c>
      <c r="D135" s="71" t="str">
        <f>_xlfn.IFNA(VLOOKUP(E135,Master!$J:$K,2,0),"")</f>
        <v/>
      </c>
      <c r="F135" s="71" t="str">
        <f>_xlfn.IFNA(VLOOKUP(G135,Master!B:C,2,0),"")</f>
        <v/>
      </c>
      <c r="I135" s="69" t="str">
        <f>_xlfn.IFNA(VLOOKUP(E135,Master!$J:$M,4,0),"")</f>
        <v/>
      </c>
      <c r="J135" s="69" t="str">
        <f>_xlfn.IFNA(VLOOKUP($E135,Master!$J:$M,3,0),"")</f>
        <v/>
      </c>
      <c r="AC135" s="14">
        <f t="shared" si="6"/>
        <v>0</v>
      </c>
      <c r="AD135" s="14">
        <f t="shared" si="7"/>
        <v>0</v>
      </c>
    </row>
    <row r="136" spans="2:30" ht="15" customHeight="1" x14ac:dyDescent="0.4">
      <c r="B136" s="69" t="str">
        <f>_xlfn.IFNA(VLOOKUP(C136,Master!$J:$K,2,0),"")</f>
        <v/>
      </c>
      <c r="D136" s="71" t="str">
        <f>_xlfn.IFNA(VLOOKUP(E136,Master!$J:$K,2,0),"")</f>
        <v/>
      </c>
      <c r="F136" s="71" t="str">
        <f>_xlfn.IFNA(VLOOKUP(G136,Master!B:C,2,0),"")</f>
        <v/>
      </c>
      <c r="I136" s="69" t="str">
        <f>_xlfn.IFNA(VLOOKUP(E136,Master!$J:$M,4,0),"")</f>
        <v/>
      </c>
      <c r="J136" s="69" t="str">
        <f>_xlfn.IFNA(VLOOKUP($E136,Master!$J:$M,3,0),"")</f>
        <v/>
      </c>
      <c r="AC136" s="14">
        <f t="shared" si="6"/>
        <v>0</v>
      </c>
      <c r="AD136" s="14">
        <f t="shared" si="7"/>
        <v>0</v>
      </c>
    </row>
    <row r="137" spans="2:30" ht="15" customHeight="1" x14ac:dyDescent="0.4">
      <c r="B137" s="69" t="str">
        <f>_xlfn.IFNA(VLOOKUP(C137,Master!$J:$K,2,0),"")</f>
        <v/>
      </c>
      <c r="D137" s="71" t="str">
        <f>_xlfn.IFNA(VLOOKUP(E137,Master!$J:$K,2,0),"")</f>
        <v/>
      </c>
      <c r="F137" s="71" t="str">
        <f>_xlfn.IFNA(VLOOKUP(G137,Master!B:C,2,0),"")</f>
        <v/>
      </c>
      <c r="I137" s="69" t="str">
        <f>_xlfn.IFNA(VLOOKUP(E137,Master!$J:$M,4,0),"")</f>
        <v/>
      </c>
      <c r="J137" s="69" t="str">
        <f>_xlfn.IFNA(VLOOKUP($E137,Master!$J:$M,3,0),"")</f>
        <v/>
      </c>
      <c r="AC137" s="14">
        <f t="shared" si="6"/>
        <v>0</v>
      </c>
      <c r="AD137" s="14">
        <f t="shared" si="7"/>
        <v>0</v>
      </c>
    </row>
    <row r="138" spans="2:30" ht="15" customHeight="1" x14ac:dyDescent="0.4">
      <c r="B138" s="69" t="str">
        <f>_xlfn.IFNA(VLOOKUP(C138,Master!$J:$K,2,0),"")</f>
        <v/>
      </c>
      <c r="D138" s="71" t="str">
        <f>_xlfn.IFNA(VLOOKUP(E138,Master!$J:$K,2,0),"")</f>
        <v/>
      </c>
      <c r="F138" s="71" t="str">
        <f>_xlfn.IFNA(VLOOKUP(G138,Master!B:C,2,0),"")</f>
        <v/>
      </c>
      <c r="I138" s="69" t="str">
        <f>_xlfn.IFNA(VLOOKUP(E138,Master!$J:$M,4,0),"")</f>
        <v/>
      </c>
      <c r="J138" s="69" t="str">
        <f>_xlfn.IFNA(VLOOKUP($E138,Master!$J:$M,3,0),"")</f>
        <v/>
      </c>
      <c r="AC138" s="14">
        <f t="shared" si="6"/>
        <v>0</v>
      </c>
      <c r="AD138" s="14">
        <f t="shared" si="7"/>
        <v>0</v>
      </c>
    </row>
    <row r="139" spans="2:30" ht="15" customHeight="1" x14ac:dyDescent="0.4">
      <c r="B139" s="69" t="str">
        <f>_xlfn.IFNA(VLOOKUP(C139,Master!$J:$K,2,0),"")</f>
        <v/>
      </c>
      <c r="D139" s="71" t="str">
        <f>_xlfn.IFNA(VLOOKUP(E139,Master!$J:$K,2,0),"")</f>
        <v/>
      </c>
      <c r="F139" s="71" t="str">
        <f>_xlfn.IFNA(VLOOKUP(G139,Master!B:C,2,0),"")</f>
        <v/>
      </c>
      <c r="I139" s="69" t="str">
        <f>_xlfn.IFNA(VLOOKUP(E139,Master!$J:$M,4,0),"")</f>
        <v/>
      </c>
      <c r="J139" s="69" t="str">
        <f>_xlfn.IFNA(VLOOKUP($E139,Master!$J:$M,3,0),"")</f>
        <v/>
      </c>
      <c r="AC139" s="14">
        <f t="shared" si="6"/>
        <v>0</v>
      </c>
      <c r="AD139" s="14">
        <f t="shared" si="7"/>
        <v>0</v>
      </c>
    </row>
    <row r="140" spans="2:30" ht="15" customHeight="1" x14ac:dyDescent="0.4">
      <c r="B140" s="69" t="str">
        <f>_xlfn.IFNA(VLOOKUP(C140,Master!$J:$K,2,0),"")</f>
        <v/>
      </c>
      <c r="D140" s="71" t="str">
        <f>_xlfn.IFNA(VLOOKUP(E140,Master!$J:$K,2,0),"")</f>
        <v/>
      </c>
      <c r="F140" s="71" t="str">
        <f>_xlfn.IFNA(VLOOKUP(G140,Master!B:C,2,0),"")</f>
        <v/>
      </c>
      <c r="I140" s="69" t="str">
        <f>_xlfn.IFNA(VLOOKUP(E140,Master!$J:$M,4,0),"")</f>
        <v/>
      </c>
      <c r="J140" s="69" t="str">
        <f>_xlfn.IFNA(VLOOKUP($E140,Master!$J:$M,3,0),"")</f>
        <v/>
      </c>
      <c r="AC140" s="14">
        <f t="shared" si="6"/>
        <v>0</v>
      </c>
      <c r="AD140" s="14">
        <f t="shared" si="7"/>
        <v>0</v>
      </c>
    </row>
    <row r="141" spans="2:30" ht="15" customHeight="1" x14ac:dyDescent="0.4">
      <c r="B141" s="69" t="str">
        <f>_xlfn.IFNA(VLOOKUP(C141,Master!$J:$K,2,0),"")</f>
        <v/>
      </c>
      <c r="D141" s="71" t="str">
        <f>_xlfn.IFNA(VLOOKUP(E141,Master!$J:$K,2,0),"")</f>
        <v/>
      </c>
      <c r="F141" s="71" t="str">
        <f>_xlfn.IFNA(VLOOKUP(G141,Master!B:C,2,0),"")</f>
        <v/>
      </c>
      <c r="I141" s="69" t="str">
        <f>_xlfn.IFNA(VLOOKUP(E141,Master!$J:$M,4,0),"")</f>
        <v/>
      </c>
      <c r="J141" s="69" t="str">
        <f>_xlfn.IFNA(VLOOKUP($E141,Master!$J:$M,3,0),"")</f>
        <v/>
      </c>
      <c r="AC141" s="14">
        <f t="shared" si="6"/>
        <v>0</v>
      </c>
      <c r="AD141" s="14">
        <f t="shared" si="7"/>
        <v>0</v>
      </c>
    </row>
    <row r="142" spans="2:30" ht="15" customHeight="1" x14ac:dyDescent="0.4">
      <c r="B142" s="69" t="str">
        <f>_xlfn.IFNA(VLOOKUP(C142,Master!$J:$K,2,0),"")</f>
        <v/>
      </c>
      <c r="D142" s="71" t="str">
        <f>_xlfn.IFNA(VLOOKUP(E142,Master!$J:$K,2,0),"")</f>
        <v/>
      </c>
      <c r="F142" s="71" t="str">
        <f>_xlfn.IFNA(VLOOKUP(G142,Master!B:C,2,0),"")</f>
        <v/>
      </c>
      <c r="I142" s="69" t="str">
        <f>_xlfn.IFNA(VLOOKUP(E142,Master!$J:$M,4,0),"")</f>
        <v/>
      </c>
      <c r="J142" s="69" t="str">
        <f>_xlfn.IFNA(VLOOKUP($E142,Master!$J:$M,3,0),"")</f>
        <v/>
      </c>
      <c r="AC142" s="14">
        <f t="shared" si="6"/>
        <v>0</v>
      </c>
      <c r="AD142" s="14">
        <f t="shared" si="7"/>
        <v>0</v>
      </c>
    </row>
    <row r="143" spans="2:30" ht="15" customHeight="1" x14ac:dyDescent="0.4">
      <c r="B143" s="69" t="str">
        <f>_xlfn.IFNA(VLOOKUP(C143,Master!$J:$K,2,0),"")</f>
        <v/>
      </c>
      <c r="D143" s="71" t="str">
        <f>_xlfn.IFNA(VLOOKUP(E143,Master!$J:$K,2,0),"")</f>
        <v/>
      </c>
      <c r="F143" s="71" t="str">
        <f>_xlfn.IFNA(VLOOKUP(G143,Master!B:C,2,0),"")</f>
        <v/>
      </c>
      <c r="I143" s="69" t="str">
        <f>_xlfn.IFNA(VLOOKUP(E143,Master!$J:$M,4,0),"")</f>
        <v/>
      </c>
      <c r="J143" s="69" t="str">
        <f>_xlfn.IFNA(VLOOKUP($E143,Master!$J:$M,3,0),"")</f>
        <v/>
      </c>
      <c r="AC143" s="14">
        <f t="shared" si="6"/>
        <v>0</v>
      </c>
      <c r="AD143" s="14">
        <f t="shared" si="7"/>
        <v>0</v>
      </c>
    </row>
    <row r="144" spans="2:30" ht="15" customHeight="1" x14ac:dyDescent="0.4">
      <c r="B144" s="69" t="str">
        <f>_xlfn.IFNA(VLOOKUP(C144,Master!$J:$K,2,0),"")</f>
        <v/>
      </c>
      <c r="D144" s="71" t="str">
        <f>_xlfn.IFNA(VLOOKUP(E144,Master!$J:$K,2,0),"")</f>
        <v/>
      </c>
      <c r="F144" s="71" t="str">
        <f>_xlfn.IFNA(VLOOKUP(G144,Master!B:C,2,0),"")</f>
        <v/>
      </c>
      <c r="I144" s="69" t="str">
        <f>_xlfn.IFNA(VLOOKUP(E144,Master!$J:$M,4,0),"")</f>
        <v/>
      </c>
      <c r="J144" s="69" t="str">
        <f>_xlfn.IFNA(VLOOKUP($E144,Master!$J:$M,3,0),"")</f>
        <v/>
      </c>
      <c r="AC144" s="14">
        <f t="shared" si="6"/>
        <v>0</v>
      </c>
      <c r="AD144" s="14">
        <f t="shared" si="7"/>
        <v>0</v>
      </c>
    </row>
    <row r="145" spans="2:30" ht="15" customHeight="1" x14ac:dyDescent="0.4">
      <c r="B145" s="69" t="str">
        <f>_xlfn.IFNA(VLOOKUP(C145,Master!$J:$K,2,0),"")</f>
        <v/>
      </c>
      <c r="D145" s="71" t="str">
        <f>_xlfn.IFNA(VLOOKUP(E145,Master!$J:$K,2,0),"")</f>
        <v/>
      </c>
      <c r="F145" s="71" t="str">
        <f>_xlfn.IFNA(VLOOKUP(G145,Master!B:C,2,0),"")</f>
        <v/>
      </c>
      <c r="I145" s="69" t="str">
        <f>_xlfn.IFNA(VLOOKUP(E145,Master!$J:$M,4,0),"")</f>
        <v/>
      </c>
      <c r="J145" s="69" t="str">
        <f>_xlfn.IFNA(VLOOKUP($E145,Master!$J:$M,3,0),"")</f>
        <v/>
      </c>
      <c r="AC145" s="14">
        <f t="shared" si="6"/>
        <v>0</v>
      </c>
      <c r="AD145" s="14">
        <f t="shared" si="7"/>
        <v>0</v>
      </c>
    </row>
    <row r="146" spans="2:30" ht="15" customHeight="1" x14ac:dyDescent="0.4">
      <c r="B146" s="69" t="str">
        <f>_xlfn.IFNA(VLOOKUP(C146,Master!$J:$K,2,0),"")</f>
        <v/>
      </c>
      <c r="D146" s="71" t="str">
        <f>_xlfn.IFNA(VLOOKUP(E146,Master!$J:$K,2,0),"")</f>
        <v/>
      </c>
      <c r="F146" s="71" t="str">
        <f>_xlfn.IFNA(VLOOKUP(G146,Master!B:C,2,0),"")</f>
        <v/>
      </c>
      <c r="I146" s="69" t="str">
        <f>_xlfn.IFNA(VLOOKUP(E146,Master!$J:$M,4,0),"")</f>
        <v/>
      </c>
      <c r="J146" s="69" t="str">
        <f>_xlfn.IFNA(VLOOKUP($E146,Master!$J:$M,3,0),"")</f>
        <v/>
      </c>
      <c r="AC146" s="14">
        <f t="shared" si="6"/>
        <v>0</v>
      </c>
      <c r="AD146" s="14">
        <f t="shared" si="7"/>
        <v>0</v>
      </c>
    </row>
    <row r="147" spans="2:30" ht="15" customHeight="1" x14ac:dyDescent="0.4">
      <c r="B147" s="69" t="str">
        <f>_xlfn.IFNA(VLOOKUP(C147,Master!$J:$K,2,0),"")</f>
        <v/>
      </c>
      <c r="D147" s="71" t="str">
        <f>_xlfn.IFNA(VLOOKUP(E147,Master!$J:$K,2,0),"")</f>
        <v/>
      </c>
      <c r="F147" s="71" t="str">
        <f>_xlfn.IFNA(VLOOKUP(G147,Master!B:C,2,0),"")</f>
        <v/>
      </c>
      <c r="I147" s="69" t="str">
        <f>_xlfn.IFNA(VLOOKUP(E147,Master!$J:$M,4,0),"")</f>
        <v/>
      </c>
      <c r="J147" s="69" t="str">
        <f>_xlfn.IFNA(VLOOKUP($E147,Master!$J:$M,3,0),"")</f>
        <v/>
      </c>
      <c r="AC147" s="14">
        <f t="shared" si="6"/>
        <v>0</v>
      </c>
      <c r="AD147" s="14">
        <f t="shared" si="7"/>
        <v>0</v>
      </c>
    </row>
    <row r="148" spans="2:30" ht="15" customHeight="1" x14ac:dyDescent="0.4">
      <c r="B148" s="69" t="str">
        <f>_xlfn.IFNA(VLOOKUP(C148,Master!$J:$K,2,0),"")</f>
        <v/>
      </c>
      <c r="D148" s="71" t="str">
        <f>_xlfn.IFNA(VLOOKUP(E148,Master!$J:$K,2,0),"")</f>
        <v/>
      </c>
      <c r="F148" s="71" t="str">
        <f>_xlfn.IFNA(VLOOKUP(G148,Master!B:C,2,0),"")</f>
        <v/>
      </c>
      <c r="I148" s="69" t="str">
        <f>_xlfn.IFNA(VLOOKUP(E148,Master!$J:$M,4,0),"")</f>
        <v/>
      </c>
      <c r="J148" s="69" t="str">
        <f>_xlfn.IFNA(VLOOKUP($E148,Master!$J:$M,3,0),"")</f>
        <v/>
      </c>
      <c r="AC148" s="14">
        <f t="shared" si="6"/>
        <v>0</v>
      </c>
      <c r="AD148" s="14">
        <f t="shared" si="7"/>
        <v>0</v>
      </c>
    </row>
    <row r="149" spans="2:30" ht="15" customHeight="1" x14ac:dyDescent="0.4">
      <c r="B149" s="69" t="str">
        <f>_xlfn.IFNA(VLOOKUP(C149,Master!$J:$K,2,0),"")</f>
        <v/>
      </c>
      <c r="D149" s="71" t="str">
        <f>_xlfn.IFNA(VLOOKUP(E149,Master!$J:$K,2,0),"")</f>
        <v/>
      </c>
      <c r="F149" s="71" t="str">
        <f>_xlfn.IFNA(VLOOKUP(G149,Master!B:C,2,0),"")</f>
        <v/>
      </c>
      <c r="I149" s="69" t="str">
        <f>_xlfn.IFNA(VLOOKUP(E149,Master!$J:$M,4,0),"")</f>
        <v/>
      </c>
      <c r="J149" s="69" t="str">
        <f>_xlfn.IFNA(VLOOKUP($E149,Master!$J:$M,3,0),"")</f>
        <v/>
      </c>
      <c r="AC149" s="14">
        <f t="shared" si="6"/>
        <v>0</v>
      </c>
      <c r="AD149" s="14">
        <f t="shared" si="7"/>
        <v>0</v>
      </c>
    </row>
    <row r="150" spans="2:30" ht="15" customHeight="1" x14ac:dyDescent="0.4">
      <c r="B150" s="69" t="str">
        <f>_xlfn.IFNA(VLOOKUP(C150,Master!$J:$K,2,0),"")</f>
        <v/>
      </c>
      <c r="D150" s="71" t="str">
        <f>_xlfn.IFNA(VLOOKUP(E150,Master!$J:$K,2,0),"")</f>
        <v/>
      </c>
      <c r="F150" s="71" t="str">
        <f>_xlfn.IFNA(VLOOKUP(G150,Master!B:C,2,0),"")</f>
        <v/>
      </c>
      <c r="I150" s="69" t="str">
        <f>_xlfn.IFNA(VLOOKUP(E150,Master!$J:$M,4,0),"")</f>
        <v/>
      </c>
      <c r="J150" s="69" t="str">
        <f>_xlfn.IFNA(VLOOKUP($E150,Master!$J:$M,3,0),"")</f>
        <v/>
      </c>
      <c r="AC150" s="14">
        <f t="shared" si="6"/>
        <v>0</v>
      </c>
      <c r="AD150" s="14">
        <f t="shared" si="7"/>
        <v>0</v>
      </c>
    </row>
    <row r="151" spans="2:30" ht="15" customHeight="1" x14ac:dyDescent="0.4">
      <c r="B151" s="69" t="str">
        <f>_xlfn.IFNA(VLOOKUP(C151,Master!$J:$K,2,0),"")</f>
        <v/>
      </c>
      <c r="D151" s="71" t="str">
        <f>_xlfn.IFNA(VLOOKUP(E151,Master!$J:$K,2,0),"")</f>
        <v/>
      </c>
      <c r="F151" s="71" t="str">
        <f>_xlfn.IFNA(VLOOKUP(G151,Master!B:C,2,0),"")</f>
        <v/>
      </c>
      <c r="I151" s="69" t="str">
        <f>_xlfn.IFNA(VLOOKUP(E151,Master!$J:$M,4,0),"")</f>
        <v/>
      </c>
      <c r="J151" s="69" t="str">
        <f>_xlfn.IFNA(VLOOKUP($E151,Master!$J:$M,3,0),"")</f>
        <v/>
      </c>
      <c r="AC151" s="14">
        <f t="shared" si="6"/>
        <v>0</v>
      </c>
      <c r="AD151" s="14">
        <f t="shared" si="7"/>
        <v>0</v>
      </c>
    </row>
    <row r="152" spans="2:30" ht="15" customHeight="1" x14ac:dyDescent="0.4">
      <c r="B152" s="69" t="str">
        <f>_xlfn.IFNA(VLOOKUP(C152,Master!$J:$K,2,0),"")</f>
        <v/>
      </c>
      <c r="D152" s="71" t="str">
        <f>_xlfn.IFNA(VLOOKUP(E152,Master!$J:$K,2,0),"")</f>
        <v/>
      </c>
      <c r="F152" s="71" t="str">
        <f>_xlfn.IFNA(VLOOKUP(G152,Master!B:C,2,0),"")</f>
        <v/>
      </c>
      <c r="I152" s="69" t="str">
        <f>_xlfn.IFNA(VLOOKUP(E152,Master!$J:$M,4,0),"")</f>
        <v/>
      </c>
      <c r="J152" s="69" t="str">
        <f>_xlfn.IFNA(VLOOKUP($E152,Master!$J:$M,3,0),"")</f>
        <v/>
      </c>
      <c r="AC152" s="14">
        <f t="shared" si="6"/>
        <v>0</v>
      </c>
      <c r="AD152" s="14">
        <f t="shared" si="7"/>
        <v>0</v>
      </c>
    </row>
    <row r="153" spans="2:30" ht="15" customHeight="1" x14ac:dyDescent="0.4">
      <c r="B153" s="69" t="str">
        <f>_xlfn.IFNA(VLOOKUP(C153,Master!$J:$K,2,0),"")</f>
        <v/>
      </c>
      <c r="D153" s="71" t="str">
        <f>_xlfn.IFNA(VLOOKUP(E153,Master!$J:$K,2,0),"")</f>
        <v/>
      </c>
      <c r="F153" s="71" t="str">
        <f>_xlfn.IFNA(VLOOKUP(G153,Master!B:C,2,0),"")</f>
        <v/>
      </c>
      <c r="I153" s="69" t="str">
        <f>_xlfn.IFNA(VLOOKUP(E153,Master!$J:$M,4,0),"")</f>
        <v/>
      </c>
      <c r="J153" s="69" t="str">
        <f>_xlfn.IFNA(VLOOKUP($E153,Master!$J:$M,3,0),"")</f>
        <v/>
      </c>
      <c r="AC153" s="14">
        <f t="shared" si="6"/>
        <v>0</v>
      </c>
      <c r="AD153" s="14">
        <f t="shared" si="7"/>
        <v>0</v>
      </c>
    </row>
    <row r="154" spans="2:30" ht="15" customHeight="1" x14ac:dyDescent="0.4">
      <c r="B154" s="69" t="str">
        <f>_xlfn.IFNA(VLOOKUP(C154,Master!$J:$K,2,0),"")</f>
        <v/>
      </c>
      <c r="D154" s="71" t="str">
        <f>_xlfn.IFNA(VLOOKUP(E154,Master!$J:$K,2,0),"")</f>
        <v/>
      </c>
      <c r="F154" s="71" t="str">
        <f>_xlfn.IFNA(VLOOKUP(G154,Master!B:C,2,0),"")</f>
        <v/>
      </c>
      <c r="I154" s="69" t="str">
        <f>_xlfn.IFNA(VLOOKUP(E154,Master!$J:$M,4,0),"")</f>
        <v/>
      </c>
      <c r="J154" s="69" t="str">
        <f>_xlfn.IFNA(VLOOKUP($E154,Master!$J:$M,3,0),"")</f>
        <v/>
      </c>
      <c r="AC154" s="14">
        <f t="shared" si="6"/>
        <v>0</v>
      </c>
      <c r="AD154" s="14">
        <f t="shared" si="7"/>
        <v>0</v>
      </c>
    </row>
    <row r="155" spans="2:30" ht="15" customHeight="1" x14ac:dyDescent="0.4">
      <c r="B155" s="69" t="str">
        <f>_xlfn.IFNA(VLOOKUP(C155,Master!$J:$K,2,0),"")</f>
        <v/>
      </c>
      <c r="D155" s="71" t="str">
        <f>_xlfn.IFNA(VLOOKUP(E155,Master!$J:$K,2,0),"")</f>
        <v/>
      </c>
      <c r="F155" s="71" t="str">
        <f>_xlfn.IFNA(VLOOKUP(G155,Master!B:C,2,0),"")</f>
        <v/>
      </c>
      <c r="I155" s="69" t="str">
        <f>_xlfn.IFNA(VLOOKUP(E155,Master!$J:$M,4,0),"")</f>
        <v/>
      </c>
      <c r="J155" s="69" t="str">
        <f>_xlfn.IFNA(VLOOKUP($E155,Master!$J:$M,3,0),"")</f>
        <v/>
      </c>
      <c r="AC155" s="14">
        <f t="shared" si="6"/>
        <v>0</v>
      </c>
      <c r="AD155" s="14">
        <f t="shared" si="7"/>
        <v>0</v>
      </c>
    </row>
    <row r="156" spans="2:30" ht="15" customHeight="1" x14ac:dyDescent="0.4">
      <c r="B156" s="69" t="str">
        <f>_xlfn.IFNA(VLOOKUP(C156,Master!$J:$K,2,0),"")</f>
        <v/>
      </c>
      <c r="D156" s="71" t="str">
        <f>_xlfn.IFNA(VLOOKUP(E156,Master!$J:$K,2,0),"")</f>
        <v/>
      </c>
      <c r="F156" s="71" t="str">
        <f>_xlfn.IFNA(VLOOKUP(G156,Master!B:C,2,0),"")</f>
        <v/>
      </c>
      <c r="I156" s="69" t="str">
        <f>_xlfn.IFNA(VLOOKUP(E156,Master!$J:$M,4,0),"")</f>
        <v/>
      </c>
      <c r="J156" s="69" t="str">
        <f>_xlfn.IFNA(VLOOKUP($E156,Master!$J:$M,3,0),"")</f>
        <v/>
      </c>
      <c r="AC156" s="14">
        <f t="shared" si="6"/>
        <v>0</v>
      </c>
      <c r="AD156" s="14">
        <f t="shared" si="7"/>
        <v>0</v>
      </c>
    </row>
    <row r="157" spans="2:30" ht="15" customHeight="1" x14ac:dyDescent="0.4">
      <c r="B157" s="69" t="str">
        <f>_xlfn.IFNA(VLOOKUP(C157,Master!$J:$K,2,0),"")</f>
        <v/>
      </c>
      <c r="D157" s="71" t="str">
        <f>_xlfn.IFNA(VLOOKUP(E157,Master!$J:$K,2,0),"")</f>
        <v/>
      </c>
      <c r="F157" s="71" t="str">
        <f>_xlfn.IFNA(VLOOKUP(G157,Master!B:C,2,0),"")</f>
        <v/>
      </c>
      <c r="I157" s="69" t="str">
        <f>_xlfn.IFNA(VLOOKUP(E157,Master!$J:$M,4,0),"")</f>
        <v/>
      </c>
      <c r="J157" s="69" t="str">
        <f>_xlfn.IFNA(VLOOKUP($E157,Master!$J:$M,3,0),"")</f>
        <v/>
      </c>
      <c r="AC157" s="14">
        <f t="shared" si="6"/>
        <v>0</v>
      </c>
      <c r="AD157" s="14">
        <f t="shared" si="7"/>
        <v>0</v>
      </c>
    </row>
    <row r="158" spans="2:30" ht="15" customHeight="1" x14ac:dyDescent="0.4">
      <c r="B158" s="69" t="str">
        <f>_xlfn.IFNA(VLOOKUP(C158,Master!$J:$K,2,0),"")</f>
        <v/>
      </c>
      <c r="D158" s="71" t="str">
        <f>_xlfn.IFNA(VLOOKUP(E158,Master!$J:$K,2,0),"")</f>
        <v/>
      </c>
      <c r="F158" s="71" t="str">
        <f>_xlfn.IFNA(VLOOKUP(G158,Master!B:C,2,0),"")</f>
        <v/>
      </c>
      <c r="I158" s="69" t="str">
        <f>_xlfn.IFNA(VLOOKUP(E158,Master!$J:$M,4,0),"")</f>
        <v/>
      </c>
      <c r="J158" s="69" t="str">
        <f>_xlfn.IFNA(VLOOKUP($E158,Master!$J:$M,3,0),"")</f>
        <v/>
      </c>
      <c r="AC158" s="14">
        <f t="shared" si="6"/>
        <v>0</v>
      </c>
      <c r="AD158" s="14">
        <f t="shared" si="7"/>
        <v>0</v>
      </c>
    </row>
    <row r="159" spans="2:30" ht="15" customHeight="1" x14ac:dyDescent="0.4">
      <c r="B159" s="69" t="str">
        <f>_xlfn.IFNA(VLOOKUP(C159,Master!$J:$K,2,0),"")</f>
        <v/>
      </c>
      <c r="D159" s="71" t="str">
        <f>_xlfn.IFNA(VLOOKUP(E159,Master!$J:$K,2,0),"")</f>
        <v/>
      </c>
      <c r="F159" s="71" t="str">
        <f>_xlfn.IFNA(VLOOKUP(G159,Master!B:C,2,0),"")</f>
        <v/>
      </c>
      <c r="I159" s="69" t="str">
        <f>_xlfn.IFNA(VLOOKUP(E159,Master!$J:$M,4,0),"")</f>
        <v/>
      </c>
      <c r="J159" s="69" t="str">
        <f>_xlfn.IFNA(VLOOKUP($E159,Master!$J:$M,3,0),"")</f>
        <v/>
      </c>
      <c r="AC159" s="14">
        <f t="shared" si="6"/>
        <v>0</v>
      </c>
      <c r="AD159" s="14">
        <f t="shared" si="7"/>
        <v>0</v>
      </c>
    </row>
    <row r="160" spans="2:30" ht="15" customHeight="1" x14ac:dyDescent="0.4">
      <c r="B160" s="69" t="str">
        <f>_xlfn.IFNA(VLOOKUP(C160,Master!$J:$K,2,0),"")</f>
        <v/>
      </c>
      <c r="D160" s="71" t="str">
        <f>_xlfn.IFNA(VLOOKUP(E160,Master!$J:$K,2,0),"")</f>
        <v/>
      </c>
      <c r="F160" s="71" t="str">
        <f>_xlfn.IFNA(VLOOKUP(G160,Master!B:C,2,0),"")</f>
        <v/>
      </c>
      <c r="I160" s="69" t="str">
        <f>_xlfn.IFNA(VLOOKUP(E160,Master!$J:$M,4,0),"")</f>
        <v/>
      </c>
      <c r="J160" s="69" t="str">
        <f>_xlfn.IFNA(VLOOKUP($E160,Master!$J:$M,3,0),"")</f>
        <v/>
      </c>
      <c r="AC160" s="14">
        <f t="shared" si="6"/>
        <v>0</v>
      </c>
      <c r="AD160" s="14">
        <f t="shared" si="7"/>
        <v>0</v>
      </c>
    </row>
    <row r="161" spans="2:30" ht="15" customHeight="1" x14ac:dyDescent="0.4">
      <c r="B161" s="69" t="str">
        <f>_xlfn.IFNA(VLOOKUP(C161,Master!$J:$K,2,0),"")</f>
        <v/>
      </c>
      <c r="D161" s="71" t="str">
        <f>_xlfn.IFNA(VLOOKUP(E161,Master!$J:$K,2,0),"")</f>
        <v/>
      </c>
      <c r="F161" s="71" t="str">
        <f>_xlfn.IFNA(VLOOKUP(G161,Master!B:C,2,0),"")</f>
        <v/>
      </c>
      <c r="I161" s="69" t="str">
        <f>_xlfn.IFNA(VLOOKUP(E161,Master!$J:$M,4,0),"")</f>
        <v/>
      </c>
      <c r="J161" s="69" t="str">
        <f>_xlfn.IFNA(VLOOKUP($E161,Master!$J:$M,3,0),"")</f>
        <v/>
      </c>
      <c r="AC161" s="14">
        <f t="shared" si="6"/>
        <v>0</v>
      </c>
      <c r="AD161" s="14">
        <f t="shared" si="7"/>
        <v>0</v>
      </c>
    </row>
    <row r="162" spans="2:30" ht="15" customHeight="1" x14ac:dyDescent="0.4">
      <c r="B162" s="69" t="str">
        <f>_xlfn.IFNA(VLOOKUP(C162,Master!$J:$K,2,0),"")</f>
        <v/>
      </c>
      <c r="D162" s="71" t="str">
        <f>_xlfn.IFNA(VLOOKUP(E162,Master!$J:$K,2,0),"")</f>
        <v/>
      </c>
      <c r="F162" s="71" t="str">
        <f>_xlfn.IFNA(VLOOKUP(G162,Master!B:C,2,0),"")</f>
        <v/>
      </c>
      <c r="I162" s="69" t="str">
        <f>_xlfn.IFNA(VLOOKUP(E162,Master!$J:$M,4,0),"")</f>
        <v/>
      </c>
      <c r="J162" s="69" t="str">
        <f>_xlfn.IFNA(VLOOKUP($E162,Master!$J:$M,3,0),"")</f>
        <v/>
      </c>
      <c r="AC162" s="14">
        <f t="shared" si="6"/>
        <v>0</v>
      </c>
      <c r="AD162" s="14">
        <f t="shared" si="7"/>
        <v>0</v>
      </c>
    </row>
    <row r="163" spans="2:30" ht="15" customHeight="1" x14ac:dyDescent="0.4">
      <c r="B163" s="69" t="str">
        <f>_xlfn.IFNA(VLOOKUP(C163,Master!$J:$K,2,0),"")</f>
        <v/>
      </c>
      <c r="D163" s="71" t="str">
        <f>_xlfn.IFNA(VLOOKUP(E163,Master!$J:$K,2,0),"")</f>
        <v/>
      </c>
      <c r="F163" s="71" t="str">
        <f>_xlfn.IFNA(VLOOKUP(G163,Master!B:C,2,0),"")</f>
        <v/>
      </c>
      <c r="I163" s="69" t="str">
        <f>_xlfn.IFNA(VLOOKUP(E163,Master!$J:$M,4,0),"")</f>
        <v/>
      </c>
      <c r="J163" s="69" t="str">
        <f>_xlfn.IFNA(VLOOKUP($E163,Master!$J:$M,3,0),"")</f>
        <v/>
      </c>
      <c r="AC163" s="14">
        <f t="shared" si="6"/>
        <v>0</v>
      </c>
      <c r="AD163" s="14">
        <f t="shared" si="7"/>
        <v>0</v>
      </c>
    </row>
    <row r="164" spans="2:30" ht="15" customHeight="1" x14ac:dyDescent="0.4">
      <c r="B164" s="69" t="str">
        <f>_xlfn.IFNA(VLOOKUP(C164,Master!$J:$K,2,0),"")</f>
        <v/>
      </c>
      <c r="D164" s="71" t="str">
        <f>_xlfn.IFNA(VLOOKUP(E164,Master!$J:$K,2,0),"")</f>
        <v/>
      </c>
      <c r="F164" s="71" t="str">
        <f>_xlfn.IFNA(VLOOKUP(G164,Master!B:C,2,0),"")</f>
        <v/>
      </c>
      <c r="I164" s="69" t="str">
        <f>_xlfn.IFNA(VLOOKUP(E164,Master!$J:$M,4,0),"")</f>
        <v/>
      </c>
      <c r="J164" s="69" t="str">
        <f>_xlfn.IFNA(VLOOKUP($E164,Master!$J:$M,3,0),"")</f>
        <v/>
      </c>
      <c r="AC164" s="14">
        <f t="shared" si="6"/>
        <v>0</v>
      </c>
      <c r="AD164" s="14">
        <f t="shared" si="7"/>
        <v>0</v>
      </c>
    </row>
    <row r="165" spans="2:30" ht="15" customHeight="1" x14ac:dyDescent="0.4">
      <c r="B165" s="69" t="str">
        <f>_xlfn.IFNA(VLOOKUP(C165,Master!$J:$K,2,0),"")</f>
        <v/>
      </c>
      <c r="D165" s="71" t="str">
        <f>_xlfn.IFNA(VLOOKUP(E165,Master!$J:$K,2,0),"")</f>
        <v/>
      </c>
      <c r="F165" s="71" t="str">
        <f>_xlfn.IFNA(VLOOKUP(G165,Master!B:C,2,0),"")</f>
        <v/>
      </c>
      <c r="I165" s="69" t="str">
        <f>_xlfn.IFNA(VLOOKUP(E165,Master!$J:$M,4,0),"")</f>
        <v/>
      </c>
      <c r="J165" s="69" t="str">
        <f>_xlfn.IFNA(VLOOKUP($E165,Master!$J:$M,3,0),"")</f>
        <v/>
      </c>
      <c r="AC165" s="14">
        <f t="shared" si="6"/>
        <v>0</v>
      </c>
      <c r="AD165" s="14">
        <f t="shared" si="7"/>
        <v>0</v>
      </c>
    </row>
    <row r="166" spans="2:30" ht="15" customHeight="1" x14ac:dyDescent="0.4">
      <c r="B166" s="69" t="str">
        <f>_xlfn.IFNA(VLOOKUP(C166,Master!$J:$K,2,0),"")</f>
        <v/>
      </c>
      <c r="D166" s="71" t="str">
        <f>_xlfn.IFNA(VLOOKUP(E166,Master!$J:$K,2,0),"")</f>
        <v/>
      </c>
      <c r="F166" s="71" t="str">
        <f>_xlfn.IFNA(VLOOKUP(G166,Master!B:C,2,0),"")</f>
        <v/>
      </c>
      <c r="I166" s="69" t="str">
        <f>_xlfn.IFNA(VLOOKUP(E166,Master!$J:$M,4,0),"")</f>
        <v/>
      </c>
      <c r="J166" s="69" t="str">
        <f>_xlfn.IFNA(VLOOKUP($E166,Master!$J:$M,3,0),"")</f>
        <v/>
      </c>
      <c r="AC166" s="14">
        <f t="shared" si="6"/>
        <v>0</v>
      </c>
      <c r="AD166" s="14">
        <f t="shared" si="7"/>
        <v>0</v>
      </c>
    </row>
    <row r="167" spans="2:30" ht="15" customHeight="1" x14ac:dyDescent="0.4">
      <c r="B167" s="69" t="str">
        <f>_xlfn.IFNA(VLOOKUP(C167,Master!$J:$K,2,0),"")</f>
        <v/>
      </c>
      <c r="D167" s="71" t="str">
        <f>_xlfn.IFNA(VLOOKUP(E167,Master!$J:$K,2,0),"")</f>
        <v/>
      </c>
      <c r="F167" s="71" t="str">
        <f>_xlfn.IFNA(VLOOKUP(G167,Master!B:C,2,0),"")</f>
        <v/>
      </c>
      <c r="I167" s="69" t="str">
        <f>_xlfn.IFNA(VLOOKUP(E167,Master!$J:$M,4,0),"")</f>
        <v/>
      </c>
      <c r="J167" s="69" t="str">
        <f>_xlfn.IFNA(VLOOKUP($E167,Master!$J:$M,3,0),"")</f>
        <v/>
      </c>
      <c r="AC167" s="14">
        <f t="shared" si="6"/>
        <v>0</v>
      </c>
      <c r="AD167" s="14">
        <f t="shared" si="7"/>
        <v>0</v>
      </c>
    </row>
    <row r="168" spans="2:30" ht="15" customHeight="1" x14ac:dyDescent="0.4">
      <c r="B168" s="69" t="str">
        <f>_xlfn.IFNA(VLOOKUP(C168,Master!$J:$K,2,0),"")</f>
        <v/>
      </c>
      <c r="D168" s="71" t="str">
        <f>_xlfn.IFNA(VLOOKUP(E168,Master!$J:$K,2,0),"")</f>
        <v/>
      </c>
      <c r="F168" s="71" t="str">
        <f>_xlfn.IFNA(VLOOKUP(G168,Master!B:C,2,0),"")</f>
        <v/>
      </c>
      <c r="I168" s="69" t="str">
        <f>_xlfn.IFNA(VLOOKUP(E168,Master!$J:$M,4,0),"")</f>
        <v/>
      </c>
      <c r="J168" s="69" t="str">
        <f>_xlfn.IFNA(VLOOKUP($E168,Master!$J:$M,3,0),"")</f>
        <v/>
      </c>
      <c r="AC168" s="14">
        <f t="shared" si="6"/>
        <v>0</v>
      </c>
      <c r="AD168" s="14">
        <f t="shared" si="7"/>
        <v>0</v>
      </c>
    </row>
    <row r="169" spans="2:30" ht="15" customHeight="1" x14ac:dyDescent="0.4">
      <c r="B169" s="69" t="str">
        <f>_xlfn.IFNA(VLOOKUP(C169,Master!$J:$K,2,0),"")</f>
        <v/>
      </c>
      <c r="D169" s="71" t="str">
        <f>_xlfn.IFNA(VLOOKUP(E169,Master!$J:$K,2,0),"")</f>
        <v/>
      </c>
      <c r="F169" s="71" t="str">
        <f>_xlfn.IFNA(VLOOKUP(G169,Master!B:C,2,0),"")</f>
        <v/>
      </c>
      <c r="I169" s="69" t="str">
        <f>_xlfn.IFNA(VLOOKUP(E169,Master!$J:$M,4,0),"")</f>
        <v/>
      </c>
      <c r="J169" s="69" t="str">
        <f>_xlfn.IFNA(VLOOKUP($E169,Master!$J:$M,3,0),"")</f>
        <v/>
      </c>
      <c r="AC169" s="14">
        <f t="shared" si="6"/>
        <v>0</v>
      </c>
      <c r="AD169" s="14">
        <f t="shared" si="7"/>
        <v>0</v>
      </c>
    </row>
    <row r="170" spans="2:30" ht="15" customHeight="1" x14ac:dyDescent="0.4">
      <c r="B170" s="69" t="str">
        <f>_xlfn.IFNA(VLOOKUP(C170,Master!$J:$K,2,0),"")</f>
        <v/>
      </c>
      <c r="D170" s="71" t="str">
        <f>_xlfn.IFNA(VLOOKUP(E170,Master!$J:$K,2,0),"")</f>
        <v/>
      </c>
      <c r="F170" s="71" t="str">
        <f>_xlfn.IFNA(VLOOKUP(G170,Master!B:C,2,0),"")</f>
        <v/>
      </c>
      <c r="I170" s="69" t="str">
        <f>_xlfn.IFNA(VLOOKUP(E170,Master!$J:$M,4,0),"")</f>
        <v/>
      </c>
      <c r="J170" s="69" t="str">
        <f>_xlfn.IFNA(VLOOKUP($E170,Master!$J:$M,3,0),"")</f>
        <v/>
      </c>
      <c r="AC170" s="14">
        <f t="shared" si="6"/>
        <v>0</v>
      </c>
      <c r="AD170" s="14">
        <f t="shared" si="7"/>
        <v>0</v>
      </c>
    </row>
    <row r="171" spans="2:30" ht="15" customHeight="1" x14ac:dyDescent="0.4">
      <c r="B171" s="69" t="str">
        <f>_xlfn.IFNA(VLOOKUP(C171,Master!$J:$K,2,0),"")</f>
        <v/>
      </c>
      <c r="D171" s="71" t="str">
        <f>_xlfn.IFNA(VLOOKUP(E171,Master!$J:$K,2,0),"")</f>
        <v/>
      </c>
      <c r="F171" s="71" t="str">
        <f>_xlfn.IFNA(VLOOKUP(G171,Master!B:C,2,0),"")</f>
        <v/>
      </c>
      <c r="I171" s="69" t="str">
        <f>_xlfn.IFNA(VLOOKUP(E171,Master!$J:$M,4,0),"")</f>
        <v/>
      </c>
      <c r="J171" s="69" t="str">
        <f>_xlfn.IFNA(VLOOKUP($E171,Master!$J:$M,3,0),"")</f>
        <v/>
      </c>
      <c r="AC171" s="14">
        <f t="shared" si="6"/>
        <v>0</v>
      </c>
      <c r="AD171" s="14">
        <f t="shared" si="7"/>
        <v>0</v>
      </c>
    </row>
    <row r="172" spans="2:30" ht="15" customHeight="1" x14ac:dyDescent="0.4">
      <c r="B172" s="69" t="str">
        <f>_xlfn.IFNA(VLOOKUP(C172,Master!$J:$K,2,0),"")</f>
        <v/>
      </c>
      <c r="D172" s="71" t="str">
        <f>_xlfn.IFNA(VLOOKUP(E172,Master!$J:$K,2,0),"")</f>
        <v/>
      </c>
      <c r="F172" s="71" t="str">
        <f>_xlfn.IFNA(VLOOKUP(G172,Master!B:C,2,0),"")</f>
        <v/>
      </c>
      <c r="I172" s="69" t="str">
        <f>_xlfn.IFNA(VLOOKUP(E172,Master!$J:$M,4,0),"")</f>
        <v/>
      </c>
      <c r="J172" s="69" t="str">
        <f>_xlfn.IFNA(VLOOKUP($E172,Master!$J:$M,3,0),"")</f>
        <v/>
      </c>
      <c r="AC172" s="14">
        <f t="shared" si="6"/>
        <v>0</v>
      </c>
      <c r="AD172" s="14">
        <f t="shared" si="7"/>
        <v>0</v>
      </c>
    </row>
    <row r="173" spans="2:30" ht="15" customHeight="1" x14ac:dyDescent="0.4">
      <c r="B173" s="69" t="str">
        <f>_xlfn.IFNA(VLOOKUP(C173,Master!$J:$K,2,0),"")</f>
        <v/>
      </c>
      <c r="D173" s="71" t="str">
        <f>_xlfn.IFNA(VLOOKUP(E173,Master!$J:$K,2,0),"")</f>
        <v/>
      </c>
      <c r="F173" s="71" t="str">
        <f>_xlfn.IFNA(VLOOKUP(G173,Master!B:C,2,0),"")</f>
        <v/>
      </c>
      <c r="I173" s="69" t="str">
        <f>_xlfn.IFNA(VLOOKUP(E173,Master!$J:$M,4,0),"")</f>
        <v/>
      </c>
      <c r="J173" s="69" t="str">
        <f>_xlfn.IFNA(VLOOKUP($E173,Master!$J:$M,3,0),"")</f>
        <v/>
      </c>
      <c r="AC173" s="14">
        <f t="shared" si="6"/>
        <v>0</v>
      </c>
      <c r="AD173" s="14">
        <f t="shared" si="7"/>
        <v>0</v>
      </c>
    </row>
    <row r="174" spans="2:30" ht="15" customHeight="1" x14ac:dyDescent="0.4">
      <c r="B174" s="69" t="str">
        <f>_xlfn.IFNA(VLOOKUP(C174,Master!$J:$K,2,0),"")</f>
        <v/>
      </c>
      <c r="D174" s="71" t="str">
        <f>_xlfn.IFNA(VLOOKUP(E174,Master!$J:$K,2,0),"")</f>
        <v/>
      </c>
      <c r="F174" s="71" t="str">
        <f>_xlfn.IFNA(VLOOKUP(G174,Master!B:C,2,0),"")</f>
        <v/>
      </c>
      <c r="I174" s="69" t="str">
        <f>_xlfn.IFNA(VLOOKUP(E174,Master!$J:$M,4,0),"")</f>
        <v/>
      </c>
      <c r="J174" s="69" t="str">
        <f>_xlfn.IFNA(VLOOKUP($E174,Master!$J:$M,3,0),"")</f>
        <v/>
      </c>
      <c r="AC174" s="14">
        <f t="shared" si="6"/>
        <v>0</v>
      </c>
      <c r="AD174" s="14">
        <f t="shared" si="7"/>
        <v>0</v>
      </c>
    </row>
    <row r="175" spans="2:30" ht="15" customHeight="1" x14ac:dyDescent="0.4">
      <c r="B175" s="69" t="str">
        <f>_xlfn.IFNA(VLOOKUP(C175,Master!$J:$K,2,0),"")</f>
        <v/>
      </c>
      <c r="D175" s="71" t="str">
        <f>_xlfn.IFNA(VLOOKUP(E175,Master!$J:$K,2,0),"")</f>
        <v/>
      </c>
      <c r="F175" s="71" t="str">
        <f>_xlfn.IFNA(VLOOKUP(G175,Master!B:C,2,0),"")</f>
        <v/>
      </c>
      <c r="I175" s="69" t="str">
        <f>_xlfn.IFNA(VLOOKUP(E175,Master!$J:$M,4,0),"")</f>
        <v/>
      </c>
      <c r="J175" s="69" t="str">
        <f>_xlfn.IFNA(VLOOKUP($E175,Master!$J:$M,3,0),"")</f>
        <v/>
      </c>
      <c r="AC175" s="14">
        <f t="shared" si="6"/>
        <v>0</v>
      </c>
      <c r="AD175" s="14">
        <f t="shared" si="7"/>
        <v>0</v>
      </c>
    </row>
    <row r="176" spans="2:30" ht="15" customHeight="1" x14ac:dyDescent="0.4">
      <c r="B176" s="69" t="str">
        <f>_xlfn.IFNA(VLOOKUP(C176,Master!$J:$K,2,0),"")</f>
        <v/>
      </c>
      <c r="D176" s="71" t="str">
        <f>_xlfn.IFNA(VLOOKUP(E176,Master!$J:$K,2,0),"")</f>
        <v/>
      </c>
      <c r="F176" s="71" t="str">
        <f>_xlfn.IFNA(VLOOKUP(G176,Master!B:C,2,0),"")</f>
        <v/>
      </c>
      <c r="I176" s="69" t="str">
        <f>_xlfn.IFNA(VLOOKUP(E176,Master!$J:$M,4,0),"")</f>
        <v/>
      </c>
      <c r="J176" s="69" t="str">
        <f>_xlfn.IFNA(VLOOKUP($E176,Master!$J:$M,3,0),"")</f>
        <v/>
      </c>
      <c r="AC176" s="14">
        <f t="shared" si="6"/>
        <v>0</v>
      </c>
      <c r="AD176" s="14">
        <f t="shared" si="7"/>
        <v>0</v>
      </c>
    </row>
    <row r="177" spans="2:30" ht="15" customHeight="1" x14ac:dyDescent="0.4">
      <c r="B177" s="69" t="str">
        <f>_xlfn.IFNA(VLOOKUP(C177,Master!$J:$K,2,0),"")</f>
        <v/>
      </c>
      <c r="D177" s="71" t="str">
        <f>_xlfn.IFNA(VLOOKUP(E177,Master!$J:$K,2,0),"")</f>
        <v/>
      </c>
      <c r="F177" s="71" t="str">
        <f>_xlfn.IFNA(VLOOKUP(G177,Master!B:C,2,0),"")</f>
        <v/>
      </c>
      <c r="I177" s="69" t="str">
        <f>_xlfn.IFNA(VLOOKUP(E177,Master!$J:$M,4,0),"")</f>
        <v/>
      </c>
      <c r="J177" s="69" t="str">
        <f>_xlfn.IFNA(VLOOKUP($E177,Master!$J:$M,3,0),"")</f>
        <v/>
      </c>
      <c r="AC177" s="14">
        <f t="shared" si="6"/>
        <v>0</v>
      </c>
      <c r="AD177" s="14">
        <f t="shared" si="7"/>
        <v>0</v>
      </c>
    </row>
    <row r="178" spans="2:30" ht="15" customHeight="1" x14ac:dyDescent="0.4">
      <c r="B178" s="69" t="str">
        <f>_xlfn.IFNA(VLOOKUP(C178,Master!$J:$K,2,0),"")</f>
        <v/>
      </c>
      <c r="D178" s="71" t="str">
        <f>_xlfn.IFNA(VLOOKUP(E178,Master!$J:$K,2,0),"")</f>
        <v/>
      </c>
      <c r="F178" s="71" t="str">
        <f>_xlfn.IFNA(VLOOKUP(G178,Master!B:C,2,0),"")</f>
        <v/>
      </c>
      <c r="I178" s="69" t="str">
        <f>_xlfn.IFNA(VLOOKUP(E178,Master!$J:$M,4,0),"")</f>
        <v/>
      </c>
      <c r="J178" s="69" t="str">
        <f>_xlfn.IFNA(VLOOKUP($E178,Master!$J:$M,3,0),"")</f>
        <v/>
      </c>
      <c r="AC178" s="14">
        <f t="shared" si="6"/>
        <v>0</v>
      </c>
      <c r="AD178" s="14">
        <f t="shared" si="7"/>
        <v>0</v>
      </c>
    </row>
    <row r="179" spans="2:30" ht="15" customHeight="1" x14ac:dyDescent="0.4">
      <c r="B179" s="69" t="str">
        <f>_xlfn.IFNA(VLOOKUP(C179,Master!$J:$K,2,0),"")</f>
        <v/>
      </c>
      <c r="D179" s="71" t="str">
        <f>_xlfn.IFNA(VLOOKUP(E179,Master!$J:$K,2,0),"")</f>
        <v/>
      </c>
      <c r="F179" s="71" t="str">
        <f>_xlfn.IFNA(VLOOKUP(G179,Master!B:C,2,0),"")</f>
        <v/>
      </c>
      <c r="I179" s="69" t="str">
        <f>_xlfn.IFNA(VLOOKUP(E179,Master!$J:$M,4,0),"")</f>
        <v/>
      </c>
      <c r="J179" s="69" t="str">
        <f>_xlfn.IFNA(VLOOKUP($E179,Master!$J:$M,3,0),"")</f>
        <v/>
      </c>
      <c r="AC179" s="14">
        <f t="shared" si="6"/>
        <v>0</v>
      </c>
      <c r="AD179" s="14">
        <f t="shared" si="7"/>
        <v>0</v>
      </c>
    </row>
    <row r="180" spans="2:30" ht="15" customHeight="1" x14ac:dyDescent="0.4">
      <c r="B180" s="69" t="str">
        <f>_xlfn.IFNA(VLOOKUP(C180,Master!$J:$K,2,0),"")</f>
        <v/>
      </c>
      <c r="D180" s="71" t="str">
        <f>_xlfn.IFNA(VLOOKUP(E180,Master!$J:$K,2,0),"")</f>
        <v/>
      </c>
      <c r="F180" s="71" t="str">
        <f>_xlfn.IFNA(VLOOKUP(G180,Master!B:C,2,0),"")</f>
        <v/>
      </c>
      <c r="I180" s="69" t="str">
        <f>_xlfn.IFNA(VLOOKUP(E180,Master!$J:$M,4,0),"")</f>
        <v/>
      </c>
      <c r="J180" s="69" t="str">
        <f>_xlfn.IFNA(VLOOKUP($E180,Master!$J:$M,3,0),"")</f>
        <v/>
      </c>
      <c r="AC180" s="14">
        <f t="shared" si="6"/>
        <v>0</v>
      </c>
      <c r="AD180" s="14">
        <f t="shared" si="7"/>
        <v>0</v>
      </c>
    </row>
    <row r="181" spans="2:30" ht="15" customHeight="1" x14ac:dyDescent="0.4">
      <c r="B181" s="69" t="str">
        <f>_xlfn.IFNA(VLOOKUP(C181,Master!$J:$K,2,0),"")</f>
        <v/>
      </c>
      <c r="D181" s="71" t="str">
        <f>_xlfn.IFNA(VLOOKUP(E181,Master!$J:$K,2,0),"")</f>
        <v/>
      </c>
      <c r="F181" s="71" t="str">
        <f>_xlfn.IFNA(VLOOKUP(G181,Master!B:C,2,0),"")</f>
        <v/>
      </c>
      <c r="I181" s="69" t="str">
        <f>_xlfn.IFNA(VLOOKUP(E181,Master!$J:$M,4,0),"")</f>
        <v/>
      </c>
      <c r="J181" s="69" t="str">
        <f>_xlfn.IFNA(VLOOKUP($E181,Master!$J:$M,3,0),"")</f>
        <v/>
      </c>
      <c r="AC181" s="14">
        <f t="shared" si="6"/>
        <v>0</v>
      </c>
      <c r="AD181" s="14">
        <f t="shared" si="7"/>
        <v>0</v>
      </c>
    </row>
    <row r="182" spans="2:30" ht="15" customHeight="1" x14ac:dyDescent="0.4">
      <c r="B182" s="69" t="str">
        <f>_xlfn.IFNA(VLOOKUP(C182,Master!$J:$K,2,0),"")</f>
        <v/>
      </c>
      <c r="D182" s="71" t="str">
        <f>_xlfn.IFNA(VLOOKUP(E182,Master!$J:$K,2,0),"")</f>
        <v/>
      </c>
      <c r="F182" s="71" t="str">
        <f>_xlfn.IFNA(VLOOKUP(G182,Master!B:C,2,0),"")</f>
        <v/>
      </c>
      <c r="I182" s="69" t="str">
        <f>_xlfn.IFNA(VLOOKUP(E182,Master!$J:$M,4,0),"")</f>
        <v/>
      </c>
      <c r="J182" s="69" t="str">
        <f>_xlfn.IFNA(VLOOKUP($E182,Master!$J:$M,3,0),"")</f>
        <v/>
      </c>
      <c r="AC182" s="14">
        <f t="shared" si="6"/>
        <v>0</v>
      </c>
      <c r="AD182" s="14">
        <f t="shared" si="7"/>
        <v>0</v>
      </c>
    </row>
    <row r="183" spans="2:30" ht="15" customHeight="1" x14ac:dyDescent="0.4">
      <c r="B183" s="69" t="str">
        <f>_xlfn.IFNA(VLOOKUP(C183,Master!$J:$K,2,0),"")</f>
        <v/>
      </c>
      <c r="D183" s="71" t="str">
        <f>_xlfn.IFNA(VLOOKUP(E183,Master!$J:$K,2,0),"")</f>
        <v/>
      </c>
      <c r="F183" s="71" t="str">
        <f>_xlfn.IFNA(VLOOKUP(G183,Master!B:C,2,0),"")</f>
        <v/>
      </c>
      <c r="I183" s="69" t="str">
        <f>_xlfn.IFNA(VLOOKUP(E183,Master!$J:$M,4,0),"")</f>
        <v/>
      </c>
      <c r="J183" s="69" t="str">
        <f>_xlfn.IFNA(VLOOKUP($E183,Master!$J:$M,3,0),"")</f>
        <v/>
      </c>
      <c r="AC183" s="14">
        <f t="shared" si="6"/>
        <v>0</v>
      </c>
      <c r="AD183" s="14">
        <f t="shared" si="7"/>
        <v>0</v>
      </c>
    </row>
    <row r="184" spans="2:30" ht="15" customHeight="1" x14ac:dyDescent="0.4">
      <c r="B184" s="69" t="str">
        <f>_xlfn.IFNA(VLOOKUP(C184,Master!$J:$K,2,0),"")</f>
        <v/>
      </c>
      <c r="D184" s="71" t="str">
        <f>_xlfn.IFNA(VLOOKUP(E184,Master!$J:$K,2,0),"")</f>
        <v/>
      </c>
      <c r="F184" s="71" t="str">
        <f>_xlfn.IFNA(VLOOKUP(G184,Master!B:C,2,0),"")</f>
        <v/>
      </c>
      <c r="I184" s="69" t="str">
        <f>_xlfn.IFNA(VLOOKUP(E184,Master!$J:$M,4,0),"")</f>
        <v/>
      </c>
      <c r="J184" s="69" t="str">
        <f>_xlfn.IFNA(VLOOKUP($E184,Master!$J:$M,3,0),"")</f>
        <v/>
      </c>
      <c r="AC184" s="14">
        <f t="shared" si="6"/>
        <v>0</v>
      </c>
      <c r="AD184" s="14">
        <f t="shared" si="7"/>
        <v>0</v>
      </c>
    </row>
    <row r="185" spans="2:30" ht="15" customHeight="1" x14ac:dyDescent="0.4">
      <c r="B185" s="69" t="str">
        <f>_xlfn.IFNA(VLOOKUP(C185,Master!$J:$K,2,0),"")</f>
        <v/>
      </c>
      <c r="D185" s="71" t="str">
        <f>_xlfn.IFNA(VLOOKUP(E185,Master!$J:$K,2,0),"")</f>
        <v/>
      </c>
      <c r="F185" s="71" t="str">
        <f>_xlfn.IFNA(VLOOKUP(G185,Master!B:C,2,0),"")</f>
        <v/>
      </c>
      <c r="I185" s="69" t="str">
        <f>_xlfn.IFNA(VLOOKUP(E185,Master!$J:$M,4,0),"")</f>
        <v/>
      </c>
      <c r="J185" s="69" t="str">
        <f>_xlfn.IFNA(VLOOKUP($E185,Master!$J:$M,3,0),"")</f>
        <v/>
      </c>
      <c r="AC185" s="14">
        <f t="shared" si="6"/>
        <v>0</v>
      </c>
      <c r="AD185" s="14">
        <f t="shared" si="7"/>
        <v>0</v>
      </c>
    </row>
    <row r="186" spans="2:30" ht="15" customHeight="1" x14ac:dyDescent="0.4">
      <c r="B186" s="69" t="str">
        <f>_xlfn.IFNA(VLOOKUP(C186,Master!$J:$K,2,0),"")</f>
        <v/>
      </c>
      <c r="D186" s="71" t="str">
        <f>_xlfn.IFNA(VLOOKUP(E186,Master!$J:$K,2,0),"")</f>
        <v/>
      </c>
      <c r="F186" s="71" t="str">
        <f>_xlfn.IFNA(VLOOKUP(G186,Master!B:C,2,0),"")</f>
        <v/>
      </c>
      <c r="I186" s="69" t="str">
        <f>_xlfn.IFNA(VLOOKUP(E186,Master!$J:$M,4,0),"")</f>
        <v/>
      </c>
      <c r="J186" s="69" t="str">
        <f>_xlfn.IFNA(VLOOKUP($E186,Master!$J:$M,3,0),"")</f>
        <v/>
      </c>
      <c r="AC186" s="14">
        <f t="shared" si="6"/>
        <v>0</v>
      </c>
      <c r="AD186" s="14">
        <f t="shared" si="7"/>
        <v>0</v>
      </c>
    </row>
    <row r="187" spans="2:30" ht="15" customHeight="1" x14ac:dyDescent="0.4">
      <c r="B187" s="69" t="str">
        <f>_xlfn.IFNA(VLOOKUP(C187,Master!$J:$K,2,0),"")</f>
        <v/>
      </c>
      <c r="D187" s="71" t="str">
        <f>_xlfn.IFNA(VLOOKUP(E187,Master!$J:$K,2,0),"")</f>
        <v/>
      </c>
      <c r="F187" s="71" t="str">
        <f>_xlfn.IFNA(VLOOKUP(G187,Master!B:C,2,0),"")</f>
        <v/>
      </c>
      <c r="I187" s="69" t="str">
        <f>_xlfn.IFNA(VLOOKUP(E187,Master!$J:$M,4,0),"")</f>
        <v/>
      </c>
      <c r="J187" s="69" t="str">
        <f>_xlfn.IFNA(VLOOKUP($E187,Master!$J:$M,3,0),"")</f>
        <v/>
      </c>
      <c r="AC187" s="14">
        <f t="shared" si="6"/>
        <v>0</v>
      </c>
      <c r="AD187" s="14">
        <f t="shared" si="7"/>
        <v>0</v>
      </c>
    </row>
    <row r="188" spans="2:30" ht="15" customHeight="1" x14ac:dyDescent="0.4">
      <c r="B188" s="69" t="str">
        <f>_xlfn.IFNA(VLOOKUP(C188,Master!$J:$K,2,0),"")</f>
        <v/>
      </c>
      <c r="D188" s="71" t="str">
        <f>_xlfn.IFNA(VLOOKUP(E188,Master!$J:$K,2,0),"")</f>
        <v/>
      </c>
      <c r="F188" s="71" t="str">
        <f>_xlfn.IFNA(VLOOKUP(G188,Master!B:C,2,0),"")</f>
        <v/>
      </c>
      <c r="I188" s="69" t="str">
        <f>_xlfn.IFNA(VLOOKUP(E188,Master!$J:$M,4,0),"")</f>
        <v/>
      </c>
      <c r="J188" s="69" t="str">
        <f>_xlfn.IFNA(VLOOKUP($E188,Master!$J:$M,3,0),"")</f>
        <v/>
      </c>
      <c r="AC188" s="14">
        <f t="shared" si="6"/>
        <v>0</v>
      </c>
      <c r="AD188" s="14">
        <f t="shared" si="7"/>
        <v>0</v>
      </c>
    </row>
    <row r="189" spans="2:30" ht="15" customHeight="1" x14ac:dyDescent="0.4">
      <c r="B189" s="69" t="str">
        <f>_xlfn.IFNA(VLOOKUP(C189,Master!$J:$K,2,0),"")</f>
        <v/>
      </c>
      <c r="D189" s="71" t="str">
        <f>_xlfn.IFNA(VLOOKUP(E189,Master!$J:$K,2,0),"")</f>
        <v/>
      </c>
      <c r="F189" s="71" t="str">
        <f>_xlfn.IFNA(VLOOKUP(G189,Master!B:C,2,0),"")</f>
        <v/>
      </c>
      <c r="I189" s="69" t="str">
        <f>_xlfn.IFNA(VLOOKUP(E189,Master!$J:$M,4,0),"")</f>
        <v/>
      </c>
      <c r="J189" s="69" t="str">
        <f>_xlfn.IFNA(VLOOKUP($E189,Master!$J:$M,3,0),"")</f>
        <v/>
      </c>
      <c r="AC189" s="14">
        <f t="shared" si="6"/>
        <v>0</v>
      </c>
      <c r="AD189" s="14">
        <f t="shared" si="7"/>
        <v>0</v>
      </c>
    </row>
    <row r="190" spans="2:30" ht="15" customHeight="1" x14ac:dyDescent="0.4">
      <c r="B190" s="69" t="str">
        <f>_xlfn.IFNA(VLOOKUP(C190,Master!$J:$K,2,0),"")</f>
        <v/>
      </c>
      <c r="D190" s="71" t="str">
        <f>_xlfn.IFNA(VLOOKUP(E190,Master!$J:$K,2,0),"")</f>
        <v/>
      </c>
      <c r="F190" s="71" t="str">
        <f>_xlfn.IFNA(VLOOKUP(G190,Master!B:C,2,0),"")</f>
        <v/>
      </c>
      <c r="I190" s="69" t="str">
        <f>_xlfn.IFNA(VLOOKUP(E190,Master!$J:$M,4,0),"")</f>
        <v/>
      </c>
      <c r="J190" s="69" t="str">
        <f>_xlfn.IFNA(VLOOKUP($E190,Master!$J:$M,3,0),"")</f>
        <v/>
      </c>
      <c r="AC190" s="14">
        <f t="shared" si="6"/>
        <v>0</v>
      </c>
      <c r="AD190" s="14">
        <f t="shared" si="7"/>
        <v>0</v>
      </c>
    </row>
    <row r="191" spans="2:30" ht="15" customHeight="1" x14ac:dyDescent="0.4">
      <c r="B191" s="69" t="str">
        <f>_xlfn.IFNA(VLOOKUP(C191,Master!$J:$K,2,0),"")</f>
        <v/>
      </c>
      <c r="D191" s="71" t="str">
        <f>_xlfn.IFNA(VLOOKUP(E191,Master!$J:$K,2,0),"")</f>
        <v/>
      </c>
      <c r="F191" s="71" t="str">
        <f>_xlfn.IFNA(VLOOKUP(G191,Master!B:C,2,0),"")</f>
        <v/>
      </c>
      <c r="I191" s="69" t="str">
        <f>_xlfn.IFNA(VLOOKUP(E191,Master!$J:$M,4,0),"")</f>
        <v/>
      </c>
      <c r="J191" s="69" t="str">
        <f>_xlfn.IFNA(VLOOKUP($E191,Master!$J:$M,3,0),"")</f>
        <v/>
      </c>
      <c r="AC191" s="14">
        <f t="shared" si="6"/>
        <v>0</v>
      </c>
      <c r="AD191" s="14">
        <f t="shared" si="7"/>
        <v>0</v>
      </c>
    </row>
    <row r="192" spans="2:30" ht="15" customHeight="1" x14ac:dyDescent="0.4">
      <c r="B192" s="69" t="str">
        <f>_xlfn.IFNA(VLOOKUP(C192,Master!$J:$K,2,0),"")</f>
        <v/>
      </c>
      <c r="D192" s="71" t="str">
        <f>_xlfn.IFNA(VLOOKUP(E192,Master!$J:$K,2,0),"")</f>
        <v/>
      </c>
      <c r="F192" s="71" t="str">
        <f>_xlfn.IFNA(VLOOKUP(G192,Master!B:C,2,0),"")</f>
        <v/>
      </c>
      <c r="I192" s="69" t="str">
        <f>_xlfn.IFNA(VLOOKUP(E192,Master!$J:$M,4,0),"")</f>
        <v/>
      </c>
      <c r="J192" s="69" t="str">
        <f>_xlfn.IFNA(VLOOKUP($E192,Master!$J:$M,3,0),"")</f>
        <v/>
      </c>
      <c r="AC192" s="14">
        <f t="shared" si="6"/>
        <v>0</v>
      </c>
      <c r="AD192" s="14">
        <f t="shared" si="7"/>
        <v>0</v>
      </c>
    </row>
    <row r="193" spans="2:30" ht="15" customHeight="1" x14ac:dyDescent="0.4">
      <c r="B193" s="69" t="str">
        <f>_xlfn.IFNA(VLOOKUP(C193,Master!$J:$K,2,0),"")</f>
        <v/>
      </c>
      <c r="D193" s="71" t="str">
        <f>_xlfn.IFNA(VLOOKUP(E193,Master!$J:$K,2,0),"")</f>
        <v/>
      </c>
      <c r="F193" s="71" t="str">
        <f>_xlfn.IFNA(VLOOKUP(G193,Master!B:C,2,0),"")</f>
        <v/>
      </c>
      <c r="I193" s="69" t="str">
        <f>_xlfn.IFNA(VLOOKUP(E193,Master!$J:$M,4,0),"")</f>
        <v/>
      </c>
      <c r="J193" s="69" t="str">
        <f>_xlfn.IFNA(VLOOKUP($E193,Master!$J:$M,3,0),"")</f>
        <v/>
      </c>
      <c r="AC193" s="14">
        <f t="shared" si="6"/>
        <v>0</v>
      </c>
      <c r="AD193" s="14">
        <f t="shared" si="7"/>
        <v>0</v>
      </c>
    </row>
    <row r="194" spans="2:30" ht="15" customHeight="1" x14ac:dyDescent="0.4">
      <c r="B194" s="69" t="str">
        <f>_xlfn.IFNA(VLOOKUP(C194,Master!$J:$K,2,0),"")</f>
        <v/>
      </c>
      <c r="D194" s="71" t="str">
        <f>_xlfn.IFNA(VLOOKUP(E194,Master!$J:$K,2,0),"")</f>
        <v/>
      </c>
      <c r="F194" s="71" t="str">
        <f>_xlfn.IFNA(VLOOKUP(G194,Master!B:C,2,0),"")</f>
        <v/>
      </c>
      <c r="I194" s="69" t="str">
        <f>_xlfn.IFNA(VLOOKUP(E194,Master!$J:$M,4,0),"")</f>
        <v/>
      </c>
      <c r="J194" s="69" t="str">
        <f>_xlfn.IFNA(VLOOKUP($E194,Master!$J:$M,3,0),"")</f>
        <v/>
      </c>
      <c r="AC194" s="14">
        <f t="shared" ref="AC194:AC257" si="8">SUM(K194:P194)</f>
        <v>0</v>
      </c>
      <c r="AD194" s="14">
        <f t="shared" ref="AD194:AD257" si="9">SUM(Q194:AB194)</f>
        <v>0</v>
      </c>
    </row>
    <row r="195" spans="2:30" ht="15" customHeight="1" x14ac:dyDescent="0.4">
      <c r="B195" s="69" t="str">
        <f>_xlfn.IFNA(VLOOKUP(C195,Master!$J:$K,2,0),"")</f>
        <v/>
      </c>
      <c r="D195" s="71" t="str">
        <f>_xlfn.IFNA(VLOOKUP(E195,Master!$J:$K,2,0),"")</f>
        <v/>
      </c>
      <c r="F195" s="71" t="str">
        <f>_xlfn.IFNA(VLOOKUP(G195,Master!B:C,2,0),"")</f>
        <v/>
      </c>
      <c r="I195" s="69" t="str">
        <f>_xlfn.IFNA(VLOOKUP(E195,Master!$J:$M,4,0),"")</f>
        <v/>
      </c>
      <c r="J195" s="69" t="str">
        <f>_xlfn.IFNA(VLOOKUP($E195,Master!$J:$M,3,0),"")</f>
        <v/>
      </c>
      <c r="AC195" s="14">
        <f t="shared" si="8"/>
        <v>0</v>
      </c>
      <c r="AD195" s="14">
        <f t="shared" si="9"/>
        <v>0</v>
      </c>
    </row>
    <row r="196" spans="2:30" ht="15" customHeight="1" x14ac:dyDescent="0.4">
      <c r="B196" s="69" t="str">
        <f>_xlfn.IFNA(VLOOKUP(C196,Master!$J:$K,2,0),"")</f>
        <v/>
      </c>
      <c r="D196" s="71" t="str">
        <f>_xlfn.IFNA(VLOOKUP(E196,Master!$J:$K,2,0),"")</f>
        <v/>
      </c>
      <c r="F196" s="71" t="str">
        <f>_xlfn.IFNA(VLOOKUP(G196,Master!B:C,2,0),"")</f>
        <v/>
      </c>
      <c r="I196" s="69" t="str">
        <f>_xlfn.IFNA(VLOOKUP(E196,Master!$J:$M,4,0),"")</f>
        <v/>
      </c>
      <c r="J196" s="69" t="str">
        <f>_xlfn.IFNA(VLOOKUP($E196,Master!$J:$M,3,0),"")</f>
        <v/>
      </c>
      <c r="AC196" s="14">
        <f t="shared" si="8"/>
        <v>0</v>
      </c>
      <c r="AD196" s="14">
        <f t="shared" si="9"/>
        <v>0</v>
      </c>
    </row>
    <row r="197" spans="2:30" ht="15" customHeight="1" x14ac:dyDescent="0.4">
      <c r="B197" s="69" t="str">
        <f>_xlfn.IFNA(VLOOKUP(C197,Master!$J:$K,2,0),"")</f>
        <v/>
      </c>
      <c r="D197" s="71" t="str">
        <f>_xlfn.IFNA(VLOOKUP(E197,Master!$J:$K,2,0),"")</f>
        <v/>
      </c>
      <c r="F197" s="71" t="str">
        <f>_xlfn.IFNA(VLOOKUP(G197,Master!B:C,2,0),"")</f>
        <v/>
      </c>
      <c r="I197" s="69" t="str">
        <f>_xlfn.IFNA(VLOOKUP(E197,Master!$J:$M,4,0),"")</f>
        <v/>
      </c>
      <c r="J197" s="69" t="str">
        <f>_xlfn.IFNA(VLOOKUP($E197,Master!$J:$M,3,0),"")</f>
        <v/>
      </c>
      <c r="AC197" s="14">
        <f t="shared" si="8"/>
        <v>0</v>
      </c>
      <c r="AD197" s="14">
        <f t="shared" si="9"/>
        <v>0</v>
      </c>
    </row>
    <row r="198" spans="2:30" ht="15" customHeight="1" x14ac:dyDescent="0.4">
      <c r="B198" s="69" t="str">
        <f>_xlfn.IFNA(VLOOKUP(C198,Master!$J:$K,2,0),"")</f>
        <v/>
      </c>
      <c r="D198" s="71" t="str">
        <f>_xlfn.IFNA(VLOOKUP(E198,Master!$J:$K,2,0),"")</f>
        <v/>
      </c>
      <c r="F198" s="71" t="str">
        <f>_xlfn.IFNA(VLOOKUP(G198,Master!B:C,2,0),"")</f>
        <v/>
      </c>
      <c r="I198" s="69" t="str">
        <f>_xlfn.IFNA(VLOOKUP(E198,Master!$J:$M,4,0),"")</f>
        <v/>
      </c>
      <c r="J198" s="69" t="str">
        <f>_xlfn.IFNA(VLOOKUP($E198,Master!$J:$M,3,0),"")</f>
        <v/>
      </c>
      <c r="AC198" s="14">
        <f t="shared" si="8"/>
        <v>0</v>
      </c>
      <c r="AD198" s="14">
        <f t="shared" si="9"/>
        <v>0</v>
      </c>
    </row>
    <row r="199" spans="2:30" ht="15" customHeight="1" x14ac:dyDescent="0.4">
      <c r="B199" s="69" t="str">
        <f>_xlfn.IFNA(VLOOKUP(C199,Master!$J:$K,2,0),"")</f>
        <v/>
      </c>
      <c r="D199" s="71" t="str">
        <f>_xlfn.IFNA(VLOOKUP(E199,Master!$J:$K,2,0),"")</f>
        <v/>
      </c>
      <c r="F199" s="71" t="str">
        <f>_xlfn.IFNA(VLOOKUP(G199,Master!B:C,2,0),"")</f>
        <v/>
      </c>
      <c r="I199" s="69" t="str">
        <f>_xlfn.IFNA(VLOOKUP(E199,Master!$J:$M,4,0),"")</f>
        <v/>
      </c>
      <c r="J199" s="69" t="str">
        <f>_xlfn.IFNA(VLOOKUP($E199,Master!$J:$M,3,0),"")</f>
        <v/>
      </c>
      <c r="AC199" s="14">
        <f t="shared" si="8"/>
        <v>0</v>
      </c>
      <c r="AD199" s="14">
        <f t="shared" si="9"/>
        <v>0</v>
      </c>
    </row>
    <row r="200" spans="2:30" ht="15" customHeight="1" x14ac:dyDescent="0.4">
      <c r="B200" s="69" t="str">
        <f>_xlfn.IFNA(VLOOKUP(C200,Master!$J:$K,2,0),"")</f>
        <v/>
      </c>
      <c r="D200" s="71" t="str">
        <f>_xlfn.IFNA(VLOOKUP(E200,Master!$J:$K,2,0),"")</f>
        <v/>
      </c>
      <c r="F200" s="71" t="str">
        <f>_xlfn.IFNA(VLOOKUP(G200,Master!B:C,2,0),"")</f>
        <v/>
      </c>
      <c r="I200" s="69" t="str">
        <f>_xlfn.IFNA(VLOOKUP(E200,Master!$J:$M,4,0),"")</f>
        <v/>
      </c>
      <c r="J200" s="69" t="str">
        <f>_xlfn.IFNA(VLOOKUP($E200,Master!$J:$M,3,0),"")</f>
        <v/>
      </c>
      <c r="AC200" s="14">
        <f t="shared" si="8"/>
        <v>0</v>
      </c>
      <c r="AD200" s="14">
        <f t="shared" si="9"/>
        <v>0</v>
      </c>
    </row>
    <row r="201" spans="2:30" ht="15" customHeight="1" x14ac:dyDescent="0.4">
      <c r="B201" s="69" t="str">
        <f>_xlfn.IFNA(VLOOKUP(C201,Master!$J:$K,2,0),"")</f>
        <v/>
      </c>
      <c r="D201" s="71" t="str">
        <f>_xlfn.IFNA(VLOOKUP(E201,Master!$J:$K,2,0),"")</f>
        <v/>
      </c>
      <c r="F201" s="71" t="str">
        <f>_xlfn.IFNA(VLOOKUP(G201,Master!B:C,2,0),"")</f>
        <v/>
      </c>
      <c r="I201" s="69" t="str">
        <f>_xlfn.IFNA(VLOOKUP(E201,Master!$J:$M,4,0),"")</f>
        <v/>
      </c>
      <c r="J201" s="69" t="str">
        <f>_xlfn.IFNA(VLOOKUP($E201,Master!$J:$M,3,0),"")</f>
        <v/>
      </c>
      <c r="AC201" s="14">
        <f t="shared" si="8"/>
        <v>0</v>
      </c>
      <c r="AD201" s="14">
        <f t="shared" si="9"/>
        <v>0</v>
      </c>
    </row>
    <row r="202" spans="2:30" ht="15" customHeight="1" x14ac:dyDescent="0.4">
      <c r="B202" s="69" t="str">
        <f>_xlfn.IFNA(VLOOKUP(C202,Master!$J:$K,2,0),"")</f>
        <v/>
      </c>
      <c r="D202" s="71" t="str">
        <f>_xlfn.IFNA(VLOOKUP(E202,Master!$J:$K,2,0),"")</f>
        <v/>
      </c>
      <c r="F202" s="71" t="str">
        <f>_xlfn.IFNA(VLOOKUP(G202,Master!B:C,2,0),"")</f>
        <v/>
      </c>
      <c r="I202" s="69" t="str">
        <f>_xlfn.IFNA(VLOOKUP(E202,Master!$J:$M,4,0),"")</f>
        <v/>
      </c>
      <c r="J202" s="69" t="str">
        <f>_xlfn.IFNA(VLOOKUP($E202,Master!$J:$M,3,0),"")</f>
        <v/>
      </c>
      <c r="AC202" s="14">
        <f t="shared" si="8"/>
        <v>0</v>
      </c>
      <c r="AD202" s="14">
        <f t="shared" si="9"/>
        <v>0</v>
      </c>
    </row>
    <row r="203" spans="2:30" ht="15" customHeight="1" x14ac:dyDescent="0.4">
      <c r="B203" s="69" t="str">
        <f>_xlfn.IFNA(VLOOKUP(C203,Master!$J:$K,2,0),"")</f>
        <v/>
      </c>
      <c r="D203" s="71" t="str">
        <f>_xlfn.IFNA(VLOOKUP(E203,Master!$J:$K,2,0),"")</f>
        <v/>
      </c>
      <c r="F203" s="71" t="str">
        <f>_xlfn.IFNA(VLOOKUP(G203,Master!B:C,2,0),"")</f>
        <v/>
      </c>
      <c r="I203" s="69" t="str">
        <f>_xlfn.IFNA(VLOOKUP(E203,Master!$J:$M,4,0),"")</f>
        <v/>
      </c>
      <c r="J203" s="69" t="str">
        <f>_xlfn.IFNA(VLOOKUP($E203,Master!$J:$M,3,0),"")</f>
        <v/>
      </c>
      <c r="AC203" s="14">
        <f t="shared" si="8"/>
        <v>0</v>
      </c>
      <c r="AD203" s="14">
        <f t="shared" si="9"/>
        <v>0</v>
      </c>
    </row>
    <row r="204" spans="2:30" ht="15" customHeight="1" x14ac:dyDescent="0.4">
      <c r="B204" s="69" t="str">
        <f>_xlfn.IFNA(VLOOKUP(C204,Master!$J:$K,2,0),"")</f>
        <v/>
      </c>
      <c r="D204" s="71" t="str">
        <f>_xlfn.IFNA(VLOOKUP(E204,Master!$J:$K,2,0),"")</f>
        <v/>
      </c>
      <c r="F204" s="71" t="str">
        <f>_xlfn.IFNA(VLOOKUP(G204,Master!B:C,2,0),"")</f>
        <v/>
      </c>
      <c r="I204" s="69" t="str">
        <f>_xlfn.IFNA(VLOOKUP(E204,Master!$J:$M,4,0),"")</f>
        <v/>
      </c>
      <c r="J204" s="69" t="str">
        <f>_xlfn.IFNA(VLOOKUP($E204,Master!$J:$M,3,0),"")</f>
        <v/>
      </c>
      <c r="AC204" s="14">
        <f t="shared" si="8"/>
        <v>0</v>
      </c>
      <c r="AD204" s="14">
        <f t="shared" si="9"/>
        <v>0</v>
      </c>
    </row>
    <row r="205" spans="2:30" ht="15" customHeight="1" x14ac:dyDescent="0.4">
      <c r="B205" s="69" t="str">
        <f>_xlfn.IFNA(VLOOKUP(C205,Master!$J:$K,2,0),"")</f>
        <v/>
      </c>
      <c r="D205" s="71" t="str">
        <f>_xlfn.IFNA(VLOOKUP(E205,Master!$J:$K,2,0),"")</f>
        <v/>
      </c>
      <c r="F205" s="71" t="str">
        <f>_xlfn.IFNA(VLOOKUP(G205,Master!B:C,2,0),"")</f>
        <v/>
      </c>
      <c r="I205" s="69" t="str">
        <f>_xlfn.IFNA(VLOOKUP(E205,Master!$J:$M,4,0),"")</f>
        <v/>
      </c>
      <c r="J205" s="69" t="str">
        <f>_xlfn.IFNA(VLOOKUP($E205,Master!$J:$M,3,0),"")</f>
        <v/>
      </c>
      <c r="AC205" s="14">
        <f t="shared" si="8"/>
        <v>0</v>
      </c>
      <c r="AD205" s="14">
        <f t="shared" si="9"/>
        <v>0</v>
      </c>
    </row>
    <row r="206" spans="2:30" ht="15" customHeight="1" x14ac:dyDescent="0.4">
      <c r="B206" s="69" t="str">
        <f>_xlfn.IFNA(VLOOKUP(C206,Master!$J:$K,2,0),"")</f>
        <v/>
      </c>
      <c r="D206" s="71" t="str">
        <f>_xlfn.IFNA(VLOOKUP(E206,Master!$J:$K,2,0),"")</f>
        <v/>
      </c>
      <c r="F206" s="71" t="str">
        <f>_xlfn.IFNA(VLOOKUP(G206,Master!B:C,2,0),"")</f>
        <v/>
      </c>
      <c r="I206" s="69" t="str">
        <f>_xlfn.IFNA(VLOOKUP(E206,Master!$J:$M,4,0),"")</f>
        <v/>
      </c>
      <c r="J206" s="69" t="str">
        <f>_xlfn.IFNA(VLOOKUP($E206,Master!$J:$M,3,0),"")</f>
        <v/>
      </c>
      <c r="AC206" s="14">
        <f t="shared" si="8"/>
        <v>0</v>
      </c>
      <c r="AD206" s="14">
        <f t="shared" si="9"/>
        <v>0</v>
      </c>
    </row>
    <row r="207" spans="2:30" ht="15" customHeight="1" x14ac:dyDescent="0.4">
      <c r="B207" s="69" t="str">
        <f>_xlfn.IFNA(VLOOKUP(C207,Master!$J:$K,2,0),"")</f>
        <v/>
      </c>
      <c r="D207" s="71" t="str">
        <f>_xlfn.IFNA(VLOOKUP(E207,Master!$J:$K,2,0),"")</f>
        <v/>
      </c>
      <c r="F207" s="71" t="str">
        <f>_xlfn.IFNA(VLOOKUP(G207,Master!B:C,2,0),"")</f>
        <v/>
      </c>
      <c r="I207" s="69" t="str">
        <f>_xlfn.IFNA(VLOOKUP(E207,Master!$J:$M,4,0),"")</f>
        <v/>
      </c>
      <c r="J207" s="69" t="str">
        <f>_xlfn.IFNA(VLOOKUP($E207,Master!$J:$M,3,0),"")</f>
        <v/>
      </c>
      <c r="AC207" s="14">
        <f t="shared" si="8"/>
        <v>0</v>
      </c>
      <c r="AD207" s="14">
        <f t="shared" si="9"/>
        <v>0</v>
      </c>
    </row>
    <row r="208" spans="2:30" ht="15" customHeight="1" x14ac:dyDescent="0.4">
      <c r="B208" s="69" t="str">
        <f>_xlfn.IFNA(VLOOKUP(C208,Master!$J:$K,2,0),"")</f>
        <v/>
      </c>
      <c r="D208" s="71" t="str">
        <f>_xlfn.IFNA(VLOOKUP(E208,Master!$J:$K,2,0),"")</f>
        <v/>
      </c>
      <c r="F208" s="71" t="str">
        <f>_xlfn.IFNA(VLOOKUP(G208,Master!B:C,2,0),"")</f>
        <v/>
      </c>
      <c r="I208" s="69" t="str">
        <f>_xlfn.IFNA(VLOOKUP(E208,Master!$J:$M,4,0),"")</f>
        <v/>
      </c>
      <c r="J208" s="69" t="str">
        <f>_xlfn.IFNA(VLOOKUP($E208,Master!$J:$M,3,0),"")</f>
        <v/>
      </c>
      <c r="AC208" s="14">
        <f t="shared" si="8"/>
        <v>0</v>
      </c>
      <c r="AD208" s="14">
        <f t="shared" si="9"/>
        <v>0</v>
      </c>
    </row>
    <row r="209" spans="2:30" ht="15" customHeight="1" x14ac:dyDescent="0.4">
      <c r="B209" s="69" t="str">
        <f>_xlfn.IFNA(VLOOKUP(C209,Master!$J:$K,2,0),"")</f>
        <v/>
      </c>
      <c r="D209" s="71" t="str">
        <f>_xlfn.IFNA(VLOOKUP(E209,Master!$J:$K,2,0),"")</f>
        <v/>
      </c>
      <c r="F209" s="71" t="str">
        <f>_xlfn.IFNA(VLOOKUP(G209,Master!B:C,2,0),"")</f>
        <v/>
      </c>
      <c r="I209" s="69" t="str">
        <f>_xlfn.IFNA(VLOOKUP(E209,Master!$J:$M,4,0),"")</f>
        <v/>
      </c>
      <c r="J209" s="69" t="str">
        <f>_xlfn.IFNA(VLOOKUP($E209,Master!$J:$M,3,0),"")</f>
        <v/>
      </c>
      <c r="AC209" s="14">
        <f t="shared" si="8"/>
        <v>0</v>
      </c>
      <c r="AD209" s="14">
        <f t="shared" si="9"/>
        <v>0</v>
      </c>
    </row>
    <row r="210" spans="2:30" ht="15" customHeight="1" x14ac:dyDescent="0.4">
      <c r="B210" s="69" t="str">
        <f>_xlfn.IFNA(VLOOKUP(C210,Master!$J:$K,2,0),"")</f>
        <v/>
      </c>
      <c r="D210" s="71" t="str">
        <f>_xlfn.IFNA(VLOOKUP(E210,Master!$J:$K,2,0),"")</f>
        <v/>
      </c>
      <c r="F210" s="71" t="str">
        <f>_xlfn.IFNA(VLOOKUP(G210,Master!B:C,2,0),"")</f>
        <v/>
      </c>
      <c r="I210" s="69" t="str">
        <f>_xlfn.IFNA(VLOOKUP(E210,Master!$J:$M,4,0),"")</f>
        <v/>
      </c>
      <c r="J210" s="69" t="str">
        <f>_xlfn.IFNA(VLOOKUP($E210,Master!$J:$M,3,0),"")</f>
        <v/>
      </c>
      <c r="AC210" s="14">
        <f t="shared" si="8"/>
        <v>0</v>
      </c>
      <c r="AD210" s="14">
        <f t="shared" si="9"/>
        <v>0</v>
      </c>
    </row>
    <row r="211" spans="2:30" ht="15" customHeight="1" x14ac:dyDescent="0.4">
      <c r="B211" s="69" t="str">
        <f>_xlfn.IFNA(VLOOKUP(C211,Master!$J:$K,2,0),"")</f>
        <v/>
      </c>
      <c r="D211" s="71" t="str">
        <f>_xlfn.IFNA(VLOOKUP(E211,Master!$J:$K,2,0),"")</f>
        <v/>
      </c>
      <c r="F211" s="71" t="str">
        <f>_xlfn.IFNA(VLOOKUP(G211,Master!B:C,2,0),"")</f>
        <v/>
      </c>
      <c r="I211" s="69" t="str">
        <f>_xlfn.IFNA(VLOOKUP(E211,Master!$J:$M,4,0),"")</f>
        <v/>
      </c>
      <c r="J211" s="69" t="str">
        <f>_xlfn.IFNA(VLOOKUP($E211,Master!$J:$M,3,0),"")</f>
        <v/>
      </c>
      <c r="AC211" s="14">
        <f t="shared" si="8"/>
        <v>0</v>
      </c>
      <c r="AD211" s="14">
        <f t="shared" si="9"/>
        <v>0</v>
      </c>
    </row>
    <row r="212" spans="2:30" ht="15" customHeight="1" x14ac:dyDescent="0.4">
      <c r="B212" s="69" t="str">
        <f>_xlfn.IFNA(VLOOKUP(C212,Master!$J:$K,2,0),"")</f>
        <v/>
      </c>
      <c r="D212" s="71" t="str">
        <f>_xlfn.IFNA(VLOOKUP(E212,Master!$J:$K,2,0),"")</f>
        <v/>
      </c>
      <c r="F212" s="71" t="str">
        <f>_xlfn.IFNA(VLOOKUP(G212,Master!B:C,2,0),"")</f>
        <v/>
      </c>
      <c r="I212" s="69" t="str">
        <f>_xlfn.IFNA(VLOOKUP(E212,Master!$J:$M,4,0),"")</f>
        <v/>
      </c>
      <c r="J212" s="69" t="str">
        <f>_xlfn.IFNA(VLOOKUP($E212,Master!$J:$M,3,0),"")</f>
        <v/>
      </c>
      <c r="AC212" s="14">
        <f t="shared" si="8"/>
        <v>0</v>
      </c>
      <c r="AD212" s="14">
        <f t="shared" si="9"/>
        <v>0</v>
      </c>
    </row>
    <row r="213" spans="2:30" ht="15" customHeight="1" x14ac:dyDescent="0.4">
      <c r="B213" s="69" t="str">
        <f>_xlfn.IFNA(VLOOKUP(C213,Master!$J:$K,2,0),"")</f>
        <v/>
      </c>
      <c r="D213" s="71" t="str">
        <f>_xlfn.IFNA(VLOOKUP(E213,Master!$J:$K,2,0),"")</f>
        <v/>
      </c>
      <c r="F213" s="71" t="str">
        <f>_xlfn.IFNA(VLOOKUP(G213,Master!B:C,2,0),"")</f>
        <v/>
      </c>
      <c r="I213" s="69" t="str">
        <f>_xlfn.IFNA(VLOOKUP(E213,Master!$J:$M,4,0),"")</f>
        <v/>
      </c>
      <c r="J213" s="69" t="str">
        <f>_xlfn.IFNA(VLOOKUP($E213,Master!$J:$M,3,0),"")</f>
        <v/>
      </c>
      <c r="AC213" s="14">
        <f t="shared" si="8"/>
        <v>0</v>
      </c>
      <c r="AD213" s="14">
        <f t="shared" si="9"/>
        <v>0</v>
      </c>
    </row>
    <row r="214" spans="2:30" ht="15" customHeight="1" x14ac:dyDescent="0.4">
      <c r="B214" s="69" t="str">
        <f>_xlfn.IFNA(VLOOKUP(C214,Master!$J:$K,2,0),"")</f>
        <v/>
      </c>
      <c r="D214" s="71" t="str">
        <f>_xlfn.IFNA(VLOOKUP(E214,Master!$J:$K,2,0),"")</f>
        <v/>
      </c>
      <c r="F214" s="71" t="str">
        <f>_xlfn.IFNA(VLOOKUP(G214,Master!B:C,2,0),"")</f>
        <v/>
      </c>
      <c r="I214" s="69" t="str">
        <f>_xlfn.IFNA(VLOOKUP(E214,Master!$J:$M,4,0),"")</f>
        <v/>
      </c>
      <c r="J214" s="69" t="str">
        <f>_xlfn.IFNA(VLOOKUP($E214,Master!$J:$M,3,0),"")</f>
        <v/>
      </c>
      <c r="AC214" s="14">
        <f t="shared" si="8"/>
        <v>0</v>
      </c>
      <c r="AD214" s="14">
        <f t="shared" si="9"/>
        <v>0</v>
      </c>
    </row>
    <row r="215" spans="2:30" ht="15" customHeight="1" x14ac:dyDescent="0.4">
      <c r="B215" s="69" t="str">
        <f>_xlfn.IFNA(VLOOKUP(C215,Master!$J:$K,2,0),"")</f>
        <v/>
      </c>
      <c r="D215" s="71" t="str">
        <f>_xlfn.IFNA(VLOOKUP(E215,Master!$J:$K,2,0),"")</f>
        <v/>
      </c>
      <c r="F215" s="71" t="str">
        <f>_xlfn.IFNA(VLOOKUP(G215,Master!B:C,2,0),"")</f>
        <v/>
      </c>
      <c r="I215" s="69" t="str">
        <f>_xlfn.IFNA(VLOOKUP(E215,Master!$J:$M,4,0),"")</f>
        <v/>
      </c>
      <c r="J215" s="69" t="str">
        <f>_xlfn.IFNA(VLOOKUP($E215,Master!$J:$M,3,0),"")</f>
        <v/>
      </c>
      <c r="AC215" s="14">
        <f t="shared" si="8"/>
        <v>0</v>
      </c>
      <c r="AD215" s="14">
        <f t="shared" si="9"/>
        <v>0</v>
      </c>
    </row>
    <row r="216" spans="2:30" ht="15" customHeight="1" x14ac:dyDescent="0.4">
      <c r="B216" s="69" t="str">
        <f>_xlfn.IFNA(VLOOKUP(C216,Master!$J:$K,2,0),"")</f>
        <v/>
      </c>
      <c r="D216" s="71" t="str">
        <f>_xlfn.IFNA(VLOOKUP(E216,Master!$J:$K,2,0),"")</f>
        <v/>
      </c>
      <c r="F216" s="71" t="str">
        <f>_xlfn.IFNA(VLOOKUP(G216,Master!B:C,2,0),"")</f>
        <v/>
      </c>
      <c r="I216" s="69" t="str">
        <f>_xlfn.IFNA(VLOOKUP(E216,Master!$J:$M,4,0),"")</f>
        <v/>
      </c>
      <c r="J216" s="69" t="str">
        <f>_xlfn.IFNA(VLOOKUP($E216,Master!$J:$M,3,0),"")</f>
        <v/>
      </c>
      <c r="AC216" s="14">
        <f t="shared" si="8"/>
        <v>0</v>
      </c>
      <c r="AD216" s="14">
        <f t="shared" si="9"/>
        <v>0</v>
      </c>
    </row>
    <row r="217" spans="2:30" ht="15" customHeight="1" x14ac:dyDescent="0.4">
      <c r="B217" s="69" t="str">
        <f>_xlfn.IFNA(VLOOKUP(C217,Master!$J:$K,2,0),"")</f>
        <v/>
      </c>
      <c r="D217" s="71" t="str">
        <f>_xlfn.IFNA(VLOOKUP(E217,Master!$J:$K,2,0),"")</f>
        <v/>
      </c>
      <c r="F217" s="71" t="str">
        <f>_xlfn.IFNA(VLOOKUP(G217,Master!B:C,2,0),"")</f>
        <v/>
      </c>
      <c r="I217" s="69" t="str">
        <f>_xlfn.IFNA(VLOOKUP(E217,Master!$J:$M,4,0),"")</f>
        <v/>
      </c>
      <c r="J217" s="69" t="str">
        <f>_xlfn.IFNA(VLOOKUP($E217,Master!$J:$M,3,0),"")</f>
        <v/>
      </c>
      <c r="AC217" s="14">
        <f t="shared" si="8"/>
        <v>0</v>
      </c>
      <c r="AD217" s="14">
        <f t="shared" si="9"/>
        <v>0</v>
      </c>
    </row>
    <row r="218" spans="2:30" ht="15" customHeight="1" x14ac:dyDescent="0.4">
      <c r="B218" s="69" t="str">
        <f>_xlfn.IFNA(VLOOKUP(C218,Master!$J:$K,2,0),"")</f>
        <v/>
      </c>
      <c r="D218" s="71" t="str">
        <f>_xlfn.IFNA(VLOOKUP(E218,Master!$J:$K,2,0),"")</f>
        <v/>
      </c>
      <c r="F218" s="71" t="str">
        <f>_xlfn.IFNA(VLOOKUP(G218,Master!B:C,2,0),"")</f>
        <v/>
      </c>
      <c r="I218" s="69" t="str">
        <f>_xlfn.IFNA(VLOOKUP(E218,Master!$J:$M,4,0),"")</f>
        <v/>
      </c>
      <c r="J218" s="69" t="str">
        <f>_xlfn.IFNA(VLOOKUP($E218,Master!$J:$M,3,0),"")</f>
        <v/>
      </c>
      <c r="AC218" s="14">
        <f t="shared" si="8"/>
        <v>0</v>
      </c>
      <c r="AD218" s="14">
        <f t="shared" si="9"/>
        <v>0</v>
      </c>
    </row>
    <row r="219" spans="2:30" ht="15" customHeight="1" x14ac:dyDescent="0.4">
      <c r="B219" s="69" t="str">
        <f>_xlfn.IFNA(VLOOKUP(C219,Master!$J:$K,2,0),"")</f>
        <v/>
      </c>
      <c r="D219" s="71" t="str">
        <f>_xlfn.IFNA(VLOOKUP(E219,Master!$J:$K,2,0),"")</f>
        <v/>
      </c>
      <c r="F219" s="71" t="str">
        <f>_xlfn.IFNA(VLOOKUP(G219,Master!B:C,2,0),"")</f>
        <v/>
      </c>
      <c r="I219" s="69" t="str">
        <f>_xlfn.IFNA(VLOOKUP(E219,Master!$J:$M,4,0),"")</f>
        <v/>
      </c>
      <c r="J219" s="69" t="str">
        <f>_xlfn.IFNA(VLOOKUP($E219,Master!$J:$M,3,0),"")</f>
        <v/>
      </c>
      <c r="AC219" s="14">
        <f t="shared" si="8"/>
        <v>0</v>
      </c>
      <c r="AD219" s="14">
        <f t="shared" si="9"/>
        <v>0</v>
      </c>
    </row>
    <row r="220" spans="2:30" ht="15" customHeight="1" x14ac:dyDescent="0.4">
      <c r="B220" s="69" t="str">
        <f>_xlfn.IFNA(VLOOKUP(C220,Master!$J:$K,2,0),"")</f>
        <v/>
      </c>
      <c r="D220" s="71" t="str">
        <f>_xlfn.IFNA(VLOOKUP(E220,Master!$J:$K,2,0),"")</f>
        <v/>
      </c>
      <c r="F220" s="71" t="str">
        <f>_xlfn.IFNA(VLOOKUP(G220,Master!B:C,2,0),"")</f>
        <v/>
      </c>
      <c r="I220" s="69" t="str">
        <f>_xlfn.IFNA(VLOOKUP(E220,Master!$J:$M,4,0),"")</f>
        <v/>
      </c>
      <c r="J220" s="69" t="str">
        <f>_xlfn.IFNA(VLOOKUP($E220,Master!$J:$M,3,0),"")</f>
        <v/>
      </c>
      <c r="AC220" s="14">
        <f t="shared" si="8"/>
        <v>0</v>
      </c>
      <c r="AD220" s="14">
        <f t="shared" si="9"/>
        <v>0</v>
      </c>
    </row>
    <row r="221" spans="2:30" ht="15" customHeight="1" x14ac:dyDescent="0.4">
      <c r="B221" s="69" t="str">
        <f>_xlfn.IFNA(VLOOKUP(C221,Master!$J:$K,2,0),"")</f>
        <v/>
      </c>
      <c r="D221" s="71" t="str">
        <f>_xlfn.IFNA(VLOOKUP(E221,Master!$J:$K,2,0),"")</f>
        <v/>
      </c>
      <c r="F221" s="71" t="str">
        <f>_xlfn.IFNA(VLOOKUP(G221,Master!B:C,2,0),"")</f>
        <v/>
      </c>
      <c r="I221" s="69" t="str">
        <f>_xlfn.IFNA(VLOOKUP(E221,Master!$J:$M,4,0),"")</f>
        <v/>
      </c>
      <c r="J221" s="69" t="str">
        <f>_xlfn.IFNA(VLOOKUP($E221,Master!$J:$M,3,0),"")</f>
        <v/>
      </c>
      <c r="AC221" s="14">
        <f t="shared" si="8"/>
        <v>0</v>
      </c>
      <c r="AD221" s="14">
        <f t="shared" si="9"/>
        <v>0</v>
      </c>
    </row>
    <row r="222" spans="2:30" ht="15" customHeight="1" x14ac:dyDescent="0.4">
      <c r="B222" s="69" t="str">
        <f>_xlfn.IFNA(VLOOKUP(C222,Master!$J:$K,2,0),"")</f>
        <v/>
      </c>
      <c r="D222" s="71" t="str">
        <f>_xlfn.IFNA(VLOOKUP(E222,Master!$J:$K,2,0),"")</f>
        <v/>
      </c>
      <c r="F222" s="71" t="str">
        <f>_xlfn.IFNA(VLOOKUP(G222,Master!B:C,2,0),"")</f>
        <v/>
      </c>
      <c r="I222" s="69" t="str">
        <f>_xlfn.IFNA(VLOOKUP(E222,Master!$J:$M,4,0),"")</f>
        <v/>
      </c>
      <c r="J222" s="69" t="str">
        <f>_xlfn.IFNA(VLOOKUP($E222,Master!$J:$M,3,0),"")</f>
        <v/>
      </c>
      <c r="AC222" s="14">
        <f t="shared" si="8"/>
        <v>0</v>
      </c>
      <c r="AD222" s="14">
        <f t="shared" si="9"/>
        <v>0</v>
      </c>
    </row>
    <row r="223" spans="2:30" ht="15" customHeight="1" x14ac:dyDescent="0.4">
      <c r="B223" s="69" t="str">
        <f>_xlfn.IFNA(VLOOKUP(C223,Master!$J:$K,2,0),"")</f>
        <v/>
      </c>
      <c r="D223" s="71" t="str">
        <f>_xlfn.IFNA(VLOOKUP(E223,Master!$J:$K,2,0),"")</f>
        <v/>
      </c>
      <c r="F223" s="71" t="str">
        <f>_xlfn.IFNA(VLOOKUP(G223,Master!B:C,2,0),"")</f>
        <v/>
      </c>
      <c r="I223" s="69" t="str">
        <f>_xlfn.IFNA(VLOOKUP(E223,Master!$J:$M,4,0),"")</f>
        <v/>
      </c>
      <c r="J223" s="69" t="str">
        <f>_xlfn.IFNA(VLOOKUP($E223,Master!$J:$M,3,0),"")</f>
        <v/>
      </c>
      <c r="AC223" s="14">
        <f t="shared" si="8"/>
        <v>0</v>
      </c>
      <c r="AD223" s="14">
        <f t="shared" si="9"/>
        <v>0</v>
      </c>
    </row>
    <row r="224" spans="2:30" ht="15" customHeight="1" x14ac:dyDescent="0.4">
      <c r="B224" s="69" t="str">
        <f>_xlfn.IFNA(VLOOKUP(C224,Master!$J:$K,2,0),"")</f>
        <v/>
      </c>
      <c r="D224" s="71" t="str">
        <f>_xlfn.IFNA(VLOOKUP(E224,Master!$J:$K,2,0),"")</f>
        <v/>
      </c>
      <c r="F224" s="71" t="str">
        <f>_xlfn.IFNA(VLOOKUP(G224,Master!B:C,2,0),"")</f>
        <v/>
      </c>
      <c r="I224" s="69" t="str">
        <f>_xlfn.IFNA(VLOOKUP(E224,Master!$J:$M,4,0),"")</f>
        <v/>
      </c>
      <c r="J224" s="69" t="str">
        <f>_xlfn.IFNA(VLOOKUP($E224,Master!$J:$M,3,0),"")</f>
        <v/>
      </c>
      <c r="AC224" s="14">
        <f t="shared" si="8"/>
        <v>0</v>
      </c>
      <c r="AD224" s="14">
        <f t="shared" si="9"/>
        <v>0</v>
      </c>
    </row>
    <row r="225" spans="2:30" ht="15" customHeight="1" x14ac:dyDescent="0.4">
      <c r="B225" s="69" t="str">
        <f>_xlfn.IFNA(VLOOKUP(C225,Master!$J:$K,2,0),"")</f>
        <v/>
      </c>
      <c r="D225" s="71" t="str">
        <f>_xlfn.IFNA(VLOOKUP(E225,Master!$J:$K,2,0),"")</f>
        <v/>
      </c>
      <c r="F225" s="71" t="str">
        <f>_xlfn.IFNA(VLOOKUP(G225,Master!B:C,2,0),"")</f>
        <v/>
      </c>
      <c r="I225" s="69" t="str">
        <f>_xlfn.IFNA(VLOOKUP(E225,Master!$J:$M,4,0),"")</f>
        <v/>
      </c>
      <c r="J225" s="69" t="str">
        <f>_xlfn.IFNA(VLOOKUP($E225,Master!$J:$M,3,0),"")</f>
        <v/>
      </c>
      <c r="AC225" s="14">
        <f t="shared" si="8"/>
        <v>0</v>
      </c>
      <c r="AD225" s="14">
        <f t="shared" si="9"/>
        <v>0</v>
      </c>
    </row>
    <row r="226" spans="2:30" ht="15" customHeight="1" x14ac:dyDescent="0.4">
      <c r="B226" s="69" t="str">
        <f>_xlfn.IFNA(VLOOKUP(C226,Master!$J:$K,2,0),"")</f>
        <v/>
      </c>
      <c r="D226" s="71" t="str">
        <f>_xlfn.IFNA(VLOOKUP(E226,Master!$J:$K,2,0),"")</f>
        <v/>
      </c>
      <c r="F226" s="71" t="str">
        <f>_xlfn.IFNA(VLOOKUP(G226,Master!B:C,2,0),"")</f>
        <v/>
      </c>
      <c r="I226" s="69" t="str">
        <f>_xlfn.IFNA(VLOOKUP(E226,Master!$J:$M,4,0),"")</f>
        <v/>
      </c>
      <c r="J226" s="69" t="str">
        <f>_xlfn.IFNA(VLOOKUP($E226,Master!$J:$M,3,0),"")</f>
        <v/>
      </c>
      <c r="AC226" s="14">
        <f t="shared" si="8"/>
        <v>0</v>
      </c>
      <c r="AD226" s="14">
        <f t="shared" si="9"/>
        <v>0</v>
      </c>
    </row>
    <row r="227" spans="2:30" ht="15" customHeight="1" x14ac:dyDescent="0.4">
      <c r="B227" s="69" t="str">
        <f>_xlfn.IFNA(VLOOKUP(C227,Master!$J:$K,2,0),"")</f>
        <v/>
      </c>
      <c r="D227" s="71" t="str">
        <f>_xlfn.IFNA(VLOOKUP(E227,Master!$J:$K,2,0),"")</f>
        <v/>
      </c>
      <c r="F227" s="71" t="str">
        <f>_xlfn.IFNA(VLOOKUP(G227,Master!B:C,2,0),"")</f>
        <v/>
      </c>
      <c r="I227" s="69" t="str">
        <f>_xlfn.IFNA(VLOOKUP(E227,Master!$J:$M,4,0),"")</f>
        <v/>
      </c>
      <c r="J227" s="69" t="str">
        <f>_xlfn.IFNA(VLOOKUP($E227,Master!$J:$M,3,0),"")</f>
        <v/>
      </c>
      <c r="AC227" s="14">
        <f t="shared" si="8"/>
        <v>0</v>
      </c>
      <c r="AD227" s="14">
        <f t="shared" si="9"/>
        <v>0</v>
      </c>
    </row>
    <row r="228" spans="2:30" ht="15" customHeight="1" x14ac:dyDescent="0.4">
      <c r="B228" s="69" t="str">
        <f>_xlfn.IFNA(VLOOKUP(C228,Master!$J:$K,2,0),"")</f>
        <v/>
      </c>
      <c r="D228" s="71" t="str">
        <f>_xlfn.IFNA(VLOOKUP(E228,Master!$J:$K,2,0),"")</f>
        <v/>
      </c>
      <c r="F228" s="71" t="str">
        <f>_xlfn.IFNA(VLOOKUP(G228,Master!B:C,2,0),"")</f>
        <v/>
      </c>
      <c r="I228" s="69" t="str">
        <f>_xlfn.IFNA(VLOOKUP(E228,Master!$J:$M,4,0),"")</f>
        <v/>
      </c>
      <c r="J228" s="69" t="str">
        <f>_xlfn.IFNA(VLOOKUP($E228,Master!$J:$M,3,0),"")</f>
        <v/>
      </c>
      <c r="AC228" s="14">
        <f t="shared" si="8"/>
        <v>0</v>
      </c>
      <c r="AD228" s="14">
        <f t="shared" si="9"/>
        <v>0</v>
      </c>
    </row>
    <row r="229" spans="2:30" ht="15" customHeight="1" x14ac:dyDescent="0.4">
      <c r="B229" s="69" t="str">
        <f>_xlfn.IFNA(VLOOKUP(C229,Master!$J:$K,2,0),"")</f>
        <v/>
      </c>
      <c r="D229" s="71" t="str">
        <f>_xlfn.IFNA(VLOOKUP(E229,Master!$J:$K,2,0),"")</f>
        <v/>
      </c>
      <c r="F229" s="71" t="str">
        <f>_xlfn.IFNA(VLOOKUP(G229,Master!B:C,2,0),"")</f>
        <v/>
      </c>
      <c r="I229" s="69" t="str">
        <f>_xlfn.IFNA(VLOOKUP(E229,Master!$J:$M,4,0),"")</f>
        <v/>
      </c>
      <c r="J229" s="69" t="str">
        <f>_xlfn.IFNA(VLOOKUP($E229,Master!$J:$M,3,0),"")</f>
        <v/>
      </c>
      <c r="AC229" s="14">
        <f t="shared" si="8"/>
        <v>0</v>
      </c>
      <c r="AD229" s="14">
        <f t="shared" si="9"/>
        <v>0</v>
      </c>
    </row>
    <row r="230" spans="2:30" ht="15" customHeight="1" x14ac:dyDescent="0.4">
      <c r="B230" s="69" t="str">
        <f>_xlfn.IFNA(VLOOKUP(C230,Master!$J:$K,2,0),"")</f>
        <v/>
      </c>
      <c r="D230" s="71" t="str">
        <f>_xlfn.IFNA(VLOOKUP(E230,Master!$J:$K,2,0),"")</f>
        <v/>
      </c>
      <c r="F230" s="71" t="str">
        <f>_xlfn.IFNA(VLOOKUP(G230,Master!B:C,2,0),"")</f>
        <v/>
      </c>
      <c r="I230" s="69" t="str">
        <f>_xlfn.IFNA(VLOOKUP(E230,Master!$J:$M,4,0),"")</f>
        <v/>
      </c>
      <c r="J230" s="69" t="str">
        <f>_xlfn.IFNA(VLOOKUP($E230,Master!$J:$M,3,0),"")</f>
        <v/>
      </c>
      <c r="AC230" s="14">
        <f t="shared" si="8"/>
        <v>0</v>
      </c>
      <c r="AD230" s="14">
        <f t="shared" si="9"/>
        <v>0</v>
      </c>
    </row>
    <row r="231" spans="2:30" ht="15" customHeight="1" x14ac:dyDescent="0.4">
      <c r="B231" s="69" t="str">
        <f>_xlfn.IFNA(VLOOKUP(C231,Master!$J:$K,2,0),"")</f>
        <v/>
      </c>
      <c r="D231" s="71" t="str">
        <f>_xlfn.IFNA(VLOOKUP(E231,Master!$J:$K,2,0),"")</f>
        <v/>
      </c>
      <c r="F231" s="71" t="str">
        <f>_xlfn.IFNA(VLOOKUP(G231,Master!B:C,2,0),"")</f>
        <v/>
      </c>
      <c r="I231" s="69" t="str">
        <f>_xlfn.IFNA(VLOOKUP(E231,Master!$J:$M,4,0),"")</f>
        <v/>
      </c>
      <c r="J231" s="69" t="str">
        <f>_xlfn.IFNA(VLOOKUP($E231,Master!$J:$M,3,0),"")</f>
        <v/>
      </c>
      <c r="AC231" s="14">
        <f t="shared" si="8"/>
        <v>0</v>
      </c>
      <c r="AD231" s="14">
        <f t="shared" si="9"/>
        <v>0</v>
      </c>
    </row>
    <row r="232" spans="2:30" ht="15" customHeight="1" x14ac:dyDescent="0.4">
      <c r="B232" s="69" t="str">
        <f>_xlfn.IFNA(VLOOKUP(C232,Master!$J:$K,2,0),"")</f>
        <v/>
      </c>
      <c r="D232" s="71" t="str">
        <f>_xlfn.IFNA(VLOOKUP(E232,Master!$J:$K,2,0),"")</f>
        <v/>
      </c>
      <c r="F232" s="71" t="str">
        <f>_xlfn.IFNA(VLOOKUP(G232,Master!B:C,2,0),"")</f>
        <v/>
      </c>
      <c r="I232" s="69" t="str">
        <f>_xlfn.IFNA(VLOOKUP(E232,Master!$J:$M,4,0),"")</f>
        <v/>
      </c>
      <c r="J232" s="69" t="str">
        <f>_xlfn.IFNA(VLOOKUP($E232,Master!$J:$M,3,0),"")</f>
        <v/>
      </c>
      <c r="AC232" s="14">
        <f t="shared" si="8"/>
        <v>0</v>
      </c>
      <c r="AD232" s="14">
        <f t="shared" si="9"/>
        <v>0</v>
      </c>
    </row>
    <row r="233" spans="2:30" ht="15" customHeight="1" x14ac:dyDescent="0.4">
      <c r="B233" s="69" t="str">
        <f>_xlfn.IFNA(VLOOKUP(C233,Master!$J:$K,2,0),"")</f>
        <v/>
      </c>
      <c r="D233" s="71" t="str">
        <f>_xlfn.IFNA(VLOOKUP(E233,Master!$J:$K,2,0),"")</f>
        <v/>
      </c>
      <c r="F233" s="71" t="str">
        <f>_xlfn.IFNA(VLOOKUP(G233,Master!B:C,2,0),"")</f>
        <v/>
      </c>
      <c r="I233" s="69" t="str">
        <f>_xlfn.IFNA(VLOOKUP(E233,Master!$J:$M,4,0),"")</f>
        <v/>
      </c>
      <c r="J233" s="69" t="str">
        <f>_xlfn.IFNA(VLOOKUP($E233,Master!$J:$M,3,0),"")</f>
        <v/>
      </c>
      <c r="AC233" s="14">
        <f t="shared" si="8"/>
        <v>0</v>
      </c>
      <c r="AD233" s="14">
        <f t="shared" si="9"/>
        <v>0</v>
      </c>
    </row>
    <row r="234" spans="2:30" ht="15" customHeight="1" x14ac:dyDescent="0.4">
      <c r="B234" s="69" t="str">
        <f>_xlfn.IFNA(VLOOKUP(C234,Master!$J:$K,2,0),"")</f>
        <v/>
      </c>
      <c r="D234" s="71" t="str">
        <f>_xlfn.IFNA(VLOOKUP(E234,Master!$J:$K,2,0),"")</f>
        <v/>
      </c>
      <c r="F234" s="71" t="str">
        <f>_xlfn.IFNA(VLOOKUP(G234,Master!B:C,2,0),"")</f>
        <v/>
      </c>
      <c r="I234" s="69" t="str">
        <f>_xlfn.IFNA(VLOOKUP(E234,Master!$J:$M,4,0),"")</f>
        <v/>
      </c>
      <c r="J234" s="69" t="str">
        <f>_xlfn.IFNA(VLOOKUP($E234,Master!$J:$M,3,0),"")</f>
        <v/>
      </c>
      <c r="AC234" s="14">
        <f t="shared" si="8"/>
        <v>0</v>
      </c>
      <c r="AD234" s="14">
        <f t="shared" si="9"/>
        <v>0</v>
      </c>
    </row>
    <row r="235" spans="2:30" ht="15" customHeight="1" x14ac:dyDescent="0.4">
      <c r="B235" s="69" t="str">
        <f>_xlfn.IFNA(VLOOKUP(C235,Master!$J:$K,2,0),"")</f>
        <v/>
      </c>
      <c r="D235" s="71" t="str">
        <f>_xlfn.IFNA(VLOOKUP(E235,Master!$J:$K,2,0),"")</f>
        <v/>
      </c>
      <c r="F235" s="71" t="str">
        <f>_xlfn.IFNA(VLOOKUP(G235,Master!B:C,2,0),"")</f>
        <v/>
      </c>
      <c r="I235" s="69" t="str">
        <f>_xlfn.IFNA(VLOOKUP(E235,Master!$J:$M,4,0),"")</f>
        <v/>
      </c>
      <c r="J235" s="69" t="str">
        <f>_xlfn.IFNA(VLOOKUP($E235,Master!$J:$M,3,0),"")</f>
        <v/>
      </c>
      <c r="AC235" s="14">
        <f t="shared" si="8"/>
        <v>0</v>
      </c>
      <c r="AD235" s="14">
        <f t="shared" si="9"/>
        <v>0</v>
      </c>
    </row>
    <row r="236" spans="2:30" ht="15" customHeight="1" x14ac:dyDescent="0.4">
      <c r="B236" s="69" t="str">
        <f>_xlfn.IFNA(VLOOKUP(C236,Master!$J:$K,2,0),"")</f>
        <v/>
      </c>
      <c r="D236" s="71" t="str">
        <f>_xlfn.IFNA(VLOOKUP(E236,Master!$J:$K,2,0),"")</f>
        <v/>
      </c>
      <c r="F236" s="71" t="str">
        <f>_xlfn.IFNA(VLOOKUP(G236,Master!B:C,2,0),"")</f>
        <v/>
      </c>
      <c r="I236" s="69" t="str">
        <f>_xlfn.IFNA(VLOOKUP(E236,Master!$J:$M,4,0),"")</f>
        <v/>
      </c>
      <c r="J236" s="69" t="str">
        <f>_xlfn.IFNA(VLOOKUP($E236,Master!$J:$M,3,0),"")</f>
        <v/>
      </c>
      <c r="AC236" s="14">
        <f t="shared" si="8"/>
        <v>0</v>
      </c>
      <c r="AD236" s="14">
        <f t="shared" si="9"/>
        <v>0</v>
      </c>
    </row>
    <row r="237" spans="2:30" ht="15" customHeight="1" x14ac:dyDescent="0.4">
      <c r="B237" s="69" t="str">
        <f>_xlfn.IFNA(VLOOKUP(C237,Master!$J:$K,2,0),"")</f>
        <v/>
      </c>
      <c r="D237" s="71" t="str">
        <f>_xlfn.IFNA(VLOOKUP(E237,Master!$J:$K,2,0),"")</f>
        <v/>
      </c>
      <c r="F237" s="71" t="str">
        <f>_xlfn.IFNA(VLOOKUP(G237,Master!B:C,2,0),"")</f>
        <v/>
      </c>
      <c r="I237" s="69" t="str">
        <f>_xlfn.IFNA(VLOOKUP(E237,Master!$J:$M,4,0),"")</f>
        <v/>
      </c>
      <c r="J237" s="69" t="str">
        <f>_xlfn.IFNA(VLOOKUP($E237,Master!$J:$M,3,0),"")</f>
        <v/>
      </c>
      <c r="AC237" s="14">
        <f t="shared" si="8"/>
        <v>0</v>
      </c>
      <c r="AD237" s="14">
        <f t="shared" si="9"/>
        <v>0</v>
      </c>
    </row>
    <row r="238" spans="2:30" ht="15" customHeight="1" x14ac:dyDescent="0.4">
      <c r="B238" s="69" t="str">
        <f>_xlfn.IFNA(VLOOKUP(C238,Master!$J:$K,2,0),"")</f>
        <v/>
      </c>
      <c r="D238" s="71" t="str">
        <f>_xlfn.IFNA(VLOOKUP(E238,Master!$J:$K,2,0),"")</f>
        <v/>
      </c>
      <c r="F238" s="71" t="str">
        <f>_xlfn.IFNA(VLOOKUP(G238,Master!B:C,2,0),"")</f>
        <v/>
      </c>
      <c r="I238" s="69" t="str">
        <f>_xlfn.IFNA(VLOOKUP(E238,Master!$J:$M,4,0),"")</f>
        <v/>
      </c>
      <c r="J238" s="69" t="str">
        <f>_xlfn.IFNA(VLOOKUP($E238,Master!$J:$M,3,0),"")</f>
        <v/>
      </c>
      <c r="AC238" s="14">
        <f t="shared" si="8"/>
        <v>0</v>
      </c>
      <c r="AD238" s="14">
        <f t="shared" si="9"/>
        <v>0</v>
      </c>
    </row>
    <row r="239" spans="2:30" ht="15" customHeight="1" x14ac:dyDescent="0.4">
      <c r="B239" s="69" t="str">
        <f>_xlfn.IFNA(VLOOKUP(C239,Master!$J:$K,2,0),"")</f>
        <v/>
      </c>
      <c r="D239" s="71" t="str">
        <f>_xlfn.IFNA(VLOOKUP(E239,Master!$J:$K,2,0),"")</f>
        <v/>
      </c>
      <c r="F239" s="71" t="str">
        <f>_xlfn.IFNA(VLOOKUP(G239,Master!B:C,2,0),"")</f>
        <v/>
      </c>
      <c r="I239" s="69" t="str">
        <f>_xlfn.IFNA(VLOOKUP(E239,Master!$J:$M,4,0),"")</f>
        <v/>
      </c>
      <c r="J239" s="69" t="str">
        <f>_xlfn.IFNA(VLOOKUP($E239,Master!$J:$M,3,0),"")</f>
        <v/>
      </c>
      <c r="AC239" s="14">
        <f t="shared" si="8"/>
        <v>0</v>
      </c>
      <c r="AD239" s="14">
        <f t="shared" si="9"/>
        <v>0</v>
      </c>
    </row>
    <row r="240" spans="2:30" ht="15" customHeight="1" x14ac:dyDescent="0.4">
      <c r="B240" s="69" t="str">
        <f>_xlfn.IFNA(VLOOKUP(C240,Master!$J:$K,2,0),"")</f>
        <v/>
      </c>
      <c r="D240" s="71" t="str">
        <f>_xlfn.IFNA(VLOOKUP(E240,Master!$J:$K,2,0),"")</f>
        <v/>
      </c>
      <c r="F240" s="71" t="str">
        <f>_xlfn.IFNA(VLOOKUP(G240,Master!B:C,2,0),"")</f>
        <v/>
      </c>
      <c r="I240" s="69" t="str">
        <f>_xlfn.IFNA(VLOOKUP(E240,Master!$J:$M,4,0),"")</f>
        <v/>
      </c>
      <c r="J240" s="69" t="str">
        <f>_xlfn.IFNA(VLOOKUP($E240,Master!$J:$M,3,0),"")</f>
        <v/>
      </c>
      <c r="AC240" s="14">
        <f t="shared" si="8"/>
        <v>0</v>
      </c>
      <c r="AD240" s="14">
        <f t="shared" si="9"/>
        <v>0</v>
      </c>
    </row>
    <row r="241" spans="2:30" ht="15" customHeight="1" x14ac:dyDescent="0.4">
      <c r="B241" s="69" t="str">
        <f>_xlfn.IFNA(VLOOKUP(C241,Master!$J:$K,2,0),"")</f>
        <v/>
      </c>
      <c r="D241" s="71" t="str">
        <f>_xlfn.IFNA(VLOOKUP(E241,Master!$J:$K,2,0),"")</f>
        <v/>
      </c>
      <c r="F241" s="71" t="str">
        <f>_xlfn.IFNA(VLOOKUP(G241,Master!B:C,2,0),"")</f>
        <v/>
      </c>
      <c r="I241" s="69" t="str">
        <f>_xlfn.IFNA(VLOOKUP(E241,Master!$J:$M,4,0),"")</f>
        <v/>
      </c>
      <c r="J241" s="69" t="str">
        <f>_xlfn.IFNA(VLOOKUP($E241,Master!$J:$M,3,0),"")</f>
        <v/>
      </c>
      <c r="AC241" s="14">
        <f t="shared" si="8"/>
        <v>0</v>
      </c>
      <c r="AD241" s="14">
        <f t="shared" si="9"/>
        <v>0</v>
      </c>
    </row>
    <row r="242" spans="2:30" ht="15" customHeight="1" x14ac:dyDescent="0.4">
      <c r="B242" s="69" t="str">
        <f>_xlfn.IFNA(VLOOKUP(C242,Master!$J:$K,2,0),"")</f>
        <v/>
      </c>
      <c r="D242" s="71" t="str">
        <f>_xlfn.IFNA(VLOOKUP(E242,Master!$J:$K,2,0),"")</f>
        <v/>
      </c>
      <c r="F242" s="71" t="str">
        <f>_xlfn.IFNA(VLOOKUP(G242,Master!B:C,2,0),"")</f>
        <v/>
      </c>
      <c r="I242" s="69" t="str">
        <f>_xlfn.IFNA(VLOOKUP(E242,Master!$J:$M,4,0),"")</f>
        <v/>
      </c>
      <c r="J242" s="69" t="str">
        <f>_xlfn.IFNA(VLOOKUP($E242,Master!$J:$M,3,0),"")</f>
        <v/>
      </c>
      <c r="AC242" s="14">
        <f t="shared" si="8"/>
        <v>0</v>
      </c>
      <c r="AD242" s="14">
        <f t="shared" si="9"/>
        <v>0</v>
      </c>
    </row>
    <row r="243" spans="2:30" ht="15" customHeight="1" x14ac:dyDescent="0.4">
      <c r="B243" s="69" t="str">
        <f>_xlfn.IFNA(VLOOKUP(C243,Master!$J:$K,2,0),"")</f>
        <v/>
      </c>
      <c r="D243" s="71" t="str">
        <f>_xlfn.IFNA(VLOOKUP(E243,Master!$J:$K,2,0),"")</f>
        <v/>
      </c>
      <c r="F243" s="71" t="str">
        <f>_xlfn.IFNA(VLOOKUP(G243,Master!B:C,2,0),"")</f>
        <v/>
      </c>
      <c r="I243" s="69" t="str">
        <f>_xlfn.IFNA(VLOOKUP(E243,Master!$J:$M,4,0),"")</f>
        <v/>
      </c>
      <c r="J243" s="69" t="str">
        <f>_xlfn.IFNA(VLOOKUP($E243,Master!$J:$M,3,0),"")</f>
        <v/>
      </c>
      <c r="AC243" s="14">
        <f t="shared" si="8"/>
        <v>0</v>
      </c>
      <c r="AD243" s="14">
        <f t="shared" si="9"/>
        <v>0</v>
      </c>
    </row>
    <row r="244" spans="2:30" ht="15" customHeight="1" x14ac:dyDescent="0.4">
      <c r="B244" s="69" t="str">
        <f>_xlfn.IFNA(VLOOKUP(C244,Master!$J:$K,2,0),"")</f>
        <v/>
      </c>
      <c r="D244" s="71" t="str">
        <f>_xlfn.IFNA(VLOOKUP(E244,Master!$J:$K,2,0),"")</f>
        <v/>
      </c>
      <c r="F244" s="71" t="str">
        <f>_xlfn.IFNA(VLOOKUP(G244,Master!B:C,2,0),"")</f>
        <v/>
      </c>
      <c r="I244" s="69" t="str">
        <f>_xlfn.IFNA(VLOOKUP(E244,Master!$J:$M,4,0),"")</f>
        <v/>
      </c>
      <c r="J244" s="69" t="str">
        <f>_xlfn.IFNA(VLOOKUP($E244,Master!$J:$M,3,0),"")</f>
        <v/>
      </c>
      <c r="AC244" s="14">
        <f t="shared" si="8"/>
        <v>0</v>
      </c>
      <c r="AD244" s="14">
        <f t="shared" si="9"/>
        <v>0</v>
      </c>
    </row>
    <row r="245" spans="2:30" ht="15" customHeight="1" x14ac:dyDescent="0.4">
      <c r="B245" s="69" t="str">
        <f>_xlfn.IFNA(VLOOKUP(C245,Master!$J:$K,2,0),"")</f>
        <v/>
      </c>
      <c r="D245" s="71" t="str">
        <f>_xlfn.IFNA(VLOOKUP(E245,Master!$J:$K,2,0),"")</f>
        <v/>
      </c>
      <c r="F245" s="71" t="str">
        <f>_xlfn.IFNA(VLOOKUP(G245,Master!B:C,2,0),"")</f>
        <v/>
      </c>
      <c r="I245" s="69" t="str">
        <f>_xlfn.IFNA(VLOOKUP(E245,Master!$J:$M,4,0),"")</f>
        <v/>
      </c>
      <c r="J245" s="69" t="str">
        <f>_xlfn.IFNA(VLOOKUP($E245,Master!$J:$M,3,0),"")</f>
        <v/>
      </c>
      <c r="AC245" s="14">
        <f t="shared" si="8"/>
        <v>0</v>
      </c>
      <c r="AD245" s="14">
        <f t="shared" si="9"/>
        <v>0</v>
      </c>
    </row>
    <row r="246" spans="2:30" ht="15" customHeight="1" x14ac:dyDescent="0.4">
      <c r="B246" s="69" t="str">
        <f>_xlfn.IFNA(VLOOKUP(C246,Master!$J:$K,2,0),"")</f>
        <v/>
      </c>
      <c r="D246" s="71" t="str">
        <f>_xlfn.IFNA(VLOOKUP(E246,Master!$J:$K,2,0),"")</f>
        <v/>
      </c>
      <c r="F246" s="71" t="str">
        <f>_xlfn.IFNA(VLOOKUP(G246,Master!B:C,2,0),"")</f>
        <v/>
      </c>
      <c r="I246" s="69" t="str">
        <f>_xlfn.IFNA(VLOOKUP(E246,Master!$J:$M,4,0),"")</f>
        <v/>
      </c>
      <c r="J246" s="69" t="str">
        <f>_xlfn.IFNA(VLOOKUP($E246,Master!$J:$M,3,0),"")</f>
        <v/>
      </c>
      <c r="AC246" s="14">
        <f t="shared" si="8"/>
        <v>0</v>
      </c>
      <c r="AD246" s="14">
        <f t="shared" si="9"/>
        <v>0</v>
      </c>
    </row>
    <row r="247" spans="2:30" ht="15" customHeight="1" x14ac:dyDescent="0.4">
      <c r="B247" s="69" t="str">
        <f>_xlfn.IFNA(VLOOKUP(C247,Master!$J:$K,2,0),"")</f>
        <v/>
      </c>
      <c r="D247" s="71" t="str">
        <f>_xlfn.IFNA(VLOOKUP(E247,Master!$J:$K,2,0),"")</f>
        <v/>
      </c>
      <c r="F247" s="71" t="str">
        <f>_xlfn.IFNA(VLOOKUP(G247,Master!B:C,2,0),"")</f>
        <v/>
      </c>
      <c r="I247" s="69" t="str">
        <f>_xlfn.IFNA(VLOOKUP(E247,Master!$J:$M,4,0),"")</f>
        <v/>
      </c>
      <c r="J247" s="69" t="str">
        <f>_xlfn.IFNA(VLOOKUP($E247,Master!$J:$M,3,0),"")</f>
        <v/>
      </c>
      <c r="AC247" s="14">
        <f t="shared" si="8"/>
        <v>0</v>
      </c>
      <c r="AD247" s="14">
        <f t="shared" si="9"/>
        <v>0</v>
      </c>
    </row>
    <row r="248" spans="2:30" ht="15" customHeight="1" x14ac:dyDescent="0.4">
      <c r="B248" s="69" t="str">
        <f>_xlfn.IFNA(VLOOKUP(C248,Master!$J:$K,2,0),"")</f>
        <v/>
      </c>
      <c r="D248" s="71" t="str">
        <f>_xlfn.IFNA(VLOOKUP(E248,Master!$J:$K,2,0),"")</f>
        <v/>
      </c>
      <c r="F248" s="71" t="str">
        <f>_xlfn.IFNA(VLOOKUP(G248,Master!B:C,2,0),"")</f>
        <v/>
      </c>
      <c r="I248" s="69" t="str">
        <f>_xlfn.IFNA(VLOOKUP(E248,Master!$J:$M,4,0),"")</f>
        <v/>
      </c>
      <c r="J248" s="69" t="str">
        <f>_xlfn.IFNA(VLOOKUP($E248,Master!$J:$M,3,0),"")</f>
        <v/>
      </c>
      <c r="AC248" s="14">
        <f t="shared" si="8"/>
        <v>0</v>
      </c>
      <c r="AD248" s="14">
        <f t="shared" si="9"/>
        <v>0</v>
      </c>
    </row>
    <row r="249" spans="2:30" ht="15" customHeight="1" x14ac:dyDescent="0.4">
      <c r="B249" s="69" t="str">
        <f>_xlfn.IFNA(VLOOKUP(C249,Master!$J:$K,2,0),"")</f>
        <v/>
      </c>
      <c r="D249" s="71" t="str">
        <f>_xlfn.IFNA(VLOOKUP(E249,Master!$J:$K,2,0),"")</f>
        <v/>
      </c>
      <c r="F249" s="71" t="str">
        <f>_xlfn.IFNA(VLOOKUP(G249,Master!B:C,2,0),"")</f>
        <v/>
      </c>
      <c r="I249" s="69" t="str">
        <f>_xlfn.IFNA(VLOOKUP(E249,Master!$J:$M,4,0),"")</f>
        <v/>
      </c>
      <c r="J249" s="69" t="str">
        <f>_xlfn.IFNA(VLOOKUP($E249,Master!$J:$M,3,0),"")</f>
        <v/>
      </c>
      <c r="AC249" s="14">
        <f t="shared" si="8"/>
        <v>0</v>
      </c>
      <c r="AD249" s="14">
        <f t="shared" si="9"/>
        <v>0</v>
      </c>
    </row>
    <row r="250" spans="2:30" ht="15" customHeight="1" x14ac:dyDescent="0.4">
      <c r="B250" s="69" t="str">
        <f>_xlfn.IFNA(VLOOKUP(C250,Master!$J:$K,2,0),"")</f>
        <v/>
      </c>
      <c r="D250" s="71" t="str">
        <f>_xlfn.IFNA(VLOOKUP(E250,Master!$J:$K,2,0),"")</f>
        <v/>
      </c>
      <c r="F250" s="71" t="str">
        <f>_xlfn.IFNA(VLOOKUP(G250,Master!B:C,2,0),"")</f>
        <v/>
      </c>
      <c r="I250" s="69" t="str">
        <f>_xlfn.IFNA(VLOOKUP(E250,Master!$J:$M,4,0),"")</f>
        <v/>
      </c>
      <c r="J250" s="69" t="str">
        <f>_xlfn.IFNA(VLOOKUP($E250,Master!$J:$M,3,0),"")</f>
        <v/>
      </c>
      <c r="AC250" s="14">
        <f t="shared" si="8"/>
        <v>0</v>
      </c>
      <c r="AD250" s="14">
        <f t="shared" si="9"/>
        <v>0</v>
      </c>
    </row>
    <row r="251" spans="2:30" ht="15" customHeight="1" x14ac:dyDescent="0.4">
      <c r="B251" s="69" t="str">
        <f>_xlfn.IFNA(VLOOKUP(C251,Master!$J:$K,2,0),"")</f>
        <v/>
      </c>
      <c r="D251" s="71" t="str">
        <f>_xlfn.IFNA(VLOOKUP(E251,Master!$J:$K,2,0),"")</f>
        <v/>
      </c>
      <c r="F251" s="71" t="str">
        <f>_xlfn.IFNA(VLOOKUP(G251,Master!B:C,2,0),"")</f>
        <v/>
      </c>
      <c r="I251" s="69" t="str">
        <f>_xlfn.IFNA(VLOOKUP(E251,Master!$J:$M,4,0),"")</f>
        <v/>
      </c>
      <c r="J251" s="69" t="str">
        <f>_xlfn.IFNA(VLOOKUP($E251,Master!$J:$M,3,0),"")</f>
        <v/>
      </c>
      <c r="AC251" s="14">
        <f t="shared" si="8"/>
        <v>0</v>
      </c>
      <c r="AD251" s="14">
        <f t="shared" si="9"/>
        <v>0</v>
      </c>
    </row>
    <row r="252" spans="2:30" ht="15" customHeight="1" x14ac:dyDescent="0.4">
      <c r="B252" s="69" t="str">
        <f>_xlfn.IFNA(VLOOKUP(C252,Master!$J:$K,2,0),"")</f>
        <v/>
      </c>
      <c r="D252" s="71" t="str">
        <f>_xlfn.IFNA(VLOOKUP(E252,Master!$J:$K,2,0),"")</f>
        <v/>
      </c>
      <c r="F252" s="71" t="str">
        <f>_xlfn.IFNA(VLOOKUP(G252,Master!B:C,2,0),"")</f>
        <v/>
      </c>
      <c r="I252" s="69" t="str">
        <f>_xlfn.IFNA(VLOOKUP(E252,Master!$J:$M,4,0),"")</f>
        <v/>
      </c>
      <c r="J252" s="69" t="str">
        <f>_xlfn.IFNA(VLOOKUP($E252,Master!$J:$M,3,0),"")</f>
        <v/>
      </c>
      <c r="AC252" s="14">
        <f t="shared" si="8"/>
        <v>0</v>
      </c>
      <c r="AD252" s="14">
        <f t="shared" si="9"/>
        <v>0</v>
      </c>
    </row>
    <row r="253" spans="2:30" ht="15" customHeight="1" x14ac:dyDescent="0.4">
      <c r="B253" s="69" t="str">
        <f>_xlfn.IFNA(VLOOKUP(C253,Master!$J:$K,2,0),"")</f>
        <v/>
      </c>
      <c r="D253" s="71" t="str">
        <f>_xlfn.IFNA(VLOOKUP(E253,Master!$J:$K,2,0),"")</f>
        <v/>
      </c>
      <c r="F253" s="71" t="str">
        <f>_xlfn.IFNA(VLOOKUP(G253,Master!B:C,2,0),"")</f>
        <v/>
      </c>
      <c r="I253" s="69" t="str">
        <f>_xlfn.IFNA(VLOOKUP(E253,Master!$J:$M,4,0),"")</f>
        <v/>
      </c>
      <c r="J253" s="69" t="str">
        <f>_xlfn.IFNA(VLOOKUP($E253,Master!$J:$M,3,0),"")</f>
        <v/>
      </c>
      <c r="AC253" s="14">
        <f t="shared" si="8"/>
        <v>0</v>
      </c>
      <c r="AD253" s="14">
        <f t="shared" si="9"/>
        <v>0</v>
      </c>
    </row>
    <row r="254" spans="2:30" ht="15" customHeight="1" x14ac:dyDescent="0.4">
      <c r="B254" s="69" t="str">
        <f>_xlfn.IFNA(VLOOKUP(C254,Master!$J:$K,2,0),"")</f>
        <v/>
      </c>
      <c r="D254" s="71" t="str">
        <f>_xlfn.IFNA(VLOOKUP(E254,Master!$J:$K,2,0),"")</f>
        <v/>
      </c>
      <c r="F254" s="71" t="str">
        <f>_xlfn.IFNA(VLOOKUP(G254,Master!B:C,2,0),"")</f>
        <v/>
      </c>
      <c r="I254" s="69" t="str">
        <f>_xlfn.IFNA(VLOOKUP(E254,Master!$J:$M,4,0),"")</f>
        <v/>
      </c>
      <c r="J254" s="69" t="str">
        <f>_xlfn.IFNA(VLOOKUP($E254,Master!$J:$M,3,0),"")</f>
        <v/>
      </c>
      <c r="AC254" s="14">
        <f t="shared" si="8"/>
        <v>0</v>
      </c>
      <c r="AD254" s="14">
        <f t="shared" si="9"/>
        <v>0</v>
      </c>
    </row>
    <row r="255" spans="2:30" ht="15" customHeight="1" x14ac:dyDescent="0.4">
      <c r="B255" s="69" t="str">
        <f>_xlfn.IFNA(VLOOKUP(C255,Master!$J:$K,2,0),"")</f>
        <v/>
      </c>
      <c r="D255" s="71" t="str">
        <f>_xlfn.IFNA(VLOOKUP(E255,Master!$J:$K,2,0),"")</f>
        <v/>
      </c>
      <c r="F255" s="71" t="str">
        <f>_xlfn.IFNA(VLOOKUP(G255,Master!B:C,2,0),"")</f>
        <v/>
      </c>
      <c r="I255" s="69" t="str">
        <f>_xlfn.IFNA(VLOOKUP(E255,Master!$J:$M,4,0),"")</f>
        <v/>
      </c>
      <c r="J255" s="69" t="str">
        <f>_xlfn.IFNA(VLOOKUP($E255,Master!$J:$M,3,0),"")</f>
        <v/>
      </c>
      <c r="AC255" s="14">
        <f t="shared" si="8"/>
        <v>0</v>
      </c>
      <c r="AD255" s="14">
        <f t="shared" si="9"/>
        <v>0</v>
      </c>
    </row>
    <row r="256" spans="2:30" ht="15" customHeight="1" x14ac:dyDescent="0.4">
      <c r="B256" s="69" t="str">
        <f>_xlfn.IFNA(VLOOKUP(C256,Master!$J:$K,2,0),"")</f>
        <v/>
      </c>
      <c r="D256" s="71" t="str">
        <f>_xlfn.IFNA(VLOOKUP(E256,Master!$J:$K,2,0),"")</f>
        <v/>
      </c>
      <c r="F256" s="71" t="str">
        <f>_xlfn.IFNA(VLOOKUP(G256,Master!B:C,2,0),"")</f>
        <v/>
      </c>
      <c r="I256" s="69" t="str">
        <f>_xlfn.IFNA(VLOOKUP(E256,Master!$J:$M,4,0),"")</f>
        <v/>
      </c>
      <c r="J256" s="69" t="str">
        <f>_xlfn.IFNA(VLOOKUP($E256,Master!$J:$M,3,0),"")</f>
        <v/>
      </c>
      <c r="AC256" s="14">
        <f t="shared" si="8"/>
        <v>0</v>
      </c>
      <c r="AD256" s="14">
        <f t="shared" si="9"/>
        <v>0</v>
      </c>
    </row>
    <row r="257" spans="2:30" ht="15" customHeight="1" x14ac:dyDescent="0.4">
      <c r="B257" s="69" t="str">
        <f>_xlfn.IFNA(VLOOKUP(C257,Master!$J:$K,2,0),"")</f>
        <v/>
      </c>
      <c r="D257" s="71" t="str">
        <f>_xlfn.IFNA(VLOOKUP(E257,Master!$J:$K,2,0),"")</f>
        <v/>
      </c>
      <c r="F257" s="71" t="str">
        <f>_xlfn.IFNA(VLOOKUP(G257,Master!B:C,2,0),"")</f>
        <v/>
      </c>
      <c r="I257" s="69" t="str">
        <f>_xlfn.IFNA(VLOOKUP(E257,Master!$J:$M,4,0),"")</f>
        <v/>
      </c>
      <c r="J257" s="69" t="str">
        <f>_xlfn.IFNA(VLOOKUP($E257,Master!$J:$M,3,0),"")</f>
        <v/>
      </c>
      <c r="AC257" s="14">
        <f t="shared" si="8"/>
        <v>0</v>
      </c>
      <c r="AD257" s="14">
        <f t="shared" si="9"/>
        <v>0</v>
      </c>
    </row>
    <row r="258" spans="2:30" ht="15" customHeight="1" x14ac:dyDescent="0.4">
      <c r="B258" s="69" t="str">
        <f>_xlfn.IFNA(VLOOKUP(C258,Master!$J:$K,2,0),"")</f>
        <v/>
      </c>
      <c r="D258" s="71" t="str">
        <f>_xlfn.IFNA(VLOOKUP(E258,Master!$J:$K,2,0),"")</f>
        <v/>
      </c>
      <c r="F258" s="71" t="str">
        <f>_xlfn.IFNA(VLOOKUP(G258,Master!B:C,2,0),"")</f>
        <v/>
      </c>
      <c r="I258" s="69" t="str">
        <f>_xlfn.IFNA(VLOOKUP(E258,Master!$J:$M,4,0),"")</f>
        <v/>
      </c>
      <c r="J258" s="69" t="str">
        <f>_xlfn.IFNA(VLOOKUP($E258,Master!$J:$M,3,0),"")</f>
        <v/>
      </c>
      <c r="AC258" s="14">
        <f t="shared" ref="AC258:AC321" si="10">SUM(K258:P258)</f>
        <v>0</v>
      </c>
      <c r="AD258" s="14">
        <f t="shared" ref="AD258:AD321" si="11">SUM(Q258:AB258)</f>
        <v>0</v>
      </c>
    </row>
    <row r="259" spans="2:30" ht="15" customHeight="1" x14ac:dyDescent="0.4">
      <c r="B259" s="69" t="str">
        <f>_xlfn.IFNA(VLOOKUP(C259,Master!$J:$K,2,0),"")</f>
        <v/>
      </c>
      <c r="D259" s="71" t="str">
        <f>_xlfn.IFNA(VLOOKUP(E259,Master!$J:$K,2,0),"")</f>
        <v/>
      </c>
      <c r="F259" s="71" t="str">
        <f>_xlfn.IFNA(VLOOKUP(G259,Master!B:C,2,0),"")</f>
        <v/>
      </c>
      <c r="I259" s="69" t="str">
        <f>_xlfn.IFNA(VLOOKUP(E259,Master!$J:$M,4,0),"")</f>
        <v/>
      </c>
      <c r="J259" s="69" t="str">
        <f>_xlfn.IFNA(VLOOKUP($E259,Master!$J:$M,3,0),"")</f>
        <v/>
      </c>
      <c r="AC259" s="14">
        <f t="shared" si="10"/>
        <v>0</v>
      </c>
      <c r="AD259" s="14">
        <f t="shared" si="11"/>
        <v>0</v>
      </c>
    </row>
    <row r="260" spans="2:30" ht="15" customHeight="1" x14ac:dyDescent="0.4">
      <c r="B260" s="69" t="str">
        <f>_xlfn.IFNA(VLOOKUP(C260,Master!$J:$K,2,0),"")</f>
        <v/>
      </c>
      <c r="D260" s="71" t="str">
        <f>_xlfn.IFNA(VLOOKUP(E260,Master!$J:$K,2,0),"")</f>
        <v/>
      </c>
      <c r="F260" s="71" t="str">
        <f>_xlfn.IFNA(VLOOKUP(G260,Master!B:C,2,0),"")</f>
        <v/>
      </c>
      <c r="I260" s="69" t="str">
        <f>_xlfn.IFNA(VLOOKUP(E260,Master!$J:$M,4,0),"")</f>
        <v/>
      </c>
      <c r="J260" s="69" t="str">
        <f>_xlfn.IFNA(VLOOKUP($E260,Master!$J:$M,3,0),"")</f>
        <v/>
      </c>
      <c r="AC260" s="14">
        <f t="shared" si="10"/>
        <v>0</v>
      </c>
      <c r="AD260" s="14">
        <f t="shared" si="11"/>
        <v>0</v>
      </c>
    </row>
    <row r="261" spans="2:30" ht="15" customHeight="1" x14ac:dyDescent="0.4">
      <c r="B261" s="69" t="str">
        <f>_xlfn.IFNA(VLOOKUP(C261,Master!$J:$K,2,0),"")</f>
        <v/>
      </c>
      <c r="D261" s="71" t="str">
        <f>_xlfn.IFNA(VLOOKUP(E261,Master!$J:$K,2,0),"")</f>
        <v/>
      </c>
      <c r="F261" s="71" t="str">
        <f>_xlfn.IFNA(VLOOKUP(G261,Master!B:C,2,0),"")</f>
        <v/>
      </c>
      <c r="I261" s="69" t="str">
        <f>_xlfn.IFNA(VLOOKUP(E261,Master!$J:$M,4,0),"")</f>
        <v/>
      </c>
      <c r="J261" s="69" t="str">
        <f>_xlfn.IFNA(VLOOKUP($E261,Master!$J:$M,3,0),"")</f>
        <v/>
      </c>
      <c r="AC261" s="14">
        <f t="shared" si="10"/>
        <v>0</v>
      </c>
      <c r="AD261" s="14">
        <f t="shared" si="11"/>
        <v>0</v>
      </c>
    </row>
    <row r="262" spans="2:30" ht="15" customHeight="1" x14ac:dyDescent="0.4">
      <c r="B262" s="69" t="str">
        <f>_xlfn.IFNA(VLOOKUP(C262,Master!$J:$K,2,0),"")</f>
        <v/>
      </c>
      <c r="D262" s="71" t="str">
        <f>_xlfn.IFNA(VLOOKUP(E262,Master!$J:$K,2,0),"")</f>
        <v/>
      </c>
      <c r="F262" s="71" t="str">
        <f>_xlfn.IFNA(VLOOKUP(G262,Master!B:C,2,0),"")</f>
        <v/>
      </c>
      <c r="I262" s="69" t="str">
        <f>_xlfn.IFNA(VLOOKUP(E262,Master!$J:$M,4,0),"")</f>
        <v/>
      </c>
      <c r="J262" s="69" t="str">
        <f>_xlfn.IFNA(VLOOKUP($E262,Master!$J:$M,3,0),"")</f>
        <v/>
      </c>
      <c r="AC262" s="14">
        <f t="shared" si="10"/>
        <v>0</v>
      </c>
      <c r="AD262" s="14">
        <f t="shared" si="11"/>
        <v>0</v>
      </c>
    </row>
    <row r="263" spans="2:30" ht="15" customHeight="1" x14ac:dyDescent="0.4">
      <c r="B263" s="69" t="str">
        <f>_xlfn.IFNA(VLOOKUP(C263,Master!$J:$K,2,0),"")</f>
        <v/>
      </c>
      <c r="D263" s="71" t="str">
        <f>_xlfn.IFNA(VLOOKUP(E263,Master!$J:$K,2,0),"")</f>
        <v/>
      </c>
      <c r="F263" s="71" t="str">
        <f>_xlfn.IFNA(VLOOKUP(G263,Master!B:C,2,0),"")</f>
        <v/>
      </c>
      <c r="I263" s="69" t="str">
        <f>_xlfn.IFNA(VLOOKUP(E263,Master!$J:$M,4,0),"")</f>
        <v/>
      </c>
      <c r="J263" s="69" t="str">
        <f>_xlfn.IFNA(VLOOKUP($E263,Master!$J:$M,3,0),"")</f>
        <v/>
      </c>
      <c r="AC263" s="14">
        <f t="shared" si="10"/>
        <v>0</v>
      </c>
      <c r="AD263" s="14">
        <f t="shared" si="11"/>
        <v>0</v>
      </c>
    </row>
    <row r="264" spans="2:30" ht="15" customHeight="1" x14ac:dyDescent="0.4">
      <c r="B264" s="69" t="str">
        <f>_xlfn.IFNA(VLOOKUP(C264,Master!$J:$K,2,0),"")</f>
        <v/>
      </c>
      <c r="D264" s="71" t="str">
        <f>_xlfn.IFNA(VLOOKUP(E264,Master!$J:$K,2,0),"")</f>
        <v/>
      </c>
      <c r="F264" s="71" t="str">
        <f>_xlfn.IFNA(VLOOKUP(G264,Master!B:C,2,0),"")</f>
        <v/>
      </c>
      <c r="I264" s="69" t="str">
        <f>_xlfn.IFNA(VLOOKUP(E264,Master!$J:$M,4,0),"")</f>
        <v/>
      </c>
      <c r="J264" s="69" t="str">
        <f>_xlfn.IFNA(VLOOKUP($E264,Master!$J:$M,3,0),"")</f>
        <v/>
      </c>
      <c r="AC264" s="14">
        <f t="shared" si="10"/>
        <v>0</v>
      </c>
      <c r="AD264" s="14">
        <f t="shared" si="11"/>
        <v>0</v>
      </c>
    </row>
    <row r="265" spans="2:30" ht="15" customHeight="1" x14ac:dyDescent="0.4">
      <c r="B265" s="69" t="str">
        <f>_xlfn.IFNA(VLOOKUP(C265,Master!$J:$K,2,0),"")</f>
        <v/>
      </c>
      <c r="D265" s="71" t="str">
        <f>_xlfn.IFNA(VLOOKUP(E265,Master!$J:$K,2,0),"")</f>
        <v/>
      </c>
      <c r="F265" s="71" t="str">
        <f>_xlfn.IFNA(VLOOKUP(G265,Master!B:C,2,0),"")</f>
        <v/>
      </c>
      <c r="I265" s="69" t="str">
        <f>_xlfn.IFNA(VLOOKUP(E265,Master!$J:$M,4,0),"")</f>
        <v/>
      </c>
      <c r="J265" s="69" t="str">
        <f>_xlfn.IFNA(VLOOKUP($E265,Master!$J:$M,3,0),"")</f>
        <v/>
      </c>
      <c r="AC265" s="14">
        <f t="shared" si="10"/>
        <v>0</v>
      </c>
      <c r="AD265" s="14">
        <f t="shared" si="11"/>
        <v>0</v>
      </c>
    </row>
    <row r="266" spans="2:30" ht="15" customHeight="1" x14ac:dyDescent="0.4">
      <c r="B266" s="69" t="str">
        <f>_xlfn.IFNA(VLOOKUP(C266,Master!$J:$K,2,0),"")</f>
        <v/>
      </c>
      <c r="D266" s="71" t="str">
        <f>_xlfn.IFNA(VLOOKUP(E266,Master!$J:$K,2,0),"")</f>
        <v/>
      </c>
      <c r="F266" s="71" t="str">
        <f>_xlfn.IFNA(VLOOKUP(G266,Master!B:C,2,0),"")</f>
        <v/>
      </c>
      <c r="I266" s="69" t="str">
        <f>_xlfn.IFNA(VLOOKUP(E266,Master!$J:$M,4,0),"")</f>
        <v/>
      </c>
      <c r="J266" s="69" t="str">
        <f>_xlfn.IFNA(VLOOKUP($E266,Master!$J:$M,3,0),"")</f>
        <v/>
      </c>
      <c r="AC266" s="14">
        <f t="shared" si="10"/>
        <v>0</v>
      </c>
      <c r="AD266" s="14">
        <f t="shared" si="11"/>
        <v>0</v>
      </c>
    </row>
    <row r="267" spans="2:30" ht="15" customHeight="1" x14ac:dyDescent="0.4">
      <c r="B267" s="69" t="str">
        <f>_xlfn.IFNA(VLOOKUP(C267,Master!$J:$K,2,0),"")</f>
        <v/>
      </c>
      <c r="D267" s="71" t="str">
        <f>_xlfn.IFNA(VLOOKUP(E267,Master!$J:$K,2,0),"")</f>
        <v/>
      </c>
      <c r="F267" s="71" t="str">
        <f>_xlfn.IFNA(VLOOKUP(G267,Master!B:C,2,0),"")</f>
        <v/>
      </c>
      <c r="I267" s="69" t="str">
        <f>_xlfn.IFNA(VLOOKUP(E267,Master!$J:$M,4,0),"")</f>
        <v/>
      </c>
      <c r="J267" s="69" t="str">
        <f>_xlfn.IFNA(VLOOKUP($E267,Master!$J:$M,3,0),"")</f>
        <v/>
      </c>
      <c r="AC267" s="14">
        <f t="shared" si="10"/>
        <v>0</v>
      </c>
      <c r="AD267" s="14">
        <f t="shared" si="11"/>
        <v>0</v>
      </c>
    </row>
    <row r="268" spans="2:30" ht="15" customHeight="1" x14ac:dyDescent="0.4">
      <c r="B268" s="69" t="str">
        <f>_xlfn.IFNA(VLOOKUP(C268,Master!$J:$K,2,0),"")</f>
        <v/>
      </c>
      <c r="D268" s="71" t="str">
        <f>_xlfn.IFNA(VLOOKUP(E268,Master!$J:$K,2,0),"")</f>
        <v/>
      </c>
      <c r="F268" s="71" t="str">
        <f>_xlfn.IFNA(VLOOKUP(G268,Master!B:C,2,0),"")</f>
        <v/>
      </c>
      <c r="I268" s="69" t="str">
        <f>_xlfn.IFNA(VLOOKUP(E268,Master!$J:$M,4,0),"")</f>
        <v/>
      </c>
      <c r="J268" s="69" t="str">
        <f>_xlfn.IFNA(VLOOKUP($E268,Master!$J:$M,3,0),"")</f>
        <v/>
      </c>
      <c r="AC268" s="14">
        <f t="shared" si="10"/>
        <v>0</v>
      </c>
      <c r="AD268" s="14">
        <f t="shared" si="11"/>
        <v>0</v>
      </c>
    </row>
    <row r="269" spans="2:30" ht="15" customHeight="1" x14ac:dyDescent="0.4">
      <c r="B269" s="69" t="str">
        <f>_xlfn.IFNA(VLOOKUP(C269,Master!$J:$K,2,0),"")</f>
        <v/>
      </c>
      <c r="D269" s="71" t="str">
        <f>_xlfn.IFNA(VLOOKUP(E269,Master!$J:$K,2,0),"")</f>
        <v/>
      </c>
      <c r="F269" s="71" t="str">
        <f>_xlfn.IFNA(VLOOKUP(G269,Master!B:C,2,0),"")</f>
        <v/>
      </c>
      <c r="I269" s="69" t="str">
        <f>_xlfn.IFNA(VLOOKUP(E269,Master!$J:$M,4,0),"")</f>
        <v/>
      </c>
      <c r="J269" s="69" t="str">
        <f>_xlfn.IFNA(VLOOKUP($E269,Master!$J:$M,3,0),"")</f>
        <v/>
      </c>
      <c r="AC269" s="14">
        <f t="shared" si="10"/>
        <v>0</v>
      </c>
      <c r="AD269" s="14">
        <f t="shared" si="11"/>
        <v>0</v>
      </c>
    </row>
    <row r="270" spans="2:30" ht="15" customHeight="1" x14ac:dyDescent="0.4">
      <c r="B270" s="69" t="str">
        <f>_xlfn.IFNA(VLOOKUP(C270,Master!$J:$K,2,0),"")</f>
        <v/>
      </c>
      <c r="D270" s="71" t="str">
        <f>_xlfn.IFNA(VLOOKUP(E270,Master!$J:$K,2,0),"")</f>
        <v/>
      </c>
      <c r="F270" s="71" t="str">
        <f>_xlfn.IFNA(VLOOKUP(G270,Master!B:C,2,0),"")</f>
        <v/>
      </c>
      <c r="I270" s="69" t="str">
        <f>_xlfn.IFNA(VLOOKUP(E270,Master!$J:$M,4,0),"")</f>
        <v/>
      </c>
      <c r="J270" s="69" t="str">
        <f>_xlfn.IFNA(VLOOKUP($E270,Master!$J:$M,3,0),"")</f>
        <v/>
      </c>
      <c r="AC270" s="14">
        <f t="shared" si="10"/>
        <v>0</v>
      </c>
      <c r="AD270" s="14">
        <f t="shared" si="11"/>
        <v>0</v>
      </c>
    </row>
    <row r="271" spans="2:30" ht="15" customHeight="1" x14ac:dyDescent="0.4">
      <c r="B271" s="69" t="str">
        <f>_xlfn.IFNA(VLOOKUP(C271,Master!$J:$K,2,0),"")</f>
        <v/>
      </c>
      <c r="D271" s="71" t="str">
        <f>_xlfn.IFNA(VLOOKUP(E271,Master!$J:$K,2,0),"")</f>
        <v/>
      </c>
      <c r="F271" s="71" t="str">
        <f>_xlfn.IFNA(VLOOKUP(G271,Master!B:C,2,0),"")</f>
        <v/>
      </c>
      <c r="I271" s="69" t="str">
        <f>_xlfn.IFNA(VLOOKUP(E271,Master!$J:$M,4,0),"")</f>
        <v/>
      </c>
      <c r="J271" s="69" t="str">
        <f>_xlfn.IFNA(VLOOKUP($E271,Master!$J:$M,3,0),"")</f>
        <v/>
      </c>
      <c r="AC271" s="14">
        <f t="shared" si="10"/>
        <v>0</v>
      </c>
      <c r="AD271" s="14">
        <f t="shared" si="11"/>
        <v>0</v>
      </c>
    </row>
    <row r="272" spans="2:30" ht="15" customHeight="1" x14ac:dyDescent="0.4">
      <c r="B272" s="69" t="str">
        <f>_xlfn.IFNA(VLOOKUP(C272,Master!$J:$K,2,0),"")</f>
        <v/>
      </c>
      <c r="D272" s="71" t="str">
        <f>_xlfn.IFNA(VLOOKUP(E272,Master!$J:$K,2,0),"")</f>
        <v/>
      </c>
      <c r="F272" s="71" t="str">
        <f>_xlfn.IFNA(VLOOKUP(G272,Master!B:C,2,0),"")</f>
        <v/>
      </c>
      <c r="I272" s="69" t="str">
        <f>_xlfn.IFNA(VLOOKUP(E272,Master!$J:$M,4,0),"")</f>
        <v/>
      </c>
      <c r="J272" s="69" t="str">
        <f>_xlfn.IFNA(VLOOKUP($E272,Master!$J:$M,3,0),"")</f>
        <v/>
      </c>
      <c r="AC272" s="14">
        <f t="shared" si="10"/>
        <v>0</v>
      </c>
      <c r="AD272" s="14">
        <f t="shared" si="11"/>
        <v>0</v>
      </c>
    </row>
    <row r="273" spans="2:30" ht="15" customHeight="1" x14ac:dyDescent="0.4">
      <c r="B273" s="69" t="str">
        <f>_xlfn.IFNA(VLOOKUP(C273,Master!$J:$K,2,0),"")</f>
        <v/>
      </c>
      <c r="D273" s="71" t="str">
        <f>_xlfn.IFNA(VLOOKUP(E273,Master!$J:$K,2,0),"")</f>
        <v/>
      </c>
      <c r="F273" s="71" t="str">
        <f>_xlfn.IFNA(VLOOKUP(G273,Master!B:C,2,0),"")</f>
        <v/>
      </c>
      <c r="I273" s="69" t="str">
        <f>_xlfn.IFNA(VLOOKUP(E273,Master!$J:$M,4,0),"")</f>
        <v/>
      </c>
      <c r="J273" s="69" t="str">
        <f>_xlfn.IFNA(VLOOKUP($E273,Master!$J:$M,3,0),"")</f>
        <v/>
      </c>
      <c r="AC273" s="14">
        <f t="shared" si="10"/>
        <v>0</v>
      </c>
      <c r="AD273" s="14">
        <f t="shared" si="11"/>
        <v>0</v>
      </c>
    </row>
    <row r="274" spans="2:30" ht="15" customHeight="1" x14ac:dyDescent="0.4">
      <c r="B274" s="69" t="str">
        <f>_xlfn.IFNA(VLOOKUP(C274,Master!$J:$K,2,0),"")</f>
        <v/>
      </c>
      <c r="D274" s="71" t="str">
        <f>_xlfn.IFNA(VLOOKUP(E274,Master!$J:$K,2,0),"")</f>
        <v/>
      </c>
      <c r="F274" s="71" t="str">
        <f>_xlfn.IFNA(VLOOKUP(G274,Master!B:C,2,0),"")</f>
        <v/>
      </c>
      <c r="I274" s="69" t="str">
        <f>_xlfn.IFNA(VLOOKUP(E274,Master!$J:$M,4,0),"")</f>
        <v/>
      </c>
      <c r="J274" s="69" t="str">
        <f>_xlfn.IFNA(VLOOKUP($E274,Master!$J:$M,3,0),"")</f>
        <v/>
      </c>
      <c r="AC274" s="14">
        <f t="shared" si="10"/>
        <v>0</v>
      </c>
      <c r="AD274" s="14">
        <f t="shared" si="11"/>
        <v>0</v>
      </c>
    </row>
    <row r="275" spans="2:30" ht="15" customHeight="1" x14ac:dyDescent="0.4">
      <c r="B275" s="69" t="str">
        <f>_xlfn.IFNA(VLOOKUP(C275,Master!$J:$K,2,0),"")</f>
        <v/>
      </c>
      <c r="D275" s="71" t="str">
        <f>_xlfn.IFNA(VLOOKUP(E275,Master!$J:$K,2,0),"")</f>
        <v/>
      </c>
      <c r="F275" s="71" t="str">
        <f>_xlfn.IFNA(VLOOKUP(G275,Master!B:C,2,0),"")</f>
        <v/>
      </c>
      <c r="I275" s="69" t="str">
        <f>_xlfn.IFNA(VLOOKUP(E275,Master!$J:$M,4,0),"")</f>
        <v/>
      </c>
      <c r="J275" s="69" t="str">
        <f>_xlfn.IFNA(VLOOKUP($E275,Master!$J:$M,3,0),"")</f>
        <v/>
      </c>
      <c r="AC275" s="14">
        <f t="shared" si="10"/>
        <v>0</v>
      </c>
      <c r="AD275" s="14">
        <f t="shared" si="11"/>
        <v>0</v>
      </c>
    </row>
    <row r="276" spans="2:30" ht="15" customHeight="1" x14ac:dyDescent="0.4">
      <c r="B276" s="69" t="str">
        <f>_xlfn.IFNA(VLOOKUP(C276,Master!$J:$K,2,0),"")</f>
        <v/>
      </c>
      <c r="D276" s="71" t="str">
        <f>_xlfn.IFNA(VLOOKUP(E276,Master!$J:$K,2,0),"")</f>
        <v/>
      </c>
      <c r="F276" s="71" t="str">
        <f>_xlfn.IFNA(VLOOKUP(G276,Master!B:C,2,0),"")</f>
        <v/>
      </c>
      <c r="I276" s="69" t="str">
        <f>_xlfn.IFNA(VLOOKUP(E276,Master!$J:$M,4,0),"")</f>
        <v/>
      </c>
      <c r="J276" s="69" t="str">
        <f>_xlfn.IFNA(VLOOKUP($E276,Master!$J:$M,3,0),"")</f>
        <v/>
      </c>
      <c r="AC276" s="14">
        <f t="shared" si="10"/>
        <v>0</v>
      </c>
      <c r="AD276" s="14">
        <f t="shared" si="11"/>
        <v>0</v>
      </c>
    </row>
    <row r="277" spans="2:30" ht="15" customHeight="1" x14ac:dyDescent="0.4">
      <c r="B277" s="69" t="str">
        <f>_xlfn.IFNA(VLOOKUP(C277,Master!$J:$K,2,0),"")</f>
        <v/>
      </c>
      <c r="D277" s="71" t="str">
        <f>_xlfn.IFNA(VLOOKUP(E277,Master!$J:$K,2,0),"")</f>
        <v/>
      </c>
      <c r="F277" s="71" t="str">
        <f>_xlfn.IFNA(VLOOKUP(G277,Master!B:C,2,0),"")</f>
        <v/>
      </c>
      <c r="I277" s="69" t="str">
        <f>_xlfn.IFNA(VLOOKUP(E277,Master!$J:$M,4,0),"")</f>
        <v/>
      </c>
      <c r="J277" s="69" t="str">
        <f>_xlfn.IFNA(VLOOKUP($E277,Master!$J:$M,3,0),"")</f>
        <v/>
      </c>
      <c r="AC277" s="14">
        <f t="shared" si="10"/>
        <v>0</v>
      </c>
      <c r="AD277" s="14">
        <f t="shared" si="11"/>
        <v>0</v>
      </c>
    </row>
    <row r="278" spans="2:30" ht="15" customHeight="1" x14ac:dyDescent="0.4">
      <c r="B278" s="69" t="str">
        <f>_xlfn.IFNA(VLOOKUP(C278,Master!$J:$K,2,0),"")</f>
        <v/>
      </c>
      <c r="D278" s="71" t="str">
        <f>_xlfn.IFNA(VLOOKUP(E278,Master!$J:$K,2,0),"")</f>
        <v/>
      </c>
      <c r="F278" s="71" t="str">
        <f>_xlfn.IFNA(VLOOKUP(G278,Master!B:C,2,0),"")</f>
        <v/>
      </c>
      <c r="I278" s="69" t="str">
        <f>_xlfn.IFNA(VLOOKUP(E278,Master!$J:$M,4,0),"")</f>
        <v/>
      </c>
      <c r="J278" s="69" t="str">
        <f>_xlfn.IFNA(VLOOKUP($E278,Master!$J:$M,3,0),"")</f>
        <v/>
      </c>
      <c r="AC278" s="14">
        <f t="shared" si="10"/>
        <v>0</v>
      </c>
      <c r="AD278" s="14">
        <f t="shared" si="11"/>
        <v>0</v>
      </c>
    </row>
    <row r="279" spans="2:30" ht="15" customHeight="1" x14ac:dyDescent="0.4">
      <c r="B279" s="69" t="str">
        <f>_xlfn.IFNA(VLOOKUP(C279,Master!$J:$K,2,0),"")</f>
        <v/>
      </c>
      <c r="D279" s="71" t="str">
        <f>_xlfn.IFNA(VLOOKUP(E279,Master!$J:$K,2,0),"")</f>
        <v/>
      </c>
      <c r="F279" s="71" t="str">
        <f>_xlfn.IFNA(VLOOKUP(G279,Master!B:C,2,0),"")</f>
        <v/>
      </c>
      <c r="I279" s="69" t="str">
        <f>_xlfn.IFNA(VLOOKUP(E279,Master!$J:$M,4,0),"")</f>
        <v/>
      </c>
      <c r="J279" s="69" t="str">
        <f>_xlfn.IFNA(VLOOKUP($E279,Master!$J:$M,3,0),"")</f>
        <v/>
      </c>
      <c r="AC279" s="14">
        <f t="shared" si="10"/>
        <v>0</v>
      </c>
      <c r="AD279" s="14">
        <f t="shared" si="11"/>
        <v>0</v>
      </c>
    </row>
    <row r="280" spans="2:30" ht="15" customHeight="1" x14ac:dyDescent="0.4">
      <c r="B280" s="69" t="str">
        <f>_xlfn.IFNA(VLOOKUP(C280,Master!$J:$K,2,0),"")</f>
        <v/>
      </c>
      <c r="D280" s="71" t="str">
        <f>_xlfn.IFNA(VLOOKUP(E280,Master!$J:$K,2,0),"")</f>
        <v/>
      </c>
      <c r="F280" s="71" t="str">
        <f>_xlfn.IFNA(VLOOKUP(G280,Master!B:C,2,0),"")</f>
        <v/>
      </c>
      <c r="I280" s="69" t="str">
        <f>_xlfn.IFNA(VLOOKUP(E280,Master!$J:$M,4,0),"")</f>
        <v/>
      </c>
      <c r="J280" s="69" t="str">
        <f>_xlfn.IFNA(VLOOKUP($E280,Master!$J:$M,3,0),"")</f>
        <v/>
      </c>
      <c r="AC280" s="14">
        <f t="shared" si="10"/>
        <v>0</v>
      </c>
      <c r="AD280" s="14">
        <f t="shared" si="11"/>
        <v>0</v>
      </c>
    </row>
    <row r="281" spans="2:30" ht="15" customHeight="1" x14ac:dyDescent="0.4">
      <c r="B281" s="69" t="str">
        <f>_xlfn.IFNA(VLOOKUP(C281,Master!$J:$K,2,0),"")</f>
        <v/>
      </c>
      <c r="D281" s="71" t="str">
        <f>_xlfn.IFNA(VLOOKUP(E281,Master!$J:$K,2,0),"")</f>
        <v/>
      </c>
      <c r="F281" s="71" t="str">
        <f>_xlfn.IFNA(VLOOKUP(G281,Master!B:C,2,0),"")</f>
        <v/>
      </c>
      <c r="I281" s="69" t="str">
        <f>_xlfn.IFNA(VLOOKUP(E281,Master!$J:$M,4,0),"")</f>
        <v/>
      </c>
      <c r="J281" s="69" t="str">
        <f>_xlfn.IFNA(VLOOKUP($E281,Master!$J:$M,3,0),"")</f>
        <v/>
      </c>
      <c r="AC281" s="14">
        <f t="shared" si="10"/>
        <v>0</v>
      </c>
      <c r="AD281" s="14">
        <f t="shared" si="11"/>
        <v>0</v>
      </c>
    </row>
    <row r="282" spans="2:30" ht="15" customHeight="1" x14ac:dyDescent="0.4">
      <c r="B282" s="69" t="str">
        <f>_xlfn.IFNA(VLOOKUP(C282,Master!$J:$K,2,0),"")</f>
        <v/>
      </c>
      <c r="D282" s="71" t="str">
        <f>_xlfn.IFNA(VLOOKUP(E282,Master!$J:$K,2,0),"")</f>
        <v/>
      </c>
      <c r="F282" s="71" t="str">
        <f>_xlfn.IFNA(VLOOKUP(G282,Master!B:C,2,0),"")</f>
        <v/>
      </c>
      <c r="I282" s="69" t="str">
        <f>_xlfn.IFNA(VLOOKUP(E282,Master!$J:$M,4,0),"")</f>
        <v/>
      </c>
      <c r="J282" s="69" t="str">
        <f>_xlfn.IFNA(VLOOKUP($E282,Master!$J:$M,3,0),"")</f>
        <v/>
      </c>
      <c r="AC282" s="14">
        <f t="shared" si="10"/>
        <v>0</v>
      </c>
      <c r="AD282" s="14">
        <f t="shared" si="11"/>
        <v>0</v>
      </c>
    </row>
    <row r="283" spans="2:30" ht="15" customHeight="1" x14ac:dyDescent="0.4">
      <c r="B283" s="69" t="str">
        <f>_xlfn.IFNA(VLOOKUP(C283,Master!$J:$K,2,0),"")</f>
        <v/>
      </c>
      <c r="D283" s="71" t="str">
        <f>_xlfn.IFNA(VLOOKUP(E283,Master!$J:$K,2,0),"")</f>
        <v/>
      </c>
      <c r="F283" s="71" t="str">
        <f>_xlfn.IFNA(VLOOKUP(G283,Master!B:C,2,0),"")</f>
        <v/>
      </c>
      <c r="I283" s="69" t="str">
        <f>_xlfn.IFNA(VLOOKUP(E283,Master!$J:$M,4,0),"")</f>
        <v/>
      </c>
      <c r="J283" s="69" t="str">
        <f>_xlfn.IFNA(VLOOKUP($E283,Master!$J:$M,3,0),"")</f>
        <v/>
      </c>
      <c r="AC283" s="14">
        <f t="shared" si="10"/>
        <v>0</v>
      </c>
      <c r="AD283" s="14">
        <f t="shared" si="11"/>
        <v>0</v>
      </c>
    </row>
    <row r="284" spans="2:30" ht="15" customHeight="1" x14ac:dyDescent="0.4">
      <c r="B284" s="69" t="str">
        <f>_xlfn.IFNA(VLOOKUP(C284,Master!$J:$K,2,0),"")</f>
        <v/>
      </c>
      <c r="D284" s="71" t="str">
        <f>_xlfn.IFNA(VLOOKUP(E284,Master!$J:$K,2,0),"")</f>
        <v/>
      </c>
      <c r="F284" s="71" t="str">
        <f>_xlfn.IFNA(VLOOKUP(G284,Master!B:C,2,0),"")</f>
        <v/>
      </c>
      <c r="I284" s="69" t="str">
        <f>_xlfn.IFNA(VLOOKUP(E284,Master!$J:$M,4,0),"")</f>
        <v/>
      </c>
      <c r="J284" s="69" t="str">
        <f>_xlfn.IFNA(VLOOKUP($E284,Master!$J:$M,3,0),"")</f>
        <v/>
      </c>
      <c r="AC284" s="14">
        <f t="shared" si="10"/>
        <v>0</v>
      </c>
      <c r="AD284" s="14">
        <f t="shared" si="11"/>
        <v>0</v>
      </c>
    </row>
    <row r="285" spans="2:30" ht="15" customHeight="1" x14ac:dyDescent="0.4">
      <c r="B285" s="69" t="str">
        <f>_xlfn.IFNA(VLOOKUP(C285,Master!$J:$K,2,0),"")</f>
        <v/>
      </c>
      <c r="D285" s="71" t="str">
        <f>_xlfn.IFNA(VLOOKUP(E285,Master!$J:$K,2,0),"")</f>
        <v/>
      </c>
      <c r="F285" s="71" t="str">
        <f>_xlfn.IFNA(VLOOKUP(G285,Master!B:C,2,0),"")</f>
        <v/>
      </c>
      <c r="I285" s="69" t="str">
        <f>_xlfn.IFNA(VLOOKUP(E285,Master!$J:$M,4,0),"")</f>
        <v/>
      </c>
      <c r="J285" s="69" t="str">
        <f>_xlfn.IFNA(VLOOKUP($E285,Master!$J:$M,3,0),"")</f>
        <v/>
      </c>
      <c r="AC285" s="14">
        <f t="shared" si="10"/>
        <v>0</v>
      </c>
      <c r="AD285" s="14">
        <f t="shared" si="11"/>
        <v>0</v>
      </c>
    </row>
    <row r="286" spans="2:30" ht="15" customHeight="1" x14ac:dyDescent="0.4">
      <c r="B286" s="69" t="str">
        <f>_xlfn.IFNA(VLOOKUP(C286,Master!$J:$K,2,0),"")</f>
        <v/>
      </c>
      <c r="D286" s="71" t="str">
        <f>_xlfn.IFNA(VLOOKUP(E286,Master!$J:$K,2,0),"")</f>
        <v/>
      </c>
      <c r="F286" s="71" t="str">
        <f>_xlfn.IFNA(VLOOKUP(G286,Master!B:C,2,0),"")</f>
        <v/>
      </c>
      <c r="I286" s="69" t="str">
        <f>_xlfn.IFNA(VLOOKUP(E286,Master!$J:$M,4,0),"")</f>
        <v/>
      </c>
      <c r="J286" s="69" t="str">
        <f>_xlfn.IFNA(VLOOKUP($E286,Master!$J:$M,3,0),"")</f>
        <v/>
      </c>
      <c r="AC286" s="14">
        <f t="shared" si="10"/>
        <v>0</v>
      </c>
      <c r="AD286" s="14">
        <f t="shared" si="11"/>
        <v>0</v>
      </c>
    </row>
    <row r="287" spans="2:30" ht="15" customHeight="1" x14ac:dyDescent="0.4">
      <c r="B287" s="69" t="str">
        <f>_xlfn.IFNA(VLOOKUP(C287,Master!$J:$K,2,0),"")</f>
        <v/>
      </c>
      <c r="D287" s="71" t="str">
        <f>_xlfn.IFNA(VLOOKUP(E287,Master!$J:$K,2,0),"")</f>
        <v/>
      </c>
      <c r="F287" s="71" t="str">
        <f>_xlfn.IFNA(VLOOKUP(G287,Master!B:C,2,0),"")</f>
        <v/>
      </c>
      <c r="I287" s="69" t="str">
        <f>_xlfn.IFNA(VLOOKUP(E287,Master!$J:$M,4,0),"")</f>
        <v/>
      </c>
      <c r="J287" s="69" t="str">
        <f>_xlfn.IFNA(VLOOKUP($E287,Master!$J:$M,3,0),"")</f>
        <v/>
      </c>
      <c r="AC287" s="14">
        <f t="shared" si="10"/>
        <v>0</v>
      </c>
      <c r="AD287" s="14">
        <f t="shared" si="11"/>
        <v>0</v>
      </c>
    </row>
    <row r="288" spans="2:30" ht="15" customHeight="1" x14ac:dyDescent="0.4">
      <c r="B288" s="69" t="str">
        <f>_xlfn.IFNA(VLOOKUP(C288,Master!$J:$K,2,0),"")</f>
        <v/>
      </c>
      <c r="D288" s="71" t="str">
        <f>_xlfn.IFNA(VLOOKUP(E288,Master!$J:$K,2,0),"")</f>
        <v/>
      </c>
      <c r="F288" s="71" t="str">
        <f>_xlfn.IFNA(VLOOKUP(G288,Master!B:C,2,0),"")</f>
        <v/>
      </c>
      <c r="I288" s="69" t="str">
        <f>_xlfn.IFNA(VLOOKUP(E288,Master!$J:$M,4,0),"")</f>
        <v/>
      </c>
      <c r="J288" s="69" t="str">
        <f>_xlfn.IFNA(VLOOKUP($E288,Master!$J:$M,3,0),"")</f>
        <v/>
      </c>
      <c r="AC288" s="14">
        <f t="shared" si="10"/>
        <v>0</v>
      </c>
      <c r="AD288" s="14">
        <f t="shared" si="11"/>
        <v>0</v>
      </c>
    </row>
    <row r="289" spans="2:30" ht="15" customHeight="1" x14ac:dyDescent="0.4">
      <c r="B289" s="69" t="str">
        <f>_xlfn.IFNA(VLOOKUP(C289,Master!$J:$K,2,0),"")</f>
        <v/>
      </c>
      <c r="D289" s="71" t="str">
        <f>_xlfn.IFNA(VLOOKUP(E289,Master!$J:$K,2,0),"")</f>
        <v/>
      </c>
      <c r="F289" s="71" t="str">
        <f>_xlfn.IFNA(VLOOKUP(G289,Master!B:C,2,0),"")</f>
        <v/>
      </c>
      <c r="I289" s="69" t="str">
        <f>_xlfn.IFNA(VLOOKUP(E289,Master!$J:$M,4,0),"")</f>
        <v/>
      </c>
      <c r="J289" s="69" t="str">
        <f>_xlfn.IFNA(VLOOKUP($E289,Master!$J:$M,3,0),"")</f>
        <v/>
      </c>
      <c r="AC289" s="14">
        <f t="shared" si="10"/>
        <v>0</v>
      </c>
      <c r="AD289" s="14">
        <f t="shared" si="11"/>
        <v>0</v>
      </c>
    </row>
    <row r="290" spans="2:30" ht="15" customHeight="1" x14ac:dyDescent="0.4">
      <c r="B290" s="69" t="str">
        <f>_xlfn.IFNA(VLOOKUP(C290,Master!$J:$K,2,0),"")</f>
        <v/>
      </c>
      <c r="D290" s="71" t="str">
        <f>_xlfn.IFNA(VLOOKUP(E290,Master!$J:$K,2,0),"")</f>
        <v/>
      </c>
      <c r="F290" s="71" t="str">
        <f>_xlfn.IFNA(VLOOKUP(G290,Master!B:C,2,0),"")</f>
        <v/>
      </c>
      <c r="I290" s="69" t="str">
        <f>_xlfn.IFNA(VLOOKUP(E290,Master!$J:$M,4,0),"")</f>
        <v/>
      </c>
      <c r="J290" s="69" t="str">
        <f>_xlfn.IFNA(VLOOKUP($E290,Master!$J:$M,3,0),"")</f>
        <v/>
      </c>
      <c r="AC290" s="14">
        <f t="shared" si="10"/>
        <v>0</v>
      </c>
      <c r="AD290" s="14">
        <f t="shared" si="11"/>
        <v>0</v>
      </c>
    </row>
    <row r="291" spans="2:30" ht="15" customHeight="1" x14ac:dyDescent="0.4">
      <c r="B291" s="69" t="str">
        <f>_xlfn.IFNA(VLOOKUP(C291,Master!$J:$K,2,0),"")</f>
        <v/>
      </c>
      <c r="D291" s="71" t="str">
        <f>_xlfn.IFNA(VLOOKUP(E291,Master!$J:$K,2,0),"")</f>
        <v/>
      </c>
      <c r="F291" s="71" t="str">
        <f>_xlfn.IFNA(VLOOKUP(G291,Master!B:C,2,0),"")</f>
        <v/>
      </c>
      <c r="I291" s="69" t="str">
        <f>_xlfn.IFNA(VLOOKUP(E291,Master!$J:$M,4,0),"")</f>
        <v/>
      </c>
      <c r="J291" s="69" t="str">
        <f>_xlfn.IFNA(VLOOKUP($E291,Master!$J:$M,3,0),"")</f>
        <v/>
      </c>
      <c r="AC291" s="14">
        <f t="shared" si="10"/>
        <v>0</v>
      </c>
      <c r="AD291" s="14">
        <f t="shared" si="11"/>
        <v>0</v>
      </c>
    </row>
    <row r="292" spans="2:30" ht="15" customHeight="1" x14ac:dyDescent="0.4">
      <c r="B292" s="69" t="str">
        <f>_xlfn.IFNA(VLOOKUP(C292,Master!$J:$K,2,0),"")</f>
        <v/>
      </c>
      <c r="D292" s="71" t="str">
        <f>_xlfn.IFNA(VLOOKUP(E292,Master!$J:$K,2,0),"")</f>
        <v/>
      </c>
      <c r="F292" s="71" t="str">
        <f>_xlfn.IFNA(VLOOKUP(G292,Master!B:C,2,0),"")</f>
        <v/>
      </c>
      <c r="I292" s="69" t="str">
        <f>_xlfn.IFNA(VLOOKUP(E292,Master!$J:$M,4,0),"")</f>
        <v/>
      </c>
      <c r="J292" s="69" t="str">
        <f>_xlfn.IFNA(VLOOKUP($E292,Master!$J:$M,3,0),"")</f>
        <v/>
      </c>
      <c r="AC292" s="14">
        <f t="shared" si="10"/>
        <v>0</v>
      </c>
      <c r="AD292" s="14">
        <f t="shared" si="11"/>
        <v>0</v>
      </c>
    </row>
    <row r="293" spans="2:30" ht="15" customHeight="1" x14ac:dyDescent="0.4">
      <c r="B293" s="69" t="str">
        <f>_xlfn.IFNA(VLOOKUP(C293,Master!$J:$K,2,0),"")</f>
        <v/>
      </c>
      <c r="D293" s="71" t="str">
        <f>_xlfn.IFNA(VLOOKUP(E293,Master!$J:$K,2,0),"")</f>
        <v/>
      </c>
      <c r="F293" s="71" t="str">
        <f>_xlfn.IFNA(VLOOKUP(G293,Master!B:C,2,0),"")</f>
        <v/>
      </c>
      <c r="I293" s="69" t="str">
        <f>_xlfn.IFNA(VLOOKUP(E293,Master!$J:$M,4,0),"")</f>
        <v/>
      </c>
      <c r="J293" s="69" t="str">
        <f>_xlfn.IFNA(VLOOKUP($E293,Master!$J:$M,3,0),"")</f>
        <v/>
      </c>
      <c r="AC293" s="14">
        <f t="shared" si="10"/>
        <v>0</v>
      </c>
      <c r="AD293" s="14">
        <f t="shared" si="11"/>
        <v>0</v>
      </c>
    </row>
    <row r="294" spans="2:30" ht="15" customHeight="1" x14ac:dyDescent="0.4">
      <c r="B294" s="69" t="str">
        <f>_xlfn.IFNA(VLOOKUP(C294,Master!$J:$K,2,0),"")</f>
        <v/>
      </c>
      <c r="D294" s="71" t="str">
        <f>_xlfn.IFNA(VLOOKUP(E294,Master!$J:$K,2,0),"")</f>
        <v/>
      </c>
      <c r="F294" s="71" t="str">
        <f>_xlfn.IFNA(VLOOKUP(G294,Master!B:C,2,0),"")</f>
        <v/>
      </c>
      <c r="I294" s="69" t="str">
        <f>_xlfn.IFNA(VLOOKUP(E294,Master!$J:$M,4,0),"")</f>
        <v/>
      </c>
      <c r="J294" s="69" t="str">
        <f>_xlfn.IFNA(VLOOKUP($E294,Master!$J:$M,3,0),"")</f>
        <v/>
      </c>
      <c r="AC294" s="14">
        <f t="shared" si="10"/>
        <v>0</v>
      </c>
      <c r="AD294" s="14">
        <f t="shared" si="11"/>
        <v>0</v>
      </c>
    </row>
    <row r="295" spans="2:30" ht="15" customHeight="1" x14ac:dyDescent="0.4">
      <c r="B295" s="69" t="str">
        <f>_xlfn.IFNA(VLOOKUP(C295,Master!$J:$K,2,0),"")</f>
        <v/>
      </c>
      <c r="D295" s="71" t="str">
        <f>_xlfn.IFNA(VLOOKUP(E295,Master!$J:$K,2,0),"")</f>
        <v/>
      </c>
      <c r="F295" s="71" t="str">
        <f>_xlfn.IFNA(VLOOKUP(G295,Master!B:C,2,0),"")</f>
        <v/>
      </c>
      <c r="I295" s="69" t="str">
        <f>_xlfn.IFNA(VLOOKUP(E295,Master!$J:$M,4,0),"")</f>
        <v/>
      </c>
      <c r="J295" s="69" t="str">
        <f>_xlfn.IFNA(VLOOKUP($E295,Master!$J:$M,3,0),"")</f>
        <v/>
      </c>
      <c r="AC295" s="14">
        <f t="shared" si="10"/>
        <v>0</v>
      </c>
      <c r="AD295" s="14">
        <f t="shared" si="11"/>
        <v>0</v>
      </c>
    </row>
    <row r="296" spans="2:30" ht="15" customHeight="1" x14ac:dyDescent="0.4">
      <c r="B296" s="69" t="str">
        <f>_xlfn.IFNA(VLOOKUP(C296,Master!$J:$K,2,0),"")</f>
        <v/>
      </c>
      <c r="D296" s="71" t="str">
        <f>_xlfn.IFNA(VLOOKUP(E296,Master!$J:$K,2,0),"")</f>
        <v/>
      </c>
      <c r="F296" s="71" t="str">
        <f>_xlfn.IFNA(VLOOKUP(G296,Master!B:C,2,0),"")</f>
        <v/>
      </c>
      <c r="I296" s="69" t="str">
        <f>_xlfn.IFNA(VLOOKUP(E296,Master!$J:$M,4,0),"")</f>
        <v/>
      </c>
      <c r="J296" s="69" t="str">
        <f>_xlfn.IFNA(VLOOKUP($E296,Master!$J:$M,3,0),"")</f>
        <v/>
      </c>
      <c r="AC296" s="14">
        <f t="shared" si="10"/>
        <v>0</v>
      </c>
      <c r="AD296" s="14">
        <f t="shared" si="11"/>
        <v>0</v>
      </c>
    </row>
    <row r="297" spans="2:30" ht="15" customHeight="1" x14ac:dyDescent="0.4">
      <c r="B297" s="69" t="str">
        <f>_xlfn.IFNA(VLOOKUP(C297,Master!$J:$K,2,0),"")</f>
        <v/>
      </c>
      <c r="D297" s="71" t="str">
        <f>_xlfn.IFNA(VLOOKUP(E297,Master!$J:$K,2,0),"")</f>
        <v/>
      </c>
      <c r="F297" s="71" t="str">
        <f>_xlfn.IFNA(VLOOKUP(G297,Master!B:C,2,0),"")</f>
        <v/>
      </c>
      <c r="I297" s="69" t="str">
        <f>_xlfn.IFNA(VLOOKUP(E297,Master!$J:$M,4,0),"")</f>
        <v/>
      </c>
      <c r="J297" s="69" t="str">
        <f>_xlfn.IFNA(VLOOKUP($E297,Master!$J:$M,3,0),"")</f>
        <v/>
      </c>
      <c r="AC297" s="14">
        <f t="shared" si="10"/>
        <v>0</v>
      </c>
      <c r="AD297" s="14">
        <f t="shared" si="11"/>
        <v>0</v>
      </c>
    </row>
    <row r="298" spans="2:30" ht="15" customHeight="1" x14ac:dyDescent="0.4">
      <c r="B298" s="69" t="str">
        <f>_xlfn.IFNA(VLOOKUP(C298,Master!$J:$K,2,0),"")</f>
        <v/>
      </c>
      <c r="D298" s="71" t="str">
        <f>_xlfn.IFNA(VLOOKUP(E298,Master!$J:$K,2,0),"")</f>
        <v/>
      </c>
      <c r="F298" s="71" t="str">
        <f>_xlfn.IFNA(VLOOKUP(G298,Master!B:C,2,0),"")</f>
        <v/>
      </c>
      <c r="I298" s="69" t="str">
        <f>_xlfn.IFNA(VLOOKUP(E298,Master!$J:$M,4,0),"")</f>
        <v/>
      </c>
      <c r="J298" s="69" t="str">
        <f>_xlfn.IFNA(VLOOKUP($E298,Master!$J:$M,3,0),"")</f>
        <v/>
      </c>
      <c r="AC298" s="14">
        <f t="shared" si="10"/>
        <v>0</v>
      </c>
      <c r="AD298" s="14">
        <f t="shared" si="11"/>
        <v>0</v>
      </c>
    </row>
    <row r="299" spans="2:30" ht="15" customHeight="1" x14ac:dyDescent="0.4">
      <c r="B299" s="69" t="str">
        <f>_xlfn.IFNA(VLOOKUP(C299,Master!$J:$K,2,0),"")</f>
        <v/>
      </c>
      <c r="D299" s="71" t="str">
        <f>_xlfn.IFNA(VLOOKUP(E299,Master!$J:$K,2,0),"")</f>
        <v/>
      </c>
      <c r="F299" s="71" t="str">
        <f>_xlfn.IFNA(VLOOKUP(G299,Master!B:C,2,0),"")</f>
        <v/>
      </c>
      <c r="I299" s="69" t="str">
        <f>_xlfn.IFNA(VLOOKUP(E299,Master!$J:$M,4,0),"")</f>
        <v/>
      </c>
      <c r="J299" s="69" t="str">
        <f>_xlfn.IFNA(VLOOKUP($E299,Master!$J:$M,3,0),"")</f>
        <v/>
      </c>
      <c r="AC299" s="14">
        <f t="shared" si="10"/>
        <v>0</v>
      </c>
      <c r="AD299" s="14">
        <f t="shared" si="11"/>
        <v>0</v>
      </c>
    </row>
    <row r="300" spans="2:30" ht="15" customHeight="1" x14ac:dyDescent="0.4">
      <c r="B300" s="69" t="str">
        <f>_xlfn.IFNA(VLOOKUP(C300,Master!$J:$K,2,0),"")</f>
        <v/>
      </c>
      <c r="D300" s="71" t="str">
        <f>_xlfn.IFNA(VLOOKUP(E300,Master!$J:$K,2,0),"")</f>
        <v/>
      </c>
      <c r="F300" s="71" t="str">
        <f>_xlfn.IFNA(VLOOKUP(G300,Master!B:C,2,0),"")</f>
        <v/>
      </c>
      <c r="I300" s="69" t="str">
        <f>_xlfn.IFNA(VLOOKUP(E300,Master!$J:$M,4,0),"")</f>
        <v/>
      </c>
      <c r="J300" s="69" t="str">
        <f>_xlfn.IFNA(VLOOKUP($E300,Master!$J:$M,3,0),"")</f>
        <v/>
      </c>
      <c r="AC300" s="14">
        <f t="shared" si="10"/>
        <v>0</v>
      </c>
      <c r="AD300" s="14">
        <f t="shared" si="11"/>
        <v>0</v>
      </c>
    </row>
    <row r="301" spans="2:30" ht="15" customHeight="1" x14ac:dyDescent="0.4">
      <c r="B301" s="69" t="str">
        <f>_xlfn.IFNA(VLOOKUP(C301,Master!$J:$K,2,0),"")</f>
        <v/>
      </c>
      <c r="D301" s="71" t="str">
        <f>_xlfn.IFNA(VLOOKUP(E301,Master!$J:$K,2,0),"")</f>
        <v/>
      </c>
      <c r="F301" s="71" t="str">
        <f>_xlfn.IFNA(VLOOKUP(G301,Master!B:C,2,0),"")</f>
        <v/>
      </c>
      <c r="I301" s="69" t="str">
        <f>_xlfn.IFNA(VLOOKUP(E301,Master!$J:$M,4,0),"")</f>
        <v/>
      </c>
      <c r="J301" s="69" t="str">
        <f>_xlfn.IFNA(VLOOKUP($E301,Master!$J:$M,3,0),"")</f>
        <v/>
      </c>
      <c r="AC301" s="14">
        <f t="shared" si="10"/>
        <v>0</v>
      </c>
      <c r="AD301" s="14">
        <f t="shared" si="11"/>
        <v>0</v>
      </c>
    </row>
    <row r="302" spans="2:30" ht="15" customHeight="1" x14ac:dyDescent="0.4">
      <c r="B302" s="69" t="str">
        <f>_xlfn.IFNA(VLOOKUP(C302,Master!$J:$K,2,0),"")</f>
        <v/>
      </c>
      <c r="D302" s="71" t="str">
        <f>_xlfn.IFNA(VLOOKUP(E302,Master!$J:$K,2,0),"")</f>
        <v/>
      </c>
      <c r="F302" s="71" t="str">
        <f>_xlfn.IFNA(VLOOKUP(G302,Master!B:C,2,0),"")</f>
        <v/>
      </c>
      <c r="I302" s="69" t="str">
        <f>_xlfn.IFNA(VLOOKUP(E302,Master!$J:$M,4,0),"")</f>
        <v/>
      </c>
      <c r="J302" s="69" t="str">
        <f>_xlfn.IFNA(VLOOKUP($E302,Master!$J:$M,3,0),"")</f>
        <v/>
      </c>
      <c r="AC302" s="14">
        <f t="shared" si="10"/>
        <v>0</v>
      </c>
      <c r="AD302" s="14">
        <f t="shared" si="11"/>
        <v>0</v>
      </c>
    </row>
    <row r="303" spans="2:30" ht="15" customHeight="1" x14ac:dyDescent="0.4">
      <c r="B303" s="69" t="str">
        <f>_xlfn.IFNA(VLOOKUP(C303,Master!$J:$K,2,0),"")</f>
        <v/>
      </c>
      <c r="D303" s="71" t="str">
        <f>_xlfn.IFNA(VLOOKUP(E303,Master!$J:$K,2,0),"")</f>
        <v/>
      </c>
      <c r="F303" s="71" t="str">
        <f>_xlfn.IFNA(VLOOKUP(G303,Master!B:C,2,0),"")</f>
        <v/>
      </c>
      <c r="I303" s="69" t="str">
        <f>_xlfn.IFNA(VLOOKUP(E303,Master!$J:$M,4,0),"")</f>
        <v/>
      </c>
      <c r="J303" s="69" t="str">
        <f>_xlfn.IFNA(VLOOKUP($E303,Master!$J:$M,3,0),"")</f>
        <v/>
      </c>
      <c r="AC303" s="14">
        <f t="shared" si="10"/>
        <v>0</v>
      </c>
      <c r="AD303" s="14">
        <f t="shared" si="11"/>
        <v>0</v>
      </c>
    </row>
    <row r="304" spans="2:30" ht="15" customHeight="1" x14ac:dyDescent="0.4">
      <c r="B304" s="69" t="str">
        <f>_xlfn.IFNA(VLOOKUP(C304,Master!$J:$K,2,0),"")</f>
        <v/>
      </c>
      <c r="D304" s="71" t="str">
        <f>_xlfn.IFNA(VLOOKUP(E304,Master!$J:$K,2,0),"")</f>
        <v/>
      </c>
      <c r="F304" s="71" t="str">
        <f>_xlfn.IFNA(VLOOKUP(G304,Master!B:C,2,0),"")</f>
        <v/>
      </c>
      <c r="I304" s="69" t="str">
        <f>_xlfn.IFNA(VLOOKUP(E304,Master!$J:$M,4,0),"")</f>
        <v/>
      </c>
      <c r="J304" s="69" t="str">
        <f>_xlfn.IFNA(VLOOKUP($E304,Master!$J:$M,3,0),"")</f>
        <v/>
      </c>
      <c r="AC304" s="14">
        <f t="shared" si="10"/>
        <v>0</v>
      </c>
      <c r="AD304" s="14">
        <f t="shared" si="11"/>
        <v>0</v>
      </c>
    </row>
    <row r="305" spans="2:30" ht="15" customHeight="1" x14ac:dyDescent="0.4">
      <c r="B305" s="69" t="str">
        <f>_xlfn.IFNA(VLOOKUP(C305,Master!$J:$K,2,0),"")</f>
        <v/>
      </c>
      <c r="D305" s="71" t="str">
        <f>_xlfn.IFNA(VLOOKUP(E305,Master!$J:$K,2,0),"")</f>
        <v/>
      </c>
      <c r="F305" s="71" t="str">
        <f>_xlfn.IFNA(VLOOKUP(G305,Master!B:C,2,0),"")</f>
        <v/>
      </c>
      <c r="I305" s="69" t="str">
        <f>_xlfn.IFNA(VLOOKUP(E305,Master!$J:$M,4,0),"")</f>
        <v/>
      </c>
      <c r="J305" s="69" t="str">
        <f>_xlfn.IFNA(VLOOKUP($E305,Master!$J:$M,3,0),"")</f>
        <v/>
      </c>
      <c r="AC305" s="14">
        <f t="shared" si="10"/>
        <v>0</v>
      </c>
      <c r="AD305" s="14">
        <f t="shared" si="11"/>
        <v>0</v>
      </c>
    </row>
    <row r="306" spans="2:30" ht="15" customHeight="1" x14ac:dyDescent="0.4">
      <c r="B306" s="69" t="str">
        <f>_xlfn.IFNA(VLOOKUP(C306,Master!$J:$K,2,0),"")</f>
        <v/>
      </c>
      <c r="D306" s="71" t="str">
        <f>_xlfn.IFNA(VLOOKUP(E306,Master!$J:$K,2,0),"")</f>
        <v/>
      </c>
      <c r="F306" s="71" t="str">
        <f>_xlfn.IFNA(VLOOKUP(G306,Master!B:C,2,0),"")</f>
        <v/>
      </c>
      <c r="I306" s="69" t="str">
        <f>_xlfn.IFNA(VLOOKUP(E306,Master!$J:$M,4,0),"")</f>
        <v/>
      </c>
      <c r="J306" s="69" t="str">
        <f>_xlfn.IFNA(VLOOKUP($E306,Master!$J:$M,3,0),"")</f>
        <v/>
      </c>
      <c r="AC306" s="14">
        <f t="shared" si="10"/>
        <v>0</v>
      </c>
      <c r="AD306" s="14">
        <f t="shared" si="11"/>
        <v>0</v>
      </c>
    </row>
    <row r="307" spans="2:30" ht="15" customHeight="1" x14ac:dyDescent="0.4">
      <c r="B307" s="69" t="str">
        <f>_xlfn.IFNA(VLOOKUP(C307,Master!$J:$K,2,0),"")</f>
        <v/>
      </c>
      <c r="D307" s="71" t="str">
        <f>_xlfn.IFNA(VLOOKUP(E307,Master!$J:$K,2,0),"")</f>
        <v/>
      </c>
      <c r="F307" s="71" t="str">
        <f>_xlfn.IFNA(VLOOKUP(G307,Master!B:C,2,0),"")</f>
        <v/>
      </c>
      <c r="I307" s="69" t="str">
        <f>_xlfn.IFNA(VLOOKUP(E307,Master!$J:$M,4,0),"")</f>
        <v/>
      </c>
      <c r="J307" s="69" t="str">
        <f>_xlfn.IFNA(VLOOKUP($E307,Master!$J:$M,3,0),"")</f>
        <v/>
      </c>
      <c r="AC307" s="14">
        <f t="shared" si="10"/>
        <v>0</v>
      </c>
      <c r="AD307" s="14">
        <f t="shared" si="11"/>
        <v>0</v>
      </c>
    </row>
    <row r="308" spans="2:30" ht="15" customHeight="1" x14ac:dyDescent="0.4">
      <c r="B308" s="69" t="str">
        <f>_xlfn.IFNA(VLOOKUP(C308,Master!$J:$K,2,0),"")</f>
        <v/>
      </c>
      <c r="D308" s="71" t="str">
        <f>_xlfn.IFNA(VLOOKUP(E308,Master!$J:$K,2,0),"")</f>
        <v/>
      </c>
      <c r="F308" s="71" t="str">
        <f>_xlfn.IFNA(VLOOKUP(G308,Master!B:C,2,0),"")</f>
        <v/>
      </c>
      <c r="I308" s="69" t="str">
        <f>_xlfn.IFNA(VLOOKUP(E308,Master!$J:$M,4,0),"")</f>
        <v/>
      </c>
      <c r="J308" s="69" t="str">
        <f>_xlfn.IFNA(VLOOKUP($E308,Master!$J:$M,3,0),"")</f>
        <v/>
      </c>
      <c r="AC308" s="14">
        <f t="shared" si="10"/>
        <v>0</v>
      </c>
      <c r="AD308" s="14">
        <f t="shared" si="11"/>
        <v>0</v>
      </c>
    </row>
    <row r="309" spans="2:30" ht="15" customHeight="1" x14ac:dyDescent="0.4">
      <c r="B309" s="69" t="str">
        <f>_xlfn.IFNA(VLOOKUP(C309,Master!$J:$K,2,0),"")</f>
        <v/>
      </c>
      <c r="D309" s="71" t="str">
        <f>_xlfn.IFNA(VLOOKUP(E309,Master!$J:$K,2,0),"")</f>
        <v/>
      </c>
      <c r="F309" s="71" t="str">
        <f>_xlfn.IFNA(VLOOKUP(G309,Master!B:C,2,0),"")</f>
        <v/>
      </c>
      <c r="I309" s="69" t="str">
        <f>_xlfn.IFNA(VLOOKUP(E309,Master!$J:$M,4,0),"")</f>
        <v/>
      </c>
      <c r="J309" s="69" t="str">
        <f>_xlfn.IFNA(VLOOKUP($E309,Master!$J:$M,3,0),"")</f>
        <v/>
      </c>
      <c r="AC309" s="14">
        <f t="shared" si="10"/>
        <v>0</v>
      </c>
      <c r="AD309" s="14">
        <f t="shared" si="11"/>
        <v>0</v>
      </c>
    </row>
    <row r="310" spans="2:30" ht="15" customHeight="1" x14ac:dyDescent="0.4">
      <c r="B310" s="69" t="str">
        <f>_xlfn.IFNA(VLOOKUP(C310,Master!$J:$K,2,0),"")</f>
        <v/>
      </c>
      <c r="D310" s="71" t="str">
        <f>_xlfn.IFNA(VLOOKUP(E310,Master!$J:$K,2,0),"")</f>
        <v/>
      </c>
      <c r="F310" s="71" t="str">
        <f>_xlfn.IFNA(VLOOKUP(G310,Master!B:C,2,0),"")</f>
        <v/>
      </c>
      <c r="I310" s="69" t="str">
        <f>_xlfn.IFNA(VLOOKUP(E310,Master!$J:$M,4,0),"")</f>
        <v/>
      </c>
      <c r="J310" s="69" t="str">
        <f>_xlfn.IFNA(VLOOKUP($E310,Master!$J:$M,3,0),"")</f>
        <v/>
      </c>
      <c r="AC310" s="14">
        <f t="shared" si="10"/>
        <v>0</v>
      </c>
      <c r="AD310" s="14">
        <f t="shared" si="11"/>
        <v>0</v>
      </c>
    </row>
    <row r="311" spans="2:30" ht="15" customHeight="1" x14ac:dyDescent="0.4">
      <c r="B311" s="69" t="str">
        <f>_xlfn.IFNA(VLOOKUP(C311,Master!$J:$K,2,0),"")</f>
        <v/>
      </c>
      <c r="D311" s="71" t="str">
        <f>_xlfn.IFNA(VLOOKUP(E311,Master!$J:$K,2,0),"")</f>
        <v/>
      </c>
      <c r="F311" s="71" t="str">
        <f>_xlfn.IFNA(VLOOKUP(G311,Master!B:C,2,0),"")</f>
        <v/>
      </c>
      <c r="I311" s="69" t="str">
        <f>_xlfn.IFNA(VLOOKUP(E311,Master!$J:$M,4,0),"")</f>
        <v/>
      </c>
      <c r="J311" s="69" t="str">
        <f>_xlfn.IFNA(VLOOKUP($E311,Master!$J:$M,3,0),"")</f>
        <v/>
      </c>
      <c r="AC311" s="14">
        <f t="shared" si="10"/>
        <v>0</v>
      </c>
      <c r="AD311" s="14">
        <f t="shared" si="11"/>
        <v>0</v>
      </c>
    </row>
    <row r="312" spans="2:30" ht="15" customHeight="1" x14ac:dyDescent="0.4">
      <c r="B312" s="69" t="str">
        <f>_xlfn.IFNA(VLOOKUP(C312,Master!$J:$K,2,0),"")</f>
        <v/>
      </c>
      <c r="D312" s="71" t="str">
        <f>_xlfn.IFNA(VLOOKUP(E312,Master!$J:$K,2,0),"")</f>
        <v/>
      </c>
      <c r="F312" s="71" t="str">
        <f>_xlfn.IFNA(VLOOKUP(G312,Master!B:C,2,0),"")</f>
        <v/>
      </c>
      <c r="I312" s="69" t="str">
        <f>_xlfn.IFNA(VLOOKUP(E312,Master!$J:$M,4,0),"")</f>
        <v/>
      </c>
      <c r="J312" s="69" t="str">
        <f>_xlfn.IFNA(VLOOKUP($E312,Master!$J:$M,3,0),"")</f>
        <v/>
      </c>
      <c r="AC312" s="14">
        <f t="shared" si="10"/>
        <v>0</v>
      </c>
      <c r="AD312" s="14">
        <f t="shared" si="11"/>
        <v>0</v>
      </c>
    </row>
    <row r="313" spans="2:30" ht="15" customHeight="1" x14ac:dyDescent="0.4">
      <c r="B313" s="69" t="str">
        <f>_xlfn.IFNA(VLOOKUP(C313,Master!$J:$K,2,0),"")</f>
        <v/>
      </c>
      <c r="D313" s="71" t="str">
        <f>_xlfn.IFNA(VLOOKUP(E313,Master!$J:$K,2,0),"")</f>
        <v/>
      </c>
      <c r="F313" s="71" t="str">
        <f>_xlfn.IFNA(VLOOKUP(G313,Master!B:C,2,0),"")</f>
        <v/>
      </c>
      <c r="I313" s="69" t="str">
        <f>_xlfn.IFNA(VLOOKUP(E313,Master!$J:$M,4,0),"")</f>
        <v/>
      </c>
      <c r="J313" s="69" t="str">
        <f>_xlfn.IFNA(VLOOKUP($E313,Master!$J:$M,3,0),"")</f>
        <v/>
      </c>
      <c r="AC313" s="14">
        <f t="shared" si="10"/>
        <v>0</v>
      </c>
      <c r="AD313" s="14">
        <f t="shared" si="11"/>
        <v>0</v>
      </c>
    </row>
    <row r="314" spans="2:30" ht="15" customHeight="1" x14ac:dyDescent="0.4">
      <c r="B314" s="69" t="str">
        <f>_xlfn.IFNA(VLOOKUP(C314,Master!$J:$K,2,0),"")</f>
        <v/>
      </c>
      <c r="D314" s="71" t="str">
        <f>_xlfn.IFNA(VLOOKUP(E314,Master!$J:$K,2,0),"")</f>
        <v/>
      </c>
      <c r="F314" s="71" t="str">
        <f>_xlfn.IFNA(VLOOKUP(G314,Master!B:C,2,0),"")</f>
        <v/>
      </c>
      <c r="I314" s="69" t="str">
        <f>_xlfn.IFNA(VLOOKUP(E314,Master!$J:$M,4,0),"")</f>
        <v/>
      </c>
      <c r="J314" s="69" t="str">
        <f>_xlfn.IFNA(VLOOKUP($E314,Master!$J:$M,3,0),"")</f>
        <v/>
      </c>
      <c r="AC314" s="14">
        <f t="shared" si="10"/>
        <v>0</v>
      </c>
      <c r="AD314" s="14">
        <f t="shared" si="11"/>
        <v>0</v>
      </c>
    </row>
    <row r="315" spans="2:30" ht="15" customHeight="1" x14ac:dyDescent="0.4">
      <c r="B315" s="69" t="str">
        <f>_xlfn.IFNA(VLOOKUP(C315,Master!$J:$K,2,0),"")</f>
        <v/>
      </c>
      <c r="D315" s="71" t="str">
        <f>_xlfn.IFNA(VLOOKUP(E315,Master!$J:$K,2,0),"")</f>
        <v/>
      </c>
      <c r="F315" s="71" t="str">
        <f>_xlfn.IFNA(VLOOKUP(G315,Master!B:C,2,0),"")</f>
        <v/>
      </c>
      <c r="I315" s="69" t="str">
        <f>_xlfn.IFNA(VLOOKUP(E315,Master!$J:$M,4,0),"")</f>
        <v/>
      </c>
      <c r="J315" s="69" t="str">
        <f>_xlfn.IFNA(VLOOKUP($E315,Master!$J:$M,3,0),"")</f>
        <v/>
      </c>
      <c r="AC315" s="14">
        <f t="shared" si="10"/>
        <v>0</v>
      </c>
      <c r="AD315" s="14">
        <f t="shared" si="11"/>
        <v>0</v>
      </c>
    </row>
    <row r="316" spans="2:30" ht="15" customHeight="1" x14ac:dyDescent="0.4">
      <c r="B316" s="69" t="str">
        <f>_xlfn.IFNA(VLOOKUP(C316,Master!$J:$K,2,0),"")</f>
        <v/>
      </c>
      <c r="D316" s="71" t="str">
        <f>_xlfn.IFNA(VLOOKUP(E316,Master!$J:$K,2,0),"")</f>
        <v/>
      </c>
      <c r="F316" s="71" t="str">
        <f>_xlfn.IFNA(VLOOKUP(G316,Master!B:C,2,0),"")</f>
        <v/>
      </c>
      <c r="I316" s="69" t="str">
        <f>_xlfn.IFNA(VLOOKUP(E316,Master!$J:$M,4,0),"")</f>
        <v/>
      </c>
      <c r="J316" s="69" t="str">
        <f>_xlfn.IFNA(VLOOKUP($E316,Master!$J:$M,3,0),"")</f>
        <v/>
      </c>
      <c r="AC316" s="14">
        <f t="shared" si="10"/>
        <v>0</v>
      </c>
      <c r="AD316" s="14">
        <f t="shared" si="11"/>
        <v>0</v>
      </c>
    </row>
    <row r="317" spans="2:30" ht="15" customHeight="1" x14ac:dyDescent="0.4">
      <c r="B317" s="69" t="str">
        <f>_xlfn.IFNA(VLOOKUP(C317,Master!$J:$K,2,0),"")</f>
        <v/>
      </c>
      <c r="D317" s="71" t="str">
        <f>_xlfn.IFNA(VLOOKUP(E317,Master!$J:$K,2,0),"")</f>
        <v/>
      </c>
      <c r="F317" s="71" t="str">
        <f>_xlfn.IFNA(VLOOKUP(G317,Master!B:C,2,0),"")</f>
        <v/>
      </c>
      <c r="I317" s="69" t="str">
        <f>_xlfn.IFNA(VLOOKUP(E317,Master!$J:$M,4,0),"")</f>
        <v/>
      </c>
      <c r="J317" s="69" t="str">
        <f>_xlfn.IFNA(VLOOKUP($E317,Master!$J:$M,3,0),"")</f>
        <v/>
      </c>
      <c r="AC317" s="14">
        <f t="shared" si="10"/>
        <v>0</v>
      </c>
      <c r="AD317" s="14">
        <f t="shared" si="11"/>
        <v>0</v>
      </c>
    </row>
    <row r="318" spans="2:30" ht="15" customHeight="1" x14ac:dyDescent="0.4">
      <c r="B318" s="69" t="str">
        <f>_xlfn.IFNA(VLOOKUP(C318,Master!$J:$K,2,0),"")</f>
        <v/>
      </c>
      <c r="D318" s="71" t="str">
        <f>_xlfn.IFNA(VLOOKUP(E318,Master!$J:$K,2,0),"")</f>
        <v/>
      </c>
      <c r="F318" s="71" t="str">
        <f>_xlfn.IFNA(VLOOKUP(G318,Master!B:C,2,0),"")</f>
        <v/>
      </c>
      <c r="I318" s="69" t="str">
        <f>_xlfn.IFNA(VLOOKUP(E318,Master!$J:$M,4,0),"")</f>
        <v/>
      </c>
      <c r="J318" s="69" t="str">
        <f>_xlfn.IFNA(VLOOKUP($E318,Master!$J:$M,3,0),"")</f>
        <v/>
      </c>
      <c r="AC318" s="14">
        <f t="shared" si="10"/>
        <v>0</v>
      </c>
      <c r="AD318" s="14">
        <f t="shared" si="11"/>
        <v>0</v>
      </c>
    </row>
    <row r="319" spans="2:30" ht="15" customHeight="1" x14ac:dyDescent="0.4">
      <c r="B319" s="69" t="str">
        <f>_xlfn.IFNA(VLOOKUP(C319,Master!$J:$K,2,0),"")</f>
        <v/>
      </c>
      <c r="D319" s="71" t="str">
        <f>_xlfn.IFNA(VLOOKUP(E319,Master!$J:$K,2,0),"")</f>
        <v/>
      </c>
      <c r="F319" s="71" t="str">
        <f>_xlfn.IFNA(VLOOKUP(G319,Master!B:C,2,0),"")</f>
        <v/>
      </c>
      <c r="I319" s="69" t="str">
        <f>_xlfn.IFNA(VLOOKUP(E319,Master!$J:$M,4,0),"")</f>
        <v/>
      </c>
      <c r="J319" s="69" t="str">
        <f>_xlfn.IFNA(VLOOKUP($E319,Master!$J:$M,3,0),"")</f>
        <v/>
      </c>
      <c r="AC319" s="14">
        <f t="shared" si="10"/>
        <v>0</v>
      </c>
      <c r="AD319" s="14">
        <f t="shared" si="11"/>
        <v>0</v>
      </c>
    </row>
    <row r="320" spans="2:30" ht="15" customHeight="1" x14ac:dyDescent="0.4">
      <c r="B320" s="69" t="str">
        <f>_xlfn.IFNA(VLOOKUP(C320,Master!$J:$K,2,0),"")</f>
        <v/>
      </c>
      <c r="D320" s="71" t="str">
        <f>_xlfn.IFNA(VLOOKUP(E320,Master!$J:$K,2,0),"")</f>
        <v/>
      </c>
      <c r="F320" s="71" t="str">
        <f>_xlfn.IFNA(VLOOKUP(G320,Master!B:C,2,0),"")</f>
        <v/>
      </c>
      <c r="I320" s="69" t="str">
        <f>_xlfn.IFNA(VLOOKUP(E320,Master!$J:$M,4,0),"")</f>
        <v/>
      </c>
      <c r="J320" s="69" t="str">
        <f>_xlfn.IFNA(VLOOKUP($E320,Master!$J:$M,3,0),"")</f>
        <v/>
      </c>
      <c r="AC320" s="14">
        <f t="shared" si="10"/>
        <v>0</v>
      </c>
      <c r="AD320" s="14">
        <f t="shared" si="11"/>
        <v>0</v>
      </c>
    </row>
    <row r="321" spans="2:30" ht="15" customHeight="1" x14ac:dyDescent="0.4">
      <c r="B321" s="69" t="str">
        <f>_xlfn.IFNA(VLOOKUP(C321,Master!$J:$K,2,0),"")</f>
        <v/>
      </c>
      <c r="D321" s="71" t="str">
        <f>_xlfn.IFNA(VLOOKUP(E321,Master!$J:$K,2,0),"")</f>
        <v/>
      </c>
      <c r="F321" s="71" t="str">
        <f>_xlfn.IFNA(VLOOKUP(G321,Master!B:C,2,0),"")</f>
        <v/>
      </c>
      <c r="I321" s="69" t="str">
        <f>_xlfn.IFNA(VLOOKUP(E321,Master!$J:$M,4,0),"")</f>
        <v/>
      </c>
      <c r="J321" s="69" t="str">
        <f>_xlfn.IFNA(VLOOKUP($E321,Master!$J:$M,3,0),"")</f>
        <v/>
      </c>
      <c r="AC321" s="14">
        <f t="shared" si="10"/>
        <v>0</v>
      </c>
      <c r="AD321" s="14">
        <f t="shared" si="11"/>
        <v>0</v>
      </c>
    </row>
    <row r="322" spans="2:30" ht="15" customHeight="1" x14ac:dyDescent="0.4">
      <c r="B322" s="69" t="str">
        <f>_xlfn.IFNA(VLOOKUP(C322,Master!$J:$K,2,0),"")</f>
        <v/>
      </c>
      <c r="D322" s="71" t="str">
        <f>_xlfn.IFNA(VLOOKUP(E322,Master!$J:$K,2,0),"")</f>
        <v/>
      </c>
      <c r="F322" s="71" t="str">
        <f>_xlfn.IFNA(VLOOKUP(G322,Master!B:C,2,0),"")</f>
        <v/>
      </c>
      <c r="I322" s="69" t="str">
        <f>_xlfn.IFNA(VLOOKUP(E322,Master!$J:$M,4,0),"")</f>
        <v/>
      </c>
      <c r="J322" s="69" t="str">
        <f>_xlfn.IFNA(VLOOKUP($E322,Master!$J:$M,3,0),"")</f>
        <v/>
      </c>
      <c r="AC322" s="14">
        <f t="shared" ref="AC322:AC385" si="12">SUM(K322:P322)</f>
        <v>0</v>
      </c>
      <c r="AD322" s="14">
        <f t="shared" ref="AD322:AD385" si="13">SUM(Q322:AB322)</f>
        <v>0</v>
      </c>
    </row>
    <row r="323" spans="2:30" ht="15" customHeight="1" x14ac:dyDescent="0.4">
      <c r="B323" s="69" t="str">
        <f>_xlfn.IFNA(VLOOKUP(C323,Master!$J:$K,2,0),"")</f>
        <v/>
      </c>
      <c r="D323" s="71" t="str">
        <f>_xlfn.IFNA(VLOOKUP(E323,Master!$J:$K,2,0),"")</f>
        <v/>
      </c>
      <c r="F323" s="71" t="str">
        <f>_xlfn.IFNA(VLOOKUP(G323,Master!B:C,2,0),"")</f>
        <v/>
      </c>
      <c r="I323" s="69" t="str">
        <f>_xlfn.IFNA(VLOOKUP(E323,Master!$J:$M,4,0),"")</f>
        <v/>
      </c>
      <c r="J323" s="69" t="str">
        <f>_xlfn.IFNA(VLOOKUP($E323,Master!$J:$M,3,0),"")</f>
        <v/>
      </c>
      <c r="AC323" s="14">
        <f t="shared" si="12"/>
        <v>0</v>
      </c>
      <c r="AD323" s="14">
        <f t="shared" si="13"/>
        <v>0</v>
      </c>
    </row>
    <row r="324" spans="2:30" ht="15" customHeight="1" x14ac:dyDescent="0.4">
      <c r="B324" s="69" t="str">
        <f>_xlfn.IFNA(VLOOKUP(C324,Master!$J:$K,2,0),"")</f>
        <v/>
      </c>
      <c r="D324" s="71" t="str">
        <f>_xlfn.IFNA(VLOOKUP(E324,Master!$J:$K,2,0),"")</f>
        <v/>
      </c>
      <c r="F324" s="71" t="str">
        <f>_xlfn.IFNA(VLOOKUP(G324,Master!B:C,2,0),"")</f>
        <v/>
      </c>
      <c r="I324" s="69" t="str">
        <f>_xlfn.IFNA(VLOOKUP(E324,Master!$J:$M,4,0),"")</f>
        <v/>
      </c>
      <c r="J324" s="69" t="str">
        <f>_xlfn.IFNA(VLOOKUP($E324,Master!$J:$M,3,0),"")</f>
        <v/>
      </c>
      <c r="AC324" s="14">
        <f t="shared" si="12"/>
        <v>0</v>
      </c>
      <c r="AD324" s="14">
        <f t="shared" si="13"/>
        <v>0</v>
      </c>
    </row>
    <row r="325" spans="2:30" ht="15" customHeight="1" x14ac:dyDescent="0.4">
      <c r="B325" s="69" t="str">
        <f>_xlfn.IFNA(VLOOKUP(C325,Master!$J:$K,2,0),"")</f>
        <v/>
      </c>
      <c r="D325" s="71" t="str">
        <f>_xlfn.IFNA(VLOOKUP(E325,Master!$J:$K,2,0),"")</f>
        <v/>
      </c>
      <c r="F325" s="71" t="str">
        <f>_xlfn.IFNA(VLOOKUP(G325,Master!B:C,2,0),"")</f>
        <v/>
      </c>
      <c r="I325" s="69" t="str">
        <f>_xlfn.IFNA(VLOOKUP(E325,Master!$J:$M,4,0),"")</f>
        <v/>
      </c>
      <c r="J325" s="69" t="str">
        <f>_xlfn.IFNA(VLOOKUP($E325,Master!$J:$M,3,0),"")</f>
        <v/>
      </c>
      <c r="AC325" s="14">
        <f t="shared" si="12"/>
        <v>0</v>
      </c>
      <c r="AD325" s="14">
        <f t="shared" si="13"/>
        <v>0</v>
      </c>
    </row>
    <row r="326" spans="2:30" ht="15" customHeight="1" x14ac:dyDescent="0.4">
      <c r="B326" s="69" t="str">
        <f>_xlfn.IFNA(VLOOKUP(C326,Master!$J:$K,2,0),"")</f>
        <v/>
      </c>
      <c r="D326" s="71" t="str">
        <f>_xlfn.IFNA(VLOOKUP(E326,Master!$J:$K,2,0),"")</f>
        <v/>
      </c>
      <c r="F326" s="71" t="str">
        <f>_xlfn.IFNA(VLOOKUP(G326,Master!B:C,2,0),"")</f>
        <v/>
      </c>
      <c r="I326" s="69" t="str">
        <f>_xlfn.IFNA(VLOOKUP(E326,Master!$J:$M,4,0),"")</f>
        <v/>
      </c>
      <c r="J326" s="69" t="str">
        <f>_xlfn.IFNA(VLOOKUP($E326,Master!$J:$M,3,0),"")</f>
        <v/>
      </c>
      <c r="AC326" s="14">
        <f t="shared" si="12"/>
        <v>0</v>
      </c>
      <c r="AD326" s="14">
        <f t="shared" si="13"/>
        <v>0</v>
      </c>
    </row>
    <row r="327" spans="2:30" ht="15" customHeight="1" x14ac:dyDescent="0.4">
      <c r="B327" s="69" t="str">
        <f>_xlfn.IFNA(VLOOKUP(C327,Master!$J:$K,2,0),"")</f>
        <v/>
      </c>
      <c r="D327" s="71" t="str">
        <f>_xlfn.IFNA(VLOOKUP(E327,Master!$J:$K,2,0),"")</f>
        <v/>
      </c>
      <c r="F327" s="71" t="str">
        <f>_xlfn.IFNA(VLOOKUP(G327,Master!B:C,2,0),"")</f>
        <v/>
      </c>
      <c r="I327" s="69" t="str">
        <f>_xlfn.IFNA(VLOOKUP(E327,Master!$J:$M,4,0),"")</f>
        <v/>
      </c>
      <c r="J327" s="69" t="str">
        <f>_xlfn.IFNA(VLOOKUP($E327,Master!$J:$M,3,0),"")</f>
        <v/>
      </c>
      <c r="AC327" s="14">
        <f t="shared" si="12"/>
        <v>0</v>
      </c>
      <c r="AD327" s="14">
        <f t="shared" si="13"/>
        <v>0</v>
      </c>
    </row>
    <row r="328" spans="2:30" ht="15" customHeight="1" x14ac:dyDescent="0.4">
      <c r="B328" s="69" t="str">
        <f>_xlfn.IFNA(VLOOKUP(C328,Master!$J:$K,2,0),"")</f>
        <v/>
      </c>
      <c r="D328" s="71" t="str">
        <f>_xlfn.IFNA(VLOOKUP(E328,Master!$J:$K,2,0),"")</f>
        <v/>
      </c>
      <c r="F328" s="71" t="str">
        <f>_xlfn.IFNA(VLOOKUP(G328,Master!B:C,2,0),"")</f>
        <v/>
      </c>
      <c r="I328" s="69" t="str">
        <f>_xlfn.IFNA(VLOOKUP(E328,Master!$J:$M,4,0),"")</f>
        <v/>
      </c>
      <c r="J328" s="69" t="str">
        <f>_xlfn.IFNA(VLOOKUP($E328,Master!$J:$M,3,0),"")</f>
        <v/>
      </c>
      <c r="AC328" s="14">
        <f t="shared" si="12"/>
        <v>0</v>
      </c>
      <c r="AD328" s="14">
        <f t="shared" si="13"/>
        <v>0</v>
      </c>
    </row>
    <row r="329" spans="2:30" ht="15" customHeight="1" x14ac:dyDescent="0.4">
      <c r="B329" s="69" t="str">
        <f>_xlfn.IFNA(VLOOKUP(C329,Master!$J:$K,2,0),"")</f>
        <v/>
      </c>
      <c r="D329" s="71" t="str">
        <f>_xlfn.IFNA(VLOOKUP(E329,Master!$J:$K,2,0),"")</f>
        <v/>
      </c>
      <c r="F329" s="71" t="str">
        <f>_xlfn.IFNA(VLOOKUP(G329,Master!B:C,2,0),"")</f>
        <v/>
      </c>
      <c r="I329" s="69" t="str">
        <f>_xlfn.IFNA(VLOOKUP(E329,Master!$J:$M,4,0),"")</f>
        <v/>
      </c>
      <c r="J329" s="69" t="str">
        <f>_xlfn.IFNA(VLOOKUP($E329,Master!$J:$M,3,0),"")</f>
        <v/>
      </c>
      <c r="AC329" s="14">
        <f t="shared" si="12"/>
        <v>0</v>
      </c>
      <c r="AD329" s="14">
        <f t="shared" si="13"/>
        <v>0</v>
      </c>
    </row>
    <row r="330" spans="2:30" ht="15" customHeight="1" x14ac:dyDescent="0.4">
      <c r="B330" s="69" t="str">
        <f>_xlfn.IFNA(VLOOKUP(C330,Master!$J:$K,2,0),"")</f>
        <v/>
      </c>
      <c r="D330" s="71" t="str">
        <f>_xlfn.IFNA(VLOOKUP(E330,Master!$J:$K,2,0),"")</f>
        <v/>
      </c>
      <c r="F330" s="71" t="str">
        <f>_xlfn.IFNA(VLOOKUP(G330,Master!B:C,2,0),"")</f>
        <v/>
      </c>
      <c r="I330" s="69" t="str">
        <f>_xlfn.IFNA(VLOOKUP(E330,Master!$J:$M,4,0),"")</f>
        <v/>
      </c>
      <c r="J330" s="69" t="str">
        <f>_xlfn.IFNA(VLOOKUP($E330,Master!$J:$M,3,0),"")</f>
        <v/>
      </c>
      <c r="AC330" s="14">
        <f t="shared" si="12"/>
        <v>0</v>
      </c>
      <c r="AD330" s="14">
        <f t="shared" si="13"/>
        <v>0</v>
      </c>
    </row>
    <row r="331" spans="2:30" ht="15" customHeight="1" x14ac:dyDescent="0.4">
      <c r="B331" s="69" t="str">
        <f>_xlfn.IFNA(VLOOKUP(C331,Master!$J:$K,2,0),"")</f>
        <v/>
      </c>
      <c r="D331" s="71" t="str">
        <f>_xlfn.IFNA(VLOOKUP(E331,Master!$J:$K,2,0),"")</f>
        <v/>
      </c>
      <c r="F331" s="71" t="str">
        <f>_xlfn.IFNA(VLOOKUP(G331,Master!B:C,2,0),"")</f>
        <v/>
      </c>
      <c r="I331" s="69" t="str">
        <f>_xlfn.IFNA(VLOOKUP(E331,Master!$J:$M,4,0),"")</f>
        <v/>
      </c>
      <c r="J331" s="69" t="str">
        <f>_xlfn.IFNA(VLOOKUP($E331,Master!$J:$M,3,0),"")</f>
        <v/>
      </c>
      <c r="AC331" s="14">
        <f t="shared" si="12"/>
        <v>0</v>
      </c>
      <c r="AD331" s="14">
        <f t="shared" si="13"/>
        <v>0</v>
      </c>
    </row>
    <row r="332" spans="2:30" ht="15" customHeight="1" x14ac:dyDescent="0.4">
      <c r="B332" s="69" t="str">
        <f>_xlfn.IFNA(VLOOKUP(C332,Master!$J:$K,2,0),"")</f>
        <v/>
      </c>
      <c r="D332" s="71" t="str">
        <f>_xlfn.IFNA(VLOOKUP(E332,Master!$J:$K,2,0),"")</f>
        <v/>
      </c>
      <c r="F332" s="71" t="str">
        <f>_xlfn.IFNA(VLOOKUP(G332,Master!B:C,2,0),"")</f>
        <v/>
      </c>
      <c r="I332" s="69" t="str">
        <f>_xlfn.IFNA(VLOOKUP(E332,Master!$J:$M,4,0),"")</f>
        <v/>
      </c>
      <c r="J332" s="69" t="str">
        <f>_xlfn.IFNA(VLOOKUP($E332,Master!$J:$M,3,0),"")</f>
        <v/>
      </c>
      <c r="AC332" s="14">
        <f t="shared" si="12"/>
        <v>0</v>
      </c>
      <c r="AD332" s="14">
        <f t="shared" si="13"/>
        <v>0</v>
      </c>
    </row>
    <row r="333" spans="2:30" ht="15" customHeight="1" x14ac:dyDescent="0.4">
      <c r="B333" s="69" t="str">
        <f>_xlfn.IFNA(VLOOKUP(C333,Master!$J:$K,2,0),"")</f>
        <v/>
      </c>
      <c r="D333" s="71" t="str">
        <f>_xlfn.IFNA(VLOOKUP(E333,Master!$J:$K,2,0),"")</f>
        <v/>
      </c>
      <c r="F333" s="71" t="str">
        <f>_xlfn.IFNA(VLOOKUP(G333,Master!B:C,2,0),"")</f>
        <v/>
      </c>
      <c r="I333" s="69" t="str">
        <f>_xlfn.IFNA(VLOOKUP(E333,Master!$J:$M,4,0),"")</f>
        <v/>
      </c>
      <c r="J333" s="69" t="str">
        <f>_xlfn.IFNA(VLOOKUP($E333,Master!$J:$M,3,0),"")</f>
        <v/>
      </c>
      <c r="AC333" s="14">
        <f t="shared" si="12"/>
        <v>0</v>
      </c>
      <c r="AD333" s="14">
        <f t="shared" si="13"/>
        <v>0</v>
      </c>
    </row>
    <row r="334" spans="2:30" ht="15" customHeight="1" x14ac:dyDescent="0.4">
      <c r="B334" s="69" t="str">
        <f>_xlfn.IFNA(VLOOKUP(C334,Master!$J:$K,2,0),"")</f>
        <v/>
      </c>
      <c r="D334" s="71" t="str">
        <f>_xlfn.IFNA(VLOOKUP(E334,Master!$J:$K,2,0),"")</f>
        <v/>
      </c>
      <c r="F334" s="71" t="str">
        <f>_xlfn.IFNA(VLOOKUP(G334,Master!B:C,2,0),"")</f>
        <v/>
      </c>
      <c r="I334" s="69" t="str">
        <f>_xlfn.IFNA(VLOOKUP(E334,Master!$J:$M,4,0),"")</f>
        <v/>
      </c>
      <c r="J334" s="69" t="str">
        <f>_xlfn.IFNA(VLOOKUP($E334,Master!$J:$M,3,0),"")</f>
        <v/>
      </c>
      <c r="AC334" s="14">
        <f t="shared" si="12"/>
        <v>0</v>
      </c>
      <c r="AD334" s="14">
        <f t="shared" si="13"/>
        <v>0</v>
      </c>
    </row>
    <row r="335" spans="2:30" ht="15" customHeight="1" x14ac:dyDescent="0.4">
      <c r="B335" s="69" t="str">
        <f>_xlfn.IFNA(VLOOKUP(C335,Master!$J:$K,2,0),"")</f>
        <v/>
      </c>
      <c r="D335" s="71" t="str">
        <f>_xlfn.IFNA(VLOOKUP(E335,Master!$J:$K,2,0),"")</f>
        <v/>
      </c>
      <c r="F335" s="71" t="str">
        <f>_xlfn.IFNA(VLOOKUP(G335,Master!B:C,2,0),"")</f>
        <v/>
      </c>
      <c r="I335" s="69" t="str">
        <f>_xlfn.IFNA(VLOOKUP(E335,Master!$J:$M,4,0),"")</f>
        <v/>
      </c>
      <c r="J335" s="69" t="str">
        <f>_xlfn.IFNA(VLOOKUP($E335,Master!$J:$M,3,0),"")</f>
        <v/>
      </c>
      <c r="AC335" s="14">
        <f t="shared" si="12"/>
        <v>0</v>
      </c>
      <c r="AD335" s="14">
        <f t="shared" si="13"/>
        <v>0</v>
      </c>
    </row>
    <row r="336" spans="2:30" ht="15" customHeight="1" x14ac:dyDescent="0.4">
      <c r="B336" s="69" t="str">
        <f>_xlfn.IFNA(VLOOKUP(C336,Master!$J:$K,2,0),"")</f>
        <v/>
      </c>
      <c r="D336" s="71" t="str">
        <f>_xlfn.IFNA(VLOOKUP(E336,Master!$J:$K,2,0),"")</f>
        <v/>
      </c>
      <c r="F336" s="71" t="str">
        <f>_xlfn.IFNA(VLOOKUP(G336,Master!B:C,2,0),"")</f>
        <v/>
      </c>
      <c r="I336" s="69" t="str">
        <f>_xlfn.IFNA(VLOOKUP(E336,Master!$J:$M,4,0),"")</f>
        <v/>
      </c>
      <c r="J336" s="69" t="str">
        <f>_xlfn.IFNA(VLOOKUP($E336,Master!$J:$M,3,0),"")</f>
        <v/>
      </c>
      <c r="AC336" s="14">
        <f t="shared" si="12"/>
        <v>0</v>
      </c>
      <c r="AD336" s="14">
        <f t="shared" si="13"/>
        <v>0</v>
      </c>
    </row>
    <row r="337" spans="2:30" ht="15" customHeight="1" x14ac:dyDescent="0.4">
      <c r="B337" s="69" t="str">
        <f>_xlfn.IFNA(VLOOKUP(C337,Master!$J:$K,2,0),"")</f>
        <v/>
      </c>
      <c r="D337" s="71" t="str">
        <f>_xlfn.IFNA(VLOOKUP(E337,Master!$J:$K,2,0),"")</f>
        <v/>
      </c>
      <c r="F337" s="71" t="str">
        <f>_xlfn.IFNA(VLOOKUP(G337,Master!B:C,2,0),"")</f>
        <v/>
      </c>
      <c r="I337" s="69" t="str">
        <f>_xlfn.IFNA(VLOOKUP(E337,Master!$J:$M,4,0),"")</f>
        <v/>
      </c>
      <c r="J337" s="69" t="str">
        <f>_xlfn.IFNA(VLOOKUP($E337,Master!$J:$M,3,0),"")</f>
        <v/>
      </c>
      <c r="AC337" s="14">
        <f t="shared" si="12"/>
        <v>0</v>
      </c>
      <c r="AD337" s="14">
        <f t="shared" si="13"/>
        <v>0</v>
      </c>
    </row>
    <row r="338" spans="2:30" ht="15" customHeight="1" x14ac:dyDescent="0.4">
      <c r="B338" s="69" t="str">
        <f>_xlfn.IFNA(VLOOKUP(C338,Master!$J:$K,2,0),"")</f>
        <v/>
      </c>
      <c r="D338" s="71" t="str">
        <f>_xlfn.IFNA(VLOOKUP(E338,Master!$J:$K,2,0),"")</f>
        <v/>
      </c>
      <c r="F338" s="71" t="str">
        <f>_xlfn.IFNA(VLOOKUP(G338,Master!B:C,2,0),"")</f>
        <v/>
      </c>
      <c r="I338" s="69" t="str">
        <f>_xlfn.IFNA(VLOOKUP(E338,Master!$J:$M,4,0),"")</f>
        <v/>
      </c>
      <c r="J338" s="69" t="str">
        <f>_xlfn.IFNA(VLOOKUP($E338,Master!$J:$M,3,0),"")</f>
        <v/>
      </c>
      <c r="AC338" s="14">
        <f t="shared" si="12"/>
        <v>0</v>
      </c>
      <c r="AD338" s="14">
        <f t="shared" si="13"/>
        <v>0</v>
      </c>
    </row>
    <row r="339" spans="2:30" ht="15" customHeight="1" x14ac:dyDescent="0.4">
      <c r="B339" s="69" t="str">
        <f>_xlfn.IFNA(VLOOKUP(C339,Master!$J:$K,2,0),"")</f>
        <v/>
      </c>
      <c r="D339" s="71" t="str">
        <f>_xlfn.IFNA(VLOOKUP(E339,Master!$J:$K,2,0),"")</f>
        <v/>
      </c>
      <c r="F339" s="71" t="str">
        <f>_xlfn.IFNA(VLOOKUP(G339,Master!B:C,2,0),"")</f>
        <v/>
      </c>
      <c r="I339" s="69" t="str">
        <f>_xlfn.IFNA(VLOOKUP(E339,Master!$J:$M,4,0),"")</f>
        <v/>
      </c>
      <c r="J339" s="69" t="str">
        <f>_xlfn.IFNA(VLOOKUP($E339,Master!$J:$M,3,0),"")</f>
        <v/>
      </c>
      <c r="AC339" s="14">
        <f t="shared" si="12"/>
        <v>0</v>
      </c>
      <c r="AD339" s="14">
        <f t="shared" si="13"/>
        <v>0</v>
      </c>
    </row>
    <row r="340" spans="2:30" ht="15" customHeight="1" x14ac:dyDescent="0.4">
      <c r="B340" s="69" t="str">
        <f>_xlfn.IFNA(VLOOKUP(C340,Master!$J:$K,2,0),"")</f>
        <v/>
      </c>
      <c r="D340" s="71" t="str">
        <f>_xlfn.IFNA(VLOOKUP(E340,Master!$J:$K,2,0),"")</f>
        <v/>
      </c>
      <c r="F340" s="71" t="str">
        <f>_xlfn.IFNA(VLOOKUP(G340,Master!B:C,2,0),"")</f>
        <v/>
      </c>
      <c r="I340" s="69" t="str">
        <f>_xlfn.IFNA(VLOOKUP(E340,Master!$J:$M,4,0),"")</f>
        <v/>
      </c>
      <c r="J340" s="69" t="str">
        <f>_xlfn.IFNA(VLOOKUP($E340,Master!$J:$M,3,0),"")</f>
        <v/>
      </c>
      <c r="AC340" s="14">
        <f t="shared" si="12"/>
        <v>0</v>
      </c>
      <c r="AD340" s="14">
        <f t="shared" si="13"/>
        <v>0</v>
      </c>
    </row>
    <row r="341" spans="2:30" ht="15" customHeight="1" x14ac:dyDescent="0.4">
      <c r="B341" s="69" t="str">
        <f>_xlfn.IFNA(VLOOKUP(C341,Master!$J:$K,2,0),"")</f>
        <v/>
      </c>
      <c r="D341" s="71" t="str">
        <f>_xlfn.IFNA(VLOOKUP(E341,Master!$J:$K,2,0),"")</f>
        <v/>
      </c>
      <c r="F341" s="71" t="str">
        <f>_xlfn.IFNA(VLOOKUP(G341,Master!B:C,2,0),"")</f>
        <v/>
      </c>
      <c r="I341" s="69" t="str">
        <f>_xlfn.IFNA(VLOOKUP(E341,Master!$J:$M,4,0),"")</f>
        <v/>
      </c>
      <c r="J341" s="69" t="str">
        <f>_xlfn.IFNA(VLOOKUP($E341,Master!$J:$M,3,0),"")</f>
        <v/>
      </c>
      <c r="AC341" s="14">
        <f t="shared" si="12"/>
        <v>0</v>
      </c>
      <c r="AD341" s="14">
        <f t="shared" si="13"/>
        <v>0</v>
      </c>
    </row>
    <row r="342" spans="2:30" ht="15" customHeight="1" x14ac:dyDescent="0.4">
      <c r="B342" s="69" t="str">
        <f>_xlfn.IFNA(VLOOKUP(C342,Master!$J:$K,2,0),"")</f>
        <v/>
      </c>
      <c r="D342" s="71" t="str">
        <f>_xlfn.IFNA(VLOOKUP(E342,Master!$J:$K,2,0),"")</f>
        <v/>
      </c>
      <c r="F342" s="71" t="str">
        <f>_xlfn.IFNA(VLOOKUP(G342,Master!B:C,2,0),"")</f>
        <v/>
      </c>
      <c r="I342" s="69" t="str">
        <f>_xlfn.IFNA(VLOOKUP(E342,Master!$J:$M,4,0),"")</f>
        <v/>
      </c>
      <c r="J342" s="69" t="str">
        <f>_xlfn.IFNA(VLOOKUP($E342,Master!$J:$M,3,0),"")</f>
        <v/>
      </c>
      <c r="AC342" s="14">
        <f t="shared" si="12"/>
        <v>0</v>
      </c>
      <c r="AD342" s="14">
        <f t="shared" si="13"/>
        <v>0</v>
      </c>
    </row>
    <row r="343" spans="2:30" ht="15" customHeight="1" x14ac:dyDescent="0.4">
      <c r="B343" s="69" t="str">
        <f>_xlfn.IFNA(VLOOKUP(C343,Master!$J:$K,2,0),"")</f>
        <v/>
      </c>
      <c r="D343" s="71" t="str">
        <f>_xlfn.IFNA(VLOOKUP(E343,Master!$J:$K,2,0),"")</f>
        <v/>
      </c>
      <c r="F343" s="71" t="str">
        <f>_xlfn.IFNA(VLOOKUP(G343,Master!B:C,2,0),"")</f>
        <v/>
      </c>
      <c r="I343" s="69" t="str">
        <f>_xlfn.IFNA(VLOOKUP(E343,Master!$J:$M,4,0),"")</f>
        <v/>
      </c>
      <c r="J343" s="69" t="str">
        <f>_xlfn.IFNA(VLOOKUP($E343,Master!$J:$M,3,0),"")</f>
        <v/>
      </c>
      <c r="AC343" s="14">
        <f t="shared" si="12"/>
        <v>0</v>
      </c>
      <c r="AD343" s="14">
        <f t="shared" si="13"/>
        <v>0</v>
      </c>
    </row>
    <row r="344" spans="2:30" ht="15" customHeight="1" x14ac:dyDescent="0.4">
      <c r="B344" s="69" t="str">
        <f>_xlfn.IFNA(VLOOKUP(C344,Master!$J:$K,2,0),"")</f>
        <v/>
      </c>
      <c r="D344" s="71" t="str">
        <f>_xlfn.IFNA(VLOOKUP(E344,Master!$J:$K,2,0),"")</f>
        <v/>
      </c>
      <c r="F344" s="71" t="str">
        <f>_xlfn.IFNA(VLOOKUP(G344,Master!B:C,2,0),"")</f>
        <v/>
      </c>
      <c r="I344" s="69" t="str">
        <f>_xlfn.IFNA(VLOOKUP(E344,Master!$J:$M,4,0),"")</f>
        <v/>
      </c>
      <c r="J344" s="69" t="str">
        <f>_xlfn.IFNA(VLOOKUP($E344,Master!$J:$M,3,0),"")</f>
        <v/>
      </c>
      <c r="AC344" s="14">
        <f t="shared" si="12"/>
        <v>0</v>
      </c>
      <c r="AD344" s="14">
        <f t="shared" si="13"/>
        <v>0</v>
      </c>
    </row>
    <row r="345" spans="2:30" ht="15" customHeight="1" x14ac:dyDescent="0.4">
      <c r="B345" s="69" t="str">
        <f>_xlfn.IFNA(VLOOKUP(C345,Master!$J:$K,2,0),"")</f>
        <v/>
      </c>
      <c r="D345" s="71" t="str">
        <f>_xlfn.IFNA(VLOOKUP(E345,Master!$J:$K,2,0),"")</f>
        <v/>
      </c>
      <c r="F345" s="71" t="str">
        <f>_xlfn.IFNA(VLOOKUP(G345,Master!B:C,2,0),"")</f>
        <v/>
      </c>
      <c r="I345" s="69" t="str">
        <f>_xlfn.IFNA(VLOOKUP(E345,Master!$J:$M,4,0),"")</f>
        <v/>
      </c>
      <c r="J345" s="69" t="str">
        <f>_xlfn.IFNA(VLOOKUP($E345,Master!$J:$M,3,0),"")</f>
        <v/>
      </c>
      <c r="AC345" s="14">
        <f t="shared" si="12"/>
        <v>0</v>
      </c>
      <c r="AD345" s="14">
        <f t="shared" si="13"/>
        <v>0</v>
      </c>
    </row>
    <row r="346" spans="2:30" ht="15" customHeight="1" x14ac:dyDescent="0.4">
      <c r="B346" s="69" t="str">
        <f>_xlfn.IFNA(VLOOKUP(C346,Master!$J:$K,2,0),"")</f>
        <v/>
      </c>
      <c r="D346" s="71" t="str">
        <f>_xlfn.IFNA(VLOOKUP(E346,Master!$J:$K,2,0),"")</f>
        <v/>
      </c>
      <c r="F346" s="71" t="str">
        <f>_xlfn.IFNA(VLOOKUP(G346,Master!B:C,2,0),"")</f>
        <v/>
      </c>
      <c r="I346" s="69" t="str">
        <f>_xlfn.IFNA(VLOOKUP(E346,Master!$J:$M,4,0),"")</f>
        <v/>
      </c>
      <c r="J346" s="69" t="str">
        <f>_xlfn.IFNA(VLOOKUP($E346,Master!$J:$M,3,0),"")</f>
        <v/>
      </c>
      <c r="AC346" s="14">
        <f t="shared" si="12"/>
        <v>0</v>
      </c>
      <c r="AD346" s="14">
        <f t="shared" si="13"/>
        <v>0</v>
      </c>
    </row>
    <row r="347" spans="2:30" ht="15" customHeight="1" x14ac:dyDescent="0.4">
      <c r="B347" s="69" t="str">
        <f>_xlfn.IFNA(VLOOKUP(C347,Master!$J:$K,2,0),"")</f>
        <v/>
      </c>
      <c r="D347" s="71" t="str">
        <f>_xlfn.IFNA(VLOOKUP(E347,Master!$J:$K,2,0),"")</f>
        <v/>
      </c>
      <c r="F347" s="71" t="str">
        <f>_xlfn.IFNA(VLOOKUP(G347,Master!B:C,2,0),"")</f>
        <v/>
      </c>
      <c r="I347" s="69" t="str">
        <f>_xlfn.IFNA(VLOOKUP(E347,Master!$J:$M,4,0),"")</f>
        <v/>
      </c>
      <c r="J347" s="69" t="str">
        <f>_xlfn.IFNA(VLOOKUP($E347,Master!$J:$M,3,0),"")</f>
        <v/>
      </c>
      <c r="AC347" s="14">
        <f t="shared" si="12"/>
        <v>0</v>
      </c>
      <c r="AD347" s="14">
        <f t="shared" si="13"/>
        <v>0</v>
      </c>
    </row>
    <row r="348" spans="2:30" ht="15" customHeight="1" x14ac:dyDescent="0.4">
      <c r="B348" s="69" t="str">
        <f>_xlfn.IFNA(VLOOKUP(C348,Master!$J:$K,2,0),"")</f>
        <v/>
      </c>
      <c r="D348" s="71" t="str">
        <f>_xlfn.IFNA(VLOOKUP(E348,Master!$J:$K,2,0),"")</f>
        <v/>
      </c>
      <c r="F348" s="71" t="str">
        <f>_xlfn.IFNA(VLOOKUP(G348,Master!B:C,2,0),"")</f>
        <v/>
      </c>
      <c r="I348" s="69" t="str">
        <f>_xlfn.IFNA(VLOOKUP(E348,Master!$J:$M,4,0),"")</f>
        <v/>
      </c>
      <c r="J348" s="69" t="str">
        <f>_xlfn.IFNA(VLOOKUP($E348,Master!$J:$M,3,0),"")</f>
        <v/>
      </c>
      <c r="AC348" s="14">
        <f t="shared" si="12"/>
        <v>0</v>
      </c>
      <c r="AD348" s="14">
        <f t="shared" si="13"/>
        <v>0</v>
      </c>
    </row>
    <row r="349" spans="2:30" ht="15" customHeight="1" x14ac:dyDescent="0.4">
      <c r="B349" s="69" t="str">
        <f>_xlfn.IFNA(VLOOKUP(C349,Master!$J:$K,2,0),"")</f>
        <v/>
      </c>
      <c r="D349" s="71" t="str">
        <f>_xlfn.IFNA(VLOOKUP(E349,Master!$J:$K,2,0),"")</f>
        <v/>
      </c>
      <c r="F349" s="71" t="str">
        <f>_xlfn.IFNA(VLOOKUP(G349,Master!B:C,2,0),"")</f>
        <v/>
      </c>
      <c r="I349" s="69" t="str">
        <f>_xlfn.IFNA(VLOOKUP(E349,Master!$J:$M,4,0),"")</f>
        <v/>
      </c>
      <c r="J349" s="69" t="str">
        <f>_xlfn.IFNA(VLOOKUP($E349,Master!$J:$M,3,0),"")</f>
        <v/>
      </c>
      <c r="AC349" s="14">
        <f t="shared" si="12"/>
        <v>0</v>
      </c>
      <c r="AD349" s="14">
        <f t="shared" si="13"/>
        <v>0</v>
      </c>
    </row>
    <row r="350" spans="2:30" ht="15" customHeight="1" x14ac:dyDescent="0.4">
      <c r="B350" s="69" t="str">
        <f>_xlfn.IFNA(VLOOKUP(C350,Master!$J:$K,2,0),"")</f>
        <v/>
      </c>
      <c r="D350" s="71" t="str">
        <f>_xlfn.IFNA(VLOOKUP(E350,Master!$J:$K,2,0),"")</f>
        <v/>
      </c>
      <c r="F350" s="71" t="str">
        <f>_xlfn.IFNA(VLOOKUP(G350,Master!B:C,2,0),"")</f>
        <v/>
      </c>
      <c r="I350" s="69" t="str">
        <f>_xlfn.IFNA(VLOOKUP(E350,Master!$J:$M,4,0),"")</f>
        <v/>
      </c>
      <c r="J350" s="69" t="str">
        <f>_xlfn.IFNA(VLOOKUP($E350,Master!$J:$M,3,0),"")</f>
        <v/>
      </c>
      <c r="AC350" s="14">
        <f t="shared" si="12"/>
        <v>0</v>
      </c>
      <c r="AD350" s="14">
        <f t="shared" si="13"/>
        <v>0</v>
      </c>
    </row>
    <row r="351" spans="2:30" ht="15" customHeight="1" x14ac:dyDescent="0.4">
      <c r="B351" s="69" t="str">
        <f>_xlfn.IFNA(VLOOKUP(C351,Master!$J:$K,2,0),"")</f>
        <v/>
      </c>
      <c r="D351" s="71" t="str">
        <f>_xlfn.IFNA(VLOOKUP(E351,Master!$J:$K,2,0),"")</f>
        <v/>
      </c>
      <c r="F351" s="71" t="str">
        <f>_xlfn.IFNA(VLOOKUP(G351,Master!B:C,2,0),"")</f>
        <v/>
      </c>
      <c r="I351" s="69" t="str">
        <f>_xlfn.IFNA(VLOOKUP(E351,Master!$J:$M,4,0),"")</f>
        <v/>
      </c>
      <c r="J351" s="69" t="str">
        <f>_xlfn.IFNA(VLOOKUP($E351,Master!$J:$M,3,0),"")</f>
        <v/>
      </c>
      <c r="AC351" s="14">
        <f t="shared" si="12"/>
        <v>0</v>
      </c>
      <c r="AD351" s="14">
        <f t="shared" si="13"/>
        <v>0</v>
      </c>
    </row>
    <row r="352" spans="2:30" ht="15" customHeight="1" x14ac:dyDescent="0.4">
      <c r="B352" s="69" t="str">
        <f>_xlfn.IFNA(VLOOKUP(C352,Master!$J:$K,2,0),"")</f>
        <v/>
      </c>
      <c r="D352" s="71" t="str">
        <f>_xlfn.IFNA(VLOOKUP(E352,Master!$J:$K,2,0),"")</f>
        <v/>
      </c>
      <c r="F352" s="71" t="str">
        <f>_xlfn.IFNA(VLOOKUP(G352,Master!B:C,2,0),"")</f>
        <v/>
      </c>
      <c r="I352" s="69" t="str">
        <f>_xlfn.IFNA(VLOOKUP(E352,Master!$J:$M,4,0),"")</f>
        <v/>
      </c>
      <c r="J352" s="69" t="str">
        <f>_xlfn.IFNA(VLOOKUP($E352,Master!$J:$M,3,0),"")</f>
        <v/>
      </c>
      <c r="AC352" s="14">
        <f t="shared" si="12"/>
        <v>0</v>
      </c>
      <c r="AD352" s="14">
        <f t="shared" si="13"/>
        <v>0</v>
      </c>
    </row>
    <row r="353" spans="2:30" ht="15" customHeight="1" x14ac:dyDescent="0.4">
      <c r="B353" s="69" t="str">
        <f>_xlfn.IFNA(VLOOKUP(C353,Master!$J:$K,2,0),"")</f>
        <v/>
      </c>
      <c r="D353" s="71" t="str">
        <f>_xlfn.IFNA(VLOOKUP(E353,Master!$J:$K,2,0),"")</f>
        <v/>
      </c>
      <c r="F353" s="71" t="str">
        <f>_xlfn.IFNA(VLOOKUP(G353,Master!B:C,2,0),"")</f>
        <v/>
      </c>
      <c r="I353" s="69" t="str">
        <f>_xlfn.IFNA(VLOOKUP(E353,Master!$J:$M,4,0),"")</f>
        <v/>
      </c>
      <c r="J353" s="69" t="str">
        <f>_xlfn.IFNA(VLOOKUP($E353,Master!$J:$M,3,0),"")</f>
        <v/>
      </c>
      <c r="AC353" s="14">
        <f t="shared" si="12"/>
        <v>0</v>
      </c>
      <c r="AD353" s="14">
        <f t="shared" si="13"/>
        <v>0</v>
      </c>
    </row>
    <row r="354" spans="2:30" ht="15" customHeight="1" x14ac:dyDescent="0.4">
      <c r="B354" s="69" t="str">
        <f>_xlfn.IFNA(VLOOKUP(C354,Master!$J:$K,2,0),"")</f>
        <v/>
      </c>
      <c r="D354" s="71" t="str">
        <f>_xlfn.IFNA(VLOOKUP(E354,Master!$J:$K,2,0),"")</f>
        <v/>
      </c>
      <c r="F354" s="71" t="str">
        <f>_xlfn.IFNA(VLOOKUP(G354,Master!B:C,2,0),"")</f>
        <v/>
      </c>
      <c r="I354" s="69" t="str">
        <f>_xlfn.IFNA(VLOOKUP(E354,Master!$J:$M,4,0),"")</f>
        <v/>
      </c>
      <c r="J354" s="69" t="str">
        <f>_xlfn.IFNA(VLOOKUP($E354,Master!$J:$M,3,0),"")</f>
        <v/>
      </c>
      <c r="AC354" s="14">
        <f t="shared" si="12"/>
        <v>0</v>
      </c>
      <c r="AD354" s="14">
        <f t="shared" si="13"/>
        <v>0</v>
      </c>
    </row>
    <row r="355" spans="2:30" ht="15" customHeight="1" x14ac:dyDescent="0.4">
      <c r="B355" s="69" t="str">
        <f>_xlfn.IFNA(VLOOKUP(C355,Master!$J:$K,2,0),"")</f>
        <v/>
      </c>
      <c r="D355" s="71" t="str">
        <f>_xlfn.IFNA(VLOOKUP(E355,Master!$J:$K,2,0),"")</f>
        <v/>
      </c>
      <c r="F355" s="71" t="str">
        <f>_xlfn.IFNA(VLOOKUP(G355,Master!B:C,2,0),"")</f>
        <v/>
      </c>
      <c r="I355" s="69" t="str">
        <f>_xlfn.IFNA(VLOOKUP(E355,Master!$J:$M,4,0),"")</f>
        <v/>
      </c>
      <c r="J355" s="69" t="str">
        <f>_xlfn.IFNA(VLOOKUP($E355,Master!$J:$M,3,0),"")</f>
        <v/>
      </c>
      <c r="AC355" s="14">
        <f t="shared" si="12"/>
        <v>0</v>
      </c>
      <c r="AD355" s="14">
        <f t="shared" si="13"/>
        <v>0</v>
      </c>
    </row>
    <row r="356" spans="2:30" ht="15" customHeight="1" x14ac:dyDescent="0.4">
      <c r="B356" s="69" t="str">
        <f>_xlfn.IFNA(VLOOKUP(C356,Master!$J:$K,2,0),"")</f>
        <v/>
      </c>
      <c r="D356" s="71" t="str">
        <f>_xlfn.IFNA(VLOOKUP(E356,Master!$J:$K,2,0),"")</f>
        <v/>
      </c>
      <c r="F356" s="71" t="str">
        <f>_xlfn.IFNA(VLOOKUP(G356,Master!B:C,2,0),"")</f>
        <v/>
      </c>
      <c r="I356" s="69" t="str">
        <f>_xlfn.IFNA(VLOOKUP(E356,Master!$J:$M,4,0),"")</f>
        <v/>
      </c>
      <c r="J356" s="69" t="str">
        <f>_xlfn.IFNA(VLOOKUP($E356,Master!$J:$M,3,0),"")</f>
        <v/>
      </c>
      <c r="AC356" s="14">
        <f t="shared" si="12"/>
        <v>0</v>
      </c>
      <c r="AD356" s="14">
        <f t="shared" si="13"/>
        <v>0</v>
      </c>
    </row>
    <row r="357" spans="2:30" ht="15" customHeight="1" x14ac:dyDescent="0.4">
      <c r="B357" s="69" t="str">
        <f>_xlfn.IFNA(VLOOKUP(C357,Master!$J:$K,2,0),"")</f>
        <v/>
      </c>
      <c r="D357" s="71" t="str">
        <f>_xlfn.IFNA(VLOOKUP(E357,Master!$J:$K,2,0),"")</f>
        <v/>
      </c>
      <c r="F357" s="71" t="str">
        <f>_xlfn.IFNA(VLOOKUP(G357,Master!B:C,2,0),"")</f>
        <v/>
      </c>
      <c r="I357" s="69" t="str">
        <f>_xlfn.IFNA(VLOOKUP(E357,Master!$J:$M,4,0),"")</f>
        <v/>
      </c>
      <c r="J357" s="69" t="str">
        <f>_xlfn.IFNA(VLOOKUP($E357,Master!$J:$M,3,0),"")</f>
        <v/>
      </c>
      <c r="AC357" s="14">
        <f t="shared" si="12"/>
        <v>0</v>
      </c>
      <c r="AD357" s="14">
        <f t="shared" si="13"/>
        <v>0</v>
      </c>
    </row>
    <row r="358" spans="2:30" ht="15" customHeight="1" x14ac:dyDescent="0.4">
      <c r="B358" s="69" t="str">
        <f>_xlfn.IFNA(VLOOKUP(C358,Master!$J:$K,2,0),"")</f>
        <v/>
      </c>
      <c r="D358" s="71" t="str">
        <f>_xlfn.IFNA(VLOOKUP(E358,Master!$J:$K,2,0),"")</f>
        <v/>
      </c>
      <c r="F358" s="71" t="str">
        <f>_xlfn.IFNA(VLOOKUP(G358,Master!B:C,2,0),"")</f>
        <v/>
      </c>
      <c r="I358" s="69" t="str">
        <f>_xlfn.IFNA(VLOOKUP(E358,Master!$J:$M,4,0),"")</f>
        <v/>
      </c>
      <c r="J358" s="69" t="str">
        <f>_xlfn.IFNA(VLOOKUP($E358,Master!$J:$M,3,0),"")</f>
        <v/>
      </c>
      <c r="AC358" s="14">
        <f t="shared" si="12"/>
        <v>0</v>
      </c>
      <c r="AD358" s="14">
        <f t="shared" si="13"/>
        <v>0</v>
      </c>
    </row>
    <row r="359" spans="2:30" ht="15" customHeight="1" x14ac:dyDescent="0.4">
      <c r="B359" s="69" t="str">
        <f>_xlfn.IFNA(VLOOKUP(C359,Master!$J:$K,2,0),"")</f>
        <v/>
      </c>
      <c r="D359" s="71" t="str">
        <f>_xlfn.IFNA(VLOOKUP(E359,Master!$J:$K,2,0),"")</f>
        <v/>
      </c>
      <c r="F359" s="71" t="str">
        <f>_xlfn.IFNA(VLOOKUP(G359,Master!B:C,2,0),"")</f>
        <v/>
      </c>
      <c r="I359" s="69" t="str">
        <f>_xlfn.IFNA(VLOOKUP(E359,Master!$J:$M,4,0),"")</f>
        <v/>
      </c>
      <c r="J359" s="69" t="str">
        <f>_xlfn.IFNA(VLOOKUP($E359,Master!$J:$M,3,0),"")</f>
        <v/>
      </c>
      <c r="AC359" s="14">
        <f t="shared" si="12"/>
        <v>0</v>
      </c>
      <c r="AD359" s="14">
        <f t="shared" si="13"/>
        <v>0</v>
      </c>
    </row>
    <row r="360" spans="2:30" ht="15" customHeight="1" x14ac:dyDescent="0.4">
      <c r="B360" s="69" t="str">
        <f>_xlfn.IFNA(VLOOKUP(C360,Master!$J:$K,2,0),"")</f>
        <v/>
      </c>
      <c r="D360" s="71" t="str">
        <f>_xlfn.IFNA(VLOOKUP(E360,Master!$J:$K,2,0),"")</f>
        <v/>
      </c>
      <c r="F360" s="71" t="str">
        <f>_xlfn.IFNA(VLOOKUP(G360,Master!B:C,2,0),"")</f>
        <v/>
      </c>
      <c r="I360" s="69" t="str">
        <f>_xlfn.IFNA(VLOOKUP(E360,Master!$J:$M,4,0),"")</f>
        <v/>
      </c>
      <c r="J360" s="69" t="str">
        <f>_xlfn.IFNA(VLOOKUP($E360,Master!$J:$M,3,0),"")</f>
        <v/>
      </c>
      <c r="AC360" s="14">
        <f t="shared" si="12"/>
        <v>0</v>
      </c>
      <c r="AD360" s="14">
        <f t="shared" si="13"/>
        <v>0</v>
      </c>
    </row>
    <row r="361" spans="2:30" ht="15" customHeight="1" x14ac:dyDescent="0.4">
      <c r="B361" s="69" t="str">
        <f>_xlfn.IFNA(VLOOKUP(C361,Master!$J:$K,2,0),"")</f>
        <v/>
      </c>
      <c r="D361" s="71" t="str">
        <f>_xlfn.IFNA(VLOOKUP(E361,Master!$J:$K,2,0),"")</f>
        <v/>
      </c>
      <c r="F361" s="71" t="str">
        <f>_xlfn.IFNA(VLOOKUP(G361,Master!B:C,2,0),"")</f>
        <v/>
      </c>
      <c r="I361" s="69" t="str">
        <f>_xlfn.IFNA(VLOOKUP(E361,Master!$J:$M,4,0),"")</f>
        <v/>
      </c>
      <c r="J361" s="69" t="str">
        <f>_xlfn.IFNA(VLOOKUP($E361,Master!$J:$M,3,0),"")</f>
        <v/>
      </c>
      <c r="AC361" s="14">
        <f t="shared" si="12"/>
        <v>0</v>
      </c>
      <c r="AD361" s="14">
        <f t="shared" si="13"/>
        <v>0</v>
      </c>
    </row>
    <row r="362" spans="2:30" ht="15" customHeight="1" x14ac:dyDescent="0.4">
      <c r="B362" s="69" t="str">
        <f>_xlfn.IFNA(VLOOKUP(C362,Master!$J:$K,2,0),"")</f>
        <v/>
      </c>
      <c r="D362" s="71" t="str">
        <f>_xlfn.IFNA(VLOOKUP(E362,Master!$J:$K,2,0),"")</f>
        <v/>
      </c>
      <c r="F362" s="71" t="str">
        <f>_xlfn.IFNA(VLOOKUP(G362,Master!B:C,2,0),"")</f>
        <v/>
      </c>
      <c r="I362" s="69" t="str">
        <f>_xlfn.IFNA(VLOOKUP(E362,Master!$J:$M,4,0),"")</f>
        <v/>
      </c>
      <c r="J362" s="69" t="str">
        <f>_xlfn.IFNA(VLOOKUP($E362,Master!$J:$M,3,0),"")</f>
        <v/>
      </c>
      <c r="AC362" s="14">
        <f t="shared" si="12"/>
        <v>0</v>
      </c>
      <c r="AD362" s="14">
        <f t="shared" si="13"/>
        <v>0</v>
      </c>
    </row>
    <row r="363" spans="2:30" ht="15" customHeight="1" x14ac:dyDescent="0.4">
      <c r="B363" s="69" t="str">
        <f>_xlfn.IFNA(VLOOKUP(C363,Master!$J:$K,2,0),"")</f>
        <v/>
      </c>
      <c r="D363" s="71" t="str">
        <f>_xlfn.IFNA(VLOOKUP(E363,Master!$J:$K,2,0),"")</f>
        <v/>
      </c>
      <c r="F363" s="71" t="str">
        <f>_xlfn.IFNA(VLOOKUP(G363,Master!B:C,2,0),"")</f>
        <v/>
      </c>
      <c r="I363" s="69" t="str">
        <f>_xlfn.IFNA(VLOOKUP(E363,Master!$J:$M,4,0),"")</f>
        <v/>
      </c>
      <c r="J363" s="69" t="str">
        <f>_xlfn.IFNA(VLOOKUP($E363,Master!$J:$M,3,0),"")</f>
        <v/>
      </c>
      <c r="AC363" s="14">
        <f t="shared" si="12"/>
        <v>0</v>
      </c>
      <c r="AD363" s="14">
        <f t="shared" si="13"/>
        <v>0</v>
      </c>
    </row>
    <row r="364" spans="2:30" ht="15" customHeight="1" x14ac:dyDescent="0.4">
      <c r="B364" s="69" t="str">
        <f>_xlfn.IFNA(VLOOKUP(C364,Master!$J:$K,2,0),"")</f>
        <v/>
      </c>
      <c r="D364" s="71" t="str">
        <f>_xlfn.IFNA(VLOOKUP(E364,Master!$J:$K,2,0),"")</f>
        <v/>
      </c>
      <c r="F364" s="71" t="str">
        <f>_xlfn.IFNA(VLOOKUP(G364,Master!B:C,2,0),"")</f>
        <v/>
      </c>
      <c r="I364" s="69" t="str">
        <f>_xlfn.IFNA(VLOOKUP(E364,Master!$J:$M,4,0),"")</f>
        <v/>
      </c>
      <c r="J364" s="69" t="str">
        <f>_xlfn.IFNA(VLOOKUP($E364,Master!$J:$M,3,0),"")</f>
        <v/>
      </c>
      <c r="AC364" s="14">
        <f t="shared" si="12"/>
        <v>0</v>
      </c>
      <c r="AD364" s="14">
        <f t="shared" si="13"/>
        <v>0</v>
      </c>
    </row>
    <row r="365" spans="2:30" ht="15" customHeight="1" x14ac:dyDescent="0.4">
      <c r="B365" s="69" t="str">
        <f>_xlfn.IFNA(VLOOKUP(C365,Master!$J:$K,2,0),"")</f>
        <v/>
      </c>
      <c r="D365" s="71" t="str">
        <f>_xlfn.IFNA(VLOOKUP(E365,Master!$J:$K,2,0),"")</f>
        <v/>
      </c>
      <c r="F365" s="71" t="str">
        <f>_xlfn.IFNA(VLOOKUP(G365,Master!B:C,2,0),"")</f>
        <v/>
      </c>
      <c r="I365" s="69" t="str">
        <f>_xlfn.IFNA(VLOOKUP(E365,Master!$J:$M,4,0),"")</f>
        <v/>
      </c>
      <c r="J365" s="69" t="str">
        <f>_xlfn.IFNA(VLOOKUP($E365,Master!$J:$M,3,0),"")</f>
        <v/>
      </c>
      <c r="AC365" s="14">
        <f t="shared" si="12"/>
        <v>0</v>
      </c>
      <c r="AD365" s="14">
        <f t="shared" si="13"/>
        <v>0</v>
      </c>
    </row>
    <row r="366" spans="2:30" ht="15" customHeight="1" x14ac:dyDescent="0.4">
      <c r="B366" s="69" t="str">
        <f>_xlfn.IFNA(VLOOKUP(C366,Master!$J:$K,2,0),"")</f>
        <v/>
      </c>
      <c r="D366" s="71" t="str">
        <f>_xlfn.IFNA(VLOOKUP(E366,Master!$J:$K,2,0),"")</f>
        <v/>
      </c>
      <c r="F366" s="71" t="str">
        <f>_xlfn.IFNA(VLOOKUP(G366,Master!B:C,2,0),"")</f>
        <v/>
      </c>
      <c r="I366" s="69" t="str">
        <f>_xlfn.IFNA(VLOOKUP(E366,Master!$J:$M,4,0),"")</f>
        <v/>
      </c>
      <c r="J366" s="69" t="str">
        <f>_xlfn.IFNA(VLOOKUP($E366,Master!$J:$M,3,0),"")</f>
        <v/>
      </c>
      <c r="AC366" s="14">
        <f t="shared" si="12"/>
        <v>0</v>
      </c>
      <c r="AD366" s="14">
        <f t="shared" si="13"/>
        <v>0</v>
      </c>
    </row>
    <row r="367" spans="2:30" ht="15" customHeight="1" x14ac:dyDescent="0.4">
      <c r="B367" s="69" t="str">
        <f>_xlfn.IFNA(VLOOKUP(C367,Master!$J:$K,2,0),"")</f>
        <v/>
      </c>
      <c r="D367" s="71" t="str">
        <f>_xlfn.IFNA(VLOOKUP(E367,Master!$J:$K,2,0),"")</f>
        <v/>
      </c>
      <c r="F367" s="71" t="str">
        <f>_xlfn.IFNA(VLOOKUP(G367,Master!B:C,2,0),"")</f>
        <v/>
      </c>
      <c r="I367" s="69" t="str">
        <f>_xlfn.IFNA(VLOOKUP(E367,Master!$J:$M,4,0),"")</f>
        <v/>
      </c>
      <c r="J367" s="69" t="str">
        <f>_xlfn.IFNA(VLOOKUP($E367,Master!$J:$M,3,0),"")</f>
        <v/>
      </c>
      <c r="AC367" s="14">
        <f t="shared" si="12"/>
        <v>0</v>
      </c>
      <c r="AD367" s="14">
        <f t="shared" si="13"/>
        <v>0</v>
      </c>
    </row>
    <row r="368" spans="2:30" ht="15" customHeight="1" x14ac:dyDescent="0.4">
      <c r="B368" s="69" t="str">
        <f>_xlfn.IFNA(VLOOKUP(C368,Master!$J:$K,2,0),"")</f>
        <v/>
      </c>
      <c r="D368" s="71" t="str">
        <f>_xlfn.IFNA(VLOOKUP(E368,Master!$J:$K,2,0),"")</f>
        <v/>
      </c>
      <c r="F368" s="71" t="str">
        <f>_xlfn.IFNA(VLOOKUP(G368,Master!B:C,2,0),"")</f>
        <v/>
      </c>
      <c r="I368" s="69" t="str">
        <f>_xlfn.IFNA(VLOOKUP(E368,Master!$J:$M,4,0),"")</f>
        <v/>
      </c>
      <c r="J368" s="69" t="str">
        <f>_xlfn.IFNA(VLOOKUP($E368,Master!$J:$M,3,0),"")</f>
        <v/>
      </c>
      <c r="AC368" s="14">
        <f t="shared" si="12"/>
        <v>0</v>
      </c>
      <c r="AD368" s="14">
        <f t="shared" si="13"/>
        <v>0</v>
      </c>
    </row>
    <row r="369" spans="2:30" ht="15" customHeight="1" x14ac:dyDescent="0.4">
      <c r="B369" s="69" t="str">
        <f>_xlfn.IFNA(VLOOKUP(C369,Master!$J:$K,2,0),"")</f>
        <v/>
      </c>
      <c r="D369" s="71" t="str">
        <f>_xlfn.IFNA(VLOOKUP(E369,Master!$J:$K,2,0),"")</f>
        <v/>
      </c>
      <c r="F369" s="71" t="str">
        <f>_xlfn.IFNA(VLOOKUP(G369,Master!B:C,2,0),"")</f>
        <v/>
      </c>
      <c r="I369" s="69" t="str">
        <f>_xlfn.IFNA(VLOOKUP(E369,Master!$J:$M,4,0),"")</f>
        <v/>
      </c>
      <c r="J369" s="69" t="str">
        <f>_xlfn.IFNA(VLOOKUP($E369,Master!$J:$M,3,0),"")</f>
        <v/>
      </c>
      <c r="AC369" s="14">
        <f t="shared" si="12"/>
        <v>0</v>
      </c>
      <c r="AD369" s="14">
        <f t="shared" si="13"/>
        <v>0</v>
      </c>
    </row>
    <row r="370" spans="2:30" ht="15" customHeight="1" x14ac:dyDescent="0.4">
      <c r="B370" s="69" t="str">
        <f>_xlfn.IFNA(VLOOKUP(C370,Master!$J:$K,2,0),"")</f>
        <v/>
      </c>
      <c r="D370" s="71" t="str">
        <f>_xlfn.IFNA(VLOOKUP(E370,Master!$J:$K,2,0),"")</f>
        <v/>
      </c>
      <c r="F370" s="71" t="str">
        <f>_xlfn.IFNA(VLOOKUP(G370,Master!B:C,2,0),"")</f>
        <v/>
      </c>
      <c r="I370" s="69" t="str">
        <f>_xlfn.IFNA(VLOOKUP(E370,Master!$J:$M,4,0),"")</f>
        <v/>
      </c>
      <c r="J370" s="69" t="str">
        <f>_xlfn.IFNA(VLOOKUP($E370,Master!$J:$M,3,0),"")</f>
        <v/>
      </c>
      <c r="AC370" s="14">
        <f t="shared" si="12"/>
        <v>0</v>
      </c>
      <c r="AD370" s="14">
        <f t="shared" si="13"/>
        <v>0</v>
      </c>
    </row>
    <row r="371" spans="2:30" ht="15" customHeight="1" x14ac:dyDescent="0.4">
      <c r="B371" s="69" t="str">
        <f>_xlfn.IFNA(VLOOKUP(C371,Master!$J:$K,2,0),"")</f>
        <v/>
      </c>
      <c r="D371" s="71" t="str">
        <f>_xlfn.IFNA(VLOOKUP(E371,Master!$J:$K,2,0),"")</f>
        <v/>
      </c>
      <c r="F371" s="71" t="str">
        <f>_xlfn.IFNA(VLOOKUP(G371,Master!B:C,2,0),"")</f>
        <v/>
      </c>
      <c r="I371" s="69" t="str">
        <f>_xlfn.IFNA(VLOOKUP(E371,Master!$J:$M,4,0),"")</f>
        <v/>
      </c>
      <c r="J371" s="69" t="str">
        <f>_xlfn.IFNA(VLOOKUP($E371,Master!$J:$M,3,0),"")</f>
        <v/>
      </c>
      <c r="AC371" s="14">
        <f t="shared" si="12"/>
        <v>0</v>
      </c>
      <c r="AD371" s="14">
        <f t="shared" si="13"/>
        <v>0</v>
      </c>
    </row>
    <row r="372" spans="2:30" ht="15" customHeight="1" x14ac:dyDescent="0.4">
      <c r="B372" s="69" t="str">
        <f>_xlfn.IFNA(VLOOKUP(C372,Master!$J:$K,2,0),"")</f>
        <v/>
      </c>
      <c r="D372" s="71" t="str">
        <f>_xlfn.IFNA(VLOOKUP(E372,Master!$J:$K,2,0),"")</f>
        <v/>
      </c>
      <c r="F372" s="71" t="str">
        <f>_xlfn.IFNA(VLOOKUP(G372,Master!B:C,2,0),"")</f>
        <v/>
      </c>
      <c r="I372" s="69" t="str">
        <f>_xlfn.IFNA(VLOOKUP(E372,Master!$J:$M,4,0),"")</f>
        <v/>
      </c>
      <c r="J372" s="69" t="str">
        <f>_xlfn.IFNA(VLOOKUP($E372,Master!$J:$M,3,0),"")</f>
        <v/>
      </c>
      <c r="AC372" s="14">
        <f t="shared" si="12"/>
        <v>0</v>
      </c>
      <c r="AD372" s="14">
        <f t="shared" si="13"/>
        <v>0</v>
      </c>
    </row>
    <row r="373" spans="2:30" ht="15" customHeight="1" x14ac:dyDescent="0.4">
      <c r="B373" s="69" t="str">
        <f>_xlfn.IFNA(VLOOKUP(C373,Master!$J:$K,2,0),"")</f>
        <v/>
      </c>
      <c r="D373" s="71" t="str">
        <f>_xlfn.IFNA(VLOOKUP(E373,Master!$J:$K,2,0),"")</f>
        <v/>
      </c>
      <c r="F373" s="71" t="str">
        <f>_xlfn.IFNA(VLOOKUP(G373,Master!B:C,2,0),"")</f>
        <v/>
      </c>
      <c r="I373" s="69" t="str">
        <f>_xlfn.IFNA(VLOOKUP(E373,Master!$J:$M,4,0),"")</f>
        <v/>
      </c>
      <c r="J373" s="69" t="str">
        <f>_xlfn.IFNA(VLOOKUP($E373,Master!$J:$M,3,0),"")</f>
        <v/>
      </c>
      <c r="AC373" s="14">
        <f t="shared" si="12"/>
        <v>0</v>
      </c>
      <c r="AD373" s="14">
        <f t="shared" si="13"/>
        <v>0</v>
      </c>
    </row>
    <row r="374" spans="2:30" ht="15" customHeight="1" x14ac:dyDescent="0.4">
      <c r="B374" s="69" t="str">
        <f>_xlfn.IFNA(VLOOKUP(C374,Master!$J:$K,2,0),"")</f>
        <v/>
      </c>
      <c r="D374" s="71" t="str">
        <f>_xlfn.IFNA(VLOOKUP(E374,Master!$J:$K,2,0),"")</f>
        <v/>
      </c>
      <c r="F374" s="71" t="str">
        <f>_xlfn.IFNA(VLOOKUP(G374,Master!B:C,2,0),"")</f>
        <v/>
      </c>
      <c r="I374" s="69" t="str">
        <f>_xlfn.IFNA(VLOOKUP(E374,Master!$J:$M,4,0),"")</f>
        <v/>
      </c>
      <c r="J374" s="69" t="str">
        <f>_xlfn.IFNA(VLOOKUP($E374,Master!$J:$M,3,0),"")</f>
        <v/>
      </c>
      <c r="AC374" s="14">
        <f t="shared" si="12"/>
        <v>0</v>
      </c>
      <c r="AD374" s="14">
        <f t="shared" si="13"/>
        <v>0</v>
      </c>
    </row>
    <row r="375" spans="2:30" ht="15" customHeight="1" x14ac:dyDescent="0.4">
      <c r="B375" s="69" t="str">
        <f>_xlfn.IFNA(VLOOKUP(C375,Master!$J:$K,2,0),"")</f>
        <v/>
      </c>
      <c r="D375" s="71" t="str">
        <f>_xlfn.IFNA(VLOOKUP(E375,Master!$J:$K,2,0),"")</f>
        <v/>
      </c>
      <c r="F375" s="71" t="str">
        <f>_xlfn.IFNA(VLOOKUP(G375,Master!B:C,2,0),"")</f>
        <v/>
      </c>
      <c r="I375" s="69" t="str">
        <f>_xlfn.IFNA(VLOOKUP(E375,Master!$J:$M,4,0),"")</f>
        <v/>
      </c>
      <c r="J375" s="69" t="str">
        <f>_xlfn.IFNA(VLOOKUP($E375,Master!$J:$M,3,0),"")</f>
        <v/>
      </c>
      <c r="AC375" s="14">
        <f t="shared" si="12"/>
        <v>0</v>
      </c>
      <c r="AD375" s="14">
        <f t="shared" si="13"/>
        <v>0</v>
      </c>
    </row>
    <row r="376" spans="2:30" ht="15" customHeight="1" x14ac:dyDescent="0.4">
      <c r="B376" s="69" t="str">
        <f>_xlfn.IFNA(VLOOKUP(C376,Master!$J:$K,2,0),"")</f>
        <v/>
      </c>
      <c r="D376" s="71" t="str">
        <f>_xlfn.IFNA(VLOOKUP(E376,Master!$J:$K,2,0),"")</f>
        <v/>
      </c>
      <c r="F376" s="71" t="str">
        <f>_xlfn.IFNA(VLOOKUP(G376,Master!B:C,2,0),"")</f>
        <v/>
      </c>
      <c r="I376" s="69" t="str">
        <f>_xlfn.IFNA(VLOOKUP(E376,Master!$J:$M,4,0),"")</f>
        <v/>
      </c>
      <c r="J376" s="69" t="str">
        <f>_xlfn.IFNA(VLOOKUP($E376,Master!$J:$M,3,0),"")</f>
        <v/>
      </c>
      <c r="AC376" s="14">
        <f t="shared" si="12"/>
        <v>0</v>
      </c>
      <c r="AD376" s="14">
        <f t="shared" si="13"/>
        <v>0</v>
      </c>
    </row>
    <row r="377" spans="2:30" ht="15" customHeight="1" x14ac:dyDescent="0.4">
      <c r="B377" s="69" t="str">
        <f>_xlfn.IFNA(VLOOKUP(C377,Master!$J:$K,2,0),"")</f>
        <v/>
      </c>
      <c r="D377" s="71" t="str">
        <f>_xlfn.IFNA(VLOOKUP(E377,Master!$J:$K,2,0),"")</f>
        <v/>
      </c>
      <c r="F377" s="71" t="str">
        <f>_xlfn.IFNA(VLOOKUP(G377,Master!B:C,2,0),"")</f>
        <v/>
      </c>
      <c r="I377" s="69" t="str">
        <f>_xlfn.IFNA(VLOOKUP(E377,Master!$J:$M,4,0),"")</f>
        <v/>
      </c>
      <c r="J377" s="69" t="str">
        <f>_xlfn.IFNA(VLOOKUP($E377,Master!$J:$M,3,0),"")</f>
        <v/>
      </c>
      <c r="AC377" s="14">
        <f t="shared" si="12"/>
        <v>0</v>
      </c>
      <c r="AD377" s="14">
        <f t="shared" si="13"/>
        <v>0</v>
      </c>
    </row>
    <row r="378" spans="2:30" ht="15" customHeight="1" x14ac:dyDescent="0.4">
      <c r="B378" s="69" t="str">
        <f>_xlfn.IFNA(VLOOKUP(C378,Master!$J:$K,2,0),"")</f>
        <v/>
      </c>
      <c r="D378" s="71" t="str">
        <f>_xlfn.IFNA(VLOOKUP(E378,Master!$J:$K,2,0),"")</f>
        <v/>
      </c>
      <c r="F378" s="71" t="str">
        <f>_xlfn.IFNA(VLOOKUP(G378,Master!B:C,2,0),"")</f>
        <v/>
      </c>
      <c r="I378" s="69" t="str">
        <f>_xlfn.IFNA(VLOOKUP(E378,Master!$J:$M,4,0),"")</f>
        <v/>
      </c>
      <c r="J378" s="69" t="str">
        <f>_xlfn.IFNA(VLOOKUP($E378,Master!$J:$M,3,0),"")</f>
        <v/>
      </c>
      <c r="AC378" s="14">
        <f t="shared" si="12"/>
        <v>0</v>
      </c>
      <c r="AD378" s="14">
        <f t="shared" si="13"/>
        <v>0</v>
      </c>
    </row>
    <row r="379" spans="2:30" ht="15" customHeight="1" x14ac:dyDescent="0.4">
      <c r="B379" s="69" t="str">
        <f>_xlfn.IFNA(VLOOKUP(C379,Master!$J:$K,2,0),"")</f>
        <v/>
      </c>
      <c r="D379" s="71" t="str">
        <f>_xlfn.IFNA(VLOOKUP(E379,Master!$J:$K,2,0),"")</f>
        <v/>
      </c>
      <c r="F379" s="71" t="str">
        <f>_xlfn.IFNA(VLOOKUP(G379,Master!B:C,2,0),"")</f>
        <v/>
      </c>
      <c r="I379" s="69" t="str">
        <f>_xlfn.IFNA(VLOOKUP(E379,Master!$J:$M,4,0),"")</f>
        <v/>
      </c>
      <c r="J379" s="69" t="str">
        <f>_xlfn.IFNA(VLOOKUP($E379,Master!$J:$M,3,0),"")</f>
        <v/>
      </c>
      <c r="AC379" s="14">
        <f t="shared" si="12"/>
        <v>0</v>
      </c>
      <c r="AD379" s="14">
        <f t="shared" si="13"/>
        <v>0</v>
      </c>
    </row>
    <row r="380" spans="2:30" ht="15" customHeight="1" x14ac:dyDescent="0.4">
      <c r="B380" s="69" t="str">
        <f>_xlfn.IFNA(VLOOKUP(C380,Master!$J:$K,2,0),"")</f>
        <v/>
      </c>
      <c r="D380" s="71" t="str">
        <f>_xlfn.IFNA(VLOOKUP(E380,Master!$J:$K,2,0),"")</f>
        <v/>
      </c>
      <c r="F380" s="71" t="str">
        <f>_xlfn.IFNA(VLOOKUP(G380,Master!B:C,2,0),"")</f>
        <v/>
      </c>
      <c r="I380" s="69" t="str">
        <f>_xlfn.IFNA(VLOOKUP(E380,Master!$J:$M,4,0),"")</f>
        <v/>
      </c>
      <c r="J380" s="69" t="str">
        <f>_xlfn.IFNA(VLOOKUP($E380,Master!$J:$M,3,0),"")</f>
        <v/>
      </c>
      <c r="AC380" s="14">
        <f t="shared" si="12"/>
        <v>0</v>
      </c>
      <c r="AD380" s="14">
        <f t="shared" si="13"/>
        <v>0</v>
      </c>
    </row>
    <row r="381" spans="2:30" ht="15" customHeight="1" x14ac:dyDescent="0.4">
      <c r="B381" s="69" t="str">
        <f>_xlfn.IFNA(VLOOKUP(C381,Master!$J:$K,2,0),"")</f>
        <v/>
      </c>
      <c r="D381" s="71" t="str">
        <f>_xlfn.IFNA(VLOOKUP(E381,Master!$J:$K,2,0),"")</f>
        <v/>
      </c>
      <c r="F381" s="71" t="str">
        <f>_xlfn.IFNA(VLOOKUP(G381,Master!B:C,2,0),"")</f>
        <v/>
      </c>
      <c r="I381" s="69" t="str">
        <f>_xlfn.IFNA(VLOOKUP(E381,Master!$J:$M,4,0),"")</f>
        <v/>
      </c>
      <c r="J381" s="69" t="str">
        <f>_xlfn.IFNA(VLOOKUP($E381,Master!$J:$M,3,0),"")</f>
        <v/>
      </c>
      <c r="AC381" s="14">
        <f t="shared" si="12"/>
        <v>0</v>
      </c>
      <c r="AD381" s="14">
        <f t="shared" si="13"/>
        <v>0</v>
      </c>
    </row>
    <row r="382" spans="2:30" ht="15" customHeight="1" x14ac:dyDescent="0.4">
      <c r="B382" s="69" t="str">
        <f>_xlfn.IFNA(VLOOKUP(C382,Master!$J:$K,2,0),"")</f>
        <v/>
      </c>
      <c r="D382" s="71" t="str">
        <f>_xlfn.IFNA(VLOOKUP(E382,Master!$J:$K,2,0),"")</f>
        <v/>
      </c>
      <c r="F382" s="71" t="str">
        <f>_xlfn.IFNA(VLOOKUP(G382,Master!B:C,2,0),"")</f>
        <v/>
      </c>
      <c r="I382" s="69" t="str">
        <f>_xlfn.IFNA(VLOOKUP(E382,Master!$J:$M,4,0),"")</f>
        <v/>
      </c>
      <c r="J382" s="69" t="str">
        <f>_xlfn.IFNA(VLOOKUP($E382,Master!$J:$M,3,0),"")</f>
        <v/>
      </c>
      <c r="AC382" s="14">
        <f t="shared" si="12"/>
        <v>0</v>
      </c>
      <c r="AD382" s="14">
        <f t="shared" si="13"/>
        <v>0</v>
      </c>
    </row>
    <row r="383" spans="2:30" ht="15" customHeight="1" x14ac:dyDescent="0.4">
      <c r="B383" s="69" t="str">
        <f>_xlfn.IFNA(VLOOKUP(C383,Master!$J:$K,2,0),"")</f>
        <v/>
      </c>
      <c r="D383" s="71" t="str">
        <f>_xlfn.IFNA(VLOOKUP(E383,Master!$J:$K,2,0),"")</f>
        <v/>
      </c>
      <c r="F383" s="71" t="str">
        <f>_xlfn.IFNA(VLOOKUP(G383,Master!B:C,2,0),"")</f>
        <v/>
      </c>
      <c r="I383" s="69" t="str">
        <f>_xlfn.IFNA(VLOOKUP(E383,Master!$J:$M,4,0),"")</f>
        <v/>
      </c>
      <c r="J383" s="69" t="str">
        <f>_xlfn.IFNA(VLOOKUP($E383,Master!$J:$M,3,0),"")</f>
        <v/>
      </c>
      <c r="AC383" s="14">
        <f t="shared" si="12"/>
        <v>0</v>
      </c>
      <c r="AD383" s="14">
        <f t="shared" si="13"/>
        <v>0</v>
      </c>
    </row>
    <row r="384" spans="2:30" ht="15" customHeight="1" x14ac:dyDescent="0.4">
      <c r="B384" s="69" t="str">
        <f>_xlfn.IFNA(VLOOKUP(C384,Master!$J:$K,2,0),"")</f>
        <v/>
      </c>
      <c r="D384" s="71" t="str">
        <f>_xlfn.IFNA(VLOOKUP(E384,Master!$J:$K,2,0),"")</f>
        <v/>
      </c>
      <c r="F384" s="71" t="str">
        <f>_xlfn.IFNA(VLOOKUP(G384,Master!B:C,2,0),"")</f>
        <v/>
      </c>
      <c r="I384" s="69" t="str">
        <f>_xlfn.IFNA(VLOOKUP(E384,Master!$J:$M,4,0),"")</f>
        <v/>
      </c>
      <c r="J384" s="69" t="str">
        <f>_xlfn.IFNA(VLOOKUP($E384,Master!$J:$M,3,0),"")</f>
        <v/>
      </c>
      <c r="AC384" s="14">
        <f t="shared" si="12"/>
        <v>0</v>
      </c>
      <c r="AD384" s="14">
        <f t="shared" si="13"/>
        <v>0</v>
      </c>
    </row>
    <row r="385" spans="2:30" ht="15" customHeight="1" x14ac:dyDescent="0.4">
      <c r="B385" s="69" t="str">
        <f>_xlfn.IFNA(VLOOKUP(C385,Master!$J:$K,2,0),"")</f>
        <v/>
      </c>
      <c r="D385" s="71" t="str">
        <f>_xlfn.IFNA(VLOOKUP(E385,Master!$J:$K,2,0),"")</f>
        <v/>
      </c>
      <c r="F385" s="71" t="str">
        <f>_xlfn.IFNA(VLOOKUP(G385,Master!B:C,2,0),"")</f>
        <v/>
      </c>
      <c r="I385" s="69" t="str">
        <f>_xlfn.IFNA(VLOOKUP(E385,Master!$J:$M,4,0),"")</f>
        <v/>
      </c>
      <c r="J385" s="69" t="str">
        <f>_xlfn.IFNA(VLOOKUP($E385,Master!$J:$M,3,0),"")</f>
        <v/>
      </c>
      <c r="AC385" s="14">
        <f t="shared" si="12"/>
        <v>0</v>
      </c>
      <c r="AD385" s="14">
        <f t="shared" si="13"/>
        <v>0</v>
      </c>
    </row>
    <row r="386" spans="2:30" ht="15" customHeight="1" x14ac:dyDescent="0.4">
      <c r="B386" s="69" t="str">
        <f>_xlfn.IFNA(VLOOKUP(C386,Master!$J:$K,2,0),"")</f>
        <v/>
      </c>
      <c r="D386" s="71" t="str">
        <f>_xlfn.IFNA(VLOOKUP(E386,Master!$J:$K,2,0),"")</f>
        <v/>
      </c>
      <c r="F386" s="71" t="str">
        <f>_xlfn.IFNA(VLOOKUP(G386,Master!B:C,2,0),"")</f>
        <v/>
      </c>
      <c r="I386" s="69" t="str">
        <f>_xlfn.IFNA(VLOOKUP(E386,Master!$J:$M,4,0),"")</f>
        <v/>
      </c>
      <c r="J386" s="69" t="str">
        <f>_xlfn.IFNA(VLOOKUP($E386,Master!$J:$M,3,0),"")</f>
        <v/>
      </c>
      <c r="AC386" s="14">
        <f t="shared" ref="AC386:AC449" si="14">SUM(K386:P386)</f>
        <v>0</v>
      </c>
      <c r="AD386" s="14">
        <f t="shared" ref="AD386:AD449" si="15">SUM(Q386:AB386)</f>
        <v>0</v>
      </c>
    </row>
    <row r="387" spans="2:30" ht="15" customHeight="1" x14ac:dyDescent="0.4">
      <c r="B387" s="69" t="str">
        <f>_xlfn.IFNA(VLOOKUP(C387,Master!$J:$K,2,0),"")</f>
        <v/>
      </c>
      <c r="D387" s="71" t="str">
        <f>_xlfn.IFNA(VLOOKUP(E387,Master!$J:$K,2,0),"")</f>
        <v/>
      </c>
      <c r="F387" s="71" t="str">
        <f>_xlfn.IFNA(VLOOKUP(G387,Master!B:C,2,0),"")</f>
        <v/>
      </c>
      <c r="I387" s="69" t="str">
        <f>_xlfn.IFNA(VLOOKUP(E387,Master!$J:$M,4,0),"")</f>
        <v/>
      </c>
      <c r="J387" s="69" t="str">
        <f>_xlfn.IFNA(VLOOKUP($E387,Master!$J:$M,3,0),"")</f>
        <v/>
      </c>
      <c r="AC387" s="14">
        <f t="shared" si="14"/>
        <v>0</v>
      </c>
      <c r="AD387" s="14">
        <f t="shared" si="15"/>
        <v>0</v>
      </c>
    </row>
    <row r="388" spans="2:30" ht="15" customHeight="1" x14ac:dyDescent="0.4">
      <c r="B388" s="69" t="str">
        <f>_xlfn.IFNA(VLOOKUP(C388,Master!$J:$K,2,0),"")</f>
        <v/>
      </c>
      <c r="D388" s="71" t="str">
        <f>_xlfn.IFNA(VLOOKUP(E388,Master!$J:$K,2,0),"")</f>
        <v/>
      </c>
      <c r="F388" s="71" t="str">
        <f>_xlfn.IFNA(VLOOKUP(G388,Master!B:C,2,0),"")</f>
        <v/>
      </c>
      <c r="I388" s="69" t="str">
        <f>_xlfn.IFNA(VLOOKUP(E388,Master!$J:$M,4,0),"")</f>
        <v/>
      </c>
      <c r="J388" s="69" t="str">
        <f>_xlfn.IFNA(VLOOKUP($E388,Master!$J:$M,3,0),"")</f>
        <v/>
      </c>
      <c r="AC388" s="14">
        <f t="shared" si="14"/>
        <v>0</v>
      </c>
      <c r="AD388" s="14">
        <f t="shared" si="15"/>
        <v>0</v>
      </c>
    </row>
    <row r="389" spans="2:30" ht="15" customHeight="1" x14ac:dyDescent="0.4">
      <c r="B389" s="69" t="str">
        <f>_xlfn.IFNA(VLOOKUP(C389,Master!$J:$K,2,0),"")</f>
        <v/>
      </c>
      <c r="D389" s="71" t="str">
        <f>_xlfn.IFNA(VLOOKUP(E389,Master!$J:$K,2,0),"")</f>
        <v/>
      </c>
      <c r="F389" s="71" t="str">
        <f>_xlfn.IFNA(VLOOKUP(G389,Master!B:C,2,0),"")</f>
        <v/>
      </c>
      <c r="I389" s="69" t="str">
        <f>_xlfn.IFNA(VLOOKUP(E389,Master!$J:$M,4,0),"")</f>
        <v/>
      </c>
      <c r="J389" s="69" t="str">
        <f>_xlfn.IFNA(VLOOKUP($E389,Master!$J:$M,3,0),"")</f>
        <v/>
      </c>
      <c r="AC389" s="14">
        <f t="shared" si="14"/>
        <v>0</v>
      </c>
      <c r="AD389" s="14">
        <f t="shared" si="15"/>
        <v>0</v>
      </c>
    </row>
    <row r="390" spans="2:30" ht="15" customHeight="1" x14ac:dyDescent="0.4">
      <c r="B390" s="69" t="str">
        <f>_xlfn.IFNA(VLOOKUP(C390,Master!$J:$K,2,0),"")</f>
        <v/>
      </c>
      <c r="D390" s="71" t="str">
        <f>_xlfn.IFNA(VLOOKUP(E390,Master!$J:$K,2,0),"")</f>
        <v/>
      </c>
      <c r="F390" s="71" t="str">
        <f>_xlfn.IFNA(VLOOKUP(G390,Master!B:C,2,0),"")</f>
        <v/>
      </c>
      <c r="I390" s="69" t="str">
        <f>_xlfn.IFNA(VLOOKUP(E390,Master!$J:$M,4,0),"")</f>
        <v/>
      </c>
      <c r="J390" s="69" t="str">
        <f>_xlfn.IFNA(VLOOKUP($E390,Master!$J:$M,3,0),"")</f>
        <v/>
      </c>
      <c r="AC390" s="14">
        <f t="shared" si="14"/>
        <v>0</v>
      </c>
      <c r="AD390" s="14">
        <f t="shared" si="15"/>
        <v>0</v>
      </c>
    </row>
    <row r="391" spans="2:30" ht="15" customHeight="1" x14ac:dyDescent="0.4">
      <c r="B391" s="69" t="str">
        <f>_xlfn.IFNA(VLOOKUP(C391,Master!$J:$K,2,0),"")</f>
        <v/>
      </c>
      <c r="D391" s="71" t="str">
        <f>_xlfn.IFNA(VLOOKUP(E391,Master!$J:$K,2,0),"")</f>
        <v/>
      </c>
      <c r="F391" s="71" t="str">
        <f>_xlfn.IFNA(VLOOKUP(G391,Master!B:C,2,0),"")</f>
        <v/>
      </c>
      <c r="I391" s="69" t="str">
        <f>_xlfn.IFNA(VLOOKUP(E391,Master!$J:$M,4,0),"")</f>
        <v/>
      </c>
      <c r="J391" s="69" t="str">
        <f>_xlfn.IFNA(VLOOKUP($E391,Master!$J:$M,3,0),"")</f>
        <v/>
      </c>
      <c r="AC391" s="14">
        <f t="shared" si="14"/>
        <v>0</v>
      </c>
      <c r="AD391" s="14">
        <f t="shared" si="15"/>
        <v>0</v>
      </c>
    </row>
    <row r="392" spans="2:30" ht="15" customHeight="1" x14ac:dyDescent="0.4">
      <c r="B392" s="69" t="str">
        <f>_xlfn.IFNA(VLOOKUP(C392,Master!$J:$K,2,0),"")</f>
        <v/>
      </c>
      <c r="D392" s="71" t="str">
        <f>_xlfn.IFNA(VLOOKUP(E392,Master!$J:$K,2,0),"")</f>
        <v/>
      </c>
      <c r="F392" s="71" t="str">
        <f>_xlfn.IFNA(VLOOKUP(G392,Master!B:C,2,0),"")</f>
        <v/>
      </c>
      <c r="I392" s="69" t="str">
        <f>_xlfn.IFNA(VLOOKUP(E392,Master!$J:$M,4,0),"")</f>
        <v/>
      </c>
      <c r="J392" s="69" t="str">
        <f>_xlfn.IFNA(VLOOKUP($E392,Master!$J:$M,3,0),"")</f>
        <v/>
      </c>
      <c r="AC392" s="14">
        <f t="shared" si="14"/>
        <v>0</v>
      </c>
      <c r="AD392" s="14">
        <f t="shared" si="15"/>
        <v>0</v>
      </c>
    </row>
    <row r="393" spans="2:30" ht="15" customHeight="1" x14ac:dyDescent="0.4">
      <c r="B393" s="69" t="str">
        <f>_xlfn.IFNA(VLOOKUP(C393,Master!$J:$K,2,0),"")</f>
        <v/>
      </c>
      <c r="D393" s="71" t="str">
        <f>_xlfn.IFNA(VLOOKUP(E393,Master!$J:$K,2,0),"")</f>
        <v/>
      </c>
      <c r="F393" s="71" t="str">
        <f>_xlfn.IFNA(VLOOKUP(G393,Master!B:C,2,0),"")</f>
        <v/>
      </c>
      <c r="I393" s="69" t="str">
        <f>_xlfn.IFNA(VLOOKUP(E393,Master!$J:$M,4,0),"")</f>
        <v/>
      </c>
      <c r="J393" s="69" t="str">
        <f>_xlfn.IFNA(VLOOKUP($E393,Master!$J:$M,3,0),"")</f>
        <v/>
      </c>
      <c r="AC393" s="14">
        <f t="shared" si="14"/>
        <v>0</v>
      </c>
      <c r="AD393" s="14">
        <f t="shared" si="15"/>
        <v>0</v>
      </c>
    </row>
    <row r="394" spans="2:30" ht="15" customHeight="1" x14ac:dyDescent="0.4">
      <c r="B394" s="69" t="str">
        <f>_xlfn.IFNA(VLOOKUP(C394,Master!$J:$K,2,0),"")</f>
        <v/>
      </c>
      <c r="D394" s="71" t="str">
        <f>_xlfn.IFNA(VLOOKUP(E394,Master!$J:$K,2,0),"")</f>
        <v/>
      </c>
      <c r="F394" s="71" t="str">
        <f>_xlfn.IFNA(VLOOKUP(G394,Master!B:C,2,0),"")</f>
        <v/>
      </c>
      <c r="I394" s="69" t="str">
        <f>_xlfn.IFNA(VLOOKUP(E394,Master!$J:$M,4,0),"")</f>
        <v/>
      </c>
      <c r="J394" s="69" t="str">
        <f>_xlfn.IFNA(VLOOKUP($E394,Master!$J:$M,3,0),"")</f>
        <v/>
      </c>
      <c r="AC394" s="14">
        <f t="shared" si="14"/>
        <v>0</v>
      </c>
      <c r="AD394" s="14">
        <f t="shared" si="15"/>
        <v>0</v>
      </c>
    </row>
    <row r="395" spans="2:30" ht="15" customHeight="1" x14ac:dyDescent="0.4">
      <c r="B395" s="69" t="str">
        <f>_xlfn.IFNA(VLOOKUP(C395,Master!$J:$K,2,0),"")</f>
        <v/>
      </c>
      <c r="D395" s="71" t="str">
        <f>_xlfn.IFNA(VLOOKUP(E395,Master!$J:$K,2,0),"")</f>
        <v/>
      </c>
      <c r="F395" s="71" t="str">
        <f>_xlfn.IFNA(VLOOKUP(G395,Master!B:C,2,0),"")</f>
        <v/>
      </c>
      <c r="I395" s="69" t="str">
        <f>_xlfn.IFNA(VLOOKUP(E395,Master!$J:$M,4,0),"")</f>
        <v/>
      </c>
      <c r="J395" s="69" t="str">
        <f>_xlfn.IFNA(VLOOKUP($E395,Master!$J:$M,3,0),"")</f>
        <v/>
      </c>
      <c r="AC395" s="14">
        <f t="shared" si="14"/>
        <v>0</v>
      </c>
      <c r="AD395" s="14">
        <f t="shared" si="15"/>
        <v>0</v>
      </c>
    </row>
    <row r="396" spans="2:30" ht="15" customHeight="1" x14ac:dyDescent="0.4">
      <c r="B396" s="69" t="str">
        <f>_xlfn.IFNA(VLOOKUP(C396,Master!$J:$K,2,0),"")</f>
        <v/>
      </c>
      <c r="D396" s="71" t="str">
        <f>_xlfn.IFNA(VLOOKUP(E396,Master!$J:$K,2,0),"")</f>
        <v/>
      </c>
      <c r="F396" s="71" t="str">
        <f>_xlfn.IFNA(VLOOKUP(G396,Master!B:C,2,0),"")</f>
        <v/>
      </c>
      <c r="I396" s="69" t="str">
        <f>_xlfn.IFNA(VLOOKUP(E396,Master!$J:$M,4,0),"")</f>
        <v/>
      </c>
      <c r="J396" s="69" t="str">
        <f>_xlfn.IFNA(VLOOKUP($E396,Master!$J:$M,3,0),"")</f>
        <v/>
      </c>
      <c r="AC396" s="14">
        <f t="shared" si="14"/>
        <v>0</v>
      </c>
      <c r="AD396" s="14">
        <f t="shared" si="15"/>
        <v>0</v>
      </c>
    </row>
    <row r="397" spans="2:30" ht="15" customHeight="1" x14ac:dyDescent="0.4">
      <c r="B397" s="69" t="str">
        <f>_xlfn.IFNA(VLOOKUP(C397,Master!$J:$K,2,0),"")</f>
        <v/>
      </c>
      <c r="D397" s="71" t="str">
        <f>_xlfn.IFNA(VLOOKUP(E397,Master!$J:$K,2,0),"")</f>
        <v/>
      </c>
      <c r="F397" s="71" t="str">
        <f>_xlfn.IFNA(VLOOKUP(G397,Master!B:C,2,0),"")</f>
        <v/>
      </c>
      <c r="I397" s="69" t="str">
        <f>_xlfn.IFNA(VLOOKUP(E397,Master!$J:$M,4,0),"")</f>
        <v/>
      </c>
      <c r="J397" s="69" t="str">
        <f>_xlfn.IFNA(VLOOKUP($E397,Master!$J:$M,3,0),"")</f>
        <v/>
      </c>
      <c r="AC397" s="14">
        <f t="shared" si="14"/>
        <v>0</v>
      </c>
      <c r="AD397" s="14">
        <f t="shared" si="15"/>
        <v>0</v>
      </c>
    </row>
    <row r="398" spans="2:30" ht="15" customHeight="1" x14ac:dyDescent="0.4">
      <c r="B398" s="69" t="str">
        <f>_xlfn.IFNA(VLOOKUP(C398,Master!$J:$K,2,0),"")</f>
        <v/>
      </c>
      <c r="D398" s="71" t="str">
        <f>_xlfn.IFNA(VLOOKUP(E398,Master!$J:$K,2,0),"")</f>
        <v/>
      </c>
      <c r="F398" s="71" t="str">
        <f>_xlfn.IFNA(VLOOKUP(G398,Master!B:C,2,0),"")</f>
        <v/>
      </c>
      <c r="I398" s="69" t="str">
        <f>_xlfn.IFNA(VLOOKUP(E398,Master!$J:$M,4,0),"")</f>
        <v/>
      </c>
      <c r="J398" s="69" t="str">
        <f>_xlfn.IFNA(VLOOKUP($E398,Master!$J:$M,3,0),"")</f>
        <v/>
      </c>
      <c r="AC398" s="14">
        <f t="shared" si="14"/>
        <v>0</v>
      </c>
      <c r="AD398" s="14">
        <f t="shared" si="15"/>
        <v>0</v>
      </c>
    </row>
    <row r="399" spans="2:30" ht="15" customHeight="1" x14ac:dyDescent="0.4">
      <c r="B399" s="69" t="str">
        <f>_xlfn.IFNA(VLOOKUP(C399,Master!$J:$K,2,0),"")</f>
        <v/>
      </c>
      <c r="D399" s="71" t="str">
        <f>_xlfn.IFNA(VLOOKUP(E399,Master!$J:$K,2,0),"")</f>
        <v/>
      </c>
      <c r="F399" s="71" t="str">
        <f>_xlfn.IFNA(VLOOKUP(G399,Master!B:C,2,0),"")</f>
        <v/>
      </c>
      <c r="I399" s="69" t="str">
        <f>_xlfn.IFNA(VLOOKUP(E399,Master!$J:$M,4,0),"")</f>
        <v/>
      </c>
      <c r="J399" s="69" t="str">
        <f>_xlfn.IFNA(VLOOKUP($E399,Master!$J:$M,3,0),"")</f>
        <v/>
      </c>
      <c r="AC399" s="14">
        <f t="shared" si="14"/>
        <v>0</v>
      </c>
      <c r="AD399" s="14">
        <f t="shared" si="15"/>
        <v>0</v>
      </c>
    </row>
    <row r="400" spans="2:30" ht="15" customHeight="1" x14ac:dyDescent="0.4">
      <c r="B400" s="69" t="str">
        <f>_xlfn.IFNA(VLOOKUP(C400,Master!$J:$K,2,0),"")</f>
        <v/>
      </c>
      <c r="D400" s="71" t="str">
        <f>_xlfn.IFNA(VLOOKUP(E400,Master!$J:$K,2,0),"")</f>
        <v/>
      </c>
      <c r="F400" s="71" t="str">
        <f>_xlfn.IFNA(VLOOKUP(G400,Master!B:C,2,0),"")</f>
        <v/>
      </c>
      <c r="I400" s="69" t="str">
        <f>_xlfn.IFNA(VLOOKUP(E400,Master!$J:$M,4,0),"")</f>
        <v/>
      </c>
      <c r="J400" s="69" t="str">
        <f>_xlfn.IFNA(VLOOKUP($E400,Master!$J:$M,3,0),"")</f>
        <v/>
      </c>
      <c r="AC400" s="14">
        <f t="shared" si="14"/>
        <v>0</v>
      </c>
      <c r="AD400" s="14">
        <f t="shared" si="15"/>
        <v>0</v>
      </c>
    </row>
    <row r="401" spans="2:30" ht="15" customHeight="1" x14ac:dyDescent="0.4">
      <c r="B401" s="69" t="str">
        <f>_xlfn.IFNA(VLOOKUP(C401,Master!$J:$K,2,0),"")</f>
        <v/>
      </c>
      <c r="D401" s="71" t="str">
        <f>_xlfn.IFNA(VLOOKUP(E401,Master!$J:$K,2,0),"")</f>
        <v/>
      </c>
      <c r="F401" s="71" t="str">
        <f>_xlfn.IFNA(VLOOKUP(G401,Master!B:C,2,0),"")</f>
        <v/>
      </c>
      <c r="I401" s="69" t="str">
        <f>_xlfn.IFNA(VLOOKUP(E401,Master!$J:$M,4,0),"")</f>
        <v/>
      </c>
      <c r="J401" s="69" t="str">
        <f>_xlfn.IFNA(VLOOKUP($E401,Master!$J:$M,3,0),"")</f>
        <v/>
      </c>
      <c r="AC401" s="14">
        <f t="shared" si="14"/>
        <v>0</v>
      </c>
      <c r="AD401" s="14">
        <f t="shared" si="15"/>
        <v>0</v>
      </c>
    </row>
    <row r="402" spans="2:30" ht="15" customHeight="1" x14ac:dyDescent="0.4">
      <c r="B402" s="69" t="str">
        <f>_xlfn.IFNA(VLOOKUP(C402,Master!$J:$K,2,0),"")</f>
        <v/>
      </c>
      <c r="D402" s="71" t="str">
        <f>_xlfn.IFNA(VLOOKUP(E402,Master!$J:$K,2,0),"")</f>
        <v/>
      </c>
      <c r="F402" s="71" t="str">
        <f>_xlfn.IFNA(VLOOKUP(G402,Master!B:C,2,0),"")</f>
        <v/>
      </c>
      <c r="I402" s="69" t="str">
        <f>_xlfn.IFNA(VLOOKUP(E402,Master!$J:$M,4,0),"")</f>
        <v/>
      </c>
      <c r="J402" s="69" t="str">
        <f>_xlfn.IFNA(VLOOKUP($E402,Master!$J:$M,3,0),"")</f>
        <v/>
      </c>
      <c r="AC402" s="14">
        <f t="shared" si="14"/>
        <v>0</v>
      </c>
      <c r="AD402" s="14">
        <f t="shared" si="15"/>
        <v>0</v>
      </c>
    </row>
    <row r="403" spans="2:30" ht="15" customHeight="1" x14ac:dyDescent="0.4">
      <c r="B403" s="69" t="str">
        <f>_xlfn.IFNA(VLOOKUP(C403,Master!$J:$K,2,0),"")</f>
        <v/>
      </c>
      <c r="D403" s="71" t="str">
        <f>_xlfn.IFNA(VLOOKUP(E403,Master!$J:$K,2,0),"")</f>
        <v/>
      </c>
      <c r="F403" s="71" t="str">
        <f>_xlfn.IFNA(VLOOKUP(G403,Master!B:C,2,0),"")</f>
        <v/>
      </c>
      <c r="I403" s="69" t="str">
        <f>_xlfn.IFNA(VLOOKUP(E403,Master!$J:$M,4,0),"")</f>
        <v/>
      </c>
      <c r="J403" s="69" t="str">
        <f>_xlfn.IFNA(VLOOKUP($E403,Master!$J:$M,3,0),"")</f>
        <v/>
      </c>
      <c r="AC403" s="14">
        <f t="shared" si="14"/>
        <v>0</v>
      </c>
      <c r="AD403" s="14">
        <f t="shared" si="15"/>
        <v>0</v>
      </c>
    </row>
    <row r="404" spans="2:30" ht="15" customHeight="1" x14ac:dyDescent="0.4">
      <c r="B404" s="69" t="str">
        <f>_xlfn.IFNA(VLOOKUP(C404,Master!$J:$K,2,0),"")</f>
        <v/>
      </c>
      <c r="D404" s="71" t="str">
        <f>_xlfn.IFNA(VLOOKUP(E404,Master!$J:$K,2,0),"")</f>
        <v/>
      </c>
      <c r="F404" s="71" t="str">
        <f>_xlfn.IFNA(VLOOKUP(G404,Master!B:C,2,0),"")</f>
        <v/>
      </c>
      <c r="I404" s="69" t="str">
        <f>_xlfn.IFNA(VLOOKUP(E404,Master!$J:$M,4,0),"")</f>
        <v/>
      </c>
      <c r="J404" s="69" t="str">
        <f>_xlfn.IFNA(VLOOKUP($E404,Master!$J:$M,3,0),"")</f>
        <v/>
      </c>
      <c r="AC404" s="14">
        <f t="shared" si="14"/>
        <v>0</v>
      </c>
      <c r="AD404" s="14">
        <f t="shared" si="15"/>
        <v>0</v>
      </c>
    </row>
    <row r="405" spans="2:30" ht="15" customHeight="1" x14ac:dyDescent="0.4">
      <c r="B405" s="69" t="str">
        <f>_xlfn.IFNA(VLOOKUP(C405,Master!$J:$K,2,0),"")</f>
        <v/>
      </c>
      <c r="D405" s="71" t="str">
        <f>_xlfn.IFNA(VLOOKUP(E405,Master!$J:$K,2,0),"")</f>
        <v/>
      </c>
      <c r="F405" s="71" t="str">
        <f>_xlfn.IFNA(VLOOKUP(G405,Master!B:C,2,0),"")</f>
        <v/>
      </c>
      <c r="I405" s="69" t="str">
        <f>_xlfn.IFNA(VLOOKUP(E405,Master!$J:$M,4,0),"")</f>
        <v/>
      </c>
      <c r="J405" s="69" t="str">
        <f>_xlfn.IFNA(VLOOKUP($E405,Master!$J:$M,3,0),"")</f>
        <v/>
      </c>
      <c r="AC405" s="14">
        <f t="shared" si="14"/>
        <v>0</v>
      </c>
      <c r="AD405" s="14">
        <f t="shared" si="15"/>
        <v>0</v>
      </c>
    </row>
    <row r="406" spans="2:30" ht="15" customHeight="1" x14ac:dyDescent="0.4">
      <c r="B406" s="69" t="str">
        <f>_xlfn.IFNA(VLOOKUP(C406,Master!$J:$K,2,0),"")</f>
        <v/>
      </c>
      <c r="D406" s="71" t="str">
        <f>_xlfn.IFNA(VLOOKUP(E406,Master!$J:$K,2,0),"")</f>
        <v/>
      </c>
      <c r="F406" s="71" t="str">
        <f>_xlfn.IFNA(VLOOKUP(G406,Master!B:C,2,0),"")</f>
        <v/>
      </c>
      <c r="I406" s="69" t="str">
        <f>_xlfn.IFNA(VLOOKUP(E406,Master!$J:$M,4,0),"")</f>
        <v/>
      </c>
      <c r="J406" s="69" t="str">
        <f>_xlfn.IFNA(VLOOKUP($E406,Master!$J:$M,3,0),"")</f>
        <v/>
      </c>
      <c r="AC406" s="14">
        <f t="shared" si="14"/>
        <v>0</v>
      </c>
      <c r="AD406" s="14">
        <f t="shared" si="15"/>
        <v>0</v>
      </c>
    </row>
    <row r="407" spans="2:30" ht="15" customHeight="1" x14ac:dyDescent="0.4">
      <c r="B407" s="69" t="str">
        <f>_xlfn.IFNA(VLOOKUP(C407,Master!$J:$K,2,0),"")</f>
        <v/>
      </c>
      <c r="D407" s="71" t="str">
        <f>_xlfn.IFNA(VLOOKUP(E407,Master!$J:$K,2,0),"")</f>
        <v/>
      </c>
      <c r="F407" s="71" t="str">
        <f>_xlfn.IFNA(VLOOKUP(G407,Master!B:C,2,0),"")</f>
        <v/>
      </c>
      <c r="I407" s="69" t="str">
        <f>_xlfn.IFNA(VLOOKUP(E407,Master!$J:$M,4,0),"")</f>
        <v/>
      </c>
      <c r="J407" s="69" t="str">
        <f>_xlfn.IFNA(VLOOKUP($E407,Master!$J:$M,3,0),"")</f>
        <v/>
      </c>
      <c r="AC407" s="14">
        <f t="shared" si="14"/>
        <v>0</v>
      </c>
      <c r="AD407" s="14">
        <f t="shared" si="15"/>
        <v>0</v>
      </c>
    </row>
    <row r="408" spans="2:30" ht="15" customHeight="1" x14ac:dyDescent="0.4">
      <c r="B408" s="69" t="str">
        <f>_xlfn.IFNA(VLOOKUP(C408,Master!$J:$K,2,0),"")</f>
        <v/>
      </c>
      <c r="D408" s="71" t="str">
        <f>_xlfn.IFNA(VLOOKUP(E408,Master!$J:$K,2,0),"")</f>
        <v/>
      </c>
      <c r="F408" s="71" t="str">
        <f>_xlfn.IFNA(VLOOKUP(G408,Master!B:C,2,0),"")</f>
        <v/>
      </c>
      <c r="I408" s="69" t="str">
        <f>_xlfn.IFNA(VLOOKUP(E408,Master!$J:$M,4,0),"")</f>
        <v/>
      </c>
      <c r="J408" s="69" t="str">
        <f>_xlfn.IFNA(VLOOKUP($E408,Master!$J:$M,3,0),"")</f>
        <v/>
      </c>
      <c r="AC408" s="14">
        <f t="shared" si="14"/>
        <v>0</v>
      </c>
      <c r="AD408" s="14">
        <f t="shared" si="15"/>
        <v>0</v>
      </c>
    </row>
    <row r="409" spans="2:30" ht="15" customHeight="1" x14ac:dyDescent="0.4">
      <c r="B409" s="69" t="str">
        <f>_xlfn.IFNA(VLOOKUP(C409,Master!$J:$K,2,0),"")</f>
        <v/>
      </c>
      <c r="D409" s="71" t="str">
        <f>_xlfn.IFNA(VLOOKUP(E409,Master!$J:$K,2,0),"")</f>
        <v/>
      </c>
      <c r="F409" s="71" t="str">
        <f>_xlfn.IFNA(VLOOKUP(G409,Master!B:C,2,0),"")</f>
        <v/>
      </c>
      <c r="I409" s="69" t="str">
        <f>_xlfn.IFNA(VLOOKUP(E409,Master!$J:$M,4,0),"")</f>
        <v/>
      </c>
      <c r="J409" s="69" t="str">
        <f>_xlfn.IFNA(VLOOKUP($E409,Master!$J:$M,3,0),"")</f>
        <v/>
      </c>
      <c r="AC409" s="14">
        <f t="shared" si="14"/>
        <v>0</v>
      </c>
      <c r="AD409" s="14">
        <f t="shared" si="15"/>
        <v>0</v>
      </c>
    </row>
    <row r="410" spans="2:30" ht="15" customHeight="1" x14ac:dyDescent="0.4">
      <c r="B410" s="69" t="str">
        <f>_xlfn.IFNA(VLOOKUP(C410,Master!$J:$K,2,0),"")</f>
        <v/>
      </c>
      <c r="D410" s="71" t="str">
        <f>_xlfn.IFNA(VLOOKUP(E410,Master!$J:$K,2,0),"")</f>
        <v/>
      </c>
      <c r="F410" s="71" t="str">
        <f>_xlfn.IFNA(VLOOKUP(G410,Master!B:C,2,0),"")</f>
        <v/>
      </c>
      <c r="I410" s="69" t="str">
        <f>_xlfn.IFNA(VLOOKUP(E410,Master!$J:$M,4,0),"")</f>
        <v/>
      </c>
      <c r="J410" s="69" t="str">
        <f>_xlfn.IFNA(VLOOKUP($E410,Master!$J:$M,3,0),"")</f>
        <v/>
      </c>
      <c r="AC410" s="14">
        <f t="shared" si="14"/>
        <v>0</v>
      </c>
      <c r="AD410" s="14">
        <f t="shared" si="15"/>
        <v>0</v>
      </c>
    </row>
    <row r="411" spans="2:30" ht="15" customHeight="1" x14ac:dyDescent="0.4">
      <c r="B411" s="69" t="str">
        <f>_xlfn.IFNA(VLOOKUP(C411,Master!$J:$K,2,0),"")</f>
        <v/>
      </c>
      <c r="D411" s="71" t="str">
        <f>_xlfn.IFNA(VLOOKUP(E411,Master!$J:$K,2,0),"")</f>
        <v/>
      </c>
      <c r="F411" s="71" t="str">
        <f>_xlfn.IFNA(VLOOKUP(G411,Master!B:C,2,0),"")</f>
        <v/>
      </c>
      <c r="I411" s="69" t="str">
        <f>_xlfn.IFNA(VLOOKUP(E411,Master!$J:$M,4,0),"")</f>
        <v/>
      </c>
      <c r="J411" s="69" t="str">
        <f>_xlfn.IFNA(VLOOKUP($E411,Master!$J:$M,3,0),"")</f>
        <v/>
      </c>
      <c r="AC411" s="14">
        <f t="shared" si="14"/>
        <v>0</v>
      </c>
      <c r="AD411" s="14">
        <f t="shared" si="15"/>
        <v>0</v>
      </c>
    </row>
    <row r="412" spans="2:30" ht="15" customHeight="1" x14ac:dyDescent="0.4">
      <c r="B412" s="69" t="str">
        <f>_xlfn.IFNA(VLOOKUP(C412,Master!$J:$K,2,0),"")</f>
        <v/>
      </c>
      <c r="D412" s="71" t="str">
        <f>_xlfn.IFNA(VLOOKUP(E412,Master!$J:$K,2,0),"")</f>
        <v/>
      </c>
      <c r="F412" s="71" t="str">
        <f>_xlfn.IFNA(VLOOKUP(G412,Master!B:C,2,0),"")</f>
        <v/>
      </c>
      <c r="I412" s="69" t="str">
        <f>_xlfn.IFNA(VLOOKUP(E412,Master!$J:$M,4,0),"")</f>
        <v/>
      </c>
      <c r="J412" s="69" t="str">
        <f>_xlfn.IFNA(VLOOKUP($E412,Master!$J:$M,3,0),"")</f>
        <v/>
      </c>
      <c r="AC412" s="14">
        <f t="shared" si="14"/>
        <v>0</v>
      </c>
      <c r="AD412" s="14">
        <f t="shared" si="15"/>
        <v>0</v>
      </c>
    </row>
    <row r="413" spans="2:30" ht="15" customHeight="1" x14ac:dyDescent="0.4">
      <c r="B413" s="69" t="str">
        <f>_xlfn.IFNA(VLOOKUP(C413,Master!$J:$K,2,0),"")</f>
        <v/>
      </c>
      <c r="D413" s="71" t="str">
        <f>_xlfn.IFNA(VLOOKUP(E413,Master!$J:$K,2,0),"")</f>
        <v/>
      </c>
      <c r="F413" s="71" t="str">
        <f>_xlfn.IFNA(VLOOKUP(G413,Master!B:C,2,0),"")</f>
        <v/>
      </c>
      <c r="I413" s="69" t="str">
        <f>_xlfn.IFNA(VLOOKUP(E413,Master!$J:$M,4,0),"")</f>
        <v/>
      </c>
      <c r="J413" s="69" t="str">
        <f>_xlfn.IFNA(VLOOKUP($E413,Master!$J:$M,3,0),"")</f>
        <v/>
      </c>
      <c r="AC413" s="14">
        <f t="shared" si="14"/>
        <v>0</v>
      </c>
      <c r="AD413" s="14">
        <f t="shared" si="15"/>
        <v>0</v>
      </c>
    </row>
    <row r="414" spans="2:30" ht="15" customHeight="1" x14ac:dyDescent="0.4">
      <c r="B414" s="69" t="str">
        <f>_xlfn.IFNA(VLOOKUP(C414,Master!$J:$K,2,0),"")</f>
        <v/>
      </c>
      <c r="D414" s="71" t="str">
        <f>_xlfn.IFNA(VLOOKUP(E414,Master!$J:$K,2,0),"")</f>
        <v/>
      </c>
      <c r="F414" s="71" t="str">
        <f>_xlfn.IFNA(VLOOKUP(G414,Master!B:C,2,0),"")</f>
        <v/>
      </c>
      <c r="I414" s="69" t="str">
        <f>_xlfn.IFNA(VLOOKUP(E414,Master!$J:$M,4,0),"")</f>
        <v/>
      </c>
      <c r="J414" s="69" t="str">
        <f>_xlfn.IFNA(VLOOKUP($E414,Master!$J:$M,3,0),"")</f>
        <v/>
      </c>
      <c r="AC414" s="14">
        <f t="shared" si="14"/>
        <v>0</v>
      </c>
      <c r="AD414" s="14">
        <f t="shared" si="15"/>
        <v>0</v>
      </c>
    </row>
    <row r="415" spans="2:30" ht="15" customHeight="1" x14ac:dyDescent="0.4">
      <c r="B415" s="69" t="str">
        <f>_xlfn.IFNA(VLOOKUP(C415,Master!$J:$K,2,0),"")</f>
        <v/>
      </c>
      <c r="D415" s="71" t="str">
        <f>_xlfn.IFNA(VLOOKUP(E415,Master!$J:$K,2,0),"")</f>
        <v/>
      </c>
      <c r="F415" s="71" t="str">
        <f>_xlfn.IFNA(VLOOKUP(G415,Master!B:C,2,0),"")</f>
        <v/>
      </c>
      <c r="I415" s="69" t="str">
        <f>_xlfn.IFNA(VLOOKUP(E415,Master!$J:$M,4,0),"")</f>
        <v/>
      </c>
      <c r="J415" s="69" t="str">
        <f>_xlfn.IFNA(VLOOKUP($E415,Master!$J:$M,3,0),"")</f>
        <v/>
      </c>
      <c r="AC415" s="14">
        <f t="shared" si="14"/>
        <v>0</v>
      </c>
      <c r="AD415" s="14">
        <f t="shared" si="15"/>
        <v>0</v>
      </c>
    </row>
    <row r="416" spans="2:30" ht="15" customHeight="1" x14ac:dyDescent="0.4">
      <c r="B416" s="69" t="str">
        <f>_xlfn.IFNA(VLOOKUP(C416,Master!$J:$K,2,0),"")</f>
        <v/>
      </c>
      <c r="D416" s="71" t="str">
        <f>_xlfn.IFNA(VLOOKUP(E416,Master!$J:$K,2,0),"")</f>
        <v/>
      </c>
      <c r="F416" s="71" t="str">
        <f>_xlfn.IFNA(VLOOKUP(G416,Master!B:C,2,0),"")</f>
        <v/>
      </c>
      <c r="I416" s="69" t="str">
        <f>_xlfn.IFNA(VLOOKUP(E416,Master!$J:$M,4,0),"")</f>
        <v/>
      </c>
      <c r="J416" s="69" t="str">
        <f>_xlfn.IFNA(VLOOKUP($E416,Master!$J:$M,3,0),"")</f>
        <v/>
      </c>
      <c r="AC416" s="14">
        <f t="shared" si="14"/>
        <v>0</v>
      </c>
      <c r="AD416" s="14">
        <f t="shared" si="15"/>
        <v>0</v>
      </c>
    </row>
    <row r="417" spans="2:30" ht="15" customHeight="1" x14ac:dyDescent="0.4">
      <c r="B417" s="69" t="str">
        <f>_xlfn.IFNA(VLOOKUP(C417,Master!$J:$K,2,0),"")</f>
        <v/>
      </c>
      <c r="D417" s="71" t="str">
        <f>_xlfn.IFNA(VLOOKUP(E417,Master!$J:$K,2,0),"")</f>
        <v/>
      </c>
      <c r="F417" s="71" t="str">
        <f>_xlfn.IFNA(VLOOKUP(G417,Master!B:C,2,0),"")</f>
        <v/>
      </c>
      <c r="I417" s="69" t="str">
        <f>_xlfn.IFNA(VLOOKUP(E417,Master!$J:$M,4,0),"")</f>
        <v/>
      </c>
      <c r="J417" s="69" t="str">
        <f>_xlfn.IFNA(VLOOKUP($E417,Master!$J:$M,3,0),"")</f>
        <v/>
      </c>
      <c r="AC417" s="14">
        <f t="shared" si="14"/>
        <v>0</v>
      </c>
      <c r="AD417" s="14">
        <f t="shared" si="15"/>
        <v>0</v>
      </c>
    </row>
    <row r="418" spans="2:30" ht="15" customHeight="1" x14ac:dyDescent="0.4">
      <c r="B418" s="69" t="str">
        <f>_xlfn.IFNA(VLOOKUP(C418,Master!$J:$K,2,0),"")</f>
        <v/>
      </c>
      <c r="D418" s="71" t="str">
        <f>_xlfn.IFNA(VLOOKUP(E418,Master!$J:$K,2,0),"")</f>
        <v/>
      </c>
      <c r="F418" s="71" t="str">
        <f>_xlfn.IFNA(VLOOKUP(G418,Master!B:C,2,0),"")</f>
        <v/>
      </c>
      <c r="I418" s="69" t="str">
        <f>_xlfn.IFNA(VLOOKUP(E418,Master!$J:$M,4,0),"")</f>
        <v/>
      </c>
      <c r="J418" s="69" t="str">
        <f>_xlfn.IFNA(VLOOKUP($E418,Master!$J:$M,3,0),"")</f>
        <v/>
      </c>
      <c r="AC418" s="14">
        <f t="shared" si="14"/>
        <v>0</v>
      </c>
      <c r="AD418" s="14">
        <f t="shared" si="15"/>
        <v>0</v>
      </c>
    </row>
    <row r="419" spans="2:30" ht="15" customHeight="1" x14ac:dyDescent="0.4">
      <c r="B419" s="69" t="str">
        <f>_xlfn.IFNA(VLOOKUP(C419,Master!$J:$K,2,0),"")</f>
        <v/>
      </c>
      <c r="D419" s="71" t="str">
        <f>_xlfn.IFNA(VLOOKUP(E419,Master!$J:$K,2,0),"")</f>
        <v/>
      </c>
      <c r="F419" s="71" t="str">
        <f>_xlfn.IFNA(VLOOKUP(G419,Master!B:C,2,0),"")</f>
        <v/>
      </c>
      <c r="I419" s="69" t="str">
        <f>_xlfn.IFNA(VLOOKUP(E419,Master!$J:$M,4,0),"")</f>
        <v/>
      </c>
      <c r="J419" s="69" t="str">
        <f>_xlfn.IFNA(VLOOKUP($E419,Master!$J:$M,3,0),"")</f>
        <v/>
      </c>
      <c r="AC419" s="14">
        <f t="shared" si="14"/>
        <v>0</v>
      </c>
      <c r="AD419" s="14">
        <f t="shared" si="15"/>
        <v>0</v>
      </c>
    </row>
    <row r="420" spans="2:30" ht="15" customHeight="1" x14ac:dyDescent="0.4">
      <c r="B420" s="69" t="str">
        <f>_xlfn.IFNA(VLOOKUP(C420,Master!$J:$K,2,0),"")</f>
        <v/>
      </c>
      <c r="D420" s="71" t="str">
        <f>_xlfn.IFNA(VLOOKUP(E420,Master!$J:$K,2,0),"")</f>
        <v/>
      </c>
      <c r="F420" s="71" t="str">
        <f>_xlfn.IFNA(VLOOKUP(G420,Master!B:C,2,0),"")</f>
        <v/>
      </c>
      <c r="I420" s="69" t="str">
        <f>_xlfn.IFNA(VLOOKUP(E420,Master!$J:$M,4,0),"")</f>
        <v/>
      </c>
      <c r="J420" s="69" t="str">
        <f>_xlfn.IFNA(VLOOKUP($E420,Master!$J:$M,3,0),"")</f>
        <v/>
      </c>
      <c r="AC420" s="14">
        <f t="shared" si="14"/>
        <v>0</v>
      </c>
      <c r="AD420" s="14">
        <f t="shared" si="15"/>
        <v>0</v>
      </c>
    </row>
    <row r="421" spans="2:30" ht="15" customHeight="1" x14ac:dyDescent="0.4">
      <c r="B421" s="69" t="str">
        <f>_xlfn.IFNA(VLOOKUP(C421,Master!$J:$K,2,0),"")</f>
        <v/>
      </c>
      <c r="D421" s="71" t="str">
        <f>_xlfn.IFNA(VLOOKUP(E421,Master!$J:$K,2,0),"")</f>
        <v/>
      </c>
      <c r="F421" s="71" t="str">
        <f>_xlfn.IFNA(VLOOKUP(G421,Master!B:C,2,0),"")</f>
        <v/>
      </c>
      <c r="I421" s="69" t="str">
        <f>_xlfn.IFNA(VLOOKUP(E421,Master!$J:$M,4,0),"")</f>
        <v/>
      </c>
      <c r="J421" s="69" t="str">
        <f>_xlfn.IFNA(VLOOKUP($E421,Master!$J:$M,3,0),"")</f>
        <v/>
      </c>
      <c r="AC421" s="14">
        <f t="shared" si="14"/>
        <v>0</v>
      </c>
      <c r="AD421" s="14">
        <f t="shared" si="15"/>
        <v>0</v>
      </c>
    </row>
    <row r="422" spans="2:30" ht="15" customHeight="1" x14ac:dyDescent="0.4">
      <c r="B422" s="69" t="str">
        <f>_xlfn.IFNA(VLOOKUP(C422,Master!$J:$K,2,0),"")</f>
        <v/>
      </c>
      <c r="D422" s="71" t="str">
        <f>_xlfn.IFNA(VLOOKUP(E422,Master!$J:$K,2,0),"")</f>
        <v/>
      </c>
      <c r="F422" s="71" t="str">
        <f>_xlfn.IFNA(VLOOKUP(G422,Master!B:C,2,0),"")</f>
        <v/>
      </c>
      <c r="I422" s="69" t="str">
        <f>_xlfn.IFNA(VLOOKUP(E422,Master!$J:$M,4,0),"")</f>
        <v/>
      </c>
      <c r="J422" s="69" t="str">
        <f>_xlfn.IFNA(VLOOKUP($E422,Master!$J:$M,3,0),"")</f>
        <v/>
      </c>
      <c r="AC422" s="14">
        <f t="shared" si="14"/>
        <v>0</v>
      </c>
      <c r="AD422" s="14">
        <f t="shared" si="15"/>
        <v>0</v>
      </c>
    </row>
    <row r="423" spans="2:30" ht="15" customHeight="1" x14ac:dyDescent="0.4">
      <c r="B423" s="69" t="str">
        <f>_xlfn.IFNA(VLOOKUP(C423,Master!$J:$K,2,0),"")</f>
        <v/>
      </c>
      <c r="D423" s="71" t="str">
        <f>_xlfn.IFNA(VLOOKUP(E423,Master!$J:$K,2,0),"")</f>
        <v/>
      </c>
      <c r="F423" s="71" t="str">
        <f>_xlfn.IFNA(VLOOKUP(G423,Master!B:C,2,0),"")</f>
        <v/>
      </c>
      <c r="I423" s="69" t="str">
        <f>_xlfn.IFNA(VLOOKUP(E423,Master!$J:$M,4,0),"")</f>
        <v/>
      </c>
      <c r="J423" s="69" t="str">
        <f>_xlfn.IFNA(VLOOKUP($E423,Master!$J:$M,3,0),"")</f>
        <v/>
      </c>
      <c r="AC423" s="14">
        <f t="shared" si="14"/>
        <v>0</v>
      </c>
      <c r="AD423" s="14">
        <f t="shared" si="15"/>
        <v>0</v>
      </c>
    </row>
    <row r="424" spans="2:30" ht="15" customHeight="1" x14ac:dyDescent="0.4">
      <c r="B424" s="69" t="str">
        <f>_xlfn.IFNA(VLOOKUP(C424,Master!$J:$K,2,0),"")</f>
        <v/>
      </c>
      <c r="D424" s="71" t="str">
        <f>_xlfn.IFNA(VLOOKUP(E424,Master!$J:$K,2,0),"")</f>
        <v/>
      </c>
      <c r="F424" s="71" t="str">
        <f>_xlfn.IFNA(VLOOKUP(G424,Master!B:C,2,0),"")</f>
        <v/>
      </c>
      <c r="I424" s="69" t="str">
        <f>_xlfn.IFNA(VLOOKUP(E424,Master!$J:$M,4,0),"")</f>
        <v/>
      </c>
      <c r="J424" s="69" t="str">
        <f>_xlfn.IFNA(VLOOKUP($E424,Master!$J:$M,3,0),"")</f>
        <v/>
      </c>
      <c r="AC424" s="14">
        <f t="shared" si="14"/>
        <v>0</v>
      </c>
      <c r="AD424" s="14">
        <f t="shared" si="15"/>
        <v>0</v>
      </c>
    </row>
    <row r="425" spans="2:30" ht="15" customHeight="1" x14ac:dyDescent="0.4">
      <c r="B425" s="69" t="str">
        <f>_xlfn.IFNA(VLOOKUP(C425,Master!$J:$K,2,0),"")</f>
        <v/>
      </c>
      <c r="D425" s="71" t="str">
        <f>_xlfn.IFNA(VLOOKUP(E425,Master!$J:$K,2,0),"")</f>
        <v/>
      </c>
      <c r="F425" s="71" t="str">
        <f>_xlfn.IFNA(VLOOKUP(G425,Master!B:C,2,0),"")</f>
        <v/>
      </c>
      <c r="I425" s="69" t="str">
        <f>_xlfn.IFNA(VLOOKUP(E425,Master!$J:$M,4,0),"")</f>
        <v/>
      </c>
      <c r="J425" s="69" t="str">
        <f>_xlfn.IFNA(VLOOKUP($E425,Master!$J:$M,3,0),"")</f>
        <v/>
      </c>
      <c r="AC425" s="14">
        <f t="shared" si="14"/>
        <v>0</v>
      </c>
      <c r="AD425" s="14">
        <f t="shared" si="15"/>
        <v>0</v>
      </c>
    </row>
    <row r="426" spans="2:30" ht="15" customHeight="1" x14ac:dyDescent="0.4">
      <c r="B426" s="69" t="str">
        <f>_xlfn.IFNA(VLOOKUP(C426,Master!$J:$K,2,0),"")</f>
        <v/>
      </c>
      <c r="D426" s="71" t="str">
        <f>_xlfn.IFNA(VLOOKUP(E426,Master!$J:$K,2,0),"")</f>
        <v/>
      </c>
      <c r="F426" s="71" t="str">
        <f>_xlfn.IFNA(VLOOKUP(G426,Master!B:C,2,0),"")</f>
        <v/>
      </c>
      <c r="I426" s="69" t="str">
        <f>_xlfn.IFNA(VLOOKUP(E426,Master!$J:$M,4,0),"")</f>
        <v/>
      </c>
      <c r="J426" s="69" t="str">
        <f>_xlfn.IFNA(VLOOKUP($E426,Master!$J:$M,3,0),"")</f>
        <v/>
      </c>
      <c r="AC426" s="14">
        <f t="shared" si="14"/>
        <v>0</v>
      </c>
      <c r="AD426" s="14">
        <f t="shared" si="15"/>
        <v>0</v>
      </c>
    </row>
    <row r="427" spans="2:30" ht="15" customHeight="1" x14ac:dyDescent="0.4">
      <c r="B427" s="69" t="str">
        <f>_xlfn.IFNA(VLOOKUP(C427,Master!$J:$K,2,0),"")</f>
        <v/>
      </c>
      <c r="D427" s="71" t="str">
        <f>_xlfn.IFNA(VLOOKUP(E427,Master!$J:$K,2,0),"")</f>
        <v/>
      </c>
      <c r="F427" s="71" t="str">
        <f>_xlfn.IFNA(VLOOKUP(G427,Master!B:C,2,0),"")</f>
        <v/>
      </c>
      <c r="I427" s="69" t="str">
        <f>_xlfn.IFNA(VLOOKUP(E427,Master!$J:$M,4,0),"")</f>
        <v/>
      </c>
      <c r="J427" s="69" t="str">
        <f>_xlfn.IFNA(VLOOKUP($E427,Master!$J:$M,3,0),"")</f>
        <v/>
      </c>
      <c r="AC427" s="14">
        <f t="shared" si="14"/>
        <v>0</v>
      </c>
      <c r="AD427" s="14">
        <f t="shared" si="15"/>
        <v>0</v>
      </c>
    </row>
    <row r="428" spans="2:30" ht="15" customHeight="1" x14ac:dyDescent="0.4">
      <c r="B428" s="69" t="str">
        <f>_xlfn.IFNA(VLOOKUP(C428,Master!$J:$K,2,0),"")</f>
        <v/>
      </c>
      <c r="D428" s="71" t="str">
        <f>_xlfn.IFNA(VLOOKUP(E428,Master!$J:$K,2,0),"")</f>
        <v/>
      </c>
      <c r="F428" s="71" t="str">
        <f>_xlfn.IFNA(VLOOKUP(G428,Master!B:C,2,0),"")</f>
        <v/>
      </c>
      <c r="I428" s="69" t="str">
        <f>_xlfn.IFNA(VLOOKUP(E428,Master!$J:$M,4,0),"")</f>
        <v/>
      </c>
      <c r="J428" s="69" t="str">
        <f>_xlfn.IFNA(VLOOKUP($E428,Master!$J:$M,3,0),"")</f>
        <v/>
      </c>
      <c r="AC428" s="14">
        <f t="shared" si="14"/>
        <v>0</v>
      </c>
      <c r="AD428" s="14">
        <f t="shared" si="15"/>
        <v>0</v>
      </c>
    </row>
    <row r="429" spans="2:30" ht="15" customHeight="1" x14ac:dyDescent="0.4">
      <c r="B429" s="69" t="str">
        <f>_xlfn.IFNA(VLOOKUP(C429,Master!$J:$K,2,0),"")</f>
        <v/>
      </c>
      <c r="D429" s="71" t="str">
        <f>_xlfn.IFNA(VLOOKUP(E429,Master!$J:$K,2,0),"")</f>
        <v/>
      </c>
      <c r="F429" s="71" t="str">
        <f>_xlfn.IFNA(VLOOKUP(G429,Master!B:C,2,0),"")</f>
        <v/>
      </c>
      <c r="I429" s="69" t="str">
        <f>_xlfn.IFNA(VLOOKUP(E429,Master!$J:$M,4,0),"")</f>
        <v/>
      </c>
      <c r="J429" s="69" t="str">
        <f>_xlfn.IFNA(VLOOKUP($E429,Master!$J:$M,3,0),"")</f>
        <v/>
      </c>
      <c r="AC429" s="14">
        <f t="shared" si="14"/>
        <v>0</v>
      </c>
      <c r="AD429" s="14">
        <f t="shared" si="15"/>
        <v>0</v>
      </c>
    </row>
    <row r="430" spans="2:30" ht="15" customHeight="1" x14ac:dyDescent="0.4">
      <c r="B430" s="69" t="str">
        <f>_xlfn.IFNA(VLOOKUP(C430,Master!$J:$K,2,0),"")</f>
        <v/>
      </c>
      <c r="D430" s="71" t="str">
        <f>_xlfn.IFNA(VLOOKUP(E430,Master!$J:$K,2,0),"")</f>
        <v/>
      </c>
      <c r="F430" s="71" t="str">
        <f>_xlfn.IFNA(VLOOKUP(G430,Master!B:C,2,0),"")</f>
        <v/>
      </c>
      <c r="I430" s="69" t="str">
        <f>_xlfn.IFNA(VLOOKUP(E430,Master!$J:$M,4,0),"")</f>
        <v/>
      </c>
      <c r="J430" s="69" t="str">
        <f>_xlfn.IFNA(VLOOKUP($E430,Master!$J:$M,3,0),"")</f>
        <v/>
      </c>
      <c r="AC430" s="14">
        <f t="shared" si="14"/>
        <v>0</v>
      </c>
      <c r="AD430" s="14">
        <f t="shared" si="15"/>
        <v>0</v>
      </c>
    </row>
    <row r="431" spans="2:30" ht="15" customHeight="1" x14ac:dyDescent="0.4">
      <c r="B431" s="69" t="str">
        <f>_xlfn.IFNA(VLOOKUP(C431,Master!$J:$K,2,0),"")</f>
        <v/>
      </c>
      <c r="D431" s="71" t="str">
        <f>_xlfn.IFNA(VLOOKUP(E431,Master!$J:$K,2,0),"")</f>
        <v/>
      </c>
      <c r="F431" s="71" t="str">
        <f>_xlfn.IFNA(VLOOKUP(G431,Master!B:C,2,0),"")</f>
        <v/>
      </c>
      <c r="I431" s="69" t="str">
        <f>_xlfn.IFNA(VLOOKUP(E431,Master!$J:$M,4,0),"")</f>
        <v/>
      </c>
      <c r="J431" s="69" t="str">
        <f>_xlfn.IFNA(VLOOKUP($E431,Master!$J:$M,3,0),"")</f>
        <v/>
      </c>
      <c r="AC431" s="14">
        <f t="shared" si="14"/>
        <v>0</v>
      </c>
      <c r="AD431" s="14">
        <f t="shared" si="15"/>
        <v>0</v>
      </c>
    </row>
    <row r="432" spans="2:30" ht="15" customHeight="1" x14ac:dyDescent="0.4">
      <c r="B432" s="69" t="str">
        <f>_xlfn.IFNA(VLOOKUP(C432,Master!$J:$K,2,0),"")</f>
        <v/>
      </c>
      <c r="D432" s="71" t="str">
        <f>_xlfn.IFNA(VLOOKUP(E432,Master!$J:$K,2,0),"")</f>
        <v/>
      </c>
      <c r="F432" s="71" t="str">
        <f>_xlfn.IFNA(VLOOKUP(G432,Master!B:C,2,0),"")</f>
        <v/>
      </c>
      <c r="I432" s="69" t="str">
        <f>_xlfn.IFNA(VLOOKUP(E432,Master!$J:$M,4,0),"")</f>
        <v/>
      </c>
      <c r="J432" s="69" t="str">
        <f>_xlfn.IFNA(VLOOKUP($E432,Master!$J:$M,3,0),"")</f>
        <v/>
      </c>
      <c r="AC432" s="14">
        <f t="shared" si="14"/>
        <v>0</v>
      </c>
      <c r="AD432" s="14">
        <f t="shared" si="15"/>
        <v>0</v>
      </c>
    </row>
    <row r="433" spans="2:30" ht="15" customHeight="1" x14ac:dyDescent="0.4">
      <c r="B433" s="69" t="str">
        <f>_xlfn.IFNA(VLOOKUP(C433,Master!$J:$K,2,0),"")</f>
        <v/>
      </c>
      <c r="D433" s="71" t="str">
        <f>_xlfn.IFNA(VLOOKUP(E433,Master!$J:$K,2,0),"")</f>
        <v/>
      </c>
      <c r="F433" s="71" t="str">
        <f>_xlfn.IFNA(VLOOKUP(G433,Master!B:C,2,0),"")</f>
        <v/>
      </c>
      <c r="I433" s="69" t="str">
        <f>_xlfn.IFNA(VLOOKUP(E433,Master!$J:$M,4,0),"")</f>
        <v/>
      </c>
      <c r="J433" s="69" t="str">
        <f>_xlfn.IFNA(VLOOKUP($E433,Master!$J:$M,3,0),"")</f>
        <v/>
      </c>
      <c r="AC433" s="14">
        <f t="shared" si="14"/>
        <v>0</v>
      </c>
      <c r="AD433" s="14">
        <f t="shared" si="15"/>
        <v>0</v>
      </c>
    </row>
    <row r="434" spans="2:30" ht="15" customHeight="1" x14ac:dyDescent="0.4">
      <c r="B434" s="69" t="str">
        <f>_xlfn.IFNA(VLOOKUP(C434,Master!$J:$K,2,0),"")</f>
        <v/>
      </c>
      <c r="D434" s="71" t="str">
        <f>_xlfn.IFNA(VLOOKUP(E434,Master!$J:$K,2,0),"")</f>
        <v/>
      </c>
      <c r="F434" s="71" t="str">
        <f>_xlfn.IFNA(VLOOKUP(G434,Master!B:C,2,0),"")</f>
        <v/>
      </c>
      <c r="I434" s="69" t="str">
        <f>_xlfn.IFNA(VLOOKUP(E434,Master!$J:$M,4,0),"")</f>
        <v/>
      </c>
      <c r="J434" s="69" t="str">
        <f>_xlfn.IFNA(VLOOKUP($E434,Master!$J:$M,3,0),"")</f>
        <v/>
      </c>
      <c r="AC434" s="14">
        <f t="shared" si="14"/>
        <v>0</v>
      </c>
      <c r="AD434" s="14">
        <f t="shared" si="15"/>
        <v>0</v>
      </c>
    </row>
    <row r="435" spans="2:30" ht="15" customHeight="1" x14ac:dyDescent="0.4">
      <c r="B435" s="69" t="str">
        <f>_xlfn.IFNA(VLOOKUP(C435,Master!$J:$K,2,0),"")</f>
        <v/>
      </c>
      <c r="D435" s="71" t="str">
        <f>_xlfn.IFNA(VLOOKUP(E435,Master!$J:$K,2,0),"")</f>
        <v/>
      </c>
      <c r="F435" s="71" t="str">
        <f>_xlfn.IFNA(VLOOKUP(G435,Master!B:C,2,0),"")</f>
        <v/>
      </c>
      <c r="I435" s="69" t="str">
        <f>_xlfn.IFNA(VLOOKUP(E435,Master!$J:$M,4,0),"")</f>
        <v/>
      </c>
      <c r="J435" s="69" t="str">
        <f>_xlfn.IFNA(VLOOKUP($E435,Master!$J:$M,3,0),"")</f>
        <v/>
      </c>
      <c r="AC435" s="14">
        <f t="shared" si="14"/>
        <v>0</v>
      </c>
      <c r="AD435" s="14">
        <f t="shared" si="15"/>
        <v>0</v>
      </c>
    </row>
    <row r="436" spans="2:30" ht="15" customHeight="1" x14ac:dyDescent="0.4">
      <c r="B436" s="69" t="str">
        <f>_xlfn.IFNA(VLOOKUP(C436,Master!$J:$K,2,0),"")</f>
        <v/>
      </c>
      <c r="D436" s="71" t="str">
        <f>_xlfn.IFNA(VLOOKUP(E436,Master!$J:$K,2,0),"")</f>
        <v/>
      </c>
      <c r="F436" s="71" t="str">
        <f>_xlfn.IFNA(VLOOKUP(G436,Master!B:C,2,0),"")</f>
        <v/>
      </c>
      <c r="I436" s="69" t="str">
        <f>_xlfn.IFNA(VLOOKUP(E436,Master!$J:$M,4,0),"")</f>
        <v/>
      </c>
      <c r="J436" s="69" t="str">
        <f>_xlfn.IFNA(VLOOKUP($E436,Master!$J:$M,3,0),"")</f>
        <v/>
      </c>
      <c r="AC436" s="14">
        <f t="shared" si="14"/>
        <v>0</v>
      </c>
      <c r="AD436" s="14">
        <f t="shared" si="15"/>
        <v>0</v>
      </c>
    </row>
    <row r="437" spans="2:30" ht="15" customHeight="1" x14ac:dyDescent="0.4">
      <c r="B437" s="69" t="str">
        <f>_xlfn.IFNA(VLOOKUP(C437,Master!$J:$K,2,0),"")</f>
        <v/>
      </c>
      <c r="D437" s="71" t="str">
        <f>_xlfn.IFNA(VLOOKUP(E437,Master!$J:$K,2,0),"")</f>
        <v/>
      </c>
      <c r="F437" s="71" t="str">
        <f>_xlfn.IFNA(VLOOKUP(G437,Master!B:C,2,0),"")</f>
        <v/>
      </c>
      <c r="I437" s="69" t="str">
        <f>_xlfn.IFNA(VLOOKUP(E437,Master!$J:$M,4,0),"")</f>
        <v/>
      </c>
      <c r="J437" s="69" t="str">
        <f>_xlfn.IFNA(VLOOKUP($E437,Master!$J:$M,3,0),"")</f>
        <v/>
      </c>
      <c r="AC437" s="14">
        <f t="shared" si="14"/>
        <v>0</v>
      </c>
      <c r="AD437" s="14">
        <f t="shared" si="15"/>
        <v>0</v>
      </c>
    </row>
    <row r="438" spans="2:30" ht="15" customHeight="1" x14ac:dyDescent="0.4">
      <c r="B438" s="69" t="str">
        <f>_xlfn.IFNA(VLOOKUP(C438,Master!$J:$K,2,0),"")</f>
        <v/>
      </c>
      <c r="D438" s="71" t="str">
        <f>_xlfn.IFNA(VLOOKUP(E438,Master!$J:$K,2,0),"")</f>
        <v/>
      </c>
      <c r="F438" s="71" t="str">
        <f>_xlfn.IFNA(VLOOKUP(G438,Master!B:C,2,0),"")</f>
        <v/>
      </c>
      <c r="I438" s="69" t="str">
        <f>_xlfn.IFNA(VLOOKUP(E438,Master!$J:$M,4,0),"")</f>
        <v/>
      </c>
      <c r="J438" s="69" t="str">
        <f>_xlfn.IFNA(VLOOKUP($E438,Master!$J:$M,3,0),"")</f>
        <v/>
      </c>
      <c r="AC438" s="14">
        <f t="shared" si="14"/>
        <v>0</v>
      </c>
      <c r="AD438" s="14">
        <f t="shared" si="15"/>
        <v>0</v>
      </c>
    </row>
    <row r="439" spans="2:30" ht="15" customHeight="1" x14ac:dyDescent="0.4">
      <c r="B439" s="69" t="str">
        <f>_xlfn.IFNA(VLOOKUP(C439,Master!$J:$K,2,0),"")</f>
        <v/>
      </c>
      <c r="D439" s="71" t="str">
        <f>_xlfn.IFNA(VLOOKUP(E439,Master!$J:$K,2,0),"")</f>
        <v/>
      </c>
      <c r="F439" s="71" t="str">
        <f>_xlfn.IFNA(VLOOKUP(G439,Master!B:C,2,0),"")</f>
        <v/>
      </c>
      <c r="I439" s="69" t="str">
        <f>_xlfn.IFNA(VLOOKUP(E439,Master!$J:$M,4,0),"")</f>
        <v/>
      </c>
      <c r="J439" s="69" t="str">
        <f>_xlfn.IFNA(VLOOKUP($E439,Master!$J:$M,3,0),"")</f>
        <v/>
      </c>
      <c r="AC439" s="14">
        <f t="shared" si="14"/>
        <v>0</v>
      </c>
      <c r="AD439" s="14">
        <f t="shared" si="15"/>
        <v>0</v>
      </c>
    </row>
    <row r="440" spans="2:30" ht="15" customHeight="1" x14ac:dyDescent="0.4">
      <c r="B440" s="69" t="str">
        <f>_xlfn.IFNA(VLOOKUP(C440,Master!$J:$K,2,0),"")</f>
        <v/>
      </c>
      <c r="D440" s="71" t="str">
        <f>_xlfn.IFNA(VLOOKUP(E440,Master!$J:$K,2,0),"")</f>
        <v/>
      </c>
      <c r="F440" s="71" t="str">
        <f>_xlfn.IFNA(VLOOKUP(G440,Master!B:C,2,0),"")</f>
        <v/>
      </c>
      <c r="I440" s="69" t="str">
        <f>_xlfn.IFNA(VLOOKUP(E440,Master!$J:$M,4,0),"")</f>
        <v/>
      </c>
      <c r="J440" s="69" t="str">
        <f>_xlfn.IFNA(VLOOKUP($E440,Master!$J:$M,3,0),"")</f>
        <v/>
      </c>
      <c r="AC440" s="14">
        <f t="shared" si="14"/>
        <v>0</v>
      </c>
      <c r="AD440" s="14">
        <f t="shared" si="15"/>
        <v>0</v>
      </c>
    </row>
    <row r="441" spans="2:30" ht="15" customHeight="1" x14ac:dyDescent="0.4">
      <c r="B441" s="69" t="str">
        <f>_xlfn.IFNA(VLOOKUP(C441,Master!$J:$K,2,0),"")</f>
        <v/>
      </c>
      <c r="D441" s="71" t="str">
        <f>_xlfn.IFNA(VLOOKUP(E441,Master!$J:$K,2,0),"")</f>
        <v/>
      </c>
      <c r="F441" s="71" t="str">
        <f>_xlfn.IFNA(VLOOKUP(G441,Master!B:C,2,0),"")</f>
        <v/>
      </c>
      <c r="I441" s="69" t="str">
        <f>_xlfn.IFNA(VLOOKUP(E441,Master!$J:$M,4,0),"")</f>
        <v/>
      </c>
      <c r="J441" s="69" t="str">
        <f>_xlfn.IFNA(VLOOKUP($E441,Master!$J:$M,3,0),"")</f>
        <v/>
      </c>
      <c r="AC441" s="14">
        <f t="shared" si="14"/>
        <v>0</v>
      </c>
      <c r="AD441" s="14">
        <f t="shared" si="15"/>
        <v>0</v>
      </c>
    </row>
    <row r="442" spans="2:30" ht="15" customHeight="1" x14ac:dyDescent="0.4">
      <c r="B442" s="69" t="str">
        <f>_xlfn.IFNA(VLOOKUP(C442,Master!$J:$K,2,0),"")</f>
        <v/>
      </c>
      <c r="D442" s="71" t="str">
        <f>_xlfn.IFNA(VLOOKUP(E442,Master!$J:$K,2,0),"")</f>
        <v/>
      </c>
      <c r="F442" s="71" t="str">
        <f>_xlfn.IFNA(VLOOKUP(G442,Master!B:C,2,0),"")</f>
        <v/>
      </c>
      <c r="I442" s="69" t="str">
        <f>_xlfn.IFNA(VLOOKUP(E442,Master!$J:$M,4,0),"")</f>
        <v/>
      </c>
      <c r="J442" s="69" t="str">
        <f>_xlfn.IFNA(VLOOKUP($E442,Master!$J:$M,3,0),"")</f>
        <v/>
      </c>
      <c r="AC442" s="14">
        <f t="shared" si="14"/>
        <v>0</v>
      </c>
      <c r="AD442" s="14">
        <f t="shared" si="15"/>
        <v>0</v>
      </c>
    </row>
    <row r="443" spans="2:30" ht="15" customHeight="1" x14ac:dyDescent="0.4">
      <c r="B443" s="69" t="str">
        <f>_xlfn.IFNA(VLOOKUP(C443,Master!$J:$K,2,0),"")</f>
        <v/>
      </c>
      <c r="D443" s="71" t="str">
        <f>_xlfn.IFNA(VLOOKUP(E443,Master!$J:$K,2,0),"")</f>
        <v/>
      </c>
      <c r="F443" s="71" t="str">
        <f>_xlfn.IFNA(VLOOKUP(G443,Master!B:C,2,0),"")</f>
        <v/>
      </c>
      <c r="I443" s="69" t="str">
        <f>_xlfn.IFNA(VLOOKUP(E443,Master!$J:$M,4,0),"")</f>
        <v/>
      </c>
      <c r="J443" s="69" t="str">
        <f>_xlfn.IFNA(VLOOKUP($E443,Master!$J:$M,3,0),"")</f>
        <v/>
      </c>
      <c r="AC443" s="14">
        <f t="shared" si="14"/>
        <v>0</v>
      </c>
      <c r="AD443" s="14">
        <f t="shared" si="15"/>
        <v>0</v>
      </c>
    </row>
    <row r="444" spans="2:30" ht="15" customHeight="1" x14ac:dyDescent="0.4">
      <c r="B444" s="69" t="str">
        <f>_xlfn.IFNA(VLOOKUP(C444,Master!$J:$K,2,0),"")</f>
        <v/>
      </c>
      <c r="D444" s="71" t="str">
        <f>_xlfn.IFNA(VLOOKUP(E444,Master!$J:$K,2,0),"")</f>
        <v/>
      </c>
      <c r="F444" s="71" t="str">
        <f>_xlfn.IFNA(VLOOKUP(G444,Master!B:C,2,0),"")</f>
        <v/>
      </c>
      <c r="I444" s="69" t="str">
        <f>_xlfn.IFNA(VLOOKUP(E444,Master!$J:$M,4,0),"")</f>
        <v/>
      </c>
      <c r="J444" s="69" t="str">
        <f>_xlfn.IFNA(VLOOKUP($E444,Master!$J:$M,3,0),"")</f>
        <v/>
      </c>
      <c r="AC444" s="14">
        <f t="shared" si="14"/>
        <v>0</v>
      </c>
      <c r="AD444" s="14">
        <f t="shared" si="15"/>
        <v>0</v>
      </c>
    </row>
    <row r="445" spans="2:30" ht="15" customHeight="1" x14ac:dyDescent="0.4">
      <c r="B445" s="69" t="str">
        <f>_xlfn.IFNA(VLOOKUP(C445,Master!$J:$K,2,0),"")</f>
        <v/>
      </c>
      <c r="D445" s="71" t="str">
        <f>_xlfn.IFNA(VLOOKUP(E445,Master!$J:$K,2,0),"")</f>
        <v/>
      </c>
      <c r="F445" s="71" t="str">
        <f>_xlfn.IFNA(VLOOKUP(G445,Master!B:C,2,0),"")</f>
        <v/>
      </c>
      <c r="I445" s="69" t="str">
        <f>_xlfn.IFNA(VLOOKUP(E445,Master!$J:$M,4,0),"")</f>
        <v/>
      </c>
      <c r="J445" s="69" t="str">
        <f>_xlfn.IFNA(VLOOKUP($E445,Master!$J:$M,3,0),"")</f>
        <v/>
      </c>
      <c r="AC445" s="14">
        <f t="shared" si="14"/>
        <v>0</v>
      </c>
      <c r="AD445" s="14">
        <f t="shared" si="15"/>
        <v>0</v>
      </c>
    </row>
    <row r="446" spans="2:30" ht="15" customHeight="1" x14ac:dyDescent="0.4">
      <c r="B446" s="69" t="str">
        <f>_xlfn.IFNA(VLOOKUP(C446,Master!$J:$K,2,0),"")</f>
        <v/>
      </c>
      <c r="D446" s="71" t="str">
        <f>_xlfn.IFNA(VLOOKUP(E446,Master!$J:$K,2,0),"")</f>
        <v/>
      </c>
      <c r="F446" s="71" t="str">
        <f>_xlfn.IFNA(VLOOKUP(G446,Master!B:C,2,0),"")</f>
        <v/>
      </c>
      <c r="I446" s="69" t="str">
        <f>_xlfn.IFNA(VLOOKUP(E446,Master!$J:$M,4,0),"")</f>
        <v/>
      </c>
      <c r="J446" s="69" t="str">
        <f>_xlfn.IFNA(VLOOKUP($E446,Master!$J:$M,3,0),"")</f>
        <v/>
      </c>
      <c r="AC446" s="14">
        <f t="shared" si="14"/>
        <v>0</v>
      </c>
      <c r="AD446" s="14">
        <f t="shared" si="15"/>
        <v>0</v>
      </c>
    </row>
    <row r="447" spans="2:30" ht="15" customHeight="1" x14ac:dyDescent="0.4">
      <c r="B447" s="69" t="str">
        <f>_xlfn.IFNA(VLOOKUP(C447,Master!$J:$K,2,0),"")</f>
        <v/>
      </c>
      <c r="D447" s="71" t="str">
        <f>_xlfn.IFNA(VLOOKUP(E447,Master!$J:$K,2,0),"")</f>
        <v/>
      </c>
      <c r="F447" s="71" t="str">
        <f>_xlfn.IFNA(VLOOKUP(G447,Master!B:C,2,0),"")</f>
        <v/>
      </c>
      <c r="I447" s="69" t="str">
        <f>_xlfn.IFNA(VLOOKUP(E447,Master!$J:$M,4,0),"")</f>
        <v/>
      </c>
      <c r="J447" s="69" t="str">
        <f>_xlfn.IFNA(VLOOKUP($E447,Master!$J:$M,3,0),"")</f>
        <v/>
      </c>
      <c r="AC447" s="14">
        <f t="shared" si="14"/>
        <v>0</v>
      </c>
      <c r="AD447" s="14">
        <f t="shared" si="15"/>
        <v>0</v>
      </c>
    </row>
    <row r="448" spans="2:30" ht="15" customHeight="1" x14ac:dyDescent="0.4">
      <c r="B448" s="69" t="str">
        <f>_xlfn.IFNA(VLOOKUP(C448,Master!$J:$K,2,0),"")</f>
        <v/>
      </c>
      <c r="D448" s="71" t="str">
        <f>_xlfn.IFNA(VLOOKUP(E448,Master!$J:$K,2,0),"")</f>
        <v/>
      </c>
      <c r="F448" s="71" t="str">
        <f>_xlfn.IFNA(VLOOKUP(G448,Master!B:C,2,0),"")</f>
        <v/>
      </c>
      <c r="I448" s="69" t="str">
        <f>_xlfn.IFNA(VLOOKUP(E448,Master!$J:$M,4,0),"")</f>
        <v/>
      </c>
      <c r="J448" s="69" t="str">
        <f>_xlfn.IFNA(VLOOKUP($E448,Master!$J:$M,3,0),"")</f>
        <v/>
      </c>
      <c r="AC448" s="14">
        <f t="shared" si="14"/>
        <v>0</v>
      </c>
      <c r="AD448" s="14">
        <f t="shared" si="15"/>
        <v>0</v>
      </c>
    </row>
    <row r="449" spans="2:30" ht="15" customHeight="1" x14ac:dyDescent="0.4">
      <c r="B449" s="69" t="str">
        <f>_xlfn.IFNA(VLOOKUP(C449,Master!$J:$K,2,0),"")</f>
        <v/>
      </c>
      <c r="D449" s="71" t="str">
        <f>_xlfn.IFNA(VLOOKUP(E449,Master!$J:$K,2,0),"")</f>
        <v/>
      </c>
      <c r="F449" s="71" t="str">
        <f>_xlfn.IFNA(VLOOKUP(G449,Master!B:C,2,0),"")</f>
        <v/>
      </c>
      <c r="I449" s="69" t="str">
        <f>_xlfn.IFNA(VLOOKUP(E449,Master!$J:$M,4,0),"")</f>
        <v/>
      </c>
      <c r="J449" s="69" t="str">
        <f>_xlfn.IFNA(VLOOKUP($E449,Master!$J:$M,3,0),"")</f>
        <v/>
      </c>
      <c r="AC449" s="14">
        <f t="shared" si="14"/>
        <v>0</v>
      </c>
      <c r="AD449" s="14">
        <f t="shared" si="15"/>
        <v>0</v>
      </c>
    </row>
    <row r="450" spans="2:30" ht="15" customHeight="1" x14ac:dyDescent="0.4">
      <c r="B450" s="69" t="str">
        <f>_xlfn.IFNA(VLOOKUP(C450,Master!$J:$K,2,0),"")</f>
        <v/>
      </c>
      <c r="D450" s="71" t="str">
        <f>_xlfn.IFNA(VLOOKUP(E450,Master!$J:$K,2,0),"")</f>
        <v/>
      </c>
      <c r="F450" s="71" t="str">
        <f>_xlfn.IFNA(VLOOKUP(G450,Master!B:C,2,0),"")</f>
        <v/>
      </c>
      <c r="I450" s="69" t="str">
        <f>_xlfn.IFNA(VLOOKUP(E450,Master!$J:$M,4,0),"")</f>
        <v/>
      </c>
      <c r="J450" s="69" t="str">
        <f>_xlfn.IFNA(VLOOKUP($E450,Master!$J:$M,3,0),"")</f>
        <v/>
      </c>
      <c r="AC450" s="14">
        <f t="shared" ref="AC450:AC513" si="16">SUM(K450:P450)</f>
        <v>0</v>
      </c>
      <c r="AD450" s="14">
        <f t="shared" ref="AD450:AD513" si="17">SUM(Q450:AB450)</f>
        <v>0</v>
      </c>
    </row>
    <row r="451" spans="2:30" ht="15" customHeight="1" x14ac:dyDescent="0.4">
      <c r="B451" s="69" t="str">
        <f>_xlfn.IFNA(VLOOKUP(C451,Master!$J:$K,2,0),"")</f>
        <v/>
      </c>
      <c r="F451" s="71" t="str">
        <f>_xlfn.IFNA(VLOOKUP(G451,Master!B:C,2,0),"")</f>
        <v/>
      </c>
      <c r="I451" s="69" t="str">
        <f>_xlfn.IFNA(VLOOKUP(E451,Master!$J:$M,4,0),"")</f>
        <v/>
      </c>
      <c r="J451" s="69" t="str">
        <f>_xlfn.IFNA(VLOOKUP($E451,Master!$J:$M,3,0),"")</f>
        <v/>
      </c>
      <c r="AC451" s="14">
        <f t="shared" si="16"/>
        <v>0</v>
      </c>
      <c r="AD451" s="14">
        <f t="shared" si="17"/>
        <v>0</v>
      </c>
    </row>
    <row r="452" spans="2:30" ht="15" customHeight="1" x14ac:dyDescent="0.4">
      <c r="B452" s="69" t="str">
        <f>_xlfn.IFNA(VLOOKUP(C452,Master!$J:$K,2,0),"")</f>
        <v/>
      </c>
      <c r="F452" s="71" t="str">
        <f>_xlfn.IFNA(VLOOKUP(G452,Master!B:C,2,0),"")</f>
        <v/>
      </c>
      <c r="I452" s="69" t="str">
        <f>_xlfn.IFNA(VLOOKUP(E452,Master!$J:$M,4,0),"")</f>
        <v/>
      </c>
      <c r="J452" s="69" t="str">
        <f>_xlfn.IFNA(VLOOKUP($E452,Master!$J:$M,3,0),"")</f>
        <v/>
      </c>
      <c r="AC452" s="14">
        <f t="shared" si="16"/>
        <v>0</v>
      </c>
      <c r="AD452" s="14">
        <f t="shared" si="17"/>
        <v>0</v>
      </c>
    </row>
    <row r="453" spans="2:30" ht="15" customHeight="1" x14ac:dyDescent="0.4">
      <c r="B453" s="69" t="str">
        <f>_xlfn.IFNA(VLOOKUP(C453,Master!$J:$K,2,0),"")</f>
        <v/>
      </c>
      <c r="F453" s="71" t="str">
        <f>_xlfn.IFNA(VLOOKUP(G453,Master!B:C,2,0),"")</f>
        <v/>
      </c>
      <c r="I453" s="69" t="str">
        <f>_xlfn.IFNA(VLOOKUP(E453,Master!$J:$M,4,0),"")</f>
        <v/>
      </c>
      <c r="J453" s="69" t="str">
        <f>_xlfn.IFNA(VLOOKUP($E453,Master!$J:$M,3,0),"")</f>
        <v/>
      </c>
      <c r="AC453" s="14">
        <f t="shared" si="16"/>
        <v>0</v>
      </c>
      <c r="AD453" s="14">
        <f t="shared" si="17"/>
        <v>0</v>
      </c>
    </row>
    <row r="454" spans="2:30" ht="15" customHeight="1" x14ac:dyDescent="0.4">
      <c r="B454" s="69" t="str">
        <f>_xlfn.IFNA(VLOOKUP(C454,Master!$J:$K,2,0),"")</f>
        <v/>
      </c>
      <c r="F454" s="71" t="str">
        <f>_xlfn.IFNA(VLOOKUP(G454,Master!B:C,2,0),"")</f>
        <v/>
      </c>
      <c r="I454" s="69" t="str">
        <f>_xlfn.IFNA(VLOOKUP(E454,Master!$J:$M,4,0),"")</f>
        <v/>
      </c>
      <c r="J454" s="69" t="str">
        <f>_xlfn.IFNA(VLOOKUP($E454,Master!$J:$M,3,0),"")</f>
        <v/>
      </c>
      <c r="AC454" s="14">
        <f t="shared" si="16"/>
        <v>0</v>
      </c>
      <c r="AD454" s="14">
        <f t="shared" si="17"/>
        <v>0</v>
      </c>
    </row>
    <row r="455" spans="2:30" ht="15" customHeight="1" x14ac:dyDescent="0.4">
      <c r="B455" s="69" t="str">
        <f>_xlfn.IFNA(VLOOKUP(C455,Master!$J:$K,2,0),"")</f>
        <v/>
      </c>
      <c r="F455" s="71" t="str">
        <f>_xlfn.IFNA(VLOOKUP(G455,Master!B:C,2,0),"")</f>
        <v/>
      </c>
      <c r="I455" s="69" t="str">
        <f>_xlfn.IFNA(VLOOKUP(E455,Master!$J:$M,4,0),"")</f>
        <v/>
      </c>
      <c r="J455" s="69" t="str">
        <f>_xlfn.IFNA(VLOOKUP($E455,Master!$J:$M,3,0),"")</f>
        <v/>
      </c>
      <c r="AC455" s="14">
        <f t="shared" si="16"/>
        <v>0</v>
      </c>
      <c r="AD455" s="14">
        <f t="shared" si="17"/>
        <v>0</v>
      </c>
    </row>
    <row r="456" spans="2:30" ht="15" customHeight="1" x14ac:dyDescent="0.4">
      <c r="B456" s="69" t="str">
        <f>_xlfn.IFNA(VLOOKUP(C456,Master!$J:$K,2,0),"")</f>
        <v/>
      </c>
      <c r="F456" s="71" t="str">
        <f>_xlfn.IFNA(VLOOKUP(G456,Master!B:C,2,0),"")</f>
        <v/>
      </c>
      <c r="I456" s="69" t="str">
        <f>_xlfn.IFNA(VLOOKUP(E456,Master!$J:$M,4,0),"")</f>
        <v/>
      </c>
      <c r="J456" s="69" t="str">
        <f>_xlfn.IFNA(VLOOKUP($E456,Master!$J:$M,3,0),"")</f>
        <v/>
      </c>
      <c r="AC456" s="14">
        <f t="shared" si="16"/>
        <v>0</v>
      </c>
      <c r="AD456" s="14">
        <f t="shared" si="17"/>
        <v>0</v>
      </c>
    </row>
    <row r="457" spans="2:30" ht="15" customHeight="1" x14ac:dyDescent="0.4">
      <c r="B457" s="69" t="str">
        <f>_xlfn.IFNA(VLOOKUP(C457,Master!$J:$K,2,0),"")</f>
        <v/>
      </c>
      <c r="F457" s="71" t="str">
        <f>_xlfn.IFNA(VLOOKUP(G457,Master!B:C,2,0),"")</f>
        <v/>
      </c>
      <c r="I457" s="69" t="str">
        <f>_xlfn.IFNA(VLOOKUP(E457,Master!$J:$M,4,0),"")</f>
        <v/>
      </c>
      <c r="J457" s="69" t="str">
        <f>_xlfn.IFNA(VLOOKUP($E457,Master!$J:$M,3,0),"")</f>
        <v/>
      </c>
      <c r="AC457" s="14">
        <f t="shared" si="16"/>
        <v>0</v>
      </c>
      <c r="AD457" s="14">
        <f t="shared" si="17"/>
        <v>0</v>
      </c>
    </row>
    <row r="458" spans="2:30" ht="15" customHeight="1" x14ac:dyDescent="0.4">
      <c r="B458" s="69" t="str">
        <f>_xlfn.IFNA(VLOOKUP(C458,Master!$J:$K,2,0),"")</f>
        <v/>
      </c>
      <c r="F458" s="71" t="str">
        <f>_xlfn.IFNA(VLOOKUP(G458,Master!B:C,2,0),"")</f>
        <v/>
      </c>
      <c r="I458" s="69" t="str">
        <f>_xlfn.IFNA(VLOOKUP(E458,Master!$J:$M,4,0),"")</f>
        <v/>
      </c>
      <c r="J458" s="69" t="str">
        <f>_xlfn.IFNA(VLOOKUP($E458,Master!$J:$M,3,0),"")</f>
        <v/>
      </c>
      <c r="AC458" s="14">
        <f t="shared" si="16"/>
        <v>0</v>
      </c>
      <c r="AD458" s="14">
        <f t="shared" si="17"/>
        <v>0</v>
      </c>
    </row>
    <row r="459" spans="2:30" ht="15" customHeight="1" x14ac:dyDescent="0.4">
      <c r="B459" s="69" t="str">
        <f>_xlfn.IFNA(VLOOKUP(C459,Master!$J:$K,2,0),"")</f>
        <v/>
      </c>
      <c r="F459" s="71" t="str">
        <f>_xlfn.IFNA(VLOOKUP(G459,Master!B:C,2,0),"")</f>
        <v/>
      </c>
      <c r="I459" s="69" t="str">
        <f>_xlfn.IFNA(VLOOKUP(E459,Master!$J:$M,4,0),"")</f>
        <v/>
      </c>
      <c r="J459" s="69" t="str">
        <f>_xlfn.IFNA(VLOOKUP($E459,Master!$J:$M,3,0),"")</f>
        <v/>
      </c>
      <c r="AC459" s="14">
        <f t="shared" si="16"/>
        <v>0</v>
      </c>
      <c r="AD459" s="14">
        <f t="shared" si="17"/>
        <v>0</v>
      </c>
    </row>
    <row r="460" spans="2:30" ht="15" customHeight="1" x14ac:dyDescent="0.4">
      <c r="B460" s="69" t="str">
        <f>_xlfn.IFNA(VLOOKUP(C460,Master!$J:$K,2,0),"")</f>
        <v/>
      </c>
      <c r="F460" s="71" t="str">
        <f>_xlfn.IFNA(VLOOKUP(G460,Master!B:C,2,0),"")</f>
        <v/>
      </c>
      <c r="I460" s="69" t="str">
        <f>_xlfn.IFNA(VLOOKUP(E460,Master!$J:$M,4,0),"")</f>
        <v/>
      </c>
      <c r="J460" s="69" t="str">
        <f>_xlfn.IFNA(VLOOKUP($E460,Master!$J:$M,3,0),"")</f>
        <v/>
      </c>
      <c r="AC460" s="14">
        <f t="shared" si="16"/>
        <v>0</v>
      </c>
      <c r="AD460" s="14">
        <f t="shared" si="17"/>
        <v>0</v>
      </c>
    </row>
    <row r="461" spans="2:30" ht="15" customHeight="1" x14ac:dyDescent="0.4">
      <c r="B461" s="69" t="str">
        <f>_xlfn.IFNA(VLOOKUP(C461,Master!$J:$K,2,0),"")</f>
        <v/>
      </c>
      <c r="F461" s="71" t="str">
        <f>_xlfn.IFNA(VLOOKUP(G461,Master!B:C,2,0),"")</f>
        <v/>
      </c>
      <c r="I461" s="69" t="str">
        <f>_xlfn.IFNA(VLOOKUP(E461,Master!$J:$M,4,0),"")</f>
        <v/>
      </c>
      <c r="J461" s="69" t="str">
        <f>_xlfn.IFNA(VLOOKUP($E461,Master!$J:$M,3,0),"")</f>
        <v/>
      </c>
      <c r="AC461" s="14">
        <f t="shared" si="16"/>
        <v>0</v>
      </c>
      <c r="AD461" s="14">
        <f t="shared" si="17"/>
        <v>0</v>
      </c>
    </row>
    <row r="462" spans="2:30" ht="15" customHeight="1" x14ac:dyDescent="0.4">
      <c r="B462" s="69" t="str">
        <f>_xlfn.IFNA(VLOOKUP(C462,Master!$J:$K,2,0),"")</f>
        <v/>
      </c>
      <c r="F462" s="71" t="str">
        <f>_xlfn.IFNA(VLOOKUP(G462,Master!B:C,2,0),"")</f>
        <v/>
      </c>
      <c r="I462" s="69" t="str">
        <f>_xlfn.IFNA(VLOOKUP(E462,Master!$J:$M,4,0),"")</f>
        <v/>
      </c>
      <c r="J462" s="69" t="str">
        <f>_xlfn.IFNA(VLOOKUP($E462,Master!$J:$M,3,0),"")</f>
        <v/>
      </c>
      <c r="AC462" s="14">
        <f t="shared" si="16"/>
        <v>0</v>
      </c>
      <c r="AD462" s="14">
        <f t="shared" si="17"/>
        <v>0</v>
      </c>
    </row>
    <row r="463" spans="2:30" ht="15" customHeight="1" x14ac:dyDescent="0.4">
      <c r="B463" s="69" t="str">
        <f>_xlfn.IFNA(VLOOKUP(C463,Master!$J:$K,2,0),"")</f>
        <v/>
      </c>
      <c r="F463" s="71" t="str">
        <f>_xlfn.IFNA(VLOOKUP(G463,Master!B:C,2,0),"")</f>
        <v/>
      </c>
      <c r="I463" s="69" t="str">
        <f>_xlfn.IFNA(VLOOKUP(E463,Master!$J:$M,4,0),"")</f>
        <v/>
      </c>
      <c r="J463" s="69" t="str">
        <f>_xlfn.IFNA(VLOOKUP($E463,Master!$J:$M,3,0),"")</f>
        <v/>
      </c>
      <c r="AC463" s="14">
        <f t="shared" si="16"/>
        <v>0</v>
      </c>
      <c r="AD463" s="14">
        <f t="shared" si="17"/>
        <v>0</v>
      </c>
    </row>
    <row r="464" spans="2:30" ht="15" customHeight="1" x14ac:dyDescent="0.4">
      <c r="B464" s="69" t="str">
        <f>_xlfn.IFNA(VLOOKUP(C464,Master!$J:$K,2,0),"")</f>
        <v/>
      </c>
      <c r="F464" s="71" t="str">
        <f>_xlfn.IFNA(VLOOKUP(G464,Master!B:C,2,0),"")</f>
        <v/>
      </c>
      <c r="I464" s="69" t="str">
        <f>_xlfn.IFNA(VLOOKUP(E464,Master!$J:$M,4,0),"")</f>
        <v/>
      </c>
      <c r="J464" s="69" t="str">
        <f>_xlfn.IFNA(VLOOKUP($E464,Master!$J:$M,3,0),"")</f>
        <v/>
      </c>
      <c r="AC464" s="14">
        <f t="shared" si="16"/>
        <v>0</v>
      </c>
      <c r="AD464" s="14">
        <f t="shared" si="17"/>
        <v>0</v>
      </c>
    </row>
    <row r="465" spans="2:30" ht="15" customHeight="1" x14ac:dyDescent="0.4">
      <c r="B465" s="69" t="str">
        <f>_xlfn.IFNA(VLOOKUP(C465,Master!$J:$K,2,0),"")</f>
        <v/>
      </c>
      <c r="F465" s="71" t="str">
        <f>_xlfn.IFNA(VLOOKUP(G465,Master!B:C,2,0),"")</f>
        <v/>
      </c>
      <c r="I465" s="69" t="str">
        <f>_xlfn.IFNA(VLOOKUP(E465,Master!$J:$M,4,0),"")</f>
        <v/>
      </c>
      <c r="J465" s="69" t="str">
        <f>_xlfn.IFNA(VLOOKUP($E465,Master!$J:$M,3,0),"")</f>
        <v/>
      </c>
      <c r="AC465" s="14">
        <f t="shared" si="16"/>
        <v>0</v>
      </c>
      <c r="AD465" s="14">
        <f t="shared" si="17"/>
        <v>0</v>
      </c>
    </row>
    <row r="466" spans="2:30" ht="15" customHeight="1" x14ac:dyDescent="0.4">
      <c r="B466" s="69" t="str">
        <f>_xlfn.IFNA(VLOOKUP(C466,Master!$J:$K,2,0),"")</f>
        <v/>
      </c>
      <c r="F466" s="71" t="str">
        <f>_xlfn.IFNA(VLOOKUP(G466,Master!B:C,2,0),"")</f>
        <v/>
      </c>
      <c r="I466" s="69" t="str">
        <f>_xlfn.IFNA(VLOOKUP(E466,Master!$J:$M,4,0),"")</f>
        <v/>
      </c>
      <c r="J466" s="69" t="str">
        <f>_xlfn.IFNA(VLOOKUP($E466,Master!$J:$M,3,0),"")</f>
        <v/>
      </c>
      <c r="AC466" s="14">
        <f t="shared" si="16"/>
        <v>0</v>
      </c>
      <c r="AD466" s="14">
        <f t="shared" si="17"/>
        <v>0</v>
      </c>
    </row>
    <row r="467" spans="2:30" ht="15" customHeight="1" x14ac:dyDescent="0.4">
      <c r="B467" s="69" t="str">
        <f>_xlfn.IFNA(VLOOKUP(C467,Master!$J:$K,2,0),"")</f>
        <v/>
      </c>
      <c r="F467" s="71" t="str">
        <f>_xlfn.IFNA(VLOOKUP(G467,Master!B:C,2,0),"")</f>
        <v/>
      </c>
      <c r="I467" s="69" t="str">
        <f>_xlfn.IFNA(VLOOKUP(E467,Master!$J:$M,4,0),"")</f>
        <v/>
      </c>
      <c r="J467" s="69" t="str">
        <f>_xlfn.IFNA(VLOOKUP($E467,Master!$J:$M,3,0),"")</f>
        <v/>
      </c>
      <c r="AC467" s="14">
        <f t="shared" si="16"/>
        <v>0</v>
      </c>
      <c r="AD467" s="14">
        <f t="shared" si="17"/>
        <v>0</v>
      </c>
    </row>
    <row r="468" spans="2:30" ht="15" customHeight="1" x14ac:dyDescent="0.4">
      <c r="B468" s="69" t="str">
        <f>_xlfn.IFNA(VLOOKUP(C468,Master!$J:$K,2,0),"")</f>
        <v/>
      </c>
      <c r="F468" s="71" t="str">
        <f>_xlfn.IFNA(VLOOKUP(G468,Master!B:C,2,0),"")</f>
        <v/>
      </c>
      <c r="I468" s="69" t="str">
        <f>_xlfn.IFNA(VLOOKUP(E468,Master!$J:$M,4,0),"")</f>
        <v/>
      </c>
      <c r="J468" s="69" t="str">
        <f>_xlfn.IFNA(VLOOKUP($E468,Master!$J:$M,3,0),"")</f>
        <v/>
      </c>
      <c r="AC468" s="14">
        <f t="shared" si="16"/>
        <v>0</v>
      </c>
      <c r="AD468" s="14">
        <f t="shared" si="17"/>
        <v>0</v>
      </c>
    </row>
    <row r="469" spans="2:30" ht="15" customHeight="1" x14ac:dyDescent="0.4">
      <c r="B469" s="69" t="str">
        <f>_xlfn.IFNA(VLOOKUP(C469,Master!$J:$K,2,0),"")</f>
        <v/>
      </c>
      <c r="F469" s="71" t="str">
        <f>_xlfn.IFNA(VLOOKUP(G469,Master!B:C,2,0),"")</f>
        <v/>
      </c>
      <c r="I469" s="69" t="str">
        <f>_xlfn.IFNA(VLOOKUP(E469,Master!$J:$M,4,0),"")</f>
        <v/>
      </c>
      <c r="J469" s="69" t="str">
        <f>_xlfn.IFNA(VLOOKUP($E469,Master!$J:$M,3,0),"")</f>
        <v/>
      </c>
      <c r="AC469" s="14">
        <f t="shared" si="16"/>
        <v>0</v>
      </c>
      <c r="AD469" s="14">
        <f t="shared" si="17"/>
        <v>0</v>
      </c>
    </row>
    <row r="470" spans="2:30" ht="15" customHeight="1" x14ac:dyDescent="0.4">
      <c r="B470" s="69" t="str">
        <f>_xlfn.IFNA(VLOOKUP(C470,Master!$J:$K,2,0),"")</f>
        <v/>
      </c>
      <c r="F470" s="71" t="str">
        <f>_xlfn.IFNA(VLOOKUP(G470,Master!B:C,2,0),"")</f>
        <v/>
      </c>
      <c r="I470" s="69" t="str">
        <f>_xlfn.IFNA(VLOOKUP(E470,Master!$J:$M,4,0),"")</f>
        <v/>
      </c>
      <c r="J470" s="69" t="str">
        <f>_xlfn.IFNA(VLOOKUP($E470,Master!$J:$M,3,0),"")</f>
        <v/>
      </c>
      <c r="AC470" s="14">
        <f t="shared" si="16"/>
        <v>0</v>
      </c>
      <c r="AD470" s="14">
        <f t="shared" si="17"/>
        <v>0</v>
      </c>
    </row>
    <row r="471" spans="2:30" ht="15" customHeight="1" x14ac:dyDescent="0.4">
      <c r="B471" s="69" t="str">
        <f>_xlfn.IFNA(VLOOKUP(C471,Master!$J:$K,2,0),"")</f>
        <v/>
      </c>
      <c r="F471" s="71" t="str">
        <f>_xlfn.IFNA(VLOOKUP(G471,Master!B:C,2,0),"")</f>
        <v/>
      </c>
      <c r="I471" s="69" t="str">
        <f>_xlfn.IFNA(VLOOKUP(E471,Master!$J:$M,4,0),"")</f>
        <v/>
      </c>
      <c r="J471" s="69" t="str">
        <f>_xlfn.IFNA(VLOOKUP($E471,Master!$J:$M,3,0),"")</f>
        <v/>
      </c>
      <c r="AC471" s="14">
        <f t="shared" si="16"/>
        <v>0</v>
      </c>
      <c r="AD471" s="14">
        <f t="shared" si="17"/>
        <v>0</v>
      </c>
    </row>
    <row r="472" spans="2:30" ht="15" customHeight="1" x14ac:dyDescent="0.4">
      <c r="B472" s="69" t="str">
        <f>_xlfn.IFNA(VLOOKUP(C472,Master!$J:$K,2,0),"")</f>
        <v/>
      </c>
      <c r="F472" s="71" t="str">
        <f>_xlfn.IFNA(VLOOKUP(G472,Master!B:C,2,0),"")</f>
        <v/>
      </c>
      <c r="I472" s="69" t="str">
        <f>_xlfn.IFNA(VLOOKUP(E472,Master!$J:$M,4,0),"")</f>
        <v/>
      </c>
      <c r="J472" s="69" t="str">
        <f>_xlfn.IFNA(VLOOKUP($E472,Master!$J:$M,3,0),"")</f>
        <v/>
      </c>
      <c r="AC472" s="14">
        <f t="shared" si="16"/>
        <v>0</v>
      </c>
      <c r="AD472" s="14">
        <f t="shared" si="17"/>
        <v>0</v>
      </c>
    </row>
    <row r="473" spans="2:30" ht="15" customHeight="1" x14ac:dyDescent="0.4">
      <c r="B473" s="69" t="str">
        <f>_xlfn.IFNA(VLOOKUP(C473,Master!$J:$K,2,0),"")</f>
        <v/>
      </c>
      <c r="F473" s="71" t="str">
        <f>_xlfn.IFNA(VLOOKUP(G473,Master!B:C,2,0),"")</f>
        <v/>
      </c>
      <c r="I473" s="69" t="str">
        <f>_xlfn.IFNA(VLOOKUP(E473,Master!$J:$M,4,0),"")</f>
        <v/>
      </c>
      <c r="J473" s="69" t="str">
        <f>_xlfn.IFNA(VLOOKUP($E473,Master!$J:$M,3,0),"")</f>
        <v/>
      </c>
      <c r="AC473" s="14">
        <f t="shared" si="16"/>
        <v>0</v>
      </c>
      <c r="AD473" s="14">
        <f t="shared" si="17"/>
        <v>0</v>
      </c>
    </row>
    <row r="474" spans="2:30" ht="15" customHeight="1" x14ac:dyDescent="0.4">
      <c r="B474" s="69" t="str">
        <f>_xlfn.IFNA(VLOOKUP(C474,Master!$J:$K,2,0),"")</f>
        <v/>
      </c>
      <c r="F474" s="71" t="str">
        <f>_xlfn.IFNA(VLOOKUP(G474,Master!B:C,2,0),"")</f>
        <v/>
      </c>
      <c r="I474" s="69" t="str">
        <f>_xlfn.IFNA(VLOOKUP(E474,Master!$J:$M,4,0),"")</f>
        <v/>
      </c>
      <c r="J474" s="69" t="str">
        <f>_xlfn.IFNA(VLOOKUP($E474,Master!$J:$M,3,0),"")</f>
        <v/>
      </c>
      <c r="AC474" s="14">
        <f t="shared" si="16"/>
        <v>0</v>
      </c>
      <c r="AD474" s="14">
        <f t="shared" si="17"/>
        <v>0</v>
      </c>
    </row>
    <row r="475" spans="2:30" ht="15" customHeight="1" x14ac:dyDescent="0.4">
      <c r="B475" s="69" t="str">
        <f>_xlfn.IFNA(VLOOKUP(C475,Master!$J:$K,2,0),"")</f>
        <v/>
      </c>
      <c r="F475" s="71" t="str">
        <f>_xlfn.IFNA(VLOOKUP(G475,Master!B:C,2,0),"")</f>
        <v/>
      </c>
      <c r="I475" s="69" t="str">
        <f>_xlfn.IFNA(VLOOKUP(E475,Master!$J:$M,4,0),"")</f>
        <v/>
      </c>
      <c r="J475" s="69" t="str">
        <f>_xlfn.IFNA(VLOOKUP($E475,Master!$J:$M,3,0),"")</f>
        <v/>
      </c>
      <c r="AC475" s="14">
        <f t="shared" si="16"/>
        <v>0</v>
      </c>
      <c r="AD475" s="14">
        <f t="shared" si="17"/>
        <v>0</v>
      </c>
    </row>
    <row r="476" spans="2:30" ht="15" customHeight="1" x14ac:dyDescent="0.4">
      <c r="B476" s="69" t="str">
        <f>_xlfn.IFNA(VLOOKUP(C476,Master!$J:$K,2,0),"")</f>
        <v/>
      </c>
      <c r="F476" s="71" t="str">
        <f>_xlfn.IFNA(VLOOKUP(G476,Master!B:C,2,0),"")</f>
        <v/>
      </c>
      <c r="I476" s="69" t="str">
        <f>_xlfn.IFNA(VLOOKUP(E476,Master!$J:$M,4,0),"")</f>
        <v/>
      </c>
      <c r="J476" s="69" t="str">
        <f>_xlfn.IFNA(VLOOKUP($E476,Master!$J:$M,3,0),"")</f>
        <v/>
      </c>
      <c r="AC476" s="14">
        <f t="shared" si="16"/>
        <v>0</v>
      </c>
      <c r="AD476" s="14">
        <f t="shared" si="17"/>
        <v>0</v>
      </c>
    </row>
    <row r="477" spans="2:30" ht="15" customHeight="1" x14ac:dyDescent="0.4">
      <c r="B477" s="69" t="str">
        <f>_xlfn.IFNA(VLOOKUP(C477,Master!$J:$K,2,0),"")</f>
        <v/>
      </c>
      <c r="F477" s="71" t="str">
        <f>_xlfn.IFNA(VLOOKUP(G477,Master!B:C,2,0),"")</f>
        <v/>
      </c>
      <c r="I477" s="69" t="str">
        <f>_xlfn.IFNA(VLOOKUP(E477,Master!$J:$M,4,0),"")</f>
        <v/>
      </c>
      <c r="J477" s="69" t="str">
        <f>_xlfn.IFNA(VLOOKUP($E477,Master!$J:$M,3,0),"")</f>
        <v/>
      </c>
      <c r="AC477" s="14">
        <f t="shared" si="16"/>
        <v>0</v>
      </c>
      <c r="AD477" s="14">
        <f t="shared" si="17"/>
        <v>0</v>
      </c>
    </row>
    <row r="478" spans="2:30" ht="15" customHeight="1" x14ac:dyDescent="0.4">
      <c r="B478" s="69" t="str">
        <f>_xlfn.IFNA(VLOOKUP(C478,Master!$J:$K,2,0),"")</f>
        <v/>
      </c>
      <c r="F478" s="71" t="str">
        <f>_xlfn.IFNA(VLOOKUP(G478,Master!B:C,2,0),"")</f>
        <v/>
      </c>
      <c r="I478" s="69" t="str">
        <f>_xlfn.IFNA(VLOOKUP(E478,Master!$J:$M,4,0),"")</f>
        <v/>
      </c>
      <c r="J478" s="69" t="str">
        <f>_xlfn.IFNA(VLOOKUP($E478,Master!$J:$M,3,0),"")</f>
        <v/>
      </c>
      <c r="AC478" s="14">
        <f t="shared" si="16"/>
        <v>0</v>
      </c>
      <c r="AD478" s="14">
        <f t="shared" si="17"/>
        <v>0</v>
      </c>
    </row>
    <row r="479" spans="2:30" ht="15" customHeight="1" x14ac:dyDescent="0.4">
      <c r="B479" s="69" t="str">
        <f>_xlfn.IFNA(VLOOKUP(C479,Master!$J:$K,2,0),"")</f>
        <v/>
      </c>
      <c r="F479" s="71" t="str">
        <f>_xlfn.IFNA(VLOOKUP(G479,Master!B:C,2,0),"")</f>
        <v/>
      </c>
      <c r="I479" s="69" t="str">
        <f>_xlfn.IFNA(VLOOKUP(E479,Master!$J:$M,4,0),"")</f>
        <v/>
      </c>
      <c r="J479" s="69" t="str">
        <f>_xlfn.IFNA(VLOOKUP($E479,Master!$J:$M,3,0),"")</f>
        <v/>
      </c>
      <c r="AC479" s="14">
        <f t="shared" si="16"/>
        <v>0</v>
      </c>
      <c r="AD479" s="14">
        <f t="shared" si="17"/>
        <v>0</v>
      </c>
    </row>
    <row r="480" spans="2:30" ht="15" customHeight="1" x14ac:dyDescent="0.4">
      <c r="B480" s="69" t="str">
        <f>_xlfn.IFNA(VLOOKUP(C480,Master!$J:$K,2,0),"")</f>
        <v/>
      </c>
      <c r="F480" s="71" t="str">
        <f>_xlfn.IFNA(VLOOKUP(G480,Master!B:C,2,0),"")</f>
        <v/>
      </c>
      <c r="I480" s="69" t="str">
        <f>_xlfn.IFNA(VLOOKUP(E480,Master!$J:$M,4,0),"")</f>
        <v/>
      </c>
      <c r="J480" s="69" t="str">
        <f>_xlfn.IFNA(VLOOKUP($E480,Master!$J:$M,3,0),"")</f>
        <v/>
      </c>
      <c r="AC480" s="14">
        <f t="shared" si="16"/>
        <v>0</v>
      </c>
      <c r="AD480" s="14">
        <f t="shared" si="17"/>
        <v>0</v>
      </c>
    </row>
    <row r="481" spans="2:30" ht="15" customHeight="1" x14ac:dyDescent="0.4">
      <c r="B481" s="69" t="str">
        <f>_xlfn.IFNA(VLOOKUP(C481,Master!$J:$K,2,0),"")</f>
        <v/>
      </c>
      <c r="F481" s="71" t="str">
        <f>_xlfn.IFNA(VLOOKUP(G481,Master!B:C,2,0),"")</f>
        <v/>
      </c>
      <c r="I481" s="69" t="str">
        <f>_xlfn.IFNA(VLOOKUP(E481,Master!$J:$M,4,0),"")</f>
        <v/>
      </c>
      <c r="J481" s="69" t="str">
        <f>_xlfn.IFNA(VLOOKUP($E481,Master!$J:$M,3,0),"")</f>
        <v/>
      </c>
      <c r="AC481" s="14">
        <f t="shared" si="16"/>
        <v>0</v>
      </c>
      <c r="AD481" s="14">
        <f t="shared" si="17"/>
        <v>0</v>
      </c>
    </row>
    <row r="482" spans="2:30" ht="15" customHeight="1" x14ac:dyDescent="0.4">
      <c r="B482" s="69" t="str">
        <f>_xlfn.IFNA(VLOOKUP(C482,Master!$J:$K,2,0),"")</f>
        <v/>
      </c>
      <c r="F482" s="71" t="str">
        <f>_xlfn.IFNA(VLOOKUP(G482,Master!B:C,2,0),"")</f>
        <v/>
      </c>
      <c r="I482" s="69" t="str">
        <f>_xlfn.IFNA(VLOOKUP(E482,Master!$J:$M,4,0),"")</f>
        <v/>
      </c>
      <c r="J482" s="69" t="str">
        <f>_xlfn.IFNA(VLOOKUP($E482,Master!$J:$M,3,0),"")</f>
        <v/>
      </c>
      <c r="AC482" s="14">
        <f t="shared" si="16"/>
        <v>0</v>
      </c>
      <c r="AD482" s="14">
        <f t="shared" si="17"/>
        <v>0</v>
      </c>
    </row>
    <row r="483" spans="2:30" ht="15" customHeight="1" x14ac:dyDescent="0.4">
      <c r="B483" s="69" t="str">
        <f>_xlfn.IFNA(VLOOKUP(C483,Master!$J:$K,2,0),"")</f>
        <v/>
      </c>
      <c r="F483" s="71" t="str">
        <f>_xlfn.IFNA(VLOOKUP(G483,Master!B:C,2,0),"")</f>
        <v/>
      </c>
      <c r="I483" s="69" t="str">
        <f>_xlfn.IFNA(VLOOKUP(E483,Master!$J:$M,4,0),"")</f>
        <v/>
      </c>
      <c r="J483" s="69" t="str">
        <f>_xlfn.IFNA(VLOOKUP($E483,Master!$J:$M,3,0),"")</f>
        <v/>
      </c>
      <c r="AC483" s="14">
        <f t="shared" si="16"/>
        <v>0</v>
      </c>
      <c r="AD483" s="14">
        <f t="shared" si="17"/>
        <v>0</v>
      </c>
    </row>
    <row r="484" spans="2:30" ht="15" customHeight="1" x14ac:dyDescent="0.4">
      <c r="B484" s="69" t="str">
        <f>_xlfn.IFNA(VLOOKUP(C484,Master!$J:$K,2,0),"")</f>
        <v/>
      </c>
      <c r="F484" s="71" t="str">
        <f>_xlfn.IFNA(VLOOKUP(G484,Master!B:C,2,0),"")</f>
        <v/>
      </c>
      <c r="I484" s="69" t="str">
        <f>_xlfn.IFNA(VLOOKUP(E484,Master!$J:$M,4,0),"")</f>
        <v/>
      </c>
      <c r="J484" s="69" t="str">
        <f>_xlfn.IFNA(VLOOKUP($E484,Master!$J:$M,3,0),"")</f>
        <v/>
      </c>
      <c r="AC484" s="14">
        <f t="shared" si="16"/>
        <v>0</v>
      </c>
      <c r="AD484" s="14">
        <f t="shared" si="17"/>
        <v>0</v>
      </c>
    </row>
    <row r="485" spans="2:30" ht="15" customHeight="1" x14ac:dyDescent="0.4">
      <c r="B485" s="69" t="str">
        <f>_xlfn.IFNA(VLOOKUP(C485,Master!$J:$K,2,0),"")</f>
        <v/>
      </c>
      <c r="F485" s="71" t="str">
        <f>_xlfn.IFNA(VLOOKUP(G485,Master!B:C,2,0),"")</f>
        <v/>
      </c>
      <c r="I485" s="69" t="str">
        <f>_xlfn.IFNA(VLOOKUP(E485,Master!$J:$M,4,0),"")</f>
        <v/>
      </c>
      <c r="J485" s="69" t="str">
        <f>_xlfn.IFNA(VLOOKUP($E485,Master!$J:$M,3,0),"")</f>
        <v/>
      </c>
      <c r="AC485" s="14">
        <f t="shared" si="16"/>
        <v>0</v>
      </c>
      <c r="AD485" s="14">
        <f t="shared" si="17"/>
        <v>0</v>
      </c>
    </row>
    <row r="486" spans="2:30" ht="15" customHeight="1" x14ac:dyDescent="0.4">
      <c r="B486" s="69" t="str">
        <f>_xlfn.IFNA(VLOOKUP(C486,Master!$J:$K,2,0),"")</f>
        <v/>
      </c>
      <c r="F486" s="71" t="str">
        <f>_xlfn.IFNA(VLOOKUP(G486,Master!B:C,2,0),"")</f>
        <v/>
      </c>
      <c r="I486" s="69" t="str">
        <f>_xlfn.IFNA(VLOOKUP(E486,Master!$J:$M,4,0),"")</f>
        <v/>
      </c>
      <c r="J486" s="69" t="str">
        <f>_xlfn.IFNA(VLOOKUP($E486,Master!$J:$M,3,0),"")</f>
        <v/>
      </c>
      <c r="AC486" s="14">
        <f t="shared" si="16"/>
        <v>0</v>
      </c>
      <c r="AD486" s="14">
        <f t="shared" si="17"/>
        <v>0</v>
      </c>
    </row>
    <row r="487" spans="2:30" ht="15" customHeight="1" x14ac:dyDescent="0.4">
      <c r="B487" s="69" t="str">
        <f>_xlfn.IFNA(VLOOKUP(C487,Master!$J:$K,2,0),"")</f>
        <v/>
      </c>
      <c r="F487" s="71" t="str">
        <f>_xlfn.IFNA(VLOOKUP(G487,Master!B:C,2,0),"")</f>
        <v/>
      </c>
      <c r="I487" s="69" t="str">
        <f>_xlfn.IFNA(VLOOKUP(E487,Master!$J:$M,4,0),"")</f>
        <v/>
      </c>
      <c r="J487" s="69" t="str">
        <f>_xlfn.IFNA(VLOOKUP($E487,Master!$J:$M,3,0),"")</f>
        <v/>
      </c>
      <c r="AC487" s="14">
        <f t="shared" si="16"/>
        <v>0</v>
      </c>
      <c r="AD487" s="14">
        <f t="shared" si="17"/>
        <v>0</v>
      </c>
    </row>
    <row r="488" spans="2:30" ht="15" customHeight="1" x14ac:dyDescent="0.4">
      <c r="B488" s="69" t="str">
        <f>_xlfn.IFNA(VLOOKUP(C488,Master!$J:$K,2,0),"")</f>
        <v/>
      </c>
      <c r="F488" s="71" t="str">
        <f>_xlfn.IFNA(VLOOKUP(G488,Master!B:C,2,0),"")</f>
        <v/>
      </c>
      <c r="I488" s="69" t="str">
        <f>_xlfn.IFNA(VLOOKUP(E488,Master!$J:$M,4,0),"")</f>
        <v/>
      </c>
      <c r="J488" s="69" t="str">
        <f>_xlfn.IFNA(VLOOKUP($E488,Master!$J:$M,3,0),"")</f>
        <v/>
      </c>
      <c r="AC488" s="14">
        <f t="shared" si="16"/>
        <v>0</v>
      </c>
      <c r="AD488" s="14">
        <f t="shared" si="17"/>
        <v>0</v>
      </c>
    </row>
    <row r="489" spans="2:30" ht="15" customHeight="1" x14ac:dyDescent="0.4">
      <c r="B489" s="69" t="str">
        <f>_xlfn.IFNA(VLOOKUP(C489,Master!$J:$K,2,0),"")</f>
        <v/>
      </c>
      <c r="F489" s="71" t="str">
        <f>_xlfn.IFNA(VLOOKUP(G489,Master!B:C,2,0),"")</f>
        <v/>
      </c>
      <c r="I489" s="69" t="str">
        <f>_xlfn.IFNA(VLOOKUP(E489,Master!$J:$M,4,0),"")</f>
        <v/>
      </c>
      <c r="J489" s="69" t="str">
        <f>_xlfn.IFNA(VLOOKUP($E489,Master!$J:$M,3,0),"")</f>
        <v/>
      </c>
      <c r="AC489" s="14">
        <f t="shared" si="16"/>
        <v>0</v>
      </c>
      <c r="AD489" s="14">
        <f t="shared" si="17"/>
        <v>0</v>
      </c>
    </row>
    <row r="490" spans="2:30" ht="15" customHeight="1" x14ac:dyDescent="0.4">
      <c r="B490" s="69" t="str">
        <f>_xlfn.IFNA(VLOOKUP(C490,Master!$J:$K,2,0),"")</f>
        <v/>
      </c>
      <c r="F490" s="71" t="str">
        <f>_xlfn.IFNA(VLOOKUP(G490,Master!B:C,2,0),"")</f>
        <v/>
      </c>
      <c r="I490" s="69" t="str">
        <f>_xlfn.IFNA(VLOOKUP(E490,Master!$J:$M,4,0),"")</f>
        <v/>
      </c>
      <c r="J490" s="69" t="str">
        <f>_xlfn.IFNA(VLOOKUP($E490,Master!$J:$M,3,0),"")</f>
        <v/>
      </c>
      <c r="AC490" s="14">
        <f t="shared" si="16"/>
        <v>0</v>
      </c>
      <c r="AD490" s="14">
        <f t="shared" si="17"/>
        <v>0</v>
      </c>
    </row>
    <row r="491" spans="2:30" ht="15" customHeight="1" x14ac:dyDescent="0.4">
      <c r="B491" s="69" t="str">
        <f>_xlfn.IFNA(VLOOKUP(C491,Master!$J:$K,2,0),"")</f>
        <v/>
      </c>
      <c r="F491" s="71" t="str">
        <f>_xlfn.IFNA(VLOOKUP(G491,Master!B:C,2,0),"")</f>
        <v/>
      </c>
      <c r="I491" s="69" t="str">
        <f>_xlfn.IFNA(VLOOKUP(E491,Master!$J:$M,4,0),"")</f>
        <v/>
      </c>
      <c r="J491" s="69" t="str">
        <f>_xlfn.IFNA(VLOOKUP($E491,Master!$J:$M,3,0),"")</f>
        <v/>
      </c>
      <c r="AC491" s="14">
        <f t="shared" si="16"/>
        <v>0</v>
      </c>
      <c r="AD491" s="14">
        <f t="shared" si="17"/>
        <v>0</v>
      </c>
    </row>
    <row r="492" spans="2:30" ht="15" customHeight="1" x14ac:dyDescent="0.4">
      <c r="B492" s="69" t="str">
        <f>_xlfn.IFNA(VLOOKUP(C492,Master!$J:$K,2,0),"")</f>
        <v/>
      </c>
      <c r="F492" s="71" t="str">
        <f>_xlfn.IFNA(VLOOKUP(G492,Master!B:C,2,0),"")</f>
        <v/>
      </c>
      <c r="I492" s="69" t="str">
        <f>_xlfn.IFNA(VLOOKUP(E492,Master!$J:$M,4,0),"")</f>
        <v/>
      </c>
      <c r="J492" s="69" t="str">
        <f>_xlfn.IFNA(VLOOKUP($E492,Master!$J:$M,3,0),"")</f>
        <v/>
      </c>
      <c r="AC492" s="14">
        <f t="shared" si="16"/>
        <v>0</v>
      </c>
      <c r="AD492" s="14">
        <f t="shared" si="17"/>
        <v>0</v>
      </c>
    </row>
    <row r="493" spans="2:30" ht="15" customHeight="1" x14ac:dyDescent="0.4">
      <c r="B493" s="69" t="str">
        <f>_xlfn.IFNA(VLOOKUP(C493,Master!$J:$K,2,0),"")</f>
        <v/>
      </c>
      <c r="F493" s="71" t="str">
        <f>_xlfn.IFNA(VLOOKUP(G493,Master!B:C,2,0),"")</f>
        <v/>
      </c>
      <c r="I493" s="69" t="str">
        <f>_xlfn.IFNA(VLOOKUP(E493,Master!$J:$M,4,0),"")</f>
        <v/>
      </c>
      <c r="J493" s="69" t="str">
        <f>_xlfn.IFNA(VLOOKUP($E493,Master!$J:$M,3,0),"")</f>
        <v/>
      </c>
      <c r="AC493" s="14">
        <f t="shared" si="16"/>
        <v>0</v>
      </c>
      <c r="AD493" s="14">
        <f t="shared" si="17"/>
        <v>0</v>
      </c>
    </row>
    <row r="494" spans="2:30" ht="15" customHeight="1" x14ac:dyDescent="0.4">
      <c r="B494" s="69" t="str">
        <f>_xlfn.IFNA(VLOOKUP(C494,Master!$J:$K,2,0),"")</f>
        <v/>
      </c>
      <c r="F494" s="71" t="str">
        <f>_xlfn.IFNA(VLOOKUP(G494,Master!B:C,2,0),"")</f>
        <v/>
      </c>
      <c r="I494" s="69" t="str">
        <f>_xlfn.IFNA(VLOOKUP(E494,Master!$J:$M,4,0),"")</f>
        <v/>
      </c>
      <c r="J494" s="69" t="str">
        <f>_xlfn.IFNA(VLOOKUP($E494,Master!$J:$M,3,0),"")</f>
        <v/>
      </c>
      <c r="AC494" s="14">
        <f t="shared" si="16"/>
        <v>0</v>
      </c>
      <c r="AD494" s="14">
        <f t="shared" si="17"/>
        <v>0</v>
      </c>
    </row>
    <row r="495" spans="2:30" ht="15" customHeight="1" x14ac:dyDescent="0.4">
      <c r="B495" s="69" t="str">
        <f>_xlfn.IFNA(VLOOKUP(C495,Master!$J:$K,2,0),"")</f>
        <v/>
      </c>
      <c r="F495" s="71" t="str">
        <f>_xlfn.IFNA(VLOOKUP(G495,Master!B:C,2,0),"")</f>
        <v/>
      </c>
      <c r="I495" s="69" t="str">
        <f>_xlfn.IFNA(VLOOKUP(E495,Master!$J:$M,4,0),"")</f>
        <v/>
      </c>
      <c r="J495" s="69" t="str">
        <f>_xlfn.IFNA(VLOOKUP($E495,Master!$J:$M,3,0),"")</f>
        <v/>
      </c>
      <c r="AC495" s="14">
        <f t="shared" si="16"/>
        <v>0</v>
      </c>
      <c r="AD495" s="14">
        <f t="shared" si="17"/>
        <v>0</v>
      </c>
    </row>
    <row r="496" spans="2:30" ht="15" customHeight="1" x14ac:dyDescent="0.4">
      <c r="B496" s="69" t="str">
        <f>_xlfn.IFNA(VLOOKUP(C496,Master!$J:$K,2,0),"")</f>
        <v/>
      </c>
      <c r="F496" s="71" t="str">
        <f>_xlfn.IFNA(VLOOKUP(G496,Master!B:C,2,0),"")</f>
        <v/>
      </c>
      <c r="I496" s="69" t="str">
        <f>_xlfn.IFNA(VLOOKUP(E496,Master!$J:$M,4,0),"")</f>
        <v/>
      </c>
      <c r="J496" s="69" t="str">
        <f>_xlfn.IFNA(VLOOKUP($E496,Master!$J:$M,3,0),"")</f>
        <v/>
      </c>
      <c r="AC496" s="14">
        <f t="shared" si="16"/>
        <v>0</v>
      </c>
      <c r="AD496" s="14">
        <f t="shared" si="17"/>
        <v>0</v>
      </c>
    </row>
    <row r="497" spans="2:30" ht="15" customHeight="1" x14ac:dyDescent="0.4">
      <c r="B497" s="69" t="str">
        <f>_xlfn.IFNA(VLOOKUP(C497,Master!$J:$K,2,0),"")</f>
        <v/>
      </c>
      <c r="F497" s="71" t="str">
        <f>_xlfn.IFNA(VLOOKUP(G497,Master!B:C,2,0),"")</f>
        <v/>
      </c>
      <c r="I497" s="69" t="str">
        <f>_xlfn.IFNA(VLOOKUP(E497,Master!$J:$M,4,0),"")</f>
        <v/>
      </c>
      <c r="J497" s="69" t="str">
        <f>_xlfn.IFNA(VLOOKUP($E497,Master!$J:$M,3,0),"")</f>
        <v/>
      </c>
      <c r="AC497" s="14">
        <f t="shared" si="16"/>
        <v>0</v>
      </c>
      <c r="AD497" s="14">
        <f t="shared" si="17"/>
        <v>0</v>
      </c>
    </row>
    <row r="498" spans="2:30" ht="15" customHeight="1" x14ac:dyDescent="0.4">
      <c r="B498" s="69" t="str">
        <f>_xlfn.IFNA(VLOOKUP(C498,Master!$J:$K,2,0),"")</f>
        <v/>
      </c>
      <c r="F498" s="71" t="str">
        <f>_xlfn.IFNA(VLOOKUP(G498,Master!B:C,2,0),"")</f>
        <v/>
      </c>
      <c r="I498" s="69" t="str">
        <f>_xlfn.IFNA(VLOOKUP(E498,Master!$J:$M,4,0),"")</f>
        <v/>
      </c>
      <c r="J498" s="69" t="str">
        <f>_xlfn.IFNA(VLOOKUP($E498,Master!$J:$M,3,0),"")</f>
        <v/>
      </c>
      <c r="AC498" s="14">
        <f t="shared" si="16"/>
        <v>0</v>
      </c>
      <c r="AD498" s="14">
        <f t="shared" si="17"/>
        <v>0</v>
      </c>
    </row>
    <row r="499" spans="2:30" ht="15" customHeight="1" x14ac:dyDescent="0.4">
      <c r="B499" s="69" t="str">
        <f>_xlfn.IFNA(VLOOKUP(C499,Master!$J:$K,2,0),"")</f>
        <v/>
      </c>
      <c r="F499" s="71" t="str">
        <f>_xlfn.IFNA(VLOOKUP(G499,Master!B:C,2,0),"")</f>
        <v/>
      </c>
      <c r="I499" s="69" t="str">
        <f>_xlfn.IFNA(VLOOKUP(E499,Master!$J:$M,4,0),"")</f>
        <v/>
      </c>
      <c r="J499" s="69" t="str">
        <f>_xlfn.IFNA(VLOOKUP($E499,Master!$J:$M,3,0),"")</f>
        <v/>
      </c>
      <c r="AC499" s="14">
        <f t="shared" si="16"/>
        <v>0</v>
      </c>
      <c r="AD499" s="14">
        <f t="shared" si="17"/>
        <v>0</v>
      </c>
    </row>
    <row r="500" spans="2:30" ht="15" customHeight="1" x14ac:dyDescent="0.4">
      <c r="B500" s="69" t="str">
        <f>_xlfn.IFNA(VLOOKUP(C500,Master!$J:$K,2,0),"")</f>
        <v/>
      </c>
      <c r="F500" s="71" t="str">
        <f>_xlfn.IFNA(VLOOKUP(G500,Master!B:C,2,0),"")</f>
        <v/>
      </c>
      <c r="I500" s="69" t="str">
        <f>_xlfn.IFNA(VLOOKUP(E500,Master!$J:$M,4,0),"")</f>
        <v/>
      </c>
      <c r="J500" s="69" t="str">
        <f>_xlfn.IFNA(VLOOKUP($E500,Master!$J:$M,3,0),"")</f>
        <v/>
      </c>
      <c r="AC500" s="14">
        <f t="shared" si="16"/>
        <v>0</v>
      </c>
      <c r="AD500" s="14">
        <f t="shared" si="17"/>
        <v>0</v>
      </c>
    </row>
    <row r="501" spans="2:30" ht="15" customHeight="1" x14ac:dyDescent="0.4">
      <c r="B501" s="69" t="str">
        <f>_xlfn.IFNA(VLOOKUP(C501,Master!$J:$K,2,0),"")</f>
        <v/>
      </c>
      <c r="F501" s="71" t="str">
        <f>_xlfn.IFNA(VLOOKUP(G501,Master!B:C,2,0),"")</f>
        <v/>
      </c>
      <c r="I501" s="69" t="str">
        <f>_xlfn.IFNA(VLOOKUP(E501,Master!$J:$M,4,0),"")</f>
        <v/>
      </c>
      <c r="J501" s="69" t="str">
        <f>_xlfn.IFNA(VLOOKUP($E501,Master!$J:$M,3,0),"")</f>
        <v/>
      </c>
      <c r="AC501" s="14">
        <f t="shared" si="16"/>
        <v>0</v>
      </c>
      <c r="AD501" s="14">
        <f t="shared" si="17"/>
        <v>0</v>
      </c>
    </row>
    <row r="502" spans="2:30" ht="15" customHeight="1" x14ac:dyDescent="0.4">
      <c r="B502" s="69" t="str">
        <f>_xlfn.IFNA(VLOOKUP(C502,Master!$J:$K,2,0),"")</f>
        <v/>
      </c>
      <c r="F502" s="71" t="str">
        <f>_xlfn.IFNA(VLOOKUP(G502,Master!B:C,2,0),"")</f>
        <v/>
      </c>
      <c r="I502" s="69" t="str">
        <f>_xlfn.IFNA(VLOOKUP(E502,Master!$J:$M,4,0),"")</f>
        <v/>
      </c>
      <c r="J502" s="69" t="str">
        <f>_xlfn.IFNA(VLOOKUP($E502,Master!$J:$M,3,0),"")</f>
        <v/>
      </c>
      <c r="AC502" s="14">
        <f t="shared" si="16"/>
        <v>0</v>
      </c>
      <c r="AD502" s="14">
        <f t="shared" si="17"/>
        <v>0</v>
      </c>
    </row>
    <row r="503" spans="2:30" ht="15" customHeight="1" x14ac:dyDescent="0.4">
      <c r="B503" s="69" t="str">
        <f>_xlfn.IFNA(VLOOKUP(C503,Master!$J:$K,2,0),"")</f>
        <v/>
      </c>
      <c r="F503" s="71" t="str">
        <f>_xlfn.IFNA(VLOOKUP(G503,Master!B:C,2,0),"")</f>
        <v/>
      </c>
      <c r="I503" s="69" t="str">
        <f>_xlfn.IFNA(VLOOKUP(E503,Master!$J:$M,4,0),"")</f>
        <v/>
      </c>
      <c r="J503" s="69" t="str">
        <f>_xlfn.IFNA(VLOOKUP($E503,Master!$J:$M,3,0),"")</f>
        <v/>
      </c>
      <c r="AC503" s="14">
        <f t="shared" si="16"/>
        <v>0</v>
      </c>
      <c r="AD503" s="14">
        <f t="shared" si="17"/>
        <v>0</v>
      </c>
    </row>
    <row r="504" spans="2:30" ht="15" customHeight="1" x14ac:dyDescent="0.4">
      <c r="B504" s="69" t="str">
        <f>_xlfn.IFNA(VLOOKUP(C504,Master!$J:$K,2,0),"")</f>
        <v/>
      </c>
      <c r="F504" s="71" t="str">
        <f>_xlfn.IFNA(VLOOKUP(G504,Master!B:C,2,0),"")</f>
        <v/>
      </c>
      <c r="I504" s="69" t="str">
        <f>_xlfn.IFNA(VLOOKUP(E504,Master!$J:$M,4,0),"")</f>
        <v/>
      </c>
      <c r="J504" s="69" t="str">
        <f>_xlfn.IFNA(VLOOKUP($E504,Master!$J:$M,3,0),"")</f>
        <v/>
      </c>
      <c r="AC504" s="14">
        <f t="shared" si="16"/>
        <v>0</v>
      </c>
      <c r="AD504" s="14">
        <f t="shared" si="17"/>
        <v>0</v>
      </c>
    </row>
    <row r="505" spans="2:30" ht="15" customHeight="1" x14ac:dyDescent="0.4">
      <c r="B505" s="69" t="str">
        <f>_xlfn.IFNA(VLOOKUP(C505,Master!$J:$K,2,0),"")</f>
        <v/>
      </c>
      <c r="F505" s="71" t="str">
        <f>_xlfn.IFNA(VLOOKUP(G505,Master!B:C,2,0),"")</f>
        <v/>
      </c>
      <c r="I505" s="69" t="str">
        <f>_xlfn.IFNA(VLOOKUP(E505,Master!$J:$M,4,0),"")</f>
        <v/>
      </c>
      <c r="J505" s="69" t="str">
        <f>_xlfn.IFNA(VLOOKUP($E505,Master!$J:$M,3,0),"")</f>
        <v/>
      </c>
      <c r="AC505" s="14">
        <f t="shared" si="16"/>
        <v>0</v>
      </c>
      <c r="AD505" s="14">
        <f t="shared" si="17"/>
        <v>0</v>
      </c>
    </row>
    <row r="506" spans="2:30" ht="15" customHeight="1" x14ac:dyDescent="0.4">
      <c r="B506" s="69" t="str">
        <f>_xlfn.IFNA(VLOOKUP(C506,Master!$J:$K,2,0),"")</f>
        <v/>
      </c>
      <c r="F506" s="71" t="str">
        <f>_xlfn.IFNA(VLOOKUP(G506,Master!B:C,2,0),"")</f>
        <v/>
      </c>
      <c r="I506" s="69" t="str">
        <f>_xlfn.IFNA(VLOOKUP(E506,Master!$J:$M,4,0),"")</f>
        <v/>
      </c>
      <c r="J506" s="69" t="str">
        <f>_xlfn.IFNA(VLOOKUP($E506,Master!$J:$M,3,0),"")</f>
        <v/>
      </c>
      <c r="AC506" s="14">
        <f t="shared" si="16"/>
        <v>0</v>
      </c>
      <c r="AD506" s="14">
        <f t="shared" si="17"/>
        <v>0</v>
      </c>
    </row>
    <row r="507" spans="2:30" ht="15" customHeight="1" x14ac:dyDescent="0.4">
      <c r="B507" s="69" t="str">
        <f>_xlfn.IFNA(VLOOKUP(C507,Master!$J:$K,2,0),"")</f>
        <v/>
      </c>
      <c r="F507" s="71" t="str">
        <f>_xlfn.IFNA(VLOOKUP(G507,Master!B:C,2,0),"")</f>
        <v/>
      </c>
      <c r="I507" s="69" t="str">
        <f>_xlfn.IFNA(VLOOKUP(E507,Master!$J:$M,4,0),"")</f>
        <v/>
      </c>
      <c r="J507" s="69" t="str">
        <f>_xlfn.IFNA(VLOOKUP($E507,Master!$J:$M,3,0),"")</f>
        <v/>
      </c>
      <c r="AC507" s="14">
        <f t="shared" si="16"/>
        <v>0</v>
      </c>
      <c r="AD507" s="14">
        <f t="shared" si="17"/>
        <v>0</v>
      </c>
    </row>
    <row r="508" spans="2:30" ht="15" customHeight="1" x14ac:dyDescent="0.4">
      <c r="B508" s="69" t="str">
        <f>_xlfn.IFNA(VLOOKUP(C508,Master!$J:$K,2,0),"")</f>
        <v/>
      </c>
      <c r="F508" s="71" t="str">
        <f>_xlfn.IFNA(VLOOKUP(G508,Master!B:C,2,0),"")</f>
        <v/>
      </c>
      <c r="I508" s="69" t="str">
        <f>_xlfn.IFNA(VLOOKUP(E508,Master!$J:$M,4,0),"")</f>
        <v/>
      </c>
      <c r="J508" s="69" t="str">
        <f>_xlfn.IFNA(VLOOKUP($E508,Master!$J:$M,3,0),"")</f>
        <v/>
      </c>
      <c r="AC508" s="14">
        <f t="shared" si="16"/>
        <v>0</v>
      </c>
      <c r="AD508" s="14">
        <f t="shared" si="17"/>
        <v>0</v>
      </c>
    </row>
    <row r="509" spans="2:30" ht="15" customHeight="1" x14ac:dyDescent="0.4">
      <c r="B509" s="69" t="str">
        <f>_xlfn.IFNA(VLOOKUP(C509,Master!$J:$K,2,0),"")</f>
        <v/>
      </c>
      <c r="F509" s="71" t="str">
        <f>_xlfn.IFNA(VLOOKUP(G509,Master!B:C,2,0),"")</f>
        <v/>
      </c>
      <c r="I509" s="69" t="str">
        <f>_xlfn.IFNA(VLOOKUP(E509,Master!$J:$M,4,0),"")</f>
        <v/>
      </c>
      <c r="J509" s="69" t="str">
        <f>_xlfn.IFNA(VLOOKUP($E509,Master!$J:$M,3,0),"")</f>
        <v/>
      </c>
      <c r="AC509" s="14">
        <f t="shared" si="16"/>
        <v>0</v>
      </c>
      <c r="AD509" s="14">
        <f t="shared" si="17"/>
        <v>0</v>
      </c>
    </row>
    <row r="510" spans="2:30" ht="15" customHeight="1" x14ac:dyDescent="0.4">
      <c r="B510" s="69" t="str">
        <f>_xlfn.IFNA(VLOOKUP(C510,Master!$J:$K,2,0),"")</f>
        <v/>
      </c>
      <c r="F510" s="71" t="str">
        <f>_xlfn.IFNA(VLOOKUP(G510,Master!B:C,2,0),"")</f>
        <v/>
      </c>
      <c r="I510" s="69" t="str">
        <f>_xlfn.IFNA(VLOOKUP(E510,Master!$J:$M,4,0),"")</f>
        <v/>
      </c>
      <c r="J510" s="69" t="str">
        <f>_xlfn.IFNA(VLOOKUP($E510,Master!$J:$M,3,0),"")</f>
        <v/>
      </c>
      <c r="AC510" s="14">
        <f t="shared" si="16"/>
        <v>0</v>
      </c>
      <c r="AD510" s="14">
        <f t="shared" si="17"/>
        <v>0</v>
      </c>
    </row>
    <row r="511" spans="2:30" ht="15" customHeight="1" x14ac:dyDescent="0.4">
      <c r="B511" s="69" t="str">
        <f>_xlfn.IFNA(VLOOKUP(C511,Master!$J:$K,2,0),"")</f>
        <v/>
      </c>
      <c r="F511" s="71" t="str">
        <f>_xlfn.IFNA(VLOOKUP(G511,Master!B:C,2,0),"")</f>
        <v/>
      </c>
      <c r="I511" s="69" t="str">
        <f>_xlfn.IFNA(VLOOKUP(E511,Master!$J:$M,4,0),"")</f>
        <v/>
      </c>
      <c r="J511" s="69" t="str">
        <f>_xlfn.IFNA(VLOOKUP($E511,Master!$J:$M,3,0),"")</f>
        <v/>
      </c>
      <c r="AC511" s="14">
        <f t="shared" si="16"/>
        <v>0</v>
      </c>
      <c r="AD511" s="14">
        <f t="shared" si="17"/>
        <v>0</v>
      </c>
    </row>
    <row r="512" spans="2:30" ht="15" customHeight="1" x14ac:dyDescent="0.4">
      <c r="B512" s="69" t="str">
        <f>_xlfn.IFNA(VLOOKUP(C512,Master!$J:$K,2,0),"")</f>
        <v/>
      </c>
      <c r="F512" s="71" t="str">
        <f>_xlfn.IFNA(VLOOKUP(G512,Master!B:C,2,0),"")</f>
        <v/>
      </c>
      <c r="I512" s="69" t="str">
        <f>_xlfn.IFNA(VLOOKUP(E512,Master!$J:$M,4,0),"")</f>
        <v/>
      </c>
      <c r="J512" s="69" t="str">
        <f>_xlfn.IFNA(VLOOKUP($E512,Master!$J:$M,3,0),"")</f>
        <v/>
      </c>
      <c r="AC512" s="14">
        <f t="shared" si="16"/>
        <v>0</v>
      </c>
      <c r="AD512" s="14">
        <f t="shared" si="17"/>
        <v>0</v>
      </c>
    </row>
    <row r="513" spans="2:30" ht="15" customHeight="1" x14ac:dyDescent="0.4">
      <c r="B513" s="69" t="str">
        <f>_xlfn.IFNA(VLOOKUP(C513,Master!$J:$K,2,0),"")</f>
        <v/>
      </c>
      <c r="F513" s="71" t="str">
        <f>_xlfn.IFNA(VLOOKUP(G513,Master!B:C,2,0),"")</f>
        <v/>
      </c>
      <c r="AC513" s="14">
        <f t="shared" si="16"/>
        <v>0</v>
      </c>
      <c r="AD513" s="14">
        <f t="shared" si="17"/>
        <v>0</v>
      </c>
    </row>
    <row r="514" spans="2:30" ht="15" customHeight="1" x14ac:dyDescent="0.4">
      <c r="B514" s="69" t="str">
        <f>_xlfn.IFNA(VLOOKUP(C514,Master!$J:$K,2,0),"")</f>
        <v/>
      </c>
      <c r="F514" s="71" t="str">
        <f>_xlfn.IFNA(VLOOKUP(G514,Master!B:C,2,0),"")</f>
        <v/>
      </c>
      <c r="AC514" s="14">
        <f t="shared" ref="AC514:AC577" si="18">SUM(K514:P514)</f>
        <v>0</v>
      </c>
      <c r="AD514" s="14">
        <f t="shared" ref="AD514:AD577" si="19">SUM(Q514:AB514)</f>
        <v>0</v>
      </c>
    </row>
    <row r="515" spans="2:30" ht="15" customHeight="1" x14ac:dyDescent="0.4">
      <c r="B515" s="69" t="str">
        <f>_xlfn.IFNA(VLOOKUP(C515,Master!$J:$K,2,0),"")</f>
        <v/>
      </c>
      <c r="F515" s="71" t="str">
        <f>_xlfn.IFNA(VLOOKUP(G515,Master!B:C,2,0),"")</f>
        <v/>
      </c>
      <c r="AC515" s="14">
        <f t="shared" si="18"/>
        <v>0</v>
      </c>
      <c r="AD515" s="14">
        <f t="shared" si="19"/>
        <v>0</v>
      </c>
    </row>
    <row r="516" spans="2:30" ht="15" customHeight="1" x14ac:dyDescent="0.4">
      <c r="B516" s="69" t="str">
        <f>_xlfn.IFNA(VLOOKUP(C516,Master!$J:$K,2,0),"")</f>
        <v/>
      </c>
      <c r="F516" s="71" t="str">
        <f>_xlfn.IFNA(VLOOKUP(G516,Master!B:C,2,0),"")</f>
        <v/>
      </c>
      <c r="AC516" s="14">
        <f t="shared" si="18"/>
        <v>0</v>
      </c>
      <c r="AD516" s="14">
        <f t="shared" si="19"/>
        <v>0</v>
      </c>
    </row>
    <row r="517" spans="2:30" ht="15" customHeight="1" x14ac:dyDescent="0.4">
      <c r="B517" s="69" t="str">
        <f>_xlfn.IFNA(VLOOKUP(C517,Master!$J:$K,2,0),"")</f>
        <v/>
      </c>
      <c r="F517" s="71" t="str">
        <f>_xlfn.IFNA(VLOOKUP(G517,Master!B:C,2,0),"")</f>
        <v/>
      </c>
      <c r="AC517" s="14">
        <f t="shared" si="18"/>
        <v>0</v>
      </c>
      <c r="AD517" s="14">
        <f t="shared" si="19"/>
        <v>0</v>
      </c>
    </row>
    <row r="518" spans="2:30" ht="15" customHeight="1" x14ac:dyDescent="0.4">
      <c r="B518" s="69" t="str">
        <f>_xlfn.IFNA(VLOOKUP(C518,Master!$J:$K,2,0),"")</f>
        <v/>
      </c>
      <c r="F518" s="71" t="str">
        <f>_xlfn.IFNA(VLOOKUP(G518,Master!B:C,2,0),"")</f>
        <v/>
      </c>
      <c r="AC518" s="14">
        <f t="shared" si="18"/>
        <v>0</v>
      </c>
      <c r="AD518" s="14">
        <f t="shared" si="19"/>
        <v>0</v>
      </c>
    </row>
    <row r="519" spans="2:30" ht="15" customHeight="1" x14ac:dyDescent="0.4">
      <c r="B519" s="69" t="str">
        <f>_xlfn.IFNA(VLOOKUP(C519,Master!$J:$K,2,0),"")</f>
        <v/>
      </c>
      <c r="F519" s="71" t="str">
        <f>_xlfn.IFNA(VLOOKUP(G519,Master!B:C,2,0),"")</f>
        <v/>
      </c>
      <c r="AC519" s="14">
        <f t="shared" si="18"/>
        <v>0</v>
      </c>
      <c r="AD519" s="14">
        <f t="shared" si="19"/>
        <v>0</v>
      </c>
    </row>
    <row r="520" spans="2:30" ht="15" customHeight="1" x14ac:dyDescent="0.4">
      <c r="B520" s="69" t="str">
        <f>_xlfn.IFNA(VLOOKUP(C520,Master!$J:$K,2,0),"")</f>
        <v/>
      </c>
      <c r="F520" s="71" t="str">
        <f>_xlfn.IFNA(VLOOKUP(G520,Master!B:C,2,0),"")</f>
        <v/>
      </c>
      <c r="AC520" s="14">
        <f t="shared" si="18"/>
        <v>0</v>
      </c>
      <c r="AD520" s="14">
        <f t="shared" si="19"/>
        <v>0</v>
      </c>
    </row>
    <row r="521" spans="2:30" ht="15" customHeight="1" x14ac:dyDescent="0.4">
      <c r="B521" s="69" t="str">
        <f>_xlfn.IFNA(VLOOKUP(C521,Master!$J:$K,2,0),"")</f>
        <v/>
      </c>
      <c r="F521" s="71" t="str">
        <f>_xlfn.IFNA(VLOOKUP(G521,Master!B:C,2,0),"")</f>
        <v/>
      </c>
      <c r="AC521" s="14">
        <f t="shared" si="18"/>
        <v>0</v>
      </c>
      <c r="AD521" s="14">
        <f t="shared" si="19"/>
        <v>0</v>
      </c>
    </row>
    <row r="522" spans="2:30" ht="15" customHeight="1" x14ac:dyDescent="0.4">
      <c r="B522" s="69" t="str">
        <f>_xlfn.IFNA(VLOOKUP(C522,Master!$J:$K,2,0),"")</f>
        <v/>
      </c>
      <c r="F522" s="71" t="str">
        <f>_xlfn.IFNA(VLOOKUP(G522,Master!B:C,2,0),"")</f>
        <v/>
      </c>
      <c r="AC522" s="14">
        <f t="shared" si="18"/>
        <v>0</v>
      </c>
      <c r="AD522" s="14">
        <f t="shared" si="19"/>
        <v>0</v>
      </c>
    </row>
    <row r="523" spans="2:30" ht="15" customHeight="1" x14ac:dyDescent="0.4">
      <c r="B523" s="69" t="str">
        <f>_xlfn.IFNA(VLOOKUP(C523,Master!$J:$K,2,0),"")</f>
        <v/>
      </c>
      <c r="F523" s="71" t="str">
        <f>_xlfn.IFNA(VLOOKUP(G523,Master!B:C,2,0),"")</f>
        <v/>
      </c>
      <c r="AC523" s="14">
        <f t="shared" si="18"/>
        <v>0</v>
      </c>
      <c r="AD523" s="14">
        <f t="shared" si="19"/>
        <v>0</v>
      </c>
    </row>
    <row r="524" spans="2:30" ht="15" customHeight="1" x14ac:dyDescent="0.4">
      <c r="B524" s="69" t="str">
        <f>_xlfn.IFNA(VLOOKUP(C524,Master!$J:$K,2,0),"")</f>
        <v/>
      </c>
      <c r="F524" s="71" t="str">
        <f>_xlfn.IFNA(VLOOKUP(G524,Master!B:C,2,0),"")</f>
        <v/>
      </c>
      <c r="AC524" s="14">
        <f t="shared" si="18"/>
        <v>0</v>
      </c>
      <c r="AD524" s="14">
        <f t="shared" si="19"/>
        <v>0</v>
      </c>
    </row>
    <row r="525" spans="2:30" ht="15" customHeight="1" x14ac:dyDescent="0.4">
      <c r="B525" s="69" t="str">
        <f>_xlfn.IFNA(VLOOKUP(C525,Master!$J:$K,2,0),"")</f>
        <v/>
      </c>
      <c r="AC525" s="14">
        <f t="shared" si="18"/>
        <v>0</v>
      </c>
      <c r="AD525" s="14">
        <f t="shared" si="19"/>
        <v>0</v>
      </c>
    </row>
    <row r="526" spans="2:30" ht="15" customHeight="1" x14ac:dyDescent="0.4">
      <c r="B526" s="69" t="str">
        <f>_xlfn.IFNA(VLOOKUP(C526,Master!$J:$K,2,0),"")</f>
        <v/>
      </c>
      <c r="AC526" s="14">
        <f t="shared" si="18"/>
        <v>0</v>
      </c>
      <c r="AD526" s="14">
        <f t="shared" si="19"/>
        <v>0</v>
      </c>
    </row>
    <row r="527" spans="2:30" ht="15" customHeight="1" x14ac:dyDescent="0.4">
      <c r="B527" s="69" t="str">
        <f>_xlfn.IFNA(VLOOKUP(C527,Master!$J:$K,2,0),"")</f>
        <v/>
      </c>
      <c r="AC527" s="14">
        <f t="shared" si="18"/>
        <v>0</v>
      </c>
      <c r="AD527" s="14">
        <f t="shared" si="19"/>
        <v>0</v>
      </c>
    </row>
    <row r="528" spans="2:30" ht="15" customHeight="1" x14ac:dyDescent="0.4">
      <c r="AC528" s="14">
        <f t="shared" si="18"/>
        <v>0</v>
      </c>
      <c r="AD528" s="14">
        <f t="shared" si="19"/>
        <v>0</v>
      </c>
    </row>
    <row r="529" spans="29:30" ht="15" customHeight="1" x14ac:dyDescent="0.4">
      <c r="AC529" s="14">
        <f t="shared" si="18"/>
        <v>0</v>
      </c>
      <c r="AD529" s="14">
        <f t="shared" si="19"/>
        <v>0</v>
      </c>
    </row>
    <row r="530" spans="29:30" ht="15" customHeight="1" x14ac:dyDescent="0.4">
      <c r="AC530" s="14">
        <f t="shared" si="18"/>
        <v>0</v>
      </c>
      <c r="AD530" s="14">
        <f t="shared" si="19"/>
        <v>0</v>
      </c>
    </row>
    <row r="531" spans="29:30" ht="15" customHeight="1" x14ac:dyDescent="0.4">
      <c r="AC531" s="14">
        <f t="shared" si="18"/>
        <v>0</v>
      </c>
      <c r="AD531" s="14">
        <f t="shared" si="19"/>
        <v>0</v>
      </c>
    </row>
    <row r="532" spans="29:30" ht="15" customHeight="1" x14ac:dyDescent="0.4">
      <c r="AC532" s="14">
        <f t="shared" si="18"/>
        <v>0</v>
      </c>
      <c r="AD532" s="14">
        <f t="shared" si="19"/>
        <v>0</v>
      </c>
    </row>
    <row r="533" spans="29:30" ht="15" customHeight="1" x14ac:dyDescent="0.4">
      <c r="AC533" s="14">
        <f t="shared" si="18"/>
        <v>0</v>
      </c>
      <c r="AD533" s="14">
        <f t="shared" si="19"/>
        <v>0</v>
      </c>
    </row>
    <row r="534" spans="29:30" ht="15" customHeight="1" x14ac:dyDescent="0.4">
      <c r="AC534" s="14">
        <f t="shared" si="18"/>
        <v>0</v>
      </c>
      <c r="AD534" s="14">
        <f t="shared" si="19"/>
        <v>0</v>
      </c>
    </row>
    <row r="535" spans="29:30" ht="15" customHeight="1" x14ac:dyDescent="0.4">
      <c r="AC535" s="14">
        <f t="shared" si="18"/>
        <v>0</v>
      </c>
      <c r="AD535" s="14">
        <f t="shared" si="19"/>
        <v>0</v>
      </c>
    </row>
    <row r="536" spans="29:30" ht="15" customHeight="1" x14ac:dyDescent="0.4">
      <c r="AC536" s="14">
        <f t="shared" si="18"/>
        <v>0</v>
      </c>
      <c r="AD536" s="14">
        <f t="shared" si="19"/>
        <v>0</v>
      </c>
    </row>
    <row r="537" spans="29:30" ht="15" customHeight="1" x14ac:dyDescent="0.4">
      <c r="AC537" s="14">
        <f t="shared" si="18"/>
        <v>0</v>
      </c>
      <c r="AD537" s="14">
        <f t="shared" si="19"/>
        <v>0</v>
      </c>
    </row>
    <row r="538" spans="29:30" ht="15" customHeight="1" x14ac:dyDescent="0.4">
      <c r="AC538" s="14">
        <f t="shared" si="18"/>
        <v>0</v>
      </c>
      <c r="AD538" s="14">
        <f t="shared" si="19"/>
        <v>0</v>
      </c>
    </row>
    <row r="539" spans="29:30" ht="15" customHeight="1" x14ac:dyDescent="0.4">
      <c r="AC539" s="14">
        <f t="shared" si="18"/>
        <v>0</v>
      </c>
      <c r="AD539" s="14">
        <f t="shared" si="19"/>
        <v>0</v>
      </c>
    </row>
    <row r="540" spans="29:30" ht="15" customHeight="1" x14ac:dyDescent="0.4">
      <c r="AC540" s="14">
        <f t="shared" si="18"/>
        <v>0</v>
      </c>
      <c r="AD540" s="14">
        <f t="shared" si="19"/>
        <v>0</v>
      </c>
    </row>
    <row r="541" spans="29:30" ht="15" customHeight="1" x14ac:dyDescent="0.4">
      <c r="AC541" s="14">
        <f t="shared" si="18"/>
        <v>0</v>
      </c>
      <c r="AD541" s="14">
        <f t="shared" si="19"/>
        <v>0</v>
      </c>
    </row>
    <row r="542" spans="29:30" ht="15" customHeight="1" x14ac:dyDescent="0.4">
      <c r="AC542" s="14">
        <f t="shared" si="18"/>
        <v>0</v>
      </c>
      <c r="AD542" s="14">
        <f t="shared" si="19"/>
        <v>0</v>
      </c>
    </row>
    <row r="543" spans="29:30" ht="15" customHeight="1" x14ac:dyDescent="0.4">
      <c r="AC543" s="14">
        <f t="shared" si="18"/>
        <v>0</v>
      </c>
      <c r="AD543" s="14">
        <f t="shared" si="19"/>
        <v>0</v>
      </c>
    </row>
    <row r="544" spans="29:30" ht="15" customHeight="1" x14ac:dyDescent="0.4">
      <c r="AC544" s="14">
        <f t="shared" si="18"/>
        <v>0</v>
      </c>
      <c r="AD544" s="14">
        <f t="shared" si="19"/>
        <v>0</v>
      </c>
    </row>
    <row r="545" spans="29:30" ht="15" customHeight="1" x14ac:dyDescent="0.4">
      <c r="AC545" s="14">
        <f t="shared" si="18"/>
        <v>0</v>
      </c>
      <c r="AD545" s="14">
        <f t="shared" si="19"/>
        <v>0</v>
      </c>
    </row>
    <row r="546" spans="29:30" ht="15" customHeight="1" x14ac:dyDescent="0.4">
      <c r="AC546" s="14">
        <f t="shared" si="18"/>
        <v>0</v>
      </c>
      <c r="AD546" s="14">
        <f t="shared" si="19"/>
        <v>0</v>
      </c>
    </row>
    <row r="547" spans="29:30" ht="15" customHeight="1" x14ac:dyDescent="0.4">
      <c r="AC547" s="14">
        <f t="shared" si="18"/>
        <v>0</v>
      </c>
      <c r="AD547" s="14">
        <f t="shared" si="19"/>
        <v>0</v>
      </c>
    </row>
    <row r="548" spans="29:30" ht="15" customHeight="1" x14ac:dyDescent="0.4">
      <c r="AC548" s="14">
        <f t="shared" si="18"/>
        <v>0</v>
      </c>
      <c r="AD548" s="14">
        <f t="shared" si="19"/>
        <v>0</v>
      </c>
    </row>
    <row r="549" spans="29:30" ht="15" customHeight="1" x14ac:dyDescent="0.4">
      <c r="AC549" s="14">
        <f t="shared" si="18"/>
        <v>0</v>
      </c>
      <c r="AD549" s="14">
        <f t="shared" si="19"/>
        <v>0</v>
      </c>
    </row>
    <row r="550" spans="29:30" ht="15" customHeight="1" x14ac:dyDescent="0.4">
      <c r="AC550" s="14">
        <f t="shared" si="18"/>
        <v>0</v>
      </c>
      <c r="AD550" s="14">
        <f t="shared" si="19"/>
        <v>0</v>
      </c>
    </row>
    <row r="551" spans="29:30" ht="15" customHeight="1" x14ac:dyDescent="0.4">
      <c r="AC551" s="14">
        <f t="shared" si="18"/>
        <v>0</v>
      </c>
      <c r="AD551" s="14">
        <f t="shared" si="19"/>
        <v>0</v>
      </c>
    </row>
    <row r="552" spans="29:30" ht="15" customHeight="1" x14ac:dyDescent="0.4">
      <c r="AC552" s="14">
        <f t="shared" si="18"/>
        <v>0</v>
      </c>
      <c r="AD552" s="14">
        <f t="shared" si="19"/>
        <v>0</v>
      </c>
    </row>
    <row r="553" spans="29:30" ht="15" customHeight="1" x14ac:dyDescent="0.4">
      <c r="AC553" s="14">
        <f t="shared" si="18"/>
        <v>0</v>
      </c>
      <c r="AD553" s="14">
        <f t="shared" si="19"/>
        <v>0</v>
      </c>
    </row>
    <row r="554" spans="29:30" ht="15" customHeight="1" x14ac:dyDescent="0.4">
      <c r="AC554" s="14">
        <f t="shared" si="18"/>
        <v>0</v>
      </c>
      <c r="AD554" s="14">
        <f t="shared" si="19"/>
        <v>0</v>
      </c>
    </row>
    <row r="555" spans="29:30" ht="15" customHeight="1" x14ac:dyDescent="0.4">
      <c r="AC555" s="14">
        <f t="shared" si="18"/>
        <v>0</v>
      </c>
      <c r="AD555" s="14">
        <f t="shared" si="19"/>
        <v>0</v>
      </c>
    </row>
    <row r="556" spans="29:30" ht="15" customHeight="1" x14ac:dyDescent="0.4">
      <c r="AC556" s="14">
        <f t="shared" si="18"/>
        <v>0</v>
      </c>
      <c r="AD556" s="14">
        <f t="shared" si="19"/>
        <v>0</v>
      </c>
    </row>
    <row r="557" spans="29:30" ht="15" customHeight="1" x14ac:dyDescent="0.4">
      <c r="AC557" s="14">
        <f t="shared" si="18"/>
        <v>0</v>
      </c>
      <c r="AD557" s="14">
        <f t="shared" si="19"/>
        <v>0</v>
      </c>
    </row>
    <row r="558" spans="29:30" ht="15" customHeight="1" x14ac:dyDescent="0.4">
      <c r="AC558" s="14">
        <f t="shared" si="18"/>
        <v>0</v>
      </c>
      <c r="AD558" s="14">
        <f t="shared" si="19"/>
        <v>0</v>
      </c>
    </row>
    <row r="559" spans="29:30" ht="15" customHeight="1" x14ac:dyDescent="0.4">
      <c r="AC559" s="14">
        <f t="shared" si="18"/>
        <v>0</v>
      </c>
      <c r="AD559" s="14">
        <f t="shared" si="19"/>
        <v>0</v>
      </c>
    </row>
    <row r="560" spans="29:30" ht="15" customHeight="1" x14ac:dyDescent="0.4">
      <c r="AC560" s="14">
        <f t="shared" si="18"/>
        <v>0</v>
      </c>
      <c r="AD560" s="14">
        <f t="shared" si="19"/>
        <v>0</v>
      </c>
    </row>
    <row r="561" spans="29:30" ht="15" customHeight="1" x14ac:dyDescent="0.4">
      <c r="AC561" s="14">
        <f t="shared" si="18"/>
        <v>0</v>
      </c>
      <c r="AD561" s="14">
        <f t="shared" si="19"/>
        <v>0</v>
      </c>
    </row>
    <row r="562" spans="29:30" ht="15" customHeight="1" x14ac:dyDescent="0.4">
      <c r="AC562" s="14">
        <f t="shared" si="18"/>
        <v>0</v>
      </c>
      <c r="AD562" s="14">
        <f t="shared" si="19"/>
        <v>0</v>
      </c>
    </row>
    <row r="563" spans="29:30" ht="15" customHeight="1" x14ac:dyDescent="0.4">
      <c r="AC563" s="14">
        <f t="shared" si="18"/>
        <v>0</v>
      </c>
      <c r="AD563" s="14">
        <f t="shared" si="19"/>
        <v>0</v>
      </c>
    </row>
    <row r="564" spans="29:30" ht="15" customHeight="1" x14ac:dyDescent="0.4">
      <c r="AC564" s="14">
        <f t="shared" si="18"/>
        <v>0</v>
      </c>
      <c r="AD564" s="14">
        <f t="shared" si="19"/>
        <v>0</v>
      </c>
    </row>
    <row r="565" spans="29:30" ht="15" customHeight="1" x14ac:dyDescent="0.4">
      <c r="AC565" s="14">
        <f t="shared" si="18"/>
        <v>0</v>
      </c>
      <c r="AD565" s="14">
        <f t="shared" si="19"/>
        <v>0</v>
      </c>
    </row>
    <row r="566" spans="29:30" ht="15" customHeight="1" x14ac:dyDescent="0.4">
      <c r="AC566" s="14">
        <f t="shared" si="18"/>
        <v>0</v>
      </c>
      <c r="AD566" s="14">
        <f t="shared" si="19"/>
        <v>0</v>
      </c>
    </row>
    <row r="567" spans="29:30" ht="15" customHeight="1" x14ac:dyDescent="0.4">
      <c r="AC567" s="14">
        <f t="shared" si="18"/>
        <v>0</v>
      </c>
      <c r="AD567" s="14">
        <f t="shared" si="19"/>
        <v>0</v>
      </c>
    </row>
    <row r="568" spans="29:30" ht="15" customHeight="1" x14ac:dyDescent="0.4">
      <c r="AC568" s="14">
        <f t="shared" si="18"/>
        <v>0</v>
      </c>
      <c r="AD568" s="14">
        <f t="shared" si="19"/>
        <v>0</v>
      </c>
    </row>
    <row r="569" spans="29:30" ht="15" customHeight="1" x14ac:dyDescent="0.4">
      <c r="AC569" s="14">
        <f t="shared" si="18"/>
        <v>0</v>
      </c>
      <c r="AD569" s="14">
        <f t="shared" si="19"/>
        <v>0</v>
      </c>
    </row>
    <row r="570" spans="29:30" ht="15" customHeight="1" x14ac:dyDescent="0.4">
      <c r="AC570" s="14">
        <f t="shared" si="18"/>
        <v>0</v>
      </c>
      <c r="AD570" s="14">
        <f t="shared" si="19"/>
        <v>0</v>
      </c>
    </row>
    <row r="571" spans="29:30" ht="15" customHeight="1" x14ac:dyDescent="0.4">
      <c r="AC571" s="14">
        <f t="shared" si="18"/>
        <v>0</v>
      </c>
      <c r="AD571" s="14">
        <f t="shared" si="19"/>
        <v>0</v>
      </c>
    </row>
    <row r="572" spans="29:30" ht="15" customHeight="1" x14ac:dyDescent="0.4">
      <c r="AC572" s="14">
        <f t="shared" si="18"/>
        <v>0</v>
      </c>
      <c r="AD572" s="14">
        <f t="shared" si="19"/>
        <v>0</v>
      </c>
    </row>
    <row r="573" spans="29:30" ht="15" customHeight="1" x14ac:dyDescent="0.4">
      <c r="AC573" s="14">
        <f t="shared" si="18"/>
        <v>0</v>
      </c>
      <c r="AD573" s="14">
        <f t="shared" si="19"/>
        <v>0</v>
      </c>
    </row>
    <row r="574" spans="29:30" ht="15" customHeight="1" x14ac:dyDescent="0.4">
      <c r="AC574" s="14">
        <f t="shared" si="18"/>
        <v>0</v>
      </c>
      <c r="AD574" s="14">
        <f t="shared" si="19"/>
        <v>0</v>
      </c>
    </row>
    <row r="575" spans="29:30" ht="15" customHeight="1" x14ac:dyDescent="0.4">
      <c r="AC575" s="14">
        <f t="shared" si="18"/>
        <v>0</v>
      </c>
      <c r="AD575" s="14">
        <f t="shared" si="19"/>
        <v>0</v>
      </c>
    </row>
    <row r="576" spans="29:30" ht="15" customHeight="1" x14ac:dyDescent="0.4">
      <c r="AC576" s="14">
        <f t="shared" si="18"/>
        <v>0</v>
      </c>
      <c r="AD576" s="14">
        <f t="shared" si="19"/>
        <v>0</v>
      </c>
    </row>
    <row r="577" spans="29:30" ht="15" customHeight="1" x14ac:dyDescent="0.4">
      <c r="AC577" s="14">
        <f t="shared" si="18"/>
        <v>0</v>
      </c>
      <c r="AD577" s="14">
        <f t="shared" si="19"/>
        <v>0</v>
      </c>
    </row>
    <row r="578" spans="29:30" ht="15" customHeight="1" x14ac:dyDescent="0.4">
      <c r="AC578" s="14">
        <f t="shared" ref="AC578:AC641" si="20">SUM(K578:P578)</f>
        <v>0</v>
      </c>
      <c r="AD578" s="14">
        <f t="shared" ref="AD578:AD641" si="21">SUM(Q578:AB578)</f>
        <v>0</v>
      </c>
    </row>
    <row r="579" spans="29:30" ht="15" customHeight="1" x14ac:dyDescent="0.4">
      <c r="AC579" s="14">
        <f t="shared" si="20"/>
        <v>0</v>
      </c>
      <c r="AD579" s="14">
        <f t="shared" si="21"/>
        <v>0</v>
      </c>
    </row>
    <row r="580" spans="29:30" ht="15" customHeight="1" x14ac:dyDescent="0.4">
      <c r="AC580" s="14">
        <f t="shared" si="20"/>
        <v>0</v>
      </c>
      <c r="AD580" s="14">
        <f t="shared" si="21"/>
        <v>0</v>
      </c>
    </row>
    <row r="581" spans="29:30" ht="15" customHeight="1" x14ac:dyDescent="0.4">
      <c r="AC581" s="14">
        <f t="shared" si="20"/>
        <v>0</v>
      </c>
      <c r="AD581" s="14">
        <f t="shared" si="21"/>
        <v>0</v>
      </c>
    </row>
    <row r="582" spans="29:30" ht="15" customHeight="1" x14ac:dyDescent="0.4">
      <c r="AC582" s="14">
        <f t="shared" si="20"/>
        <v>0</v>
      </c>
      <c r="AD582" s="14">
        <f t="shared" si="21"/>
        <v>0</v>
      </c>
    </row>
    <row r="583" spans="29:30" ht="15" customHeight="1" x14ac:dyDescent="0.4">
      <c r="AC583" s="14">
        <f t="shared" si="20"/>
        <v>0</v>
      </c>
      <c r="AD583" s="14">
        <f t="shared" si="21"/>
        <v>0</v>
      </c>
    </row>
    <row r="584" spans="29:30" ht="15" customHeight="1" x14ac:dyDescent="0.4">
      <c r="AC584" s="14">
        <f t="shared" si="20"/>
        <v>0</v>
      </c>
      <c r="AD584" s="14">
        <f t="shared" si="21"/>
        <v>0</v>
      </c>
    </row>
    <row r="585" spans="29:30" ht="15" customHeight="1" x14ac:dyDescent="0.4">
      <c r="AC585" s="14">
        <f t="shared" si="20"/>
        <v>0</v>
      </c>
      <c r="AD585" s="14">
        <f t="shared" si="21"/>
        <v>0</v>
      </c>
    </row>
    <row r="586" spans="29:30" ht="15" customHeight="1" x14ac:dyDescent="0.4">
      <c r="AC586" s="14">
        <f t="shared" si="20"/>
        <v>0</v>
      </c>
      <c r="AD586" s="14">
        <f t="shared" si="21"/>
        <v>0</v>
      </c>
    </row>
    <row r="587" spans="29:30" ht="15" customHeight="1" x14ac:dyDescent="0.4">
      <c r="AC587" s="14">
        <f t="shared" si="20"/>
        <v>0</v>
      </c>
      <c r="AD587" s="14">
        <f t="shared" si="21"/>
        <v>0</v>
      </c>
    </row>
    <row r="588" spans="29:30" ht="15" customHeight="1" x14ac:dyDescent="0.4">
      <c r="AC588" s="14">
        <f t="shared" si="20"/>
        <v>0</v>
      </c>
      <c r="AD588" s="14">
        <f t="shared" si="21"/>
        <v>0</v>
      </c>
    </row>
    <row r="589" spans="29:30" ht="15" customHeight="1" x14ac:dyDescent="0.4">
      <c r="AC589" s="14">
        <f t="shared" si="20"/>
        <v>0</v>
      </c>
      <c r="AD589" s="14">
        <f t="shared" si="21"/>
        <v>0</v>
      </c>
    </row>
    <row r="590" spans="29:30" ht="15" customHeight="1" x14ac:dyDescent="0.4">
      <c r="AC590" s="14">
        <f t="shared" si="20"/>
        <v>0</v>
      </c>
      <c r="AD590" s="14">
        <f t="shared" si="21"/>
        <v>0</v>
      </c>
    </row>
    <row r="591" spans="29:30" ht="15" customHeight="1" x14ac:dyDescent="0.4">
      <c r="AC591" s="14">
        <f t="shared" si="20"/>
        <v>0</v>
      </c>
      <c r="AD591" s="14">
        <f t="shared" si="21"/>
        <v>0</v>
      </c>
    </row>
    <row r="592" spans="29:30" ht="15" customHeight="1" x14ac:dyDescent="0.4">
      <c r="AC592" s="14">
        <f t="shared" si="20"/>
        <v>0</v>
      </c>
      <c r="AD592" s="14">
        <f t="shared" si="21"/>
        <v>0</v>
      </c>
    </row>
    <row r="593" spans="29:30" ht="15" customHeight="1" x14ac:dyDescent="0.4">
      <c r="AC593" s="14">
        <f t="shared" si="20"/>
        <v>0</v>
      </c>
      <c r="AD593" s="14">
        <f t="shared" si="21"/>
        <v>0</v>
      </c>
    </row>
    <row r="594" spans="29:30" ht="15" customHeight="1" x14ac:dyDescent="0.4">
      <c r="AC594" s="14">
        <f t="shared" si="20"/>
        <v>0</v>
      </c>
      <c r="AD594" s="14">
        <f t="shared" si="21"/>
        <v>0</v>
      </c>
    </row>
    <row r="595" spans="29:30" ht="15" customHeight="1" x14ac:dyDescent="0.4">
      <c r="AC595" s="14">
        <f t="shared" si="20"/>
        <v>0</v>
      </c>
      <c r="AD595" s="14">
        <f t="shared" si="21"/>
        <v>0</v>
      </c>
    </row>
    <row r="596" spans="29:30" ht="15" customHeight="1" x14ac:dyDescent="0.4">
      <c r="AC596" s="14">
        <f t="shared" si="20"/>
        <v>0</v>
      </c>
      <c r="AD596" s="14">
        <f t="shared" si="21"/>
        <v>0</v>
      </c>
    </row>
    <row r="597" spans="29:30" ht="15" customHeight="1" x14ac:dyDescent="0.4">
      <c r="AC597" s="14">
        <f t="shared" si="20"/>
        <v>0</v>
      </c>
      <c r="AD597" s="14">
        <f t="shared" si="21"/>
        <v>0</v>
      </c>
    </row>
    <row r="598" spans="29:30" ht="15" customHeight="1" x14ac:dyDescent="0.4">
      <c r="AC598" s="14">
        <f t="shared" si="20"/>
        <v>0</v>
      </c>
      <c r="AD598" s="14">
        <f t="shared" si="21"/>
        <v>0</v>
      </c>
    </row>
    <row r="599" spans="29:30" ht="15" customHeight="1" x14ac:dyDescent="0.4">
      <c r="AC599" s="14">
        <f t="shared" si="20"/>
        <v>0</v>
      </c>
      <c r="AD599" s="14">
        <f t="shared" si="21"/>
        <v>0</v>
      </c>
    </row>
    <row r="600" spans="29:30" ht="15" customHeight="1" x14ac:dyDescent="0.4">
      <c r="AC600" s="14">
        <f t="shared" si="20"/>
        <v>0</v>
      </c>
      <c r="AD600" s="14">
        <f t="shared" si="21"/>
        <v>0</v>
      </c>
    </row>
    <row r="601" spans="29:30" ht="15" customHeight="1" x14ac:dyDescent="0.4">
      <c r="AC601" s="14">
        <f t="shared" si="20"/>
        <v>0</v>
      </c>
      <c r="AD601" s="14">
        <f t="shared" si="21"/>
        <v>0</v>
      </c>
    </row>
    <row r="602" spans="29:30" ht="15" customHeight="1" x14ac:dyDescent="0.4">
      <c r="AC602" s="14">
        <f t="shared" si="20"/>
        <v>0</v>
      </c>
      <c r="AD602" s="14">
        <f t="shared" si="21"/>
        <v>0</v>
      </c>
    </row>
    <row r="603" spans="29:30" ht="15" customHeight="1" x14ac:dyDescent="0.4">
      <c r="AC603" s="14">
        <f t="shared" si="20"/>
        <v>0</v>
      </c>
      <c r="AD603" s="14">
        <f t="shared" si="21"/>
        <v>0</v>
      </c>
    </row>
    <row r="604" spans="29:30" ht="15" customHeight="1" x14ac:dyDescent="0.4">
      <c r="AC604" s="14">
        <f t="shared" si="20"/>
        <v>0</v>
      </c>
      <c r="AD604" s="14">
        <f t="shared" si="21"/>
        <v>0</v>
      </c>
    </row>
    <row r="605" spans="29:30" ht="15" customHeight="1" x14ac:dyDescent="0.4">
      <c r="AC605" s="14">
        <f t="shared" si="20"/>
        <v>0</v>
      </c>
      <c r="AD605" s="14">
        <f t="shared" si="21"/>
        <v>0</v>
      </c>
    </row>
    <row r="606" spans="29:30" ht="15" customHeight="1" x14ac:dyDescent="0.4">
      <c r="AC606" s="14">
        <f t="shared" si="20"/>
        <v>0</v>
      </c>
      <c r="AD606" s="14">
        <f t="shared" si="21"/>
        <v>0</v>
      </c>
    </row>
    <row r="607" spans="29:30" ht="15" customHeight="1" x14ac:dyDescent="0.4">
      <c r="AC607" s="14">
        <f t="shared" si="20"/>
        <v>0</v>
      </c>
      <c r="AD607" s="14">
        <f t="shared" si="21"/>
        <v>0</v>
      </c>
    </row>
    <row r="608" spans="29:30" ht="15" customHeight="1" x14ac:dyDescent="0.4">
      <c r="AC608" s="14">
        <f t="shared" si="20"/>
        <v>0</v>
      </c>
      <c r="AD608" s="14">
        <f t="shared" si="21"/>
        <v>0</v>
      </c>
    </row>
    <row r="609" spans="29:30" ht="15" customHeight="1" x14ac:dyDescent="0.4">
      <c r="AC609" s="14">
        <f t="shared" si="20"/>
        <v>0</v>
      </c>
      <c r="AD609" s="14">
        <f t="shared" si="21"/>
        <v>0</v>
      </c>
    </row>
    <row r="610" spans="29:30" ht="15" customHeight="1" x14ac:dyDescent="0.4">
      <c r="AC610" s="14">
        <f t="shared" si="20"/>
        <v>0</v>
      </c>
      <c r="AD610" s="14">
        <f t="shared" si="21"/>
        <v>0</v>
      </c>
    </row>
    <row r="611" spans="29:30" ht="15" customHeight="1" x14ac:dyDescent="0.4">
      <c r="AC611" s="14">
        <f t="shared" si="20"/>
        <v>0</v>
      </c>
      <c r="AD611" s="14">
        <f t="shared" si="21"/>
        <v>0</v>
      </c>
    </row>
    <row r="612" spans="29:30" ht="15" customHeight="1" x14ac:dyDescent="0.4">
      <c r="AC612" s="14">
        <f t="shared" si="20"/>
        <v>0</v>
      </c>
      <c r="AD612" s="14">
        <f t="shared" si="21"/>
        <v>0</v>
      </c>
    </row>
    <row r="613" spans="29:30" ht="15" customHeight="1" x14ac:dyDescent="0.4">
      <c r="AC613" s="14">
        <f t="shared" si="20"/>
        <v>0</v>
      </c>
      <c r="AD613" s="14">
        <f t="shared" si="21"/>
        <v>0</v>
      </c>
    </row>
    <row r="614" spans="29:30" ht="15" customHeight="1" x14ac:dyDescent="0.4">
      <c r="AC614" s="14">
        <f t="shared" si="20"/>
        <v>0</v>
      </c>
      <c r="AD614" s="14">
        <f t="shared" si="21"/>
        <v>0</v>
      </c>
    </row>
    <row r="615" spans="29:30" ht="15" customHeight="1" x14ac:dyDescent="0.4">
      <c r="AC615" s="14">
        <f t="shared" si="20"/>
        <v>0</v>
      </c>
      <c r="AD615" s="14">
        <f t="shared" si="21"/>
        <v>0</v>
      </c>
    </row>
    <row r="616" spans="29:30" ht="15" customHeight="1" x14ac:dyDescent="0.4">
      <c r="AC616" s="14">
        <f t="shared" si="20"/>
        <v>0</v>
      </c>
      <c r="AD616" s="14">
        <f t="shared" si="21"/>
        <v>0</v>
      </c>
    </row>
    <row r="617" spans="29:30" ht="15" customHeight="1" x14ac:dyDescent="0.4">
      <c r="AC617" s="14">
        <f t="shared" si="20"/>
        <v>0</v>
      </c>
      <c r="AD617" s="14">
        <f t="shared" si="21"/>
        <v>0</v>
      </c>
    </row>
    <row r="618" spans="29:30" ht="15" customHeight="1" x14ac:dyDescent="0.4">
      <c r="AC618" s="14">
        <f t="shared" si="20"/>
        <v>0</v>
      </c>
      <c r="AD618" s="14">
        <f t="shared" si="21"/>
        <v>0</v>
      </c>
    </row>
    <row r="619" spans="29:30" ht="15" customHeight="1" x14ac:dyDescent="0.4">
      <c r="AC619" s="14">
        <f t="shared" si="20"/>
        <v>0</v>
      </c>
      <c r="AD619" s="14">
        <f t="shared" si="21"/>
        <v>0</v>
      </c>
    </row>
    <row r="620" spans="29:30" ht="15" customHeight="1" x14ac:dyDescent="0.4">
      <c r="AC620" s="14">
        <f t="shared" si="20"/>
        <v>0</v>
      </c>
      <c r="AD620" s="14">
        <f t="shared" si="21"/>
        <v>0</v>
      </c>
    </row>
    <row r="621" spans="29:30" ht="15" customHeight="1" x14ac:dyDescent="0.4">
      <c r="AC621" s="14">
        <f t="shared" si="20"/>
        <v>0</v>
      </c>
      <c r="AD621" s="14">
        <f t="shared" si="21"/>
        <v>0</v>
      </c>
    </row>
    <row r="622" spans="29:30" ht="15" customHeight="1" x14ac:dyDescent="0.4">
      <c r="AC622" s="14">
        <f t="shared" si="20"/>
        <v>0</v>
      </c>
      <c r="AD622" s="14">
        <f t="shared" si="21"/>
        <v>0</v>
      </c>
    </row>
    <row r="623" spans="29:30" ht="15" customHeight="1" x14ac:dyDescent="0.4">
      <c r="AC623" s="14">
        <f t="shared" si="20"/>
        <v>0</v>
      </c>
      <c r="AD623" s="14">
        <f t="shared" si="21"/>
        <v>0</v>
      </c>
    </row>
    <row r="624" spans="29:30" ht="15" customHeight="1" x14ac:dyDescent="0.4">
      <c r="AC624" s="14">
        <f t="shared" si="20"/>
        <v>0</v>
      </c>
      <c r="AD624" s="14">
        <f t="shared" si="21"/>
        <v>0</v>
      </c>
    </row>
    <row r="625" spans="29:30" ht="15" customHeight="1" x14ac:dyDescent="0.4">
      <c r="AC625" s="14">
        <f t="shared" si="20"/>
        <v>0</v>
      </c>
      <c r="AD625" s="14">
        <f t="shared" si="21"/>
        <v>0</v>
      </c>
    </row>
    <row r="626" spans="29:30" ht="15" customHeight="1" x14ac:dyDescent="0.4">
      <c r="AC626" s="14">
        <f t="shared" si="20"/>
        <v>0</v>
      </c>
      <c r="AD626" s="14">
        <f t="shared" si="21"/>
        <v>0</v>
      </c>
    </row>
    <row r="627" spans="29:30" ht="15" customHeight="1" x14ac:dyDescent="0.4">
      <c r="AC627" s="14">
        <f t="shared" si="20"/>
        <v>0</v>
      </c>
      <c r="AD627" s="14">
        <f t="shared" si="21"/>
        <v>0</v>
      </c>
    </row>
    <row r="628" spans="29:30" ht="15" customHeight="1" x14ac:dyDescent="0.4">
      <c r="AC628" s="14">
        <f t="shared" si="20"/>
        <v>0</v>
      </c>
      <c r="AD628" s="14">
        <f t="shared" si="21"/>
        <v>0</v>
      </c>
    </row>
    <row r="629" spans="29:30" ht="15" customHeight="1" x14ac:dyDescent="0.4">
      <c r="AC629" s="14">
        <f t="shared" si="20"/>
        <v>0</v>
      </c>
      <c r="AD629" s="14">
        <f t="shared" si="21"/>
        <v>0</v>
      </c>
    </row>
    <row r="630" spans="29:30" ht="15" customHeight="1" x14ac:dyDescent="0.4">
      <c r="AC630" s="14">
        <f t="shared" si="20"/>
        <v>0</v>
      </c>
      <c r="AD630" s="14">
        <f t="shared" si="21"/>
        <v>0</v>
      </c>
    </row>
    <row r="631" spans="29:30" ht="15" customHeight="1" x14ac:dyDescent="0.4">
      <c r="AC631" s="14">
        <f t="shared" si="20"/>
        <v>0</v>
      </c>
      <c r="AD631" s="14">
        <f t="shared" si="21"/>
        <v>0</v>
      </c>
    </row>
    <row r="632" spans="29:30" ht="15" customHeight="1" x14ac:dyDescent="0.4">
      <c r="AC632" s="14">
        <f t="shared" si="20"/>
        <v>0</v>
      </c>
      <c r="AD632" s="14">
        <f t="shared" si="21"/>
        <v>0</v>
      </c>
    </row>
    <row r="633" spans="29:30" ht="15" customHeight="1" x14ac:dyDescent="0.4">
      <c r="AC633" s="14">
        <f t="shared" si="20"/>
        <v>0</v>
      </c>
      <c r="AD633" s="14">
        <f t="shared" si="21"/>
        <v>0</v>
      </c>
    </row>
    <row r="634" spans="29:30" ht="15" customHeight="1" x14ac:dyDescent="0.4">
      <c r="AC634" s="14">
        <f t="shared" si="20"/>
        <v>0</v>
      </c>
      <c r="AD634" s="14">
        <f t="shared" si="21"/>
        <v>0</v>
      </c>
    </row>
    <row r="635" spans="29:30" ht="15" customHeight="1" x14ac:dyDescent="0.4">
      <c r="AC635" s="14">
        <f t="shared" si="20"/>
        <v>0</v>
      </c>
      <c r="AD635" s="14">
        <f t="shared" si="21"/>
        <v>0</v>
      </c>
    </row>
    <row r="636" spans="29:30" ht="15" customHeight="1" x14ac:dyDescent="0.4">
      <c r="AC636" s="14">
        <f t="shared" si="20"/>
        <v>0</v>
      </c>
      <c r="AD636" s="14">
        <f t="shared" si="21"/>
        <v>0</v>
      </c>
    </row>
    <row r="637" spans="29:30" ht="15" customHeight="1" x14ac:dyDescent="0.4">
      <c r="AC637" s="14">
        <f t="shared" si="20"/>
        <v>0</v>
      </c>
      <c r="AD637" s="14">
        <f t="shared" si="21"/>
        <v>0</v>
      </c>
    </row>
    <row r="638" spans="29:30" ht="15" customHeight="1" x14ac:dyDescent="0.4">
      <c r="AC638" s="14">
        <f t="shared" si="20"/>
        <v>0</v>
      </c>
      <c r="AD638" s="14">
        <f t="shared" si="21"/>
        <v>0</v>
      </c>
    </row>
    <row r="639" spans="29:30" ht="15" customHeight="1" x14ac:dyDescent="0.4">
      <c r="AC639" s="14">
        <f t="shared" si="20"/>
        <v>0</v>
      </c>
      <c r="AD639" s="14">
        <f t="shared" si="21"/>
        <v>0</v>
      </c>
    </row>
    <row r="640" spans="29:30" ht="15" customHeight="1" x14ac:dyDescent="0.4">
      <c r="AC640" s="14">
        <f t="shared" si="20"/>
        <v>0</v>
      </c>
      <c r="AD640" s="14">
        <f t="shared" si="21"/>
        <v>0</v>
      </c>
    </row>
    <row r="641" spans="29:30" ht="15" customHeight="1" x14ac:dyDescent="0.4">
      <c r="AC641" s="14">
        <f t="shared" si="20"/>
        <v>0</v>
      </c>
      <c r="AD641" s="14">
        <f t="shared" si="21"/>
        <v>0</v>
      </c>
    </row>
    <row r="642" spans="29:30" ht="15" customHeight="1" x14ac:dyDescent="0.4">
      <c r="AC642" s="14">
        <f t="shared" ref="AC642:AC705" si="22">SUM(K642:P642)</f>
        <v>0</v>
      </c>
      <c r="AD642" s="14">
        <f t="shared" ref="AD642:AD705" si="23">SUM(Q642:AB642)</f>
        <v>0</v>
      </c>
    </row>
    <row r="643" spans="29:30" ht="15" customHeight="1" x14ac:dyDescent="0.4">
      <c r="AC643" s="14">
        <f t="shared" si="22"/>
        <v>0</v>
      </c>
      <c r="AD643" s="14">
        <f t="shared" si="23"/>
        <v>0</v>
      </c>
    </row>
    <row r="644" spans="29:30" ht="15" customHeight="1" x14ac:dyDescent="0.4">
      <c r="AC644" s="14">
        <f t="shared" si="22"/>
        <v>0</v>
      </c>
      <c r="AD644" s="14">
        <f t="shared" si="23"/>
        <v>0</v>
      </c>
    </row>
    <row r="645" spans="29:30" ht="15" customHeight="1" x14ac:dyDescent="0.4">
      <c r="AC645" s="14">
        <f t="shared" si="22"/>
        <v>0</v>
      </c>
      <c r="AD645" s="14">
        <f t="shared" si="23"/>
        <v>0</v>
      </c>
    </row>
    <row r="646" spans="29:30" ht="15" customHeight="1" x14ac:dyDescent="0.4">
      <c r="AC646" s="14">
        <f t="shared" si="22"/>
        <v>0</v>
      </c>
      <c r="AD646" s="14">
        <f t="shared" si="23"/>
        <v>0</v>
      </c>
    </row>
    <row r="647" spans="29:30" ht="15" customHeight="1" x14ac:dyDescent="0.4">
      <c r="AC647" s="14">
        <f t="shared" si="22"/>
        <v>0</v>
      </c>
      <c r="AD647" s="14">
        <f t="shared" si="23"/>
        <v>0</v>
      </c>
    </row>
    <row r="648" spans="29:30" ht="15" customHeight="1" x14ac:dyDescent="0.4">
      <c r="AC648" s="14">
        <f t="shared" si="22"/>
        <v>0</v>
      </c>
      <c r="AD648" s="14">
        <f t="shared" si="23"/>
        <v>0</v>
      </c>
    </row>
    <row r="649" spans="29:30" ht="15" customHeight="1" x14ac:dyDescent="0.4">
      <c r="AC649" s="14">
        <f t="shared" si="22"/>
        <v>0</v>
      </c>
      <c r="AD649" s="14">
        <f t="shared" si="23"/>
        <v>0</v>
      </c>
    </row>
    <row r="650" spans="29:30" ht="15" customHeight="1" x14ac:dyDescent="0.4">
      <c r="AC650" s="14">
        <f t="shared" si="22"/>
        <v>0</v>
      </c>
      <c r="AD650" s="14">
        <f t="shared" si="23"/>
        <v>0</v>
      </c>
    </row>
    <row r="651" spans="29:30" ht="15" customHeight="1" x14ac:dyDescent="0.4">
      <c r="AC651" s="14">
        <f t="shared" si="22"/>
        <v>0</v>
      </c>
      <c r="AD651" s="14">
        <f t="shared" si="23"/>
        <v>0</v>
      </c>
    </row>
    <row r="652" spans="29:30" ht="15" customHeight="1" x14ac:dyDescent="0.4">
      <c r="AC652" s="14">
        <f t="shared" si="22"/>
        <v>0</v>
      </c>
      <c r="AD652" s="14">
        <f t="shared" si="23"/>
        <v>0</v>
      </c>
    </row>
    <row r="653" spans="29:30" ht="15" customHeight="1" x14ac:dyDescent="0.4">
      <c r="AC653" s="14">
        <f t="shared" si="22"/>
        <v>0</v>
      </c>
      <c r="AD653" s="14">
        <f t="shared" si="23"/>
        <v>0</v>
      </c>
    </row>
    <row r="654" spans="29:30" ht="15" customHeight="1" x14ac:dyDescent="0.4">
      <c r="AC654" s="14">
        <f t="shared" si="22"/>
        <v>0</v>
      </c>
      <c r="AD654" s="14">
        <f t="shared" si="23"/>
        <v>0</v>
      </c>
    </row>
    <row r="655" spans="29:30" ht="15" customHeight="1" x14ac:dyDescent="0.4">
      <c r="AC655" s="14">
        <f t="shared" si="22"/>
        <v>0</v>
      </c>
      <c r="AD655" s="14">
        <f t="shared" si="23"/>
        <v>0</v>
      </c>
    </row>
    <row r="656" spans="29:30" ht="15" customHeight="1" x14ac:dyDescent="0.4">
      <c r="AC656" s="14">
        <f t="shared" si="22"/>
        <v>0</v>
      </c>
      <c r="AD656" s="14">
        <f t="shared" si="23"/>
        <v>0</v>
      </c>
    </row>
    <row r="657" spans="29:30" ht="15" customHeight="1" x14ac:dyDescent="0.4">
      <c r="AC657" s="14">
        <f t="shared" si="22"/>
        <v>0</v>
      </c>
      <c r="AD657" s="14">
        <f t="shared" si="23"/>
        <v>0</v>
      </c>
    </row>
    <row r="658" spans="29:30" ht="15" customHeight="1" x14ac:dyDescent="0.4">
      <c r="AC658" s="14">
        <f t="shared" si="22"/>
        <v>0</v>
      </c>
      <c r="AD658" s="14">
        <f t="shared" si="23"/>
        <v>0</v>
      </c>
    </row>
    <row r="659" spans="29:30" ht="15" customHeight="1" x14ac:dyDescent="0.4">
      <c r="AC659" s="14">
        <f t="shared" si="22"/>
        <v>0</v>
      </c>
      <c r="AD659" s="14">
        <f t="shared" si="23"/>
        <v>0</v>
      </c>
    </row>
    <row r="660" spans="29:30" ht="15" customHeight="1" x14ac:dyDescent="0.4">
      <c r="AC660" s="14">
        <f t="shared" si="22"/>
        <v>0</v>
      </c>
      <c r="AD660" s="14">
        <f t="shared" si="23"/>
        <v>0</v>
      </c>
    </row>
    <row r="661" spans="29:30" ht="15" customHeight="1" x14ac:dyDescent="0.4">
      <c r="AC661" s="14">
        <f t="shared" si="22"/>
        <v>0</v>
      </c>
      <c r="AD661" s="14">
        <f t="shared" si="23"/>
        <v>0</v>
      </c>
    </row>
    <row r="662" spans="29:30" ht="15" customHeight="1" x14ac:dyDescent="0.4">
      <c r="AC662" s="14">
        <f t="shared" si="22"/>
        <v>0</v>
      </c>
      <c r="AD662" s="14">
        <f t="shared" si="23"/>
        <v>0</v>
      </c>
    </row>
    <row r="663" spans="29:30" ht="15" customHeight="1" x14ac:dyDescent="0.4">
      <c r="AC663" s="14">
        <f t="shared" si="22"/>
        <v>0</v>
      </c>
      <c r="AD663" s="14">
        <f t="shared" si="23"/>
        <v>0</v>
      </c>
    </row>
    <row r="664" spans="29:30" ht="15" customHeight="1" x14ac:dyDescent="0.4">
      <c r="AC664" s="14">
        <f t="shared" si="22"/>
        <v>0</v>
      </c>
      <c r="AD664" s="14">
        <f t="shared" si="23"/>
        <v>0</v>
      </c>
    </row>
    <row r="665" spans="29:30" ht="15" customHeight="1" x14ac:dyDescent="0.4">
      <c r="AC665" s="14">
        <f t="shared" si="22"/>
        <v>0</v>
      </c>
      <c r="AD665" s="14">
        <f t="shared" si="23"/>
        <v>0</v>
      </c>
    </row>
    <row r="666" spans="29:30" ht="15" customHeight="1" x14ac:dyDescent="0.4">
      <c r="AC666" s="14">
        <f t="shared" si="22"/>
        <v>0</v>
      </c>
      <c r="AD666" s="14">
        <f t="shared" si="23"/>
        <v>0</v>
      </c>
    </row>
    <row r="667" spans="29:30" ht="15" customHeight="1" x14ac:dyDescent="0.4">
      <c r="AC667" s="14">
        <f t="shared" si="22"/>
        <v>0</v>
      </c>
      <c r="AD667" s="14">
        <f t="shared" si="23"/>
        <v>0</v>
      </c>
    </row>
    <row r="668" spans="29:30" ht="15" customHeight="1" x14ac:dyDescent="0.4">
      <c r="AC668" s="14">
        <f t="shared" si="22"/>
        <v>0</v>
      </c>
      <c r="AD668" s="14">
        <f t="shared" si="23"/>
        <v>0</v>
      </c>
    </row>
    <row r="669" spans="29:30" ht="15" customHeight="1" x14ac:dyDescent="0.4">
      <c r="AC669" s="14">
        <f t="shared" si="22"/>
        <v>0</v>
      </c>
      <c r="AD669" s="14">
        <f t="shared" si="23"/>
        <v>0</v>
      </c>
    </row>
    <row r="670" spans="29:30" ht="15" customHeight="1" x14ac:dyDescent="0.4">
      <c r="AC670" s="14">
        <f t="shared" si="22"/>
        <v>0</v>
      </c>
      <c r="AD670" s="14">
        <f t="shared" si="23"/>
        <v>0</v>
      </c>
    </row>
    <row r="671" spans="29:30" ht="15" customHeight="1" x14ac:dyDescent="0.4">
      <c r="AC671" s="14">
        <f t="shared" si="22"/>
        <v>0</v>
      </c>
      <c r="AD671" s="14">
        <f t="shared" si="23"/>
        <v>0</v>
      </c>
    </row>
    <row r="672" spans="29:30" ht="15" customHeight="1" x14ac:dyDescent="0.4">
      <c r="AC672" s="14">
        <f t="shared" si="22"/>
        <v>0</v>
      </c>
      <c r="AD672" s="14">
        <f t="shared" si="23"/>
        <v>0</v>
      </c>
    </row>
    <row r="673" spans="29:30" ht="15" customHeight="1" x14ac:dyDescent="0.4">
      <c r="AC673" s="14">
        <f t="shared" si="22"/>
        <v>0</v>
      </c>
      <c r="AD673" s="14">
        <f t="shared" si="23"/>
        <v>0</v>
      </c>
    </row>
    <row r="674" spans="29:30" ht="15" customHeight="1" x14ac:dyDescent="0.4">
      <c r="AC674" s="14">
        <f t="shared" si="22"/>
        <v>0</v>
      </c>
      <c r="AD674" s="14">
        <f t="shared" si="23"/>
        <v>0</v>
      </c>
    </row>
    <row r="675" spans="29:30" ht="15" customHeight="1" x14ac:dyDescent="0.4">
      <c r="AC675" s="14">
        <f t="shared" si="22"/>
        <v>0</v>
      </c>
      <c r="AD675" s="14">
        <f t="shared" si="23"/>
        <v>0</v>
      </c>
    </row>
    <row r="676" spans="29:30" ht="15" customHeight="1" x14ac:dyDescent="0.4">
      <c r="AC676" s="14">
        <f t="shared" si="22"/>
        <v>0</v>
      </c>
      <c r="AD676" s="14">
        <f t="shared" si="23"/>
        <v>0</v>
      </c>
    </row>
    <row r="677" spans="29:30" ht="15" customHeight="1" x14ac:dyDescent="0.4">
      <c r="AC677" s="14">
        <f t="shared" si="22"/>
        <v>0</v>
      </c>
      <c r="AD677" s="14">
        <f t="shared" si="23"/>
        <v>0</v>
      </c>
    </row>
    <row r="678" spans="29:30" ht="15" customHeight="1" x14ac:dyDescent="0.4">
      <c r="AC678" s="14">
        <f t="shared" si="22"/>
        <v>0</v>
      </c>
      <c r="AD678" s="14">
        <f t="shared" si="23"/>
        <v>0</v>
      </c>
    </row>
    <row r="679" spans="29:30" ht="15" customHeight="1" x14ac:dyDescent="0.4">
      <c r="AC679" s="14">
        <f t="shared" si="22"/>
        <v>0</v>
      </c>
      <c r="AD679" s="14">
        <f t="shared" si="23"/>
        <v>0</v>
      </c>
    </row>
    <row r="680" spans="29:30" ht="15" customHeight="1" x14ac:dyDescent="0.4">
      <c r="AC680" s="14">
        <f t="shared" si="22"/>
        <v>0</v>
      </c>
      <c r="AD680" s="14">
        <f t="shared" si="23"/>
        <v>0</v>
      </c>
    </row>
    <row r="681" spans="29:30" ht="15" customHeight="1" x14ac:dyDescent="0.4">
      <c r="AC681" s="14">
        <f t="shared" si="22"/>
        <v>0</v>
      </c>
      <c r="AD681" s="14">
        <f t="shared" si="23"/>
        <v>0</v>
      </c>
    </row>
    <row r="682" spans="29:30" ht="15" customHeight="1" x14ac:dyDescent="0.4">
      <c r="AC682" s="14">
        <f t="shared" si="22"/>
        <v>0</v>
      </c>
      <c r="AD682" s="14">
        <f t="shared" si="23"/>
        <v>0</v>
      </c>
    </row>
    <row r="683" spans="29:30" ht="15" customHeight="1" x14ac:dyDescent="0.4">
      <c r="AC683" s="14">
        <f t="shared" si="22"/>
        <v>0</v>
      </c>
      <c r="AD683" s="14">
        <f t="shared" si="23"/>
        <v>0</v>
      </c>
    </row>
    <row r="684" spans="29:30" ht="15" customHeight="1" x14ac:dyDescent="0.4">
      <c r="AC684" s="14">
        <f t="shared" si="22"/>
        <v>0</v>
      </c>
      <c r="AD684" s="14">
        <f t="shared" si="23"/>
        <v>0</v>
      </c>
    </row>
    <row r="685" spans="29:30" ht="15" customHeight="1" x14ac:dyDescent="0.4">
      <c r="AC685" s="14">
        <f t="shared" si="22"/>
        <v>0</v>
      </c>
      <c r="AD685" s="14">
        <f t="shared" si="23"/>
        <v>0</v>
      </c>
    </row>
    <row r="686" spans="29:30" ht="15" customHeight="1" x14ac:dyDescent="0.4">
      <c r="AC686" s="14">
        <f t="shared" si="22"/>
        <v>0</v>
      </c>
      <c r="AD686" s="14">
        <f t="shared" si="23"/>
        <v>0</v>
      </c>
    </row>
    <row r="687" spans="29:30" ht="15" customHeight="1" x14ac:dyDescent="0.4">
      <c r="AC687" s="14">
        <f t="shared" si="22"/>
        <v>0</v>
      </c>
      <c r="AD687" s="14">
        <f t="shared" si="23"/>
        <v>0</v>
      </c>
    </row>
    <row r="688" spans="29:30" ht="15" customHeight="1" x14ac:dyDescent="0.4">
      <c r="AC688" s="14">
        <f t="shared" si="22"/>
        <v>0</v>
      </c>
      <c r="AD688" s="14">
        <f t="shared" si="23"/>
        <v>0</v>
      </c>
    </row>
    <row r="689" spans="29:30" ht="15" customHeight="1" x14ac:dyDescent="0.4">
      <c r="AC689" s="14">
        <f t="shared" si="22"/>
        <v>0</v>
      </c>
      <c r="AD689" s="14">
        <f t="shared" si="23"/>
        <v>0</v>
      </c>
    </row>
    <row r="690" spans="29:30" ht="15" customHeight="1" x14ac:dyDescent="0.4">
      <c r="AC690" s="14">
        <f t="shared" si="22"/>
        <v>0</v>
      </c>
      <c r="AD690" s="14">
        <f t="shared" si="23"/>
        <v>0</v>
      </c>
    </row>
    <row r="691" spans="29:30" ht="15" customHeight="1" x14ac:dyDescent="0.4">
      <c r="AC691" s="14">
        <f t="shared" si="22"/>
        <v>0</v>
      </c>
      <c r="AD691" s="14">
        <f t="shared" si="23"/>
        <v>0</v>
      </c>
    </row>
    <row r="692" spans="29:30" ht="15" customHeight="1" x14ac:dyDescent="0.4">
      <c r="AC692" s="14">
        <f t="shared" si="22"/>
        <v>0</v>
      </c>
      <c r="AD692" s="14">
        <f t="shared" si="23"/>
        <v>0</v>
      </c>
    </row>
    <row r="693" spans="29:30" ht="15" customHeight="1" x14ac:dyDescent="0.4">
      <c r="AC693" s="14">
        <f t="shared" si="22"/>
        <v>0</v>
      </c>
      <c r="AD693" s="14">
        <f t="shared" si="23"/>
        <v>0</v>
      </c>
    </row>
    <row r="694" spans="29:30" ht="15" customHeight="1" x14ac:dyDescent="0.4">
      <c r="AC694" s="14">
        <f t="shared" si="22"/>
        <v>0</v>
      </c>
      <c r="AD694" s="14">
        <f t="shared" si="23"/>
        <v>0</v>
      </c>
    </row>
    <row r="695" spans="29:30" ht="15" customHeight="1" x14ac:dyDescent="0.4">
      <c r="AC695" s="14">
        <f t="shared" si="22"/>
        <v>0</v>
      </c>
      <c r="AD695" s="14">
        <f t="shared" si="23"/>
        <v>0</v>
      </c>
    </row>
    <row r="696" spans="29:30" ht="15" customHeight="1" x14ac:dyDescent="0.4">
      <c r="AC696" s="14">
        <f t="shared" si="22"/>
        <v>0</v>
      </c>
      <c r="AD696" s="14">
        <f t="shared" si="23"/>
        <v>0</v>
      </c>
    </row>
    <row r="697" spans="29:30" ht="15" customHeight="1" x14ac:dyDescent="0.4">
      <c r="AC697" s="14">
        <f t="shared" si="22"/>
        <v>0</v>
      </c>
      <c r="AD697" s="14">
        <f t="shared" si="23"/>
        <v>0</v>
      </c>
    </row>
    <row r="698" spans="29:30" ht="15" customHeight="1" x14ac:dyDescent="0.4">
      <c r="AC698" s="14">
        <f t="shared" si="22"/>
        <v>0</v>
      </c>
      <c r="AD698" s="14">
        <f t="shared" si="23"/>
        <v>0</v>
      </c>
    </row>
    <row r="699" spans="29:30" ht="15" customHeight="1" x14ac:dyDescent="0.4">
      <c r="AC699" s="14">
        <f t="shared" si="22"/>
        <v>0</v>
      </c>
      <c r="AD699" s="14">
        <f t="shared" si="23"/>
        <v>0</v>
      </c>
    </row>
    <row r="700" spans="29:30" ht="15" customHeight="1" x14ac:dyDescent="0.4">
      <c r="AC700" s="14">
        <f t="shared" si="22"/>
        <v>0</v>
      </c>
      <c r="AD700" s="14">
        <f t="shared" si="23"/>
        <v>0</v>
      </c>
    </row>
    <row r="701" spans="29:30" ht="15" customHeight="1" x14ac:dyDescent="0.4">
      <c r="AC701" s="14">
        <f t="shared" si="22"/>
        <v>0</v>
      </c>
      <c r="AD701" s="14">
        <f t="shared" si="23"/>
        <v>0</v>
      </c>
    </row>
    <row r="702" spans="29:30" ht="15" customHeight="1" x14ac:dyDescent="0.4">
      <c r="AC702" s="14">
        <f t="shared" si="22"/>
        <v>0</v>
      </c>
      <c r="AD702" s="14">
        <f t="shared" si="23"/>
        <v>0</v>
      </c>
    </row>
    <row r="703" spans="29:30" ht="15" customHeight="1" x14ac:dyDescent="0.4">
      <c r="AC703" s="14">
        <f t="shared" si="22"/>
        <v>0</v>
      </c>
      <c r="AD703" s="14">
        <f t="shared" si="23"/>
        <v>0</v>
      </c>
    </row>
    <row r="704" spans="29:30" ht="15" customHeight="1" x14ac:dyDescent="0.4">
      <c r="AC704" s="14">
        <f t="shared" si="22"/>
        <v>0</v>
      </c>
      <c r="AD704" s="14">
        <f t="shared" si="23"/>
        <v>0</v>
      </c>
    </row>
    <row r="705" spans="29:30" ht="15" customHeight="1" x14ac:dyDescent="0.4">
      <c r="AC705" s="14">
        <f t="shared" si="22"/>
        <v>0</v>
      </c>
      <c r="AD705" s="14">
        <f t="shared" si="23"/>
        <v>0</v>
      </c>
    </row>
    <row r="706" spans="29:30" ht="15" customHeight="1" x14ac:dyDescent="0.4">
      <c r="AC706" s="14">
        <f t="shared" ref="AC706:AC769" si="24">SUM(K706:P706)</f>
        <v>0</v>
      </c>
      <c r="AD706" s="14">
        <f t="shared" ref="AD706:AD769" si="25">SUM(Q706:AB706)</f>
        <v>0</v>
      </c>
    </row>
    <row r="707" spans="29:30" ht="15" customHeight="1" x14ac:dyDescent="0.4">
      <c r="AC707" s="14">
        <f t="shared" si="24"/>
        <v>0</v>
      </c>
      <c r="AD707" s="14">
        <f t="shared" si="25"/>
        <v>0</v>
      </c>
    </row>
    <row r="708" spans="29:30" ht="15" customHeight="1" x14ac:dyDescent="0.4">
      <c r="AC708" s="14">
        <f t="shared" si="24"/>
        <v>0</v>
      </c>
      <c r="AD708" s="14">
        <f t="shared" si="25"/>
        <v>0</v>
      </c>
    </row>
    <row r="709" spans="29:30" ht="15" customHeight="1" x14ac:dyDescent="0.4">
      <c r="AC709" s="14">
        <f t="shared" si="24"/>
        <v>0</v>
      </c>
      <c r="AD709" s="14">
        <f t="shared" si="25"/>
        <v>0</v>
      </c>
    </row>
    <row r="710" spans="29:30" ht="15" customHeight="1" x14ac:dyDescent="0.4">
      <c r="AC710" s="14">
        <f t="shared" si="24"/>
        <v>0</v>
      </c>
      <c r="AD710" s="14">
        <f t="shared" si="25"/>
        <v>0</v>
      </c>
    </row>
    <row r="711" spans="29:30" ht="15" customHeight="1" x14ac:dyDescent="0.4">
      <c r="AC711" s="14">
        <f t="shared" si="24"/>
        <v>0</v>
      </c>
      <c r="AD711" s="14">
        <f t="shared" si="25"/>
        <v>0</v>
      </c>
    </row>
    <row r="712" spans="29:30" ht="15" customHeight="1" x14ac:dyDescent="0.4">
      <c r="AC712" s="14">
        <f t="shared" si="24"/>
        <v>0</v>
      </c>
      <c r="AD712" s="14">
        <f t="shared" si="25"/>
        <v>0</v>
      </c>
    </row>
    <row r="713" spans="29:30" ht="15" customHeight="1" x14ac:dyDescent="0.4">
      <c r="AC713" s="14">
        <f t="shared" si="24"/>
        <v>0</v>
      </c>
      <c r="AD713" s="14">
        <f t="shared" si="25"/>
        <v>0</v>
      </c>
    </row>
    <row r="714" spans="29:30" ht="15" customHeight="1" x14ac:dyDescent="0.4">
      <c r="AC714" s="14">
        <f t="shared" si="24"/>
        <v>0</v>
      </c>
      <c r="AD714" s="14">
        <f t="shared" si="25"/>
        <v>0</v>
      </c>
    </row>
    <row r="715" spans="29:30" ht="15" customHeight="1" x14ac:dyDescent="0.4">
      <c r="AC715" s="14">
        <f t="shared" si="24"/>
        <v>0</v>
      </c>
      <c r="AD715" s="14">
        <f t="shared" si="25"/>
        <v>0</v>
      </c>
    </row>
    <row r="716" spans="29:30" ht="15" customHeight="1" x14ac:dyDescent="0.4">
      <c r="AC716" s="14">
        <f t="shared" si="24"/>
        <v>0</v>
      </c>
      <c r="AD716" s="14">
        <f t="shared" si="25"/>
        <v>0</v>
      </c>
    </row>
    <row r="717" spans="29:30" ht="15" customHeight="1" x14ac:dyDescent="0.4">
      <c r="AC717" s="14">
        <f t="shared" si="24"/>
        <v>0</v>
      </c>
      <c r="AD717" s="14">
        <f t="shared" si="25"/>
        <v>0</v>
      </c>
    </row>
    <row r="718" spans="29:30" ht="15" customHeight="1" x14ac:dyDescent="0.4">
      <c r="AC718" s="14">
        <f t="shared" si="24"/>
        <v>0</v>
      </c>
      <c r="AD718" s="14">
        <f t="shared" si="25"/>
        <v>0</v>
      </c>
    </row>
    <row r="719" spans="29:30" ht="15" customHeight="1" x14ac:dyDescent="0.4">
      <c r="AC719" s="14">
        <f t="shared" si="24"/>
        <v>0</v>
      </c>
      <c r="AD719" s="14">
        <f t="shared" si="25"/>
        <v>0</v>
      </c>
    </row>
    <row r="720" spans="29:30" ht="15" customHeight="1" x14ac:dyDescent="0.4">
      <c r="AC720" s="14">
        <f t="shared" si="24"/>
        <v>0</v>
      </c>
      <c r="AD720" s="14">
        <f t="shared" si="25"/>
        <v>0</v>
      </c>
    </row>
    <row r="721" spans="29:30" ht="15" customHeight="1" x14ac:dyDescent="0.4">
      <c r="AC721" s="14">
        <f t="shared" si="24"/>
        <v>0</v>
      </c>
      <c r="AD721" s="14">
        <f t="shared" si="25"/>
        <v>0</v>
      </c>
    </row>
    <row r="722" spans="29:30" ht="15" customHeight="1" x14ac:dyDescent="0.4">
      <c r="AC722" s="14">
        <f t="shared" si="24"/>
        <v>0</v>
      </c>
      <c r="AD722" s="14">
        <f t="shared" si="25"/>
        <v>0</v>
      </c>
    </row>
    <row r="723" spans="29:30" ht="15" customHeight="1" x14ac:dyDescent="0.4">
      <c r="AC723" s="14">
        <f t="shared" si="24"/>
        <v>0</v>
      </c>
      <c r="AD723" s="14">
        <f t="shared" si="25"/>
        <v>0</v>
      </c>
    </row>
    <row r="724" spans="29:30" ht="15" customHeight="1" x14ac:dyDescent="0.4">
      <c r="AC724" s="14">
        <f t="shared" si="24"/>
        <v>0</v>
      </c>
      <c r="AD724" s="14">
        <f t="shared" si="25"/>
        <v>0</v>
      </c>
    </row>
    <row r="725" spans="29:30" ht="15" customHeight="1" x14ac:dyDescent="0.4">
      <c r="AC725" s="14">
        <f t="shared" si="24"/>
        <v>0</v>
      </c>
      <c r="AD725" s="14">
        <f t="shared" si="25"/>
        <v>0</v>
      </c>
    </row>
    <row r="726" spans="29:30" ht="15" customHeight="1" x14ac:dyDescent="0.4">
      <c r="AC726" s="14">
        <f t="shared" si="24"/>
        <v>0</v>
      </c>
      <c r="AD726" s="14">
        <f t="shared" si="25"/>
        <v>0</v>
      </c>
    </row>
    <row r="727" spans="29:30" ht="15" customHeight="1" x14ac:dyDescent="0.4">
      <c r="AC727" s="14">
        <f t="shared" si="24"/>
        <v>0</v>
      </c>
      <c r="AD727" s="14">
        <f t="shared" si="25"/>
        <v>0</v>
      </c>
    </row>
    <row r="728" spans="29:30" ht="15" customHeight="1" x14ac:dyDescent="0.4">
      <c r="AC728" s="14">
        <f t="shared" si="24"/>
        <v>0</v>
      </c>
      <c r="AD728" s="14">
        <f t="shared" si="25"/>
        <v>0</v>
      </c>
    </row>
    <row r="729" spans="29:30" ht="15" customHeight="1" x14ac:dyDescent="0.4">
      <c r="AC729" s="14">
        <f t="shared" si="24"/>
        <v>0</v>
      </c>
      <c r="AD729" s="14">
        <f t="shared" si="25"/>
        <v>0</v>
      </c>
    </row>
    <row r="730" spans="29:30" ht="15" customHeight="1" x14ac:dyDescent="0.4">
      <c r="AC730" s="14">
        <f t="shared" si="24"/>
        <v>0</v>
      </c>
      <c r="AD730" s="14">
        <f t="shared" si="25"/>
        <v>0</v>
      </c>
    </row>
    <row r="731" spans="29:30" ht="15" customHeight="1" x14ac:dyDescent="0.4">
      <c r="AC731" s="14">
        <f t="shared" si="24"/>
        <v>0</v>
      </c>
      <c r="AD731" s="14">
        <f t="shared" si="25"/>
        <v>0</v>
      </c>
    </row>
    <row r="732" spans="29:30" ht="15" customHeight="1" x14ac:dyDescent="0.4">
      <c r="AC732" s="14">
        <f t="shared" si="24"/>
        <v>0</v>
      </c>
      <c r="AD732" s="14">
        <f t="shared" si="25"/>
        <v>0</v>
      </c>
    </row>
    <row r="733" spans="29:30" ht="15" customHeight="1" x14ac:dyDescent="0.4">
      <c r="AC733" s="14">
        <f t="shared" si="24"/>
        <v>0</v>
      </c>
      <c r="AD733" s="14">
        <f t="shared" si="25"/>
        <v>0</v>
      </c>
    </row>
    <row r="734" spans="29:30" ht="15" customHeight="1" x14ac:dyDescent="0.4">
      <c r="AC734" s="14">
        <f t="shared" si="24"/>
        <v>0</v>
      </c>
      <c r="AD734" s="14">
        <f t="shared" si="25"/>
        <v>0</v>
      </c>
    </row>
    <row r="735" spans="29:30" ht="15" customHeight="1" x14ac:dyDescent="0.4">
      <c r="AC735" s="14">
        <f t="shared" si="24"/>
        <v>0</v>
      </c>
      <c r="AD735" s="14">
        <f t="shared" si="25"/>
        <v>0</v>
      </c>
    </row>
    <row r="736" spans="29:30" ht="15" customHeight="1" x14ac:dyDescent="0.4">
      <c r="AC736" s="14">
        <f t="shared" si="24"/>
        <v>0</v>
      </c>
      <c r="AD736" s="14">
        <f t="shared" si="25"/>
        <v>0</v>
      </c>
    </row>
    <row r="737" spans="29:30" ht="15" customHeight="1" x14ac:dyDescent="0.4">
      <c r="AC737" s="14">
        <f t="shared" si="24"/>
        <v>0</v>
      </c>
      <c r="AD737" s="14">
        <f t="shared" si="25"/>
        <v>0</v>
      </c>
    </row>
    <row r="738" spans="29:30" ht="15" customHeight="1" x14ac:dyDescent="0.4">
      <c r="AC738" s="14">
        <f t="shared" si="24"/>
        <v>0</v>
      </c>
      <c r="AD738" s="14">
        <f t="shared" si="25"/>
        <v>0</v>
      </c>
    </row>
    <row r="739" spans="29:30" ht="15" customHeight="1" x14ac:dyDescent="0.4">
      <c r="AC739" s="14">
        <f t="shared" si="24"/>
        <v>0</v>
      </c>
      <c r="AD739" s="14">
        <f t="shared" si="25"/>
        <v>0</v>
      </c>
    </row>
    <row r="740" spans="29:30" ht="15" customHeight="1" x14ac:dyDescent="0.4">
      <c r="AC740" s="14">
        <f t="shared" si="24"/>
        <v>0</v>
      </c>
      <c r="AD740" s="14">
        <f t="shared" si="25"/>
        <v>0</v>
      </c>
    </row>
    <row r="741" spans="29:30" ht="15" customHeight="1" x14ac:dyDescent="0.4">
      <c r="AC741" s="14">
        <f t="shared" si="24"/>
        <v>0</v>
      </c>
      <c r="AD741" s="14">
        <f t="shared" si="25"/>
        <v>0</v>
      </c>
    </row>
    <row r="742" spans="29:30" ht="15" customHeight="1" x14ac:dyDescent="0.4">
      <c r="AC742" s="14">
        <f t="shared" si="24"/>
        <v>0</v>
      </c>
      <c r="AD742" s="14">
        <f t="shared" si="25"/>
        <v>0</v>
      </c>
    </row>
    <row r="743" spans="29:30" ht="15" customHeight="1" x14ac:dyDescent="0.4">
      <c r="AC743" s="14">
        <f t="shared" si="24"/>
        <v>0</v>
      </c>
      <c r="AD743" s="14">
        <f t="shared" si="25"/>
        <v>0</v>
      </c>
    </row>
    <row r="744" spans="29:30" ht="15" customHeight="1" x14ac:dyDescent="0.4">
      <c r="AC744" s="14">
        <f t="shared" si="24"/>
        <v>0</v>
      </c>
      <c r="AD744" s="14">
        <f t="shared" si="25"/>
        <v>0</v>
      </c>
    </row>
    <row r="745" spans="29:30" ht="15" customHeight="1" x14ac:dyDescent="0.4">
      <c r="AC745" s="14">
        <f t="shared" si="24"/>
        <v>0</v>
      </c>
      <c r="AD745" s="14">
        <f t="shared" si="25"/>
        <v>0</v>
      </c>
    </row>
    <row r="746" spans="29:30" ht="15" customHeight="1" x14ac:dyDescent="0.4">
      <c r="AC746" s="14">
        <f t="shared" si="24"/>
        <v>0</v>
      </c>
      <c r="AD746" s="14">
        <f t="shared" si="25"/>
        <v>0</v>
      </c>
    </row>
    <row r="747" spans="29:30" ht="15" customHeight="1" x14ac:dyDescent="0.4">
      <c r="AC747" s="14">
        <f t="shared" si="24"/>
        <v>0</v>
      </c>
      <c r="AD747" s="14">
        <f t="shared" si="25"/>
        <v>0</v>
      </c>
    </row>
    <row r="748" spans="29:30" ht="15" customHeight="1" x14ac:dyDescent="0.4">
      <c r="AC748" s="14">
        <f t="shared" si="24"/>
        <v>0</v>
      </c>
      <c r="AD748" s="14">
        <f t="shared" si="25"/>
        <v>0</v>
      </c>
    </row>
    <row r="749" spans="29:30" ht="15" customHeight="1" x14ac:dyDescent="0.4">
      <c r="AC749" s="14">
        <f t="shared" si="24"/>
        <v>0</v>
      </c>
      <c r="AD749" s="14">
        <f t="shared" si="25"/>
        <v>0</v>
      </c>
    </row>
    <row r="750" spans="29:30" ht="15" customHeight="1" x14ac:dyDescent="0.4">
      <c r="AC750" s="14">
        <f t="shared" si="24"/>
        <v>0</v>
      </c>
      <c r="AD750" s="14">
        <f t="shared" si="25"/>
        <v>0</v>
      </c>
    </row>
    <row r="751" spans="29:30" ht="15" customHeight="1" x14ac:dyDescent="0.4">
      <c r="AC751" s="14">
        <f t="shared" si="24"/>
        <v>0</v>
      </c>
      <c r="AD751" s="14">
        <f t="shared" si="25"/>
        <v>0</v>
      </c>
    </row>
    <row r="752" spans="29:30" ht="15" customHeight="1" x14ac:dyDescent="0.4">
      <c r="AC752" s="14">
        <f t="shared" si="24"/>
        <v>0</v>
      </c>
      <c r="AD752" s="14">
        <f t="shared" si="25"/>
        <v>0</v>
      </c>
    </row>
    <row r="753" spans="29:30" ht="15" customHeight="1" x14ac:dyDescent="0.4">
      <c r="AC753" s="14">
        <f t="shared" si="24"/>
        <v>0</v>
      </c>
      <c r="AD753" s="14">
        <f t="shared" si="25"/>
        <v>0</v>
      </c>
    </row>
    <row r="754" spans="29:30" ht="15" customHeight="1" x14ac:dyDescent="0.4">
      <c r="AC754" s="14">
        <f t="shared" si="24"/>
        <v>0</v>
      </c>
      <c r="AD754" s="14">
        <f t="shared" si="25"/>
        <v>0</v>
      </c>
    </row>
    <row r="755" spans="29:30" ht="15" customHeight="1" x14ac:dyDescent="0.4">
      <c r="AC755" s="14">
        <f t="shared" si="24"/>
        <v>0</v>
      </c>
      <c r="AD755" s="14">
        <f t="shared" si="25"/>
        <v>0</v>
      </c>
    </row>
    <row r="756" spans="29:30" ht="15" customHeight="1" x14ac:dyDescent="0.4">
      <c r="AC756" s="14">
        <f t="shared" si="24"/>
        <v>0</v>
      </c>
      <c r="AD756" s="14">
        <f t="shared" si="25"/>
        <v>0</v>
      </c>
    </row>
    <row r="757" spans="29:30" ht="15" customHeight="1" x14ac:dyDescent="0.4">
      <c r="AC757" s="14">
        <f t="shared" si="24"/>
        <v>0</v>
      </c>
      <c r="AD757" s="14">
        <f t="shared" si="25"/>
        <v>0</v>
      </c>
    </row>
    <row r="758" spans="29:30" ht="15" customHeight="1" x14ac:dyDescent="0.4">
      <c r="AC758" s="14">
        <f t="shared" si="24"/>
        <v>0</v>
      </c>
      <c r="AD758" s="14">
        <f t="shared" si="25"/>
        <v>0</v>
      </c>
    </row>
    <row r="759" spans="29:30" ht="15" customHeight="1" x14ac:dyDescent="0.4">
      <c r="AC759" s="14">
        <f t="shared" si="24"/>
        <v>0</v>
      </c>
      <c r="AD759" s="14">
        <f t="shared" si="25"/>
        <v>0</v>
      </c>
    </row>
    <row r="760" spans="29:30" ht="15" customHeight="1" x14ac:dyDescent="0.4">
      <c r="AC760" s="14">
        <f t="shared" si="24"/>
        <v>0</v>
      </c>
      <c r="AD760" s="14">
        <f t="shared" si="25"/>
        <v>0</v>
      </c>
    </row>
    <row r="761" spans="29:30" ht="15" customHeight="1" x14ac:dyDescent="0.4">
      <c r="AC761" s="14">
        <f t="shared" si="24"/>
        <v>0</v>
      </c>
      <c r="AD761" s="14">
        <f t="shared" si="25"/>
        <v>0</v>
      </c>
    </row>
    <row r="762" spans="29:30" ht="15" customHeight="1" x14ac:dyDescent="0.4">
      <c r="AC762" s="14">
        <f t="shared" si="24"/>
        <v>0</v>
      </c>
      <c r="AD762" s="14">
        <f t="shared" si="25"/>
        <v>0</v>
      </c>
    </row>
    <row r="763" spans="29:30" ht="15" customHeight="1" x14ac:dyDescent="0.4">
      <c r="AC763" s="14">
        <f t="shared" si="24"/>
        <v>0</v>
      </c>
      <c r="AD763" s="14">
        <f t="shared" si="25"/>
        <v>0</v>
      </c>
    </row>
    <row r="764" spans="29:30" ht="15" customHeight="1" x14ac:dyDescent="0.4">
      <c r="AC764" s="14">
        <f t="shared" si="24"/>
        <v>0</v>
      </c>
      <c r="AD764" s="14">
        <f t="shared" si="25"/>
        <v>0</v>
      </c>
    </row>
    <row r="765" spans="29:30" ht="15" customHeight="1" x14ac:dyDescent="0.4">
      <c r="AC765" s="14">
        <f t="shared" si="24"/>
        <v>0</v>
      </c>
      <c r="AD765" s="14">
        <f t="shared" si="25"/>
        <v>0</v>
      </c>
    </row>
    <row r="766" spans="29:30" ht="15" customHeight="1" x14ac:dyDescent="0.4">
      <c r="AC766" s="14">
        <f t="shared" si="24"/>
        <v>0</v>
      </c>
      <c r="AD766" s="14">
        <f t="shared" si="25"/>
        <v>0</v>
      </c>
    </row>
    <row r="767" spans="29:30" ht="15" customHeight="1" x14ac:dyDescent="0.4">
      <c r="AC767" s="14">
        <f t="shared" si="24"/>
        <v>0</v>
      </c>
      <c r="AD767" s="14">
        <f t="shared" si="25"/>
        <v>0</v>
      </c>
    </row>
    <row r="768" spans="29:30" ht="15" customHeight="1" x14ac:dyDescent="0.4">
      <c r="AC768" s="14">
        <f t="shared" si="24"/>
        <v>0</v>
      </c>
      <c r="AD768" s="14">
        <f t="shared" si="25"/>
        <v>0</v>
      </c>
    </row>
    <row r="769" spans="29:30" ht="15" customHeight="1" x14ac:dyDescent="0.4">
      <c r="AC769" s="14">
        <f t="shared" si="24"/>
        <v>0</v>
      </c>
      <c r="AD769" s="14">
        <f t="shared" si="25"/>
        <v>0</v>
      </c>
    </row>
    <row r="770" spans="29:30" ht="15" customHeight="1" x14ac:dyDescent="0.4">
      <c r="AC770" s="14">
        <f t="shared" ref="AC770:AC833" si="26">SUM(K770:P770)</f>
        <v>0</v>
      </c>
      <c r="AD770" s="14">
        <f t="shared" ref="AD770:AD833" si="27">SUM(Q770:AB770)</f>
        <v>0</v>
      </c>
    </row>
    <row r="771" spans="29:30" ht="15" customHeight="1" x14ac:dyDescent="0.4">
      <c r="AC771" s="14">
        <f t="shared" si="26"/>
        <v>0</v>
      </c>
      <c r="AD771" s="14">
        <f t="shared" si="27"/>
        <v>0</v>
      </c>
    </row>
    <row r="772" spans="29:30" ht="15" customHeight="1" x14ac:dyDescent="0.4">
      <c r="AC772" s="14">
        <f t="shared" si="26"/>
        <v>0</v>
      </c>
      <c r="AD772" s="14">
        <f t="shared" si="27"/>
        <v>0</v>
      </c>
    </row>
    <row r="773" spans="29:30" ht="15" customHeight="1" x14ac:dyDescent="0.4">
      <c r="AC773" s="14">
        <f t="shared" si="26"/>
        <v>0</v>
      </c>
      <c r="AD773" s="14">
        <f t="shared" si="27"/>
        <v>0</v>
      </c>
    </row>
    <row r="774" spans="29:30" ht="15" customHeight="1" x14ac:dyDescent="0.4">
      <c r="AC774" s="14">
        <f t="shared" si="26"/>
        <v>0</v>
      </c>
      <c r="AD774" s="14">
        <f t="shared" si="27"/>
        <v>0</v>
      </c>
    </row>
    <row r="775" spans="29:30" ht="15" customHeight="1" x14ac:dyDescent="0.4">
      <c r="AC775" s="14">
        <f t="shared" si="26"/>
        <v>0</v>
      </c>
      <c r="AD775" s="14">
        <f t="shared" si="27"/>
        <v>0</v>
      </c>
    </row>
    <row r="776" spans="29:30" ht="15" customHeight="1" x14ac:dyDescent="0.4">
      <c r="AC776" s="14">
        <f t="shared" si="26"/>
        <v>0</v>
      </c>
      <c r="AD776" s="14">
        <f t="shared" si="27"/>
        <v>0</v>
      </c>
    </row>
    <row r="777" spans="29:30" ht="15" customHeight="1" x14ac:dyDescent="0.4">
      <c r="AC777" s="14">
        <f t="shared" si="26"/>
        <v>0</v>
      </c>
      <c r="AD777" s="14">
        <f t="shared" si="27"/>
        <v>0</v>
      </c>
    </row>
    <row r="778" spans="29:30" ht="15" customHeight="1" x14ac:dyDescent="0.4">
      <c r="AC778" s="14">
        <f t="shared" si="26"/>
        <v>0</v>
      </c>
      <c r="AD778" s="14">
        <f t="shared" si="27"/>
        <v>0</v>
      </c>
    </row>
    <row r="779" spans="29:30" ht="15" customHeight="1" x14ac:dyDescent="0.4">
      <c r="AC779" s="14">
        <f t="shared" si="26"/>
        <v>0</v>
      </c>
      <c r="AD779" s="14">
        <f t="shared" si="27"/>
        <v>0</v>
      </c>
    </row>
    <row r="780" spans="29:30" ht="15" customHeight="1" x14ac:dyDescent="0.4">
      <c r="AC780" s="14">
        <f t="shared" si="26"/>
        <v>0</v>
      </c>
      <c r="AD780" s="14">
        <f t="shared" si="27"/>
        <v>0</v>
      </c>
    </row>
    <row r="781" spans="29:30" ht="15" customHeight="1" x14ac:dyDescent="0.4">
      <c r="AC781" s="14">
        <f t="shared" si="26"/>
        <v>0</v>
      </c>
      <c r="AD781" s="14">
        <f t="shared" si="27"/>
        <v>0</v>
      </c>
    </row>
    <row r="782" spans="29:30" ht="15" customHeight="1" x14ac:dyDescent="0.4">
      <c r="AC782" s="14">
        <f t="shared" si="26"/>
        <v>0</v>
      </c>
      <c r="AD782" s="14">
        <f t="shared" si="27"/>
        <v>0</v>
      </c>
    </row>
    <row r="783" spans="29:30" ht="15" customHeight="1" x14ac:dyDescent="0.4">
      <c r="AC783" s="14">
        <f t="shared" si="26"/>
        <v>0</v>
      </c>
      <c r="AD783" s="14">
        <f t="shared" si="27"/>
        <v>0</v>
      </c>
    </row>
    <row r="784" spans="29:30" ht="15" customHeight="1" x14ac:dyDescent="0.4">
      <c r="AC784" s="14">
        <f t="shared" si="26"/>
        <v>0</v>
      </c>
      <c r="AD784" s="14">
        <f t="shared" si="27"/>
        <v>0</v>
      </c>
    </row>
    <row r="785" spans="29:30" ht="15" customHeight="1" x14ac:dyDescent="0.4">
      <c r="AC785" s="14">
        <f t="shared" si="26"/>
        <v>0</v>
      </c>
      <c r="AD785" s="14">
        <f t="shared" si="27"/>
        <v>0</v>
      </c>
    </row>
    <row r="786" spans="29:30" ht="15" customHeight="1" x14ac:dyDescent="0.4">
      <c r="AC786" s="14">
        <f t="shared" si="26"/>
        <v>0</v>
      </c>
      <c r="AD786" s="14">
        <f t="shared" si="27"/>
        <v>0</v>
      </c>
    </row>
    <row r="787" spans="29:30" ht="15" customHeight="1" x14ac:dyDescent="0.4">
      <c r="AC787" s="14">
        <f t="shared" si="26"/>
        <v>0</v>
      </c>
      <c r="AD787" s="14">
        <f t="shared" si="27"/>
        <v>0</v>
      </c>
    </row>
    <row r="788" spans="29:30" ht="15" customHeight="1" x14ac:dyDescent="0.4">
      <c r="AC788" s="14">
        <f t="shared" si="26"/>
        <v>0</v>
      </c>
      <c r="AD788" s="14">
        <f t="shared" si="27"/>
        <v>0</v>
      </c>
    </row>
    <row r="789" spans="29:30" ht="15" customHeight="1" x14ac:dyDescent="0.4">
      <c r="AC789" s="14">
        <f t="shared" si="26"/>
        <v>0</v>
      </c>
      <c r="AD789" s="14">
        <f t="shared" si="27"/>
        <v>0</v>
      </c>
    </row>
    <row r="790" spans="29:30" ht="15" customHeight="1" x14ac:dyDescent="0.4">
      <c r="AC790" s="14">
        <f t="shared" si="26"/>
        <v>0</v>
      </c>
      <c r="AD790" s="14">
        <f t="shared" si="27"/>
        <v>0</v>
      </c>
    </row>
    <row r="791" spans="29:30" ht="15" customHeight="1" x14ac:dyDescent="0.4">
      <c r="AC791" s="14">
        <f t="shared" si="26"/>
        <v>0</v>
      </c>
      <c r="AD791" s="14">
        <f t="shared" si="27"/>
        <v>0</v>
      </c>
    </row>
    <row r="792" spans="29:30" ht="15" customHeight="1" x14ac:dyDescent="0.4">
      <c r="AC792" s="14">
        <f t="shared" si="26"/>
        <v>0</v>
      </c>
      <c r="AD792" s="14">
        <f t="shared" si="27"/>
        <v>0</v>
      </c>
    </row>
    <row r="793" spans="29:30" ht="15" customHeight="1" x14ac:dyDescent="0.4">
      <c r="AC793" s="14">
        <f t="shared" si="26"/>
        <v>0</v>
      </c>
      <c r="AD793" s="14">
        <f t="shared" si="27"/>
        <v>0</v>
      </c>
    </row>
    <row r="794" spans="29:30" ht="15" customHeight="1" x14ac:dyDescent="0.4">
      <c r="AC794" s="14">
        <f t="shared" si="26"/>
        <v>0</v>
      </c>
      <c r="AD794" s="14">
        <f t="shared" si="27"/>
        <v>0</v>
      </c>
    </row>
    <row r="795" spans="29:30" ht="15" customHeight="1" x14ac:dyDescent="0.4">
      <c r="AC795" s="14">
        <f t="shared" si="26"/>
        <v>0</v>
      </c>
      <c r="AD795" s="14">
        <f t="shared" si="27"/>
        <v>0</v>
      </c>
    </row>
    <row r="796" spans="29:30" ht="15" customHeight="1" x14ac:dyDescent="0.4">
      <c r="AC796" s="14">
        <f t="shared" si="26"/>
        <v>0</v>
      </c>
      <c r="AD796" s="14">
        <f t="shared" si="27"/>
        <v>0</v>
      </c>
    </row>
    <row r="797" spans="29:30" ht="15" customHeight="1" x14ac:dyDescent="0.4">
      <c r="AC797" s="14">
        <f t="shared" si="26"/>
        <v>0</v>
      </c>
      <c r="AD797" s="14">
        <f t="shared" si="27"/>
        <v>0</v>
      </c>
    </row>
    <row r="798" spans="29:30" ht="15" customHeight="1" x14ac:dyDescent="0.4">
      <c r="AC798" s="14">
        <f t="shared" si="26"/>
        <v>0</v>
      </c>
      <c r="AD798" s="14">
        <f t="shared" si="27"/>
        <v>0</v>
      </c>
    </row>
    <row r="799" spans="29:30" ht="15" customHeight="1" x14ac:dyDescent="0.4">
      <c r="AC799" s="14">
        <f t="shared" si="26"/>
        <v>0</v>
      </c>
      <c r="AD799" s="14">
        <f t="shared" si="27"/>
        <v>0</v>
      </c>
    </row>
    <row r="800" spans="29:30" ht="15" customHeight="1" x14ac:dyDescent="0.4">
      <c r="AC800" s="14">
        <f t="shared" si="26"/>
        <v>0</v>
      </c>
      <c r="AD800" s="14">
        <f t="shared" si="27"/>
        <v>0</v>
      </c>
    </row>
    <row r="801" spans="29:30" ht="15" customHeight="1" x14ac:dyDescent="0.4">
      <c r="AC801" s="14">
        <f t="shared" si="26"/>
        <v>0</v>
      </c>
      <c r="AD801" s="14">
        <f t="shared" si="27"/>
        <v>0</v>
      </c>
    </row>
    <row r="802" spans="29:30" ht="15" customHeight="1" x14ac:dyDescent="0.4">
      <c r="AC802" s="14">
        <f t="shared" si="26"/>
        <v>0</v>
      </c>
      <c r="AD802" s="14">
        <f t="shared" si="27"/>
        <v>0</v>
      </c>
    </row>
    <row r="803" spans="29:30" ht="15" customHeight="1" x14ac:dyDescent="0.4">
      <c r="AC803" s="14">
        <f t="shared" si="26"/>
        <v>0</v>
      </c>
      <c r="AD803" s="14">
        <f t="shared" si="27"/>
        <v>0</v>
      </c>
    </row>
    <row r="804" spans="29:30" ht="15" customHeight="1" x14ac:dyDescent="0.4">
      <c r="AC804" s="14">
        <f t="shared" si="26"/>
        <v>0</v>
      </c>
      <c r="AD804" s="14">
        <f t="shared" si="27"/>
        <v>0</v>
      </c>
    </row>
    <row r="805" spans="29:30" ht="15" customHeight="1" x14ac:dyDescent="0.4">
      <c r="AC805" s="14">
        <f t="shared" si="26"/>
        <v>0</v>
      </c>
      <c r="AD805" s="14">
        <f t="shared" si="27"/>
        <v>0</v>
      </c>
    </row>
    <row r="806" spans="29:30" ht="15" customHeight="1" x14ac:dyDescent="0.4">
      <c r="AC806" s="14">
        <f t="shared" si="26"/>
        <v>0</v>
      </c>
      <c r="AD806" s="14">
        <f t="shared" si="27"/>
        <v>0</v>
      </c>
    </row>
    <row r="807" spans="29:30" ht="15" customHeight="1" x14ac:dyDescent="0.4">
      <c r="AC807" s="14">
        <f t="shared" si="26"/>
        <v>0</v>
      </c>
      <c r="AD807" s="14">
        <f t="shared" si="27"/>
        <v>0</v>
      </c>
    </row>
    <row r="808" spans="29:30" ht="15" customHeight="1" x14ac:dyDescent="0.4">
      <c r="AC808" s="14">
        <f t="shared" si="26"/>
        <v>0</v>
      </c>
      <c r="AD808" s="14">
        <f t="shared" si="27"/>
        <v>0</v>
      </c>
    </row>
    <row r="809" spans="29:30" ht="15" customHeight="1" x14ac:dyDescent="0.4">
      <c r="AC809" s="14">
        <f t="shared" si="26"/>
        <v>0</v>
      </c>
      <c r="AD809" s="14">
        <f t="shared" si="27"/>
        <v>0</v>
      </c>
    </row>
    <row r="810" spans="29:30" ht="15" customHeight="1" x14ac:dyDescent="0.4">
      <c r="AC810" s="14">
        <f t="shared" si="26"/>
        <v>0</v>
      </c>
      <c r="AD810" s="14">
        <f t="shared" si="27"/>
        <v>0</v>
      </c>
    </row>
    <row r="811" spans="29:30" ht="15" customHeight="1" x14ac:dyDescent="0.4">
      <c r="AC811" s="14">
        <f t="shared" si="26"/>
        <v>0</v>
      </c>
      <c r="AD811" s="14">
        <f t="shared" si="27"/>
        <v>0</v>
      </c>
    </row>
    <row r="812" spans="29:30" ht="15" customHeight="1" x14ac:dyDescent="0.4">
      <c r="AC812" s="14">
        <f t="shared" si="26"/>
        <v>0</v>
      </c>
      <c r="AD812" s="14">
        <f t="shared" si="27"/>
        <v>0</v>
      </c>
    </row>
    <row r="813" spans="29:30" ht="15" customHeight="1" x14ac:dyDescent="0.4">
      <c r="AC813" s="14">
        <f t="shared" si="26"/>
        <v>0</v>
      </c>
      <c r="AD813" s="14">
        <f t="shared" si="27"/>
        <v>0</v>
      </c>
    </row>
    <row r="814" spans="29:30" ht="15" customHeight="1" x14ac:dyDescent="0.4">
      <c r="AC814" s="14">
        <f t="shared" si="26"/>
        <v>0</v>
      </c>
      <c r="AD814" s="14">
        <f t="shared" si="27"/>
        <v>0</v>
      </c>
    </row>
    <row r="815" spans="29:30" ht="15" customHeight="1" x14ac:dyDescent="0.4">
      <c r="AC815" s="14">
        <f t="shared" si="26"/>
        <v>0</v>
      </c>
      <c r="AD815" s="14">
        <f t="shared" si="27"/>
        <v>0</v>
      </c>
    </row>
    <row r="816" spans="29:30" ht="15" customHeight="1" x14ac:dyDescent="0.4">
      <c r="AC816" s="14">
        <f t="shared" si="26"/>
        <v>0</v>
      </c>
      <c r="AD816" s="14">
        <f t="shared" si="27"/>
        <v>0</v>
      </c>
    </row>
    <row r="817" spans="29:30" ht="15" customHeight="1" x14ac:dyDescent="0.4">
      <c r="AC817" s="14">
        <f t="shared" si="26"/>
        <v>0</v>
      </c>
      <c r="AD817" s="14">
        <f t="shared" si="27"/>
        <v>0</v>
      </c>
    </row>
    <row r="818" spans="29:30" ht="15" customHeight="1" x14ac:dyDescent="0.4">
      <c r="AC818" s="14">
        <f t="shared" si="26"/>
        <v>0</v>
      </c>
      <c r="AD818" s="14">
        <f t="shared" si="27"/>
        <v>0</v>
      </c>
    </row>
    <row r="819" spans="29:30" ht="15" customHeight="1" x14ac:dyDescent="0.4">
      <c r="AC819" s="14">
        <f t="shared" si="26"/>
        <v>0</v>
      </c>
      <c r="AD819" s="14">
        <f t="shared" si="27"/>
        <v>0</v>
      </c>
    </row>
    <row r="820" spans="29:30" ht="15" customHeight="1" x14ac:dyDescent="0.4">
      <c r="AC820" s="14">
        <f t="shared" si="26"/>
        <v>0</v>
      </c>
      <c r="AD820" s="14">
        <f t="shared" si="27"/>
        <v>0</v>
      </c>
    </row>
    <row r="821" spans="29:30" ht="15" customHeight="1" x14ac:dyDescent="0.4">
      <c r="AC821" s="14">
        <f t="shared" si="26"/>
        <v>0</v>
      </c>
      <c r="AD821" s="14">
        <f t="shared" si="27"/>
        <v>0</v>
      </c>
    </row>
    <row r="822" spans="29:30" ht="15" customHeight="1" x14ac:dyDescent="0.4">
      <c r="AC822" s="14">
        <f t="shared" si="26"/>
        <v>0</v>
      </c>
      <c r="AD822" s="14">
        <f t="shared" si="27"/>
        <v>0</v>
      </c>
    </row>
    <row r="823" spans="29:30" ht="15" customHeight="1" x14ac:dyDescent="0.4">
      <c r="AC823" s="14">
        <f t="shared" si="26"/>
        <v>0</v>
      </c>
      <c r="AD823" s="14">
        <f t="shared" si="27"/>
        <v>0</v>
      </c>
    </row>
    <row r="824" spans="29:30" ht="15" customHeight="1" x14ac:dyDescent="0.4">
      <c r="AC824" s="14">
        <f t="shared" si="26"/>
        <v>0</v>
      </c>
      <c r="AD824" s="14">
        <f t="shared" si="27"/>
        <v>0</v>
      </c>
    </row>
    <row r="825" spans="29:30" ht="15" customHeight="1" x14ac:dyDescent="0.4">
      <c r="AC825" s="14">
        <f t="shared" si="26"/>
        <v>0</v>
      </c>
      <c r="AD825" s="14">
        <f t="shared" si="27"/>
        <v>0</v>
      </c>
    </row>
    <row r="826" spans="29:30" ht="15" customHeight="1" x14ac:dyDescent="0.4">
      <c r="AC826" s="14">
        <f t="shared" si="26"/>
        <v>0</v>
      </c>
      <c r="AD826" s="14">
        <f t="shared" si="27"/>
        <v>0</v>
      </c>
    </row>
    <row r="827" spans="29:30" ht="15" customHeight="1" x14ac:dyDescent="0.4">
      <c r="AC827" s="14">
        <f t="shared" si="26"/>
        <v>0</v>
      </c>
      <c r="AD827" s="14">
        <f t="shared" si="27"/>
        <v>0</v>
      </c>
    </row>
    <row r="828" spans="29:30" ht="15" customHeight="1" x14ac:dyDescent="0.4">
      <c r="AC828" s="14">
        <f t="shared" si="26"/>
        <v>0</v>
      </c>
      <c r="AD828" s="14">
        <f t="shared" si="27"/>
        <v>0</v>
      </c>
    </row>
    <row r="829" spans="29:30" ht="15" customHeight="1" x14ac:dyDescent="0.4">
      <c r="AC829" s="14">
        <f t="shared" si="26"/>
        <v>0</v>
      </c>
      <c r="AD829" s="14">
        <f t="shared" si="27"/>
        <v>0</v>
      </c>
    </row>
    <row r="830" spans="29:30" ht="15" customHeight="1" x14ac:dyDescent="0.4">
      <c r="AC830" s="14">
        <f t="shared" si="26"/>
        <v>0</v>
      </c>
      <c r="AD830" s="14">
        <f t="shared" si="27"/>
        <v>0</v>
      </c>
    </row>
    <row r="831" spans="29:30" ht="15" customHeight="1" x14ac:dyDescent="0.4">
      <c r="AC831" s="14">
        <f t="shared" si="26"/>
        <v>0</v>
      </c>
      <c r="AD831" s="14">
        <f t="shared" si="27"/>
        <v>0</v>
      </c>
    </row>
    <row r="832" spans="29:30" ht="15" customHeight="1" x14ac:dyDescent="0.4">
      <c r="AC832" s="14">
        <f t="shared" si="26"/>
        <v>0</v>
      </c>
      <c r="AD832" s="14">
        <f t="shared" si="27"/>
        <v>0</v>
      </c>
    </row>
    <row r="833" spans="29:30" ht="15" customHeight="1" x14ac:dyDescent="0.4">
      <c r="AC833" s="14">
        <f t="shared" si="26"/>
        <v>0</v>
      </c>
      <c r="AD833" s="14">
        <f t="shared" si="27"/>
        <v>0</v>
      </c>
    </row>
    <row r="834" spans="29:30" ht="15" customHeight="1" x14ac:dyDescent="0.4">
      <c r="AC834" s="14">
        <f t="shared" ref="AC834:AC897" si="28">SUM(K834:P834)</f>
        <v>0</v>
      </c>
      <c r="AD834" s="14">
        <f t="shared" ref="AD834:AD897" si="29">SUM(Q834:AB834)</f>
        <v>0</v>
      </c>
    </row>
    <row r="835" spans="29:30" ht="15" customHeight="1" x14ac:dyDescent="0.4">
      <c r="AC835" s="14">
        <f t="shared" si="28"/>
        <v>0</v>
      </c>
      <c r="AD835" s="14">
        <f t="shared" si="29"/>
        <v>0</v>
      </c>
    </row>
    <row r="836" spans="29:30" ht="15" customHeight="1" x14ac:dyDescent="0.4">
      <c r="AC836" s="14">
        <f t="shared" si="28"/>
        <v>0</v>
      </c>
      <c r="AD836" s="14">
        <f t="shared" si="29"/>
        <v>0</v>
      </c>
    </row>
    <row r="837" spans="29:30" ht="15" customHeight="1" x14ac:dyDescent="0.4">
      <c r="AC837" s="14">
        <f t="shared" si="28"/>
        <v>0</v>
      </c>
      <c r="AD837" s="14">
        <f t="shared" si="29"/>
        <v>0</v>
      </c>
    </row>
    <row r="838" spans="29:30" ht="15" customHeight="1" x14ac:dyDescent="0.4">
      <c r="AC838" s="14">
        <f t="shared" si="28"/>
        <v>0</v>
      </c>
      <c r="AD838" s="14">
        <f t="shared" si="29"/>
        <v>0</v>
      </c>
    </row>
    <row r="839" spans="29:30" ht="15" customHeight="1" x14ac:dyDescent="0.4">
      <c r="AC839" s="14">
        <f t="shared" si="28"/>
        <v>0</v>
      </c>
      <c r="AD839" s="14">
        <f t="shared" si="29"/>
        <v>0</v>
      </c>
    </row>
    <row r="840" spans="29:30" ht="15" customHeight="1" x14ac:dyDescent="0.4">
      <c r="AC840" s="14">
        <f t="shared" si="28"/>
        <v>0</v>
      </c>
      <c r="AD840" s="14">
        <f t="shared" si="29"/>
        <v>0</v>
      </c>
    </row>
    <row r="841" spans="29:30" ht="15" customHeight="1" x14ac:dyDescent="0.4">
      <c r="AC841" s="14">
        <f t="shared" si="28"/>
        <v>0</v>
      </c>
      <c r="AD841" s="14">
        <f t="shared" si="29"/>
        <v>0</v>
      </c>
    </row>
    <row r="842" spans="29:30" ht="15" customHeight="1" x14ac:dyDescent="0.4">
      <c r="AC842" s="14">
        <f t="shared" si="28"/>
        <v>0</v>
      </c>
      <c r="AD842" s="14">
        <f t="shared" si="29"/>
        <v>0</v>
      </c>
    </row>
    <row r="843" spans="29:30" ht="15" customHeight="1" x14ac:dyDescent="0.4">
      <c r="AC843" s="14">
        <f t="shared" si="28"/>
        <v>0</v>
      </c>
      <c r="AD843" s="14">
        <f t="shared" si="29"/>
        <v>0</v>
      </c>
    </row>
    <row r="844" spans="29:30" ht="15" customHeight="1" x14ac:dyDescent="0.4">
      <c r="AC844" s="14">
        <f t="shared" si="28"/>
        <v>0</v>
      </c>
      <c r="AD844" s="14">
        <f t="shared" si="29"/>
        <v>0</v>
      </c>
    </row>
    <row r="845" spans="29:30" ht="15" customHeight="1" x14ac:dyDescent="0.4">
      <c r="AC845" s="14">
        <f t="shared" si="28"/>
        <v>0</v>
      </c>
      <c r="AD845" s="14">
        <f t="shared" si="29"/>
        <v>0</v>
      </c>
    </row>
    <row r="846" spans="29:30" ht="15" customHeight="1" x14ac:dyDescent="0.4">
      <c r="AC846" s="14">
        <f t="shared" si="28"/>
        <v>0</v>
      </c>
      <c r="AD846" s="14">
        <f t="shared" si="29"/>
        <v>0</v>
      </c>
    </row>
    <row r="847" spans="29:30" ht="15" customHeight="1" x14ac:dyDescent="0.4">
      <c r="AC847" s="14">
        <f t="shared" si="28"/>
        <v>0</v>
      </c>
      <c r="AD847" s="14">
        <f t="shared" si="29"/>
        <v>0</v>
      </c>
    </row>
    <row r="848" spans="29:30" ht="15" customHeight="1" x14ac:dyDescent="0.4">
      <c r="AC848" s="14">
        <f t="shared" si="28"/>
        <v>0</v>
      </c>
      <c r="AD848" s="14">
        <f t="shared" si="29"/>
        <v>0</v>
      </c>
    </row>
    <row r="849" spans="29:30" ht="15" customHeight="1" x14ac:dyDescent="0.4">
      <c r="AC849" s="14">
        <f t="shared" si="28"/>
        <v>0</v>
      </c>
      <c r="AD849" s="14">
        <f t="shared" si="29"/>
        <v>0</v>
      </c>
    </row>
    <row r="850" spans="29:30" ht="15" customHeight="1" x14ac:dyDescent="0.4">
      <c r="AC850" s="14">
        <f t="shared" si="28"/>
        <v>0</v>
      </c>
      <c r="AD850" s="14">
        <f t="shared" si="29"/>
        <v>0</v>
      </c>
    </row>
    <row r="851" spans="29:30" ht="15" customHeight="1" x14ac:dyDescent="0.4">
      <c r="AC851" s="14">
        <f t="shared" si="28"/>
        <v>0</v>
      </c>
      <c r="AD851" s="14">
        <f t="shared" si="29"/>
        <v>0</v>
      </c>
    </row>
    <row r="852" spans="29:30" ht="15" customHeight="1" x14ac:dyDescent="0.4">
      <c r="AC852" s="14">
        <f t="shared" si="28"/>
        <v>0</v>
      </c>
      <c r="AD852" s="14">
        <f t="shared" si="29"/>
        <v>0</v>
      </c>
    </row>
    <row r="853" spans="29:30" ht="15" customHeight="1" x14ac:dyDescent="0.4">
      <c r="AC853" s="14">
        <f t="shared" si="28"/>
        <v>0</v>
      </c>
      <c r="AD853" s="14">
        <f t="shared" si="29"/>
        <v>0</v>
      </c>
    </row>
    <row r="854" spans="29:30" ht="15" customHeight="1" x14ac:dyDescent="0.4">
      <c r="AC854" s="14">
        <f t="shared" si="28"/>
        <v>0</v>
      </c>
      <c r="AD854" s="14">
        <f t="shared" si="29"/>
        <v>0</v>
      </c>
    </row>
    <row r="855" spans="29:30" ht="15" customHeight="1" x14ac:dyDescent="0.4">
      <c r="AC855" s="14">
        <f t="shared" si="28"/>
        <v>0</v>
      </c>
      <c r="AD855" s="14">
        <f t="shared" si="29"/>
        <v>0</v>
      </c>
    </row>
    <row r="856" spans="29:30" ht="15" customHeight="1" x14ac:dyDescent="0.4">
      <c r="AC856" s="14">
        <f t="shared" si="28"/>
        <v>0</v>
      </c>
      <c r="AD856" s="14">
        <f t="shared" si="29"/>
        <v>0</v>
      </c>
    </row>
    <row r="857" spans="29:30" ht="15" customHeight="1" x14ac:dyDescent="0.4">
      <c r="AC857" s="14">
        <f t="shared" si="28"/>
        <v>0</v>
      </c>
      <c r="AD857" s="14">
        <f t="shared" si="29"/>
        <v>0</v>
      </c>
    </row>
    <row r="858" spans="29:30" ht="15" customHeight="1" x14ac:dyDescent="0.4">
      <c r="AC858" s="14">
        <f t="shared" si="28"/>
        <v>0</v>
      </c>
      <c r="AD858" s="14">
        <f t="shared" si="29"/>
        <v>0</v>
      </c>
    </row>
    <row r="859" spans="29:30" ht="15" customHeight="1" x14ac:dyDescent="0.4">
      <c r="AC859" s="14">
        <f t="shared" si="28"/>
        <v>0</v>
      </c>
      <c r="AD859" s="14">
        <f t="shared" si="29"/>
        <v>0</v>
      </c>
    </row>
    <row r="860" spans="29:30" ht="15" customHeight="1" x14ac:dyDescent="0.4">
      <c r="AC860" s="14">
        <f t="shared" si="28"/>
        <v>0</v>
      </c>
      <c r="AD860" s="14">
        <f t="shared" si="29"/>
        <v>0</v>
      </c>
    </row>
    <row r="861" spans="29:30" ht="15" customHeight="1" x14ac:dyDescent="0.4">
      <c r="AC861" s="14">
        <f t="shared" si="28"/>
        <v>0</v>
      </c>
      <c r="AD861" s="14">
        <f t="shared" si="29"/>
        <v>0</v>
      </c>
    </row>
    <row r="862" spans="29:30" ht="15" customHeight="1" x14ac:dyDescent="0.4">
      <c r="AC862" s="14">
        <f t="shared" si="28"/>
        <v>0</v>
      </c>
      <c r="AD862" s="14">
        <f t="shared" si="29"/>
        <v>0</v>
      </c>
    </row>
    <row r="863" spans="29:30" ht="15" customHeight="1" x14ac:dyDescent="0.4">
      <c r="AC863" s="14">
        <f t="shared" si="28"/>
        <v>0</v>
      </c>
      <c r="AD863" s="14">
        <f t="shared" si="29"/>
        <v>0</v>
      </c>
    </row>
    <row r="864" spans="29:30" ht="15" customHeight="1" x14ac:dyDescent="0.4">
      <c r="AC864" s="14">
        <f t="shared" si="28"/>
        <v>0</v>
      </c>
      <c r="AD864" s="14">
        <f t="shared" si="29"/>
        <v>0</v>
      </c>
    </row>
    <row r="865" spans="29:30" ht="15" customHeight="1" x14ac:dyDescent="0.4">
      <c r="AC865" s="14">
        <f t="shared" si="28"/>
        <v>0</v>
      </c>
      <c r="AD865" s="14">
        <f t="shared" si="29"/>
        <v>0</v>
      </c>
    </row>
    <row r="866" spans="29:30" ht="15" customHeight="1" x14ac:dyDescent="0.4">
      <c r="AC866" s="14">
        <f t="shared" si="28"/>
        <v>0</v>
      </c>
      <c r="AD866" s="14">
        <f t="shared" si="29"/>
        <v>0</v>
      </c>
    </row>
    <row r="867" spans="29:30" ht="15" customHeight="1" x14ac:dyDescent="0.4">
      <c r="AC867" s="14">
        <f t="shared" si="28"/>
        <v>0</v>
      </c>
      <c r="AD867" s="14">
        <f t="shared" si="29"/>
        <v>0</v>
      </c>
    </row>
    <row r="868" spans="29:30" ht="15" customHeight="1" x14ac:dyDescent="0.4">
      <c r="AC868" s="14">
        <f t="shared" si="28"/>
        <v>0</v>
      </c>
      <c r="AD868" s="14">
        <f t="shared" si="29"/>
        <v>0</v>
      </c>
    </row>
    <row r="869" spans="29:30" ht="15" customHeight="1" x14ac:dyDescent="0.4">
      <c r="AC869" s="14">
        <f t="shared" si="28"/>
        <v>0</v>
      </c>
      <c r="AD869" s="14">
        <f t="shared" si="29"/>
        <v>0</v>
      </c>
    </row>
    <row r="870" spans="29:30" ht="15" customHeight="1" x14ac:dyDescent="0.4">
      <c r="AC870" s="14">
        <f t="shared" si="28"/>
        <v>0</v>
      </c>
      <c r="AD870" s="14">
        <f t="shared" si="29"/>
        <v>0</v>
      </c>
    </row>
    <row r="871" spans="29:30" ht="15" customHeight="1" x14ac:dyDescent="0.4">
      <c r="AC871" s="14">
        <f t="shared" si="28"/>
        <v>0</v>
      </c>
      <c r="AD871" s="14">
        <f t="shared" si="29"/>
        <v>0</v>
      </c>
    </row>
    <row r="872" spans="29:30" ht="15" customHeight="1" x14ac:dyDescent="0.4">
      <c r="AC872" s="14">
        <f t="shared" si="28"/>
        <v>0</v>
      </c>
      <c r="AD872" s="14">
        <f t="shared" si="29"/>
        <v>0</v>
      </c>
    </row>
    <row r="873" spans="29:30" ht="15" customHeight="1" x14ac:dyDescent="0.4">
      <c r="AC873" s="14">
        <f t="shared" si="28"/>
        <v>0</v>
      </c>
      <c r="AD873" s="14">
        <f t="shared" si="29"/>
        <v>0</v>
      </c>
    </row>
    <row r="874" spans="29:30" ht="15" customHeight="1" x14ac:dyDescent="0.4">
      <c r="AC874" s="14">
        <f t="shared" si="28"/>
        <v>0</v>
      </c>
      <c r="AD874" s="14">
        <f t="shared" si="29"/>
        <v>0</v>
      </c>
    </row>
    <row r="875" spans="29:30" ht="15" customHeight="1" x14ac:dyDescent="0.4">
      <c r="AC875" s="14">
        <f t="shared" si="28"/>
        <v>0</v>
      </c>
      <c r="AD875" s="14">
        <f t="shared" si="29"/>
        <v>0</v>
      </c>
    </row>
    <row r="876" spans="29:30" ht="15" customHeight="1" x14ac:dyDescent="0.4">
      <c r="AC876" s="14">
        <f t="shared" si="28"/>
        <v>0</v>
      </c>
      <c r="AD876" s="14">
        <f t="shared" si="29"/>
        <v>0</v>
      </c>
    </row>
    <row r="877" spans="29:30" ht="15" customHeight="1" x14ac:dyDescent="0.4">
      <c r="AC877" s="14">
        <f t="shared" si="28"/>
        <v>0</v>
      </c>
      <c r="AD877" s="14">
        <f t="shared" si="29"/>
        <v>0</v>
      </c>
    </row>
    <row r="878" spans="29:30" ht="15" customHeight="1" x14ac:dyDescent="0.4">
      <c r="AC878" s="14">
        <f t="shared" si="28"/>
        <v>0</v>
      </c>
      <c r="AD878" s="14">
        <f t="shared" si="29"/>
        <v>0</v>
      </c>
    </row>
    <row r="879" spans="29:30" ht="15" customHeight="1" x14ac:dyDescent="0.4">
      <c r="AC879" s="14">
        <f t="shared" si="28"/>
        <v>0</v>
      </c>
      <c r="AD879" s="14">
        <f t="shared" si="29"/>
        <v>0</v>
      </c>
    </row>
    <row r="880" spans="29:30" ht="15" customHeight="1" x14ac:dyDescent="0.4">
      <c r="AC880" s="14">
        <f t="shared" si="28"/>
        <v>0</v>
      </c>
      <c r="AD880" s="14">
        <f t="shared" si="29"/>
        <v>0</v>
      </c>
    </row>
    <row r="881" spans="29:30" ht="15" customHeight="1" x14ac:dyDescent="0.4">
      <c r="AC881" s="14">
        <f t="shared" si="28"/>
        <v>0</v>
      </c>
      <c r="AD881" s="14">
        <f t="shared" si="29"/>
        <v>0</v>
      </c>
    </row>
    <row r="882" spans="29:30" ht="15" customHeight="1" x14ac:dyDescent="0.4">
      <c r="AC882" s="14">
        <f t="shared" si="28"/>
        <v>0</v>
      </c>
      <c r="AD882" s="14">
        <f t="shared" si="29"/>
        <v>0</v>
      </c>
    </row>
    <row r="883" spans="29:30" ht="15" customHeight="1" x14ac:dyDescent="0.4">
      <c r="AC883" s="14">
        <f t="shared" si="28"/>
        <v>0</v>
      </c>
      <c r="AD883" s="14">
        <f t="shared" si="29"/>
        <v>0</v>
      </c>
    </row>
    <row r="884" spans="29:30" ht="15" customHeight="1" x14ac:dyDescent="0.4">
      <c r="AC884" s="14">
        <f t="shared" si="28"/>
        <v>0</v>
      </c>
      <c r="AD884" s="14">
        <f t="shared" si="29"/>
        <v>0</v>
      </c>
    </row>
    <row r="885" spans="29:30" ht="15" customHeight="1" x14ac:dyDescent="0.4">
      <c r="AC885" s="14">
        <f t="shared" si="28"/>
        <v>0</v>
      </c>
      <c r="AD885" s="14">
        <f t="shared" si="29"/>
        <v>0</v>
      </c>
    </row>
    <row r="886" spans="29:30" ht="15" customHeight="1" x14ac:dyDescent="0.4">
      <c r="AC886" s="14">
        <f t="shared" si="28"/>
        <v>0</v>
      </c>
      <c r="AD886" s="14">
        <f t="shared" si="29"/>
        <v>0</v>
      </c>
    </row>
    <row r="887" spans="29:30" ht="15" customHeight="1" x14ac:dyDescent="0.4">
      <c r="AC887" s="14">
        <f t="shared" si="28"/>
        <v>0</v>
      </c>
      <c r="AD887" s="14">
        <f t="shared" si="29"/>
        <v>0</v>
      </c>
    </row>
    <row r="888" spans="29:30" ht="15" customHeight="1" x14ac:dyDescent="0.4">
      <c r="AC888" s="14">
        <f t="shared" si="28"/>
        <v>0</v>
      </c>
      <c r="AD888" s="14">
        <f t="shared" si="29"/>
        <v>0</v>
      </c>
    </row>
    <row r="889" spans="29:30" ht="15" customHeight="1" x14ac:dyDescent="0.4">
      <c r="AC889" s="14">
        <f t="shared" si="28"/>
        <v>0</v>
      </c>
      <c r="AD889" s="14">
        <f t="shared" si="29"/>
        <v>0</v>
      </c>
    </row>
    <row r="890" spans="29:30" ht="15" customHeight="1" x14ac:dyDescent="0.4">
      <c r="AC890" s="14">
        <f t="shared" si="28"/>
        <v>0</v>
      </c>
      <c r="AD890" s="14">
        <f t="shared" si="29"/>
        <v>0</v>
      </c>
    </row>
    <row r="891" spans="29:30" ht="15" customHeight="1" x14ac:dyDescent="0.4">
      <c r="AC891" s="14">
        <f t="shared" si="28"/>
        <v>0</v>
      </c>
      <c r="AD891" s="14">
        <f t="shared" si="29"/>
        <v>0</v>
      </c>
    </row>
    <row r="892" spans="29:30" ht="15" customHeight="1" x14ac:dyDescent="0.4">
      <c r="AC892" s="14">
        <f t="shared" si="28"/>
        <v>0</v>
      </c>
      <c r="AD892" s="14">
        <f t="shared" si="29"/>
        <v>0</v>
      </c>
    </row>
    <row r="893" spans="29:30" ht="15" customHeight="1" x14ac:dyDescent="0.4">
      <c r="AC893" s="14">
        <f t="shared" si="28"/>
        <v>0</v>
      </c>
      <c r="AD893" s="14">
        <f t="shared" si="29"/>
        <v>0</v>
      </c>
    </row>
    <row r="894" spans="29:30" ht="15" customHeight="1" x14ac:dyDescent="0.4">
      <c r="AC894" s="14">
        <f t="shared" si="28"/>
        <v>0</v>
      </c>
      <c r="AD894" s="14">
        <f t="shared" si="29"/>
        <v>0</v>
      </c>
    </row>
    <row r="895" spans="29:30" ht="15" customHeight="1" x14ac:dyDescent="0.4">
      <c r="AC895" s="14">
        <f t="shared" si="28"/>
        <v>0</v>
      </c>
      <c r="AD895" s="14">
        <f t="shared" si="29"/>
        <v>0</v>
      </c>
    </row>
    <row r="896" spans="29:30" ht="15" customHeight="1" x14ac:dyDescent="0.4">
      <c r="AC896" s="14">
        <f t="shared" si="28"/>
        <v>0</v>
      </c>
      <c r="AD896" s="14">
        <f t="shared" si="29"/>
        <v>0</v>
      </c>
    </row>
    <row r="897" spans="29:30" ht="15" customHeight="1" x14ac:dyDescent="0.4">
      <c r="AC897" s="14">
        <f t="shared" si="28"/>
        <v>0</v>
      </c>
      <c r="AD897" s="14">
        <f t="shared" si="29"/>
        <v>0</v>
      </c>
    </row>
    <row r="898" spans="29:30" ht="15" customHeight="1" x14ac:dyDescent="0.4">
      <c r="AC898" s="14">
        <f t="shared" ref="AC898:AC961" si="30">SUM(K898:P898)</f>
        <v>0</v>
      </c>
      <c r="AD898" s="14">
        <f t="shared" ref="AD898:AD961" si="31">SUM(Q898:AB898)</f>
        <v>0</v>
      </c>
    </row>
    <row r="899" spans="29:30" ht="15" customHeight="1" x14ac:dyDescent="0.4">
      <c r="AC899" s="14">
        <f t="shared" si="30"/>
        <v>0</v>
      </c>
      <c r="AD899" s="14">
        <f t="shared" si="31"/>
        <v>0</v>
      </c>
    </row>
    <row r="900" spans="29:30" ht="15" customHeight="1" x14ac:dyDescent="0.4">
      <c r="AC900" s="14">
        <f t="shared" si="30"/>
        <v>0</v>
      </c>
      <c r="AD900" s="14">
        <f t="shared" si="31"/>
        <v>0</v>
      </c>
    </row>
    <row r="901" spans="29:30" ht="15" customHeight="1" x14ac:dyDescent="0.4">
      <c r="AC901" s="14">
        <f t="shared" si="30"/>
        <v>0</v>
      </c>
      <c r="AD901" s="14">
        <f t="shared" si="31"/>
        <v>0</v>
      </c>
    </row>
    <row r="902" spans="29:30" ht="15" customHeight="1" x14ac:dyDescent="0.4">
      <c r="AC902" s="14">
        <f t="shared" si="30"/>
        <v>0</v>
      </c>
      <c r="AD902" s="14">
        <f t="shared" si="31"/>
        <v>0</v>
      </c>
    </row>
    <row r="903" spans="29:30" ht="15" customHeight="1" x14ac:dyDescent="0.4">
      <c r="AC903" s="14">
        <f t="shared" si="30"/>
        <v>0</v>
      </c>
      <c r="AD903" s="14">
        <f t="shared" si="31"/>
        <v>0</v>
      </c>
    </row>
    <row r="904" spans="29:30" ht="15" customHeight="1" x14ac:dyDescent="0.4">
      <c r="AC904" s="14">
        <f t="shared" si="30"/>
        <v>0</v>
      </c>
      <c r="AD904" s="14">
        <f t="shared" si="31"/>
        <v>0</v>
      </c>
    </row>
    <row r="905" spans="29:30" ht="15" customHeight="1" x14ac:dyDescent="0.4">
      <c r="AC905" s="14">
        <f t="shared" si="30"/>
        <v>0</v>
      </c>
      <c r="AD905" s="14">
        <f t="shared" si="31"/>
        <v>0</v>
      </c>
    </row>
    <row r="906" spans="29:30" ht="15" customHeight="1" x14ac:dyDescent="0.4">
      <c r="AC906" s="14">
        <f t="shared" si="30"/>
        <v>0</v>
      </c>
      <c r="AD906" s="14">
        <f t="shared" si="31"/>
        <v>0</v>
      </c>
    </row>
    <row r="907" spans="29:30" ht="15" customHeight="1" x14ac:dyDescent="0.4">
      <c r="AC907" s="14">
        <f t="shared" si="30"/>
        <v>0</v>
      </c>
      <c r="AD907" s="14">
        <f t="shared" si="31"/>
        <v>0</v>
      </c>
    </row>
    <row r="908" spans="29:30" ht="15" customHeight="1" x14ac:dyDescent="0.4">
      <c r="AC908" s="14">
        <f t="shared" si="30"/>
        <v>0</v>
      </c>
      <c r="AD908" s="14">
        <f t="shared" si="31"/>
        <v>0</v>
      </c>
    </row>
    <row r="909" spans="29:30" ht="15" customHeight="1" x14ac:dyDescent="0.4">
      <c r="AC909" s="14">
        <f t="shared" si="30"/>
        <v>0</v>
      </c>
      <c r="AD909" s="14">
        <f t="shared" si="31"/>
        <v>0</v>
      </c>
    </row>
    <row r="910" spans="29:30" ht="15" customHeight="1" x14ac:dyDescent="0.4">
      <c r="AC910" s="14">
        <f t="shared" si="30"/>
        <v>0</v>
      </c>
      <c r="AD910" s="14">
        <f t="shared" si="31"/>
        <v>0</v>
      </c>
    </row>
    <row r="911" spans="29:30" ht="15" customHeight="1" x14ac:dyDescent="0.4">
      <c r="AC911" s="14">
        <f t="shared" si="30"/>
        <v>0</v>
      </c>
      <c r="AD911" s="14">
        <f t="shared" si="31"/>
        <v>0</v>
      </c>
    </row>
    <row r="912" spans="29:30" ht="15" customHeight="1" x14ac:dyDescent="0.4">
      <c r="AC912" s="14">
        <f t="shared" si="30"/>
        <v>0</v>
      </c>
      <c r="AD912" s="14">
        <f t="shared" si="31"/>
        <v>0</v>
      </c>
    </row>
    <row r="913" spans="29:30" ht="15" customHeight="1" x14ac:dyDescent="0.4">
      <c r="AC913" s="14">
        <f t="shared" si="30"/>
        <v>0</v>
      </c>
      <c r="AD913" s="14">
        <f t="shared" si="31"/>
        <v>0</v>
      </c>
    </row>
    <row r="914" spans="29:30" ht="15" customHeight="1" x14ac:dyDescent="0.4">
      <c r="AC914" s="14">
        <f t="shared" si="30"/>
        <v>0</v>
      </c>
      <c r="AD914" s="14">
        <f t="shared" si="31"/>
        <v>0</v>
      </c>
    </row>
    <row r="915" spans="29:30" ht="15" customHeight="1" x14ac:dyDescent="0.4">
      <c r="AC915" s="14">
        <f t="shared" si="30"/>
        <v>0</v>
      </c>
      <c r="AD915" s="14">
        <f t="shared" si="31"/>
        <v>0</v>
      </c>
    </row>
    <row r="916" spans="29:30" ht="15" customHeight="1" x14ac:dyDescent="0.4">
      <c r="AC916" s="14">
        <f t="shared" si="30"/>
        <v>0</v>
      </c>
      <c r="AD916" s="14">
        <f t="shared" si="31"/>
        <v>0</v>
      </c>
    </row>
    <row r="917" spans="29:30" ht="15" customHeight="1" x14ac:dyDescent="0.4">
      <c r="AC917" s="14">
        <f t="shared" si="30"/>
        <v>0</v>
      </c>
      <c r="AD917" s="14">
        <f t="shared" si="31"/>
        <v>0</v>
      </c>
    </row>
    <row r="918" spans="29:30" ht="15" customHeight="1" x14ac:dyDescent="0.4">
      <c r="AC918" s="14">
        <f t="shared" si="30"/>
        <v>0</v>
      </c>
      <c r="AD918" s="14">
        <f t="shared" si="31"/>
        <v>0</v>
      </c>
    </row>
    <row r="919" spans="29:30" ht="15" customHeight="1" x14ac:dyDescent="0.4">
      <c r="AC919" s="14">
        <f t="shared" si="30"/>
        <v>0</v>
      </c>
      <c r="AD919" s="14">
        <f t="shared" si="31"/>
        <v>0</v>
      </c>
    </row>
    <row r="920" spans="29:30" ht="15" customHeight="1" x14ac:dyDescent="0.4">
      <c r="AC920" s="14">
        <f t="shared" si="30"/>
        <v>0</v>
      </c>
      <c r="AD920" s="14">
        <f t="shared" si="31"/>
        <v>0</v>
      </c>
    </row>
    <row r="921" spans="29:30" ht="15" customHeight="1" x14ac:dyDescent="0.4">
      <c r="AC921" s="14">
        <f t="shared" si="30"/>
        <v>0</v>
      </c>
      <c r="AD921" s="14">
        <f t="shared" si="31"/>
        <v>0</v>
      </c>
    </row>
    <row r="922" spans="29:30" ht="15" customHeight="1" x14ac:dyDescent="0.4">
      <c r="AC922" s="14">
        <f t="shared" si="30"/>
        <v>0</v>
      </c>
      <c r="AD922" s="14">
        <f t="shared" si="31"/>
        <v>0</v>
      </c>
    </row>
    <row r="923" spans="29:30" ht="15" customHeight="1" x14ac:dyDescent="0.4">
      <c r="AC923" s="14">
        <f t="shared" si="30"/>
        <v>0</v>
      </c>
      <c r="AD923" s="14">
        <f t="shared" si="31"/>
        <v>0</v>
      </c>
    </row>
    <row r="924" spans="29:30" ht="15" customHeight="1" x14ac:dyDescent="0.4">
      <c r="AC924" s="14">
        <f t="shared" si="30"/>
        <v>0</v>
      </c>
      <c r="AD924" s="14">
        <f t="shared" si="31"/>
        <v>0</v>
      </c>
    </row>
    <row r="925" spans="29:30" ht="15" customHeight="1" x14ac:dyDescent="0.4">
      <c r="AC925" s="14">
        <f t="shared" si="30"/>
        <v>0</v>
      </c>
      <c r="AD925" s="14">
        <f t="shared" si="31"/>
        <v>0</v>
      </c>
    </row>
    <row r="926" spans="29:30" ht="15" customHeight="1" x14ac:dyDescent="0.4">
      <c r="AC926" s="14">
        <f t="shared" si="30"/>
        <v>0</v>
      </c>
      <c r="AD926" s="14">
        <f t="shared" si="31"/>
        <v>0</v>
      </c>
    </row>
    <row r="927" spans="29:30" ht="15" customHeight="1" x14ac:dyDescent="0.4">
      <c r="AC927" s="14">
        <f t="shared" si="30"/>
        <v>0</v>
      </c>
      <c r="AD927" s="14">
        <f t="shared" si="31"/>
        <v>0</v>
      </c>
    </row>
    <row r="928" spans="29:30" ht="15" customHeight="1" x14ac:dyDescent="0.4">
      <c r="AC928" s="14">
        <f t="shared" si="30"/>
        <v>0</v>
      </c>
      <c r="AD928" s="14">
        <f t="shared" si="31"/>
        <v>0</v>
      </c>
    </row>
    <row r="929" spans="29:30" ht="15" customHeight="1" x14ac:dyDescent="0.4">
      <c r="AC929" s="14">
        <f t="shared" si="30"/>
        <v>0</v>
      </c>
      <c r="AD929" s="14">
        <f t="shared" si="31"/>
        <v>0</v>
      </c>
    </row>
    <row r="930" spans="29:30" ht="15" customHeight="1" x14ac:dyDescent="0.4">
      <c r="AC930" s="14">
        <f t="shared" si="30"/>
        <v>0</v>
      </c>
      <c r="AD930" s="14">
        <f t="shared" si="31"/>
        <v>0</v>
      </c>
    </row>
    <row r="931" spans="29:30" ht="15" customHeight="1" x14ac:dyDescent="0.4">
      <c r="AC931" s="14">
        <f t="shared" si="30"/>
        <v>0</v>
      </c>
      <c r="AD931" s="14">
        <f t="shared" si="31"/>
        <v>0</v>
      </c>
    </row>
    <row r="932" spans="29:30" ht="15" customHeight="1" x14ac:dyDescent="0.4">
      <c r="AC932" s="14">
        <f t="shared" si="30"/>
        <v>0</v>
      </c>
      <c r="AD932" s="14">
        <f t="shared" si="31"/>
        <v>0</v>
      </c>
    </row>
    <row r="933" spans="29:30" ht="15" customHeight="1" x14ac:dyDescent="0.4">
      <c r="AC933" s="14">
        <f t="shared" si="30"/>
        <v>0</v>
      </c>
      <c r="AD933" s="14">
        <f t="shared" si="31"/>
        <v>0</v>
      </c>
    </row>
    <row r="934" spans="29:30" ht="15" customHeight="1" x14ac:dyDescent="0.4">
      <c r="AC934" s="14">
        <f t="shared" si="30"/>
        <v>0</v>
      </c>
      <c r="AD934" s="14">
        <f t="shared" si="31"/>
        <v>0</v>
      </c>
    </row>
    <row r="935" spans="29:30" ht="15" customHeight="1" x14ac:dyDescent="0.4">
      <c r="AC935" s="14">
        <f t="shared" si="30"/>
        <v>0</v>
      </c>
      <c r="AD935" s="14">
        <f t="shared" si="31"/>
        <v>0</v>
      </c>
    </row>
    <row r="936" spans="29:30" ht="15" customHeight="1" x14ac:dyDescent="0.4">
      <c r="AC936" s="14">
        <f t="shared" si="30"/>
        <v>0</v>
      </c>
      <c r="AD936" s="14">
        <f t="shared" si="31"/>
        <v>0</v>
      </c>
    </row>
    <row r="937" spans="29:30" ht="15" customHeight="1" x14ac:dyDescent="0.4">
      <c r="AC937" s="14">
        <f t="shared" si="30"/>
        <v>0</v>
      </c>
      <c r="AD937" s="14">
        <f t="shared" si="31"/>
        <v>0</v>
      </c>
    </row>
    <row r="938" spans="29:30" ht="15" customHeight="1" x14ac:dyDescent="0.4">
      <c r="AC938" s="14">
        <f t="shared" si="30"/>
        <v>0</v>
      </c>
      <c r="AD938" s="14">
        <f t="shared" si="31"/>
        <v>0</v>
      </c>
    </row>
    <row r="939" spans="29:30" ht="15" customHeight="1" x14ac:dyDescent="0.4">
      <c r="AC939" s="14">
        <f t="shared" si="30"/>
        <v>0</v>
      </c>
      <c r="AD939" s="14">
        <f t="shared" si="31"/>
        <v>0</v>
      </c>
    </row>
    <row r="940" spans="29:30" ht="15" customHeight="1" x14ac:dyDescent="0.4">
      <c r="AC940" s="14">
        <f t="shared" si="30"/>
        <v>0</v>
      </c>
      <c r="AD940" s="14">
        <f t="shared" si="31"/>
        <v>0</v>
      </c>
    </row>
    <row r="941" spans="29:30" ht="15" customHeight="1" x14ac:dyDescent="0.4">
      <c r="AC941" s="14">
        <f t="shared" si="30"/>
        <v>0</v>
      </c>
      <c r="AD941" s="14">
        <f t="shared" si="31"/>
        <v>0</v>
      </c>
    </row>
    <row r="942" spans="29:30" ht="15" customHeight="1" x14ac:dyDescent="0.4">
      <c r="AC942" s="14">
        <f t="shared" si="30"/>
        <v>0</v>
      </c>
      <c r="AD942" s="14">
        <f t="shared" si="31"/>
        <v>0</v>
      </c>
    </row>
    <row r="943" spans="29:30" ht="15" customHeight="1" x14ac:dyDescent="0.4">
      <c r="AC943" s="14">
        <f t="shared" si="30"/>
        <v>0</v>
      </c>
      <c r="AD943" s="14">
        <f t="shared" si="31"/>
        <v>0</v>
      </c>
    </row>
    <row r="944" spans="29:30" ht="15" customHeight="1" x14ac:dyDescent="0.4">
      <c r="AC944" s="14">
        <f t="shared" si="30"/>
        <v>0</v>
      </c>
      <c r="AD944" s="14">
        <f t="shared" si="31"/>
        <v>0</v>
      </c>
    </row>
    <row r="945" spans="29:30" ht="15" customHeight="1" x14ac:dyDescent="0.4">
      <c r="AC945" s="14">
        <f t="shared" si="30"/>
        <v>0</v>
      </c>
      <c r="AD945" s="14">
        <f t="shared" si="31"/>
        <v>0</v>
      </c>
    </row>
    <row r="946" spans="29:30" ht="15" customHeight="1" x14ac:dyDescent="0.4">
      <c r="AC946" s="14">
        <f t="shared" si="30"/>
        <v>0</v>
      </c>
      <c r="AD946" s="14">
        <f t="shared" si="31"/>
        <v>0</v>
      </c>
    </row>
    <row r="947" spans="29:30" ht="15" customHeight="1" x14ac:dyDescent="0.4">
      <c r="AC947" s="14">
        <f t="shared" si="30"/>
        <v>0</v>
      </c>
      <c r="AD947" s="14">
        <f t="shared" si="31"/>
        <v>0</v>
      </c>
    </row>
    <row r="948" spans="29:30" ht="15" customHeight="1" x14ac:dyDescent="0.4">
      <c r="AC948" s="14">
        <f t="shared" si="30"/>
        <v>0</v>
      </c>
      <c r="AD948" s="14">
        <f t="shared" si="31"/>
        <v>0</v>
      </c>
    </row>
    <row r="949" spans="29:30" ht="15" customHeight="1" x14ac:dyDescent="0.4">
      <c r="AC949" s="14">
        <f t="shared" si="30"/>
        <v>0</v>
      </c>
      <c r="AD949" s="14">
        <f t="shared" si="31"/>
        <v>0</v>
      </c>
    </row>
    <row r="950" spans="29:30" ht="15" customHeight="1" x14ac:dyDescent="0.4">
      <c r="AC950" s="14">
        <f t="shared" si="30"/>
        <v>0</v>
      </c>
      <c r="AD950" s="14">
        <f t="shared" si="31"/>
        <v>0</v>
      </c>
    </row>
    <row r="951" spans="29:30" ht="15" customHeight="1" x14ac:dyDescent="0.4">
      <c r="AC951" s="14">
        <f t="shared" si="30"/>
        <v>0</v>
      </c>
      <c r="AD951" s="14">
        <f t="shared" si="31"/>
        <v>0</v>
      </c>
    </row>
    <row r="952" spans="29:30" ht="15" customHeight="1" x14ac:dyDescent="0.4">
      <c r="AC952" s="14">
        <f t="shared" si="30"/>
        <v>0</v>
      </c>
      <c r="AD952" s="14">
        <f t="shared" si="31"/>
        <v>0</v>
      </c>
    </row>
    <row r="953" spans="29:30" ht="15" customHeight="1" x14ac:dyDescent="0.4">
      <c r="AC953" s="14">
        <f t="shared" si="30"/>
        <v>0</v>
      </c>
      <c r="AD953" s="14">
        <f t="shared" si="31"/>
        <v>0</v>
      </c>
    </row>
    <row r="954" spans="29:30" ht="15" customHeight="1" x14ac:dyDescent="0.4">
      <c r="AC954" s="14">
        <f t="shared" si="30"/>
        <v>0</v>
      </c>
      <c r="AD954" s="14">
        <f t="shared" si="31"/>
        <v>0</v>
      </c>
    </row>
    <row r="955" spans="29:30" ht="15" customHeight="1" x14ac:dyDescent="0.4">
      <c r="AC955" s="14">
        <f t="shared" si="30"/>
        <v>0</v>
      </c>
      <c r="AD955" s="14">
        <f t="shared" si="31"/>
        <v>0</v>
      </c>
    </row>
    <row r="956" spans="29:30" ht="15" customHeight="1" x14ac:dyDescent="0.4">
      <c r="AC956" s="14">
        <f t="shared" si="30"/>
        <v>0</v>
      </c>
      <c r="AD956" s="14">
        <f t="shared" si="31"/>
        <v>0</v>
      </c>
    </row>
    <row r="957" spans="29:30" ht="15" customHeight="1" x14ac:dyDescent="0.4">
      <c r="AC957" s="14">
        <f t="shared" si="30"/>
        <v>0</v>
      </c>
      <c r="AD957" s="14">
        <f t="shared" si="31"/>
        <v>0</v>
      </c>
    </row>
    <row r="958" spans="29:30" ht="15" customHeight="1" x14ac:dyDescent="0.4">
      <c r="AC958" s="14">
        <f t="shared" si="30"/>
        <v>0</v>
      </c>
      <c r="AD958" s="14">
        <f t="shared" si="31"/>
        <v>0</v>
      </c>
    </row>
    <row r="959" spans="29:30" ht="15" customHeight="1" x14ac:dyDescent="0.4">
      <c r="AC959" s="14">
        <f t="shared" si="30"/>
        <v>0</v>
      </c>
      <c r="AD959" s="14">
        <f t="shared" si="31"/>
        <v>0</v>
      </c>
    </row>
    <row r="960" spans="29:30" ht="15" customHeight="1" x14ac:dyDescent="0.4">
      <c r="AC960" s="14">
        <f t="shared" si="30"/>
        <v>0</v>
      </c>
      <c r="AD960" s="14">
        <f t="shared" si="31"/>
        <v>0</v>
      </c>
    </row>
    <row r="961" spans="29:30" ht="15" customHeight="1" x14ac:dyDescent="0.4">
      <c r="AC961" s="14">
        <f t="shared" si="30"/>
        <v>0</v>
      </c>
      <c r="AD961" s="14">
        <f t="shared" si="31"/>
        <v>0</v>
      </c>
    </row>
    <row r="962" spans="29:30" ht="15" customHeight="1" x14ac:dyDescent="0.4">
      <c r="AC962" s="14">
        <f t="shared" ref="AC962:AC1001" si="32">SUM(K962:P962)</f>
        <v>0</v>
      </c>
      <c r="AD962" s="14">
        <f t="shared" ref="AD962:AD1001" si="33">SUM(Q962:AB962)</f>
        <v>0</v>
      </c>
    </row>
    <row r="963" spans="29:30" ht="15" customHeight="1" x14ac:dyDescent="0.4">
      <c r="AC963" s="14">
        <f t="shared" si="32"/>
        <v>0</v>
      </c>
      <c r="AD963" s="14">
        <f t="shared" si="33"/>
        <v>0</v>
      </c>
    </row>
    <row r="964" spans="29:30" ht="15" customHeight="1" x14ac:dyDescent="0.4">
      <c r="AC964" s="14">
        <f t="shared" si="32"/>
        <v>0</v>
      </c>
      <c r="AD964" s="14">
        <f t="shared" si="33"/>
        <v>0</v>
      </c>
    </row>
    <row r="965" spans="29:30" ht="15" customHeight="1" x14ac:dyDescent="0.4">
      <c r="AC965" s="14">
        <f t="shared" si="32"/>
        <v>0</v>
      </c>
      <c r="AD965" s="14">
        <f t="shared" si="33"/>
        <v>0</v>
      </c>
    </row>
    <row r="966" spans="29:30" ht="15" customHeight="1" x14ac:dyDescent="0.4">
      <c r="AC966" s="14">
        <f t="shared" si="32"/>
        <v>0</v>
      </c>
      <c r="AD966" s="14">
        <f t="shared" si="33"/>
        <v>0</v>
      </c>
    </row>
    <row r="967" spans="29:30" ht="15" customHeight="1" x14ac:dyDescent="0.4">
      <c r="AC967" s="14">
        <f t="shared" si="32"/>
        <v>0</v>
      </c>
      <c r="AD967" s="14">
        <f t="shared" si="33"/>
        <v>0</v>
      </c>
    </row>
    <row r="968" spans="29:30" ht="15" customHeight="1" x14ac:dyDescent="0.4">
      <c r="AC968" s="14">
        <f t="shared" si="32"/>
        <v>0</v>
      </c>
      <c r="AD968" s="14">
        <f t="shared" si="33"/>
        <v>0</v>
      </c>
    </row>
    <row r="969" spans="29:30" ht="15" customHeight="1" x14ac:dyDescent="0.4">
      <c r="AC969" s="14">
        <f t="shared" si="32"/>
        <v>0</v>
      </c>
      <c r="AD969" s="14">
        <f t="shared" si="33"/>
        <v>0</v>
      </c>
    </row>
    <row r="970" spans="29:30" ht="15" customHeight="1" x14ac:dyDescent="0.4">
      <c r="AC970" s="14">
        <f t="shared" si="32"/>
        <v>0</v>
      </c>
      <c r="AD970" s="14">
        <f t="shared" si="33"/>
        <v>0</v>
      </c>
    </row>
    <row r="971" spans="29:30" ht="15" customHeight="1" x14ac:dyDescent="0.4">
      <c r="AC971" s="14">
        <f t="shared" si="32"/>
        <v>0</v>
      </c>
      <c r="AD971" s="14">
        <f t="shared" si="33"/>
        <v>0</v>
      </c>
    </row>
    <row r="972" spans="29:30" ht="15" customHeight="1" x14ac:dyDescent="0.4">
      <c r="AC972" s="14">
        <f t="shared" si="32"/>
        <v>0</v>
      </c>
      <c r="AD972" s="14">
        <f t="shared" si="33"/>
        <v>0</v>
      </c>
    </row>
    <row r="973" spans="29:30" ht="15" customHeight="1" x14ac:dyDescent="0.4">
      <c r="AC973" s="14">
        <f t="shared" si="32"/>
        <v>0</v>
      </c>
      <c r="AD973" s="14">
        <f t="shared" si="33"/>
        <v>0</v>
      </c>
    </row>
    <row r="974" spans="29:30" ht="15" customHeight="1" x14ac:dyDescent="0.4">
      <c r="AC974" s="14">
        <f t="shared" si="32"/>
        <v>0</v>
      </c>
      <c r="AD974" s="14">
        <f t="shared" si="33"/>
        <v>0</v>
      </c>
    </row>
    <row r="975" spans="29:30" ht="15" customHeight="1" x14ac:dyDescent="0.4">
      <c r="AC975" s="14">
        <f t="shared" si="32"/>
        <v>0</v>
      </c>
      <c r="AD975" s="14">
        <f t="shared" si="33"/>
        <v>0</v>
      </c>
    </row>
    <row r="976" spans="29:30" ht="15" customHeight="1" x14ac:dyDescent="0.4">
      <c r="AC976" s="14">
        <f t="shared" si="32"/>
        <v>0</v>
      </c>
      <c r="AD976" s="14">
        <f t="shared" si="33"/>
        <v>0</v>
      </c>
    </row>
    <row r="977" spans="29:30" ht="15" customHeight="1" x14ac:dyDescent="0.4">
      <c r="AC977" s="14">
        <f t="shared" si="32"/>
        <v>0</v>
      </c>
      <c r="AD977" s="14">
        <f t="shared" si="33"/>
        <v>0</v>
      </c>
    </row>
    <row r="978" spans="29:30" ht="15" customHeight="1" x14ac:dyDescent="0.4">
      <c r="AC978" s="14">
        <f t="shared" si="32"/>
        <v>0</v>
      </c>
      <c r="AD978" s="14">
        <f t="shared" si="33"/>
        <v>0</v>
      </c>
    </row>
    <row r="979" spans="29:30" ht="15" customHeight="1" x14ac:dyDescent="0.4">
      <c r="AC979" s="14">
        <f t="shared" si="32"/>
        <v>0</v>
      </c>
      <c r="AD979" s="14">
        <f t="shared" si="33"/>
        <v>0</v>
      </c>
    </row>
    <row r="980" spans="29:30" ht="15" customHeight="1" x14ac:dyDescent="0.4">
      <c r="AC980" s="14">
        <f t="shared" si="32"/>
        <v>0</v>
      </c>
      <c r="AD980" s="14">
        <f t="shared" si="33"/>
        <v>0</v>
      </c>
    </row>
    <row r="981" spans="29:30" ht="15" customHeight="1" x14ac:dyDescent="0.4">
      <c r="AC981" s="14">
        <f t="shared" si="32"/>
        <v>0</v>
      </c>
      <c r="AD981" s="14">
        <f t="shared" si="33"/>
        <v>0</v>
      </c>
    </row>
    <row r="982" spans="29:30" ht="15" customHeight="1" x14ac:dyDescent="0.4">
      <c r="AC982" s="14">
        <f t="shared" si="32"/>
        <v>0</v>
      </c>
      <c r="AD982" s="14">
        <f t="shared" si="33"/>
        <v>0</v>
      </c>
    </row>
    <row r="983" spans="29:30" ht="15" customHeight="1" x14ac:dyDescent="0.4">
      <c r="AC983" s="14">
        <f t="shared" si="32"/>
        <v>0</v>
      </c>
      <c r="AD983" s="14">
        <f t="shared" si="33"/>
        <v>0</v>
      </c>
    </row>
    <row r="984" spans="29:30" ht="15" customHeight="1" x14ac:dyDescent="0.4">
      <c r="AC984" s="14">
        <f t="shared" si="32"/>
        <v>0</v>
      </c>
      <c r="AD984" s="14">
        <f t="shared" si="33"/>
        <v>0</v>
      </c>
    </row>
    <row r="985" spans="29:30" ht="15" customHeight="1" x14ac:dyDescent="0.4">
      <c r="AC985" s="14">
        <f t="shared" si="32"/>
        <v>0</v>
      </c>
      <c r="AD985" s="14">
        <f t="shared" si="33"/>
        <v>0</v>
      </c>
    </row>
    <row r="986" spans="29:30" ht="15" customHeight="1" x14ac:dyDescent="0.4">
      <c r="AC986" s="14">
        <f t="shared" si="32"/>
        <v>0</v>
      </c>
      <c r="AD986" s="14">
        <f t="shared" si="33"/>
        <v>0</v>
      </c>
    </row>
    <row r="987" spans="29:30" ht="15" customHeight="1" x14ac:dyDescent="0.4">
      <c r="AC987" s="14">
        <f t="shared" si="32"/>
        <v>0</v>
      </c>
      <c r="AD987" s="14">
        <f t="shared" si="33"/>
        <v>0</v>
      </c>
    </row>
    <row r="988" spans="29:30" ht="15" customHeight="1" x14ac:dyDescent="0.4">
      <c r="AC988" s="14">
        <f t="shared" si="32"/>
        <v>0</v>
      </c>
      <c r="AD988" s="14">
        <f t="shared" si="33"/>
        <v>0</v>
      </c>
    </row>
    <row r="989" spans="29:30" ht="15" customHeight="1" x14ac:dyDescent="0.4">
      <c r="AC989" s="14">
        <f t="shared" si="32"/>
        <v>0</v>
      </c>
      <c r="AD989" s="14">
        <f t="shared" si="33"/>
        <v>0</v>
      </c>
    </row>
    <row r="990" spans="29:30" ht="15" customHeight="1" x14ac:dyDescent="0.4">
      <c r="AC990" s="14">
        <f t="shared" si="32"/>
        <v>0</v>
      </c>
      <c r="AD990" s="14">
        <f t="shared" si="33"/>
        <v>0</v>
      </c>
    </row>
    <row r="991" spans="29:30" ht="15" customHeight="1" x14ac:dyDescent="0.4">
      <c r="AC991" s="14">
        <f t="shared" si="32"/>
        <v>0</v>
      </c>
      <c r="AD991" s="14">
        <f t="shared" si="33"/>
        <v>0</v>
      </c>
    </row>
    <row r="992" spans="29:30" ht="15" customHeight="1" x14ac:dyDescent="0.4">
      <c r="AC992" s="14">
        <f t="shared" si="32"/>
        <v>0</v>
      </c>
      <c r="AD992" s="14">
        <f t="shared" si="33"/>
        <v>0</v>
      </c>
    </row>
    <row r="993" spans="29:30" ht="15" customHeight="1" x14ac:dyDescent="0.4">
      <c r="AC993" s="14">
        <f t="shared" si="32"/>
        <v>0</v>
      </c>
      <c r="AD993" s="14">
        <f t="shared" si="33"/>
        <v>0</v>
      </c>
    </row>
    <row r="994" spans="29:30" ht="15" customHeight="1" x14ac:dyDescent="0.4">
      <c r="AC994" s="14">
        <f t="shared" si="32"/>
        <v>0</v>
      </c>
      <c r="AD994" s="14">
        <f t="shared" si="33"/>
        <v>0</v>
      </c>
    </row>
    <row r="995" spans="29:30" ht="15" customHeight="1" x14ac:dyDescent="0.4">
      <c r="AC995" s="14">
        <f t="shared" si="32"/>
        <v>0</v>
      </c>
      <c r="AD995" s="14">
        <f t="shared" si="33"/>
        <v>0</v>
      </c>
    </row>
    <row r="996" spans="29:30" ht="15" customHeight="1" x14ac:dyDescent="0.4">
      <c r="AC996" s="14">
        <f t="shared" si="32"/>
        <v>0</v>
      </c>
      <c r="AD996" s="14">
        <f t="shared" si="33"/>
        <v>0</v>
      </c>
    </row>
    <row r="997" spans="29:30" ht="15" customHeight="1" x14ac:dyDescent="0.4">
      <c r="AC997" s="14">
        <f t="shared" si="32"/>
        <v>0</v>
      </c>
      <c r="AD997" s="14">
        <f t="shared" si="33"/>
        <v>0</v>
      </c>
    </row>
    <row r="998" spans="29:30" ht="15" customHeight="1" x14ac:dyDescent="0.4">
      <c r="AC998" s="14">
        <f t="shared" si="32"/>
        <v>0</v>
      </c>
      <c r="AD998" s="14">
        <f t="shared" si="33"/>
        <v>0</v>
      </c>
    </row>
    <row r="999" spans="29:30" ht="15" customHeight="1" x14ac:dyDescent="0.4">
      <c r="AC999" s="14">
        <f t="shared" si="32"/>
        <v>0</v>
      </c>
      <c r="AD999" s="14">
        <f t="shared" si="33"/>
        <v>0</v>
      </c>
    </row>
    <row r="1000" spans="29:30" ht="15" customHeight="1" x14ac:dyDescent="0.4">
      <c r="AC1000" s="14">
        <f t="shared" si="32"/>
        <v>0</v>
      </c>
      <c r="AD1000" s="14">
        <f t="shared" si="33"/>
        <v>0</v>
      </c>
    </row>
    <row r="1001" spans="29:30" ht="15" customHeight="1" x14ac:dyDescent="0.4">
      <c r="AC1001" s="14">
        <f t="shared" si="32"/>
        <v>0</v>
      </c>
      <c r="AD1001" s="14">
        <f t="shared" si="33"/>
        <v>0</v>
      </c>
    </row>
  </sheetData>
  <autoFilter ref="A1:AH1001" xr:uid="{D99A5B5C-C3F5-443F-A84D-5944EEAD2D2F}"/>
  <phoneticPr fontId="9" type="noConversion"/>
  <conditionalFormatting sqref="AE1:AF1 AE10:AF11 G1:H29 G32:H37 G40:H40 G38:G41 E1:E1048576 G42:H1048576 AE13:AF1048576 C1:C1048576 A1:A1048576">
    <cfRule type="containsBlanks" dxfId="18" priority="27">
      <formula>LEN(TRIM(A1))=0</formula>
    </cfRule>
  </conditionalFormatting>
  <conditionalFormatting sqref="I1:J1048576 AC1:AD1048576 B1:B1048576 D1:D1048576 F1:F1048576">
    <cfRule type="containsBlanks" dxfId="17" priority="28">
      <formula>LEN(TRIM(B1))=0</formula>
    </cfRule>
  </conditionalFormatting>
  <conditionalFormatting sqref="K40:AB40 L39:AB39 K1:AB38 K42:AB1048576">
    <cfRule type="expression" priority="53">
      <formula>#REF! &gt; 0</formula>
    </cfRule>
    <cfRule type="containsBlanks" dxfId="16" priority="54">
      <formula>LEN(TRIM(K1))=0</formula>
    </cfRule>
  </conditionalFormatting>
  <conditionalFormatting sqref="AC1:AD1048576">
    <cfRule type="cellIs" dxfId="15" priority="19" operator="equal">
      <formula>0</formula>
    </cfRule>
  </conditionalFormatting>
  <conditionalFormatting sqref="AE2:AE9">
    <cfRule type="containsBlanks" dxfId="14" priority="18">
      <formula>LEN(TRIM(AE2))=0</formula>
    </cfRule>
  </conditionalFormatting>
  <conditionalFormatting sqref="AE2:AE9">
    <cfRule type="cellIs" dxfId="13" priority="17" operator="equal">
      <formula>0</formula>
    </cfRule>
  </conditionalFormatting>
  <conditionalFormatting sqref="AF2:AF9">
    <cfRule type="containsBlanks" dxfId="12" priority="16">
      <formula>LEN(TRIM(AF2))=0</formula>
    </cfRule>
  </conditionalFormatting>
  <conditionalFormatting sqref="AF2:AF9">
    <cfRule type="cellIs" dxfId="11" priority="15" operator="equal">
      <formula>0</formula>
    </cfRule>
  </conditionalFormatting>
  <conditionalFormatting sqref="AF12">
    <cfRule type="cellIs" dxfId="10" priority="11" operator="equal">
      <formula>0</formula>
    </cfRule>
  </conditionalFormatting>
  <conditionalFormatting sqref="AE12">
    <cfRule type="containsBlanks" dxfId="9" priority="14">
      <formula>LEN(TRIM(AE12))=0</formula>
    </cfRule>
  </conditionalFormatting>
  <conditionalFormatting sqref="AE12">
    <cfRule type="cellIs" dxfId="8" priority="13" operator="equal">
      <formula>0</formula>
    </cfRule>
  </conditionalFormatting>
  <conditionalFormatting sqref="AF12">
    <cfRule type="containsBlanks" dxfId="7" priority="12">
      <formula>LEN(TRIM(AF12))=0</formula>
    </cfRule>
  </conditionalFormatting>
  <conditionalFormatting sqref="H30:H31">
    <cfRule type="containsBlanks" dxfId="6" priority="10">
      <formula>LEN(TRIM(H30))=0</formula>
    </cfRule>
  </conditionalFormatting>
  <conditionalFormatting sqref="G30:G31">
    <cfRule type="containsBlanks" dxfId="5" priority="9">
      <formula>LEN(TRIM(G30))=0</formula>
    </cfRule>
  </conditionalFormatting>
  <conditionalFormatting sqref="H38:H39">
    <cfRule type="containsBlanks" dxfId="4" priority="8">
      <formula>LEN(TRIM(H38))=0</formula>
    </cfRule>
  </conditionalFormatting>
  <conditionalFormatting sqref="K39:AB39">
    <cfRule type="expression" priority="6">
      <formula>#REF! &gt; 0</formula>
    </cfRule>
    <cfRule type="containsBlanks" dxfId="3" priority="7">
      <formula>LEN(TRIM(K39))=0</formula>
    </cfRule>
  </conditionalFormatting>
  <conditionalFormatting sqref="H41">
    <cfRule type="containsBlanks" dxfId="2" priority="5">
      <formula>LEN(TRIM(H41))=0</formula>
    </cfRule>
  </conditionalFormatting>
  <conditionalFormatting sqref="K41">
    <cfRule type="expression" priority="3">
      <formula>#REF! &gt; 0</formula>
    </cfRule>
    <cfRule type="containsBlanks" dxfId="1" priority="4">
      <formula>LEN(TRIM(K41))=0</formula>
    </cfRule>
  </conditionalFormatting>
  <conditionalFormatting sqref="L41:AB41">
    <cfRule type="expression" priority="1">
      <formula>#REF! &gt; 0</formula>
    </cfRule>
    <cfRule type="containsBlanks" dxfId="0" priority="2">
      <formula>LEN(TRIM(L41))=0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FCF46C-9C69-4ABA-BA0A-B740071FFE1F}">
          <x14:formula1>
            <xm:f>Master!$B$2:$B$172</xm:f>
          </x14:formula1>
          <xm:sqref>G1:G29 G42:G1048576</xm:sqref>
        </x14:dataValidation>
        <x14:dataValidation type="list" allowBlank="1" showInputMessage="1" showErrorMessage="1" xr:uid="{E7A2D90E-BC03-4668-96C5-2D0778242D9A}">
          <x14:formula1>
            <xm:f>Master!$J$2:$J$41</xm:f>
          </x14:formula1>
          <xm:sqref>C1:C1048576 E1:E1048576</xm:sqref>
        </x14:dataValidation>
        <x14:dataValidation type="list" allowBlank="1" showInputMessage="1" showErrorMessage="1" xr:uid="{F6E0DD80-CD35-4C25-9DC8-E570F3D90499}">
          <x14:formula1>
            <xm:f>Master!$S$2:$S$4</xm:f>
          </x14:formula1>
          <xm:sqref>AG1:AG1048576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3"/>
  <sheetViews>
    <sheetView zoomScale="80" zoomScaleNormal="80" workbookViewId="0">
      <pane xSplit="2" ySplit="1" topLeftCell="M2" activePane="bottomRight" state="frozen"/>
      <selection activeCell="F17" sqref="F17"/>
      <selection pane="topRight" activeCell="F17" sqref="F17"/>
      <selection pane="bottomLeft" activeCell="F17" sqref="F17"/>
      <selection pane="bottomRight" activeCell="P6" sqref="P6"/>
    </sheetView>
  </sheetViews>
  <sheetFormatPr defaultColWidth="8.875" defaultRowHeight="18" customHeight="1" x14ac:dyDescent="0.4"/>
  <cols>
    <col min="1" max="1" width="10.75" style="29" bestFit="1" customWidth="1"/>
    <col min="2" max="2" width="56.125" style="28" bestFit="1" customWidth="1"/>
    <col min="3" max="3" width="10.75" style="29" bestFit="1" customWidth="1"/>
    <col min="4" max="4" width="10.75" style="29" hidden="1" customWidth="1"/>
    <col min="5" max="5" width="12.75" style="30" bestFit="1" customWidth="1"/>
    <col min="6" max="6" width="12.25" style="30" bestFit="1" customWidth="1"/>
    <col min="7" max="7" width="13.875" style="30" bestFit="1" customWidth="1"/>
    <col min="8" max="8" width="50.75" style="28" customWidth="1"/>
    <col min="9" max="9" width="0.875" style="32" customWidth="1"/>
    <col min="10" max="10" width="28.75" style="28" bestFit="1" customWidth="1"/>
    <col min="11" max="11" width="11.25" style="29" bestFit="1" customWidth="1"/>
    <col min="12" max="12" width="15.875" style="28" bestFit="1" customWidth="1"/>
    <col min="13" max="13" width="19.375" style="28" bestFit="1" customWidth="1"/>
    <col min="14" max="14" width="28.75" style="28" bestFit="1" customWidth="1"/>
    <col min="15" max="15" width="0.875" style="32" customWidth="1"/>
    <col min="16" max="16" width="9.875" style="28" bestFit="1" customWidth="1"/>
    <col min="17" max="17" width="19.75" style="28" bestFit="1" customWidth="1"/>
    <col min="18" max="18" width="0.875" style="32" customWidth="1"/>
    <col min="19" max="19" width="18.25" style="40" bestFit="1" customWidth="1"/>
    <col min="20" max="20" width="19" style="41" bestFit="1" customWidth="1"/>
    <col min="21" max="21" width="72.75" style="42" bestFit="1" customWidth="1"/>
    <col min="22" max="16384" width="8.875" style="28"/>
  </cols>
  <sheetData>
    <row r="1" spans="1:21" s="27" customFormat="1" ht="60" customHeight="1" x14ac:dyDescent="0.4">
      <c r="A1" s="18" t="s">
        <v>256</v>
      </c>
      <c r="B1" s="18" t="s">
        <v>255</v>
      </c>
      <c r="C1" s="18" t="s">
        <v>256</v>
      </c>
      <c r="D1" s="18" t="s">
        <v>256</v>
      </c>
      <c r="E1" s="19" t="s">
        <v>257</v>
      </c>
      <c r="F1" s="19" t="s">
        <v>10</v>
      </c>
      <c r="G1" s="19" t="s">
        <v>258</v>
      </c>
      <c r="H1" s="18" t="s">
        <v>259</v>
      </c>
      <c r="I1" s="20"/>
      <c r="J1" s="21" t="s">
        <v>260</v>
      </c>
      <c r="K1" s="21" t="s">
        <v>261</v>
      </c>
      <c r="L1" s="22" t="s">
        <v>9</v>
      </c>
      <c r="M1" s="22" t="s">
        <v>8</v>
      </c>
      <c r="N1" s="21" t="s">
        <v>260</v>
      </c>
      <c r="O1" s="23"/>
      <c r="P1" s="24" t="s">
        <v>262</v>
      </c>
      <c r="Q1" s="24" t="s">
        <v>260</v>
      </c>
      <c r="R1" s="23"/>
      <c r="S1" s="25" t="s">
        <v>263</v>
      </c>
      <c r="T1" s="25" t="s">
        <v>264</v>
      </c>
      <c r="U1" s="26" t="s">
        <v>259</v>
      </c>
    </row>
    <row r="2" spans="1:21" ht="18" customHeight="1" x14ac:dyDescent="0.4">
      <c r="A2" s="29">
        <v>7511101</v>
      </c>
      <c r="B2" s="28" t="s">
        <v>117</v>
      </c>
      <c r="C2" s="29">
        <v>7511101</v>
      </c>
      <c r="D2" s="29">
        <v>7511101</v>
      </c>
      <c r="E2" s="30" t="s">
        <v>37</v>
      </c>
      <c r="F2" s="31" t="s">
        <v>118</v>
      </c>
      <c r="G2" s="30" t="s">
        <v>39</v>
      </c>
      <c r="H2" s="28" t="s">
        <v>117</v>
      </c>
      <c r="J2" s="33" t="s">
        <v>16</v>
      </c>
      <c r="K2" s="34" t="s">
        <v>35</v>
      </c>
      <c r="L2" s="35" t="s">
        <v>37</v>
      </c>
      <c r="M2" s="36" t="s">
        <v>36</v>
      </c>
      <c r="N2" s="36" t="s">
        <v>16</v>
      </c>
      <c r="P2" s="36">
        <v>53450</v>
      </c>
      <c r="Q2" s="36" t="s">
        <v>265</v>
      </c>
      <c r="S2" s="37" t="s">
        <v>231</v>
      </c>
      <c r="T2" s="38" t="s">
        <v>266</v>
      </c>
      <c r="U2" s="39" t="s">
        <v>267</v>
      </c>
    </row>
    <row r="3" spans="1:21" ht="18" customHeight="1" x14ac:dyDescent="0.4">
      <c r="A3" s="29">
        <v>7511102</v>
      </c>
      <c r="B3" s="28" t="s">
        <v>17</v>
      </c>
      <c r="C3" s="29">
        <v>7511102</v>
      </c>
      <c r="D3" s="29">
        <v>7511102</v>
      </c>
      <c r="E3" s="30" t="s">
        <v>37</v>
      </c>
      <c r="F3" s="31" t="s">
        <v>38</v>
      </c>
      <c r="G3" s="30" t="s">
        <v>39</v>
      </c>
      <c r="H3" s="28" t="s">
        <v>268</v>
      </c>
      <c r="J3" s="33" t="s">
        <v>116</v>
      </c>
      <c r="K3" s="34" t="s">
        <v>115</v>
      </c>
      <c r="L3" s="35" t="s">
        <v>37</v>
      </c>
      <c r="M3" s="36" t="s">
        <v>36</v>
      </c>
      <c r="N3" s="36" t="s">
        <v>116</v>
      </c>
      <c r="P3" s="36"/>
      <c r="Q3" s="36"/>
      <c r="S3" s="37" t="s">
        <v>241</v>
      </c>
      <c r="T3" s="38" t="s">
        <v>269</v>
      </c>
      <c r="U3" s="39" t="s">
        <v>270</v>
      </c>
    </row>
    <row r="4" spans="1:21" ht="18" customHeight="1" x14ac:dyDescent="0.4">
      <c r="A4" s="29">
        <v>7511103</v>
      </c>
      <c r="B4" s="28" t="s">
        <v>271</v>
      </c>
      <c r="C4" s="29">
        <v>7511103</v>
      </c>
      <c r="D4" s="29">
        <v>7511103</v>
      </c>
      <c r="E4" s="30" t="s">
        <v>37</v>
      </c>
      <c r="F4" s="31" t="s">
        <v>436</v>
      </c>
      <c r="G4" s="30" t="s">
        <v>272</v>
      </c>
      <c r="H4" s="28" t="s">
        <v>273</v>
      </c>
      <c r="J4" s="33" t="s">
        <v>84</v>
      </c>
      <c r="K4" s="34" t="s">
        <v>83</v>
      </c>
      <c r="L4" s="35" t="s">
        <v>37</v>
      </c>
      <c r="M4" s="36" t="s">
        <v>36</v>
      </c>
      <c r="N4" s="36" t="s">
        <v>84</v>
      </c>
      <c r="P4" s="36"/>
      <c r="Q4" s="36"/>
      <c r="S4" s="37" t="s">
        <v>274</v>
      </c>
      <c r="T4" s="38" t="s">
        <v>275</v>
      </c>
      <c r="U4" s="39" t="s">
        <v>276</v>
      </c>
    </row>
    <row r="5" spans="1:21" ht="18" customHeight="1" x14ac:dyDescent="0.4">
      <c r="A5" s="29">
        <v>7511111</v>
      </c>
      <c r="B5" s="28" t="s">
        <v>277</v>
      </c>
      <c r="C5" s="29">
        <v>7511111</v>
      </c>
      <c r="D5" s="29">
        <v>7511111</v>
      </c>
      <c r="E5" s="30" t="s">
        <v>37</v>
      </c>
      <c r="F5" s="31" t="s">
        <v>437</v>
      </c>
      <c r="G5" s="30" t="s">
        <v>272</v>
      </c>
      <c r="H5" s="28" t="s">
        <v>278</v>
      </c>
      <c r="J5" s="33" t="s">
        <v>160</v>
      </c>
      <c r="K5" s="34" t="s">
        <v>159</v>
      </c>
      <c r="L5" s="35" t="s">
        <v>37</v>
      </c>
      <c r="M5" s="36" t="s">
        <v>36</v>
      </c>
      <c r="N5" s="36" t="s">
        <v>160</v>
      </c>
    </row>
    <row r="6" spans="1:21" ht="18" customHeight="1" x14ac:dyDescent="0.4">
      <c r="A6" s="29">
        <v>7511112</v>
      </c>
      <c r="B6" s="28" t="s">
        <v>279</v>
      </c>
      <c r="C6" s="29">
        <v>7511112</v>
      </c>
      <c r="D6" s="29">
        <v>7511112</v>
      </c>
      <c r="E6" s="30" t="s">
        <v>37</v>
      </c>
      <c r="F6" s="31" t="s">
        <v>456</v>
      </c>
      <c r="G6" s="30" t="s">
        <v>272</v>
      </c>
      <c r="H6" s="28" t="s">
        <v>280</v>
      </c>
      <c r="J6" s="33" t="s">
        <v>162</v>
      </c>
      <c r="K6" s="34" t="s">
        <v>161</v>
      </c>
      <c r="L6" s="35" t="s">
        <v>37</v>
      </c>
      <c r="M6" s="36" t="s">
        <v>36</v>
      </c>
      <c r="N6" s="36" t="s">
        <v>162</v>
      </c>
      <c r="P6" s="28" t="s">
        <v>13</v>
      </c>
    </row>
    <row r="7" spans="1:21" ht="18" customHeight="1" x14ac:dyDescent="0.4">
      <c r="A7" s="29">
        <v>7511121</v>
      </c>
      <c r="B7" s="28" t="s">
        <v>281</v>
      </c>
      <c r="C7" s="29">
        <v>7511121</v>
      </c>
      <c r="D7" s="29">
        <v>7511121</v>
      </c>
      <c r="E7" s="30" t="s">
        <v>37</v>
      </c>
      <c r="F7" s="31" t="s">
        <v>438</v>
      </c>
      <c r="G7" s="30" t="s">
        <v>272</v>
      </c>
      <c r="H7" s="28" t="s">
        <v>282</v>
      </c>
      <c r="J7" s="33" t="s">
        <v>164</v>
      </c>
      <c r="K7" s="34" t="s">
        <v>163</v>
      </c>
      <c r="L7" s="35" t="s">
        <v>37</v>
      </c>
      <c r="M7" s="36" t="s">
        <v>36</v>
      </c>
      <c r="N7" s="36" t="s">
        <v>164</v>
      </c>
      <c r="P7" s="28" t="s">
        <v>501</v>
      </c>
    </row>
    <row r="8" spans="1:21" ht="18" customHeight="1" x14ac:dyDescent="0.4">
      <c r="A8" s="29">
        <v>7511122</v>
      </c>
      <c r="B8" s="28" t="s">
        <v>283</v>
      </c>
      <c r="C8" s="29">
        <v>7511122</v>
      </c>
      <c r="D8" s="29">
        <v>7511122</v>
      </c>
      <c r="E8" s="30" t="s">
        <v>37</v>
      </c>
      <c r="F8" s="31" t="s">
        <v>439</v>
      </c>
      <c r="G8" s="30" t="s">
        <v>272</v>
      </c>
      <c r="H8" s="28" t="s">
        <v>284</v>
      </c>
      <c r="J8" s="33" t="s">
        <v>14</v>
      </c>
      <c r="K8" s="34" t="s">
        <v>30</v>
      </c>
      <c r="L8" s="35" t="s">
        <v>37</v>
      </c>
      <c r="M8" s="36" t="s">
        <v>36</v>
      </c>
      <c r="N8" s="36" t="s">
        <v>14</v>
      </c>
    </row>
    <row r="9" spans="1:21" ht="18" customHeight="1" x14ac:dyDescent="0.4">
      <c r="A9" s="29">
        <v>7511201</v>
      </c>
      <c r="B9" s="28" t="s">
        <v>285</v>
      </c>
      <c r="C9" s="29">
        <v>7511201</v>
      </c>
      <c r="D9" s="29">
        <v>7511201</v>
      </c>
      <c r="E9" s="30" t="s">
        <v>37</v>
      </c>
      <c r="F9" s="31" t="s">
        <v>440</v>
      </c>
      <c r="G9" s="30" t="s">
        <v>286</v>
      </c>
      <c r="H9" s="28" t="s">
        <v>287</v>
      </c>
      <c r="J9" s="33" t="s">
        <v>106</v>
      </c>
      <c r="K9" s="34" t="s">
        <v>105</v>
      </c>
      <c r="L9" s="35" t="s">
        <v>37</v>
      </c>
      <c r="M9" s="36" t="s">
        <v>36</v>
      </c>
      <c r="N9" s="36" t="s">
        <v>106</v>
      </c>
    </row>
    <row r="10" spans="1:21" ht="18" customHeight="1" x14ac:dyDescent="0.4">
      <c r="A10" s="29">
        <v>7512111</v>
      </c>
      <c r="B10" s="28" t="s">
        <v>288</v>
      </c>
      <c r="C10" s="29">
        <v>7512111</v>
      </c>
      <c r="D10" s="29">
        <v>7512111</v>
      </c>
      <c r="E10" s="30" t="s">
        <v>37</v>
      </c>
      <c r="F10" s="31" t="s">
        <v>441</v>
      </c>
      <c r="G10" s="30" t="s">
        <v>41</v>
      </c>
      <c r="H10" s="28" t="s">
        <v>289</v>
      </c>
      <c r="J10" s="33" t="s">
        <v>82</v>
      </c>
      <c r="K10" s="34" t="s">
        <v>81</v>
      </c>
      <c r="L10" s="35" t="s">
        <v>37</v>
      </c>
      <c r="M10" s="36" t="s">
        <v>36</v>
      </c>
      <c r="N10" s="36" t="s">
        <v>82</v>
      </c>
    </row>
    <row r="11" spans="1:21" ht="18" customHeight="1" x14ac:dyDescent="0.4">
      <c r="A11" s="29">
        <v>7512112</v>
      </c>
      <c r="B11" s="28" t="s">
        <v>290</v>
      </c>
      <c r="C11" s="29">
        <v>7512112</v>
      </c>
      <c r="D11" s="29">
        <v>7512112</v>
      </c>
      <c r="E11" s="30" t="s">
        <v>37</v>
      </c>
      <c r="F11" s="31" t="s">
        <v>442</v>
      </c>
      <c r="G11" s="30" t="s">
        <v>41</v>
      </c>
      <c r="H11" s="28" t="s">
        <v>291</v>
      </c>
      <c r="J11" s="33" t="s">
        <v>110</v>
      </c>
      <c r="K11" s="34" t="s">
        <v>109</v>
      </c>
      <c r="L11" s="35" t="s">
        <v>37</v>
      </c>
      <c r="M11" s="36" t="s">
        <v>36</v>
      </c>
      <c r="N11" s="36" t="s">
        <v>110</v>
      </c>
    </row>
    <row r="12" spans="1:21" ht="18" customHeight="1" x14ac:dyDescent="0.4">
      <c r="A12" s="29">
        <v>7514101</v>
      </c>
      <c r="B12" s="28" t="s">
        <v>292</v>
      </c>
      <c r="C12" s="29">
        <v>7514101</v>
      </c>
      <c r="D12" s="29">
        <v>7514101</v>
      </c>
      <c r="E12" s="30" t="s">
        <v>37</v>
      </c>
      <c r="F12" s="31" t="s">
        <v>443</v>
      </c>
      <c r="G12" s="30" t="s">
        <v>272</v>
      </c>
      <c r="H12" s="28" t="s">
        <v>293</v>
      </c>
      <c r="J12" s="33" t="s">
        <v>166</v>
      </c>
      <c r="K12" s="34" t="s">
        <v>165</v>
      </c>
      <c r="L12" s="35" t="s">
        <v>37</v>
      </c>
      <c r="M12" s="36" t="s">
        <v>36</v>
      </c>
      <c r="N12" s="36" t="s">
        <v>166</v>
      </c>
    </row>
    <row r="13" spans="1:21" ht="18" customHeight="1" x14ac:dyDescent="0.4">
      <c r="A13" s="29">
        <v>7514102</v>
      </c>
      <c r="B13" s="28" t="s">
        <v>294</v>
      </c>
      <c r="C13" s="29">
        <v>7514102</v>
      </c>
      <c r="D13" s="29">
        <v>7514102</v>
      </c>
      <c r="E13" s="30" t="s">
        <v>37</v>
      </c>
      <c r="F13" s="31" t="s">
        <v>444</v>
      </c>
      <c r="G13" s="30" t="s">
        <v>272</v>
      </c>
      <c r="H13" s="28" t="s">
        <v>295</v>
      </c>
      <c r="J13" s="33" t="s">
        <v>120</v>
      </c>
      <c r="K13" s="34" t="s">
        <v>119</v>
      </c>
      <c r="L13" s="35" t="s">
        <v>37</v>
      </c>
      <c r="M13" s="36" t="s">
        <v>36</v>
      </c>
      <c r="N13" s="36" t="s">
        <v>120</v>
      </c>
    </row>
    <row r="14" spans="1:21" ht="18" customHeight="1" x14ac:dyDescent="0.4">
      <c r="A14" s="29">
        <v>7515401</v>
      </c>
      <c r="B14" s="28" t="s">
        <v>19</v>
      </c>
      <c r="C14" s="29">
        <v>7515401</v>
      </c>
      <c r="D14" s="29">
        <v>7515401</v>
      </c>
      <c r="E14" s="30" t="s">
        <v>37</v>
      </c>
      <c r="F14" s="31" t="s">
        <v>42</v>
      </c>
      <c r="G14" s="30" t="s">
        <v>41</v>
      </c>
      <c r="H14" s="28" t="s">
        <v>296</v>
      </c>
      <c r="J14" s="33" t="s">
        <v>104</v>
      </c>
      <c r="K14" s="34" t="s">
        <v>103</v>
      </c>
      <c r="L14" s="35" t="s">
        <v>37</v>
      </c>
      <c r="M14" s="36" t="s">
        <v>36</v>
      </c>
      <c r="N14" s="36" t="s">
        <v>104</v>
      </c>
    </row>
    <row r="15" spans="1:21" ht="18" customHeight="1" x14ac:dyDescent="0.4">
      <c r="A15" s="29">
        <v>7515402</v>
      </c>
      <c r="B15" s="28" t="s">
        <v>65</v>
      </c>
      <c r="C15" s="29">
        <v>7515402</v>
      </c>
      <c r="D15" s="29">
        <v>7515402</v>
      </c>
      <c r="E15" s="30" t="s">
        <v>37</v>
      </c>
      <c r="F15" s="31" t="s">
        <v>127</v>
      </c>
      <c r="G15" s="30" t="s">
        <v>41</v>
      </c>
      <c r="H15" s="28" t="s">
        <v>297</v>
      </c>
      <c r="J15" s="33" t="s">
        <v>133</v>
      </c>
      <c r="K15" s="34" t="s">
        <v>132</v>
      </c>
      <c r="L15" s="36" t="s">
        <v>33</v>
      </c>
      <c r="M15" s="36" t="s">
        <v>32</v>
      </c>
      <c r="N15" s="36" t="s">
        <v>133</v>
      </c>
    </row>
    <row r="16" spans="1:21" ht="18" customHeight="1" x14ac:dyDescent="0.4">
      <c r="A16" s="29">
        <v>7515403</v>
      </c>
      <c r="B16" s="28" t="s">
        <v>125</v>
      </c>
      <c r="C16" s="29">
        <v>7515403</v>
      </c>
      <c r="D16" s="29">
        <v>7515403</v>
      </c>
      <c r="E16" s="30" t="s">
        <v>37</v>
      </c>
      <c r="F16" s="31" t="s">
        <v>126</v>
      </c>
      <c r="G16" s="30" t="s">
        <v>41</v>
      </c>
      <c r="H16" s="28" t="s">
        <v>298</v>
      </c>
      <c r="J16" s="33" t="s">
        <v>137</v>
      </c>
      <c r="K16" s="34" t="s">
        <v>136</v>
      </c>
      <c r="L16" s="36" t="s">
        <v>33</v>
      </c>
      <c r="M16" s="36" t="s">
        <v>32</v>
      </c>
      <c r="N16" s="36" t="s">
        <v>137</v>
      </c>
    </row>
    <row r="17" spans="1:14" ht="18" customHeight="1" x14ac:dyDescent="0.4">
      <c r="A17" s="29">
        <v>7515404</v>
      </c>
      <c r="B17" s="28" t="s">
        <v>123</v>
      </c>
      <c r="C17" s="29">
        <v>7515404</v>
      </c>
      <c r="D17" s="29">
        <v>7515404</v>
      </c>
      <c r="E17" s="30" t="s">
        <v>37</v>
      </c>
      <c r="F17" s="31" t="s">
        <v>124</v>
      </c>
      <c r="G17" s="30" t="s">
        <v>41</v>
      </c>
      <c r="H17" s="28" t="s">
        <v>299</v>
      </c>
      <c r="J17" s="43" t="s">
        <v>15</v>
      </c>
      <c r="K17" s="34" t="s">
        <v>31</v>
      </c>
      <c r="L17" s="36" t="s">
        <v>33</v>
      </c>
      <c r="M17" s="36" t="s">
        <v>32</v>
      </c>
      <c r="N17" s="36" t="s">
        <v>15</v>
      </c>
    </row>
    <row r="18" spans="1:14" ht="18" customHeight="1" x14ac:dyDescent="0.4">
      <c r="A18" s="29">
        <v>7515405</v>
      </c>
      <c r="B18" s="28" t="s">
        <v>202</v>
      </c>
      <c r="C18" s="29">
        <v>7515405</v>
      </c>
      <c r="D18" s="29">
        <v>7515405</v>
      </c>
      <c r="E18" s="30" t="s">
        <v>37</v>
      </c>
      <c r="F18" s="31" t="s">
        <v>203</v>
      </c>
      <c r="G18" s="30" t="s">
        <v>41</v>
      </c>
      <c r="H18" s="28" t="s">
        <v>300</v>
      </c>
      <c r="J18" s="43" t="s">
        <v>139</v>
      </c>
      <c r="K18" s="34" t="s">
        <v>138</v>
      </c>
      <c r="L18" s="36" t="s">
        <v>33</v>
      </c>
      <c r="M18" s="36" t="s">
        <v>32</v>
      </c>
      <c r="N18" s="36" t="s">
        <v>139</v>
      </c>
    </row>
    <row r="19" spans="1:14" ht="18" customHeight="1" x14ac:dyDescent="0.4">
      <c r="A19" s="29">
        <v>7515406</v>
      </c>
      <c r="B19" s="28" t="s">
        <v>190</v>
      </c>
      <c r="C19" s="29">
        <v>7515406</v>
      </c>
      <c r="D19" s="29">
        <v>7515406</v>
      </c>
      <c r="E19" s="30" t="s">
        <v>37</v>
      </c>
      <c r="F19" s="31" t="s">
        <v>194</v>
      </c>
      <c r="G19" s="30" t="s">
        <v>41</v>
      </c>
      <c r="H19" s="28" t="s">
        <v>301</v>
      </c>
      <c r="J19" s="43" t="s">
        <v>302</v>
      </c>
      <c r="K19" s="34" t="s">
        <v>303</v>
      </c>
      <c r="L19" s="36" t="s">
        <v>33</v>
      </c>
      <c r="M19" s="36" t="s">
        <v>32</v>
      </c>
      <c r="N19" s="36" t="s">
        <v>302</v>
      </c>
    </row>
    <row r="20" spans="1:14" ht="18" customHeight="1" x14ac:dyDescent="0.4">
      <c r="A20" s="29">
        <v>7515407</v>
      </c>
      <c r="B20" s="28" t="s">
        <v>304</v>
      </c>
      <c r="C20" s="29">
        <v>7515407</v>
      </c>
      <c r="D20" s="29">
        <v>7515407</v>
      </c>
      <c r="E20" s="30" t="s">
        <v>37</v>
      </c>
      <c r="F20" s="31" t="s">
        <v>457</v>
      </c>
      <c r="G20" s="30" t="s">
        <v>41</v>
      </c>
      <c r="J20" s="43" t="s">
        <v>141</v>
      </c>
      <c r="K20" s="34" t="s">
        <v>140</v>
      </c>
      <c r="L20" s="36" t="s">
        <v>33</v>
      </c>
      <c r="M20" s="36" t="s">
        <v>32</v>
      </c>
      <c r="N20" s="36" t="s">
        <v>141</v>
      </c>
    </row>
    <row r="21" spans="1:14" ht="18" customHeight="1" x14ac:dyDescent="0.4">
      <c r="A21" s="29">
        <v>7515408</v>
      </c>
      <c r="B21" s="28" t="s">
        <v>195</v>
      </c>
      <c r="C21" s="29">
        <v>7515408</v>
      </c>
      <c r="D21" s="29">
        <v>7515408</v>
      </c>
      <c r="E21" s="30" t="s">
        <v>37</v>
      </c>
      <c r="F21" s="31" t="s">
        <v>196</v>
      </c>
      <c r="G21" s="30" t="s">
        <v>41</v>
      </c>
      <c r="H21" s="28" t="s">
        <v>305</v>
      </c>
      <c r="J21" s="43" t="s">
        <v>143</v>
      </c>
      <c r="K21" s="34" t="s">
        <v>142</v>
      </c>
      <c r="L21" s="36" t="s">
        <v>33</v>
      </c>
      <c r="M21" s="36" t="s">
        <v>32</v>
      </c>
      <c r="N21" s="36" t="s">
        <v>143</v>
      </c>
    </row>
    <row r="22" spans="1:14" ht="18" customHeight="1" x14ac:dyDescent="0.4">
      <c r="A22" s="29">
        <v>7515409</v>
      </c>
      <c r="B22" s="28" t="s">
        <v>128</v>
      </c>
      <c r="C22" s="29">
        <v>7515409</v>
      </c>
      <c r="D22" s="29">
        <v>7515409</v>
      </c>
      <c r="E22" s="30" t="s">
        <v>37</v>
      </c>
      <c r="F22" s="31" t="s">
        <v>129</v>
      </c>
      <c r="G22" s="30" t="s">
        <v>41</v>
      </c>
      <c r="H22" s="28" t="s">
        <v>306</v>
      </c>
      <c r="J22" s="43" t="s">
        <v>147</v>
      </c>
      <c r="K22" s="34" t="s">
        <v>146</v>
      </c>
      <c r="L22" s="36" t="s">
        <v>33</v>
      </c>
      <c r="M22" s="36" t="s">
        <v>32</v>
      </c>
      <c r="N22" s="36" t="s">
        <v>147</v>
      </c>
    </row>
    <row r="23" spans="1:14" ht="18" customHeight="1" x14ac:dyDescent="0.4">
      <c r="A23" s="29">
        <v>7515410</v>
      </c>
      <c r="B23" s="28" t="s">
        <v>67</v>
      </c>
      <c r="C23" s="29">
        <v>7515410</v>
      </c>
      <c r="D23" s="29">
        <v>7515410</v>
      </c>
      <c r="E23" s="30" t="s">
        <v>37</v>
      </c>
      <c r="F23" s="31" t="s">
        <v>458</v>
      </c>
      <c r="G23" s="30" t="s">
        <v>41</v>
      </c>
      <c r="H23" s="28" t="s">
        <v>307</v>
      </c>
      <c r="J23" s="43" t="s">
        <v>145</v>
      </c>
      <c r="K23" s="34" t="s">
        <v>144</v>
      </c>
      <c r="L23" s="36" t="s">
        <v>33</v>
      </c>
      <c r="M23" s="36" t="s">
        <v>32</v>
      </c>
      <c r="N23" s="36" t="s">
        <v>145</v>
      </c>
    </row>
    <row r="24" spans="1:14" ht="18" customHeight="1" x14ac:dyDescent="0.4">
      <c r="A24" s="29">
        <v>7515499</v>
      </c>
      <c r="B24" s="28" t="s">
        <v>18</v>
      </c>
      <c r="C24" s="29">
        <v>7515499</v>
      </c>
      <c r="D24" s="29">
        <v>7515499</v>
      </c>
      <c r="E24" s="30" t="s">
        <v>37</v>
      </c>
      <c r="F24" s="31" t="s">
        <v>40</v>
      </c>
      <c r="G24" s="30" t="s">
        <v>41</v>
      </c>
      <c r="H24" s="28" t="s">
        <v>308</v>
      </c>
      <c r="J24" s="43" t="s">
        <v>149</v>
      </c>
      <c r="K24" s="34" t="s">
        <v>148</v>
      </c>
      <c r="L24" s="36" t="s">
        <v>33</v>
      </c>
      <c r="M24" s="36" t="s">
        <v>32</v>
      </c>
      <c r="N24" s="36" t="s">
        <v>149</v>
      </c>
    </row>
    <row r="25" spans="1:14" ht="18" customHeight="1" x14ac:dyDescent="0.4">
      <c r="A25" s="29">
        <v>7516102</v>
      </c>
      <c r="B25" s="28" t="s">
        <v>309</v>
      </c>
      <c r="C25" s="29">
        <v>7516102</v>
      </c>
      <c r="D25" s="29">
        <v>7516102</v>
      </c>
      <c r="E25" s="30" t="s">
        <v>37</v>
      </c>
      <c r="F25" s="31" t="s">
        <v>445</v>
      </c>
      <c r="G25" s="30" t="s">
        <v>310</v>
      </c>
      <c r="H25" s="28" t="s">
        <v>311</v>
      </c>
      <c r="J25" s="43" t="s">
        <v>151</v>
      </c>
      <c r="K25" s="34" t="s">
        <v>150</v>
      </c>
      <c r="L25" s="36" t="s">
        <v>33</v>
      </c>
      <c r="M25" s="36" t="s">
        <v>32</v>
      </c>
      <c r="N25" s="36" t="s">
        <v>151</v>
      </c>
    </row>
    <row r="26" spans="1:14" ht="18" customHeight="1" x14ac:dyDescent="0.4">
      <c r="A26" s="29">
        <v>7519101</v>
      </c>
      <c r="B26" s="28" t="s">
        <v>28</v>
      </c>
      <c r="C26" s="29">
        <v>7519101</v>
      </c>
      <c r="D26" s="29">
        <v>7519101</v>
      </c>
      <c r="E26" s="30" t="s">
        <v>37</v>
      </c>
      <c r="F26" s="31" t="s">
        <v>58</v>
      </c>
      <c r="G26" s="30" t="s">
        <v>39</v>
      </c>
      <c r="H26" s="28" t="s">
        <v>312</v>
      </c>
      <c r="J26" s="43" t="s">
        <v>153</v>
      </c>
      <c r="K26" s="34" t="s">
        <v>152</v>
      </c>
      <c r="L26" s="36" t="s">
        <v>33</v>
      </c>
      <c r="M26" s="36" t="s">
        <v>32</v>
      </c>
      <c r="N26" s="36" t="s">
        <v>153</v>
      </c>
    </row>
    <row r="27" spans="1:14" ht="18" customHeight="1" x14ac:dyDescent="0.4">
      <c r="A27" s="29">
        <v>7521101</v>
      </c>
      <c r="B27" s="28" t="s">
        <v>313</v>
      </c>
      <c r="C27" s="29">
        <v>7521101</v>
      </c>
      <c r="D27" s="29">
        <v>7521101</v>
      </c>
      <c r="E27" s="30" t="s">
        <v>37</v>
      </c>
      <c r="F27" s="31" t="s">
        <v>446</v>
      </c>
      <c r="G27" s="30" t="s">
        <v>272</v>
      </c>
      <c r="H27" s="28" t="s">
        <v>314</v>
      </c>
      <c r="J27" s="43" t="s">
        <v>155</v>
      </c>
      <c r="K27" s="34" t="s">
        <v>154</v>
      </c>
      <c r="L27" s="36" t="s">
        <v>33</v>
      </c>
      <c r="M27" s="36" t="s">
        <v>32</v>
      </c>
      <c r="N27" s="36" t="s">
        <v>155</v>
      </c>
    </row>
    <row r="28" spans="1:14" ht="18" customHeight="1" x14ac:dyDescent="0.4">
      <c r="A28" s="29">
        <v>7521102</v>
      </c>
      <c r="B28" s="28" t="s">
        <v>315</v>
      </c>
      <c r="C28" s="29">
        <v>7521102</v>
      </c>
      <c r="D28" s="29">
        <v>7521102</v>
      </c>
      <c r="E28" s="30" t="s">
        <v>37</v>
      </c>
      <c r="F28" s="31" t="s">
        <v>447</v>
      </c>
      <c r="G28" s="30" t="s">
        <v>286</v>
      </c>
      <c r="H28" s="28" t="s">
        <v>316</v>
      </c>
      <c r="J28" s="43" t="s">
        <v>157</v>
      </c>
      <c r="K28" s="34" t="s">
        <v>156</v>
      </c>
      <c r="L28" s="36" t="s">
        <v>33</v>
      </c>
      <c r="M28" s="36" t="s">
        <v>32</v>
      </c>
      <c r="N28" s="36" t="s">
        <v>157</v>
      </c>
    </row>
    <row r="29" spans="1:14" ht="18" customHeight="1" x14ac:dyDescent="0.4">
      <c r="A29" s="29">
        <v>7571101</v>
      </c>
      <c r="B29" s="28" t="s">
        <v>236</v>
      </c>
      <c r="C29" s="29">
        <v>7571101</v>
      </c>
      <c r="D29" s="29">
        <v>7571101</v>
      </c>
      <c r="E29" s="30" t="s">
        <v>37</v>
      </c>
      <c r="F29" s="31" t="s">
        <v>459</v>
      </c>
      <c r="G29" s="30" t="s">
        <v>317</v>
      </c>
      <c r="H29" s="28" t="s">
        <v>318</v>
      </c>
      <c r="J29" s="43" t="s">
        <v>79</v>
      </c>
      <c r="K29" s="34" t="s">
        <v>78</v>
      </c>
      <c r="L29" s="36" t="s">
        <v>33</v>
      </c>
      <c r="M29" s="36" t="s">
        <v>63</v>
      </c>
      <c r="N29" s="36" t="s">
        <v>79</v>
      </c>
    </row>
    <row r="30" spans="1:14" ht="18" customHeight="1" x14ac:dyDescent="0.4">
      <c r="A30" s="29">
        <v>7611100</v>
      </c>
      <c r="B30" s="28" t="s">
        <v>319</v>
      </c>
      <c r="C30" s="29">
        <v>7611100</v>
      </c>
      <c r="D30" s="29">
        <v>7611100</v>
      </c>
      <c r="E30" s="30" t="s">
        <v>37</v>
      </c>
      <c r="F30" s="31" t="s">
        <v>415</v>
      </c>
      <c r="G30" s="30" t="s">
        <v>46</v>
      </c>
      <c r="H30" s="28" t="s">
        <v>320</v>
      </c>
      <c r="J30" s="43" t="s">
        <v>183</v>
      </c>
      <c r="K30" s="34" t="s">
        <v>182</v>
      </c>
      <c r="L30" s="36" t="s">
        <v>33</v>
      </c>
      <c r="M30" s="36" t="s">
        <v>63</v>
      </c>
      <c r="N30" s="36" t="s">
        <v>183</v>
      </c>
    </row>
    <row r="31" spans="1:14" ht="18" customHeight="1" x14ac:dyDescent="0.4">
      <c r="A31" s="29">
        <v>7611300</v>
      </c>
      <c r="B31" s="28" t="s">
        <v>321</v>
      </c>
      <c r="C31" s="29">
        <v>7611300</v>
      </c>
      <c r="D31" s="29">
        <v>7611300</v>
      </c>
      <c r="E31" s="30" t="s">
        <v>37</v>
      </c>
      <c r="F31" s="31" t="s">
        <v>419</v>
      </c>
      <c r="G31" s="30" t="s">
        <v>46</v>
      </c>
      <c r="H31" s="28" t="s">
        <v>322</v>
      </c>
      <c r="J31" s="43" t="s">
        <v>168</v>
      </c>
      <c r="K31" s="34" t="s">
        <v>167</v>
      </c>
      <c r="L31" s="36" t="s">
        <v>33</v>
      </c>
      <c r="M31" s="36" t="s">
        <v>63</v>
      </c>
      <c r="N31" s="36" t="s">
        <v>168</v>
      </c>
    </row>
    <row r="32" spans="1:14" ht="18" customHeight="1" x14ac:dyDescent="0.4">
      <c r="A32" s="29">
        <v>7611400</v>
      </c>
      <c r="B32" s="28" t="s">
        <v>323</v>
      </c>
      <c r="C32" s="29">
        <v>7611400</v>
      </c>
      <c r="D32" s="29">
        <v>7611400</v>
      </c>
      <c r="E32" s="30" t="s">
        <v>37</v>
      </c>
      <c r="F32" s="31" t="s">
        <v>460</v>
      </c>
      <c r="G32" s="30" t="s">
        <v>46</v>
      </c>
      <c r="H32" s="28" t="s">
        <v>324</v>
      </c>
      <c r="J32" s="43" t="s">
        <v>193</v>
      </c>
      <c r="K32" s="34" t="s">
        <v>192</v>
      </c>
      <c r="L32" s="36" t="s">
        <v>33</v>
      </c>
      <c r="M32" s="36" t="s">
        <v>63</v>
      </c>
      <c r="N32" s="36" t="s">
        <v>193</v>
      </c>
    </row>
    <row r="33" spans="1:14" ht="18" customHeight="1" x14ac:dyDescent="0.4">
      <c r="A33" s="29">
        <v>7611500</v>
      </c>
      <c r="B33" s="28" t="s">
        <v>325</v>
      </c>
      <c r="C33" s="29">
        <v>7611500</v>
      </c>
      <c r="D33" s="29">
        <v>7611500</v>
      </c>
      <c r="E33" s="30" t="s">
        <v>37</v>
      </c>
      <c r="F33" s="31" t="s">
        <v>423</v>
      </c>
      <c r="G33" s="30" t="s">
        <v>46</v>
      </c>
      <c r="H33" s="28" t="s">
        <v>326</v>
      </c>
      <c r="J33" s="43" t="s">
        <v>176</v>
      </c>
      <c r="K33" s="34" t="s">
        <v>175</v>
      </c>
      <c r="L33" s="36" t="s">
        <v>33</v>
      </c>
      <c r="M33" s="36" t="s">
        <v>63</v>
      </c>
      <c r="N33" s="36" t="s">
        <v>176</v>
      </c>
    </row>
    <row r="34" spans="1:14" ht="18" customHeight="1" x14ac:dyDescent="0.4">
      <c r="A34" s="29">
        <v>7611600</v>
      </c>
      <c r="B34" s="28" t="s">
        <v>327</v>
      </c>
      <c r="C34" s="29">
        <v>7611600</v>
      </c>
      <c r="D34" s="29">
        <v>7611600</v>
      </c>
      <c r="E34" s="30" t="s">
        <v>37</v>
      </c>
      <c r="F34" s="31" t="s">
        <v>417</v>
      </c>
      <c r="G34" s="30" t="s">
        <v>46</v>
      </c>
      <c r="H34" s="28" t="s">
        <v>328</v>
      </c>
      <c r="J34" s="43" t="s">
        <v>178</v>
      </c>
      <c r="K34" s="34" t="s">
        <v>177</v>
      </c>
      <c r="L34" s="36" t="s">
        <v>33</v>
      </c>
      <c r="M34" s="36" t="s">
        <v>63</v>
      </c>
      <c r="N34" s="36" t="s">
        <v>178</v>
      </c>
    </row>
    <row r="35" spans="1:14" ht="18" customHeight="1" x14ac:dyDescent="0.4">
      <c r="A35" s="29">
        <v>7611700</v>
      </c>
      <c r="B35" s="28" t="s">
        <v>329</v>
      </c>
      <c r="C35" s="29">
        <v>7611700</v>
      </c>
      <c r="D35" s="29">
        <v>7611700</v>
      </c>
      <c r="E35" s="30" t="s">
        <v>37</v>
      </c>
      <c r="F35" s="31" t="s">
        <v>421</v>
      </c>
      <c r="G35" s="30" t="s">
        <v>46</v>
      </c>
      <c r="H35" s="28" t="s">
        <v>330</v>
      </c>
      <c r="J35" s="43" t="s">
        <v>108</v>
      </c>
      <c r="K35" s="34" t="s">
        <v>107</v>
      </c>
      <c r="L35" s="36" t="s">
        <v>33</v>
      </c>
      <c r="M35" s="36" t="s">
        <v>63</v>
      </c>
      <c r="N35" s="36" t="s">
        <v>108</v>
      </c>
    </row>
    <row r="36" spans="1:14" ht="18" customHeight="1" x14ac:dyDescent="0.4">
      <c r="A36" s="29">
        <v>7611800</v>
      </c>
      <c r="B36" s="28" t="s">
        <v>88</v>
      </c>
      <c r="C36" s="29">
        <v>7611800</v>
      </c>
      <c r="D36" s="29">
        <v>7611800</v>
      </c>
      <c r="E36" s="30" t="s">
        <v>37</v>
      </c>
      <c r="F36" s="31" t="s">
        <v>89</v>
      </c>
      <c r="G36" s="30" t="s">
        <v>46</v>
      </c>
      <c r="H36" s="28" t="s">
        <v>331</v>
      </c>
      <c r="J36" s="43" t="s">
        <v>172</v>
      </c>
      <c r="K36" s="34" t="s">
        <v>171</v>
      </c>
      <c r="L36" s="36" t="s">
        <v>33</v>
      </c>
      <c r="M36" s="36" t="s">
        <v>63</v>
      </c>
      <c r="N36" s="36" t="s">
        <v>172</v>
      </c>
    </row>
    <row r="37" spans="1:14" ht="18" customHeight="1" x14ac:dyDescent="0.4">
      <c r="A37" s="29">
        <v>7621101</v>
      </c>
      <c r="B37" s="28" t="s">
        <v>332</v>
      </c>
      <c r="C37" s="29">
        <v>7621101</v>
      </c>
      <c r="D37" s="29">
        <v>7621101</v>
      </c>
      <c r="E37" s="30" t="s">
        <v>37</v>
      </c>
      <c r="F37" s="31" t="s">
        <v>461</v>
      </c>
      <c r="G37" s="30" t="s">
        <v>44</v>
      </c>
      <c r="H37" s="28" t="s">
        <v>333</v>
      </c>
      <c r="J37" s="33" t="s">
        <v>170</v>
      </c>
      <c r="K37" s="34" t="s">
        <v>169</v>
      </c>
      <c r="L37" s="36" t="s">
        <v>33</v>
      </c>
      <c r="M37" s="36" t="s">
        <v>63</v>
      </c>
      <c r="N37" s="36" t="s">
        <v>170</v>
      </c>
    </row>
    <row r="38" spans="1:14" ht="18" customHeight="1" x14ac:dyDescent="0.4">
      <c r="A38" s="29">
        <v>7621199</v>
      </c>
      <c r="B38" s="28" t="s">
        <v>334</v>
      </c>
      <c r="C38" s="29">
        <v>7621199</v>
      </c>
      <c r="D38" s="29">
        <v>7621199</v>
      </c>
      <c r="E38" s="30" t="s">
        <v>37</v>
      </c>
      <c r="F38" s="31" t="s">
        <v>462</v>
      </c>
      <c r="G38" s="30" t="s">
        <v>335</v>
      </c>
      <c r="H38" s="28" t="s">
        <v>336</v>
      </c>
      <c r="J38" s="33" t="s">
        <v>112</v>
      </c>
      <c r="K38" s="34" t="s">
        <v>111</v>
      </c>
      <c r="L38" s="36" t="s">
        <v>33</v>
      </c>
      <c r="M38" s="36" t="s">
        <v>63</v>
      </c>
      <c r="N38" s="36" t="s">
        <v>112</v>
      </c>
    </row>
    <row r="39" spans="1:14" ht="18" customHeight="1" x14ac:dyDescent="0.4">
      <c r="A39" s="29">
        <v>7631101</v>
      </c>
      <c r="B39" s="28" t="s">
        <v>219</v>
      </c>
      <c r="C39" s="29">
        <v>7631101</v>
      </c>
      <c r="D39" s="29">
        <v>7631101</v>
      </c>
      <c r="E39" s="30" t="s">
        <v>37</v>
      </c>
      <c r="F39" s="31" t="s">
        <v>221</v>
      </c>
      <c r="G39" s="30" t="s">
        <v>222</v>
      </c>
      <c r="H39" s="28" t="s">
        <v>337</v>
      </c>
      <c r="J39" s="44" t="s">
        <v>100</v>
      </c>
      <c r="K39" s="45" t="s">
        <v>99</v>
      </c>
      <c r="L39" s="46" t="s">
        <v>37</v>
      </c>
      <c r="M39" s="46" t="s">
        <v>36</v>
      </c>
      <c r="N39" s="46" t="s">
        <v>100</v>
      </c>
    </row>
    <row r="40" spans="1:14" ht="18" customHeight="1" x14ac:dyDescent="0.4">
      <c r="A40" s="29">
        <v>7631102</v>
      </c>
      <c r="B40" s="28" t="s">
        <v>223</v>
      </c>
      <c r="C40" s="29">
        <v>7631102</v>
      </c>
      <c r="D40" s="29">
        <v>7631102</v>
      </c>
      <c r="E40" s="30" t="s">
        <v>37</v>
      </c>
      <c r="F40" s="31" t="s">
        <v>225</v>
      </c>
      <c r="G40" s="30" t="s">
        <v>226</v>
      </c>
      <c r="H40" s="28" t="s">
        <v>338</v>
      </c>
      <c r="J40" s="33" t="s">
        <v>174</v>
      </c>
      <c r="K40" s="34" t="s">
        <v>173</v>
      </c>
      <c r="L40" s="36" t="s">
        <v>33</v>
      </c>
      <c r="M40" s="36" t="s">
        <v>63</v>
      </c>
      <c r="N40" s="36" t="s">
        <v>174</v>
      </c>
    </row>
    <row r="41" spans="1:14" ht="18" customHeight="1" x14ac:dyDescent="0.4">
      <c r="A41" s="29">
        <v>7641101</v>
      </c>
      <c r="B41" s="28" t="s">
        <v>204</v>
      </c>
      <c r="C41" s="29">
        <v>7641101</v>
      </c>
      <c r="D41" s="29">
        <v>7641101</v>
      </c>
      <c r="E41" s="30" t="s">
        <v>37</v>
      </c>
      <c r="F41" s="31" t="s">
        <v>205</v>
      </c>
      <c r="G41" s="30" t="s">
        <v>60</v>
      </c>
      <c r="H41" s="28" t="s">
        <v>339</v>
      </c>
      <c r="J41" s="33" t="s">
        <v>62</v>
      </c>
      <c r="K41" s="34" t="s">
        <v>61</v>
      </c>
      <c r="L41" s="36" t="s">
        <v>33</v>
      </c>
      <c r="M41" s="36" t="s">
        <v>63</v>
      </c>
      <c r="N41" s="36" t="s">
        <v>62</v>
      </c>
    </row>
    <row r="42" spans="1:14" ht="18" customHeight="1" x14ac:dyDescent="0.4">
      <c r="A42" s="29">
        <v>7641102</v>
      </c>
      <c r="B42" s="28" t="s">
        <v>29</v>
      </c>
      <c r="C42" s="29">
        <v>7641102</v>
      </c>
      <c r="D42" s="29">
        <v>7641102</v>
      </c>
      <c r="E42" s="30" t="s">
        <v>37</v>
      </c>
      <c r="F42" s="31" t="s">
        <v>59</v>
      </c>
      <c r="G42" s="30" t="s">
        <v>60</v>
      </c>
      <c r="H42" s="28" t="s">
        <v>340</v>
      </c>
      <c r="J42" s="28" t="s">
        <v>342</v>
      </c>
      <c r="K42" s="29" t="s">
        <v>343</v>
      </c>
      <c r="N42" s="28" t="s">
        <v>342</v>
      </c>
    </row>
    <row r="43" spans="1:14" ht="18" customHeight="1" x14ac:dyDescent="0.4">
      <c r="A43" s="29">
        <v>7641103</v>
      </c>
      <c r="B43" s="28" t="s">
        <v>209</v>
      </c>
      <c r="C43" s="29">
        <v>7641103</v>
      </c>
      <c r="D43" s="29">
        <v>7641103</v>
      </c>
      <c r="E43" s="30" t="s">
        <v>37</v>
      </c>
      <c r="F43" s="31" t="s">
        <v>210</v>
      </c>
      <c r="G43" s="30" t="s">
        <v>53</v>
      </c>
      <c r="H43" s="28" t="s">
        <v>341</v>
      </c>
    </row>
    <row r="44" spans="1:14" ht="18" customHeight="1" x14ac:dyDescent="0.4">
      <c r="A44" s="29">
        <v>7641104</v>
      </c>
      <c r="B44" s="28" t="s">
        <v>238</v>
      </c>
      <c r="C44" s="29">
        <v>7641104</v>
      </c>
      <c r="D44" s="29">
        <v>7641104</v>
      </c>
      <c r="E44" s="30" t="s">
        <v>37</v>
      </c>
      <c r="F44" s="31" t="s">
        <v>463</v>
      </c>
      <c r="G44" s="30" t="s">
        <v>53</v>
      </c>
      <c r="H44" s="28" t="s">
        <v>344</v>
      </c>
    </row>
    <row r="45" spans="1:14" ht="18" customHeight="1" x14ac:dyDescent="0.4">
      <c r="A45" s="29">
        <v>7651101</v>
      </c>
      <c r="B45" s="28" t="s">
        <v>23</v>
      </c>
      <c r="C45" s="29">
        <v>7651101</v>
      </c>
      <c r="D45" s="29">
        <v>7651101</v>
      </c>
      <c r="E45" s="30" t="s">
        <v>37</v>
      </c>
      <c r="F45" s="31" t="s">
        <v>49</v>
      </c>
      <c r="G45" s="30" t="s">
        <v>44</v>
      </c>
      <c r="H45" s="28" t="s">
        <v>345</v>
      </c>
    </row>
    <row r="46" spans="1:14" ht="18" customHeight="1" x14ac:dyDescent="0.4">
      <c r="A46" s="29">
        <v>7651102</v>
      </c>
      <c r="B46" s="28" t="s">
        <v>21</v>
      </c>
      <c r="C46" s="29">
        <v>7651102</v>
      </c>
      <c r="D46" s="29">
        <v>7651102</v>
      </c>
      <c r="E46" s="30" t="s">
        <v>37</v>
      </c>
      <c r="F46" s="31" t="s">
        <v>45</v>
      </c>
      <c r="G46" s="30" t="s">
        <v>44</v>
      </c>
      <c r="H46" s="28" t="s">
        <v>346</v>
      </c>
    </row>
    <row r="47" spans="1:14" ht="18" customHeight="1" x14ac:dyDescent="0.4">
      <c r="A47" s="29">
        <v>7651103</v>
      </c>
      <c r="B47" s="28" t="s">
        <v>20</v>
      </c>
      <c r="C47" s="29">
        <v>7651103</v>
      </c>
      <c r="D47" s="29">
        <v>7651103</v>
      </c>
      <c r="E47" s="30" t="s">
        <v>37</v>
      </c>
      <c r="F47" s="31" t="s">
        <v>43</v>
      </c>
      <c r="G47" s="30" t="s">
        <v>44</v>
      </c>
      <c r="H47" s="28" t="s">
        <v>347</v>
      </c>
    </row>
    <row r="48" spans="1:14" ht="18" customHeight="1" x14ac:dyDescent="0.4">
      <c r="A48" s="29">
        <v>7661101</v>
      </c>
      <c r="B48" s="28" t="s">
        <v>24</v>
      </c>
      <c r="C48" s="29">
        <v>7661101</v>
      </c>
      <c r="D48" s="29">
        <v>7661101</v>
      </c>
      <c r="E48" s="30" t="s">
        <v>37</v>
      </c>
      <c r="F48" s="31" t="s">
        <v>50</v>
      </c>
      <c r="G48" s="30" t="s">
        <v>51</v>
      </c>
      <c r="H48" s="28" t="s">
        <v>348</v>
      </c>
    </row>
    <row r="49" spans="1:8" ht="18" customHeight="1" x14ac:dyDescent="0.4">
      <c r="A49" s="29">
        <v>7671102</v>
      </c>
      <c r="B49" s="28" t="s">
        <v>179</v>
      </c>
      <c r="C49" s="29">
        <v>7671102</v>
      </c>
      <c r="D49" s="29">
        <v>7671102</v>
      </c>
      <c r="E49" s="30" t="s">
        <v>37</v>
      </c>
      <c r="F49" s="31" t="s">
        <v>181</v>
      </c>
      <c r="G49" s="30" t="s">
        <v>53</v>
      </c>
      <c r="H49" s="28" t="s">
        <v>349</v>
      </c>
    </row>
    <row r="50" spans="1:8" ht="18" customHeight="1" x14ac:dyDescent="0.4">
      <c r="A50" s="29">
        <v>7671103</v>
      </c>
      <c r="B50" s="28" t="s">
        <v>188</v>
      </c>
      <c r="C50" s="29">
        <v>7671103</v>
      </c>
      <c r="D50" s="29">
        <v>7671103</v>
      </c>
      <c r="E50" s="30" t="s">
        <v>37</v>
      </c>
      <c r="F50" s="31" t="s">
        <v>189</v>
      </c>
      <c r="G50" s="30" t="s">
        <v>53</v>
      </c>
      <c r="H50" s="28" t="s">
        <v>350</v>
      </c>
    </row>
    <row r="51" spans="1:8" ht="18" customHeight="1" x14ac:dyDescent="0.4">
      <c r="A51" s="29">
        <v>7681101</v>
      </c>
      <c r="B51" s="28" t="s">
        <v>134</v>
      </c>
      <c r="C51" s="29">
        <v>7681101</v>
      </c>
      <c r="D51" s="29">
        <v>7681101</v>
      </c>
      <c r="E51" s="30" t="s">
        <v>37</v>
      </c>
      <c r="F51" s="31" t="s">
        <v>158</v>
      </c>
      <c r="G51" s="30" t="s">
        <v>53</v>
      </c>
      <c r="H51" s="28" t="s">
        <v>351</v>
      </c>
    </row>
    <row r="52" spans="1:8" ht="18" customHeight="1" x14ac:dyDescent="0.4">
      <c r="A52" s="29">
        <v>7691000</v>
      </c>
      <c r="B52" s="28" t="s">
        <v>70</v>
      </c>
      <c r="C52" s="29">
        <v>7691000</v>
      </c>
      <c r="D52" s="29">
        <v>7691000</v>
      </c>
      <c r="E52" s="30" t="s">
        <v>37</v>
      </c>
      <c r="F52" s="31" t="s">
        <v>113</v>
      </c>
      <c r="G52" s="30" t="s">
        <v>53</v>
      </c>
      <c r="H52" s="28" t="s">
        <v>352</v>
      </c>
    </row>
    <row r="53" spans="1:8" ht="18" customHeight="1" x14ac:dyDescent="0.4">
      <c r="A53" s="29">
        <v>7711101</v>
      </c>
      <c r="B53" s="28" t="s">
        <v>27</v>
      </c>
      <c r="C53" s="29">
        <v>7711101</v>
      </c>
      <c r="D53" s="29">
        <v>7711101</v>
      </c>
      <c r="E53" s="30" t="s">
        <v>37</v>
      </c>
      <c r="F53" s="31" t="s">
        <v>55</v>
      </c>
      <c r="G53" s="30" t="s">
        <v>53</v>
      </c>
      <c r="H53" s="28" t="s">
        <v>353</v>
      </c>
    </row>
    <row r="54" spans="1:8" ht="18" customHeight="1" x14ac:dyDescent="0.4">
      <c r="A54" s="29">
        <v>7711102</v>
      </c>
      <c r="B54" s="28" t="s">
        <v>73</v>
      </c>
      <c r="C54" s="29">
        <v>7711102</v>
      </c>
      <c r="D54" s="29">
        <v>7711102</v>
      </c>
      <c r="E54" s="30" t="s">
        <v>37</v>
      </c>
      <c r="F54" s="31" t="s">
        <v>94</v>
      </c>
      <c r="G54" s="30" t="s">
        <v>95</v>
      </c>
      <c r="H54" s="28" t="s">
        <v>354</v>
      </c>
    </row>
    <row r="55" spans="1:8" ht="18" customHeight="1" x14ac:dyDescent="0.4">
      <c r="A55" s="29">
        <v>7711103</v>
      </c>
      <c r="B55" s="28" t="s">
        <v>130</v>
      </c>
      <c r="C55" s="29">
        <v>7711103</v>
      </c>
      <c r="D55" s="29">
        <v>7711103</v>
      </c>
      <c r="E55" s="30" t="s">
        <v>37</v>
      </c>
      <c r="F55" s="31" t="s">
        <v>131</v>
      </c>
      <c r="G55" s="30" t="s">
        <v>53</v>
      </c>
      <c r="H55" s="28" t="s">
        <v>355</v>
      </c>
    </row>
    <row r="56" spans="1:8" ht="18" customHeight="1" x14ac:dyDescent="0.4">
      <c r="A56" s="29">
        <v>7721101</v>
      </c>
      <c r="B56" s="28" t="s">
        <v>92</v>
      </c>
      <c r="C56" s="29">
        <v>7721101</v>
      </c>
      <c r="D56" s="29">
        <v>7721101</v>
      </c>
      <c r="E56" s="30" t="s">
        <v>37</v>
      </c>
      <c r="F56" s="31" t="s">
        <v>93</v>
      </c>
      <c r="G56" s="30" t="s">
        <v>53</v>
      </c>
      <c r="H56" s="28" t="s">
        <v>356</v>
      </c>
    </row>
    <row r="57" spans="1:8" ht="18" customHeight="1" x14ac:dyDescent="0.4">
      <c r="A57" s="29">
        <v>7729101</v>
      </c>
      <c r="B57" s="28" t="s">
        <v>22</v>
      </c>
      <c r="C57" s="29">
        <v>7729101</v>
      </c>
      <c r="D57" s="29">
        <v>7729101</v>
      </c>
      <c r="E57" s="30" t="s">
        <v>37</v>
      </c>
      <c r="F57" s="31" t="s">
        <v>47</v>
      </c>
      <c r="G57" s="30" t="s">
        <v>48</v>
      </c>
      <c r="H57" s="28" t="s">
        <v>357</v>
      </c>
    </row>
    <row r="58" spans="1:8" ht="18" customHeight="1" x14ac:dyDescent="0.4">
      <c r="A58" s="29">
        <v>7729103</v>
      </c>
      <c r="B58" s="28" t="s">
        <v>97</v>
      </c>
      <c r="C58" s="29">
        <v>7729103</v>
      </c>
      <c r="D58" s="29">
        <v>7729103</v>
      </c>
      <c r="E58" s="30" t="s">
        <v>37</v>
      </c>
      <c r="F58" s="31" t="s">
        <v>101</v>
      </c>
      <c r="G58" s="30" t="s">
        <v>102</v>
      </c>
      <c r="H58" s="28" t="s">
        <v>358</v>
      </c>
    </row>
    <row r="59" spans="1:8" ht="18" customHeight="1" x14ac:dyDescent="0.4">
      <c r="A59" s="29">
        <v>7729105</v>
      </c>
      <c r="B59" s="28" t="s">
        <v>359</v>
      </c>
      <c r="C59" s="29">
        <v>7729105</v>
      </c>
      <c r="D59" s="29">
        <v>7729105</v>
      </c>
      <c r="E59" s="30" t="s">
        <v>37</v>
      </c>
      <c r="F59" s="31" t="s">
        <v>464</v>
      </c>
      <c r="G59" s="30" t="s">
        <v>53</v>
      </c>
      <c r="H59" s="28" t="s">
        <v>360</v>
      </c>
    </row>
    <row r="60" spans="1:8" ht="18" customHeight="1" x14ac:dyDescent="0.4">
      <c r="A60" s="29">
        <v>7781101</v>
      </c>
      <c r="B60" s="28" t="s">
        <v>76</v>
      </c>
      <c r="C60" s="29">
        <v>7781101</v>
      </c>
      <c r="D60" s="29">
        <v>7781101</v>
      </c>
      <c r="E60" s="30" t="s">
        <v>37</v>
      </c>
      <c r="F60" s="31" t="s">
        <v>96</v>
      </c>
      <c r="G60" s="30" t="s">
        <v>53</v>
      </c>
      <c r="H60" s="28" t="s">
        <v>361</v>
      </c>
    </row>
    <row r="61" spans="1:8" ht="18" customHeight="1" x14ac:dyDescent="0.4">
      <c r="A61" s="29">
        <v>7781103</v>
      </c>
      <c r="B61" s="28" t="s">
        <v>25</v>
      </c>
      <c r="C61" s="29">
        <v>7781103</v>
      </c>
      <c r="D61" s="29">
        <v>7781103</v>
      </c>
      <c r="E61" s="30" t="s">
        <v>37</v>
      </c>
      <c r="F61" s="31" t="s">
        <v>52</v>
      </c>
      <c r="G61" s="30" t="s">
        <v>53</v>
      </c>
      <c r="H61" s="28" t="s">
        <v>362</v>
      </c>
    </row>
    <row r="62" spans="1:8" ht="18" customHeight="1" x14ac:dyDescent="0.4">
      <c r="A62" s="29">
        <v>7781104</v>
      </c>
      <c r="B62" s="28" t="s">
        <v>363</v>
      </c>
      <c r="C62" s="29">
        <v>7781104</v>
      </c>
      <c r="D62" s="29">
        <v>7781104</v>
      </c>
      <c r="E62" s="30" t="s">
        <v>37</v>
      </c>
      <c r="F62" s="31" t="s">
        <v>465</v>
      </c>
      <c r="G62" s="30" t="s">
        <v>53</v>
      </c>
      <c r="H62" s="28" t="s">
        <v>364</v>
      </c>
    </row>
    <row r="63" spans="1:8" ht="18" customHeight="1" x14ac:dyDescent="0.4">
      <c r="A63" s="29">
        <v>7781105</v>
      </c>
      <c r="B63" s="28" t="s">
        <v>254</v>
      </c>
      <c r="C63" s="29">
        <v>7781105</v>
      </c>
      <c r="D63" s="29">
        <v>7781105</v>
      </c>
      <c r="E63" s="30" t="s">
        <v>37</v>
      </c>
      <c r="F63" s="31" t="s">
        <v>413</v>
      </c>
      <c r="G63" s="30" t="s">
        <v>53</v>
      </c>
      <c r="H63" s="28" t="s">
        <v>365</v>
      </c>
    </row>
    <row r="64" spans="1:8" ht="18" customHeight="1" x14ac:dyDescent="0.4">
      <c r="A64" s="29">
        <v>7781106</v>
      </c>
      <c r="B64" s="28" t="s">
        <v>366</v>
      </c>
      <c r="C64" s="29">
        <v>7781106</v>
      </c>
      <c r="D64" s="29">
        <v>7781106</v>
      </c>
      <c r="E64" s="30" t="s">
        <v>37</v>
      </c>
      <c r="F64" s="31" t="s">
        <v>466</v>
      </c>
      <c r="G64" s="30" t="s">
        <v>53</v>
      </c>
      <c r="H64" s="28" t="s">
        <v>367</v>
      </c>
    </row>
    <row r="65" spans="1:8" ht="18" customHeight="1" x14ac:dyDescent="0.4">
      <c r="A65" s="29">
        <v>7781107</v>
      </c>
      <c r="B65" s="28" t="s">
        <v>198</v>
      </c>
      <c r="C65" s="29">
        <v>7781107</v>
      </c>
      <c r="D65" s="29">
        <v>7781107</v>
      </c>
      <c r="E65" s="30" t="s">
        <v>37</v>
      </c>
      <c r="F65" s="31" t="s">
        <v>56</v>
      </c>
      <c r="G65" s="30" t="s">
        <v>57</v>
      </c>
      <c r="H65" s="28" t="s">
        <v>368</v>
      </c>
    </row>
    <row r="66" spans="1:8" ht="18" customHeight="1" x14ac:dyDescent="0.4">
      <c r="A66" s="29">
        <v>7781111</v>
      </c>
      <c r="B66" s="28" t="s">
        <v>199</v>
      </c>
      <c r="C66" s="29">
        <v>7781111</v>
      </c>
      <c r="D66" s="29">
        <v>7781111</v>
      </c>
      <c r="E66" s="30" t="s">
        <v>37</v>
      </c>
      <c r="F66" s="31" t="s">
        <v>200</v>
      </c>
      <c r="G66" s="30" t="s">
        <v>53</v>
      </c>
      <c r="H66" s="28" t="s">
        <v>369</v>
      </c>
    </row>
    <row r="67" spans="1:8" ht="18" customHeight="1" x14ac:dyDescent="0.4">
      <c r="A67" s="29">
        <v>7781112</v>
      </c>
      <c r="B67" s="28" t="s">
        <v>26</v>
      </c>
      <c r="C67" s="29">
        <v>7781112</v>
      </c>
      <c r="D67" s="29">
        <v>7781112</v>
      </c>
      <c r="E67" s="30" t="s">
        <v>37</v>
      </c>
      <c r="F67" s="31" t="s">
        <v>54</v>
      </c>
      <c r="G67" s="30" t="s">
        <v>53</v>
      </c>
      <c r="H67" s="28" t="s">
        <v>370</v>
      </c>
    </row>
    <row r="68" spans="1:8" ht="18" customHeight="1" x14ac:dyDescent="0.4">
      <c r="A68" s="29">
        <v>7781113</v>
      </c>
      <c r="B68" s="28" t="s">
        <v>85</v>
      </c>
      <c r="C68" s="29">
        <v>7781113</v>
      </c>
      <c r="D68" s="29">
        <v>7781113</v>
      </c>
      <c r="E68" s="30" t="s">
        <v>37</v>
      </c>
      <c r="F68" s="31" t="s">
        <v>86</v>
      </c>
      <c r="G68" s="30" t="s">
        <v>53</v>
      </c>
      <c r="H68" s="28" t="s">
        <v>371</v>
      </c>
    </row>
    <row r="69" spans="1:8" ht="18" customHeight="1" x14ac:dyDescent="0.4">
      <c r="A69" s="29">
        <v>7411101</v>
      </c>
      <c r="B69" s="28" t="s">
        <v>372</v>
      </c>
      <c r="C69" s="29">
        <v>7411101</v>
      </c>
      <c r="D69" s="29">
        <v>7411101</v>
      </c>
      <c r="E69" s="30" t="s">
        <v>37</v>
      </c>
      <c r="F69" s="31" t="s">
        <v>249</v>
      </c>
      <c r="G69" s="30" t="s">
        <v>250</v>
      </c>
      <c r="H69" s="28" t="s">
        <v>373</v>
      </c>
    </row>
    <row r="70" spans="1:8" ht="18" customHeight="1" x14ac:dyDescent="0.4">
      <c r="A70" s="29">
        <v>7411103</v>
      </c>
      <c r="B70" s="28" t="s">
        <v>246</v>
      </c>
      <c r="C70" s="29">
        <v>7411103</v>
      </c>
      <c r="D70" s="29">
        <v>7411103</v>
      </c>
      <c r="E70" s="30" t="s">
        <v>37</v>
      </c>
      <c r="F70" s="31" t="s">
        <v>247</v>
      </c>
      <c r="G70" s="30" t="s">
        <v>248</v>
      </c>
      <c r="H70" s="28" t="s">
        <v>374</v>
      </c>
    </row>
    <row r="71" spans="1:8" ht="18" customHeight="1" x14ac:dyDescent="0.4">
      <c r="A71" s="29">
        <v>7411104</v>
      </c>
      <c r="B71" s="28" t="s">
        <v>375</v>
      </c>
      <c r="C71" s="29">
        <v>7411104</v>
      </c>
      <c r="D71" s="29">
        <v>7411104</v>
      </c>
      <c r="E71" s="30" t="s">
        <v>37</v>
      </c>
      <c r="F71" s="31" t="s">
        <v>467</v>
      </c>
      <c r="G71" s="30" t="s">
        <v>376</v>
      </c>
      <c r="H71" s="28" t="s">
        <v>377</v>
      </c>
    </row>
    <row r="72" spans="1:8" ht="18" customHeight="1" x14ac:dyDescent="0.4">
      <c r="A72" s="29">
        <v>7431101</v>
      </c>
      <c r="B72" s="28" t="s">
        <v>242</v>
      </c>
      <c r="C72" s="29">
        <v>7431101</v>
      </c>
      <c r="D72" s="29">
        <v>7431101</v>
      </c>
      <c r="E72" s="30" t="s">
        <v>37</v>
      </c>
      <c r="F72" s="31" t="s">
        <v>243</v>
      </c>
      <c r="G72" s="30" t="s">
        <v>244</v>
      </c>
      <c r="H72" s="28" t="s">
        <v>378</v>
      </c>
    </row>
    <row r="73" spans="1:8" ht="18" customHeight="1" x14ac:dyDescent="0.4">
      <c r="A73" s="29">
        <v>7451101</v>
      </c>
      <c r="B73" s="28" t="s">
        <v>379</v>
      </c>
      <c r="C73" s="29">
        <v>7451101</v>
      </c>
      <c r="D73" s="29">
        <v>7451101</v>
      </c>
      <c r="E73" s="30" t="s">
        <v>37</v>
      </c>
      <c r="F73" s="31" t="s">
        <v>468</v>
      </c>
      <c r="G73" s="30" t="s">
        <v>380</v>
      </c>
      <c r="H73" s="28" t="s">
        <v>381</v>
      </c>
    </row>
    <row r="74" spans="1:8" ht="18" customHeight="1" x14ac:dyDescent="0.4">
      <c r="A74" s="29">
        <v>7451102</v>
      </c>
      <c r="B74" s="28" t="s">
        <v>500</v>
      </c>
      <c r="C74" s="29">
        <v>7451102</v>
      </c>
      <c r="D74" s="29">
        <v>7451102</v>
      </c>
      <c r="E74" s="30" t="s">
        <v>37</v>
      </c>
      <c r="F74" s="31" t="s">
        <v>245</v>
      </c>
      <c r="G74" s="30" t="s">
        <v>382</v>
      </c>
      <c r="H74" s="28" t="s">
        <v>383</v>
      </c>
    </row>
    <row r="75" spans="1:8" ht="18" customHeight="1" x14ac:dyDescent="0.4">
      <c r="A75" s="29">
        <v>7451103</v>
      </c>
      <c r="B75" s="28" t="s">
        <v>499</v>
      </c>
      <c r="C75" s="29">
        <v>7451103</v>
      </c>
      <c r="D75" s="29">
        <v>7451103</v>
      </c>
      <c r="E75" s="30" t="s">
        <v>37</v>
      </c>
      <c r="F75" s="31" t="s">
        <v>240</v>
      </c>
      <c r="G75" s="30" t="s">
        <v>384</v>
      </c>
      <c r="H75" s="28" t="s">
        <v>385</v>
      </c>
    </row>
    <row r="76" spans="1:8" ht="18" customHeight="1" x14ac:dyDescent="0.4">
      <c r="A76" s="29">
        <v>7461101</v>
      </c>
      <c r="B76" s="47" t="s">
        <v>386</v>
      </c>
      <c r="C76" s="29">
        <v>7461101</v>
      </c>
      <c r="D76" s="29">
        <v>7461101</v>
      </c>
      <c r="E76" s="30" t="s">
        <v>37</v>
      </c>
      <c r="F76" s="31" t="s">
        <v>469</v>
      </c>
      <c r="G76" s="30" t="s">
        <v>387</v>
      </c>
      <c r="H76" s="28" t="s">
        <v>388</v>
      </c>
    </row>
    <row r="77" spans="1:8" ht="18" customHeight="1" x14ac:dyDescent="0.4">
      <c r="A77" s="29">
        <v>7411105</v>
      </c>
      <c r="B77" s="28" t="s">
        <v>186</v>
      </c>
      <c r="C77" s="29">
        <v>7411105</v>
      </c>
      <c r="D77" s="29">
        <v>7411105</v>
      </c>
      <c r="E77" s="30" t="s">
        <v>37</v>
      </c>
      <c r="F77" s="30" t="s">
        <v>187</v>
      </c>
      <c r="G77" s="48" t="s">
        <v>389</v>
      </c>
    </row>
    <row r="78" spans="1:8" ht="18" customHeight="1" x14ac:dyDescent="0.4">
      <c r="A78" s="29">
        <v>7471201</v>
      </c>
      <c r="B78" s="28" t="s">
        <v>184</v>
      </c>
      <c r="C78" s="29">
        <v>7471201</v>
      </c>
      <c r="D78" s="29">
        <v>7471201</v>
      </c>
      <c r="E78" s="30" t="s">
        <v>37</v>
      </c>
      <c r="F78" s="30" t="s">
        <v>185</v>
      </c>
      <c r="G78" s="48" t="s">
        <v>389</v>
      </c>
    </row>
    <row r="79" spans="1:8" ht="18" customHeight="1" x14ac:dyDescent="0.4">
      <c r="A79" s="29">
        <v>7751101</v>
      </c>
      <c r="B79" s="28" t="s">
        <v>390</v>
      </c>
      <c r="C79" s="29">
        <v>7751101</v>
      </c>
      <c r="D79" s="29">
        <v>7751101</v>
      </c>
      <c r="E79" s="30" t="s">
        <v>37</v>
      </c>
      <c r="F79" s="30" t="s">
        <v>470</v>
      </c>
    </row>
    <row r="80" spans="1:8" ht="18" customHeight="1" x14ac:dyDescent="0.4">
      <c r="A80" s="29">
        <v>7751102</v>
      </c>
      <c r="B80" s="28" t="s">
        <v>121</v>
      </c>
      <c r="C80" s="29">
        <v>7751102</v>
      </c>
      <c r="D80" s="29">
        <v>7751102</v>
      </c>
      <c r="E80" s="30" t="s">
        <v>37</v>
      </c>
      <c r="F80" s="30" t="s">
        <v>122</v>
      </c>
    </row>
    <row r="81" spans="1:8" ht="18" customHeight="1" x14ac:dyDescent="0.4">
      <c r="A81" s="49">
        <v>7111211</v>
      </c>
      <c r="B81" s="28" t="s">
        <v>391</v>
      </c>
      <c r="C81" s="49">
        <v>7111211</v>
      </c>
      <c r="D81" s="49">
        <v>7111211</v>
      </c>
      <c r="E81" s="49" t="s">
        <v>33</v>
      </c>
      <c r="F81" s="49" t="s">
        <v>448</v>
      </c>
    </row>
    <row r="82" spans="1:8" ht="18" customHeight="1" x14ac:dyDescent="0.4">
      <c r="A82" s="49">
        <v>7111212</v>
      </c>
      <c r="B82" s="28" t="s">
        <v>392</v>
      </c>
      <c r="C82" s="49">
        <v>7111212</v>
      </c>
      <c r="D82" s="49">
        <v>7111212</v>
      </c>
      <c r="E82" s="49" t="s">
        <v>33</v>
      </c>
      <c r="F82" s="49" t="s">
        <v>471</v>
      </c>
    </row>
    <row r="83" spans="1:8" ht="18" customHeight="1" x14ac:dyDescent="0.4">
      <c r="A83" s="49">
        <v>7111221</v>
      </c>
      <c r="B83" s="28" t="s">
        <v>393</v>
      </c>
      <c r="C83" s="49">
        <v>7111221</v>
      </c>
      <c r="D83" s="49">
        <v>7111221</v>
      </c>
      <c r="E83" s="49" t="s">
        <v>33</v>
      </c>
      <c r="F83" s="49" t="s">
        <v>449</v>
      </c>
    </row>
    <row r="84" spans="1:8" ht="18" customHeight="1" x14ac:dyDescent="0.4">
      <c r="A84" s="49">
        <v>7111222</v>
      </c>
      <c r="B84" s="28" t="s">
        <v>394</v>
      </c>
      <c r="C84" s="49">
        <v>7111222</v>
      </c>
      <c r="D84" s="49">
        <v>7111222</v>
      </c>
      <c r="E84" s="49" t="s">
        <v>33</v>
      </c>
      <c r="F84" s="49" t="s">
        <v>450</v>
      </c>
    </row>
    <row r="85" spans="1:8" ht="18" customHeight="1" x14ac:dyDescent="0.4">
      <c r="A85" s="49">
        <v>7111223</v>
      </c>
      <c r="B85" s="28" t="s">
        <v>395</v>
      </c>
      <c r="C85" s="49">
        <v>7111223</v>
      </c>
      <c r="D85" s="49">
        <v>7111223</v>
      </c>
      <c r="E85" s="49" t="s">
        <v>33</v>
      </c>
      <c r="F85" s="49" t="s">
        <v>451</v>
      </c>
    </row>
    <row r="86" spans="1:8" ht="18" customHeight="1" x14ac:dyDescent="0.4">
      <c r="A86" s="49">
        <v>7111311</v>
      </c>
      <c r="B86" s="28" t="s">
        <v>396</v>
      </c>
      <c r="C86" s="49">
        <v>7111311</v>
      </c>
      <c r="D86" s="49">
        <v>7111311</v>
      </c>
      <c r="E86" s="49" t="s">
        <v>33</v>
      </c>
      <c r="F86" s="49" t="s">
        <v>452</v>
      </c>
    </row>
    <row r="87" spans="1:8" ht="18" customHeight="1" x14ac:dyDescent="0.4">
      <c r="A87" s="49">
        <v>7111312</v>
      </c>
      <c r="B87" s="28" t="s">
        <v>397</v>
      </c>
      <c r="C87" s="49">
        <v>7111312</v>
      </c>
      <c r="D87" s="49">
        <v>7111312</v>
      </c>
      <c r="E87" s="49" t="s">
        <v>33</v>
      </c>
      <c r="F87" s="49" t="s">
        <v>472</v>
      </c>
    </row>
    <row r="88" spans="1:8" ht="18" customHeight="1" x14ac:dyDescent="0.4">
      <c r="A88" s="49">
        <v>7111321</v>
      </c>
      <c r="B88" s="28" t="s">
        <v>398</v>
      </c>
      <c r="C88" s="49">
        <v>7111321</v>
      </c>
      <c r="D88" s="49">
        <v>7111321</v>
      </c>
      <c r="E88" s="49" t="s">
        <v>33</v>
      </c>
      <c r="F88" s="49" t="s">
        <v>453</v>
      </c>
    </row>
    <row r="89" spans="1:8" ht="18" customHeight="1" x14ac:dyDescent="0.4">
      <c r="A89" s="49">
        <v>7111322</v>
      </c>
      <c r="B89" s="28" t="s">
        <v>399</v>
      </c>
      <c r="C89" s="49">
        <v>7111322</v>
      </c>
      <c r="D89" s="49">
        <v>7111322</v>
      </c>
      <c r="E89" s="49" t="s">
        <v>33</v>
      </c>
      <c r="F89" s="49" t="s">
        <v>454</v>
      </c>
    </row>
    <row r="90" spans="1:8" ht="18" customHeight="1" x14ac:dyDescent="0.4">
      <c r="A90" s="49">
        <v>7111323</v>
      </c>
      <c r="B90" s="28" t="s">
        <v>400</v>
      </c>
      <c r="C90" s="49">
        <v>7111323</v>
      </c>
      <c r="D90" s="49">
        <v>7111323</v>
      </c>
      <c r="E90" s="49" t="s">
        <v>33</v>
      </c>
      <c r="F90" s="49" t="s">
        <v>455</v>
      </c>
    </row>
    <row r="91" spans="1:8" ht="18" customHeight="1" x14ac:dyDescent="0.4">
      <c r="A91" s="49">
        <v>7111411</v>
      </c>
      <c r="B91" s="28" t="s">
        <v>401</v>
      </c>
      <c r="C91" s="49">
        <v>7111411</v>
      </c>
      <c r="D91" s="49">
        <v>7111411</v>
      </c>
      <c r="E91" s="49" t="s">
        <v>33</v>
      </c>
      <c r="F91" s="49" t="s">
        <v>473</v>
      </c>
    </row>
    <row r="92" spans="1:8" ht="18" customHeight="1" x14ac:dyDescent="0.4">
      <c r="A92" s="49">
        <v>7151101</v>
      </c>
      <c r="B92" s="28" t="s">
        <v>402</v>
      </c>
      <c r="C92" s="49">
        <v>7151101</v>
      </c>
      <c r="D92" s="49">
        <v>7151101</v>
      </c>
      <c r="E92" s="49" t="s">
        <v>33</v>
      </c>
      <c r="F92" s="49" t="s">
        <v>474</v>
      </c>
    </row>
    <row r="93" spans="1:8" ht="18" customHeight="1" x14ac:dyDescent="0.4">
      <c r="A93" s="49">
        <v>7200000</v>
      </c>
      <c r="B93" s="28" t="s">
        <v>403</v>
      </c>
      <c r="C93" s="49">
        <v>7200000</v>
      </c>
      <c r="D93" s="49">
        <v>7200000</v>
      </c>
      <c r="E93" s="49" t="s">
        <v>33</v>
      </c>
      <c r="F93" s="49" t="s">
        <v>475</v>
      </c>
    </row>
    <row r="94" spans="1:8" ht="18" customHeight="1" x14ac:dyDescent="0.4">
      <c r="A94" s="49">
        <v>7211101</v>
      </c>
      <c r="B94" s="28" t="s">
        <v>404</v>
      </c>
      <c r="C94" s="49">
        <v>7211101</v>
      </c>
      <c r="D94" s="49">
        <v>7211101</v>
      </c>
      <c r="E94" s="49" t="s">
        <v>33</v>
      </c>
      <c r="F94" s="49" t="s">
        <v>476</v>
      </c>
    </row>
    <row r="95" spans="1:8" ht="18" customHeight="1" x14ac:dyDescent="0.4">
      <c r="A95" s="49">
        <v>7211102</v>
      </c>
      <c r="B95" s="28" t="s">
        <v>405</v>
      </c>
      <c r="C95" s="49">
        <v>7211102</v>
      </c>
      <c r="D95" s="49">
        <v>7211102</v>
      </c>
      <c r="E95" s="49" t="s">
        <v>33</v>
      </c>
      <c r="F95" s="49" t="s">
        <v>34</v>
      </c>
      <c r="G95" s="49">
        <v>901</v>
      </c>
      <c r="H95" s="28" t="s">
        <v>406</v>
      </c>
    </row>
    <row r="96" spans="1:8" ht="18" customHeight="1" x14ac:dyDescent="0.4">
      <c r="A96" s="49">
        <v>7211103</v>
      </c>
      <c r="B96" s="28" t="s">
        <v>234</v>
      </c>
      <c r="C96" s="49">
        <v>7211103</v>
      </c>
      <c r="D96" s="49">
        <v>7211103</v>
      </c>
      <c r="E96" s="49" t="s">
        <v>33</v>
      </c>
      <c r="F96" s="49" t="s">
        <v>235</v>
      </c>
      <c r="G96" s="49"/>
    </row>
    <row r="97" spans="1:8" ht="18" customHeight="1" x14ac:dyDescent="0.4">
      <c r="A97" s="49">
        <v>7211104</v>
      </c>
      <c r="B97" s="28" t="s">
        <v>407</v>
      </c>
      <c r="C97" s="49">
        <v>7211104</v>
      </c>
      <c r="D97" s="49">
        <v>7211104</v>
      </c>
      <c r="E97" s="49" t="s">
        <v>33</v>
      </c>
      <c r="F97" s="49" t="s">
        <v>477</v>
      </c>
      <c r="G97" s="49">
        <v>302</v>
      </c>
    </row>
    <row r="98" spans="1:8" ht="18" customHeight="1" x14ac:dyDescent="0.4">
      <c r="A98" s="49">
        <v>7221101</v>
      </c>
      <c r="B98" s="28" t="s">
        <v>227</v>
      </c>
      <c r="C98" s="49">
        <v>7221101</v>
      </c>
      <c r="D98" s="49">
        <v>7221101</v>
      </c>
      <c r="E98" s="49" t="s">
        <v>33</v>
      </c>
      <c r="F98" s="49" t="s">
        <v>228</v>
      </c>
      <c r="G98" s="49">
        <v>302</v>
      </c>
      <c r="H98" s="28" t="s">
        <v>408</v>
      </c>
    </row>
    <row r="99" spans="1:8" ht="18" customHeight="1" x14ac:dyDescent="0.4">
      <c r="A99" s="49">
        <v>7221102</v>
      </c>
      <c r="B99" s="28" t="s">
        <v>229</v>
      </c>
      <c r="C99" s="49">
        <v>7221102</v>
      </c>
      <c r="D99" s="49">
        <v>7221102</v>
      </c>
      <c r="E99" s="49" t="s">
        <v>33</v>
      </c>
      <c r="F99" s="49" t="s">
        <v>230</v>
      </c>
      <c r="G99" s="49">
        <v>301</v>
      </c>
      <c r="H99" s="28" t="s">
        <v>409</v>
      </c>
    </row>
    <row r="100" spans="1:8" ht="18" customHeight="1" x14ac:dyDescent="0.4">
      <c r="A100" s="49">
        <v>7511101</v>
      </c>
      <c r="B100" s="28" t="s">
        <v>117</v>
      </c>
      <c r="C100" s="49">
        <v>7511101</v>
      </c>
      <c r="D100" s="49">
        <v>7511101</v>
      </c>
      <c r="E100" s="49" t="s">
        <v>33</v>
      </c>
      <c r="F100" s="49" t="s">
        <v>478</v>
      </c>
      <c r="G100" s="49">
        <v>602</v>
      </c>
      <c r="H100" s="28" t="s">
        <v>117</v>
      </c>
    </row>
    <row r="101" spans="1:8" ht="18" customHeight="1" x14ac:dyDescent="0.4">
      <c r="A101" s="49">
        <v>7511102</v>
      </c>
      <c r="B101" s="28" t="s">
        <v>17</v>
      </c>
      <c r="C101" s="49">
        <v>7511102</v>
      </c>
      <c r="D101" s="49">
        <v>7511102</v>
      </c>
      <c r="E101" s="49" t="s">
        <v>33</v>
      </c>
      <c r="F101" s="49" t="s">
        <v>80</v>
      </c>
      <c r="G101" s="49">
        <v>602</v>
      </c>
      <c r="H101" s="28" t="s">
        <v>268</v>
      </c>
    </row>
    <row r="102" spans="1:8" ht="18" customHeight="1" x14ac:dyDescent="0.4">
      <c r="A102" s="49">
        <v>7511103</v>
      </c>
      <c r="B102" s="28" t="s">
        <v>271</v>
      </c>
      <c r="C102" s="49">
        <v>7511103</v>
      </c>
      <c r="D102" s="49">
        <v>7511103</v>
      </c>
      <c r="E102" s="49" t="s">
        <v>33</v>
      </c>
      <c r="F102" s="49" t="s">
        <v>424</v>
      </c>
      <c r="G102" s="49">
        <v>601</v>
      </c>
      <c r="H102" s="28" t="s">
        <v>273</v>
      </c>
    </row>
    <row r="103" spans="1:8" ht="18" customHeight="1" x14ac:dyDescent="0.4">
      <c r="A103" s="49">
        <v>7511111</v>
      </c>
      <c r="B103" s="28" t="s">
        <v>277</v>
      </c>
      <c r="C103" s="49">
        <v>7511111</v>
      </c>
      <c r="D103" s="49">
        <v>7511111</v>
      </c>
      <c r="E103" s="49" t="s">
        <v>33</v>
      </c>
      <c r="F103" s="49" t="s">
        <v>425</v>
      </c>
      <c r="G103" s="49">
        <v>601</v>
      </c>
      <c r="H103" s="28" t="s">
        <v>278</v>
      </c>
    </row>
    <row r="104" spans="1:8" ht="18" customHeight="1" x14ac:dyDescent="0.4">
      <c r="A104" s="49">
        <v>7511112</v>
      </c>
      <c r="B104" s="28" t="s">
        <v>279</v>
      </c>
      <c r="C104" s="49">
        <v>7511112</v>
      </c>
      <c r="D104" s="49">
        <v>7511112</v>
      </c>
      <c r="E104" s="49" t="s">
        <v>33</v>
      </c>
      <c r="F104" s="49" t="s">
        <v>479</v>
      </c>
      <c r="G104" s="49">
        <v>601</v>
      </c>
      <c r="H104" s="28" t="s">
        <v>280</v>
      </c>
    </row>
    <row r="105" spans="1:8" ht="18" customHeight="1" x14ac:dyDescent="0.4">
      <c r="A105" s="49">
        <v>7511121</v>
      </c>
      <c r="B105" s="28" t="s">
        <v>281</v>
      </c>
      <c r="C105" s="49">
        <v>7511121</v>
      </c>
      <c r="D105" s="49">
        <v>7511121</v>
      </c>
      <c r="E105" s="49" t="s">
        <v>33</v>
      </c>
      <c r="F105" s="49" t="s">
        <v>426</v>
      </c>
      <c r="G105" s="49">
        <v>601</v>
      </c>
      <c r="H105" s="28" t="s">
        <v>282</v>
      </c>
    </row>
    <row r="106" spans="1:8" ht="18" customHeight="1" x14ac:dyDescent="0.4">
      <c r="A106" s="49">
        <v>7511122</v>
      </c>
      <c r="B106" s="28" t="s">
        <v>283</v>
      </c>
      <c r="C106" s="49">
        <v>7511122</v>
      </c>
      <c r="D106" s="49">
        <v>7511122</v>
      </c>
      <c r="E106" s="49" t="s">
        <v>33</v>
      </c>
      <c r="F106" s="49" t="s">
        <v>427</v>
      </c>
      <c r="G106" s="49">
        <v>601</v>
      </c>
      <c r="H106" s="28" t="s">
        <v>284</v>
      </c>
    </row>
    <row r="107" spans="1:8" ht="18" customHeight="1" x14ac:dyDescent="0.4">
      <c r="A107" s="49">
        <v>7511201</v>
      </c>
      <c r="B107" s="28" t="s">
        <v>285</v>
      </c>
      <c r="C107" s="49">
        <v>7511201</v>
      </c>
      <c r="D107" s="49">
        <v>7511201</v>
      </c>
      <c r="E107" s="49" t="s">
        <v>33</v>
      </c>
      <c r="F107" s="49" t="s">
        <v>428</v>
      </c>
      <c r="G107" s="49">
        <v>603</v>
      </c>
      <c r="H107" s="28" t="s">
        <v>287</v>
      </c>
    </row>
    <row r="108" spans="1:8" ht="18" customHeight="1" x14ac:dyDescent="0.4">
      <c r="A108" s="49">
        <v>7512111</v>
      </c>
      <c r="B108" s="28" t="s">
        <v>288</v>
      </c>
      <c r="C108" s="49">
        <v>7512111</v>
      </c>
      <c r="D108" s="49">
        <v>7512111</v>
      </c>
      <c r="E108" s="49" t="s">
        <v>33</v>
      </c>
      <c r="F108" s="49" t="s">
        <v>429</v>
      </c>
      <c r="G108" s="49">
        <v>604</v>
      </c>
      <c r="H108" s="28" t="s">
        <v>289</v>
      </c>
    </row>
    <row r="109" spans="1:8" ht="18" customHeight="1" x14ac:dyDescent="0.4">
      <c r="A109" s="49">
        <v>7512112</v>
      </c>
      <c r="B109" s="28" t="s">
        <v>290</v>
      </c>
      <c r="C109" s="49">
        <v>7512112</v>
      </c>
      <c r="D109" s="49">
        <v>7512112</v>
      </c>
      <c r="E109" s="49" t="s">
        <v>33</v>
      </c>
      <c r="F109" s="49" t="s">
        <v>430</v>
      </c>
      <c r="G109" s="49">
        <v>604</v>
      </c>
      <c r="H109" s="28" t="s">
        <v>291</v>
      </c>
    </row>
    <row r="110" spans="1:8" ht="18" customHeight="1" x14ac:dyDescent="0.4">
      <c r="A110" s="49">
        <v>7514101</v>
      </c>
      <c r="B110" s="28" t="s">
        <v>292</v>
      </c>
      <c r="C110" s="49">
        <v>7514101</v>
      </c>
      <c r="D110" s="49">
        <v>7514101</v>
      </c>
      <c r="E110" s="49" t="s">
        <v>33</v>
      </c>
      <c r="F110" s="49" t="s">
        <v>431</v>
      </c>
      <c r="G110" s="49">
        <v>601</v>
      </c>
      <c r="H110" s="28" t="s">
        <v>293</v>
      </c>
    </row>
    <row r="111" spans="1:8" ht="18" customHeight="1" x14ac:dyDescent="0.4">
      <c r="A111" s="49">
        <v>7514102</v>
      </c>
      <c r="B111" s="28" t="s">
        <v>294</v>
      </c>
      <c r="C111" s="49">
        <v>7514102</v>
      </c>
      <c r="D111" s="49">
        <v>7514102</v>
      </c>
      <c r="E111" s="49" t="s">
        <v>33</v>
      </c>
      <c r="F111" s="49" t="s">
        <v>432</v>
      </c>
      <c r="G111" s="49">
        <v>601</v>
      </c>
      <c r="H111" s="28" t="s">
        <v>295</v>
      </c>
    </row>
    <row r="112" spans="1:8" ht="18" customHeight="1" x14ac:dyDescent="0.4">
      <c r="A112" s="49">
        <v>7515401</v>
      </c>
      <c r="B112" s="28" t="s">
        <v>19</v>
      </c>
      <c r="C112" s="49">
        <v>7515401</v>
      </c>
      <c r="D112" s="49">
        <v>7515401</v>
      </c>
      <c r="E112" s="49" t="s">
        <v>33</v>
      </c>
      <c r="F112" s="49" t="s">
        <v>64</v>
      </c>
      <c r="G112" s="49">
        <v>604</v>
      </c>
      <c r="H112" s="28" t="s">
        <v>296</v>
      </c>
    </row>
    <row r="113" spans="1:8" ht="18" customHeight="1" x14ac:dyDescent="0.4">
      <c r="A113" s="49">
        <v>7515402</v>
      </c>
      <c r="B113" s="28" t="s">
        <v>65</v>
      </c>
      <c r="C113" s="49">
        <v>7515402</v>
      </c>
      <c r="D113" s="49">
        <v>7515402</v>
      </c>
      <c r="E113" s="49" t="s">
        <v>33</v>
      </c>
      <c r="F113" s="49" t="s">
        <v>66</v>
      </c>
      <c r="G113" s="49">
        <v>604</v>
      </c>
      <c r="H113" s="28" t="s">
        <v>297</v>
      </c>
    </row>
    <row r="114" spans="1:8" ht="18" customHeight="1" x14ac:dyDescent="0.4">
      <c r="A114" s="49">
        <v>7515403</v>
      </c>
      <c r="B114" s="28" t="s">
        <v>125</v>
      </c>
      <c r="C114" s="49">
        <v>7515403</v>
      </c>
      <c r="D114" s="49">
        <v>7515403</v>
      </c>
      <c r="E114" s="49" t="s">
        <v>33</v>
      </c>
      <c r="F114" s="49" t="s">
        <v>215</v>
      </c>
      <c r="G114" s="49">
        <v>604</v>
      </c>
      <c r="H114" s="28" t="s">
        <v>298</v>
      </c>
    </row>
    <row r="115" spans="1:8" ht="18" customHeight="1" x14ac:dyDescent="0.4">
      <c r="A115" s="49">
        <v>7515404</v>
      </c>
      <c r="B115" s="28" t="s">
        <v>123</v>
      </c>
      <c r="C115" s="49">
        <v>7515404</v>
      </c>
      <c r="D115" s="49">
        <v>7515404</v>
      </c>
      <c r="E115" s="49" t="s">
        <v>33</v>
      </c>
      <c r="F115" s="49" t="s">
        <v>216</v>
      </c>
      <c r="G115" s="49">
        <v>604</v>
      </c>
      <c r="H115" s="28" t="s">
        <v>299</v>
      </c>
    </row>
    <row r="116" spans="1:8" ht="18" customHeight="1" x14ac:dyDescent="0.4">
      <c r="A116" s="49">
        <v>7515405</v>
      </c>
      <c r="B116" s="28" t="s">
        <v>202</v>
      </c>
      <c r="C116" s="49">
        <v>7515405</v>
      </c>
      <c r="D116" s="49">
        <v>7515405</v>
      </c>
      <c r="E116" s="49" t="s">
        <v>33</v>
      </c>
      <c r="F116" s="49" t="s">
        <v>211</v>
      </c>
      <c r="G116" s="49">
        <v>604</v>
      </c>
      <c r="H116" s="28" t="s">
        <v>300</v>
      </c>
    </row>
    <row r="117" spans="1:8" ht="18" customHeight="1" x14ac:dyDescent="0.4">
      <c r="A117" s="49">
        <v>7515406</v>
      </c>
      <c r="B117" s="28" t="s">
        <v>190</v>
      </c>
      <c r="C117" s="49">
        <v>7515406</v>
      </c>
      <c r="D117" s="49">
        <v>7515406</v>
      </c>
      <c r="E117" s="49" t="s">
        <v>33</v>
      </c>
      <c r="F117" s="49" t="s">
        <v>191</v>
      </c>
      <c r="G117" s="49">
        <v>604</v>
      </c>
      <c r="H117" s="28" t="s">
        <v>301</v>
      </c>
    </row>
    <row r="118" spans="1:8" ht="18" customHeight="1" x14ac:dyDescent="0.4">
      <c r="A118" s="49">
        <v>7515407</v>
      </c>
      <c r="B118" s="28" t="s">
        <v>304</v>
      </c>
      <c r="C118" s="49">
        <v>7515407</v>
      </c>
      <c r="D118" s="49">
        <v>7515407</v>
      </c>
      <c r="E118" s="49" t="s">
        <v>33</v>
      </c>
      <c r="F118" s="49" t="s">
        <v>480</v>
      </c>
      <c r="G118" s="49">
        <v>604</v>
      </c>
    </row>
    <row r="119" spans="1:8" ht="18" customHeight="1" x14ac:dyDescent="0.4">
      <c r="A119" s="49">
        <v>7515408</v>
      </c>
      <c r="B119" s="28" t="s">
        <v>195</v>
      </c>
      <c r="C119" s="49">
        <v>7515408</v>
      </c>
      <c r="D119" s="49">
        <v>7515408</v>
      </c>
      <c r="E119" s="49" t="s">
        <v>33</v>
      </c>
      <c r="F119" s="49" t="s">
        <v>481</v>
      </c>
      <c r="G119" s="49">
        <v>604</v>
      </c>
      <c r="H119" s="28" t="s">
        <v>305</v>
      </c>
    </row>
    <row r="120" spans="1:8" ht="18" customHeight="1" x14ac:dyDescent="0.4">
      <c r="A120" s="49">
        <v>7515409</v>
      </c>
      <c r="B120" s="28" t="s">
        <v>128</v>
      </c>
      <c r="C120" s="49">
        <v>7515409</v>
      </c>
      <c r="D120" s="49">
        <v>7515409</v>
      </c>
      <c r="E120" s="49" t="s">
        <v>33</v>
      </c>
      <c r="F120" s="49" t="s">
        <v>197</v>
      </c>
      <c r="G120" s="49">
        <v>604</v>
      </c>
      <c r="H120" s="28" t="s">
        <v>306</v>
      </c>
    </row>
    <row r="121" spans="1:8" ht="18" customHeight="1" x14ac:dyDescent="0.4">
      <c r="A121" s="49">
        <v>7515410</v>
      </c>
      <c r="B121" s="28" t="s">
        <v>67</v>
      </c>
      <c r="C121" s="49">
        <v>7515410</v>
      </c>
      <c r="D121" s="49">
        <v>7515410</v>
      </c>
      <c r="E121" s="49" t="s">
        <v>33</v>
      </c>
      <c r="F121" s="49" t="s">
        <v>68</v>
      </c>
      <c r="G121" s="49">
        <v>604</v>
      </c>
      <c r="H121" s="28" t="s">
        <v>307</v>
      </c>
    </row>
    <row r="122" spans="1:8" ht="18" customHeight="1" x14ac:dyDescent="0.4">
      <c r="A122" s="49">
        <v>7515499</v>
      </c>
      <c r="B122" s="28" t="s">
        <v>18</v>
      </c>
      <c r="C122" s="49">
        <v>7515499</v>
      </c>
      <c r="D122" s="49">
        <v>7515499</v>
      </c>
      <c r="E122" s="49" t="s">
        <v>33</v>
      </c>
      <c r="F122" s="49" t="s">
        <v>233</v>
      </c>
      <c r="G122" s="49">
        <v>604</v>
      </c>
      <c r="H122" s="28" t="s">
        <v>308</v>
      </c>
    </row>
    <row r="123" spans="1:8" ht="18" customHeight="1" x14ac:dyDescent="0.4">
      <c r="A123" s="49">
        <v>7516102</v>
      </c>
      <c r="B123" s="28" t="s">
        <v>309</v>
      </c>
      <c r="C123" s="49">
        <v>7516102</v>
      </c>
      <c r="D123" s="49">
        <v>7516102</v>
      </c>
      <c r="E123" s="49" t="s">
        <v>33</v>
      </c>
      <c r="F123" s="49" t="s">
        <v>433</v>
      </c>
      <c r="G123" s="49">
        <v>605</v>
      </c>
      <c r="H123" s="28" t="s">
        <v>311</v>
      </c>
    </row>
    <row r="124" spans="1:8" ht="18" customHeight="1" x14ac:dyDescent="0.4">
      <c r="A124" s="49">
        <v>7519101</v>
      </c>
      <c r="B124" s="28" t="s">
        <v>28</v>
      </c>
      <c r="C124" s="49">
        <v>7519101</v>
      </c>
      <c r="D124" s="49">
        <v>7519101</v>
      </c>
      <c r="E124" s="49" t="s">
        <v>33</v>
      </c>
      <c r="F124" s="49" t="s">
        <v>90</v>
      </c>
      <c r="G124" s="49">
        <v>602</v>
      </c>
      <c r="H124" s="28" t="s">
        <v>312</v>
      </c>
    </row>
    <row r="125" spans="1:8" ht="18" customHeight="1" x14ac:dyDescent="0.4">
      <c r="A125" s="49">
        <v>7521101</v>
      </c>
      <c r="B125" s="28" t="s">
        <v>410</v>
      </c>
      <c r="C125" s="49">
        <v>7521101</v>
      </c>
      <c r="D125" s="49">
        <v>7521101</v>
      </c>
      <c r="E125" s="49" t="s">
        <v>33</v>
      </c>
      <c r="F125" s="49" t="s">
        <v>434</v>
      </c>
      <c r="G125" s="49">
        <v>601</v>
      </c>
      <c r="H125" s="28" t="s">
        <v>314</v>
      </c>
    </row>
    <row r="126" spans="1:8" ht="18" customHeight="1" x14ac:dyDescent="0.4">
      <c r="A126" s="49">
        <v>7521102</v>
      </c>
      <c r="B126" s="28" t="s">
        <v>315</v>
      </c>
      <c r="C126" s="49">
        <v>7521102</v>
      </c>
      <c r="D126" s="49">
        <v>7521102</v>
      </c>
      <c r="E126" s="49" t="s">
        <v>33</v>
      </c>
      <c r="F126" s="49" t="s">
        <v>435</v>
      </c>
      <c r="G126" s="49">
        <v>603</v>
      </c>
      <c r="H126" s="28" t="s">
        <v>316</v>
      </c>
    </row>
    <row r="127" spans="1:8" ht="18" customHeight="1" x14ac:dyDescent="0.4">
      <c r="A127" s="49">
        <v>7571101</v>
      </c>
      <c r="B127" s="28" t="s">
        <v>236</v>
      </c>
      <c r="C127" s="49">
        <v>7571101</v>
      </c>
      <c r="D127" s="49">
        <v>7571101</v>
      </c>
      <c r="E127" s="49" t="s">
        <v>33</v>
      </c>
      <c r="F127" s="49" t="s">
        <v>237</v>
      </c>
      <c r="G127" s="49">
        <v>606</v>
      </c>
      <c r="H127" s="28" t="s">
        <v>318</v>
      </c>
    </row>
    <row r="128" spans="1:8" ht="18" customHeight="1" x14ac:dyDescent="0.4">
      <c r="A128" s="49">
        <v>7611100</v>
      </c>
      <c r="B128" s="28" t="s">
        <v>319</v>
      </c>
      <c r="C128" s="49">
        <v>7611100</v>
      </c>
      <c r="D128" s="49">
        <v>7611100</v>
      </c>
      <c r="E128" s="49" t="s">
        <v>33</v>
      </c>
      <c r="F128" s="49" t="s">
        <v>414</v>
      </c>
      <c r="G128" s="49">
        <v>701</v>
      </c>
      <c r="H128" s="28" t="s">
        <v>320</v>
      </c>
    </row>
    <row r="129" spans="1:8" ht="18" customHeight="1" x14ac:dyDescent="0.4">
      <c r="A129" s="49">
        <v>7611300</v>
      </c>
      <c r="B129" s="28" t="s">
        <v>321</v>
      </c>
      <c r="C129" s="49">
        <v>7611300</v>
      </c>
      <c r="D129" s="49">
        <v>7611300</v>
      </c>
      <c r="E129" s="49" t="s">
        <v>33</v>
      </c>
      <c r="F129" s="49" t="s">
        <v>418</v>
      </c>
      <c r="G129" s="49">
        <v>701</v>
      </c>
      <c r="H129" s="28" t="s">
        <v>322</v>
      </c>
    </row>
    <row r="130" spans="1:8" ht="18" customHeight="1" x14ac:dyDescent="0.4">
      <c r="A130" s="49">
        <v>7611400</v>
      </c>
      <c r="B130" s="28" t="s">
        <v>323</v>
      </c>
      <c r="C130" s="49">
        <v>7611400</v>
      </c>
      <c r="D130" s="49">
        <v>7611400</v>
      </c>
      <c r="E130" s="49" t="s">
        <v>33</v>
      </c>
      <c r="F130" s="49" t="s">
        <v>482</v>
      </c>
      <c r="G130" s="49">
        <v>701</v>
      </c>
      <c r="H130" s="28" t="s">
        <v>324</v>
      </c>
    </row>
    <row r="131" spans="1:8" ht="18" customHeight="1" x14ac:dyDescent="0.4">
      <c r="A131" s="49">
        <v>7611500</v>
      </c>
      <c r="B131" s="28" t="s">
        <v>325</v>
      </c>
      <c r="C131" s="49">
        <v>7611500</v>
      </c>
      <c r="D131" s="49">
        <v>7611500</v>
      </c>
      <c r="E131" s="49" t="s">
        <v>33</v>
      </c>
      <c r="F131" s="49" t="s">
        <v>422</v>
      </c>
      <c r="G131" s="49">
        <v>701</v>
      </c>
      <c r="H131" s="28" t="s">
        <v>326</v>
      </c>
    </row>
    <row r="132" spans="1:8" ht="18" customHeight="1" x14ac:dyDescent="0.4">
      <c r="A132" s="49">
        <v>7611600</v>
      </c>
      <c r="B132" s="28" t="s">
        <v>327</v>
      </c>
      <c r="C132" s="49">
        <v>7611600</v>
      </c>
      <c r="D132" s="49">
        <v>7611600</v>
      </c>
      <c r="E132" s="49" t="s">
        <v>33</v>
      </c>
      <c r="F132" s="49" t="s">
        <v>416</v>
      </c>
      <c r="G132" s="49">
        <v>701</v>
      </c>
      <c r="H132" s="28" t="s">
        <v>328</v>
      </c>
    </row>
    <row r="133" spans="1:8" ht="18" customHeight="1" x14ac:dyDescent="0.4">
      <c r="A133" s="49">
        <v>7611700</v>
      </c>
      <c r="B133" s="28" t="s">
        <v>329</v>
      </c>
      <c r="C133" s="49">
        <v>7611700</v>
      </c>
      <c r="D133" s="49">
        <v>7611700</v>
      </c>
      <c r="E133" s="49" t="s">
        <v>33</v>
      </c>
      <c r="F133" s="49" t="s">
        <v>420</v>
      </c>
      <c r="G133" s="49">
        <v>701</v>
      </c>
      <c r="H133" s="28" t="s">
        <v>330</v>
      </c>
    </row>
    <row r="134" spans="1:8" ht="18" customHeight="1" x14ac:dyDescent="0.4">
      <c r="A134" s="49">
        <v>7611800</v>
      </c>
      <c r="B134" s="28" t="s">
        <v>88</v>
      </c>
      <c r="C134" s="49">
        <v>7611800</v>
      </c>
      <c r="D134" s="49">
        <v>7611800</v>
      </c>
      <c r="E134" s="49" t="s">
        <v>33</v>
      </c>
      <c r="F134" s="49" t="s">
        <v>91</v>
      </c>
      <c r="G134" s="49">
        <v>701</v>
      </c>
      <c r="H134" s="28" t="s">
        <v>331</v>
      </c>
    </row>
    <row r="135" spans="1:8" ht="18" customHeight="1" x14ac:dyDescent="0.4">
      <c r="A135" s="49">
        <v>7621101</v>
      </c>
      <c r="B135" s="28" t="s">
        <v>332</v>
      </c>
      <c r="C135" s="49">
        <v>7621101</v>
      </c>
      <c r="D135" s="49">
        <v>7621101</v>
      </c>
      <c r="E135" s="49" t="s">
        <v>33</v>
      </c>
      <c r="F135" s="49" t="s">
        <v>483</v>
      </c>
      <c r="G135" s="49">
        <v>903</v>
      </c>
      <c r="H135" s="28" t="s">
        <v>333</v>
      </c>
    </row>
    <row r="136" spans="1:8" ht="18" customHeight="1" x14ac:dyDescent="0.4">
      <c r="A136" s="50">
        <v>7621199</v>
      </c>
      <c r="B136" s="47" t="s">
        <v>334</v>
      </c>
      <c r="C136" s="50">
        <v>7621199</v>
      </c>
      <c r="D136" s="50">
        <v>7621199</v>
      </c>
      <c r="E136" s="49" t="s">
        <v>33</v>
      </c>
      <c r="F136" s="49" t="s">
        <v>484</v>
      </c>
      <c r="G136" s="49">
        <v>801</v>
      </c>
      <c r="H136" s="28" t="s">
        <v>336</v>
      </c>
    </row>
    <row r="137" spans="1:8" ht="18" customHeight="1" x14ac:dyDescent="0.4">
      <c r="A137" s="49">
        <v>7631101</v>
      </c>
      <c r="B137" s="28" t="s">
        <v>219</v>
      </c>
      <c r="C137" s="49">
        <v>7631101</v>
      </c>
      <c r="D137" s="49">
        <v>7631101</v>
      </c>
      <c r="E137" s="49" t="s">
        <v>33</v>
      </c>
      <c r="F137" s="49" t="s">
        <v>220</v>
      </c>
      <c r="G137" s="49">
        <v>501</v>
      </c>
      <c r="H137" s="28" t="s">
        <v>337</v>
      </c>
    </row>
    <row r="138" spans="1:8" ht="18" customHeight="1" x14ac:dyDescent="0.4">
      <c r="A138" s="49">
        <v>7631102</v>
      </c>
      <c r="B138" s="28" t="s">
        <v>223</v>
      </c>
      <c r="C138" s="49">
        <v>7631102</v>
      </c>
      <c r="D138" s="49">
        <v>7631102</v>
      </c>
      <c r="E138" s="49" t="s">
        <v>33</v>
      </c>
      <c r="F138" s="49" t="s">
        <v>224</v>
      </c>
      <c r="G138" s="49">
        <v>502</v>
      </c>
      <c r="H138" s="28" t="s">
        <v>338</v>
      </c>
    </row>
    <row r="139" spans="1:8" ht="18" customHeight="1" x14ac:dyDescent="0.4">
      <c r="A139" s="49">
        <v>7641101</v>
      </c>
      <c r="B139" s="28" t="s">
        <v>204</v>
      </c>
      <c r="C139" s="49">
        <v>7641101</v>
      </c>
      <c r="D139" s="49">
        <v>7641101</v>
      </c>
      <c r="E139" s="49" t="s">
        <v>33</v>
      </c>
      <c r="F139" s="49" t="s">
        <v>218</v>
      </c>
      <c r="G139" s="49">
        <v>401</v>
      </c>
      <c r="H139" s="28" t="s">
        <v>339</v>
      </c>
    </row>
    <row r="140" spans="1:8" ht="18" customHeight="1" x14ac:dyDescent="0.4">
      <c r="A140" s="49">
        <v>7641102</v>
      </c>
      <c r="B140" s="28" t="s">
        <v>29</v>
      </c>
      <c r="C140" s="49">
        <v>7641102</v>
      </c>
      <c r="D140" s="49">
        <v>7641102</v>
      </c>
      <c r="E140" s="49" t="s">
        <v>33</v>
      </c>
      <c r="F140" s="49" t="s">
        <v>217</v>
      </c>
      <c r="G140" s="49">
        <v>401</v>
      </c>
      <c r="H140" s="28" t="s">
        <v>340</v>
      </c>
    </row>
    <row r="141" spans="1:8" ht="18" customHeight="1" x14ac:dyDescent="0.4">
      <c r="A141" s="49">
        <v>7641103</v>
      </c>
      <c r="B141" s="28" t="s">
        <v>209</v>
      </c>
      <c r="C141" s="49">
        <v>7641103</v>
      </c>
      <c r="D141" s="49">
        <v>7641103</v>
      </c>
      <c r="E141" s="49" t="s">
        <v>33</v>
      </c>
      <c r="F141" s="49" t="s">
        <v>212</v>
      </c>
      <c r="G141" s="49">
        <v>902</v>
      </c>
      <c r="H141" s="28" t="s">
        <v>341</v>
      </c>
    </row>
    <row r="142" spans="1:8" ht="18" customHeight="1" x14ac:dyDescent="0.4">
      <c r="A142" s="49">
        <v>7641104</v>
      </c>
      <c r="B142" s="28" t="s">
        <v>238</v>
      </c>
      <c r="C142" s="49">
        <v>7641104</v>
      </c>
      <c r="D142" s="49">
        <v>7641104</v>
      </c>
      <c r="E142" s="49" t="s">
        <v>33</v>
      </c>
      <c r="F142" s="49" t="s">
        <v>239</v>
      </c>
      <c r="G142" s="49">
        <v>999</v>
      </c>
      <c r="H142" s="28" t="s">
        <v>344</v>
      </c>
    </row>
    <row r="143" spans="1:8" ht="18" customHeight="1" x14ac:dyDescent="0.4">
      <c r="A143" s="49">
        <v>7651101</v>
      </c>
      <c r="B143" s="28" t="s">
        <v>23</v>
      </c>
      <c r="C143" s="49">
        <v>7651101</v>
      </c>
      <c r="D143" s="49">
        <v>7651101</v>
      </c>
      <c r="E143" s="49" t="s">
        <v>33</v>
      </c>
      <c r="F143" s="49" t="s">
        <v>232</v>
      </c>
      <c r="G143" s="49">
        <v>903</v>
      </c>
      <c r="H143" s="28" t="s">
        <v>345</v>
      </c>
    </row>
    <row r="144" spans="1:8" ht="18" customHeight="1" x14ac:dyDescent="0.4">
      <c r="A144" s="49">
        <v>7651102</v>
      </c>
      <c r="B144" s="28" t="s">
        <v>21</v>
      </c>
      <c r="C144" s="49">
        <v>7651102</v>
      </c>
      <c r="D144" s="49">
        <v>7651102</v>
      </c>
      <c r="E144" s="49" t="s">
        <v>33</v>
      </c>
      <c r="F144" s="49" t="s">
        <v>69</v>
      </c>
      <c r="G144" s="49">
        <v>903</v>
      </c>
      <c r="H144" s="28" t="s">
        <v>346</v>
      </c>
    </row>
    <row r="145" spans="1:8" ht="18" customHeight="1" x14ac:dyDescent="0.4">
      <c r="A145" s="49">
        <v>7651103</v>
      </c>
      <c r="B145" s="28" t="s">
        <v>20</v>
      </c>
      <c r="C145" s="49">
        <v>7651103</v>
      </c>
      <c r="D145" s="49">
        <v>7651103</v>
      </c>
      <c r="E145" s="49" t="s">
        <v>33</v>
      </c>
      <c r="F145" s="49" t="s">
        <v>214</v>
      </c>
      <c r="G145" s="49">
        <v>903</v>
      </c>
      <c r="H145" s="28" t="s">
        <v>347</v>
      </c>
    </row>
    <row r="146" spans="1:8" ht="18" customHeight="1" x14ac:dyDescent="0.4">
      <c r="A146" s="49">
        <v>7661101</v>
      </c>
      <c r="B146" s="28" t="s">
        <v>24</v>
      </c>
      <c r="C146" s="49">
        <v>7661101</v>
      </c>
      <c r="D146" s="49">
        <v>7661101</v>
      </c>
      <c r="E146" s="49" t="s">
        <v>33</v>
      </c>
      <c r="F146" s="49" t="s">
        <v>251</v>
      </c>
      <c r="G146" s="49">
        <v>999</v>
      </c>
      <c r="H146" s="28" t="s">
        <v>348</v>
      </c>
    </row>
    <row r="147" spans="1:8" ht="18" customHeight="1" x14ac:dyDescent="0.4">
      <c r="A147" s="49">
        <v>7671102</v>
      </c>
      <c r="B147" s="28" t="s">
        <v>179</v>
      </c>
      <c r="C147" s="49">
        <v>7671102</v>
      </c>
      <c r="D147" s="49">
        <v>7671102</v>
      </c>
      <c r="E147" s="49" t="s">
        <v>33</v>
      </c>
      <c r="F147" s="49" t="s">
        <v>180</v>
      </c>
      <c r="G147" s="49">
        <v>999</v>
      </c>
      <c r="H147" s="28" t="s">
        <v>349</v>
      </c>
    </row>
    <row r="148" spans="1:8" ht="18" customHeight="1" x14ac:dyDescent="0.4">
      <c r="A148" s="49">
        <v>7671103</v>
      </c>
      <c r="B148" s="28" t="s">
        <v>188</v>
      </c>
      <c r="C148" s="49">
        <v>7671103</v>
      </c>
      <c r="D148" s="49">
        <v>7671103</v>
      </c>
      <c r="E148" s="49" t="s">
        <v>33</v>
      </c>
      <c r="F148" s="49" t="s">
        <v>485</v>
      </c>
      <c r="G148" s="49">
        <v>999</v>
      </c>
      <c r="H148" s="28" t="s">
        <v>350</v>
      </c>
    </row>
    <row r="149" spans="1:8" ht="18" customHeight="1" x14ac:dyDescent="0.4">
      <c r="A149" s="49">
        <v>7681101</v>
      </c>
      <c r="B149" s="28" t="s">
        <v>134</v>
      </c>
      <c r="C149" s="49">
        <v>7681101</v>
      </c>
      <c r="D149" s="49">
        <v>7681101</v>
      </c>
      <c r="E149" s="49" t="s">
        <v>33</v>
      </c>
      <c r="F149" s="49" t="s">
        <v>135</v>
      </c>
      <c r="G149" s="49">
        <v>999</v>
      </c>
      <c r="H149" s="28" t="s">
        <v>351</v>
      </c>
    </row>
    <row r="150" spans="1:8" ht="18" customHeight="1" x14ac:dyDescent="0.4">
      <c r="A150" s="49">
        <v>7691000</v>
      </c>
      <c r="B150" s="28" t="s">
        <v>70</v>
      </c>
      <c r="C150" s="49">
        <v>7691000</v>
      </c>
      <c r="D150" s="49">
        <v>7691000</v>
      </c>
      <c r="E150" s="49" t="s">
        <v>33</v>
      </c>
      <c r="F150" s="49" t="s">
        <v>71</v>
      </c>
      <c r="G150" s="49">
        <v>999</v>
      </c>
      <c r="H150" s="28" t="s">
        <v>352</v>
      </c>
    </row>
    <row r="151" spans="1:8" ht="18" customHeight="1" x14ac:dyDescent="0.4">
      <c r="A151" s="49">
        <v>7711101</v>
      </c>
      <c r="B151" s="28" t="s">
        <v>27</v>
      </c>
      <c r="C151" s="49">
        <v>7711101</v>
      </c>
      <c r="D151" s="49">
        <v>7711101</v>
      </c>
      <c r="E151" s="49" t="s">
        <v>33</v>
      </c>
      <c r="F151" s="49" t="s">
        <v>72</v>
      </c>
      <c r="G151" s="49">
        <v>999</v>
      </c>
      <c r="H151" s="28" t="s">
        <v>353</v>
      </c>
    </row>
    <row r="152" spans="1:8" ht="18" customHeight="1" x14ac:dyDescent="0.4">
      <c r="A152" s="49">
        <v>7711102</v>
      </c>
      <c r="B152" s="28" t="s">
        <v>73</v>
      </c>
      <c r="C152" s="49">
        <v>7711102</v>
      </c>
      <c r="D152" s="49">
        <v>7711102</v>
      </c>
      <c r="E152" s="49" t="s">
        <v>33</v>
      </c>
      <c r="F152" s="49" t="s">
        <v>74</v>
      </c>
      <c r="G152" s="49">
        <v>904</v>
      </c>
      <c r="H152" s="28" t="s">
        <v>354</v>
      </c>
    </row>
    <row r="153" spans="1:8" ht="18" customHeight="1" x14ac:dyDescent="0.4">
      <c r="A153" s="49">
        <v>7711103</v>
      </c>
      <c r="B153" s="28" t="s">
        <v>130</v>
      </c>
      <c r="C153" s="49">
        <v>7711103</v>
      </c>
      <c r="D153" s="49">
        <v>7711103</v>
      </c>
      <c r="E153" s="49" t="s">
        <v>33</v>
      </c>
      <c r="F153" s="49" t="s">
        <v>486</v>
      </c>
      <c r="G153" s="49">
        <v>999</v>
      </c>
      <c r="H153" s="28" t="s">
        <v>355</v>
      </c>
    </row>
    <row r="154" spans="1:8" ht="18" customHeight="1" x14ac:dyDescent="0.4">
      <c r="A154" s="49">
        <v>7721101</v>
      </c>
      <c r="B154" s="28" t="s">
        <v>92</v>
      </c>
      <c r="C154" s="49">
        <v>7721101</v>
      </c>
      <c r="D154" s="49">
        <v>7721101</v>
      </c>
      <c r="E154" s="49" t="s">
        <v>33</v>
      </c>
      <c r="F154" s="49" t="s">
        <v>487</v>
      </c>
      <c r="G154" s="49">
        <v>999</v>
      </c>
      <c r="H154" s="28" t="s">
        <v>356</v>
      </c>
    </row>
    <row r="155" spans="1:8" ht="18" customHeight="1" x14ac:dyDescent="0.4">
      <c r="A155" s="49">
        <v>7729101</v>
      </c>
      <c r="B155" s="28" t="s">
        <v>22</v>
      </c>
      <c r="C155" s="49">
        <v>7729101</v>
      </c>
      <c r="D155" s="49">
        <v>7729101</v>
      </c>
      <c r="E155" s="49" t="s">
        <v>33</v>
      </c>
      <c r="F155" s="49" t="s">
        <v>75</v>
      </c>
      <c r="G155" s="49">
        <v>905</v>
      </c>
      <c r="H155" s="28" t="s">
        <v>357</v>
      </c>
    </row>
    <row r="156" spans="1:8" ht="18" customHeight="1" x14ac:dyDescent="0.4">
      <c r="A156" s="49">
        <v>7729103</v>
      </c>
      <c r="B156" s="28" t="s">
        <v>97</v>
      </c>
      <c r="C156" s="49">
        <v>7729103</v>
      </c>
      <c r="D156" s="49">
        <v>7729103</v>
      </c>
      <c r="E156" s="49" t="s">
        <v>33</v>
      </c>
      <c r="F156" s="49" t="s">
        <v>98</v>
      </c>
      <c r="G156" s="49">
        <v>907</v>
      </c>
      <c r="H156" s="28" t="s">
        <v>358</v>
      </c>
    </row>
    <row r="157" spans="1:8" ht="18" customHeight="1" x14ac:dyDescent="0.4">
      <c r="A157" s="49">
        <v>7729105</v>
      </c>
      <c r="B157" s="28" t="s">
        <v>359</v>
      </c>
      <c r="C157" s="49">
        <v>7729105</v>
      </c>
      <c r="D157" s="49">
        <v>7729105</v>
      </c>
      <c r="E157" s="49" t="s">
        <v>33</v>
      </c>
      <c r="F157" s="49" t="s">
        <v>488</v>
      </c>
      <c r="G157" s="49">
        <v>999</v>
      </c>
      <c r="H157" s="28" t="s">
        <v>360</v>
      </c>
    </row>
    <row r="158" spans="1:8" ht="18" customHeight="1" x14ac:dyDescent="0.4">
      <c r="A158" s="49">
        <v>7781101</v>
      </c>
      <c r="B158" s="28" t="s">
        <v>76</v>
      </c>
      <c r="C158" s="49">
        <v>7781101</v>
      </c>
      <c r="D158" s="49">
        <v>7781101</v>
      </c>
      <c r="E158" s="49" t="s">
        <v>33</v>
      </c>
      <c r="F158" s="49" t="s">
        <v>77</v>
      </c>
      <c r="G158" s="49">
        <v>999</v>
      </c>
      <c r="H158" s="28" t="s">
        <v>361</v>
      </c>
    </row>
    <row r="159" spans="1:8" ht="18" customHeight="1" x14ac:dyDescent="0.4">
      <c r="A159" s="49">
        <v>7781103</v>
      </c>
      <c r="B159" s="28" t="s">
        <v>25</v>
      </c>
      <c r="C159" s="49">
        <v>7781103</v>
      </c>
      <c r="D159" s="49">
        <v>7781103</v>
      </c>
      <c r="E159" s="49" t="s">
        <v>33</v>
      </c>
      <c r="F159" s="49" t="s">
        <v>253</v>
      </c>
      <c r="G159" s="49">
        <v>999</v>
      </c>
      <c r="H159" s="28" t="s">
        <v>362</v>
      </c>
    </row>
    <row r="160" spans="1:8" ht="18" customHeight="1" x14ac:dyDescent="0.4">
      <c r="A160" s="49">
        <v>7781104</v>
      </c>
      <c r="B160" s="28" t="s">
        <v>363</v>
      </c>
      <c r="C160" s="49">
        <v>7781104</v>
      </c>
      <c r="D160" s="49">
        <v>7781104</v>
      </c>
      <c r="E160" s="49" t="s">
        <v>33</v>
      </c>
      <c r="F160" s="49" t="s">
        <v>489</v>
      </c>
      <c r="G160" s="49">
        <v>999</v>
      </c>
      <c r="H160" s="28" t="s">
        <v>364</v>
      </c>
    </row>
    <row r="161" spans="1:8" ht="18" customHeight="1" x14ac:dyDescent="0.4">
      <c r="A161" s="49">
        <v>7781105</v>
      </c>
      <c r="B161" s="28" t="s">
        <v>254</v>
      </c>
      <c r="C161" s="49">
        <v>7781105</v>
      </c>
      <c r="D161" s="49">
        <v>7781105</v>
      </c>
      <c r="E161" s="49" t="s">
        <v>33</v>
      </c>
      <c r="F161" s="49" t="s">
        <v>490</v>
      </c>
      <c r="G161" s="49">
        <v>999</v>
      </c>
      <c r="H161" s="28" t="s">
        <v>365</v>
      </c>
    </row>
    <row r="162" spans="1:8" ht="18" customHeight="1" x14ac:dyDescent="0.4">
      <c r="A162" s="49">
        <v>7781106</v>
      </c>
      <c r="B162" s="28" t="s">
        <v>366</v>
      </c>
      <c r="C162" s="49">
        <v>7781106</v>
      </c>
      <c r="D162" s="49">
        <v>7781106</v>
      </c>
      <c r="E162" s="49" t="s">
        <v>33</v>
      </c>
      <c r="F162" s="49" t="s">
        <v>491</v>
      </c>
      <c r="G162" s="49">
        <v>999</v>
      </c>
      <c r="H162" s="28" t="s">
        <v>367</v>
      </c>
    </row>
    <row r="163" spans="1:8" ht="18" customHeight="1" x14ac:dyDescent="0.4">
      <c r="A163" s="49">
        <v>7781107</v>
      </c>
      <c r="B163" s="28" t="s">
        <v>198</v>
      </c>
      <c r="C163" s="49">
        <v>7781107</v>
      </c>
      <c r="D163" s="49">
        <v>7781107</v>
      </c>
      <c r="E163" s="49" t="s">
        <v>33</v>
      </c>
      <c r="F163" s="49" t="s">
        <v>213</v>
      </c>
      <c r="G163" s="49">
        <v>906</v>
      </c>
      <c r="H163" s="28" t="s">
        <v>368</v>
      </c>
    </row>
    <row r="164" spans="1:8" ht="18" customHeight="1" x14ac:dyDescent="0.4">
      <c r="A164" s="49">
        <v>7781111</v>
      </c>
      <c r="B164" s="28" t="s">
        <v>199</v>
      </c>
      <c r="C164" s="49">
        <v>7781111</v>
      </c>
      <c r="D164" s="49">
        <v>7781111</v>
      </c>
      <c r="E164" s="49" t="s">
        <v>33</v>
      </c>
      <c r="F164" s="49" t="s">
        <v>492</v>
      </c>
      <c r="G164" s="49">
        <v>999</v>
      </c>
      <c r="H164" s="28" t="s">
        <v>369</v>
      </c>
    </row>
    <row r="165" spans="1:8" ht="18" customHeight="1" x14ac:dyDescent="0.4">
      <c r="A165" s="49">
        <v>7781112</v>
      </c>
      <c r="B165" s="28" t="s">
        <v>26</v>
      </c>
      <c r="C165" s="49">
        <v>7781112</v>
      </c>
      <c r="D165" s="49">
        <v>7781112</v>
      </c>
      <c r="E165" s="49" t="s">
        <v>33</v>
      </c>
      <c r="F165" s="49" t="s">
        <v>252</v>
      </c>
      <c r="G165" s="49">
        <v>999</v>
      </c>
      <c r="H165" s="28" t="s">
        <v>370</v>
      </c>
    </row>
    <row r="166" spans="1:8" ht="18" customHeight="1" x14ac:dyDescent="0.4">
      <c r="A166" s="49">
        <v>7781113</v>
      </c>
      <c r="B166" s="28" t="s">
        <v>85</v>
      </c>
      <c r="C166" s="49">
        <v>7781113</v>
      </c>
      <c r="D166" s="49">
        <v>7781113</v>
      </c>
      <c r="E166" s="49" t="s">
        <v>33</v>
      </c>
      <c r="F166" s="49" t="s">
        <v>87</v>
      </c>
      <c r="G166" s="49">
        <v>999</v>
      </c>
      <c r="H166" s="28" t="s">
        <v>371</v>
      </c>
    </row>
    <row r="167" spans="1:8" ht="18" customHeight="1" x14ac:dyDescent="0.4">
      <c r="A167" s="29">
        <v>8291101</v>
      </c>
      <c r="B167" s="28" t="s">
        <v>206</v>
      </c>
      <c r="C167" s="29">
        <v>8291101</v>
      </c>
      <c r="D167" s="29">
        <v>8291101</v>
      </c>
      <c r="E167" s="30" t="s">
        <v>411</v>
      </c>
      <c r="F167" s="30" t="s">
        <v>493</v>
      </c>
    </row>
    <row r="168" spans="1:8" ht="18" customHeight="1" x14ac:dyDescent="0.4">
      <c r="A168" s="29">
        <v>8291102</v>
      </c>
      <c r="B168" s="28" t="s">
        <v>114</v>
      </c>
      <c r="C168" s="29">
        <v>8291102</v>
      </c>
      <c r="D168" s="29">
        <v>8291102</v>
      </c>
      <c r="E168" s="30" t="s">
        <v>411</v>
      </c>
      <c r="F168" s="30" t="s">
        <v>494</v>
      </c>
    </row>
    <row r="169" spans="1:8" ht="18" customHeight="1" x14ac:dyDescent="0.4">
      <c r="A169" s="29">
        <v>8291201</v>
      </c>
      <c r="B169" s="28" t="s">
        <v>201</v>
      </c>
      <c r="C169" s="29">
        <v>8291201</v>
      </c>
      <c r="D169" s="29">
        <v>8291201</v>
      </c>
      <c r="E169" s="30" t="s">
        <v>411</v>
      </c>
      <c r="F169" s="30" t="s">
        <v>495</v>
      </c>
    </row>
    <row r="170" spans="1:8" ht="18" customHeight="1" x14ac:dyDescent="0.4">
      <c r="A170" s="29">
        <v>8291202</v>
      </c>
      <c r="B170" s="28" t="s">
        <v>207</v>
      </c>
      <c r="C170" s="29">
        <v>8291202</v>
      </c>
      <c r="D170" s="29">
        <v>8291202</v>
      </c>
      <c r="E170" s="30" t="s">
        <v>411</v>
      </c>
      <c r="F170" s="30" t="s">
        <v>496</v>
      </c>
    </row>
    <row r="171" spans="1:8" ht="18" customHeight="1" x14ac:dyDescent="0.4">
      <c r="A171" s="29">
        <v>8291203</v>
      </c>
      <c r="B171" s="28" t="s">
        <v>208</v>
      </c>
      <c r="C171" s="29">
        <v>8291203</v>
      </c>
      <c r="D171" s="29">
        <v>8291203</v>
      </c>
      <c r="E171" s="30" t="s">
        <v>411</v>
      </c>
      <c r="F171" s="30" t="s">
        <v>497</v>
      </c>
    </row>
    <row r="172" spans="1:8" ht="18" customHeight="1" x14ac:dyDescent="0.4">
      <c r="A172" s="29">
        <v>8191101</v>
      </c>
      <c r="B172" s="28" t="s">
        <v>412</v>
      </c>
      <c r="C172" s="29">
        <v>8191101</v>
      </c>
      <c r="D172" s="29">
        <v>8191101</v>
      </c>
      <c r="E172" s="30" t="s">
        <v>411</v>
      </c>
      <c r="F172" s="30" t="s">
        <v>498</v>
      </c>
    </row>
    <row r="173" spans="1:8" ht="18" customHeight="1" x14ac:dyDescent="0.4">
      <c r="G173" s="51"/>
    </row>
  </sheetData>
  <phoneticPr fontId="28"/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Upload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Tatsuya Iseki</cp:lastModifiedBy>
  <dcterms:created xsi:type="dcterms:W3CDTF">2020-12-08T03:20:39Z</dcterms:created>
  <dcterms:modified xsi:type="dcterms:W3CDTF">2021-11-19T10:44:35Z</dcterms:modified>
</cp:coreProperties>
</file>
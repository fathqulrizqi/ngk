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B080ECA2-0393-438A-9C70-DD350B273683}" xr6:coauthVersionLast="47" xr6:coauthVersionMax="47" xr10:uidLastSave="{00000000-0000-0000-0000-000000000000}"/>
  <bookViews>
    <workbookView xWindow="-108" yWindow="-108" windowWidth="23256" windowHeight="12456" xr2:uid="{C53FDC34-7892-4F4E-9408-2EF96F6145C2}"/>
  </bookViews>
  <sheets>
    <sheet name="Uploa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j102">#REF!</definedName>
    <definedName name="_1">#N/A</definedName>
    <definedName name="_Fill" hidden="1">#REF!</definedName>
    <definedName name="_xlnm._FilterDatabase" localSheetId="0" hidden="1">Upload!$A$1:$AH$1</definedName>
    <definedName name="_xlnm._FilterDatabase" hidden="1">[1]金具工程見出し!$A$9:$K$9</definedName>
    <definedName name="_j102">#REF!</definedName>
    <definedName name="_Key1" hidden="1">#REF!</definedName>
    <definedName name="_Order1" hidden="1">255</definedName>
    <definedName name="_Sort" hidden="1">#REF!</definedName>
    <definedName name="aa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>#REF!</definedName>
    <definedName name="kissakei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>#REF!</definedName>
    <definedName name="tgll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>#REF!</definedName>
    <definedName name="予算ﾚｰﾄ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>[6]支援計画・０４!$G$4:$G$171</definedName>
    <definedName name="到着">[6]支援計画・０４!$F$4:$F$171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>#REF!</definedName>
    <definedName name="商品群">[7]テーブル!$B$2:$B$7</definedName>
    <definedName name="実績レート">#REF!</definedName>
    <definedName name="対象日数">#REF!</definedName>
    <definedName name="技術開発経費181">#REF!</definedName>
    <definedName name="技術開発経費182">#REF!</definedName>
    <definedName name="担当者">[7]テーブル!$F$2:$F$24</definedName>
    <definedName name="支援まとめ">'[8]予定日別1-6'!$U$4:$GV$4</definedName>
    <definedName name="日付">[6]支援計画・０４!$J$4:$CW$4</definedName>
    <definedName name="日数">#REF!</definedName>
    <definedName name="期">#REF!</definedName>
    <definedName name="梱包_Ｍ３">'[9]KB,MOLD ESTIMATE.00'!$F$13:$X$13</definedName>
    <definedName name="機能分類リスト">[10]開発計画品番リスト!#REF!</definedName>
    <definedName name="比率">[11]調達計画!#REF!</definedName>
    <definedName name="決算期区分">#REF!</definedName>
    <definedName name="為替">#REF!</definedName>
    <definedName name="為替レートEU">#REF!</definedName>
    <definedName name="為替レートUS">#REF!</definedName>
    <definedName name="生産拠点">[7]テーブル!$C$2:$C$6</definedName>
    <definedName name="直販ｺｰﾄﾞ">'[4]ｺﾋﾟｰ用（直セ）'!$F$1:$AN$263</definedName>
    <definedName name="立上年">[7]テーブル!$A$2:$A$11</definedName>
    <definedName name="立上月">[7]テーブル!$D$2:$D$13</definedName>
    <definedName name="補助部門比率">#REF!</definedName>
    <definedName name="補助部門費_設計以外181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" i="1" l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K1" i="1"/>
  <c r="L1" i="1"/>
  <c r="M1" i="1"/>
  <c r="N1" i="1"/>
</calcChain>
</file>

<file path=xl/sharedStrings.xml><?xml version="1.0" encoding="utf-8"?>
<sst xmlns="http://schemas.openxmlformats.org/spreadsheetml/2006/main" count="378" uniqueCount="104">
  <si>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</si>
  <si>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</si>
  <si>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</si>
  <si>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</si>
  <si>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</si>
  <si>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</si>
  <si>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</si>
  <si>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</si>
  <si>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</si>
  <si>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</si>
  <si>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Priority Category</t>
  </si>
  <si>
    <t>BUDGET NO</t>
  </si>
  <si>
    <t>BEX</t>
  </si>
  <si>
    <t>B2400</t>
  </si>
  <si>
    <t>Information Technology</t>
  </si>
  <si>
    <t>7515401</t>
  </si>
  <si>
    <t>Staff Welfare - Outpatient (Medical)</t>
  </si>
  <si>
    <t>Outpatient / Medical Expense</t>
  </si>
  <si>
    <t>ADM</t>
  </si>
  <si>
    <t>SGA</t>
  </si>
  <si>
    <t>1000000</t>
  </si>
  <si>
    <t>2000000</t>
  </si>
  <si>
    <t>6000000</t>
  </si>
  <si>
    <t>BEX-FY123-B2400-001</t>
  </si>
  <si>
    <t>7515402</t>
  </si>
  <si>
    <t>Staff Welfare - Hospitalization</t>
  </si>
  <si>
    <t>Hospitalization Expense</t>
  </si>
  <si>
    <t>BEX-FY123-B2400-002</t>
  </si>
  <si>
    <t>7515404</t>
  </si>
  <si>
    <t>Staff Welfare - Dental</t>
  </si>
  <si>
    <t>Dental Expense</t>
  </si>
  <si>
    <t>750000</t>
  </si>
  <si>
    <t>600000</t>
  </si>
  <si>
    <t>1200000</t>
  </si>
  <si>
    <t>BEX-FY123-B2400-003</t>
  </si>
  <si>
    <t>7671103</t>
  </si>
  <si>
    <t>License fee</t>
  </si>
  <si>
    <t>Google Apps License</t>
  </si>
  <si>
    <t>25882349</t>
  </si>
  <si>
    <t>27941172</t>
  </si>
  <si>
    <t>155294093</t>
  </si>
  <si>
    <t>335294064</t>
  </si>
  <si>
    <t>BEX-FY123-B2400-004</t>
  </si>
  <si>
    <t>Hosting &amp; Website - Yearly Renewal</t>
  </si>
  <si>
    <t>300000</t>
  </si>
  <si>
    <t>1800000</t>
  </si>
  <si>
    <t>3600000</t>
  </si>
  <si>
    <t>BEX-FY123-B2400-005</t>
  </si>
  <si>
    <t>Microsoft Visual Studio 2020 (For Programming)</t>
  </si>
  <si>
    <t>11000000</t>
  </si>
  <si>
    <t>BEX-FY123-B2400-006</t>
  </si>
  <si>
    <t>Yearly Renewal - Adobe Acrobat License</t>
  </si>
  <si>
    <t>3000000</t>
  </si>
  <si>
    <t>BEX-FY123-B2400-007</t>
  </si>
  <si>
    <t>Yearly Renewal - Dynamic AX VMWare Server</t>
  </si>
  <si>
    <t>24080000</t>
  </si>
  <si>
    <t>12810000</t>
  </si>
  <si>
    <t>36890000</t>
  </si>
  <si>
    <t>BEX-FY123-B2400-008</t>
  </si>
  <si>
    <t>Yearly Renewal - Firewall Security System</t>
  </si>
  <si>
    <t>5449750</t>
  </si>
  <si>
    <t>32698500</t>
  </si>
  <si>
    <t>65397000</t>
  </si>
  <si>
    <t>BEX-FY123-B2400-009</t>
  </si>
  <si>
    <t>Yearly Renewal - Fujitsu Maintenance Support</t>
  </si>
  <si>
    <t>30000000</t>
  </si>
  <si>
    <t>BEX-FY123-B2400-010</t>
  </si>
  <si>
    <t>Yearly Renewal - Kaspersky Anti Virus Server</t>
  </si>
  <si>
    <t>3250000</t>
  </si>
  <si>
    <t>BEX-FY123-B2400-011</t>
  </si>
  <si>
    <t>Yearly Renewal - Microsoft Office  60 Licenses</t>
  </si>
  <si>
    <t>7600000</t>
  </si>
  <si>
    <t>45600000</t>
  </si>
  <si>
    <t>91200000</t>
  </si>
  <si>
    <t>BEX-FY123-B2400-012</t>
  </si>
  <si>
    <t>Yearly Renewal - Oracle Database &amp; Interstate List Creator For Asprova &amp; Flexnet</t>
  </si>
  <si>
    <t>240000000</t>
  </si>
  <si>
    <t>BEX-FY123-B2400-013</t>
  </si>
  <si>
    <t>7691000</t>
  </si>
  <si>
    <t>Office supply &amp; Stationary Expense</t>
  </si>
  <si>
    <t>Stationary For IT</t>
  </si>
  <si>
    <t>70000</t>
  </si>
  <si>
    <t>140000</t>
  </si>
  <si>
    <t>BEX-FY123-B2400-014</t>
  </si>
  <si>
    <t>7711101</t>
  </si>
  <si>
    <t>Communication expenses</t>
  </si>
  <si>
    <t>Internet Connection Fees (Main &amp; Backup)</t>
  </si>
  <si>
    <t>27500000</t>
  </si>
  <si>
    <t>26500000</t>
  </si>
  <si>
    <t>165000000</t>
  </si>
  <si>
    <t>318000000</t>
  </si>
  <si>
    <t>BEX-FY123-B2400-015</t>
  </si>
  <si>
    <t>7711102</t>
  </si>
  <si>
    <t>IT Expense</t>
  </si>
  <si>
    <t>IT Tools</t>
  </si>
  <si>
    <t>1700000</t>
  </si>
  <si>
    <t>1500000</t>
  </si>
  <si>
    <t>1100000</t>
  </si>
  <si>
    <t>500000</t>
  </si>
  <si>
    <t>2100000</t>
  </si>
  <si>
    <t>360000</t>
  </si>
  <si>
    <t>5500000</t>
  </si>
  <si>
    <t>5760000</t>
  </si>
  <si>
    <t>BEX-FY123-B2400-016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</si>
</sst>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0" fontId="10" fillId="0" borderId="0">
      <alignment vertical="center"/>
    </xf>
    <xf numFmtId="0" fontId="11" fillId="7" borderId="0"/>
    <xf numFmtId="43" fontId="1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" fillId="0" borderId="0"/>
  </cellStyleXfs>
  <cellXfs count="23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3" fillId="2" borderId="0" xfId="3" applyNumberFormat="1" applyFont="1" applyFill="1" applyBorder="1" applyAlignment="1">
      <alignment horizontal="center" vertical="center" wrapText="1"/>
    </xf>
    <xf numFmtId="164" fontId="3" fillId="2" borderId="0" xfId="3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164" fontId="5" fillId="0" borderId="0" xfId="3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 applyAlignment="1">
      <alignment horizontal="center" vertical="center"/>
    </xf>
    <xf numFmtId="164" fontId="3" fillId="3" borderId="0" xfId="7" applyNumberFormat="1" applyFont="1" applyFill="1" applyBorder="1" applyAlignment="1">
      <alignment horizontal="center" vertical="center" wrapText="1"/>
    </xf>
    <xf numFmtId="164" fontId="3" fillId="4" borderId="0" xfId="7" applyNumberFormat="1" applyFont="1" applyFill="1" applyBorder="1" applyAlignment="1">
      <alignment horizontal="center" vertical="center" wrapText="1"/>
    </xf>
    <xf numFmtId="164" fontId="4" fillId="5" borderId="0" xfId="7" applyNumberFormat="1" applyFont="1" applyFill="1" applyBorder="1" applyAlignment="1">
      <alignment horizontal="center" vertical="center" wrapText="1"/>
    </xf>
    <xf numFmtId="164" fontId="5" fillId="0" borderId="0" xfId="7" applyNumberFormat="1" applyFont="1" applyFill="1" applyBorder="1" applyAlignment="1">
      <alignment vertical="center"/>
    </xf>
    <xf numFmtId="0" fontId="8" fillId="2" borderId="0" xfId="2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8" fillId="2" borderId="0" xfId="1" applyNumberFormat="1" applyFont="1" applyFill="1" applyAlignment="1">
      <alignment horizontal="center" vertical="center" wrapText="1"/>
    </xf>
    <xf numFmtId="0" fontId="9" fillId="0" borderId="0" xfId="2" applyNumberFormat="1" applyFont="1" applyAlignment="1">
      <alignment horizontal="center" vertical="center"/>
    </xf>
    <xf numFmtId="0" fontId="3" fillId="6" borderId="0" xfId="1" applyNumberFormat="1" applyFont="1" applyFill="1" applyAlignment="1">
      <alignment horizontal="right" vertical="center" wrapText="1"/>
    </xf>
    <xf numFmtId="0" fontId="3" fillId="6" borderId="0" xfId="1" applyNumberFormat="1" applyFont="1" applyFill="1" applyAlignment="1">
      <alignment horizontal="center" vertical="center" wrapText="1"/>
    </xf>
    <xf numFmtId="0" fontId="5" fillId="0" borderId="0" xfId="2" applyNumberFormat="1" applyFont="1" applyAlignment="1">
      <alignment horizontal="center" vertical="center"/>
    </xf>
    <xf numFmtId="0" fontId="5" fillId="0" borderId="0" xfId="2" applyNumberFormat="1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</cellXfs>
  <cellStyles count="16">
    <cellStyle name="Comma" xfId="7" builtinId="3"/>
    <cellStyle name="Comma 2" xfId="14" xr:uid="{E10D9FDB-20DE-48B4-8EC0-7BC04BCD7841}"/>
    <cellStyle name="Comma 2 2" xfId="12" xr:uid="{64725D1B-13C6-4AB0-9665-94C443150534}"/>
    <cellStyle name="Comma 3 2" xfId="3" xr:uid="{3560898D-4EE0-46D7-AA5F-D1E76649A006}"/>
    <cellStyle name="Comma 3 2 2" xfId="10" xr:uid="{DE1BA802-0771-4788-A6F4-9D30182DE490}"/>
    <cellStyle name="Comma 3 2 2 2" xfId="13" xr:uid="{3B59815C-0AF9-41A1-89EF-8D8B7F852D3C}"/>
    <cellStyle name="Normal" xfId="0" builtinId="0"/>
    <cellStyle name="Normal 11" xfId="6" xr:uid="{A9335861-4218-43F3-8E90-052A954401F7}"/>
    <cellStyle name="Normal 2" xfId="11" xr:uid="{4AE43548-A181-4128-AC71-89C704B9537B}"/>
    <cellStyle name="Normal 2 2" xfId="8" xr:uid="{209D6541-1D5D-41FF-9914-84311ABD526A}"/>
    <cellStyle name="Normal 2 2 2" xfId="15" xr:uid="{7EBF89D6-0537-4D1B-8D8F-F8073378D933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 2" xfId="5" xr:uid="{9F9E1FFC-3908-42F0-BE49-02B86C648D42}"/>
    <cellStyle name="標準 2 2" xfId="9" xr:uid="{AC0D5CAA-1594-412F-B86B-57C06222F44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17"/>
  <sheetViews>
    <sheetView tabSelected="1" zoomScale="70" zoomScaleNormal="70" workbookViewId="0">
      <selection activeCell="C23" sqref="C23"/>
    </sheetView>
  </sheetViews>
  <sheetFormatPr defaultColWidth="11.33203125" defaultRowHeight="15" customHeight="1"/>
  <cols>
    <col min="1" max="1" width="19.109375" style="6" customWidth="1"/>
    <col min="2" max="2" width="10" style="7" customWidth="1"/>
    <col min="3" max="3" width="21.33203125" style="6" customWidth="1"/>
    <col min="4" max="4" width="9.33203125" style="17" customWidth="1"/>
    <col min="5" max="5" width="30.33203125" style="6" bestFit="1" customWidth="1"/>
    <col min="6" max="6" width="10.44140625" style="15" customWidth="1"/>
    <col min="7" max="7" width="31" style="6" customWidth="1"/>
    <col min="8" max="8" width="37.6640625" style="6" customWidth="1"/>
    <col min="9" max="9" width="7.6640625" style="9" bestFit="1" customWidth="1"/>
    <col min="10" max="10" width="7.33203125" style="8" bestFit="1" customWidth="1"/>
    <col min="11" max="16" width="14.6640625" style="13" customWidth="1"/>
    <col min="17" max="17" width="17.6640625" style="13" customWidth="1"/>
    <col min="18" max="29" width="14.6640625" style="13" customWidth="1"/>
    <col min="30" max="30" width="19" style="13" customWidth="1"/>
    <col min="31" max="31" width="15.6640625" style="13" customWidth="1"/>
    <col min="32" max="32" width="18.109375" style="13" customWidth="1"/>
    <col min="33" max="33" width="14.33203125" style="20" bestFit="1" customWidth="1"/>
    <col min="34" max="34" width="22.44140625" style="21" customWidth="1"/>
    <col min="35" max="16384" width="11.33203125" style="6"/>
  </cols>
  <sheetData>
    <row r="1" spans="1:35" s="5" customFormat="1" ht="40.5" customHeight="1">
      <c r="A1" s="1" t="s">
        <v>0</v>
      </c>
      <c r="B1" s="1" t="s">
        <v>1</v>
      </c>
      <c r="C1" s="1" t="s">
        <v>2</v>
      </c>
      <c r="D1" s="16" t="s">
        <v>3</v>
      </c>
      <c r="E1" s="1" t="s">
        <v>4</v>
      </c>
      <c r="F1" s="14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10" t="str">
        <f>$AI$1 &amp; "_" &amp; "10"</f>
        <v>2021_10</v>
      </c>
      <c r="L1" s="10" t="str">
        <f>$AI$1 &amp; "_" &amp; "11"</f>
        <v>2021_11</v>
      </c>
      <c r="M1" s="10" t="str">
        <f>$AI$1 &amp; "_" &amp; "12"</f>
        <v>2021_12</v>
      </c>
      <c r="N1" s="10" t="str">
        <f>$AI$1 + 1 &amp; "_" &amp; "01"</f>
        <v>2022_01</v>
      </c>
      <c r="O1" s="10" t="str">
        <f>$AI$1 + 1 &amp; "_" &amp; "02"</f>
        <v>2022_02</v>
      </c>
      <c r="P1" s="10" t="str">
        <f>$AI$1 + 1 &amp; "_" &amp; "03"</f>
        <v>2022_03</v>
      </c>
      <c r="Q1" s="11" t="str">
        <f>$AI$1 + 1 &amp; "_" &amp; "04"</f>
        <v>2022_04</v>
      </c>
      <c r="R1" s="11" t="str">
        <f>$AI$1 + 1 &amp; "_" &amp; "05"</f>
        <v>2022_05</v>
      </c>
      <c r="S1" s="11" t="str">
        <f>$AI$1 + 1 &amp; "_" &amp; "06"</f>
        <v>2022_06</v>
      </c>
      <c r="T1" s="11" t="str">
        <f>$AI$1 + 1 &amp; "_" &amp; "07"</f>
        <v>2022_07</v>
      </c>
      <c r="U1" s="11" t="str">
        <f>$AI$1 + 1 &amp; "_" &amp; "08"</f>
        <v>2022_08</v>
      </c>
      <c r="V1" s="11" t="str">
        <f>$AI$1 + 1 &amp; "_" &amp; "09"</f>
        <v>2022_09</v>
      </c>
      <c r="W1" s="11" t="str">
        <f>$AI$1 + 1 &amp; "_" &amp; "10"</f>
        <v>2022_10</v>
      </c>
      <c r="X1" s="11" t="str">
        <f>$AI$1 + 1 &amp; "_" &amp; "11"</f>
        <v>2022_11</v>
      </c>
      <c r="Y1" s="11" t="str">
        <f>$AI$1 + 1 &amp; "_" &amp; "12"</f>
        <v>2022_12</v>
      </c>
      <c r="Z1" s="11" t="str">
        <f>$AI$1 + 2 &amp; "_" &amp; "01"</f>
        <v>2023_01</v>
      </c>
      <c r="AA1" s="11" t="str">
        <f>$AI$1 + 2&amp; "_" &amp; "02"</f>
        <v>2023_02</v>
      </c>
      <c r="AB1" s="11" t="str">
        <f>$AI$1 + 2 &amp; "_" &amp; "03"</f>
        <v>2023_03</v>
      </c>
      <c r="AC1" s="12" t="str">
        <f>"TOTAL FY1" &amp; RIGHT(AI1 + 1,2)</f>
        <v>TOTAL FY122</v>
      </c>
      <c r="AD1" s="12" t="str">
        <f>"TOTAL FY1" &amp; RIGHT(AI1 + 2,2)</f>
        <v>TOTAL FY123</v>
      </c>
      <c r="AE1" s="12" t="str">
        <f>"TOTAL FY1" &amp; RIGHT(AI1 + 3,2)</f>
        <v>TOTAL FY124</v>
      </c>
      <c r="AF1" s="12" t="str">
        <f>"TOTAL FY1" &amp; RIGHT(AI1 + 4,2)</f>
        <v>TOTAL FY125</v>
      </c>
      <c r="AG1" s="19" t="s">
        <v>10</v>
      </c>
      <c r="AH1" s="18" t="s">
        <v>11</v>
      </c>
      <c r="AI1" s="22">
        <v>2021</v>
      </c>
    </row>
    <row r="2" spans="1:35" ht="14.4">
      <c r="A2" t="s">
        <v>12</v>
      </c>
      <c r="B2" t="s">
        <v>13</v>
      </c>
      <c r="C2" t="s">
        <v>14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20</v>
      </c>
      <c r="O2" t="s">
        <v>20</v>
      </c>
      <c r="Q2" t="s">
        <v>20</v>
      </c>
      <c r="S2" t="s">
        <v>20</v>
      </c>
      <c r="U2" t="s">
        <v>20</v>
      </c>
      <c r="W2" t="s">
        <v>20</v>
      </c>
      <c r="Y2" t="s">
        <v>20</v>
      </c>
      <c r="AA2" t="s">
        <v>20</v>
      </c>
      <c r="AC2" t="s">
        <v>21</v>
      </c>
      <c r="AD2" t="s">
        <v>22</v>
      </c>
      <c r="AE2" t="s">
        <v>22</v>
      </c>
      <c r="AF2" t="s">
        <v>22</v>
      </c>
      <c r="AH2" t="s">
        <v>23</v>
      </c>
    </row>
    <row r="3" spans="1:35" ht="14.4">
      <c r="A3" t="s">
        <v>12</v>
      </c>
      <c r="B3" t="s">
        <v>13</v>
      </c>
      <c r="C3" t="s">
        <v>14</v>
      </c>
      <c r="D3" t="s">
        <v>13</v>
      </c>
      <c r="E3" t="s">
        <v>14</v>
      </c>
      <c r="F3" t="s">
        <v>24</v>
      </c>
      <c r="G3" t="s">
        <v>25</v>
      </c>
      <c r="H3" t="s">
        <v>26</v>
      </c>
      <c r="I3" t="s">
        <v>18</v>
      </c>
      <c r="J3" t="s">
        <v>19</v>
      </c>
      <c r="O3" t="s">
        <v>21</v>
      </c>
      <c r="R3" t="s">
        <v>21</v>
      </c>
      <c r="V3" t="s">
        <v>21</v>
      </c>
      <c r="Z3" t="s">
        <v>21</v>
      </c>
      <c r="AC3" t="s">
        <v>21</v>
      </c>
      <c r="AD3" t="s">
        <v>22</v>
      </c>
      <c r="AE3" t="s">
        <v>22</v>
      </c>
      <c r="AF3" t="s">
        <v>22</v>
      </c>
      <c r="AH3" t="s">
        <v>27</v>
      </c>
    </row>
    <row r="4" spans="1:35" ht="14.4">
      <c r="A4" t="s">
        <v>12</v>
      </c>
      <c r="B4" t="s">
        <v>13</v>
      </c>
      <c r="C4" t="s">
        <v>14</v>
      </c>
      <c r="D4" t="s">
        <v>13</v>
      </c>
      <c r="E4" t="s">
        <v>14</v>
      </c>
      <c r="F4" t="s">
        <v>28</v>
      </c>
      <c r="G4" t="s">
        <v>29</v>
      </c>
      <c r="H4" t="s">
        <v>30</v>
      </c>
      <c r="I4" t="s">
        <v>18</v>
      </c>
      <c r="J4" t="s">
        <v>19</v>
      </c>
      <c r="N4" t="s">
        <v>31</v>
      </c>
      <c r="S4" t="s">
        <v>32</v>
      </c>
      <c r="W4" t="s">
        <v>32</v>
      </c>
      <c r="AC4" t="s">
        <v>31</v>
      </c>
      <c r="AD4" t="s">
        <v>33</v>
      </c>
      <c r="AE4" t="s">
        <v>33</v>
      </c>
      <c r="AF4" t="s">
        <v>33</v>
      </c>
      <c r="AH4" t="s">
        <v>34</v>
      </c>
    </row>
    <row r="5" spans="1:35" ht="14.4">
      <c r="A5" t="s">
        <v>12</v>
      </c>
      <c r="B5" t="s">
        <v>13</v>
      </c>
      <c r="C5" t="s">
        <v>14</v>
      </c>
      <c r="D5" t="s">
        <v>13</v>
      </c>
      <c r="E5" t="s">
        <v>14</v>
      </c>
      <c r="F5" t="s">
        <v>35</v>
      </c>
      <c r="G5" t="s">
        <v>36</v>
      </c>
      <c r="H5" t="s">
        <v>37</v>
      </c>
      <c r="I5" t="s">
        <v>18</v>
      </c>
      <c r="J5" t="s">
        <v>19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40</v>
      </c>
      <c r="AD5" t="s">
        <v>41</v>
      </c>
      <c r="AE5" t="s">
        <v>41</v>
      </c>
      <c r="AF5" t="s">
        <v>41</v>
      </c>
      <c r="AH5" t="s">
        <v>42</v>
      </c>
    </row>
    <row r="6" spans="1:35" ht="14.4">
      <c r="A6" t="s">
        <v>12</v>
      </c>
      <c r="B6" t="s">
        <v>13</v>
      </c>
      <c r="C6" t="s">
        <v>14</v>
      </c>
      <c r="D6" t="s">
        <v>13</v>
      </c>
      <c r="E6" t="s">
        <v>14</v>
      </c>
      <c r="F6" t="s">
        <v>35</v>
      </c>
      <c r="G6" t="s">
        <v>36</v>
      </c>
      <c r="H6" t="s">
        <v>43</v>
      </c>
      <c r="I6" t="s">
        <v>18</v>
      </c>
      <c r="J6" t="s">
        <v>19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45</v>
      </c>
      <c r="AD6" t="s">
        <v>46</v>
      </c>
      <c r="AE6" t="s">
        <v>46</v>
      </c>
      <c r="AF6" t="s">
        <v>46</v>
      </c>
      <c r="AH6" t="s">
        <v>47</v>
      </c>
    </row>
    <row r="7" spans="1:35" ht="14.4">
      <c r="A7" t="s">
        <v>12</v>
      </c>
      <c r="B7" t="s">
        <v>13</v>
      </c>
      <c r="C7" t="s">
        <v>14</v>
      </c>
      <c r="D7" t="s">
        <v>13</v>
      </c>
      <c r="E7" t="s">
        <v>14</v>
      </c>
      <c r="F7" t="s">
        <v>35</v>
      </c>
      <c r="G7" t="s">
        <v>36</v>
      </c>
      <c r="H7" t="s">
        <v>48</v>
      </c>
      <c r="I7" t="s">
        <v>18</v>
      </c>
      <c r="J7" t="s">
        <v>19</v>
      </c>
      <c r="R7" t="s">
        <v>49</v>
      </c>
      <c r="AD7" t="s">
        <v>49</v>
      </c>
      <c r="AH7" t="s">
        <v>50</v>
      </c>
    </row>
    <row r="8" spans="1:35" ht="14.4">
      <c r="A8" t="s">
        <v>12</v>
      </c>
      <c r="B8" t="s">
        <v>13</v>
      </c>
      <c r="C8" t="s">
        <v>14</v>
      </c>
      <c r="D8" t="s">
        <v>13</v>
      </c>
      <c r="E8" t="s">
        <v>14</v>
      </c>
      <c r="F8" t="s">
        <v>35</v>
      </c>
      <c r="G8" t="s">
        <v>36</v>
      </c>
      <c r="H8" t="s">
        <v>51</v>
      </c>
      <c r="I8" t="s">
        <v>18</v>
      </c>
      <c r="J8" t="s">
        <v>19</v>
      </c>
      <c r="M8" t="s">
        <v>52</v>
      </c>
      <c r="Y8" t="s">
        <v>52</v>
      </c>
      <c r="AC8" t="s">
        <v>52</v>
      </c>
      <c r="AD8" t="s">
        <v>52</v>
      </c>
      <c r="AE8" t="s">
        <v>52</v>
      </c>
      <c r="AF8" t="s">
        <v>52</v>
      </c>
      <c r="AH8" t="s">
        <v>53</v>
      </c>
    </row>
    <row r="9" spans="1:35" ht="14.4">
      <c r="A9" t="s">
        <v>12</v>
      </c>
      <c r="B9" t="s">
        <v>13</v>
      </c>
      <c r="C9" t="s">
        <v>14</v>
      </c>
      <c r="D9" t="s">
        <v>13</v>
      </c>
      <c r="E9" t="s">
        <v>14</v>
      </c>
      <c r="F9" t="s">
        <v>35</v>
      </c>
      <c r="G9" t="s">
        <v>36</v>
      </c>
      <c r="H9" t="s">
        <v>54</v>
      </c>
      <c r="I9" t="s">
        <v>18</v>
      </c>
      <c r="J9" t="s">
        <v>19</v>
      </c>
      <c r="L9" t="s">
        <v>55</v>
      </c>
      <c r="N9" t="s">
        <v>56</v>
      </c>
      <c r="X9" t="s">
        <v>55</v>
      </c>
      <c r="Z9" t="s">
        <v>56</v>
      </c>
      <c r="AC9" t="s">
        <v>57</v>
      </c>
      <c r="AD9" t="s">
        <v>57</v>
      </c>
      <c r="AE9" t="s">
        <v>57</v>
      </c>
      <c r="AF9" t="s">
        <v>57</v>
      </c>
      <c r="AH9" t="s">
        <v>58</v>
      </c>
    </row>
    <row r="10" spans="1:35" ht="14.4">
      <c r="A10" t="s">
        <v>12</v>
      </c>
      <c r="B10" t="s">
        <v>13</v>
      </c>
      <c r="C10" t="s">
        <v>14</v>
      </c>
      <c r="D10" t="s">
        <v>13</v>
      </c>
      <c r="E10" t="s">
        <v>14</v>
      </c>
      <c r="F10" t="s">
        <v>35</v>
      </c>
      <c r="G10" t="s">
        <v>36</v>
      </c>
      <c r="H10" t="s">
        <v>59</v>
      </c>
      <c r="I10" t="s">
        <v>18</v>
      </c>
      <c r="J10" t="s">
        <v>19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61</v>
      </c>
      <c r="AD10" t="s">
        <v>62</v>
      </c>
      <c r="AE10" t="s">
        <v>62</v>
      </c>
      <c r="AF10" t="s">
        <v>62</v>
      </c>
      <c r="AH10" t="s">
        <v>63</v>
      </c>
    </row>
    <row r="11" spans="1:35" ht="14.4">
      <c r="A11" t="s">
        <v>12</v>
      </c>
      <c r="B11" t="s">
        <v>13</v>
      </c>
      <c r="C11" t="s">
        <v>14</v>
      </c>
      <c r="D11" t="s">
        <v>13</v>
      </c>
      <c r="E11" t="s">
        <v>14</v>
      </c>
      <c r="F11" t="s">
        <v>35</v>
      </c>
      <c r="G11" t="s">
        <v>36</v>
      </c>
      <c r="H11" t="s">
        <v>64</v>
      </c>
      <c r="I11" t="s">
        <v>18</v>
      </c>
      <c r="J11" t="s">
        <v>19</v>
      </c>
      <c r="N11" t="s">
        <v>65</v>
      </c>
      <c r="Z11" t="s">
        <v>65</v>
      </c>
      <c r="AC11" t="s">
        <v>65</v>
      </c>
      <c r="AD11" t="s">
        <v>65</v>
      </c>
      <c r="AE11" t="s">
        <v>65</v>
      </c>
      <c r="AF11" t="s">
        <v>65</v>
      </c>
      <c r="AH11" t="s">
        <v>66</v>
      </c>
    </row>
    <row r="12" spans="1:35" ht="14.4">
      <c r="A12" t="s">
        <v>12</v>
      </c>
      <c r="B12" t="s">
        <v>13</v>
      </c>
      <c r="C12" t="s">
        <v>14</v>
      </c>
      <c r="D12" t="s">
        <v>13</v>
      </c>
      <c r="E12" t="s">
        <v>14</v>
      </c>
      <c r="F12" t="s">
        <v>35</v>
      </c>
      <c r="G12" t="s">
        <v>36</v>
      </c>
      <c r="H12" t="s">
        <v>67</v>
      </c>
      <c r="I12" t="s">
        <v>18</v>
      </c>
      <c r="J12" t="s">
        <v>19</v>
      </c>
      <c r="N12" t="s">
        <v>68</v>
      </c>
      <c r="Z12" t="s">
        <v>68</v>
      </c>
      <c r="AC12" t="s">
        <v>68</v>
      </c>
      <c r="AD12" t="s">
        <v>68</v>
      </c>
      <c r="AE12" t="s">
        <v>68</v>
      </c>
      <c r="AF12" t="s">
        <v>68</v>
      </c>
      <c r="AH12" t="s">
        <v>69</v>
      </c>
    </row>
    <row r="13" spans="1:35" ht="14.4">
      <c r="A13" t="s">
        <v>12</v>
      </c>
      <c r="B13" t="s">
        <v>13</v>
      </c>
      <c r="C13" t="s">
        <v>14</v>
      </c>
      <c r="D13" t="s">
        <v>13</v>
      </c>
      <c r="E13" t="s">
        <v>14</v>
      </c>
      <c r="F13" t="s">
        <v>35</v>
      </c>
      <c r="G13" t="s">
        <v>36</v>
      </c>
      <c r="H13" t="s">
        <v>70</v>
      </c>
      <c r="I13" t="s">
        <v>18</v>
      </c>
      <c r="J13" t="s">
        <v>19</v>
      </c>
      <c r="K13" t="s">
        <v>71</v>
      </c>
      <c r="L13" t="s">
        <v>71</v>
      </c>
      <c r="M13" t="s">
        <v>71</v>
      </c>
      <c r="N13" t="s">
        <v>71</v>
      </c>
      <c r="O13" t="s">
        <v>71</v>
      </c>
      <c r="P13" t="s">
        <v>71</v>
      </c>
      <c r="Q13" t="s">
        <v>71</v>
      </c>
      <c r="R13" t="s">
        <v>71</v>
      </c>
      <c r="S13" t="s">
        <v>71</v>
      </c>
      <c r="T13" t="s">
        <v>71</v>
      </c>
      <c r="U13" t="s">
        <v>71</v>
      </c>
      <c r="V13" t="s">
        <v>71</v>
      </c>
      <c r="W13" t="s">
        <v>71</v>
      </c>
      <c r="X13" t="s">
        <v>71</v>
      </c>
      <c r="Y13" t="s">
        <v>71</v>
      </c>
      <c r="Z13" t="s">
        <v>71</v>
      </c>
      <c r="AA13" t="s">
        <v>71</v>
      </c>
      <c r="AB13" t="s">
        <v>71</v>
      </c>
      <c r="AC13" t="s">
        <v>72</v>
      </c>
      <c r="AD13" t="s">
        <v>73</v>
      </c>
      <c r="AE13" t="s">
        <v>73</v>
      </c>
      <c r="AF13" t="s">
        <v>73</v>
      </c>
      <c r="AH13" t="s">
        <v>74</v>
      </c>
    </row>
    <row r="14" spans="1:35" ht="14.4">
      <c r="A14" t="s">
        <v>12</v>
      </c>
      <c r="B14" t="s">
        <v>13</v>
      </c>
      <c r="C14" t="s">
        <v>14</v>
      </c>
      <c r="D14" t="s">
        <v>13</v>
      </c>
      <c r="E14" t="s">
        <v>14</v>
      </c>
      <c r="F14" t="s">
        <v>35</v>
      </c>
      <c r="G14" t="s">
        <v>36</v>
      </c>
      <c r="H14" t="s">
        <v>75</v>
      </c>
      <c r="I14" t="s">
        <v>18</v>
      </c>
      <c r="J14" t="s">
        <v>19</v>
      </c>
      <c r="N14" t="s">
        <v>76</v>
      </c>
      <c r="AC14" t="s">
        <v>76</v>
      </c>
      <c r="AH14" t="s">
        <v>77</v>
      </c>
    </row>
    <row r="15" spans="1:35" ht="14.4">
      <c r="A15" t="s">
        <v>12</v>
      </c>
      <c r="B15" t="s">
        <v>13</v>
      </c>
      <c r="C15" t="s">
        <v>14</v>
      </c>
      <c r="D15" t="s">
        <v>13</v>
      </c>
      <c r="E15" t="s">
        <v>14</v>
      </c>
      <c r="F15" t="s">
        <v>78</v>
      </c>
      <c r="G15" t="s">
        <v>79</v>
      </c>
      <c r="H15" t="s">
        <v>80</v>
      </c>
      <c r="I15" t="s">
        <v>18</v>
      </c>
      <c r="J15" t="s">
        <v>19</v>
      </c>
      <c r="L15" t="s">
        <v>81</v>
      </c>
      <c r="P15" t="s">
        <v>81</v>
      </c>
      <c r="R15" t="s">
        <v>81</v>
      </c>
      <c r="W15" t="s">
        <v>81</v>
      </c>
      <c r="AC15" t="s">
        <v>82</v>
      </c>
      <c r="AD15" t="s">
        <v>82</v>
      </c>
      <c r="AE15" t="s">
        <v>82</v>
      </c>
      <c r="AF15" t="s">
        <v>82</v>
      </c>
      <c r="AH15" t="s">
        <v>83</v>
      </c>
    </row>
    <row r="16" spans="1:35" ht="14.4">
      <c r="A16" t="s">
        <v>12</v>
      </c>
      <c r="B16" t="s">
        <v>13</v>
      </c>
      <c r="C16" t="s">
        <v>14</v>
      </c>
      <c r="D16" t="s">
        <v>13</v>
      </c>
      <c r="E16" t="s">
        <v>14</v>
      </c>
      <c r="F16" t="s">
        <v>84</v>
      </c>
      <c r="G16" t="s">
        <v>85</v>
      </c>
      <c r="H16" t="s">
        <v>86</v>
      </c>
      <c r="I16" t="s">
        <v>18</v>
      </c>
      <c r="J16" t="s">
        <v>19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  <c r="P16" t="s">
        <v>87</v>
      </c>
      <c r="Q16" t="s">
        <v>88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  <c r="X16" t="s">
        <v>88</v>
      </c>
      <c r="Y16" t="s">
        <v>88</v>
      </c>
      <c r="Z16" t="s">
        <v>88</v>
      </c>
      <c r="AA16" t="s">
        <v>88</v>
      </c>
      <c r="AB16" t="s">
        <v>88</v>
      </c>
      <c r="AC16" t="s">
        <v>89</v>
      </c>
      <c r="AD16" t="s">
        <v>90</v>
      </c>
      <c r="AE16" t="s">
        <v>90</v>
      </c>
      <c r="AF16" t="s">
        <v>90</v>
      </c>
      <c r="AH16" t="s">
        <v>91</v>
      </c>
    </row>
    <row r="17" spans="1:34" ht="14.4">
      <c r="A17" t="s">
        <v>12</v>
      </c>
      <c r="B17" t="s">
        <v>13</v>
      </c>
      <c r="C17" t="s">
        <v>14</v>
      </c>
      <c r="D17" t="s">
        <v>13</v>
      </c>
      <c r="E17" t="s">
        <v>14</v>
      </c>
      <c r="F17" t="s">
        <v>92</v>
      </c>
      <c r="G17" t="s">
        <v>93</v>
      </c>
      <c r="H17" t="s">
        <v>94</v>
      </c>
      <c r="I17" t="s">
        <v>18</v>
      </c>
      <c r="J17" t="s">
        <v>19</v>
      </c>
      <c r="L17" t="s">
        <v>95</v>
      </c>
      <c r="M17" t="s">
        <v>33</v>
      </c>
      <c r="N17" t="s">
        <v>96</v>
      </c>
      <c r="O17" t="s">
        <v>97</v>
      </c>
      <c r="Q17" t="s">
        <v>98</v>
      </c>
      <c r="R17" t="s">
        <v>99</v>
      </c>
      <c r="S17" t="s">
        <v>20</v>
      </c>
      <c r="T17" t="s">
        <v>100</v>
      </c>
      <c r="V17" t="s">
        <v>32</v>
      </c>
      <c r="X17" t="s">
        <v>32</v>
      </c>
      <c r="AA17" t="s">
        <v>32</v>
      </c>
      <c r="AC17" t="s">
        <v>101</v>
      </c>
      <c r="AD17" t="s">
        <v>102</v>
      </c>
      <c r="AE17" t="s">
        <v>102</v>
      </c>
      <c r="AF17" t="s">
        <v>102</v>
      </c>
      <c r="AH17" t="s">
        <v>103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IT</cp:lastModifiedBy>
  <dcterms:created xsi:type="dcterms:W3CDTF">2020-12-08T03:20:39Z</dcterms:created>
  <dcterms:modified xsi:type="dcterms:W3CDTF">2022-10-19T02:57:23Z</dcterms:modified>
</cp:coreProperties>
</file>
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7C192726-033C-4D33-9EA9-72F38E3494A2}" xr6:coauthVersionLast="47" xr6:coauthVersionMax="47" xr10:uidLastSave="{00000000-0000-0000-0000-000000000000}"/>
  <bookViews>
    <workbookView xWindow="-23148" yWindow="-1116" windowWidth="23256" windowHeight="12456" xr2:uid="{DBC91B5C-E501-473C-9992-DED489074C07}"/>
  </bookViews>
  <sheets>
    <sheet name="DataV1" sheetId="3" r:id="rId1"/>
    <sheet name="Master" sheetId="2" state="hidden" r:id="rId2"/>
    <sheet name="Master_Section" sheetId="6" state="hidden" r:id="rId3"/>
    <sheet name="COA" sheetId="1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j102" localSheetId="3">#REF!</definedName>
    <definedName name="__j102">#REF!</definedName>
    <definedName name="_1">#N/A</definedName>
    <definedName name="_Fill" localSheetId="3" hidden="1">#REF!</definedName>
    <definedName name="_Fill" localSheetId="1" hidden="1">#REF!</definedName>
    <definedName name="_Fill" hidden="1">#REF!</definedName>
    <definedName name="_xlnm._FilterDatabase" localSheetId="0" hidden="1">DataV1!$H$1:$O$1</definedName>
    <definedName name="_xlnm._FilterDatabase" hidden="1">[5]金具工程見出し!$A$9:$K$9</definedName>
    <definedName name="_j102" localSheetId="3">#REF!</definedName>
    <definedName name="_j102" localSheetId="0">#REF!</definedName>
    <definedName name="_j102" localSheetId="1">#REF!</definedName>
    <definedName name="_j102">#REF!</definedName>
    <definedName name="_Key1" localSheetId="3" hidden="1">#REF!</definedName>
    <definedName name="_Key1" localSheetId="0" hidden="1">#REF!</definedName>
    <definedName name="_Key1" hidden="1">#REF!</definedName>
    <definedName name="_Order1" hidden="1">255</definedName>
    <definedName name="_Sort" localSheetId="3" hidden="1">#REF!</definedName>
    <definedName name="_Sort" localSheetId="0" hidden="1">#REF!</definedName>
    <definedName name="_Sort" localSheetId="1" hidden="1">#REF!</definedName>
    <definedName name="_Sort" hidden="1">#REF!</definedName>
    <definedName name="aa" localSheetId="3">#REF!</definedName>
    <definedName name="aa" localSheetId="0">#REF!</definedName>
    <definedName name="aa">#REF!</definedName>
    <definedName name="AB" localSheetId="3">#REF!</definedName>
    <definedName name="AB" localSheetId="0">#REF!</definedName>
    <definedName name="AB">#REF!</definedName>
    <definedName name="ai" localSheetId="3">#REF!</definedName>
    <definedName name="ai" localSheetId="0">#REF!</definedName>
    <definedName name="ai">#REF!</definedName>
    <definedName name="as" localSheetId="3">#REF!</definedName>
    <definedName name="as" localSheetId="0">#REF!</definedName>
    <definedName name="as">#REF!</definedName>
    <definedName name="assit" localSheetId="3">#REF!</definedName>
    <definedName name="assit" localSheetId="0">#REF!</definedName>
    <definedName name="assit">#REF!</definedName>
    <definedName name="b" localSheetId="3">#REF!</definedName>
    <definedName name="b" localSheetId="0">#REF!</definedName>
    <definedName name="b">#REF!</definedName>
    <definedName name="BC" localSheetId="3">#REF!</definedName>
    <definedName name="BC" localSheetId="0">#REF!</definedName>
    <definedName name="BC">#REF!</definedName>
    <definedName name="BI" localSheetId="3">#REF!</definedName>
    <definedName name="BI" localSheetId="0">#REF!</definedName>
    <definedName name="BI">#REF!</definedName>
    <definedName name="BO" localSheetId="3">#REF!</definedName>
    <definedName name="BO" localSheetId="0">#REF!</definedName>
    <definedName name="BO">#REF!</definedName>
    <definedName name="cc" localSheetId="3">#REF!</definedName>
    <definedName name="cc" localSheetId="0">#REF!</definedName>
    <definedName name="cc">#REF!</definedName>
    <definedName name="ccc" localSheetId="3" hidden="1">#REF!</definedName>
    <definedName name="ccc" localSheetId="0" hidden="1">#REF!</definedName>
    <definedName name="ccc" hidden="1">#REF!</definedName>
    <definedName name="CH" localSheetId="3">#REF!</definedName>
    <definedName name="CH" localSheetId="0">#REF!</definedName>
    <definedName name="CH">#REF!</definedName>
    <definedName name="CI" localSheetId="3">#REF!</definedName>
    <definedName name="CI" localSheetId="0">#REF!</definedName>
    <definedName name="CI">#REF!</definedName>
    <definedName name="Ck_for" localSheetId="3">#REF!</definedName>
    <definedName name="Ck_for" localSheetId="0">#REF!</definedName>
    <definedName name="Ck_for">#REF!</definedName>
    <definedName name="Ck_in" localSheetId="3">#REF!</definedName>
    <definedName name="Ck_in" localSheetId="0">#REF!</definedName>
    <definedName name="Ck_in">#REF!</definedName>
    <definedName name="Ck_out" localSheetId="3">#REF!</definedName>
    <definedName name="Ck_out" localSheetId="0">#REF!</definedName>
    <definedName name="Ck_out">#REF!</definedName>
    <definedName name="d" localSheetId="3">#REF!</definedName>
    <definedName name="d" localSheetId="0">#REF!</definedName>
    <definedName name="d">#REF!</definedName>
    <definedName name="_xlnm.Database" localSheetId="3">#REF!</definedName>
    <definedName name="_xlnm.Database" localSheetId="0">#REF!</definedName>
    <definedName name="_xlnm.Database">#REF!</definedName>
    <definedName name="dd" localSheetId="3">#REF!</definedName>
    <definedName name="dd" localSheetId="0">#REF!</definedName>
    <definedName name="dd">#REF!</definedName>
    <definedName name="ddd" localSheetId="3" hidden="1">#REF!</definedName>
    <definedName name="ddd" localSheetId="0" hidden="1">#REF!</definedName>
    <definedName name="ddd" hidden="1">#REF!</definedName>
    <definedName name="DF" localSheetId="3">#REF!</definedName>
    <definedName name="DF" localSheetId="0">#REF!</definedName>
    <definedName name="DF">#REF!</definedName>
    <definedName name="e" localSheetId="3">#REF!</definedName>
    <definedName name="e" localSheetId="0">#REF!</definedName>
    <definedName name="e">#REF!</definedName>
    <definedName name="edy">#REF!</definedName>
    <definedName name="ee" localSheetId="3">#REF!</definedName>
    <definedName name="ee" localSheetId="0">#REF!</definedName>
    <definedName name="ee">#REF!</definedName>
    <definedName name="eXCRATE" localSheetId="3">#REF!</definedName>
    <definedName name="eXCRATE" localSheetId="0">#REF!</definedName>
    <definedName name="eXCRATE">#REF!</definedName>
    <definedName name="exrate" localSheetId="3">#REF!</definedName>
    <definedName name="exrate" localSheetId="0">#REF!</definedName>
    <definedName name="exrate">#REF!</definedName>
    <definedName name="F" localSheetId="3">#REF!</definedName>
    <definedName name="F" localSheetId="0">#REF!</definedName>
    <definedName name="F">#REF!</definedName>
    <definedName name="fcb" localSheetId="3">#REF!</definedName>
    <definedName name="fcb" localSheetId="0">#REF!</definedName>
    <definedName name="fcb">#REF!</definedName>
    <definedName name="FG" localSheetId="3">#REF!</definedName>
    <definedName name="FG" localSheetId="0">#REF!</definedName>
    <definedName name="FG">#REF!</definedName>
    <definedName name="g" localSheetId="3">#REF!</definedName>
    <definedName name="g" localSheetId="0">#REF!</definedName>
    <definedName name="g">#REF!</definedName>
    <definedName name="gg" localSheetId="3">#REF!</definedName>
    <definedName name="gg" localSheetId="0">#REF!</definedName>
    <definedName name="gg">#REF!</definedName>
    <definedName name="HF" localSheetId="3">#REF!</definedName>
    <definedName name="HF" localSheetId="0">#REF!</definedName>
    <definedName name="HF">#REF!</definedName>
    <definedName name="HTML_CodePage" hidden="1">1252</definedName>
    <definedName name="HTML_Control" localSheetId="3" hidden="1">{"'Stock November   ' 99'!$A$1:$AF$46"}</definedName>
    <definedName name="HTML_Control" localSheetId="0" hidden="1">{"'Stock November   ' 99'!$A$1:$AF$46"}</definedName>
    <definedName name="HTML_Control" localSheetId="1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3">#REF!</definedName>
    <definedName name="kissa" localSheetId="0">#REF!</definedName>
    <definedName name="kissa" localSheetId="1">#REF!</definedName>
    <definedName name="kissa">#REF!</definedName>
    <definedName name="kissakei" localSheetId="3">#REF!</definedName>
    <definedName name="kissakei" localSheetId="0">#REF!</definedName>
    <definedName name="kissakei">#REF!</definedName>
    <definedName name="kk" localSheetId="3">#REF!</definedName>
    <definedName name="kk" localSheetId="0">#REF!</definedName>
    <definedName name="kk">#REF!</definedName>
    <definedName name="kkk" localSheetId="3">#REF!</definedName>
    <definedName name="kkk" localSheetId="0">#REF!</definedName>
    <definedName name="kkk">#REF!</definedName>
    <definedName name="kkkk" localSheetId="3">#REF!</definedName>
    <definedName name="kkkk" localSheetId="0">#REF!</definedName>
    <definedName name="kkkk">#REF!</definedName>
    <definedName name="l" localSheetId="3">#REF!</definedName>
    <definedName name="l" localSheetId="0">#REF!</definedName>
    <definedName name="l">#REF!</definedName>
    <definedName name="L_01" localSheetId="3">#REF!</definedName>
    <definedName name="L_01" localSheetId="0">#REF!</definedName>
    <definedName name="L_01">#REF!</definedName>
    <definedName name="LIA" localSheetId="3">#REF!</definedName>
    <definedName name="LIA" localSheetId="0">#REF!</definedName>
    <definedName name="LIA">#REF!</definedName>
    <definedName name="LILI" localSheetId="3">#REF!</definedName>
    <definedName name="LILI" localSheetId="0">#REF!</definedName>
    <definedName name="LILI">#REF!</definedName>
    <definedName name="LINA" localSheetId="3">#REF!</definedName>
    <definedName name="LINA" localSheetId="0">#REF!</definedName>
    <definedName name="LINA">#REF!</definedName>
    <definedName name="m" localSheetId="3">#REF!</definedName>
    <definedName name="m" localSheetId="0">#REF!</definedName>
    <definedName name="m">#REF!</definedName>
    <definedName name="Manufacturing" localSheetId="3">#REF!</definedName>
    <definedName name="Manufacturing" localSheetId="0">#REF!</definedName>
    <definedName name="Manufacturing">#REF!</definedName>
    <definedName name="MR" localSheetId="3">#REF!</definedName>
    <definedName name="MR" localSheetId="0">#REF!</definedName>
    <definedName name="MR">#REF!</definedName>
    <definedName name="nittk" localSheetId="3">#REF!</definedName>
    <definedName name="nittk" localSheetId="0">#REF!</definedName>
    <definedName name="nittk">#REF!</definedName>
    <definedName name="nittk_ok" localSheetId="3">#REF!</definedName>
    <definedName name="nittk_ok" localSheetId="0">#REF!</definedName>
    <definedName name="nittk_ok">#REF!</definedName>
    <definedName name="nittoukei" localSheetId="3">#REF!</definedName>
    <definedName name="nittoukei" localSheetId="0">#REF!</definedName>
    <definedName name="nittoukei">#REF!</definedName>
    <definedName name="Plan" hidden="1">[5]金具工程見出し!$A$9:$K$9</definedName>
    <definedName name="PRINT_AREA_MI" localSheetId="3">#REF!</definedName>
    <definedName name="Print_Area_MI" localSheetId="0">#REF!</definedName>
    <definedName name="PRINT_AREA_MI" localSheetId="1">#REF!</definedName>
    <definedName name="Print_Area_MI">#REF!</definedName>
    <definedName name="PRINT_TITLES_MI" localSheetId="3">#REF!</definedName>
    <definedName name="PRINT_TITLES_MI" localSheetId="1">#REF!</definedName>
    <definedName name="PRINT_TITLES_MI">#REF!</definedName>
    <definedName name="ry" localSheetId="3">#REF!</definedName>
    <definedName name="ry" localSheetId="0">#REF!</definedName>
    <definedName name="ry">#REF!</definedName>
    <definedName name="ryohikei" localSheetId="3">#REF!</definedName>
    <definedName name="ryohikei" localSheetId="0">#REF!</definedName>
    <definedName name="ryohikei">#REF!</definedName>
    <definedName name="S" localSheetId="3">#REF!</definedName>
    <definedName name="S" localSheetId="0">#REF!</definedName>
    <definedName name="S">#REF!</definedName>
    <definedName name="sais" localSheetId="3">#REF!</definedName>
    <definedName name="sais" localSheetId="0">#REF!</definedName>
    <definedName name="sais">#REF!</definedName>
    <definedName name="saisyuu" localSheetId="3">#REF!</definedName>
    <definedName name="saisyuu" localSheetId="0">#REF!</definedName>
    <definedName name="saisyuu">#REF!</definedName>
    <definedName name="se" localSheetId="3">#REF!</definedName>
    <definedName name="se" localSheetId="0">#REF!</definedName>
    <definedName name="se">#REF!</definedName>
    <definedName name="sett" localSheetId="3">#REF!</definedName>
    <definedName name="sett" localSheetId="0">#REF!</definedName>
    <definedName name="sett">#REF!</definedName>
    <definedName name="setta" localSheetId="3">#REF!</definedName>
    <definedName name="setta" localSheetId="0">#REF!</definedName>
    <definedName name="setta">#REF!</definedName>
    <definedName name="settaihikei" localSheetId="3">#REF!</definedName>
    <definedName name="settaihikei" localSheetId="0">#REF!</definedName>
    <definedName name="settaihikei">#REF!</definedName>
    <definedName name="settaikousai" localSheetId="3">#REF!</definedName>
    <definedName name="settaikousai" localSheetId="0">#REF!</definedName>
    <definedName name="settaikousai">#REF!</definedName>
    <definedName name="SEX" localSheetId="3">#REF!</definedName>
    <definedName name="SEX" localSheetId="0">#REF!</definedName>
    <definedName name="SEX">#REF!</definedName>
    <definedName name="shu" localSheetId="3">#REF!</definedName>
    <definedName name="shu" localSheetId="0">#REF!</definedName>
    <definedName name="shu">#REF!</definedName>
    <definedName name="shukuhakukei" localSheetId="3">#REF!</definedName>
    <definedName name="shukuhakukei" localSheetId="0">#REF!</definedName>
    <definedName name="shukuhakukei">#REF!</definedName>
    <definedName name="so" localSheetId="3">#REF!</definedName>
    <definedName name="so" localSheetId="0">#REF!</definedName>
    <definedName name="so">#REF!</definedName>
    <definedName name="son" localSheetId="3">#REF!</definedName>
    <definedName name="son" localSheetId="0">#REF!</definedName>
    <definedName name="son">#REF!</definedName>
    <definedName name="sonot" localSheetId="3">#REF!</definedName>
    <definedName name="sonot" localSheetId="0">#REF!</definedName>
    <definedName name="sonot">#REF!</definedName>
    <definedName name="sonotakei" localSheetId="3">#REF!</definedName>
    <definedName name="sonotakei" localSheetId="0">#REF!</definedName>
    <definedName name="sonotakei">#REF!</definedName>
    <definedName name="ST" localSheetId="3">#REF!</definedName>
    <definedName name="ST" localSheetId="0">#REF!</definedName>
    <definedName name="ST">#REF!</definedName>
    <definedName name="stt" localSheetId="3">#REF!</definedName>
    <definedName name="stt" localSheetId="0">#REF!</definedName>
    <definedName name="stt">#REF!</definedName>
    <definedName name="SX" localSheetId="3">#REF!</definedName>
    <definedName name="SX" localSheetId="0">#REF!</definedName>
    <definedName name="SX">#REF!</definedName>
    <definedName name="sxx" localSheetId="3">#REF!</definedName>
    <definedName name="sxx" localSheetId="0">#REF!</definedName>
    <definedName name="sxx">#REF!</definedName>
    <definedName name="test">[6]出力②!$G$7:$I$19</definedName>
    <definedName name="test2">[6]グラフ用!$E$3:$F$14</definedName>
    <definedName name="test3">[6]グラフ用!$H$5:$J$13</definedName>
    <definedName name="test4">[6]グラフ用!$I$4:$J$13</definedName>
    <definedName name="Tgl" localSheetId="3">#REF!</definedName>
    <definedName name="Tgl" localSheetId="0">#REF!</definedName>
    <definedName name="Tgl" localSheetId="1">#REF!</definedName>
    <definedName name="Tgl">#REF!</definedName>
    <definedName name="tgll" localSheetId="3">#REF!</definedName>
    <definedName name="tgll" localSheetId="0">#REF!</definedName>
    <definedName name="tgll">#REF!</definedName>
    <definedName name="tr" localSheetId="3">#REF!</definedName>
    <definedName name="tr" localSheetId="0">#REF!</definedName>
    <definedName name="tr">#REF!</definedName>
    <definedName name="train" localSheetId="3">#REF!</definedName>
    <definedName name="train" localSheetId="0">#REF!</definedName>
    <definedName name="train">#REF!</definedName>
    <definedName name="TRIAL" localSheetId="3">#REF!</definedName>
    <definedName name="TRIAL" localSheetId="0">#REF!</definedName>
    <definedName name="TRIAL">#REF!</definedName>
    <definedName name="tttttttttttt" localSheetId="3">#REF!</definedName>
    <definedName name="tttttttttttt" localSheetId="0">#REF!</definedName>
    <definedName name="tttttttttttt">#REF!</definedName>
    <definedName name="tu" localSheetId="3">#REF!</definedName>
    <definedName name="tu" localSheetId="0">#REF!</definedName>
    <definedName name="tu">#REF!</definedName>
    <definedName name="tuusinhikei" localSheetId="3">#REF!</definedName>
    <definedName name="tuusinhikei" localSheetId="0">#REF!</definedName>
    <definedName name="tuusinhikei">#REF!</definedName>
    <definedName name="u" localSheetId="3">#REF!</definedName>
    <definedName name="u" localSheetId="0">#REF!</definedName>
    <definedName name="u">#REF!</definedName>
    <definedName name="uj" localSheetId="3" hidden="1">{"'Stock November   ' 99'!$A$1:$AF$46"}</definedName>
    <definedName name="uj" localSheetId="0" hidden="1">{"'Stock November   ' 99'!$A$1:$AF$46"}</definedName>
    <definedName name="uj" localSheetId="1" hidden="1">{"'Stock November   ' 99'!$A$1:$AF$46"}</definedName>
    <definedName name="uj" hidden="1">{"'Stock November   ' 99'!$A$1:$AF$46"}</definedName>
    <definedName name="uji" localSheetId="3" hidden="1">{"'Stock November   ' 99'!$A$1:$AF$46"}</definedName>
    <definedName name="uji" localSheetId="0" hidden="1">{"'Stock November   ' 99'!$A$1:$AF$46"}</definedName>
    <definedName name="uji" localSheetId="1" hidden="1">{"'Stock November   ' 99'!$A$1:$AF$46"}</definedName>
    <definedName name="uji" hidden="1">{"'Stock November   ' 99'!$A$1:$AF$46"}</definedName>
    <definedName name="UT" localSheetId="3">#REF!</definedName>
    <definedName name="UT" localSheetId="0">#REF!</definedName>
    <definedName name="UT">#REF!</definedName>
    <definedName name="uu" localSheetId="3">#REF!</definedName>
    <definedName name="uu" localSheetId="0">#REF!</definedName>
    <definedName name="uu">#REF!</definedName>
    <definedName name="ww" localSheetId="3">#REF!</definedName>
    <definedName name="ww" localSheetId="0">#REF!</definedName>
    <definedName name="ww">#REF!</definedName>
    <definedName name="ﾃﾞｰﾀセ直販">'[7]ｺﾋﾟｰ用（直セ）'!$E$12</definedName>
    <definedName name="ﾃﾞｰﾀプラント">'[7]ｺﾋﾟｰ用（海プ）'!$E$1:$Y$97</definedName>
    <definedName name="ﾃﾞｰﾀ海プ">'[7]ｺﾋﾟｰ用（海プ）'!$D$7</definedName>
    <definedName name="ﾃﾞｰﾀ海市" localSheetId="3">#REF!</definedName>
    <definedName name="ﾃﾞｰﾀ海市" localSheetId="0">#REF!</definedName>
    <definedName name="ﾃﾞｰﾀ海市" localSheetId="1">#REF!</definedName>
    <definedName name="ﾃﾞｰﾀ海市">#REF!</definedName>
    <definedName name="ﾃﾞｰﾀ直販ｾﾝｻｰ">'[7]ｺﾋﾟｰ用（直セ）'!$E$1:$Y$34</definedName>
    <definedName name="プラントｺｰﾄﾞ">'[7]ｺﾋﾟｰ用（海プ）'!$F$1:$Z$209</definedName>
    <definedName name="リスト">[8]リスト!$C$1:$C$150</definedName>
    <definedName name="ルピア" localSheetId="3">#REF!</definedName>
    <definedName name="ルピア" localSheetId="0">#REF!</definedName>
    <definedName name="ルピア" localSheetId="1">#REF!</definedName>
    <definedName name="ルピア">#REF!</definedName>
    <definedName name="予算ﾚｰﾄ" localSheetId="3">#REF!</definedName>
    <definedName name="予算ﾚｰﾄ" localSheetId="0">#REF!</definedName>
    <definedName name="予算ﾚｰﾄ">#REF!</definedName>
    <definedName name="今" localSheetId="3">#REF!</definedName>
    <definedName name="今" localSheetId="0">#REF!</definedName>
    <definedName name="今">#REF!</definedName>
    <definedName name="仲介" localSheetId="3">#REF!</definedName>
    <definedName name="仲介" localSheetId="0">#REF!</definedName>
    <definedName name="仲介">#REF!</definedName>
    <definedName name="元" localSheetId="3">#REF!</definedName>
    <definedName name="元" localSheetId="0">#REF!</definedName>
    <definedName name="元">#REF!</definedName>
    <definedName name="円" localSheetId="3">#REF!</definedName>
    <definedName name="円" localSheetId="0">#REF!</definedName>
    <definedName name="円">#REF!</definedName>
    <definedName name="円vsドル_レート" localSheetId="3">#REF!</definedName>
    <definedName name="円vsドル_レート" localSheetId="0">#REF!</definedName>
    <definedName name="円vsドル_レート">#REF!</definedName>
    <definedName name="出発" localSheetId="3">[3]支援計画・０４!$G$4:$G$171</definedName>
    <definedName name="出発" localSheetId="1">[3]支援計画・０４!$G$4:$G$171</definedName>
    <definedName name="出発">[9]支援計画・０４!$G$4:$G$171</definedName>
    <definedName name="到着" localSheetId="3">[3]支援計画・０４!$F$4:$F$171</definedName>
    <definedName name="到着" localSheetId="1">[3]支援計画・０４!$F$4:$F$171</definedName>
    <definedName name="到着">[9]支援計画・０４!$F$4:$F$171</definedName>
    <definedName name="印刷領域" localSheetId="3">#REF!</definedName>
    <definedName name="印刷領域" localSheetId="0">#REF!</definedName>
    <definedName name="印刷領域" localSheetId="1">#REF!</definedName>
    <definedName name="印刷領域">#REF!</definedName>
    <definedName name="品種別ｺｰﾄﾞ">'[7]ｺﾋﾟｰ用（全社）'!$F$1:$Z$245</definedName>
    <definedName name="品種別出荷ﾃﾞｰﾀ">'[7]ｺﾋﾟｰ用（全社）'!$E$1:$X$65536</definedName>
    <definedName name="品種別出荷ﾃﾞｰﾀ全社">'[7]ｺﾋﾟｰ用（全社）'!$E$1:$X$65536</definedName>
    <definedName name="品種別実績" localSheetId="3">#REF!</definedName>
    <definedName name="品種別実績" localSheetId="0">#REF!</definedName>
    <definedName name="品種別実績" localSheetId="1">#REF!</definedName>
    <definedName name="品種別実績">#REF!</definedName>
    <definedName name="商品群" localSheetId="3">[4]テーブル!$B$2:$B$7</definedName>
    <definedName name="商品群" localSheetId="1">[4]テーブル!$B$2:$B$7</definedName>
    <definedName name="商品群">[10]テーブル!$B$2:$B$7</definedName>
    <definedName name="実績レート" localSheetId="3">#REF!</definedName>
    <definedName name="実績レート" localSheetId="0">#REF!</definedName>
    <definedName name="実績レート" localSheetId="1">#REF!</definedName>
    <definedName name="実績レート">#REF!</definedName>
    <definedName name="対象日数" localSheetId="3">#REF!</definedName>
    <definedName name="対象日数" localSheetId="0">#REF!</definedName>
    <definedName name="対象日数">#REF!</definedName>
    <definedName name="技術開発経費181" localSheetId="3">#REF!</definedName>
    <definedName name="技術開発経費181" localSheetId="0">#REF!</definedName>
    <definedName name="技術開発経費181">#REF!</definedName>
    <definedName name="技術開発経費182" localSheetId="3">#REF!</definedName>
    <definedName name="技術開発経費182" localSheetId="0">#REF!</definedName>
    <definedName name="技術開発経費182">#REF!</definedName>
    <definedName name="担当者" localSheetId="3">[4]テーブル!$F$2:$F$24</definedName>
    <definedName name="担当者" localSheetId="1">[4]テーブル!$F$2:$F$24</definedName>
    <definedName name="担当者">[10]テーブル!$F$2:$F$24</definedName>
    <definedName name="支援まとめ">'[11]予定日別1-6'!$U$4:$GV$4</definedName>
    <definedName name="日付" localSheetId="3">[3]支援計画・０４!$J$4:$CW$4</definedName>
    <definedName name="日付" localSheetId="1">[3]支援計画・０４!$J$4:$CW$4</definedName>
    <definedName name="日付">[9]支援計画・０４!$J$4:$CW$4</definedName>
    <definedName name="日数" localSheetId="3">#REF!</definedName>
    <definedName name="日数" localSheetId="0">#REF!</definedName>
    <definedName name="日数" localSheetId="1">#REF!</definedName>
    <definedName name="日数">#REF!</definedName>
    <definedName name="期" localSheetId="3">#REF!</definedName>
    <definedName name="期" localSheetId="0">#REF!</definedName>
    <definedName name="期">#REF!</definedName>
    <definedName name="梱包_Ｍ３">'[12]KB,MOLD ESTIMATE.00'!$F$13:$X$13</definedName>
    <definedName name="機能分類リスト" localSheetId="0">[1]開発計画品番リスト!#REF!</definedName>
    <definedName name="機能分類リスト">[1]開発計画品番リスト!#REF!</definedName>
    <definedName name="比率" localSheetId="0">[2]調達計画!#REF!</definedName>
    <definedName name="比率">[2]調達計画!#REF!</definedName>
    <definedName name="決算期区分" localSheetId="3">#REF!</definedName>
    <definedName name="決算期区分" localSheetId="0">#REF!</definedName>
    <definedName name="決算期区分" localSheetId="1">#REF!</definedName>
    <definedName name="決算期区分">#REF!</definedName>
    <definedName name="為替" localSheetId="3">#REF!</definedName>
    <definedName name="為替" localSheetId="0">#REF!</definedName>
    <definedName name="為替">#REF!</definedName>
    <definedName name="為替レートEU" localSheetId="3">#REF!</definedName>
    <definedName name="為替レートEU" localSheetId="0">#REF!</definedName>
    <definedName name="為替レートEU">#REF!</definedName>
    <definedName name="為替レートUS" localSheetId="3">#REF!</definedName>
    <definedName name="為替レートUS" localSheetId="0">#REF!</definedName>
    <definedName name="為替レートUS">#REF!</definedName>
    <definedName name="生産拠点" localSheetId="3">[4]テーブル!$C$2:$C$6</definedName>
    <definedName name="生産拠点" localSheetId="1">[4]テーブル!$C$2:$C$6</definedName>
    <definedName name="生産拠点">[10]テーブル!$C$2:$C$6</definedName>
    <definedName name="直販ｺｰﾄﾞ">'[7]ｺﾋﾟｰ用（直セ）'!$F$1:$AN$263</definedName>
    <definedName name="立上年" localSheetId="3">[4]テーブル!$A$2:$A$11</definedName>
    <definedName name="立上年" localSheetId="1">[4]テーブル!$A$2:$A$11</definedName>
    <definedName name="立上年">[10]テーブル!$A$2:$A$11</definedName>
    <definedName name="立上月" localSheetId="3">[4]テーブル!$D$2:$D$13</definedName>
    <definedName name="立上月" localSheetId="1">[4]テーブル!$D$2:$D$13</definedName>
    <definedName name="立上月">[10]テーブル!$D$2:$D$13</definedName>
    <definedName name="補助部門比率" localSheetId="3">#REF!</definedName>
    <definedName name="補助部門比率" localSheetId="0">#REF!</definedName>
    <definedName name="補助部門比率" localSheetId="1">#REF!</definedName>
    <definedName name="補助部門比率">#REF!</definedName>
    <definedName name="補助部門費_設計以外181" localSheetId="3">#REF!</definedName>
    <definedName name="補助部門費_設計以外181" localSheetId="0">#REF!</definedName>
    <definedName name="補助部門費_設計以外181">#REF!</definedName>
    <definedName name="補助部門費_設計以外182" localSheetId="3">#REF!</definedName>
    <definedName name="補助部門費_設計以外182" localSheetId="0">#REF!</definedName>
    <definedName name="補助部門費_設計以外182">#REF!</definedName>
    <definedName name="販管費率" localSheetId="3">#REF!</definedName>
    <definedName name="販管費率" localSheetId="0">#REF!</definedName>
    <definedName name="販管費率">#REF!</definedName>
    <definedName name="輸入" localSheetId="3">#REF!</definedName>
    <definedName name="輸入" localSheetId="0">#REF!</definedName>
    <definedName name="輸入">#REF!</definedName>
    <definedName name="配布先" localSheetId="3">#REF!</definedName>
    <definedName name="配布先" localSheetId="0">#REF!</definedName>
    <definedName name="配布先">#REF!</definedName>
    <definedName name="開発経費合計181" localSheetId="3">#REF!</definedName>
    <definedName name="開発経費合計181" localSheetId="0">#REF!</definedName>
    <definedName name="開発経費合計181">#REF!</definedName>
    <definedName name="開発経費合計182" localSheetId="3">#REF!</definedName>
    <definedName name="開発経費合計182" localSheetId="0">#REF!</definedName>
    <definedName name="開発経費合計182">#REF!</definedName>
    <definedName name="雇用" localSheetId="3">#REF!</definedName>
    <definedName name="雇用" localSheetId="0">#REF!</definedName>
    <definedName name="雇用">#REF!</definedName>
    <definedName name="電話代補助" localSheetId="3">#REF!</definedName>
    <definedName name="電話代補助" localSheetId="0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M2" i="2"/>
  <c r="U2" i="2"/>
  <c r="E3" i="2"/>
  <c r="M3" i="2"/>
  <c r="U3" i="2"/>
  <c r="E4" i="2"/>
  <c r="M4" i="2"/>
  <c r="U4" i="2"/>
  <c r="E5" i="2"/>
  <c r="M5" i="2"/>
  <c r="U5" i="2"/>
  <c r="E6" i="2"/>
  <c r="M6" i="2"/>
  <c r="U6" i="2"/>
  <c r="E7" i="2"/>
  <c r="M7" i="2"/>
  <c r="U7" i="2"/>
  <c r="E8" i="2"/>
  <c r="M8" i="2"/>
  <c r="U8" i="2"/>
  <c r="E9" i="2"/>
  <c r="M9" i="2"/>
  <c r="U9" i="2"/>
  <c r="E10" i="2"/>
  <c r="M10" i="2"/>
  <c r="U10" i="2"/>
  <c r="E11" i="2"/>
  <c r="M11" i="2"/>
  <c r="U11" i="2"/>
  <c r="E12" i="2"/>
  <c r="M12" i="2"/>
  <c r="U12" i="2"/>
  <c r="E13" i="2"/>
  <c r="M13" i="2"/>
  <c r="U13" i="2"/>
  <c r="E14" i="2"/>
  <c r="M14" i="2"/>
  <c r="U14" i="2"/>
  <c r="E15" i="2"/>
  <c r="M15" i="2"/>
  <c r="U15" i="2"/>
  <c r="E16" i="2"/>
  <c r="M16" i="2"/>
  <c r="U16" i="2"/>
  <c r="E17" i="2"/>
  <c r="M17" i="2"/>
  <c r="U17" i="2"/>
  <c r="E18" i="2"/>
  <c r="M18" i="2"/>
  <c r="U18" i="2"/>
  <c r="E19" i="2"/>
  <c r="M19" i="2"/>
  <c r="U19" i="2"/>
  <c r="E20" i="2"/>
  <c r="M20" i="2"/>
  <c r="E21" i="2"/>
  <c r="M21" i="2"/>
  <c r="U21" i="2"/>
  <c r="E22" i="2"/>
  <c r="M22" i="2"/>
  <c r="U22" i="2"/>
  <c r="E23" i="2"/>
  <c r="M23" i="2"/>
  <c r="U23" i="2"/>
  <c r="E24" i="2"/>
  <c r="M24" i="2"/>
  <c r="U24" i="2"/>
  <c r="E25" i="2"/>
  <c r="M25" i="2"/>
  <c r="U25" i="2"/>
  <c r="E26" i="2"/>
  <c r="M26" i="2"/>
  <c r="U26" i="2"/>
  <c r="E27" i="2"/>
  <c r="M27" i="2"/>
  <c r="U27" i="2"/>
  <c r="E28" i="2"/>
  <c r="M28" i="2"/>
  <c r="U28" i="2"/>
  <c r="E29" i="2"/>
  <c r="M29" i="2"/>
  <c r="U29" i="2"/>
  <c r="E30" i="2"/>
  <c r="M30" i="2"/>
  <c r="U30" i="2"/>
  <c r="E31" i="2"/>
  <c r="M31" i="2"/>
  <c r="U31" i="2"/>
  <c r="E32" i="2"/>
  <c r="M32" i="2"/>
  <c r="U32" i="2"/>
  <c r="E33" i="2"/>
  <c r="M33" i="2"/>
  <c r="U33" i="2"/>
  <c r="E34" i="2"/>
  <c r="M34" i="2"/>
  <c r="U34" i="2"/>
  <c r="E35" i="2"/>
  <c r="M35" i="2"/>
  <c r="U35" i="2"/>
  <c r="E36" i="2"/>
  <c r="M36" i="2"/>
  <c r="U36" i="2"/>
  <c r="E37" i="2"/>
  <c r="M37" i="2"/>
  <c r="U37" i="2"/>
  <c r="E38" i="2"/>
  <c r="M38" i="2"/>
  <c r="U38" i="2"/>
  <c r="E39" i="2"/>
  <c r="M39" i="2"/>
  <c r="U39" i="2"/>
  <c r="E40" i="2"/>
  <c r="M40" i="2"/>
  <c r="U40" i="2"/>
  <c r="E41" i="2"/>
  <c r="M41" i="2"/>
  <c r="U41" i="2"/>
  <c r="E42" i="2"/>
  <c r="M42" i="2"/>
  <c r="U42" i="2"/>
  <c r="E43" i="2"/>
  <c r="M43" i="2"/>
  <c r="U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D2" i="6"/>
  <c r="L2" i="6"/>
  <c r="D3" i="6"/>
  <c r="L3" i="6"/>
  <c r="D4" i="6"/>
  <c r="L4" i="6"/>
  <c r="D5" i="6"/>
  <c r="L5" i="6"/>
  <c r="D6" i="6"/>
  <c r="L6" i="6"/>
  <c r="D7" i="6"/>
  <c r="L7" i="6"/>
  <c r="D8" i="6"/>
  <c r="L8" i="6"/>
  <c r="D9" i="6"/>
  <c r="L9" i="6"/>
  <c r="D10" i="6"/>
  <c r="L10" i="6"/>
  <c r="D11" i="6"/>
  <c r="L11" i="6"/>
  <c r="D12" i="6"/>
  <c r="L12" i="6"/>
  <c r="D13" i="6"/>
  <c r="L13" i="6"/>
  <c r="D14" i="6"/>
  <c r="L14" i="6"/>
  <c r="D15" i="6"/>
  <c r="L15" i="6"/>
  <c r="D16" i="6"/>
  <c r="L16" i="6"/>
  <c r="D17" i="6"/>
  <c r="L17" i="6"/>
  <c r="D18" i="6"/>
  <c r="L18" i="6"/>
  <c r="D19" i="6"/>
  <c r="L19" i="6"/>
  <c r="D20" i="6"/>
  <c r="L20" i="6"/>
  <c r="D21" i="6"/>
  <c r="L21" i="6"/>
  <c r="D22" i="6"/>
  <c r="L22" i="6"/>
  <c r="D23" i="6"/>
  <c r="L23" i="6"/>
  <c r="D24" i="6"/>
  <c r="L24" i="6"/>
  <c r="D25" i="6"/>
  <c r="L25" i="6"/>
  <c r="D26" i="6"/>
  <c r="L26" i="6"/>
  <c r="D27" i="6"/>
  <c r="L27" i="6"/>
  <c r="D28" i="6"/>
  <c r="L28" i="6"/>
  <c r="D29" i="6"/>
  <c r="L29" i="6"/>
  <c r="D30" i="6"/>
  <c r="L30" i="6"/>
  <c r="D31" i="6"/>
  <c r="L31" i="6"/>
  <c r="D32" i="6"/>
  <c r="L32" i="6"/>
  <c r="D33" i="6"/>
  <c r="L33" i="6"/>
  <c r="D34" i="6"/>
  <c r="L34" i="6"/>
  <c r="D35" i="6"/>
  <c r="L35" i="6"/>
  <c r="D36" i="6"/>
  <c r="L36" i="6"/>
  <c r="D37" i="6"/>
  <c r="L37" i="6"/>
  <c r="D38" i="6"/>
  <c r="L38" i="6"/>
  <c r="D39" i="6"/>
  <c r="L39" i="6"/>
  <c r="D40" i="6"/>
  <c r="L40" i="6"/>
  <c r="D41" i="6"/>
  <c r="L41" i="6"/>
  <c r="D42" i="6"/>
  <c r="L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Wiyani</author>
  </authors>
  <commentList>
    <comment ref="A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Wiyani:</t>
        </r>
        <r>
          <rPr>
            <sz val="9"/>
            <color rgb="FF000000"/>
            <rFont val="Tahoma"/>
            <family val="2"/>
          </rPr>
          <t xml:space="preserve">
Pilihlah kategori asal asset tersebut.
-  BIP untuk new investment
-  CIP untuk asset yang sudah ada di list CIP (Construction In Progress) yang akan didistribusikan oleh FA department
-  CFA untuk Current Fixed Assets (Existing Assets)</t>
        </r>
      </text>
    </comment>
    <comment ref="E1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Wiyani:</t>
        </r>
        <r>
          <rPr>
            <sz val="9"/>
            <color rgb="FF000000"/>
            <rFont val="Tahoma"/>
            <family val="2"/>
          </rPr>
          <t xml:space="preserve">
Isi dengan departemen yang akan menggunakan asset</t>
        </r>
      </text>
    </comment>
    <comment ref="K1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Wiyani:</t>
        </r>
        <r>
          <rPr>
            <sz val="9"/>
            <color rgb="FF000000"/>
            <rFont val="Tahoma"/>
            <family val="2"/>
          </rPr>
          <t xml:space="preserve">
Isikan kolom ini dengan nilai asset secara keseluruhan, contoh; nilai mesin + jasa instalasi + biaya trial + dll
Untuk asset yang akan dialokasikan kebeberapa departemen, harap cantumkan nilai total asset (tidak perlu dibagi secara manual)</t>
        </r>
      </text>
    </comment>
    <comment ref="M1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Wiyani:</t>
        </r>
        <r>
          <rPr>
            <sz val="9"/>
            <color rgb="FF000000"/>
            <rFont val="Tahoma"/>
            <family val="2"/>
          </rPr>
          <t xml:space="preserve">
Isi dengan persentase (tanpa dirubah ke format %) pembagian untuk asset yang dialokasikan kebeberapa departemen</t>
        </r>
      </text>
    </comment>
    <comment ref="N1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Wiyani:</t>
        </r>
        <r>
          <rPr>
            <sz val="9"/>
            <color rgb="FF000000"/>
            <rFont val="Tahoma"/>
            <family val="2"/>
          </rPr>
          <t xml:space="preserve">
Isikan dengan tanggal, kapan asset tersebut akan mulai digunakan</t>
        </r>
      </text>
    </comment>
  </commentList>
</comments>
</file>

<file path=xl/sharedStrings.xml><?xml version="1.0" encoding="utf-8"?>
<sst xmlns="http://schemas.openxmlformats.org/spreadsheetml/2006/main" count="2305" uniqueCount="400">
  <si>
    <t>Budget Type</t>
  </si>
  <si>
    <t>Section From (Code)</t>
  </si>
  <si>
    <t>Section From (Name)</t>
  </si>
  <si>
    <t>To Section (Code)</t>
  </si>
  <si>
    <t>To Section (Name)</t>
  </si>
  <si>
    <t>Coa ID</t>
  </si>
  <si>
    <t>Coa Name</t>
  </si>
  <si>
    <t>Asset Name</t>
  </si>
  <si>
    <t>Group Section</t>
  </si>
  <si>
    <t>Group Cost</t>
  </si>
  <si>
    <t>Acquisition Value</t>
  </si>
  <si>
    <t>Useful Life</t>
  </si>
  <si>
    <t>Allocation %</t>
  </si>
  <si>
    <t>Depre Start</t>
  </si>
  <si>
    <t>Priority Code</t>
  </si>
  <si>
    <t>Budget_Period</t>
  </si>
  <si>
    <t>Budget Allocation</t>
  </si>
  <si>
    <t>Budget No</t>
  </si>
  <si>
    <t>BIP</t>
  </si>
  <si>
    <t>B2400</t>
  </si>
  <si>
    <t>Information Technology</t>
  </si>
  <si>
    <t>2141000</t>
  </si>
  <si>
    <t>Tools, furniture &amp; office equipment</t>
  </si>
  <si>
    <t>New Laptop for Web Programmer</t>
  </si>
  <si>
    <t>SGA</t>
  </si>
  <si>
    <t>ADM</t>
  </si>
  <si>
    <t>B</t>
  </si>
  <si>
    <t>FY125</t>
  </si>
  <si>
    <t>BIP25-2400-2400-001</t>
  </si>
  <si>
    <t>Project Fiber Optic Backbone to Server (QM, FOS Area)</t>
  </si>
  <si>
    <t>BIP25-2400-2400-002</t>
  </si>
  <si>
    <t>Synology NAS Storage for Windows Server Backup</t>
  </si>
  <si>
    <t>A</t>
  </si>
  <si>
    <t>FY124</t>
  </si>
  <si>
    <t>BIP25-2400-2400-003</t>
  </si>
  <si>
    <t>Upgrade Storage Server 8 TB (Production and Office)</t>
  </si>
  <si>
    <t>BIP25-2400-2400-004</t>
  </si>
  <si>
    <t>2221101</t>
  </si>
  <si>
    <t>Software</t>
  </si>
  <si>
    <t>Project of Replacement Firewall Machine - Fortigate 601F</t>
  </si>
  <si>
    <t>BIP25-2400-2400-005</t>
  </si>
  <si>
    <r>
      <rPr>
        <b/>
        <sz val="10"/>
        <color theme="0"/>
        <rFont val="Tahoma"/>
        <family val="2"/>
      </rPr>
      <t>Name</t>
    </r>
    <phoneticPr fontId="0"/>
  </si>
  <si>
    <t>BNGK</t>
  </si>
  <si>
    <t>GROUP COST</t>
  </si>
  <si>
    <t>GROUP SECTION</t>
  </si>
  <si>
    <r>
      <rPr>
        <b/>
        <sz val="10"/>
        <color theme="0"/>
        <rFont val="Tahoma"/>
        <family val="2"/>
      </rPr>
      <t>Name</t>
    </r>
    <phoneticPr fontId="0"/>
  </si>
  <si>
    <r>
      <rPr>
        <sz val="10"/>
        <color theme="0"/>
        <rFont val="Tahoma"/>
        <family val="2"/>
      </rPr>
      <t>Code</t>
    </r>
    <phoneticPr fontId="0"/>
  </si>
  <si>
    <r>
      <rPr>
        <sz val="10"/>
        <color theme="0"/>
        <rFont val="Tahoma"/>
        <family val="2"/>
      </rPr>
      <t>Name</t>
    </r>
    <phoneticPr fontId="0"/>
  </si>
  <si>
    <t>Name COA AX</t>
  </si>
  <si>
    <t>COA AX</t>
  </si>
  <si>
    <t>UNIQ</t>
  </si>
  <si>
    <t>COA Budget</t>
  </si>
  <si>
    <t>Description</t>
  </si>
  <si>
    <r>
      <rPr>
        <b/>
        <sz val="10"/>
        <color theme="0"/>
        <rFont val="Tahoma"/>
        <family val="2"/>
      </rPr>
      <t>Name</t>
    </r>
    <phoneticPr fontId="0"/>
  </si>
  <si>
    <r>
      <rPr>
        <b/>
        <sz val="10"/>
        <color theme="0"/>
        <rFont val="Tahoma"/>
        <family val="2"/>
      </rPr>
      <t>Name</t>
    </r>
    <phoneticPr fontId="0"/>
  </si>
  <si>
    <r>
      <rPr>
        <sz val="10"/>
        <color theme="0"/>
        <rFont val="Tahoma"/>
        <family val="2"/>
      </rPr>
      <t>Code</t>
    </r>
    <phoneticPr fontId="0"/>
  </si>
  <si>
    <r>
      <rPr>
        <sz val="10"/>
        <color theme="0"/>
        <rFont val="Tahoma"/>
        <family val="2"/>
      </rPr>
      <t>Name</t>
    </r>
    <phoneticPr fontId="0"/>
  </si>
  <si>
    <t>Priority Name</t>
  </si>
  <si>
    <t>COA Assets</t>
  </si>
  <si>
    <t>Name of Asset</t>
  </si>
  <si>
    <t>COA Depre</t>
  </si>
  <si>
    <t>Name of Depre</t>
  </si>
  <si>
    <t>Top Management</t>
  </si>
  <si>
    <t>B1000</t>
  </si>
  <si>
    <t>NGK BUSI INDONESIA</t>
  </si>
  <si>
    <t>Salary for Commissioner</t>
  </si>
  <si>
    <t>A502</t>
  </si>
  <si>
    <t>Must</t>
  </si>
  <si>
    <t>If this is not done, the company or our team cannot continue its business.</t>
  </si>
  <si>
    <t>Building</t>
  </si>
  <si>
    <t>Depreciation-Building</t>
  </si>
  <si>
    <t>Commissioner</t>
  </si>
  <si>
    <t>B1001</t>
  </si>
  <si>
    <t>Salary for Director</t>
  </si>
  <si>
    <t>Salary for Director &amp; Expat</t>
  </si>
  <si>
    <t>Want to</t>
  </si>
  <si>
    <t>We want to do it as a team this term. we need it.</t>
  </si>
  <si>
    <t>Machinery &amp; Equipment</t>
  </si>
  <si>
    <t>Depreciation-Machiney &amp; equipment</t>
  </si>
  <si>
    <t>Admin &amp; HR</t>
  </si>
  <si>
    <t>B2200</t>
  </si>
  <si>
    <t>Staff Labor - Baslc Salary</t>
  </si>
  <si>
    <t>A501</t>
  </si>
  <si>
    <t>Basic Salary of permanent employee</t>
  </si>
  <si>
    <t>C</t>
  </si>
  <si>
    <t>Challenge</t>
  </si>
  <si>
    <t>We want to do it for this term or the future. But it doesn't matter if it's not this term.</t>
  </si>
  <si>
    <t>Vehicles</t>
  </si>
  <si>
    <t>Depreciation-Vehicles</t>
  </si>
  <si>
    <t>General Affair</t>
  </si>
  <si>
    <t>B2210</t>
  </si>
  <si>
    <t>Staff Labor - Allowance</t>
  </si>
  <si>
    <t>Employee allowance</t>
  </si>
  <si>
    <t>Depreciation-Tools, furniture &amp; office equipment</t>
  </si>
  <si>
    <t>Human Resource</t>
  </si>
  <si>
    <t>B2220</t>
  </si>
  <si>
    <t>Staff Labor - Tax allowance (art.21)</t>
  </si>
  <si>
    <t>Empployee Tax allowance</t>
  </si>
  <si>
    <t>Depreciation-Software</t>
  </si>
  <si>
    <t>Health, Safety &amp; Environment</t>
  </si>
  <si>
    <t>B2230</t>
  </si>
  <si>
    <t>CIP</t>
  </si>
  <si>
    <t>Staff Labor - BPJS JK &amp; JKK (1.19%)</t>
  </si>
  <si>
    <t>BPJS JK &amp; JKK (death warrant, Accident Insurance)</t>
  </si>
  <si>
    <t>Accounting &amp; Finance</t>
  </si>
  <si>
    <t>B2300</t>
  </si>
  <si>
    <t>CFA</t>
  </si>
  <si>
    <t>Staff Labor - BPJS Kesehatan (4%)</t>
  </si>
  <si>
    <t>BPJS health insurance</t>
  </si>
  <si>
    <t>Staff Overtime</t>
  </si>
  <si>
    <t>A503</t>
  </si>
  <si>
    <t>Overtime permanent employee</t>
  </si>
  <si>
    <t>Sales &amp; MKTG Dept.- Automotive</t>
  </si>
  <si>
    <t>B3100</t>
  </si>
  <si>
    <t>Staff Welfare - BPJS Dana pensiun (2%)</t>
  </si>
  <si>
    <t>A504</t>
  </si>
  <si>
    <t>BPJS pension fund</t>
  </si>
  <si>
    <t>Marketing</t>
  </si>
  <si>
    <t>B3160</t>
  </si>
  <si>
    <t>Staff Welfare - BPJS JHT (3.7%)</t>
  </si>
  <si>
    <t>BPJS Pension plan</t>
  </si>
  <si>
    <t>Sales - OEM</t>
  </si>
  <si>
    <t>B3110</t>
  </si>
  <si>
    <t>Staff Bonus / TAT</t>
  </si>
  <si>
    <t>Year-end allowance &amp; Alpha</t>
  </si>
  <si>
    <t>Sales - OES</t>
  </si>
  <si>
    <t>B3120</t>
  </si>
  <si>
    <t>Staff Ramadhan / THR</t>
  </si>
  <si>
    <t>Lebaran bonus</t>
  </si>
  <si>
    <t>Sales - IAM</t>
  </si>
  <si>
    <t>B3130</t>
  </si>
  <si>
    <t>Staff Welfare - Outpatient (Medical)</t>
  </si>
  <si>
    <t>outpatient treatment costs</t>
  </si>
  <si>
    <t>SP PD- CF</t>
  </si>
  <si>
    <t>B4101</t>
  </si>
  <si>
    <t>MFG</t>
  </si>
  <si>
    <t>DIR</t>
  </si>
  <si>
    <t>Staff Welfare - Hospitalization</t>
  </si>
  <si>
    <t>hospitalization costs</t>
  </si>
  <si>
    <t>SP PD- CM</t>
  </si>
  <si>
    <t>B4102</t>
  </si>
  <si>
    <t>Staff Welfare - Glasses</t>
  </si>
  <si>
    <t>glasses costs</t>
  </si>
  <si>
    <t>SP PD- WT</t>
  </si>
  <si>
    <t>B4103</t>
  </si>
  <si>
    <t>Staff Welfare - Dental</t>
  </si>
  <si>
    <t>dental costs</t>
  </si>
  <si>
    <t>SP PD- Plating</t>
  </si>
  <si>
    <t>B4105</t>
  </si>
  <si>
    <t>Staff Welfare - Medical Check Up</t>
  </si>
  <si>
    <t>Medical Check Up cost</t>
  </si>
  <si>
    <t>SP PD- MS Insp.</t>
  </si>
  <si>
    <t>B4109</t>
  </si>
  <si>
    <t>Staff Welfare - Uniform</t>
  </si>
  <si>
    <t>uniform costs</t>
  </si>
  <si>
    <t>SP PD- Insulator Sealing</t>
  </si>
  <si>
    <t>B4106</t>
  </si>
  <si>
    <t>Staff Welfare - Safety Shoes</t>
  </si>
  <si>
    <t>SP PD- Assy</t>
  </si>
  <si>
    <t>B4110</t>
  </si>
  <si>
    <t>Staff Welfare - Family Gathering / Anniversary</t>
  </si>
  <si>
    <t>Family Gathering / Anniversary</t>
  </si>
  <si>
    <t>SP-PD-Assy-Auto Assembly</t>
  </si>
  <si>
    <t>B4115</t>
  </si>
  <si>
    <t>Staff Welfare - Meals of canteen &amp; other meals</t>
  </si>
  <si>
    <t>Meals of canteen &amp; other meals cost</t>
  </si>
  <si>
    <t>SP PD- Bending</t>
  </si>
  <si>
    <t>B4114</t>
  </si>
  <si>
    <t>Staff Welfare - Kaizen &amp; QCC reward</t>
  </si>
  <si>
    <t>an expense, arising from Kaizen and QCC acitivity</t>
  </si>
  <si>
    <t>SP PD- Final Inspection</t>
  </si>
  <si>
    <t>B4120</t>
  </si>
  <si>
    <t>Staff Welfare - Welfare Others</t>
  </si>
  <si>
    <t>an other welfare expense, arising besides the above welfare expense</t>
  </si>
  <si>
    <t>SP PD- QC - OEM</t>
  </si>
  <si>
    <t>B4121</t>
  </si>
  <si>
    <t>Retirement Allowance</t>
  </si>
  <si>
    <r>
      <rPr>
        <sz val="10"/>
        <color rgb="FF0033CC"/>
        <rFont val="Tahoma"/>
        <family val="2"/>
      </rPr>
      <t>A505</t>
    </r>
    <phoneticPr fontId="0"/>
  </si>
  <si>
    <t>employee retirement provission costs</t>
  </si>
  <si>
    <t>PC PD- Injection</t>
  </si>
  <si>
    <t>B4410</t>
  </si>
  <si>
    <t>House Rent Allowance</t>
  </si>
  <si>
    <t>House Rent Allowance for expat</t>
  </si>
  <si>
    <t>PC PD- Assy</t>
  </si>
  <si>
    <t>B4430</t>
  </si>
  <si>
    <t>Casual Staff Labor - Basic Salary</t>
  </si>
  <si>
    <t>All benefit for temporary worker</t>
  </si>
  <si>
    <t>PC PD- QC</t>
  </si>
  <si>
    <t>B4440</t>
  </si>
  <si>
    <t>Casual Staff Labor - Overtime</t>
  </si>
  <si>
    <t>Overtime temporary worker</t>
  </si>
  <si>
    <t>Plant Operation (Indirect Mfg)</t>
  </si>
  <si>
    <t>B5000</t>
  </si>
  <si>
    <t>IND</t>
  </si>
  <si>
    <t>Personnel expense transferred</t>
  </si>
  <si>
    <r>
      <rPr>
        <sz val="10"/>
        <color rgb="FF0033CC"/>
        <rFont val="Tahoma"/>
        <family val="2"/>
      </rPr>
      <t>A506</t>
    </r>
    <phoneticPr fontId="0"/>
  </si>
  <si>
    <t>Transfer Labor cost from one section into another section</t>
  </si>
  <si>
    <t>Production Office</t>
  </si>
  <si>
    <t>B5100</t>
  </si>
  <si>
    <t>A601</t>
  </si>
  <si>
    <t>the amount of depreciation of tangible assets for building</t>
  </si>
  <si>
    <t>Production Office (SP)</t>
  </si>
  <si>
    <t>B5101</t>
  </si>
  <si>
    <t>the amount of depreciation of tangible assets for machinery &amp; factory equipment</t>
  </si>
  <si>
    <t>Production Office (PC)</t>
  </si>
  <si>
    <t>B5104</t>
  </si>
  <si>
    <t>Depreciation-Lease Machinery &amp; equipment</t>
  </si>
  <si>
    <t>the amount of depreciation of tangible assets for machinery &amp; factory equipment (Leases)</t>
  </si>
  <si>
    <t>Quality Assurance</t>
  </si>
  <si>
    <t>B5800</t>
  </si>
  <si>
    <t>the amount of depreciation of tangible assets for vehicles</t>
  </si>
  <si>
    <t>Quality Control</t>
  </si>
  <si>
    <t>B5900</t>
  </si>
  <si>
    <t>the amount of depreciation of tangible assets for office tools, furniture &amp; office equipment</t>
  </si>
  <si>
    <t>Maintenance</t>
  </si>
  <si>
    <t>B5500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</si>
  <si>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</si>
  <si>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Production Engineering</t>
  </si>
  <si>
    <t>B5600</t>
  </si>
  <si>
    <t>Depreciation - Right of use Assets</t>
  </si>
  <si>
    <t>the amount of depreciation of right of use assets</t>
  </si>
  <si>
    <t>Supply Procurement</t>
  </si>
  <si>
    <t>B5130</t>
  </si>
  <si>
    <t>Rental car</t>
  </si>
  <si>
    <t>A801</t>
  </si>
  <si>
    <t>The expenses of car rent</t>
  </si>
  <si>
    <t>Inventory Control</t>
  </si>
  <si>
    <t>B5200</t>
  </si>
  <si>
    <t>Other rental fee</t>
  </si>
  <si>
    <t>A701</t>
  </si>
  <si>
    <t>The expenses of rent beside car rent, such as copy machine, dispenser, etc.</t>
  </si>
  <si>
    <t>WH Dept.- KD &amp; RM</t>
  </si>
  <si>
    <t>B5710</t>
  </si>
  <si>
    <t>Electricity Charge</t>
  </si>
  <si>
    <t>A1003</t>
  </si>
  <si>
    <t xml:space="preserve">Electricity consumption </t>
  </si>
  <si>
    <t>Water Supply Charge</t>
  </si>
  <si>
    <t>A1004</t>
  </si>
  <si>
    <t xml:space="preserve">Water consumption </t>
  </si>
  <si>
    <t>SCM - FG WH</t>
  </si>
  <si>
    <t>B3150</t>
  </si>
  <si>
    <t>Repair Building</t>
  </si>
  <si>
    <t>A1002</t>
  </si>
  <si>
    <t>expenses for repair and maintenance asset building</t>
  </si>
  <si>
    <t>Repair of Equipment</t>
  </si>
  <si>
    <t>expenses for repair and maintenance tangible assets, intangible assets and other assets beside building</t>
  </si>
  <si>
    <t>Continuous Improvement</t>
  </si>
  <si>
    <t>B5007</t>
  </si>
  <si>
    <t>Factory Supply Expense</t>
  </si>
  <si>
    <t>A1099</t>
  </si>
  <si>
    <t xml:space="preserve">All cost that arrising to support factory acitivity </t>
  </si>
  <si>
    <t>All</t>
  </si>
  <si>
    <t>B0000</t>
  </si>
  <si>
    <t>Calibration Cost</t>
  </si>
  <si>
    <t>Cost of calibration for tools and equipment of factory and others</t>
  </si>
  <si>
    <t>Transportation Fee for employee</t>
  </si>
  <si>
    <t>Gasoline of company cars &amp; expense for Local transportation</t>
  </si>
  <si>
    <t>Travel Expense-Domestic</t>
  </si>
  <si>
    <t>expenses for business trip, including allowance for business trip to an employee only for domestic travel</t>
  </si>
  <si>
    <t>Travel Expense-Oversea</t>
  </si>
  <si>
    <t>expenses for business trip, including allowance for business trip to an employee only for overseas travel</t>
  </si>
  <si>
    <t>Entertainment</t>
  </si>
  <si>
    <t>A1001</t>
  </si>
  <si>
    <t>the amount of expenses for the act of entertaining the business partner</t>
  </si>
  <si>
    <t>Amortization of Land &amp; Building tax (PBB)</t>
  </si>
  <si>
    <t>the amount of depreciation of intangible of Land &amp; Building Tax (PBB)</t>
  </si>
  <si>
    <t>License fee</t>
  </si>
  <si>
    <t>The expense related with the documentation process, such as : KIR, Car lisence, company lisence, etc.</t>
  </si>
  <si>
    <t>Insurance Premium</t>
  </si>
  <si>
    <t>expenses for risk management with no premium at the end of the term, such as fire insurance for plants and inventories</t>
  </si>
  <si>
    <t>Office supply &amp; Stationary Expense</t>
  </si>
  <si>
    <t>the amount of supplies for office, such as stationery. Small office equipment included</t>
  </si>
  <si>
    <t>Communication expenses</t>
  </si>
  <si>
    <t>expenses for communication with a people in remote place, such as expense for telephone and postage</t>
  </si>
  <si>
    <t>IT Expense</t>
  </si>
  <si>
    <t>A1005</t>
  </si>
  <si>
    <t>the amount of supplies for IT tools</t>
  </si>
  <si>
    <t>Stamp/Post Fee</t>
  </si>
  <si>
    <t>The expenses related with stamp duty</t>
  </si>
  <si>
    <t>Audit Fee</t>
  </si>
  <si>
    <t>a fee for external auditor of accounting assessment</t>
  </si>
  <si>
    <t>Consultancy/Professional Fee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</si>
  <si>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</si>
  <si>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</si>
  <si>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</si>
  <si>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A1007</t>
  </si>
  <si>
    <t>All fees that paid to NGK group</t>
  </si>
  <si>
    <t>Ticket &amp; accomodation of trainer (from NGK Group)</t>
  </si>
  <si>
    <t>The expenses related with the person who come from NGK Group that will provide training to NGK Busi</t>
  </si>
  <si>
    <t>Miscellaneous Expense</t>
  </si>
  <si>
    <t>others operational expense</t>
  </si>
  <si>
    <t>Publishing Expense</t>
  </si>
  <si>
    <t>News paper, magazine, and other publishing cost</t>
  </si>
  <si>
    <t>Cleaning Expense</t>
  </si>
  <si>
    <t>The expenses related with the tools or other for cleaning activity</t>
  </si>
  <si>
    <t>Security Guard</t>
  </si>
  <si>
    <t>Fee for security from outsourcing company</t>
  </si>
  <si>
    <t>Service Fee (Canteen Meal &amp; other service for staff)</t>
  </si>
  <si>
    <t>Expense for canteen</t>
  </si>
  <si>
    <t>Training Expense</t>
  </si>
  <si>
    <t>A1006</t>
  </si>
  <si>
    <t>Training cost</t>
  </si>
  <si>
    <t>Recruitment Fee</t>
  </si>
  <si>
    <t>Cost for recruitment process</t>
  </si>
  <si>
    <t>Expatriate expenses exclude labor cost</t>
  </si>
  <si>
    <t>Incidental costs related to expatriete</t>
  </si>
  <si>
    <t>Expatriate fee Tax (BADORA)</t>
  </si>
  <si>
    <t>Tax income from expatriete</t>
  </si>
  <si>
    <t>Freights and Export expense</t>
  </si>
  <si>
    <t>A201</t>
  </si>
  <si>
    <t>an expense, arising from export transaction such as; insurance, pallet, freight cost</t>
  </si>
  <si>
    <t>Transportation for Goods</t>
  </si>
  <si>
    <t>A202</t>
  </si>
  <si>
    <t>Transportion expense of local goods sales</t>
  </si>
  <si>
    <t>Packing for Sale</t>
  </si>
  <si>
    <t>A203</t>
  </si>
  <si>
    <t>Packing expense for local good sales</t>
  </si>
  <si>
    <t>Advertising expenses</t>
  </si>
  <si>
    <t>A401</t>
  </si>
  <si>
    <t>an expense for advertise or publication of goods</t>
  </si>
  <si>
    <t>Sales Promotion - Coupon</t>
  </si>
  <si>
    <r>
      <rPr>
        <sz val="10"/>
        <color rgb="FF0033CC"/>
        <rFont val="Tahoma"/>
        <family val="2"/>
      </rPr>
      <t>A402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</si>
  <si>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</si>
  <si>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Sales Promotion - Activity</t>
  </si>
  <si>
    <r>
      <rPr>
        <sz val="10"/>
        <color rgb="FF0033CC"/>
        <rFont val="Tahoma"/>
        <family val="2"/>
      </rPr>
      <t>A404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</si>
  <si>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</si>
  <si>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Sales Promotion - Supply</t>
  </si>
  <si>
    <r>
      <rPr>
        <sz val="10"/>
        <color rgb="FF0033CC"/>
        <rFont val="Tahoma"/>
        <family val="2"/>
      </rPr>
      <t>A403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</si>
  <si>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</si>
  <si>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Cost of Samples</t>
  </si>
  <si>
    <t>A499</t>
  </si>
  <si>
    <t>Sample expense</t>
  </si>
  <si>
    <t>Sales - Insurance of Delivery or Shipment</t>
  </si>
  <si>
    <r>
      <rPr>
        <sz val="10"/>
        <color rgb="FF0033CC"/>
        <rFont val="Tahoma"/>
        <family val="2"/>
      </rPr>
      <t>A299</t>
    </r>
    <phoneticPr fontId="0"/>
  </si>
  <si>
    <t>Sales - Insurance of AR (Credit Insurance)</t>
  </si>
  <si>
    <r>
      <rPr>
        <sz val="10"/>
        <color rgb="FF0033CC"/>
        <rFont val="Tahoma"/>
        <family val="2"/>
      </rPr>
      <t>A299</t>
    </r>
    <phoneticPr fontId="0"/>
  </si>
  <si>
    <t>Sales - Royalty to NGK Group</t>
  </si>
  <si>
    <t>Sales - Royalty to Independence Party</t>
  </si>
  <si>
    <t>Import Duty-purchased FG from NGK group</t>
  </si>
  <si>
    <t>Import Duty-purchased FG from outside supplier</t>
  </si>
  <si>
    <t>Import Duty-purchased KD&amp;RM from NGK Japan</t>
  </si>
  <si>
    <t>Import Duty-purchased KD&amp;RM from NGK Group(Not fromJP)</t>
  </si>
  <si>
    <t>Import Duty-purchased Comp Parts&amp;RM from outside supplier</t>
  </si>
  <si>
    <t>Import Expense-purchased FG from NGK group</t>
  </si>
  <si>
    <t>Import Expense-purchased FG from outside supplier</t>
  </si>
  <si>
    <t>Import Expense-purchased KD&amp;RM from NGK Japan</t>
  </si>
  <si>
    <t>Import Expense-purchased KD&amp;RM from NGK Group(Not fromJP)</t>
  </si>
  <si>
    <t>Import Expense-purchased Comp Parts&amp;RM from outside supplier</t>
  </si>
  <si>
    <t>Expense-purchased Packaging material from outside supplier</t>
  </si>
  <si>
    <t>Subcontracting Cost</t>
  </si>
  <si>
    <t>Indirect material costs</t>
  </si>
  <si>
    <t>Cost of Factory Supply</t>
  </si>
  <si>
    <r>
      <rPr>
        <sz val="10"/>
        <color theme="1"/>
        <rFont val="Tahoma"/>
        <family val="2"/>
      </rPr>
      <t>Cost of Chemical</t>
    </r>
    <phoneticPr fontId="0"/>
  </si>
  <si>
    <t>The expenses of Chemicals consumption</t>
  </si>
  <si>
    <t>Cost of Packaging</t>
  </si>
  <si>
    <t>Cost of Oil</t>
  </si>
  <si>
    <t>Cost of Tooling</t>
  </si>
  <si>
    <t>The expenses of Tooling consumption</t>
  </si>
  <si>
    <t>Cost of Machinery parts</t>
  </si>
  <si>
    <t>The expenses of Spare Parts consumption</t>
  </si>
  <si>
    <t>Casual Staff Labor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</si>
  <si>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</si>
  <si>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Others - Miscellaneous Waste</t>
  </si>
  <si>
    <t>OTH</t>
  </si>
  <si>
    <t>Others - Miscellaneous Tax</t>
  </si>
  <si>
    <t>Others - Sport Activity</t>
  </si>
  <si>
    <t>Others - Retribution / Garbage Cost</t>
  </si>
  <si>
    <t>Others - Miscellaneous Non Operational Expense</t>
  </si>
  <si>
    <t>Other Income</t>
  </si>
  <si>
    <r>
      <rPr>
        <b/>
        <sz val="10"/>
        <color theme="0"/>
        <rFont val="Tahoma"/>
        <family val="2"/>
      </rPr>
      <t>Name</t>
    </r>
    <phoneticPr fontId="0"/>
  </si>
  <si>
    <r>
      <rPr>
        <b/>
        <sz val="10"/>
        <color theme="0"/>
        <rFont val="Tahoma"/>
        <family val="2"/>
      </rPr>
      <t>Name</t>
    </r>
    <phoneticPr fontId="0"/>
  </si>
  <si>
    <r>
      <rPr>
        <sz val="10"/>
        <color theme="0"/>
        <rFont val="Tahoma"/>
        <family val="2"/>
      </rPr>
      <t>Code</t>
    </r>
    <phoneticPr fontId="0"/>
  </si>
  <si>
    <r>
      <rPr>
        <sz val="10"/>
        <color theme="0"/>
        <rFont val="Tahoma"/>
        <family val="2"/>
      </rPr>
      <t>Name</t>
    </r>
    <phoneticPr fontId="0"/>
  </si>
  <si>
    <r>
      <rPr>
        <sz val="10"/>
        <color rgb="FF0033CC"/>
        <rFont val="Tahoma"/>
        <family val="2"/>
      </rPr>
      <t>A505</t>
    </r>
    <phoneticPr fontId="0"/>
  </si>
  <si>
    <r>
      <rPr>
        <sz val="10"/>
        <color rgb="FF0033CC"/>
        <rFont val="Tahoma"/>
        <family val="2"/>
      </rPr>
      <t>A506</t>
    </r>
    <phoneticPr fontId="0"/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</si>
  <si>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</si>
  <si>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r>
      <rPr>
        <sz val="10"/>
        <color rgb="FF0033CC"/>
        <rFont val="Tahoma"/>
        <family val="2"/>
      </rPr>
      <t>A402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</si>
  <si>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</si>
  <si>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r>
      <rPr>
        <sz val="10"/>
        <color rgb="FF0033CC"/>
        <rFont val="Tahoma"/>
        <family val="2"/>
      </rPr>
      <t>A404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</si>
  <si>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</si>
  <si>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r>
      <rPr>
        <sz val="10"/>
        <color rgb="FF0033CC"/>
        <rFont val="Tahoma"/>
        <family val="2"/>
      </rPr>
      <t>A403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</si>
  <si>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</si>
  <si>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r>
      <rPr>
        <sz val="10"/>
        <color rgb="FF0033CC"/>
        <rFont val="Tahoma"/>
        <family val="2"/>
      </rPr>
      <t>A299</t>
    </r>
    <phoneticPr fontId="0"/>
  </si>
  <si>
    <r>
      <rPr>
        <sz val="10"/>
        <color rgb="FF0033CC"/>
        <rFont val="Tahoma"/>
        <family val="2"/>
      </rPr>
      <t>A299</t>
    </r>
    <phoneticPr fontId="0"/>
  </si>
  <si>
    <r>
      <rPr>
        <sz val="10"/>
        <color theme="1"/>
        <rFont val="Tahoma"/>
        <family val="2"/>
      </rPr>
      <t>Cost of Chemical</t>
    </r>
    <phoneticPr fontId="0"/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</si>
  <si>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</si>
  <si>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r>
      <rPr>
        <b/>
        <sz val="12"/>
        <color theme="0"/>
        <rFont val="Tahoma"/>
        <family val="2"/>
      </rPr>
      <t>Name</t>
    </r>
    <phoneticPr fontId="0"/>
  </si>
  <si>
    <r>
      <rPr>
        <sz val="10"/>
        <color rgb="FF0033CC"/>
        <rFont val="Tahoma"/>
        <family val="2"/>
      </rPr>
      <t>A505</t>
    </r>
    <phoneticPr fontId="0"/>
  </si>
  <si>
    <r>
      <rPr>
        <sz val="10"/>
        <color rgb="FF0033CC"/>
        <rFont val="Tahoma"/>
        <family val="2"/>
      </rPr>
      <t>A506</t>
    </r>
    <phoneticPr fontId="0"/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</si>
  <si>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</si>
  <si>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r>
      <rPr>
        <sz val="10"/>
        <color rgb="FF0033CC"/>
        <rFont val="Tahoma"/>
        <family val="2"/>
      </rPr>
      <t>A402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</si>
  <si>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</si>
  <si>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r>
      <rPr>
        <sz val="10"/>
        <color rgb="FF0033CC"/>
        <rFont val="Tahoma"/>
        <family val="2"/>
      </rPr>
      <t>A404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</si>
  <si>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</si>
  <si>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r>
      <rPr>
        <sz val="10"/>
        <color rgb="FF0033CC"/>
        <rFont val="Tahoma"/>
        <family val="2"/>
      </rPr>
      <t>A403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</si>
  <si>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</si>
  <si>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r>
      <rPr>
        <sz val="10"/>
        <color rgb="FF0033CC"/>
        <rFont val="Tahoma"/>
        <family val="2"/>
      </rPr>
      <t>A299</t>
    </r>
    <phoneticPr fontId="0"/>
  </si>
  <si>
    <r>
      <rPr>
        <sz val="10"/>
        <color rgb="FF0033CC"/>
        <rFont val="Tahoma"/>
        <family val="2"/>
      </rPr>
      <t>A299</t>
    </r>
    <phoneticPr fontId="0"/>
  </si>
  <si>
    <r>
      <rPr>
        <sz val="10"/>
        <color theme="1"/>
        <rFont val="Tahoma"/>
        <family val="2"/>
      </rPr>
      <t>Cost of Chemical</t>
    </r>
    <phoneticPr fontId="0"/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</si>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</sst>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0"/>
      <name val="Calibri"/>
      <family val="2"/>
      <scheme val="minor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Tahoma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6"/>
      <name val="Calibri"/>
      <family val="3"/>
      <charset val="128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  <xf numFmtId="0" fontId="13" fillId="7" borderId="0"/>
    <xf numFmtId="0" fontId="21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</cellStyleXfs>
  <cellXfs count="49">
    <xf numFmtId="0" fontId="0" fillId="0" borderId="0" xfId="0"/>
    <xf numFmtId="0" fontId="5" fillId="0" borderId="0" xfId="2" applyFont="1" applyAlignment="1">
      <alignment vertical="center" wrapText="1"/>
    </xf>
    <xf numFmtId="0" fontId="6" fillId="0" borderId="0" xfId="2" applyFont="1">
      <alignment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0" xfId="2" applyFont="1">
      <alignment vertical="center"/>
    </xf>
    <xf numFmtId="0" fontId="9" fillId="0" borderId="0" xfId="2" applyFont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" xfId="2" applyFont="1" applyBorder="1">
      <alignment vertical="center"/>
    </xf>
    <xf numFmtId="0" fontId="14" fillId="0" borderId="1" xfId="4" applyFont="1" applyFill="1" applyBorder="1" applyAlignment="1">
      <alignment vertical="center"/>
    </xf>
    <xf numFmtId="0" fontId="14" fillId="0" borderId="1" xfId="4" applyFont="1" applyFill="1" applyBorder="1" applyAlignment="1">
      <alignment horizontal="center" vertical="center"/>
    </xf>
    <xf numFmtId="0" fontId="15" fillId="0" borderId="1" xfId="2" applyFont="1" applyBorder="1">
      <alignment vertical="center"/>
    </xf>
    <xf numFmtId="0" fontId="6" fillId="0" borderId="1" xfId="2" applyFont="1" applyBorder="1">
      <alignment vertical="center"/>
    </xf>
    <xf numFmtId="0" fontId="6" fillId="0" borderId="1" xfId="2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18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 wrapText="1"/>
    </xf>
    <xf numFmtId="0" fontId="19" fillId="2" borderId="0" xfId="0" applyFont="1" applyFill="1" applyAlignment="1">
      <alignment horizontal="center" vertical="center" wrapText="1"/>
    </xf>
    <xf numFmtId="165" fontId="19" fillId="2" borderId="0" xfId="0" applyNumberFormat="1" applyFont="1" applyFill="1" applyAlignment="1">
      <alignment horizontal="center" vertical="center" wrapText="1"/>
    </xf>
    <xf numFmtId="164" fontId="16" fillId="0" borderId="0" xfId="1" applyNumberFormat="1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64" fontId="19" fillId="2" borderId="0" xfId="0" applyNumberFormat="1" applyFont="1" applyFill="1" applyAlignment="1">
      <alignment horizontal="center" vertical="center" wrapText="1"/>
    </xf>
    <xf numFmtId="164" fontId="19" fillId="2" borderId="0" xfId="0" applyNumberFormat="1" applyFont="1" applyFill="1" applyAlignment="1">
      <alignment vertical="center" wrapText="1"/>
    </xf>
    <xf numFmtId="14" fontId="0" fillId="0" borderId="0" xfId="0" applyNumberFormat="1"/>
    <xf numFmtId="0" fontId="6" fillId="8" borderId="0" xfId="0" applyFont="1" applyFill="1" applyAlignme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2" fillId="6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vertical="center" wrapText="1"/>
    </xf>
    <xf numFmtId="0" fontId="11" fillId="8" borderId="1" xfId="0" applyFont="1" applyFill="1" applyBorder="1" applyAlignment="1">
      <alignment horizontal="center" vertical="center"/>
    </xf>
    <xf numFmtId="0" fontId="0" fillId="8" borderId="0" xfId="0" applyFill="1"/>
    <xf numFmtId="0" fontId="15" fillId="9" borderId="1" xfId="0" applyFont="1" applyFill="1" applyBorder="1" applyAlignment="1">
      <alignment vertical="center"/>
    </xf>
    <xf numFmtId="0" fontId="15" fillId="9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</cellXfs>
  <cellStyles count="9">
    <cellStyle name="Comma" xfId="1" builtinId="3"/>
    <cellStyle name="Comma 3 2" xfId="6" xr:uid="{BDF3CC1A-D45E-486A-AF90-DA506EE3AB88}"/>
    <cellStyle name="Normal" xfId="0" builtinId="0"/>
    <cellStyle name="Normal 2" xfId="2" xr:uid="{D0D1230D-BB5C-46B9-A32E-5621CE411B76}"/>
    <cellStyle name="Normal 2 2" xfId="7" xr:uid="{ADB9C855-0262-4ACB-BA30-02FEFD8893D8}"/>
    <cellStyle name="Normal 20" xfId="5" xr:uid="{125DC8AC-BF0B-497B-AC05-35793C1AF6F9}"/>
    <cellStyle name="Normal 3 3" xfId="3" xr:uid="{0F0BDEAB-4BF8-46D3-9F0B-44F6E0812104}"/>
    <cellStyle name="Normal 3 3 2 2 4" xfId="8" xr:uid="{D1E986E0-2BDF-4861-AFB0-11E61CFDAFF8}"/>
    <cellStyle name="標準 2 2" xfId="4" xr:uid="{2993C973-C45A-484E-A994-6D971E3D8809}"/>
  </cellStyles>
  <dxfs count="3"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WINNT/Profiles/ichikawa/Personal/&#29983;&#29987;&#29366;&#27841;&#22577;&#21578;&#12539;&#65296;&#6530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DOCUME~1/osumi/LOCALS~1/Temp/notesFFF692/&#36914;&#25431;CHECK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F172-4F7E-4F8C-81F6-B959C5A7DE76}">
  <sheetPr>
    <tabColor rgb="FFFFFF00"/>
  </sheetPr>
  <dimension ref="A1:S6"/>
  <sheetViews>
    <sheetView tabSelected="1" topLeftCell="I1" workbookViewId="0">
      <selection activeCell="J23" sqref="J23"/>
    </sheetView>
  </sheetViews>
  <sheetFormatPr defaultColWidth="8.5703125" defaultRowHeight="15" customHeight="1"/>
  <cols>
    <col min="1" max="1" width="6.85546875" style="16" bestFit="1" customWidth="1"/>
    <col min="2" max="2" width="11.7109375" style="16" bestFit="1" customWidth="1"/>
    <col min="3" max="3" width="25.28515625" style="16" bestFit="1" customWidth="1"/>
    <col min="4" max="4" width="9.85546875" style="29" bestFit="1" customWidth="1"/>
    <col min="5" max="5" width="25.28515625" style="16" bestFit="1" customWidth="1"/>
    <col min="6" max="6" width="8.28515625" style="17" bestFit="1" customWidth="1"/>
    <col min="7" max="7" width="29.5703125" style="16" bestFit="1" customWidth="1"/>
    <col min="8" max="8" width="72.5703125" style="16" bestFit="1" customWidth="1"/>
    <col min="9" max="9" width="17" style="16" bestFit="1" customWidth="1"/>
    <col min="10" max="10" width="14.7109375" style="16" bestFit="1" customWidth="1"/>
    <col min="11" max="11" width="19.5703125" style="29" bestFit="1" customWidth="1"/>
    <col min="12" max="12" width="11.28515625" style="29" bestFit="1" customWidth="1"/>
    <col min="13" max="13" width="15.42578125" style="16" bestFit="1" customWidth="1"/>
    <col min="14" max="14" width="14.7109375" style="18" bestFit="1" customWidth="1"/>
    <col min="15" max="15" width="16.140625" style="17" bestFit="1" customWidth="1"/>
    <col min="16" max="16" width="13" style="17" bestFit="1" customWidth="1"/>
    <col min="17" max="17" width="15.85546875" style="29" bestFit="1" customWidth="1"/>
    <col min="18" max="18" width="20" style="29" customWidth="1"/>
    <col min="19" max="19" width="8.5703125" customWidth="1"/>
    <col min="20" max="20" width="8.5703125" style="16" customWidth="1"/>
    <col min="21" max="16384" width="8.5703125" style="16"/>
  </cols>
  <sheetData>
    <row r="1" spans="1:19" s="15" customFormat="1" ht="34.9" customHeight="1">
      <c r="A1" s="27" t="s">
        <v>0</v>
      </c>
      <c r="B1" s="27" t="s">
        <v>1</v>
      </c>
      <c r="C1" s="27" t="s">
        <v>2</v>
      </c>
      <c r="D1" s="32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32" t="s">
        <v>10</v>
      </c>
      <c r="L1" s="32" t="s">
        <v>11</v>
      </c>
      <c r="M1" s="27" t="s">
        <v>12</v>
      </c>
      <c r="N1" s="28" t="s">
        <v>13</v>
      </c>
      <c r="O1" s="27" t="s">
        <v>14</v>
      </c>
      <c r="P1" s="27" t="s">
        <v>15</v>
      </c>
      <c r="Q1" s="33" t="s">
        <v>16</v>
      </c>
      <c r="R1" s="33" t="s">
        <v>17</v>
      </c>
      <c r="S1"/>
    </row>
    <row r="2" spans="1:19">
      <c r="A2" s="16" t="s">
        <v>18</v>
      </c>
      <c r="B2" s="16" t="s">
        <v>19</v>
      </c>
      <c r="C2" s="16" t="s">
        <v>20</v>
      </c>
      <c r="D2" s="29" t="s">
        <v>19</v>
      </c>
      <c r="E2" s="16" t="s">
        <v>20</v>
      </c>
      <c r="F2" s="17" t="s">
        <v>21</v>
      </c>
      <c r="G2" s="16" t="s">
        <v>22</v>
      </c>
      <c r="H2" s="16" t="s">
        <v>23</v>
      </c>
      <c r="I2" s="16" t="s">
        <v>24</v>
      </c>
      <c r="J2" s="16" t="s">
        <v>25</v>
      </c>
      <c r="K2" s="29">
        <v>13000000</v>
      </c>
      <c r="L2" s="29">
        <v>60</v>
      </c>
      <c r="M2" s="16">
        <v>1</v>
      </c>
      <c r="N2" s="18">
        <v>45383</v>
      </c>
      <c r="O2" s="17" t="s">
        <v>26</v>
      </c>
      <c r="P2" s="17" t="s">
        <v>27</v>
      </c>
      <c r="Q2" s="29">
        <v>13000000</v>
      </c>
      <c r="R2" s="29" t="s">
        <v>28</v>
      </c>
    </row>
    <row r="3" spans="1:19">
      <c r="A3" s="16" t="s">
        <v>18</v>
      </c>
      <c r="B3" s="16" t="s">
        <v>19</v>
      </c>
      <c r="C3" s="16" t="s">
        <v>20</v>
      </c>
      <c r="D3" s="29" t="s">
        <v>19</v>
      </c>
      <c r="E3" s="16" t="s">
        <v>20</v>
      </c>
      <c r="F3" s="17" t="s">
        <v>21</v>
      </c>
      <c r="G3" s="16" t="s">
        <v>22</v>
      </c>
      <c r="H3" s="16" t="s">
        <v>29</v>
      </c>
      <c r="I3" s="16" t="s">
        <v>24</v>
      </c>
      <c r="J3" s="16" t="s">
        <v>25</v>
      </c>
      <c r="K3" s="29">
        <v>80000000</v>
      </c>
      <c r="L3" s="29">
        <v>60</v>
      </c>
      <c r="M3" s="16">
        <v>1</v>
      </c>
      <c r="N3" s="18">
        <v>45444</v>
      </c>
      <c r="O3" s="17" t="s">
        <v>26</v>
      </c>
      <c r="P3" s="17" t="s">
        <v>27</v>
      </c>
      <c r="Q3" s="29">
        <v>80000000</v>
      </c>
      <c r="R3" s="29" t="s">
        <v>30</v>
      </c>
    </row>
    <row r="4" spans="1:19" customFormat="1">
      <c r="A4" t="s">
        <v>18</v>
      </c>
      <c r="B4" t="s">
        <v>19</v>
      </c>
      <c r="C4" t="s">
        <v>20</v>
      </c>
      <c r="D4" t="s">
        <v>19</v>
      </c>
      <c r="E4" t="s">
        <v>20</v>
      </c>
      <c r="F4" t="s">
        <v>21</v>
      </c>
      <c r="G4" t="s">
        <v>22</v>
      </c>
      <c r="H4" t="s">
        <v>31</v>
      </c>
      <c r="I4" t="s">
        <v>24</v>
      </c>
      <c r="J4" t="s">
        <v>25</v>
      </c>
      <c r="K4">
        <v>140000000</v>
      </c>
      <c r="L4">
        <v>60</v>
      </c>
      <c r="M4">
        <v>1</v>
      </c>
      <c r="N4" s="34">
        <v>45292</v>
      </c>
      <c r="O4" t="s">
        <v>32</v>
      </c>
      <c r="P4" t="s">
        <v>33</v>
      </c>
      <c r="Q4">
        <v>140000000</v>
      </c>
      <c r="R4" t="s">
        <v>34</v>
      </c>
    </row>
    <row r="5" spans="1:19">
      <c r="A5" s="16" t="s">
        <v>18</v>
      </c>
      <c r="B5" s="16" t="s">
        <v>19</v>
      </c>
      <c r="C5" s="16" t="s">
        <v>20</v>
      </c>
      <c r="D5" s="29" t="s">
        <v>19</v>
      </c>
      <c r="E5" s="16" t="s">
        <v>20</v>
      </c>
      <c r="F5" s="17" t="s">
        <v>21</v>
      </c>
      <c r="G5" s="16" t="s">
        <v>22</v>
      </c>
      <c r="H5" s="16" t="s">
        <v>35</v>
      </c>
      <c r="I5" s="16" t="s">
        <v>24</v>
      </c>
      <c r="J5" s="16" t="s">
        <v>25</v>
      </c>
      <c r="K5" s="29">
        <v>88000000</v>
      </c>
      <c r="L5" s="29">
        <v>60</v>
      </c>
      <c r="M5" s="16">
        <v>1</v>
      </c>
      <c r="N5" s="18">
        <v>45566</v>
      </c>
      <c r="O5" s="17" t="s">
        <v>32</v>
      </c>
      <c r="P5" s="17" t="s">
        <v>27</v>
      </c>
      <c r="Q5" s="29">
        <v>88000000</v>
      </c>
      <c r="R5" s="29" t="s">
        <v>36</v>
      </c>
    </row>
    <row r="6" spans="1:19">
      <c r="A6" s="16" t="s">
        <v>18</v>
      </c>
      <c r="B6" s="16" t="s">
        <v>19</v>
      </c>
      <c r="C6" s="16" t="s">
        <v>20</v>
      </c>
      <c r="D6" s="29" t="s">
        <v>19</v>
      </c>
      <c r="E6" s="16" t="s">
        <v>20</v>
      </c>
      <c r="F6" s="17" t="s">
        <v>37</v>
      </c>
      <c r="G6" s="16" t="s">
        <v>38</v>
      </c>
      <c r="H6" s="16" t="s">
        <v>39</v>
      </c>
      <c r="I6" s="16" t="s">
        <v>24</v>
      </c>
      <c r="J6" s="16" t="s">
        <v>25</v>
      </c>
      <c r="K6" s="29">
        <v>400000000</v>
      </c>
      <c r="L6" s="29">
        <v>60</v>
      </c>
      <c r="M6" s="16">
        <v>1</v>
      </c>
      <c r="N6" s="18">
        <v>45444</v>
      </c>
      <c r="O6" s="17" t="s">
        <v>32</v>
      </c>
      <c r="P6" s="17" t="s">
        <v>27</v>
      </c>
      <c r="Q6" s="29">
        <v>400000000</v>
      </c>
      <c r="R6" s="29" t="s">
        <v>40</v>
      </c>
    </row>
  </sheetData>
  <autoFilter ref="H1:O1" xr:uid="{00000000-0009-0000-0000-000000000000}"/>
  <phoneticPr fontId="20" type="noConversion"/>
  <conditionalFormatting sqref="A1 C1 E1 G1:H1 K1:O1 A7:A1048576 C7:C1048576 E7:E1048576 G7:H1048576 K7:O1048576">
    <cfRule type="containsBlanks" dxfId="2" priority="4">
      <formula>LEN(TRIM(A1))=0</formula>
    </cfRule>
  </conditionalFormatting>
  <conditionalFormatting sqref="B1 D1 F1 I1:J1 P1:R1 B7:B1048576 D7:D1048576 F7:F1048576 I7:J1048576 P7:R1048576">
    <cfRule type="containsBlanks" dxfId="1" priority="2">
      <formula>LEN(TRIM(B1))=0</formula>
    </cfRule>
  </conditionalFormatting>
  <conditionalFormatting sqref="Q1:R1 Q7:R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7A1847A-938A-47A2-870D-94DBA3AD11B6}">
          <x14:formula1>
            <xm:f>Master_Section!$H$2:$H$41</xm:f>
          </x14:formula1>
          <xm:sqref>C1:C1048576 E1:E1048576</xm:sqref>
        </x14:dataValidation>
        <x14:dataValidation type="list" allowBlank="1" showInputMessage="1" showErrorMessage="1" xr:uid="{C5696D0E-E593-48C3-80E5-EAD6DE87C50B}">
          <x14:formula1>
            <xm:f>Master!$AE$2:$AE$6</xm:f>
          </x14:formula1>
          <xm:sqref>G1:G1048576</xm:sqref>
        </x14:dataValidation>
        <x14:dataValidation type="list" allowBlank="1" showInputMessage="1" showErrorMessage="1" xr:uid="{EE71404A-BCF1-48E6-9D6E-FB7CDB9216F4}">
          <x14:formula1>
            <xm:f>Master!$G$6:$G$8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7F5A-1FA7-447A-87B8-BCD1D2EB0411}">
  <dimension ref="A1:AL173"/>
  <sheetViews>
    <sheetView showGridLines="0" zoomScale="90" zoomScaleNormal="90" workbookViewId="0">
      <selection activeCell="G6" sqref="G6"/>
    </sheetView>
  </sheetViews>
  <sheetFormatPr defaultColWidth="8.85546875" defaultRowHeight="18" customHeight="1"/>
  <cols>
    <col min="1" max="1" width="28.42578125" style="2" bestFit="1" customWidth="1"/>
    <col min="2" max="2" width="7.42578125" style="2" customWidth="1"/>
    <col min="3" max="3" width="15" style="2" bestFit="1" customWidth="1"/>
    <col min="4" max="4" width="17" style="2" bestFit="1" customWidth="1"/>
    <col min="5" max="5" width="31.140625" style="2" customWidth="1"/>
    <col min="6" max="6" width="0.85546875" style="2" customWidth="1"/>
    <col min="7" max="7" width="6.42578125" style="2" bestFit="1" customWidth="1"/>
    <col min="8" max="8" width="38" style="2" bestFit="1" customWidth="1"/>
    <col min="9" max="9" width="0.85546875" style="2" customWidth="1"/>
    <col min="10" max="10" width="56.140625" style="2" bestFit="1" customWidth="1"/>
    <col min="11" max="11" width="10.5703125" style="3" bestFit="1" customWidth="1"/>
    <col min="12" max="12" width="12.5703125" style="4" bestFit="1" customWidth="1"/>
    <col min="13" max="13" width="12.42578125" style="4" bestFit="1" customWidth="1"/>
    <col min="14" max="14" width="13.85546875" style="4" bestFit="1" customWidth="1"/>
    <col min="15" max="15" width="50.7109375" style="2" hidden="1" customWidth="1"/>
    <col min="16" max="16" width="0.85546875" style="35" customWidth="1"/>
    <col min="17" max="17" width="28.5703125" style="2" bestFit="1" customWidth="1"/>
    <col min="18" max="18" width="11.42578125" style="3" bestFit="1" customWidth="1"/>
    <col min="19" max="19" width="15.85546875" style="2" bestFit="1" customWidth="1"/>
    <col min="20" max="20" width="19.42578125" style="2" bestFit="1" customWidth="1"/>
    <col min="21" max="21" width="28.5703125" style="2" bestFit="1" customWidth="1"/>
    <col min="22" max="22" width="0.85546875" style="35" customWidth="1"/>
    <col min="23" max="23" width="9.85546875" style="2" bestFit="1" customWidth="1"/>
    <col min="24" max="24" width="19.5703125" style="2" bestFit="1" customWidth="1"/>
    <col min="25" max="25" width="0.85546875" style="35" customWidth="1"/>
    <col min="26" max="26" width="18.42578125" style="19" bestFit="1" customWidth="1"/>
    <col min="27" max="27" width="19" style="20" bestFit="1" customWidth="1"/>
    <col min="28" max="28" width="72.5703125" style="21" bestFit="1" customWidth="1"/>
    <col min="29" max="29" width="8.85546875" style="2" customWidth="1"/>
    <col min="30" max="30" width="11.5703125" style="3" bestFit="1" customWidth="1"/>
    <col min="31" max="31" width="30.140625" style="2" bestFit="1" customWidth="1"/>
    <col min="32" max="32" width="11.5703125" style="3" customWidth="1"/>
    <col min="33" max="33" width="11.42578125" style="3" bestFit="1" customWidth="1"/>
    <col min="34" max="34" width="41.42578125" style="2" bestFit="1" customWidth="1"/>
    <col min="35" max="35" width="0.85546875" style="2" customWidth="1"/>
    <col min="36" max="36" width="16.42578125" style="19" bestFit="1" customWidth="1"/>
    <col min="37" max="37" width="17.42578125" style="20" customWidth="1"/>
    <col min="38" max="38" width="51.42578125" style="21" customWidth="1"/>
    <col min="39" max="39" width="8.85546875" style="2" customWidth="1"/>
    <col min="40" max="16384" width="8.85546875" style="2"/>
  </cols>
  <sheetData>
    <row r="1" spans="1:38" ht="18" customHeight="1">
      <c r="A1" s="36" t="s">
        <v>41</v>
      </c>
      <c r="B1" s="36" t="s">
        <v>42</v>
      </c>
      <c r="C1" s="37" t="s">
        <v>43</v>
      </c>
      <c r="D1" s="37" t="s">
        <v>44</v>
      </c>
      <c r="E1" s="36" t="s">
        <v>45</v>
      </c>
      <c r="G1" s="38" t="s">
        <v>46</v>
      </c>
      <c r="H1" s="38" t="s">
        <v>47</v>
      </c>
      <c r="J1" s="39" t="s">
        <v>48</v>
      </c>
      <c r="K1" s="39" t="s">
        <v>49</v>
      </c>
      <c r="L1" s="40" t="s">
        <v>9</v>
      </c>
      <c r="M1" s="40" t="s">
        <v>50</v>
      </c>
      <c r="N1" s="40" t="s">
        <v>51</v>
      </c>
      <c r="O1" s="39" t="s">
        <v>52</v>
      </c>
      <c r="P1" s="41"/>
      <c r="Q1" s="36" t="s">
        <v>53</v>
      </c>
      <c r="R1" s="36" t="s">
        <v>42</v>
      </c>
      <c r="S1" s="37" t="s">
        <v>43</v>
      </c>
      <c r="T1" s="37" t="s">
        <v>44</v>
      </c>
      <c r="U1" s="36" t="s">
        <v>54</v>
      </c>
      <c r="V1" s="42"/>
      <c r="W1" s="38" t="s">
        <v>55</v>
      </c>
      <c r="X1" s="38" t="s">
        <v>56</v>
      </c>
      <c r="Y1" s="42"/>
      <c r="Z1" s="30" t="s">
        <v>14</v>
      </c>
      <c r="AA1" s="30" t="s">
        <v>57</v>
      </c>
      <c r="AB1" s="31" t="s">
        <v>52</v>
      </c>
      <c r="AC1" s="1"/>
      <c r="AD1" s="8" t="s">
        <v>58</v>
      </c>
      <c r="AE1" s="9" t="s">
        <v>59</v>
      </c>
      <c r="AF1" s="8" t="s">
        <v>58</v>
      </c>
      <c r="AG1" s="8" t="s">
        <v>60</v>
      </c>
      <c r="AH1" s="9" t="s">
        <v>61</v>
      </c>
      <c r="AJ1" s="22" t="s">
        <v>14</v>
      </c>
      <c r="AK1" s="22" t="s">
        <v>57</v>
      </c>
      <c r="AL1" s="26" t="s">
        <v>52</v>
      </c>
    </row>
    <row r="2" spans="1:38" ht="32.25" customHeight="1">
      <c r="A2" s="10" t="s">
        <v>62</v>
      </c>
      <c r="B2" s="11" t="s">
        <v>63</v>
      </c>
      <c r="C2" s="12" t="s">
        <v>24</v>
      </c>
      <c r="D2" s="13" t="s">
        <v>25</v>
      </c>
      <c r="E2" s="13" t="str">
        <f t="shared" ref="E2:E43" si="0">A2</f>
        <v>Top Management</v>
      </c>
      <c r="G2" s="13">
        <v>53450</v>
      </c>
      <c r="H2" s="13" t="s">
        <v>64</v>
      </c>
      <c r="J2" s="2" t="s">
        <v>65</v>
      </c>
      <c r="K2" s="3">
        <v>7511101</v>
      </c>
      <c r="L2" s="4" t="s">
        <v>24</v>
      </c>
      <c r="M2" s="5" t="str">
        <f t="shared" ref="M2:M33" si="1">L2&amp;"-"&amp;K2</f>
        <v>SGA-7511101</v>
      </c>
      <c r="N2" s="4" t="s">
        <v>66</v>
      </c>
      <c r="O2" s="2" t="s">
        <v>65</v>
      </c>
      <c r="Q2" s="10" t="s">
        <v>62</v>
      </c>
      <c r="R2" s="11" t="s">
        <v>63</v>
      </c>
      <c r="S2" s="12" t="s">
        <v>24</v>
      </c>
      <c r="T2" s="13" t="s">
        <v>25</v>
      </c>
      <c r="U2" s="13" t="str">
        <f t="shared" ref="U2:U19" si="2">Q2</f>
        <v>Top Management</v>
      </c>
      <c r="W2" s="13">
        <v>53450</v>
      </c>
      <c r="X2" s="13" t="s">
        <v>64</v>
      </c>
      <c r="Z2" s="24" t="s">
        <v>32</v>
      </c>
      <c r="AA2" s="25" t="s">
        <v>67</v>
      </c>
      <c r="AB2" s="23" t="s">
        <v>68</v>
      </c>
      <c r="AD2" s="14">
        <v>2111100</v>
      </c>
      <c r="AE2" s="13" t="s">
        <v>69</v>
      </c>
      <c r="AF2" s="14">
        <v>2111100</v>
      </c>
      <c r="AG2" s="14">
        <v>7611100</v>
      </c>
      <c r="AH2" s="13" t="s">
        <v>70</v>
      </c>
      <c r="AJ2" s="24" t="s">
        <v>32</v>
      </c>
      <c r="AK2" s="25" t="s">
        <v>67</v>
      </c>
      <c r="AL2" s="23" t="s">
        <v>68</v>
      </c>
    </row>
    <row r="3" spans="1:38" ht="32.25" customHeight="1">
      <c r="A3" s="10" t="s">
        <v>71</v>
      </c>
      <c r="B3" s="11" t="s">
        <v>72</v>
      </c>
      <c r="C3" s="12" t="s">
        <v>24</v>
      </c>
      <c r="D3" s="13" t="s">
        <v>25</v>
      </c>
      <c r="E3" s="13" t="str">
        <f t="shared" si="0"/>
        <v>Commissioner</v>
      </c>
      <c r="G3" s="13"/>
      <c r="H3" s="13"/>
      <c r="J3" s="2" t="s">
        <v>73</v>
      </c>
      <c r="K3" s="3">
        <v>7511102</v>
      </c>
      <c r="L3" s="4" t="s">
        <v>24</v>
      </c>
      <c r="M3" s="5" t="str">
        <f t="shared" si="1"/>
        <v>SGA-7511102</v>
      </c>
      <c r="N3" s="4" t="s">
        <v>66</v>
      </c>
      <c r="O3" s="2" t="s">
        <v>74</v>
      </c>
      <c r="Q3" s="10" t="s">
        <v>71</v>
      </c>
      <c r="R3" s="11" t="s">
        <v>72</v>
      </c>
      <c r="S3" s="12" t="s">
        <v>24</v>
      </c>
      <c r="T3" s="13" t="s">
        <v>25</v>
      </c>
      <c r="U3" s="13" t="str">
        <f t="shared" si="2"/>
        <v>Commissioner</v>
      </c>
      <c r="W3" s="13"/>
      <c r="X3" s="13"/>
      <c r="Z3" s="24" t="s">
        <v>26</v>
      </c>
      <c r="AA3" s="25" t="s">
        <v>75</v>
      </c>
      <c r="AB3" s="23" t="s">
        <v>76</v>
      </c>
      <c r="AD3" s="14">
        <v>2121000</v>
      </c>
      <c r="AE3" s="13" t="s">
        <v>77</v>
      </c>
      <c r="AF3" s="14">
        <v>2121000</v>
      </c>
      <c r="AG3" s="14">
        <v>7611300</v>
      </c>
      <c r="AH3" s="13" t="s">
        <v>78</v>
      </c>
      <c r="AJ3" s="24" t="s">
        <v>26</v>
      </c>
      <c r="AK3" s="25" t="s">
        <v>75</v>
      </c>
      <c r="AL3" s="23" t="s">
        <v>76</v>
      </c>
    </row>
    <row r="4" spans="1:38" ht="32.25" customHeight="1">
      <c r="A4" s="10" t="s">
        <v>79</v>
      </c>
      <c r="B4" s="11" t="s">
        <v>80</v>
      </c>
      <c r="C4" s="12" t="s">
        <v>24</v>
      </c>
      <c r="D4" s="13" t="s">
        <v>25</v>
      </c>
      <c r="E4" s="13" t="str">
        <f t="shared" si="0"/>
        <v>Admin &amp; HR</v>
      </c>
      <c r="G4" s="13"/>
      <c r="H4" s="13"/>
      <c r="J4" s="2" t="s">
        <v>81</v>
      </c>
      <c r="K4" s="3">
        <v>7511103</v>
      </c>
      <c r="L4" s="4" t="s">
        <v>24</v>
      </c>
      <c r="M4" s="5" t="str">
        <f t="shared" si="1"/>
        <v>SGA-7511103</v>
      </c>
      <c r="N4" s="4" t="s">
        <v>82</v>
      </c>
      <c r="O4" s="2" t="s">
        <v>83</v>
      </c>
      <c r="Q4" s="10" t="s">
        <v>79</v>
      </c>
      <c r="R4" s="11" t="s">
        <v>80</v>
      </c>
      <c r="S4" s="12" t="s">
        <v>24</v>
      </c>
      <c r="T4" s="13" t="s">
        <v>25</v>
      </c>
      <c r="U4" s="13" t="str">
        <f t="shared" si="2"/>
        <v>Admin &amp; HR</v>
      </c>
      <c r="W4" s="13"/>
      <c r="X4" s="13"/>
      <c r="Z4" s="24" t="s">
        <v>84</v>
      </c>
      <c r="AA4" s="25" t="s">
        <v>85</v>
      </c>
      <c r="AB4" s="23" t="s">
        <v>86</v>
      </c>
      <c r="AD4" s="14">
        <v>2131000</v>
      </c>
      <c r="AE4" s="13" t="s">
        <v>87</v>
      </c>
      <c r="AF4" s="14">
        <v>2131000</v>
      </c>
      <c r="AG4" s="14">
        <v>7611500</v>
      </c>
      <c r="AH4" s="13" t="s">
        <v>88</v>
      </c>
      <c r="AJ4" s="24" t="s">
        <v>84</v>
      </c>
      <c r="AK4" s="25" t="s">
        <v>85</v>
      </c>
      <c r="AL4" s="23" t="s">
        <v>86</v>
      </c>
    </row>
    <row r="5" spans="1:38" ht="18" customHeight="1">
      <c r="A5" s="10" t="s">
        <v>89</v>
      </c>
      <c r="B5" s="11" t="s">
        <v>90</v>
      </c>
      <c r="C5" s="12" t="s">
        <v>24</v>
      </c>
      <c r="D5" s="13" t="s">
        <v>25</v>
      </c>
      <c r="E5" s="13" t="str">
        <f t="shared" si="0"/>
        <v>General Affair</v>
      </c>
      <c r="J5" s="2" t="s">
        <v>91</v>
      </c>
      <c r="K5" s="3">
        <v>7511111</v>
      </c>
      <c r="L5" s="4" t="s">
        <v>24</v>
      </c>
      <c r="M5" s="5" t="str">
        <f t="shared" si="1"/>
        <v>SGA-7511111</v>
      </c>
      <c r="N5" s="4" t="s">
        <v>82</v>
      </c>
      <c r="O5" s="2" t="s">
        <v>92</v>
      </c>
      <c r="Q5" s="10" t="s">
        <v>89</v>
      </c>
      <c r="R5" s="11" t="s">
        <v>90</v>
      </c>
      <c r="S5" s="12" t="s">
        <v>24</v>
      </c>
      <c r="T5" s="13" t="s">
        <v>25</v>
      </c>
      <c r="U5" s="13" t="str">
        <f t="shared" si="2"/>
        <v>General Affair</v>
      </c>
      <c r="AD5" s="14">
        <v>2141000</v>
      </c>
      <c r="AE5" s="13" t="s">
        <v>22</v>
      </c>
      <c r="AF5" s="14">
        <v>2141000</v>
      </c>
      <c r="AG5" s="14">
        <v>7611600</v>
      </c>
      <c r="AH5" s="13" t="s">
        <v>93</v>
      </c>
    </row>
    <row r="6" spans="1:38" customFormat="1" ht="18" customHeight="1">
      <c r="A6" s="10" t="s">
        <v>94</v>
      </c>
      <c r="B6" s="11" t="s">
        <v>95</v>
      </c>
      <c r="C6" s="12" t="s">
        <v>24</v>
      </c>
      <c r="D6" s="13" t="s">
        <v>25</v>
      </c>
      <c r="E6" s="13" t="str">
        <f t="shared" si="0"/>
        <v>Human Resource</v>
      </c>
      <c r="G6" s="2" t="s">
        <v>18</v>
      </c>
      <c r="J6" s="2" t="s">
        <v>96</v>
      </c>
      <c r="K6" s="3">
        <v>7511112</v>
      </c>
      <c r="L6" s="4" t="s">
        <v>24</v>
      </c>
      <c r="M6" s="5" t="str">
        <f t="shared" si="1"/>
        <v>SGA-7511112</v>
      </c>
      <c r="N6" s="4" t="s">
        <v>82</v>
      </c>
      <c r="O6" s="2" t="s">
        <v>97</v>
      </c>
      <c r="P6" s="43"/>
      <c r="Q6" s="10" t="s">
        <v>94</v>
      </c>
      <c r="R6" s="11" t="s">
        <v>95</v>
      </c>
      <c r="S6" s="12" t="s">
        <v>24</v>
      </c>
      <c r="T6" s="13" t="s">
        <v>25</v>
      </c>
      <c r="U6" s="13" t="str">
        <f t="shared" si="2"/>
        <v>Human Resource</v>
      </c>
      <c r="V6" s="43"/>
      <c r="Y6" s="43"/>
      <c r="AD6" s="14">
        <v>2221101</v>
      </c>
      <c r="AE6" s="13" t="s">
        <v>38</v>
      </c>
      <c r="AF6" s="14">
        <v>2221101</v>
      </c>
      <c r="AG6" s="14">
        <v>7611700</v>
      </c>
      <c r="AH6" s="13" t="s">
        <v>98</v>
      </c>
    </row>
    <row r="7" spans="1:38" ht="18" customHeight="1">
      <c r="A7" s="10" t="s">
        <v>99</v>
      </c>
      <c r="B7" s="11" t="s">
        <v>100</v>
      </c>
      <c r="C7" s="12" t="s">
        <v>24</v>
      </c>
      <c r="D7" s="13" t="s">
        <v>25</v>
      </c>
      <c r="E7" s="13" t="str">
        <f t="shared" si="0"/>
        <v>Health, Safety &amp; Environment</v>
      </c>
      <c r="G7" s="2" t="s">
        <v>101</v>
      </c>
      <c r="J7" s="2" t="s">
        <v>102</v>
      </c>
      <c r="K7" s="3">
        <v>7511121</v>
      </c>
      <c r="L7" s="4" t="s">
        <v>24</v>
      </c>
      <c r="M7" s="5" t="str">
        <f t="shared" si="1"/>
        <v>SGA-7511121</v>
      </c>
      <c r="N7" s="4" t="s">
        <v>82</v>
      </c>
      <c r="O7" s="2" t="s">
        <v>103</v>
      </c>
      <c r="Q7" s="10" t="s">
        <v>99</v>
      </c>
      <c r="R7" s="11" t="s">
        <v>100</v>
      </c>
      <c r="S7" s="12" t="s">
        <v>24</v>
      </c>
      <c r="T7" s="13" t="s">
        <v>25</v>
      </c>
      <c r="U7" s="13" t="str">
        <f t="shared" si="2"/>
        <v>Health, Safety &amp; Environment</v>
      </c>
    </row>
    <row r="8" spans="1:38" ht="18" customHeight="1">
      <c r="A8" s="10" t="s">
        <v>104</v>
      </c>
      <c r="B8" s="11" t="s">
        <v>105</v>
      </c>
      <c r="C8" s="12" t="s">
        <v>24</v>
      </c>
      <c r="D8" s="13" t="s">
        <v>25</v>
      </c>
      <c r="E8" s="13" t="str">
        <f t="shared" si="0"/>
        <v>Accounting &amp; Finance</v>
      </c>
      <c r="G8" s="2" t="s">
        <v>106</v>
      </c>
      <c r="J8" s="2" t="s">
        <v>107</v>
      </c>
      <c r="K8" s="3">
        <v>7511122</v>
      </c>
      <c r="L8" s="4" t="s">
        <v>24</v>
      </c>
      <c r="M8" s="5" t="str">
        <f t="shared" si="1"/>
        <v>SGA-7511122</v>
      </c>
      <c r="N8" s="4" t="s">
        <v>82</v>
      </c>
      <c r="O8" s="2" t="s">
        <v>108</v>
      </c>
      <c r="Q8" s="10" t="s">
        <v>104</v>
      </c>
      <c r="R8" s="11" t="s">
        <v>105</v>
      </c>
      <c r="S8" s="12" t="s">
        <v>24</v>
      </c>
      <c r="T8" s="13" t="s">
        <v>25</v>
      </c>
      <c r="U8" s="13" t="str">
        <f t="shared" si="2"/>
        <v>Accounting &amp; Finance</v>
      </c>
    </row>
    <row r="9" spans="1:38" ht="18" customHeight="1">
      <c r="A9" s="10" t="s">
        <v>20</v>
      </c>
      <c r="B9" s="11" t="s">
        <v>19</v>
      </c>
      <c r="C9" s="12" t="s">
        <v>24</v>
      </c>
      <c r="D9" s="13" t="s">
        <v>25</v>
      </c>
      <c r="E9" s="13" t="str">
        <f t="shared" si="0"/>
        <v>Information Technology</v>
      </c>
      <c r="J9" s="2" t="s">
        <v>109</v>
      </c>
      <c r="K9" s="3">
        <v>7511201</v>
      </c>
      <c r="L9" s="4" t="s">
        <v>24</v>
      </c>
      <c r="M9" s="5" t="str">
        <f t="shared" si="1"/>
        <v>SGA-7511201</v>
      </c>
      <c r="N9" s="4" t="s">
        <v>110</v>
      </c>
      <c r="O9" s="2" t="s">
        <v>111</v>
      </c>
      <c r="Q9" s="10" t="s">
        <v>20</v>
      </c>
      <c r="R9" s="11" t="s">
        <v>19</v>
      </c>
      <c r="S9" s="12" t="s">
        <v>24</v>
      </c>
      <c r="T9" s="13" t="s">
        <v>25</v>
      </c>
      <c r="U9" s="13" t="str">
        <f t="shared" si="2"/>
        <v>Information Technology</v>
      </c>
    </row>
    <row r="10" spans="1:38" ht="18" customHeight="1">
      <c r="A10" s="10" t="s">
        <v>112</v>
      </c>
      <c r="B10" s="11" t="s">
        <v>113</v>
      </c>
      <c r="C10" s="12" t="s">
        <v>24</v>
      </c>
      <c r="D10" s="13" t="s">
        <v>25</v>
      </c>
      <c r="E10" s="13" t="str">
        <f t="shared" si="0"/>
        <v>Sales &amp; MKTG Dept.- Automotive</v>
      </c>
      <c r="J10" s="2" t="s">
        <v>114</v>
      </c>
      <c r="K10" s="3">
        <v>7512111</v>
      </c>
      <c r="L10" s="4" t="s">
        <v>24</v>
      </c>
      <c r="M10" s="5" t="str">
        <f t="shared" si="1"/>
        <v>SGA-7512111</v>
      </c>
      <c r="N10" s="4" t="s">
        <v>115</v>
      </c>
      <c r="O10" s="2" t="s">
        <v>116</v>
      </c>
      <c r="Q10" s="10" t="s">
        <v>112</v>
      </c>
      <c r="R10" s="11" t="s">
        <v>113</v>
      </c>
      <c r="S10" s="12" t="s">
        <v>24</v>
      </c>
      <c r="T10" s="13" t="s">
        <v>25</v>
      </c>
      <c r="U10" s="13" t="str">
        <f t="shared" si="2"/>
        <v>Sales &amp; MKTG Dept.- Automotive</v>
      </c>
    </row>
    <row r="11" spans="1:38" ht="18" customHeight="1">
      <c r="A11" s="10" t="s">
        <v>117</v>
      </c>
      <c r="B11" s="11" t="s">
        <v>118</v>
      </c>
      <c r="C11" s="12" t="s">
        <v>24</v>
      </c>
      <c r="D11" s="13" t="s">
        <v>25</v>
      </c>
      <c r="E11" s="13" t="str">
        <f t="shared" si="0"/>
        <v>Marketing</v>
      </c>
      <c r="J11" s="2" t="s">
        <v>119</v>
      </c>
      <c r="K11" s="3">
        <v>7512112</v>
      </c>
      <c r="L11" s="4" t="s">
        <v>24</v>
      </c>
      <c r="M11" s="5" t="str">
        <f t="shared" si="1"/>
        <v>SGA-7512112</v>
      </c>
      <c r="N11" s="4" t="s">
        <v>115</v>
      </c>
      <c r="O11" s="2" t="s">
        <v>120</v>
      </c>
      <c r="Q11" s="10" t="s">
        <v>117</v>
      </c>
      <c r="R11" s="11" t="s">
        <v>118</v>
      </c>
      <c r="S11" s="12" t="s">
        <v>24</v>
      </c>
      <c r="T11" s="13" t="s">
        <v>25</v>
      </c>
      <c r="U11" s="13" t="str">
        <f t="shared" si="2"/>
        <v>Marketing</v>
      </c>
    </row>
    <row r="12" spans="1:38" ht="18" customHeight="1">
      <c r="A12" s="10" t="s">
        <v>121</v>
      </c>
      <c r="B12" s="11" t="s">
        <v>122</v>
      </c>
      <c r="C12" s="12" t="s">
        <v>24</v>
      </c>
      <c r="D12" s="13" t="s">
        <v>25</v>
      </c>
      <c r="E12" s="13" t="str">
        <f t="shared" si="0"/>
        <v>Sales - OEM</v>
      </c>
      <c r="J12" s="2" t="s">
        <v>123</v>
      </c>
      <c r="K12" s="3">
        <v>7514101</v>
      </c>
      <c r="L12" s="4" t="s">
        <v>24</v>
      </c>
      <c r="M12" s="5" t="str">
        <f t="shared" si="1"/>
        <v>SGA-7514101</v>
      </c>
      <c r="N12" s="4" t="s">
        <v>82</v>
      </c>
      <c r="O12" s="2" t="s">
        <v>124</v>
      </c>
      <c r="Q12" s="10" t="s">
        <v>121</v>
      </c>
      <c r="R12" s="11" t="s">
        <v>122</v>
      </c>
      <c r="S12" s="12" t="s">
        <v>24</v>
      </c>
      <c r="T12" s="13" t="s">
        <v>25</v>
      </c>
      <c r="U12" s="13" t="str">
        <f t="shared" si="2"/>
        <v>Sales - OEM</v>
      </c>
    </row>
    <row r="13" spans="1:38" ht="18" customHeight="1">
      <c r="A13" s="10" t="s">
        <v>125</v>
      </c>
      <c r="B13" s="11" t="s">
        <v>126</v>
      </c>
      <c r="C13" s="12" t="s">
        <v>24</v>
      </c>
      <c r="D13" s="13" t="s">
        <v>25</v>
      </c>
      <c r="E13" s="13" t="str">
        <f t="shared" si="0"/>
        <v>Sales - OES</v>
      </c>
      <c r="J13" s="2" t="s">
        <v>127</v>
      </c>
      <c r="K13" s="3">
        <v>7514102</v>
      </c>
      <c r="L13" s="4" t="s">
        <v>24</v>
      </c>
      <c r="M13" s="5" t="str">
        <f t="shared" si="1"/>
        <v>SGA-7514102</v>
      </c>
      <c r="N13" s="4" t="s">
        <v>82</v>
      </c>
      <c r="O13" s="2" t="s">
        <v>128</v>
      </c>
      <c r="Q13" s="10" t="s">
        <v>125</v>
      </c>
      <c r="R13" s="11" t="s">
        <v>126</v>
      </c>
      <c r="S13" s="12" t="s">
        <v>24</v>
      </c>
      <c r="T13" s="13" t="s">
        <v>25</v>
      </c>
      <c r="U13" s="13" t="str">
        <f t="shared" si="2"/>
        <v>Sales - OES</v>
      </c>
    </row>
    <row r="14" spans="1:38" ht="18" customHeight="1">
      <c r="A14" s="10" t="s">
        <v>129</v>
      </c>
      <c r="B14" s="11" t="s">
        <v>130</v>
      </c>
      <c r="C14" s="12" t="s">
        <v>24</v>
      </c>
      <c r="D14" s="13" t="s">
        <v>25</v>
      </c>
      <c r="E14" s="13" t="str">
        <f t="shared" si="0"/>
        <v>Sales - IAM</v>
      </c>
      <c r="J14" s="2" t="s">
        <v>131</v>
      </c>
      <c r="K14" s="3">
        <v>7515401</v>
      </c>
      <c r="L14" s="4" t="s">
        <v>24</v>
      </c>
      <c r="M14" s="5" t="str">
        <f t="shared" si="1"/>
        <v>SGA-7515401</v>
      </c>
      <c r="N14" s="4" t="s">
        <v>115</v>
      </c>
      <c r="O14" s="2" t="s">
        <v>132</v>
      </c>
      <c r="Q14" s="10" t="s">
        <v>129</v>
      </c>
      <c r="R14" s="11" t="s">
        <v>130</v>
      </c>
      <c r="S14" s="12" t="s">
        <v>24</v>
      </c>
      <c r="T14" s="13" t="s">
        <v>25</v>
      </c>
      <c r="U14" s="13" t="str">
        <f t="shared" si="2"/>
        <v>Sales - IAM</v>
      </c>
    </row>
    <row r="15" spans="1:38" ht="18" customHeight="1">
      <c r="A15" s="10" t="s">
        <v>133</v>
      </c>
      <c r="B15" s="11" t="s">
        <v>134</v>
      </c>
      <c r="C15" s="13" t="s">
        <v>135</v>
      </c>
      <c r="D15" s="13" t="s">
        <v>136</v>
      </c>
      <c r="E15" s="13" t="str">
        <f t="shared" si="0"/>
        <v>SP PD- CF</v>
      </c>
      <c r="J15" s="2" t="s">
        <v>137</v>
      </c>
      <c r="K15" s="3">
        <v>7515402</v>
      </c>
      <c r="L15" s="4" t="s">
        <v>24</v>
      </c>
      <c r="M15" s="5" t="str">
        <f t="shared" si="1"/>
        <v>SGA-7515402</v>
      </c>
      <c r="N15" s="4" t="s">
        <v>115</v>
      </c>
      <c r="O15" s="2" t="s">
        <v>138</v>
      </c>
      <c r="Q15" s="10" t="s">
        <v>133</v>
      </c>
      <c r="R15" s="11" t="s">
        <v>134</v>
      </c>
      <c r="S15" s="13" t="s">
        <v>135</v>
      </c>
      <c r="T15" s="13" t="s">
        <v>136</v>
      </c>
      <c r="U15" s="13" t="str">
        <f t="shared" si="2"/>
        <v>SP PD- CF</v>
      </c>
    </row>
    <row r="16" spans="1:38" ht="18" customHeight="1">
      <c r="A16" s="10" t="s">
        <v>139</v>
      </c>
      <c r="B16" s="11" t="s">
        <v>140</v>
      </c>
      <c r="C16" s="13" t="s">
        <v>135</v>
      </c>
      <c r="D16" s="13" t="s">
        <v>136</v>
      </c>
      <c r="E16" s="13" t="str">
        <f t="shared" si="0"/>
        <v>SP PD- CM</v>
      </c>
      <c r="J16" s="2" t="s">
        <v>141</v>
      </c>
      <c r="K16" s="3">
        <v>7515403</v>
      </c>
      <c r="L16" s="4" t="s">
        <v>24</v>
      </c>
      <c r="M16" s="5" t="str">
        <f t="shared" si="1"/>
        <v>SGA-7515403</v>
      </c>
      <c r="N16" s="4" t="s">
        <v>115</v>
      </c>
      <c r="O16" s="2" t="s">
        <v>142</v>
      </c>
      <c r="Q16" s="10" t="s">
        <v>139</v>
      </c>
      <c r="R16" s="11" t="s">
        <v>140</v>
      </c>
      <c r="S16" s="13" t="s">
        <v>135</v>
      </c>
      <c r="T16" s="13" t="s">
        <v>136</v>
      </c>
      <c r="U16" s="13" t="str">
        <f t="shared" si="2"/>
        <v>SP PD- CM</v>
      </c>
    </row>
    <row r="17" spans="1:21" ht="18" customHeight="1">
      <c r="A17" s="10" t="s">
        <v>143</v>
      </c>
      <c r="B17" s="11" t="s">
        <v>144</v>
      </c>
      <c r="C17" s="13" t="s">
        <v>135</v>
      </c>
      <c r="D17" s="13" t="s">
        <v>136</v>
      </c>
      <c r="E17" s="13" t="str">
        <f t="shared" si="0"/>
        <v>SP PD- WT</v>
      </c>
      <c r="J17" s="2" t="s">
        <v>145</v>
      </c>
      <c r="K17" s="3">
        <v>7515404</v>
      </c>
      <c r="L17" s="4" t="s">
        <v>24</v>
      </c>
      <c r="M17" s="5" t="str">
        <f t="shared" si="1"/>
        <v>SGA-7515404</v>
      </c>
      <c r="N17" s="4" t="s">
        <v>115</v>
      </c>
      <c r="O17" s="2" t="s">
        <v>146</v>
      </c>
      <c r="Q17" s="10" t="s">
        <v>143</v>
      </c>
      <c r="R17" s="11" t="s">
        <v>144</v>
      </c>
      <c r="S17" s="13" t="s">
        <v>135</v>
      </c>
      <c r="T17" s="13" t="s">
        <v>136</v>
      </c>
      <c r="U17" s="13" t="str">
        <f t="shared" si="2"/>
        <v>SP PD- WT</v>
      </c>
    </row>
    <row r="18" spans="1:21" ht="18" customHeight="1">
      <c r="A18" s="10" t="s">
        <v>147</v>
      </c>
      <c r="B18" s="11" t="s">
        <v>148</v>
      </c>
      <c r="C18" s="13" t="s">
        <v>135</v>
      </c>
      <c r="D18" s="13" t="s">
        <v>136</v>
      </c>
      <c r="E18" s="13" t="str">
        <f t="shared" si="0"/>
        <v>SP PD- Plating</v>
      </c>
      <c r="J18" s="2" t="s">
        <v>149</v>
      </c>
      <c r="K18" s="3">
        <v>7515405</v>
      </c>
      <c r="L18" s="4" t="s">
        <v>24</v>
      </c>
      <c r="M18" s="5" t="str">
        <f t="shared" si="1"/>
        <v>SGA-7515405</v>
      </c>
      <c r="N18" s="4" t="s">
        <v>115</v>
      </c>
      <c r="O18" s="2" t="s">
        <v>150</v>
      </c>
      <c r="Q18" s="10" t="s">
        <v>147</v>
      </c>
      <c r="R18" s="11" t="s">
        <v>148</v>
      </c>
      <c r="S18" s="13" t="s">
        <v>135</v>
      </c>
      <c r="T18" s="13" t="s">
        <v>136</v>
      </c>
      <c r="U18" s="13" t="str">
        <f t="shared" si="2"/>
        <v>SP PD- Plating</v>
      </c>
    </row>
    <row r="19" spans="1:21" ht="18" customHeight="1">
      <c r="A19" s="10" t="s">
        <v>151</v>
      </c>
      <c r="B19" s="11" t="s">
        <v>152</v>
      </c>
      <c r="C19" s="13" t="s">
        <v>135</v>
      </c>
      <c r="D19" s="13" t="s">
        <v>136</v>
      </c>
      <c r="E19" s="13" t="str">
        <f t="shared" si="0"/>
        <v>SP PD- MS Insp.</v>
      </c>
      <c r="J19" s="2" t="s">
        <v>153</v>
      </c>
      <c r="K19" s="3">
        <v>7515406</v>
      </c>
      <c r="L19" s="4" t="s">
        <v>24</v>
      </c>
      <c r="M19" s="5" t="str">
        <f t="shared" si="1"/>
        <v>SGA-7515406</v>
      </c>
      <c r="N19" s="4" t="s">
        <v>115</v>
      </c>
      <c r="O19" s="2" t="s">
        <v>154</v>
      </c>
      <c r="Q19" s="10" t="s">
        <v>151</v>
      </c>
      <c r="R19" s="11" t="s">
        <v>152</v>
      </c>
      <c r="S19" s="13" t="s">
        <v>135</v>
      </c>
      <c r="T19" s="13" t="s">
        <v>136</v>
      </c>
      <c r="U19" s="13" t="str">
        <f t="shared" si="2"/>
        <v>SP PD- MS Insp.</v>
      </c>
    </row>
    <row r="20" spans="1:21" ht="18" customHeight="1">
      <c r="A20" s="10" t="s">
        <v>155</v>
      </c>
      <c r="B20" s="11" t="s">
        <v>156</v>
      </c>
      <c r="C20" s="13" t="s">
        <v>135</v>
      </c>
      <c r="D20" s="13" t="s">
        <v>136</v>
      </c>
      <c r="E20" s="13" t="str">
        <f t="shared" si="0"/>
        <v>SP PD- Insulator Sealing</v>
      </c>
      <c r="J20" s="2" t="s">
        <v>157</v>
      </c>
      <c r="K20" s="3">
        <v>7515407</v>
      </c>
      <c r="L20" s="4" t="s">
        <v>24</v>
      </c>
      <c r="M20" s="5" t="str">
        <f t="shared" si="1"/>
        <v>SGA-7515407</v>
      </c>
      <c r="N20" s="4" t="s">
        <v>115</v>
      </c>
      <c r="Q20" s="10"/>
      <c r="R20" s="11"/>
      <c r="S20" s="13"/>
      <c r="T20" s="13"/>
      <c r="U20" s="13"/>
    </row>
    <row r="21" spans="1:21" ht="18" customHeight="1">
      <c r="A21" s="10" t="s">
        <v>158</v>
      </c>
      <c r="B21" s="11" t="s">
        <v>159</v>
      </c>
      <c r="C21" s="13" t="s">
        <v>135</v>
      </c>
      <c r="D21" s="13" t="s">
        <v>136</v>
      </c>
      <c r="E21" s="13" t="str">
        <f t="shared" si="0"/>
        <v>SP PD- Assy</v>
      </c>
      <c r="J21" s="2" t="s">
        <v>160</v>
      </c>
      <c r="K21" s="3">
        <v>7515408</v>
      </c>
      <c r="L21" s="4" t="s">
        <v>24</v>
      </c>
      <c r="M21" s="5" t="str">
        <f t="shared" si="1"/>
        <v>SGA-7515408</v>
      </c>
      <c r="N21" s="4" t="s">
        <v>115</v>
      </c>
      <c r="O21" s="2" t="s">
        <v>161</v>
      </c>
      <c r="Q21" s="10" t="s">
        <v>155</v>
      </c>
      <c r="R21" s="11" t="s">
        <v>156</v>
      </c>
      <c r="S21" s="13" t="s">
        <v>135</v>
      </c>
      <c r="T21" s="13" t="s">
        <v>136</v>
      </c>
      <c r="U21" s="13" t="str">
        <f t="shared" ref="U21:U43" si="3">Q21</f>
        <v>SP PD- Insulator Sealing</v>
      </c>
    </row>
    <row r="22" spans="1:21" ht="18" customHeight="1">
      <c r="A22" s="10" t="s">
        <v>162</v>
      </c>
      <c r="B22" s="11" t="s">
        <v>163</v>
      </c>
      <c r="C22" s="13" t="s">
        <v>135</v>
      </c>
      <c r="D22" s="13" t="s">
        <v>136</v>
      </c>
      <c r="E22" s="13" t="str">
        <f t="shared" si="0"/>
        <v>SP-PD-Assy-Auto Assembly</v>
      </c>
      <c r="J22" s="2" t="s">
        <v>164</v>
      </c>
      <c r="K22" s="3">
        <v>7515409</v>
      </c>
      <c r="L22" s="4" t="s">
        <v>24</v>
      </c>
      <c r="M22" s="5" t="str">
        <f t="shared" si="1"/>
        <v>SGA-7515409</v>
      </c>
      <c r="N22" s="4" t="s">
        <v>115</v>
      </c>
      <c r="O22" s="2" t="s">
        <v>165</v>
      </c>
      <c r="Q22" s="10" t="s">
        <v>158</v>
      </c>
      <c r="R22" s="11" t="s">
        <v>159</v>
      </c>
      <c r="S22" s="13" t="s">
        <v>135</v>
      </c>
      <c r="T22" s="13" t="s">
        <v>136</v>
      </c>
      <c r="U22" s="13" t="str">
        <f t="shared" si="3"/>
        <v>SP PD- Assy</v>
      </c>
    </row>
    <row r="23" spans="1:21" ht="18" customHeight="1">
      <c r="A23" s="10" t="s">
        <v>166</v>
      </c>
      <c r="B23" s="11" t="s">
        <v>167</v>
      </c>
      <c r="C23" s="13" t="s">
        <v>135</v>
      </c>
      <c r="D23" s="13" t="s">
        <v>136</v>
      </c>
      <c r="E23" s="13" t="str">
        <f t="shared" si="0"/>
        <v>SP PD- Bending</v>
      </c>
      <c r="J23" s="2" t="s">
        <v>168</v>
      </c>
      <c r="K23" s="3">
        <v>7515410</v>
      </c>
      <c r="L23" s="4" t="s">
        <v>24</v>
      </c>
      <c r="M23" s="5" t="str">
        <f t="shared" si="1"/>
        <v>SGA-7515410</v>
      </c>
      <c r="N23" s="4" t="s">
        <v>115</v>
      </c>
      <c r="O23" s="2" t="s">
        <v>169</v>
      </c>
      <c r="Q23" s="10" t="s">
        <v>162</v>
      </c>
      <c r="R23" s="11" t="s">
        <v>163</v>
      </c>
      <c r="S23" s="13" t="s">
        <v>135</v>
      </c>
      <c r="T23" s="13" t="s">
        <v>136</v>
      </c>
      <c r="U23" s="13" t="str">
        <f t="shared" si="3"/>
        <v>SP-PD-Assy-Auto Assembly</v>
      </c>
    </row>
    <row r="24" spans="1:21" ht="18" customHeight="1">
      <c r="A24" s="10" t="s">
        <v>170</v>
      </c>
      <c r="B24" s="11" t="s">
        <v>171</v>
      </c>
      <c r="C24" s="13" t="s">
        <v>135</v>
      </c>
      <c r="D24" s="13" t="s">
        <v>136</v>
      </c>
      <c r="E24" s="13" t="str">
        <f t="shared" si="0"/>
        <v>SP PD- Final Inspection</v>
      </c>
      <c r="J24" s="2" t="s">
        <v>172</v>
      </c>
      <c r="K24" s="3">
        <v>7515499</v>
      </c>
      <c r="L24" s="4" t="s">
        <v>24</v>
      </c>
      <c r="M24" s="5" t="str">
        <f t="shared" si="1"/>
        <v>SGA-7515499</v>
      </c>
      <c r="N24" s="4" t="s">
        <v>115</v>
      </c>
      <c r="O24" s="2" t="s">
        <v>173</v>
      </c>
      <c r="Q24" s="10" t="s">
        <v>166</v>
      </c>
      <c r="R24" s="11" t="s">
        <v>167</v>
      </c>
      <c r="S24" s="13" t="s">
        <v>135</v>
      </c>
      <c r="T24" s="13" t="s">
        <v>136</v>
      </c>
      <c r="U24" s="13" t="str">
        <f t="shared" si="3"/>
        <v>SP PD- Bending</v>
      </c>
    </row>
    <row r="25" spans="1:21" ht="18" customHeight="1">
      <c r="A25" s="10" t="s">
        <v>174</v>
      </c>
      <c r="B25" s="11" t="s">
        <v>175</v>
      </c>
      <c r="C25" s="13" t="s">
        <v>135</v>
      </c>
      <c r="D25" s="13" t="s">
        <v>136</v>
      </c>
      <c r="E25" s="13" t="str">
        <f t="shared" si="0"/>
        <v>SP PD- QC - OEM</v>
      </c>
      <c r="J25" s="2" t="s">
        <v>176</v>
      </c>
      <c r="K25" s="3">
        <v>7516102</v>
      </c>
      <c r="L25" s="4" t="s">
        <v>24</v>
      </c>
      <c r="M25" s="5" t="str">
        <f t="shared" si="1"/>
        <v>SGA-7516102</v>
      </c>
      <c r="N25" s="4" t="s">
        <v>177</v>
      </c>
      <c r="O25" s="2" t="s">
        <v>178</v>
      </c>
      <c r="Q25" s="10" t="s">
        <v>170</v>
      </c>
      <c r="R25" s="11" t="s">
        <v>171</v>
      </c>
      <c r="S25" s="13" t="s">
        <v>135</v>
      </c>
      <c r="T25" s="13" t="s">
        <v>136</v>
      </c>
      <c r="U25" s="13" t="str">
        <f t="shared" si="3"/>
        <v>SP PD- Final Inspection</v>
      </c>
    </row>
    <row r="26" spans="1:21" ht="18" customHeight="1">
      <c r="A26" s="10" t="s">
        <v>179</v>
      </c>
      <c r="B26" s="11" t="s">
        <v>180</v>
      </c>
      <c r="C26" s="13" t="s">
        <v>135</v>
      </c>
      <c r="D26" s="13" t="s">
        <v>136</v>
      </c>
      <c r="E26" s="13" t="str">
        <f t="shared" si="0"/>
        <v>PC PD- Injection</v>
      </c>
      <c r="J26" s="2" t="s">
        <v>181</v>
      </c>
      <c r="K26" s="3">
        <v>7519101</v>
      </c>
      <c r="L26" s="4" t="s">
        <v>24</v>
      </c>
      <c r="M26" s="5" t="str">
        <f t="shared" si="1"/>
        <v>SGA-7519101</v>
      </c>
      <c r="N26" s="4" t="s">
        <v>66</v>
      </c>
      <c r="O26" s="2" t="s">
        <v>182</v>
      </c>
      <c r="Q26" s="10" t="s">
        <v>174</v>
      </c>
      <c r="R26" s="11" t="s">
        <v>175</v>
      </c>
      <c r="S26" s="13" t="s">
        <v>135</v>
      </c>
      <c r="T26" s="13" t="s">
        <v>136</v>
      </c>
      <c r="U26" s="13" t="str">
        <f t="shared" si="3"/>
        <v>SP PD- QC - OEM</v>
      </c>
    </row>
    <row r="27" spans="1:21" ht="18" customHeight="1">
      <c r="A27" s="10" t="s">
        <v>183</v>
      </c>
      <c r="B27" s="11" t="s">
        <v>184</v>
      </c>
      <c r="C27" s="13" t="s">
        <v>135</v>
      </c>
      <c r="D27" s="13" t="s">
        <v>136</v>
      </c>
      <c r="E27" s="13" t="str">
        <f t="shared" si="0"/>
        <v>PC PD- Assy</v>
      </c>
      <c r="J27" s="2" t="s">
        <v>185</v>
      </c>
      <c r="K27" s="3">
        <v>7521101</v>
      </c>
      <c r="L27" s="4" t="s">
        <v>24</v>
      </c>
      <c r="M27" s="5" t="str">
        <f t="shared" si="1"/>
        <v>SGA-7521101</v>
      </c>
      <c r="N27" s="4" t="s">
        <v>82</v>
      </c>
      <c r="O27" s="2" t="s">
        <v>186</v>
      </c>
      <c r="Q27" s="10" t="s">
        <v>179</v>
      </c>
      <c r="R27" s="11" t="s">
        <v>180</v>
      </c>
      <c r="S27" s="13" t="s">
        <v>135</v>
      </c>
      <c r="T27" s="13" t="s">
        <v>136</v>
      </c>
      <c r="U27" s="13" t="str">
        <f t="shared" si="3"/>
        <v>PC PD- Injection</v>
      </c>
    </row>
    <row r="28" spans="1:21" ht="18" customHeight="1">
      <c r="A28" s="10" t="s">
        <v>187</v>
      </c>
      <c r="B28" s="11" t="s">
        <v>188</v>
      </c>
      <c r="C28" s="13" t="s">
        <v>135</v>
      </c>
      <c r="D28" s="13" t="s">
        <v>136</v>
      </c>
      <c r="E28" s="13" t="str">
        <f t="shared" si="0"/>
        <v>PC PD- QC</v>
      </c>
      <c r="J28" s="2" t="s">
        <v>189</v>
      </c>
      <c r="K28" s="3">
        <v>7521102</v>
      </c>
      <c r="L28" s="4" t="s">
        <v>24</v>
      </c>
      <c r="M28" s="5" t="str">
        <f t="shared" si="1"/>
        <v>SGA-7521102</v>
      </c>
      <c r="N28" s="4" t="s">
        <v>110</v>
      </c>
      <c r="O28" s="2" t="s">
        <v>190</v>
      </c>
      <c r="Q28" s="10" t="s">
        <v>183</v>
      </c>
      <c r="R28" s="11" t="s">
        <v>184</v>
      </c>
      <c r="S28" s="13" t="s">
        <v>135</v>
      </c>
      <c r="T28" s="13" t="s">
        <v>136</v>
      </c>
      <c r="U28" s="13" t="str">
        <f t="shared" si="3"/>
        <v>PC PD- Assy</v>
      </c>
    </row>
    <row r="29" spans="1:21" ht="18" customHeight="1">
      <c r="A29" s="10" t="s">
        <v>191</v>
      </c>
      <c r="B29" s="11" t="s">
        <v>192</v>
      </c>
      <c r="C29" s="13" t="s">
        <v>135</v>
      </c>
      <c r="D29" s="13" t="s">
        <v>193</v>
      </c>
      <c r="E29" s="13" t="str">
        <f t="shared" si="0"/>
        <v>Plant Operation (Indirect Mfg)</v>
      </c>
      <c r="J29" s="2" t="s">
        <v>194</v>
      </c>
      <c r="K29" s="3">
        <v>7571101</v>
      </c>
      <c r="L29" s="4" t="s">
        <v>24</v>
      </c>
      <c r="M29" s="5" t="str">
        <f t="shared" si="1"/>
        <v>SGA-7571101</v>
      </c>
      <c r="N29" s="4" t="s">
        <v>195</v>
      </c>
      <c r="O29" s="2" t="s">
        <v>196</v>
      </c>
      <c r="Q29" s="10" t="s">
        <v>187</v>
      </c>
      <c r="R29" s="11" t="s">
        <v>188</v>
      </c>
      <c r="S29" s="13" t="s">
        <v>135</v>
      </c>
      <c r="T29" s="13" t="s">
        <v>136</v>
      </c>
      <c r="U29" s="13" t="str">
        <f t="shared" si="3"/>
        <v>PC PD- QC</v>
      </c>
    </row>
    <row r="30" spans="1:21" ht="18" customHeight="1">
      <c r="A30" s="10" t="s">
        <v>197</v>
      </c>
      <c r="B30" s="11" t="s">
        <v>198</v>
      </c>
      <c r="C30" s="13" t="s">
        <v>135</v>
      </c>
      <c r="D30" s="13" t="s">
        <v>193</v>
      </c>
      <c r="E30" s="13" t="str">
        <f t="shared" si="0"/>
        <v>Production Office</v>
      </c>
      <c r="J30" s="2" t="s">
        <v>70</v>
      </c>
      <c r="K30" s="3">
        <v>7611100</v>
      </c>
      <c r="L30" s="4" t="s">
        <v>24</v>
      </c>
      <c r="M30" s="5" t="str">
        <f t="shared" si="1"/>
        <v>SGA-7611100</v>
      </c>
      <c r="N30" s="4" t="s">
        <v>199</v>
      </c>
      <c r="O30" s="2" t="s">
        <v>200</v>
      </c>
      <c r="Q30" s="10" t="s">
        <v>191</v>
      </c>
      <c r="R30" s="11" t="s">
        <v>192</v>
      </c>
      <c r="S30" s="13" t="s">
        <v>135</v>
      </c>
      <c r="T30" s="13" t="s">
        <v>193</v>
      </c>
      <c r="U30" s="13" t="str">
        <f t="shared" si="3"/>
        <v>Plant Operation (Indirect Mfg)</v>
      </c>
    </row>
    <row r="31" spans="1:21" ht="18" customHeight="1">
      <c r="A31" s="10" t="s">
        <v>201</v>
      </c>
      <c r="B31" s="11" t="s">
        <v>202</v>
      </c>
      <c r="C31" s="13" t="s">
        <v>135</v>
      </c>
      <c r="D31" s="13" t="s">
        <v>193</v>
      </c>
      <c r="E31" s="13" t="str">
        <f t="shared" si="0"/>
        <v>Production Office (SP)</v>
      </c>
      <c r="J31" s="2" t="s">
        <v>78</v>
      </c>
      <c r="K31" s="3">
        <v>7611300</v>
      </c>
      <c r="L31" s="4" t="s">
        <v>24</v>
      </c>
      <c r="M31" s="5" t="str">
        <f t="shared" si="1"/>
        <v>SGA-7611300</v>
      </c>
      <c r="N31" s="4" t="s">
        <v>199</v>
      </c>
      <c r="O31" s="2" t="s">
        <v>203</v>
      </c>
      <c r="Q31" s="10" t="s">
        <v>197</v>
      </c>
      <c r="R31" s="11" t="s">
        <v>198</v>
      </c>
      <c r="S31" s="13" t="s">
        <v>135</v>
      </c>
      <c r="T31" s="13" t="s">
        <v>193</v>
      </c>
      <c r="U31" s="13" t="str">
        <f t="shared" si="3"/>
        <v>Production Office</v>
      </c>
    </row>
    <row r="32" spans="1:21" ht="18" customHeight="1">
      <c r="A32" s="10" t="s">
        <v>204</v>
      </c>
      <c r="B32" s="11" t="s">
        <v>205</v>
      </c>
      <c r="C32" s="13" t="s">
        <v>135</v>
      </c>
      <c r="D32" s="13" t="s">
        <v>193</v>
      </c>
      <c r="E32" s="13" t="str">
        <f t="shared" si="0"/>
        <v>Production Office (PC)</v>
      </c>
      <c r="J32" s="2" t="s">
        <v>206</v>
      </c>
      <c r="K32" s="3">
        <v>7611400</v>
      </c>
      <c r="L32" s="4" t="s">
        <v>24</v>
      </c>
      <c r="M32" s="5" t="str">
        <f t="shared" si="1"/>
        <v>SGA-7611400</v>
      </c>
      <c r="N32" s="4" t="s">
        <v>199</v>
      </c>
      <c r="O32" s="2" t="s">
        <v>207</v>
      </c>
      <c r="Q32" s="10" t="s">
        <v>201</v>
      </c>
      <c r="R32" s="11" t="s">
        <v>202</v>
      </c>
      <c r="S32" s="13" t="s">
        <v>135</v>
      </c>
      <c r="T32" s="13" t="s">
        <v>193</v>
      </c>
      <c r="U32" s="13" t="str">
        <f t="shared" si="3"/>
        <v>Production Office (SP)</v>
      </c>
    </row>
    <row r="33" spans="1:21" ht="18" customHeight="1">
      <c r="A33" s="10" t="s">
        <v>208</v>
      </c>
      <c r="B33" s="11" t="s">
        <v>209</v>
      </c>
      <c r="C33" s="13" t="s">
        <v>135</v>
      </c>
      <c r="D33" s="13" t="s">
        <v>193</v>
      </c>
      <c r="E33" s="13" t="str">
        <f t="shared" si="0"/>
        <v>Quality Assurance</v>
      </c>
      <c r="J33" s="2" t="s">
        <v>88</v>
      </c>
      <c r="K33" s="3">
        <v>7611500</v>
      </c>
      <c r="L33" s="4" t="s">
        <v>24</v>
      </c>
      <c r="M33" s="5" t="str">
        <f t="shared" si="1"/>
        <v>SGA-7611500</v>
      </c>
      <c r="N33" s="4" t="s">
        <v>199</v>
      </c>
      <c r="O33" s="2" t="s">
        <v>210</v>
      </c>
      <c r="Q33" s="10" t="s">
        <v>204</v>
      </c>
      <c r="R33" s="11" t="s">
        <v>205</v>
      </c>
      <c r="S33" s="13" t="s">
        <v>135</v>
      </c>
      <c r="T33" s="13" t="s">
        <v>193</v>
      </c>
      <c r="U33" s="13" t="str">
        <f t="shared" si="3"/>
        <v>Production Office (PC)</v>
      </c>
    </row>
    <row r="34" spans="1:21" ht="18" customHeight="1">
      <c r="A34" s="10" t="s">
        <v>211</v>
      </c>
      <c r="B34" s="11" t="s">
        <v>212</v>
      </c>
      <c r="C34" s="13" t="s">
        <v>135</v>
      </c>
      <c r="D34" s="13" t="s">
        <v>193</v>
      </c>
      <c r="E34" s="13" t="str">
        <f t="shared" si="0"/>
        <v>Quality Control</v>
      </c>
      <c r="J34" s="2" t="s">
        <v>93</v>
      </c>
      <c r="K34" s="3">
        <v>7611600</v>
      </c>
      <c r="L34" s="4" t="s">
        <v>24</v>
      </c>
      <c r="M34" s="5" t="str">
        <f t="shared" ref="M34:M65" si="4">L34&amp;"-"&amp;K34</f>
        <v>SGA-7611600</v>
      </c>
      <c r="N34" s="4" t="s">
        <v>199</v>
      </c>
      <c r="O34" s="2" t="s">
        <v>213</v>
      </c>
      <c r="Q34" s="10" t="s">
        <v>208</v>
      </c>
      <c r="R34" s="11" t="s">
        <v>209</v>
      </c>
      <c r="S34" s="13" t="s">
        <v>135</v>
      </c>
      <c r="T34" s="13" t="s">
        <v>193</v>
      </c>
      <c r="U34" s="13" t="str">
        <f t="shared" si="3"/>
        <v>Quality Assurance</v>
      </c>
    </row>
    <row r="35" spans="1:21" ht="18" customHeight="1">
      <c r="A35" s="10" t="s">
        <v>214</v>
      </c>
      <c r="B35" s="11" t="s">
        <v>215</v>
      </c>
      <c r="C35" s="13" t="s">
        <v>135</v>
      </c>
      <c r="D35" s="13" t="s">
        <v>193</v>
      </c>
      <c r="E35" s="13" t="str">
        <f t="shared" si="0"/>
        <v>Maintenance</v>
      </c>
      <c r="J35" s="2" t="s">
        <v>98</v>
      </c>
      <c r="K35" s="3">
        <v>7611700</v>
      </c>
      <c r="L35" s="4" t="s">
        <v>24</v>
      </c>
      <c r="M35" s="5" t="str">
        <f t="shared" si="4"/>
        <v>SGA-7611700</v>
      </c>
      <c r="N35" s="4" t="s">
        <v>199</v>
      </c>
      <c r="O35" s="2" t="s">
        <v>216</v>
      </c>
      <c r="Q35" s="10" t="s">
        <v>211</v>
      </c>
      <c r="R35" s="11" t="s">
        <v>212</v>
      </c>
      <c r="S35" s="13" t="s">
        <v>135</v>
      </c>
      <c r="T35" s="13" t="s">
        <v>193</v>
      </c>
      <c r="U35" s="13" t="str">
        <f t="shared" si="3"/>
        <v>Quality Control</v>
      </c>
    </row>
    <row r="36" spans="1:21" ht="18" customHeight="1">
      <c r="A36" s="10" t="s">
        <v>217</v>
      </c>
      <c r="B36" s="11" t="s">
        <v>218</v>
      </c>
      <c r="C36" s="13" t="s">
        <v>135</v>
      </c>
      <c r="D36" s="13" t="s">
        <v>193</v>
      </c>
      <c r="E36" s="13" t="str">
        <f t="shared" si="0"/>
        <v>Production Engineering</v>
      </c>
      <c r="J36" s="2" t="s">
        <v>219</v>
      </c>
      <c r="K36" s="3">
        <v>7611800</v>
      </c>
      <c r="L36" s="4" t="s">
        <v>24</v>
      </c>
      <c r="M36" s="5" t="str">
        <f t="shared" si="4"/>
        <v>SGA-7611800</v>
      </c>
      <c r="N36" s="4" t="s">
        <v>199</v>
      </c>
      <c r="O36" s="2" t="s">
        <v>220</v>
      </c>
      <c r="Q36" s="10" t="s">
        <v>214</v>
      </c>
      <c r="R36" s="11" t="s">
        <v>215</v>
      </c>
      <c r="S36" s="13" t="s">
        <v>135</v>
      </c>
      <c r="T36" s="13" t="s">
        <v>193</v>
      </c>
      <c r="U36" s="13" t="str">
        <f t="shared" si="3"/>
        <v>Maintenance</v>
      </c>
    </row>
    <row r="37" spans="1:21" ht="18" customHeight="1">
      <c r="A37" s="10" t="s">
        <v>221</v>
      </c>
      <c r="B37" s="11" t="s">
        <v>222</v>
      </c>
      <c r="C37" s="13" t="s">
        <v>135</v>
      </c>
      <c r="D37" s="13" t="s">
        <v>193</v>
      </c>
      <c r="E37" s="13" t="str">
        <f t="shared" si="0"/>
        <v>Supply Procurement</v>
      </c>
      <c r="J37" s="2" t="s">
        <v>223</v>
      </c>
      <c r="K37" s="3">
        <v>7621101</v>
      </c>
      <c r="L37" s="4" t="s">
        <v>24</v>
      </c>
      <c r="M37" s="5" t="str">
        <f t="shared" si="4"/>
        <v>SGA-7621101</v>
      </c>
      <c r="N37" s="4" t="s">
        <v>224</v>
      </c>
      <c r="O37" s="2" t="s">
        <v>225</v>
      </c>
      <c r="Q37" s="10" t="s">
        <v>217</v>
      </c>
      <c r="R37" s="11" t="s">
        <v>218</v>
      </c>
      <c r="S37" s="13" t="s">
        <v>135</v>
      </c>
      <c r="T37" s="13" t="s">
        <v>193</v>
      </c>
      <c r="U37" s="13" t="str">
        <f t="shared" si="3"/>
        <v>Production Engineering</v>
      </c>
    </row>
    <row r="38" spans="1:21" ht="18" customHeight="1">
      <c r="A38" s="10" t="s">
        <v>226</v>
      </c>
      <c r="B38" s="11" t="s">
        <v>227</v>
      </c>
      <c r="C38" s="13" t="s">
        <v>135</v>
      </c>
      <c r="D38" s="13" t="s">
        <v>193</v>
      </c>
      <c r="E38" s="13" t="str">
        <f t="shared" si="0"/>
        <v>Inventory Control</v>
      </c>
      <c r="J38" s="2" t="s">
        <v>228</v>
      </c>
      <c r="K38" s="3">
        <v>7621199</v>
      </c>
      <c r="L38" s="4" t="s">
        <v>24</v>
      </c>
      <c r="M38" s="5" t="str">
        <f t="shared" si="4"/>
        <v>SGA-7621199</v>
      </c>
      <c r="N38" s="4" t="s">
        <v>229</v>
      </c>
      <c r="O38" s="2" t="s">
        <v>230</v>
      </c>
      <c r="Q38" s="10" t="s">
        <v>221</v>
      </c>
      <c r="R38" s="11" t="s">
        <v>222</v>
      </c>
      <c r="S38" s="13" t="s">
        <v>135</v>
      </c>
      <c r="T38" s="13" t="s">
        <v>193</v>
      </c>
      <c r="U38" s="13" t="str">
        <f t="shared" si="3"/>
        <v>Supply Procurement</v>
      </c>
    </row>
    <row r="39" spans="1:21" ht="18" customHeight="1">
      <c r="A39" s="10" t="s">
        <v>231</v>
      </c>
      <c r="B39" s="11" t="s">
        <v>232</v>
      </c>
      <c r="C39" s="13" t="s">
        <v>135</v>
      </c>
      <c r="D39" s="13" t="s">
        <v>193</v>
      </c>
      <c r="E39" s="13" t="str">
        <f t="shared" si="0"/>
        <v>WH Dept.- KD &amp; RM</v>
      </c>
      <c r="J39" s="2" t="s">
        <v>233</v>
      </c>
      <c r="K39" s="3">
        <v>7631101</v>
      </c>
      <c r="L39" s="4" t="s">
        <v>24</v>
      </c>
      <c r="M39" s="5" t="str">
        <f t="shared" si="4"/>
        <v>SGA-7631101</v>
      </c>
      <c r="N39" s="4" t="s">
        <v>234</v>
      </c>
      <c r="O39" s="2" t="s">
        <v>235</v>
      </c>
      <c r="Q39" s="10" t="s">
        <v>226</v>
      </c>
      <c r="R39" s="11" t="s">
        <v>227</v>
      </c>
      <c r="S39" s="13" t="s">
        <v>135</v>
      </c>
      <c r="T39" s="13" t="s">
        <v>193</v>
      </c>
      <c r="U39" s="13" t="str">
        <f t="shared" si="3"/>
        <v>Inventory Control</v>
      </c>
    </row>
    <row r="40" spans="1:21" ht="18" customHeight="1">
      <c r="A40" s="10" t="s">
        <v>231</v>
      </c>
      <c r="B40" s="11" t="s">
        <v>232</v>
      </c>
      <c r="C40" s="13" t="s">
        <v>135</v>
      </c>
      <c r="D40" s="13" t="s">
        <v>193</v>
      </c>
      <c r="E40" s="13" t="str">
        <f t="shared" si="0"/>
        <v>WH Dept.- KD &amp; RM</v>
      </c>
      <c r="J40" s="2" t="s">
        <v>236</v>
      </c>
      <c r="K40" s="3">
        <v>7631102</v>
      </c>
      <c r="L40" s="4" t="s">
        <v>24</v>
      </c>
      <c r="M40" s="5" t="str">
        <f t="shared" si="4"/>
        <v>SGA-7631102</v>
      </c>
      <c r="N40" s="4" t="s">
        <v>237</v>
      </c>
      <c r="O40" s="2" t="s">
        <v>238</v>
      </c>
      <c r="Q40" s="44" t="s">
        <v>239</v>
      </c>
      <c r="R40" s="45" t="s">
        <v>240</v>
      </c>
      <c r="S40" s="44" t="s">
        <v>24</v>
      </c>
      <c r="T40" s="44" t="s">
        <v>25</v>
      </c>
      <c r="U40" s="44" t="str">
        <f t="shared" si="3"/>
        <v>SCM - FG WH</v>
      </c>
    </row>
    <row r="41" spans="1:21" ht="18" customHeight="1">
      <c r="A41" s="10" t="s">
        <v>239</v>
      </c>
      <c r="B41" s="11" t="s">
        <v>240</v>
      </c>
      <c r="C41" s="12" t="s">
        <v>24</v>
      </c>
      <c r="D41" s="13" t="s">
        <v>25</v>
      </c>
      <c r="E41" s="13" t="str">
        <f t="shared" si="0"/>
        <v>SCM - FG WH</v>
      </c>
      <c r="J41" s="2" t="s">
        <v>241</v>
      </c>
      <c r="K41" s="3">
        <v>7641101</v>
      </c>
      <c r="L41" s="4" t="s">
        <v>24</v>
      </c>
      <c r="M41" s="5" t="str">
        <f t="shared" si="4"/>
        <v>SGA-7641101</v>
      </c>
      <c r="N41" s="4" t="s">
        <v>242</v>
      </c>
      <c r="O41" s="2" t="s">
        <v>243</v>
      </c>
      <c r="Q41" s="10" t="s">
        <v>231</v>
      </c>
      <c r="R41" s="11" t="s">
        <v>232</v>
      </c>
      <c r="S41" s="13" t="s">
        <v>135</v>
      </c>
      <c r="T41" s="13" t="s">
        <v>193</v>
      </c>
      <c r="U41" s="13" t="str">
        <f t="shared" si="3"/>
        <v>WH Dept.- KD &amp; RM</v>
      </c>
    </row>
    <row r="42" spans="1:21" ht="18" customHeight="1">
      <c r="A42" s="10" t="s">
        <v>231</v>
      </c>
      <c r="B42" s="11" t="s">
        <v>232</v>
      </c>
      <c r="C42" s="13" t="s">
        <v>135</v>
      </c>
      <c r="D42" s="13" t="s">
        <v>193</v>
      </c>
      <c r="E42" s="13" t="str">
        <f t="shared" si="0"/>
        <v>WH Dept.- KD &amp; RM</v>
      </c>
      <c r="J42" s="2" t="s">
        <v>244</v>
      </c>
      <c r="K42" s="3">
        <v>7641102</v>
      </c>
      <c r="L42" s="4" t="s">
        <v>24</v>
      </c>
      <c r="M42" s="5" t="str">
        <f t="shared" si="4"/>
        <v>SGA-7641102</v>
      </c>
      <c r="N42" s="4" t="s">
        <v>242</v>
      </c>
      <c r="O42" s="2" t="s">
        <v>245</v>
      </c>
      <c r="Q42" s="10" t="s">
        <v>246</v>
      </c>
      <c r="R42" s="11" t="s">
        <v>247</v>
      </c>
      <c r="S42" s="13" t="s">
        <v>135</v>
      </c>
      <c r="T42" s="13" t="s">
        <v>193</v>
      </c>
      <c r="U42" s="13" t="str">
        <f t="shared" si="3"/>
        <v>Continuous Improvement</v>
      </c>
    </row>
    <row r="43" spans="1:21" ht="18" customHeight="1">
      <c r="A43" s="10" t="s">
        <v>246</v>
      </c>
      <c r="B43" s="11" t="s">
        <v>247</v>
      </c>
      <c r="C43" s="13" t="s">
        <v>135</v>
      </c>
      <c r="D43" s="13" t="s">
        <v>193</v>
      </c>
      <c r="E43" s="13" t="str">
        <f t="shared" si="0"/>
        <v>Continuous Improvement</v>
      </c>
      <c r="J43" s="2" t="s">
        <v>248</v>
      </c>
      <c r="K43" s="3">
        <v>7641103</v>
      </c>
      <c r="L43" s="4" t="s">
        <v>24</v>
      </c>
      <c r="M43" s="5" t="str">
        <f t="shared" si="4"/>
        <v>SGA-7641103</v>
      </c>
      <c r="N43" s="4" t="s">
        <v>249</v>
      </c>
      <c r="O43" s="2" t="s">
        <v>250</v>
      </c>
      <c r="Q43" s="2" t="s">
        <v>251</v>
      </c>
      <c r="R43" s="3" t="s">
        <v>252</v>
      </c>
      <c r="U43" s="2" t="str">
        <f t="shared" si="3"/>
        <v>All</v>
      </c>
    </row>
    <row r="44" spans="1:21" ht="18" customHeight="1">
      <c r="J44" s="2" t="s">
        <v>253</v>
      </c>
      <c r="K44" s="3">
        <v>7641104</v>
      </c>
      <c r="L44" s="4" t="s">
        <v>24</v>
      </c>
      <c r="M44" s="5" t="str">
        <f t="shared" si="4"/>
        <v>SGA-7641104</v>
      </c>
      <c r="N44" s="4" t="s">
        <v>249</v>
      </c>
      <c r="O44" s="2" t="s">
        <v>254</v>
      </c>
    </row>
    <row r="45" spans="1:21" ht="18" customHeight="1">
      <c r="J45" s="2" t="s">
        <v>255</v>
      </c>
      <c r="K45" s="3">
        <v>7651101</v>
      </c>
      <c r="L45" s="4" t="s">
        <v>24</v>
      </c>
      <c r="M45" s="5" t="str">
        <f t="shared" si="4"/>
        <v>SGA-7651101</v>
      </c>
      <c r="N45" s="4" t="s">
        <v>224</v>
      </c>
      <c r="O45" s="2" t="s">
        <v>256</v>
      </c>
    </row>
    <row r="46" spans="1:21" ht="18" customHeight="1">
      <c r="J46" s="2" t="s">
        <v>257</v>
      </c>
      <c r="K46" s="3">
        <v>7651102</v>
      </c>
      <c r="L46" s="4" t="s">
        <v>24</v>
      </c>
      <c r="M46" s="5" t="str">
        <f t="shared" si="4"/>
        <v>SGA-7651102</v>
      </c>
      <c r="N46" s="4" t="s">
        <v>224</v>
      </c>
      <c r="O46" s="2" t="s">
        <v>258</v>
      </c>
    </row>
    <row r="47" spans="1:21" ht="18" customHeight="1">
      <c r="J47" s="2" t="s">
        <v>259</v>
      </c>
      <c r="K47" s="3">
        <v>7651103</v>
      </c>
      <c r="L47" s="4" t="s">
        <v>24</v>
      </c>
      <c r="M47" s="5" t="str">
        <f t="shared" si="4"/>
        <v>SGA-7651103</v>
      </c>
      <c r="N47" s="4" t="s">
        <v>224</v>
      </c>
      <c r="O47" s="2" t="s">
        <v>260</v>
      </c>
    </row>
    <row r="48" spans="1:21" ht="18" customHeight="1">
      <c r="J48" s="2" t="s">
        <v>261</v>
      </c>
      <c r="K48" s="3">
        <v>7661101</v>
      </c>
      <c r="L48" s="4" t="s">
        <v>24</v>
      </c>
      <c r="M48" s="5" t="str">
        <f t="shared" si="4"/>
        <v>SGA-7661101</v>
      </c>
      <c r="N48" s="4" t="s">
        <v>262</v>
      </c>
      <c r="O48" s="2" t="s">
        <v>263</v>
      </c>
    </row>
    <row r="49" spans="10:15" ht="18" customHeight="1">
      <c r="J49" s="2" t="s">
        <v>264</v>
      </c>
      <c r="K49" s="3">
        <v>7671102</v>
      </c>
      <c r="L49" s="4" t="s">
        <v>24</v>
      </c>
      <c r="M49" s="5" t="str">
        <f t="shared" si="4"/>
        <v>SGA-7671102</v>
      </c>
      <c r="N49" s="4" t="s">
        <v>249</v>
      </c>
      <c r="O49" s="2" t="s">
        <v>265</v>
      </c>
    </row>
    <row r="50" spans="10:15" ht="18" customHeight="1">
      <c r="J50" s="2" t="s">
        <v>266</v>
      </c>
      <c r="K50" s="3">
        <v>7671103</v>
      </c>
      <c r="L50" s="4" t="s">
        <v>24</v>
      </c>
      <c r="M50" s="5" t="str">
        <f t="shared" si="4"/>
        <v>SGA-7671103</v>
      </c>
      <c r="N50" s="4" t="s">
        <v>249</v>
      </c>
      <c r="O50" s="2" t="s">
        <v>267</v>
      </c>
    </row>
    <row r="51" spans="10:15" ht="18" customHeight="1">
      <c r="J51" s="2" t="s">
        <v>268</v>
      </c>
      <c r="K51" s="3">
        <v>7681101</v>
      </c>
      <c r="L51" s="4" t="s">
        <v>24</v>
      </c>
      <c r="M51" s="5" t="str">
        <f t="shared" si="4"/>
        <v>SGA-7681101</v>
      </c>
      <c r="N51" s="4" t="s">
        <v>249</v>
      </c>
      <c r="O51" s="2" t="s">
        <v>269</v>
      </c>
    </row>
    <row r="52" spans="10:15" ht="18" customHeight="1">
      <c r="J52" s="2" t="s">
        <v>270</v>
      </c>
      <c r="K52" s="3">
        <v>7691000</v>
      </c>
      <c r="L52" s="4" t="s">
        <v>24</v>
      </c>
      <c r="M52" s="5" t="str">
        <f t="shared" si="4"/>
        <v>SGA-7691000</v>
      </c>
      <c r="N52" s="4" t="s">
        <v>249</v>
      </c>
      <c r="O52" s="2" t="s">
        <v>271</v>
      </c>
    </row>
    <row r="53" spans="10:15" ht="18" customHeight="1">
      <c r="J53" s="2" t="s">
        <v>272</v>
      </c>
      <c r="K53" s="3">
        <v>7711101</v>
      </c>
      <c r="L53" s="4" t="s">
        <v>24</v>
      </c>
      <c r="M53" s="5" t="str">
        <f t="shared" si="4"/>
        <v>SGA-7711101</v>
      </c>
      <c r="N53" s="4" t="s">
        <v>249</v>
      </c>
      <c r="O53" s="2" t="s">
        <v>273</v>
      </c>
    </row>
    <row r="54" spans="10:15" ht="18" customHeight="1">
      <c r="J54" s="2" t="s">
        <v>274</v>
      </c>
      <c r="K54" s="3">
        <v>7711102</v>
      </c>
      <c r="L54" s="4" t="s">
        <v>24</v>
      </c>
      <c r="M54" s="5" t="str">
        <f t="shared" si="4"/>
        <v>SGA-7711102</v>
      </c>
      <c r="N54" s="4" t="s">
        <v>275</v>
      </c>
      <c r="O54" s="2" t="s">
        <v>276</v>
      </c>
    </row>
    <row r="55" spans="10:15" ht="18" customHeight="1">
      <c r="J55" s="2" t="s">
        <v>277</v>
      </c>
      <c r="K55" s="3">
        <v>7711103</v>
      </c>
      <c r="L55" s="4" t="s">
        <v>24</v>
      </c>
      <c r="M55" s="5" t="str">
        <f t="shared" si="4"/>
        <v>SGA-7711103</v>
      </c>
      <c r="N55" s="4" t="s">
        <v>249</v>
      </c>
      <c r="O55" s="2" t="s">
        <v>278</v>
      </c>
    </row>
    <row r="56" spans="10:15" ht="18" customHeight="1">
      <c r="J56" s="2" t="s">
        <v>279</v>
      </c>
      <c r="K56" s="3">
        <v>7721101</v>
      </c>
      <c r="L56" s="4" t="s">
        <v>24</v>
      </c>
      <c r="M56" s="5" t="str">
        <f t="shared" si="4"/>
        <v>SGA-7721101</v>
      </c>
      <c r="N56" s="4" t="s">
        <v>249</v>
      </c>
      <c r="O56" s="2" t="s">
        <v>280</v>
      </c>
    </row>
    <row r="57" spans="10:15" ht="18" customHeight="1">
      <c r="J57" s="2" t="s">
        <v>281</v>
      </c>
      <c r="K57" s="3">
        <v>7729101</v>
      </c>
      <c r="L57" s="4" t="s">
        <v>24</v>
      </c>
      <c r="M57" s="5" t="str">
        <f t="shared" si="4"/>
        <v>SGA-7729101</v>
      </c>
      <c r="N57" s="4" t="s">
        <v>282</v>
      </c>
      <c r="O57" s="2" t="s">
        <v>283</v>
      </c>
    </row>
    <row r="58" spans="10:15" ht="18" customHeight="1">
      <c r="J58" s="2" t="s">
        <v>284</v>
      </c>
      <c r="K58" s="3">
        <v>7729103</v>
      </c>
      <c r="L58" s="4" t="s">
        <v>24</v>
      </c>
      <c r="M58" s="5" t="str">
        <f t="shared" si="4"/>
        <v>SGA-7729103</v>
      </c>
      <c r="N58" s="4" t="s">
        <v>285</v>
      </c>
      <c r="O58" s="2" t="s">
        <v>286</v>
      </c>
    </row>
    <row r="59" spans="10:15" ht="18" customHeight="1">
      <c r="J59" s="2" t="s">
        <v>287</v>
      </c>
      <c r="K59" s="3">
        <v>7729105</v>
      </c>
      <c r="L59" s="4" t="s">
        <v>24</v>
      </c>
      <c r="M59" s="5" t="str">
        <f t="shared" si="4"/>
        <v>SGA-7729105</v>
      </c>
      <c r="N59" s="4" t="s">
        <v>249</v>
      </c>
      <c r="O59" s="2" t="s">
        <v>288</v>
      </c>
    </row>
    <row r="60" spans="10:15" ht="18" customHeight="1">
      <c r="J60" s="2" t="s">
        <v>289</v>
      </c>
      <c r="K60" s="3">
        <v>7781101</v>
      </c>
      <c r="L60" s="4" t="s">
        <v>24</v>
      </c>
      <c r="M60" s="5" t="str">
        <f t="shared" si="4"/>
        <v>SGA-7781101</v>
      </c>
      <c r="N60" s="4" t="s">
        <v>249</v>
      </c>
      <c r="O60" s="2" t="s">
        <v>290</v>
      </c>
    </row>
    <row r="61" spans="10:15" ht="18" customHeight="1">
      <c r="J61" s="2" t="s">
        <v>291</v>
      </c>
      <c r="K61" s="3">
        <v>7781103</v>
      </c>
      <c r="L61" s="4" t="s">
        <v>24</v>
      </c>
      <c r="M61" s="5" t="str">
        <f t="shared" si="4"/>
        <v>SGA-7781103</v>
      </c>
      <c r="N61" s="4" t="s">
        <v>249</v>
      </c>
      <c r="O61" s="2" t="s">
        <v>292</v>
      </c>
    </row>
    <row r="62" spans="10:15" ht="18" customHeight="1">
      <c r="J62" s="2" t="s">
        <v>293</v>
      </c>
      <c r="K62" s="3">
        <v>7781104</v>
      </c>
      <c r="L62" s="4" t="s">
        <v>24</v>
      </c>
      <c r="M62" s="5" t="str">
        <f t="shared" si="4"/>
        <v>SGA-7781104</v>
      </c>
      <c r="N62" s="4" t="s">
        <v>249</v>
      </c>
      <c r="O62" s="2" t="s">
        <v>294</v>
      </c>
    </row>
    <row r="63" spans="10:15" ht="18" customHeight="1">
      <c r="J63" s="2" t="s">
        <v>295</v>
      </c>
      <c r="K63" s="3">
        <v>7781105</v>
      </c>
      <c r="L63" s="4" t="s">
        <v>24</v>
      </c>
      <c r="M63" s="5" t="str">
        <f t="shared" si="4"/>
        <v>SGA-7781105</v>
      </c>
      <c r="N63" s="4" t="s">
        <v>249</v>
      </c>
      <c r="O63" s="2" t="s">
        <v>296</v>
      </c>
    </row>
    <row r="64" spans="10:15" ht="18" customHeight="1">
      <c r="J64" s="2" t="s">
        <v>297</v>
      </c>
      <c r="K64" s="3">
        <v>7781106</v>
      </c>
      <c r="L64" s="4" t="s">
        <v>24</v>
      </c>
      <c r="M64" s="5" t="str">
        <f t="shared" si="4"/>
        <v>SGA-7781106</v>
      </c>
      <c r="N64" s="4" t="s">
        <v>249</v>
      </c>
      <c r="O64" s="2" t="s">
        <v>298</v>
      </c>
    </row>
    <row r="65" spans="10:15" ht="18" customHeight="1">
      <c r="J65" s="2" t="s">
        <v>299</v>
      </c>
      <c r="K65" s="3">
        <v>7781107</v>
      </c>
      <c r="L65" s="4" t="s">
        <v>24</v>
      </c>
      <c r="M65" s="5" t="str">
        <f t="shared" si="4"/>
        <v>SGA-7781107</v>
      </c>
      <c r="N65" s="4" t="s">
        <v>300</v>
      </c>
      <c r="O65" s="2" t="s">
        <v>301</v>
      </c>
    </row>
    <row r="66" spans="10:15" ht="18" customHeight="1">
      <c r="J66" s="2" t="s">
        <v>302</v>
      </c>
      <c r="K66" s="3">
        <v>7781111</v>
      </c>
      <c r="L66" s="4" t="s">
        <v>24</v>
      </c>
      <c r="M66" s="5" t="str">
        <f t="shared" ref="M66:M97" si="5">L66&amp;"-"&amp;K66</f>
        <v>SGA-7781111</v>
      </c>
      <c r="N66" s="4" t="s">
        <v>249</v>
      </c>
      <c r="O66" s="2" t="s">
        <v>303</v>
      </c>
    </row>
    <row r="67" spans="10:15" ht="18" customHeight="1">
      <c r="J67" s="2" t="s">
        <v>304</v>
      </c>
      <c r="K67" s="3">
        <v>7781112</v>
      </c>
      <c r="L67" s="4" t="s">
        <v>24</v>
      </c>
      <c r="M67" s="5" t="str">
        <f t="shared" si="5"/>
        <v>SGA-7781112</v>
      </c>
      <c r="N67" s="4" t="s">
        <v>249</v>
      </c>
      <c r="O67" s="2" t="s">
        <v>305</v>
      </c>
    </row>
    <row r="68" spans="10:15" ht="18" customHeight="1">
      <c r="J68" s="2" t="s">
        <v>306</v>
      </c>
      <c r="K68" s="3">
        <v>7781113</v>
      </c>
      <c r="L68" s="4" t="s">
        <v>24</v>
      </c>
      <c r="M68" s="5" t="str">
        <f t="shared" si="5"/>
        <v>SGA-7781113</v>
      </c>
      <c r="N68" s="4" t="s">
        <v>249</v>
      </c>
      <c r="O68" s="2" t="s">
        <v>307</v>
      </c>
    </row>
    <row r="69" spans="10:15" ht="18" customHeight="1">
      <c r="J69" s="2" t="s">
        <v>308</v>
      </c>
      <c r="K69" s="3">
        <v>7411101</v>
      </c>
      <c r="L69" s="4" t="s">
        <v>24</v>
      </c>
      <c r="M69" s="5" t="str">
        <f t="shared" si="5"/>
        <v>SGA-7411101</v>
      </c>
      <c r="N69" s="4" t="s">
        <v>309</v>
      </c>
      <c r="O69" s="2" t="s">
        <v>310</v>
      </c>
    </row>
    <row r="70" spans="10:15" ht="18" customHeight="1">
      <c r="J70" s="2" t="s">
        <v>311</v>
      </c>
      <c r="K70" s="3">
        <v>7411103</v>
      </c>
      <c r="L70" s="4" t="s">
        <v>24</v>
      </c>
      <c r="M70" s="5" t="str">
        <f t="shared" si="5"/>
        <v>SGA-7411103</v>
      </c>
      <c r="N70" s="4" t="s">
        <v>312</v>
      </c>
      <c r="O70" s="2" t="s">
        <v>313</v>
      </c>
    </row>
    <row r="71" spans="10:15" ht="18" customHeight="1">
      <c r="J71" s="2" t="s">
        <v>314</v>
      </c>
      <c r="K71" s="3">
        <v>7411104</v>
      </c>
      <c r="L71" s="4" t="s">
        <v>24</v>
      </c>
      <c r="M71" s="5" t="str">
        <f t="shared" si="5"/>
        <v>SGA-7411104</v>
      </c>
      <c r="N71" s="4" t="s">
        <v>315</v>
      </c>
      <c r="O71" s="2" t="s">
        <v>316</v>
      </c>
    </row>
    <row r="72" spans="10:15" ht="18" customHeight="1">
      <c r="J72" s="2" t="s">
        <v>317</v>
      </c>
      <c r="K72" s="3">
        <v>7431101</v>
      </c>
      <c r="L72" s="4" t="s">
        <v>24</v>
      </c>
      <c r="M72" s="5" t="str">
        <f t="shared" si="5"/>
        <v>SGA-7431101</v>
      </c>
      <c r="N72" s="4" t="s">
        <v>318</v>
      </c>
      <c r="O72" s="2" t="s">
        <v>319</v>
      </c>
    </row>
    <row r="73" spans="10:15" ht="18" customHeight="1">
      <c r="J73" s="2" t="s">
        <v>320</v>
      </c>
      <c r="K73" s="3">
        <v>7451101</v>
      </c>
      <c r="L73" s="4" t="s">
        <v>24</v>
      </c>
      <c r="M73" s="5" t="str">
        <f t="shared" si="5"/>
        <v>SGA-7451101</v>
      </c>
      <c r="N73" s="4" t="s">
        <v>321</v>
      </c>
      <c r="O73" s="2" t="s">
        <v>322</v>
      </c>
    </row>
    <row r="74" spans="10:15" ht="18" customHeight="1">
      <c r="J74" s="2" t="s">
        <v>323</v>
      </c>
      <c r="K74" s="3">
        <v>7451102</v>
      </c>
      <c r="L74" s="4" t="s">
        <v>24</v>
      </c>
      <c r="M74" s="5" t="str">
        <f t="shared" si="5"/>
        <v>SGA-7451102</v>
      </c>
      <c r="N74" s="4" t="s">
        <v>324</v>
      </c>
      <c r="O74" s="2" t="s">
        <v>325</v>
      </c>
    </row>
    <row r="75" spans="10:15" ht="18" customHeight="1">
      <c r="J75" s="2" t="s">
        <v>326</v>
      </c>
      <c r="K75" s="3">
        <v>7451103</v>
      </c>
      <c r="L75" s="4" t="s">
        <v>24</v>
      </c>
      <c r="M75" s="5" t="str">
        <f t="shared" si="5"/>
        <v>SGA-7451103</v>
      </c>
      <c r="N75" s="4" t="s">
        <v>327</v>
      </c>
      <c r="O75" s="2" t="s">
        <v>328</v>
      </c>
    </row>
    <row r="76" spans="10:15" ht="18" customHeight="1">
      <c r="J76" s="46" t="s">
        <v>329</v>
      </c>
      <c r="K76" s="3">
        <v>7461101</v>
      </c>
      <c r="L76" s="4" t="s">
        <v>24</v>
      </c>
      <c r="M76" s="5" t="str">
        <f t="shared" si="5"/>
        <v>SGA-7461101</v>
      </c>
      <c r="N76" s="4" t="s">
        <v>330</v>
      </c>
      <c r="O76" s="2" t="s">
        <v>331</v>
      </c>
    </row>
    <row r="77" spans="10:15" ht="18" customHeight="1">
      <c r="J77" s="2" t="s">
        <v>332</v>
      </c>
      <c r="K77" s="3">
        <v>7411105</v>
      </c>
      <c r="L77" s="4" t="s">
        <v>24</v>
      </c>
      <c r="M77" s="4" t="str">
        <f t="shared" si="5"/>
        <v>SGA-7411105</v>
      </c>
      <c r="N77" s="47" t="s">
        <v>333</v>
      </c>
    </row>
    <row r="78" spans="10:15" ht="18" customHeight="1">
      <c r="J78" s="2" t="s">
        <v>334</v>
      </c>
      <c r="K78" s="3">
        <v>7471201</v>
      </c>
      <c r="L78" s="4" t="s">
        <v>24</v>
      </c>
      <c r="M78" s="4" t="str">
        <f t="shared" si="5"/>
        <v>SGA-7471201</v>
      </c>
      <c r="N78" s="47" t="s">
        <v>335</v>
      </c>
    </row>
    <row r="79" spans="10:15" ht="18" customHeight="1">
      <c r="J79" s="2" t="s">
        <v>336</v>
      </c>
      <c r="K79" s="3">
        <v>7751101</v>
      </c>
      <c r="L79" s="4" t="s">
        <v>24</v>
      </c>
      <c r="M79" s="4" t="str">
        <f t="shared" si="5"/>
        <v>SGA-7751101</v>
      </c>
    </row>
    <row r="80" spans="10:15" ht="18" customHeight="1">
      <c r="J80" s="2" t="s">
        <v>337</v>
      </c>
      <c r="K80" s="3">
        <v>7751102</v>
      </c>
      <c r="L80" s="4" t="s">
        <v>24</v>
      </c>
      <c r="M80" s="4" t="str">
        <f t="shared" si="5"/>
        <v>SGA-7751102</v>
      </c>
    </row>
    <row r="81" spans="10:15" ht="18" customHeight="1">
      <c r="J81" s="2" t="s">
        <v>338</v>
      </c>
      <c r="K81" s="6">
        <v>7111211</v>
      </c>
      <c r="L81" s="6" t="s">
        <v>135</v>
      </c>
      <c r="M81" s="6" t="str">
        <f t="shared" si="5"/>
        <v>MFG-7111211</v>
      </c>
    </row>
    <row r="82" spans="10:15" ht="18" customHeight="1">
      <c r="J82" s="2" t="s">
        <v>339</v>
      </c>
      <c r="K82" s="6">
        <v>7111212</v>
      </c>
      <c r="L82" s="6" t="s">
        <v>135</v>
      </c>
      <c r="M82" s="6" t="str">
        <f t="shared" si="5"/>
        <v>MFG-7111212</v>
      </c>
    </row>
    <row r="83" spans="10:15" ht="18" customHeight="1">
      <c r="J83" s="2" t="s">
        <v>340</v>
      </c>
      <c r="K83" s="6">
        <v>7111221</v>
      </c>
      <c r="L83" s="6" t="s">
        <v>135</v>
      </c>
      <c r="M83" s="6" t="str">
        <f t="shared" si="5"/>
        <v>MFG-7111221</v>
      </c>
    </row>
    <row r="84" spans="10:15" ht="18" customHeight="1">
      <c r="J84" s="2" t="s">
        <v>341</v>
      </c>
      <c r="K84" s="6">
        <v>7111222</v>
      </c>
      <c r="L84" s="6" t="s">
        <v>135</v>
      </c>
      <c r="M84" s="6" t="str">
        <f t="shared" si="5"/>
        <v>MFG-7111222</v>
      </c>
    </row>
    <row r="85" spans="10:15" ht="18" customHeight="1">
      <c r="J85" s="2" t="s">
        <v>342</v>
      </c>
      <c r="K85" s="6">
        <v>7111223</v>
      </c>
      <c r="L85" s="6" t="s">
        <v>135</v>
      </c>
      <c r="M85" s="6" t="str">
        <f t="shared" si="5"/>
        <v>MFG-7111223</v>
      </c>
    </row>
    <row r="86" spans="10:15" ht="18" customHeight="1">
      <c r="J86" s="2" t="s">
        <v>343</v>
      </c>
      <c r="K86" s="6">
        <v>7111311</v>
      </c>
      <c r="L86" s="6" t="s">
        <v>135</v>
      </c>
      <c r="M86" s="6" t="str">
        <f t="shared" si="5"/>
        <v>MFG-7111311</v>
      </c>
    </row>
    <row r="87" spans="10:15" ht="18" customHeight="1">
      <c r="J87" s="2" t="s">
        <v>344</v>
      </c>
      <c r="K87" s="6">
        <v>7111312</v>
      </c>
      <c r="L87" s="6" t="s">
        <v>135</v>
      </c>
      <c r="M87" s="6" t="str">
        <f t="shared" si="5"/>
        <v>MFG-7111312</v>
      </c>
    </row>
    <row r="88" spans="10:15" ht="18" customHeight="1">
      <c r="J88" s="2" t="s">
        <v>345</v>
      </c>
      <c r="K88" s="6">
        <v>7111321</v>
      </c>
      <c r="L88" s="6" t="s">
        <v>135</v>
      </c>
      <c r="M88" s="6" t="str">
        <f t="shared" si="5"/>
        <v>MFG-7111321</v>
      </c>
    </row>
    <row r="89" spans="10:15" ht="18" customHeight="1">
      <c r="J89" s="2" t="s">
        <v>346</v>
      </c>
      <c r="K89" s="6">
        <v>7111322</v>
      </c>
      <c r="L89" s="6" t="s">
        <v>135</v>
      </c>
      <c r="M89" s="6" t="str">
        <f t="shared" si="5"/>
        <v>MFG-7111322</v>
      </c>
    </row>
    <row r="90" spans="10:15" ht="18" customHeight="1">
      <c r="J90" s="2" t="s">
        <v>347</v>
      </c>
      <c r="K90" s="6">
        <v>7111323</v>
      </c>
      <c r="L90" s="6" t="s">
        <v>135</v>
      </c>
      <c r="M90" s="6" t="str">
        <f t="shared" si="5"/>
        <v>MFG-7111323</v>
      </c>
    </row>
    <row r="91" spans="10:15" ht="18" customHeight="1">
      <c r="J91" s="2" t="s">
        <v>348</v>
      </c>
      <c r="K91" s="6">
        <v>7111411</v>
      </c>
      <c r="L91" s="6" t="s">
        <v>135</v>
      </c>
      <c r="M91" s="6" t="str">
        <f t="shared" si="5"/>
        <v>MFG-7111411</v>
      </c>
    </row>
    <row r="92" spans="10:15" ht="18" customHeight="1">
      <c r="J92" s="2" t="s">
        <v>349</v>
      </c>
      <c r="K92" s="6">
        <v>7151101</v>
      </c>
      <c r="L92" s="6" t="s">
        <v>135</v>
      </c>
      <c r="M92" s="6" t="str">
        <f t="shared" si="5"/>
        <v>MFG-7151101</v>
      </c>
    </row>
    <row r="93" spans="10:15" ht="18" customHeight="1">
      <c r="J93" s="2" t="s">
        <v>350</v>
      </c>
      <c r="K93" s="6">
        <v>7200000</v>
      </c>
      <c r="L93" s="6" t="s">
        <v>135</v>
      </c>
      <c r="M93" s="6" t="str">
        <f t="shared" si="5"/>
        <v>MFG-7200000</v>
      </c>
    </row>
    <row r="94" spans="10:15" ht="18" customHeight="1">
      <c r="J94" s="2" t="s">
        <v>351</v>
      </c>
      <c r="K94" s="6">
        <v>7211101</v>
      </c>
      <c r="L94" s="6" t="s">
        <v>135</v>
      </c>
      <c r="M94" s="6" t="str">
        <f t="shared" si="5"/>
        <v>MFG-7211101</v>
      </c>
    </row>
    <row r="95" spans="10:15" ht="18" customHeight="1">
      <c r="J95" s="2" t="s">
        <v>352</v>
      </c>
      <c r="K95" s="6">
        <v>7211102</v>
      </c>
      <c r="L95" s="6" t="s">
        <v>135</v>
      </c>
      <c r="M95" s="6" t="str">
        <f t="shared" si="5"/>
        <v>MFG-7211102</v>
      </c>
      <c r="N95" s="6">
        <v>901</v>
      </c>
      <c r="O95" s="2" t="s">
        <v>353</v>
      </c>
    </row>
    <row r="96" spans="10:15" ht="18" customHeight="1">
      <c r="J96" s="2" t="s">
        <v>354</v>
      </c>
      <c r="K96" s="6">
        <v>7211103</v>
      </c>
      <c r="L96" s="6" t="s">
        <v>135</v>
      </c>
      <c r="M96" s="6" t="str">
        <f t="shared" si="5"/>
        <v>MFG-7211103</v>
      </c>
      <c r="N96" s="6"/>
    </row>
    <row r="97" spans="10:15" ht="18" customHeight="1">
      <c r="J97" s="2" t="s">
        <v>355</v>
      </c>
      <c r="K97" s="6">
        <v>7211104</v>
      </c>
      <c r="L97" s="6" t="s">
        <v>135</v>
      </c>
      <c r="M97" s="6" t="str">
        <f t="shared" si="5"/>
        <v>MFG-7211104</v>
      </c>
      <c r="N97" s="6">
        <v>302</v>
      </c>
    </row>
    <row r="98" spans="10:15" ht="18" customHeight="1">
      <c r="J98" s="2" t="s">
        <v>356</v>
      </c>
      <c r="K98" s="6">
        <v>7221101</v>
      </c>
      <c r="L98" s="6" t="s">
        <v>135</v>
      </c>
      <c r="M98" s="6" t="str">
        <f t="shared" ref="M98:M129" si="6">L98&amp;"-"&amp;K98</f>
        <v>MFG-7221101</v>
      </c>
      <c r="N98" s="6">
        <v>302</v>
      </c>
      <c r="O98" s="2" t="s">
        <v>357</v>
      </c>
    </row>
    <row r="99" spans="10:15" ht="18" customHeight="1">
      <c r="J99" s="2" t="s">
        <v>358</v>
      </c>
      <c r="K99" s="6">
        <v>7221102</v>
      </c>
      <c r="L99" s="6" t="s">
        <v>135</v>
      </c>
      <c r="M99" s="6" t="str">
        <f t="shared" si="6"/>
        <v>MFG-7221102</v>
      </c>
      <c r="N99" s="6">
        <v>301</v>
      </c>
      <c r="O99" s="2" t="s">
        <v>359</v>
      </c>
    </row>
    <row r="100" spans="10:15" ht="18" customHeight="1">
      <c r="J100" s="2" t="s">
        <v>65</v>
      </c>
      <c r="K100" s="6">
        <v>7511101</v>
      </c>
      <c r="L100" s="6" t="s">
        <v>135</v>
      </c>
      <c r="M100" s="6" t="str">
        <f t="shared" si="6"/>
        <v>MFG-7511101</v>
      </c>
      <c r="N100" s="6">
        <v>602</v>
      </c>
      <c r="O100" s="2" t="s">
        <v>65</v>
      </c>
    </row>
    <row r="101" spans="10:15" ht="18" customHeight="1">
      <c r="J101" s="2" t="s">
        <v>73</v>
      </c>
      <c r="K101" s="6">
        <v>7511102</v>
      </c>
      <c r="L101" s="6" t="s">
        <v>135</v>
      </c>
      <c r="M101" s="6" t="str">
        <f t="shared" si="6"/>
        <v>MFG-7511102</v>
      </c>
      <c r="N101" s="6">
        <v>602</v>
      </c>
      <c r="O101" s="2" t="s">
        <v>74</v>
      </c>
    </row>
    <row r="102" spans="10:15" ht="18" customHeight="1">
      <c r="J102" s="2" t="s">
        <v>81</v>
      </c>
      <c r="K102" s="6">
        <v>7511103</v>
      </c>
      <c r="L102" s="6" t="s">
        <v>135</v>
      </c>
      <c r="M102" s="6" t="str">
        <f t="shared" si="6"/>
        <v>MFG-7511103</v>
      </c>
      <c r="N102" s="6">
        <v>601</v>
      </c>
      <c r="O102" s="2" t="s">
        <v>83</v>
      </c>
    </row>
    <row r="103" spans="10:15" ht="18" customHeight="1">
      <c r="J103" s="2" t="s">
        <v>91</v>
      </c>
      <c r="K103" s="6">
        <v>7511111</v>
      </c>
      <c r="L103" s="6" t="s">
        <v>135</v>
      </c>
      <c r="M103" s="6" t="str">
        <f t="shared" si="6"/>
        <v>MFG-7511111</v>
      </c>
      <c r="N103" s="6">
        <v>601</v>
      </c>
      <c r="O103" s="2" t="s">
        <v>92</v>
      </c>
    </row>
    <row r="104" spans="10:15" ht="18" customHeight="1">
      <c r="J104" s="2" t="s">
        <v>96</v>
      </c>
      <c r="K104" s="6">
        <v>7511112</v>
      </c>
      <c r="L104" s="6" t="s">
        <v>135</v>
      </c>
      <c r="M104" s="6" t="str">
        <f t="shared" si="6"/>
        <v>MFG-7511112</v>
      </c>
      <c r="N104" s="6">
        <v>601</v>
      </c>
      <c r="O104" s="2" t="s">
        <v>97</v>
      </c>
    </row>
    <row r="105" spans="10:15" ht="18" customHeight="1">
      <c r="J105" s="2" t="s">
        <v>102</v>
      </c>
      <c r="K105" s="6">
        <v>7511121</v>
      </c>
      <c r="L105" s="6" t="s">
        <v>135</v>
      </c>
      <c r="M105" s="6" t="str">
        <f t="shared" si="6"/>
        <v>MFG-7511121</v>
      </c>
      <c r="N105" s="6">
        <v>601</v>
      </c>
      <c r="O105" s="2" t="s">
        <v>103</v>
      </c>
    </row>
    <row r="106" spans="10:15" ht="18" customHeight="1">
      <c r="J106" s="2" t="s">
        <v>107</v>
      </c>
      <c r="K106" s="6">
        <v>7511122</v>
      </c>
      <c r="L106" s="6" t="s">
        <v>135</v>
      </c>
      <c r="M106" s="6" t="str">
        <f t="shared" si="6"/>
        <v>MFG-7511122</v>
      </c>
      <c r="N106" s="6">
        <v>601</v>
      </c>
      <c r="O106" s="2" t="s">
        <v>108</v>
      </c>
    </row>
    <row r="107" spans="10:15" ht="18" customHeight="1">
      <c r="J107" s="2" t="s">
        <v>109</v>
      </c>
      <c r="K107" s="6">
        <v>7511201</v>
      </c>
      <c r="L107" s="6" t="s">
        <v>135</v>
      </c>
      <c r="M107" s="6" t="str">
        <f t="shared" si="6"/>
        <v>MFG-7511201</v>
      </c>
      <c r="N107" s="6">
        <v>603</v>
      </c>
      <c r="O107" s="2" t="s">
        <v>111</v>
      </c>
    </row>
    <row r="108" spans="10:15" ht="18" customHeight="1">
      <c r="J108" s="2" t="s">
        <v>114</v>
      </c>
      <c r="K108" s="6">
        <v>7512111</v>
      </c>
      <c r="L108" s="6" t="s">
        <v>135</v>
      </c>
      <c r="M108" s="6" t="str">
        <f t="shared" si="6"/>
        <v>MFG-7512111</v>
      </c>
      <c r="N108" s="6">
        <v>604</v>
      </c>
      <c r="O108" s="2" t="s">
        <v>116</v>
      </c>
    </row>
    <row r="109" spans="10:15" ht="18" customHeight="1">
      <c r="J109" s="2" t="s">
        <v>119</v>
      </c>
      <c r="K109" s="6">
        <v>7512112</v>
      </c>
      <c r="L109" s="6" t="s">
        <v>135</v>
      </c>
      <c r="M109" s="6" t="str">
        <f t="shared" si="6"/>
        <v>MFG-7512112</v>
      </c>
      <c r="N109" s="6">
        <v>604</v>
      </c>
      <c r="O109" s="2" t="s">
        <v>120</v>
      </c>
    </row>
    <row r="110" spans="10:15" ht="18" customHeight="1">
      <c r="J110" s="2" t="s">
        <v>123</v>
      </c>
      <c r="K110" s="6">
        <v>7514101</v>
      </c>
      <c r="L110" s="6" t="s">
        <v>135</v>
      </c>
      <c r="M110" s="6" t="str">
        <f t="shared" si="6"/>
        <v>MFG-7514101</v>
      </c>
      <c r="N110" s="6">
        <v>601</v>
      </c>
      <c r="O110" s="2" t="s">
        <v>124</v>
      </c>
    </row>
    <row r="111" spans="10:15" ht="18" customHeight="1">
      <c r="J111" s="2" t="s">
        <v>127</v>
      </c>
      <c r="K111" s="6">
        <v>7514102</v>
      </c>
      <c r="L111" s="6" t="s">
        <v>135</v>
      </c>
      <c r="M111" s="6" t="str">
        <f t="shared" si="6"/>
        <v>MFG-7514102</v>
      </c>
      <c r="N111" s="6">
        <v>601</v>
      </c>
      <c r="O111" s="2" t="s">
        <v>128</v>
      </c>
    </row>
    <row r="112" spans="10:15" ht="18" customHeight="1">
      <c r="J112" s="2" t="s">
        <v>131</v>
      </c>
      <c r="K112" s="6">
        <v>7515401</v>
      </c>
      <c r="L112" s="6" t="s">
        <v>135</v>
      </c>
      <c r="M112" s="6" t="str">
        <f t="shared" si="6"/>
        <v>MFG-7515401</v>
      </c>
      <c r="N112" s="6">
        <v>604</v>
      </c>
      <c r="O112" s="2" t="s">
        <v>132</v>
      </c>
    </row>
    <row r="113" spans="10:15" ht="18" customHeight="1">
      <c r="J113" s="2" t="s">
        <v>137</v>
      </c>
      <c r="K113" s="6">
        <v>7515402</v>
      </c>
      <c r="L113" s="6" t="s">
        <v>135</v>
      </c>
      <c r="M113" s="6" t="str">
        <f t="shared" si="6"/>
        <v>MFG-7515402</v>
      </c>
      <c r="N113" s="6">
        <v>604</v>
      </c>
      <c r="O113" s="2" t="s">
        <v>138</v>
      </c>
    </row>
    <row r="114" spans="10:15" ht="18" customHeight="1">
      <c r="J114" s="2" t="s">
        <v>141</v>
      </c>
      <c r="K114" s="6">
        <v>7515403</v>
      </c>
      <c r="L114" s="6" t="s">
        <v>135</v>
      </c>
      <c r="M114" s="6" t="str">
        <f t="shared" si="6"/>
        <v>MFG-7515403</v>
      </c>
      <c r="N114" s="6">
        <v>604</v>
      </c>
      <c r="O114" s="2" t="s">
        <v>142</v>
      </c>
    </row>
    <row r="115" spans="10:15" ht="18" customHeight="1">
      <c r="J115" s="2" t="s">
        <v>145</v>
      </c>
      <c r="K115" s="6">
        <v>7515404</v>
      </c>
      <c r="L115" s="6" t="s">
        <v>135</v>
      </c>
      <c r="M115" s="6" t="str">
        <f t="shared" si="6"/>
        <v>MFG-7515404</v>
      </c>
      <c r="N115" s="6">
        <v>604</v>
      </c>
      <c r="O115" s="2" t="s">
        <v>146</v>
      </c>
    </row>
    <row r="116" spans="10:15" ht="18" customHeight="1">
      <c r="J116" s="2" t="s">
        <v>149</v>
      </c>
      <c r="K116" s="6">
        <v>7515405</v>
      </c>
      <c r="L116" s="6" t="s">
        <v>135</v>
      </c>
      <c r="M116" s="6" t="str">
        <f t="shared" si="6"/>
        <v>MFG-7515405</v>
      </c>
      <c r="N116" s="6">
        <v>604</v>
      </c>
      <c r="O116" s="2" t="s">
        <v>150</v>
      </c>
    </row>
    <row r="117" spans="10:15" ht="18" customHeight="1">
      <c r="J117" s="2" t="s">
        <v>153</v>
      </c>
      <c r="K117" s="6">
        <v>7515406</v>
      </c>
      <c r="L117" s="6" t="s">
        <v>135</v>
      </c>
      <c r="M117" s="6" t="str">
        <f t="shared" si="6"/>
        <v>MFG-7515406</v>
      </c>
      <c r="N117" s="6">
        <v>604</v>
      </c>
      <c r="O117" s="2" t="s">
        <v>154</v>
      </c>
    </row>
    <row r="118" spans="10:15" ht="18" customHeight="1">
      <c r="J118" s="2" t="s">
        <v>157</v>
      </c>
      <c r="K118" s="6">
        <v>7515407</v>
      </c>
      <c r="L118" s="6" t="s">
        <v>135</v>
      </c>
      <c r="M118" s="6" t="str">
        <f t="shared" si="6"/>
        <v>MFG-7515407</v>
      </c>
      <c r="N118" s="6">
        <v>604</v>
      </c>
    </row>
    <row r="119" spans="10:15" ht="18" customHeight="1">
      <c r="J119" s="2" t="s">
        <v>160</v>
      </c>
      <c r="K119" s="6">
        <v>7515408</v>
      </c>
      <c r="L119" s="6" t="s">
        <v>135</v>
      </c>
      <c r="M119" s="6" t="str">
        <f t="shared" si="6"/>
        <v>MFG-7515408</v>
      </c>
      <c r="N119" s="6">
        <v>604</v>
      </c>
      <c r="O119" s="2" t="s">
        <v>161</v>
      </c>
    </row>
    <row r="120" spans="10:15" ht="18" customHeight="1">
      <c r="J120" s="2" t="s">
        <v>164</v>
      </c>
      <c r="K120" s="6">
        <v>7515409</v>
      </c>
      <c r="L120" s="6" t="s">
        <v>135</v>
      </c>
      <c r="M120" s="6" t="str">
        <f t="shared" si="6"/>
        <v>MFG-7515409</v>
      </c>
      <c r="N120" s="6">
        <v>604</v>
      </c>
      <c r="O120" s="2" t="s">
        <v>165</v>
      </c>
    </row>
    <row r="121" spans="10:15" ht="18" customHeight="1">
      <c r="J121" s="2" t="s">
        <v>168</v>
      </c>
      <c r="K121" s="6">
        <v>7515410</v>
      </c>
      <c r="L121" s="6" t="s">
        <v>135</v>
      </c>
      <c r="M121" s="6" t="str">
        <f t="shared" si="6"/>
        <v>MFG-7515410</v>
      </c>
      <c r="N121" s="6">
        <v>604</v>
      </c>
      <c r="O121" s="2" t="s">
        <v>169</v>
      </c>
    </row>
    <row r="122" spans="10:15" ht="18" customHeight="1">
      <c r="J122" s="2" t="s">
        <v>172</v>
      </c>
      <c r="K122" s="6">
        <v>7515499</v>
      </c>
      <c r="L122" s="6" t="s">
        <v>135</v>
      </c>
      <c r="M122" s="6" t="str">
        <f t="shared" si="6"/>
        <v>MFG-7515499</v>
      </c>
      <c r="N122" s="6">
        <v>604</v>
      </c>
      <c r="O122" s="2" t="s">
        <v>173</v>
      </c>
    </row>
    <row r="123" spans="10:15" ht="18" customHeight="1">
      <c r="J123" s="2" t="s">
        <v>176</v>
      </c>
      <c r="K123" s="6">
        <v>7516102</v>
      </c>
      <c r="L123" s="6" t="s">
        <v>135</v>
      </c>
      <c r="M123" s="6" t="str">
        <f t="shared" si="6"/>
        <v>MFG-7516102</v>
      </c>
      <c r="N123" s="6">
        <v>605</v>
      </c>
      <c r="O123" s="2" t="s">
        <v>178</v>
      </c>
    </row>
    <row r="124" spans="10:15" ht="18" customHeight="1">
      <c r="J124" s="2" t="s">
        <v>181</v>
      </c>
      <c r="K124" s="6">
        <v>7519101</v>
      </c>
      <c r="L124" s="6" t="s">
        <v>135</v>
      </c>
      <c r="M124" s="6" t="str">
        <f t="shared" si="6"/>
        <v>MFG-7519101</v>
      </c>
      <c r="N124" s="6">
        <v>602</v>
      </c>
      <c r="O124" s="2" t="s">
        <v>182</v>
      </c>
    </row>
    <row r="125" spans="10:15" ht="18" customHeight="1">
      <c r="J125" s="2" t="s">
        <v>360</v>
      </c>
      <c r="K125" s="6">
        <v>7521101</v>
      </c>
      <c r="L125" s="6" t="s">
        <v>135</v>
      </c>
      <c r="M125" s="6" t="str">
        <f t="shared" si="6"/>
        <v>MFG-7521101</v>
      </c>
      <c r="N125" s="6">
        <v>601</v>
      </c>
      <c r="O125" s="2" t="s">
        <v>186</v>
      </c>
    </row>
    <row r="126" spans="10:15" ht="18" customHeight="1">
      <c r="J126" s="2" t="s">
        <v>189</v>
      </c>
      <c r="K126" s="6">
        <v>7521102</v>
      </c>
      <c r="L126" s="6" t="s">
        <v>135</v>
      </c>
      <c r="M126" s="6" t="str">
        <f t="shared" si="6"/>
        <v>MFG-7521102</v>
      </c>
      <c r="N126" s="6">
        <v>603</v>
      </c>
      <c r="O126" s="2" t="s">
        <v>190</v>
      </c>
    </row>
    <row r="127" spans="10:15" ht="18" customHeight="1">
      <c r="J127" s="2" t="s">
        <v>194</v>
      </c>
      <c r="K127" s="6">
        <v>7571101</v>
      </c>
      <c r="L127" s="6" t="s">
        <v>135</v>
      </c>
      <c r="M127" s="6" t="str">
        <f t="shared" si="6"/>
        <v>MFG-7571101</v>
      </c>
      <c r="N127" s="6">
        <v>606</v>
      </c>
      <c r="O127" s="2" t="s">
        <v>196</v>
      </c>
    </row>
    <row r="128" spans="10:15" ht="18" customHeight="1">
      <c r="J128" s="2" t="s">
        <v>70</v>
      </c>
      <c r="K128" s="6">
        <v>7611100</v>
      </c>
      <c r="L128" s="6" t="s">
        <v>135</v>
      </c>
      <c r="M128" s="6" t="str">
        <f t="shared" si="6"/>
        <v>MFG-7611100</v>
      </c>
      <c r="N128" s="6">
        <v>701</v>
      </c>
      <c r="O128" s="2" t="s">
        <v>200</v>
      </c>
    </row>
    <row r="129" spans="10:15" ht="18" customHeight="1">
      <c r="J129" s="2" t="s">
        <v>78</v>
      </c>
      <c r="K129" s="6">
        <v>7611300</v>
      </c>
      <c r="L129" s="6" t="s">
        <v>135</v>
      </c>
      <c r="M129" s="6" t="str">
        <f t="shared" si="6"/>
        <v>MFG-7611300</v>
      </c>
      <c r="N129" s="6">
        <v>701</v>
      </c>
      <c r="O129" s="2" t="s">
        <v>203</v>
      </c>
    </row>
    <row r="130" spans="10:15" ht="18" customHeight="1">
      <c r="J130" s="2" t="s">
        <v>206</v>
      </c>
      <c r="K130" s="6">
        <v>7611400</v>
      </c>
      <c r="L130" s="6" t="s">
        <v>135</v>
      </c>
      <c r="M130" s="6" t="str">
        <f t="shared" ref="M130:M161" si="7">L130&amp;"-"&amp;K130</f>
        <v>MFG-7611400</v>
      </c>
      <c r="N130" s="6">
        <v>701</v>
      </c>
      <c r="O130" s="2" t="s">
        <v>207</v>
      </c>
    </row>
    <row r="131" spans="10:15" ht="18" customHeight="1">
      <c r="J131" s="2" t="s">
        <v>88</v>
      </c>
      <c r="K131" s="6">
        <v>7611500</v>
      </c>
      <c r="L131" s="6" t="s">
        <v>135</v>
      </c>
      <c r="M131" s="6" t="str">
        <f t="shared" si="7"/>
        <v>MFG-7611500</v>
      </c>
      <c r="N131" s="6">
        <v>701</v>
      </c>
      <c r="O131" s="2" t="s">
        <v>210</v>
      </c>
    </row>
    <row r="132" spans="10:15" ht="18" customHeight="1">
      <c r="J132" s="2" t="s">
        <v>93</v>
      </c>
      <c r="K132" s="6">
        <v>7611600</v>
      </c>
      <c r="L132" s="6" t="s">
        <v>135</v>
      </c>
      <c r="M132" s="6" t="str">
        <f t="shared" si="7"/>
        <v>MFG-7611600</v>
      </c>
      <c r="N132" s="6">
        <v>701</v>
      </c>
      <c r="O132" s="2" t="s">
        <v>213</v>
      </c>
    </row>
    <row r="133" spans="10:15" ht="18" customHeight="1">
      <c r="J133" s="2" t="s">
        <v>98</v>
      </c>
      <c r="K133" s="6">
        <v>7611700</v>
      </c>
      <c r="L133" s="6" t="s">
        <v>135</v>
      </c>
      <c r="M133" s="6" t="str">
        <f t="shared" si="7"/>
        <v>MFG-7611700</v>
      </c>
      <c r="N133" s="6">
        <v>701</v>
      </c>
      <c r="O133" s="2" t="s">
        <v>361</v>
      </c>
    </row>
    <row r="134" spans="10:15" ht="18" customHeight="1">
      <c r="J134" s="2" t="s">
        <v>219</v>
      </c>
      <c r="K134" s="6">
        <v>7611800</v>
      </c>
      <c r="L134" s="6" t="s">
        <v>135</v>
      </c>
      <c r="M134" s="6" t="str">
        <f t="shared" si="7"/>
        <v>MFG-7611800</v>
      </c>
      <c r="N134" s="6">
        <v>701</v>
      </c>
      <c r="O134" s="2" t="s">
        <v>220</v>
      </c>
    </row>
    <row r="135" spans="10:15" ht="18" customHeight="1">
      <c r="J135" s="2" t="s">
        <v>223</v>
      </c>
      <c r="K135" s="6">
        <v>7621101</v>
      </c>
      <c r="L135" s="6" t="s">
        <v>135</v>
      </c>
      <c r="M135" s="6" t="str">
        <f t="shared" si="7"/>
        <v>MFG-7621101</v>
      </c>
      <c r="N135" s="6">
        <v>903</v>
      </c>
      <c r="O135" s="2" t="s">
        <v>225</v>
      </c>
    </row>
    <row r="136" spans="10:15" ht="18" customHeight="1">
      <c r="J136" s="46" t="s">
        <v>228</v>
      </c>
      <c r="K136" s="48">
        <v>7621199</v>
      </c>
      <c r="L136" s="6" t="s">
        <v>135</v>
      </c>
      <c r="M136" s="6" t="str">
        <f t="shared" si="7"/>
        <v>MFG-7621199</v>
      </c>
      <c r="N136" s="6">
        <v>801</v>
      </c>
      <c r="O136" s="2" t="s">
        <v>230</v>
      </c>
    </row>
    <row r="137" spans="10:15" ht="18" customHeight="1">
      <c r="J137" s="2" t="s">
        <v>233</v>
      </c>
      <c r="K137" s="6">
        <v>7631101</v>
      </c>
      <c r="L137" s="6" t="s">
        <v>135</v>
      </c>
      <c r="M137" s="6" t="str">
        <f t="shared" si="7"/>
        <v>MFG-7631101</v>
      </c>
      <c r="N137" s="6">
        <v>501</v>
      </c>
      <c r="O137" s="2" t="s">
        <v>235</v>
      </c>
    </row>
    <row r="138" spans="10:15" ht="18" customHeight="1">
      <c r="J138" s="2" t="s">
        <v>236</v>
      </c>
      <c r="K138" s="6">
        <v>7631102</v>
      </c>
      <c r="L138" s="6" t="s">
        <v>135</v>
      </c>
      <c r="M138" s="6" t="str">
        <f t="shared" si="7"/>
        <v>MFG-7631102</v>
      </c>
      <c r="N138" s="6">
        <v>502</v>
      </c>
      <c r="O138" s="2" t="s">
        <v>238</v>
      </c>
    </row>
    <row r="139" spans="10:15" ht="18" customHeight="1">
      <c r="J139" s="2" t="s">
        <v>241</v>
      </c>
      <c r="K139" s="6">
        <v>7641101</v>
      </c>
      <c r="L139" s="6" t="s">
        <v>135</v>
      </c>
      <c r="M139" s="6" t="str">
        <f t="shared" si="7"/>
        <v>MFG-7641101</v>
      </c>
      <c r="N139" s="6">
        <v>401</v>
      </c>
      <c r="O139" s="2" t="s">
        <v>243</v>
      </c>
    </row>
    <row r="140" spans="10:15" ht="18" customHeight="1">
      <c r="J140" s="2" t="s">
        <v>244</v>
      </c>
      <c r="K140" s="6">
        <v>7641102</v>
      </c>
      <c r="L140" s="6" t="s">
        <v>135</v>
      </c>
      <c r="M140" s="6" t="str">
        <f t="shared" si="7"/>
        <v>MFG-7641102</v>
      </c>
      <c r="N140" s="6">
        <v>401</v>
      </c>
      <c r="O140" s="2" t="s">
        <v>245</v>
      </c>
    </row>
    <row r="141" spans="10:15" ht="18" customHeight="1">
      <c r="J141" s="2" t="s">
        <v>248</v>
      </c>
      <c r="K141" s="6">
        <v>7641103</v>
      </c>
      <c r="L141" s="6" t="s">
        <v>135</v>
      </c>
      <c r="M141" s="6" t="str">
        <f t="shared" si="7"/>
        <v>MFG-7641103</v>
      </c>
      <c r="N141" s="6">
        <v>902</v>
      </c>
      <c r="O141" s="2" t="s">
        <v>250</v>
      </c>
    </row>
    <row r="142" spans="10:15" ht="18" customHeight="1">
      <c r="J142" s="2" t="s">
        <v>253</v>
      </c>
      <c r="K142" s="6">
        <v>7641104</v>
      </c>
      <c r="L142" s="6" t="s">
        <v>135</v>
      </c>
      <c r="M142" s="6" t="str">
        <f t="shared" si="7"/>
        <v>MFG-7641104</v>
      </c>
      <c r="N142" s="6">
        <v>999</v>
      </c>
      <c r="O142" s="2" t="s">
        <v>254</v>
      </c>
    </row>
    <row r="143" spans="10:15" ht="18" customHeight="1">
      <c r="J143" s="2" t="s">
        <v>255</v>
      </c>
      <c r="K143" s="6">
        <v>7651101</v>
      </c>
      <c r="L143" s="6" t="s">
        <v>135</v>
      </c>
      <c r="M143" s="6" t="str">
        <f t="shared" si="7"/>
        <v>MFG-7651101</v>
      </c>
      <c r="N143" s="6">
        <v>903</v>
      </c>
      <c r="O143" s="2" t="s">
        <v>256</v>
      </c>
    </row>
    <row r="144" spans="10:15" ht="18" customHeight="1">
      <c r="J144" s="2" t="s">
        <v>257</v>
      </c>
      <c r="K144" s="6">
        <v>7651102</v>
      </c>
      <c r="L144" s="6" t="s">
        <v>135</v>
      </c>
      <c r="M144" s="6" t="str">
        <f t="shared" si="7"/>
        <v>MFG-7651102</v>
      </c>
      <c r="N144" s="6">
        <v>903</v>
      </c>
      <c r="O144" s="2" t="s">
        <v>258</v>
      </c>
    </row>
    <row r="145" spans="10:15" ht="18" customHeight="1">
      <c r="J145" s="2" t="s">
        <v>259</v>
      </c>
      <c r="K145" s="6">
        <v>7651103</v>
      </c>
      <c r="L145" s="6" t="s">
        <v>135</v>
      </c>
      <c r="M145" s="6" t="str">
        <f t="shared" si="7"/>
        <v>MFG-7651103</v>
      </c>
      <c r="N145" s="6">
        <v>903</v>
      </c>
      <c r="O145" s="2" t="s">
        <v>260</v>
      </c>
    </row>
    <row r="146" spans="10:15" ht="18" customHeight="1">
      <c r="J146" s="2" t="s">
        <v>261</v>
      </c>
      <c r="K146" s="6">
        <v>7661101</v>
      </c>
      <c r="L146" s="6" t="s">
        <v>135</v>
      </c>
      <c r="M146" s="6" t="str">
        <f t="shared" si="7"/>
        <v>MFG-7661101</v>
      </c>
      <c r="N146" s="6">
        <v>999</v>
      </c>
      <c r="O146" s="2" t="s">
        <v>263</v>
      </c>
    </row>
    <row r="147" spans="10:15" ht="18" customHeight="1">
      <c r="J147" s="2" t="s">
        <v>264</v>
      </c>
      <c r="K147" s="6">
        <v>7671102</v>
      </c>
      <c r="L147" s="6" t="s">
        <v>135</v>
      </c>
      <c r="M147" s="6" t="str">
        <f t="shared" si="7"/>
        <v>MFG-7671102</v>
      </c>
      <c r="N147" s="6">
        <v>999</v>
      </c>
      <c r="O147" s="2" t="s">
        <v>265</v>
      </c>
    </row>
    <row r="148" spans="10:15" ht="18" customHeight="1">
      <c r="J148" s="2" t="s">
        <v>266</v>
      </c>
      <c r="K148" s="6">
        <v>7671103</v>
      </c>
      <c r="L148" s="6" t="s">
        <v>135</v>
      </c>
      <c r="M148" s="6" t="str">
        <f t="shared" si="7"/>
        <v>MFG-7671103</v>
      </c>
      <c r="N148" s="6">
        <v>999</v>
      </c>
      <c r="O148" s="2" t="s">
        <v>267</v>
      </c>
    </row>
    <row r="149" spans="10:15" ht="18" customHeight="1">
      <c r="J149" s="2" t="s">
        <v>268</v>
      </c>
      <c r="K149" s="6">
        <v>7681101</v>
      </c>
      <c r="L149" s="6" t="s">
        <v>135</v>
      </c>
      <c r="M149" s="6" t="str">
        <f t="shared" si="7"/>
        <v>MFG-7681101</v>
      </c>
      <c r="N149" s="6">
        <v>999</v>
      </c>
      <c r="O149" s="2" t="s">
        <v>269</v>
      </c>
    </row>
    <row r="150" spans="10:15" ht="18" customHeight="1">
      <c r="J150" s="2" t="s">
        <v>270</v>
      </c>
      <c r="K150" s="6">
        <v>7691000</v>
      </c>
      <c r="L150" s="6" t="s">
        <v>135</v>
      </c>
      <c r="M150" s="6" t="str">
        <f t="shared" si="7"/>
        <v>MFG-7691000</v>
      </c>
      <c r="N150" s="6">
        <v>999</v>
      </c>
      <c r="O150" s="2" t="s">
        <v>271</v>
      </c>
    </row>
    <row r="151" spans="10:15" ht="18" customHeight="1">
      <c r="J151" s="2" t="s">
        <v>272</v>
      </c>
      <c r="K151" s="6">
        <v>7711101</v>
      </c>
      <c r="L151" s="6" t="s">
        <v>135</v>
      </c>
      <c r="M151" s="6" t="str">
        <f t="shared" si="7"/>
        <v>MFG-7711101</v>
      </c>
      <c r="N151" s="6">
        <v>999</v>
      </c>
      <c r="O151" s="2" t="s">
        <v>273</v>
      </c>
    </row>
    <row r="152" spans="10:15" ht="18" customHeight="1">
      <c r="J152" s="2" t="s">
        <v>274</v>
      </c>
      <c r="K152" s="6">
        <v>7711102</v>
      </c>
      <c r="L152" s="6" t="s">
        <v>135</v>
      </c>
      <c r="M152" s="6" t="str">
        <f t="shared" si="7"/>
        <v>MFG-7711102</v>
      </c>
      <c r="N152" s="6">
        <v>904</v>
      </c>
      <c r="O152" s="2" t="s">
        <v>276</v>
      </c>
    </row>
    <row r="153" spans="10:15" ht="18" customHeight="1">
      <c r="J153" s="2" t="s">
        <v>277</v>
      </c>
      <c r="K153" s="6">
        <v>7711103</v>
      </c>
      <c r="L153" s="6" t="s">
        <v>135</v>
      </c>
      <c r="M153" s="6" t="str">
        <f t="shared" si="7"/>
        <v>MFG-7711103</v>
      </c>
      <c r="N153" s="6">
        <v>999</v>
      </c>
      <c r="O153" s="2" t="s">
        <v>278</v>
      </c>
    </row>
    <row r="154" spans="10:15" ht="18" customHeight="1">
      <c r="J154" s="2" t="s">
        <v>279</v>
      </c>
      <c r="K154" s="6">
        <v>7721101</v>
      </c>
      <c r="L154" s="6" t="s">
        <v>135</v>
      </c>
      <c r="M154" s="6" t="str">
        <f t="shared" si="7"/>
        <v>MFG-7721101</v>
      </c>
      <c r="N154" s="6">
        <v>999</v>
      </c>
      <c r="O154" s="2" t="s">
        <v>280</v>
      </c>
    </row>
    <row r="155" spans="10:15" ht="18" customHeight="1">
      <c r="J155" s="2" t="s">
        <v>281</v>
      </c>
      <c r="K155" s="6">
        <v>7729101</v>
      </c>
      <c r="L155" s="6" t="s">
        <v>135</v>
      </c>
      <c r="M155" s="6" t="str">
        <f t="shared" si="7"/>
        <v>MFG-7729101</v>
      </c>
      <c r="N155" s="6">
        <v>905</v>
      </c>
      <c r="O155" s="2" t="s">
        <v>283</v>
      </c>
    </row>
    <row r="156" spans="10:15" ht="18" customHeight="1">
      <c r="J156" s="2" t="s">
        <v>284</v>
      </c>
      <c r="K156" s="6">
        <v>7729103</v>
      </c>
      <c r="L156" s="6" t="s">
        <v>135</v>
      </c>
      <c r="M156" s="6" t="str">
        <f t="shared" si="7"/>
        <v>MFG-7729103</v>
      </c>
      <c r="N156" s="6">
        <v>907</v>
      </c>
      <c r="O156" s="2" t="s">
        <v>286</v>
      </c>
    </row>
    <row r="157" spans="10:15" ht="18" customHeight="1">
      <c r="J157" s="2" t="s">
        <v>287</v>
      </c>
      <c r="K157" s="6">
        <v>7729105</v>
      </c>
      <c r="L157" s="6" t="s">
        <v>135</v>
      </c>
      <c r="M157" s="6" t="str">
        <f t="shared" si="7"/>
        <v>MFG-7729105</v>
      </c>
      <c r="N157" s="6">
        <v>999</v>
      </c>
      <c r="O157" s="2" t="s">
        <v>288</v>
      </c>
    </row>
    <row r="158" spans="10:15" ht="18" customHeight="1">
      <c r="J158" s="2" t="s">
        <v>289</v>
      </c>
      <c r="K158" s="6">
        <v>7781101</v>
      </c>
      <c r="L158" s="6" t="s">
        <v>135</v>
      </c>
      <c r="M158" s="6" t="str">
        <f t="shared" si="7"/>
        <v>MFG-7781101</v>
      </c>
      <c r="N158" s="6">
        <v>999</v>
      </c>
      <c r="O158" s="2" t="s">
        <v>290</v>
      </c>
    </row>
    <row r="159" spans="10:15" ht="18" customHeight="1">
      <c r="J159" s="2" t="s">
        <v>291</v>
      </c>
      <c r="K159" s="6">
        <v>7781103</v>
      </c>
      <c r="L159" s="6" t="s">
        <v>135</v>
      </c>
      <c r="M159" s="6" t="str">
        <f t="shared" si="7"/>
        <v>MFG-7781103</v>
      </c>
      <c r="N159" s="6">
        <v>999</v>
      </c>
      <c r="O159" s="2" t="s">
        <v>292</v>
      </c>
    </row>
    <row r="160" spans="10:15" ht="18" customHeight="1">
      <c r="J160" s="2" t="s">
        <v>293</v>
      </c>
      <c r="K160" s="6">
        <v>7781104</v>
      </c>
      <c r="L160" s="6" t="s">
        <v>135</v>
      </c>
      <c r="M160" s="6" t="str">
        <f t="shared" si="7"/>
        <v>MFG-7781104</v>
      </c>
      <c r="N160" s="6">
        <v>999</v>
      </c>
      <c r="O160" s="2" t="s">
        <v>294</v>
      </c>
    </row>
    <row r="161" spans="10:15" ht="18" customHeight="1">
      <c r="J161" s="2" t="s">
        <v>295</v>
      </c>
      <c r="K161" s="6">
        <v>7781105</v>
      </c>
      <c r="L161" s="6" t="s">
        <v>135</v>
      </c>
      <c r="M161" s="6" t="str">
        <f t="shared" si="7"/>
        <v>MFG-7781105</v>
      </c>
      <c r="N161" s="6">
        <v>999</v>
      </c>
      <c r="O161" s="2" t="s">
        <v>296</v>
      </c>
    </row>
    <row r="162" spans="10:15" ht="18" customHeight="1">
      <c r="J162" s="2" t="s">
        <v>297</v>
      </c>
      <c r="K162" s="6">
        <v>7781106</v>
      </c>
      <c r="L162" s="6" t="s">
        <v>135</v>
      </c>
      <c r="M162" s="6" t="str">
        <f t="shared" ref="M162:M193" si="8">L162&amp;"-"&amp;K162</f>
        <v>MFG-7781106</v>
      </c>
      <c r="N162" s="6">
        <v>999</v>
      </c>
      <c r="O162" s="2" t="s">
        <v>298</v>
      </c>
    </row>
    <row r="163" spans="10:15" ht="18" customHeight="1">
      <c r="J163" s="2" t="s">
        <v>299</v>
      </c>
      <c r="K163" s="6">
        <v>7781107</v>
      </c>
      <c r="L163" s="6" t="s">
        <v>135</v>
      </c>
      <c r="M163" s="6" t="str">
        <f t="shared" si="8"/>
        <v>MFG-7781107</v>
      </c>
      <c r="N163" s="6">
        <v>906</v>
      </c>
      <c r="O163" s="2" t="s">
        <v>301</v>
      </c>
    </row>
    <row r="164" spans="10:15" ht="18" customHeight="1">
      <c r="J164" s="2" t="s">
        <v>302</v>
      </c>
      <c r="K164" s="6">
        <v>7781111</v>
      </c>
      <c r="L164" s="6" t="s">
        <v>135</v>
      </c>
      <c r="M164" s="6" t="str">
        <f t="shared" si="8"/>
        <v>MFG-7781111</v>
      </c>
      <c r="N164" s="6">
        <v>999</v>
      </c>
      <c r="O164" s="2" t="s">
        <v>303</v>
      </c>
    </row>
    <row r="165" spans="10:15" ht="18" customHeight="1">
      <c r="J165" s="2" t="s">
        <v>304</v>
      </c>
      <c r="K165" s="6">
        <v>7781112</v>
      </c>
      <c r="L165" s="6" t="s">
        <v>135</v>
      </c>
      <c r="M165" s="6" t="str">
        <f t="shared" si="8"/>
        <v>MFG-7781112</v>
      </c>
      <c r="N165" s="6">
        <v>999</v>
      </c>
      <c r="O165" s="2" t="s">
        <v>305</v>
      </c>
    </row>
    <row r="166" spans="10:15" ht="18" customHeight="1">
      <c r="J166" s="2" t="s">
        <v>306</v>
      </c>
      <c r="K166" s="6">
        <v>7781113</v>
      </c>
      <c r="L166" s="6" t="s">
        <v>135</v>
      </c>
      <c r="M166" s="6" t="str">
        <f t="shared" si="8"/>
        <v>MFG-7781113</v>
      </c>
      <c r="N166" s="6">
        <v>999</v>
      </c>
      <c r="O166" s="2" t="s">
        <v>307</v>
      </c>
    </row>
    <row r="167" spans="10:15" ht="18" customHeight="1">
      <c r="J167" s="2" t="s">
        <v>362</v>
      </c>
      <c r="K167" s="3">
        <v>8291101</v>
      </c>
      <c r="L167" s="4" t="s">
        <v>363</v>
      </c>
      <c r="M167" s="4" t="str">
        <f t="shared" si="8"/>
        <v>OTH-8291101</v>
      </c>
    </row>
    <row r="168" spans="10:15" ht="18" customHeight="1">
      <c r="J168" s="2" t="s">
        <v>364</v>
      </c>
      <c r="K168" s="3">
        <v>8291102</v>
      </c>
      <c r="L168" s="4" t="s">
        <v>363</v>
      </c>
      <c r="M168" s="4" t="str">
        <f t="shared" si="8"/>
        <v>OTH-8291102</v>
      </c>
    </row>
    <row r="169" spans="10:15" ht="18" customHeight="1">
      <c r="J169" s="2" t="s">
        <v>365</v>
      </c>
      <c r="K169" s="3">
        <v>8291201</v>
      </c>
      <c r="L169" s="4" t="s">
        <v>363</v>
      </c>
      <c r="M169" s="4" t="str">
        <f t="shared" si="8"/>
        <v>OTH-8291201</v>
      </c>
    </row>
    <row r="170" spans="10:15" ht="18" customHeight="1">
      <c r="J170" s="2" t="s">
        <v>366</v>
      </c>
      <c r="K170" s="3">
        <v>8291202</v>
      </c>
      <c r="L170" s="4" t="s">
        <v>363</v>
      </c>
      <c r="M170" s="4" t="str">
        <f t="shared" si="8"/>
        <v>OTH-8291202</v>
      </c>
    </row>
    <row r="171" spans="10:15" ht="18" customHeight="1">
      <c r="J171" s="2" t="s">
        <v>367</v>
      </c>
      <c r="K171" s="3">
        <v>8291203</v>
      </c>
      <c r="L171" s="4" t="s">
        <v>363</v>
      </c>
      <c r="M171" s="4" t="str">
        <f t="shared" si="8"/>
        <v>OTH-8291203</v>
      </c>
    </row>
    <row r="172" spans="10:15" ht="18" customHeight="1">
      <c r="J172" s="2" t="s">
        <v>368</v>
      </c>
      <c r="K172" s="3">
        <v>8191101</v>
      </c>
      <c r="L172" s="4" t="s">
        <v>363</v>
      </c>
      <c r="M172" s="4" t="str">
        <f t="shared" si="8"/>
        <v>OTH-8191101</v>
      </c>
    </row>
    <row r="173" spans="10:15" ht="18" customHeight="1">
      <c r="N173" s="7"/>
    </row>
  </sheetData>
  <phoneticPr fontId="2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1871-B522-4360-BDA4-9BF4A4426FC5}">
  <dimension ref="A1:S173"/>
  <sheetViews>
    <sheetView zoomScale="80" zoomScaleNormal="80" workbookViewId="0">
      <selection activeCell="G6" sqref="G6"/>
    </sheetView>
  </sheetViews>
  <sheetFormatPr defaultColWidth="8.85546875" defaultRowHeight="12.75"/>
  <cols>
    <col min="1" max="1" width="56.140625" style="2" bestFit="1" customWidth="1"/>
    <col min="2" max="2" width="10.5703125" style="3" bestFit="1" customWidth="1"/>
    <col min="3" max="3" width="12.5703125" style="4" bestFit="1" customWidth="1"/>
    <col min="4" max="4" width="12.42578125" style="4" bestFit="1" customWidth="1"/>
    <col min="5" max="5" width="13.85546875" style="4" bestFit="1" customWidth="1"/>
    <col min="6" max="6" width="50.7109375" style="2" hidden="1" customWidth="1"/>
    <col min="7" max="7" width="0.85546875" style="35" customWidth="1"/>
    <col min="8" max="8" width="28.5703125" style="2" bestFit="1" customWidth="1"/>
    <col min="9" max="9" width="11.42578125" style="3" bestFit="1" customWidth="1"/>
    <col min="10" max="10" width="15.85546875" style="2" bestFit="1" customWidth="1"/>
    <col min="11" max="11" width="19.42578125" style="2" bestFit="1" customWidth="1"/>
    <col min="12" max="12" width="28.5703125" style="2" bestFit="1" customWidth="1"/>
    <col min="13" max="13" width="0.85546875" style="35" customWidth="1"/>
    <col min="14" max="14" width="9.85546875" style="2" bestFit="1" customWidth="1"/>
    <col min="15" max="15" width="19.5703125" style="2" bestFit="1" customWidth="1"/>
    <col min="16" max="16" width="0.85546875" style="35" customWidth="1"/>
    <col min="17" max="17" width="18.42578125" style="19" bestFit="1" customWidth="1"/>
    <col min="18" max="18" width="19" style="20" bestFit="1" customWidth="1"/>
    <col min="19" max="19" width="72.5703125" style="21" bestFit="1" customWidth="1"/>
    <col min="20" max="20" width="8.85546875" style="2" customWidth="1"/>
    <col min="21" max="16384" width="8.85546875" style="2"/>
  </cols>
  <sheetData>
    <row r="1" spans="1:19" s="1" customFormat="1" ht="60" customHeight="1">
      <c r="A1" s="39" t="s">
        <v>48</v>
      </c>
      <c r="B1" s="39" t="s">
        <v>49</v>
      </c>
      <c r="C1" s="40" t="s">
        <v>9</v>
      </c>
      <c r="D1" s="40" t="s">
        <v>50</v>
      </c>
      <c r="E1" s="40" t="s">
        <v>51</v>
      </c>
      <c r="F1" s="39" t="s">
        <v>52</v>
      </c>
      <c r="G1" s="41"/>
      <c r="H1" s="36" t="s">
        <v>369</v>
      </c>
      <c r="I1" s="36" t="s">
        <v>42</v>
      </c>
      <c r="J1" s="37" t="s">
        <v>43</v>
      </c>
      <c r="K1" s="37" t="s">
        <v>44</v>
      </c>
      <c r="L1" s="36" t="s">
        <v>370</v>
      </c>
      <c r="M1" s="42"/>
      <c r="N1" s="38" t="s">
        <v>371</v>
      </c>
      <c r="O1" s="38" t="s">
        <v>372</v>
      </c>
      <c r="P1" s="42"/>
      <c r="Q1" s="30" t="s">
        <v>14</v>
      </c>
      <c r="R1" s="30" t="s">
        <v>57</v>
      </c>
      <c r="S1" s="31" t="s">
        <v>52</v>
      </c>
    </row>
    <row r="2" spans="1:19" ht="18" customHeight="1">
      <c r="A2" s="2" t="s">
        <v>65</v>
      </c>
      <c r="B2" s="3">
        <v>7511101</v>
      </c>
      <c r="C2" s="4" t="s">
        <v>24</v>
      </c>
      <c r="D2" s="5" t="str">
        <f t="shared" ref="D2:D33" si="0">C2&amp;"-"&amp;B2</f>
        <v>SGA-7511101</v>
      </c>
      <c r="E2" s="4" t="s">
        <v>66</v>
      </c>
      <c r="F2" s="2" t="s">
        <v>65</v>
      </c>
      <c r="H2" s="10" t="s">
        <v>62</v>
      </c>
      <c r="I2" s="11" t="s">
        <v>63</v>
      </c>
      <c r="J2" s="12" t="s">
        <v>24</v>
      </c>
      <c r="K2" s="13" t="s">
        <v>25</v>
      </c>
      <c r="L2" s="13" t="str">
        <f t="shared" ref="L2:L42" si="1">H2</f>
        <v>Top Management</v>
      </c>
      <c r="N2" s="13">
        <v>53450</v>
      </c>
      <c r="O2" s="13" t="s">
        <v>64</v>
      </c>
      <c r="Q2" s="24" t="s">
        <v>32</v>
      </c>
      <c r="R2" s="25" t="s">
        <v>67</v>
      </c>
      <c r="S2" s="23" t="s">
        <v>68</v>
      </c>
    </row>
    <row r="3" spans="1:19" ht="18" customHeight="1">
      <c r="A3" s="2" t="s">
        <v>73</v>
      </c>
      <c r="B3" s="3">
        <v>7511102</v>
      </c>
      <c r="C3" s="4" t="s">
        <v>24</v>
      </c>
      <c r="D3" s="5" t="str">
        <f t="shared" si="0"/>
        <v>SGA-7511102</v>
      </c>
      <c r="E3" s="4" t="s">
        <v>66</v>
      </c>
      <c r="F3" s="2" t="s">
        <v>74</v>
      </c>
      <c r="H3" s="10" t="s">
        <v>71</v>
      </c>
      <c r="I3" s="11" t="s">
        <v>72</v>
      </c>
      <c r="J3" s="12" t="s">
        <v>24</v>
      </c>
      <c r="K3" s="13" t="s">
        <v>25</v>
      </c>
      <c r="L3" s="13" t="str">
        <f t="shared" si="1"/>
        <v>Commissioner</v>
      </c>
      <c r="N3" s="13"/>
      <c r="O3" s="13"/>
      <c r="Q3" s="24" t="s">
        <v>26</v>
      </c>
      <c r="R3" s="25" t="s">
        <v>75</v>
      </c>
      <c r="S3" s="23" t="s">
        <v>76</v>
      </c>
    </row>
    <row r="4" spans="1:19" ht="18" customHeight="1">
      <c r="A4" s="2" t="s">
        <v>81</v>
      </c>
      <c r="B4" s="3">
        <v>7511103</v>
      </c>
      <c r="C4" s="4" t="s">
        <v>24</v>
      </c>
      <c r="D4" s="5" t="str">
        <f t="shared" si="0"/>
        <v>SGA-7511103</v>
      </c>
      <c r="E4" s="4" t="s">
        <v>82</v>
      </c>
      <c r="F4" s="2" t="s">
        <v>83</v>
      </c>
      <c r="H4" s="10" t="s">
        <v>79</v>
      </c>
      <c r="I4" s="11" t="s">
        <v>80</v>
      </c>
      <c r="J4" s="12" t="s">
        <v>24</v>
      </c>
      <c r="K4" s="13" t="s">
        <v>25</v>
      </c>
      <c r="L4" s="13" t="str">
        <f t="shared" si="1"/>
        <v>Admin &amp; HR</v>
      </c>
      <c r="N4" s="13"/>
      <c r="O4" s="13"/>
      <c r="Q4" s="24" t="s">
        <v>84</v>
      </c>
      <c r="R4" s="25" t="s">
        <v>85</v>
      </c>
      <c r="S4" s="23" t="s">
        <v>86</v>
      </c>
    </row>
    <row r="5" spans="1:19" ht="18" customHeight="1">
      <c r="A5" s="2" t="s">
        <v>91</v>
      </c>
      <c r="B5" s="3">
        <v>7511111</v>
      </c>
      <c r="C5" s="4" t="s">
        <v>24</v>
      </c>
      <c r="D5" s="5" t="str">
        <f t="shared" si="0"/>
        <v>SGA-7511111</v>
      </c>
      <c r="E5" s="4" t="s">
        <v>82</v>
      </c>
      <c r="F5" s="2" t="s">
        <v>92</v>
      </c>
      <c r="H5" s="10" t="s">
        <v>89</v>
      </c>
      <c r="I5" s="11" t="s">
        <v>90</v>
      </c>
      <c r="J5" s="12" t="s">
        <v>24</v>
      </c>
      <c r="K5" s="13" t="s">
        <v>25</v>
      </c>
      <c r="L5" s="13" t="str">
        <f t="shared" si="1"/>
        <v>General Affair</v>
      </c>
    </row>
    <row r="6" spans="1:19" customFormat="1" ht="18" customHeight="1">
      <c r="A6" s="2" t="s">
        <v>96</v>
      </c>
      <c r="B6" s="3">
        <v>7511112</v>
      </c>
      <c r="C6" s="4" t="s">
        <v>24</v>
      </c>
      <c r="D6" s="5" t="str">
        <f t="shared" si="0"/>
        <v>SGA-7511112</v>
      </c>
      <c r="E6" s="4" t="s">
        <v>82</v>
      </c>
      <c r="F6" s="2" t="s">
        <v>97</v>
      </c>
      <c r="G6" s="43"/>
      <c r="H6" s="10" t="s">
        <v>94</v>
      </c>
      <c r="I6" s="11" t="s">
        <v>95</v>
      </c>
      <c r="J6" s="12" t="s">
        <v>24</v>
      </c>
      <c r="K6" s="13" t="s">
        <v>25</v>
      </c>
      <c r="L6" s="13" t="str">
        <f t="shared" si="1"/>
        <v>Human Resource</v>
      </c>
      <c r="M6" s="43"/>
      <c r="P6" s="43"/>
    </row>
    <row r="7" spans="1:19" ht="18" customHeight="1">
      <c r="A7" s="2" t="s">
        <v>102</v>
      </c>
      <c r="B7" s="3">
        <v>7511121</v>
      </c>
      <c r="C7" s="4" t="s">
        <v>24</v>
      </c>
      <c r="D7" s="5" t="str">
        <f t="shared" si="0"/>
        <v>SGA-7511121</v>
      </c>
      <c r="E7" s="4" t="s">
        <v>82</v>
      </c>
      <c r="F7" s="2" t="s">
        <v>103</v>
      </c>
      <c r="H7" s="10" t="s">
        <v>99</v>
      </c>
      <c r="I7" s="11" t="s">
        <v>100</v>
      </c>
      <c r="J7" s="12" t="s">
        <v>24</v>
      </c>
      <c r="K7" s="13" t="s">
        <v>25</v>
      </c>
      <c r="L7" s="13" t="str">
        <f t="shared" si="1"/>
        <v>Health, Safety &amp; Environment</v>
      </c>
    </row>
    <row r="8" spans="1:19" ht="18" customHeight="1">
      <c r="A8" s="2" t="s">
        <v>107</v>
      </c>
      <c r="B8" s="3">
        <v>7511122</v>
      </c>
      <c r="C8" s="4" t="s">
        <v>24</v>
      </c>
      <c r="D8" s="5" t="str">
        <f t="shared" si="0"/>
        <v>SGA-7511122</v>
      </c>
      <c r="E8" s="4" t="s">
        <v>82</v>
      </c>
      <c r="F8" s="2" t="s">
        <v>108</v>
      </c>
      <c r="H8" s="10" t="s">
        <v>104</v>
      </c>
      <c r="I8" s="11" t="s">
        <v>105</v>
      </c>
      <c r="J8" s="12" t="s">
        <v>24</v>
      </c>
      <c r="K8" s="13" t="s">
        <v>25</v>
      </c>
      <c r="L8" s="13" t="str">
        <f t="shared" si="1"/>
        <v>Accounting &amp; Finance</v>
      </c>
    </row>
    <row r="9" spans="1:19" ht="18" customHeight="1">
      <c r="A9" s="2" t="s">
        <v>109</v>
      </c>
      <c r="B9" s="3">
        <v>7511201</v>
      </c>
      <c r="C9" s="4" t="s">
        <v>24</v>
      </c>
      <c r="D9" s="5" t="str">
        <f t="shared" si="0"/>
        <v>SGA-7511201</v>
      </c>
      <c r="E9" s="4" t="s">
        <v>110</v>
      </c>
      <c r="F9" s="2" t="s">
        <v>111</v>
      </c>
      <c r="H9" s="10" t="s">
        <v>20</v>
      </c>
      <c r="I9" s="11" t="s">
        <v>19</v>
      </c>
      <c r="J9" s="12" t="s">
        <v>24</v>
      </c>
      <c r="K9" s="13" t="s">
        <v>25</v>
      </c>
      <c r="L9" s="13" t="str">
        <f t="shared" si="1"/>
        <v>Information Technology</v>
      </c>
    </row>
    <row r="10" spans="1:19" ht="18" customHeight="1">
      <c r="A10" s="2" t="s">
        <v>114</v>
      </c>
      <c r="B10" s="3">
        <v>7512111</v>
      </c>
      <c r="C10" s="4" t="s">
        <v>24</v>
      </c>
      <c r="D10" s="5" t="str">
        <f t="shared" si="0"/>
        <v>SGA-7512111</v>
      </c>
      <c r="E10" s="4" t="s">
        <v>115</v>
      </c>
      <c r="F10" s="2" t="s">
        <v>116</v>
      </c>
      <c r="H10" s="10" t="s">
        <v>112</v>
      </c>
      <c r="I10" s="11" t="s">
        <v>113</v>
      </c>
      <c r="J10" s="12" t="s">
        <v>24</v>
      </c>
      <c r="K10" s="13" t="s">
        <v>25</v>
      </c>
      <c r="L10" s="13" t="str">
        <f t="shared" si="1"/>
        <v>Sales &amp; MKTG Dept.- Automotive</v>
      </c>
    </row>
    <row r="11" spans="1:19" ht="18" customHeight="1">
      <c r="A11" s="2" t="s">
        <v>119</v>
      </c>
      <c r="B11" s="3">
        <v>7512112</v>
      </c>
      <c r="C11" s="4" t="s">
        <v>24</v>
      </c>
      <c r="D11" s="5" t="str">
        <f t="shared" si="0"/>
        <v>SGA-7512112</v>
      </c>
      <c r="E11" s="4" t="s">
        <v>115</v>
      </c>
      <c r="F11" s="2" t="s">
        <v>120</v>
      </c>
      <c r="H11" s="10" t="s">
        <v>117</v>
      </c>
      <c r="I11" s="11" t="s">
        <v>118</v>
      </c>
      <c r="J11" s="12" t="s">
        <v>24</v>
      </c>
      <c r="K11" s="13" t="s">
        <v>25</v>
      </c>
      <c r="L11" s="13" t="str">
        <f t="shared" si="1"/>
        <v>Marketing</v>
      </c>
    </row>
    <row r="12" spans="1:19" ht="18" customHeight="1">
      <c r="A12" s="2" t="s">
        <v>123</v>
      </c>
      <c r="B12" s="3">
        <v>7514101</v>
      </c>
      <c r="C12" s="4" t="s">
        <v>24</v>
      </c>
      <c r="D12" s="5" t="str">
        <f t="shared" si="0"/>
        <v>SGA-7514101</v>
      </c>
      <c r="E12" s="4" t="s">
        <v>82</v>
      </c>
      <c r="F12" s="2" t="s">
        <v>124</v>
      </c>
      <c r="H12" s="10" t="s">
        <v>121</v>
      </c>
      <c r="I12" s="11" t="s">
        <v>122</v>
      </c>
      <c r="J12" s="12" t="s">
        <v>24</v>
      </c>
      <c r="K12" s="13" t="s">
        <v>25</v>
      </c>
      <c r="L12" s="13" t="str">
        <f t="shared" si="1"/>
        <v>Sales - OEM</v>
      </c>
    </row>
    <row r="13" spans="1:19" ht="18" customHeight="1">
      <c r="A13" s="2" t="s">
        <v>127</v>
      </c>
      <c r="B13" s="3">
        <v>7514102</v>
      </c>
      <c r="C13" s="4" t="s">
        <v>24</v>
      </c>
      <c r="D13" s="5" t="str">
        <f t="shared" si="0"/>
        <v>SGA-7514102</v>
      </c>
      <c r="E13" s="4" t="s">
        <v>82</v>
      </c>
      <c r="F13" s="2" t="s">
        <v>128</v>
      </c>
      <c r="H13" s="10" t="s">
        <v>125</v>
      </c>
      <c r="I13" s="11" t="s">
        <v>126</v>
      </c>
      <c r="J13" s="12" t="s">
        <v>24</v>
      </c>
      <c r="K13" s="13" t="s">
        <v>25</v>
      </c>
      <c r="L13" s="13" t="str">
        <f t="shared" si="1"/>
        <v>Sales - OES</v>
      </c>
    </row>
    <row r="14" spans="1:19" ht="18" customHeight="1">
      <c r="A14" s="2" t="s">
        <v>131</v>
      </c>
      <c r="B14" s="3">
        <v>7515401</v>
      </c>
      <c r="C14" s="4" t="s">
        <v>24</v>
      </c>
      <c r="D14" s="5" t="str">
        <f t="shared" si="0"/>
        <v>SGA-7515401</v>
      </c>
      <c r="E14" s="4" t="s">
        <v>115</v>
      </c>
      <c r="F14" s="2" t="s">
        <v>132</v>
      </c>
      <c r="H14" s="10" t="s">
        <v>129</v>
      </c>
      <c r="I14" s="11" t="s">
        <v>130</v>
      </c>
      <c r="J14" s="12" t="s">
        <v>24</v>
      </c>
      <c r="K14" s="13" t="s">
        <v>25</v>
      </c>
      <c r="L14" s="13" t="str">
        <f t="shared" si="1"/>
        <v>Sales - IAM</v>
      </c>
    </row>
    <row r="15" spans="1:19" ht="18" customHeight="1">
      <c r="A15" s="2" t="s">
        <v>137</v>
      </c>
      <c r="B15" s="3">
        <v>7515402</v>
      </c>
      <c r="C15" s="4" t="s">
        <v>24</v>
      </c>
      <c r="D15" s="5" t="str">
        <f t="shared" si="0"/>
        <v>SGA-7515402</v>
      </c>
      <c r="E15" s="4" t="s">
        <v>115</v>
      </c>
      <c r="F15" s="2" t="s">
        <v>138</v>
      </c>
      <c r="H15" s="10" t="s">
        <v>133</v>
      </c>
      <c r="I15" s="11" t="s">
        <v>134</v>
      </c>
      <c r="J15" s="13" t="s">
        <v>135</v>
      </c>
      <c r="K15" s="13" t="s">
        <v>136</v>
      </c>
      <c r="L15" s="13" t="str">
        <f t="shared" si="1"/>
        <v>SP PD- CF</v>
      </c>
    </row>
    <row r="16" spans="1:19" ht="18" customHeight="1">
      <c r="A16" s="2" t="s">
        <v>141</v>
      </c>
      <c r="B16" s="3">
        <v>7515403</v>
      </c>
      <c r="C16" s="4" t="s">
        <v>24</v>
      </c>
      <c r="D16" s="5" t="str">
        <f t="shared" si="0"/>
        <v>SGA-7515403</v>
      </c>
      <c r="E16" s="4" t="s">
        <v>115</v>
      </c>
      <c r="F16" s="2" t="s">
        <v>142</v>
      </c>
      <c r="H16" s="10" t="s">
        <v>139</v>
      </c>
      <c r="I16" s="11" t="s">
        <v>140</v>
      </c>
      <c r="J16" s="13" t="s">
        <v>135</v>
      </c>
      <c r="K16" s="13" t="s">
        <v>136</v>
      </c>
      <c r="L16" s="13" t="str">
        <f t="shared" si="1"/>
        <v>SP PD- CM</v>
      </c>
    </row>
    <row r="17" spans="1:12" ht="18" customHeight="1">
      <c r="A17" s="2" t="s">
        <v>145</v>
      </c>
      <c r="B17" s="3">
        <v>7515404</v>
      </c>
      <c r="C17" s="4" t="s">
        <v>24</v>
      </c>
      <c r="D17" s="5" t="str">
        <f t="shared" si="0"/>
        <v>SGA-7515404</v>
      </c>
      <c r="E17" s="4" t="s">
        <v>115</v>
      </c>
      <c r="F17" s="2" t="s">
        <v>146</v>
      </c>
      <c r="H17" s="10" t="s">
        <v>143</v>
      </c>
      <c r="I17" s="11" t="s">
        <v>144</v>
      </c>
      <c r="J17" s="13" t="s">
        <v>135</v>
      </c>
      <c r="K17" s="13" t="s">
        <v>136</v>
      </c>
      <c r="L17" s="13" t="str">
        <f t="shared" si="1"/>
        <v>SP PD- WT</v>
      </c>
    </row>
    <row r="18" spans="1:12" ht="18" customHeight="1">
      <c r="A18" s="2" t="s">
        <v>149</v>
      </c>
      <c r="B18" s="3">
        <v>7515405</v>
      </c>
      <c r="C18" s="4" t="s">
        <v>24</v>
      </c>
      <c r="D18" s="5" t="str">
        <f t="shared" si="0"/>
        <v>SGA-7515405</v>
      </c>
      <c r="E18" s="4" t="s">
        <v>115</v>
      </c>
      <c r="F18" s="2" t="s">
        <v>150</v>
      </c>
      <c r="H18" s="10" t="s">
        <v>147</v>
      </c>
      <c r="I18" s="11" t="s">
        <v>148</v>
      </c>
      <c r="J18" s="13" t="s">
        <v>135</v>
      </c>
      <c r="K18" s="13" t="s">
        <v>136</v>
      </c>
      <c r="L18" s="13" t="str">
        <f t="shared" si="1"/>
        <v>SP PD- Plating</v>
      </c>
    </row>
    <row r="19" spans="1:12" ht="18" customHeight="1">
      <c r="A19" s="2" t="s">
        <v>153</v>
      </c>
      <c r="B19" s="3">
        <v>7515406</v>
      </c>
      <c r="C19" s="4" t="s">
        <v>24</v>
      </c>
      <c r="D19" s="5" t="str">
        <f t="shared" si="0"/>
        <v>SGA-7515406</v>
      </c>
      <c r="E19" s="4" t="s">
        <v>115</v>
      </c>
      <c r="F19" s="2" t="s">
        <v>154</v>
      </c>
      <c r="H19" s="10" t="s">
        <v>151</v>
      </c>
      <c r="I19" s="11" t="s">
        <v>152</v>
      </c>
      <c r="J19" s="13" t="s">
        <v>135</v>
      </c>
      <c r="K19" s="13" t="s">
        <v>136</v>
      </c>
      <c r="L19" s="13" t="str">
        <f t="shared" si="1"/>
        <v>SP PD- MS Insp.</v>
      </c>
    </row>
    <row r="20" spans="1:12" ht="18" customHeight="1">
      <c r="A20" s="2" t="s">
        <v>157</v>
      </c>
      <c r="B20" s="3">
        <v>7515407</v>
      </c>
      <c r="C20" s="4" t="s">
        <v>24</v>
      </c>
      <c r="D20" s="5" t="str">
        <f t="shared" si="0"/>
        <v>SGA-7515407</v>
      </c>
      <c r="E20" s="4" t="s">
        <v>115</v>
      </c>
      <c r="H20" s="10" t="s">
        <v>155</v>
      </c>
      <c r="I20" s="11" t="s">
        <v>156</v>
      </c>
      <c r="J20" s="13" t="s">
        <v>135</v>
      </c>
      <c r="K20" s="13" t="s">
        <v>136</v>
      </c>
      <c r="L20" s="13" t="str">
        <f t="shared" si="1"/>
        <v>SP PD- Insulator Sealing</v>
      </c>
    </row>
    <row r="21" spans="1:12" ht="18" customHeight="1">
      <c r="A21" s="2" t="s">
        <v>160</v>
      </c>
      <c r="B21" s="3">
        <v>7515408</v>
      </c>
      <c r="C21" s="4" t="s">
        <v>24</v>
      </c>
      <c r="D21" s="5" t="str">
        <f t="shared" si="0"/>
        <v>SGA-7515408</v>
      </c>
      <c r="E21" s="4" t="s">
        <v>115</v>
      </c>
      <c r="F21" s="2" t="s">
        <v>161</v>
      </c>
      <c r="H21" s="10" t="s">
        <v>158</v>
      </c>
      <c r="I21" s="11" t="s">
        <v>159</v>
      </c>
      <c r="J21" s="13" t="s">
        <v>135</v>
      </c>
      <c r="K21" s="13" t="s">
        <v>136</v>
      </c>
      <c r="L21" s="13" t="str">
        <f t="shared" si="1"/>
        <v>SP PD- Assy</v>
      </c>
    </row>
    <row r="22" spans="1:12" ht="18" customHeight="1">
      <c r="A22" s="2" t="s">
        <v>164</v>
      </c>
      <c r="B22" s="3">
        <v>7515409</v>
      </c>
      <c r="C22" s="4" t="s">
        <v>24</v>
      </c>
      <c r="D22" s="5" t="str">
        <f t="shared" si="0"/>
        <v>SGA-7515409</v>
      </c>
      <c r="E22" s="4" t="s">
        <v>115</v>
      </c>
      <c r="F22" s="2" t="s">
        <v>165</v>
      </c>
      <c r="H22" s="10" t="s">
        <v>162</v>
      </c>
      <c r="I22" s="11" t="s">
        <v>163</v>
      </c>
      <c r="J22" s="13" t="s">
        <v>135</v>
      </c>
      <c r="K22" s="13" t="s">
        <v>136</v>
      </c>
      <c r="L22" s="13" t="str">
        <f t="shared" si="1"/>
        <v>SP-PD-Assy-Auto Assembly</v>
      </c>
    </row>
    <row r="23" spans="1:12" ht="18" customHeight="1">
      <c r="A23" s="2" t="s">
        <v>168</v>
      </c>
      <c r="B23" s="3">
        <v>7515410</v>
      </c>
      <c r="C23" s="4" t="s">
        <v>24</v>
      </c>
      <c r="D23" s="5" t="str">
        <f t="shared" si="0"/>
        <v>SGA-7515410</v>
      </c>
      <c r="E23" s="4" t="s">
        <v>115</v>
      </c>
      <c r="F23" s="2" t="s">
        <v>169</v>
      </c>
      <c r="H23" s="10" t="s">
        <v>166</v>
      </c>
      <c r="I23" s="11" t="s">
        <v>167</v>
      </c>
      <c r="J23" s="13" t="s">
        <v>135</v>
      </c>
      <c r="K23" s="13" t="s">
        <v>136</v>
      </c>
      <c r="L23" s="13" t="str">
        <f t="shared" si="1"/>
        <v>SP PD- Bending</v>
      </c>
    </row>
    <row r="24" spans="1:12" ht="18" customHeight="1">
      <c r="A24" s="2" t="s">
        <v>172</v>
      </c>
      <c r="B24" s="3">
        <v>7515499</v>
      </c>
      <c r="C24" s="4" t="s">
        <v>24</v>
      </c>
      <c r="D24" s="5" t="str">
        <f t="shared" si="0"/>
        <v>SGA-7515499</v>
      </c>
      <c r="E24" s="4" t="s">
        <v>115</v>
      </c>
      <c r="F24" s="2" t="s">
        <v>173</v>
      </c>
      <c r="H24" s="10" t="s">
        <v>170</v>
      </c>
      <c r="I24" s="11" t="s">
        <v>171</v>
      </c>
      <c r="J24" s="13" t="s">
        <v>135</v>
      </c>
      <c r="K24" s="13" t="s">
        <v>136</v>
      </c>
      <c r="L24" s="13" t="str">
        <f t="shared" si="1"/>
        <v>SP PD- Final Inspection</v>
      </c>
    </row>
    <row r="25" spans="1:12" ht="18" customHeight="1">
      <c r="A25" s="2" t="s">
        <v>176</v>
      </c>
      <c r="B25" s="3">
        <v>7516102</v>
      </c>
      <c r="C25" s="4" t="s">
        <v>24</v>
      </c>
      <c r="D25" s="5" t="str">
        <f t="shared" si="0"/>
        <v>SGA-7516102</v>
      </c>
      <c r="E25" s="4" t="s">
        <v>373</v>
      </c>
      <c r="F25" s="2" t="s">
        <v>178</v>
      </c>
      <c r="H25" s="10" t="s">
        <v>174</v>
      </c>
      <c r="I25" s="11" t="s">
        <v>175</v>
      </c>
      <c r="J25" s="13" t="s">
        <v>135</v>
      </c>
      <c r="K25" s="13" t="s">
        <v>136</v>
      </c>
      <c r="L25" s="13" t="str">
        <f t="shared" si="1"/>
        <v>SP PD- QC - OEM</v>
      </c>
    </row>
    <row r="26" spans="1:12" ht="18" customHeight="1">
      <c r="A26" s="2" t="s">
        <v>181</v>
      </c>
      <c r="B26" s="3">
        <v>7519101</v>
      </c>
      <c r="C26" s="4" t="s">
        <v>24</v>
      </c>
      <c r="D26" s="5" t="str">
        <f t="shared" si="0"/>
        <v>SGA-7519101</v>
      </c>
      <c r="E26" s="4" t="s">
        <v>66</v>
      </c>
      <c r="F26" s="2" t="s">
        <v>182</v>
      </c>
      <c r="H26" s="10" t="s">
        <v>179</v>
      </c>
      <c r="I26" s="11" t="s">
        <v>180</v>
      </c>
      <c r="J26" s="13" t="s">
        <v>135</v>
      </c>
      <c r="K26" s="13" t="s">
        <v>136</v>
      </c>
      <c r="L26" s="13" t="str">
        <f t="shared" si="1"/>
        <v>PC PD- Injection</v>
      </c>
    </row>
    <row r="27" spans="1:12" ht="18" customHeight="1">
      <c r="A27" s="2" t="s">
        <v>185</v>
      </c>
      <c r="B27" s="3">
        <v>7521101</v>
      </c>
      <c r="C27" s="4" t="s">
        <v>24</v>
      </c>
      <c r="D27" s="5" t="str">
        <f t="shared" si="0"/>
        <v>SGA-7521101</v>
      </c>
      <c r="E27" s="4" t="s">
        <v>82</v>
      </c>
      <c r="F27" s="2" t="s">
        <v>186</v>
      </c>
      <c r="H27" s="10" t="s">
        <v>183</v>
      </c>
      <c r="I27" s="11" t="s">
        <v>184</v>
      </c>
      <c r="J27" s="13" t="s">
        <v>135</v>
      </c>
      <c r="K27" s="13" t="s">
        <v>136</v>
      </c>
      <c r="L27" s="13" t="str">
        <f t="shared" si="1"/>
        <v>PC PD- Assy</v>
      </c>
    </row>
    <row r="28" spans="1:12" ht="18" customHeight="1">
      <c r="A28" s="2" t="s">
        <v>189</v>
      </c>
      <c r="B28" s="3">
        <v>7521102</v>
      </c>
      <c r="C28" s="4" t="s">
        <v>24</v>
      </c>
      <c r="D28" s="5" t="str">
        <f t="shared" si="0"/>
        <v>SGA-7521102</v>
      </c>
      <c r="E28" s="4" t="s">
        <v>110</v>
      </c>
      <c r="F28" s="2" t="s">
        <v>190</v>
      </c>
      <c r="H28" s="10" t="s">
        <v>187</v>
      </c>
      <c r="I28" s="11" t="s">
        <v>188</v>
      </c>
      <c r="J28" s="13" t="s">
        <v>135</v>
      </c>
      <c r="K28" s="13" t="s">
        <v>136</v>
      </c>
      <c r="L28" s="13" t="str">
        <f t="shared" si="1"/>
        <v>PC PD- QC</v>
      </c>
    </row>
    <row r="29" spans="1:12" ht="18" customHeight="1">
      <c r="A29" s="2" t="s">
        <v>194</v>
      </c>
      <c r="B29" s="3">
        <v>7571101</v>
      </c>
      <c r="C29" s="4" t="s">
        <v>24</v>
      </c>
      <c r="D29" s="5" t="str">
        <f t="shared" si="0"/>
        <v>SGA-7571101</v>
      </c>
      <c r="E29" s="4" t="s">
        <v>374</v>
      </c>
      <c r="F29" s="2" t="s">
        <v>196</v>
      </c>
      <c r="H29" s="10" t="s">
        <v>191</v>
      </c>
      <c r="I29" s="11" t="s">
        <v>192</v>
      </c>
      <c r="J29" s="13" t="s">
        <v>135</v>
      </c>
      <c r="K29" s="13" t="s">
        <v>193</v>
      </c>
      <c r="L29" s="13" t="str">
        <f t="shared" si="1"/>
        <v>Plant Operation (Indirect Mfg)</v>
      </c>
    </row>
    <row r="30" spans="1:12" ht="18" customHeight="1">
      <c r="A30" s="2" t="s">
        <v>70</v>
      </c>
      <c r="B30" s="3">
        <v>7611100</v>
      </c>
      <c r="C30" s="4" t="s">
        <v>24</v>
      </c>
      <c r="D30" s="5" t="str">
        <f t="shared" si="0"/>
        <v>SGA-7611100</v>
      </c>
      <c r="E30" s="4" t="s">
        <v>199</v>
      </c>
      <c r="F30" s="2" t="s">
        <v>200</v>
      </c>
      <c r="H30" s="10" t="s">
        <v>197</v>
      </c>
      <c r="I30" s="11" t="s">
        <v>198</v>
      </c>
      <c r="J30" s="13" t="s">
        <v>135</v>
      </c>
      <c r="K30" s="13" t="s">
        <v>193</v>
      </c>
      <c r="L30" s="13" t="str">
        <f t="shared" si="1"/>
        <v>Production Office</v>
      </c>
    </row>
    <row r="31" spans="1:12" ht="18" customHeight="1">
      <c r="A31" s="2" t="s">
        <v>78</v>
      </c>
      <c r="B31" s="3">
        <v>7611300</v>
      </c>
      <c r="C31" s="4" t="s">
        <v>24</v>
      </c>
      <c r="D31" s="5" t="str">
        <f t="shared" si="0"/>
        <v>SGA-7611300</v>
      </c>
      <c r="E31" s="4" t="s">
        <v>199</v>
      </c>
      <c r="F31" s="2" t="s">
        <v>203</v>
      </c>
      <c r="H31" s="10" t="s">
        <v>201</v>
      </c>
      <c r="I31" s="11" t="s">
        <v>202</v>
      </c>
      <c r="J31" s="13" t="s">
        <v>135</v>
      </c>
      <c r="K31" s="13" t="s">
        <v>193</v>
      </c>
      <c r="L31" s="13" t="str">
        <f t="shared" si="1"/>
        <v>Production Office (SP)</v>
      </c>
    </row>
    <row r="32" spans="1:12" ht="18" customHeight="1">
      <c r="A32" s="2" t="s">
        <v>206</v>
      </c>
      <c r="B32" s="3">
        <v>7611400</v>
      </c>
      <c r="C32" s="4" t="s">
        <v>24</v>
      </c>
      <c r="D32" s="5" t="str">
        <f t="shared" si="0"/>
        <v>SGA-7611400</v>
      </c>
      <c r="E32" s="4" t="s">
        <v>199</v>
      </c>
      <c r="F32" s="2" t="s">
        <v>207</v>
      </c>
      <c r="H32" s="10" t="s">
        <v>204</v>
      </c>
      <c r="I32" s="11" t="s">
        <v>205</v>
      </c>
      <c r="J32" s="13" t="s">
        <v>135</v>
      </c>
      <c r="K32" s="13" t="s">
        <v>193</v>
      </c>
      <c r="L32" s="13" t="str">
        <f t="shared" si="1"/>
        <v>Production Office (PC)</v>
      </c>
    </row>
    <row r="33" spans="1:12" ht="18" customHeight="1">
      <c r="A33" s="2" t="s">
        <v>88</v>
      </c>
      <c r="B33" s="3">
        <v>7611500</v>
      </c>
      <c r="C33" s="4" t="s">
        <v>24</v>
      </c>
      <c r="D33" s="5" t="str">
        <f t="shared" si="0"/>
        <v>SGA-7611500</v>
      </c>
      <c r="E33" s="4" t="s">
        <v>199</v>
      </c>
      <c r="F33" s="2" t="s">
        <v>210</v>
      </c>
      <c r="H33" s="10" t="s">
        <v>208</v>
      </c>
      <c r="I33" s="11" t="s">
        <v>209</v>
      </c>
      <c r="J33" s="13" t="s">
        <v>135</v>
      </c>
      <c r="K33" s="13" t="s">
        <v>193</v>
      </c>
      <c r="L33" s="13" t="str">
        <f t="shared" si="1"/>
        <v>Quality Assurance</v>
      </c>
    </row>
    <row r="34" spans="1:12" ht="18" customHeight="1">
      <c r="A34" s="2" t="s">
        <v>93</v>
      </c>
      <c r="B34" s="3">
        <v>7611600</v>
      </c>
      <c r="C34" s="4" t="s">
        <v>24</v>
      </c>
      <c r="D34" s="5" t="str">
        <f t="shared" ref="D34:D65" si="2">C34&amp;"-"&amp;B34</f>
        <v>SGA-7611600</v>
      </c>
      <c r="E34" s="4" t="s">
        <v>199</v>
      </c>
      <c r="F34" s="2" t="s">
        <v>213</v>
      </c>
      <c r="H34" s="10" t="s">
        <v>211</v>
      </c>
      <c r="I34" s="11" t="s">
        <v>212</v>
      </c>
      <c r="J34" s="13" t="s">
        <v>135</v>
      </c>
      <c r="K34" s="13" t="s">
        <v>193</v>
      </c>
      <c r="L34" s="13" t="str">
        <f t="shared" si="1"/>
        <v>Quality Control</v>
      </c>
    </row>
    <row r="35" spans="1:12" ht="18" customHeight="1">
      <c r="A35" s="2" t="s">
        <v>98</v>
      </c>
      <c r="B35" s="3">
        <v>7611700</v>
      </c>
      <c r="C35" s="4" t="s">
        <v>24</v>
      </c>
      <c r="D35" s="5" t="str">
        <f t="shared" si="2"/>
        <v>SGA-7611700</v>
      </c>
      <c r="E35" s="4" t="s">
        <v>199</v>
      </c>
      <c r="F35" s="2" t="s">
        <v>375</v>
      </c>
      <c r="H35" s="10" t="s">
        <v>214</v>
      </c>
      <c r="I35" s="11" t="s">
        <v>215</v>
      </c>
      <c r="J35" s="13" t="s">
        <v>135</v>
      </c>
      <c r="K35" s="13" t="s">
        <v>193</v>
      </c>
      <c r="L35" s="13" t="str">
        <f t="shared" si="1"/>
        <v>Maintenance</v>
      </c>
    </row>
    <row r="36" spans="1:12" ht="18" customHeight="1">
      <c r="A36" s="2" t="s">
        <v>219</v>
      </c>
      <c r="B36" s="3">
        <v>7611800</v>
      </c>
      <c r="C36" s="4" t="s">
        <v>24</v>
      </c>
      <c r="D36" s="5" t="str">
        <f t="shared" si="2"/>
        <v>SGA-7611800</v>
      </c>
      <c r="E36" s="4" t="s">
        <v>199</v>
      </c>
      <c r="F36" s="2" t="s">
        <v>220</v>
      </c>
      <c r="H36" s="10" t="s">
        <v>217</v>
      </c>
      <c r="I36" s="11" t="s">
        <v>218</v>
      </c>
      <c r="J36" s="13" t="s">
        <v>135</v>
      </c>
      <c r="K36" s="13" t="s">
        <v>193</v>
      </c>
      <c r="L36" s="13" t="str">
        <f t="shared" si="1"/>
        <v>Production Engineering</v>
      </c>
    </row>
    <row r="37" spans="1:12" ht="18" customHeight="1">
      <c r="A37" s="2" t="s">
        <v>223</v>
      </c>
      <c r="B37" s="3">
        <v>7621101</v>
      </c>
      <c r="C37" s="4" t="s">
        <v>24</v>
      </c>
      <c r="D37" s="5" t="str">
        <f t="shared" si="2"/>
        <v>SGA-7621101</v>
      </c>
      <c r="E37" s="4" t="s">
        <v>224</v>
      </c>
      <c r="F37" s="2" t="s">
        <v>225</v>
      </c>
      <c r="H37" s="10" t="s">
        <v>221</v>
      </c>
      <c r="I37" s="11" t="s">
        <v>222</v>
      </c>
      <c r="J37" s="13" t="s">
        <v>135</v>
      </c>
      <c r="K37" s="13" t="s">
        <v>193</v>
      </c>
      <c r="L37" s="13" t="str">
        <f t="shared" si="1"/>
        <v>Supply Procurement</v>
      </c>
    </row>
    <row r="38" spans="1:12" ht="18" customHeight="1">
      <c r="A38" s="2" t="s">
        <v>228</v>
      </c>
      <c r="B38" s="3">
        <v>7621199</v>
      </c>
      <c r="C38" s="4" t="s">
        <v>24</v>
      </c>
      <c r="D38" s="5" t="str">
        <f t="shared" si="2"/>
        <v>SGA-7621199</v>
      </c>
      <c r="E38" s="4" t="s">
        <v>229</v>
      </c>
      <c r="F38" s="2" t="s">
        <v>230</v>
      </c>
      <c r="H38" s="10" t="s">
        <v>226</v>
      </c>
      <c r="I38" s="11" t="s">
        <v>227</v>
      </c>
      <c r="J38" s="13" t="s">
        <v>135</v>
      </c>
      <c r="K38" s="13" t="s">
        <v>193</v>
      </c>
      <c r="L38" s="13" t="str">
        <f t="shared" si="1"/>
        <v>Inventory Control</v>
      </c>
    </row>
    <row r="39" spans="1:12" ht="18" customHeight="1">
      <c r="A39" s="2" t="s">
        <v>233</v>
      </c>
      <c r="B39" s="3">
        <v>7631101</v>
      </c>
      <c r="C39" s="4" t="s">
        <v>24</v>
      </c>
      <c r="D39" s="5" t="str">
        <f t="shared" si="2"/>
        <v>SGA-7631101</v>
      </c>
      <c r="E39" s="4" t="s">
        <v>234</v>
      </c>
      <c r="F39" s="2" t="s">
        <v>235</v>
      </c>
      <c r="H39" s="44" t="s">
        <v>239</v>
      </c>
      <c r="I39" s="45" t="s">
        <v>240</v>
      </c>
      <c r="J39" s="44" t="s">
        <v>24</v>
      </c>
      <c r="K39" s="44" t="s">
        <v>25</v>
      </c>
      <c r="L39" s="44" t="str">
        <f t="shared" si="1"/>
        <v>SCM - FG WH</v>
      </c>
    </row>
    <row r="40" spans="1:12" ht="18" customHeight="1">
      <c r="A40" s="2" t="s">
        <v>236</v>
      </c>
      <c r="B40" s="3">
        <v>7631102</v>
      </c>
      <c r="C40" s="4" t="s">
        <v>24</v>
      </c>
      <c r="D40" s="5" t="str">
        <f t="shared" si="2"/>
        <v>SGA-7631102</v>
      </c>
      <c r="E40" s="4" t="s">
        <v>237</v>
      </c>
      <c r="F40" s="2" t="s">
        <v>238</v>
      </c>
      <c r="H40" s="10" t="s">
        <v>231</v>
      </c>
      <c r="I40" s="11" t="s">
        <v>232</v>
      </c>
      <c r="J40" s="13" t="s">
        <v>135</v>
      </c>
      <c r="K40" s="13" t="s">
        <v>193</v>
      </c>
      <c r="L40" s="13" t="str">
        <f t="shared" si="1"/>
        <v>WH Dept.- KD &amp; RM</v>
      </c>
    </row>
    <row r="41" spans="1:12" ht="18" customHeight="1">
      <c r="A41" s="2" t="s">
        <v>241</v>
      </c>
      <c r="B41" s="3">
        <v>7641101</v>
      </c>
      <c r="C41" s="4" t="s">
        <v>24</v>
      </c>
      <c r="D41" s="5" t="str">
        <f t="shared" si="2"/>
        <v>SGA-7641101</v>
      </c>
      <c r="E41" s="4" t="s">
        <v>242</v>
      </c>
      <c r="F41" s="2" t="s">
        <v>243</v>
      </c>
      <c r="H41" s="10" t="s">
        <v>246</v>
      </c>
      <c r="I41" s="11" t="s">
        <v>247</v>
      </c>
      <c r="J41" s="13" t="s">
        <v>135</v>
      </c>
      <c r="K41" s="13" t="s">
        <v>193</v>
      </c>
      <c r="L41" s="13" t="str">
        <f t="shared" si="1"/>
        <v>Continuous Improvement</v>
      </c>
    </row>
    <row r="42" spans="1:12" ht="18" customHeight="1">
      <c r="A42" s="2" t="s">
        <v>244</v>
      </c>
      <c r="B42" s="3">
        <v>7641102</v>
      </c>
      <c r="C42" s="4" t="s">
        <v>24</v>
      </c>
      <c r="D42" s="5" t="str">
        <f t="shared" si="2"/>
        <v>SGA-7641102</v>
      </c>
      <c r="E42" s="4" t="s">
        <v>242</v>
      </c>
      <c r="F42" s="2" t="s">
        <v>245</v>
      </c>
      <c r="H42" s="2" t="s">
        <v>251</v>
      </c>
      <c r="I42" s="3" t="s">
        <v>252</v>
      </c>
      <c r="L42" s="2" t="str">
        <f t="shared" si="1"/>
        <v>All</v>
      </c>
    </row>
    <row r="43" spans="1:12" ht="18" customHeight="1">
      <c r="A43" s="2" t="s">
        <v>248</v>
      </c>
      <c r="B43" s="3">
        <v>7641103</v>
      </c>
      <c r="C43" s="4" t="s">
        <v>24</v>
      </c>
      <c r="D43" s="5" t="str">
        <f t="shared" si="2"/>
        <v>SGA-7641103</v>
      </c>
      <c r="E43" s="4" t="s">
        <v>249</v>
      </c>
      <c r="F43" s="2" t="s">
        <v>250</v>
      </c>
    </row>
    <row r="44" spans="1:12" ht="18" customHeight="1">
      <c r="A44" s="2" t="s">
        <v>253</v>
      </c>
      <c r="B44" s="3">
        <v>7641104</v>
      </c>
      <c r="C44" s="4" t="s">
        <v>24</v>
      </c>
      <c r="D44" s="5" t="str">
        <f t="shared" si="2"/>
        <v>SGA-7641104</v>
      </c>
      <c r="E44" s="4" t="s">
        <v>249</v>
      </c>
      <c r="F44" s="2" t="s">
        <v>254</v>
      </c>
    </row>
    <row r="45" spans="1:12" ht="18" customHeight="1">
      <c r="A45" s="2" t="s">
        <v>255</v>
      </c>
      <c r="B45" s="3">
        <v>7651101</v>
      </c>
      <c r="C45" s="4" t="s">
        <v>24</v>
      </c>
      <c r="D45" s="5" t="str">
        <f t="shared" si="2"/>
        <v>SGA-7651101</v>
      </c>
      <c r="E45" s="4" t="s">
        <v>224</v>
      </c>
      <c r="F45" s="2" t="s">
        <v>256</v>
      </c>
    </row>
    <row r="46" spans="1:12" ht="18" customHeight="1">
      <c r="A46" s="2" t="s">
        <v>257</v>
      </c>
      <c r="B46" s="3">
        <v>7651102</v>
      </c>
      <c r="C46" s="4" t="s">
        <v>24</v>
      </c>
      <c r="D46" s="5" t="str">
        <f t="shared" si="2"/>
        <v>SGA-7651102</v>
      </c>
      <c r="E46" s="4" t="s">
        <v>224</v>
      </c>
      <c r="F46" s="2" t="s">
        <v>258</v>
      </c>
    </row>
    <row r="47" spans="1:12" ht="18" customHeight="1">
      <c r="A47" s="2" t="s">
        <v>259</v>
      </c>
      <c r="B47" s="3">
        <v>7651103</v>
      </c>
      <c r="C47" s="4" t="s">
        <v>24</v>
      </c>
      <c r="D47" s="5" t="str">
        <f t="shared" si="2"/>
        <v>SGA-7651103</v>
      </c>
      <c r="E47" s="4" t="s">
        <v>224</v>
      </c>
      <c r="F47" s="2" t="s">
        <v>260</v>
      </c>
    </row>
    <row r="48" spans="1:12" ht="18" customHeight="1">
      <c r="A48" s="2" t="s">
        <v>261</v>
      </c>
      <c r="B48" s="3">
        <v>7661101</v>
      </c>
      <c r="C48" s="4" t="s">
        <v>24</v>
      </c>
      <c r="D48" s="5" t="str">
        <f t="shared" si="2"/>
        <v>SGA-7661101</v>
      </c>
      <c r="E48" s="4" t="s">
        <v>262</v>
      </c>
      <c r="F48" s="2" t="s">
        <v>263</v>
      </c>
    </row>
    <row r="49" spans="1:6" ht="18" customHeight="1">
      <c r="A49" s="2" t="s">
        <v>264</v>
      </c>
      <c r="B49" s="3">
        <v>7671102</v>
      </c>
      <c r="C49" s="4" t="s">
        <v>24</v>
      </c>
      <c r="D49" s="5" t="str">
        <f t="shared" si="2"/>
        <v>SGA-7671102</v>
      </c>
      <c r="E49" s="4" t="s">
        <v>249</v>
      </c>
      <c r="F49" s="2" t="s">
        <v>265</v>
      </c>
    </row>
    <row r="50" spans="1:6" ht="18" customHeight="1">
      <c r="A50" s="2" t="s">
        <v>266</v>
      </c>
      <c r="B50" s="3">
        <v>7671103</v>
      </c>
      <c r="C50" s="4" t="s">
        <v>24</v>
      </c>
      <c r="D50" s="5" t="str">
        <f t="shared" si="2"/>
        <v>SGA-7671103</v>
      </c>
      <c r="E50" s="4" t="s">
        <v>249</v>
      </c>
      <c r="F50" s="2" t="s">
        <v>267</v>
      </c>
    </row>
    <row r="51" spans="1:6" ht="18" customHeight="1">
      <c r="A51" s="2" t="s">
        <v>268</v>
      </c>
      <c r="B51" s="3">
        <v>7681101</v>
      </c>
      <c r="C51" s="4" t="s">
        <v>24</v>
      </c>
      <c r="D51" s="5" t="str">
        <f t="shared" si="2"/>
        <v>SGA-7681101</v>
      </c>
      <c r="E51" s="4" t="s">
        <v>249</v>
      </c>
      <c r="F51" s="2" t="s">
        <v>269</v>
      </c>
    </row>
    <row r="52" spans="1:6" ht="18" customHeight="1">
      <c r="A52" s="2" t="s">
        <v>270</v>
      </c>
      <c r="B52" s="3">
        <v>7691000</v>
      </c>
      <c r="C52" s="4" t="s">
        <v>24</v>
      </c>
      <c r="D52" s="5" t="str">
        <f t="shared" si="2"/>
        <v>SGA-7691000</v>
      </c>
      <c r="E52" s="4" t="s">
        <v>249</v>
      </c>
      <c r="F52" s="2" t="s">
        <v>271</v>
      </c>
    </row>
    <row r="53" spans="1:6" ht="18" customHeight="1">
      <c r="A53" s="2" t="s">
        <v>272</v>
      </c>
      <c r="B53" s="3">
        <v>7711101</v>
      </c>
      <c r="C53" s="4" t="s">
        <v>24</v>
      </c>
      <c r="D53" s="5" t="str">
        <f t="shared" si="2"/>
        <v>SGA-7711101</v>
      </c>
      <c r="E53" s="4" t="s">
        <v>249</v>
      </c>
      <c r="F53" s="2" t="s">
        <v>273</v>
      </c>
    </row>
    <row r="54" spans="1:6" ht="18" customHeight="1">
      <c r="A54" s="2" t="s">
        <v>274</v>
      </c>
      <c r="B54" s="3">
        <v>7711102</v>
      </c>
      <c r="C54" s="4" t="s">
        <v>24</v>
      </c>
      <c r="D54" s="5" t="str">
        <f t="shared" si="2"/>
        <v>SGA-7711102</v>
      </c>
      <c r="E54" s="4" t="s">
        <v>275</v>
      </c>
      <c r="F54" s="2" t="s">
        <v>276</v>
      </c>
    </row>
    <row r="55" spans="1:6" ht="18" customHeight="1">
      <c r="A55" s="2" t="s">
        <v>277</v>
      </c>
      <c r="B55" s="3">
        <v>7711103</v>
      </c>
      <c r="C55" s="4" t="s">
        <v>24</v>
      </c>
      <c r="D55" s="5" t="str">
        <f t="shared" si="2"/>
        <v>SGA-7711103</v>
      </c>
      <c r="E55" s="4" t="s">
        <v>249</v>
      </c>
      <c r="F55" s="2" t="s">
        <v>278</v>
      </c>
    </row>
    <row r="56" spans="1:6" ht="18" customHeight="1">
      <c r="A56" s="2" t="s">
        <v>279</v>
      </c>
      <c r="B56" s="3">
        <v>7721101</v>
      </c>
      <c r="C56" s="4" t="s">
        <v>24</v>
      </c>
      <c r="D56" s="5" t="str">
        <f t="shared" si="2"/>
        <v>SGA-7721101</v>
      </c>
      <c r="E56" s="4" t="s">
        <v>249</v>
      </c>
      <c r="F56" s="2" t="s">
        <v>280</v>
      </c>
    </row>
    <row r="57" spans="1:6" ht="18" customHeight="1">
      <c r="A57" s="2" t="s">
        <v>281</v>
      </c>
      <c r="B57" s="3">
        <v>7729101</v>
      </c>
      <c r="C57" s="4" t="s">
        <v>24</v>
      </c>
      <c r="D57" s="5" t="str">
        <f t="shared" si="2"/>
        <v>SGA-7729101</v>
      </c>
      <c r="E57" s="4" t="s">
        <v>282</v>
      </c>
      <c r="F57" s="2" t="s">
        <v>283</v>
      </c>
    </row>
    <row r="58" spans="1:6" ht="18" customHeight="1">
      <c r="A58" s="2" t="s">
        <v>284</v>
      </c>
      <c r="B58" s="3">
        <v>7729103</v>
      </c>
      <c r="C58" s="4" t="s">
        <v>24</v>
      </c>
      <c r="D58" s="5" t="str">
        <f t="shared" si="2"/>
        <v>SGA-7729103</v>
      </c>
      <c r="E58" s="4" t="s">
        <v>285</v>
      </c>
      <c r="F58" s="2" t="s">
        <v>286</v>
      </c>
    </row>
    <row r="59" spans="1:6" ht="18" customHeight="1">
      <c r="A59" s="2" t="s">
        <v>287</v>
      </c>
      <c r="B59" s="3">
        <v>7729105</v>
      </c>
      <c r="C59" s="4" t="s">
        <v>24</v>
      </c>
      <c r="D59" s="5" t="str">
        <f t="shared" si="2"/>
        <v>SGA-7729105</v>
      </c>
      <c r="E59" s="4" t="s">
        <v>249</v>
      </c>
      <c r="F59" s="2" t="s">
        <v>288</v>
      </c>
    </row>
    <row r="60" spans="1:6" ht="18" customHeight="1">
      <c r="A60" s="2" t="s">
        <v>289</v>
      </c>
      <c r="B60" s="3">
        <v>7781101</v>
      </c>
      <c r="C60" s="4" t="s">
        <v>24</v>
      </c>
      <c r="D60" s="5" t="str">
        <f t="shared" si="2"/>
        <v>SGA-7781101</v>
      </c>
      <c r="E60" s="4" t="s">
        <v>249</v>
      </c>
      <c r="F60" s="2" t="s">
        <v>290</v>
      </c>
    </row>
    <row r="61" spans="1:6" ht="18" customHeight="1">
      <c r="A61" s="2" t="s">
        <v>291</v>
      </c>
      <c r="B61" s="3">
        <v>7781103</v>
      </c>
      <c r="C61" s="4" t="s">
        <v>24</v>
      </c>
      <c r="D61" s="5" t="str">
        <f t="shared" si="2"/>
        <v>SGA-7781103</v>
      </c>
      <c r="E61" s="4" t="s">
        <v>249</v>
      </c>
      <c r="F61" s="2" t="s">
        <v>292</v>
      </c>
    </row>
    <row r="62" spans="1:6" ht="18" customHeight="1">
      <c r="A62" s="2" t="s">
        <v>293</v>
      </c>
      <c r="B62" s="3">
        <v>7781104</v>
      </c>
      <c r="C62" s="4" t="s">
        <v>24</v>
      </c>
      <c r="D62" s="5" t="str">
        <f t="shared" si="2"/>
        <v>SGA-7781104</v>
      </c>
      <c r="E62" s="4" t="s">
        <v>249</v>
      </c>
      <c r="F62" s="2" t="s">
        <v>294</v>
      </c>
    </row>
    <row r="63" spans="1:6" ht="18" customHeight="1">
      <c r="A63" s="2" t="s">
        <v>295</v>
      </c>
      <c r="B63" s="3">
        <v>7781105</v>
      </c>
      <c r="C63" s="4" t="s">
        <v>24</v>
      </c>
      <c r="D63" s="5" t="str">
        <f t="shared" si="2"/>
        <v>SGA-7781105</v>
      </c>
      <c r="E63" s="4" t="s">
        <v>249</v>
      </c>
      <c r="F63" s="2" t="s">
        <v>296</v>
      </c>
    </row>
    <row r="64" spans="1:6" ht="18" customHeight="1">
      <c r="A64" s="2" t="s">
        <v>297</v>
      </c>
      <c r="B64" s="3">
        <v>7781106</v>
      </c>
      <c r="C64" s="4" t="s">
        <v>24</v>
      </c>
      <c r="D64" s="5" t="str">
        <f t="shared" si="2"/>
        <v>SGA-7781106</v>
      </c>
      <c r="E64" s="4" t="s">
        <v>249</v>
      </c>
      <c r="F64" s="2" t="s">
        <v>298</v>
      </c>
    </row>
    <row r="65" spans="1:6" ht="18" customHeight="1">
      <c r="A65" s="2" t="s">
        <v>299</v>
      </c>
      <c r="B65" s="3">
        <v>7781107</v>
      </c>
      <c r="C65" s="4" t="s">
        <v>24</v>
      </c>
      <c r="D65" s="5" t="str">
        <f t="shared" si="2"/>
        <v>SGA-7781107</v>
      </c>
      <c r="E65" s="4" t="s">
        <v>300</v>
      </c>
      <c r="F65" s="2" t="s">
        <v>301</v>
      </c>
    </row>
    <row r="66" spans="1:6" ht="18" customHeight="1">
      <c r="A66" s="2" t="s">
        <v>302</v>
      </c>
      <c r="B66" s="3">
        <v>7781111</v>
      </c>
      <c r="C66" s="4" t="s">
        <v>24</v>
      </c>
      <c r="D66" s="5" t="str">
        <f t="shared" ref="D66:D97" si="3">C66&amp;"-"&amp;B66</f>
        <v>SGA-7781111</v>
      </c>
      <c r="E66" s="4" t="s">
        <v>249</v>
      </c>
      <c r="F66" s="2" t="s">
        <v>303</v>
      </c>
    </row>
    <row r="67" spans="1:6" ht="18" customHeight="1">
      <c r="A67" s="2" t="s">
        <v>304</v>
      </c>
      <c r="B67" s="3">
        <v>7781112</v>
      </c>
      <c r="C67" s="4" t="s">
        <v>24</v>
      </c>
      <c r="D67" s="5" t="str">
        <f t="shared" si="3"/>
        <v>SGA-7781112</v>
      </c>
      <c r="E67" s="4" t="s">
        <v>249</v>
      </c>
      <c r="F67" s="2" t="s">
        <v>305</v>
      </c>
    </row>
    <row r="68" spans="1:6" ht="18" customHeight="1">
      <c r="A68" s="2" t="s">
        <v>306</v>
      </c>
      <c r="B68" s="3">
        <v>7781113</v>
      </c>
      <c r="C68" s="4" t="s">
        <v>24</v>
      </c>
      <c r="D68" s="5" t="str">
        <f t="shared" si="3"/>
        <v>SGA-7781113</v>
      </c>
      <c r="E68" s="4" t="s">
        <v>249</v>
      </c>
      <c r="F68" s="2" t="s">
        <v>307</v>
      </c>
    </row>
    <row r="69" spans="1:6" ht="18" customHeight="1">
      <c r="A69" s="2" t="s">
        <v>308</v>
      </c>
      <c r="B69" s="3">
        <v>7411101</v>
      </c>
      <c r="C69" s="4" t="s">
        <v>24</v>
      </c>
      <c r="D69" s="5" t="str">
        <f t="shared" si="3"/>
        <v>SGA-7411101</v>
      </c>
      <c r="E69" s="4" t="s">
        <v>309</v>
      </c>
      <c r="F69" s="2" t="s">
        <v>310</v>
      </c>
    </row>
    <row r="70" spans="1:6" ht="18" customHeight="1">
      <c r="A70" s="2" t="s">
        <v>311</v>
      </c>
      <c r="B70" s="3">
        <v>7411103</v>
      </c>
      <c r="C70" s="4" t="s">
        <v>24</v>
      </c>
      <c r="D70" s="5" t="str">
        <f t="shared" si="3"/>
        <v>SGA-7411103</v>
      </c>
      <c r="E70" s="4" t="s">
        <v>312</v>
      </c>
      <c r="F70" s="2" t="s">
        <v>313</v>
      </c>
    </row>
    <row r="71" spans="1:6" ht="18" customHeight="1">
      <c r="A71" s="2" t="s">
        <v>314</v>
      </c>
      <c r="B71" s="3">
        <v>7411104</v>
      </c>
      <c r="C71" s="4" t="s">
        <v>24</v>
      </c>
      <c r="D71" s="5" t="str">
        <f t="shared" si="3"/>
        <v>SGA-7411104</v>
      </c>
      <c r="E71" s="4" t="s">
        <v>315</v>
      </c>
      <c r="F71" s="2" t="s">
        <v>316</v>
      </c>
    </row>
    <row r="72" spans="1:6" ht="18" customHeight="1">
      <c r="A72" s="2" t="s">
        <v>317</v>
      </c>
      <c r="B72" s="3">
        <v>7431101</v>
      </c>
      <c r="C72" s="4" t="s">
        <v>24</v>
      </c>
      <c r="D72" s="5" t="str">
        <f t="shared" si="3"/>
        <v>SGA-7431101</v>
      </c>
      <c r="E72" s="4" t="s">
        <v>318</v>
      </c>
      <c r="F72" s="2" t="s">
        <v>319</v>
      </c>
    </row>
    <row r="73" spans="1:6" ht="18" customHeight="1">
      <c r="A73" s="2" t="s">
        <v>320</v>
      </c>
      <c r="B73" s="3">
        <v>7451101</v>
      </c>
      <c r="C73" s="4" t="s">
        <v>24</v>
      </c>
      <c r="D73" s="5" t="str">
        <f t="shared" si="3"/>
        <v>SGA-7451101</v>
      </c>
      <c r="E73" s="4" t="s">
        <v>376</v>
      </c>
      <c r="F73" s="2" t="s">
        <v>377</v>
      </c>
    </row>
    <row r="74" spans="1:6" ht="18" customHeight="1">
      <c r="A74" s="2" t="s">
        <v>323</v>
      </c>
      <c r="B74" s="3">
        <v>7451102</v>
      </c>
      <c r="C74" s="4" t="s">
        <v>24</v>
      </c>
      <c r="D74" s="5" t="str">
        <f t="shared" si="3"/>
        <v>SGA-7451102</v>
      </c>
      <c r="E74" s="4" t="s">
        <v>378</v>
      </c>
      <c r="F74" s="2" t="s">
        <v>379</v>
      </c>
    </row>
    <row r="75" spans="1:6" ht="18" customHeight="1">
      <c r="A75" s="2" t="s">
        <v>326</v>
      </c>
      <c r="B75" s="3">
        <v>7451103</v>
      </c>
      <c r="C75" s="4" t="s">
        <v>24</v>
      </c>
      <c r="D75" s="5" t="str">
        <f t="shared" si="3"/>
        <v>SGA-7451103</v>
      </c>
      <c r="E75" s="4" t="s">
        <v>380</v>
      </c>
      <c r="F75" s="2" t="s">
        <v>381</v>
      </c>
    </row>
    <row r="76" spans="1:6" ht="18" customHeight="1">
      <c r="A76" s="46" t="s">
        <v>329</v>
      </c>
      <c r="B76" s="3">
        <v>7461101</v>
      </c>
      <c r="C76" s="4" t="s">
        <v>24</v>
      </c>
      <c r="D76" s="5" t="str">
        <f t="shared" si="3"/>
        <v>SGA-7461101</v>
      </c>
      <c r="E76" s="4" t="s">
        <v>330</v>
      </c>
      <c r="F76" s="2" t="s">
        <v>331</v>
      </c>
    </row>
    <row r="77" spans="1:6" ht="18" customHeight="1">
      <c r="A77" s="2" t="s">
        <v>332</v>
      </c>
      <c r="B77" s="3">
        <v>7411105</v>
      </c>
      <c r="C77" s="4" t="s">
        <v>24</v>
      </c>
      <c r="D77" s="4" t="str">
        <f t="shared" si="3"/>
        <v>SGA-7411105</v>
      </c>
      <c r="E77" s="47" t="s">
        <v>382</v>
      </c>
    </row>
    <row r="78" spans="1:6" ht="18" customHeight="1">
      <c r="A78" s="2" t="s">
        <v>334</v>
      </c>
      <c r="B78" s="3">
        <v>7471201</v>
      </c>
      <c r="C78" s="4" t="s">
        <v>24</v>
      </c>
      <c r="D78" s="4" t="str">
        <f t="shared" si="3"/>
        <v>SGA-7471201</v>
      </c>
      <c r="E78" s="47" t="s">
        <v>383</v>
      </c>
    </row>
    <row r="79" spans="1:6" ht="18" customHeight="1">
      <c r="A79" s="2" t="s">
        <v>336</v>
      </c>
      <c r="B79" s="3">
        <v>7751101</v>
      </c>
      <c r="C79" s="4" t="s">
        <v>24</v>
      </c>
      <c r="D79" s="4" t="str">
        <f t="shared" si="3"/>
        <v>SGA-7751101</v>
      </c>
    </row>
    <row r="80" spans="1:6" ht="18" customHeight="1">
      <c r="A80" s="2" t="s">
        <v>337</v>
      </c>
      <c r="B80" s="3">
        <v>7751102</v>
      </c>
      <c r="C80" s="4" t="s">
        <v>24</v>
      </c>
      <c r="D80" s="4" t="str">
        <f t="shared" si="3"/>
        <v>SGA-7751102</v>
      </c>
    </row>
    <row r="81" spans="1:6" ht="18" customHeight="1">
      <c r="A81" s="2" t="s">
        <v>338</v>
      </c>
      <c r="B81" s="6">
        <v>7111211</v>
      </c>
      <c r="C81" s="6" t="s">
        <v>135</v>
      </c>
      <c r="D81" s="6" t="str">
        <f t="shared" si="3"/>
        <v>MFG-7111211</v>
      </c>
    </row>
    <row r="82" spans="1:6" ht="18" customHeight="1">
      <c r="A82" s="2" t="s">
        <v>339</v>
      </c>
      <c r="B82" s="6">
        <v>7111212</v>
      </c>
      <c r="C82" s="6" t="s">
        <v>135</v>
      </c>
      <c r="D82" s="6" t="str">
        <f t="shared" si="3"/>
        <v>MFG-7111212</v>
      </c>
    </row>
    <row r="83" spans="1:6" ht="18" customHeight="1">
      <c r="A83" s="2" t="s">
        <v>340</v>
      </c>
      <c r="B83" s="6">
        <v>7111221</v>
      </c>
      <c r="C83" s="6" t="s">
        <v>135</v>
      </c>
      <c r="D83" s="6" t="str">
        <f t="shared" si="3"/>
        <v>MFG-7111221</v>
      </c>
    </row>
    <row r="84" spans="1:6" ht="18" customHeight="1">
      <c r="A84" s="2" t="s">
        <v>341</v>
      </c>
      <c r="B84" s="6">
        <v>7111222</v>
      </c>
      <c r="C84" s="6" t="s">
        <v>135</v>
      </c>
      <c r="D84" s="6" t="str">
        <f t="shared" si="3"/>
        <v>MFG-7111222</v>
      </c>
    </row>
    <row r="85" spans="1:6" ht="18" customHeight="1">
      <c r="A85" s="2" t="s">
        <v>342</v>
      </c>
      <c r="B85" s="6">
        <v>7111223</v>
      </c>
      <c r="C85" s="6" t="s">
        <v>135</v>
      </c>
      <c r="D85" s="6" t="str">
        <f t="shared" si="3"/>
        <v>MFG-7111223</v>
      </c>
    </row>
    <row r="86" spans="1:6" ht="18" customHeight="1">
      <c r="A86" s="2" t="s">
        <v>343</v>
      </c>
      <c r="B86" s="6">
        <v>7111311</v>
      </c>
      <c r="C86" s="6" t="s">
        <v>135</v>
      </c>
      <c r="D86" s="6" t="str">
        <f t="shared" si="3"/>
        <v>MFG-7111311</v>
      </c>
    </row>
    <row r="87" spans="1:6" ht="18" customHeight="1">
      <c r="A87" s="2" t="s">
        <v>344</v>
      </c>
      <c r="B87" s="6">
        <v>7111312</v>
      </c>
      <c r="C87" s="6" t="s">
        <v>135</v>
      </c>
      <c r="D87" s="6" t="str">
        <f t="shared" si="3"/>
        <v>MFG-7111312</v>
      </c>
    </row>
    <row r="88" spans="1:6" ht="18" customHeight="1">
      <c r="A88" s="2" t="s">
        <v>345</v>
      </c>
      <c r="B88" s="6">
        <v>7111321</v>
      </c>
      <c r="C88" s="6" t="s">
        <v>135</v>
      </c>
      <c r="D88" s="6" t="str">
        <f t="shared" si="3"/>
        <v>MFG-7111321</v>
      </c>
    </row>
    <row r="89" spans="1:6" ht="18" customHeight="1">
      <c r="A89" s="2" t="s">
        <v>346</v>
      </c>
      <c r="B89" s="6">
        <v>7111322</v>
      </c>
      <c r="C89" s="6" t="s">
        <v>135</v>
      </c>
      <c r="D89" s="6" t="str">
        <f t="shared" si="3"/>
        <v>MFG-7111322</v>
      </c>
    </row>
    <row r="90" spans="1:6" ht="18" customHeight="1">
      <c r="A90" s="2" t="s">
        <v>347</v>
      </c>
      <c r="B90" s="6">
        <v>7111323</v>
      </c>
      <c r="C90" s="6" t="s">
        <v>135</v>
      </c>
      <c r="D90" s="6" t="str">
        <f t="shared" si="3"/>
        <v>MFG-7111323</v>
      </c>
    </row>
    <row r="91" spans="1:6" ht="18" customHeight="1">
      <c r="A91" s="2" t="s">
        <v>348</v>
      </c>
      <c r="B91" s="6">
        <v>7111411</v>
      </c>
      <c r="C91" s="6" t="s">
        <v>135</v>
      </c>
      <c r="D91" s="6" t="str">
        <f t="shared" si="3"/>
        <v>MFG-7111411</v>
      </c>
    </row>
    <row r="92" spans="1:6" ht="18" customHeight="1">
      <c r="A92" s="2" t="s">
        <v>349</v>
      </c>
      <c r="B92" s="6">
        <v>7151101</v>
      </c>
      <c r="C92" s="6" t="s">
        <v>135</v>
      </c>
      <c r="D92" s="6" t="str">
        <f t="shared" si="3"/>
        <v>MFG-7151101</v>
      </c>
    </row>
    <row r="93" spans="1:6" ht="18" customHeight="1">
      <c r="A93" s="2" t="s">
        <v>350</v>
      </c>
      <c r="B93" s="6">
        <v>7200000</v>
      </c>
      <c r="C93" s="6" t="s">
        <v>135</v>
      </c>
      <c r="D93" s="6" t="str">
        <f t="shared" si="3"/>
        <v>MFG-7200000</v>
      </c>
    </row>
    <row r="94" spans="1:6" ht="18" customHeight="1">
      <c r="A94" s="2" t="s">
        <v>351</v>
      </c>
      <c r="B94" s="6">
        <v>7211101</v>
      </c>
      <c r="C94" s="6" t="s">
        <v>135</v>
      </c>
      <c r="D94" s="6" t="str">
        <f t="shared" si="3"/>
        <v>MFG-7211101</v>
      </c>
    </row>
    <row r="95" spans="1:6" ht="18" customHeight="1">
      <c r="A95" s="2" t="s">
        <v>384</v>
      </c>
      <c r="B95" s="6">
        <v>7211102</v>
      </c>
      <c r="C95" s="6" t="s">
        <v>135</v>
      </c>
      <c r="D95" s="6" t="str">
        <f t="shared" si="3"/>
        <v>MFG-7211102</v>
      </c>
      <c r="E95" s="6">
        <v>901</v>
      </c>
      <c r="F95" s="2" t="s">
        <v>353</v>
      </c>
    </row>
    <row r="96" spans="1:6" ht="18" customHeight="1">
      <c r="A96" s="2" t="s">
        <v>354</v>
      </c>
      <c r="B96" s="6">
        <v>7211103</v>
      </c>
      <c r="C96" s="6" t="s">
        <v>135</v>
      </c>
      <c r="D96" s="6" t="str">
        <f t="shared" si="3"/>
        <v>MFG-7211103</v>
      </c>
      <c r="E96" s="6"/>
    </row>
    <row r="97" spans="1:6" ht="18" customHeight="1">
      <c r="A97" s="2" t="s">
        <v>355</v>
      </c>
      <c r="B97" s="6">
        <v>7211104</v>
      </c>
      <c r="C97" s="6" t="s">
        <v>135</v>
      </c>
      <c r="D97" s="6" t="str">
        <f t="shared" si="3"/>
        <v>MFG-7211104</v>
      </c>
      <c r="E97" s="6">
        <v>302</v>
      </c>
    </row>
    <row r="98" spans="1:6" ht="18" customHeight="1">
      <c r="A98" s="2" t="s">
        <v>356</v>
      </c>
      <c r="B98" s="6">
        <v>7221101</v>
      </c>
      <c r="C98" s="6" t="s">
        <v>135</v>
      </c>
      <c r="D98" s="6" t="str">
        <f t="shared" ref="D98:D129" si="4">C98&amp;"-"&amp;B98</f>
        <v>MFG-7221101</v>
      </c>
      <c r="E98" s="6">
        <v>302</v>
      </c>
      <c r="F98" s="2" t="s">
        <v>357</v>
      </c>
    </row>
    <row r="99" spans="1:6" ht="18" customHeight="1">
      <c r="A99" s="2" t="s">
        <v>358</v>
      </c>
      <c r="B99" s="6">
        <v>7221102</v>
      </c>
      <c r="C99" s="6" t="s">
        <v>135</v>
      </c>
      <c r="D99" s="6" t="str">
        <f t="shared" si="4"/>
        <v>MFG-7221102</v>
      </c>
      <c r="E99" s="6">
        <v>301</v>
      </c>
      <c r="F99" s="2" t="s">
        <v>359</v>
      </c>
    </row>
    <row r="100" spans="1:6" ht="18" customHeight="1">
      <c r="A100" s="2" t="s">
        <v>65</v>
      </c>
      <c r="B100" s="6">
        <v>7511101</v>
      </c>
      <c r="C100" s="6" t="s">
        <v>135</v>
      </c>
      <c r="D100" s="6" t="str">
        <f t="shared" si="4"/>
        <v>MFG-7511101</v>
      </c>
      <c r="E100" s="6">
        <v>602</v>
      </c>
      <c r="F100" s="2" t="s">
        <v>65</v>
      </c>
    </row>
    <row r="101" spans="1:6" ht="18" customHeight="1">
      <c r="A101" s="2" t="s">
        <v>73</v>
      </c>
      <c r="B101" s="6">
        <v>7511102</v>
      </c>
      <c r="C101" s="6" t="s">
        <v>135</v>
      </c>
      <c r="D101" s="6" t="str">
        <f t="shared" si="4"/>
        <v>MFG-7511102</v>
      </c>
      <c r="E101" s="6">
        <v>602</v>
      </c>
      <c r="F101" s="2" t="s">
        <v>74</v>
      </c>
    </row>
    <row r="102" spans="1:6" ht="18" customHeight="1">
      <c r="A102" s="2" t="s">
        <v>81</v>
      </c>
      <c r="B102" s="6">
        <v>7511103</v>
      </c>
      <c r="C102" s="6" t="s">
        <v>135</v>
      </c>
      <c r="D102" s="6" t="str">
        <f t="shared" si="4"/>
        <v>MFG-7511103</v>
      </c>
      <c r="E102" s="6">
        <v>601</v>
      </c>
      <c r="F102" s="2" t="s">
        <v>83</v>
      </c>
    </row>
    <row r="103" spans="1:6" ht="18" customHeight="1">
      <c r="A103" s="2" t="s">
        <v>91</v>
      </c>
      <c r="B103" s="6">
        <v>7511111</v>
      </c>
      <c r="C103" s="6" t="s">
        <v>135</v>
      </c>
      <c r="D103" s="6" t="str">
        <f t="shared" si="4"/>
        <v>MFG-7511111</v>
      </c>
      <c r="E103" s="6">
        <v>601</v>
      </c>
      <c r="F103" s="2" t="s">
        <v>92</v>
      </c>
    </row>
    <row r="104" spans="1:6" ht="18" customHeight="1">
      <c r="A104" s="2" t="s">
        <v>96</v>
      </c>
      <c r="B104" s="6">
        <v>7511112</v>
      </c>
      <c r="C104" s="6" t="s">
        <v>135</v>
      </c>
      <c r="D104" s="6" t="str">
        <f t="shared" si="4"/>
        <v>MFG-7511112</v>
      </c>
      <c r="E104" s="6">
        <v>601</v>
      </c>
      <c r="F104" s="2" t="s">
        <v>97</v>
      </c>
    </row>
    <row r="105" spans="1:6" ht="18" customHeight="1">
      <c r="A105" s="2" t="s">
        <v>102</v>
      </c>
      <c r="B105" s="6">
        <v>7511121</v>
      </c>
      <c r="C105" s="6" t="s">
        <v>135</v>
      </c>
      <c r="D105" s="6" t="str">
        <f t="shared" si="4"/>
        <v>MFG-7511121</v>
      </c>
      <c r="E105" s="6">
        <v>601</v>
      </c>
      <c r="F105" s="2" t="s">
        <v>103</v>
      </c>
    </row>
    <row r="106" spans="1:6" ht="18" customHeight="1">
      <c r="A106" s="2" t="s">
        <v>107</v>
      </c>
      <c r="B106" s="6">
        <v>7511122</v>
      </c>
      <c r="C106" s="6" t="s">
        <v>135</v>
      </c>
      <c r="D106" s="6" t="str">
        <f t="shared" si="4"/>
        <v>MFG-7511122</v>
      </c>
      <c r="E106" s="6">
        <v>601</v>
      </c>
      <c r="F106" s="2" t="s">
        <v>108</v>
      </c>
    </row>
    <row r="107" spans="1:6" ht="18" customHeight="1">
      <c r="A107" s="2" t="s">
        <v>109</v>
      </c>
      <c r="B107" s="6">
        <v>7511201</v>
      </c>
      <c r="C107" s="6" t="s">
        <v>135</v>
      </c>
      <c r="D107" s="6" t="str">
        <f t="shared" si="4"/>
        <v>MFG-7511201</v>
      </c>
      <c r="E107" s="6">
        <v>603</v>
      </c>
      <c r="F107" s="2" t="s">
        <v>111</v>
      </c>
    </row>
    <row r="108" spans="1:6" ht="18" customHeight="1">
      <c r="A108" s="2" t="s">
        <v>114</v>
      </c>
      <c r="B108" s="6">
        <v>7512111</v>
      </c>
      <c r="C108" s="6" t="s">
        <v>135</v>
      </c>
      <c r="D108" s="6" t="str">
        <f t="shared" si="4"/>
        <v>MFG-7512111</v>
      </c>
      <c r="E108" s="6">
        <v>604</v>
      </c>
      <c r="F108" s="2" t="s">
        <v>116</v>
      </c>
    </row>
    <row r="109" spans="1:6" ht="18" customHeight="1">
      <c r="A109" s="2" t="s">
        <v>119</v>
      </c>
      <c r="B109" s="6">
        <v>7512112</v>
      </c>
      <c r="C109" s="6" t="s">
        <v>135</v>
      </c>
      <c r="D109" s="6" t="str">
        <f t="shared" si="4"/>
        <v>MFG-7512112</v>
      </c>
      <c r="E109" s="6">
        <v>604</v>
      </c>
      <c r="F109" s="2" t="s">
        <v>120</v>
      </c>
    </row>
    <row r="110" spans="1:6" ht="18" customHeight="1">
      <c r="A110" s="2" t="s">
        <v>123</v>
      </c>
      <c r="B110" s="6">
        <v>7514101</v>
      </c>
      <c r="C110" s="6" t="s">
        <v>135</v>
      </c>
      <c r="D110" s="6" t="str">
        <f t="shared" si="4"/>
        <v>MFG-7514101</v>
      </c>
      <c r="E110" s="6">
        <v>601</v>
      </c>
      <c r="F110" s="2" t="s">
        <v>124</v>
      </c>
    </row>
    <row r="111" spans="1:6" ht="18" customHeight="1">
      <c r="A111" s="2" t="s">
        <v>127</v>
      </c>
      <c r="B111" s="6">
        <v>7514102</v>
      </c>
      <c r="C111" s="6" t="s">
        <v>135</v>
      </c>
      <c r="D111" s="6" t="str">
        <f t="shared" si="4"/>
        <v>MFG-7514102</v>
      </c>
      <c r="E111" s="6">
        <v>601</v>
      </c>
      <c r="F111" s="2" t="s">
        <v>128</v>
      </c>
    </row>
    <row r="112" spans="1:6" ht="18" customHeight="1">
      <c r="A112" s="2" t="s">
        <v>131</v>
      </c>
      <c r="B112" s="6">
        <v>7515401</v>
      </c>
      <c r="C112" s="6" t="s">
        <v>135</v>
      </c>
      <c r="D112" s="6" t="str">
        <f t="shared" si="4"/>
        <v>MFG-7515401</v>
      </c>
      <c r="E112" s="6">
        <v>604</v>
      </c>
      <c r="F112" s="2" t="s">
        <v>132</v>
      </c>
    </row>
    <row r="113" spans="1:6" ht="18" customHeight="1">
      <c r="A113" s="2" t="s">
        <v>137</v>
      </c>
      <c r="B113" s="6">
        <v>7515402</v>
      </c>
      <c r="C113" s="6" t="s">
        <v>135</v>
      </c>
      <c r="D113" s="6" t="str">
        <f t="shared" si="4"/>
        <v>MFG-7515402</v>
      </c>
      <c r="E113" s="6">
        <v>604</v>
      </c>
      <c r="F113" s="2" t="s">
        <v>138</v>
      </c>
    </row>
    <row r="114" spans="1:6" ht="18" customHeight="1">
      <c r="A114" s="2" t="s">
        <v>141</v>
      </c>
      <c r="B114" s="6">
        <v>7515403</v>
      </c>
      <c r="C114" s="6" t="s">
        <v>135</v>
      </c>
      <c r="D114" s="6" t="str">
        <f t="shared" si="4"/>
        <v>MFG-7515403</v>
      </c>
      <c r="E114" s="6">
        <v>604</v>
      </c>
      <c r="F114" s="2" t="s">
        <v>142</v>
      </c>
    </row>
    <row r="115" spans="1:6" ht="18" customHeight="1">
      <c r="A115" s="2" t="s">
        <v>145</v>
      </c>
      <c r="B115" s="6">
        <v>7515404</v>
      </c>
      <c r="C115" s="6" t="s">
        <v>135</v>
      </c>
      <c r="D115" s="6" t="str">
        <f t="shared" si="4"/>
        <v>MFG-7515404</v>
      </c>
      <c r="E115" s="6">
        <v>604</v>
      </c>
      <c r="F115" s="2" t="s">
        <v>146</v>
      </c>
    </row>
    <row r="116" spans="1:6" ht="18" customHeight="1">
      <c r="A116" s="2" t="s">
        <v>149</v>
      </c>
      <c r="B116" s="6">
        <v>7515405</v>
      </c>
      <c r="C116" s="6" t="s">
        <v>135</v>
      </c>
      <c r="D116" s="6" t="str">
        <f t="shared" si="4"/>
        <v>MFG-7515405</v>
      </c>
      <c r="E116" s="6">
        <v>604</v>
      </c>
      <c r="F116" s="2" t="s">
        <v>150</v>
      </c>
    </row>
    <row r="117" spans="1:6" ht="18" customHeight="1">
      <c r="A117" s="2" t="s">
        <v>153</v>
      </c>
      <c r="B117" s="6">
        <v>7515406</v>
      </c>
      <c r="C117" s="6" t="s">
        <v>135</v>
      </c>
      <c r="D117" s="6" t="str">
        <f t="shared" si="4"/>
        <v>MFG-7515406</v>
      </c>
      <c r="E117" s="6">
        <v>604</v>
      </c>
      <c r="F117" s="2" t="s">
        <v>154</v>
      </c>
    </row>
    <row r="118" spans="1:6" ht="18" customHeight="1">
      <c r="A118" s="2" t="s">
        <v>157</v>
      </c>
      <c r="B118" s="6">
        <v>7515407</v>
      </c>
      <c r="C118" s="6" t="s">
        <v>135</v>
      </c>
      <c r="D118" s="6" t="str">
        <f t="shared" si="4"/>
        <v>MFG-7515407</v>
      </c>
      <c r="E118" s="6">
        <v>604</v>
      </c>
    </row>
    <row r="119" spans="1:6" ht="18" customHeight="1">
      <c r="A119" s="2" t="s">
        <v>160</v>
      </c>
      <c r="B119" s="6">
        <v>7515408</v>
      </c>
      <c r="C119" s="6" t="s">
        <v>135</v>
      </c>
      <c r="D119" s="6" t="str">
        <f t="shared" si="4"/>
        <v>MFG-7515408</v>
      </c>
      <c r="E119" s="6">
        <v>604</v>
      </c>
      <c r="F119" s="2" t="s">
        <v>161</v>
      </c>
    </row>
    <row r="120" spans="1:6" ht="18" customHeight="1">
      <c r="A120" s="2" t="s">
        <v>164</v>
      </c>
      <c r="B120" s="6">
        <v>7515409</v>
      </c>
      <c r="C120" s="6" t="s">
        <v>135</v>
      </c>
      <c r="D120" s="6" t="str">
        <f t="shared" si="4"/>
        <v>MFG-7515409</v>
      </c>
      <c r="E120" s="6">
        <v>604</v>
      </c>
      <c r="F120" s="2" t="s">
        <v>165</v>
      </c>
    </row>
    <row r="121" spans="1:6" ht="18" customHeight="1">
      <c r="A121" s="2" t="s">
        <v>168</v>
      </c>
      <c r="B121" s="6">
        <v>7515410</v>
      </c>
      <c r="C121" s="6" t="s">
        <v>135</v>
      </c>
      <c r="D121" s="6" t="str">
        <f t="shared" si="4"/>
        <v>MFG-7515410</v>
      </c>
      <c r="E121" s="6">
        <v>604</v>
      </c>
      <c r="F121" s="2" t="s">
        <v>169</v>
      </c>
    </row>
    <row r="122" spans="1:6" ht="18" customHeight="1">
      <c r="A122" s="2" t="s">
        <v>172</v>
      </c>
      <c r="B122" s="6">
        <v>7515499</v>
      </c>
      <c r="C122" s="6" t="s">
        <v>135</v>
      </c>
      <c r="D122" s="6" t="str">
        <f t="shared" si="4"/>
        <v>MFG-7515499</v>
      </c>
      <c r="E122" s="6">
        <v>604</v>
      </c>
      <c r="F122" s="2" t="s">
        <v>173</v>
      </c>
    </row>
    <row r="123" spans="1:6" ht="18" customHeight="1">
      <c r="A123" s="2" t="s">
        <v>176</v>
      </c>
      <c r="B123" s="6">
        <v>7516102</v>
      </c>
      <c r="C123" s="6" t="s">
        <v>135</v>
      </c>
      <c r="D123" s="6" t="str">
        <f t="shared" si="4"/>
        <v>MFG-7516102</v>
      </c>
      <c r="E123" s="6">
        <v>605</v>
      </c>
      <c r="F123" s="2" t="s">
        <v>178</v>
      </c>
    </row>
    <row r="124" spans="1:6" ht="18" customHeight="1">
      <c r="A124" s="2" t="s">
        <v>181</v>
      </c>
      <c r="B124" s="6">
        <v>7519101</v>
      </c>
      <c r="C124" s="6" t="s">
        <v>135</v>
      </c>
      <c r="D124" s="6" t="str">
        <f t="shared" si="4"/>
        <v>MFG-7519101</v>
      </c>
      <c r="E124" s="6">
        <v>602</v>
      </c>
      <c r="F124" s="2" t="s">
        <v>182</v>
      </c>
    </row>
    <row r="125" spans="1:6" ht="18" customHeight="1">
      <c r="A125" s="2" t="s">
        <v>360</v>
      </c>
      <c r="B125" s="6">
        <v>7521101</v>
      </c>
      <c r="C125" s="6" t="s">
        <v>135</v>
      </c>
      <c r="D125" s="6" t="str">
        <f t="shared" si="4"/>
        <v>MFG-7521101</v>
      </c>
      <c r="E125" s="6">
        <v>601</v>
      </c>
      <c r="F125" s="2" t="s">
        <v>186</v>
      </c>
    </row>
    <row r="126" spans="1:6" ht="18" customHeight="1">
      <c r="A126" s="2" t="s">
        <v>189</v>
      </c>
      <c r="B126" s="6">
        <v>7521102</v>
      </c>
      <c r="C126" s="6" t="s">
        <v>135</v>
      </c>
      <c r="D126" s="6" t="str">
        <f t="shared" si="4"/>
        <v>MFG-7521102</v>
      </c>
      <c r="E126" s="6">
        <v>603</v>
      </c>
      <c r="F126" s="2" t="s">
        <v>190</v>
      </c>
    </row>
    <row r="127" spans="1:6" ht="18" customHeight="1">
      <c r="A127" s="2" t="s">
        <v>194</v>
      </c>
      <c r="B127" s="6">
        <v>7571101</v>
      </c>
      <c r="C127" s="6" t="s">
        <v>135</v>
      </c>
      <c r="D127" s="6" t="str">
        <f t="shared" si="4"/>
        <v>MFG-7571101</v>
      </c>
      <c r="E127" s="6">
        <v>606</v>
      </c>
      <c r="F127" s="2" t="s">
        <v>196</v>
      </c>
    </row>
    <row r="128" spans="1:6" ht="18" customHeight="1">
      <c r="A128" s="2" t="s">
        <v>70</v>
      </c>
      <c r="B128" s="6">
        <v>7611100</v>
      </c>
      <c r="C128" s="6" t="s">
        <v>135</v>
      </c>
      <c r="D128" s="6" t="str">
        <f t="shared" si="4"/>
        <v>MFG-7611100</v>
      </c>
      <c r="E128" s="6">
        <v>701</v>
      </c>
      <c r="F128" s="2" t="s">
        <v>200</v>
      </c>
    </row>
    <row r="129" spans="1:6" ht="18" customHeight="1">
      <c r="A129" s="2" t="s">
        <v>78</v>
      </c>
      <c r="B129" s="6">
        <v>7611300</v>
      </c>
      <c r="C129" s="6" t="s">
        <v>135</v>
      </c>
      <c r="D129" s="6" t="str">
        <f t="shared" si="4"/>
        <v>MFG-7611300</v>
      </c>
      <c r="E129" s="6">
        <v>701</v>
      </c>
      <c r="F129" s="2" t="s">
        <v>203</v>
      </c>
    </row>
    <row r="130" spans="1:6" ht="18" customHeight="1">
      <c r="A130" s="2" t="s">
        <v>206</v>
      </c>
      <c r="B130" s="6">
        <v>7611400</v>
      </c>
      <c r="C130" s="6" t="s">
        <v>135</v>
      </c>
      <c r="D130" s="6" t="str">
        <f t="shared" ref="D130:D161" si="5">C130&amp;"-"&amp;B130</f>
        <v>MFG-7611400</v>
      </c>
      <c r="E130" s="6">
        <v>701</v>
      </c>
      <c r="F130" s="2" t="s">
        <v>207</v>
      </c>
    </row>
    <row r="131" spans="1:6" ht="18" customHeight="1">
      <c r="A131" s="2" t="s">
        <v>88</v>
      </c>
      <c r="B131" s="6">
        <v>7611500</v>
      </c>
      <c r="C131" s="6" t="s">
        <v>135</v>
      </c>
      <c r="D131" s="6" t="str">
        <f t="shared" si="5"/>
        <v>MFG-7611500</v>
      </c>
      <c r="E131" s="6">
        <v>701</v>
      </c>
      <c r="F131" s="2" t="s">
        <v>210</v>
      </c>
    </row>
    <row r="132" spans="1:6" ht="18" customHeight="1">
      <c r="A132" s="2" t="s">
        <v>93</v>
      </c>
      <c r="B132" s="6">
        <v>7611600</v>
      </c>
      <c r="C132" s="6" t="s">
        <v>135</v>
      </c>
      <c r="D132" s="6" t="str">
        <f t="shared" si="5"/>
        <v>MFG-7611600</v>
      </c>
      <c r="E132" s="6">
        <v>701</v>
      </c>
      <c r="F132" s="2" t="s">
        <v>213</v>
      </c>
    </row>
    <row r="133" spans="1:6" ht="18" customHeight="1">
      <c r="A133" s="2" t="s">
        <v>98</v>
      </c>
      <c r="B133" s="6">
        <v>7611700</v>
      </c>
      <c r="C133" s="6" t="s">
        <v>135</v>
      </c>
      <c r="D133" s="6" t="str">
        <f t="shared" si="5"/>
        <v>MFG-7611700</v>
      </c>
      <c r="E133" s="6">
        <v>701</v>
      </c>
      <c r="F133" s="2" t="s">
        <v>385</v>
      </c>
    </row>
    <row r="134" spans="1:6" ht="18" customHeight="1">
      <c r="A134" s="2" t="s">
        <v>219</v>
      </c>
      <c r="B134" s="6">
        <v>7611800</v>
      </c>
      <c r="C134" s="6" t="s">
        <v>135</v>
      </c>
      <c r="D134" s="6" t="str">
        <f t="shared" si="5"/>
        <v>MFG-7611800</v>
      </c>
      <c r="E134" s="6">
        <v>701</v>
      </c>
      <c r="F134" s="2" t="s">
        <v>220</v>
      </c>
    </row>
    <row r="135" spans="1:6" ht="18" customHeight="1">
      <c r="A135" s="2" t="s">
        <v>223</v>
      </c>
      <c r="B135" s="6">
        <v>7621101</v>
      </c>
      <c r="C135" s="6" t="s">
        <v>135</v>
      </c>
      <c r="D135" s="6" t="str">
        <f t="shared" si="5"/>
        <v>MFG-7621101</v>
      </c>
      <c r="E135" s="6">
        <v>903</v>
      </c>
      <c r="F135" s="2" t="s">
        <v>225</v>
      </c>
    </row>
    <row r="136" spans="1:6" ht="18" customHeight="1">
      <c r="A136" s="46" t="s">
        <v>228</v>
      </c>
      <c r="B136" s="48">
        <v>7621199</v>
      </c>
      <c r="C136" s="6" t="s">
        <v>135</v>
      </c>
      <c r="D136" s="6" t="str">
        <f t="shared" si="5"/>
        <v>MFG-7621199</v>
      </c>
      <c r="E136" s="6">
        <v>801</v>
      </c>
      <c r="F136" s="2" t="s">
        <v>230</v>
      </c>
    </row>
    <row r="137" spans="1:6" ht="18" customHeight="1">
      <c r="A137" s="2" t="s">
        <v>233</v>
      </c>
      <c r="B137" s="6">
        <v>7631101</v>
      </c>
      <c r="C137" s="6" t="s">
        <v>135</v>
      </c>
      <c r="D137" s="6" t="str">
        <f t="shared" si="5"/>
        <v>MFG-7631101</v>
      </c>
      <c r="E137" s="6">
        <v>501</v>
      </c>
      <c r="F137" s="2" t="s">
        <v>235</v>
      </c>
    </row>
    <row r="138" spans="1:6" ht="18" customHeight="1">
      <c r="A138" s="2" t="s">
        <v>236</v>
      </c>
      <c r="B138" s="6">
        <v>7631102</v>
      </c>
      <c r="C138" s="6" t="s">
        <v>135</v>
      </c>
      <c r="D138" s="6" t="str">
        <f t="shared" si="5"/>
        <v>MFG-7631102</v>
      </c>
      <c r="E138" s="6">
        <v>502</v>
      </c>
      <c r="F138" s="2" t="s">
        <v>238</v>
      </c>
    </row>
    <row r="139" spans="1:6" ht="18" customHeight="1">
      <c r="A139" s="2" t="s">
        <v>241</v>
      </c>
      <c r="B139" s="6">
        <v>7641101</v>
      </c>
      <c r="C139" s="6" t="s">
        <v>135</v>
      </c>
      <c r="D139" s="6" t="str">
        <f t="shared" si="5"/>
        <v>MFG-7641101</v>
      </c>
      <c r="E139" s="6">
        <v>401</v>
      </c>
      <c r="F139" s="2" t="s">
        <v>243</v>
      </c>
    </row>
    <row r="140" spans="1:6" ht="18" customHeight="1">
      <c r="A140" s="2" t="s">
        <v>244</v>
      </c>
      <c r="B140" s="6">
        <v>7641102</v>
      </c>
      <c r="C140" s="6" t="s">
        <v>135</v>
      </c>
      <c r="D140" s="6" t="str">
        <f t="shared" si="5"/>
        <v>MFG-7641102</v>
      </c>
      <c r="E140" s="6">
        <v>401</v>
      </c>
      <c r="F140" s="2" t="s">
        <v>245</v>
      </c>
    </row>
    <row r="141" spans="1:6" ht="18" customHeight="1">
      <c r="A141" s="2" t="s">
        <v>248</v>
      </c>
      <c r="B141" s="6">
        <v>7641103</v>
      </c>
      <c r="C141" s="6" t="s">
        <v>135</v>
      </c>
      <c r="D141" s="6" t="str">
        <f t="shared" si="5"/>
        <v>MFG-7641103</v>
      </c>
      <c r="E141" s="6">
        <v>902</v>
      </c>
      <c r="F141" s="2" t="s">
        <v>250</v>
      </c>
    </row>
    <row r="142" spans="1:6" ht="18" customHeight="1">
      <c r="A142" s="2" t="s">
        <v>253</v>
      </c>
      <c r="B142" s="6">
        <v>7641104</v>
      </c>
      <c r="C142" s="6" t="s">
        <v>135</v>
      </c>
      <c r="D142" s="6" t="str">
        <f t="shared" si="5"/>
        <v>MFG-7641104</v>
      </c>
      <c r="E142" s="6">
        <v>999</v>
      </c>
      <c r="F142" s="2" t="s">
        <v>254</v>
      </c>
    </row>
    <row r="143" spans="1:6" ht="18" customHeight="1">
      <c r="A143" s="2" t="s">
        <v>255</v>
      </c>
      <c r="B143" s="6">
        <v>7651101</v>
      </c>
      <c r="C143" s="6" t="s">
        <v>135</v>
      </c>
      <c r="D143" s="6" t="str">
        <f t="shared" si="5"/>
        <v>MFG-7651101</v>
      </c>
      <c r="E143" s="6">
        <v>903</v>
      </c>
      <c r="F143" s="2" t="s">
        <v>256</v>
      </c>
    </row>
    <row r="144" spans="1:6" ht="18" customHeight="1">
      <c r="A144" s="2" t="s">
        <v>257</v>
      </c>
      <c r="B144" s="6">
        <v>7651102</v>
      </c>
      <c r="C144" s="6" t="s">
        <v>135</v>
      </c>
      <c r="D144" s="6" t="str">
        <f t="shared" si="5"/>
        <v>MFG-7651102</v>
      </c>
      <c r="E144" s="6">
        <v>903</v>
      </c>
      <c r="F144" s="2" t="s">
        <v>258</v>
      </c>
    </row>
    <row r="145" spans="1:6" ht="18" customHeight="1">
      <c r="A145" s="2" t="s">
        <v>259</v>
      </c>
      <c r="B145" s="6">
        <v>7651103</v>
      </c>
      <c r="C145" s="6" t="s">
        <v>135</v>
      </c>
      <c r="D145" s="6" t="str">
        <f t="shared" si="5"/>
        <v>MFG-7651103</v>
      </c>
      <c r="E145" s="6">
        <v>903</v>
      </c>
      <c r="F145" s="2" t="s">
        <v>260</v>
      </c>
    </row>
    <row r="146" spans="1:6" ht="18" customHeight="1">
      <c r="A146" s="2" t="s">
        <v>261</v>
      </c>
      <c r="B146" s="6">
        <v>7661101</v>
      </c>
      <c r="C146" s="6" t="s">
        <v>135</v>
      </c>
      <c r="D146" s="6" t="str">
        <f t="shared" si="5"/>
        <v>MFG-7661101</v>
      </c>
      <c r="E146" s="6">
        <v>999</v>
      </c>
      <c r="F146" s="2" t="s">
        <v>263</v>
      </c>
    </row>
    <row r="147" spans="1:6" ht="18" customHeight="1">
      <c r="A147" s="2" t="s">
        <v>264</v>
      </c>
      <c r="B147" s="6">
        <v>7671102</v>
      </c>
      <c r="C147" s="6" t="s">
        <v>135</v>
      </c>
      <c r="D147" s="6" t="str">
        <f t="shared" si="5"/>
        <v>MFG-7671102</v>
      </c>
      <c r="E147" s="6">
        <v>999</v>
      </c>
      <c r="F147" s="2" t="s">
        <v>265</v>
      </c>
    </row>
    <row r="148" spans="1:6" ht="18" customHeight="1">
      <c r="A148" s="2" t="s">
        <v>266</v>
      </c>
      <c r="B148" s="6">
        <v>7671103</v>
      </c>
      <c r="C148" s="6" t="s">
        <v>135</v>
      </c>
      <c r="D148" s="6" t="str">
        <f t="shared" si="5"/>
        <v>MFG-7671103</v>
      </c>
      <c r="E148" s="6">
        <v>999</v>
      </c>
      <c r="F148" s="2" t="s">
        <v>267</v>
      </c>
    </row>
    <row r="149" spans="1:6" ht="18" customHeight="1">
      <c r="A149" s="2" t="s">
        <v>268</v>
      </c>
      <c r="B149" s="6">
        <v>7681101</v>
      </c>
      <c r="C149" s="6" t="s">
        <v>135</v>
      </c>
      <c r="D149" s="6" t="str">
        <f t="shared" si="5"/>
        <v>MFG-7681101</v>
      </c>
      <c r="E149" s="6">
        <v>999</v>
      </c>
      <c r="F149" s="2" t="s">
        <v>269</v>
      </c>
    </row>
    <row r="150" spans="1:6" ht="18" customHeight="1">
      <c r="A150" s="2" t="s">
        <v>270</v>
      </c>
      <c r="B150" s="6">
        <v>7691000</v>
      </c>
      <c r="C150" s="6" t="s">
        <v>135</v>
      </c>
      <c r="D150" s="6" t="str">
        <f t="shared" si="5"/>
        <v>MFG-7691000</v>
      </c>
      <c r="E150" s="6">
        <v>999</v>
      </c>
      <c r="F150" s="2" t="s">
        <v>271</v>
      </c>
    </row>
    <row r="151" spans="1:6" ht="18" customHeight="1">
      <c r="A151" s="2" t="s">
        <v>272</v>
      </c>
      <c r="B151" s="6">
        <v>7711101</v>
      </c>
      <c r="C151" s="6" t="s">
        <v>135</v>
      </c>
      <c r="D151" s="6" t="str">
        <f t="shared" si="5"/>
        <v>MFG-7711101</v>
      </c>
      <c r="E151" s="6">
        <v>999</v>
      </c>
      <c r="F151" s="2" t="s">
        <v>273</v>
      </c>
    </row>
    <row r="152" spans="1:6" ht="18" customHeight="1">
      <c r="A152" s="2" t="s">
        <v>274</v>
      </c>
      <c r="B152" s="6">
        <v>7711102</v>
      </c>
      <c r="C152" s="6" t="s">
        <v>135</v>
      </c>
      <c r="D152" s="6" t="str">
        <f t="shared" si="5"/>
        <v>MFG-7711102</v>
      </c>
      <c r="E152" s="6">
        <v>904</v>
      </c>
      <c r="F152" s="2" t="s">
        <v>276</v>
      </c>
    </row>
    <row r="153" spans="1:6" ht="18" customHeight="1">
      <c r="A153" s="2" t="s">
        <v>277</v>
      </c>
      <c r="B153" s="6">
        <v>7711103</v>
      </c>
      <c r="C153" s="6" t="s">
        <v>135</v>
      </c>
      <c r="D153" s="6" t="str">
        <f t="shared" si="5"/>
        <v>MFG-7711103</v>
      </c>
      <c r="E153" s="6">
        <v>999</v>
      </c>
      <c r="F153" s="2" t="s">
        <v>278</v>
      </c>
    </row>
    <row r="154" spans="1:6" ht="18" customHeight="1">
      <c r="A154" s="2" t="s">
        <v>279</v>
      </c>
      <c r="B154" s="6">
        <v>7721101</v>
      </c>
      <c r="C154" s="6" t="s">
        <v>135</v>
      </c>
      <c r="D154" s="6" t="str">
        <f t="shared" si="5"/>
        <v>MFG-7721101</v>
      </c>
      <c r="E154" s="6">
        <v>999</v>
      </c>
      <c r="F154" s="2" t="s">
        <v>280</v>
      </c>
    </row>
    <row r="155" spans="1:6" ht="18" customHeight="1">
      <c r="A155" s="2" t="s">
        <v>281</v>
      </c>
      <c r="B155" s="6">
        <v>7729101</v>
      </c>
      <c r="C155" s="6" t="s">
        <v>135</v>
      </c>
      <c r="D155" s="6" t="str">
        <f t="shared" si="5"/>
        <v>MFG-7729101</v>
      </c>
      <c r="E155" s="6">
        <v>905</v>
      </c>
      <c r="F155" s="2" t="s">
        <v>283</v>
      </c>
    </row>
    <row r="156" spans="1:6" ht="18" customHeight="1">
      <c r="A156" s="2" t="s">
        <v>284</v>
      </c>
      <c r="B156" s="6">
        <v>7729103</v>
      </c>
      <c r="C156" s="6" t="s">
        <v>135</v>
      </c>
      <c r="D156" s="6" t="str">
        <f t="shared" si="5"/>
        <v>MFG-7729103</v>
      </c>
      <c r="E156" s="6">
        <v>907</v>
      </c>
      <c r="F156" s="2" t="s">
        <v>286</v>
      </c>
    </row>
    <row r="157" spans="1:6" ht="18" customHeight="1">
      <c r="A157" s="2" t="s">
        <v>287</v>
      </c>
      <c r="B157" s="6">
        <v>7729105</v>
      </c>
      <c r="C157" s="6" t="s">
        <v>135</v>
      </c>
      <c r="D157" s="6" t="str">
        <f t="shared" si="5"/>
        <v>MFG-7729105</v>
      </c>
      <c r="E157" s="6">
        <v>999</v>
      </c>
      <c r="F157" s="2" t="s">
        <v>288</v>
      </c>
    </row>
    <row r="158" spans="1:6" ht="18" customHeight="1">
      <c r="A158" s="2" t="s">
        <v>289</v>
      </c>
      <c r="B158" s="6">
        <v>7781101</v>
      </c>
      <c r="C158" s="6" t="s">
        <v>135</v>
      </c>
      <c r="D158" s="6" t="str">
        <f t="shared" si="5"/>
        <v>MFG-7781101</v>
      </c>
      <c r="E158" s="6">
        <v>999</v>
      </c>
      <c r="F158" s="2" t="s">
        <v>290</v>
      </c>
    </row>
    <row r="159" spans="1:6" ht="18" customHeight="1">
      <c r="A159" s="2" t="s">
        <v>291</v>
      </c>
      <c r="B159" s="6">
        <v>7781103</v>
      </c>
      <c r="C159" s="6" t="s">
        <v>135</v>
      </c>
      <c r="D159" s="6" t="str">
        <f t="shared" si="5"/>
        <v>MFG-7781103</v>
      </c>
      <c r="E159" s="6">
        <v>999</v>
      </c>
      <c r="F159" s="2" t="s">
        <v>292</v>
      </c>
    </row>
    <row r="160" spans="1:6" ht="18" customHeight="1">
      <c r="A160" s="2" t="s">
        <v>293</v>
      </c>
      <c r="B160" s="6">
        <v>7781104</v>
      </c>
      <c r="C160" s="6" t="s">
        <v>135</v>
      </c>
      <c r="D160" s="6" t="str">
        <f t="shared" si="5"/>
        <v>MFG-7781104</v>
      </c>
      <c r="E160" s="6">
        <v>999</v>
      </c>
      <c r="F160" s="2" t="s">
        <v>294</v>
      </c>
    </row>
    <row r="161" spans="1:6" ht="18" customHeight="1">
      <c r="A161" s="2" t="s">
        <v>295</v>
      </c>
      <c r="B161" s="6">
        <v>7781105</v>
      </c>
      <c r="C161" s="6" t="s">
        <v>135</v>
      </c>
      <c r="D161" s="6" t="str">
        <f t="shared" si="5"/>
        <v>MFG-7781105</v>
      </c>
      <c r="E161" s="6">
        <v>999</v>
      </c>
      <c r="F161" s="2" t="s">
        <v>296</v>
      </c>
    </row>
    <row r="162" spans="1:6" ht="18" customHeight="1">
      <c r="A162" s="2" t="s">
        <v>297</v>
      </c>
      <c r="B162" s="6">
        <v>7781106</v>
      </c>
      <c r="C162" s="6" t="s">
        <v>135</v>
      </c>
      <c r="D162" s="6" t="str">
        <f t="shared" ref="D162:D193" si="6">C162&amp;"-"&amp;B162</f>
        <v>MFG-7781106</v>
      </c>
      <c r="E162" s="6">
        <v>999</v>
      </c>
      <c r="F162" s="2" t="s">
        <v>298</v>
      </c>
    </row>
    <row r="163" spans="1:6" ht="18" customHeight="1">
      <c r="A163" s="2" t="s">
        <v>299</v>
      </c>
      <c r="B163" s="6">
        <v>7781107</v>
      </c>
      <c r="C163" s="6" t="s">
        <v>135</v>
      </c>
      <c r="D163" s="6" t="str">
        <f t="shared" si="6"/>
        <v>MFG-7781107</v>
      </c>
      <c r="E163" s="6">
        <v>906</v>
      </c>
      <c r="F163" s="2" t="s">
        <v>301</v>
      </c>
    </row>
    <row r="164" spans="1:6" ht="18" customHeight="1">
      <c r="A164" s="2" t="s">
        <v>302</v>
      </c>
      <c r="B164" s="6">
        <v>7781111</v>
      </c>
      <c r="C164" s="6" t="s">
        <v>135</v>
      </c>
      <c r="D164" s="6" t="str">
        <f t="shared" si="6"/>
        <v>MFG-7781111</v>
      </c>
      <c r="E164" s="6">
        <v>999</v>
      </c>
      <c r="F164" s="2" t="s">
        <v>303</v>
      </c>
    </row>
    <row r="165" spans="1:6" ht="18" customHeight="1">
      <c r="A165" s="2" t="s">
        <v>304</v>
      </c>
      <c r="B165" s="6">
        <v>7781112</v>
      </c>
      <c r="C165" s="6" t="s">
        <v>135</v>
      </c>
      <c r="D165" s="6" t="str">
        <f t="shared" si="6"/>
        <v>MFG-7781112</v>
      </c>
      <c r="E165" s="6">
        <v>999</v>
      </c>
      <c r="F165" s="2" t="s">
        <v>305</v>
      </c>
    </row>
    <row r="166" spans="1:6" ht="18" customHeight="1">
      <c r="A166" s="2" t="s">
        <v>306</v>
      </c>
      <c r="B166" s="6">
        <v>7781113</v>
      </c>
      <c r="C166" s="6" t="s">
        <v>135</v>
      </c>
      <c r="D166" s="6" t="str">
        <f t="shared" si="6"/>
        <v>MFG-7781113</v>
      </c>
      <c r="E166" s="6">
        <v>999</v>
      </c>
      <c r="F166" s="2" t="s">
        <v>307</v>
      </c>
    </row>
    <row r="167" spans="1:6" ht="18" customHeight="1">
      <c r="A167" s="2" t="s">
        <v>362</v>
      </c>
      <c r="B167" s="3">
        <v>8291101</v>
      </c>
      <c r="C167" s="4" t="s">
        <v>363</v>
      </c>
      <c r="D167" s="4" t="str">
        <f t="shared" si="6"/>
        <v>OTH-8291101</v>
      </c>
    </row>
    <row r="168" spans="1:6" ht="18" customHeight="1">
      <c r="A168" s="2" t="s">
        <v>364</v>
      </c>
      <c r="B168" s="3">
        <v>8291102</v>
      </c>
      <c r="C168" s="4" t="s">
        <v>363</v>
      </c>
      <c r="D168" s="4" t="str">
        <f t="shared" si="6"/>
        <v>OTH-8291102</v>
      </c>
    </row>
    <row r="169" spans="1:6" ht="18" customHeight="1">
      <c r="A169" s="2" t="s">
        <v>365</v>
      </c>
      <c r="B169" s="3">
        <v>8291201</v>
      </c>
      <c r="C169" s="4" t="s">
        <v>363</v>
      </c>
      <c r="D169" s="4" t="str">
        <f t="shared" si="6"/>
        <v>OTH-8291201</v>
      </c>
    </row>
    <row r="170" spans="1:6" ht="18" customHeight="1">
      <c r="A170" s="2" t="s">
        <v>366</v>
      </c>
      <c r="B170" s="3">
        <v>8291202</v>
      </c>
      <c r="C170" s="4" t="s">
        <v>363</v>
      </c>
      <c r="D170" s="4" t="str">
        <f t="shared" si="6"/>
        <v>OTH-8291202</v>
      </c>
    </row>
    <row r="171" spans="1:6" ht="18" customHeight="1">
      <c r="A171" s="2" t="s">
        <v>367</v>
      </c>
      <c r="B171" s="3">
        <v>8291203</v>
      </c>
      <c r="C171" s="4" t="s">
        <v>363</v>
      </c>
      <c r="D171" s="4" t="str">
        <f t="shared" si="6"/>
        <v>OTH-8291203</v>
      </c>
    </row>
    <row r="172" spans="1:6" ht="18" customHeight="1">
      <c r="A172" s="2" t="s">
        <v>368</v>
      </c>
      <c r="B172" s="3">
        <v>8191101</v>
      </c>
      <c r="C172" s="4" t="s">
        <v>363</v>
      </c>
      <c r="D172" s="4" t="str">
        <f t="shared" si="6"/>
        <v>OTH-8191101</v>
      </c>
    </row>
    <row r="173" spans="1:6" ht="18" customHeight="1">
      <c r="E173" s="7"/>
    </row>
  </sheetData>
  <phoneticPr fontId="2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6C78-A7C3-4058-9DEC-53815F5CD0C1}">
  <sheetPr>
    <pageSetUpPr fitToPage="1"/>
  </sheetPr>
  <dimension ref="A1:G155"/>
  <sheetViews>
    <sheetView zoomScale="80" zoomScaleNormal="80" workbookViewId="0">
      <pane xSplit="1" ySplit="1" topLeftCell="B2" activePane="bottomRight" state="frozenSplit"/>
      <selection activeCell="G6" sqref="G6"/>
      <selection pane="topRight"/>
      <selection pane="bottomLeft"/>
      <selection pane="bottomRight" activeCell="G6" sqref="G6"/>
    </sheetView>
  </sheetViews>
  <sheetFormatPr defaultColWidth="8.85546875" defaultRowHeight="18" customHeight="1"/>
  <cols>
    <col min="1" max="1" width="44.42578125" style="2" bestFit="1" customWidth="1"/>
    <col min="2" max="2" width="8.42578125" style="3" customWidth="1"/>
    <col min="3" max="3" width="8.5703125" style="4" customWidth="1"/>
    <col min="4" max="4" width="12.140625" style="4" bestFit="1" customWidth="1"/>
    <col min="5" max="5" width="10.5703125" style="4" customWidth="1"/>
    <col min="6" max="6" width="163.42578125" style="2" bestFit="1" customWidth="1"/>
    <col min="7" max="7" width="8.85546875" customWidth="1"/>
    <col min="8" max="8" width="8.85546875" style="2" customWidth="1"/>
    <col min="9" max="16384" width="8.85546875" style="2"/>
  </cols>
  <sheetData>
    <row r="1" spans="1:6" s="1" customFormat="1" ht="60" customHeight="1">
      <c r="A1" s="39" t="s">
        <v>386</v>
      </c>
      <c r="B1" s="39" t="s">
        <v>49</v>
      </c>
      <c r="C1" s="40" t="s">
        <v>9</v>
      </c>
      <c r="D1" s="40" t="s">
        <v>50</v>
      </c>
      <c r="E1" s="40" t="s">
        <v>51</v>
      </c>
      <c r="F1" s="39" t="s">
        <v>52</v>
      </c>
    </row>
    <row r="2" spans="1:6" ht="18" customHeight="1">
      <c r="A2" s="2" t="s">
        <v>65</v>
      </c>
      <c r="B2" s="3">
        <v>7511101</v>
      </c>
      <c r="C2" s="4" t="s">
        <v>24</v>
      </c>
      <c r="D2" s="5" t="str">
        <f t="shared" ref="D2:D33" si="0">C2&amp;"-"&amp;B2</f>
        <v>SGA-7511101</v>
      </c>
      <c r="E2" s="4" t="s">
        <v>66</v>
      </c>
      <c r="F2" s="2" t="s">
        <v>65</v>
      </c>
    </row>
    <row r="3" spans="1:6" ht="18" customHeight="1">
      <c r="A3" s="2" t="s">
        <v>73</v>
      </c>
      <c r="B3" s="3">
        <v>7511102</v>
      </c>
      <c r="C3" s="4" t="s">
        <v>24</v>
      </c>
      <c r="D3" s="5" t="str">
        <f t="shared" si="0"/>
        <v>SGA-7511102</v>
      </c>
      <c r="E3" s="4" t="s">
        <v>66</v>
      </c>
      <c r="F3" s="2" t="s">
        <v>74</v>
      </c>
    </row>
    <row r="4" spans="1:6" ht="18" customHeight="1">
      <c r="A4" s="2" t="s">
        <v>81</v>
      </c>
      <c r="B4" s="3">
        <v>7511103</v>
      </c>
      <c r="C4" s="4" t="s">
        <v>24</v>
      </c>
      <c r="D4" s="5" t="str">
        <f t="shared" si="0"/>
        <v>SGA-7511103</v>
      </c>
      <c r="E4" s="4" t="s">
        <v>82</v>
      </c>
      <c r="F4" s="2" t="s">
        <v>83</v>
      </c>
    </row>
    <row r="5" spans="1:6" ht="18" customHeight="1">
      <c r="A5" s="2" t="s">
        <v>91</v>
      </c>
      <c r="B5" s="3">
        <v>7511111</v>
      </c>
      <c r="C5" s="4" t="s">
        <v>24</v>
      </c>
      <c r="D5" s="5" t="str">
        <f t="shared" si="0"/>
        <v>SGA-7511111</v>
      </c>
      <c r="E5" s="4" t="s">
        <v>82</v>
      </c>
      <c r="F5" s="2" t="s">
        <v>92</v>
      </c>
    </row>
    <row r="6" spans="1:6" customFormat="1" ht="18" customHeight="1">
      <c r="A6" s="2" t="s">
        <v>96</v>
      </c>
      <c r="B6" s="3">
        <v>7511112</v>
      </c>
      <c r="C6" s="4" t="s">
        <v>24</v>
      </c>
      <c r="D6" s="5" t="str">
        <f t="shared" si="0"/>
        <v>SGA-7511112</v>
      </c>
      <c r="E6" s="4" t="s">
        <v>82</v>
      </c>
      <c r="F6" s="2" t="s">
        <v>97</v>
      </c>
    </row>
    <row r="7" spans="1:6" ht="18" customHeight="1">
      <c r="A7" s="2" t="s">
        <v>102</v>
      </c>
      <c r="B7" s="3">
        <v>7511121</v>
      </c>
      <c r="C7" s="4" t="s">
        <v>24</v>
      </c>
      <c r="D7" s="5" t="str">
        <f t="shared" si="0"/>
        <v>SGA-7511121</v>
      </c>
      <c r="E7" s="4" t="s">
        <v>82</v>
      </c>
      <c r="F7" s="2" t="s">
        <v>103</v>
      </c>
    </row>
    <row r="8" spans="1:6" ht="18" customHeight="1">
      <c r="A8" s="2" t="s">
        <v>107</v>
      </c>
      <c r="B8" s="3">
        <v>7511122</v>
      </c>
      <c r="C8" s="4" t="s">
        <v>24</v>
      </c>
      <c r="D8" s="5" t="str">
        <f t="shared" si="0"/>
        <v>SGA-7511122</v>
      </c>
      <c r="E8" s="4" t="s">
        <v>82</v>
      </c>
      <c r="F8" s="2" t="s">
        <v>108</v>
      </c>
    </row>
    <row r="9" spans="1:6" ht="18" customHeight="1">
      <c r="A9" s="2" t="s">
        <v>109</v>
      </c>
      <c r="B9" s="3">
        <v>7511201</v>
      </c>
      <c r="C9" s="4" t="s">
        <v>24</v>
      </c>
      <c r="D9" s="5" t="str">
        <f t="shared" si="0"/>
        <v>SGA-7511201</v>
      </c>
      <c r="E9" s="4" t="s">
        <v>110</v>
      </c>
      <c r="F9" s="2" t="s">
        <v>111</v>
      </c>
    </row>
    <row r="10" spans="1:6" ht="18" customHeight="1">
      <c r="A10" s="2" t="s">
        <v>114</v>
      </c>
      <c r="B10" s="3">
        <v>7512111</v>
      </c>
      <c r="C10" s="4" t="s">
        <v>24</v>
      </c>
      <c r="D10" s="5" t="str">
        <f t="shared" si="0"/>
        <v>SGA-7512111</v>
      </c>
      <c r="E10" s="4" t="s">
        <v>115</v>
      </c>
      <c r="F10" s="2" t="s">
        <v>116</v>
      </c>
    </row>
    <row r="11" spans="1:6" ht="18" customHeight="1">
      <c r="A11" s="2" t="s">
        <v>119</v>
      </c>
      <c r="B11" s="3">
        <v>7512112</v>
      </c>
      <c r="C11" s="4" t="s">
        <v>24</v>
      </c>
      <c r="D11" s="5" t="str">
        <f t="shared" si="0"/>
        <v>SGA-7512112</v>
      </c>
      <c r="E11" s="4" t="s">
        <v>115</v>
      </c>
      <c r="F11" s="2" t="s">
        <v>120</v>
      </c>
    </row>
    <row r="12" spans="1:6" ht="18" customHeight="1">
      <c r="A12" s="2" t="s">
        <v>123</v>
      </c>
      <c r="B12" s="3">
        <v>7514101</v>
      </c>
      <c r="C12" s="4" t="s">
        <v>24</v>
      </c>
      <c r="D12" s="5" t="str">
        <f t="shared" si="0"/>
        <v>SGA-7514101</v>
      </c>
      <c r="E12" s="4" t="s">
        <v>82</v>
      </c>
      <c r="F12" s="2" t="s">
        <v>124</v>
      </c>
    </row>
    <row r="13" spans="1:6" ht="18" customHeight="1">
      <c r="A13" s="2" t="s">
        <v>127</v>
      </c>
      <c r="B13" s="3">
        <v>7514102</v>
      </c>
      <c r="C13" s="4" t="s">
        <v>24</v>
      </c>
      <c r="D13" s="5" t="str">
        <f t="shared" si="0"/>
        <v>SGA-7514102</v>
      </c>
      <c r="E13" s="4" t="s">
        <v>82</v>
      </c>
      <c r="F13" s="2" t="s">
        <v>128</v>
      </c>
    </row>
    <row r="14" spans="1:6" ht="18" customHeight="1">
      <c r="A14" s="2" t="s">
        <v>131</v>
      </c>
      <c r="B14" s="3">
        <v>7515401</v>
      </c>
      <c r="C14" s="4" t="s">
        <v>24</v>
      </c>
      <c r="D14" s="5" t="str">
        <f t="shared" si="0"/>
        <v>SGA-7515401</v>
      </c>
      <c r="E14" s="4" t="s">
        <v>115</v>
      </c>
      <c r="F14" s="2" t="s">
        <v>132</v>
      </c>
    </row>
    <row r="15" spans="1:6" ht="18" customHeight="1">
      <c r="A15" s="2" t="s">
        <v>137</v>
      </c>
      <c r="B15" s="3">
        <v>7515402</v>
      </c>
      <c r="C15" s="4" t="s">
        <v>24</v>
      </c>
      <c r="D15" s="5" t="str">
        <f t="shared" si="0"/>
        <v>SGA-7515402</v>
      </c>
      <c r="E15" s="4" t="s">
        <v>115</v>
      </c>
      <c r="F15" s="2" t="s">
        <v>138</v>
      </c>
    </row>
    <row r="16" spans="1:6" ht="18" customHeight="1">
      <c r="A16" s="2" t="s">
        <v>141</v>
      </c>
      <c r="B16" s="3">
        <v>7515403</v>
      </c>
      <c r="C16" s="4" t="s">
        <v>24</v>
      </c>
      <c r="D16" s="5" t="str">
        <f t="shared" si="0"/>
        <v>SGA-7515403</v>
      </c>
      <c r="E16" s="4" t="s">
        <v>115</v>
      </c>
      <c r="F16" s="2" t="s">
        <v>142</v>
      </c>
    </row>
    <row r="17" spans="1:6" ht="18" customHeight="1">
      <c r="A17" s="2" t="s">
        <v>145</v>
      </c>
      <c r="B17" s="3">
        <v>7515404</v>
      </c>
      <c r="C17" s="4" t="s">
        <v>24</v>
      </c>
      <c r="D17" s="5" t="str">
        <f t="shared" si="0"/>
        <v>SGA-7515404</v>
      </c>
      <c r="E17" s="4" t="s">
        <v>115</v>
      </c>
      <c r="F17" s="2" t="s">
        <v>146</v>
      </c>
    </row>
    <row r="18" spans="1:6" ht="18" customHeight="1">
      <c r="A18" s="2" t="s">
        <v>149</v>
      </c>
      <c r="B18" s="3">
        <v>7515405</v>
      </c>
      <c r="C18" s="4" t="s">
        <v>24</v>
      </c>
      <c r="D18" s="5" t="str">
        <f t="shared" si="0"/>
        <v>SGA-7515405</v>
      </c>
      <c r="E18" s="4" t="s">
        <v>115</v>
      </c>
      <c r="F18" s="2" t="s">
        <v>150</v>
      </c>
    </row>
    <row r="19" spans="1:6" ht="18" customHeight="1">
      <c r="A19" s="2" t="s">
        <v>153</v>
      </c>
      <c r="B19" s="3">
        <v>7515406</v>
      </c>
      <c r="C19" s="4" t="s">
        <v>24</v>
      </c>
      <c r="D19" s="5" t="str">
        <f t="shared" si="0"/>
        <v>SGA-7515406</v>
      </c>
      <c r="E19" s="4" t="s">
        <v>115</v>
      </c>
      <c r="F19" s="2" t="s">
        <v>154</v>
      </c>
    </row>
    <row r="20" spans="1:6" ht="18" customHeight="1">
      <c r="A20" s="2" t="s">
        <v>160</v>
      </c>
      <c r="B20" s="3">
        <v>7515408</v>
      </c>
      <c r="C20" s="4" t="s">
        <v>24</v>
      </c>
      <c r="D20" s="5" t="str">
        <f t="shared" si="0"/>
        <v>SGA-7515408</v>
      </c>
      <c r="E20" s="4" t="s">
        <v>115</v>
      </c>
      <c r="F20" s="2" t="s">
        <v>161</v>
      </c>
    </row>
    <row r="21" spans="1:6" ht="18" customHeight="1">
      <c r="A21" s="2" t="s">
        <v>164</v>
      </c>
      <c r="B21" s="3">
        <v>7515409</v>
      </c>
      <c r="C21" s="4" t="s">
        <v>24</v>
      </c>
      <c r="D21" s="5" t="str">
        <f t="shared" si="0"/>
        <v>SGA-7515409</v>
      </c>
      <c r="E21" s="4" t="s">
        <v>115</v>
      </c>
      <c r="F21" s="2" t="s">
        <v>165</v>
      </c>
    </row>
    <row r="22" spans="1:6" ht="18" customHeight="1">
      <c r="A22" s="2" t="s">
        <v>168</v>
      </c>
      <c r="B22" s="3">
        <v>7515410</v>
      </c>
      <c r="C22" s="4" t="s">
        <v>24</v>
      </c>
      <c r="D22" s="5" t="str">
        <f t="shared" si="0"/>
        <v>SGA-7515410</v>
      </c>
      <c r="E22" s="4" t="s">
        <v>115</v>
      </c>
      <c r="F22" s="2" t="s">
        <v>169</v>
      </c>
    </row>
    <row r="23" spans="1:6" ht="18" customHeight="1">
      <c r="A23" s="2" t="s">
        <v>172</v>
      </c>
      <c r="B23" s="3">
        <v>7515499</v>
      </c>
      <c r="C23" s="4" t="s">
        <v>24</v>
      </c>
      <c r="D23" s="5" t="str">
        <f t="shared" si="0"/>
        <v>SGA-7515499</v>
      </c>
      <c r="E23" s="4" t="s">
        <v>115</v>
      </c>
      <c r="F23" s="2" t="s">
        <v>173</v>
      </c>
    </row>
    <row r="24" spans="1:6" ht="18" customHeight="1">
      <c r="A24" s="2" t="s">
        <v>176</v>
      </c>
      <c r="B24" s="3">
        <v>7516102</v>
      </c>
      <c r="C24" s="4" t="s">
        <v>24</v>
      </c>
      <c r="D24" s="5" t="str">
        <f t="shared" si="0"/>
        <v>SGA-7516102</v>
      </c>
      <c r="E24" s="4" t="s">
        <v>387</v>
      </c>
      <c r="F24" s="2" t="s">
        <v>178</v>
      </c>
    </row>
    <row r="25" spans="1:6" ht="18" customHeight="1">
      <c r="A25" s="2" t="s">
        <v>181</v>
      </c>
      <c r="B25" s="3">
        <v>7519101</v>
      </c>
      <c r="C25" s="4" t="s">
        <v>24</v>
      </c>
      <c r="D25" s="5" t="str">
        <f t="shared" si="0"/>
        <v>SGA-7519101</v>
      </c>
      <c r="E25" s="4" t="s">
        <v>66</v>
      </c>
      <c r="F25" s="2" t="s">
        <v>182</v>
      </c>
    </row>
    <row r="26" spans="1:6" ht="18" customHeight="1">
      <c r="A26" s="2" t="s">
        <v>185</v>
      </c>
      <c r="B26" s="3">
        <v>7521101</v>
      </c>
      <c r="C26" s="4" t="s">
        <v>24</v>
      </c>
      <c r="D26" s="5" t="str">
        <f t="shared" si="0"/>
        <v>SGA-7521101</v>
      </c>
      <c r="E26" s="4" t="s">
        <v>82</v>
      </c>
      <c r="F26" s="2" t="s">
        <v>186</v>
      </c>
    </row>
    <row r="27" spans="1:6" ht="18" customHeight="1">
      <c r="A27" s="2" t="s">
        <v>189</v>
      </c>
      <c r="B27" s="3">
        <v>7521102</v>
      </c>
      <c r="C27" s="4" t="s">
        <v>24</v>
      </c>
      <c r="D27" s="5" t="str">
        <f t="shared" si="0"/>
        <v>SGA-7521102</v>
      </c>
      <c r="E27" s="4" t="s">
        <v>110</v>
      </c>
      <c r="F27" s="2" t="s">
        <v>190</v>
      </c>
    </row>
    <row r="28" spans="1:6" ht="18" customHeight="1">
      <c r="A28" s="2" t="s">
        <v>194</v>
      </c>
      <c r="B28" s="3">
        <v>7571101</v>
      </c>
      <c r="C28" s="4" t="s">
        <v>24</v>
      </c>
      <c r="D28" s="5" t="str">
        <f t="shared" si="0"/>
        <v>SGA-7571101</v>
      </c>
      <c r="E28" s="4" t="s">
        <v>388</v>
      </c>
      <c r="F28" s="2" t="s">
        <v>196</v>
      </c>
    </row>
    <row r="29" spans="1:6" ht="18" customHeight="1">
      <c r="A29" s="2" t="s">
        <v>70</v>
      </c>
      <c r="B29" s="3">
        <v>7611100</v>
      </c>
      <c r="C29" s="4" t="s">
        <v>24</v>
      </c>
      <c r="D29" s="5" t="str">
        <f t="shared" si="0"/>
        <v>SGA-7611100</v>
      </c>
      <c r="E29" s="4" t="s">
        <v>199</v>
      </c>
      <c r="F29" s="2" t="s">
        <v>200</v>
      </c>
    </row>
    <row r="30" spans="1:6" ht="18" customHeight="1">
      <c r="A30" s="2" t="s">
        <v>78</v>
      </c>
      <c r="B30" s="3">
        <v>7611300</v>
      </c>
      <c r="C30" s="4" t="s">
        <v>24</v>
      </c>
      <c r="D30" s="5" t="str">
        <f t="shared" si="0"/>
        <v>SGA-7611300</v>
      </c>
      <c r="E30" s="4" t="s">
        <v>199</v>
      </c>
      <c r="F30" s="2" t="s">
        <v>203</v>
      </c>
    </row>
    <row r="31" spans="1:6" ht="18" customHeight="1">
      <c r="A31" s="2" t="s">
        <v>88</v>
      </c>
      <c r="B31" s="3">
        <v>7611500</v>
      </c>
      <c r="C31" s="4" t="s">
        <v>24</v>
      </c>
      <c r="D31" s="5" t="str">
        <f t="shared" si="0"/>
        <v>SGA-7611500</v>
      </c>
      <c r="E31" s="4" t="s">
        <v>199</v>
      </c>
      <c r="F31" s="2" t="s">
        <v>210</v>
      </c>
    </row>
    <row r="32" spans="1:6" ht="18" customHeight="1">
      <c r="A32" s="2" t="s">
        <v>93</v>
      </c>
      <c r="B32" s="3">
        <v>7611600</v>
      </c>
      <c r="C32" s="4" t="s">
        <v>24</v>
      </c>
      <c r="D32" s="5" t="str">
        <f t="shared" si="0"/>
        <v>SGA-7611600</v>
      </c>
      <c r="E32" s="4" t="s">
        <v>199</v>
      </c>
      <c r="F32" s="2" t="s">
        <v>213</v>
      </c>
    </row>
    <row r="33" spans="1:6" ht="18" customHeight="1">
      <c r="A33" s="2" t="s">
        <v>98</v>
      </c>
      <c r="B33" s="3">
        <v>7611700</v>
      </c>
      <c r="C33" s="4" t="s">
        <v>24</v>
      </c>
      <c r="D33" s="5" t="str">
        <f t="shared" si="0"/>
        <v>SGA-7611700</v>
      </c>
      <c r="E33" s="4" t="s">
        <v>199</v>
      </c>
      <c r="F33" s="2" t="s">
        <v>389</v>
      </c>
    </row>
    <row r="34" spans="1:6" ht="18" customHeight="1">
      <c r="A34" s="2" t="s">
        <v>223</v>
      </c>
      <c r="B34" s="3">
        <v>7621101</v>
      </c>
      <c r="C34" s="4" t="s">
        <v>24</v>
      </c>
      <c r="D34" s="5" t="str">
        <f t="shared" ref="D34:D65" si="1">C34&amp;"-"&amp;B34</f>
        <v>SGA-7621101</v>
      </c>
      <c r="E34" s="4" t="s">
        <v>224</v>
      </c>
      <c r="F34" s="2" t="s">
        <v>225</v>
      </c>
    </row>
    <row r="35" spans="1:6" ht="18" customHeight="1">
      <c r="A35" s="2" t="s">
        <v>228</v>
      </c>
      <c r="B35" s="3">
        <v>7621199</v>
      </c>
      <c r="C35" s="4" t="s">
        <v>24</v>
      </c>
      <c r="D35" s="5" t="str">
        <f t="shared" si="1"/>
        <v>SGA-7621199</v>
      </c>
      <c r="E35" s="4" t="s">
        <v>229</v>
      </c>
      <c r="F35" s="2" t="s">
        <v>230</v>
      </c>
    </row>
    <row r="36" spans="1:6" ht="18" customHeight="1">
      <c r="A36" s="2" t="s">
        <v>233</v>
      </c>
      <c r="B36" s="3">
        <v>7631101</v>
      </c>
      <c r="C36" s="4" t="s">
        <v>24</v>
      </c>
      <c r="D36" s="5" t="str">
        <f t="shared" si="1"/>
        <v>SGA-7631101</v>
      </c>
      <c r="E36" s="4" t="s">
        <v>234</v>
      </c>
      <c r="F36" s="2" t="s">
        <v>235</v>
      </c>
    </row>
    <row r="37" spans="1:6" ht="18" customHeight="1">
      <c r="A37" s="2" t="s">
        <v>236</v>
      </c>
      <c r="B37" s="3">
        <v>7631102</v>
      </c>
      <c r="C37" s="4" t="s">
        <v>24</v>
      </c>
      <c r="D37" s="5" t="str">
        <f t="shared" si="1"/>
        <v>SGA-7631102</v>
      </c>
      <c r="E37" s="4" t="s">
        <v>237</v>
      </c>
      <c r="F37" s="2" t="s">
        <v>238</v>
      </c>
    </row>
    <row r="38" spans="1:6" ht="18" customHeight="1">
      <c r="A38" s="2" t="s">
        <v>241</v>
      </c>
      <c r="B38" s="3">
        <v>7641101</v>
      </c>
      <c r="C38" s="4" t="s">
        <v>24</v>
      </c>
      <c r="D38" s="5" t="str">
        <f t="shared" si="1"/>
        <v>SGA-7641101</v>
      </c>
      <c r="E38" s="4" t="s">
        <v>242</v>
      </c>
      <c r="F38" s="2" t="s">
        <v>243</v>
      </c>
    </row>
    <row r="39" spans="1:6" ht="18" customHeight="1">
      <c r="A39" s="2" t="s">
        <v>244</v>
      </c>
      <c r="B39" s="3">
        <v>7641102</v>
      </c>
      <c r="C39" s="4" t="s">
        <v>24</v>
      </c>
      <c r="D39" s="5" t="str">
        <f t="shared" si="1"/>
        <v>SGA-7641102</v>
      </c>
      <c r="E39" s="4" t="s">
        <v>242</v>
      </c>
      <c r="F39" s="2" t="s">
        <v>245</v>
      </c>
    </row>
    <row r="40" spans="1:6" ht="18" customHeight="1">
      <c r="A40" s="2" t="s">
        <v>248</v>
      </c>
      <c r="B40" s="3">
        <v>7641103</v>
      </c>
      <c r="C40" s="4" t="s">
        <v>24</v>
      </c>
      <c r="D40" s="5" t="str">
        <f t="shared" si="1"/>
        <v>SGA-7641103</v>
      </c>
      <c r="E40" s="4" t="s">
        <v>249</v>
      </c>
      <c r="F40" s="2" t="s">
        <v>250</v>
      </c>
    </row>
    <row r="41" spans="1:6" ht="18" customHeight="1">
      <c r="A41" s="2" t="s">
        <v>253</v>
      </c>
      <c r="B41" s="3">
        <v>7641104</v>
      </c>
      <c r="C41" s="4" t="s">
        <v>24</v>
      </c>
      <c r="D41" s="5" t="str">
        <f t="shared" si="1"/>
        <v>SGA-7641104</v>
      </c>
      <c r="E41" s="4" t="s">
        <v>249</v>
      </c>
      <c r="F41" s="2" t="s">
        <v>254</v>
      </c>
    </row>
    <row r="42" spans="1:6" ht="18" customHeight="1">
      <c r="A42" s="2" t="s">
        <v>255</v>
      </c>
      <c r="B42" s="3">
        <v>7651101</v>
      </c>
      <c r="C42" s="4" t="s">
        <v>24</v>
      </c>
      <c r="D42" s="5" t="str">
        <f t="shared" si="1"/>
        <v>SGA-7651101</v>
      </c>
      <c r="E42" s="4" t="s">
        <v>224</v>
      </c>
      <c r="F42" s="2" t="s">
        <v>256</v>
      </c>
    </row>
    <row r="43" spans="1:6" ht="18" customHeight="1">
      <c r="A43" s="2" t="s">
        <v>257</v>
      </c>
      <c r="B43" s="3">
        <v>7651102</v>
      </c>
      <c r="C43" s="4" t="s">
        <v>24</v>
      </c>
      <c r="D43" s="5" t="str">
        <f t="shared" si="1"/>
        <v>SGA-7651102</v>
      </c>
      <c r="E43" s="4" t="s">
        <v>224</v>
      </c>
      <c r="F43" s="2" t="s">
        <v>258</v>
      </c>
    </row>
    <row r="44" spans="1:6" ht="18" customHeight="1">
      <c r="A44" s="2" t="s">
        <v>259</v>
      </c>
      <c r="B44" s="3">
        <v>7651103</v>
      </c>
      <c r="C44" s="4" t="s">
        <v>24</v>
      </c>
      <c r="D44" s="5" t="str">
        <f t="shared" si="1"/>
        <v>SGA-7651103</v>
      </c>
      <c r="E44" s="4" t="s">
        <v>224</v>
      </c>
      <c r="F44" s="2" t="s">
        <v>260</v>
      </c>
    </row>
    <row r="45" spans="1:6" ht="18" customHeight="1">
      <c r="A45" s="2" t="s">
        <v>261</v>
      </c>
      <c r="B45" s="3">
        <v>7661101</v>
      </c>
      <c r="C45" s="4" t="s">
        <v>24</v>
      </c>
      <c r="D45" s="5" t="str">
        <f t="shared" si="1"/>
        <v>SGA-7661101</v>
      </c>
      <c r="E45" s="4" t="s">
        <v>262</v>
      </c>
      <c r="F45" s="2" t="s">
        <v>263</v>
      </c>
    </row>
    <row r="46" spans="1:6" ht="18" customHeight="1">
      <c r="A46" s="2" t="s">
        <v>264</v>
      </c>
      <c r="B46" s="3">
        <v>7671102</v>
      </c>
      <c r="C46" s="4" t="s">
        <v>24</v>
      </c>
      <c r="D46" s="5" t="str">
        <f t="shared" si="1"/>
        <v>SGA-7671102</v>
      </c>
      <c r="E46" s="4" t="s">
        <v>249</v>
      </c>
      <c r="F46" s="2" t="s">
        <v>265</v>
      </c>
    </row>
    <row r="47" spans="1:6" ht="18" customHeight="1">
      <c r="A47" s="2" t="s">
        <v>266</v>
      </c>
      <c r="B47" s="3">
        <v>7671103</v>
      </c>
      <c r="C47" s="4" t="s">
        <v>24</v>
      </c>
      <c r="D47" s="5" t="str">
        <f t="shared" si="1"/>
        <v>SGA-7671103</v>
      </c>
      <c r="E47" s="4" t="s">
        <v>249</v>
      </c>
      <c r="F47" s="2" t="s">
        <v>267</v>
      </c>
    </row>
    <row r="48" spans="1:6" ht="18" customHeight="1">
      <c r="A48" s="2" t="s">
        <v>268</v>
      </c>
      <c r="B48" s="3">
        <v>7681101</v>
      </c>
      <c r="C48" s="4" t="s">
        <v>24</v>
      </c>
      <c r="D48" s="5" t="str">
        <f t="shared" si="1"/>
        <v>SGA-7681101</v>
      </c>
      <c r="E48" s="4" t="s">
        <v>249</v>
      </c>
      <c r="F48" s="2" t="s">
        <v>269</v>
      </c>
    </row>
    <row r="49" spans="1:6" ht="18" customHeight="1">
      <c r="A49" s="2" t="s">
        <v>270</v>
      </c>
      <c r="B49" s="3">
        <v>7691000</v>
      </c>
      <c r="C49" s="4" t="s">
        <v>24</v>
      </c>
      <c r="D49" s="5" t="str">
        <f t="shared" si="1"/>
        <v>SGA-7691000</v>
      </c>
      <c r="E49" s="4" t="s">
        <v>249</v>
      </c>
      <c r="F49" s="2" t="s">
        <v>271</v>
      </c>
    </row>
    <row r="50" spans="1:6" ht="18" customHeight="1">
      <c r="A50" s="2" t="s">
        <v>272</v>
      </c>
      <c r="B50" s="3">
        <v>7711101</v>
      </c>
      <c r="C50" s="4" t="s">
        <v>24</v>
      </c>
      <c r="D50" s="5" t="str">
        <f t="shared" si="1"/>
        <v>SGA-7711101</v>
      </c>
      <c r="E50" s="4" t="s">
        <v>249</v>
      </c>
      <c r="F50" s="2" t="s">
        <v>273</v>
      </c>
    </row>
    <row r="51" spans="1:6" ht="18" customHeight="1">
      <c r="A51" s="2" t="s">
        <v>274</v>
      </c>
      <c r="B51" s="3">
        <v>7711102</v>
      </c>
      <c r="C51" s="4" t="s">
        <v>24</v>
      </c>
      <c r="D51" s="5" t="str">
        <f t="shared" si="1"/>
        <v>SGA-7711102</v>
      </c>
      <c r="E51" s="4" t="s">
        <v>275</v>
      </c>
      <c r="F51" s="2" t="s">
        <v>276</v>
      </c>
    </row>
    <row r="52" spans="1:6" ht="18" customHeight="1">
      <c r="A52" s="2" t="s">
        <v>277</v>
      </c>
      <c r="B52" s="3">
        <v>7711103</v>
      </c>
      <c r="C52" s="4" t="s">
        <v>24</v>
      </c>
      <c r="D52" s="5" t="str">
        <f t="shared" si="1"/>
        <v>SGA-7711103</v>
      </c>
      <c r="E52" s="4" t="s">
        <v>249</v>
      </c>
      <c r="F52" s="2" t="s">
        <v>278</v>
      </c>
    </row>
    <row r="53" spans="1:6" ht="18" customHeight="1">
      <c r="A53" s="2" t="s">
        <v>281</v>
      </c>
      <c r="B53" s="3">
        <v>7729101</v>
      </c>
      <c r="C53" s="4" t="s">
        <v>24</v>
      </c>
      <c r="D53" s="5" t="str">
        <f t="shared" si="1"/>
        <v>SGA-7729101</v>
      </c>
      <c r="E53" s="4" t="s">
        <v>282</v>
      </c>
      <c r="F53" s="2" t="s">
        <v>283</v>
      </c>
    </row>
    <row r="54" spans="1:6" ht="18" customHeight="1">
      <c r="A54" s="2" t="s">
        <v>284</v>
      </c>
      <c r="B54" s="3">
        <v>7729103</v>
      </c>
      <c r="C54" s="4" t="s">
        <v>24</v>
      </c>
      <c r="D54" s="5" t="str">
        <f t="shared" si="1"/>
        <v>SGA-7729103</v>
      </c>
      <c r="E54" s="4" t="s">
        <v>285</v>
      </c>
      <c r="F54" s="2" t="s">
        <v>286</v>
      </c>
    </row>
    <row r="55" spans="1:6" ht="18" customHeight="1">
      <c r="A55" s="2" t="s">
        <v>287</v>
      </c>
      <c r="B55" s="3">
        <v>7729105</v>
      </c>
      <c r="C55" s="4" t="s">
        <v>24</v>
      </c>
      <c r="D55" s="5" t="str">
        <f t="shared" si="1"/>
        <v>SGA-7729105</v>
      </c>
      <c r="E55" s="4" t="s">
        <v>249</v>
      </c>
      <c r="F55" s="2" t="s">
        <v>288</v>
      </c>
    </row>
    <row r="56" spans="1:6" ht="18" customHeight="1">
      <c r="A56" s="2" t="s">
        <v>289</v>
      </c>
      <c r="B56" s="3">
        <v>7781101</v>
      </c>
      <c r="C56" s="4" t="s">
        <v>24</v>
      </c>
      <c r="D56" s="5" t="str">
        <f t="shared" si="1"/>
        <v>SGA-7781101</v>
      </c>
      <c r="E56" s="4" t="s">
        <v>249</v>
      </c>
      <c r="F56" s="2" t="s">
        <v>290</v>
      </c>
    </row>
    <row r="57" spans="1:6" ht="18" customHeight="1">
      <c r="A57" s="2" t="s">
        <v>291</v>
      </c>
      <c r="B57" s="3">
        <v>7781103</v>
      </c>
      <c r="C57" s="4" t="s">
        <v>24</v>
      </c>
      <c r="D57" s="5" t="str">
        <f t="shared" si="1"/>
        <v>SGA-7781103</v>
      </c>
      <c r="E57" s="4" t="s">
        <v>249</v>
      </c>
      <c r="F57" s="2" t="s">
        <v>292</v>
      </c>
    </row>
    <row r="58" spans="1:6" ht="18" customHeight="1">
      <c r="A58" s="2" t="s">
        <v>293</v>
      </c>
      <c r="B58" s="3">
        <v>7781104</v>
      </c>
      <c r="C58" s="4" t="s">
        <v>24</v>
      </c>
      <c r="D58" s="5" t="str">
        <f t="shared" si="1"/>
        <v>SGA-7781104</v>
      </c>
      <c r="E58" s="4" t="s">
        <v>249</v>
      </c>
      <c r="F58" s="2" t="s">
        <v>294</v>
      </c>
    </row>
    <row r="59" spans="1:6" ht="18" customHeight="1">
      <c r="A59" s="2" t="s">
        <v>299</v>
      </c>
      <c r="B59" s="3">
        <v>7781107</v>
      </c>
      <c r="C59" s="4" t="s">
        <v>24</v>
      </c>
      <c r="D59" s="5" t="str">
        <f t="shared" si="1"/>
        <v>SGA-7781107</v>
      </c>
      <c r="E59" s="4" t="s">
        <v>300</v>
      </c>
      <c r="F59" s="2" t="s">
        <v>301</v>
      </c>
    </row>
    <row r="60" spans="1:6" ht="18" customHeight="1">
      <c r="A60" s="2" t="s">
        <v>302</v>
      </c>
      <c r="B60" s="3">
        <v>7781111</v>
      </c>
      <c r="C60" s="4" t="s">
        <v>24</v>
      </c>
      <c r="D60" s="5" t="str">
        <f t="shared" si="1"/>
        <v>SGA-7781111</v>
      </c>
      <c r="E60" s="4" t="s">
        <v>249</v>
      </c>
      <c r="F60" s="2" t="s">
        <v>303</v>
      </c>
    </row>
    <row r="61" spans="1:6" ht="18" customHeight="1">
      <c r="A61" s="2" t="s">
        <v>304</v>
      </c>
      <c r="B61" s="3">
        <v>7781112</v>
      </c>
      <c r="C61" s="4" t="s">
        <v>24</v>
      </c>
      <c r="D61" s="5" t="str">
        <f t="shared" si="1"/>
        <v>SGA-7781112</v>
      </c>
      <c r="E61" s="4" t="s">
        <v>249</v>
      </c>
      <c r="F61" s="2" t="s">
        <v>305</v>
      </c>
    </row>
    <row r="62" spans="1:6" ht="18" customHeight="1">
      <c r="A62" s="2" t="s">
        <v>306</v>
      </c>
      <c r="B62" s="3">
        <v>7781113</v>
      </c>
      <c r="C62" s="4" t="s">
        <v>24</v>
      </c>
      <c r="D62" s="5" t="str">
        <f t="shared" si="1"/>
        <v>SGA-7781113</v>
      </c>
      <c r="E62" s="4" t="s">
        <v>249</v>
      </c>
      <c r="F62" s="2" t="s">
        <v>307</v>
      </c>
    </row>
    <row r="63" spans="1:6" ht="18" customHeight="1">
      <c r="A63" s="2" t="s">
        <v>308</v>
      </c>
      <c r="B63" s="3">
        <v>7411101</v>
      </c>
      <c r="C63" s="4" t="s">
        <v>24</v>
      </c>
      <c r="D63" s="5" t="str">
        <f t="shared" si="1"/>
        <v>SGA-7411101</v>
      </c>
      <c r="E63" s="4" t="s">
        <v>309</v>
      </c>
      <c r="F63" s="2" t="s">
        <v>310</v>
      </c>
    </row>
    <row r="64" spans="1:6" ht="18" customHeight="1">
      <c r="A64" s="2" t="s">
        <v>311</v>
      </c>
      <c r="B64" s="3">
        <v>7411103</v>
      </c>
      <c r="C64" s="4" t="s">
        <v>24</v>
      </c>
      <c r="D64" s="5" t="str">
        <f t="shared" si="1"/>
        <v>SGA-7411103</v>
      </c>
      <c r="E64" s="4" t="s">
        <v>312</v>
      </c>
      <c r="F64" s="2" t="s">
        <v>313</v>
      </c>
    </row>
    <row r="65" spans="1:6" ht="18" customHeight="1">
      <c r="A65" s="2" t="s">
        <v>314</v>
      </c>
      <c r="B65" s="3">
        <v>7411104</v>
      </c>
      <c r="C65" s="4" t="s">
        <v>24</v>
      </c>
      <c r="D65" s="5" t="str">
        <f t="shared" si="1"/>
        <v>SGA-7411104</v>
      </c>
      <c r="E65" s="4" t="s">
        <v>315</v>
      </c>
      <c r="F65" s="2" t="s">
        <v>316</v>
      </c>
    </row>
    <row r="66" spans="1:6" ht="18" customHeight="1">
      <c r="A66" s="2" t="s">
        <v>317</v>
      </c>
      <c r="B66" s="3">
        <v>7431101</v>
      </c>
      <c r="C66" s="4" t="s">
        <v>24</v>
      </c>
      <c r="D66" s="5" t="str">
        <f t="shared" ref="D66:D97" si="2">C66&amp;"-"&amp;B66</f>
        <v>SGA-7431101</v>
      </c>
      <c r="E66" s="4" t="s">
        <v>318</v>
      </c>
      <c r="F66" s="2" t="s">
        <v>319</v>
      </c>
    </row>
    <row r="67" spans="1:6" ht="18" customHeight="1">
      <c r="A67" s="2" t="s">
        <v>320</v>
      </c>
      <c r="B67" s="3">
        <v>7451101</v>
      </c>
      <c r="C67" s="4" t="s">
        <v>24</v>
      </c>
      <c r="D67" s="5" t="str">
        <f t="shared" si="2"/>
        <v>SGA-7451101</v>
      </c>
      <c r="E67" s="4" t="s">
        <v>390</v>
      </c>
      <c r="F67" s="2" t="s">
        <v>391</v>
      </c>
    </row>
    <row r="68" spans="1:6" ht="18" customHeight="1">
      <c r="A68" s="2" t="s">
        <v>323</v>
      </c>
      <c r="B68" s="3">
        <v>7451102</v>
      </c>
      <c r="C68" s="4" t="s">
        <v>24</v>
      </c>
      <c r="D68" s="5" t="str">
        <f t="shared" si="2"/>
        <v>SGA-7451102</v>
      </c>
      <c r="E68" s="4" t="s">
        <v>392</v>
      </c>
      <c r="F68" s="2" t="s">
        <v>393</v>
      </c>
    </row>
    <row r="69" spans="1:6" ht="18" customHeight="1">
      <c r="A69" s="2" t="s">
        <v>326</v>
      </c>
      <c r="B69" s="3">
        <v>7451103</v>
      </c>
      <c r="C69" s="4" t="s">
        <v>24</v>
      </c>
      <c r="D69" s="5" t="str">
        <f t="shared" si="2"/>
        <v>SGA-7451103</v>
      </c>
      <c r="E69" s="4" t="s">
        <v>394</v>
      </c>
      <c r="F69" s="2" t="s">
        <v>395</v>
      </c>
    </row>
    <row r="70" spans="1:6" ht="18" customHeight="1">
      <c r="A70" s="46" t="s">
        <v>329</v>
      </c>
      <c r="B70" s="3">
        <v>7461101</v>
      </c>
      <c r="C70" s="4" t="s">
        <v>24</v>
      </c>
      <c r="D70" s="5" t="str">
        <f t="shared" si="2"/>
        <v>SGA-7461101</v>
      </c>
      <c r="E70" s="4" t="s">
        <v>330</v>
      </c>
      <c r="F70" s="2" t="s">
        <v>331</v>
      </c>
    </row>
    <row r="71" spans="1:6" ht="18" customHeight="1">
      <c r="A71" s="2" t="s">
        <v>332</v>
      </c>
      <c r="B71" s="3">
        <v>7411105</v>
      </c>
      <c r="C71" s="4" t="s">
        <v>24</v>
      </c>
      <c r="D71" s="4" t="str">
        <f t="shared" si="2"/>
        <v>SGA-7411105</v>
      </c>
      <c r="E71" s="47" t="s">
        <v>396</v>
      </c>
    </row>
    <row r="72" spans="1:6" ht="18" customHeight="1">
      <c r="A72" s="2" t="s">
        <v>334</v>
      </c>
      <c r="B72" s="3">
        <v>7471201</v>
      </c>
      <c r="C72" s="4" t="s">
        <v>24</v>
      </c>
      <c r="D72" s="4" t="str">
        <f t="shared" si="2"/>
        <v>SGA-7471201</v>
      </c>
      <c r="E72" s="47" t="s">
        <v>397</v>
      </c>
    </row>
    <row r="73" spans="1:6" ht="18" customHeight="1">
      <c r="A73" s="2" t="s">
        <v>336</v>
      </c>
      <c r="B73" s="3">
        <v>7751101</v>
      </c>
      <c r="C73" s="4" t="s">
        <v>24</v>
      </c>
      <c r="D73" s="4" t="str">
        <f t="shared" si="2"/>
        <v>SGA-7751101</v>
      </c>
    </row>
    <row r="74" spans="1:6" ht="18" customHeight="1">
      <c r="A74" s="2" t="s">
        <v>337</v>
      </c>
      <c r="B74" s="3">
        <v>7751102</v>
      </c>
      <c r="C74" s="4" t="s">
        <v>24</v>
      </c>
      <c r="D74" s="4" t="str">
        <f t="shared" si="2"/>
        <v>SGA-7751102</v>
      </c>
    </row>
    <row r="75" spans="1:6" ht="18" customHeight="1">
      <c r="A75" s="2" t="s">
        <v>338</v>
      </c>
      <c r="B75" s="6">
        <v>7111211</v>
      </c>
      <c r="C75" s="6" t="s">
        <v>135</v>
      </c>
      <c r="D75" s="6" t="str">
        <f t="shared" si="2"/>
        <v>MFG-7111211</v>
      </c>
    </row>
    <row r="76" spans="1:6" ht="18" customHeight="1">
      <c r="A76" s="2" t="s">
        <v>340</v>
      </c>
      <c r="B76" s="6">
        <v>7111221</v>
      </c>
      <c r="C76" s="6" t="s">
        <v>135</v>
      </c>
      <c r="D76" s="6" t="str">
        <f t="shared" si="2"/>
        <v>MFG-7111221</v>
      </c>
    </row>
    <row r="77" spans="1:6" ht="18" customHeight="1">
      <c r="A77" s="2" t="s">
        <v>341</v>
      </c>
      <c r="B77" s="6">
        <v>7111222</v>
      </c>
      <c r="C77" s="6" t="s">
        <v>135</v>
      </c>
      <c r="D77" s="6" t="str">
        <f t="shared" si="2"/>
        <v>MFG-7111222</v>
      </c>
    </row>
    <row r="78" spans="1:6" ht="18" customHeight="1">
      <c r="A78" s="2" t="s">
        <v>342</v>
      </c>
      <c r="B78" s="6">
        <v>7111223</v>
      </c>
      <c r="C78" s="6" t="s">
        <v>135</v>
      </c>
      <c r="D78" s="6" t="str">
        <f t="shared" si="2"/>
        <v>MFG-7111223</v>
      </c>
    </row>
    <row r="79" spans="1:6" ht="18" customHeight="1">
      <c r="A79" s="2" t="s">
        <v>343</v>
      </c>
      <c r="B79" s="6">
        <v>7111311</v>
      </c>
      <c r="C79" s="6" t="s">
        <v>135</v>
      </c>
      <c r="D79" s="6" t="str">
        <f t="shared" si="2"/>
        <v>MFG-7111311</v>
      </c>
    </row>
    <row r="80" spans="1:6" ht="18" customHeight="1">
      <c r="A80" s="2" t="s">
        <v>345</v>
      </c>
      <c r="B80" s="6">
        <v>7111321</v>
      </c>
      <c r="C80" s="6" t="s">
        <v>135</v>
      </c>
      <c r="D80" s="6" t="str">
        <f t="shared" si="2"/>
        <v>MFG-7111321</v>
      </c>
    </row>
    <row r="81" spans="1:6" ht="18" customHeight="1">
      <c r="A81" s="2" t="s">
        <v>346</v>
      </c>
      <c r="B81" s="6">
        <v>7111322</v>
      </c>
      <c r="C81" s="6" t="s">
        <v>135</v>
      </c>
      <c r="D81" s="6" t="str">
        <f t="shared" si="2"/>
        <v>MFG-7111322</v>
      </c>
    </row>
    <row r="82" spans="1:6" ht="18" customHeight="1">
      <c r="A82" s="2" t="s">
        <v>347</v>
      </c>
      <c r="B82" s="6">
        <v>7111323</v>
      </c>
      <c r="C82" s="6" t="s">
        <v>135</v>
      </c>
      <c r="D82" s="6" t="str">
        <f t="shared" si="2"/>
        <v>MFG-7111323</v>
      </c>
    </row>
    <row r="83" spans="1:6" ht="18" customHeight="1">
      <c r="A83" s="2" t="s">
        <v>351</v>
      </c>
      <c r="B83" s="6">
        <v>7211101</v>
      </c>
      <c r="C83" s="6" t="s">
        <v>135</v>
      </c>
      <c r="D83" s="6" t="str">
        <f t="shared" si="2"/>
        <v>MFG-7211101</v>
      </c>
    </row>
    <row r="84" spans="1:6" ht="18" customHeight="1">
      <c r="A84" s="2" t="s">
        <v>398</v>
      </c>
      <c r="B84" s="6">
        <v>7211102</v>
      </c>
      <c r="C84" s="6" t="s">
        <v>135</v>
      </c>
      <c r="D84" s="6" t="str">
        <f t="shared" si="2"/>
        <v>MFG-7211102</v>
      </c>
      <c r="E84" s="6">
        <v>901</v>
      </c>
      <c r="F84" s="2" t="s">
        <v>353</v>
      </c>
    </row>
    <row r="85" spans="1:6" ht="18" customHeight="1">
      <c r="A85" s="2" t="s">
        <v>354</v>
      </c>
      <c r="B85" s="6">
        <v>7211103</v>
      </c>
      <c r="C85" s="6" t="s">
        <v>135</v>
      </c>
      <c r="D85" s="6" t="str">
        <f t="shared" si="2"/>
        <v>MFG-7211103</v>
      </c>
      <c r="E85" s="6"/>
    </row>
    <row r="86" spans="1:6" ht="18" customHeight="1">
      <c r="A86" s="2" t="s">
        <v>356</v>
      </c>
      <c r="B86" s="6">
        <v>7221101</v>
      </c>
      <c r="C86" s="6" t="s">
        <v>135</v>
      </c>
      <c r="D86" s="6" t="str">
        <f t="shared" si="2"/>
        <v>MFG-7221101</v>
      </c>
      <c r="E86" s="6">
        <v>302</v>
      </c>
      <c r="F86" s="2" t="s">
        <v>357</v>
      </c>
    </row>
    <row r="87" spans="1:6" ht="18" customHeight="1">
      <c r="A87" s="2" t="s">
        <v>358</v>
      </c>
      <c r="B87" s="6">
        <v>7221102</v>
      </c>
      <c r="C87" s="6" t="s">
        <v>135</v>
      </c>
      <c r="D87" s="6" t="str">
        <f t="shared" si="2"/>
        <v>MFG-7221102</v>
      </c>
      <c r="E87" s="6">
        <v>301</v>
      </c>
      <c r="F87" s="2" t="s">
        <v>359</v>
      </c>
    </row>
    <row r="88" spans="1:6" ht="18" customHeight="1">
      <c r="A88" s="2" t="s">
        <v>65</v>
      </c>
      <c r="B88" s="6">
        <v>7511101</v>
      </c>
      <c r="C88" s="6" t="s">
        <v>135</v>
      </c>
      <c r="D88" s="6" t="str">
        <f t="shared" si="2"/>
        <v>MFG-7511101</v>
      </c>
      <c r="E88" s="6">
        <v>602</v>
      </c>
      <c r="F88" s="2" t="s">
        <v>65</v>
      </c>
    </row>
    <row r="89" spans="1:6" ht="18" customHeight="1">
      <c r="A89" s="2" t="s">
        <v>73</v>
      </c>
      <c r="B89" s="6">
        <v>7511102</v>
      </c>
      <c r="C89" s="6" t="s">
        <v>135</v>
      </c>
      <c r="D89" s="6" t="str">
        <f t="shared" si="2"/>
        <v>MFG-7511102</v>
      </c>
      <c r="E89" s="6">
        <v>602</v>
      </c>
      <c r="F89" s="2" t="s">
        <v>74</v>
      </c>
    </row>
    <row r="90" spans="1:6" ht="18" customHeight="1">
      <c r="A90" s="2" t="s">
        <v>81</v>
      </c>
      <c r="B90" s="6">
        <v>7511103</v>
      </c>
      <c r="C90" s="6" t="s">
        <v>135</v>
      </c>
      <c r="D90" s="6" t="str">
        <f t="shared" si="2"/>
        <v>MFG-7511103</v>
      </c>
      <c r="E90" s="6">
        <v>601</v>
      </c>
      <c r="F90" s="2" t="s">
        <v>83</v>
      </c>
    </row>
    <row r="91" spans="1:6" ht="18" customHeight="1">
      <c r="A91" s="2" t="s">
        <v>91</v>
      </c>
      <c r="B91" s="6">
        <v>7511111</v>
      </c>
      <c r="C91" s="6" t="s">
        <v>135</v>
      </c>
      <c r="D91" s="6" t="str">
        <f t="shared" si="2"/>
        <v>MFG-7511111</v>
      </c>
      <c r="E91" s="6">
        <v>601</v>
      </c>
      <c r="F91" s="2" t="s">
        <v>92</v>
      </c>
    </row>
    <row r="92" spans="1:6" ht="18" customHeight="1">
      <c r="A92" s="2" t="s">
        <v>96</v>
      </c>
      <c r="B92" s="6">
        <v>7511112</v>
      </c>
      <c r="C92" s="6" t="s">
        <v>135</v>
      </c>
      <c r="D92" s="6" t="str">
        <f t="shared" si="2"/>
        <v>MFG-7511112</v>
      </c>
      <c r="E92" s="6">
        <v>601</v>
      </c>
      <c r="F92" s="2" t="s">
        <v>97</v>
      </c>
    </row>
    <row r="93" spans="1:6" ht="18" customHeight="1">
      <c r="A93" s="2" t="s">
        <v>102</v>
      </c>
      <c r="B93" s="6">
        <v>7511121</v>
      </c>
      <c r="C93" s="6" t="s">
        <v>135</v>
      </c>
      <c r="D93" s="6" t="str">
        <f t="shared" si="2"/>
        <v>MFG-7511121</v>
      </c>
      <c r="E93" s="6">
        <v>601</v>
      </c>
      <c r="F93" s="2" t="s">
        <v>103</v>
      </c>
    </row>
    <row r="94" spans="1:6" ht="18" customHeight="1">
      <c r="A94" s="2" t="s">
        <v>107</v>
      </c>
      <c r="B94" s="6">
        <v>7511122</v>
      </c>
      <c r="C94" s="6" t="s">
        <v>135</v>
      </c>
      <c r="D94" s="6" t="str">
        <f t="shared" si="2"/>
        <v>MFG-7511122</v>
      </c>
      <c r="E94" s="6">
        <v>601</v>
      </c>
      <c r="F94" s="2" t="s">
        <v>108</v>
      </c>
    </row>
    <row r="95" spans="1:6" ht="18" customHeight="1">
      <c r="A95" s="2" t="s">
        <v>109</v>
      </c>
      <c r="B95" s="6">
        <v>7511201</v>
      </c>
      <c r="C95" s="6" t="s">
        <v>135</v>
      </c>
      <c r="D95" s="6" t="str">
        <f t="shared" si="2"/>
        <v>MFG-7511201</v>
      </c>
      <c r="E95" s="6">
        <v>603</v>
      </c>
      <c r="F95" s="2" t="s">
        <v>111</v>
      </c>
    </row>
    <row r="96" spans="1:6" ht="18" customHeight="1">
      <c r="A96" s="2" t="s">
        <v>114</v>
      </c>
      <c r="B96" s="6">
        <v>7512111</v>
      </c>
      <c r="C96" s="6" t="s">
        <v>135</v>
      </c>
      <c r="D96" s="6" t="str">
        <f t="shared" si="2"/>
        <v>MFG-7512111</v>
      </c>
      <c r="E96" s="6">
        <v>604</v>
      </c>
      <c r="F96" s="2" t="s">
        <v>116</v>
      </c>
    </row>
    <row r="97" spans="1:6" ht="18" customHeight="1">
      <c r="A97" s="2" t="s">
        <v>119</v>
      </c>
      <c r="B97" s="6">
        <v>7512112</v>
      </c>
      <c r="C97" s="6" t="s">
        <v>135</v>
      </c>
      <c r="D97" s="6" t="str">
        <f t="shared" si="2"/>
        <v>MFG-7512112</v>
      </c>
      <c r="E97" s="6">
        <v>604</v>
      </c>
      <c r="F97" s="2" t="s">
        <v>120</v>
      </c>
    </row>
    <row r="98" spans="1:6" ht="18" customHeight="1">
      <c r="A98" s="2" t="s">
        <v>123</v>
      </c>
      <c r="B98" s="6">
        <v>7514101</v>
      </c>
      <c r="C98" s="6" t="s">
        <v>135</v>
      </c>
      <c r="D98" s="6" t="str">
        <f t="shared" ref="D98:D129" si="3">C98&amp;"-"&amp;B98</f>
        <v>MFG-7514101</v>
      </c>
      <c r="E98" s="6">
        <v>601</v>
      </c>
      <c r="F98" s="2" t="s">
        <v>124</v>
      </c>
    </row>
    <row r="99" spans="1:6" ht="18" customHeight="1">
      <c r="A99" s="2" t="s">
        <v>127</v>
      </c>
      <c r="B99" s="6">
        <v>7514102</v>
      </c>
      <c r="C99" s="6" t="s">
        <v>135</v>
      </c>
      <c r="D99" s="6" t="str">
        <f t="shared" si="3"/>
        <v>MFG-7514102</v>
      </c>
      <c r="E99" s="6">
        <v>601</v>
      </c>
      <c r="F99" s="2" t="s">
        <v>128</v>
      </c>
    </row>
    <row r="100" spans="1:6" ht="18" customHeight="1">
      <c r="A100" s="2" t="s">
        <v>131</v>
      </c>
      <c r="B100" s="6">
        <v>7515401</v>
      </c>
      <c r="C100" s="6" t="s">
        <v>135</v>
      </c>
      <c r="D100" s="6" t="str">
        <f t="shared" si="3"/>
        <v>MFG-7515401</v>
      </c>
      <c r="E100" s="6">
        <v>604</v>
      </c>
      <c r="F100" s="2" t="s">
        <v>132</v>
      </c>
    </row>
    <row r="101" spans="1:6" ht="18" customHeight="1">
      <c r="A101" s="2" t="s">
        <v>137</v>
      </c>
      <c r="B101" s="6">
        <v>7515402</v>
      </c>
      <c r="C101" s="6" t="s">
        <v>135</v>
      </c>
      <c r="D101" s="6" t="str">
        <f t="shared" si="3"/>
        <v>MFG-7515402</v>
      </c>
      <c r="E101" s="6">
        <v>604</v>
      </c>
      <c r="F101" s="2" t="s">
        <v>138</v>
      </c>
    </row>
    <row r="102" spans="1:6" ht="18" customHeight="1">
      <c r="A102" s="2" t="s">
        <v>141</v>
      </c>
      <c r="B102" s="6">
        <v>7515403</v>
      </c>
      <c r="C102" s="6" t="s">
        <v>135</v>
      </c>
      <c r="D102" s="6" t="str">
        <f t="shared" si="3"/>
        <v>MFG-7515403</v>
      </c>
      <c r="E102" s="6">
        <v>604</v>
      </c>
      <c r="F102" s="2" t="s">
        <v>142</v>
      </c>
    </row>
    <row r="103" spans="1:6" ht="18" customHeight="1">
      <c r="A103" s="2" t="s">
        <v>145</v>
      </c>
      <c r="B103" s="6">
        <v>7515404</v>
      </c>
      <c r="C103" s="6" t="s">
        <v>135</v>
      </c>
      <c r="D103" s="6" t="str">
        <f t="shared" si="3"/>
        <v>MFG-7515404</v>
      </c>
      <c r="E103" s="6">
        <v>604</v>
      </c>
      <c r="F103" s="2" t="s">
        <v>146</v>
      </c>
    </row>
    <row r="104" spans="1:6" ht="18" customHeight="1">
      <c r="A104" s="2" t="s">
        <v>149</v>
      </c>
      <c r="B104" s="6">
        <v>7515405</v>
      </c>
      <c r="C104" s="6" t="s">
        <v>135</v>
      </c>
      <c r="D104" s="6" t="str">
        <f t="shared" si="3"/>
        <v>MFG-7515405</v>
      </c>
      <c r="E104" s="6">
        <v>604</v>
      </c>
      <c r="F104" s="2" t="s">
        <v>150</v>
      </c>
    </row>
    <row r="105" spans="1:6" ht="18" customHeight="1">
      <c r="A105" s="2" t="s">
        <v>153</v>
      </c>
      <c r="B105" s="6">
        <v>7515406</v>
      </c>
      <c r="C105" s="6" t="s">
        <v>135</v>
      </c>
      <c r="D105" s="6" t="str">
        <f t="shared" si="3"/>
        <v>MFG-7515406</v>
      </c>
      <c r="E105" s="6">
        <v>604</v>
      </c>
      <c r="F105" s="2" t="s">
        <v>154</v>
      </c>
    </row>
    <row r="106" spans="1:6" ht="18" customHeight="1">
      <c r="A106" s="2" t="s">
        <v>160</v>
      </c>
      <c r="B106" s="6">
        <v>7515408</v>
      </c>
      <c r="C106" s="6" t="s">
        <v>135</v>
      </c>
      <c r="D106" s="6" t="str">
        <f t="shared" si="3"/>
        <v>MFG-7515408</v>
      </c>
      <c r="E106" s="6">
        <v>604</v>
      </c>
      <c r="F106" s="2" t="s">
        <v>161</v>
      </c>
    </row>
    <row r="107" spans="1:6" ht="18" customHeight="1">
      <c r="A107" s="2" t="s">
        <v>164</v>
      </c>
      <c r="B107" s="6">
        <v>7515409</v>
      </c>
      <c r="C107" s="6" t="s">
        <v>135</v>
      </c>
      <c r="D107" s="6" t="str">
        <f t="shared" si="3"/>
        <v>MFG-7515409</v>
      </c>
      <c r="E107" s="6">
        <v>604</v>
      </c>
      <c r="F107" s="2" t="s">
        <v>165</v>
      </c>
    </row>
    <row r="108" spans="1:6" ht="18" customHeight="1">
      <c r="A108" s="2" t="s">
        <v>168</v>
      </c>
      <c r="B108" s="6">
        <v>7515410</v>
      </c>
      <c r="C108" s="6" t="s">
        <v>135</v>
      </c>
      <c r="D108" s="6" t="str">
        <f t="shared" si="3"/>
        <v>MFG-7515410</v>
      </c>
      <c r="E108" s="6">
        <v>604</v>
      </c>
      <c r="F108" s="2" t="s">
        <v>169</v>
      </c>
    </row>
    <row r="109" spans="1:6" ht="18" customHeight="1">
      <c r="A109" s="2" t="s">
        <v>172</v>
      </c>
      <c r="B109" s="6">
        <v>7515499</v>
      </c>
      <c r="C109" s="6" t="s">
        <v>135</v>
      </c>
      <c r="D109" s="6" t="str">
        <f t="shared" si="3"/>
        <v>MFG-7515499</v>
      </c>
      <c r="E109" s="6">
        <v>604</v>
      </c>
      <c r="F109" s="2" t="s">
        <v>173</v>
      </c>
    </row>
    <row r="110" spans="1:6" ht="18" customHeight="1">
      <c r="A110" s="2" t="s">
        <v>176</v>
      </c>
      <c r="B110" s="6">
        <v>7516102</v>
      </c>
      <c r="C110" s="6" t="s">
        <v>135</v>
      </c>
      <c r="D110" s="6" t="str">
        <f t="shared" si="3"/>
        <v>MFG-7516102</v>
      </c>
      <c r="E110" s="6">
        <v>605</v>
      </c>
      <c r="F110" s="2" t="s">
        <v>178</v>
      </c>
    </row>
    <row r="111" spans="1:6" ht="18" customHeight="1">
      <c r="A111" s="2" t="s">
        <v>181</v>
      </c>
      <c r="B111" s="6">
        <v>7519101</v>
      </c>
      <c r="C111" s="6" t="s">
        <v>135</v>
      </c>
      <c r="D111" s="6" t="str">
        <f t="shared" si="3"/>
        <v>MFG-7519101</v>
      </c>
      <c r="E111" s="6">
        <v>602</v>
      </c>
      <c r="F111" s="2" t="s">
        <v>182</v>
      </c>
    </row>
    <row r="112" spans="1:6" ht="18" customHeight="1">
      <c r="A112" s="2" t="s">
        <v>360</v>
      </c>
      <c r="B112" s="6">
        <v>7521101</v>
      </c>
      <c r="C112" s="6" t="s">
        <v>135</v>
      </c>
      <c r="D112" s="6" t="str">
        <f t="shared" si="3"/>
        <v>MFG-7521101</v>
      </c>
      <c r="E112" s="6">
        <v>601</v>
      </c>
      <c r="F112" s="2" t="s">
        <v>186</v>
      </c>
    </row>
    <row r="113" spans="1:6" ht="18" customHeight="1">
      <c r="A113" s="2" t="s">
        <v>189</v>
      </c>
      <c r="B113" s="6">
        <v>7521102</v>
      </c>
      <c r="C113" s="6" t="s">
        <v>135</v>
      </c>
      <c r="D113" s="6" t="str">
        <f t="shared" si="3"/>
        <v>MFG-7521102</v>
      </c>
      <c r="E113" s="6">
        <v>603</v>
      </c>
      <c r="F113" s="2" t="s">
        <v>190</v>
      </c>
    </row>
    <row r="114" spans="1:6" ht="18" customHeight="1">
      <c r="A114" s="2" t="s">
        <v>194</v>
      </c>
      <c r="B114" s="6">
        <v>7571101</v>
      </c>
      <c r="C114" s="6" t="s">
        <v>135</v>
      </c>
      <c r="D114" s="6" t="str">
        <f t="shared" si="3"/>
        <v>MFG-7571101</v>
      </c>
      <c r="E114" s="6">
        <v>606</v>
      </c>
      <c r="F114" s="2" t="s">
        <v>196</v>
      </c>
    </row>
    <row r="115" spans="1:6" ht="18" customHeight="1">
      <c r="A115" s="2" t="s">
        <v>70</v>
      </c>
      <c r="B115" s="6">
        <v>7611100</v>
      </c>
      <c r="C115" s="6" t="s">
        <v>135</v>
      </c>
      <c r="D115" s="6" t="str">
        <f t="shared" si="3"/>
        <v>MFG-7611100</v>
      </c>
      <c r="E115" s="6">
        <v>701</v>
      </c>
      <c r="F115" s="2" t="s">
        <v>200</v>
      </c>
    </row>
    <row r="116" spans="1:6" ht="18" customHeight="1">
      <c r="A116" s="2" t="s">
        <v>78</v>
      </c>
      <c r="B116" s="6">
        <v>7611300</v>
      </c>
      <c r="C116" s="6" t="s">
        <v>135</v>
      </c>
      <c r="D116" s="6" t="str">
        <f t="shared" si="3"/>
        <v>MFG-7611300</v>
      </c>
      <c r="E116" s="6">
        <v>701</v>
      </c>
      <c r="F116" s="2" t="s">
        <v>203</v>
      </c>
    </row>
    <row r="117" spans="1:6" ht="18" customHeight="1">
      <c r="A117" s="2" t="s">
        <v>88</v>
      </c>
      <c r="B117" s="6">
        <v>7611500</v>
      </c>
      <c r="C117" s="6" t="s">
        <v>135</v>
      </c>
      <c r="D117" s="6" t="str">
        <f t="shared" si="3"/>
        <v>MFG-7611500</v>
      </c>
      <c r="E117" s="6">
        <v>701</v>
      </c>
      <c r="F117" s="2" t="s">
        <v>210</v>
      </c>
    </row>
    <row r="118" spans="1:6" ht="18" customHeight="1">
      <c r="A118" s="2" t="s">
        <v>93</v>
      </c>
      <c r="B118" s="6">
        <v>7611600</v>
      </c>
      <c r="C118" s="6" t="s">
        <v>135</v>
      </c>
      <c r="D118" s="6" t="str">
        <f t="shared" si="3"/>
        <v>MFG-7611600</v>
      </c>
      <c r="E118" s="6">
        <v>701</v>
      </c>
      <c r="F118" s="2" t="s">
        <v>213</v>
      </c>
    </row>
    <row r="119" spans="1:6" ht="18" customHeight="1">
      <c r="A119" s="2" t="s">
        <v>98</v>
      </c>
      <c r="B119" s="6">
        <v>7611700</v>
      </c>
      <c r="C119" s="6" t="s">
        <v>135</v>
      </c>
      <c r="D119" s="6" t="str">
        <f t="shared" si="3"/>
        <v>MFG-7611700</v>
      </c>
      <c r="E119" s="6">
        <v>701</v>
      </c>
      <c r="F119" s="2" t="s">
        <v>399</v>
      </c>
    </row>
    <row r="120" spans="1:6" ht="18" customHeight="1">
      <c r="A120" s="2" t="s">
        <v>223</v>
      </c>
      <c r="B120" s="6">
        <v>7621101</v>
      </c>
      <c r="C120" s="6" t="s">
        <v>135</v>
      </c>
      <c r="D120" s="6" t="str">
        <f t="shared" si="3"/>
        <v>MFG-7621101</v>
      </c>
      <c r="E120" s="6">
        <v>903</v>
      </c>
      <c r="F120" s="2" t="s">
        <v>225</v>
      </c>
    </row>
    <row r="121" spans="1:6" ht="18" customHeight="1">
      <c r="A121" s="46" t="s">
        <v>228</v>
      </c>
      <c r="B121" s="48">
        <v>7621199</v>
      </c>
      <c r="C121" s="6" t="s">
        <v>135</v>
      </c>
      <c r="D121" s="6" t="str">
        <f t="shared" si="3"/>
        <v>MFG-7621199</v>
      </c>
      <c r="E121" s="6">
        <v>801</v>
      </c>
      <c r="F121" s="2" t="s">
        <v>230</v>
      </c>
    </row>
    <row r="122" spans="1:6" ht="18" customHeight="1">
      <c r="A122" s="2" t="s">
        <v>233</v>
      </c>
      <c r="B122" s="6">
        <v>7631101</v>
      </c>
      <c r="C122" s="6" t="s">
        <v>135</v>
      </c>
      <c r="D122" s="6" t="str">
        <f t="shared" si="3"/>
        <v>MFG-7631101</v>
      </c>
      <c r="E122" s="6">
        <v>501</v>
      </c>
      <c r="F122" s="2" t="s">
        <v>235</v>
      </c>
    </row>
    <row r="123" spans="1:6" ht="18" customHeight="1">
      <c r="A123" s="2" t="s">
        <v>236</v>
      </c>
      <c r="B123" s="6">
        <v>7631102</v>
      </c>
      <c r="C123" s="6" t="s">
        <v>135</v>
      </c>
      <c r="D123" s="6" t="str">
        <f t="shared" si="3"/>
        <v>MFG-7631102</v>
      </c>
      <c r="E123" s="6">
        <v>502</v>
      </c>
      <c r="F123" s="2" t="s">
        <v>238</v>
      </c>
    </row>
    <row r="124" spans="1:6" ht="18" customHeight="1">
      <c r="A124" s="2" t="s">
        <v>241</v>
      </c>
      <c r="B124" s="6">
        <v>7641101</v>
      </c>
      <c r="C124" s="6" t="s">
        <v>135</v>
      </c>
      <c r="D124" s="6" t="str">
        <f t="shared" si="3"/>
        <v>MFG-7641101</v>
      </c>
      <c r="E124" s="6">
        <v>401</v>
      </c>
      <c r="F124" s="2" t="s">
        <v>243</v>
      </c>
    </row>
    <row r="125" spans="1:6" ht="18" customHeight="1">
      <c r="A125" s="2" t="s">
        <v>244</v>
      </c>
      <c r="B125" s="6">
        <v>7641102</v>
      </c>
      <c r="C125" s="6" t="s">
        <v>135</v>
      </c>
      <c r="D125" s="6" t="str">
        <f t="shared" si="3"/>
        <v>MFG-7641102</v>
      </c>
      <c r="E125" s="6">
        <v>401</v>
      </c>
      <c r="F125" s="2" t="s">
        <v>245</v>
      </c>
    </row>
    <row r="126" spans="1:6" ht="18" customHeight="1">
      <c r="A126" s="2" t="s">
        <v>248</v>
      </c>
      <c r="B126" s="6">
        <v>7641103</v>
      </c>
      <c r="C126" s="6" t="s">
        <v>135</v>
      </c>
      <c r="D126" s="6" t="str">
        <f t="shared" si="3"/>
        <v>MFG-7641103</v>
      </c>
      <c r="E126" s="6">
        <v>902</v>
      </c>
      <c r="F126" s="2" t="s">
        <v>250</v>
      </c>
    </row>
    <row r="127" spans="1:6" ht="18" customHeight="1">
      <c r="A127" s="2" t="s">
        <v>253</v>
      </c>
      <c r="B127" s="6">
        <v>7641104</v>
      </c>
      <c r="C127" s="6" t="s">
        <v>135</v>
      </c>
      <c r="D127" s="6" t="str">
        <f t="shared" si="3"/>
        <v>MFG-7641104</v>
      </c>
      <c r="E127" s="6">
        <v>999</v>
      </c>
      <c r="F127" s="2" t="s">
        <v>254</v>
      </c>
    </row>
    <row r="128" spans="1:6" ht="18" customHeight="1">
      <c r="A128" s="2" t="s">
        <v>255</v>
      </c>
      <c r="B128" s="6">
        <v>7651101</v>
      </c>
      <c r="C128" s="6" t="s">
        <v>135</v>
      </c>
      <c r="D128" s="6" t="str">
        <f t="shared" si="3"/>
        <v>MFG-7651101</v>
      </c>
      <c r="E128" s="6">
        <v>903</v>
      </c>
      <c r="F128" s="2" t="s">
        <v>256</v>
      </c>
    </row>
    <row r="129" spans="1:6" ht="18" customHeight="1">
      <c r="A129" s="2" t="s">
        <v>257</v>
      </c>
      <c r="B129" s="6">
        <v>7651102</v>
      </c>
      <c r="C129" s="6" t="s">
        <v>135</v>
      </c>
      <c r="D129" s="6" t="str">
        <f t="shared" si="3"/>
        <v>MFG-7651102</v>
      </c>
      <c r="E129" s="6">
        <v>903</v>
      </c>
      <c r="F129" s="2" t="s">
        <v>258</v>
      </c>
    </row>
    <row r="130" spans="1:6" ht="18" customHeight="1">
      <c r="A130" s="2" t="s">
        <v>259</v>
      </c>
      <c r="B130" s="6">
        <v>7651103</v>
      </c>
      <c r="C130" s="6" t="s">
        <v>135</v>
      </c>
      <c r="D130" s="6" t="str">
        <f t="shared" ref="D130:D161" si="4">C130&amp;"-"&amp;B130</f>
        <v>MFG-7651103</v>
      </c>
      <c r="E130" s="6">
        <v>903</v>
      </c>
      <c r="F130" s="2" t="s">
        <v>260</v>
      </c>
    </row>
    <row r="131" spans="1:6" ht="18" customHeight="1">
      <c r="A131" s="2" t="s">
        <v>261</v>
      </c>
      <c r="B131" s="6">
        <v>7661101</v>
      </c>
      <c r="C131" s="6" t="s">
        <v>135</v>
      </c>
      <c r="D131" s="6" t="str">
        <f t="shared" si="4"/>
        <v>MFG-7661101</v>
      </c>
      <c r="E131" s="6">
        <v>999</v>
      </c>
      <c r="F131" s="2" t="s">
        <v>263</v>
      </c>
    </row>
    <row r="132" spans="1:6" ht="18" customHeight="1">
      <c r="A132" s="2" t="s">
        <v>264</v>
      </c>
      <c r="B132" s="6">
        <v>7671102</v>
      </c>
      <c r="C132" s="6" t="s">
        <v>135</v>
      </c>
      <c r="D132" s="6" t="str">
        <f t="shared" si="4"/>
        <v>MFG-7671102</v>
      </c>
      <c r="E132" s="6">
        <v>999</v>
      </c>
      <c r="F132" s="2" t="s">
        <v>265</v>
      </c>
    </row>
    <row r="133" spans="1:6" ht="18" customHeight="1">
      <c r="A133" s="2" t="s">
        <v>266</v>
      </c>
      <c r="B133" s="6">
        <v>7671103</v>
      </c>
      <c r="C133" s="6" t="s">
        <v>135</v>
      </c>
      <c r="D133" s="6" t="str">
        <f t="shared" si="4"/>
        <v>MFG-7671103</v>
      </c>
      <c r="E133" s="6">
        <v>999</v>
      </c>
      <c r="F133" s="2" t="s">
        <v>267</v>
      </c>
    </row>
    <row r="134" spans="1:6" ht="18" customHeight="1">
      <c r="A134" s="2" t="s">
        <v>268</v>
      </c>
      <c r="B134" s="6">
        <v>7681101</v>
      </c>
      <c r="C134" s="6" t="s">
        <v>135</v>
      </c>
      <c r="D134" s="6" t="str">
        <f t="shared" si="4"/>
        <v>MFG-7681101</v>
      </c>
      <c r="E134" s="6">
        <v>999</v>
      </c>
      <c r="F134" s="2" t="s">
        <v>269</v>
      </c>
    </row>
    <row r="135" spans="1:6" ht="18" customHeight="1">
      <c r="A135" s="2" t="s">
        <v>270</v>
      </c>
      <c r="B135" s="6">
        <v>7691000</v>
      </c>
      <c r="C135" s="6" t="s">
        <v>135</v>
      </c>
      <c r="D135" s="6" t="str">
        <f t="shared" si="4"/>
        <v>MFG-7691000</v>
      </c>
      <c r="E135" s="6">
        <v>999</v>
      </c>
      <c r="F135" s="2" t="s">
        <v>271</v>
      </c>
    </row>
    <row r="136" spans="1:6" ht="18" customHeight="1">
      <c r="A136" s="2" t="s">
        <v>272</v>
      </c>
      <c r="B136" s="6">
        <v>7711101</v>
      </c>
      <c r="C136" s="6" t="s">
        <v>135</v>
      </c>
      <c r="D136" s="6" t="str">
        <f t="shared" si="4"/>
        <v>MFG-7711101</v>
      </c>
      <c r="E136" s="6">
        <v>999</v>
      </c>
      <c r="F136" s="2" t="s">
        <v>273</v>
      </c>
    </row>
    <row r="137" spans="1:6" ht="18" customHeight="1">
      <c r="A137" s="2" t="s">
        <v>274</v>
      </c>
      <c r="B137" s="6">
        <v>7711102</v>
      </c>
      <c r="C137" s="6" t="s">
        <v>135</v>
      </c>
      <c r="D137" s="6" t="str">
        <f t="shared" si="4"/>
        <v>MFG-7711102</v>
      </c>
      <c r="E137" s="6">
        <v>904</v>
      </c>
      <c r="F137" s="2" t="s">
        <v>276</v>
      </c>
    </row>
    <row r="138" spans="1:6" ht="18" customHeight="1">
      <c r="A138" s="2" t="s">
        <v>277</v>
      </c>
      <c r="B138" s="6">
        <v>7711103</v>
      </c>
      <c r="C138" s="6" t="s">
        <v>135</v>
      </c>
      <c r="D138" s="6" t="str">
        <f t="shared" si="4"/>
        <v>MFG-7711103</v>
      </c>
      <c r="E138" s="6">
        <v>999</v>
      </c>
      <c r="F138" s="2" t="s">
        <v>278</v>
      </c>
    </row>
    <row r="139" spans="1:6" ht="18" customHeight="1">
      <c r="A139" s="2" t="s">
        <v>281</v>
      </c>
      <c r="B139" s="6">
        <v>7729101</v>
      </c>
      <c r="C139" s="6" t="s">
        <v>135</v>
      </c>
      <c r="D139" s="6" t="str">
        <f t="shared" si="4"/>
        <v>MFG-7729101</v>
      </c>
      <c r="E139" s="6">
        <v>905</v>
      </c>
      <c r="F139" s="2" t="s">
        <v>283</v>
      </c>
    </row>
    <row r="140" spans="1:6" ht="18" customHeight="1">
      <c r="A140" s="2" t="s">
        <v>284</v>
      </c>
      <c r="B140" s="6">
        <v>7729103</v>
      </c>
      <c r="C140" s="6" t="s">
        <v>135</v>
      </c>
      <c r="D140" s="6" t="str">
        <f t="shared" si="4"/>
        <v>MFG-7729103</v>
      </c>
      <c r="E140" s="6">
        <v>907</v>
      </c>
      <c r="F140" s="2" t="s">
        <v>286</v>
      </c>
    </row>
    <row r="141" spans="1:6" ht="18" customHeight="1">
      <c r="A141" s="2" t="s">
        <v>287</v>
      </c>
      <c r="B141" s="6">
        <v>7729105</v>
      </c>
      <c r="C141" s="6" t="s">
        <v>135</v>
      </c>
      <c r="D141" s="6" t="str">
        <f t="shared" si="4"/>
        <v>MFG-7729105</v>
      </c>
      <c r="E141" s="6">
        <v>999</v>
      </c>
      <c r="F141" s="2" t="s">
        <v>288</v>
      </c>
    </row>
    <row r="142" spans="1:6" ht="18" customHeight="1">
      <c r="A142" s="2" t="s">
        <v>289</v>
      </c>
      <c r="B142" s="6">
        <v>7781101</v>
      </c>
      <c r="C142" s="6" t="s">
        <v>135</v>
      </c>
      <c r="D142" s="6" t="str">
        <f t="shared" si="4"/>
        <v>MFG-7781101</v>
      </c>
      <c r="E142" s="6">
        <v>999</v>
      </c>
      <c r="F142" s="2" t="s">
        <v>290</v>
      </c>
    </row>
    <row r="143" spans="1:6" ht="18" customHeight="1">
      <c r="A143" s="2" t="s">
        <v>291</v>
      </c>
      <c r="B143" s="6">
        <v>7781103</v>
      </c>
      <c r="C143" s="6" t="s">
        <v>135</v>
      </c>
      <c r="D143" s="6" t="str">
        <f t="shared" si="4"/>
        <v>MFG-7781103</v>
      </c>
      <c r="E143" s="6">
        <v>999</v>
      </c>
      <c r="F143" s="2" t="s">
        <v>292</v>
      </c>
    </row>
    <row r="144" spans="1:6" ht="18" customHeight="1">
      <c r="A144" s="2" t="s">
        <v>293</v>
      </c>
      <c r="B144" s="6">
        <v>7781104</v>
      </c>
      <c r="C144" s="6" t="s">
        <v>135</v>
      </c>
      <c r="D144" s="6" t="str">
        <f t="shared" si="4"/>
        <v>MFG-7781104</v>
      </c>
      <c r="E144" s="6">
        <v>999</v>
      </c>
      <c r="F144" s="2" t="s">
        <v>294</v>
      </c>
    </row>
    <row r="145" spans="1:6" ht="18" customHeight="1">
      <c r="A145" s="2" t="s">
        <v>299</v>
      </c>
      <c r="B145" s="6">
        <v>7781107</v>
      </c>
      <c r="C145" s="6" t="s">
        <v>135</v>
      </c>
      <c r="D145" s="6" t="str">
        <f t="shared" si="4"/>
        <v>MFG-7781107</v>
      </c>
      <c r="E145" s="6">
        <v>906</v>
      </c>
      <c r="F145" s="2" t="s">
        <v>301</v>
      </c>
    </row>
    <row r="146" spans="1:6" ht="18" customHeight="1">
      <c r="A146" s="2" t="s">
        <v>302</v>
      </c>
      <c r="B146" s="6">
        <v>7781111</v>
      </c>
      <c r="C146" s="6" t="s">
        <v>135</v>
      </c>
      <c r="D146" s="6" t="str">
        <f t="shared" si="4"/>
        <v>MFG-7781111</v>
      </c>
      <c r="E146" s="6">
        <v>999</v>
      </c>
      <c r="F146" s="2" t="s">
        <v>303</v>
      </c>
    </row>
    <row r="147" spans="1:6" ht="18" customHeight="1">
      <c r="A147" s="2" t="s">
        <v>304</v>
      </c>
      <c r="B147" s="6">
        <v>7781112</v>
      </c>
      <c r="C147" s="6" t="s">
        <v>135</v>
      </c>
      <c r="D147" s="6" t="str">
        <f t="shared" si="4"/>
        <v>MFG-7781112</v>
      </c>
      <c r="E147" s="6">
        <v>999</v>
      </c>
      <c r="F147" s="2" t="s">
        <v>305</v>
      </c>
    </row>
    <row r="148" spans="1:6" ht="18" customHeight="1">
      <c r="A148" s="2" t="s">
        <v>306</v>
      </c>
      <c r="B148" s="6">
        <v>7781113</v>
      </c>
      <c r="C148" s="6" t="s">
        <v>135</v>
      </c>
      <c r="D148" s="6" t="str">
        <f t="shared" si="4"/>
        <v>MFG-7781113</v>
      </c>
      <c r="E148" s="6">
        <v>999</v>
      </c>
      <c r="F148" s="2" t="s">
        <v>307</v>
      </c>
    </row>
    <row r="149" spans="1:6" ht="18" customHeight="1">
      <c r="A149" s="2" t="s">
        <v>362</v>
      </c>
      <c r="B149" s="3">
        <v>8291101</v>
      </c>
      <c r="C149" s="4" t="s">
        <v>363</v>
      </c>
      <c r="D149" s="4" t="str">
        <f t="shared" si="4"/>
        <v>OTH-8291101</v>
      </c>
    </row>
    <row r="150" spans="1:6" ht="18" customHeight="1">
      <c r="A150" s="2" t="s">
        <v>364</v>
      </c>
      <c r="B150" s="3">
        <v>8291102</v>
      </c>
      <c r="C150" s="4" t="s">
        <v>363</v>
      </c>
      <c r="D150" s="4" t="str">
        <f t="shared" si="4"/>
        <v>OTH-8291102</v>
      </c>
    </row>
    <row r="151" spans="1:6" ht="18" customHeight="1">
      <c r="A151" s="2" t="s">
        <v>365</v>
      </c>
      <c r="B151" s="3">
        <v>8291201</v>
      </c>
      <c r="C151" s="4" t="s">
        <v>363</v>
      </c>
      <c r="D151" s="4" t="str">
        <f t="shared" si="4"/>
        <v>OTH-8291201</v>
      </c>
    </row>
    <row r="152" spans="1:6" ht="18" customHeight="1">
      <c r="A152" s="2" t="s">
        <v>366</v>
      </c>
      <c r="B152" s="3">
        <v>8291202</v>
      </c>
      <c r="C152" s="4" t="s">
        <v>363</v>
      </c>
      <c r="D152" s="4" t="str">
        <f t="shared" si="4"/>
        <v>OTH-8291202</v>
      </c>
    </row>
    <row r="153" spans="1:6" ht="18" customHeight="1">
      <c r="A153" s="2" t="s">
        <v>367</v>
      </c>
      <c r="B153" s="3">
        <v>8291203</v>
      </c>
      <c r="C153" s="4" t="s">
        <v>363</v>
      </c>
      <c r="D153" s="4" t="str">
        <f t="shared" si="4"/>
        <v>OTH-8291203</v>
      </c>
    </row>
    <row r="154" spans="1:6" ht="18" customHeight="1">
      <c r="A154" s="2" t="s">
        <v>368</v>
      </c>
      <c r="B154" s="3">
        <v>8191101</v>
      </c>
      <c r="C154" s="4" t="s">
        <v>363</v>
      </c>
      <c r="D154" s="4" t="str">
        <f t="shared" si="4"/>
        <v>OTH-8191101</v>
      </c>
    </row>
    <row r="155" spans="1:6" ht="18" customHeight="1">
      <c r="E155" s="7"/>
    </row>
  </sheetData>
  <phoneticPr fontId="22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DataV1</vt:lpstr>
      <vt:lpstr>Master</vt:lpstr>
      <vt:lpstr>Master_Section</vt:lpstr>
      <vt:lpstr>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User 40 NGKBUSI</cp:lastModifiedBy>
  <dcterms:created xsi:type="dcterms:W3CDTF">2020-10-12T08:41:42Z</dcterms:created>
  <dcterms:modified xsi:type="dcterms:W3CDTF">2024-09-25T03:04:21Z</dcterms:modified>
</cp:coreProperties>
</file>
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udget System\"/>
    </mc:Choice>
  </mc:AlternateContent>
  <xr:revisionPtr revIDLastSave="0" documentId="13_ncr:1_{2E54C9BC-F9C8-4445-B455-D221D733C569}" xr6:coauthVersionLast="47" xr6:coauthVersionMax="47" xr10:uidLastSave="{00000000-0000-0000-0000-000000000000}"/>
  <bookViews>
    <workbookView xWindow="50280" yWindow="915" windowWidth="20730" windowHeight="11160" firstSheet="1" activeTab="1" xr2:uid="{DBC91B5C-E501-473C-9992-DED489074C07}"/>
  </bookViews>
  <sheets>
    <sheet name="COA" sheetId="1" state="hidden" r:id="rId1"/>
    <sheet name="Upload" sheetId="3" r:id="rId2"/>
    <sheet name="Master" sheetId="2" r:id="rId3"/>
    <sheet name="Sheet3" sheetId="6" r:id="rId4"/>
    <sheet name="Depre Calculation" sheetId="4" r:id="rId5"/>
    <sheet name="GL" sheetId="5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__j102" localSheetId="0">#REF!</definedName>
    <definedName name="__j102" localSheetId="4">#REF!</definedName>
    <definedName name="__j102" localSheetId="5">#REF!</definedName>
    <definedName name="__j102">#REF!</definedName>
    <definedName name="_1">#N/A</definedName>
    <definedName name="_Fill" localSheetId="0" hidden="1">#REF!</definedName>
    <definedName name="_Fill" localSheetId="4" hidden="1">#REF!</definedName>
    <definedName name="_Fill" localSheetId="5" hidden="1">#REF!</definedName>
    <definedName name="_Fill" localSheetId="2" hidden="1">#REF!</definedName>
    <definedName name="_Fill" hidden="1">#REF!</definedName>
    <definedName name="_xlnm._FilterDatabase" localSheetId="0" hidden="1">[1]金具工程見出し!$A$9:$K$9</definedName>
    <definedName name="_xlnm._FilterDatabase" localSheetId="4" hidden="1">'Depre Calculation'!$A$1:$BK$147</definedName>
    <definedName name="_xlnm._FilterDatabase" localSheetId="5" hidden="1">GL!$A$1:$AJ$147</definedName>
    <definedName name="_xlnm._FilterDatabase" localSheetId="2" hidden="1">Master!$A$1:$A$43</definedName>
    <definedName name="_xlnm._FilterDatabase" localSheetId="1" hidden="1">Upload!$H$1:$M$147</definedName>
    <definedName name="_xlnm._FilterDatabase" hidden="1">[2]金具工程見出し!$A$9:$K$9</definedName>
    <definedName name="_j102" localSheetId="0">#REF!</definedName>
    <definedName name="_j102" localSheetId="4">#REF!</definedName>
    <definedName name="_j102" localSheetId="5">#REF!</definedName>
    <definedName name="_j102" localSheetId="2">#REF!</definedName>
    <definedName name="_j102" localSheetId="1">#REF!</definedName>
    <definedName name="_j102">#REF!</definedName>
    <definedName name="_Key1" localSheetId="0" hidden="1">#REF!</definedName>
    <definedName name="_Key1" localSheetId="4" hidden="1">#REF!</definedName>
    <definedName name="_Key1" localSheetId="5" hidden="1">#REF!</definedName>
    <definedName name="_Key1" localSheetId="1" hidden="1">#REF!</definedName>
    <definedName name="_Key1" hidden="1">#REF!</definedName>
    <definedName name="_Order1" hidden="1">255</definedName>
    <definedName name="_Sort" localSheetId="0" hidden="1">#REF!</definedName>
    <definedName name="_Sort" localSheetId="4" hidden="1">#REF!</definedName>
    <definedName name="_Sort" localSheetId="5" hidden="1">#REF!</definedName>
    <definedName name="_Sort" localSheetId="2" hidden="1">#REF!</definedName>
    <definedName name="_Sort" localSheetId="1" hidden="1">#REF!</definedName>
    <definedName name="_Sort" hidden="1">#REF!</definedName>
    <definedName name="aa" localSheetId="0">#REF!</definedName>
    <definedName name="aa" localSheetId="4">#REF!</definedName>
    <definedName name="aa" localSheetId="5">#REF!</definedName>
    <definedName name="aa" localSheetId="1">#REF!</definedName>
    <definedName name="aa">#REF!</definedName>
    <definedName name="AB" localSheetId="0">#REF!</definedName>
    <definedName name="AB" localSheetId="4">#REF!</definedName>
    <definedName name="AB" localSheetId="5">#REF!</definedName>
    <definedName name="AB" localSheetId="1">#REF!</definedName>
    <definedName name="AB">#REF!</definedName>
    <definedName name="ai" localSheetId="0">#REF!</definedName>
    <definedName name="ai" localSheetId="4">#REF!</definedName>
    <definedName name="ai" localSheetId="5">#REF!</definedName>
    <definedName name="ai" localSheetId="1">#REF!</definedName>
    <definedName name="ai">#REF!</definedName>
    <definedName name="as" localSheetId="0">#REF!</definedName>
    <definedName name="as" localSheetId="4">#REF!</definedName>
    <definedName name="as" localSheetId="5">#REF!</definedName>
    <definedName name="as" localSheetId="1">#REF!</definedName>
    <definedName name="as">#REF!</definedName>
    <definedName name="assit" localSheetId="0">#REF!</definedName>
    <definedName name="assit" localSheetId="4">#REF!</definedName>
    <definedName name="assit" localSheetId="5">#REF!</definedName>
    <definedName name="assit" localSheetId="1">#REF!</definedName>
    <definedName name="assit">#REF!</definedName>
    <definedName name="b" localSheetId="0">#REF!</definedName>
    <definedName name="b" localSheetId="4">#REF!</definedName>
    <definedName name="b" localSheetId="5">#REF!</definedName>
    <definedName name="b" localSheetId="1">#REF!</definedName>
    <definedName name="b">#REF!</definedName>
    <definedName name="BC" localSheetId="0">#REF!</definedName>
    <definedName name="BC" localSheetId="4">#REF!</definedName>
    <definedName name="BC" localSheetId="5">#REF!</definedName>
    <definedName name="BC" localSheetId="1">#REF!</definedName>
    <definedName name="BC">#REF!</definedName>
    <definedName name="BI" localSheetId="0">#REF!</definedName>
    <definedName name="BI" localSheetId="4">#REF!</definedName>
    <definedName name="BI" localSheetId="5">#REF!</definedName>
    <definedName name="BI" localSheetId="1">#REF!</definedName>
    <definedName name="BI">#REF!</definedName>
    <definedName name="BO" localSheetId="0">#REF!</definedName>
    <definedName name="BO" localSheetId="4">#REF!</definedName>
    <definedName name="BO" localSheetId="5">#REF!</definedName>
    <definedName name="BO" localSheetId="1">#REF!</definedName>
    <definedName name="BO">#REF!</definedName>
    <definedName name="cc" localSheetId="0">#REF!</definedName>
    <definedName name="cc" localSheetId="4">#REF!</definedName>
    <definedName name="cc" localSheetId="5">#REF!</definedName>
    <definedName name="cc" localSheetId="1">#REF!</definedName>
    <definedName name="cc">#REF!</definedName>
    <definedName name="ccc" localSheetId="0" hidden="1">#REF!</definedName>
    <definedName name="ccc" localSheetId="4" hidden="1">#REF!</definedName>
    <definedName name="ccc" localSheetId="5" hidden="1">#REF!</definedName>
    <definedName name="ccc" localSheetId="1" hidden="1">#REF!</definedName>
    <definedName name="ccc" hidden="1">#REF!</definedName>
    <definedName name="CH" localSheetId="0">#REF!</definedName>
    <definedName name="CH" localSheetId="4">#REF!</definedName>
    <definedName name="CH" localSheetId="5">#REF!</definedName>
    <definedName name="CH" localSheetId="1">#REF!</definedName>
    <definedName name="CH">#REF!</definedName>
    <definedName name="CI" localSheetId="0">#REF!</definedName>
    <definedName name="CI" localSheetId="4">#REF!</definedName>
    <definedName name="CI" localSheetId="5">#REF!</definedName>
    <definedName name="CI" localSheetId="1">#REF!</definedName>
    <definedName name="CI">#REF!</definedName>
    <definedName name="Ck_for" localSheetId="0">#REF!</definedName>
    <definedName name="Ck_for" localSheetId="4">#REF!</definedName>
    <definedName name="Ck_for" localSheetId="5">#REF!</definedName>
    <definedName name="Ck_for" localSheetId="1">#REF!</definedName>
    <definedName name="Ck_for">#REF!</definedName>
    <definedName name="Ck_in" localSheetId="0">#REF!</definedName>
    <definedName name="Ck_in" localSheetId="4">#REF!</definedName>
    <definedName name="Ck_in" localSheetId="5">#REF!</definedName>
    <definedName name="Ck_in" localSheetId="1">#REF!</definedName>
    <definedName name="Ck_in">#REF!</definedName>
    <definedName name="Ck_out" localSheetId="0">#REF!</definedName>
    <definedName name="Ck_out" localSheetId="4">#REF!</definedName>
    <definedName name="Ck_out" localSheetId="5">#REF!</definedName>
    <definedName name="Ck_out" localSheetId="1">#REF!</definedName>
    <definedName name="Ck_out">#REF!</definedName>
    <definedName name="d" localSheetId="0">#REF!</definedName>
    <definedName name="d" localSheetId="4">#REF!</definedName>
    <definedName name="d" localSheetId="5">#REF!</definedName>
    <definedName name="d" localSheetId="1">#REF!</definedName>
    <definedName name="d">#REF!</definedName>
    <definedName name="_xlnm.Database" localSheetId="0">#REF!</definedName>
    <definedName name="_xlnm.Database" localSheetId="4">#REF!</definedName>
    <definedName name="_xlnm.Database" localSheetId="5">#REF!</definedName>
    <definedName name="_xlnm.Database" localSheetId="1">#REF!</definedName>
    <definedName name="_xlnm.Database">#REF!</definedName>
    <definedName name="dd" localSheetId="0">#REF!</definedName>
    <definedName name="dd" localSheetId="4">#REF!</definedName>
    <definedName name="dd" localSheetId="5">#REF!</definedName>
    <definedName name="dd" localSheetId="1">#REF!</definedName>
    <definedName name="dd">#REF!</definedName>
    <definedName name="ddd" localSheetId="0" hidden="1">#REF!</definedName>
    <definedName name="ddd" localSheetId="4" hidden="1">#REF!</definedName>
    <definedName name="ddd" localSheetId="5" hidden="1">#REF!</definedName>
    <definedName name="ddd" localSheetId="1" hidden="1">#REF!</definedName>
    <definedName name="ddd" hidden="1">#REF!</definedName>
    <definedName name="DF" localSheetId="0">#REF!</definedName>
    <definedName name="DF" localSheetId="4">#REF!</definedName>
    <definedName name="DF" localSheetId="5">#REF!</definedName>
    <definedName name="DF" localSheetId="1">#REF!</definedName>
    <definedName name="DF">#REF!</definedName>
    <definedName name="e" localSheetId="0">#REF!</definedName>
    <definedName name="e" localSheetId="4">#REF!</definedName>
    <definedName name="e" localSheetId="5">#REF!</definedName>
    <definedName name="e" localSheetId="1">#REF!</definedName>
    <definedName name="e">#REF!</definedName>
    <definedName name="edy">#REF!</definedName>
    <definedName name="ee" localSheetId="0">#REF!</definedName>
    <definedName name="ee" localSheetId="4">#REF!</definedName>
    <definedName name="ee" localSheetId="5">#REF!</definedName>
    <definedName name="ee" localSheetId="1">#REF!</definedName>
    <definedName name="ee">#REF!</definedName>
    <definedName name="eXCRATE" localSheetId="0">#REF!</definedName>
    <definedName name="eXCRATE" localSheetId="4">#REF!</definedName>
    <definedName name="eXCRATE" localSheetId="5">#REF!</definedName>
    <definedName name="eXCRATE" localSheetId="1">#REF!</definedName>
    <definedName name="eXCRATE">#REF!</definedName>
    <definedName name="exrate" localSheetId="0">#REF!</definedName>
    <definedName name="exrate" localSheetId="4">#REF!</definedName>
    <definedName name="exrate" localSheetId="5">#REF!</definedName>
    <definedName name="exrate" localSheetId="1">#REF!</definedName>
    <definedName name="exrate">#REF!</definedName>
    <definedName name="F" localSheetId="0">#REF!</definedName>
    <definedName name="F" localSheetId="4">#REF!</definedName>
    <definedName name="F" localSheetId="5">#REF!</definedName>
    <definedName name="F" localSheetId="1">#REF!</definedName>
    <definedName name="F">#REF!</definedName>
    <definedName name="fcb" localSheetId="0">#REF!</definedName>
    <definedName name="fcb" localSheetId="4">#REF!</definedName>
    <definedName name="fcb" localSheetId="5">#REF!</definedName>
    <definedName name="fcb" localSheetId="1">#REF!</definedName>
    <definedName name="fcb">#REF!</definedName>
    <definedName name="FG" localSheetId="0">#REF!</definedName>
    <definedName name="FG" localSheetId="4">#REF!</definedName>
    <definedName name="FG" localSheetId="5">#REF!</definedName>
    <definedName name="FG" localSheetId="1">#REF!</definedName>
    <definedName name="FG">#REF!</definedName>
    <definedName name="g" localSheetId="0">#REF!</definedName>
    <definedName name="g" localSheetId="4">#REF!</definedName>
    <definedName name="g" localSheetId="5">#REF!</definedName>
    <definedName name="g" localSheetId="1">#REF!</definedName>
    <definedName name="g">#REF!</definedName>
    <definedName name="gg" localSheetId="0">#REF!</definedName>
    <definedName name="gg" localSheetId="4">#REF!</definedName>
    <definedName name="gg" localSheetId="5">#REF!</definedName>
    <definedName name="gg" localSheetId="1">#REF!</definedName>
    <definedName name="gg">#REF!</definedName>
    <definedName name="HF" localSheetId="0">#REF!</definedName>
    <definedName name="HF" localSheetId="4">#REF!</definedName>
    <definedName name="HF" localSheetId="5">#REF!</definedName>
    <definedName name="HF" localSheetId="1">#REF!</definedName>
    <definedName name="HF">#REF!</definedName>
    <definedName name="HTML_CodePage" hidden="1">1252</definedName>
    <definedName name="HTML_Control" localSheetId="0" hidden="1">{"'Stock November   ' 99'!$A$1:$AF$46"}</definedName>
    <definedName name="HTML_Control" localSheetId="4" hidden="1">{"'Stock November   ' 99'!$A$1:$AF$46"}</definedName>
    <definedName name="HTML_Control" localSheetId="5" hidden="1">{"'Stock November   ' 99'!$A$1:$AF$46"}</definedName>
    <definedName name="HTML_Control" localSheetId="2" hidden="1">{"'Stock November   ' 99'!$A$1:$AF$46"}</definedName>
    <definedName name="HTML_Control" localSheetId="1" hidden="1">{"'Stock November   ' 99'!$A$1:$AF$46"}</definedName>
    <definedName name="HTML_Control" hidden="1">{"'Stock November   ' 99'!$A$1:$AF$46"}</definedName>
    <definedName name="HTML_Description" hidden="1">""</definedName>
    <definedName name="HTML_Email" hidden="1">""</definedName>
    <definedName name="HTML_Header" hidden="1">"Stock November   ' 99"</definedName>
    <definedName name="HTML_LastUpdate" hidden="1">"11/18/99"</definedName>
    <definedName name="HTML_LineAfter" hidden="1">FALSE</definedName>
    <definedName name="HTML_LineBefore" hidden="1">FALSE</definedName>
    <definedName name="HTML_Name" hidden="1">"Production Control"</definedName>
    <definedName name="HTML_OBDlg2" hidden="1">TRUE</definedName>
    <definedName name="HTML_OBDlg4" hidden="1">TRUE</definedName>
    <definedName name="HTML_OS" hidden="1">0</definedName>
    <definedName name="HTML_PathFile" hidden="1">"\\Se 01\data se01\stock_nov99.htm"</definedName>
    <definedName name="HTML_Title" hidden="1">"Stock_November"</definedName>
    <definedName name="kissa" localSheetId="0">#REF!</definedName>
    <definedName name="kissa" localSheetId="4">#REF!</definedName>
    <definedName name="kissa" localSheetId="5">#REF!</definedName>
    <definedName name="kissa" localSheetId="2">#REF!</definedName>
    <definedName name="kissa" localSheetId="1">#REF!</definedName>
    <definedName name="kissa">#REF!</definedName>
    <definedName name="kissakei" localSheetId="0">#REF!</definedName>
    <definedName name="kissakei" localSheetId="4">#REF!</definedName>
    <definedName name="kissakei" localSheetId="5">#REF!</definedName>
    <definedName name="kissakei" localSheetId="1">#REF!</definedName>
    <definedName name="kissakei">#REF!</definedName>
    <definedName name="kk" localSheetId="0">#REF!</definedName>
    <definedName name="kk" localSheetId="4">#REF!</definedName>
    <definedName name="kk" localSheetId="5">#REF!</definedName>
    <definedName name="kk" localSheetId="1">#REF!</definedName>
    <definedName name="kk">#REF!</definedName>
    <definedName name="kkk" localSheetId="0">#REF!</definedName>
    <definedName name="kkk" localSheetId="4">#REF!</definedName>
    <definedName name="kkk" localSheetId="5">#REF!</definedName>
    <definedName name="kkk" localSheetId="1">#REF!</definedName>
    <definedName name="kkk">#REF!</definedName>
    <definedName name="kkkk" localSheetId="0">#REF!</definedName>
    <definedName name="kkkk" localSheetId="4">#REF!</definedName>
    <definedName name="kkkk" localSheetId="5">#REF!</definedName>
    <definedName name="kkkk" localSheetId="1">#REF!</definedName>
    <definedName name="kkkk">#REF!</definedName>
    <definedName name="l" localSheetId="0">#REF!</definedName>
    <definedName name="l" localSheetId="4">#REF!</definedName>
    <definedName name="l" localSheetId="5">#REF!</definedName>
    <definedName name="l" localSheetId="1">#REF!</definedName>
    <definedName name="l">#REF!</definedName>
    <definedName name="L_01" localSheetId="0">#REF!</definedName>
    <definedName name="L_01" localSheetId="4">#REF!</definedName>
    <definedName name="L_01" localSheetId="5">#REF!</definedName>
    <definedName name="L_01" localSheetId="1">#REF!</definedName>
    <definedName name="L_01">#REF!</definedName>
    <definedName name="LIA" localSheetId="0">#REF!</definedName>
    <definedName name="LIA" localSheetId="4">#REF!</definedName>
    <definedName name="LIA" localSheetId="5">#REF!</definedName>
    <definedName name="LIA" localSheetId="1">#REF!</definedName>
    <definedName name="LIA">#REF!</definedName>
    <definedName name="LILI" localSheetId="0">#REF!</definedName>
    <definedName name="LILI" localSheetId="4">#REF!</definedName>
    <definedName name="LILI" localSheetId="5">#REF!</definedName>
    <definedName name="LILI" localSheetId="1">#REF!</definedName>
    <definedName name="LILI">#REF!</definedName>
    <definedName name="LINA" localSheetId="0">#REF!</definedName>
    <definedName name="LINA" localSheetId="4">#REF!</definedName>
    <definedName name="LINA" localSheetId="5">#REF!</definedName>
    <definedName name="LINA" localSheetId="1">#REF!</definedName>
    <definedName name="LINA">#REF!</definedName>
    <definedName name="m" localSheetId="0">#REF!</definedName>
    <definedName name="m" localSheetId="4">#REF!</definedName>
    <definedName name="m" localSheetId="5">#REF!</definedName>
    <definedName name="m" localSheetId="1">#REF!</definedName>
    <definedName name="m">#REF!</definedName>
    <definedName name="Manufacturing" localSheetId="0">#REF!</definedName>
    <definedName name="Manufacturing" localSheetId="4">#REF!</definedName>
    <definedName name="Manufacturing" localSheetId="5">#REF!</definedName>
    <definedName name="Manufacturing" localSheetId="1">#REF!</definedName>
    <definedName name="Manufacturing">#REF!</definedName>
    <definedName name="MR" localSheetId="0">#REF!</definedName>
    <definedName name="MR" localSheetId="4">#REF!</definedName>
    <definedName name="MR" localSheetId="5">#REF!</definedName>
    <definedName name="MR" localSheetId="1">#REF!</definedName>
    <definedName name="MR">#REF!</definedName>
    <definedName name="nittk" localSheetId="0">#REF!</definedName>
    <definedName name="nittk" localSheetId="4">#REF!</definedName>
    <definedName name="nittk" localSheetId="5">#REF!</definedName>
    <definedName name="nittk" localSheetId="1">#REF!</definedName>
    <definedName name="nittk">#REF!</definedName>
    <definedName name="nittk_ok" localSheetId="0">#REF!</definedName>
    <definedName name="nittk_ok" localSheetId="4">#REF!</definedName>
    <definedName name="nittk_ok" localSheetId="5">#REF!</definedName>
    <definedName name="nittk_ok" localSheetId="1">#REF!</definedName>
    <definedName name="nittk_ok">#REF!</definedName>
    <definedName name="nittoukei" localSheetId="0">#REF!</definedName>
    <definedName name="nittoukei" localSheetId="4">#REF!</definedName>
    <definedName name="nittoukei" localSheetId="5">#REF!</definedName>
    <definedName name="nittoukei" localSheetId="1">#REF!</definedName>
    <definedName name="nittoukei">#REF!</definedName>
    <definedName name="Plan" hidden="1">[2]金具工程見出し!$A$9:$K$9</definedName>
    <definedName name="_xlnm.Print_Area" localSheetId="0">#REF!</definedName>
    <definedName name="_xlnm.Print_Area" localSheetId="2">#REF!</definedName>
    <definedName name="_xlnm.Print_Area">[2]金具工程見出し!$B$1:$K$65536</definedName>
    <definedName name="PRINT_AREA_MI" localSheetId="0">#REF!</definedName>
    <definedName name="Print_Area_MI" localSheetId="4">#REF!</definedName>
    <definedName name="Print_Area_MI" localSheetId="5">#REF!</definedName>
    <definedName name="PRINT_AREA_MI" localSheetId="2">#REF!</definedName>
    <definedName name="Print_Area_MI" localSheetId="1">#REF!</definedName>
    <definedName name="Print_Area_MI">#REF!</definedName>
    <definedName name="_xlnm.Print_Titles" localSheetId="0">#REF!</definedName>
    <definedName name="_xlnm.Print_Titles" localSheetId="2">#REF!</definedName>
    <definedName name="_xlnm.Print_Titles">#N/A</definedName>
    <definedName name="PRINT_TITLES_MI" localSheetId="0">#REF!</definedName>
    <definedName name="PRINT_TITLES_MI" localSheetId="4">#REF!</definedName>
    <definedName name="PRINT_TITLES_MI" localSheetId="5">#REF!</definedName>
    <definedName name="PRINT_TITLES_MI" localSheetId="2">#REF!</definedName>
    <definedName name="PRINT_TITLES_MI">#REF!</definedName>
    <definedName name="ry" localSheetId="0">#REF!</definedName>
    <definedName name="ry" localSheetId="4">#REF!</definedName>
    <definedName name="ry" localSheetId="5">#REF!</definedName>
    <definedName name="ry" localSheetId="1">#REF!</definedName>
    <definedName name="ry">#REF!</definedName>
    <definedName name="ryohikei" localSheetId="0">#REF!</definedName>
    <definedName name="ryohikei" localSheetId="4">#REF!</definedName>
    <definedName name="ryohikei" localSheetId="5">#REF!</definedName>
    <definedName name="ryohikei" localSheetId="1">#REF!</definedName>
    <definedName name="ryohikei">#REF!</definedName>
    <definedName name="S" localSheetId="0">#REF!</definedName>
    <definedName name="S" localSheetId="4">#REF!</definedName>
    <definedName name="S" localSheetId="5">#REF!</definedName>
    <definedName name="S" localSheetId="1">#REF!</definedName>
    <definedName name="S">#REF!</definedName>
    <definedName name="sais" localSheetId="0">#REF!</definedName>
    <definedName name="sais" localSheetId="4">#REF!</definedName>
    <definedName name="sais" localSheetId="5">#REF!</definedName>
    <definedName name="sais" localSheetId="1">#REF!</definedName>
    <definedName name="sais">#REF!</definedName>
    <definedName name="saisyuu" localSheetId="0">#REF!</definedName>
    <definedName name="saisyuu" localSheetId="4">#REF!</definedName>
    <definedName name="saisyuu" localSheetId="5">#REF!</definedName>
    <definedName name="saisyuu" localSheetId="1">#REF!</definedName>
    <definedName name="saisyuu">#REF!</definedName>
    <definedName name="se" localSheetId="0">#REF!</definedName>
    <definedName name="se" localSheetId="4">#REF!</definedName>
    <definedName name="se" localSheetId="5">#REF!</definedName>
    <definedName name="se" localSheetId="1">#REF!</definedName>
    <definedName name="se">#REF!</definedName>
    <definedName name="sett" localSheetId="0">#REF!</definedName>
    <definedName name="sett" localSheetId="4">#REF!</definedName>
    <definedName name="sett" localSheetId="5">#REF!</definedName>
    <definedName name="sett" localSheetId="1">#REF!</definedName>
    <definedName name="sett">#REF!</definedName>
    <definedName name="setta" localSheetId="0">#REF!</definedName>
    <definedName name="setta" localSheetId="4">#REF!</definedName>
    <definedName name="setta" localSheetId="5">#REF!</definedName>
    <definedName name="setta" localSheetId="1">#REF!</definedName>
    <definedName name="setta">#REF!</definedName>
    <definedName name="settaihikei" localSheetId="0">#REF!</definedName>
    <definedName name="settaihikei" localSheetId="4">#REF!</definedName>
    <definedName name="settaihikei" localSheetId="5">#REF!</definedName>
    <definedName name="settaihikei" localSheetId="1">#REF!</definedName>
    <definedName name="settaihikei">#REF!</definedName>
    <definedName name="settaikousai" localSheetId="0">#REF!</definedName>
    <definedName name="settaikousai" localSheetId="4">#REF!</definedName>
    <definedName name="settaikousai" localSheetId="5">#REF!</definedName>
    <definedName name="settaikousai" localSheetId="1">#REF!</definedName>
    <definedName name="settaikousai">#REF!</definedName>
    <definedName name="SEX" localSheetId="0">#REF!</definedName>
    <definedName name="SEX" localSheetId="4">#REF!</definedName>
    <definedName name="SEX" localSheetId="5">#REF!</definedName>
    <definedName name="SEX" localSheetId="1">#REF!</definedName>
    <definedName name="SEX">#REF!</definedName>
    <definedName name="shu" localSheetId="0">#REF!</definedName>
    <definedName name="shu" localSheetId="4">#REF!</definedName>
    <definedName name="shu" localSheetId="5">#REF!</definedName>
    <definedName name="shu" localSheetId="1">#REF!</definedName>
    <definedName name="shu">#REF!</definedName>
    <definedName name="shukuhakukei" localSheetId="0">#REF!</definedName>
    <definedName name="shukuhakukei" localSheetId="4">#REF!</definedName>
    <definedName name="shukuhakukei" localSheetId="5">#REF!</definedName>
    <definedName name="shukuhakukei" localSheetId="1">#REF!</definedName>
    <definedName name="shukuhakukei">#REF!</definedName>
    <definedName name="so" localSheetId="0">#REF!</definedName>
    <definedName name="so" localSheetId="4">#REF!</definedName>
    <definedName name="so" localSheetId="5">#REF!</definedName>
    <definedName name="so" localSheetId="1">#REF!</definedName>
    <definedName name="so">#REF!</definedName>
    <definedName name="son" localSheetId="0">#REF!</definedName>
    <definedName name="son" localSheetId="4">#REF!</definedName>
    <definedName name="son" localSheetId="5">#REF!</definedName>
    <definedName name="son" localSheetId="1">#REF!</definedName>
    <definedName name="son">#REF!</definedName>
    <definedName name="sonot" localSheetId="0">#REF!</definedName>
    <definedName name="sonot" localSheetId="4">#REF!</definedName>
    <definedName name="sonot" localSheetId="5">#REF!</definedName>
    <definedName name="sonot" localSheetId="1">#REF!</definedName>
    <definedName name="sonot">#REF!</definedName>
    <definedName name="sonotakei" localSheetId="0">#REF!</definedName>
    <definedName name="sonotakei" localSheetId="4">#REF!</definedName>
    <definedName name="sonotakei" localSheetId="5">#REF!</definedName>
    <definedName name="sonotakei" localSheetId="1">#REF!</definedName>
    <definedName name="sonotakei">#REF!</definedName>
    <definedName name="ST" localSheetId="0">#REF!</definedName>
    <definedName name="ST" localSheetId="4">#REF!</definedName>
    <definedName name="ST" localSheetId="5">#REF!</definedName>
    <definedName name="ST" localSheetId="1">#REF!</definedName>
    <definedName name="ST">#REF!</definedName>
    <definedName name="stt" localSheetId="0">#REF!</definedName>
    <definedName name="stt" localSheetId="4">#REF!</definedName>
    <definedName name="stt" localSheetId="5">#REF!</definedName>
    <definedName name="stt" localSheetId="1">#REF!</definedName>
    <definedName name="stt">#REF!</definedName>
    <definedName name="SX" localSheetId="0">#REF!</definedName>
    <definedName name="SX" localSheetId="4">#REF!</definedName>
    <definedName name="SX" localSheetId="5">#REF!</definedName>
    <definedName name="SX" localSheetId="1">#REF!</definedName>
    <definedName name="SX">#REF!</definedName>
    <definedName name="sxx" localSheetId="0">#REF!</definedName>
    <definedName name="sxx" localSheetId="4">#REF!</definedName>
    <definedName name="sxx" localSheetId="5">#REF!</definedName>
    <definedName name="sxx" localSheetId="1">#REF!</definedName>
    <definedName name="sxx">#REF!</definedName>
    <definedName name="test">[3]出力②!$G$7:$I$19</definedName>
    <definedName name="test2">[3]グラフ用!$E$3:$F$14</definedName>
    <definedName name="test3">[3]グラフ用!$H$5:$J$13</definedName>
    <definedName name="test4">[3]グラフ用!$I$4:$J$13</definedName>
    <definedName name="Tgl" localSheetId="0">#REF!</definedName>
    <definedName name="Tgl" localSheetId="4">#REF!</definedName>
    <definedName name="Tgl" localSheetId="5">#REF!</definedName>
    <definedName name="Tgl" localSheetId="2">#REF!</definedName>
    <definedName name="Tgl" localSheetId="1">#REF!</definedName>
    <definedName name="Tgl">#REF!</definedName>
    <definedName name="tgll" localSheetId="0">#REF!</definedName>
    <definedName name="tgll" localSheetId="4">#REF!</definedName>
    <definedName name="tgll" localSheetId="5">#REF!</definedName>
    <definedName name="tgll" localSheetId="1">#REF!</definedName>
    <definedName name="tgll">#REF!</definedName>
    <definedName name="tr" localSheetId="0">#REF!</definedName>
    <definedName name="tr" localSheetId="4">#REF!</definedName>
    <definedName name="tr" localSheetId="5">#REF!</definedName>
    <definedName name="tr" localSheetId="1">#REF!</definedName>
    <definedName name="tr">#REF!</definedName>
    <definedName name="train" localSheetId="0">#REF!</definedName>
    <definedName name="train" localSheetId="4">#REF!</definedName>
    <definedName name="train" localSheetId="5">#REF!</definedName>
    <definedName name="train" localSheetId="1">#REF!</definedName>
    <definedName name="train">#REF!</definedName>
    <definedName name="TRIAL" localSheetId="0">#REF!</definedName>
    <definedName name="TRIAL" localSheetId="4">#REF!</definedName>
    <definedName name="TRIAL" localSheetId="5">#REF!</definedName>
    <definedName name="TRIAL" localSheetId="1">#REF!</definedName>
    <definedName name="TRIAL">#REF!</definedName>
    <definedName name="tttttttttttt" localSheetId="0">#REF!</definedName>
    <definedName name="tttttttttttt" localSheetId="4">#REF!</definedName>
    <definedName name="tttttttttttt" localSheetId="5">#REF!</definedName>
    <definedName name="tttttttttttt" localSheetId="1">#REF!</definedName>
    <definedName name="tttttttttttt">#REF!</definedName>
    <definedName name="tu" localSheetId="0">#REF!</definedName>
    <definedName name="tu" localSheetId="4">#REF!</definedName>
    <definedName name="tu" localSheetId="5">#REF!</definedName>
    <definedName name="tu" localSheetId="1">#REF!</definedName>
    <definedName name="tu">#REF!</definedName>
    <definedName name="tuusinhikei" localSheetId="0">#REF!</definedName>
    <definedName name="tuusinhikei" localSheetId="4">#REF!</definedName>
    <definedName name="tuusinhikei" localSheetId="5">#REF!</definedName>
    <definedName name="tuusinhikei" localSheetId="1">#REF!</definedName>
    <definedName name="tuusinhikei">#REF!</definedName>
    <definedName name="u" localSheetId="0">#REF!</definedName>
    <definedName name="u" localSheetId="4">#REF!</definedName>
    <definedName name="u" localSheetId="5">#REF!</definedName>
    <definedName name="u" localSheetId="1">#REF!</definedName>
    <definedName name="u">#REF!</definedName>
    <definedName name="uj" localSheetId="0" hidden="1">{"'Stock November   ' 99'!$A$1:$AF$46"}</definedName>
    <definedName name="uj" localSheetId="4" hidden="1">{"'Stock November   ' 99'!$A$1:$AF$46"}</definedName>
    <definedName name="uj" localSheetId="5" hidden="1">{"'Stock November   ' 99'!$A$1:$AF$46"}</definedName>
    <definedName name="uj" localSheetId="2" hidden="1">{"'Stock November   ' 99'!$A$1:$AF$46"}</definedName>
    <definedName name="uj" localSheetId="1" hidden="1">{"'Stock November   ' 99'!$A$1:$AF$46"}</definedName>
    <definedName name="uj" hidden="1">{"'Stock November   ' 99'!$A$1:$AF$46"}</definedName>
    <definedName name="uji" localSheetId="0" hidden="1">{"'Stock November   ' 99'!$A$1:$AF$46"}</definedName>
    <definedName name="uji" localSheetId="4" hidden="1">{"'Stock November   ' 99'!$A$1:$AF$46"}</definedName>
    <definedName name="uji" localSheetId="5" hidden="1">{"'Stock November   ' 99'!$A$1:$AF$46"}</definedName>
    <definedName name="uji" localSheetId="2" hidden="1">{"'Stock November   ' 99'!$A$1:$AF$46"}</definedName>
    <definedName name="uji" localSheetId="1" hidden="1">{"'Stock November   ' 99'!$A$1:$AF$46"}</definedName>
    <definedName name="uji" hidden="1">{"'Stock November   ' 99'!$A$1:$AF$46"}</definedName>
    <definedName name="UT" localSheetId="0">#REF!</definedName>
    <definedName name="UT" localSheetId="4">#REF!</definedName>
    <definedName name="UT" localSheetId="5">#REF!</definedName>
    <definedName name="UT" localSheetId="1">#REF!</definedName>
    <definedName name="UT">#REF!</definedName>
    <definedName name="uu" localSheetId="0">#REF!</definedName>
    <definedName name="uu" localSheetId="4">#REF!</definedName>
    <definedName name="uu" localSheetId="5">#REF!</definedName>
    <definedName name="uu" localSheetId="1">#REF!</definedName>
    <definedName name="uu">#REF!</definedName>
    <definedName name="ww" localSheetId="0">#REF!</definedName>
    <definedName name="ww" localSheetId="4">#REF!</definedName>
    <definedName name="ww" localSheetId="5">#REF!</definedName>
    <definedName name="ww" localSheetId="1">#REF!</definedName>
    <definedName name="ww">#REF!</definedName>
    <definedName name="ﾃﾞｰﾀセ直販">'[4]ｺﾋﾟｰ用（直セ）'!$E$12</definedName>
    <definedName name="ﾃﾞｰﾀプラント">'[4]ｺﾋﾟｰ用（海プ）'!$E$1:$Y$97</definedName>
    <definedName name="ﾃﾞｰﾀ海プ">'[4]ｺﾋﾟｰ用（海プ）'!$D$7</definedName>
    <definedName name="ﾃﾞｰﾀ海市" localSheetId="0">#REF!</definedName>
    <definedName name="ﾃﾞｰﾀ海市" localSheetId="4">#REF!</definedName>
    <definedName name="ﾃﾞｰﾀ海市" localSheetId="5">#REF!</definedName>
    <definedName name="ﾃﾞｰﾀ海市" localSheetId="2">#REF!</definedName>
    <definedName name="ﾃﾞｰﾀ海市" localSheetId="1">#REF!</definedName>
    <definedName name="ﾃﾞｰﾀ海市">#REF!</definedName>
    <definedName name="ﾃﾞｰﾀ直販ｾﾝｻｰ">'[4]ｺﾋﾟｰ用（直セ）'!$E$1:$Y$34</definedName>
    <definedName name="プラントｺｰﾄﾞ">'[4]ｺﾋﾟｰ用（海プ）'!$F$1:$Z$209</definedName>
    <definedName name="リスト">[5]リスト!$C$1:$C$150</definedName>
    <definedName name="ルピア" localSheetId="0">#REF!</definedName>
    <definedName name="ルピア" localSheetId="4">#REF!</definedName>
    <definedName name="ルピア" localSheetId="5">#REF!</definedName>
    <definedName name="ルピア" localSheetId="2">#REF!</definedName>
    <definedName name="ルピア" localSheetId="1">#REF!</definedName>
    <definedName name="ルピア">#REF!</definedName>
    <definedName name="予算ﾚｰﾄ" localSheetId="0">#REF!</definedName>
    <definedName name="予算ﾚｰﾄ" localSheetId="4">#REF!</definedName>
    <definedName name="予算ﾚｰﾄ" localSheetId="5">#REF!</definedName>
    <definedName name="予算ﾚｰﾄ" localSheetId="1">#REF!</definedName>
    <definedName name="予算ﾚｰﾄ">#REF!</definedName>
    <definedName name="今" localSheetId="0">#REF!</definedName>
    <definedName name="今" localSheetId="4">#REF!</definedName>
    <definedName name="今" localSheetId="5">#REF!</definedName>
    <definedName name="今" localSheetId="1">#REF!</definedName>
    <definedName name="今">#REF!</definedName>
    <definedName name="仲介" localSheetId="0">#REF!</definedName>
    <definedName name="仲介" localSheetId="4">#REF!</definedName>
    <definedName name="仲介" localSheetId="5">#REF!</definedName>
    <definedName name="仲介" localSheetId="1">#REF!</definedName>
    <definedName name="仲介">#REF!</definedName>
    <definedName name="元" localSheetId="0">#REF!</definedName>
    <definedName name="元" localSheetId="4">#REF!</definedName>
    <definedName name="元" localSheetId="5">#REF!</definedName>
    <definedName name="元" localSheetId="1">#REF!</definedName>
    <definedName name="元">#REF!</definedName>
    <definedName name="円" localSheetId="0">#REF!</definedName>
    <definedName name="円" localSheetId="4">#REF!</definedName>
    <definedName name="円" localSheetId="5">#REF!</definedName>
    <definedName name="円" localSheetId="1">#REF!</definedName>
    <definedName name="円">#REF!</definedName>
    <definedName name="円vsドル_レート" localSheetId="0">#REF!</definedName>
    <definedName name="円vsドル_レート" localSheetId="4">#REF!</definedName>
    <definedName name="円vsドル_レート" localSheetId="5">#REF!</definedName>
    <definedName name="円vsドル_レート" localSheetId="1">#REF!</definedName>
    <definedName name="円vsドル_レート">#REF!</definedName>
    <definedName name="出発" localSheetId="0">[6]支援計画・０４!$G$4:$G$171</definedName>
    <definedName name="出発" localSheetId="2">[6]支援計画・０４!$G$4:$G$171</definedName>
    <definedName name="出発">[7]支援計画・０４!$G$4:$G$171</definedName>
    <definedName name="到着" localSheetId="0">[6]支援計画・０４!$F$4:$F$171</definedName>
    <definedName name="到着" localSheetId="2">[6]支援計画・０４!$F$4:$F$171</definedName>
    <definedName name="到着">[7]支援計画・０４!$F$4:$F$171</definedName>
    <definedName name="印刷領域" localSheetId="0">#REF!</definedName>
    <definedName name="印刷領域" localSheetId="4">#REF!</definedName>
    <definedName name="印刷領域" localSheetId="5">#REF!</definedName>
    <definedName name="印刷領域" localSheetId="2">#REF!</definedName>
    <definedName name="印刷領域" localSheetId="1">#REF!</definedName>
    <definedName name="印刷領域">#REF!</definedName>
    <definedName name="品種別ｺｰﾄﾞ">'[4]ｺﾋﾟｰ用（全社）'!$F$1:$Z$245</definedName>
    <definedName name="品種別出荷ﾃﾞｰﾀ">'[4]ｺﾋﾟｰ用（全社）'!$E$1:$X$65536</definedName>
    <definedName name="品種別出荷ﾃﾞｰﾀ全社">'[4]ｺﾋﾟｰ用（全社）'!$E$1:$X$65536</definedName>
    <definedName name="品種別実績" localSheetId="0">#REF!</definedName>
    <definedName name="品種別実績" localSheetId="4">#REF!</definedName>
    <definedName name="品種別実績" localSheetId="5">#REF!</definedName>
    <definedName name="品種別実績" localSheetId="2">#REF!</definedName>
    <definedName name="品種別実績" localSheetId="1">#REF!</definedName>
    <definedName name="品種別実績">#REF!</definedName>
    <definedName name="商品群" localSheetId="0">[8]テーブル!$B$2:$B$7</definedName>
    <definedName name="商品群" localSheetId="2">[8]テーブル!$B$2:$B$7</definedName>
    <definedName name="商品群">[9]テーブル!$B$2:$B$7</definedName>
    <definedName name="実績レート" localSheetId="0">#REF!</definedName>
    <definedName name="実績レート" localSheetId="4">#REF!</definedName>
    <definedName name="実績レート" localSheetId="5">#REF!</definedName>
    <definedName name="実績レート" localSheetId="2">#REF!</definedName>
    <definedName name="実績レート" localSheetId="1">#REF!</definedName>
    <definedName name="実績レート">#REF!</definedName>
    <definedName name="対象日数" localSheetId="0">#REF!</definedName>
    <definedName name="対象日数" localSheetId="4">#REF!</definedName>
    <definedName name="対象日数" localSheetId="5">#REF!</definedName>
    <definedName name="対象日数" localSheetId="1">#REF!</definedName>
    <definedName name="対象日数">#REF!</definedName>
    <definedName name="技術開発経費181" localSheetId="0">#REF!</definedName>
    <definedName name="技術開発経費181" localSheetId="4">#REF!</definedName>
    <definedName name="技術開発経費181" localSheetId="5">#REF!</definedName>
    <definedName name="技術開発経費181" localSheetId="1">#REF!</definedName>
    <definedName name="技術開発経費181">#REF!</definedName>
    <definedName name="技術開発経費182" localSheetId="0">#REF!</definedName>
    <definedName name="技術開発経費182" localSheetId="4">#REF!</definedName>
    <definedName name="技術開発経費182" localSheetId="5">#REF!</definedName>
    <definedName name="技術開発経費182" localSheetId="1">#REF!</definedName>
    <definedName name="技術開発経費182">#REF!</definedName>
    <definedName name="担当者" localSheetId="0">[8]テーブル!$F$2:$F$24</definedName>
    <definedName name="担当者" localSheetId="2">[8]テーブル!$F$2:$F$24</definedName>
    <definedName name="担当者">[9]テーブル!$F$2:$F$24</definedName>
    <definedName name="支援まとめ">'[10]予定日別1-6'!$U$4:$GV$4</definedName>
    <definedName name="日付" localSheetId="0">[6]支援計画・０４!$J$4:$CW$4</definedName>
    <definedName name="日付" localSheetId="2">[6]支援計画・０４!$J$4:$CW$4</definedName>
    <definedName name="日付">[7]支援計画・０４!$J$4:$CW$4</definedName>
    <definedName name="日数" localSheetId="0">#REF!</definedName>
    <definedName name="日数" localSheetId="4">#REF!</definedName>
    <definedName name="日数" localSheetId="5">#REF!</definedName>
    <definedName name="日数" localSheetId="2">#REF!</definedName>
    <definedName name="日数" localSheetId="1">#REF!</definedName>
    <definedName name="日数">#REF!</definedName>
    <definedName name="期" localSheetId="0">#REF!</definedName>
    <definedName name="期" localSheetId="4">#REF!</definedName>
    <definedName name="期" localSheetId="5">#REF!</definedName>
    <definedName name="期" localSheetId="1">#REF!</definedName>
    <definedName name="期">#REF!</definedName>
    <definedName name="梱包_Ｍ３">'[11]KB,MOLD ESTIMATE.00'!$F$13:$X$13</definedName>
    <definedName name="機能分類リスト" localSheetId="4">[12]開発計画品番リスト!#REF!</definedName>
    <definedName name="機能分類リスト" localSheetId="5">[12]開発計画品番リスト!#REF!</definedName>
    <definedName name="機能分類リスト" localSheetId="1">[12]開発計画品番リスト!#REF!</definedName>
    <definedName name="機能分類リスト">[12]開発計画品番リスト!#REF!</definedName>
    <definedName name="比率" localSheetId="4">[13]調達計画!#REF!</definedName>
    <definedName name="比率" localSheetId="5">[13]調達計画!#REF!</definedName>
    <definedName name="比率" localSheetId="1">[13]調達計画!#REF!</definedName>
    <definedName name="比率">[13]調達計画!#REF!</definedName>
    <definedName name="決算期区分" localSheetId="0">#REF!</definedName>
    <definedName name="決算期区分" localSheetId="4">#REF!</definedName>
    <definedName name="決算期区分" localSheetId="5">#REF!</definedName>
    <definedName name="決算期区分" localSheetId="2">#REF!</definedName>
    <definedName name="決算期区分" localSheetId="1">#REF!</definedName>
    <definedName name="決算期区分">#REF!</definedName>
    <definedName name="為替" localSheetId="0">#REF!</definedName>
    <definedName name="為替" localSheetId="4">#REF!</definedName>
    <definedName name="為替" localSheetId="5">#REF!</definedName>
    <definedName name="為替" localSheetId="1">#REF!</definedName>
    <definedName name="為替">#REF!</definedName>
    <definedName name="為替レートEU" localSheetId="0">#REF!</definedName>
    <definedName name="為替レートEU" localSheetId="4">#REF!</definedName>
    <definedName name="為替レートEU" localSheetId="5">#REF!</definedName>
    <definedName name="為替レートEU" localSheetId="1">#REF!</definedName>
    <definedName name="為替レートEU">#REF!</definedName>
    <definedName name="為替レートUS" localSheetId="0">#REF!</definedName>
    <definedName name="為替レートUS" localSheetId="4">#REF!</definedName>
    <definedName name="為替レートUS" localSheetId="5">#REF!</definedName>
    <definedName name="為替レートUS" localSheetId="1">#REF!</definedName>
    <definedName name="為替レートUS">#REF!</definedName>
    <definedName name="生産拠点" localSheetId="0">[8]テーブル!$C$2:$C$6</definedName>
    <definedName name="生産拠点" localSheetId="2">[8]テーブル!$C$2:$C$6</definedName>
    <definedName name="生産拠点">[9]テーブル!$C$2:$C$6</definedName>
    <definedName name="直販ｺｰﾄﾞ">'[4]ｺﾋﾟｰ用（直セ）'!$F$1:$AN$263</definedName>
    <definedName name="立上年" localSheetId="0">[8]テーブル!$A$2:$A$11</definedName>
    <definedName name="立上年" localSheetId="2">[8]テーブル!$A$2:$A$11</definedName>
    <definedName name="立上年">[9]テーブル!$A$2:$A$11</definedName>
    <definedName name="立上月" localSheetId="0">[8]テーブル!$D$2:$D$13</definedName>
    <definedName name="立上月" localSheetId="2">[8]テーブル!$D$2:$D$13</definedName>
    <definedName name="立上月">[9]テーブル!$D$2:$D$13</definedName>
    <definedName name="補助部門比率" localSheetId="0">#REF!</definedName>
    <definedName name="補助部門比率" localSheetId="4">#REF!</definedName>
    <definedName name="補助部門比率" localSheetId="5">#REF!</definedName>
    <definedName name="補助部門比率" localSheetId="2">#REF!</definedName>
    <definedName name="補助部門比率" localSheetId="1">#REF!</definedName>
    <definedName name="補助部門比率">#REF!</definedName>
    <definedName name="補助部門費_設計以外181" localSheetId="0">#REF!</definedName>
    <definedName name="補助部門費_設計以外181" localSheetId="4">#REF!</definedName>
    <definedName name="補助部門費_設計以外181" localSheetId="5">#REF!</definedName>
    <definedName name="補助部門費_設計以外181" localSheetId="1">#REF!</definedName>
    <definedName name="補助部門費_設計以外181">#REF!</definedName>
    <definedName name="補助部門費_設計以外182" localSheetId="0">#REF!</definedName>
    <definedName name="補助部門費_設計以外182" localSheetId="4">#REF!</definedName>
    <definedName name="補助部門費_設計以外182" localSheetId="5">#REF!</definedName>
    <definedName name="補助部門費_設計以外182" localSheetId="1">#REF!</definedName>
    <definedName name="補助部門費_設計以外182">#REF!</definedName>
    <definedName name="販管費率" localSheetId="0">#REF!</definedName>
    <definedName name="販管費率" localSheetId="4">#REF!</definedName>
    <definedName name="販管費率" localSheetId="5">#REF!</definedName>
    <definedName name="販管費率" localSheetId="1">#REF!</definedName>
    <definedName name="販管費率">#REF!</definedName>
    <definedName name="輸入" localSheetId="0">#REF!</definedName>
    <definedName name="輸入" localSheetId="4">#REF!</definedName>
    <definedName name="輸入" localSheetId="5">#REF!</definedName>
    <definedName name="輸入" localSheetId="1">#REF!</definedName>
    <definedName name="輸入">#REF!</definedName>
    <definedName name="配布先" localSheetId="0">#REF!</definedName>
    <definedName name="配布先" localSheetId="4">#REF!</definedName>
    <definedName name="配布先" localSheetId="5">#REF!</definedName>
    <definedName name="配布先" localSheetId="1">#REF!</definedName>
    <definedName name="配布先">#REF!</definedName>
    <definedName name="開発経費合計181" localSheetId="0">#REF!</definedName>
    <definedName name="開発経費合計181" localSheetId="4">#REF!</definedName>
    <definedName name="開発経費合計181" localSheetId="5">#REF!</definedName>
    <definedName name="開発経費合計181" localSheetId="1">#REF!</definedName>
    <definedName name="開発経費合計181">#REF!</definedName>
    <definedName name="開発経費合計182" localSheetId="0">#REF!</definedName>
    <definedName name="開発経費合計182" localSheetId="4">#REF!</definedName>
    <definedName name="開発経費合計182" localSheetId="5">#REF!</definedName>
    <definedName name="開発経費合計182" localSheetId="1">#REF!</definedName>
    <definedName name="開発経費合計182">#REF!</definedName>
    <definedName name="雇用" localSheetId="0">#REF!</definedName>
    <definedName name="雇用" localSheetId="4">#REF!</definedName>
    <definedName name="雇用" localSheetId="5">#REF!</definedName>
    <definedName name="雇用" localSheetId="1">#REF!</definedName>
    <definedName name="雇用">#REF!</definedName>
    <definedName name="電話代補助" localSheetId="0">#REF!</definedName>
    <definedName name="電話代補助" localSheetId="4">#REF!</definedName>
    <definedName name="電話代補助" localSheetId="5">#REF!</definedName>
    <definedName name="電話代補助" localSheetId="1">#REF!</definedName>
    <definedName name="電話代補助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2" i="3"/>
  <c r="AE55" i="5" l="1"/>
  <c r="AD55" i="5"/>
  <c r="N55" i="4"/>
  <c r="O55" i="4" s="1"/>
  <c r="P55" i="4"/>
  <c r="R55" i="4" s="1"/>
  <c r="BJ55" i="4"/>
  <c r="BK55" i="4"/>
  <c r="BE55" i="4" l="1"/>
  <c r="BA55" i="4"/>
  <c r="AW55" i="4"/>
  <c r="AS55" i="4"/>
  <c r="AO55" i="4"/>
  <c r="AK55" i="4"/>
  <c r="AG55" i="4"/>
  <c r="AC55" i="4"/>
  <c r="Y55" i="4"/>
  <c r="U55" i="4"/>
  <c r="Q55" i="4"/>
  <c r="BD55" i="4"/>
  <c r="AV55" i="4"/>
  <c r="AR55" i="4"/>
  <c r="AJ55" i="4"/>
  <c r="AF55" i="4"/>
  <c r="X55" i="4"/>
  <c r="BC55" i="4"/>
  <c r="AY55" i="4"/>
  <c r="AU55" i="4"/>
  <c r="AQ55" i="4"/>
  <c r="AM55" i="4"/>
  <c r="AI55" i="4"/>
  <c r="AE55" i="4"/>
  <c r="AA55" i="4"/>
  <c r="W55" i="4"/>
  <c r="S55" i="4"/>
  <c r="AZ55" i="4"/>
  <c r="AN55" i="4"/>
  <c r="AB55" i="4"/>
  <c r="T55" i="4"/>
  <c r="BB55" i="4"/>
  <c r="AX55" i="4"/>
  <c r="AT55" i="4"/>
  <c r="AP55" i="4"/>
  <c r="AL55" i="4"/>
  <c r="AH55" i="4"/>
  <c r="AD55" i="4"/>
  <c r="Z55" i="4"/>
  <c r="V55" i="4"/>
  <c r="O55" i="3"/>
  <c r="BI55" i="4" l="1"/>
  <c r="BH55" i="4"/>
  <c r="BG55" i="4"/>
  <c r="BF55" i="4"/>
  <c r="AJ2" i="5"/>
  <c r="AJ3" i="5"/>
  <c r="BJ3" i="4"/>
  <c r="BK3" i="4"/>
  <c r="BJ4" i="4"/>
  <c r="BK4" i="4"/>
  <c r="BJ5" i="4"/>
  <c r="BK5" i="4"/>
  <c r="BJ6" i="4"/>
  <c r="BK6" i="4"/>
  <c r="BJ7" i="4"/>
  <c r="BK7" i="4"/>
  <c r="BJ8" i="4"/>
  <c r="BK8" i="4"/>
  <c r="BJ9" i="4"/>
  <c r="BK9" i="4"/>
  <c r="BJ10" i="4"/>
  <c r="BK10" i="4"/>
  <c r="BJ11" i="4"/>
  <c r="BK11" i="4"/>
  <c r="BJ12" i="4"/>
  <c r="BK12" i="4"/>
  <c r="BJ13" i="4"/>
  <c r="BK13" i="4"/>
  <c r="BJ14" i="4"/>
  <c r="BK14" i="4"/>
  <c r="BJ15" i="4"/>
  <c r="BK15" i="4"/>
  <c r="BJ16" i="4"/>
  <c r="BK16" i="4"/>
  <c r="BJ17" i="4"/>
  <c r="BK17" i="4"/>
  <c r="BJ18" i="4"/>
  <c r="BK18" i="4"/>
  <c r="BJ19" i="4"/>
  <c r="BK19" i="4"/>
  <c r="BJ20" i="4"/>
  <c r="BK20" i="4"/>
  <c r="BJ21" i="4"/>
  <c r="BK21" i="4"/>
  <c r="BJ22" i="4"/>
  <c r="BK22" i="4"/>
  <c r="BJ23" i="4"/>
  <c r="BK23" i="4"/>
  <c r="BJ24" i="4"/>
  <c r="BK24" i="4"/>
  <c r="BJ25" i="4"/>
  <c r="BK25" i="4"/>
  <c r="BJ26" i="4"/>
  <c r="BK26" i="4"/>
  <c r="BJ27" i="4"/>
  <c r="BK27" i="4"/>
  <c r="BJ28" i="4"/>
  <c r="BK28" i="4"/>
  <c r="BJ29" i="4"/>
  <c r="BK29" i="4"/>
  <c r="BJ30" i="4"/>
  <c r="BK30" i="4"/>
  <c r="BJ31" i="4"/>
  <c r="BK31" i="4"/>
  <c r="BJ32" i="4"/>
  <c r="BK32" i="4"/>
  <c r="BJ33" i="4"/>
  <c r="BK33" i="4"/>
  <c r="BJ34" i="4"/>
  <c r="BK34" i="4"/>
  <c r="BJ35" i="4"/>
  <c r="BK35" i="4"/>
  <c r="BJ36" i="4"/>
  <c r="BK36" i="4"/>
  <c r="BJ37" i="4"/>
  <c r="BK37" i="4"/>
  <c r="BJ38" i="4"/>
  <c r="BK38" i="4"/>
  <c r="BJ39" i="4"/>
  <c r="BK39" i="4"/>
  <c r="BJ40" i="4"/>
  <c r="BK40" i="4"/>
  <c r="BJ41" i="4"/>
  <c r="BK41" i="4"/>
  <c r="BJ42" i="4"/>
  <c r="BK42" i="4"/>
  <c r="BJ43" i="4"/>
  <c r="BK43" i="4"/>
  <c r="BJ44" i="4"/>
  <c r="BK44" i="4"/>
  <c r="BJ45" i="4"/>
  <c r="BK45" i="4"/>
  <c r="BJ46" i="4"/>
  <c r="BK46" i="4"/>
  <c r="BJ47" i="4"/>
  <c r="BK47" i="4"/>
  <c r="BJ48" i="4"/>
  <c r="BK48" i="4"/>
  <c r="BJ49" i="4"/>
  <c r="BK49" i="4"/>
  <c r="BJ50" i="4"/>
  <c r="BK50" i="4"/>
  <c r="BJ51" i="4"/>
  <c r="BK51" i="4"/>
  <c r="BJ52" i="4"/>
  <c r="BK52" i="4"/>
  <c r="BJ53" i="4"/>
  <c r="BK53" i="4"/>
  <c r="BJ54" i="4"/>
  <c r="BK54" i="4"/>
  <c r="BJ56" i="4"/>
  <c r="BK56" i="4"/>
  <c r="BJ57" i="4"/>
  <c r="BK57" i="4"/>
  <c r="BJ58" i="4"/>
  <c r="BK58" i="4"/>
  <c r="BJ59" i="4"/>
  <c r="BK59" i="4"/>
  <c r="BJ60" i="4"/>
  <c r="BK60" i="4"/>
  <c r="BJ61" i="4"/>
  <c r="BK61" i="4"/>
  <c r="BJ62" i="4"/>
  <c r="BK62" i="4"/>
  <c r="BJ63" i="4"/>
  <c r="BK63" i="4"/>
  <c r="BJ64" i="4"/>
  <c r="BK64" i="4"/>
  <c r="BJ65" i="4"/>
  <c r="BK65" i="4"/>
  <c r="BJ66" i="4"/>
  <c r="BK66" i="4"/>
  <c r="BJ67" i="4"/>
  <c r="BK67" i="4"/>
  <c r="BJ68" i="4"/>
  <c r="BK68" i="4"/>
  <c r="BJ69" i="4"/>
  <c r="BK69" i="4"/>
  <c r="BJ70" i="4"/>
  <c r="BK70" i="4"/>
  <c r="BJ71" i="4"/>
  <c r="BK71" i="4"/>
  <c r="BJ72" i="4"/>
  <c r="BK72" i="4"/>
  <c r="BJ73" i="4"/>
  <c r="BK73" i="4"/>
  <c r="BJ74" i="4"/>
  <c r="BK74" i="4"/>
  <c r="BJ75" i="4"/>
  <c r="BK75" i="4"/>
  <c r="BJ76" i="4"/>
  <c r="BK76" i="4"/>
  <c r="BJ77" i="4"/>
  <c r="BK77" i="4"/>
  <c r="BJ78" i="4"/>
  <c r="BK78" i="4"/>
  <c r="BJ79" i="4"/>
  <c r="BK79" i="4"/>
  <c r="BJ80" i="4"/>
  <c r="BK80" i="4"/>
  <c r="BJ81" i="4"/>
  <c r="BK81" i="4"/>
  <c r="BJ82" i="4"/>
  <c r="BK82" i="4"/>
  <c r="BJ83" i="4"/>
  <c r="BK83" i="4"/>
  <c r="BJ84" i="4"/>
  <c r="BK84" i="4"/>
  <c r="BJ85" i="4"/>
  <c r="BK85" i="4"/>
  <c r="BJ86" i="4"/>
  <c r="BK86" i="4"/>
  <c r="BJ87" i="4"/>
  <c r="BK87" i="4"/>
  <c r="BJ88" i="4"/>
  <c r="BK88" i="4"/>
  <c r="BJ89" i="4"/>
  <c r="BK89" i="4"/>
  <c r="BJ90" i="4"/>
  <c r="BK90" i="4"/>
  <c r="BJ91" i="4"/>
  <c r="BK91" i="4"/>
  <c r="BJ92" i="4"/>
  <c r="BK92" i="4"/>
  <c r="BJ93" i="4"/>
  <c r="BK93" i="4"/>
  <c r="BJ94" i="4"/>
  <c r="BK94" i="4"/>
  <c r="BJ95" i="4"/>
  <c r="BK95" i="4"/>
  <c r="BJ96" i="4"/>
  <c r="BK96" i="4"/>
  <c r="BJ97" i="4"/>
  <c r="BK97" i="4"/>
  <c r="BJ98" i="4"/>
  <c r="BK98" i="4"/>
  <c r="BJ99" i="4"/>
  <c r="BK99" i="4"/>
  <c r="BJ100" i="4"/>
  <c r="BK100" i="4"/>
  <c r="BJ101" i="4"/>
  <c r="BK101" i="4"/>
  <c r="BJ102" i="4"/>
  <c r="BK102" i="4"/>
  <c r="BJ103" i="4"/>
  <c r="BK103" i="4"/>
  <c r="BJ104" i="4"/>
  <c r="BK104" i="4"/>
  <c r="BJ105" i="4"/>
  <c r="BK105" i="4"/>
  <c r="BJ106" i="4"/>
  <c r="BK106" i="4"/>
  <c r="BJ107" i="4"/>
  <c r="BK107" i="4"/>
  <c r="BJ108" i="4"/>
  <c r="BK108" i="4"/>
  <c r="BJ109" i="4"/>
  <c r="BK109" i="4"/>
  <c r="BJ110" i="4"/>
  <c r="BK110" i="4"/>
  <c r="BJ111" i="4"/>
  <c r="BK111" i="4"/>
  <c r="BJ112" i="4"/>
  <c r="BK112" i="4"/>
  <c r="BJ113" i="4"/>
  <c r="BK113" i="4"/>
  <c r="BJ114" i="4"/>
  <c r="BK114" i="4"/>
  <c r="BJ115" i="4"/>
  <c r="BK115" i="4"/>
  <c r="BJ116" i="4"/>
  <c r="BK116" i="4"/>
  <c r="BJ117" i="4"/>
  <c r="BK117" i="4"/>
  <c r="BJ118" i="4"/>
  <c r="BK118" i="4"/>
  <c r="BJ119" i="4"/>
  <c r="BK119" i="4"/>
  <c r="BJ120" i="4"/>
  <c r="BK120" i="4"/>
  <c r="BJ121" i="4"/>
  <c r="BK121" i="4"/>
  <c r="BJ122" i="4"/>
  <c r="BK122" i="4"/>
  <c r="BJ123" i="4"/>
  <c r="BK123" i="4"/>
  <c r="BJ124" i="4"/>
  <c r="BK124" i="4"/>
  <c r="BJ125" i="4"/>
  <c r="BK125" i="4"/>
  <c r="BJ126" i="4"/>
  <c r="BK126" i="4"/>
  <c r="BJ127" i="4"/>
  <c r="BK127" i="4"/>
  <c r="BJ128" i="4"/>
  <c r="BK128" i="4"/>
  <c r="BJ129" i="4"/>
  <c r="BK129" i="4"/>
  <c r="BJ130" i="4"/>
  <c r="BK130" i="4"/>
  <c r="BJ131" i="4"/>
  <c r="BK131" i="4"/>
  <c r="BJ132" i="4"/>
  <c r="BK132" i="4"/>
  <c r="BJ133" i="4"/>
  <c r="BK133" i="4"/>
  <c r="BJ134" i="4"/>
  <c r="BK134" i="4"/>
  <c r="BJ135" i="4"/>
  <c r="BK135" i="4"/>
  <c r="BJ136" i="4"/>
  <c r="BK136" i="4"/>
  <c r="BJ137" i="4"/>
  <c r="BK137" i="4"/>
  <c r="BJ138" i="4"/>
  <c r="BK138" i="4"/>
  <c r="BJ139" i="4"/>
  <c r="BK139" i="4"/>
  <c r="BJ140" i="4"/>
  <c r="BK140" i="4"/>
  <c r="BJ141" i="4"/>
  <c r="BK141" i="4"/>
  <c r="BJ142" i="4"/>
  <c r="BK142" i="4"/>
  <c r="BJ143" i="4"/>
  <c r="BK143" i="4"/>
  <c r="BJ144" i="4"/>
  <c r="BK144" i="4"/>
  <c r="BJ145" i="4"/>
  <c r="BK145" i="4"/>
  <c r="BJ146" i="4"/>
  <c r="BK146" i="4"/>
  <c r="BJ147" i="4"/>
  <c r="BK147" i="4"/>
  <c r="BJ148" i="4"/>
  <c r="BK148" i="4"/>
  <c r="BJ149" i="4"/>
  <c r="BK149" i="4"/>
  <c r="BJ150" i="4"/>
  <c r="BK150" i="4"/>
  <c r="BJ151" i="4"/>
  <c r="BK151" i="4"/>
  <c r="BK2" i="4"/>
  <c r="BJ2" i="4"/>
  <c r="E2" i="5" l="1"/>
  <c r="K2" i="5" s="1"/>
  <c r="AH3" i="5"/>
  <c r="C3" i="5" s="1"/>
  <c r="E3" i="5"/>
  <c r="J3" i="5" s="1"/>
  <c r="AH4" i="5"/>
  <c r="C4" i="5" s="1"/>
  <c r="AJ4" i="5"/>
  <c r="E4" i="5" s="1"/>
  <c r="K4" i="5" s="1"/>
  <c r="AH5" i="5"/>
  <c r="C5" i="5" s="1"/>
  <c r="AJ5" i="5"/>
  <c r="E5" i="5" s="1"/>
  <c r="J5" i="5" s="1"/>
  <c r="AH6" i="5"/>
  <c r="C6" i="5" s="1"/>
  <c r="AJ6" i="5"/>
  <c r="E6" i="5" s="1"/>
  <c r="J6" i="5" s="1"/>
  <c r="AH7" i="5"/>
  <c r="C7" i="5" s="1"/>
  <c r="AJ7" i="5"/>
  <c r="E7" i="5" s="1"/>
  <c r="K7" i="5" s="1"/>
  <c r="AH8" i="5"/>
  <c r="C8" i="5" s="1"/>
  <c r="AJ8" i="5"/>
  <c r="E8" i="5" s="1"/>
  <c r="K8" i="5" s="1"/>
  <c r="AH9" i="5"/>
  <c r="C9" i="5" s="1"/>
  <c r="AJ9" i="5"/>
  <c r="E9" i="5" s="1"/>
  <c r="K9" i="5" s="1"/>
  <c r="AH10" i="5"/>
  <c r="C10" i="5" s="1"/>
  <c r="AJ10" i="5"/>
  <c r="E10" i="5" s="1"/>
  <c r="J10" i="5" s="1"/>
  <c r="AH11" i="5"/>
  <c r="C11" i="5" s="1"/>
  <c r="AJ11" i="5"/>
  <c r="E11" i="5" s="1"/>
  <c r="K11" i="5" s="1"/>
  <c r="AH12" i="5"/>
  <c r="C12" i="5" s="1"/>
  <c r="AJ12" i="5"/>
  <c r="E12" i="5" s="1"/>
  <c r="K12" i="5" s="1"/>
  <c r="AH13" i="5"/>
  <c r="C13" i="5" s="1"/>
  <c r="AJ13" i="5"/>
  <c r="E13" i="5" s="1"/>
  <c r="J13" i="5" s="1"/>
  <c r="AH14" i="5"/>
  <c r="C14" i="5" s="1"/>
  <c r="AJ14" i="5"/>
  <c r="E14" i="5" s="1"/>
  <c r="J14" i="5" s="1"/>
  <c r="AH15" i="5"/>
  <c r="C15" i="5" s="1"/>
  <c r="AJ15" i="5"/>
  <c r="E15" i="5" s="1"/>
  <c r="K15" i="5" s="1"/>
  <c r="AH16" i="5"/>
  <c r="C16" i="5" s="1"/>
  <c r="AJ16" i="5"/>
  <c r="E16" i="5" s="1"/>
  <c r="J16" i="5" s="1"/>
  <c r="AH17" i="5"/>
  <c r="C17" i="5" s="1"/>
  <c r="AJ17" i="5"/>
  <c r="E17" i="5" s="1"/>
  <c r="K17" i="5" s="1"/>
  <c r="AH18" i="5"/>
  <c r="C18" i="5" s="1"/>
  <c r="AJ18" i="5"/>
  <c r="E18" i="5" s="1"/>
  <c r="J18" i="5" s="1"/>
  <c r="AH19" i="5"/>
  <c r="C19" i="5" s="1"/>
  <c r="AJ19" i="5"/>
  <c r="E19" i="5" s="1"/>
  <c r="K19" i="5" s="1"/>
  <c r="AH20" i="5"/>
  <c r="C20" i="5" s="1"/>
  <c r="AJ20" i="5"/>
  <c r="E20" i="5" s="1"/>
  <c r="K20" i="5" s="1"/>
  <c r="AH21" i="5"/>
  <c r="C21" i="5" s="1"/>
  <c r="AJ21" i="5"/>
  <c r="E21" i="5" s="1"/>
  <c r="K21" i="5" s="1"/>
  <c r="AH22" i="5"/>
  <c r="C22" i="5" s="1"/>
  <c r="AJ22" i="5"/>
  <c r="E22" i="5" s="1"/>
  <c r="J22" i="5" s="1"/>
  <c r="AH23" i="5"/>
  <c r="C23" i="5" s="1"/>
  <c r="AJ23" i="5"/>
  <c r="E23" i="5" s="1"/>
  <c r="K23" i="5" s="1"/>
  <c r="AH24" i="5"/>
  <c r="C24" i="5" s="1"/>
  <c r="AJ24" i="5"/>
  <c r="E24" i="5" s="1"/>
  <c r="K24" i="5" s="1"/>
  <c r="AH25" i="5"/>
  <c r="C25" i="5" s="1"/>
  <c r="AJ25" i="5"/>
  <c r="E25" i="5" s="1"/>
  <c r="K25" i="5" s="1"/>
  <c r="AH26" i="5"/>
  <c r="C26" i="5" s="1"/>
  <c r="AJ26" i="5"/>
  <c r="E26" i="5" s="1"/>
  <c r="J26" i="5" s="1"/>
  <c r="AH27" i="5"/>
  <c r="C27" i="5" s="1"/>
  <c r="AJ27" i="5"/>
  <c r="E27" i="5" s="1"/>
  <c r="J27" i="5" s="1"/>
  <c r="AH28" i="5"/>
  <c r="C28" i="5" s="1"/>
  <c r="AJ28" i="5"/>
  <c r="E28" i="5" s="1"/>
  <c r="K28" i="5" s="1"/>
  <c r="AH29" i="5"/>
  <c r="C29" i="5" s="1"/>
  <c r="AJ29" i="5"/>
  <c r="E29" i="5" s="1"/>
  <c r="K29" i="5" s="1"/>
  <c r="AH30" i="5"/>
  <c r="C30" i="5" s="1"/>
  <c r="AJ30" i="5"/>
  <c r="E30" i="5" s="1"/>
  <c r="J30" i="5" s="1"/>
  <c r="AH31" i="5"/>
  <c r="C31" i="5" s="1"/>
  <c r="AJ31" i="5"/>
  <c r="E31" i="5" s="1"/>
  <c r="K31" i="5" s="1"/>
  <c r="AH32" i="5"/>
  <c r="C32" i="5" s="1"/>
  <c r="AJ32" i="5"/>
  <c r="E32" i="5" s="1"/>
  <c r="J32" i="5" s="1"/>
  <c r="AH33" i="5"/>
  <c r="C33" i="5" s="1"/>
  <c r="AJ33" i="5"/>
  <c r="E33" i="5" s="1"/>
  <c r="K33" i="5" s="1"/>
  <c r="AH34" i="5"/>
  <c r="C34" i="5" s="1"/>
  <c r="AJ34" i="5"/>
  <c r="E34" i="5" s="1"/>
  <c r="J34" i="5" s="1"/>
  <c r="AH35" i="5"/>
  <c r="C35" i="5" s="1"/>
  <c r="AJ35" i="5"/>
  <c r="E35" i="5" s="1"/>
  <c r="J35" i="5" s="1"/>
  <c r="AH36" i="5"/>
  <c r="C36" i="5" s="1"/>
  <c r="AJ36" i="5"/>
  <c r="E36" i="5" s="1"/>
  <c r="K36" i="5" s="1"/>
  <c r="AH37" i="5"/>
  <c r="C37" i="5" s="1"/>
  <c r="AJ37" i="5"/>
  <c r="E37" i="5" s="1"/>
  <c r="J37" i="5" s="1"/>
  <c r="AH38" i="5"/>
  <c r="C38" i="5" s="1"/>
  <c r="AJ38" i="5"/>
  <c r="E38" i="5" s="1"/>
  <c r="J38" i="5" s="1"/>
  <c r="AH39" i="5"/>
  <c r="C39" i="5" s="1"/>
  <c r="AJ39" i="5"/>
  <c r="E39" i="5" s="1"/>
  <c r="J39" i="5" s="1"/>
  <c r="AH40" i="5"/>
  <c r="C40" i="5" s="1"/>
  <c r="AJ40" i="5"/>
  <c r="E40" i="5" s="1"/>
  <c r="J40" i="5" s="1"/>
  <c r="AH41" i="5"/>
  <c r="C41" i="5" s="1"/>
  <c r="AJ41" i="5"/>
  <c r="E41" i="5" s="1"/>
  <c r="J41" i="5" s="1"/>
  <c r="AH42" i="5"/>
  <c r="C42" i="5" s="1"/>
  <c r="AJ42" i="5"/>
  <c r="E42" i="5" s="1"/>
  <c r="J42" i="5" s="1"/>
  <c r="AH43" i="5"/>
  <c r="C43" i="5" s="1"/>
  <c r="AJ43" i="5"/>
  <c r="E43" i="5" s="1"/>
  <c r="J43" i="5" s="1"/>
  <c r="AH44" i="5"/>
  <c r="C44" i="5" s="1"/>
  <c r="AJ44" i="5"/>
  <c r="E44" i="5" s="1"/>
  <c r="K44" i="5" s="1"/>
  <c r="AH45" i="5"/>
  <c r="C45" i="5" s="1"/>
  <c r="AJ45" i="5"/>
  <c r="E45" i="5" s="1"/>
  <c r="J45" i="5" s="1"/>
  <c r="AH46" i="5"/>
  <c r="C46" i="5" s="1"/>
  <c r="AJ46" i="5"/>
  <c r="E46" i="5" s="1"/>
  <c r="J46" i="5" s="1"/>
  <c r="AH47" i="5"/>
  <c r="C47" i="5" s="1"/>
  <c r="AJ47" i="5"/>
  <c r="E47" i="5" s="1"/>
  <c r="J47" i="5" s="1"/>
  <c r="AH48" i="5"/>
  <c r="C48" i="5" s="1"/>
  <c r="AJ48" i="5"/>
  <c r="E48" i="5" s="1"/>
  <c r="J48" i="5" s="1"/>
  <c r="AH49" i="5"/>
  <c r="C49" i="5" s="1"/>
  <c r="AJ49" i="5"/>
  <c r="E49" i="5" s="1"/>
  <c r="J49" i="5" s="1"/>
  <c r="AH50" i="5"/>
  <c r="C50" i="5" s="1"/>
  <c r="AJ50" i="5"/>
  <c r="E50" i="5" s="1"/>
  <c r="J50" i="5" s="1"/>
  <c r="AH51" i="5"/>
  <c r="C51" i="5" s="1"/>
  <c r="AJ51" i="5"/>
  <c r="E51" i="5" s="1"/>
  <c r="J51" i="5" s="1"/>
  <c r="AH52" i="5"/>
  <c r="C52" i="5" s="1"/>
  <c r="AJ52" i="5"/>
  <c r="E52" i="5" s="1"/>
  <c r="J52" i="5" s="1"/>
  <c r="AH53" i="5"/>
  <c r="C53" i="5" s="1"/>
  <c r="AJ53" i="5"/>
  <c r="E53" i="5" s="1"/>
  <c r="J53" i="5" s="1"/>
  <c r="AH54" i="5"/>
  <c r="C54" i="5" s="1"/>
  <c r="AJ54" i="5"/>
  <c r="E54" i="5" s="1"/>
  <c r="J54" i="5" s="1"/>
  <c r="AH56" i="5"/>
  <c r="C56" i="5" s="1"/>
  <c r="AJ56" i="5"/>
  <c r="E56" i="5" s="1"/>
  <c r="K56" i="5" s="1"/>
  <c r="AH57" i="5"/>
  <c r="C57" i="5" s="1"/>
  <c r="AJ57" i="5"/>
  <c r="E57" i="5" s="1"/>
  <c r="J57" i="5" s="1"/>
  <c r="AH58" i="5"/>
  <c r="C58" i="5" s="1"/>
  <c r="AJ58" i="5"/>
  <c r="E58" i="5" s="1"/>
  <c r="J58" i="5" s="1"/>
  <c r="AH59" i="5"/>
  <c r="C59" i="5" s="1"/>
  <c r="AJ59" i="5"/>
  <c r="E59" i="5" s="1"/>
  <c r="J59" i="5" s="1"/>
  <c r="AH60" i="5"/>
  <c r="C60" i="5" s="1"/>
  <c r="AJ60" i="5"/>
  <c r="E60" i="5" s="1"/>
  <c r="J60" i="5" s="1"/>
  <c r="AH61" i="5"/>
  <c r="C61" i="5" s="1"/>
  <c r="AJ61" i="5"/>
  <c r="E61" i="5" s="1"/>
  <c r="K61" i="5" s="1"/>
  <c r="AH62" i="5"/>
  <c r="C62" i="5" s="1"/>
  <c r="AJ62" i="5"/>
  <c r="E62" i="5" s="1"/>
  <c r="J62" i="5" s="1"/>
  <c r="AH63" i="5"/>
  <c r="C63" i="5" s="1"/>
  <c r="AJ63" i="5"/>
  <c r="E63" i="5" s="1"/>
  <c r="J63" i="5" s="1"/>
  <c r="AH64" i="5"/>
  <c r="C64" i="5" s="1"/>
  <c r="AJ64" i="5"/>
  <c r="E64" i="5" s="1"/>
  <c r="J64" i="5" s="1"/>
  <c r="AH65" i="5"/>
  <c r="C65" i="5" s="1"/>
  <c r="AJ65" i="5"/>
  <c r="E65" i="5" s="1"/>
  <c r="J65" i="5" s="1"/>
  <c r="AH66" i="5"/>
  <c r="C66" i="5" s="1"/>
  <c r="AJ66" i="5"/>
  <c r="E66" i="5" s="1"/>
  <c r="K66" i="5" s="1"/>
  <c r="AH67" i="5"/>
  <c r="C67" i="5" s="1"/>
  <c r="AJ67" i="5"/>
  <c r="E67" i="5" s="1"/>
  <c r="J67" i="5" s="1"/>
  <c r="AH68" i="5"/>
  <c r="C68" i="5" s="1"/>
  <c r="AJ68" i="5"/>
  <c r="E68" i="5" s="1"/>
  <c r="J68" i="5" s="1"/>
  <c r="AH69" i="5"/>
  <c r="C69" i="5" s="1"/>
  <c r="AJ69" i="5"/>
  <c r="E69" i="5" s="1"/>
  <c r="J69" i="5" s="1"/>
  <c r="AH70" i="5"/>
  <c r="C70" i="5" s="1"/>
  <c r="AJ70" i="5"/>
  <c r="E70" i="5" s="1"/>
  <c r="J70" i="5" s="1"/>
  <c r="AH71" i="5"/>
  <c r="C71" i="5" s="1"/>
  <c r="AJ71" i="5"/>
  <c r="E71" i="5" s="1"/>
  <c r="J71" i="5" s="1"/>
  <c r="AH72" i="5"/>
  <c r="C72" i="5" s="1"/>
  <c r="AJ72" i="5"/>
  <c r="E72" i="5" s="1"/>
  <c r="J72" i="5" s="1"/>
  <c r="AH73" i="5"/>
  <c r="C73" i="5" s="1"/>
  <c r="AJ73" i="5"/>
  <c r="E73" i="5" s="1"/>
  <c r="J73" i="5" s="1"/>
  <c r="AH74" i="5"/>
  <c r="C74" i="5" s="1"/>
  <c r="AJ74" i="5"/>
  <c r="E74" i="5" s="1"/>
  <c r="J74" i="5" s="1"/>
  <c r="AH75" i="5"/>
  <c r="C75" i="5" s="1"/>
  <c r="AJ75" i="5"/>
  <c r="E75" i="5" s="1"/>
  <c r="J75" i="5" s="1"/>
  <c r="AH76" i="5"/>
  <c r="C76" i="5" s="1"/>
  <c r="AJ76" i="5"/>
  <c r="E76" i="5" s="1"/>
  <c r="J76" i="5" s="1"/>
  <c r="AH77" i="5"/>
  <c r="C77" i="5" s="1"/>
  <c r="AJ77" i="5"/>
  <c r="E77" i="5" s="1"/>
  <c r="K77" i="5" s="1"/>
  <c r="AH78" i="5"/>
  <c r="C78" i="5" s="1"/>
  <c r="AJ78" i="5"/>
  <c r="E78" i="5" s="1"/>
  <c r="J78" i="5" s="1"/>
  <c r="AH79" i="5"/>
  <c r="C79" i="5" s="1"/>
  <c r="AJ79" i="5"/>
  <c r="E79" i="5" s="1"/>
  <c r="J79" i="5" s="1"/>
  <c r="AH80" i="5"/>
  <c r="C80" i="5" s="1"/>
  <c r="AJ80" i="5"/>
  <c r="E80" i="5" s="1"/>
  <c r="K80" i="5" s="1"/>
  <c r="AH81" i="5"/>
  <c r="C81" i="5" s="1"/>
  <c r="AJ81" i="5"/>
  <c r="E81" i="5" s="1"/>
  <c r="J81" i="5" s="1"/>
  <c r="AH82" i="5"/>
  <c r="C82" i="5" s="1"/>
  <c r="AJ82" i="5"/>
  <c r="E82" i="5" s="1"/>
  <c r="J82" i="5" s="1"/>
  <c r="AH83" i="5"/>
  <c r="C83" i="5" s="1"/>
  <c r="AJ83" i="5"/>
  <c r="E83" i="5" s="1"/>
  <c r="J83" i="5" s="1"/>
  <c r="AH84" i="5"/>
  <c r="C84" i="5" s="1"/>
  <c r="AJ84" i="5"/>
  <c r="E84" i="5" s="1"/>
  <c r="J84" i="5" s="1"/>
  <c r="AH85" i="5"/>
  <c r="C85" i="5" s="1"/>
  <c r="AJ85" i="5"/>
  <c r="E85" i="5" s="1"/>
  <c r="J85" i="5" s="1"/>
  <c r="AH86" i="5"/>
  <c r="C86" i="5" s="1"/>
  <c r="AJ86" i="5"/>
  <c r="E86" i="5" s="1"/>
  <c r="J86" i="5" s="1"/>
  <c r="AH87" i="5"/>
  <c r="C87" i="5" s="1"/>
  <c r="AJ87" i="5"/>
  <c r="E87" i="5" s="1"/>
  <c r="J87" i="5" s="1"/>
  <c r="AH88" i="5"/>
  <c r="C88" i="5" s="1"/>
  <c r="AJ88" i="5"/>
  <c r="E88" i="5" s="1"/>
  <c r="K88" i="5" s="1"/>
  <c r="AH89" i="5"/>
  <c r="C89" i="5" s="1"/>
  <c r="AJ89" i="5"/>
  <c r="E89" i="5" s="1"/>
  <c r="J89" i="5" s="1"/>
  <c r="AH90" i="5"/>
  <c r="C90" i="5" s="1"/>
  <c r="AJ90" i="5"/>
  <c r="E90" i="5" s="1"/>
  <c r="K90" i="5" s="1"/>
  <c r="AH91" i="5"/>
  <c r="C91" i="5" s="1"/>
  <c r="AJ91" i="5"/>
  <c r="E91" i="5" s="1"/>
  <c r="J91" i="5" s="1"/>
  <c r="AH92" i="5"/>
  <c r="C92" i="5" s="1"/>
  <c r="AJ92" i="5"/>
  <c r="E92" i="5" s="1"/>
  <c r="J92" i="5" s="1"/>
  <c r="AH93" i="5"/>
  <c r="C93" i="5" s="1"/>
  <c r="AJ93" i="5"/>
  <c r="E93" i="5" s="1"/>
  <c r="K93" i="5" s="1"/>
  <c r="AH94" i="5"/>
  <c r="C94" i="5" s="1"/>
  <c r="AJ94" i="5"/>
  <c r="E94" i="5" s="1"/>
  <c r="J94" i="5" s="1"/>
  <c r="AH95" i="5"/>
  <c r="C95" i="5" s="1"/>
  <c r="AJ95" i="5"/>
  <c r="E95" i="5" s="1"/>
  <c r="J95" i="5" s="1"/>
  <c r="AH96" i="5"/>
  <c r="C96" i="5" s="1"/>
  <c r="AJ96" i="5"/>
  <c r="E96" i="5" s="1"/>
  <c r="J96" i="5" s="1"/>
  <c r="AH97" i="5"/>
  <c r="C97" i="5" s="1"/>
  <c r="AJ97" i="5"/>
  <c r="E97" i="5" s="1"/>
  <c r="J97" i="5" s="1"/>
  <c r="AH98" i="5"/>
  <c r="C98" i="5" s="1"/>
  <c r="AJ98" i="5"/>
  <c r="E98" i="5" s="1"/>
  <c r="K98" i="5" s="1"/>
  <c r="AH99" i="5"/>
  <c r="C99" i="5" s="1"/>
  <c r="AJ99" i="5"/>
  <c r="E99" i="5" s="1"/>
  <c r="J99" i="5" s="1"/>
  <c r="AH100" i="5"/>
  <c r="C100" i="5" s="1"/>
  <c r="AJ100" i="5"/>
  <c r="E100" i="5" s="1"/>
  <c r="J100" i="5" s="1"/>
  <c r="AH101" i="5"/>
  <c r="C101" i="5" s="1"/>
  <c r="AJ101" i="5"/>
  <c r="E101" i="5" s="1"/>
  <c r="J101" i="5" s="1"/>
  <c r="AH102" i="5"/>
  <c r="C102" i="5" s="1"/>
  <c r="AJ102" i="5"/>
  <c r="E102" i="5" s="1"/>
  <c r="J102" i="5" s="1"/>
  <c r="AH103" i="5"/>
  <c r="C103" i="5" s="1"/>
  <c r="AJ103" i="5"/>
  <c r="E103" i="5" s="1"/>
  <c r="J103" i="5" s="1"/>
  <c r="AH104" i="5"/>
  <c r="C104" i="5" s="1"/>
  <c r="AJ104" i="5"/>
  <c r="E104" i="5" s="1"/>
  <c r="J104" i="5" s="1"/>
  <c r="AH105" i="5"/>
  <c r="C105" i="5" s="1"/>
  <c r="AJ105" i="5"/>
  <c r="E105" i="5" s="1"/>
  <c r="J105" i="5" s="1"/>
  <c r="AH106" i="5"/>
  <c r="C106" i="5" s="1"/>
  <c r="AJ106" i="5"/>
  <c r="E106" i="5" s="1"/>
  <c r="J106" i="5" s="1"/>
  <c r="AH107" i="5"/>
  <c r="C107" i="5" s="1"/>
  <c r="AJ107" i="5"/>
  <c r="E107" i="5" s="1"/>
  <c r="J107" i="5" s="1"/>
  <c r="AH108" i="5"/>
  <c r="C108" i="5" s="1"/>
  <c r="AJ108" i="5"/>
  <c r="E108" i="5" s="1"/>
  <c r="J108" i="5" s="1"/>
  <c r="AH109" i="5"/>
  <c r="C109" i="5" s="1"/>
  <c r="AJ109" i="5"/>
  <c r="E109" i="5" s="1"/>
  <c r="K109" i="5" s="1"/>
  <c r="AH110" i="5"/>
  <c r="C110" i="5" s="1"/>
  <c r="AJ110" i="5"/>
  <c r="E110" i="5" s="1"/>
  <c r="J110" i="5" s="1"/>
  <c r="AH111" i="5"/>
  <c r="C111" i="5" s="1"/>
  <c r="AJ111" i="5"/>
  <c r="E111" i="5" s="1"/>
  <c r="J111" i="5" s="1"/>
  <c r="AH112" i="5"/>
  <c r="C112" i="5" s="1"/>
  <c r="AJ112" i="5"/>
  <c r="E112" i="5" s="1"/>
  <c r="J112" i="5" s="1"/>
  <c r="AH113" i="5"/>
  <c r="C113" i="5" s="1"/>
  <c r="AJ113" i="5"/>
  <c r="E113" i="5" s="1"/>
  <c r="J113" i="5" s="1"/>
  <c r="AH114" i="5"/>
  <c r="C114" i="5" s="1"/>
  <c r="AJ114" i="5"/>
  <c r="E114" i="5" s="1"/>
  <c r="K114" i="5" s="1"/>
  <c r="AH115" i="5"/>
  <c r="C115" i="5" s="1"/>
  <c r="AJ115" i="5"/>
  <c r="E115" i="5" s="1"/>
  <c r="J115" i="5" s="1"/>
  <c r="AH116" i="5"/>
  <c r="C116" i="5" s="1"/>
  <c r="AJ116" i="5"/>
  <c r="E116" i="5" s="1"/>
  <c r="J116" i="5" s="1"/>
  <c r="AH117" i="5"/>
  <c r="C117" i="5" s="1"/>
  <c r="AJ117" i="5"/>
  <c r="E117" i="5" s="1"/>
  <c r="J117" i="5" s="1"/>
  <c r="AH118" i="5"/>
  <c r="C118" i="5" s="1"/>
  <c r="AJ118" i="5"/>
  <c r="E118" i="5" s="1"/>
  <c r="J118" i="5" s="1"/>
  <c r="AH119" i="5"/>
  <c r="C119" i="5" s="1"/>
  <c r="AJ119" i="5"/>
  <c r="E119" i="5" s="1"/>
  <c r="J119" i="5" s="1"/>
  <c r="AH120" i="5"/>
  <c r="C120" i="5" s="1"/>
  <c r="AJ120" i="5"/>
  <c r="E120" i="5" s="1"/>
  <c r="K120" i="5" s="1"/>
  <c r="AH121" i="5"/>
  <c r="C121" i="5" s="1"/>
  <c r="AJ121" i="5"/>
  <c r="E121" i="5" s="1"/>
  <c r="J121" i="5" s="1"/>
  <c r="AH122" i="5"/>
  <c r="C122" i="5" s="1"/>
  <c r="AJ122" i="5"/>
  <c r="E122" i="5" s="1"/>
  <c r="J122" i="5" s="1"/>
  <c r="AH123" i="5"/>
  <c r="C123" i="5" s="1"/>
  <c r="AJ123" i="5"/>
  <c r="E123" i="5" s="1"/>
  <c r="J123" i="5" s="1"/>
  <c r="AH124" i="5"/>
  <c r="C124" i="5" s="1"/>
  <c r="AJ124" i="5"/>
  <c r="E124" i="5" s="1"/>
  <c r="J124" i="5" s="1"/>
  <c r="AH125" i="5"/>
  <c r="C125" i="5" s="1"/>
  <c r="AJ125" i="5"/>
  <c r="E125" i="5" s="1"/>
  <c r="K125" i="5" s="1"/>
  <c r="AH126" i="5"/>
  <c r="C126" i="5" s="1"/>
  <c r="AJ126" i="5"/>
  <c r="E126" i="5" s="1"/>
  <c r="J126" i="5" s="1"/>
  <c r="AH127" i="5"/>
  <c r="C127" i="5" s="1"/>
  <c r="AJ127" i="5"/>
  <c r="E127" i="5" s="1"/>
  <c r="J127" i="5" s="1"/>
  <c r="AH128" i="5"/>
  <c r="C128" i="5" s="1"/>
  <c r="AJ128" i="5"/>
  <c r="E128" i="5" s="1"/>
  <c r="J128" i="5" s="1"/>
  <c r="AH129" i="5"/>
  <c r="C129" i="5" s="1"/>
  <c r="AJ129" i="5"/>
  <c r="E129" i="5" s="1"/>
  <c r="J129" i="5" s="1"/>
  <c r="AH130" i="5"/>
  <c r="C130" i="5" s="1"/>
  <c r="AJ130" i="5"/>
  <c r="E130" i="5" s="1"/>
  <c r="K130" i="5" s="1"/>
  <c r="AH131" i="5"/>
  <c r="C131" i="5" s="1"/>
  <c r="AJ131" i="5"/>
  <c r="E131" i="5" s="1"/>
  <c r="J131" i="5" s="1"/>
  <c r="AH132" i="5"/>
  <c r="C132" i="5" s="1"/>
  <c r="AJ132" i="5"/>
  <c r="E132" i="5" s="1"/>
  <c r="J132" i="5" s="1"/>
  <c r="AH133" i="5"/>
  <c r="C133" i="5" s="1"/>
  <c r="AJ133" i="5"/>
  <c r="E133" i="5" s="1"/>
  <c r="J133" i="5" s="1"/>
  <c r="AH134" i="5"/>
  <c r="C134" i="5" s="1"/>
  <c r="AJ134" i="5"/>
  <c r="E134" i="5" s="1"/>
  <c r="J134" i="5" s="1"/>
  <c r="AH135" i="5"/>
  <c r="C135" i="5" s="1"/>
  <c r="AJ135" i="5"/>
  <c r="E135" i="5" s="1"/>
  <c r="J135" i="5" s="1"/>
  <c r="AH136" i="5"/>
  <c r="C136" i="5" s="1"/>
  <c r="AJ136" i="5"/>
  <c r="E136" i="5" s="1"/>
  <c r="K136" i="5" s="1"/>
  <c r="AH137" i="5"/>
  <c r="C137" i="5" s="1"/>
  <c r="AJ137" i="5"/>
  <c r="E137" i="5" s="1"/>
  <c r="J137" i="5" s="1"/>
  <c r="AH138" i="5"/>
  <c r="C138" i="5" s="1"/>
  <c r="AJ138" i="5"/>
  <c r="E138" i="5" s="1"/>
  <c r="J138" i="5" s="1"/>
  <c r="AH139" i="5"/>
  <c r="C139" i="5" s="1"/>
  <c r="AJ139" i="5"/>
  <c r="E139" i="5" s="1"/>
  <c r="J139" i="5" s="1"/>
  <c r="AH140" i="5"/>
  <c r="C140" i="5" s="1"/>
  <c r="AJ140" i="5"/>
  <c r="E140" i="5" s="1"/>
  <c r="J140" i="5" s="1"/>
  <c r="AH141" i="5"/>
  <c r="C141" i="5" s="1"/>
  <c r="AJ141" i="5"/>
  <c r="E141" i="5" s="1"/>
  <c r="K141" i="5" s="1"/>
  <c r="AH142" i="5"/>
  <c r="C142" i="5" s="1"/>
  <c r="AJ142" i="5"/>
  <c r="E142" i="5" s="1"/>
  <c r="J142" i="5" s="1"/>
  <c r="AH143" i="5"/>
  <c r="C143" i="5" s="1"/>
  <c r="AJ143" i="5"/>
  <c r="E143" i="5" s="1"/>
  <c r="J143" i="5" s="1"/>
  <c r="AH144" i="5"/>
  <c r="C144" i="5" s="1"/>
  <c r="AJ144" i="5"/>
  <c r="E144" i="5" s="1"/>
  <c r="J144" i="5" s="1"/>
  <c r="AH145" i="5"/>
  <c r="C145" i="5" s="1"/>
  <c r="AJ145" i="5"/>
  <c r="E145" i="5" s="1"/>
  <c r="J145" i="5" s="1"/>
  <c r="AH146" i="5"/>
  <c r="C146" i="5" s="1"/>
  <c r="AJ146" i="5"/>
  <c r="E146" i="5" s="1"/>
  <c r="K146" i="5" s="1"/>
  <c r="AH147" i="5"/>
  <c r="C147" i="5" s="1"/>
  <c r="AJ147" i="5"/>
  <c r="E147" i="5" s="1"/>
  <c r="J147" i="5" s="1"/>
  <c r="AH2" i="5"/>
  <c r="C2" i="5" s="1"/>
  <c r="AD3" i="5"/>
  <c r="AE3" i="5"/>
  <c r="AD4" i="5"/>
  <c r="AE4" i="5"/>
  <c r="AD5" i="5"/>
  <c r="AE5" i="5"/>
  <c r="AD6" i="5"/>
  <c r="AE6" i="5"/>
  <c r="AD7" i="5"/>
  <c r="AE7" i="5"/>
  <c r="AD8" i="5"/>
  <c r="AE8" i="5"/>
  <c r="AD9" i="5"/>
  <c r="AE9" i="5"/>
  <c r="AD10" i="5"/>
  <c r="AE10" i="5"/>
  <c r="AD11" i="5"/>
  <c r="AE11" i="5"/>
  <c r="AD12" i="5"/>
  <c r="AE12" i="5"/>
  <c r="AD13" i="5"/>
  <c r="AE13" i="5"/>
  <c r="AD14" i="5"/>
  <c r="AE14" i="5"/>
  <c r="AD15" i="5"/>
  <c r="AE15" i="5"/>
  <c r="AD16" i="5"/>
  <c r="AE16" i="5"/>
  <c r="AD17" i="5"/>
  <c r="AE17" i="5"/>
  <c r="AD18" i="5"/>
  <c r="AE18" i="5"/>
  <c r="AD19" i="5"/>
  <c r="AE19" i="5"/>
  <c r="AD20" i="5"/>
  <c r="AE20" i="5"/>
  <c r="AD21" i="5"/>
  <c r="AE21" i="5"/>
  <c r="AD22" i="5"/>
  <c r="AE22" i="5"/>
  <c r="AD23" i="5"/>
  <c r="AE23" i="5"/>
  <c r="AD24" i="5"/>
  <c r="AE24" i="5"/>
  <c r="AD25" i="5"/>
  <c r="AE25" i="5"/>
  <c r="AD26" i="5"/>
  <c r="AE26" i="5"/>
  <c r="AD27" i="5"/>
  <c r="AE27" i="5"/>
  <c r="AD28" i="5"/>
  <c r="AE28" i="5"/>
  <c r="AD29" i="5"/>
  <c r="AE29" i="5"/>
  <c r="AD30" i="5"/>
  <c r="AE30" i="5"/>
  <c r="AD31" i="5"/>
  <c r="AE31" i="5"/>
  <c r="AD32" i="5"/>
  <c r="AE32" i="5"/>
  <c r="AD33" i="5"/>
  <c r="AE33" i="5"/>
  <c r="AD34" i="5"/>
  <c r="AE34" i="5"/>
  <c r="AD35" i="5"/>
  <c r="AE35" i="5"/>
  <c r="AD36" i="5"/>
  <c r="AE36" i="5"/>
  <c r="AD37" i="5"/>
  <c r="AE37" i="5"/>
  <c r="AD38" i="5"/>
  <c r="AE38" i="5"/>
  <c r="AD39" i="5"/>
  <c r="AE39" i="5"/>
  <c r="AD40" i="5"/>
  <c r="AE40" i="5"/>
  <c r="AD41" i="5"/>
  <c r="AE41" i="5"/>
  <c r="AD42" i="5"/>
  <c r="AE42" i="5"/>
  <c r="AD43" i="5"/>
  <c r="AE43" i="5"/>
  <c r="AD44" i="5"/>
  <c r="AE44" i="5"/>
  <c r="AD45" i="5"/>
  <c r="AE45" i="5"/>
  <c r="AD46" i="5"/>
  <c r="AE46" i="5"/>
  <c r="AD47" i="5"/>
  <c r="AE47" i="5"/>
  <c r="AD48" i="5"/>
  <c r="AE48" i="5"/>
  <c r="AD49" i="5"/>
  <c r="AE49" i="5"/>
  <c r="AD50" i="5"/>
  <c r="AE50" i="5"/>
  <c r="AD51" i="5"/>
  <c r="AE51" i="5"/>
  <c r="AD52" i="5"/>
  <c r="AE52" i="5"/>
  <c r="AD53" i="5"/>
  <c r="AE53" i="5"/>
  <c r="AD54" i="5"/>
  <c r="AE54" i="5"/>
  <c r="AD56" i="5"/>
  <c r="AE56" i="5"/>
  <c r="AD57" i="5"/>
  <c r="AE57" i="5"/>
  <c r="AD58" i="5"/>
  <c r="AE58" i="5"/>
  <c r="AD59" i="5"/>
  <c r="AE59" i="5"/>
  <c r="AD60" i="5"/>
  <c r="AE60" i="5"/>
  <c r="AD61" i="5"/>
  <c r="AE61" i="5"/>
  <c r="AD62" i="5"/>
  <c r="AE62" i="5"/>
  <c r="AD63" i="5"/>
  <c r="AE63" i="5"/>
  <c r="AD64" i="5"/>
  <c r="AE64" i="5"/>
  <c r="AD65" i="5"/>
  <c r="AE65" i="5"/>
  <c r="AD66" i="5"/>
  <c r="AE66" i="5"/>
  <c r="AD67" i="5"/>
  <c r="AE67" i="5"/>
  <c r="AD68" i="5"/>
  <c r="AE68" i="5"/>
  <c r="AD69" i="5"/>
  <c r="AE69" i="5"/>
  <c r="AD70" i="5"/>
  <c r="AE70" i="5"/>
  <c r="AD71" i="5"/>
  <c r="AE71" i="5"/>
  <c r="AD72" i="5"/>
  <c r="AE72" i="5"/>
  <c r="AD73" i="5"/>
  <c r="AE73" i="5"/>
  <c r="AD74" i="5"/>
  <c r="AE74" i="5"/>
  <c r="AD75" i="5"/>
  <c r="AE75" i="5"/>
  <c r="AD76" i="5"/>
  <c r="AE76" i="5"/>
  <c r="AD77" i="5"/>
  <c r="AE77" i="5"/>
  <c r="AD78" i="5"/>
  <c r="AE78" i="5"/>
  <c r="AD79" i="5"/>
  <c r="AE79" i="5"/>
  <c r="AD80" i="5"/>
  <c r="AE80" i="5"/>
  <c r="AD81" i="5"/>
  <c r="AE81" i="5"/>
  <c r="AD82" i="5"/>
  <c r="AE82" i="5"/>
  <c r="AD83" i="5"/>
  <c r="AE83" i="5"/>
  <c r="AD84" i="5"/>
  <c r="AE84" i="5"/>
  <c r="AD85" i="5"/>
  <c r="AE85" i="5"/>
  <c r="AD86" i="5"/>
  <c r="AE86" i="5"/>
  <c r="AD87" i="5"/>
  <c r="AE87" i="5"/>
  <c r="AD88" i="5"/>
  <c r="AE88" i="5"/>
  <c r="AD89" i="5"/>
  <c r="AE89" i="5"/>
  <c r="AD90" i="5"/>
  <c r="AE90" i="5"/>
  <c r="AD91" i="5"/>
  <c r="AE91" i="5"/>
  <c r="AD92" i="5"/>
  <c r="AE92" i="5"/>
  <c r="AD93" i="5"/>
  <c r="AE93" i="5"/>
  <c r="AD94" i="5"/>
  <c r="AE94" i="5"/>
  <c r="AD95" i="5"/>
  <c r="AE95" i="5"/>
  <c r="AD96" i="5"/>
  <c r="AE96" i="5"/>
  <c r="AD97" i="5"/>
  <c r="AE97" i="5"/>
  <c r="AD98" i="5"/>
  <c r="AE98" i="5"/>
  <c r="AD99" i="5"/>
  <c r="AE99" i="5"/>
  <c r="AD100" i="5"/>
  <c r="AE100" i="5"/>
  <c r="AD101" i="5"/>
  <c r="AE101" i="5"/>
  <c r="AD102" i="5"/>
  <c r="AE102" i="5"/>
  <c r="AD103" i="5"/>
  <c r="AE103" i="5"/>
  <c r="AD104" i="5"/>
  <c r="AE104" i="5"/>
  <c r="AD105" i="5"/>
  <c r="AE105" i="5"/>
  <c r="AD106" i="5"/>
  <c r="AE106" i="5"/>
  <c r="AD107" i="5"/>
  <c r="AE107" i="5"/>
  <c r="AD108" i="5"/>
  <c r="AE108" i="5"/>
  <c r="AD109" i="5"/>
  <c r="AE109" i="5"/>
  <c r="AD110" i="5"/>
  <c r="AE110" i="5"/>
  <c r="AD111" i="5"/>
  <c r="AE111" i="5"/>
  <c r="AD112" i="5"/>
  <c r="AE112" i="5"/>
  <c r="AD113" i="5"/>
  <c r="AE113" i="5"/>
  <c r="AD114" i="5"/>
  <c r="AE114" i="5"/>
  <c r="AD115" i="5"/>
  <c r="AE115" i="5"/>
  <c r="AD116" i="5"/>
  <c r="AE116" i="5"/>
  <c r="AD117" i="5"/>
  <c r="AE117" i="5"/>
  <c r="AD118" i="5"/>
  <c r="AE118" i="5"/>
  <c r="AD119" i="5"/>
  <c r="AE119" i="5"/>
  <c r="AD120" i="5"/>
  <c r="AE120" i="5"/>
  <c r="AD121" i="5"/>
  <c r="AE121" i="5"/>
  <c r="AD122" i="5"/>
  <c r="AE122" i="5"/>
  <c r="AD123" i="5"/>
  <c r="AE123" i="5"/>
  <c r="AD124" i="5"/>
  <c r="AE124" i="5"/>
  <c r="AD125" i="5"/>
  <c r="AE125" i="5"/>
  <c r="AD126" i="5"/>
  <c r="AE126" i="5"/>
  <c r="AD127" i="5"/>
  <c r="AE127" i="5"/>
  <c r="AD128" i="5"/>
  <c r="AE128" i="5"/>
  <c r="AD129" i="5"/>
  <c r="AE129" i="5"/>
  <c r="AD130" i="5"/>
  <c r="AE130" i="5"/>
  <c r="AD131" i="5"/>
  <c r="AE131" i="5"/>
  <c r="AD132" i="5"/>
  <c r="AE132" i="5"/>
  <c r="AD133" i="5"/>
  <c r="AE133" i="5"/>
  <c r="AD134" i="5"/>
  <c r="AE134" i="5"/>
  <c r="AD135" i="5"/>
  <c r="AE135" i="5"/>
  <c r="AD136" i="5"/>
  <c r="AE136" i="5"/>
  <c r="AD137" i="5"/>
  <c r="AE137" i="5"/>
  <c r="AD138" i="5"/>
  <c r="AE138" i="5"/>
  <c r="AD139" i="5"/>
  <c r="AE139" i="5"/>
  <c r="AD140" i="5"/>
  <c r="AE140" i="5"/>
  <c r="AD141" i="5"/>
  <c r="AE141" i="5"/>
  <c r="AD142" i="5"/>
  <c r="AE142" i="5"/>
  <c r="AD143" i="5"/>
  <c r="AE143" i="5"/>
  <c r="AD144" i="5"/>
  <c r="AE144" i="5"/>
  <c r="AD145" i="5"/>
  <c r="AE145" i="5"/>
  <c r="AD146" i="5"/>
  <c r="AE146" i="5"/>
  <c r="AD147" i="5"/>
  <c r="AE147" i="5"/>
  <c r="AE2" i="5"/>
  <c r="AD2" i="5"/>
  <c r="J4" i="5"/>
  <c r="J9" i="5"/>
  <c r="J15" i="5"/>
  <c r="J21" i="5"/>
  <c r="J28" i="5"/>
  <c r="J31" i="5"/>
  <c r="K39" i="5"/>
  <c r="K47" i="5"/>
  <c r="K52" i="5"/>
  <c r="J56" i="5"/>
  <c r="J66" i="5"/>
  <c r="J80" i="5"/>
  <c r="K85" i="5"/>
  <c r="J90" i="5"/>
  <c r="K106" i="5"/>
  <c r="K117" i="5"/>
  <c r="K122" i="5" l="1"/>
  <c r="J98" i="5"/>
  <c r="K58" i="5"/>
  <c r="K35" i="5"/>
  <c r="K118" i="5"/>
  <c r="K108" i="5"/>
  <c r="K68" i="5"/>
  <c r="K49" i="5"/>
  <c r="K41" i="5"/>
  <c r="J24" i="5"/>
  <c r="K16" i="5"/>
  <c r="J11" i="5"/>
  <c r="K100" i="5"/>
  <c r="K13" i="5"/>
  <c r="J114" i="5"/>
  <c r="K74" i="5"/>
  <c r="K64" i="5"/>
  <c r="J19" i="5"/>
  <c r="J7" i="5"/>
  <c r="K112" i="5"/>
  <c r="K84" i="5"/>
  <c r="K72" i="5"/>
  <c r="K51" i="5"/>
  <c r="K45" i="5"/>
  <c r="J25" i="5"/>
  <c r="J17" i="5"/>
  <c r="J146" i="5"/>
  <c r="K128" i="5"/>
  <c r="K138" i="5"/>
  <c r="K116" i="5"/>
  <c r="K104" i="5"/>
  <c r="K96" i="5"/>
  <c r="J88" i="5"/>
  <c r="K82" i="5"/>
  <c r="K78" i="5"/>
  <c r="K62" i="5"/>
  <c r="K53" i="5"/>
  <c r="K43" i="5"/>
  <c r="K37" i="5"/>
  <c r="J29" i="5"/>
  <c r="K5" i="5"/>
  <c r="K132" i="5"/>
  <c r="J120" i="5"/>
  <c r="K110" i="5"/>
  <c r="K94" i="5"/>
  <c r="K86" i="5"/>
  <c r="K76" i="5"/>
  <c r="J136" i="5"/>
  <c r="K142" i="5"/>
  <c r="J141" i="5"/>
  <c r="K133" i="5"/>
  <c r="K126" i="5"/>
  <c r="K121" i="5"/>
  <c r="K101" i="5"/>
  <c r="K89" i="5"/>
  <c r="K69" i="5"/>
  <c r="K57" i="5"/>
  <c r="J8" i="5"/>
  <c r="J125" i="5"/>
  <c r="K73" i="5"/>
  <c r="J61" i="5"/>
  <c r="K105" i="5"/>
  <c r="J93" i="5"/>
  <c r="K144" i="5"/>
  <c r="K137" i="5"/>
  <c r="J130" i="5"/>
  <c r="J109" i="5"/>
  <c r="J77" i="5"/>
  <c r="J44" i="5"/>
  <c r="K32" i="5"/>
  <c r="J20" i="5"/>
  <c r="K145" i="5"/>
  <c r="K134" i="5"/>
  <c r="K124" i="5"/>
  <c r="K113" i="5"/>
  <c r="K102" i="5"/>
  <c r="K92" i="5"/>
  <c r="K81" i="5"/>
  <c r="K70" i="5"/>
  <c r="K60" i="5"/>
  <c r="K48" i="5"/>
  <c r="J36" i="5"/>
  <c r="K27" i="5"/>
  <c r="J23" i="5"/>
  <c r="J12" i="5"/>
  <c r="K140" i="5"/>
  <c r="K129" i="5"/>
  <c r="K97" i="5"/>
  <c r="K65" i="5"/>
  <c r="K3" i="5"/>
  <c r="K40" i="5"/>
  <c r="J33" i="5"/>
  <c r="J2" i="5"/>
  <c r="K147" i="5"/>
  <c r="K143" i="5"/>
  <c r="K139" i="5"/>
  <c r="K135" i="5"/>
  <c r="K131" i="5"/>
  <c r="K127" i="5"/>
  <c r="K123" i="5"/>
  <c r="K119" i="5"/>
  <c r="K115" i="5"/>
  <c r="K111" i="5"/>
  <c r="K107" i="5"/>
  <c r="K103" i="5"/>
  <c r="K99" i="5"/>
  <c r="K95" i="5"/>
  <c r="K91" i="5"/>
  <c r="K87" i="5"/>
  <c r="K83" i="5"/>
  <c r="K79" i="5"/>
  <c r="K75" i="5"/>
  <c r="K71" i="5"/>
  <c r="K67" i="5"/>
  <c r="K63" i="5"/>
  <c r="K59" i="5"/>
  <c r="K54" i="5"/>
  <c r="K50" i="5"/>
  <c r="K46" i="5"/>
  <c r="K42" i="5"/>
  <c r="K38" i="5"/>
  <c r="K34" i="5"/>
  <c r="K30" i="5"/>
  <c r="K26" i="5"/>
  <c r="K22" i="5"/>
  <c r="K18" i="5"/>
  <c r="K14" i="5"/>
  <c r="K10" i="5"/>
  <c r="K6" i="5"/>
  <c r="N148" i="4" l="1"/>
  <c r="O148" i="4" s="1"/>
  <c r="P148" i="4"/>
  <c r="R148" i="4" s="1"/>
  <c r="Q148" i="4"/>
  <c r="T148" i="4"/>
  <c r="U148" i="4"/>
  <c r="X148" i="4"/>
  <c r="Y148" i="4"/>
  <c r="AB148" i="4"/>
  <c r="AC148" i="4"/>
  <c r="AF148" i="4"/>
  <c r="AG148" i="4"/>
  <c r="AJ148" i="4"/>
  <c r="AK148" i="4"/>
  <c r="AN148" i="4"/>
  <c r="AO148" i="4"/>
  <c r="AR148" i="4"/>
  <c r="AS148" i="4"/>
  <c r="AV148" i="4"/>
  <c r="AW148" i="4"/>
  <c r="AZ148" i="4"/>
  <c r="BA148" i="4"/>
  <c r="BD148" i="4"/>
  <c r="BE148" i="4"/>
  <c r="N149" i="4"/>
  <c r="O149" i="4"/>
  <c r="P149" i="4"/>
  <c r="R149" i="4" s="1"/>
  <c r="Q149" i="4"/>
  <c r="T149" i="4"/>
  <c r="U149" i="4"/>
  <c r="X149" i="4"/>
  <c r="Y149" i="4"/>
  <c r="AB149" i="4"/>
  <c r="AC149" i="4"/>
  <c r="AF149" i="4"/>
  <c r="AG149" i="4"/>
  <c r="AJ149" i="4"/>
  <c r="AK149" i="4"/>
  <c r="AN149" i="4"/>
  <c r="AO149" i="4"/>
  <c r="AR149" i="4"/>
  <c r="AS149" i="4"/>
  <c r="AV149" i="4"/>
  <c r="AW149" i="4"/>
  <c r="AZ149" i="4"/>
  <c r="BA149" i="4"/>
  <c r="BD149" i="4"/>
  <c r="BE149" i="4"/>
  <c r="N150" i="4"/>
  <c r="O150" i="4"/>
  <c r="P150" i="4"/>
  <c r="R150" i="4" s="1"/>
  <c r="Q150" i="4"/>
  <c r="S150" i="4"/>
  <c r="T150" i="4"/>
  <c r="U150" i="4"/>
  <c r="W150" i="4"/>
  <c r="X150" i="4"/>
  <c r="Y150" i="4"/>
  <c r="AA150" i="4"/>
  <c r="AB150" i="4"/>
  <c r="AC150" i="4"/>
  <c r="AE150" i="4"/>
  <c r="AF150" i="4"/>
  <c r="AG150" i="4"/>
  <c r="AI150" i="4"/>
  <c r="AJ150" i="4"/>
  <c r="AK150" i="4"/>
  <c r="AM150" i="4"/>
  <c r="AN150" i="4"/>
  <c r="AO150" i="4"/>
  <c r="AQ150" i="4"/>
  <c r="AR150" i="4"/>
  <c r="AS150" i="4"/>
  <c r="AU150" i="4"/>
  <c r="AV150" i="4"/>
  <c r="AW150" i="4"/>
  <c r="AY150" i="4"/>
  <c r="AZ150" i="4"/>
  <c r="BA150" i="4"/>
  <c r="BC150" i="4"/>
  <c r="BD150" i="4"/>
  <c r="BE150" i="4"/>
  <c r="N151" i="4"/>
  <c r="O151" i="4"/>
  <c r="P151" i="4"/>
  <c r="R151" i="4" s="1"/>
  <c r="Q151" i="4"/>
  <c r="T151" i="4"/>
  <c r="U151" i="4"/>
  <c r="X151" i="4"/>
  <c r="Y151" i="4"/>
  <c r="AB151" i="4"/>
  <c r="AC151" i="4"/>
  <c r="AF151" i="4"/>
  <c r="AG151" i="4"/>
  <c r="AJ151" i="4"/>
  <c r="AK151" i="4"/>
  <c r="AN151" i="4"/>
  <c r="AO151" i="4"/>
  <c r="AR151" i="4"/>
  <c r="AS151" i="4"/>
  <c r="AV151" i="4"/>
  <c r="AW151" i="4"/>
  <c r="AZ151" i="4"/>
  <c r="BA151" i="4"/>
  <c r="BD151" i="4"/>
  <c r="BE151" i="4"/>
  <c r="BF150" i="4" l="1"/>
  <c r="BC151" i="4"/>
  <c r="AY151" i="4"/>
  <c r="AU151" i="4"/>
  <c r="AQ151" i="4"/>
  <c r="AM151" i="4"/>
  <c r="AI151" i="4"/>
  <c r="AE151" i="4"/>
  <c r="AA151" i="4"/>
  <c r="W151" i="4"/>
  <c r="S151" i="4"/>
  <c r="BF151" i="4" s="1"/>
  <c r="BC149" i="4"/>
  <c r="AY149" i="4"/>
  <c r="AU149" i="4"/>
  <c r="AQ149" i="4"/>
  <c r="AM149" i="4"/>
  <c r="AI149" i="4"/>
  <c r="AE149" i="4"/>
  <c r="AA149" i="4"/>
  <c r="W149" i="4"/>
  <c r="S149" i="4"/>
  <c r="BF149" i="4" s="1"/>
  <c r="BB151" i="4"/>
  <c r="AX151" i="4"/>
  <c r="AT151" i="4"/>
  <c r="BI151" i="4" s="1"/>
  <c r="AP151" i="4"/>
  <c r="AL151" i="4"/>
  <c r="AH151" i="4"/>
  <c r="AD151" i="4"/>
  <c r="Z151" i="4"/>
  <c r="V151" i="4"/>
  <c r="BG151" i="4" s="1"/>
  <c r="BB149" i="4"/>
  <c r="AX149" i="4"/>
  <c r="AT149" i="4"/>
  <c r="AP149" i="4"/>
  <c r="AL149" i="4"/>
  <c r="AH149" i="4"/>
  <c r="BH149" i="4" s="1"/>
  <c r="AD149" i="4"/>
  <c r="Z149" i="4"/>
  <c r="V149" i="4"/>
  <c r="BC148" i="4"/>
  <c r="AY148" i="4"/>
  <c r="AU148" i="4"/>
  <c r="AQ148" i="4"/>
  <c r="AM148" i="4"/>
  <c r="AI148" i="4"/>
  <c r="AE148" i="4"/>
  <c r="AA148" i="4"/>
  <c r="W148" i="4"/>
  <c r="S148" i="4"/>
  <c r="BF148" i="4" s="1"/>
  <c r="BB150" i="4"/>
  <c r="AX150" i="4"/>
  <c r="AT150" i="4"/>
  <c r="BI150" i="4" s="1"/>
  <c r="AP150" i="4"/>
  <c r="AL150" i="4"/>
  <c r="AH150" i="4"/>
  <c r="AD150" i="4"/>
  <c r="Z150" i="4"/>
  <c r="V150" i="4"/>
  <c r="BG150" i="4" s="1"/>
  <c r="BB148" i="4"/>
  <c r="AX148" i="4"/>
  <c r="AT148" i="4"/>
  <c r="AP148" i="4"/>
  <c r="AL148" i="4"/>
  <c r="AH148" i="4"/>
  <c r="BH148" i="4" s="1"/>
  <c r="AD148" i="4"/>
  <c r="Z148" i="4"/>
  <c r="V148" i="4"/>
  <c r="BI148" i="4" l="1"/>
  <c r="BI149" i="4"/>
  <c r="BG148" i="4"/>
  <c r="BH150" i="4"/>
  <c r="BG149" i="4"/>
  <c r="BH151" i="4"/>
  <c r="O143" i="4" l="1"/>
  <c r="P143" i="4"/>
  <c r="R143" i="4" s="1"/>
  <c r="Q143" i="4"/>
  <c r="T143" i="4"/>
  <c r="X143" i="4"/>
  <c r="Y143" i="4"/>
  <c r="AB143" i="4"/>
  <c r="AF143" i="4"/>
  <c r="AG143" i="4"/>
  <c r="AJ143" i="4"/>
  <c r="AK143" i="4"/>
  <c r="AN143" i="4"/>
  <c r="AO143" i="4"/>
  <c r="AR143" i="4"/>
  <c r="AS143" i="4"/>
  <c r="AV143" i="4"/>
  <c r="AW143" i="4"/>
  <c r="AZ143" i="4"/>
  <c r="BA143" i="4"/>
  <c r="BD143" i="4"/>
  <c r="BE143" i="4"/>
  <c r="O144" i="4"/>
  <c r="AV144" i="4" s="1"/>
  <c r="P144" i="4"/>
  <c r="R144" i="4" s="1"/>
  <c r="Q144" i="4"/>
  <c r="X144" i="4"/>
  <c r="Y144" i="4"/>
  <c r="AF144" i="4"/>
  <c r="BE144" i="4"/>
  <c r="O145" i="4"/>
  <c r="P145" i="4"/>
  <c r="R145" i="4" s="1"/>
  <c r="N146" i="4"/>
  <c r="O146" i="4" s="1"/>
  <c r="P146" i="4"/>
  <c r="R146" i="4" s="1"/>
  <c r="N147" i="4"/>
  <c r="O147" i="4" s="1"/>
  <c r="P147" i="4"/>
  <c r="S147" i="4" s="1"/>
  <c r="Q147" i="4"/>
  <c r="X147" i="4"/>
  <c r="Y147" i="4"/>
  <c r="AF147" i="4"/>
  <c r="AG147" i="4"/>
  <c r="AN147" i="4"/>
  <c r="AO147" i="4"/>
  <c r="AV147" i="4"/>
  <c r="AW147" i="4"/>
  <c r="BD147" i="4"/>
  <c r="BE147" i="4"/>
  <c r="O142" i="4"/>
  <c r="P142" i="4"/>
  <c r="R142" i="4" s="1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U43" i="2"/>
  <c r="M43" i="2"/>
  <c r="U42" i="2"/>
  <c r="M42" i="2"/>
  <c r="U41" i="2"/>
  <c r="M41" i="2"/>
  <c r="U40" i="2"/>
  <c r="M40" i="2"/>
  <c r="U39" i="2"/>
  <c r="M39" i="2"/>
  <c r="U38" i="2"/>
  <c r="M38" i="2"/>
  <c r="U37" i="2"/>
  <c r="M37" i="2"/>
  <c r="U36" i="2"/>
  <c r="M36" i="2"/>
  <c r="U35" i="2"/>
  <c r="M35" i="2"/>
  <c r="U34" i="2"/>
  <c r="M34" i="2"/>
  <c r="U33" i="2"/>
  <c r="M33" i="2"/>
  <c r="U32" i="2"/>
  <c r="M32" i="2"/>
  <c r="U31" i="2"/>
  <c r="M31" i="2"/>
  <c r="U30" i="2"/>
  <c r="M30" i="2"/>
  <c r="U29" i="2"/>
  <c r="M29" i="2"/>
  <c r="U28" i="2"/>
  <c r="M28" i="2"/>
  <c r="U27" i="2"/>
  <c r="M27" i="2"/>
  <c r="U26" i="2"/>
  <c r="M26" i="2"/>
  <c r="U25" i="2"/>
  <c r="M25" i="2"/>
  <c r="U24" i="2"/>
  <c r="M24" i="2"/>
  <c r="U23" i="2"/>
  <c r="M23" i="2"/>
  <c r="U22" i="2"/>
  <c r="M22" i="2"/>
  <c r="U21" i="2"/>
  <c r="M21" i="2"/>
  <c r="M20" i="2"/>
  <c r="U19" i="2"/>
  <c r="M19" i="2"/>
  <c r="U18" i="2"/>
  <c r="M18" i="2"/>
  <c r="U17" i="2"/>
  <c r="M17" i="2"/>
  <c r="U16" i="2"/>
  <c r="M16" i="2"/>
  <c r="U15" i="2"/>
  <c r="M15" i="2"/>
  <c r="U14" i="2"/>
  <c r="M14" i="2"/>
  <c r="U13" i="2"/>
  <c r="M13" i="2"/>
  <c r="U12" i="2"/>
  <c r="M12" i="2"/>
  <c r="U11" i="2"/>
  <c r="M11" i="2"/>
  <c r="U10" i="2"/>
  <c r="M10" i="2"/>
  <c r="U9" i="2"/>
  <c r="M9" i="2"/>
  <c r="U8" i="2"/>
  <c r="M8" i="2"/>
  <c r="U7" i="2"/>
  <c r="M7" i="2"/>
  <c r="U6" i="2"/>
  <c r="M6" i="2"/>
  <c r="U5" i="2"/>
  <c r="M5" i="2"/>
  <c r="U4" i="2"/>
  <c r="M4" i="2"/>
  <c r="U3" i="2"/>
  <c r="M3" i="2"/>
  <c r="U2" i="2"/>
  <c r="M2" i="2"/>
  <c r="BD146" i="4" l="1"/>
  <c r="AO144" i="4"/>
  <c r="BA147" i="4"/>
  <c r="AS147" i="4"/>
  <c r="AK147" i="4"/>
  <c r="AC147" i="4"/>
  <c r="U147" i="4"/>
  <c r="AV146" i="4"/>
  <c r="AG144" i="4"/>
  <c r="AZ147" i="4"/>
  <c r="AR147" i="4"/>
  <c r="AJ147" i="4"/>
  <c r="AB147" i="4"/>
  <c r="T147" i="4"/>
  <c r="AF146" i="4"/>
  <c r="X146" i="4"/>
  <c r="BD144" i="4"/>
  <c r="AN144" i="4"/>
  <c r="AW144" i="4"/>
  <c r="AN146" i="4"/>
  <c r="AK145" i="4"/>
  <c r="BB147" i="4"/>
  <c r="AX147" i="4"/>
  <c r="AT147" i="4"/>
  <c r="AP147" i="4"/>
  <c r="AL147" i="4"/>
  <c r="AH147" i="4"/>
  <c r="AD147" i="4"/>
  <c r="Z147" i="4"/>
  <c r="V147" i="4"/>
  <c r="R147" i="4"/>
  <c r="BF147" i="4" s="1"/>
  <c r="BA146" i="4"/>
  <c r="AS146" i="4"/>
  <c r="AK146" i="4"/>
  <c r="AC146" i="4"/>
  <c r="U146" i="4"/>
  <c r="BA145" i="4"/>
  <c r="AF145" i="4"/>
  <c r="AZ146" i="4"/>
  <c r="AR146" i="4"/>
  <c r="AJ146" i="4"/>
  <c r="AB146" i="4"/>
  <c r="T146" i="4"/>
  <c r="AV145" i="4"/>
  <c r="AA145" i="4"/>
  <c r="BA144" i="4"/>
  <c r="AS144" i="4"/>
  <c r="AK144" i="4"/>
  <c r="AC144" i="4"/>
  <c r="U144" i="4"/>
  <c r="BC147" i="4"/>
  <c r="AY147" i="4"/>
  <c r="AU147" i="4"/>
  <c r="AQ147" i="4"/>
  <c r="AM147" i="4"/>
  <c r="AI147" i="4"/>
  <c r="AE147" i="4"/>
  <c r="AA147" i="4"/>
  <c r="W147" i="4"/>
  <c r="BE146" i="4"/>
  <c r="AW146" i="4"/>
  <c r="AO146" i="4"/>
  <c r="AG146" i="4"/>
  <c r="Y146" i="4"/>
  <c r="Q146" i="4"/>
  <c r="AQ145" i="4"/>
  <c r="U145" i="4"/>
  <c r="AZ144" i="4"/>
  <c r="AR144" i="4"/>
  <c r="AJ144" i="4"/>
  <c r="AB144" i="4"/>
  <c r="T144" i="4"/>
  <c r="AC143" i="4"/>
  <c r="U143" i="4"/>
  <c r="AU145" i="4"/>
  <c r="AO145" i="4"/>
  <c r="AJ145" i="4"/>
  <c r="AE145" i="4"/>
  <c r="Y145" i="4"/>
  <c r="T145" i="4"/>
  <c r="BE145" i="4"/>
  <c r="BD145" i="4"/>
  <c r="AY145" i="4"/>
  <c r="AS145" i="4"/>
  <c r="AN145" i="4"/>
  <c r="AI145" i="4"/>
  <c r="AC145" i="4"/>
  <c r="X145" i="4"/>
  <c r="S145" i="4"/>
  <c r="AZ145" i="4"/>
  <c r="BC145" i="4"/>
  <c r="AW145" i="4"/>
  <c r="AR145" i="4"/>
  <c r="AM145" i="4"/>
  <c r="AG145" i="4"/>
  <c r="AB145" i="4"/>
  <c r="W145" i="4"/>
  <c r="Q145" i="4"/>
  <c r="BC146" i="4"/>
  <c r="AY146" i="4"/>
  <c r="AU146" i="4"/>
  <c r="AQ146" i="4"/>
  <c r="AM146" i="4"/>
  <c r="AI146" i="4"/>
  <c r="AE146" i="4"/>
  <c r="AA146" i="4"/>
  <c r="W146" i="4"/>
  <c r="S146" i="4"/>
  <c r="BC144" i="4"/>
  <c r="AY144" i="4"/>
  <c r="AU144" i="4"/>
  <c r="AQ144" i="4"/>
  <c r="AM144" i="4"/>
  <c r="AI144" i="4"/>
  <c r="AE144" i="4"/>
  <c r="AA144" i="4"/>
  <c r="W144" i="4"/>
  <c r="S144" i="4"/>
  <c r="BB146" i="4"/>
  <c r="AX146" i="4"/>
  <c r="AT146" i="4"/>
  <c r="AP146" i="4"/>
  <c r="AL146" i="4"/>
  <c r="AH146" i="4"/>
  <c r="AD146" i="4"/>
  <c r="Z146" i="4"/>
  <c r="V146" i="4"/>
  <c r="BB144" i="4"/>
  <c r="AX144" i="4"/>
  <c r="AT144" i="4"/>
  <c r="AP144" i="4"/>
  <c r="AL144" i="4"/>
  <c r="AH144" i="4"/>
  <c r="AD144" i="4"/>
  <c r="Z144" i="4"/>
  <c r="V144" i="4"/>
  <c r="BC143" i="4"/>
  <c r="AY143" i="4"/>
  <c r="AU143" i="4"/>
  <c r="AQ143" i="4"/>
  <c r="AM143" i="4"/>
  <c r="AI143" i="4"/>
  <c r="AE143" i="4"/>
  <c r="AA143" i="4"/>
  <c r="W143" i="4"/>
  <c r="S143" i="4"/>
  <c r="BF143" i="4" s="1"/>
  <c r="BB145" i="4"/>
  <c r="AX145" i="4"/>
  <c r="AT145" i="4"/>
  <c r="AP145" i="4"/>
  <c r="AL145" i="4"/>
  <c r="AH145" i="4"/>
  <c r="AD145" i="4"/>
  <c r="Z145" i="4"/>
  <c r="V145" i="4"/>
  <c r="BB143" i="4"/>
  <c r="AX143" i="4"/>
  <c r="AT143" i="4"/>
  <c r="AP143" i="4"/>
  <c r="AL143" i="4"/>
  <c r="AH143" i="4"/>
  <c r="AD143" i="4"/>
  <c r="Z143" i="4"/>
  <c r="V143" i="4"/>
  <c r="BD142" i="4"/>
  <c r="AZ142" i="4"/>
  <c r="AV142" i="4"/>
  <c r="AR142" i="4"/>
  <c r="AN142" i="4"/>
  <c r="AJ142" i="4"/>
  <c r="AF142" i="4"/>
  <c r="AB142" i="4"/>
  <c r="X142" i="4"/>
  <c r="T142" i="4"/>
  <c r="BE142" i="4"/>
  <c r="BA142" i="4"/>
  <c r="AW142" i="4"/>
  <c r="AS142" i="4"/>
  <c r="AO142" i="4"/>
  <c r="AK142" i="4"/>
  <c r="AG142" i="4"/>
  <c r="AC142" i="4"/>
  <c r="Y142" i="4"/>
  <c r="U142" i="4"/>
  <c r="Q142" i="4"/>
  <c r="BC142" i="4"/>
  <c r="AY142" i="4"/>
  <c r="AU142" i="4"/>
  <c r="AQ142" i="4"/>
  <c r="AM142" i="4"/>
  <c r="AI142" i="4"/>
  <c r="AE142" i="4"/>
  <c r="AA142" i="4"/>
  <c r="W142" i="4"/>
  <c r="S142" i="4"/>
  <c r="BB142" i="4"/>
  <c r="AX142" i="4"/>
  <c r="AT142" i="4"/>
  <c r="AP142" i="4"/>
  <c r="AL142" i="4"/>
  <c r="AH142" i="4"/>
  <c r="AD142" i="4"/>
  <c r="Z142" i="4"/>
  <c r="V142" i="4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L42" i="6"/>
  <c r="D43" i="6"/>
  <c r="L41" i="6"/>
  <c r="D42" i="6"/>
  <c r="L40" i="6"/>
  <c r="D41" i="6"/>
  <c r="L39" i="6"/>
  <c r="D40" i="6"/>
  <c r="L38" i="6"/>
  <c r="D39" i="6"/>
  <c r="L37" i="6"/>
  <c r="D38" i="6"/>
  <c r="L36" i="6"/>
  <c r="D37" i="6"/>
  <c r="L35" i="6"/>
  <c r="D36" i="6"/>
  <c r="L34" i="6"/>
  <c r="D35" i="6"/>
  <c r="L33" i="6"/>
  <c r="D34" i="6"/>
  <c r="L32" i="6"/>
  <c r="D33" i="6"/>
  <c r="L31" i="6"/>
  <c r="D32" i="6"/>
  <c r="L30" i="6"/>
  <c r="D31" i="6"/>
  <c r="L29" i="6"/>
  <c r="D30" i="6"/>
  <c r="L28" i="6"/>
  <c r="D29" i="6"/>
  <c r="L27" i="6"/>
  <c r="D28" i="6"/>
  <c r="L26" i="6"/>
  <c r="D27" i="6"/>
  <c r="L25" i="6"/>
  <c r="D26" i="6"/>
  <c r="L24" i="6"/>
  <c r="D25" i="6"/>
  <c r="L23" i="6"/>
  <c r="D24" i="6"/>
  <c r="L22" i="6"/>
  <c r="D23" i="6"/>
  <c r="L21" i="6"/>
  <c r="D22" i="6"/>
  <c r="L20" i="6"/>
  <c r="D21" i="6"/>
  <c r="D20" i="6"/>
  <c r="L19" i="6"/>
  <c r="D19" i="6"/>
  <c r="L18" i="6"/>
  <c r="D18" i="6"/>
  <c r="L17" i="6"/>
  <c r="D17" i="6"/>
  <c r="L16" i="6"/>
  <c r="D16" i="6"/>
  <c r="L15" i="6"/>
  <c r="D15" i="6"/>
  <c r="L14" i="6"/>
  <c r="D14" i="6"/>
  <c r="L13" i="6"/>
  <c r="D13" i="6"/>
  <c r="L12" i="6"/>
  <c r="D12" i="6"/>
  <c r="L11" i="6"/>
  <c r="D11" i="6"/>
  <c r="L10" i="6"/>
  <c r="D10" i="6"/>
  <c r="L9" i="6"/>
  <c r="D9" i="6"/>
  <c r="L8" i="6"/>
  <c r="D8" i="6"/>
  <c r="L7" i="6"/>
  <c r="D7" i="6"/>
  <c r="L6" i="6"/>
  <c r="D6" i="6"/>
  <c r="L5" i="6"/>
  <c r="D5" i="6"/>
  <c r="L4" i="6"/>
  <c r="D4" i="6"/>
  <c r="L3" i="6"/>
  <c r="D3" i="6"/>
  <c r="L2" i="6"/>
  <c r="D2" i="6"/>
  <c r="BH146" i="4" l="1"/>
  <c r="BF146" i="4"/>
  <c r="BI147" i="4"/>
  <c r="BG146" i="4"/>
  <c r="BH147" i="4"/>
  <c r="BF144" i="4"/>
  <c r="BF145" i="4"/>
  <c r="BG147" i="4"/>
  <c r="BH143" i="4"/>
  <c r="BI145" i="4"/>
  <c r="BH144" i="4"/>
  <c r="BI146" i="4"/>
  <c r="BH145" i="4"/>
  <c r="BG144" i="4"/>
  <c r="BI143" i="4"/>
  <c r="BI144" i="4"/>
  <c r="BG143" i="4"/>
  <c r="BG145" i="4"/>
  <c r="BG142" i="4"/>
  <c r="BI142" i="4"/>
  <c r="BH142" i="4"/>
  <c r="BF142" i="4"/>
  <c r="N6" i="4"/>
  <c r="O6" i="4" s="1"/>
  <c r="P6" i="4"/>
  <c r="BD6" i="4" s="1"/>
  <c r="N7" i="4"/>
  <c r="O7" i="4" s="1"/>
  <c r="P7" i="4"/>
  <c r="N8" i="4"/>
  <c r="O8" i="4"/>
  <c r="BC8" i="4" s="1"/>
  <c r="P8" i="4"/>
  <c r="N9" i="4"/>
  <c r="O9" i="4" s="1"/>
  <c r="P9" i="4"/>
  <c r="N10" i="4"/>
  <c r="O10" i="4" s="1"/>
  <c r="BC10" i="4" s="1"/>
  <c r="P10" i="4"/>
  <c r="N11" i="4"/>
  <c r="O11" i="4" s="1"/>
  <c r="P11" i="4"/>
  <c r="N12" i="4"/>
  <c r="O12" i="4" s="1"/>
  <c r="BC12" i="4" s="1"/>
  <c r="P12" i="4"/>
  <c r="N13" i="4"/>
  <c r="O13" i="4" s="1"/>
  <c r="P13" i="4"/>
  <c r="N14" i="4"/>
  <c r="O14" i="4" s="1"/>
  <c r="BE14" i="4" s="1"/>
  <c r="P14" i="4"/>
  <c r="N15" i="4"/>
  <c r="O15" i="4" s="1"/>
  <c r="P15" i="4"/>
  <c r="BB15" i="4" s="1"/>
  <c r="N16" i="4"/>
  <c r="O16" i="4" s="1"/>
  <c r="BB16" i="4" s="1"/>
  <c r="P16" i="4"/>
  <c r="N17" i="4"/>
  <c r="O17" i="4" s="1"/>
  <c r="P17" i="4"/>
  <c r="BC17" i="4" s="1"/>
  <c r="N18" i="4"/>
  <c r="O18" i="4" s="1"/>
  <c r="P18" i="4"/>
  <c r="N19" i="4"/>
  <c r="O19" i="4" s="1"/>
  <c r="P19" i="4"/>
  <c r="BD19" i="4" s="1"/>
  <c r="N20" i="4"/>
  <c r="O20" i="4" s="1"/>
  <c r="BE20" i="4" s="1"/>
  <c r="P20" i="4"/>
  <c r="N21" i="4"/>
  <c r="O21" i="4" s="1"/>
  <c r="P21" i="4"/>
  <c r="N22" i="4"/>
  <c r="O22" i="4" s="1"/>
  <c r="P22" i="4"/>
  <c r="AA22" i="4" s="1"/>
  <c r="N23" i="4"/>
  <c r="O23" i="4" s="1"/>
  <c r="P23" i="4"/>
  <c r="AE23" i="4" s="1"/>
  <c r="N24" i="4"/>
  <c r="O24" i="4" s="1"/>
  <c r="P24" i="4"/>
  <c r="Q24" i="4" s="1"/>
  <c r="N25" i="4"/>
  <c r="O25" i="4" s="1"/>
  <c r="P25" i="4"/>
  <c r="N26" i="4"/>
  <c r="O26" i="4" s="1"/>
  <c r="P26" i="4"/>
  <c r="T26" i="4" s="1"/>
  <c r="N27" i="4"/>
  <c r="O27" i="4" s="1"/>
  <c r="P27" i="4"/>
  <c r="S27" i="4" s="1"/>
  <c r="N28" i="4"/>
  <c r="O28" i="4" s="1"/>
  <c r="P28" i="4"/>
  <c r="S28" i="4" s="1"/>
  <c r="N29" i="4"/>
  <c r="O29" i="4" s="1"/>
  <c r="P29" i="4"/>
  <c r="AC29" i="4" s="1"/>
  <c r="N30" i="4"/>
  <c r="O30" i="4" s="1"/>
  <c r="P30" i="4"/>
  <c r="S30" i="4" s="1"/>
  <c r="N31" i="4"/>
  <c r="O31" i="4" s="1"/>
  <c r="P31" i="4"/>
  <c r="AI31" i="4" s="1"/>
  <c r="N32" i="4"/>
  <c r="O32" i="4" s="1"/>
  <c r="P32" i="4"/>
  <c r="R32" i="4" s="1"/>
  <c r="N33" i="4"/>
  <c r="O33" i="4" s="1"/>
  <c r="P33" i="4"/>
  <c r="N34" i="4"/>
  <c r="O34" i="4" s="1"/>
  <c r="P34" i="4"/>
  <c r="V34" i="4" s="1"/>
  <c r="N35" i="4"/>
  <c r="O35" i="4" s="1"/>
  <c r="P35" i="4"/>
  <c r="N36" i="4"/>
  <c r="O36" i="4" s="1"/>
  <c r="P36" i="4"/>
  <c r="Q36" i="4" s="1"/>
  <c r="N37" i="4"/>
  <c r="O37" i="4" s="1"/>
  <c r="P37" i="4"/>
  <c r="N38" i="4"/>
  <c r="O38" i="4" s="1"/>
  <c r="P38" i="4"/>
  <c r="R38" i="4" s="1"/>
  <c r="N39" i="4"/>
  <c r="O39" i="4" s="1"/>
  <c r="P39" i="4"/>
  <c r="S39" i="4" s="1"/>
  <c r="N40" i="4"/>
  <c r="O40" i="4" s="1"/>
  <c r="P40" i="4"/>
  <c r="Q40" i="4" s="1"/>
  <c r="N41" i="4"/>
  <c r="O41" i="4" s="1"/>
  <c r="P41" i="4"/>
  <c r="N42" i="4"/>
  <c r="O42" i="4" s="1"/>
  <c r="P42" i="4"/>
  <c r="W42" i="4" s="1"/>
  <c r="N43" i="4"/>
  <c r="O43" i="4" s="1"/>
  <c r="P43" i="4"/>
  <c r="N44" i="4"/>
  <c r="O44" i="4" s="1"/>
  <c r="AC44" i="4" s="1"/>
  <c r="P44" i="4"/>
  <c r="N45" i="4"/>
  <c r="O45" i="4" s="1"/>
  <c r="P45" i="4"/>
  <c r="N46" i="4"/>
  <c r="O46" i="4" s="1"/>
  <c r="P46" i="4"/>
  <c r="V46" i="4" s="1"/>
  <c r="N47" i="4"/>
  <c r="O47" i="4" s="1"/>
  <c r="P47" i="4"/>
  <c r="N48" i="4"/>
  <c r="O48" i="4" s="1"/>
  <c r="P48" i="4"/>
  <c r="N49" i="4"/>
  <c r="O49" i="4" s="1"/>
  <c r="P49" i="4"/>
  <c r="AH49" i="4" s="1"/>
  <c r="N50" i="4"/>
  <c r="O50" i="4" s="1"/>
  <c r="P50" i="4"/>
  <c r="U50" i="4" s="1"/>
  <c r="N51" i="4"/>
  <c r="O51" i="4" s="1"/>
  <c r="P51" i="4"/>
  <c r="AJ51" i="4" s="1"/>
  <c r="N52" i="4"/>
  <c r="O52" i="4" s="1"/>
  <c r="AQ52" i="4" s="1"/>
  <c r="P52" i="4"/>
  <c r="N53" i="4"/>
  <c r="O53" i="4" s="1"/>
  <c r="P53" i="4"/>
  <c r="N54" i="4"/>
  <c r="O54" i="4" s="1"/>
  <c r="BE54" i="4" s="1"/>
  <c r="P54" i="4"/>
  <c r="Y54" i="4" s="1"/>
  <c r="N56" i="4"/>
  <c r="O56" i="4" s="1"/>
  <c r="P56" i="4"/>
  <c r="N57" i="4"/>
  <c r="O57" i="4" s="1"/>
  <c r="P57" i="4"/>
  <c r="V57" i="4" s="1"/>
  <c r="N58" i="4"/>
  <c r="O58" i="4" s="1"/>
  <c r="P58" i="4"/>
  <c r="N59" i="4"/>
  <c r="O59" i="4" s="1"/>
  <c r="P59" i="4"/>
  <c r="W59" i="4" s="1"/>
  <c r="N60" i="4"/>
  <c r="O60" i="4" s="1"/>
  <c r="P60" i="4"/>
  <c r="N61" i="4"/>
  <c r="O61" i="4" s="1"/>
  <c r="P61" i="4"/>
  <c r="Q61" i="4" s="1"/>
  <c r="N62" i="4"/>
  <c r="O62" i="4" s="1"/>
  <c r="P62" i="4"/>
  <c r="N63" i="4"/>
  <c r="O63" i="4" s="1"/>
  <c r="P63" i="4"/>
  <c r="AD63" i="4" s="1"/>
  <c r="N64" i="4"/>
  <c r="O64" i="4" s="1"/>
  <c r="P64" i="4"/>
  <c r="N65" i="4"/>
  <c r="O65" i="4" s="1"/>
  <c r="P65" i="4"/>
  <c r="Z65" i="4" s="1"/>
  <c r="N66" i="4"/>
  <c r="O66" i="4" s="1"/>
  <c r="P66" i="4"/>
  <c r="N67" i="4"/>
  <c r="O67" i="4" s="1"/>
  <c r="P67" i="4"/>
  <c r="Z67" i="4" s="1"/>
  <c r="N68" i="4"/>
  <c r="O68" i="4" s="1"/>
  <c r="P68" i="4"/>
  <c r="N69" i="4"/>
  <c r="O69" i="4" s="1"/>
  <c r="P69" i="4"/>
  <c r="T69" i="4" s="1"/>
  <c r="N70" i="4"/>
  <c r="O70" i="4" s="1"/>
  <c r="P70" i="4"/>
  <c r="AM70" i="4" s="1"/>
  <c r="N71" i="4"/>
  <c r="O71" i="4" s="1"/>
  <c r="P71" i="4"/>
  <c r="N72" i="4"/>
  <c r="O72" i="4" s="1"/>
  <c r="P72" i="4"/>
  <c r="N73" i="4"/>
  <c r="O73" i="4" s="1"/>
  <c r="P73" i="4"/>
  <c r="N74" i="4"/>
  <c r="O74" i="4" s="1"/>
  <c r="P74" i="4"/>
  <c r="N75" i="4"/>
  <c r="O75" i="4" s="1"/>
  <c r="P75" i="4"/>
  <c r="R75" i="4" s="1"/>
  <c r="N76" i="4"/>
  <c r="O76" i="4" s="1"/>
  <c r="P76" i="4"/>
  <c r="N77" i="4"/>
  <c r="O77" i="4" s="1"/>
  <c r="AC77" i="4" s="1"/>
  <c r="P77" i="4"/>
  <c r="N78" i="4"/>
  <c r="O78" i="4" s="1"/>
  <c r="P78" i="4"/>
  <c r="N79" i="4"/>
  <c r="O79" i="4" s="1"/>
  <c r="P79" i="4"/>
  <c r="N80" i="4"/>
  <c r="O80" i="4" s="1"/>
  <c r="P80" i="4"/>
  <c r="N81" i="4"/>
  <c r="O81" i="4" s="1"/>
  <c r="P81" i="4"/>
  <c r="N82" i="4"/>
  <c r="O82" i="4" s="1"/>
  <c r="P82" i="4"/>
  <c r="N83" i="4"/>
  <c r="O83" i="4" s="1"/>
  <c r="P83" i="4"/>
  <c r="N84" i="4"/>
  <c r="O84" i="4" s="1"/>
  <c r="P84" i="4"/>
  <c r="N85" i="4"/>
  <c r="O85" i="4" s="1"/>
  <c r="AJ85" i="4" s="1"/>
  <c r="P85" i="4"/>
  <c r="N86" i="4"/>
  <c r="O86" i="4" s="1"/>
  <c r="P86" i="4"/>
  <c r="N87" i="4"/>
  <c r="O87" i="4" s="1"/>
  <c r="P87" i="4"/>
  <c r="N88" i="4"/>
  <c r="O88" i="4" s="1"/>
  <c r="P88" i="4"/>
  <c r="N89" i="4"/>
  <c r="O89" i="4" s="1"/>
  <c r="P89" i="4"/>
  <c r="N90" i="4"/>
  <c r="O90" i="4" s="1"/>
  <c r="P90" i="4"/>
  <c r="AB90" i="4" s="1"/>
  <c r="N91" i="4"/>
  <c r="O91" i="4" s="1"/>
  <c r="P91" i="4"/>
  <c r="R91" i="4" s="1"/>
  <c r="N92" i="4"/>
  <c r="O92" i="4" s="1"/>
  <c r="P92" i="4"/>
  <c r="AV92" i="4" s="1"/>
  <c r="N93" i="4"/>
  <c r="O93" i="4" s="1"/>
  <c r="W93" i="4" s="1"/>
  <c r="P93" i="4"/>
  <c r="N94" i="4"/>
  <c r="O94" i="4" s="1"/>
  <c r="P94" i="4"/>
  <c r="N95" i="4"/>
  <c r="O95" i="4" s="1"/>
  <c r="AW95" i="4" s="1"/>
  <c r="P95" i="4"/>
  <c r="N96" i="4"/>
  <c r="O96" i="4" s="1"/>
  <c r="P96" i="4"/>
  <c r="N97" i="4"/>
  <c r="O97" i="4" s="1"/>
  <c r="P97" i="4"/>
  <c r="N98" i="4"/>
  <c r="O98" i="4" s="1"/>
  <c r="P98" i="4"/>
  <c r="BA98" i="4" s="1"/>
  <c r="N99" i="4"/>
  <c r="O99" i="4" s="1"/>
  <c r="BD99" i="4" s="1"/>
  <c r="P99" i="4"/>
  <c r="N100" i="4"/>
  <c r="O100" i="4" s="1"/>
  <c r="P100" i="4"/>
  <c r="AG100" i="4" s="1"/>
  <c r="N101" i="4"/>
  <c r="O101" i="4" s="1"/>
  <c r="P101" i="4"/>
  <c r="N102" i="4"/>
  <c r="O102" i="4" s="1"/>
  <c r="P102" i="4"/>
  <c r="N103" i="4"/>
  <c r="O103" i="4" s="1"/>
  <c r="P103" i="4"/>
  <c r="N104" i="4"/>
  <c r="O104" i="4" s="1"/>
  <c r="P104" i="4"/>
  <c r="AC104" i="4" s="1"/>
  <c r="N105" i="4"/>
  <c r="O105" i="4" s="1"/>
  <c r="P105" i="4"/>
  <c r="N106" i="4"/>
  <c r="O106" i="4" s="1"/>
  <c r="P106" i="4"/>
  <c r="AC106" i="4" s="1"/>
  <c r="N107" i="4"/>
  <c r="O107" i="4" s="1"/>
  <c r="P107" i="4"/>
  <c r="N108" i="4"/>
  <c r="O108" i="4" s="1"/>
  <c r="P108" i="4"/>
  <c r="AB108" i="4" s="1"/>
  <c r="N109" i="4"/>
  <c r="O109" i="4" s="1"/>
  <c r="AZ109" i="4" s="1"/>
  <c r="P109" i="4"/>
  <c r="N110" i="4"/>
  <c r="O110" i="4" s="1"/>
  <c r="P110" i="4"/>
  <c r="N111" i="4"/>
  <c r="O111" i="4" s="1"/>
  <c r="P111" i="4"/>
  <c r="N112" i="4"/>
  <c r="O112" i="4" s="1"/>
  <c r="P112" i="4"/>
  <c r="AR112" i="4" s="1"/>
  <c r="N113" i="4"/>
  <c r="O113" i="4" s="1"/>
  <c r="P113" i="4"/>
  <c r="N114" i="4"/>
  <c r="O114" i="4" s="1"/>
  <c r="P114" i="4"/>
  <c r="N115" i="4"/>
  <c r="O115" i="4" s="1"/>
  <c r="AX115" i="4" s="1"/>
  <c r="P115" i="4"/>
  <c r="N116" i="4"/>
  <c r="O116" i="4" s="1"/>
  <c r="P116" i="4"/>
  <c r="N117" i="4"/>
  <c r="O117" i="4" s="1"/>
  <c r="P117" i="4"/>
  <c r="N118" i="4"/>
  <c r="O118" i="4" s="1"/>
  <c r="P118" i="4"/>
  <c r="AO118" i="4" s="1"/>
  <c r="N119" i="4"/>
  <c r="O119" i="4" s="1"/>
  <c r="P119" i="4"/>
  <c r="N120" i="4"/>
  <c r="O120" i="4" s="1"/>
  <c r="P120" i="4"/>
  <c r="AG120" i="4" s="1"/>
  <c r="N121" i="4"/>
  <c r="O121" i="4" s="1"/>
  <c r="P121" i="4"/>
  <c r="N122" i="4"/>
  <c r="O122" i="4" s="1"/>
  <c r="P122" i="4"/>
  <c r="Q122" i="4" s="1"/>
  <c r="N123" i="4"/>
  <c r="O123" i="4" s="1"/>
  <c r="AN123" i="4" s="1"/>
  <c r="P123" i="4"/>
  <c r="N124" i="4"/>
  <c r="O124" i="4" s="1"/>
  <c r="P124" i="4"/>
  <c r="R124" i="4" s="1"/>
  <c r="N125" i="4"/>
  <c r="O125" i="4" s="1"/>
  <c r="Z125" i="4" s="1"/>
  <c r="P125" i="4"/>
  <c r="N126" i="4"/>
  <c r="O126" i="4" s="1"/>
  <c r="P126" i="4"/>
  <c r="N127" i="4"/>
  <c r="O127" i="4" s="1"/>
  <c r="AK127" i="4" s="1"/>
  <c r="P127" i="4"/>
  <c r="N128" i="4"/>
  <c r="O128" i="4" s="1"/>
  <c r="P128" i="4"/>
  <c r="U128" i="4" s="1"/>
  <c r="N129" i="4"/>
  <c r="O129" i="4" s="1"/>
  <c r="P129" i="4"/>
  <c r="N130" i="4"/>
  <c r="O130" i="4" s="1"/>
  <c r="P130" i="4"/>
  <c r="T130" i="4" s="1"/>
  <c r="N131" i="4"/>
  <c r="O131" i="4" s="1"/>
  <c r="AQ131" i="4" s="1"/>
  <c r="P131" i="4"/>
  <c r="N132" i="4"/>
  <c r="O132" i="4" s="1"/>
  <c r="P132" i="4"/>
  <c r="T132" i="4" s="1"/>
  <c r="N133" i="4"/>
  <c r="O133" i="4" s="1"/>
  <c r="AH133" i="4" s="1"/>
  <c r="P133" i="4"/>
  <c r="N134" i="4"/>
  <c r="O134" i="4" s="1"/>
  <c r="P134" i="4"/>
  <c r="R134" i="4" s="1"/>
  <c r="N135" i="4"/>
  <c r="O135" i="4" s="1"/>
  <c r="AH135" i="4" s="1"/>
  <c r="P135" i="4"/>
  <c r="S135" i="4" s="1"/>
  <c r="N136" i="4"/>
  <c r="O136" i="4" s="1"/>
  <c r="P136" i="4"/>
  <c r="S136" i="4" s="1"/>
  <c r="N137" i="4"/>
  <c r="O137" i="4" s="1"/>
  <c r="BD137" i="4" s="1"/>
  <c r="P137" i="4"/>
  <c r="Q137" i="4" s="1"/>
  <c r="N138" i="4"/>
  <c r="O138" i="4" s="1"/>
  <c r="P138" i="4"/>
  <c r="N139" i="4"/>
  <c r="O139" i="4" s="1"/>
  <c r="P139" i="4"/>
  <c r="T139" i="4" s="1"/>
  <c r="N140" i="4"/>
  <c r="O140" i="4" s="1"/>
  <c r="P140" i="4"/>
  <c r="N141" i="4"/>
  <c r="O141" i="4" s="1"/>
  <c r="P141" i="4"/>
  <c r="R141" i="4" s="1"/>
  <c r="W22" i="4"/>
  <c r="AG26" i="4"/>
  <c r="AF28" i="4"/>
  <c r="AA30" i="4"/>
  <c r="AG30" i="4"/>
  <c r="AS30" i="4"/>
  <c r="AW30" i="4"/>
  <c r="T36" i="4"/>
  <c r="T40" i="4"/>
  <c r="AA52" i="4"/>
  <c r="Q54" i="4"/>
  <c r="AO54" i="4"/>
  <c r="AW54" i="4"/>
  <c r="R63" i="4"/>
  <c r="V63" i="4"/>
  <c r="Z63" i="4"/>
  <c r="R65" i="4"/>
  <c r="V65" i="4"/>
  <c r="AD65" i="4"/>
  <c r="AH65" i="4"/>
  <c r="R67" i="4"/>
  <c r="V67" i="4"/>
  <c r="AD67" i="4"/>
  <c r="AH67" i="4"/>
  <c r="AL67" i="4"/>
  <c r="X69" i="4"/>
  <c r="AB69" i="4"/>
  <c r="AF69" i="4"/>
  <c r="Q71" i="4"/>
  <c r="U71" i="4"/>
  <c r="Y71" i="4"/>
  <c r="AC71" i="4"/>
  <c r="AG71" i="4"/>
  <c r="AK71" i="4"/>
  <c r="AO71" i="4"/>
  <c r="AS71" i="4"/>
  <c r="Q73" i="4"/>
  <c r="R73" i="4"/>
  <c r="S73" i="4"/>
  <c r="T73" i="4"/>
  <c r="U73" i="4"/>
  <c r="Q75" i="4"/>
  <c r="T75" i="4"/>
  <c r="U75" i="4"/>
  <c r="Q77" i="4"/>
  <c r="R77" i="4"/>
  <c r="S77" i="4"/>
  <c r="T77" i="4"/>
  <c r="U77" i="4"/>
  <c r="Q79" i="4"/>
  <c r="R79" i="4"/>
  <c r="S79" i="4"/>
  <c r="Q81" i="4"/>
  <c r="R81" i="4"/>
  <c r="S81" i="4"/>
  <c r="T81" i="4"/>
  <c r="Q83" i="4"/>
  <c r="R83" i="4"/>
  <c r="S83" i="4"/>
  <c r="T83" i="4"/>
  <c r="BE83" i="4"/>
  <c r="Q85" i="4"/>
  <c r="R85" i="4"/>
  <c r="S85" i="4"/>
  <c r="T85" i="4"/>
  <c r="U85" i="4"/>
  <c r="V85" i="4"/>
  <c r="AT87" i="4"/>
  <c r="Q89" i="4"/>
  <c r="R89" i="4"/>
  <c r="S89" i="4"/>
  <c r="T89" i="4"/>
  <c r="V89" i="4"/>
  <c r="W89" i="4"/>
  <c r="X89" i="4"/>
  <c r="AJ89" i="4"/>
  <c r="Q91" i="4"/>
  <c r="S91" i="4"/>
  <c r="Q93" i="4"/>
  <c r="R93" i="4"/>
  <c r="S93" i="4"/>
  <c r="T93" i="4"/>
  <c r="U93" i="4"/>
  <c r="AN93" i="4"/>
  <c r="Q95" i="4"/>
  <c r="R95" i="4"/>
  <c r="S95" i="4"/>
  <c r="T95" i="4"/>
  <c r="U95" i="4"/>
  <c r="V95" i="4"/>
  <c r="AD96" i="4"/>
  <c r="Q97" i="4"/>
  <c r="R97" i="4"/>
  <c r="S97" i="4"/>
  <c r="T97" i="4"/>
  <c r="U97" i="4"/>
  <c r="V97" i="4"/>
  <c r="W97" i="4"/>
  <c r="X97" i="4"/>
  <c r="Y97" i="4"/>
  <c r="Z97" i="4"/>
  <c r="AA97" i="4"/>
  <c r="AB97" i="4"/>
  <c r="AC97" i="4"/>
  <c r="AD97" i="4"/>
  <c r="AE97" i="4"/>
  <c r="AF97" i="4"/>
  <c r="AG97" i="4"/>
  <c r="AH97" i="4"/>
  <c r="AI97" i="4"/>
  <c r="AJ97" i="4"/>
  <c r="AK97" i="4"/>
  <c r="AL97" i="4"/>
  <c r="AM97" i="4"/>
  <c r="AN97" i="4"/>
  <c r="AO97" i="4"/>
  <c r="AP97" i="4"/>
  <c r="AQ97" i="4"/>
  <c r="AR97" i="4"/>
  <c r="AS97" i="4"/>
  <c r="AT97" i="4"/>
  <c r="AU97" i="4"/>
  <c r="AV97" i="4"/>
  <c r="AW97" i="4"/>
  <c r="AX97" i="4"/>
  <c r="AY97" i="4"/>
  <c r="AZ97" i="4"/>
  <c r="BA97" i="4"/>
  <c r="U98" i="4"/>
  <c r="Q99" i="4"/>
  <c r="R99" i="4"/>
  <c r="S99" i="4"/>
  <c r="T99" i="4"/>
  <c r="U99" i="4"/>
  <c r="V99" i="4"/>
  <c r="W99" i="4"/>
  <c r="X99" i="4"/>
  <c r="Y99" i="4"/>
  <c r="Z99" i="4"/>
  <c r="AA99" i="4"/>
  <c r="AB99" i="4"/>
  <c r="AC99" i="4"/>
  <c r="AD99" i="4"/>
  <c r="AE99" i="4"/>
  <c r="AF99" i="4"/>
  <c r="AG99" i="4"/>
  <c r="AH99" i="4"/>
  <c r="AI99" i="4"/>
  <c r="AJ99" i="4"/>
  <c r="AK99" i="4"/>
  <c r="AL99" i="4"/>
  <c r="AM99" i="4"/>
  <c r="AN99" i="4"/>
  <c r="AO99" i="4"/>
  <c r="AP99" i="4"/>
  <c r="AQ99" i="4"/>
  <c r="AR99" i="4"/>
  <c r="AS99" i="4"/>
  <c r="AT99" i="4"/>
  <c r="AU99" i="4"/>
  <c r="AV99" i="4"/>
  <c r="AW99" i="4"/>
  <c r="AX99" i="4"/>
  <c r="AY99" i="4"/>
  <c r="AZ99" i="4"/>
  <c r="Q101" i="4"/>
  <c r="Y101" i="4"/>
  <c r="AG101" i="4"/>
  <c r="AO101" i="4"/>
  <c r="Q105" i="4"/>
  <c r="R105" i="4"/>
  <c r="Y105" i="4"/>
  <c r="BB106" i="4"/>
  <c r="Q107" i="4"/>
  <c r="R107" i="4"/>
  <c r="S107" i="4"/>
  <c r="T107" i="4"/>
  <c r="U107" i="4"/>
  <c r="V107" i="4"/>
  <c r="W107" i="4"/>
  <c r="X107" i="4"/>
  <c r="Y107" i="4"/>
  <c r="Z107" i="4"/>
  <c r="AA107" i="4"/>
  <c r="AB107" i="4"/>
  <c r="AC107" i="4"/>
  <c r="AD107" i="4"/>
  <c r="AE107" i="4"/>
  <c r="AF107" i="4"/>
  <c r="AG107" i="4"/>
  <c r="AH107" i="4"/>
  <c r="AI107" i="4"/>
  <c r="AJ107" i="4"/>
  <c r="AK107" i="4"/>
  <c r="AL107" i="4"/>
  <c r="AM107" i="4"/>
  <c r="AN107" i="4"/>
  <c r="AU107" i="4"/>
  <c r="Q109" i="4"/>
  <c r="R109" i="4"/>
  <c r="S109" i="4"/>
  <c r="T109" i="4"/>
  <c r="U109" i="4"/>
  <c r="V109" i="4"/>
  <c r="W109" i="4"/>
  <c r="X109" i="4"/>
  <c r="Y109" i="4"/>
  <c r="Z109" i="4"/>
  <c r="AA109" i="4"/>
  <c r="AB109" i="4"/>
  <c r="AC109" i="4"/>
  <c r="AD109" i="4"/>
  <c r="AE109" i="4"/>
  <c r="AF109" i="4"/>
  <c r="AG109" i="4"/>
  <c r="AH109" i="4"/>
  <c r="AI109" i="4"/>
  <c r="AJ109" i="4"/>
  <c r="AK109" i="4"/>
  <c r="AL109" i="4"/>
  <c r="AM109" i="4"/>
  <c r="AN109" i="4"/>
  <c r="AO109" i="4"/>
  <c r="AP109" i="4"/>
  <c r="AQ109" i="4"/>
  <c r="AR109" i="4"/>
  <c r="AS109" i="4"/>
  <c r="AT109" i="4"/>
  <c r="AI110" i="4"/>
  <c r="Q111" i="4"/>
  <c r="R111" i="4"/>
  <c r="S111" i="4"/>
  <c r="T111" i="4"/>
  <c r="U111" i="4"/>
  <c r="V111" i="4"/>
  <c r="W111" i="4"/>
  <c r="X111" i="4"/>
  <c r="Y111" i="4"/>
  <c r="Z111" i="4"/>
  <c r="AA111" i="4"/>
  <c r="AB111" i="4"/>
  <c r="AC111" i="4"/>
  <c r="AD111" i="4"/>
  <c r="AE111" i="4"/>
  <c r="AF111" i="4"/>
  <c r="AG111" i="4"/>
  <c r="AH111" i="4"/>
  <c r="AI111" i="4"/>
  <c r="AJ111" i="4"/>
  <c r="AK111" i="4"/>
  <c r="AL111" i="4"/>
  <c r="AM111" i="4"/>
  <c r="AN111" i="4"/>
  <c r="AO111" i="4"/>
  <c r="AP111" i="4"/>
  <c r="AQ111" i="4"/>
  <c r="AR111" i="4"/>
  <c r="AS111" i="4"/>
  <c r="AT111" i="4"/>
  <c r="AB112" i="4"/>
  <c r="Q113" i="4"/>
  <c r="R113" i="4"/>
  <c r="S113" i="4"/>
  <c r="T113" i="4"/>
  <c r="U113" i="4"/>
  <c r="V113" i="4"/>
  <c r="W113" i="4"/>
  <c r="X113" i="4"/>
  <c r="Y113" i="4"/>
  <c r="Z113" i="4"/>
  <c r="AA113" i="4"/>
  <c r="AB113" i="4"/>
  <c r="AC113" i="4"/>
  <c r="AD113" i="4"/>
  <c r="AE113" i="4"/>
  <c r="AF113" i="4"/>
  <c r="AG113" i="4"/>
  <c r="AH113" i="4"/>
  <c r="AI113" i="4"/>
  <c r="AJ113" i="4"/>
  <c r="AK113" i="4"/>
  <c r="AL113" i="4"/>
  <c r="AM113" i="4"/>
  <c r="AN113" i="4"/>
  <c r="AV113" i="4"/>
  <c r="AD114" i="4"/>
  <c r="AT114" i="4"/>
  <c r="Q115" i="4"/>
  <c r="R115" i="4"/>
  <c r="S115" i="4"/>
  <c r="T115" i="4"/>
  <c r="U115" i="4"/>
  <c r="AH115" i="4"/>
  <c r="T116" i="4"/>
  <c r="AJ116" i="4"/>
  <c r="AZ116" i="4"/>
  <c r="Q117" i="4"/>
  <c r="R117" i="4"/>
  <c r="Z117" i="4"/>
  <c r="Q119" i="4"/>
  <c r="R119" i="4"/>
  <c r="S119" i="4"/>
  <c r="T119" i="4"/>
  <c r="U119" i="4"/>
  <c r="V119" i="4"/>
  <c r="W119" i="4"/>
  <c r="X119" i="4"/>
  <c r="Y119" i="4"/>
  <c r="Z119" i="4"/>
  <c r="AA119" i="4"/>
  <c r="AB119" i="4"/>
  <c r="AC119" i="4"/>
  <c r="AD119" i="4"/>
  <c r="AE119" i="4"/>
  <c r="AF119" i="4"/>
  <c r="AG119" i="4"/>
  <c r="AH119" i="4"/>
  <c r="AI119" i="4"/>
  <c r="AJ119" i="4"/>
  <c r="AK119" i="4"/>
  <c r="AL119" i="4"/>
  <c r="AM119" i="4"/>
  <c r="AN119" i="4"/>
  <c r="AO119" i="4"/>
  <c r="AP119" i="4"/>
  <c r="AQ119" i="4"/>
  <c r="AR119" i="4"/>
  <c r="AS119" i="4"/>
  <c r="AT119" i="4"/>
  <c r="AU119" i="4"/>
  <c r="AV119" i="4"/>
  <c r="AW119" i="4"/>
  <c r="AX119" i="4"/>
  <c r="AY119" i="4"/>
  <c r="AZ119" i="4"/>
  <c r="BA119" i="4"/>
  <c r="BB119" i="4"/>
  <c r="Q120" i="4"/>
  <c r="Y120" i="4"/>
  <c r="AO120" i="4"/>
  <c r="AW120" i="4"/>
  <c r="BE120" i="4"/>
  <c r="Q121" i="4"/>
  <c r="R121" i="4"/>
  <c r="S121" i="4"/>
  <c r="T121" i="4"/>
  <c r="U121" i="4"/>
  <c r="R122" i="4"/>
  <c r="S122" i="4"/>
  <c r="T122" i="4"/>
  <c r="X122" i="4"/>
  <c r="AB122" i="4"/>
  <c r="AF122" i="4"/>
  <c r="AN122" i="4"/>
  <c r="AR122" i="4"/>
  <c r="AV122" i="4"/>
  <c r="BD122" i="4"/>
  <c r="Q123" i="4"/>
  <c r="R123" i="4"/>
  <c r="S123" i="4"/>
  <c r="T123" i="4"/>
  <c r="U123" i="4"/>
  <c r="X123" i="4"/>
  <c r="AS123" i="4"/>
  <c r="Q124" i="4"/>
  <c r="S124" i="4"/>
  <c r="T124" i="4"/>
  <c r="U124" i="4"/>
  <c r="Z124" i="4"/>
  <c r="AD124" i="4"/>
  <c r="AH124" i="4"/>
  <c r="AP124" i="4"/>
  <c r="AT124" i="4"/>
  <c r="AX124" i="4"/>
  <c r="Q125" i="4"/>
  <c r="R125" i="4"/>
  <c r="S125" i="4"/>
  <c r="T125" i="4"/>
  <c r="U125" i="4"/>
  <c r="AK125" i="4"/>
  <c r="Q126" i="4"/>
  <c r="Q127" i="4"/>
  <c r="R127" i="4"/>
  <c r="S127" i="4"/>
  <c r="T127" i="4"/>
  <c r="U127" i="4"/>
  <c r="AQ127" i="4"/>
  <c r="S128" i="4"/>
  <c r="AA128" i="4"/>
  <c r="AK128" i="4"/>
  <c r="AU128" i="4"/>
  <c r="Q129" i="4"/>
  <c r="R129" i="4"/>
  <c r="S129" i="4"/>
  <c r="T129" i="4"/>
  <c r="U129" i="4"/>
  <c r="Z129" i="4"/>
  <c r="AV129" i="4"/>
  <c r="Q130" i="4"/>
  <c r="R130" i="4"/>
  <c r="S130" i="4"/>
  <c r="U130" i="4"/>
  <c r="V130" i="4"/>
  <c r="W130" i="4"/>
  <c r="AE130" i="4"/>
  <c r="AI130" i="4"/>
  <c r="AM130" i="4"/>
  <c r="AU130" i="4"/>
  <c r="AY130" i="4"/>
  <c r="BC130" i="4"/>
  <c r="Q131" i="4"/>
  <c r="R131" i="4"/>
  <c r="S131" i="4"/>
  <c r="T131" i="4"/>
  <c r="U131" i="4"/>
  <c r="V131" i="4"/>
  <c r="AG131" i="4"/>
  <c r="BB131" i="4"/>
  <c r="Q132" i="4"/>
  <c r="R132" i="4"/>
  <c r="S132" i="4"/>
  <c r="U132" i="4"/>
  <c r="Y132" i="4"/>
  <c r="AC132" i="4"/>
  <c r="AK132" i="4"/>
  <c r="AO132" i="4"/>
  <c r="AS132" i="4"/>
  <c r="BA132" i="4"/>
  <c r="BE132" i="4"/>
  <c r="Q133" i="4"/>
  <c r="R133" i="4"/>
  <c r="S133" i="4"/>
  <c r="T133" i="4"/>
  <c r="U133" i="4"/>
  <c r="AM133" i="4"/>
  <c r="Q134" i="4"/>
  <c r="Y134" i="4"/>
  <c r="AC134" i="4"/>
  <c r="AS134" i="4"/>
  <c r="R135" i="4"/>
  <c r="V135" i="4"/>
  <c r="Z135" i="4"/>
  <c r="BB135" i="4"/>
  <c r="Q136" i="4"/>
  <c r="R136" i="4"/>
  <c r="T136" i="4"/>
  <c r="U136" i="4"/>
  <c r="V136" i="4"/>
  <c r="X136" i="4"/>
  <c r="Y136" i="4"/>
  <c r="Z136" i="4"/>
  <c r="AB136" i="4"/>
  <c r="AC136" i="4"/>
  <c r="AD136" i="4"/>
  <c r="AF136" i="4"/>
  <c r="AG136" i="4"/>
  <c r="AH136" i="4"/>
  <c r="AJ136" i="4"/>
  <c r="AK136" i="4"/>
  <c r="AL136" i="4"/>
  <c r="AN136" i="4"/>
  <c r="AO136" i="4"/>
  <c r="AP136" i="4"/>
  <c r="AR136" i="4"/>
  <c r="AS136" i="4"/>
  <c r="AT136" i="4"/>
  <c r="AV136" i="4"/>
  <c r="AW136" i="4"/>
  <c r="AX136" i="4"/>
  <c r="AZ136" i="4"/>
  <c r="BA136" i="4"/>
  <c r="BC136" i="4"/>
  <c r="T137" i="4"/>
  <c r="X137" i="4"/>
  <c r="AB137" i="4"/>
  <c r="AF137" i="4"/>
  <c r="AJ137" i="4"/>
  <c r="AN137" i="4"/>
  <c r="AR137" i="4"/>
  <c r="AV137" i="4"/>
  <c r="AZ137" i="4"/>
  <c r="Q138" i="4"/>
  <c r="R138" i="4"/>
  <c r="S138" i="4"/>
  <c r="T138" i="4"/>
  <c r="U138" i="4"/>
  <c r="V138" i="4"/>
  <c r="W138" i="4"/>
  <c r="X138" i="4"/>
  <c r="Y138" i="4"/>
  <c r="Z138" i="4"/>
  <c r="AA138" i="4"/>
  <c r="AB138" i="4"/>
  <c r="AC138" i="4"/>
  <c r="AD138" i="4"/>
  <c r="AE138" i="4"/>
  <c r="AF138" i="4"/>
  <c r="AG138" i="4"/>
  <c r="AH138" i="4"/>
  <c r="AI138" i="4"/>
  <c r="AJ138" i="4"/>
  <c r="AK138" i="4"/>
  <c r="AL138" i="4"/>
  <c r="AM138" i="4"/>
  <c r="AN138" i="4"/>
  <c r="AO138" i="4"/>
  <c r="AP138" i="4"/>
  <c r="AQ138" i="4"/>
  <c r="AR138" i="4"/>
  <c r="AS138" i="4"/>
  <c r="AT138" i="4"/>
  <c r="AU138" i="4"/>
  <c r="AV138" i="4"/>
  <c r="AW138" i="4"/>
  <c r="AX138" i="4"/>
  <c r="AY138" i="4"/>
  <c r="AZ138" i="4"/>
  <c r="BA138" i="4"/>
  <c r="BB138" i="4"/>
  <c r="BC138" i="4"/>
  <c r="BD138" i="4"/>
  <c r="BE138" i="4"/>
  <c r="S139" i="4"/>
  <c r="W139" i="4"/>
  <c r="AA139" i="4"/>
  <c r="AE139" i="4"/>
  <c r="AI139" i="4"/>
  <c r="AM139" i="4"/>
  <c r="AQ139" i="4"/>
  <c r="AU139" i="4"/>
  <c r="AY139" i="4"/>
  <c r="BC139" i="4"/>
  <c r="Q140" i="4"/>
  <c r="R140" i="4"/>
  <c r="S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AF140" i="4"/>
  <c r="AG140" i="4"/>
  <c r="AH140" i="4"/>
  <c r="AI140" i="4"/>
  <c r="AJ140" i="4"/>
  <c r="AK140" i="4"/>
  <c r="AL140" i="4"/>
  <c r="AM140" i="4"/>
  <c r="AN140" i="4"/>
  <c r="AO140" i="4"/>
  <c r="AP140" i="4"/>
  <c r="AQ140" i="4"/>
  <c r="AR140" i="4"/>
  <c r="AS140" i="4"/>
  <c r="AT140" i="4"/>
  <c r="AU140" i="4"/>
  <c r="AV140" i="4"/>
  <c r="AW140" i="4"/>
  <c r="AX140" i="4"/>
  <c r="AY140" i="4"/>
  <c r="AZ140" i="4"/>
  <c r="BA140" i="4"/>
  <c r="BB140" i="4"/>
  <c r="BC140" i="4"/>
  <c r="BD140" i="4"/>
  <c r="Q141" i="4"/>
  <c r="U141" i="4"/>
  <c r="Y141" i="4"/>
  <c r="AC141" i="4"/>
  <c r="AG141" i="4"/>
  <c r="AK141" i="4"/>
  <c r="AO141" i="4"/>
  <c r="AS141" i="4"/>
  <c r="AW141" i="4"/>
  <c r="BA141" i="4"/>
  <c r="BE141" i="4"/>
  <c r="BD20" i="4"/>
  <c r="AV20" i="4"/>
  <c r="AO20" i="4"/>
  <c r="AI20" i="4"/>
  <c r="AC20" i="4"/>
  <c r="Y20" i="4"/>
  <c r="X20" i="4"/>
  <c r="W20" i="4"/>
  <c r="V20" i="4"/>
  <c r="U20" i="4"/>
  <c r="T20" i="4"/>
  <c r="S20" i="4"/>
  <c r="R20" i="4"/>
  <c r="Q20" i="4"/>
  <c r="BE19" i="4"/>
  <c r="BA19" i="4"/>
  <c r="AW19" i="4"/>
  <c r="AS19" i="4"/>
  <c r="AO19" i="4"/>
  <c r="AK19" i="4"/>
  <c r="AG19" i="4"/>
  <c r="AC19" i="4"/>
  <c r="Y19" i="4"/>
  <c r="U19" i="4"/>
  <c r="Q19" i="4"/>
  <c r="T18" i="4"/>
  <c r="S18" i="4"/>
  <c r="R18" i="4"/>
  <c r="Q18" i="4"/>
  <c r="BA17" i="4"/>
  <c r="AS17" i="4"/>
  <c r="AK17" i="4"/>
  <c r="AC17" i="4"/>
  <c r="U17" i="4"/>
  <c r="BC16" i="4"/>
  <c r="AU16" i="4"/>
  <c r="AM16" i="4"/>
  <c r="AG16" i="4"/>
  <c r="AC16" i="4"/>
  <c r="Y16" i="4"/>
  <c r="W16" i="4"/>
  <c r="V16" i="4"/>
  <c r="U16" i="4"/>
  <c r="T16" i="4"/>
  <c r="S16" i="4"/>
  <c r="R16" i="4"/>
  <c r="Q16" i="4"/>
  <c r="BC15" i="4"/>
  <c r="AY15" i="4"/>
  <c r="AU15" i="4"/>
  <c r="AQ15" i="4"/>
  <c r="AM15" i="4"/>
  <c r="AI15" i="4"/>
  <c r="AE15" i="4"/>
  <c r="AA15" i="4"/>
  <c r="W15" i="4"/>
  <c r="S15" i="4"/>
  <c r="BB14" i="4"/>
  <c r="AX14" i="4"/>
  <c r="AT14" i="4"/>
  <c r="AP14" i="4"/>
  <c r="AL14" i="4"/>
  <c r="AH14" i="4"/>
  <c r="AD14" i="4"/>
  <c r="Z14" i="4"/>
  <c r="W14" i="4"/>
  <c r="V14" i="4"/>
  <c r="U14" i="4"/>
  <c r="T14" i="4"/>
  <c r="S14" i="4"/>
  <c r="R14" i="4"/>
  <c r="Q14" i="4"/>
  <c r="V13" i="4"/>
  <c r="R13" i="4"/>
  <c r="AR12" i="4"/>
  <c r="AB12" i="4"/>
  <c r="W12" i="4"/>
  <c r="V12" i="4"/>
  <c r="U12" i="4"/>
  <c r="T12" i="4"/>
  <c r="S12" i="4"/>
  <c r="R12" i="4"/>
  <c r="Q12" i="4"/>
  <c r="BE11" i="4"/>
  <c r="BD11" i="4"/>
  <c r="BC11" i="4"/>
  <c r="BB11" i="4"/>
  <c r="BA11" i="4"/>
  <c r="AZ11" i="4"/>
  <c r="AY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BD10" i="4"/>
  <c r="AV10" i="4"/>
  <c r="AN10" i="4"/>
  <c r="AF10" i="4"/>
  <c r="X10" i="4"/>
  <c r="U10" i="4"/>
  <c r="T10" i="4"/>
  <c r="S10" i="4"/>
  <c r="R10" i="4"/>
  <c r="Q10" i="4"/>
  <c r="BE9" i="4"/>
  <c r="BD9" i="4"/>
  <c r="BC9" i="4"/>
  <c r="BB9" i="4"/>
  <c r="BA9" i="4"/>
  <c r="AZ9" i="4"/>
  <c r="AY9" i="4"/>
  <c r="AX9" i="4"/>
  <c r="AW9" i="4"/>
  <c r="AV9" i="4"/>
  <c r="AU9" i="4"/>
  <c r="AT9" i="4"/>
  <c r="AS9" i="4"/>
  <c r="AR9" i="4"/>
  <c r="AQ9" i="4"/>
  <c r="AP9" i="4"/>
  <c r="AO9" i="4"/>
  <c r="AN9" i="4"/>
  <c r="AM9" i="4"/>
  <c r="AL9" i="4"/>
  <c r="AK9" i="4"/>
  <c r="AJ9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AZ8" i="4"/>
  <c r="AR8" i="4"/>
  <c r="AJ8" i="4"/>
  <c r="AD8" i="4"/>
  <c r="X8" i="4"/>
  <c r="U8" i="4"/>
  <c r="T8" i="4"/>
  <c r="S8" i="4"/>
  <c r="R8" i="4"/>
  <c r="Q8" i="4"/>
  <c r="BE7" i="4"/>
  <c r="BD7" i="4"/>
  <c r="BC7" i="4"/>
  <c r="BB7" i="4"/>
  <c r="BA7" i="4"/>
  <c r="AZ7" i="4"/>
  <c r="AY7" i="4"/>
  <c r="AX7" i="4"/>
  <c r="AW7" i="4"/>
  <c r="AV7" i="4"/>
  <c r="AU7" i="4"/>
  <c r="AT7" i="4"/>
  <c r="AS7" i="4"/>
  <c r="AR7" i="4"/>
  <c r="AQ7" i="4"/>
  <c r="AP7" i="4"/>
  <c r="AO7" i="4"/>
  <c r="AN7" i="4"/>
  <c r="AM7" i="4"/>
  <c r="AL7" i="4"/>
  <c r="AK7" i="4"/>
  <c r="AJ7" i="4"/>
  <c r="AI7" i="4"/>
  <c r="AH7" i="4"/>
  <c r="AG7" i="4"/>
  <c r="AF7" i="4"/>
  <c r="AE7" i="4"/>
  <c r="AD7" i="4"/>
  <c r="AC7" i="4"/>
  <c r="AB7" i="4"/>
  <c r="AA7" i="4"/>
  <c r="Z7" i="4"/>
  <c r="Y7" i="4"/>
  <c r="X7" i="4"/>
  <c r="W7" i="4"/>
  <c r="V7" i="4"/>
  <c r="U7" i="4"/>
  <c r="T7" i="4"/>
  <c r="S7" i="4"/>
  <c r="R7" i="4"/>
  <c r="Q7" i="4"/>
  <c r="BB6" i="4"/>
  <c r="AW6" i="4"/>
  <c r="AQ6" i="4"/>
  <c r="AL6" i="4"/>
  <c r="AG6" i="4"/>
  <c r="AA6" i="4"/>
  <c r="V6" i="4"/>
  <c r="Q6" i="4"/>
  <c r="N5" i="4"/>
  <c r="N4" i="4"/>
  <c r="N3" i="4"/>
  <c r="P3" i="4"/>
  <c r="N2" i="4"/>
  <c r="W129" i="4" l="1"/>
  <c r="AA129" i="4"/>
  <c r="AE129" i="4"/>
  <c r="AI129" i="4"/>
  <c r="AM129" i="4"/>
  <c r="AQ129" i="4"/>
  <c r="AU129" i="4"/>
  <c r="AY129" i="4"/>
  <c r="BC129" i="4"/>
  <c r="V129" i="4"/>
  <c r="AB129" i="4"/>
  <c r="AG129" i="4"/>
  <c r="AL129" i="4"/>
  <c r="AR129" i="4"/>
  <c r="AW129" i="4"/>
  <c r="BB129" i="4"/>
  <c r="X129" i="4"/>
  <c r="AC129" i="4"/>
  <c r="AH129" i="4"/>
  <c r="AN129" i="4"/>
  <c r="BH129" i="4" s="1"/>
  <c r="AS129" i="4"/>
  <c r="AX129" i="4"/>
  <c r="BD129" i="4"/>
  <c r="Y129" i="4"/>
  <c r="AD129" i="4"/>
  <c r="AJ129" i="4"/>
  <c r="AO129" i="4"/>
  <c r="AT129" i="4"/>
  <c r="BI129" i="4" s="1"/>
  <c r="AZ129" i="4"/>
  <c r="BE129" i="4"/>
  <c r="AP113" i="4"/>
  <c r="AT113" i="4"/>
  <c r="AX113" i="4"/>
  <c r="BE113" i="4"/>
  <c r="AQ113" i="4"/>
  <c r="AU113" i="4"/>
  <c r="AY113" i="4"/>
  <c r="AO113" i="4"/>
  <c r="AW113" i="4"/>
  <c r="AR113" i="4"/>
  <c r="BH113" i="4" s="1"/>
  <c r="AZ113" i="4"/>
  <c r="AS113" i="4"/>
  <c r="BA113" i="4"/>
  <c r="V105" i="4"/>
  <c r="BG105" i="4" s="1"/>
  <c r="Z105" i="4"/>
  <c r="AD105" i="4"/>
  <c r="AH105" i="4"/>
  <c r="AL105" i="4"/>
  <c r="AP105" i="4"/>
  <c r="AT105" i="4"/>
  <c r="AX105" i="4"/>
  <c r="S105" i="4"/>
  <c r="BF105" i="4" s="1"/>
  <c r="W105" i="4"/>
  <c r="AA105" i="4"/>
  <c r="AE105" i="4"/>
  <c r="AI105" i="4"/>
  <c r="BH105" i="4" s="1"/>
  <c r="AM105" i="4"/>
  <c r="AQ105" i="4"/>
  <c r="AU105" i="4"/>
  <c r="AY105" i="4"/>
  <c r="T105" i="4"/>
  <c r="AB105" i="4"/>
  <c r="AJ105" i="4"/>
  <c r="AR105" i="4"/>
  <c r="AZ105" i="4"/>
  <c r="U105" i="4"/>
  <c r="AC105" i="4"/>
  <c r="AK105" i="4"/>
  <c r="AS105" i="4"/>
  <c r="X105" i="4"/>
  <c r="AF105" i="4"/>
  <c r="AN105" i="4"/>
  <c r="AV105" i="4"/>
  <c r="BE97" i="4"/>
  <c r="BD97" i="4"/>
  <c r="BB97" i="4"/>
  <c r="BI97" i="4" s="1"/>
  <c r="BC97" i="4"/>
  <c r="S87" i="4"/>
  <c r="W87" i="4"/>
  <c r="AB87" i="4"/>
  <c r="AG87" i="4"/>
  <c r="AL87" i="4"/>
  <c r="AR87" i="4"/>
  <c r="AW87" i="4"/>
  <c r="BB87" i="4"/>
  <c r="T87" i="4"/>
  <c r="X87" i="4"/>
  <c r="AC87" i="4"/>
  <c r="AH87" i="4"/>
  <c r="AN87" i="4"/>
  <c r="AS87" i="4"/>
  <c r="AX87" i="4"/>
  <c r="BD87" i="4"/>
  <c r="U87" i="4"/>
  <c r="AD87" i="4"/>
  <c r="AO87" i="4"/>
  <c r="AZ87" i="4"/>
  <c r="V87" i="4"/>
  <c r="AF87" i="4"/>
  <c r="AP87" i="4"/>
  <c r="BA87" i="4"/>
  <c r="Z87" i="4"/>
  <c r="AV87" i="4"/>
  <c r="Q87" i="4"/>
  <c r="BF87" i="4" s="1"/>
  <c r="AJ87" i="4"/>
  <c r="BE87" i="4"/>
  <c r="R87" i="4"/>
  <c r="AK87" i="4"/>
  <c r="X79" i="4"/>
  <c r="AI79" i="4"/>
  <c r="AQ79" i="4"/>
  <c r="AY79" i="4"/>
  <c r="AA79" i="4"/>
  <c r="AL79" i="4"/>
  <c r="AT79" i="4"/>
  <c r="AZ79" i="4"/>
  <c r="T79" i="4"/>
  <c r="AN79" i="4"/>
  <c r="BB79" i="4"/>
  <c r="V79" i="4"/>
  <c r="AP79" i="4"/>
  <c r="BD79" i="4"/>
  <c r="AD79" i="4"/>
  <c r="AU79" i="4"/>
  <c r="AF79" i="4"/>
  <c r="AV79" i="4"/>
  <c r="AV69" i="4"/>
  <c r="AZ69" i="4"/>
  <c r="BD69" i="4"/>
  <c r="AN69" i="4"/>
  <c r="AJ40" i="4"/>
  <c r="AF40" i="4"/>
  <c r="R6" i="4"/>
  <c r="AH6" i="4"/>
  <c r="AX6" i="4"/>
  <c r="Z8" i="4"/>
  <c r="AT8" i="4"/>
  <c r="AP10" i="4"/>
  <c r="AV12" i="4"/>
  <c r="AE14" i="4"/>
  <c r="AQ14" i="4"/>
  <c r="BC14" i="4"/>
  <c r="Z16" i="4"/>
  <c r="AD16" i="4"/>
  <c r="AH16" i="4"/>
  <c r="AP16" i="4"/>
  <c r="AX16" i="4"/>
  <c r="Z20" i="4"/>
  <c r="AE20" i="4"/>
  <c r="AJ20" i="4"/>
  <c r="AP20" i="4"/>
  <c r="AX20" i="4"/>
  <c r="AX135" i="4"/>
  <c r="BC133" i="4"/>
  <c r="AW131" i="4"/>
  <c r="AA131" i="4"/>
  <c r="BG131" i="4" s="1"/>
  <c r="AP129" i="4"/>
  <c r="BA125" i="4"/>
  <c r="AF125" i="4"/>
  <c r="Z115" i="4"/>
  <c r="AW105" i="4"/>
  <c r="Y87" i="4"/>
  <c r="Y133" i="4"/>
  <c r="AC133" i="4"/>
  <c r="AG133" i="4"/>
  <c r="AK133" i="4"/>
  <c r="AO133" i="4"/>
  <c r="AS133" i="4"/>
  <c r="AW133" i="4"/>
  <c r="BA133" i="4"/>
  <c r="BE133" i="4"/>
  <c r="X133" i="4"/>
  <c r="BG133" i="4" s="1"/>
  <c r="AD133" i="4"/>
  <c r="AI133" i="4"/>
  <c r="AN133" i="4"/>
  <c r="AT133" i="4"/>
  <c r="AY133" i="4"/>
  <c r="BD133" i="4"/>
  <c r="Z133" i="4"/>
  <c r="AE133" i="4"/>
  <c r="AJ133" i="4"/>
  <c r="AP133" i="4"/>
  <c r="AU133" i="4"/>
  <c r="AZ133" i="4"/>
  <c r="V133" i="4"/>
  <c r="AA133" i="4"/>
  <c r="AF133" i="4"/>
  <c r="AL133" i="4"/>
  <c r="BH133" i="4" s="1"/>
  <c r="AQ133" i="4"/>
  <c r="AV133" i="4"/>
  <c r="BB133" i="4"/>
  <c r="V127" i="4"/>
  <c r="BG127" i="4" s="1"/>
  <c r="Z127" i="4"/>
  <c r="AD127" i="4"/>
  <c r="AH127" i="4"/>
  <c r="AL127" i="4"/>
  <c r="BH127" i="4" s="1"/>
  <c r="AP127" i="4"/>
  <c r="AT127" i="4"/>
  <c r="AX127" i="4"/>
  <c r="BB127" i="4"/>
  <c r="W127" i="4"/>
  <c r="AB127" i="4"/>
  <c r="AG127" i="4"/>
  <c r="AM127" i="4"/>
  <c r="AR127" i="4"/>
  <c r="AW127" i="4"/>
  <c r="BC127" i="4"/>
  <c r="X127" i="4"/>
  <c r="AC127" i="4"/>
  <c r="AI127" i="4"/>
  <c r="AN127" i="4"/>
  <c r="AS127" i="4"/>
  <c r="AY127" i="4"/>
  <c r="BD127" i="4"/>
  <c r="Y127" i="4"/>
  <c r="AE127" i="4"/>
  <c r="AJ127" i="4"/>
  <c r="AO127" i="4"/>
  <c r="AU127" i="4"/>
  <c r="AZ127" i="4"/>
  <c r="BI127" i="4" s="1"/>
  <c r="BE127" i="4"/>
  <c r="V123" i="4"/>
  <c r="Z123" i="4"/>
  <c r="AD123" i="4"/>
  <c r="AH123" i="4"/>
  <c r="AL123" i="4"/>
  <c r="AP123" i="4"/>
  <c r="AT123" i="4"/>
  <c r="BI123" i="4" s="1"/>
  <c r="AX123" i="4"/>
  <c r="BB123" i="4"/>
  <c r="Y123" i="4"/>
  <c r="AE123" i="4"/>
  <c r="AJ123" i="4"/>
  <c r="AO123" i="4"/>
  <c r="AU123" i="4"/>
  <c r="AZ123" i="4"/>
  <c r="BE123" i="4"/>
  <c r="AA123" i="4"/>
  <c r="AF123" i="4"/>
  <c r="AK123" i="4"/>
  <c r="AQ123" i="4"/>
  <c r="AV123" i="4"/>
  <c r="BA123" i="4"/>
  <c r="W123" i="4"/>
  <c r="BG123" i="4" s="1"/>
  <c r="AB123" i="4"/>
  <c r="AG123" i="4"/>
  <c r="AM123" i="4"/>
  <c r="AR123" i="4"/>
  <c r="AW123" i="4"/>
  <c r="BC123" i="4"/>
  <c r="S117" i="4"/>
  <c r="W117" i="4"/>
  <c r="BG117" i="4" s="1"/>
  <c r="AA117" i="4"/>
  <c r="AE117" i="4"/>
  <c r="AI117" i="4"/>
  <c r="AM117" i="4"/>
  <c r="AQ117" i="4"/>
  <c r="AX117" i="4"/>
  <c r="T117" i="4"/>
  <c r="X117" i="4"/>
  <c r="AB117" i="4"/>
  <c r="AF117" i="4"/>
  <c r="AJ117" i="4"/>
  <c r="AN117" i="4"/>
  <c r="AR117" i="4"/>
  <c r="AZ117" i="4"/>
  <c r="U117" i="4"/>
  <c r="AC117" i="4"/>
  <c r="AK117" i="4"/>
  <c r="AS117" i="4"/>
  <c r="V117" i="4"/>
  <c r="AD117" i="4"/>
  <c r="AL117" i="4"/>
  <c r="AT117" i="4"/>
  <c r="Y117" i="4"/>
  <c r="AG117" i="4"/>
  <c r="AO117" i="4"/>
  <c r="BC117" i="4"/>
  <c r="AW111" i="4"/>
  <c r="BA111" i="4"/>
  <c r="BE111" i="4"/>
  <c r="AX111" i="4"/>
  <c r="BB111" i="4"/>
  <c r="AZ111" i="4"/>
  <c r="BI111" i="4" s="1"/>
  <c r="AU111" i="4"/>
  <c r="BC111" i="4"/>
  <c r="AV111" i="4"/>
  <c r="BD111" i="4"/>
  <c r="AO107" i="4"/>
  <c r="AS107" i="4"/>
  <c r="AW107" i="4"/>
  <c r="BA107" i="4"/>
  <c r="AP107" i="4"/>
  <c r="AT107" i="4"/>
  <c r="AX107" i="4"/>
  <c r="AV107" i="4"/>
  <c r="AQ107" i="4"/>
  <c r="AY107" i="4"/>
  <c r="AR107" i="4"/>
  <c r="AZ107" i="4"/>
  <c r="AW101" i="4"/>
  <c r="BE101" i="4"/>
  <c r="Z95" i="4"/>
  <c r="AD95" i="4"/>
  <c r="AH95" i="4"/>
  <c r="AL95" i="4"/>
  <c r="AP95" i="4"/>
  <c r="AT95" i="4"/>
  <c r="AX95" i="4"/>
  <c r="BB95" i="4"/>
  <c r="W95" i="4"/>
  <c r="AA95" i="4"/>
  <c r="AE95" i="4"/>
  <c r="AI95" i="4"/>
  <c r="AM95" i="4"/>
  <c r="AQ95" i="4"/>
  <c r="AU95" i="4"/>
  <c r="AY95" i="4"/>
  <c r="BC95" i="4"/>
  <c r="AB95" i="4"/>
  <c r="AJ95" i="4"/>
  <c r="AR95" i="4"/>
  <c r="AZ95" i="4"/>
  <c r="AC95" i="4"/>
  <c r="AK95" i="4"/>
  <c r="AS95" i="4"/>
  <c r="BA95" i="4"/>
  <c r="X95" i="4"/>
  <c r="BG95" i="4" s="1"/>
  <c r="AN95" i="4"/>
  <c r="BD95" i="4"/>
  <c r="Y95" i="4"/>
  <c r="AO95" i="4"/>
  <c r="BH95" i="4" s="1"/>
  <c r="BE95" i="4"/>
  <c r="AF95" i="4"/>
  <c r="AV95" i="4"/>
  <c r="T91" i="4"/>
  <c r="Y91" i="4"/>
  <c r="AE91" i="4"/>
  <c r="AJ91" i="4"/>
  <c r="AO91" i="4"/>
  <c r="AU91" i="4"/>
  <c r="AZ91" i="4"/>
  <c r="BE91" i="4"/>
  <c r="U91" i="4"/>
  <c r="AA91" i="4"/>
  <c r="AF91" i="4"/>
  <c r="AK91" i="4"/>
  <c r="AQ91" i="4"/>
  <c r="AV91" i="4"/>
  <c r="BA91" i="4"/>
  <c r="X91" i="4"/>
  <c r="AI91" i="4"/>
  <c r="AS91" i="4"/>
  <c r="BD91" i="4"/>
  <c r="AB91" i="4"/>
  <c r="AM91" i="4"/>
  <c r="AW91" i="4"/>
  <c r="W91" i="4"/>
  <c r="AR91" i="4"/>
  <c r="AC91" i="4"/>
  <c r="AY91" i="4"/>
  <c r="AG91" i="4"/>
  <c r="BC91" i="4"/>
  <c r="AA85" i="4"/>
  <c r="AF85" i="4"/>
  <c r="AL85" i="4"/>
  <c r="AQ85" i="4"/>
  <c r="AV85" i="4"/>
  <c r="BB85" i="4"/>
  <c r="W85" i="4"/>
  <c r="AB85" i="4"/>
  <c r="AH85" i="4"/>
  <c r="AM85" i="4"/>
  <c r="AR85" i="4"/>
  <c r="AX85" i="4"/>
  <c r="BC85" i="4"/>
  <c r="AD85" i="4"/>
  <c r="AN85" i="4"/>
  <c r="AY85" i="4"/>
  <c r="AE85" i="4"/>
  <c r="AP85" i="4"/>
  <c r="AZ85" i="4"/>
  <c r="X85" i="4"/>
  <c r="AI85" i="4"/>
  <c r="AT85" i="4"/>
  <c r="AU85" i="4"/>
  <c r="BD85" i="4"/>
  <c r="Z85" i="4"/>
  <c r="U81" i="4"/>
  <c r="AC81" i="4"/>
  <c r="AJ81" i="4"/>
  <c r="AP81" i="4"/>
  <c r="AX81" i="4"/>
  <c r="BE81" i="4"/>
  <c r="X81" i="4"/>
  <c r="AD81" i="4"/>
  <c r="AK81" i="4"/>
  <c r="AS81" i="4"/>
  <c r="AZ81" i="4"/>
  <c r="AF81" i="4"/>
  <c r="AT81" i="4"/>
  <c r="AH81" i="4"/>
  <c r="AV81" i="4"/>
  <c r="Y81" i="4"/>
  <c r="AN81" i="4"/>
  <c r="BA81" i="4"/>
  <c r="AO81" i="4"/>
  <c r="BD81" i="4"/>
  <c r="AN75" i="4"/>
  <c r="AV75" i="4"/>
  <c r="AF75" i="4"/>
  <c r="BD75" i="4"/>
  <c r="X75" i="4"/>
  <c r="AW71" i="4"/>
  <c r="BE71" i="4"/>
  <c r="BA71" i="4"/>
  <c r="AL65" i="4"/>
  <c r="BB65" i="4"/>
  <c r="AT65" i="4"/>
  <c r="AX65" i="4"/>
  <c r="AP63" i="4"/>
  <c r="AH63" i="4"/>
  <c r="AL63" i="4"/>
  <c r="BE63" i="4"/>
  <c r="AG61" i="4"/>
  <c r="AW61" i="4"/>
  <c r="BC59" i="4"/>
  <c r="AM59" i="4"/>
  <c r="AU59" i="4"/>
  <c r="AD57" i="4"/>
  <c r="AT57" i="4"/>
  <c r="Y38" i="4"/>
  <c r="BB38" i="4"/>
  <c r="BC20" i="4"/>
  <c r="AY20" i="4"/>
  <c r="AU20" i="4"/>
  <c r="AQ20" i="4"/>
  <c r="AM20" i="4"/>
  <c r="BB20" i="4"/>
  <c r="AW20" i="4"/>
  <c r="AR20" i="4"/>
  <c r="AL20" i="4"/>
  <c r="AH20" i="4"/>
  <c r="AD20" i="4"/>
  <c r="AC6" i="4"/>
  <c r="AS6" i="4"/>
  <c r="BC6" i="4"/>
  <c r="AE8" i="4"/>
  <c r="BB8" i="4"/>
  <c r="AH10" i="4"/>
  <c r="AF12" i="4"/>
  <c r="AM14" i="4"/>
  <c r="AY14" i="4"/>
  <c r="Y6" i="4"/>
  <c r="AI6" i="4"/>
  <c r="AT6" i="4"/>
  <c r="AF8" i="4"/>
  <c r="AV8" i="4"/>
  <c r="BD8" i="4"/>
  <c r="AB10" i="4"/>
  <c r="AJ10" i="4"/>
  <c r="AR10" i="4"/>
  <c r="AZ10" i="4"/>
  <c r="AJ12" i="4"/>
  <c r="AZ12" i="4"/>
  <c r="X14" i="4"/>
  <c r="AB14" i="4"/>
  <c r="AF14" i="4"/>
  <c r="AJ14" i="4"/>
  <c r="AN14" i="4"/>
  <c r="AR14" i="4"/>
  <c r="AV14" i="4"/>
  <c r="BI14" i="4" s="1"/>
  <c r="AZ14" i="4"/>
  <c r="BD14" i="4"/>
  <c r="AA16" i="4"/>
  <c r="AE16" i="4"/>
  <c r="AI16" i="4"/>
  <c r="AQ16" i="4"/>
  <c r="AY16" i="4"/>
  <c r="AA20" i="4"/>
  <c r="AF20" i="4"/>
  <c r="AK20" i="4"/>
  <c r="AS20" i="4"/>
  <c r="AZ20" i="4"/>
  <c r="AX133" i="4"/>
  <c r="AB133" i="4"/>
  <c r="AK129" i="4"/>
  <c r="BA127" i="4"/>
  <c r="AF127" i="4"/>
  <c r="AV125" i="4"/>
  <c r="BD123" i="4"/>
  <c r="AI123" i="4"/>
  <c r="BH123" i="4" s="1"/>
  <c r="AP117" i="4"/>
  <c r="AY111" i="4"/>
  <c r="AO105" i="4"/>
  <c r="AG95" i="4"/>
  <c r="AN91" i="4"/>
  <c r="AD135" i="4"/>
  <c r="AT135" i="4"/>
  <c r="AL135" i="4"/>
  <c r="AP135" i="4"/>
  <c r="X131" i="4"/>
  <c r="AB131" i="4"/>
  <c r="AF131" i="4"/>
  <c r="AJ131" i="4"/>
  <c r="AN131" i="4"/>
  <c r="AR131" i="4"/>
  <c r="AV131" i="4"/>
  <c r="BI131" i="4" s="1"/>
  <c r="AZ131" i="4"/>
  <c r="BD131" i="4"/>
  <c r="W131" i="4"/>
  <c r="AC131" i="4"/>
  <c r="AH131" i="4"/>
  <c r="AM131" i="4"/>
  <c r="AS131" i="4"/>
  <c r="AX131" i="4"/>
  <c r="BC131" i="4"/>
  <c r="Y131" i="4"/>
  <c r="AD131" i="4"/>
  <c r="AI131" i="4"/>
  <c r="AO131" i="4"/>
  <c r="AT131" i="4"/>
  <c r="AY131" i="4"/>
  <c r="BE131" i="4"/>
  <c r="Z131" i="4"/>
  <c r="AE131" i="4"/>
  <c r="AK131" i="4"/>
  <c r="AP131" i="4"/>
  <c r="AU131" i="4"/>
  <c r="BA131" i="4"/>
  <c r="W125" i="4"/>
  <c r="AA125" i="4"/>
  <c r="AE125" i="4"/>
  <c r="AI125" i="4"/>
  <c r="AM125" i="4"/>
  <c r="AQ125" i="4"/>
  <c r="AU125" i="4"/>
  <c r="AY125" i="4"/>
  <c r="BC125" i="4"/>
  <c r="V125" i="4"/>
  <c r="BG125" i="4" s="1"/>
  <c r="AB125" i="4"/>
  <c r="AG125" i="4"/>
  <c r="AL125" i="4"/>
  <c r="AR125" i="4"/>
  <c r="AW125" i="4"/>
  <c r="BB125" i="4"/>
  <c r="X125" i="4"/>
  <c r="AC125" i="4"/>
  <c r="AH125" i="4"/>
  <c r="AN125" i="4"/>
  <c r="AS125" i="4"/>
  <c r="AX125" i="4"/>
  <c r="BD125" i="4"/>
  <c r="Y125" i="4"/>
  <c r="AD125" i="4"/>
  <c r="AJ125" i="4"/>
  <c r="BH125" i="4" s="1"/>
  <c r="AO125" i="4"/>
  <c r="AT125" i="4"/>
  <c r="AZ125" i="4"/>
  <c r="BE125" i="4"/>
  <c r="BC119" i="4"/>
  <c r="BD119" i="4"/>
  <c r="BE119" i="4"/>
  <c r="W115" i="4"/>
  <c r="BG115" i="4" s="1"/>
  <c r="AA115" i="4"/>
  <c r="AE115" i="4"/>
  <c r="AI115" i="4"/>
  <c r="AM115" i="4"/>
  <c r="AQ115" i="4"/>
  <c r="AU115" i="4"/>
  <c r="AY115" i="4"/>
  <c r="BC115" i="4"/>
  <c r="X115" i="4"/>
  <c r="AB115" i="4"/>
  <c r="AF115" i="4"/>
  <c r="AJ115" i="4"/>
  <c r="BH115" i="4" s="1"/>
  <c r="AN115" i="4"/>
  <c r="AR115" i="4"/>
  <c r="AV115" i="4"/>
  <c r="AZ115" i="4"/>
  <c r="BI115" i="4" s="1"/>
  <c r="BD115" i="4"/>
  <c r="AC115" i="4"/>
  <c r="AK115" i="4"/>
  <c r="AS115" i="4"/>
  <c r="BA115" i="4"/>
  <c r="V115" i="4"/>
  <c r="AD115" i="4"/>
  <c r="AL115" i="4"/>
  <c r="AT115" i="4"/>
  <c r="BB115" i="4"/>
  <c r="Y115" i="4"/>
  <c r="AG115" i="4"/>
  <c r="AO115" i="4"/>
  <c r="AW115" i="4"/>
  <c r="BE115" i="4"/>
  <c r="AX109" i="4"/>
  <c r="BB109" i="4"/>
  <c r="AU109" i="4"/>
  <c r="AY109" i="4"/>
  <c r="BC109" i="4"/>
  <c r="BA109" i="4"/>
  <c r="AV109" i="4"/>
  <c r="BD109" i="4"/>
  <c r="AW109" i="4"/>
  <c r="BI109" i="4" s="1"/>
  <c r="BE109" i="4"/>
  <c r="AV103" i="4"/>
  <c r="AN103" i="4"/>
  <c r="BD103" i="4"/>
  <c r="X103" i="4"/>
  <c r="AF103" i="4"/>
  <c r="BC99" i="4"/>
  <c r="BE99" i="4"/>
  <c r="BI99" i="4" s="1"/>
  <c r="BA99" i="4"/>
  <c r="BB99" i="4"/>
  <c r="X93" i="4"/>
  <c r="AB93" i="4"/>
  <c r="BG93" i="4" s="1"/>
  <c r="AF93" i="4"/>
  <c r="AJ93" i="4"/>
  <c r="AP93" i="4"/>
  <c r="AU93" i="4"/>
  <c r="AZ93" i="4"/>
  <c r="Y93" i="4"/>
  <c r="AC93" i="4"/>
  <c r="AG93" i="4"/>
  <c r="AL93" i="4"/>
  <c r="AQ93" i="4"/>
  <c r="AV93" i="4"/>
  <c r="BB93" i="4"/>
  <c r="AA93" i="4"/>
  <c r="AI93" i="4"/>
  <c r="AT93" i="4"/>
  <c r="BD93" i="4"/>
  <c r="V93" i="4"/>
  <c r="AD93" i="4"/>
  <c r="AM93" i="4"/>
  <c r="AX93" i="4"/>
  <c r="Z93" i="4"/>
  <c r="AR93" i="4"/>
  <c r="AE93" i="4"/>
  <c r="AY93" i="4"/>
  <c r="AH93" i="4"/>
  <c r="BC93" i="4"/>
  <c r="AB89" i="4"/>
  <c r="AH89" i="4"/>
  <c r="AM89" i="4"/>
  <c r="AR89" i="4"/>
  <c r="AX89" i="4"/>
  <c r="BC89" i="4"/>
  <c r="AD89" i="4"/>
  <c r="AI89" i="4"/>
  <c r="AN89" i="4"/>
  <c r="AT89" i="4"/>
  <c r="AY89" i="4"/>
  <c r="BD89" i="4"/>
  <c r="AE89" i="4"/>
  <c r="AP89" i="4"/>
  <c r="AZ89" i="4"/>
  <c r="AF89" i="4"/>
  <c r="AQ89" i="4"/>
  <c r="BB89" i="4"/>
  <c r="AL89" i="4"/>
  <c r="Z89" i="4"/>
  <c r="AU89" i="4"/>
  <c r="AA89" i="4"/>
  <c r="AV89" i="4"/>
  <c r="W83" i="4"/>
  <c r="AB83" i="4"/>
  <c r="AG83" i="4"/>
  <c r="AM83" i="4"/>
  <c r="AR83" i="4"/>
  <c r="AW83" i="4"/>
  <c r="BC83" i="4"/>
  <c r="X83" i="4"/>
  <c r="AC83" i="4"/>
  <c r="AI83" i="4"/>
  <c r="AN83" i="4"/>
  <c r="AS83" i="4"/>
  <c r="AY83" i="4"/>
  <c r="BD83" i="4"/>
  <c r="AA83" i="4"/>
  <c r="AK83" i="4"/>
  <c r="AV83" i="4"/>
  <c r="AE83" i="4"/>
  <c r="AO83" i="4"/>
  <c r="AZ83" i="4"/>
  <c r="U83" i="4"/>
  <c r="AF83" i="4"/>
  <c r="AQ83" i="4"/>
  <c r="BA83" i="4"/>
  <c r="Y83" i="4"/>
  <c r="AJ83" i="4"/>
  <c r="AU83" i="4"/>
  <c r="X77" i="4"/>
  <c r="AH77" i="4"/>
  <c r="BC77" i="4"/>
  <c r="Z77" i="4"/>
  <c r="AM77" i="4"/>
  <c r="AF77" i="4"/>
  <c r="AT77" i="4"/>
  <c r="AX77" i="4"/>
  <c r="BB67" i="4"/>
  <c r="AT67" i="4"/>
  <c r="AX67" i="4"/>
  <c r="W6" i="4"/>
  <c r="AM6" i="4"/>
  <c r="AL8" i="4"/>
  <c r="Z10" i="4"/>
  <c r="AX10" i="4"/>
  <c r="AA14" i="4"/>
  <c r="AI14" i="4"/>
  <c r="AU14" i="4"/>
  <c r="S6" i="4"/>
  <c r="BF6" i="4" s="1"/>
  <c r="AD6" i="4"/>
  <c r="AO6" i="4"/>
  <c r="AY6" i="4"/>
  <c r="BE6" i="4"/>
  <c r="V8" i="4"/>
  <c r="AA8" i="4"/>
  <c r="AN8" i="4"/>
  <c r="U6" i="4"/>
  <c r="Z6" i="4"/>
  <c r="AE6" i="4"/>
  <c r="AK6" i="4"/>
  <c r="AP6" i="4"/>
  <c r="AU6" i="4"/>
  <c r="BA6" i="4"/>
  <c r="W8" i="4"/>
  <c r="AB8" i="4"/>
  <c r="AH8" i="4"/>
  <c r="AP8" i="4"/>
  <c r="AX8" i="4"/>
  <c r="V10" i="4"/>
  <c r="AD10" i="4"/>
  <c r="AL10" i="4"/>
  <c r="AT10" i="4"/>
  <c r="BB10" i="4"/>
  <c r="X12" i="4"/>
  <c r="AN12" i="4"/>
  <c r="BD12" i="4"/>
  <c r="Y14" i="4"/>
  <c r="BG14" i="4" s="1"/>
  <c r="AC14" i="4"/>
  <c r="AG14" i="4"/>
  <c r="AK14" i="4"/>
  <c r="AO14" i="4"/>
  <c r="AS14" i="4"/>
  <c r="AW14" i="4"/>
  <c r="BA14" i="4"/>
  <c r="X16" i="4"/>
  <c r="BG16" i="4" s="1"/>
  <c r="AB16" i="4"/>
  <c r="AF16" i="4"/>
  <c r="AL16" i="4"/>
  <c r="AT16" i="4"/>
  <c r="AB20" i="4"/>
  <c r="AG20" i="4"/>
  <c r="AN20" i="4"/>
  <c r="AT20" i="4"/>
  <c r="BI20" i="4" s="1"/>
  <c r="BA20" i="4"/>
  <c r="AR133" i="4"/>
  <c r="W133" i="4"/>
  <c r="AL131" i="4"/>
  <c r="BA129" i="4"/>
  <c r="AF129" i="4"/>
  <c r="AV127" i="4"/>
  <c r="AA127" i="4"/>
  <c r="AP125" i="4"/>
  <c r="AY123" i="4"/>
  <c r="AC123" i="4"/>
  <c r="AH117" i="4"/>
  <c r="AP115" i="4"/>
  <c r="AG105" i="4"/>
  <c r="Z81" i="4"/>
  <c r="AR69" i="4"/>
  <c r="W21" i="4"/>
  <c r="S21" i="4"/>
  <c r="AY136" i="4"/>
  <c r="AU136" i="4"/>
  <c r="BI136" i="4" s="1"/>
  <c r="AQ136" i="4"/>
  <c r="AM136" i="4"/>
  <c r="AI136" i="4"/>
  <c r="AE136" i="4"/>
  <c r="BG136" i="4" s="1"/>
  <c r="AA136" i="4"/>
  <c r="W136" i="4"/>
  <c r="U134" i="4"/>
  <c r="AW132" i="4"/>
  <c r="AG132" i="4"/>
  <c r="AQ130" i="4"/>
  <c r="AA130" i="4"/>
  <c r="BC128" i="4"/>
  <c r="BB124" i="4"/>
  <c r="AL124" i="4"/>
  <c r="V124" i="4"/>
  <c r="AZ122" i="4"/>
  <c r="AJ122" i="4"/>
  <c r="U122" i="4"/>
  <c r="AR108" i="4"/>
  <c r="AA23" i="4"/>
  <c r="AJ69" i="4"/>
  <c r="AP67" i="4"/>
  <c r="AP65" i="4"/>
  <c r="AT63" i="4"/>
  <c r="AL57" i="4"/>
  <c r="U38" i="4"/>
  <c r="X36" i="4"/>
  <c r="Y121" i="4"/>
  <c r="BG121" i="4" s="1"/>
  <c r="AG121" i="4"/>
  <c r="AO121" i="4"/>
  <c r="AW121" i="4"/>
  <c r="BE121" i="4"/>
  <c r="V121" i="4"/>
  <c r="Z121" i="4"/>
  <c r="AD121" i="4"/>
  <c r="AH121" i="4"/>
  <c r="AL121" i="4"/>
  <c r="AP121" i="4"/>
  <c r="AT121" i="4"/>
  <c r="AX121" i="4"/>
  <c r="BB121" i="4"/>
  <c r="W121" i="4"/>
  <c r="AA121" i="4"/>
  <c r="AE121" i="4"/>
  <c r="AI121" i="4"/>
  <c r="AM121" i="4"/>
  <c r="AQ121" i="4"/>
  <c r="AU121" i="4"/>
  <c r="BI121" i="4" s="1"/>
  <c r="AY121" i="4"/>
  <c r="BC121" i="4"/>
  <c r="X121" i="4"/>
  <c r="AB121" i="4"/>
  <c r="AF121" i="4"/>
  <c r="AJ121" i="4"/>
  <c r="AN121" i="4"/>
  <c r="AR121" i="4"/>
  <c r="AV121" i="4"/>
  <c r="AZ121" i="4"/>
  <c r="BD121" i="4"/>
  <c r="AC121" i="4"/>
  <c r="AK121" i="4"/>
  <c r="AS121" i="4"/>
  <c r="BA121" i="4"/>
  <c r="AB40" i="4"/>
  <c r="AG38" i="4"/>
  <c r="Q38" i="4"/>
  <c r="AY36" i="4"/>
  <c r="BA34" i="4"/>
  <c r="BE30" i="4"/>
  <c r="AO30" i="4"/>
  <c r="U30" i="4"/>
  <c r="BE140" i="4"/>
  <c r="BI140" i="4" s="1"/>
  <c r="BD136" i="4"/>
  <c r="AG134" i="4"/>
  <c r="V132" i="4"/>
  <c r="X130" i="4"/>
  <c r="AC128" i="4"/>
  <c r="AC126" i="4"/>
  <c r="W124" i="4"/>
  <c r="Y122" i="4"/>
  <c r="X40" i="4"/>
  <c r="AC38" i="4"/>
  <c r="AE36" i="4"/>
  <c r="BA30" i="4"/>
  <c r="AK30" i="4"/>
  <c r="AE59" i="4"/>
  <c r="AG54" i="4"/>
  <c r="AF44" i="4"/>
  <c r="AT13" i="4"/>
  <c r="AD13" i="4"/>
  <c r="Z13" i="4"/>
  <c r="AH13" i="4"/>
  <c r="BH13" i="4" s="1"/>
  <c r="AP13" i="4"/>
  <c r="AX13" i="4"/>
  <c r="BB13" i="4"/>
  <c r="AL13" i="4"/>
  <c r="BC42" i="4"/>
  <c r="AI40" i="4"/>
  <c r="AE40" i="4"/>
  <c r="AA40" i="4"/>
  <c r="BG40" i="4" s="1"/>
  <c r="W40" i="4"/>
  <c r="S40" i="4"/>
  <c r="AJ38" i="4"/>
  <c r="AF38" i="4"/>
  <c r="AB38" i="4"/>
  <c r="X38" i="4"/>
  <c r="T38" i="4"/>
  <c r="AX36" i="4"/>
  <c r="AD36" i="4"/>
  <c r="W36" i="4"/>
  <c r="S36" i="4"/>
  <c r="AC34" i="4"/>
  <c r="BD30" i="4"/>
  <c r="AZ30" i="4"/>
  <c r="AV30" i="4"/>
  <c r="AR30" i="4"/>
  <c r="AN30" i="4"/>
  <c r="AJ30" i="4"/>
  <c r="AE30" i="4"/>
  <c r="Z30" i="4"/>
  <c r="R30" i="4"/>
  <c r="X28" i="4"/>
  <c r="Y26" i="4"/>
  <c r="AT22" i="4"/>
  <c r="BB57" i="4"/>
  <c r="AK50" i="4"/>
  <c r="AI42" i="4"/>
  <c r="AH40" i="4"/>
  <c r="AD40" i="4"/>
  <c r="Z40" i="4"/>
  <c r="V40" i="4"/>
  <c r="R40" i="4"/>
  <c r="BF40" i="4" s="1"/>
  <c r="AI38" i="4"/>
  <c r="AE38" i="4"/>
  <c r="AA38" i="4"/>
  <c r="W38" i="4"/>
  <c r="S38" i="4"/>
  <c r="AI36" i="4"/>
  <c r="AA36" i="4"/>
  <c r="V36" i="4"/>
  <c r="R36" i="4"/>
  <c r="U34" i="4"/>
  <c r="AX32" i="4"/>
  <c r="BC30" i="4"/>
  <c r="AY30" i="4"/>
  <c r="AU30" i="4"/>
  <c r="AQ30" i="4"/>
  <c r="AM30" i="4"/>
  <c r="AI30" i="4"/>
  <c r="AD30" i="4"/>
  <c r="Y30" i="4"/>
  <c r="Q30" i="4"/>
  <c r="AV28" i="4"/>
  <c r="AW26" i="4"/>
  <c r="Q26" i="4"/>
  <c r="AD24" i="4"/>
  <c r="AM22" i="4"/>
  <c r="BE13" i="4"/>
  <c r="AV40" i="4"/>
  <c r="AG40" i="4"/>
  <c r="AC40" i="4"/>
  <c r="Y40" i="4"/>
  <c r="U40" i="4"/>
  <c r="AH38" i="4"/>
  <c r="AD38" i="4"/>
  <c r="Z38" i="4"/>
  <c r="V38" i="4"/>
  <c r="AH36" i="4"/>
  <c r="Z36" i="4"/>
  <c r="U36" i="4"/>
  <c r="BB30" i="4"/>
  <c r="AX30" i="4"/>
  <c r="BI30" i="4" s="1"/>
  <c r="AT30" i="4"/>
  <c r="AP30" i="4"/>
  <c r="AL30" i="4"/>
  <c r="AH30" i="4"/>
  <c r="BH30" i="4" s="1"/>
  <c r="AC30" i="4"/>
  <c r="V30" i="4"/>
  <c r="AN28" i="4"/>
  <c r="AO26" i="4"/>
  <c r="V24" i="4"/>
  <c r="T120" i="4"/>
  <c r="X120" i="4"/>
  <c r="AB120" i="4"/>
  <c r="AF120" i="4"/>
  <c r="AJ120" i="4"/>
  <c r="AN120" i="4"/>
  <c r="AR120" i="4"/>
  <c r="AV120" i="4"/>
  <c r="AZ120" i="4"/>
  <c r="BD120" i="4"/>
  <c r="R120" i="4"/>
  <c r="V120" i="4"/>
  <c r="Z120" i="4"/>
  <c r="AD120" i="4"/>
  <c r="AH120" i="4"/>
  <c r="BH120" i="4" s="1"/>
  <c r="AL120" i="4"/>
  <c r="AP120" i="4"/>
  <c r="AT120" i="4"/>
  <c r="AX120" i="4"/>
  <c r="BB120" i="4"/>
  <c r="R118" i="4"/>
  <c r="AC118" i="4"/>
  <c r="AS118" i="4"/>
  <c r="Q118" i="4"/>
  <c r="U118" i="4"/>
  <c r="AK118" i="4"/>
  <c r="BA118" i="4"/>
  <c r="Q116" i="4"/>
  <c r="U116" i="4"/>
  <c r="Y116" i="4"/>
  <c r="AC116" i="4"/>
  <c r="AG116" i="4"/>
  <c r="AK116" i="4"/>
  <c r="AO116" i="4"/>
  <c r="AS116" i="4"/>
  <c r="AW116" i="4"/>
  <c r="BA116" i="4"/>
  <c r="BE116" i="4"/>
  <c r="R116" i="4"/>
  <c r="V116" i="4"/>
  <c r="Z116" i="4"/>
  <c r="AD116" i="4"/>
  <c r="AH116" i="4"/>
  <c r="AL116" i="4"/>
  <c r="AP116" i="4"/>
  <c r="AT116" i="4"/>
  <c r="AX116" i="4"/>
  <c r="BB116" i="4"/>
  <c r="S116" i="4"/>
  <c r="W116" i="4"/>
  <c r="AA116" i="4"/>
  <c r="AE116" i="4"/>
  <c r="AI116" i="4"/>
  <c r="AM116" i="4"/>
  <c r="AQ116" i="4"/>
  <c r="AU116" i="4"/>
  <c r="AY116" i="4"/>
  <c r="BC116" i="4"/>
  <c r="S114" i="4"/>
  <c r="W114" i="4"/>
  <c r="AA114" i="4"/>
  <c r="AE114" i="4"/>
  <c r="AI114" i="4"/>
  <c r="AM114" i="4"/>
  <c r="AQ114" i="4"/>
  <c r="AU114" i="4"/>
  <c r="AY114" i="4"/>
  <c r="BC114" i="4"/>
  <c r="T114" i="4"/>
  <c r="X114" i="4"/>
  <c r="AB114" i="4"/>
  <c r="AF114" i="4"/>
  <c r="AJ114" i="4"/>
  <c r="AN114" i="4"/>
  <c r="AR114" i="4"/>
  <c r="AV114" i="4"/>
  <c r="AZ114" i="4"/>
  <c r="BD114" i="4"/>
  <c r="Q114" i="4"/>
  <c r="BF114" i="4" s="1"/>
  <c r="U114" i="4"/>
  <c r="Y114" i="4"/>
  <c r="AC114" i="4"/>
  <c r="AG114" i="4"/>
  <c r="AK114" i="4"/>
  <c r="AO114" i="4"/>
  <c r="AS114" i="4"/>
  <c r="AW114" i="4"/>
  <c r="BA114" i="4"/>
  <c r="BE114" i="4"/>
  <c r="Q112" i="4"/>
  <c r="U112" i="4"/>
  <c r="Y112" i="4"/>
  <c r="AC112" i="4"/>
  <c r="AG112" i="4"/>
  <c r="AK112" i="4"/>
  <c r="AO112" i="4"/>
  <c r="AS112" i="4"/>
  <c r="AW112" i="4"/>
  <c r="BA112" i="4"/>
  <c r="BE112" i="4"/>
  <c r="R112" i="4"/>
  <c r="V112" i="4"/>
  <c r="Z112" i="4"/>
  <c r="AD112" i="4"/>
  <c r="AH112" i="4"/>
  <c r="AL112" i="4"/>
  <c r="AP112" i="4"/>
  <c r="AT112" i="4"/>
  <c r="AX112" i="4"/>
  <c r="BB112" i="4"/>
  <c r="S112" i="4"/>
  <c r="BF112" i="4" s="1"/>
  <c r="W112" i="4"/>
  <c r="AA112" i="4"/>
  <c r="AE112" i="4"/>
  <c r="AI112" i="4"/>
  <c r="AM112" i="4"/>
  <c r="AQ112" i="4"/>
  <c r="AU112" i="4"/>
  <c r="AY112" i="4"/>
  <c r="BC112" i="4"/>
  <c r="X110" i="4"/>
  <c r="AQ110" i="4"/>
  <c r="S110" i="4"/>
  <c r="AY110" i="4"/>
  <c r="AA110" i="4"/>
  <c r="BE110" i="4"/>
  <c r="Q108" i="4"/>
  <c r="U108" i="4"/>
  <c r="Y108" i="4"/>
  <c r="AC108" i="4"/>
  <c r="AG108" i="4"/>
  <c r="AK108" i="4"/>
  <c r="AO108" i="4"/>
  <c r="AS108" i="4"/>
  <c r="AW108" i="4"/>
  <c r="BA108" i="4"/>
  <c r="BE108" i="4"/>
  <c r="R108" i="4"/>
  <c r="V108" i="4"/>
  <c r="Z108" i="4"/>
  <c r="AD108" i="4"/>
  <c r="AH108" i="4"/>
  <c r="AL108" i="4"/>
  <c r="AP108" i="4"/>
  <c r="AT108" i="4"/>
  <c r="AX108" i="4"/>
  <c r="BB108" i="4"/>
  <c r="S108" i="4"/>
  <c r="W108" i="4"/>
  <c r="AA108" i="4"/>
  <c r="AE108" i="4"/>
  <c r="AI108" i="4"/>
  <c r="AM108" i="4"/>
  <c r="AQ108" i="4"/>
  <c r="AU108" i="4"/>
  <c r="AY108" i="4"/>
  <c r="BC108" i="4"/>
  <c r="T106" i="4"/>
  <c r="X106" i="4"/>
  <c r="AB106" i="4"/>
  <c r="AF106" i="4"/>
  <c r="AJ106" i="4"/>
  <c r="AN106" i="4"/>
  <c r="AR106" i="4"/>
  <c r="R106" i="4"/>
  <c r="V106" i="4"/>
  <c r="Z106" i="4"/>
  <c r="AD106" i="4"/>
  <c r="AH106" i="4"/>
  <c r="AL106" i="4"/>
  <c r="AP106" i="4"/>
  <c r="AT106" i="4"/>
  <c r="W106" i="4"/>
  <c r="AE106" i="4"/>
  <c r="AM106" i="4"/>
  <c r="AU106" i="4"/>
  <c r="AY106" i="4"/>
  <c r="BC106" i="4"/>
  <c r="Q106" i="4"/>
  <c r="Y106" i="4"/>
  <c r="AG106" i="4"/>
  <c r="AO106" i="4"/>
  <c r="AV106" i="4"/>
  <c r="AZ106" i="4"/>
  <c r="BD106" i="4"/>
  <c r="S106" i="4"/>
  <c r="AA106" i="4"/>
  <c r="AI106" i="4"/>
  <c r="AQ106" i="4"/>
  <c r="AW106" i="4"/>
  <c r="BA106" i="4"/>
  <c r="BE106" i="4"/>
  <c r="T104" i="4"/>
  <c r="X104" i="4"/>
  <c r="AB104" i="4"/>
  <c r="AF104" i="4"/>
  <c r="AJ104" i="4"/>
  <c r="AN104" i="4"/>
  <c r="AR104" i="4"/>
  <c r="AV104" i="4"/>
  <c r="AZ104" i="4"/>
  <c r="BD104" i="4"/>
  <c r="R104" i="4"/>
  <c r="V104" i="4"/>
  <c r="Z104" i="4"/>
  <c r="AD104" i="4"/>
  <c r="AH104" i="4"/>
  <c r="AL104" i="4"/>
  <c r="AP104" i="4"/>
  <c r="AT104" i="4"/>
  <c r="AX104" i="4"/>
  <c r="BB104" i="4"/>
  <c r="W104" i="4"/>
  <c r="AE104" i="4"/>
  <c r="AM104" i="4"/>
  <c r="AU104" i="4"/>
  <c r="BC104" i="4"/>
  <c r="Q104" i="4"/>
  <c r="Y104" i="4"/>
  <c r="BG104" i="4" s="1"/>
  <c r="AG104" i="4"/>
  <c r="AO104" i="4"/>
  <c r="AW104" i="4"/>
  <c r="BE104" i="4"/>
  <c r="S104" i="4"/>
  <c r="AA104" i="4"/>
  <c r="AI104" i="4"/>
  <c r="AQ104" i="4"/>
  <c r="AY104" i="4"/>
  <c r="AF102" i="4"/>
  <c r="AV102" i="4"/>
  <c r="X102" i="4"/>
  <c r="AN102" i="4"/>
  <c r="T100" i="4"/>
  <c r="X100" i="4"/>
  <c r="AB100" i="4"/>
  <c r="AF100" i="4"/>
  <c r="AJ100" i="4"/>
  <c r="AN100" i="4"/>
  <c r="AR100" i="4"/>
  <c r="AV100" i="4"/>
  <c r="AZ100" i="4"/>
  <c r="BD100" i="4"/>
  <c r="R100" i="4"/>
  <c r="V100" i="4"/>
  <c r="Z100" i="4"/>
  <c r="AD100" i="4"/>
  <c r="AH100" i="4"/>
  <c r="AL100" i="4"/>
  <c r="AP100" i="4"/>
  <c r="AT100" i="4"/>
  <c r="AX100" i="4"/>
  <c r="BB100" i="4"/>
  <c r="S100" i="4"/>
  <c r="AA100" i="4"/>
  <c r="AI100" i="4"/>
  <c r="AQ100" i="4"/>
  <c r="AY100" i="4"/>
  <c r="U100" i="4"/>
  <c r="AC100" i="4"/>
  <c r="AK100" i="4"/>
  <c r="AS100" i="4"/>
  <c r="BA100" i="4"/>
  <c r="W100" i="4"/>
  <c r="AE100" i="4"/>
  <c r="AM100" i="4"/>
  <c r="AU100" i="4"/>
  <c r="BC100" i="4"/>
  <c r="R98" i="4"/>
  <c r="V98" i="4"/>
  <c r="Z98" i="4"/>
  <c r="AD98" i="4"/>
  <c r="AH98" i="4"/>
  <c r="AL98" i="4"/>
  <c r="AP98" i="4"/>
  <c r="AT98" i="4"/>
  <c r="AX98" i="4"/>
  <c r="BB98" i="4"/>
  <c r="T98" i="4"/>
  <c r="X98" i="4"/>
  <c r="AB98" i="4"/>
  <c r="AF98" i="4"/>
  <c r="AJ98" i="4"/>
  <c r="AN98" i="4"/>
  <c r="AR98" i="4"/>
  <c r="AV98" i="4"/>
  <c r="AZ98" i="4"/>
  <c r="BD98" i="4"/>
  <c r="W98" i="4"/>
  <c r="AE98" i="4"/>
  <c r="AM98" i="4"/>
  <c r="AU98" i="4"/>
  <c r="BC98" i="4"/>
  <c r="Q98" i="4"/>
  <c r="Y98" i="4"/>
  <c r="AG98" i="4"/>
  <c r="AO98" i="4"/>
  <c r="AW98" i="4"/>
  <c r="BE98" i="4"/>
  <c r="S98" i="4"/>
  <c r="AA98" i="4"/>
  <c r="AI98" i="4"/>
  <c r="AQ98" i="4"/>
  <c r="AY98" i="4"/>
  <c r="S96" i="4"/>
  <c r="W96" i="4"/>
  <c r="Q96" i="4"/>
  <c r="V96" i="4"/>
  <c r="AA96" i="4"/>
  <c r="AE96" i="4"/>
  <c r="AI96" i="4"/>
  <c r="AM96" i="4"/>
  <c r="AQ96" i="4"/>
  <c r="AU96" i="4"/>
  <c r="AY96" i="4"/>
  <c r="BC96" i="4"/>
  <c r="T96" i="4"/>
  <c r="Y96" i="4"/>
  <c r="AC96" i="4"/>
  <c r="AG96" i="4"/>
  <c r="AK96" i="4"/>
  <c r="AO96" i="4"/>
  <c r="AS96" i="4"/>
  <c r="AW96" i="4"/>
  <c r="BI96" i="4" s="1"/>
  <c r="BA96" i="4"/>
  <c r="BE96" i="4"/>
  <c r="X96" i="4"/>
  <c r="AF96" i="4"/>
  <c r="AN96" i="4"/>
  <c r="AV96" i="4"/>
  <c r="BD96" i="4"/>
  <c r="Z96" i="4"/>
  <c r="AH96" i="4"/>
  <c r="AP96" i="4"/>
  <c r="AX96" i="4"/>
  <c r="R96" i="4"/>
  <c r="AB96" i="4"/>
  <c r="AJ96" i="4"/>
  <c r="AR96" i="4"/>
  <c r="AZ96" i="4"/>
  <c r="BC94" i="4"/>
  <c r="AR94" i="4"/>
  <c r="AB94" i="4"/>
  <c r="Q92" i="4"/>
  <c r="BF92" i="4" s="1"/>
  <c r="U92" i="4"/>
  <c r="Y92" i="4"/>
  <c r="AC92" i="4"/>
  <c r="AG92" i="4"/>
  <c r="AK92" i="4"/>
  <c r="AO92" i="4"/>
  <c r="AS92" i="4"/>
  <c r="AW92" i="4"/>
  <c r="BA92" i="4"/>
  <c r="BE92" i="4"/>
  <c r="T92" i="4"/>
  <c r="Z92" i="4"/>
  <c r="AE92" i="4"/>
  <c r="AJ92" i="4"/>
  <c r="AP92" i="4"/>
  <c r="AU92" i="4"/>
  <c r="AZ92" i="4"/>
  <c r="R92" i="4"/>
  <c r="W92" i="4"/>
  <c r="AB92" i="4"/>
  <c r="AH92" i="4"/>
  <c r="AM92" i="4"/>
  <c r="AR92" i="4"/>
  <c r="AX92" i="4"/>
  <c r="BC92" i="4"/>
  <c r="S92" i="4"/>
  <c r="AD92" i="4"/>
  <c r="AN92" i="4"/>
  <c r="AY92" i="4"/>
  <c r="V92" i="4"/>
  <c r="AF92" i="4"/>
  <c r="AQ92" i="4"/>
  <c r="BB92" i="4"/>
  <c r="X92" i="4"/>
  <c r="AI92" i="4"/>
  <c r="AT92" i="4"/>
  <c r="BD92" i="4"/>
  <c r="Q90" i="4"/>
  <c r="U90" i="4"/>
  <c r="Y90" i="4"/>
  <c r="AC90" i="4"/>
  <c r="AG90" i="4"/>
  <c r="AK90" i="4"/>
  <c r="AO90" i="4"/>
  <c r="AS90" i="4"/>
  <c r="AW90" i="4"/>
  <c r="BA90" i="4"/>
  <c r="BE90" i="4"/>
  <c r="R90" i="4"/>
  <c r="V90" i="4"/>
  <c r="Z90" i="4"/>
  <c r="AD90" i="4"/>
  <c r="AH90" i="4"/>
  <c r="W90" i="4"/>
  <c r="AE90" i="4"/>
  <c r="AL90" i="4"/>
  <c r="AQ90" i="4"/>
  <c r="AV90" i="4"/>
  <c r="BB90" i="4"/>
  <c r="S90" i="4"/>
  <c r="AA90" i="4"/>
  <c r="AI90" i="4"/>
  <c r="AN90" i="4"/>
  <c r="AT90" i="4"/>
  <c r="AY90" i="4"/>
  <c r="BD90" i="4"/>
  <c r="AF90" i="4"/>
  <c r="AR90" i="4"/>
  <c r="BC90" i="4"/>
  <c r="T90" i="4"/>
  <c r="AJ90" i="4"/>
  <c r="AU90" i="4"/>
  <c r="X90" i="4"/>
  <c r="AM90" i="4"/>
  <c r="AX90" i="4"/>
  <c r="T88" i="4"/>
  <c r="X88" i="4"/>
  <c r="AB88" i="4"/>
  <c r="AF88" i="4"/>
  <c r="AJ88" i="4"/>
  <c r="AN88" i="4"/>
  <c r="AR88" i="4"/>
  <c r="AV88" i="4"/>
  <c r="AZ88" i="4"/>
  <c r="BD88" i="4"/>
  <c r="Q88" i="4"/>
  <c r="U88" i="4"/>
  <c r="Y88" i="4"/>
  <c r="BG88" i="4" s="1"/>
  <c r="AC88" i="4"/>
  <c r="AG88" i="4"/>
  <c r="AK88" i="4"/>
  <c r="AO88" i="4"/>
  <c r="AS88" i="4"/>
  <c r="AW88" i="4"/>
  <c r="BA88" i="4"/>
  <c r="BE88" i="4"/>
  <c r="R88" i="4"/>
  <c r="Z88" i="4"/>
  <c r="AH88" i="4"/>
  <c r="AP88" i="4"/>
  <c r="AX88" i="4"/>
  <c r="S88" i="4"/>
  <c r="AA88" i="4"/>
  <c r="AI88" i="4"/>
  <c r="AQ88" i="4"/>
  <c r="AY88" i="4"/>
  <c r="V88" i="4"/>
  <c r="AD88" i="4"/>
  <c r="AL88" i="4"/>
  <c r="AT88" i="4"/>
  <c r="BB88" i="4"/>
  <c r="AM88" i="4"/>
  <c r="AU88" i="4"/>
  <c r="W88" i="4"/>
  <c r="BC88" i="4"/>
  <c r="AA86" i="4"/>
  <c r="AQ86" i="4"/>
  <c r="R84" i="4"/>
  <c r="V84" i="4"/>
  <c r="Z84" i="4"/>
  <c r="AD84" i="4"/>
  <c r="AH84" i="4"/>
  <c r="S84" i="4"/>
  <c r="W84" i="4"/>
  <c r="AA84" i="4"/>
  <c r="AE84" i="4"/>
  <c r="AO84" i="4"/>
  <c r="Q84" i="4"/>
  <c r="BF84" i="4" s="1"/>
  <c r="Y84" i="4"/>
  <c r="AG84" i="4"/>
  <c r="T84" i="4"/>
  <c r="AB84" i="4"/>
  <c r="BE84" i="4"/>
  <c r="U84" i="4"/>
  <c r="AC84" i="4"/>
  <c r="X84" i="4"/>
  <c r="AF84" i="4"/>
  <c r="S82" i="4"/>
  <c r="W82" i="4"/>
  <c r="AA82" i="4"/>
  <c r="AE82" i="4"/>
  <c r="T82" i="4"/>
  <c r="X82" i="4"/>
  <c r="AB82" i="4"/>
  <c r="AF82" i="4"/>
  <c r="Q82" i="4"/>
  <c r="U82" i="4"/>
  <c r="Y82" i="4"/>
  <c r="AC82" i="4"/>
  <c r="AL82" i="4"/>
  <c r="R82" i="4"/>
  <c r="BB82" i="4"/>
  <c r="V82" i="4"/>
  <c r="Z82" i="4"/>
  <c r="AD82" i="4"/>
  <c r="T80" i="4"/>
  <c r="BF80" i="4" s="1"/>
  <c r="X80" i="4"/>
  <c r="AB80" i="4"/>
  <c r="AF80" i="4"/>
  <c r="AJ80" i="4"/>
  <c r="AN80" i="4"/>
  <c r="AR80" i="4"/>
  <c r="AV80" i="4"/>
  <c r="AZ80" i="4"/>
  <c r="BD80" i="4"/>
  <c r="Q80" i="4"/>
  <c r="U80" i="4"/>
  <c r="Y80" i="4"/>
  <c r="BG80" i="4" s="1"/>
  <c r="AC80" i="4"/>
  <c r="AG80" i="4"/>
  <c r="AK80" i="4"/>
  <c r="AO80" i="4"/>
  <c r="AS80" i="4"/>
  <c r="AW80" i="4"/>
  <c r="BA80" i="4"/>
  <c r="BE80" i="4"/>
  <c r="R80" i="4"/>
  <c r="V80" i="4"/>
  <c r="Z80" i="4"/>
  <c r="AD80" i="4"/>
  <c r="AH80" i="4"/>
  <c r="AL80" i="4"/>
  <c r="AP80" i="4"/>
  <c r="AT80" i="4"/>
  <c r="AX80" i="4"/>
  <c r="BB80" i="4"/>
  <c r="AA80" i="4"/>
  <c r="AQ80" i="4"/>
  <c r="AE80" i="4"/>
  <c r="AU80" i="4"/>
  <c r="S80" i="4"/>
  <c r="AI80" i="4"/>
  <c r="AY80" i="4"/>
  <c r="W80" i="4"/>
  <c r="AM80" i="4"/>
  <c r="BE78" i="4"/>
  <c r="Y78" i="4"/>
  <c r="AO78" i="4"/>
  <c r="R76" i="4"/>
  <c r="W76" i="4"/>
  <c r="AC76" i="4"/>
  <c r="AG76" i="4"/>
  <c r="AK76" i="4"/>
  <c r="AO76" i="4"/>
  <c r="AS76" i="4"/>
  <c r="AW76" i="4"/>
  <c r="BA76" i="4"/>
  <c r="BE76" i="4"/>
  <c r="S76" i="4"/>
  <c r="Y76" i="4"/>
  <c r="AD76" i="4"/>
  <c r="AH76" i="4"/>
  <c r="BH76" i="4" s="1"/>
  <c r="AL76" i="4"/>
  <c r="AP76" i="4"/>
  <c r="AT76" i="4"/>
  <c r="AX76" i="4"/>
  <c r="BB76" i="4"/>
  <c r="U76" i="4"/>
  <c r="Z76" i="4"/>
  <c r="AE76" i="4"/>
  <c r="AI76" i="4"/>
  <c r="AM76" i="4"/>
  <c r="AQ76" i="4"/>
  <c r="AU76" i="4"/>
  <c r="AY76" i="4"/>
  <c r="BC76" i="4"/>
  <c r="AA76" i="4"/>
  <c r="AR76" i="4"/>
  <c r="AF76" i="4"/>
  <c r="AV76" i="4"/>
  <c r="Q76" i="4"/>
  <c r="AJ76" i="4"/>
  <c r="AZ76" i="4"/>
  <c r="V76" i="4"/>
  <c r="AN76" i="4"/>
  <c r="AF74" i="4"/>
  <c r="AQ74" i="4"/>
  <c r="AY74" i="4"/>
  <c r="AI74" i="4"/>
  <c r="AS74" i="4"/>
  <c r="BA74" i="4"/>
  <c r="U74" i="4"/>
  <c r="AK74" i="4"/>
  <c r="AU74" i="4"/>
  <c r="BC74" i="4"/>
  <c r="AN74" i="4"/>
  <c r="AW74" i="4"/>
  <c r="BE74" i="4"/>
  <c r="AA74" i="4"/>
  <c r="U72" i="4"/>
  <c r="AK72" i="4"/>
  <c r="BA72" i="4"/>
  <c r="Y72" i="4"/>
  <c r="AO72" i="4"/>
  <c r="BE72" i="4"/>
  <c r="AC72" i="4"/>
  <c r="AS72" i="4"/>
  <c r="Q72" i="4"/>
  <c r="AG72" i="4"/>
  <c r="AW72" i="4"/>
  <c r="AF68" i="4"/>
  <c r="AV68" i="4"/>
  <c r="T68" i="4"/>
  <c r="AJ68" i="4"/>
  <c r="AZ68" i="4"/>
  <c r="X68" i="4"/>
  <c r="AN68" i="4"/>
  <c r="BD68" i="4"/>
  <c r="AR68" i="4"/>
  <c r="AB68" i="4"/>
  <c r="Z66" i="4"/>
  <c r="AP66" i="4"/>
  <c r="AD66" i="4"/>
  <c r="AT66" i="4"/>
  <c r="R66" i="4"/>
  <c r="AH66" i="4"/>
  <c r="AX66" i="4"/>
  <c r="AL66" i="4"/>
  <c r="BB66" i="4"/>
  <c r="AU64" i="4"/>
  <c r="AE64" i="4"/>
  <c r="R60" i="4"/>
  <c r="AH60" i="4"/>
  <c r="AX60" i="4"/>
  <c r="V60" i="4"/>
  <c r="AL60" i="4"/>
  <c r="BB60" i="4"/>
  <c r="Z60" i="4"/>
  <c r="AP60" i="4"/>
  <c r="AD60" i="4"/>
  <c r="AA58" i="4"/>
  <c r="AQ58" i="4"/>
  <c r="AE58" i="4"/>
  <c r="AU58" i="4"/>
  <c r="S58" i="4"/>
  <c r="AI58" i="4"/>
  <c r="AY58" i="4"/>
  <c r="AM58" i="4"/>
  <c r="BC58" i="4"/>
  <c r="W58" i="4"/>
  <c r="R56" i="4"/>
  <c r="AC56" i="4"/>
  <c r="AY56" i="4"/>
  <c r="AI56" i="4"/>
  <c r="BD56" i="4"/>
  <c r="S56" i="4"/>
  <c r="AN56" i="4"/>
  <c r="X56" i="4"/>
  <c r="AS56" i="4"/>
  <c r="Q53" i="4"/>
  <c r="AF53" i="4"/>
  <c r="AN53" i="4"/>
  <c r="AV53" i="4"/>
  <c r="X53" i="4"/>
  <c r="BD53" i="4"/>
  <c r="R47" i="4"/>
  <c r="Q47" i="4"/>
  <c r="Y47" i="4"/>
  <c r="AG47" i="4"/>
  <c r="T43" i="4"/>
  <c r="R43" i="4"/>
  <c r="Z43" i="4"/>
  <c r="R41" i="4"/>
  <c r="U41" i="4"/>
  <c r="X25" i="4"/>
  <c r="AJ25" i="4"/>
  <c r="T6" i="4"/>
  <c r="X6" i="4"/>
  <c r="AB6" i="4"/>
  <c r="AF6" i="4"/>
  <c r="AJ6" i="4"/>
  <c r="AN6" i="4"/>
  <c r="BH6" i="4" s="1"/>
  <c r="AR6" i="4"/>
  <c r="AV6" i="4"/>
  <c r="AZ6" i="4"/>
  <c r="Y8" i="4"/>
  <c r="AC8" i="4"/>
  <c r="AG8" i="4"/>
  <c r="AK8" i="4"/>
  <c r="AO8" i="4"/>
  <c r="AS8" i="4"/>
  <c r="AW8" i="4"/>
  <c r="BA8" i="4"/>
  <c r="BE8" i="4"/>
  <c r="Y10" i="4"/>
  <c r="AC10" i="4"/>
  <c r="AG10" i="4"/>
  <c r="AK10" i="4"/>
  <c r="AO10" i="4"/>
  <c r="AS10" i="4"/>
  <c r="AW10" i="4"/>
  <c r="BA10" i="4"/>
  <c r="BE10" i="4"/>
  <c r="Y12" i="4"/>
  <c r="AC12" i="4"/>
  <c r="AG12" i="4"/>
  <c r="AK12" i="4"/>
  <c r="AO12" i="4"/>
  <c r="AS12" i="4"/>
  <c r="AW12" i="4"/>
  <c r="BA12" i="4"/>
  <c r="BE12" i="4"/>
  <c r="S13" i="4"/>
  <c r="W13" i="4"/>
  <c r="AA13" i="4"/>
  <c r="AE13" i="4"/>
  <c r="AI13" i="4"/>
  <c r="AM13" i="4"/>
  <c r="AQ13" i="4"/>
  <c r="AU13" i="4"/>
  <c r="AY13" i="4"/>
  <c r="BC13" i="4"/>
  <c r="T15" i="4"/>
  <c r="X15" i="4"/>
  <c r="AB15" i="4"/>
  <c r="AF15" i="4"/>
  <c r="AJ15" i="4"/>
  <c r="AN15" i="4"/>
  <c r="AR15" i="4"/>
  <c r="AV15" i="4"/>
  <c r="AZ15" i="4"/>
  <c r="BD15" i="4"/>
  <c r="X17" i="4"/>
  <c r="AF17" i="4"/>
  <c r="AN17" i="4"/>
  <c r="AV17" i="4"/>
  <c r="BD17" i="4"/>
  <c r="R19" i="4"/>
  <c r="V19" i="4"/>
  <c r="Z19" i="4"/>
  <c r="AD19" i="4"/>
  <c r="AH19" i="4"/>
  <c r="AL19" i="4"/>
  <c r="AP19" i="4"/>
  <c r="AT19" i="4"/>
  <c r="AX19" i="4"/>
  <c r="BB19" i="4"/>
  <c r="BB136" i="4"/>
  <c r="BE134" i="4"/>
  <c r="AO134" i="4"/>
  <c r="BD132" i="4"/>
  <c r="AZ132" i="4"/>
  <c r="AV132" i="4"/>
  <c r="AR132" i="4"/>
  <c r="AN132" i="4"/>
  <c r="AJ132" i="4"/>
  <c r="AF132" i="4"/>
  <c r="AB132" i="4"/>
  <c r="BG132" i="4" s="1"/>
  <c r="X132" i="4"/>
  <c r="BB130" i="4"/>
  <c r="AX130" i="4"/>
  <c r="AT130" i="4"/>
  <c r="BI130" i="4" s="1"/>
  <c r="AP130" i="4"/>
  <c r="AL130" i="4"/>
  <c r="AH130" i="4"/>
  <c r="AD130" i="4"/>
  <c r="Z130" i="4"/>
  <c r="BA128" i="4"/>
  <c r="AS128" i="4"/>
  <c r="AI128" i="4"/>
  <c r="X128" i="4"/>
  <c r="AW126" i="4"/>
  <c r="BE124" i="4"/>
  <c r="BA124" i="4"/>
  <c r="AW124" i="4"/>
  <c r="AS124" i="4"/>
  <c r="AO124" i="4"/>
  <c r="AK124" i="4"/>
  <c r="AG124" i="4"/>
  <c r="AC124" i="4"/>
  <c r="Y124" i="4"/>
  <c r="BC122" i="4"/>
  <c r="AY122" i="4"/>
  <c r="AU122" i="4"/>
  <c r="AQ122" i="4"/>
  <c r="AM122" i="4"/>
  <c r="AI122" i="4"/>
  <c r="AE122" i="4"/>
  <c r="AA122" i="4"/>
  <c r="W122" i="4"/>
  <c r="BC120" i="4"/>
  <c r="AU120" i="4"/>
  <c r="AM120" i="4"/>
  <c r="AE120" i="4"/>
  <c r="W120" i="4"/>
  <c r="AG118" i="4"/>
  <c r="AV116" i="4"/>
  <c r="AF116" i="4"/>
  <c r="AP114" i="4"/>
  <c r="Z114" i="4"/>
  <c r="BD112" i="4"/>
  <c r="AN112" i="4"/>
  <c r="X112" i="4"/>
  <c r="BD108" i="4"/>
  <c r="AN108" i="4"/>
  <c r="X108" i="4"/>
  <c r="AX106" i="4"/>
  <c r="U106" i="4"/>
  <c r="BA104" i="4"/>
  <c r="U104" i="4"/>
  <c r="BE100" i="4"/>
  <c r="Y100" i="4"/>
  <c r="AS98" i="4"/>
  <c r="BB96" i="4"/>
  <c r="U96" i="4"/>
  <c r="AL92" i="4"/>
  <c r="BD76" i="4"/>
  <c r="V66" i="4"/>
  <c r="AT60" i="4"/>
  <c r="Z12" i="4"/>
  <c r="AD12" i="4"/>
  <c r="AH12" i="4"/>
  <c r="AL12" i="4"/>
  <c r="AP12" i="4"/>
  <c r="AT12" i="4"/>
  <c r="AX12" i="4"/>
  <c r="BB12" i="4"/>
  <c r="T13" i="4"/>
  <c r="X13" i="4"/>
  <c r="AB13" i="4"/>
  <c r="AF13" i="4"/>
  <c r="AJ13" i="4"/>
  <c r="AN13" i="4"/>
  <c r="AR13" i="4"/>
  <c r="AV13" i="4"/>
  <c r="AZ13" i="4"/>
  <c r="BD13" i="4"/>
  <c r="Q15" i="4"/>
  <c r="U15" i="4"/>
  <c r="Y15" i="4"/>
  <c r="AC15" i="4"/>
  <c r="AG15" i="4"/>
  <c r="AK15" i="4"/>
  <c r="AO15" i="4"/>
  <c r="AS15" i="4"/>
  <c r="AW15" i="4"/>
  <c r="BA15" i="4"/>
  <c r="BE15" i="4"/>
  <c r="Q17" i="4"/>
  <c r="Y17" i="4"/>
  <c r="AG17" i="4"/>
  <c r="AO17" i="4"/>
  <c r="AW17" i="4"/>
  <c r="BE17" i="4"/>
  <c r="S19" i="4"/>
  <c r="W19" i="4"/>
  <c r="AA19" i="4"/>
  <c r="BG19" i="4" s="1"/>
  <c r="AE19" i="4"/>
  <c r="AI19" i="4"/>
  <c r="AM19" i="4"/>
  <c r="AQ19" i="4"/>
  <c r="AU19" i="4"/>
  <c r="AY19" i="4"/>
  <c r="BC19" i="4"/>
  <c r="BE136" i="4"/>
  <c r="BA134" i="4"/>
  <c r="AK134" i="4"/>
  <c r="BC132" i="4"/>
  <c r="AY132" i="4"/>
  <c r="AU132" i="4"/>
  <c r="AQ132" i="4"/>
  <c r="AM132" i="4"/>
  <c r="AI132" i="4"/>
  <c r="AE132" i="4"/>
  <c r="AA132" i="4"/>
  <c r="W132" i="4"/>
  <c r="BE130" i="4"/>
  <c r="BA130" i="4"/>
  <c r="AW130" i="4"/>
  <c r="AS130" i="4"/>
  <c r="AO130" i="4"/>
  <c r="AK130" i="4"/>
  <c r="AG130" i="4"/>
  <c r="AC130" i="4"/>
  <c r="Y130" i="4"/>
  <c r="AY128" i="4"/>
  <c r="AQ128" i="4"/>
  <c r="AF128" i="4"/>
  <c r="AO126" i="4"/>
  <c r="BD124" i="4"/>
  <c r="AZ124" i="4"/>
  <c r="AV124" i="4"/>
  <c r="AR124" i="4"/>
  <c r="AN124" i="4"/>
  <c r="AJ124" i="4"/>
  <c r="AF124" i="4"/>
  <c r="AB124" i="4"/>
  <c r="X124" i="4"/>
  <c r="BB122" i="4"/>
  <c r="AX122" i="4"/>
  <c r="AT122" i="4"/>
  <c r="AP122" i="4"/>
  <c r="AL122" i="4"/>
  <c r="AH122" i="4"/>
  <c r="AD122" i="4"/>
  <c r="Z122" i="4"/>
  <c r="V122" i="4"/>
  <c r="BA120" i="4"/>
  <c r="AS120" i="4"/>
  <c r="AK120" i="4"/>
  <c r="AC120" i="4"/>
  <c r="U120" i="4"/>
  <c r="BE118" i="4"/>
  <c r="Y118" i="4"/>
  <c r="AR116" i="4"/>
  <c r="AB116" i="4"/>
  <c r="BB114" i="4"/>
  <c r="AL114" i="4"/>
  <c r="V114" i="4"/>
  <c r="AZ112" i="4"/>
  <c r="AJ112" i="4"/>
  <c r="T112" i="4"/>
  <c r="AZ108" i="4"/>
  <c r="AJ108" i="4"/>
  <c r="T108" i="4"/>
  <c r="AS106" i="4"/>
  <c r="AS104" i="4"/>
  <c r="AW100" i="4"/>
  <c r="Q100" i="4"/>
  <c r="BF100" i="4" s="1"/>
  <c r="AK98" i="4"/>
  <c r="AT96" i="4"/>
  <c r="AA92" i="4"/>
  <c r="AZ90" i="4"/>
  <c r="AI8" i="4"/>
  <c r="AM8" i="4"/>
  <c r="AQ8" i="4"/>
  <c r="AU8" i="4"/>
  <c r="AY8" i="4"/>
  <c r="BI8" i="4" s="1"/>
  <c r="W10" i="4"/>
  <c r="AA10" i="4"/>
  <c r="AE10" i="4"/>
  <c r="AI10" i="4"/>
  <c r="AM10" i="4"/>
  <c r="AQ10" i="4"/>
  <c r="AU10" i="4"/>
  <c r="AY10" i="4"/>
  <c r="AA12" i="4"/>
  <c r="AE12" i="4"/>
  <c r="AI12" i="4"/>
  <c r="AM12" i="4"/>
  <c r="AQ12" i="4"/>
  <c r="AU12" i="4"/>
  <c r="AY12" i="4"/>
  <c r="Q13" i="4"/>
  <c r="U13" i="4"/>
  <c r="Y13" i="4"/>
  <c r="AC13" i="4"/>
  <c r="AG13" i="4"/>
  <c r="AK13" i="4"/>
  <c r="AO13" i="4"/>
  <c r="AS13" i="4"/>
  <c r="AW13" i="4"/>
  <c r="BA13" i="4"/>
  <c r="R15" i="4"/>
  <c r="V15" i="4"/>
  <c r="Z15" i="4"/>
  <c r="AD15" i="4"/>
  <c r="AH15" i="4"/>
  <c r="AL15" i="4"/>
  <c r="AP15" i="4"/>
  <c r="AT15" i="4"/>
  <c r="AX15" i="4"/>
  <c r="T17" i="4"/>
  <c r="AB17" i="4"/>
  <c r="AJ17" i="4"/>
  <c r="AR17" i="4"/>
  <c r="AZ17" i="4"/>
  <c r="T19" i="4"/>
  <c r="X19" i="4"/>
  <c r="AB19" i="4"/>
  <c r="AF19" i="4"/>
  <c r="AJ19" i="4"/>
  <c r="AN19" i="4"/>
  <c r="AR19" i="4"/>
  <c r="AV19" i="4"/>
  <c r="AZ19" i="4"/>
  <c r="AW134" i="4"/>
  <c r="BB132" i="4"/>
  <c r="AX132" i="4"/>
  <c r="AT132" i="4"/>
  <c r="AP132" i="4"/>
  <c r="AL132" i="4"/>
  <c r="AH132" i="4"/>
  <c r="AD132" i="4"/>
  <c r="Z132" i="4"/>
  <c r="BD130" i="4"/>
  <c r="AZ130" i="4"/>
  <c r="AV130" i="4"/>
  <c r="AR130" i="4"/>
  <c r="AN130" i="4"/>
  <c r="AJ130" i="4"/>
  <c r="AF130" i="4"/>
  <c r="AB130" i="4"/>
  <c r="BE128" i="4"/>
  <c r="AW128" i="4"/>
  <c r="AN128" i="4"/>
  <c r="BC124" i="4"/>
  <c r="AY124" i="4"/>
  <c r="AU124" i="4"/>
  <c r="AQ124" i="4"/>
  <c r="AM124" i="4"/>
  <c r="AI124" i="4"/>
  <c r="AE124" i="4"/>
  <c r="AA124" i="4"/>
  <c r="BE122" i="4"/>
  <c r="BA122" i="4"/>
  <c r="AW122" i="4"/>
  <c r="AS122" i="4"/>
  <c r="AO122" i="4"/>
  <c r="AK122" i="4"/>
  <c r="AG122" i="4"/>
  <c r="AC122" i="4"/>
  <c r="AY120" i="4"/>
  <c r="AQ120" i="4"/>
  <c r="AI120" i="4"/>
  <c r="AA120" i="4"/>
  <c r="S120" i="4"/>
  <c r="AW118" i="4"/>
  <c r="BD116" i="4"/>
  <c r="AN116" i="4"/>
  <c r="X116" i="4"/>
  <c r="AX114" i="4"/>
  <c r="AH114" i="4"/>
  <c r="BH114" i="4" s="1"/>
  <c r="R114" i="4"/>
  <c r="AV112" i="4"/>
  <c r="AF112" i="4"/>
  <c r="AV108" i="4"/>
  <c r="AF108" i="4"/>
  <c r="AK106" i="4"/>
  <c r="AK104" i="4"/>
  <c r="BD102" i="4"/>
  <c r="AO100" i="4"/>
  <c r="AC98" i="4"/>
  <c r="AL96" i="4"/>
  <c r="AP90" i="4"/>
  <c r="AE88" i="4"/>
  <c r="BC80" i="4"/>
  <c r="T76" i="4"/>
  <c r="X76" i="4"/>
  <c r="AB76" i="4"/>
  <c r="R74" i="4"/>
  <c r="Q74" i="4"/>
  <c r="W74" i="4"/>
  <c r="AB74" i="4"/>
  <c r="AG74" i="4"/>
  <c r="AM74" i="4"/>
  <c r="AR74" i="4"/>
  <c r="AV74" i="4"/>
  <c r="AZ74" i="4"/>
  <c r="BD74" i="4"/>
  <c r="S74" i="4"/>
  <c r="X74" i="4"/>
  <c r="AC74" i="4"/>
  <c r="T74" i="4"/>
  <c r="Y74" i="4"/>
  <c r="AE74" i="4"/>
  <c r="AJ74" i="4"/>
  <c r="AO74" i="4"/>
  <c r="AT74" i="4"/>
  <c r="AX74" i="4"/>
  <c r="BB74" i="4"/>
  <c r="R72" i="4"/>
  <c r="V72" i="4"/>
  <c r="Z72" i="4"/>
  <c r="BG72" i="4" s="1"/>
  <c r="AD72" i="4"/>
  <c r="AH72" i="4"/>
  <c r="AL72" i="4"/>
  <c r="AP72" i="4"/>
  <c r="AT72" i="4"/>
  <c r="AX72" i="4"/>
  <c r="BB72" i="4"/>
  <c r="S72" i="4"/>
  <c r="BF72" i="4" s="1"/>
  <c r="W72" i="4"/>
  <c r="AA72" i="4"/>
  <c r="AE72" i="4"/>
  <c r="AI72" i="4"/>
  <c r="AM72" i="4"/>
  <c r="AQ72" i="4"/>
  <c r="AU72" i="4"/>
  <c r="AY72" i="4"/>
  <c r="BC72" i="4"/>
  <c r="T72" i="4"/>
  <c r="X72" i="4"/>
  <c r="AB72" i="4"/>
  <c r="AF72" i="4"/>
  <c r="AJ72" i="4"/>
  <c r="AN72" i="4"/>
  <c r="AR72" i="4"/>
  <c r="AV72" i="4"/>
  <c r="AZ72" i="4"/>
  <c r="BD72" i="4"/>
  <c r="BC70" i="4"/>
  <c r="W70" i="4"/>
  <c r="Q68" i="4"/>
  <c r="U68" i="4"/>
  <c r="Y68" i="4"/>
  <c r="AC68" i="4"/>
  <c r="AG68" i="4"/>
  <c r="AK68" i="4"/>
  <c r="AO68" i="4"/>
  <c r="AS68" i="4"/>
  <c r="AW68" i="4"/>
  <c r="BA68" i="4"/>
  <c r="BE68" i="4"/>
  <c r="R68" i="4"/>
  <c r="V68" i="4"/>
  <c r="Z68" i="4"/>
  <c r="AD68" i="4"/>
  <c r="AH68" i="4"/>
  <c r="AL68" i="4"/>
  <c r="AP68" i="4"/>
  <c r="AT68" i="4"/>
  <c r="BI68" i="4" s="1"/>
  <c r="AX68" i="4"/>
  <c r="BB68" i="4"/>
  <c r="S68" i="4"/>
  <c r="W68" i="4"/>
  <c r="AA68" i="4"/>
  <c r="AE68" i="4"/>
  <c r="AI68" i="4"/>
  <c r="AM68" i="4"/>
  <c r="AQ68" i="4"/>
  <c r="AU68" i="4"/>
  <c r="AY68" i="4"/>
  <c r="BC68" i="4"/>
  <c r="S66" i="4"/>
  <c r="W66" i="4"/>
  <c r="AA66" i="4"/>
  <c r="AE66" i="4"/>
  <c r="AI66" i="4"/>
  <c r="AM66" i="4"/>
  <c r="AQ66" i="4"/>
  <c r="AU66" i="4"/>
  <c r="AY66" i="4"/>
  <c r="BC66" i="4"/>
  <c r="T66" i="4"/>
  <c r="X66" i="4"/>
  <c r="AB66" i="4"/>
  <c r="AF66" i="4"/>
  <c r="AJ66" i="4"/>
  <c r="AN66" i="4"/>
  <c r="AR66" i="4"/>
  <c r="AV66" i="4"/>
  <c r="AZ66" i="4"/>
  <c r="BD66" i="4"/>
  <c r="Q66" i="4"/>
  <c r="U66" i="4"/>
  <c r="Y66" i="4"/>
  <c r="AC66" i="4"/>
  <c r="AG66" i="4"/>
  <c r="AK66" i="4"/>
  <c r="AO66" i="4"/>
  <c r="AS66" i="4"/>
  <c r="AW66" i="4"/>
  <c r="BA66" i="4"/>
  <c r="BE66" i="4"/>
  <c r="AC62" i="4"/>
  <c r="AS62" i="4"/>
  <c r="S60" i="4"/>
  <c r="W60" i="4"/>
  <c r="AA60" i="4"/>
  <c r="AE60" i="4"/>
  <c r="AI60" i="4"/>
  <c r="AM60" i="4"/>
  <c r="AQ60" i="4"/>
  <c r="AU60" i="4"/>
  <c r="AY60" i="4"/>
  <c r="BC60" i="4"/>
  <c r="T60" i="4"/>
  <c r="X60" i="4"/>
  <c r="AB60" i="4"/>
  <c r="AF60" i="4"/>
  <c r="AJ60" i="4"/>
  <c r="BH60" i="4" s="1"/>
  <c r="AN60" i="4"/>
  <c r="AR60" i="4"/>
  <c r="AV60" i="4"/>
  <c r="AZ60" i="4"/>
  <c r="BD60" i="4"/>
  <c r="Q60" i="4"/>
  <c r="U60" i="4"/>
  <c r="Y60" i="4"/>
  <c r="AC60" i="4"/>
  <c r="AG60" i="4"/>
  <c r="AK60" i="4"/>
  <c r="AO60" i="4"/>
  <c r="AS60" i="4"/>
  <c r="AW60" i="4"/>
  <c r="BA60" i="4"/>
  <c r="BE60" i="4"/>
  <c r="T58" i="4"/>
  <c r="X58" i="4"/>
  <c r="AB58" i="4"/>
  <c r="AF58" i="4"/>
  <c r="AJ58" i="4"/>
  <c r="AN58" i="4"/>
  <c r="AR58" i="4"/>
  <c r="AV58" i="4"/>
  <c r="BI58" i="4" s="1"/>
  <c r="AZ58" i="4"/>
  <c r="BD58" i="4"/>
  <c r="Q58" i="4"/>
  <c r="U58" i="4"/>
  <c r="Y58" i="4"/>
  <c r="AC58" i="4"/>
  <c r="AG58" i="4"/>
  <c r="AK58" i="4"/>
  <c r="AO58" i="4"/>
  <c r="AS58" i="4"/>
  <c r="AW58" i="4"/>
  <c r="BA58" i="4"/>
  <c r="BE58" i="4"/>
  <c r="R58" i="4"/>
  <c r="V58" i="4"/>
  <c r="Z58" i="4"/>
  <c r="AD58" i="4"/>
  <c r="AH58" i="4"/>
  <c r="AL58" i="4"/>
  <c r="AP58" i="4"/>
  <c r="AT58" i="4"/>
  <c r="AX58" i="4"/>
  <c r="BB58" i="4"/>
  <c r="BC56" i="4"/>
  <c r="AW56" i="4"/>
  <c r="AR56" i="4"/>
  <c r="AM56" i="4"/>
  <c r="AG56" i="4"/>
  <c r="AB56" i="4"/>
  <c r="W56" i="4"/>
  <c r="Q56" i="4"/>
  <c r="BC53" i="4"/>
  <c r="AU53" i="4"/>
  <c r="AM53" i="4"/>
  <c r="AE53" i="4"/>
  <c r="W53" i="4"/>
  <c r="AF47" i="4"/>
  <c r="X47" i="4"/>
  <c r="W43" i="4"/>
  <c r="T41" i="4"/>
  <c r="T25" i="4"/>
  <c r="BA56" i="4"/>
  <c r="AV56" i="4"/>
  <c r="AQ56" i="4"/>
  <c r="AK56" i="4"/>
  <c r="AF56" i="4"/>
  <c r="AA56" i="4"/>
  <c r="U56" i="4"/>
  <c r="AZ53" i="4"/>
  <c r="AR53" i="4"/>
  <c r="AJ53" i="4"/>
  <c r="AB53" i="4"/>
  <c r="T53" i="4"/>
  <c r="AC47" i="4"/>
  <c r="U47" i="4"/>
  <c r="V43" i="4"/>
  <c r="Q41" i="4"/>
  <c r="AZ25" i="4"/>
  <c r="BE56" i="4"/>
  <c r="AZ56" i="4"/>
  <c r="AU56" i="4"/>
  <c r="AO56" i="4"/>
  <c r="AJ56" i="4"/>
  <c r="AE56" i="4"/>
  <c r="Y56" i="4"/>
  <c r="T56" i="4"/>
  <c r="AY53" i="4"/>
  <c r="AQ53" i="4"/>
  <c r="AI53" i="4"/>
  <c r="AA53" i="4"/>
  <c r="S53" i="4"/>
  <c r="AB47" i="4"/>
  <c r="T47" i="4"/>
  <c r="AA43" i="4"/>
  <c r="S43" i="4"/>
  <c r="X41" i="4"/>
  <c r="AV25" i="4"/>
  <c r="AF25" i="4"/>
  <c r="W23" i="4"/>
  <c r="AC41" i="4"/>
  <c r="BD25" i="4"/>
  <c r="AL23" i="4"/>
  <c r="BC21" i="4"/>
  <c r="BB53" i="4"/>
  <c r="AX53" i="4"/>
  <c r="AT53" i="4"/>
  <c r="AP53" i="4"/>
  <c r="AL53" i="4"/>
  <c r="AH53" i="4"/>
  <c r="AD53" i="4"/>
  <c r="Z53" i="4"/>
  <c r="V53" i="4"/>
  <c r="BG53" i="4" s="1"/>
  <c r="R53" i="4"/>
  <c r="BB51" i="4"/>
  <c r="BA47" i="4"/>
  <c r="AE47" i="4"/>
  <c r="AA47" i="4"/>
  <c r="W47" i="4"/>
  <c r="S47" i="4"/>
  <c r="Y43" i="4"/>
  <c r="U43" i="4"/>
  <c r="Q43" i="4"/>
  <c r="W41" i="4"/>
  <c r="S41" i="4"/>
  <c r="AR25" i="4"/>
  <c r="AB25" i="4"/>
  <c r="S23" i="4"/>
  <c r="AM21" i="4"/>
  <c r="BB56" i="4"/>
  <c r="AX56" i="4"/>
  <c r="AT56" i="4"/>
  <c r="BI56" i="4" s="1"/>
  <c r="AP56" i="4"/>
  <c r="AL56" i="4"/>
  <c r="AH56" i="4"/>
  <c r="AD56" i="4"/>
  <c r="Z56" i="4"/>
  <c r="V56" i="4"/>
  <c r="BE53" i="4"/>
  <c r="BA53" i="4"/>
  <c r="AW53" i="4"/>
  <c r="AS53" i="4"/>
  <c r="AO53" i="4"/>
  <c r="AK53" i="4"/>
  <c r="AG53" i="4"/>
  <c r="AC53" i="4"/>
  <c r="Y53" i="4"/>
  <c r="U53" i="4"/>
  <c r="AK47" i="4"/>
  <c r="AD47" i="4"/>
  <c r="Z47" i="4"/>
  <c r="V47" i="4"/>
  <c r="AR43" i="4"/>
  <c r="X43" i="4"/>
  <c r="V41" i="4"/>
  <c r="AN25" i="4"/>
  <c r="AL46" i="4"/>
  <c r="AJ73" i="4"/>
  <c r="AZ73" i="4"/>
  <c r="X73" i="4"/>
  <c r="AN73" i="4"/>
  <c r="BD73" i="4"/>
  <c r="AB73" i="4"/>
  <c r="AR73" i="4"/>
  <c r="AF73" i="4"/>
  <c r="AV73" i="4"/>
  <c r="BD18" i="4"/>
  <c r="AZ18" i="4"/>
  <c r="AV18" i="4"/>
  <c r="AR18" i="4"/>
  <c r="AN18" i="4"/>
  <c r="AJ18" i="4"/>
  <c r="AF18" i="4"/>
  <c r="AB18" i="4"/>
  <c r="X18" i="4"/>
  <c r="BA18" i="4"/>
  <c r="AO18" i="4"/>
  <c r="AC18" i="4"/>
  <c r="BC18" i="4"/>
  <c r="AY18" i="4"/>
  <c r="AU18" i="4"/>
  <c r="AQ18" i="4"/>
  <c r="AM18" i="4"/>
  <c r="AI18" i="4"/>
  <c r="AE18" i="4"/>
  <c r="AA18" i="4"/>
  <c r="W18" i="4"/>
  <c r="BE18" i="4"/>
  <c r="AS18" i="4"/>
  <c r="AG18" i="4"/>
  <c r="U18" i="4"/>
  <c r="BF18" i="4" s="1"/>
  <c r="BB18" i="4"/>
  <c r="AX18" i="4"/>
  <c r="AT18" i="4"/>
  <c r="AP18" i="4"/>
  <c r="AL18" i="4"/>
  <c r="AH18" i="4"/>
  <c r="AD18" i="4"/>
  <c r="Z18" i="4"/>
  <c r="V18" i="4"/>
  <c r="AW18" i="4"/>
  <c r="AK18" i="4"/>
  <c r="Y18" i="4"/>
  <c r="BF130" i="4"/>
  <c r="BF91" i="4"/>
  <c r="AF30" i="4"/>
  <c r="AB30" i="4"/>
  <c r="X30" i="4"/>
  <c r="BG30" i="4" s="1"/>
  <c r="T30" i="4"/>
  <c r="BE28" i="4"/>
  <c r="AU28" i="4"/>
  <c r="AM28" i="4"/>
  <c r="AE28" i="4"/>
  <c r="W28" i="4"/>
  <c r="BD26" i="4"/>
  <c r="AV26" i="4"/>
  <c r="AN26" i="4"/>
  <c r="AF26" i="4"/>
  <c r="X26" i="4"/>
  <c r="AU24" i="4"/>
  <c r="AC24" i="4"/>
  <c r="U24" i="4"/>
  <c r="AA21" i="4"/>
  <c r="AW47" i="4"/>
  <c r="AH32" i="4"/>
  <c r="W30" i="4"/>
  <c r="AZ28" i="4"/>
  <c r="AR28" i="4"/>
  <c r="AJ28" i="4"/>
  <c r="AB28" i="4"/>
  <c r="T28" i="4"/>
  <c r="BA26" i="4"/>
  <c r="AS26" i="4"/>
  <c r="AK26" i="4"/>
  <c r="AC26" i="4"/>
  <c r="U26" i="4"/>
  <c r="AI24" i="4"/>
  <c r="Z24" i="4"/>
  <c r="R24" i="4"/>
  <c r="BB23" i="4"/>
  <c r="AK93" i="4"/>
  <c r="BG12" i="4"/>
  <c r="AY28" i="4"/>
  <c r="AQ28" i="4"/>
  <c r="AI28" i="4"/>
  <c r="AA28" i="4"/>
  <c r="AZ26" i="4"/>
  <c r="AR26" i="4"/>
  <c r="AJ26" i="4"/>
  <c r="AB26" i="4"/>
  <c r="AG24" i="4"/>
  <c r="Y24" i="4"/>
  <c r="X94" i="4"/>
  <c r="BD141" i="4"/>
  <c r="AZ141" i="4"/>
  <c r="AR141" i="4"/>
  <c r="AN141" i="4"/>
  <c r="AF141" i="4"/>
  <c r="AB141" i="4"/>
  <c r="T141" i="4"/>
  <c r="BB139" i="4"/>
  <c r="AX139" i="4"/>
  <c r="AT139" i="4"/>
  <c r="AP139" i="4"/>
  <c r="AL139" i="4"/>
  <c r="AH139" i="4"/>
  <c r="AD139" i="4"/>
  <c r="Z139" i="4"/>
  <c r="V139" i="4"/>
  <c r="R139" i="4"/>
  <c r="BC137" i="4"/>
  <c r="AY137" i="4"/>
  <c r="AU137" i="4"/>
  <c r="AQ137" i="4"/>
  <c r="AM137" i="4"/>
  <c r="AI137" i="4"/>
  <c r="AE137" i="4"/>
  <c r="AA137" i="4"/>
  <c r="W137" i="4"/>
  <c r="S137" i="4"/>
  <c r="BE135" i="4"/>
  <c r="BA135" i="4"/>
  <c r="AW135" i="4"/>
  <c r="AS135" i="4"/>
  <c r="AO135" i="4"/>
  <c r="AK135" i="4"/>
  <c r="AG135" i="4"/>
  <c r="AC135" i="4"/>
  <c r="Y135" i="4"/>
  <c r="U135" i="4"/>
  <c r="Q135" i="4"/>
  <c r="AV141" i="4"/>
  <c r="AJ141" i="4"/>
  <c r="X141" i="4"/>
  <c r="BC141" i="4"/>
  <c r="AY141" i="4"/>
  <c r="AU141" i="4"/>
  <c r="AQ141" i="4"/>
  <c r="AM141" i="4"/>
  <c r="AI141" i="4"/>
  <c r="AE141" i="4"/>
  <c r="BG141" i="4" s="1"/>
  <c r="AA141" i="4"/>
  <c r="W141" i="4"/>
  <c r="S141" i="4"/>
  <c r="BF141" i="4" s="1"/>
  <c r="BE139" i="4"/>
  <c r="BA139" i="4"/>
  <c r="AW139" i="4"/>
  <c r="AS139" i="4"/>
  <c r="AO139" i="4"/>
  <c r="AK139" i="4"/>
  <c r="AG139" i="4"/>
  <c r="AC139" i="4"/>
  <c r="Y139" i="4"/>
  <c r="U139" i="4"/>
  <c r="Q139" i="4"/>
  <c r="BB137" i="4"/>
  <c r="AX137" i="4"/>
  <c r="AT137" i="4"/>
  <c r="AP137" i="4"/>
  <c r="AL137" i="4"/>
  <c r="AH137" i="4"/>
  <c r="AD137" i="4"/>
  <c r="Z137" i="4"/>
  <c r="V137" i="4"/>
  <c r="R137" i="4"/>
  <c r="BF137" i="4" s="1"/>
  <c r="BD135" i="4"/>
  <c r="AZ135" i="4"/>
  <c r="AV135" i="4"/>
  <c r="AR135" i="4"/>
  <c r="AN135" i="4"/>
  <c r="AJ135" i="4"/>
  <c r="AF135" i="4"/>
  <c r="AB135" i="4"/>
  <c r="X135" i="4"/>
  <c r="T135" i="4"/>
  <c r="BB141" i="4"/>
  <c r="AX141" i="4"/>
  <c r="AT141" i="4"/>
  <c r="AP141" i="4"/>
  <c r="AL141" i="4"/>
  <c r="AH141" i="4"/>
  <c r="AD141" i="4"/>
  <c r="Z141" i="4"/>
  <c r="V141" i="4"/>
  <c r="BD139" i="4"/>
  <c r="AZ139" i="4"/>
  <c r="AV139" i="4"/>
  <c r="AR139" i="4"/>
  <c r="AN139" i="4"/>
  <c r="AJ139" i="4"/>
  <c r="AF139" i="4"/>
  <c r="AB139" i="4"/>
  <c r="X139" i="4"/>
  <c r="BE137" i="4"/>
  <c r="BA137" i="4"/>
  <c r="AW137" i="4"/>
  <c r="AS137" i="4"/>
  <c r="AO137" i="4"/>
  <c r="AK137" i="4"/>
  <c r="AG137" i="4"/>
  <c r="AC137" i="4"/>
  <c r="Y137" i="4"/>
  <c r="U137" i="4"/>
  <c r="BC135" i="4"/>
  <c r="AY135" i="4"/>
  <c r="AU135" i="4"/>
  <c r="AQ135" i="4"/>
  <c r="AM135" i="4"/>
  <c r="AI135" i="4"/>
  <c r="AE135" i="4"/>
  <c r="AA135" i="4"/>
  <c r="W135" i="4"/>
  <c r="BF138" i="4"/>
  <c r="BH136" i="4"/>
  <c r="BF133" i="4"/>
  <c r="BI125" i="4"/>
  <c r="BF121" i="4"/>
  <c r="BH117" i="4"/>
  <c r="BG113" i="4"/>
  <c r="BH109" i="4"/>
  <c r="BG109" i="4"/>
  <c r="BH106" i="4"/>
  <c r="BH99" i="4"/>
  <c r="BG99" i="4"/>
  <c r="BF95" i="4"/>
  <c r="BF82" i="4"/>
  <c r="BF77" i="4"/>
  <c r="BI6" i="4"/>
  <c r="BF7" i="4"/>
  <c r="BF9" i="4"/>
  <c r="BF11" i="4"/>
  <c r="BI15" i="4"/>
  <c r="BF20" i="4"/>
  <c r="BH140" i="4"/>
  <c r="BG140" i="4"/>
  <c r="BF136" i="4"/>
  <c r="BH131" i="4"/>
  <c r="BF127" i="4"/>
  <c r="BF125" i="4"/>
  <c r="BF122" i="4"/>
  <c r="BI119" i="4"/>
  <c r="BH119" i="4"/>
  <c r="BG119" i="4"/>
  <c r="BF117" i="4"/>
  <c r="BF113" i="4"/>
  <c r="BF109" i="4"/>
  <c r="BF106" i="4"/>
  <c r="BF99" i="4"/>
  <c r="BH97" i="4"/>
  <c r="BG97" i="4"/>
  <c r="BG7" i="4"/>
  <c r="BH7" i="4"/>
  <c r="BI7" i="4"/>
  <c r="BG9" i="4"/>
  <c r="BH9" i="4"/>
  <c r="BI9" i="4"/>
  <c r="BG11" i="4"/>
  <c r="BH11" i="4"/>
  <c r="BI11" i="4"/>
  <c r="BF14" i="4"/>
  <c r="BF16" i="4"/>
  <c r="BG20" i="4"/>
  <c r="BH20" i="4"/>
  <c r="BF140" i="4"/>
  <c r="BF132" i="4"/>
  <c r="BF131" i="4"/>
  <c r="BG129" i="4"/>
  <c r="BF119" i="4"/>
  <c r="BH112" i="4"/>
  <c r="BH111" i="4"/>
  <c r="BG111" i="4"/>
  <c r="BH107" i="4"/>
  <c r="BG107" i="4"/>
  <c r="BI98" i="4"/>
  <c r="BF97" i="4"/>
  <c r="BF83" i="4"/>
  <c r="U89" i="4"/>
  <c r="BF89" i="4" s="1"/>
  <c r="Y89" i="4"/>
  <c r="AC89" i="4"/>
  <c r="AG89" i="4"/>
  <c r="AK89" i="4"/>
  <c r="AO89" i="4"/>
  <c r="AS89" i="4"/>
  <c r="AW89" i="4"/>
  <c r="BA89" i="4"/>
  <c r="BE89" i="4"/>
  <c r="AA87" i="4"/>
  <c r="AE87" i="4"/>
  <c r="AI87" i="4"/>
  <c r="AM87" i="4"/>
  <c r="AQ87" i="4"/>
  <c r="AU87" i="4"/>
  <c r="AY87" i="4"/>
  <c r="BC87" i="4"/>
  <c r="Y85" i="4"/>
  <c r="AC85" i="4"/>
  <c r="AG85" i="4"/>
  <c r="AK85" i="4"/>
  <c r="AO85" i="4"/>
  <c r="AS85" i="4"/>
  <c r="AW85" i="4"/>
  <c r="BA85" i="4"/>
  <c r="BE85" i="4"/>
  <c r="V83" i="4"/>
  <c r="Z83" i="4"/>
  <c r="AD83" i="4"/>
  <c r="AH83" i="4"/>
  <c r="AL83" i="4"/>
  <c r="AP83" i="4"/>
  <c r="AT83" i="4"/>
  <c r="AX83" i="4"/>
  <c r="BB83" i="4"/>
  <c r="W81" i="4"/>
  <c r="AA81" i="4"/>
  <c r="AE81" i="4"/>
  <c r="AI81" i="4"/>
  <c r="AM81" i="4"/>
  <c r="AQ81" i="4"/>
  <c r="AU81" i="4"/>
  <c r="AY81" i="4"/>
  <c r="BC81" i="4"/>
  <c r="V81" i="4"/>
  <c r="AB81" i="4"/>
  <c r="AG81" i="4"/>
  <c r="AL81" i="4"/>
  <c r="AR81" i="4"/>
  <c r="AW81" i="4"/>
  <c r="BB81" i="4"/>
  <c r="U79" i="4"/>
  <c r="BF79" i="4" s="1"/>
  <c r="Y79" i="4"/>
  <c r="AC79" i="4"/>
  <c r="AG79" i="4"/>
  <c r="AK79" i="4"/>
  <c r="AO79" i="4"/>
  <c r="AS79" i="4"/>
  <c r="AW79" i="4"/>
  <c r="BA79" i="4"/>
  <c r="BE79" i="4"/>
  <c r="W79" i="4"/>
  <c r="AB79" i="4"/>
  <c r="AH79" i="4"/>
  <c r="AM79" i="4"/>
  <c r="AR79" i="4"/>
  <c r="AX79" i="4"/>
  <c r="BC79" i="4"/>
  <c r="Z79" i="4"/>
  <c r="AE79" i="4"/>
  <c r="AJ79" i="4"/>
  <c r="AJ77" i="4"/>
  <c r="W77" i="4"/>
  <c r="AA77" i="4"/>
  <c r="AE77" i="4"/>
  <c r="AI77" i="4"/>
  <c r="AQ77" i="4"/>
  <c r="AY77" i="4"/>
  <c r="V77" i="4"/>
  <c r="AB77" i="4"/>
  <c r="AG77" i="4"/>
  <c r="AP77" i="4"/>
  <c r="BB77" i="4"/>
  <c r="Y77" i="4"/>
  <c r="AD77" i="4"/>
  <c r="AL77" i="4"/>
  <c r="AU77" i="4"/>
  <c r="Y75" i="4"/>
  <c r="AG75" i="4"/>
  <c r="AO75" i="4"/>
  <c r="AW75" i="4"/>
  <c r="BE75" i="4"/>
  <c r="AB75" i="4"/>
  <c r="AJ75" i="4"/>
  <c r="AR75" i="4"/>
  <c r="AZ75" i="4"/>
  <c r="AK75" i="4"/>
  <c r="BA75" i="4"/>
  <c r="AC75" i="4"/>
  <c r="AS75" i="4"/>
  <c r="Y73" i="4"/>
  <c r="AC73" i="4"/>
  <c r="AG73" i="4"/>
  <c r="AK73" i="4"/>
  <c r="AO73" i="4"/>
  <c r="AS73" i="4"/>
  <c r="AW73" i="4"/>
  <c r="BA73" i="4"/>
  <c r="BE73" i="4"/>
  <c r="V73" i="4"/>
  <c r="Z73" i="4"/>
  <c r="AD73" i="4"/>
  <c r="AH73" i="4"/>
  <c r="AL73" i="4"/>
  <c r="AP73" i="4"/>
  <c r="AT73" i="4"/>
  <c r="AX73" i="4"/>
  <c r="BB73" i="4"/>
  <c r="W73" i="4"/>
  <c r="AE73" i="4"/>
  <c r="AM73" i="4"/>
  <c r="AU73" i="4"/>
  <c r="BC73" i="4"/>
  <c r="AA73" i="4"/>
  <c r="AI73" i="4"/>
  <c r="AQ73" i="4"/>
  <c r="AY73" i="4"/>
  <c r="S71" i="4"/>
  <c r="W71" i="4"/>
  <c r="AA71" i="4"/>
  <c r="AE71" i="4"/>
  <c r="AI71" i="4"/>
  <c r="AM71" i="4"/>
  <c r="AQ71" i="4"/>
  <c r="AU71" i="4"/>
  <c r="AY71" i="4"/>
  <c r="BC71" i="4"/>
  <c r="T71" i="4"/>
  <c r="X71" i="4"/>
  <c r="AB71" i="4"/>
  <c r="AF71" i="4"/>
  <c r="AJ71" i="4"/>
  <c r="AN71" i="4"/>
  <c r="AR71" i="4"/>
  <c r="AV71" i="4"/>
  <c r="AZ71" i="4"/>
  <c r="BD71" i="4"/>
  <c r="V71" i="4"/>
  <c r="AD71" i="4"/>
  <c r="AL71" i="4"/>
  <c r="AT71" i="4"/>
  <c r="BB71" i="4"/>
  <c r="R71" i="4"/>
  <c r="Z71" i="4"/>
  <c r="AH71" i="4"/>
  <c r="AP71" i="4"/>
  <c r="AX71" i="4"/>
  <c r="Q69" i="4"/>
  <c r="U69" i="4"/>
  <c r="Y69" i="4"/>
  <c r="AC69" i="4"/>
  <c r="AG69" i="4"/>
  <c r="AK69" i="4"/>
  <c r="AO69" i="4"/>
  <c r="AS69" i="4"/>
  <c r="AW69" i="4"/>
  <c r="BA69" i="4"/>
  <c r="BE69" i="4"/>
  <c r="R69" i="4"/>
  <c r="V69" i="4"/>
  <c r="Z69" i="4"/>
  <c r="AD69" i="4"/>
  <c r="AH69" i="4"/>
  <c r="AL69" i="4"/>
  <c r="AP69" i="4"/>
  <c r="AT69" i="4"/>
  <c r="AX69" i="4"/>
  <c r="BB69" i="4"/>
  <c r="S69" i="4"/>
  <c r="AA69" i="4"/>
  <c r="AI69" i="4"/>
  <c r="AQ69" i="4"/>
  <c r="AY69" i="4"/>
  <c r="W69" i="4"/>
  <c r="AE69" i="4"/>
  <c r="AM69" i="4"/>
  <c r="AU69" i="4"/>
  <c r="BC69" i="4"/>
  <c r="S67" i="4"/>
  <c r="W67" i="4"/>
  <c r="AA67" i="4"/>
  <c r="AE67" i="4"/>
  <c r="AI67" i="4"/>
  <c r="AM67" i="4"/>
  <c r="AQ67" i="4"/>
  <c r="AU67" i="4"/>
  <c r="AY67" i="4"/>
  <c r="BC67" i="4"/>
  <c r="T67" i="4"/>
  <c r="X67" i="4"/>
  <c r="AB67" i="4"/>
  <c r="AF67" i="4"/>
  <c r="AJ67" i="4"/>
  <c r="AN67" i="4"/>
  <c r="AR67" i="4"/>
  <c r="AV67" i="4"/>
  <c r="AZ67" i="4"/>
  <c r="BD67" i="4"/>
  <c r="U67" i="4"/>
  <c r="AC67" i="4"/>
  <c r="AK67" i="4"/>
  <c r="AS67" i="4"/>
  <c r="BA67" i="4"/>
  <c r="Q67" i="4"/>
  <c r="Y67" i="4"/>
  <c r="AG67" i="4"/>
  <c r="AO67" i="4"/>
  <c r="AW67" i="4"/>
  <c r="BE67" i="4"/>
  <c r="S65" i="4"/>
  <c r="W65" i="4"/>
  <c r="AA65" i="4"/>
  <c r="AE65" i="4"/>
  <c r="AI65" i="4"/>
  <c r="AM65" i="4"/>
  <c r="AQ65" i="4"/>
  <c r="AU65" i="4"/>
  <c r="AY65" i="4"/>
  <c r="BC65" i="4"/>
  <c r="T65" i="4"/>
  <c r="X65" i="4"/>
  <c r="AB65" i="4"/>
  <c r="AF65" i="4"/>
  <c r="AJ65" i="4"/>
  <c r="AN65" i="4"/>
  <c r="AR65" i="4"/>
  <c r="AV65" i="4"/>
  <c r="AZ65" i="4"/>
  <c r="BD65" i="4"/>
  <c r="U65" i="4"/>
  <c r="AC65" i="4"/>
  <c r="AK65" i="4"/>
  <c r="AS65" i="4"/>
  <c r="BA65" i="4"/>
  <c r="Q65" i="4"/>
  <c r="Y65" i="4"/>
  <c r="AG65" i="4"/>
  <c r="AO65" i="4"/>
  <c r="AW65" i="4"/>
  <c r="BE65" i="4"/>
  <c r="S63" i="4"/>
  <c r="W63" i="4"/>
  <c r="AA63" i="4"/>
  <c r="AE63" i="4"/>
  <c r="AI63" i="4"/>
  <c r="AM63" i="4"/>
  <c r="AQ63" i="4"/>
  <c r="AU63" i="4"/>
  <c r="T63" i="4"/>
  <c r="X63" i="4"/>
  <c r="AB63" i="4"/>
  <c r="AF63" i="4"/>
  <c r="AJ63" i="4"/>
  <c r="AN63" i="4"/>
  <c r="AR63" i="4"/>
  <c r="AW63" i="4"/>
  <c r="U63" i="4"/>
  <c r="AC63" i="4"/>
  <c r="AK63" i="4"/>
  <c r="AS63" i="4"/>
  <c r="Q63" i="4"/>
  <c r="BF63" i="4" s="1"/>
  <c r="Y63" i="4"/>
  <c r="AG63" i="4"/>
  <c r="AO63" i="4"/>
  <c r="BA63" i="4"/>
  <c r="R61" i="4"/>
  <c r="U61" i="4"/>
  <c r="AK61" i="4"/>
  <c r="BA61" i="4"/>
  <c r="Y61" i="4"/>
  <c r="AO61" i="4"/>
  <c r="BE61" i="4"/>
  <c r="AS61" i="4"/>
  <c r="AC61" i="4"/>
  <c r="T59" i="4"/>
  <c r="X59" i="4"/>
  <c r="AB59" i="4"/>
  <c r="AF59" i="4"/>
  <c r="AJ59" i="4"/>
  <c r="AN59" i="4"/>
  <c r="AR59" i="4"/>
  <c r="AV59" i="4"/>
  <c r="AZ59" i="4"/>
  <c r="BD59" i="4"/>
  <c r="Q59" i="4"/>
  <c r="U59" i="4"/>
  <c r="Y59" i="4"/>
  <c r="AC59" i="4"/>
  <c r="AG59" i="4"/>
  <c r="AK59" i="4"/>
  <c r="AO59" i="4"/>
  <c r="AS59" i="4"/>
  <c r="AW59" i="4"/>
  <c r="BA59" i="4"/>
  <c r="BE59" i="4"/>
  <c r="R59" i="4"/>
  <c r="Z59" i="4"/>
  <c r="AH59" i="4"/>
  <c r="AP59" i="4"/>
  <c r="AX59" i="4"/>
  <c r="S59" i="4"/>
  <c r="AA59" i="4"/>
  <c r="AI59" i="4"/>
  <c r="AQ59" i="4"/>
  <c r="AY59" i="4"/>
  <c r="V59" i="4"/>
  <c r="AD59" i="4"/>
  <c r="AL59" i="4"/>
  <c r="AT59" i="4"/>
  <c r="BB59" i="4"/>
  <c r="T57" i="4"/>
  <c r="X57" i="4"/>
  <c r="AB57" i="4"/>
  <c r="AF57" i="4"/>
  <c r="AJ57" i="4"/>
  <c r="AN57" i="4"/>
  <c r="AR57" i="4"/>
  <c r="AV57" i="4"/>
  <c r="AZ57" i="4"/>
  <c r="BD57" i="4"/>
  <c r="Q57" i="4"/>
  <c r="U57" i="4"/>
  <c r="Y57" i="4"/>
  <c r="AC57" i="4"/>
  <c r="AG57" i="4"/>
  <c r="AK57" i="4"/>
  <c r="AO57" i="4"/>
  <c r="AS57" i="4"/>
  <c r="AW57" i="4"/>
  <c r="BA57" i="4"/>
  <c r="BE57" i="4"/>
  <c r="W57" i="4"/>
  <c r="AE57" i="4"/>
  <c r="AM57" i="4"/>
  <c r="AU57" i="4"/>
  <c r="BC57" i="4"/>
  <c r="R57" i="4"/>
  <c r="Z57" i="4"/>
  <c r="AH57" i="4"/>
  <c r="AP57" i="4"/>
  <c r="AX57" i="4"/>
  <c r="S57" i="4"/>
  <c r="AA57" i="4"/>
  <c r="AI57" i="4"/>
  <c r="AQ57" i="4"/>
  <c r="AY57" i="4"/>
  <c r="R54" i="4"/>
  <c r="V54" i="4"/>
  <c r="Z54" i="4"/>
  <c r="AD54" i="4"/>
  <c r="AH54" i="4"/>
  <c r="AL54" i="4"/>
  <c r="AP54" i="4"/>
  <c r="AT54" i="4"/>
  <c r="AX54" i="4"/>
  <c r="BB54" i="4"/>
  <c r="S54" i="4"/>
  <c r="W54" i="4"/>
  <c r="AA54" i="4"/>
  <c r="AE54" i="4"/>
  <c r="AI54" i="4"/>
  <c r="AM54" i="4"/>
  <c r="AQ54" i="4"/>
  <c r="AU54" i="4"/>
  <c r="AY54" i="4"/>
  <c r="BC54" i="4"/>
  <c r="T54" i="4"/>
  <c r="AB54" i="4"/>
  <c r="AJ54" i="4"/>
  <c r="AR54" i="4"/>
  <c r="AZ54" i="4"/>
  <c r="U54" i="4"/>
  <c r="AC54" i="4"/>
  <c r="AK54" i="4"/>
  <c r="AS54" i="4"/>
  <c r="BA54" i="4"/>
  <c r="X54" i="4"/>
  <c r="AF54" i="4"/>
  <c r="AN54" i="4"/>
  <c r="AV54" i="4"/>
  <c r="BD54" i="4"/>
  <c r="Q52" i="4"/>
  <c r="U52" i="4"/>
  <c r="Y52" i="4"/>
  <c r="AC52" i="4"/>
  <c r="AG52" i="4"/>
  <c r="AK52" i="4"/>
  <c r="AO52" i="4"/>
  <c r="AS52" i="4"/>
  <c r="AW52" i="4"/>
  <c r="BA52" i="4"/>
  <c r="BE52" i="4"/>
  <c r="R52" i="4"/>
  <c r="V52" i="4"/>
  <c r="Z52" i="4"/>
  <c r="AD52" i="4"/>
  <c r="AH52" i="4"/>
  <c r="AL52" i="4"/>
  <c r="AP52" i="4"/>
  <c r="AT52" i="4"/>
  <c r="AX52" i="4"/>
  <c r="BB52" i="4"/>
  <c r="T52" i="4"/>
  <c r="AB52" i="4"/>
  <c r="AJ52" i="4"/>
  <c r="AR52" i="4"/>
  <c r="AZ52" i="4"/>
  <c r="W52" i="4"/>
  <c r="AE52" i="4"/>
  <c r="AM52" i="4"/>
  <c r="AU52" i="4"/>
  <c r="BC52" i="4"/>
  <c r="AF52" i="4"/>
  <c r="AV52" i="4"/>
  <c r="S52" i="4"/>
  <c r="AI52" i="4"/>
  <c r="AY52" i="4"/>
  <c r="X52" i="4"/>
  <c r="AN52" i="4"/>
  <c r="BD52" i="4"/>
  <c r="R50" i="4"/>
  <c r="V50" i="4"/>
  <c r="Z50" i="4"/>
  <c r="AD50" i="4"/>
  <c r="AH50" i="4"/>
  <c r="AL50" i="4"/>
  <c r="AP50" i="4"/>
  <c r="AT50" i="4"/>
  <c r="AZ50" i="4"/>
  <c r="S50" i="4"/>
  <c r="W50" i="4"/>
  <c r="AA50" i="4"/>
  <c r="AE50" i="4"/>
  <c r="AI50" i="4"/>
  <c r="AM50" i="4"/>
  <c r="AQ50" i="4"/>
  <c r="AU50" i="4"/>
  <c r="BD50" i="4"/>
  <c r="Q50" i="4"/>
  <c r="Y50" i="4"/>
  <c r="AG50" i="4"/>
  <c r="AO50" i="4"/>
  <c r="AW50" i="4"/>
  <c r="T50" i="4"/>
  <c r="AB50" i="4"/>
  <c r="AJ50" i="4"/>
  <c r="AR50" i="4"/>
  <c r="X50" i="4"/>
  <c r="AN50" i="4"/>
  <c r="AC50" i="4"/>
  <c r="AS50" i="4"/>
  <c r="AF50" i="4"/>
  <c r="AV50" i="4"/>
  <c r="V48" i="4"/>
  <c r="T48" i="4"/>
  <c r="AO48" i="4"/>
  <c r="Z48" i="4"/>
  <c r="AS48" i="4"/>
  <c r="AE48" i="4"/>
  <c r="AJ48" i="4"/>
  <c r="BE48" i="4"/>
  <c r="S46" i="4"/>
  <c r="W46" i="4"/>
  <c r="AA46" i="4"/>
  <c r="AE46" i="4"/>
  <c r="AI46" i="4"/>
  <c r="AM46" i="4"/>
  <c r="AQ46" i="4"/>
  <c r="AW46" i="4"/>
  <c r="BE46" i="4"/>
  <c r="T46" i="4"/>
  <c r="X46" i="4"/>
  <c r="AB46" i="4"/>
  <c r="AF46" i="4"/>
  <c r="AJ46" i="4"/>
  <c r="AN46" i="4"/>
  <c r="AR46" i="4"/>
  <c r="AX46" i="4"/>
  <c r="Q46" i="4"/>
  <c r="Y46" i="4"/>
  <c r="AG46" i="4"/>
  <c r="AO46" i="4"/>
  <c r="BA46" i="4"/>
  <c r="R46" i="4"/>
  <c r="Z46" i="4"/>
  <c r="AH46" i="4"/>
  <c r="AP46" i="4"/>
  <c r="BB46" i="4"/>
  <c r="U46" i="4"/>
  <c r="AC46" i="4"/>
  <c r="AS46" i="4"/>
  <c r="AD46" i="4"/>
  <c r="AT46" i="4"/>
  <c r="AK46" i="4"/>
  <c r="AT45" i="4"/>
  <c r="AD45" i="4"/>
  <c r="AE43" i="4"/>
  <c r="AI43" i="4"/>
  <c r="AM43" i="4"/>
  <c r="AU43" i="4"/>
  <c r="BC43" i="4"/>
  <c r="AB43" i="4"/>
  <c r="AF43" i="4"/>
  <c r="AJ43" i="4"/>
  <c r="AN43" i="4"/>
  <c r="AV43" i="4"/>
  <c r="BD43" i="4"/>
  <c r="AC43" i="4"/>
  <c r="AK43" i="4"/>
  <c r="AY43" i="4"/>
  <c r="AD43" i="4"/>
  <c r="AL43" i="4"/>
  <c r="AZ43" i="4"/>
  <c r="AG43" i="4"/>
  <c r="AQ43" i="4"/>
  <c r="AH43" i="4"/>
  <c r="Z41" i="4"/>
  <c r="AD41" i="4"/>
  <c r="AH41" i="4"/>
  <c r="BA41" i="4"/>
  <c r="AA41" i="4"/>
  <c r="AE41" i="4"/>
  <c r="AI41" i="4"/>
  <c r="AF41" i="4"/>
  <c r="Y41" i="4"/>
  <c r="AG41" i="4"/>
  <c r="AB41" i="4"/>
  <c r="AJ41" i="4"/>
  <c r="AK41" i="4"/>
  <c r="V39" i="4"/>
  <c r="AD39" i="4"/>
  <c r="AL39" i="4"/>
  <c r="AT39" i="4"/>
  <c r="BB39" i="4"/>
  <c r="W39" i="4"/>
  <c r="AE39" i="4"/>
  <c r="AM39" i="4"/>
  <c r="AU39" i="4"/>
  <c r="BC39" i="4"/>
  <c r="Z39" i="4"/>
  <c r="AP39" i="4"/>
  <c r="AA39" i="4"/>
  <c r="AQ39" i="4"/>
  <c r="R39" i="4"/>
  <c r="AH39" i="4"/>
  <c r="AX39" i="4"/>
  <c r="AI39" i="4"/>
  <c r="AY39" i="4"/>
  <c r="S37" i="4"/>
  <c r="X37" i="4"/>
  <c r="AC37" i="4"/>
  <c r="AI37" i="4"/>
  <c r="AY37" i="4"/>
  <c r="T37" i="4"/>
  <c r="Y37" i="4"/>
  <c r="AE37" i="4"/>
  <c r="AJ37" i="4"/>
  <c r="BD37" i="4"/>
  <c r="AA37" i="4"/>
  <c r="AN37" i="4"/>
  <c r="Q37" i="4"/>
  <c r="AB37" i="4"/>
  <c r="AS37" i="4"/>
  <c r="U37" i="4"/>
  <c r="AF37" i="4"/>
  <c r="W37" i="4"/>
  <c r="AG37" i="4"/>
  <c r="AE35" i="4"/>
  <c r="AU35" i="4"/>
  <c r="S35" i="4"/>
  <c r="AI35" i="4"/>
  <c r="AY35" i="4"/>
  <c r="W35" i="4"/>
  <c r="BE35" i="4"/>
  <c r="AA35" i="4"/>
  <c r="AM35" i="4"/>
  <c r="AQ35" i="4"/>
  <c r="W33" i="4"/>
  <c r="AE33" i="4"/>
  <c r="AM33" i="4"/>
  <c r="AU33" i="4"/>
  <c r="BC33" i="4"/>
  <c r="R33" i="4"/>
  <c r="Z33" i="4"/>
  <c r="AH33" i="4"/>
  <c r="AP33" i="4"/>
  <c r="AX33" i="4"/>
  <c r="S33" i="4"/>
  <c r="AI33" i="4"/>
  <c r="AY33" i="4"/>
  <c r="V33" i="4"/>
  <c r="AL33" i="4"/>
  <c r="BB33" i="4"/>
  <c r="AA33" i="4"/>
  <c r="AQ33" i="4"/>
  <c r="AD33" i="4"/>
  <c r="AT33" i="4"/>
  <c r="T31" i="4"/>
  <c r="X31" i="4"/>
  <c r="AB31" i="4"/>
  <c r="AF31" i="4"/>
  <c r="AJ31" i="4"/>
  <c r="AN31" i="4"/>
  <c r="AR31" i="4"/>
  <c r="AV31" i="4"/>
  <c r="AZ31" i="4"/>
  <c r="BD31" i="4"/>
  <c r="Q31" i="4"/>
  <c r="U31" i="4"/>
  <c r="Y31" i="4"/>
  <c r="AC31" i="4"/>
  <c r="AG31" i="4"/>
  <c r="AK31" i="4"/>
  <c r="AO31" i="4"/>
  <c r="AS31" i="4"/>
  <c r="AW31" i="4"/>
  <c r="BA31" i="4"/>
  <c r="BE31" i="4"/>
  <c r="V31" i="4"/>
  <c r="AD31" i="4"/>
  <c r="AL31" i="4"/>
  <c r="AT31" i="4"/>
  <c r="BB31" i="4"/>
  <c r="W31" i="4"/>
  <c r="AE31" i="4"/>
  <c r="AM31" i="4"/>
  <c r="AU31" i="4"/>
  <c r="BC31" i="4"/>
  <c r="R31" i="4"/>
  <c r="Z31" i="4"/>
  <c r="AH31" i="4"/>
  <c r="AP31" i="4"/>
  <c r="AX31" i="4"/>
  <c r="AQ31" i="4"/>
  <c r="S31" i="4"/>
  <c r="AY31" i="4"/>
  <c r="AA31" i="4"/>
  <c r="V29" i="4"/>
  <c r="AD29" i="4"/>
  <c r="AL29" i="4"/>
  <c r="AT29" i="4"/>
  <c r="BB29" i="4"/>
  <c r="Q29" i="4"/>
  <c r="Y29" i="4"/>
  <c r="AG29" i="4"/>
  <c r="AO29" i="4"/>
  <c r="AW29" i="4"/>
  <c r="BE29" i="4"/>
  <c r="R29" i="4"/>
  <c r="AH29" i="4"/>
  <c r="AX29" i="4"/>
  <c r="U29" i="4"/>
  <c r="AK29" i="4"/>
  <c r="BA29" i="4"/>
  <c r="Z29" i="4"/>
  <c r="AP29" i="4"/>
  <c r="AS29" i="4"/>
  <c r="BF8" i="4"/>
  <c r="BF10" i="4"/>
  <c r="BF12" i="4"/>
  <c r="BH14" i="4"/>
  <c r="BI138" i="4"/>
  <c r="BH138" i="4"/>
  <c r="BG138" i="4"/>
  <c r="BI133" i="4"/>
  <c r="BF129" i="4"/>
  <c r="BF124" i="4"/>
  <c r="BF123" i="4"/>
  <c r="BH121" i="4"/>
  <c r="BF115" i="4"/>
  <c r="BF111" i="4"/>
  <c r="BF107" i="4"/>
  <c r="BI95" i="4"/>
  <c r="BF81" i="4"/>
  <c r="BG66" i="4"/>
  <c r="BF93" i="4"/>
  <c r="BI90" i="4"/>
  <c r="BF85" i="4"/>
  <c r="BF38" i="4"/>
  <c r="AX63" i="4"/>
  <c r="BA50" i="4"/>
  <c r="Q44" i="4"/>
  <c r="Y44" i="4"/>
  <c r="AG44" i="4"/>
  <c r="T44" i="4"/>
  <c r="AB44" i="4"/>
  <c r="AA42" i="4"/>
  <c r="AQ42" i="4"/>
  <c r="AE42" i="4"/>
  <c r="AU42" i="4"/>
  <c r="BF60" i="4"/>
  <c r="X44" i="4"/>
  <c r="AY42" i="4"/>
  <c r="S42" i="4"/>
  <c r="Q28" i="4"/>
  <c r="U28" i="4"/>
  <c r="Y28" i="4"/>
  <c r="AC28" i="4"/>
  <c r="AG28" i="4"/>
  <c r="AK28" i="4"/>
  <c r="AO28" i="4"/>
  <c r="AS28" i="4"/>
  <c r="AW28" i="4"/>
  <c r="BA28" i="4"/>
  <c r="R28" i="4"/>
  <c r="V28" i="4"/>
  <c r="Z28" i="4"/>
  <c r="AD28" i="4"/>
  <c r="AH28" i="4"/>
  <c r="AL28" i="4"/>
  <c r="AP28" i="4"/>
  <c r="AT28" i="4"/>
  <c r="AX28" i="4"/>
  <c r="BD28" i="4"/>
  <c r="R26" i="4"/>
  <c r="V26" i="4"/>
  <c r="Z26" i="4"/>
  <c r="AD26" i="4"/>
  <c r="AH26" i="4"/>
  <c r="AL26" i="4"/>
  <c r="AP26" i="4"/>
  <c r="AT26" i="4"/>
  <c r="AX26" i="4"/>
  <c r="BB26" i="4"/>
  <c r="S26" i="4"/>
  <c r="W26" i="4"/>
  <c r="AA26" i="4"/>
  <c r="AE26" i="4"/>
  <c r="AI26" i="4"/>
  <c r="AM26" i="4"/>
  <c r="AQ26" i="4"/>
  <c r="AU26" i="4"/>
  <c r="AY26" i="4"/>
  <c r="BC26" i="4"/>
  <c r="S24" i="4"/>
  <c r="W24" i="4"/>
  <c r="AA24" i="4"/>
  <c r="AE24" i="4"/>
  <c r="AM24" i="4"/>
  <c r="T24" i="4"/>
  <c r="X24" i="4"/>
  <c r="AB24" i="4"/>
  <c r="AF24" i="4"/>
  <c r="AQ24" i="4"/>
  <c r="AE21" i="4"/>
  <c r="AI21" i="4"/>
  <c r="AP74" i="4"/>
  <c r="AL74" i="4"/>
  <c r="AH74" i="4"/>
  <c r="AD74" i="4"/>
  <c r="Z74" i="4"/>
  <c r="V74" i="4"/>
  <c r="BF73" i="4"/>
  <c r="U44" i="4"/>
  <c r="AM42" i="4"/>
  <c r="AB36" i="4"/>
  <c r="AF36" i="4"/>
  <c r="AP36" i="4"/>
  <c r="BD36" i="4"/>
  <c r="Y36" i="4"/>
  <c r="AC36" i="4"/>
  <c r="AG36" i="4"/>
  <c r="AQ36" i="4"/>
  <c r="AK34" i="4"/>
  <c r="AS34" i="4"/>
  <c r="BE26" i="4"/>
  <c r="AE22" i="4"/>
  <c r="S22" i="4"/>
  <c r="AI22" i="4"/>
  <c r="BF36" i="4"/>
  <c r="AS44" i="4"/>
  <c r="BG38" i="4"/>
  <c r="V32" i="4"/>
  <c r="BE16" i="4"/>
  <c r="AX34" i="4"/>
  <c r="AP34" i="4"/>
  <c r="AH34" i="4"/>
  <c r="Z34" i="4"/>
  <c r="R34" i="4"/>
  <c r="BE34" i="4"/>
  <c r="AW34" i="4"/>
  <c r="AO34" i="4"/>
  <c r="AG34" i="4"/>
  <c r="Y34" i="4"/>
  <c r="Q34" i="4"/>
  <c r="BB34" i="4"/>
  <c r="AT34" i="4"/>
  <c r="AL34" i="4"/>
  <c r="AD34" i="4"/>
  <c r="AT32" i="4"/>
  <c r="AD32" i="4"/>
  <c r="AP32" i="4"/>
  <c r="Z32" i="4"/>
  <c r="BB32" i="4"/>
  <c r="AL32" i="4"/>
  <c r="R128" i="4"/>
  <c r="V128" i="4"/>
  <c r="Z128" i="4"/>
  <c r="AD128" i="4"/>
  <c r="AH128" i="4"/>
  <c r="AL128" i="4"/>
  <c r="AP128" i="4"/>
  <c r="R126" i="4"/>
  <c r="U126" i="4"/>
  <c r="AK126" i="4"/>
  <c r="BA126" i="4"/>
  <c r="AW117" i="4"/>
  <c r="BA117" i="4"/>
  <c r="BE117" i="4"/>
  <c r="AU117" i="4"/>
  <c r="BD113" i="4"/>
  <c r="BB113" i="4"/>
  <c r="BB107" i="4"/>
  <c r="BD107" i="4"/>
  <c r="BC105" i="4"/>
  <c r="BA105" i="4"/>
  <c r="BE105" i="4"/>
  <c r="Q103" i="4"/>
  <c r="U103" i="4"/>
  <c r="Y103" i="4"/>
  <c r="AC103" i="4"/>
  <c r="AG103" i="4"/>
  <c r="AK103" i="4"/>
  <c r="AO103" i="4"/>
  <c r="AS103" i="4"/>
  <c r="AW103" i="4"/>
  <c r="BA103" i="4"/>
  <c r="BE103" i="4"/>
  <c r="S103" i="4"/>
  <c r="W103" i="4"/>
  <c r="AA103" i="4"/>
  <c r="AE103" i="4"/>
  <c r="AI103" i="4"/>
  <c r="AM103" i="4"/>
  <c r="AQ103" i="4"/>
  <c r="AU103" i="4"/>
  <c r="AY103" i="4"/>
  <c r="BC103" i="4"/>
  <c r="R101" i="4"/>
  <c r="V101" i="4"/>
  <c r="Z101" i="4"/>
  <c r="AD101" i="4"/>
  <c r="AH101" i="4"/>
  <c r="AL101" i="4"/>
  <c r="AP101" i="4"/>
  <c r="AT101" i="4"/>
  <c r="AX101" i="4"/>
  <c r="BB101" i="4"/>
  <c r="T101" i="4"/>
  <c r="X101" i="4"/>
  <c r="AB101" i="4"/>
  <c r="AF101" i="4"/>
  <c r="AJ101" i="4"/>
  <c r="AN101" i="4"/>
  <c r="AR101" i="4"/>
  <c r="AV101" i="4"/>
  <c r="AZ101" i="4"/>
  <c r="BD101" i="4"/>
  <c r="AL84" i="4"/>
  <c r="AP84" i="4"/>
  <c r="AT84" i="4"/>
  <c r="AX84" i="4"/>
  <c r="BB84" i="4"/>
  <c r="AI84" i="4"/>
  <c r="AM84" i="4"/>
  <c r="AQ84" i="4"/>
  <c r="AU84" i="4"/>
  <c r="AY84" i="4"/>
  <c r="BC84" i="4"/>
  <c r="AJ84" i="4"/>
  <c r="AN84" i="4"/>
  <c r="AR84" i="4"/>
  <c r="AV84" i="4"/>
  <c r="AZ84" i="4"/>
  <c r="BD84" i="4"/>
  <c r="AI82" i="4"/>
  <c r="AM82" i="4"/>
  <c r="AQ82" i="4"/>
  <c r="AU82" i="4"/>
  <c r="AY82" i="4"/>
  <c r="BC82" i="4"/>
  <c r="AJ82" i="4"/>
  <c r="AN82" i="4"/>
  <c r="AR82" i="4"/>
  <c r="AV82" i="4"/>
  <c r="AZ82" i="4"/>
  <c r="BD82" i="4"/>
  <c r="AG82" i="4"/>
  <c r="AK82" i="4"/>
  <c r="AO82" i="4"/>
  <c r="AS82" i="4"/>
  <c r="AW82" i="4"/>
  <c r="BA82" i="4"/>
  <c r="BE82" i="4"/>
  <c r="T64" i="4"/>
  <c r="X64" i="4"/>
  <c r="AB64" i="4"/>
  <c r="AF64" i="4"/>
  <c r="AJ64" i="4"/>
  <c r="AN64" i="4"/>
  <c r="AR64" i="4"/>
  <c r="AV64" i="4"/>
  <c r="AZ64" i="4"/>
  <c r="BD64" i="4"/>
  <c r="Q64" i="4"/>
  <c r="U64" i="4"/>
  <c r="Y64" i="4"/>
  <c r="AC64" i="4"/>
  <c r="AG64" i="4"/>
  <c r="AK64" i="4"/>
  <c r="AO64" i="4"/>
  <c r="AS64" i="4"/>
  <c r="AW64" i="4"/>
  <c r="BA64" i="4"/>
  <c r="BE64" i="4"/>
  <c r="R64" i="4"/>
  <c r="V64" i="4"/>
  <c r="Z64" i="4"/>
  <c r="AD64" i="4"/>
  <c r="AH64" i="4"/>
  <c r="AL64" i="4"/>
  <c r="AP64" i="4"/>
  <c r="AT64" i="4"/>
  <c r="AX64" i="4"/>
  <c r="BB64" i="4"/>
  <c r="R62" i="4"/>
  <c r="V62" i="4"/>
  <c r="Z62" i="4"/>
  <c r="AD62" i="4"/>
  <c r="AH62" i="4"/>
  <c r="AL62" i="4"/>
  <c r="AP62" i="4"/>
  <c r="AT62" i="4"/>
  <c r="AX62" i="4"/>
  <c r="BB62" i="4"/>
  <c r="S62" i="4"/>
  <c r="W62" i="4"/>
  <c r="AA62" i="4"/>
  <c r="AE62" i="4"/>
  <c r="AI62" i="4"/>
  <c r="AM62" i="4"/>
  <c r="AQ62" i="4"/>
  <c r="AU62" i="4"/>
  <c r="AY62" i="4"/>
  <c r="BC62" i="4"/>
  <c r="T62" i="4"/>
  <c r="X62" i="4"/>
  <c r="AB62" i="4"/>
  <c r="AF62" i="4"/>
  <c r="AJ62" i="4"/>
  <c r="AN62" i="4"/>
  <c r="AR62" i="4"/>
  <c r="AV62" i="4"/>
  <c r="AZ62" i="4"/>
  <c r="BD62" i="4"/>
  <c r="R51" i="4"/>
  <c r="V51" i="4"/>
  <c r="Z51" i="4"/>
  <c r="AD51" i="4"/>
  <c r="AH51" i="4"/>
  <c r="AL51" i="4"/>
  <c r="AP51" i="4"/>
  <c r="U51" i="4"/>
  <c r="AA51" i="4"/>
  <c r="AF51" i="4"/>
  <c r="AK51" i="4"/>
  <c r="AQ51" i="4"/>
  <c r="AU51" i="4"/>
  <c r="AY51" i="4"/>
  <c r="BC51" i="4"/>
  <c r="Q51" i="4"/>
  <c r="W51" i="4"/>
  <c r="AB51" i="4"/>
  <c r="AG51" i="4"/>
  <c r="AM51" i="4"/>
  <c r="AR51" i="4"/>
  <c r="AV51" i="4"/>
  <c r="AZ51" i="4"/>
  <c r="BD51" i="4"/>
  <c r="S51" i="4"/>
  <c r="X51" i="4"/>
  <c r="AC51" i="4"/>
  <c r="AI51" i="4"/>
  <c r="AN51" i="4"/>
  <c r="AS51" i="4"/>
  <c r="AW51" i="4"/>
  <c r="BA51" i="4"/>
  <c r="BE51" i="4"/>
  <c r="T49" i="4"/>
  <c r="X49" i="4"/>
  <c r="AB49" i="4"/>
  <c r="AF49" i="4"/>
  <c r="AJ49" i="4"/>
  <c r="AN49" i="4"/>
  <c r="AR49" i="4"/>
  <c r="AV49" i="4"/>
  <c r="AZ49" i="4"/>
  <c r="BD49" i="4"/>
  <c r="Q49" i="4"/>
  <c r="U49" i="4"/>
  <c r="Y49" i="4"/>
  <c r="AC49" i="4"/>
  <c r="AG49" i="4"/>
  <c r="AK49" i="4"/>
  <c r="AO49" i="4"/>
  <c r="AS49" i="4"/>
  <c r="AW49" i="4"/>
  <c r="BA49" i="4"/>
  <c r="BE49" i="4"/>
  <c r="S49" i="4"/>
  <c r="AA49" i="4"/>
  <c r="AI49" i="4"/>
  <c r="AQ49" i="4"/>
  <c r="AY49" i="4"/>
  <c r="V49" i="4"/>
  <c r="AD49" i="4"/>
  <c r="AL49" i="4"/>
  <c r="AT49" i="4"/>
  <c r="BB49" i="4"/>
  <c r="W49" i="4"/>
  <c r="AE49" i="4"/>
  <c r="AM49" i="4"/>
  <c r="AU49" i="4"/>
  <c r="BC49" i="4"/>
  <c r="T27" i="4"/>
  <c r="X27" i="4"/>
  <c r="AB27" i="4"/>
  <c r="AF27" i="4"/>
  <c r="AJ27" i="4"/>
  <c r="AN27" i="4"/>
  <c r="AR27" i="4"/>
  <c r="AV27" i="4"/>
  <c r="AZ27" i="4"/>
  <c r="Q27" i="4"/>
  <c r="U27" i="4"/>
  <c r="Y27" i="4"/>
  <c r="AC27" i="4"/>
  <c r="AG27" i="4"/>
  <c r="AK27" i="4"/>
  <c r="AO27" i="4"/>
  <c r="AS27" i="4"/>
  <c r="AW27" i="4"/>
  <c r="BC27" i="4"/>
  <c r="R27" i="4"/>
  <c r="V27" i="4"/>
  <c r="Z27" i="4"/>
  <c r="AD27" i="4"/>
  <c r="AH27" i="4"/>
  <c r="AL27" i="4"/>
  <c r="AP27" i="4"/>
  <c r="AT27" i="4"/>
  <c r="AX27" i="4"/>
  <c r="BD27" i="4"/>
  <c r="W27" i="4"/>
  <c r="AM27" i="4"/>
  <c r="AA27" i="4"/>
  <c r="AQ27" i="4"/>
  <c r="AE27" i="4"/>
  <c r="AU27" i="4"/>
  <c r="BB128" i="4"/>
  <c r="AX128" i="4"/>
  <c r="AT128" i="4"/>
  <c r="AO128" i="4"/>
  <c r="AJ128" i="4"/>
  <c r="AE128" i="4"/>
  <c r="Y128" i="4"/>
  <c r="T128" i="4"/>
  <c r="BE126" i="4"/>
  <c r="AG126" i="4"/>
  <c r="BB117" i="4"/>
  <c r="AV117" i="4"/>
  <c r="BD105" i="4"/>
  <c r="BB103" i="4"/>
  <c r="AT103" i="4"/>
  <c r="AL103" i="4"/>
  <c r="AD103" i="4"/>
  <c r="V103" i="4"/>
  <c r="BC101" i="4"/>
  <c r="AU101" i="4"/>
  <c r="AM101" i="4"/>
  <c r="AE101" i="4"/>
  <c r="W101" i="4"/>
  <c r="BA84" i="4"/>
  <c r="AK84" i="4"/>
  <c r="AX82" i="4"/>
  <c r="AH82" i="4"/>
  <c r="AQ64" i="4"/>
  <c r="AA64" i="4"/>
  <c r="BE62" i="4"/>
  <c r="AO62" i="4"/>
  <c r="Y62" i="4"/>
  <c r="AX51" i="4"/>
  <c r="AE51" i="4"/>
  <c r="Z49" i="4"/>
  <c r="BE107" i="4"/>
  <c r="BB105" i="4"/>
  <c r="AZ103" i="4"/>
  <c r="AR103" i="4"/>
  <c r="AJ103" i="4"/>
  <c r="AB103" i="4"/>
  <c r="T103" i="4"/>
  <c r="BA101" i="4"/>
  <c r="AS101" i="4"/>
  <c r="AK101" i="4"/>
  <c r="AC101" i="4"/>
  <c r="U101" i="4"/>
  <c r="AW84" i="4"/>
  <c r="AT82" i="4"/>
  <c r="BC64" i="4"/>
  <c r="AM64" i="4"/>
  <c r="W64" i="4"/>
  <c r="BA62" i="4"/>
  <c r="AK62" i="4"/>
  <c r="U62" i="4"/>
  <c r="AT51" i="4"/>
  <c r="Y51" i="4"/>
  <c r="AX49" i="4"/>
  <c r="R49" i="4"/>
  <c r="AY27" i="4"/>
  <c r="BD128" i="4"/>
  <c r="AZ128" i="4"/>
  <c r="AV128" i="4"/>
  <c r="AR128" i="4"/>
  <c r="AM128" i="4"/>
  <c r="AG128" i="4"/>
  <c r="AB128" i="4"/>
  <c r="W128" i="4"/>
  <c r="Q128" i="4"/>
  <c r="AS126" i="4"/>
  <c r="Y126" i="4"/>
  <c r="BD117" i="4"/>
  <c r="AY117" i="4"/>
  <c r="BC113" i="4"/>
  <c r="BC107" i="4"/>
  <c r="AX103" i="4"/>
  <c r="AP103" i="4"/>
  <c r="AH103" i="4"/>
  <c r="Z103" i="4"/>
  <c r="R103" i="4"/>
  <c r="AY101" i="4"/>
  <c r="AQ101" i="4"/>
  <c r="AI101" i="4"/>
  <c r="AA101" i="4"/>
  <c r="S101" i="4"/>
  <c r="AS84" i="4"/>
  <c r="AP82" i="4"/>
  <c r="AY64" i="4"/>
  <c r="AI64" i="4"/>
  <c r="S64" i="4"/>
  <c r="AW62" i="4"/>
  <c r="AG62" i="4"/>
  <c r="Q62" i="4"/>
  <c r="AO51" i="4"/>
  <c r="T51" i="4"/>
  <c r="AP49" i="4"/>
  <c r="AI27" i="4"/>
  <c r="AP38" i="4"/>
  <c r="AL38" i="4"/>
  <c r="AL36" i="4"/>
  <c r="AT36" i="4"/>
  <c r="BB36" i="4"/>
  <c r="AM36" i="4"/>
  <c r="AU36" i="4"/>
  <c r="BC36" i="4"/>
  <c r="S34" i="4"/>
  <c r="W34" i="4"/>
  <c r="AA34" i="4"/>
  <c r="AE34" i="4"/>
  <c r="AI34" i="4"/>
  <c r="AM34" i="4"/>
  <c r="AQ34" i="4"/>
  <c r="AU34" i="4"/>
  <c r="AY34" i="4"/>
  <c r="BC34" i="4"/>
  <c r="T34" i="4"/>
  <c r="X34" i="4"/>
  <c r="AB34" i="4"/>
  <c r="AF34" i="4"/>
  <c r="AJ34" i="4"/>
  <c r="AN34" i="4"/>
  <c r="AR34" i="4"/>
  <c r="AV34" i="4"/>
  <c r="AZ34" i="4"/>
  <c r="BD34" i="4"/>
  <c r="AO43" i="4"/>
  <c r="AS43" i="4"/>
  <c r="AW43" i="4"/>
  <c r="BA43" i="4"/>
  <c r="BE43" i="4"/>
  <c r="AP43" i="4"/>
  <c r="AT43" i="4"/>
  <c r="AX43" i="4"/>
  <c r="BB43" i="4"/>
  <c r="AS41" i="4"/>
  <c r="AW41" i="4"/>
  <c r="T39" i="4"/>
  <c r="X39" i="4"/>
  <c r="AB39" i="4"/>
  <c r="AF39" i="4"/>
  <c r="AJ39" i="4"/>
  <c r="AN39" i="4"/>
  <c r="AR39" i="4"/>
  <c r="AV39" i="4"/>
  <c r="AZ39" i="4"/>
  <c r="BD39" i="4"/>
  <c r="Q39" i="4"/>
  <c r="U39" i="4"/>
  <c r="Y39" i="4"/>
  <c r="AC39" i="4"/>
  <c r="AG39" i="4"/>
  <c r="AK39" i="4"/>
  <c r="AO39" i="4"/>
  <c r="AS39" i="4"/>
  <c r="AW39" i="4"/>
  <c r="BA39" i="4"/>
  <c r="BE39" i="4"/>
  <c r="AQ21" i="4"/>
  <c r="AU21" i="4"/>
  <c r="AY21" i="4"/>
  <c r="AW48" i="4"/>
  <c r="BA48" i="4"/>
  <c r="AU46" i="4"/>
  <c r="AY46" i="4"/>
  <c r="BC46" i="4"/>
  <c r="AV46" i="4"/>
  <c r="AZ46" i="4"/>
  <c r="BD46" i="4"/>
  <c r="R44" i="4"/>
  <c r="V44" i="4"/>
  <c r="Z44" i="4"/>
  <c r="AD44" i="4"/>
  <c r="AW44" i="4"/>
  <c r="S44" i="4"/>
  <c r="W44" i="4"/>
  <c r="AA44" i="4"/>
  <c r="AE44" i="4"/>
  <c r="AY24" i="4"/>
  <c r="BC24" i="4"/>
  <c r="T22" i="4"/>
  <c r="X22" i="4"/>
  <c r="AB22" i="4"/>
  <c r="AF22" i="4"/>
  <c r="AJ22" i="4"/>
  <c r="AN22" i="4"/>
  <c r="AX22" i="4"/>
  <c r="Q22" i="4"/>
  <c r="U22" i="4"/>
  <c r="Y22" i="4"/>
  <c r="AC22" i="4"/>
  <c r="AG22" i="4"/>
  <c r="AK22" i="4"/>
  <c r="AO22" i="4"/>
  <c r="BB22" i="4"/>
  <c r="R22" i="4"/>
  <c r="V22" i="4"/>
  <c r="Z22" i="4"/>
  <c r="AD22" i="4"/>
  <c r="AH22" i="4"/>
  <c r="AL22" i="4"/>
  <c r="AP22" i="4"/>
  <c r="AZ40" i="4"/>
  <c r="BD63" i="4"/>
  <c r="AZ63" i="4"/>
  <c r="AV63" i="4"/>
  <c r="BD61" i="4"/>
  <c r="AZ61" i="4"/>
  <c r="AV61" i="4"/>
  <c r="AR61" i="4"/>
  <c r="AN61" i="4"/>
  <c r="AJ61" i="4"/>
  <c r="AF61" i="4"/>
  <c r="AB61" i="4"/>
  <c r="X61" i="4"/>
  <c r="T61" i="4"/>
  <c r="BC50" i="4"/>
  <c r="AY50" i="4"/>
  <c r="BD48" i="4"/>
  <c r="AZ48" i="4"/>
  <c r="AV48" i="4"/>
  <c r="AR48" i="4"/>
  <c r="AN48" i="4"/>
  <c r="AI48" i="4"/>
  <c r="AD48" i="4"/>
  <c r="X48" i="4"/>
  <c r="S48" i="4"/>
  <c r="AR40" i="4"/>
  <c r="AX38" i="4"/>
  <c r="AL41" i="4"/>
  <c r="AP41" i="4"/>
  <c r="AT41" i="4"/>
  <c r="AX41" i="4"/>
  <c r="BB41" i="4"/>
  <c r="AM41" i="4"/>
  <c r="AQ41" i="4"/>
  <c r="AU41" i="4"/>
  <c r="AY41" i="4"/>
  <c r="BC41" i="4"/>
  <c r="AN41" i="4"/>
  <c r="AR41" i="4"/>
  <c r="AV41" i="4"/>
  <c r="AZ41" i="4"/>
  <c r="BD41" i="4"/>
  <c r="BE93" i="4"/>
  <c r="BA93" i="4"/>
  <c r="AW93" i="4"/>
  <c r="AS93" i="4"/>
  <c r="AO93" i="4"/>
  <c r="BB91" i="4"/>
  <c r="AX91" i="4"/>
  <c r="AT91" i="4"/>
  <c r="AP91" i="4"/>
  <c r="AL91" i="4"/>
  <c r="AH91" i="4"/>
  <c r="AD91" i="4"/>
  <c r="Z91" i="4"/>
  <c r="V91" i="4"/>
  <c r="BE77" i="4"/>
  <c r="BA77" i="4"/>
  <c r="AW77" i="4"/>
  <c r="AS77" i="4"/>
  <c r="AO77" i="4"/>
  <c r="AK77" i="4"/>
  <c r="BC75" i="4"/>
  <c r="AY75" i="4"/>
  <c r="AU75" i="4"/>
  <c r="AQ75" i="4"/>
  <c r="AM75" i="4"/>
  <c r="AI75" i="4"/>
  <c r="AE75" i="4"/>
  <c r="AA75" i="4"/>
  <c r="W75" i="4"/>
  <c r="S75" i="4"/>
  <c r="BF75" i="4" s="1"/>
  <c r="BC63" i="4"/>
  <c r="AY63" i="4"/>
  <c r="BC61" i="4"/>
  <c r="AY61" i="4"/>
  <c r="AU61" i="4"/>
  <c r="AQ61" i="4"/>
  <c r="AM61" i="4"/>
  <c r="AI61" i="4"/>
  <c r="AE61" i="4"/>
  <c r="AA61" i="4"/>
  <c r="W61" i="4"/>
  <c r="S61" i="4"/>
  <c r="BB50" i="4"/>
  <c r="AX50" i="4"/>
  <c r="BC48" i="4"/>
  <c r="AY48" i="4"/>
  <c r="AU48" i="4"/>
  <c r="AQ48" i="4"/>
  <c r="AM48" i="4"/>
  <c r="AH48" i="4"/>
  <c r="AB48" i="4"/>
  <c r="W48" i="4"/>
  <c r="R48" i="4"/>
  <c r="BE41" i="4"/>
  <c r="AO41" i="4"/>
  <c r="BD40" i="4"/>
  <c r="AN40" i="4"/>
  <c r="AT38" i="4"/>
  <c r="T42" i="4"/>
  <c r="X42" i="4"/>
  <c r="AB42" i="4"/>
  <c r="AF42" i="4"/>
  <c r="AJ42" i="4"/>
  <c r="AN42" i="4"/>
  <c r="AR42" i="4"/>
  <c r="AV42" i="4"/>
  <c r="AZ42" i="4"/>
  <c r="BD42" i="4"/>
  <c r="Q42" i="4"/>
  <c r="U42" i="4"/>
  <c r="Y42" i="4"/>
  <c r="AC42" i="4"/>
  <c r="AG42" i="4"/>
  <c r="AK42" i="4"/>
  <c r="AO42" i="4"/>
  <c r="AS42" i="4"/>
  <c r="AW42" i="4"/>
  <c r="BA42" i="4"/>
  <c r="BE42" i="4"/>
  <c r="R42" i="4"/>
  <c r="V42" i="4"/>
  <c r="Z42" i="4"/>
  <c r="AD42" i="4"/>
  <c r="AH42" i="4"/>
  <c r="AL42" i="4"/>
  <c r="AP42" i="4"/>
  <c r="AT42" i="4"/>
  <c r="AX42" i="4"/>
  <c r="BB42" i="4"/>
  <c r="S32" i="4"/>
  <c r="W32" i="4"/>
  <c r="AA32" i="4"/>
  <c r="AE32" i="4"/>
  <c r="AI32" i="4"/>
  <c r="AM32" i="4"/>
  <c r="AQ32" i="4"/>
  <c r="AU32" i="4"/>
  <c r="AY32" i="4"/>
  <c r="BC32" i="4"/>
  <c r="T32" i="4"/>
  <c r="X32" i="4"/>
  <c r="AB32" i="4"/>
  <c r="AF32" i="4"/>
  <c r="AJ32" i="4"/>
  <c r="AN32" i="4"/>
  <c r="AR32" i="4"/>
  <c r="AV32" i="4"/>
  <c r="AZ32" i="4"/>
  <c r="BD32" i="4"/>
  <c r="Q32" i="4"/>
  <c r="U32" i="4"/>
  <c r="Y32" i="4"/>
  <c r="AC32" i="4"/>
  <c r="AG32" i="4"/>
  <c r="AK32" i="4"/>
  <c r="AO32" i="4"/>
  <c r="AS32" i="4"/>
  <c r="AW32" i="4"/>
  <c r="BA32" i="4"/>
  <c r="BE32" i="4"/>
  <c r="AQ22" i="4"/>
  <c r="AU22" i="4"/>
  <c r="AY22" i="4"/>
  <c r="BC22" i="4"/>
  <c r="AR22" i="4"/>
  <c r="AV22" i="4"/>
  <c r="AZ22" i="4"/>
  <c r="BD22" i="4"/>
  <c r="AS22" i="4"/>
  <c r="AW22" i="4"/>
  <c r="BA22" i="4"/>
  <c r="BE22" i="4"/>
  <c r="BD77" i="4"/>
  <c r="AZ77" i="4"/>
  <c r="AV77" i="4"/>
  <c r="AR77" i="4"/>
  <c r="AN77" i="4"/>
  <c r="BB75" i="4"/>
  <c r="AX75" i="4"/>
  <c r="AT75" i="4"/>
  <c r="AP75" i="4"/>
  <c r="AL75" i="4"/>
  <c r="AH75" i="4"/>
  <c r="AD75" i="4"/>
  <c r="Z75" i="4"/>
  <c r="V75" i="4"/>
  <c r="BB63" i="4"/>
  <c r="BB61" i="4"/>
  <c r="AX61" i="4"/>
  <c r="AT61" i="4"/>
  <c r="AP61" i="4"/>
  <c r="AL61" i="4"/>
  <c r="AH61" i="4"/>
  <c r="AD61" i="4"/>
  <c r="Z61" i="4"/>
  <c r="V61" i="4"/>
  <c r="BE50" i="4"/>
  <c r="BB48" i="4"/>
  <c r="AX48" i="4"/>
  <c r="AT48" i="4"/>
  <c r="AP48" i="4"/>
  <c r="AL48" i="4"/>
  <c r="AF48" i="4"/>
  <c r="AA48" i="4"/>
  <c r="W86" i="4"/>
  <c r="AO37" i="4"/>
  <c r="AU37" i="4"/>
  <c r="AZ37" i="4"/>
  <c r="BE37" i="4"/>
  <c r="AK37" i="4"/>
  <c r="AQ37" i="4"/>
  <c r="AV37" i="4"/>
  <c r="BA37" i="4"/>
  <c r="AM37" i="4"/>
  <c r="AR37" i="4"/>
  <c r="AW37" i="4"/>
  <c r="BC37" i="4"/>
  <c r="T35" i="4"/>
  <c r="X35" i="4"/>
  <c r="AB35" i="4"/>
  <c r="AF35" i="4"/>
  <c r="AJ35" i="4"/>
  <c r="AN35" i="4"/>
  <c r="AR35" i="4"/>
  <c r="AV35" i="4"/>
  <c r="AZ35" i="4"/>
  <c r="Q35" i="4"/>
  <c r="U35" i="4"/>
  <c r="Y35" i="4"/>
  <c r="AC35" i="4"/>
  <c r="AG35" i="4"/>
  <c r="AK35" i="4"/>
  <c r="AO35" i="4"/>
  <c r="AS35" i="4"/>
  <c r="AW35" i="4"/>
  <c r="BA35" i="4"/>
  <c r="R35" i="4"/>
  <c r="V35" i="4"/>
  <c r="Z35" i="4"/>
  <c r="AD35" i="4"/>
  <c r="AH35" i="4"/>
  <c r="AL35" i="4"/>
  <c r="AP35" i="4"/>
  <c r="AT35" i="4"/>
  <c r="AX35" i="4"/>
  <c r="BB35" i="4"/>
  <c r="T23" i="4"/>
  <c r="X23" i="4"/>
  <c r="AB23" i="4"/>
  <c r="AF23" i="4"/>
  <c r="AP23" i="4"/>
  <c r="Q23" i="4"/>
  <c r="U23" i="4"/>
  <c r="Y23" i="4"/>
  <c r="AC23" i="4"/>
  <c r="AG23" i="4"/>
  <c r="AT23" i="4"/>
  <c r="R23" i="4"/>
  <c r="V23" i="4"/>
  <c r="Z23" i="4"/>
  <c r="AD23" i="4"/>
  <c r="AH23" i="4"/>
  <c r="AX23" i="4"/>
  <c r="Q48" i="4"/>
  <c r="U48" i="4"/>
  <c r="Y48" i="4"/>
  <c r="AC48" i="4"/>
  <c r="AG48" i="4"/>
  <c r="AK48" i="4"/>
  <c r="AK40" i="4"/>
  <c r="AO40" i="4"/>
  <c r="AS40" i="4"/>
  <c r="AW40" i="4"/>
  <c r="BA40" i="4"/>
  <c r="BE40" i="4"/>
  <c r="AL40" i="4"/>
  <c r="AP40" i="4"/>
  <c r="AT40" i="4"/>
  <c r="AX40" i="4"/>
  <c r="BB40" i="4"/>
  <c r="AM40" i="4"/>
  <c r="AQ40" i="4"/>
  <c r="AU40" i="4"/>
  <c r="AY40" i="4"/>
  <c r="BC40" i="4"/>
  <c r="AM38" i="4"/>
  <c r="AQ38" i="4"/>
  <c r="AU38" i="4"/>
  <c r="AY38" i="4"/>
  <c r="BC38" i="4"/>
  <c r="AN38" i="4"/>
  <c r="AR38" i="4"/>
  <c r="AV38" i="4"/>
  <c r="AZ38" i="4"/>
  <c r="BD38" i="4"/>
  <c r="AK38" i="4"/>
  <c r="AO38" i="4"/>
  <c r="AS38" i="4"/>
  <c r="AW38" i="4"/>
  <c r="BA38" i="4"/>
  <c r="BE38" i="4"/>
  <c r="Q102" i="4"/>
  <c r="U102" i="4"/>
  <c r="Y102" i="4"/>
  <c r="AC102" i="4"/>
  <c r="AG102" i="4"/>
  <c r="AK102" i="4"/>
  <c r="AO102" i="4"/>
  <c r="AS102" i="4"/>
  <c r="AW102" i="4"/>
  <c r="BA102" i="4"/>
  <c r="BE102" i="4"/>
  <c r="R102" i="4"/>
  <c r="V102" i="4"/>
  <c r="Z102" i="4"/>
  <c r="AD102" i="4"/>
  <c r="AH102" i="4"/>
  <c r="AL102" i="4"/>
  <c r="AP102" i="4"/>
  <c r="AT102" i="4"/>
  <c r="AX102" i="4"/>
  <c r="BB102" i="4"/>
  <c r="R78" i="4"/>
  <c r="V78" i="4"/>
  <c r="Z78" i="4"/>
  <c r="AD78" i="4"/>
  <c r="AH78" i="4"/>
  <c r="AL78" i="4"/>
  <c r="AP78" i="4"/>
  <c r="AT78" i="4"/>
  <c r="AX78" i="4"/>
  <c r="BB78" i="4"/>
  <c r="S78" i="4"/>
  <c r="W78" i="4"/>
  <c r="AA78" i="4"/>
  <c r="AE78" i="4"/>
  <c r="AI78" i="4"/>
  <c r="AM78" i="4"/>
  <c r="AQ78" i="4"/>
  <c r="AU78" i="4"/>
  <c r="AY78" i="4"/>
  <c r="BC78" i="4"/>
  <c r="T78" i="4"/>
  <c r="X78" i="4"/>
  <c r="AB78" i="4"/>
  <c r="AF78" i="4"/>
  <c r="AJ78" i="4"/>
  <c r="AN78" i="4"/>
  <c r="AR78" i="4"/>
  <c r="AV78" i="4"/>
  <c r="AZ78" i="4"/>
  <c r="BD78" i="4"/>
  <c r="T70" i="4"/>
  <c r="X70" i="4"/>
  <c r="AB70" i="4"/>
  <c r="AF70" i="4"/>
  <c r="AJ70" i="4"/>
  <c r="AN70" i="4"/>
  <c r="AR70" i="4"/>
  <c r="AV70" i="4"/>
  <c r="AZ70" i="4"/>
  <c r="BD70" i="4"/>
  <c r="Q70" i="4"/>
  <c r="U70" i="4"/>
  <c r="Y70" i="4"/>
  <c r="AC70" i="4"/>
  <c r="AG70" i="4"/>
  <c r="AK70" i="4"/>
  <c r="AO70" i="4"/>
  <c r="AS70" i="4"/>
  <c r="AW70" i="4"/>
  <c r="BA70" i="4"/>
  <c r="BE70" i="4"/>
  <c r="R70" i="4"/>
  <c r="V70" i="4"/>
  <c r="Z70" i="4"/>
  <c r="AD70" i="4"/>
  <c r="AH70" i="4"/>
  <c r="AL70" i="4"/>
  <c r="AP70" i="4"/>
  <c r="AT70" i="4"/>
  <c r="AX70" i="4"/>
  <c r="BB70" i="4"/>
  <c r="S45" i="4"/>
  <c r="W45" i="4"/>
  <c r="AA45" i="4"/>
  <c r="AE45" i="4"/>
  <c r="AI45" i="4"/>
  <c r="AM45" i="4"/>
  <c r="AQ45" i="4"/>
  <c r="AU45" i="4"/>
  <c r="AY45" i="4"/>
  <c r="BC45" i="4"/>
  <c r="T45" i="4"/>
  <c r="X45" i="4"/>
  <c r="AB45" i="4"/>
  <c r="AF45" i="4"/>
  <c r="AJ45" i="4"/>
  <c r="AN45" i="4"/>
  <c r="AR45" i="4"/>
  <c r="AV45" i="4"/>
  <c r="AZ45" i="4"/>
  <c r="BD45" i="4"/>
  <c r="Q45" i="4"/>
  <c r="U45" i="4"/>
  <c r="Y45" i="4"/>
  <c r="AC45" i="4"/>
  <c r="AG45" i="4"/>
  <c r="AK45" i="4"/>
  <c r="AO45" i="4"/>
  <c r="AS45" i="4"/>
  <c r="AW45" i="4"/>
  <c r="BA45" i="4"/>
  <c r="BE45" i="4"/>
  <c r="AJ16" i="4"/>
  <c r="AN16" i="4"/>
  <c r="AR16" i="4"/>
  <c r="AV16" i="4"/>
  <c r="AZ16" i="4"/>
  <c r="BD16" i="4"/>
  <c r="R17" i="4"/>
  <c r="V17" i="4"/>
  <c r="Z17" i="4"/>
  <c r="AD17" i="4"/>
  <c r="AH17" i="4"/>
  <c r="AL17" i="4"/>
  <c r="AP17" i="4"/>
  <c r="AT17" i="4"/>
  <c r="AX17" i="4"/>
  <c r="BB17" i="4"/>
  <c r="BD134" i="4"/>
  <c r="AZ134" i="4"/>
  <c r="AV134" i="4"/>
  <c r="AR134" i="4"/>
  <c r="AN134" i="4"/>
  <c r="AJ134" i="4"/>
  <c r="AF134" i="4"/>
  <c r="AB134" i="4"/>
  <c r="X134" i="4"/>
  <c r="T134" i="4"/>
  <c r="BD126" i="4"/>
  <c r="AZ126" i="4"/>
  <c r="AV126" i="4"/>
  <c r="AR126" i="4"/>
  <c r="AN126" i="4"/>
  <c r="AJ126" i="4"/>
  <c r="AF126" i="4"/>
  <c r="AB126" i="4"/>
  <c r="X126" i="4"/>
  <c r="T126" i="4"/>
  <c r="BD118" i="4"/>
  <c r="AZ118" i="4"/>
  <c r="AV118" i="4"/>
  <c r="AR118" i="4"/>
  <c r="AN118" i="4"/>
  <c r="AJ118" i="4"/>
  <c r="AF118" i="4"/>
  <c r="AB118" i="4"/>
  <c r="X118" i="4"/>
  <c r="T118" i="4"/>
  <c r="BD110" i="4"/>
  <c r="AV110" i="4"/>
  <c r="AN110" i="4"/>
  <c r="AF110" i="4"/>
  <c r="BC102" i="4"/>
  <c r="AU102" i="4"/>
  <c r="AM102" i="4"/>
  <c r="AE102" i="4"/>
  <c r="W102" i="4"/>
  <c r="AZ94" i="4"/>
  <c r="AN94" i="4"/>
  <c r="BC86" i="4"/>
  <c r="AM86" i="4"/>
  <c r="BA78" i="4"/>
  <c r="AK78" i="4"/>
  <c r="U78" i="4"/>
  <c r="AY70" i="4"/>
  <c r="AI70" i="4"/>
  <c r="S70" i="4"/>
  <c r="AP45" i="4"/>
  <c r="Z45" i="4"/>
  <c r="Q110" i="4"/>
  <c r="U110" i="4"/>
  <c r="Y110" i="4"/>
  <c r="AC110" i="4"/>
  <c r="AG110" i="4"/>
  <c r="AK110" i="4"/>
  <c r="AO110" i="4"/>
  <c r="AS110" i="4"/>
  <c r="AW110" i="4"/>
  <c r="BA110" i="4"/>
  <c r="R110" i="4"/>
  <c r="V110" i="4"/>
  <c r="Z110" i="4"/>
  <c r="AD110" i="4"/>
  <c r="AH110" i="4"/>
  <c r="AL110" i="4"/>
  <c r="AP110" i="4"/>
  <c r="AT110" i="4"/>
  <c r="AX110" i="4"/>
  <c r="BB110" i="4"/>
  <c r="Q94" i="4"/>
  <c r="U94" i="4"/>
  <c r="Y94" i="4"/>
  <c r="AC94" i="4"/>
  <c r="AG94" i="4"/>
  <c r="AK94" i="4"/>
  <c r="AO94" i="4"/>
  <c r="AS94" i="4"/>
  <c r="AW94" i="4"/>
  <c r="BA94" i="4"/>
  <c r="BE94" i="4"/>
  <c r="R94" i="4"/>
  <c r="V94" i="4"/>
  <c r="Z94" i="4"/>
  <c r="AD94" i="4"/>
  <c r="AH94" i="4"/>
  <c r="AL94" i="4"/>
  <c r="AP94" i="4"/>
  <c r="AT94" i="4"/>
  <c r="AX94" i="4"/>
  <c r="BB94" i="4"/>
  <c r="S94" i="4"/>
  <c r="W94" i="4"/>
  <c r="AA94" i="4"/>
  <c r="AE94" i="4"/>
  <c r="AI94" i="4"/>
  <c r="AM94" i="4"/>
  <c r="AQ94" i="4"/>
  <c r="AU94" i="4"/>
  <c r="T86" i="4"/>
  <c r="X86" i="4"/>
  <c r="AB86" i="4"/>
  <c r="AF86" i="4"/>
  <c r="AJ86" i="4"/>
  <c r="AN86" i="4"/>
  <c r="AR86" i="4"/>
  <c r="AV86" i="4"/>
  <c r="AZ86" i="4"/>
  <c r="BD86" i="4"/>
  <c r="Q86" i="4"/>
  <c r="U86" i="4"/>
  <c r="Y86" i="4"/>
  <c r="AC86" i="4"/>
  <c r="AG86" i="4"/>
  <c r="AK86" i="4"/>
  <c r="AO86" i="4"/>
  <c r="AS86" i="4"/>
  <c r="AW86" i="4"/>
  <c r="BA86" i="4"/>
  <c r="BE86" i="4"/>
  <c r="R86" i="4"/>
  <c r="V86" i="4"/>
  <c r="Z86" i="4"/>
  <c r="AD86" i="4"/>
  <c r="AH86" i="4"/>
  <c r="AL86" i="4"/>
  <c r="AP86" i="4"/>
  <c r="AT86" i="4"/>
  <c r="AX86" i="4"/>
  <c r="BB86" i="4"/>
  <c r="AH47" i="4"/>
  <c r="AL47" i="4"/>
  <c r="AP47" i="4"/>
  <c r="AT47" i="4"/>
  <c r="AX47" i="4"/>
  <c r="BB47" i="4"/>
  <c r="AI47" i="4"/>
  <c r="AM47" i="4"/>
  <c r="AQ47" i="4"/>
  <c r="AU47" i="4"/>
  <c r="AY47" i="4"/>
  <c r="BC47" i="4"/>
  <c r="AJ47" i="4"/>
  <c r="AN47" i="4"/>
  <c r="AR47" i="4"/>
  <c r="AV47" i="4"/>
  <c r="AZ47" i="4"/>
  <c r="BD47" i="4"/>
  <c r="AH44" i="4"/>
  <c r="AL44" i="4"/>
  <c r="AP44" i="4"/>
  <c r="AT44" i="4"/>
  <c r="AX44" i="4"/>
  <c r="BB44" i="4"/>
  <c r="AI44" i="4"/>
  <c r="AM44" i="4"/>
  <c r="AQ44" i="4"/>
  <c r="AU44" i="4"/>
  <c r="AY44" i="4"/>
  <c r="BC44" i="4"/>
  <c r="AJ44" i="4"/>
  <c r="AN44" i="4"/>
  <c r="AR44" i="4"/>
  <c r="AV44" i="4"/>
  <c r="AZ44" i="4"/>
  <c r="BD44" i="4"/>
  <c r="AK16" i="4"/>
  <c r="AO16" i="4"/>
  <c r="AS16" i="4"/>
  <c r="AW16" i="4"/>
  <c r="BA16" i="4"/>
  <c r="S17" i="4"/>
  <c r="W17" i="4"/>
  <c r="AA17" i="4"/>
  <c r="AE17" i="4"/>
  <c r="AI17" i="4"/>
  <c r="AM17" i="4"/>
  <c r="AQ17" i="4"/>
  <c r="AU17" i="4"/>
  <c r="AY17" i="4"/>
  <c r="BC134" i="4"/>
  <c r="AY134" i="4"/>
  <c r="AU134" i="4"/>
  <c r="AQ134" i="4"/>
  <c r="AM134" i="4"/>
  <c r="AI134" i="4"/>
  <c r="AE134" i="4"/>
  <c r="AA134" i="4"/>
  <c r="W134" i="4"/>
  <c r="S134" i="4"/>
  <c r="BC126" i="4"/>
  <c r="AY126" i="4"/>
  <c r="AU126" i="4"/>
  <c r="AQ126" i="4"/>
  <c r="AM126" i="4"/>
  <c r="AI126" i="4"/>
  <c r="AE126" i="4"/>
  <c r="AA126" i="4"/>
  <c r="W126" i="4"/>
  <c r="S126" i="4"/>
  <c r="BC118" i="4"/>
  <c r="AY118" i="4"/>
  <c r="AU118" i="4"/>
  <c r="AQ118" i="4"/>
  <c r="AM118" i="4"/>
  <c r="AI118" i="4"/>
  <c r="AE118" i="4"/>
  <c r="AA118" i="4"/>
  <c r="W118" i="4"/>
  <c r="S118" i="4"/>
  <c r="BC110" i="4"/>
  <c r="AU110" i="4"/>
  <c r="AM110" i="4"/>
  <c r="AE110" i="4"/>
  <c r="W110" i="4"/>
  <c r="AZ102" i="4"/>
  <c r="AR102" i="4"/>
  <c r="AJ102" i="4"/>
  <c r="AB102" i="4"/>
  <c r="T102" i="4"/>
  <c r="AY94" i="4"/>
  <c r="AJ94" i="4"/>
  <c r="T94" i="4"/>
  <c r="AY86" i="4"/>
  <c r="AI86" i="4"/>
  <c r="S86" i="4"/>
  <c r="AW78" i="4"/>
  <c r="AG78" i="4"/>
  <c r="Q78" i="4"/>
  <c r="AU70" i="4"/>
  <c r="AE70" i="4"/>
  <c r="AS47" i="4"/>
  <c r="BB45" i="4"/>
  <c r="AL45" i="4"/>
  <c r="V45" i="4"/>
  <c r="BE44" i="4"/>
  <c r="AO44" i="4"/>
  <c r="BB134" i="4"/>
  <c r="AX134" i="4"/>
  <c r="AT134" i="4"/>
  <c r="AP134" i="4"/>
  <c r="AL134" i="4"/>
  <c r="AH134" i="4"/>
  <c r="AD134" i="4"/>
  <c r="Z134" i="4"/>
  <c r="V134" i="4"/>
  <c r="BB126" i="4"/>
  <c r="AX126" i="4"/>
  <c r="AT126" i="4"/>
  <c r="AP126" i="4"/>
  <c r="AL126" i="4"/>
  <c r="AH126" i="4"/>
  <c r="AD126" i="4"/>
  <c r="Z126" i="4"/>
  <c r="V126" i="4"/>
  <c r="BB118" i="4"/>
  <c r="AX118" i="4"/>
  <c r="AT118" i="4"/>
  <c r="AP118" i="4"/>
  <c r="AL118" i="4"/>
  <c r="AH118" i="4"/>
  <c r="AD118" i="4"/>
  <c r="Z118" i="4"/>
  <c r="V118" i="4"/>
  <c r="AZ110" i="4"/>
  <c r="AR110" i="4"/>
  <c r="AJ110" i="4"/>
  <c r="AB110" i="4"/>
  <c r="T110" i="4"/>
  <c r="AY102" i="4"/>
  <c r="AQ102" i="4"/>
  <c r="AI102" i="4"/>
  <c r="AA102" i="4"/>
  <c r="S102" i="4"/>
  <c r="BD94" i="4"/>
  <c r="AV94" i="4"/>
  <c r="AF94" i="4"/>
  <c r="AU86" i="4"/>
  <c r="AE86" i="4"/>
  <c r="AS78" i="4"/>
  <c r="AC78" i="4"/>
  <c r="AQ70" i="4"/>
  <c r="AA70" i="4"/>
  <c r="BE47" i="4"/>
  <c r="AO47" i="4"/>
  <c r="AX45" i="4"/>
  <c r="AH45" i="4"/>
  <c r="R45" i="4"/>
  <c r="BA44" i="4"/>
  <c r="AK44" i="4"/>
  <c r="BC35" i="4"/>
  <c r="BD35" i="4"/>
  <c r="T33" i="4"/>
  <c r="X33" i="4"/>
  <c r="AB33" i="4"/>
  <c r="AF33" i="4"/>
  <c r="AJ33" i="4"/>
  <c r="AN33" i="4"/>
  <c r="AR33" i="4"/>
  <c r="AV33" i="4"/>
  <c r="AZ33" i="4"/>
  <c r="BD33" i="4"/>
  <c r="Q33" i="4"/>
  <c r="U33" i="4"/>
  <c r="Y33" i="4"/>
  <c r="AC33" i="4"/>
  <c r="AG33" i="4"/>
  <c r="AK33" i="4"/>
  <c r="AO33" i="4"/>
  <c r="AS33" i="4"/>
  <c r="AW33" i="4"/>
  <c r="BA33" i="4"/>
  <c r="BE33" i="4"/>
  <c r="AI23" i="4"/>
  <c r="AM23" i="4"/>
  <c r="AQ23" i="4"/>
  <c r="AU23" i="4"/>
  <c r="AY23" i="4"/>
  <c r="BC23" i="4"/>
  <c r="AJ23" i="4"/>
  <c r="AN23" i="4"/>
  <c r="AR23" i="4"/>
  <c r="AV23" i="4"/>
  <c r="AZ23" i="4"/>
  <c r="BD23" i="4"/>
  <c r="AK23" i="4"/>
  <c r="AO23" i="4"/>
  <c r="AS23" i="4"/>
  <c r="AW23" i="4"/>
  <c r="BA23" i="4"/>
  <c r="BE23" i="4"/>
  <c r="T21" i="4"/>
  <c r="X21" i="4"/>
  <c r="AB21" i="4"/>
  <c r="AF21" i="4"/>
  <c r="AJ21" i="4"/>
  <c r="AN21" i="4"/>
  <c r="AR21" i="4"/>
  <c r="AV21" i="4"/>
  <c r="AZ21" i="4"/>
  <c r="BD21" i="4"/>
  <c r="Q21" i="4"/>
  <c r="U21" i="4"/>
  <c r="Y21" i="4"/>
  <c r="AC21" i="4"/>
  <c r="AG21" i="4"/>
  <c r="AK21" i="4"/>
  <c r="AO21" i="4"/>
  <c r="AS21" i="4"/>
  <c r="AW21" i="4"/>
  <c r="BA21" i="4"/>
  <c r="BE21" i="4"/>
  <c r="R21" i="4"/>
  <c r="V21" i="4"/>
  <c r="Z21" i="4"/>
  <c r="AD21" i="4"/>
  <c r="AH21" i="4"/>
  <c r="AL21" i="4"/>
  <c r="AP21" i="4"/>
  <c r="AT21" i="4"/>
  <c r="AX21" i="4"/>
  <c r="BB21" i="4"/>
  <c r="R37" i="4"/>
  <c r="V37" i="4"/>
  <c r="Z37" i="4"/>
  <c r="AD37" i="4"/>
  <c r="AH37" i="4"/>
  <c r="AL37" i="4"/>
  <c r="AP37" i="4"/>
  <c r="AT37" i="4"/>
  <c r="AX37" i="4"/>
  <c r="BB37" i="4"/>
  <c r="AJ36" i="4"/>
  <c r="AN36" i="4"/>
  <c r="AR36" i="4"/>
  <c r="AV36" i="4"/>
  <c r="AZ36" i="4"/>
  <c r="AK36" i="4"/>
  <c r="AO36" i="4"/>
  <c r="AS36" i="4"/>
  <c r="AW36" i="4"/>
  <c r="BA36" i="4"/>
  <c r="BE36" i="4"/>
  <c r="BA27" i="4"/>
  <c r="BE27" i="4"/>
  <c r="BB27" i="4"/>
  <c r="Q25" i="4"/>
  <c r="U25" i="4"/>
  <c r="Y25" i="4"/>
  <c r="AC25" i="4"/>
  <c r="AG25" i="4"/>
  <c r="AK25" i="4"/>
  <c r="AO25" i="4"/>
  <c r="AS25" i="4"/>
  <c r="AW25" i="4"/>
  <c r="BA25" i="4"/>
  <c r="BE25" i="4"/>
  <c r="R25" i="4"/>
  <c r="V25" i="4"/>
  <c r="Z25" i="4"/>
  <c r="AD25" i="4"/>
  <c r="AH25" i="4"/>
  <c r="AL25" i="4"/>
  <c r="AP25" i="4"/>
  <c r="AT25" i="4"/>
  <c r="AX25" i="4"/>
  <c r="BB25" i="4"/>
  <c r="S25" i="4"/>
  <c r="W25" i="4"/>
  <c r="AA25" i="4"/>
  <c r="AE25" i="4"/>
  <c r="AI25" i="4"/>
  <c r="AM25" i="4"/>
  <c r="AQ25" i="4"/>
  <c r="AU25" i="4"/>
  <c r="AY25" i="4"/>
  <c r="BC25" i="4"/>
  <c r="AJ24" i="4"/>
  <c r="AN24" i="4"/>
  <c r="AR24" i="4"/>
  <c r="AV24" i="4"/>
  <c r="AZ24" i="4"/>
  <c r="BD24" i="4"/>
  <c r="AK24" i="4"/>
  <c r="AO24" i="4"/>
  <c r="AS24" i="4"/>
  <c r="AW24" i="4"/>
  <c r="BA24" i="4"/>
  <c r="BE24" i="4"/>
  <c r="AH24" i="4"/>
  <c r="AL24" i="4"/>
  <c r="AP24" i="4"/>
  <c r="AT24" i="4"/>
  <c r="AX24" i="4"/>
  <c r="BB24" i="4"/>
  <c r="S29" i="4"/>
  <c r="W29" i="4"/>
  <c r="AA29" i="4"/>
  <c r="AE29" i="4"/>
  <c r="AI29" i="4"/>
  <c r="AM29" i="4"/>
  <c r="AQ29" i="4"/>
  <c r="AU29" i="4"/>
  <c r="AY29" i="4"/>
  <c r="BC29" i="4"/>
  <c r="T29" i="4"/>
  <c r="X29" i="4"/>
  <c r="AB29" i="4"/>
  <c r="AF29" i="4"/>
  <c r="AJ29" i="4"/>
  <c r="AN29" i="4"/>
  <c r="AR29" i="4"/>
  <c r="AV29" i="4"/>
  <c r="AZ29" i="4"/>
  <c r="BD29" i="4"/>
  <c r="BB28" i="4"/>
  <c r="BC28" i="4"/>
  <c r="P5" i="4"/>
  <c r="P2" i="4"/>
  <c r="O3" i="4"/>
  <c r="BB3" i="4" s="1"/>
  <c r="P4" i="4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BG87" i="4" l="1"/>
  <c r="BG82" i="4"/>
  <c r="BF30" i="4"/>
  <c r="BF120" i="4"/>
  <c r="BG114" i="4"/>
  <c r="BF139" i="4"/>
  <c r="BH88" i="4"/>
  <c r="BG90" i="4"/>
  <c r="BG106" i="4"/>
  <c r="BH141" i="4"/>
  <c r="BF128" i="4"/>
  <c r="BG31" i="4"/>
  <c r="BI57" i="4"/>
  <c r="BI79" i="4"/>
  <c r="BG89" i="4"/>
  <c r="BG56" i="4"/>
  <c r="BF43" i="4"/>
  <c r="BG47" i="4"/>
  <c r="BF53" i="4"/>
  <c r="BH53" i="4"/>
  <c r="BF41" i="4"/>
  <c r="BH56" i="4"/>
  <c r="BI53" i="4"/>
  <c r="BG58" i="4"/>
  <c r="BH58" i="4"/>
  <c r="BF58" i="4"/>
  <c r="BI66" i="4"/>
  <c r="BF66" i="4"/>
  <c r="BH66" i="4"/>
  <c r="BG68" i="4"/>
  <c r="BH68" i="4"/>
  <c r="BF68" i="4"/>
  <c r="BH72" i="4"/>
  <c r="BI72" i="4"/>
  <c r="BI74" i="4"/>
  <c r="BF74" i="4"/>
  <c r="BG15" i="4"/>
  <c r="BF13" i="4"/>
  <c r="BH10" i="4"/>
  <c r="BG10" i="4"/>
  <c r="BH8" i="4"/>
  <c r="BG122" i="4"/>
  <c r="BH124" i="4"/>
  <c r="BI19" i="4"/>
  <c r="BH19" i="4"/>
  <c r="BF19" i="4"/>
  <c r="BI13" i="4"/>
  <c r="BI60" i="4"/>
  <c r="BH122" i="4"/>
  <c r="BI122" i="4"/>
  <c r="BG124" i="4"/>
  <c r="BI124" i="4"/>
  <c r="BG130" i="4"/>
  <c r="BH130" i="4"/>
  <c r="BH132" i="4"/>
  <c r="BI132" i="4"/>
  <c r="BH15" i="4"/>
  <c r="BF15" i="4"/>
  <c r="BG13" i="4"/>
  <c r="BI12" i="4"/>
  <c r="BH12" i="4"/>
  <c r="BI10" i="4"/>
  <c r="BG8" i="4"/>
  <c r="BG6" i="4"/>
  <c r="BF47" i="4"/>
  <c r="BF56" i="4"/>
  <c r="BG60" i="4"/>
  <c r="BI76" i="4"/>
  <c r="BF76" i="4"/>
  <c r="BG76" i="4"/>
  <c r="BI80" i="4"/>
  <c r="BH80" i="4"/>
  <c r="BG84" i="4"/>
  <c r="BI88" i="4"/>
  <c r="BF88" i="4"/>
  <c r="BH90" i="4"/>
  <c r="BF90" i="4"/>
  <c r="BI92" i="4"/>
  <c r="BH92" i="4"/>
  <c r="BG92" i="4"/>
  <c r="BH96" i="4"/>
  <c r="BG96" i="4"/>
  <c r="BF96" i="4"/>
  <c r="BG98" i="4"/>
  <c r="BH98" i="4"/>
  <c r="BF98" i="4"/>
  <c r="BH100" i="4"/>
  <c r="BG100" i="4"/>
  <c r="BI100" i="4"/>
  <c r="BF104" i="4"/>
  <c r="BI104" i="4"/>
  <c r="BH104" i="4"/>
  <c r="BI106" i="4"/>
  <c r="BI108" i="4"/>
  <c r="BH108" i="4"/>
  <c r="BF108" i="4"/>
  <c r="BG108" i="4"/>
  <c r="BG112" i="4"/>
  <c r="BI112" i="4"/>
  <c r="BI114" i="4"/>
  <c r="BI116" i="4"/>
  <c r="BH116" i="4"/>
  <c r="BG116" i="4"/>
  <c r="BF116" i="4"/>
  <c r="BG120" i="4"/>
  <c r="BI120" i="4"/>
  <c r="BI141" i="4"/>
  <c r="BI139" i="4"/>
  <c r="U3" i="4"/>
  <c r="BH137" i="4"/>
  <c r="BH18" i="4"/>
  <c r="BF31" i="4"/>
  <c r="BI85" i="4"/>
  <c r="BI93" i="4"/>
  <c r="BI137" i="4"/>
  <c r="BF135" i="4"/>
  <c r="BG18" i="4"/>
  <c r="BI18" i="4"/>
  <c r="BH36" i="4"/>
  <c r="BH38" i="4"/>
  <c r="BF48" i="4"/>
  <c r="BI48" i="4"/>
  <c r="BG61" i="4"/>
  <c r="BI75" i="4"/>
  <c r="BH42" i="4"/>
  <c r="BI91" i="4"/>
  <c r="BH22" i="4"/>
  <c r="BF39" i="4"/>
  <c r="BI103" i="4"/>
  <c r="BH31" i="4"/>
  <c r="BI31" i="4"/>
  <c r="BG41" i="4"/>
  <c r="BG43" i="4"/>
  <c r="BG57" i="4"/>
  <c r="BI65" i="4"/>
  <c r="BF71" i="4"/>
  <c r="BG85" i="4"/>
  <c r="BH77" i="4"/>
  <c r="BI117" i="4"/>
  <c r="BI63" i="4"/>
  <c r="BG67" i="4"/>
  <c r="BG79" i="4"/>
  <c r="BI81" i="4"/>
  <c r="R3" i="4"/>
  <c r="BG37" i="4"/>
  <c r="BI21" i="4"/>
  <c r="BG118" i="4"/>
  <c r="BH126" i="4"/>
  <c r="BI134" i="4"/>
  <c r="BH16" i="4"/>
  <c r="BG70" i="4"/>
  <c r="BI107" i="4"/>
  <c r="BG36" i="4"/>
  <c r="BG46" i="4"/>
  <c r="BF50" i="4"/>
  <c r="BF54" i="4"/>
  <c r="BF65" i="4"/>
  <c r="BG65" i="4"/>
  <c r="BH67" i="4"/>
  <c r="BG81" i="4"/>
  <c r="BI83" i="4"/>
  <c r="BH85" i="4"/>
  <c r="BH135" i="4"/>
  <c r="BI135" i="4"/>
  <c r="BG137" i="4"/>
  <c r="BG139" i="4"/>
  <c r="BH139" i="4"/>
  <c r="BG135" i="4"/>
  <c r="BI16" i="4"/>
  <c r="BH40" i="4"/>
  <c r="BI61" i="4"/>
  <c r="BI22" i="4"/>
  <c r="BG91" i="4"/>
  <c r="BF62" i="4"/>
  <c r="BI82" i="4"/>
  <c r="BH49" i="4"/>
  <c r="BH84" i="4"/>
  <c r="BI105" i="4"/>
  <c r="BI113" i="4"/>
  <c r="BF61" i="4"/>
  <c r="BG63" i="4"/>
  <c r="BH65" i="4"/>
  <c r="BI67" i="4"/>
  <c r="BH87" i="4"/>
  <c r="BH89" i="4"/>
  <c r="T3" i="4"/>
  <c r="BF118" i="4"/>
  <c r="BF134" i="4"/>
  <c r="BF17" i="4"/>
  <c r="BH93" i="4"/>
  <c r="BF101" i="4"/>
  <c r="BF126" i="4"/>
  <c r="BF24" i="4"/>
  <c r="BF26" i="4"/>
  <c r="BI59" i="4"/>
  <c r="BH63" i="4"/>
  <c r="BH71" i="4"/>
  <c r="BI77" i="4"/>
  <c r="BH81" i="4"/>
  <c r="BI87" i="4"/>
  <c r="BI89" i="4"/>
  <c r="BG23" i="4"/>
  <c r="BF32" i="4"/>
  <c r="BG24" i="4"/>
  <c r="BH78" i="4"/>
  <c r="BF35" i="4"/>
  <c r="BH75" i="4"/>
  <c r="BG32" i="4"/>
  <c r="BI42" i="4"/>
  <c r="BH91" i="4"/>
  <c r="BG44" i="4"/>
  <c r="BH103" i="4"/>
  <c r="BG103" i="4"/>
  <c r="BG27" i="4"/>
  <c r="BG51" i="4"/>
  <c r="BI62" i="4"/>
  <c r="BG64" i="4"/>
  <c r="BF64" i="4"/>
  <c r="BI84" i="4"/>
  <c r="BG128" i="4"/>
  <c r="BG26" i="4"/>
  <c r="BI28" i="4"/>
  <c r="BH43" i="4"/>
  <c r="BI50" i="4"/>
  <c r="BI52" i="4"/>
  <c r="BG54" i="4"/>
  <c r="BF67" i="4"/>
  <c r="BG69" i="4"/>
  <c r="BF69" i="4"/>
  <c r="BG73" i="4"/>
  <c r="BH83" i="4"/>
  <c r="BI44" i="4"/>
  <c r="BG25" i="4"/>
  <c r="BH37" i="4"/>
  <c r="BH45" i="4"/>
  <c r="BG126" i="4"/>
  <c r="BH134" i="4"/>
  <c r="BG45" i="4"/>
  <c r="BH47" i="4"/>
  <c r="BG94" i="4"/>
  <c r="BF94" i="4"/>
  <c r="BF110" i="4"/>
  <c r="BG17" i="4"/>
  <c r="BH70" i="4"/>
  <c r="BI78" i="4"/>
  <c r="BG102" i="4"/>
  <c r="BF102" i="4"/>
  <c r="BI40" i="4"/>
  <c r="BH23" i="4"/>
  <c r="BG35" i="4"/>
  <c r="BG75" i="4"/>
  <c r="BH32" i="4"/>
  <c r="BI38" i="4"/>
  <c r="BH48" i="4"/>
  <c r="BI36" i="4"/>
  <c r="BH27" i="4"/>
  <c r="BH51" i="4"/>
  <c r="BH64" i="4"/>
  <c r="BG101" i="4"/>
  <c r="BH128" i="4"/>
  <c r="BH26" i="4"/>
  <c r="BF28" i="4"/>
  <c r="BF44" i="4"/>
  <c r="BF29" i="4"/>
  <c r="BH41" i="4"/>
  <c r="BI45" i="4"/>
  <c r="BF46" i="4"/>
  <c r="BH54" i="4"/>
  <c r="BH57" i="4"/>
  <c r="BH69" i="4"/>
  <c r="BH73" i="4"/>
  <c r="BI86" i="4"/>
  <c r="BF70" i="4"/>
  <c r="BF25" i="4"/>
  <c r="Q3" i="4"/>
  <c r="BH24" i="4"/>
  <c r="BH25" i="4"/>
  <c r="BI37" i="4"/>
  <c r="BG21" i="4"/>
  <c r="BF21" i="4"/>
  <c r="BI118" i="4"/>
  <c r="BG134" i="4"/>
  <c r="BI47" i="4"/>
  <c r="BG86" i="4"/>
  <c r="BF86" i="4"/>
  <c r="BH94" i="4"/>
  <c r="BG110" i="4"/>
  <c r="BH17" i="4"/>
  <c r="BI70" i="4"/>
  <c r="BH102" i="4"/>
  <c r="BI23" i="4"/>
  <c r="BH35" i="4"/>
  <c r="BH61" i="4"/>
  <c r="BG42" i="4"/>
  <c r="BF42" i="4"/>
  <c r="BG22" i="4"/>
  <c r="BI43" i="4"/>
  <c r="BI51" i="4"/>
  <c r="BI27" i="4"/>
  <c r="BG49" i="4"/>
  <c r="BF49" i="4"/>
  <c r="BF51" i="4"/>
  <c r="BG62" i="4"/>
  <c r="BI64" i="4"/>
  <c r="BH101" i="4"/>
  <c r="BH74" i="4"/>
  <c r="BI26" i="4"/>
  <c r="BG28" i="4"/>
  <c r="BH29" i="4"/>
  <c r="BG29" i="4"/>
  <c r="BG39" i="4"/>
  <c r="BH46" i="4"/>
  <c r="BG48" i="4"/>
  <c r="BG50" i="4"/>
  <c r="BG52" i="4"/>
  <c r="BF52" i="4"/>
  <c r="BI54" i="4"/>
  <c r="BG59" i="4"/>
  <c r="BH59" i="4"/>
  <c r="BI69" i="4"/>
  <c r="BG71" i="4"/>
  <c r="BI73" i="4"/>
  <c r="BH79" i="4"/>
  <c r="BI110" i="4"/>
  <c r="S3" i="4"/>
  <c r="BI24" i="4"/>
  <c r="BI25" i="4"/>
  <c r="BH21" i="4"/>
  <c r="BH118" i="4"/>
  <c r="BI126" i="4"/>
  <c r="BF78" i="4"/>
  <c r="BH44" i="4"/>
  <c r="BH86" i="4"/>
  <c r="BI94" i="4"/>
  <c r="BH110" i="4"/>
  <c r="BI17" i="4"/>
  <c r="BF45" i="4"/>
  <c r="BG78" i="4"/>
  <c r="BI102" i="4"/>
  <c r="BF23" i="4"/>
  <c r="BI35" i="4"/>
  <c r="BI41" i="4"/>
  <c r="BF22" i="4"/>
  <c r="BG34" i="4"/>
  <c r="BH82" i="4"/>
  <c r="BI128" i="4"/>
  <c r="BF27" i="4"/>
  <c r="BI49" i="4"/>
  <c r="BH62" i="4"/>
  <c r="BI101" i="4"/>
  <c r="BF103" i="4"/>
  <c r="BG74" i="4"/>
  <c r="BH28" i="4"/>
  <c r="BI29" i="4"/>
  <c r="BF37" i="4"/>
  <c r="BH39" i="4"/>
  <c r="BI39" i="4"/>
  <c r="BI46" i="4"/>
  <c r="BH50" i="4"/>
  <c r="BH52" i="4"/>
  <c r="BF57" i="4"/>
  <c r="BF59" i="4"/>
  <c r="BI71" i="4"/>
  <c r="BG77" i="4"/>
  <c r="BG83" i="4"/>
  <c r="BF34" i="4"/>
  <c r="BI34" i="4"/>
  <c r="BH34" i="4"/>
  <c r="BI33" i="4"/>
  <c r="BG33" i="4"/>
  <c r="BH33" i="4"/>
  <c r="BF33" i="4"/>
  <c r="BI32" i="4"/>
  <c r="O5" i="4"/>
  <c r="AX5" i="4" s="1"/>
  <c r="AJ3" i="4"/>
  <c r="BD3" i="4"/>
  <c r="AZ3" i="4"/>
  <c r="AE3" i="4"/>
  <c r="BE3" i="4"/>
  <c r="AP3" i="4"/>
  <c r="X3" i="4"/>
  <c r="AW3" i="4"/>
  <c r="AQ3" i="4"/>
  <c r="AT3" i="4"/>
  <c r="AS3" i="4"/>
  <c r="AU3" i="4"/>
  <c r="Z3" i="4"/>
  <c r="AR3" i="4"/>
  <c r="Y3" i="4"/>
  <c r="AA3" i="4"/>
  <c r="BA3" i="4"/>
  <c r="AD3" i="4"/>
  <c r="O2" i="4"/>
  <c r="BB5" i="4"/>
  <c r="AL5" i="4"/>
  <c r="V5" i="4"/>
  <c r="R5" i="4"/>
  <c r="AY5" i="4"/>
  <c r="AI5" i="4"/>
  <c r="S5" i="4"/>
  <c r="AS5" i="4"/>
  <c r="AC5" i="4"/>
  <c r="Q5" i="4"/>
  <c r="AJ5" i="4"/>
  <c r="BD5" i="4"/>
  <c r="AN5" i="4"/>
  <c r="AC3" i="4"/>
  <c r="AN3" i="4"/>
  <c r="AF3" i="4"/>
  <c r="AG3" i="4"/>
  <c r="AI3" i="4"/>
  <c r="AY3" i="4"/>
  <c r="AH3" i="4"/>
  <c r="AX3" i="4"/>
  <c r="O4" i="4"/>
  <c r="AX4" i="4" s="1"/>
  <c r="BB2" i="4"/>
  <c r="AX2" i="4"/>
  <c r="AT2" i="4"/>
  <c r="AP2" i="4"/>
  <c r="AL2" i="4"/>
  <c r="AH2" i="4"/>
  <c r="AD2" i="4"/>
  <c r="Z2" i="4"/>
  <c r="R2" i="4"/>
  <c r="BC2" i="4"/>
  <c r="AY2" i="4"/>
  <c r="AU2" i="4"/>
  <c r="AQ2" i="4"/>
  <c r="AM2" i="4"/>
  <c r="AI2" i="4"/>
  <c r="AE2" i="4"/>
  <c r="AA2" i="4"/>
  <c r="W2" i="4"/>
  <c r="S2" i="4"/>
  <c r="V2" i="4"/>
  <c r="BD2" i="4"/>
  <c r="AV2" i="4"/>
  <c r="AN2" i="4"/>
  <c r="AF2" i="4"/>
  <c r="X2" i="4"/>
  <c r="BA2" i="4"/>
  <c r="AK2" i="4"/>
  <c r="U2" i="4"/>
  <c r="AZ2" i="4"/>
  <c r="AB2" i="4"/>
  <c r="BE2" i="4"/>
  <c r="AO2" i="4"/>
  <c r="Y2" i="4"/>
  <c r="AS2" i="4"/>
  <c r="AC2" i="4"/>
  <c r="AR2" i="4"/>
  <c r="T2" i="4"/>
  <c r="Q2" i="4"/>
  <c r="AJ2" i="4"/>
  <c r="AW2" i="4"/>
  <c r="AG2" i="4"/>
  <c r="AK3" i="4"/>
  <c r="AB3" i="4"/>
  <c r="AV3" i="4"/>
  <c r="AO3" i="4"/>
  <c r="W3" i="4"/>
  <c r="AM3" i="4"/>
  <c r="BC3" i="4"/>
  <c r="V3" i="4"/>
  <c r="AL3" i="4"/>
  <c r="AF4" i="4" l="1"/>
  <c r="AB5" i="4"/>
  <c r="AF5" i="4"/>
  <c r="AZ5" i="4"/>
  <c r="AG5" i="4"/>
  <c r="AW5" i="4"/>
  <c r="W5" i="4"/>
  <c r="AM5" i="4"/>
  <c r="BC5" i="4"/>
  <c r="Z5" i="4"/>
  <c r="AP5" i="4"/>
  <c r="AR5" i="4"/>
  <c r="AV5" i="4"/>
  <c r="AK5" i="4"/>
  <c r="BA5" i="4"/>
  <c r="AA5" i="4"/>
  <c r="AQ5" i="4"/>
  <c r="U5" i="4"/>
  <c r="AD5" i="4"/>
  <c r="AT5" i="4"/>
  <c r="R4" i="4"/>
  <c r="X5" i="4"/>
  <c r="T5" i="4"/>
  <c r="Y5" i="4"/>
  <c r="AO5" i="4"/>
  <c r="BE5" i="4"/>
  <c r="AE5" i="4"/>
  <c r="AU5" i="4"/>
  <c r="AH5" i="4"/>
  <c r="BF2" i="4"/>
  <c r="BF3" i="4"/>
  <c r="BI2" i="4"/>
  <c r="T4" i="4"/>
  <c r="U4" i="4"/>
  <c r="BF5" i="4"/>
  <c r="BI3" i="4"/>
  <c r="BH2" i="4"/>
  <c r="BG3" i="4"/>
  <c r="Q4" i="4"/>
  <c r="BG2" i="4"/>
  <c r="S4" i="4"/>
  <c r="BH3" i="4"/>
  <c r="AC4" i="4"/>
  <c r="AE4" i="4"/>
  <c r="AO4" i="4"/>
  <c r="AH4" i="4"/>
  <c r="X4" i="4"/>
  <c r="AB4" i="4"/>
  <c r="AG4" i="4"/>
  <c r="AI4" i="4"/>
  <c r="AY4" i="4"/>
  <c r="BA4" i="4"/>
  <c r="V4" i="4"/>
  <c r="AL4" i="4"/>
  <c r="BB4" i="4"/>
  <c r="AV4" i="4"/>
  <c r="BE4" i="4"/>
  <c r="AU4" i="4"/>
  <c r="AJ4" i="4"/>
  <c r="AN4" i="4"/>
  <c r="AR4" i="4"/>
  <c r="AS4" i="4"/>
  <c r="W4" i="4"/>
  <c r="AM4" i="4"/>
  <c r="BC4" i="4"/>
  <c r="Y4" i="4"/>
  <c r="Z4" i="4"/>
  <c r="AP4" i="4"/>
  <c r="AZ4" i="4"/>
  <c r="BD4" i="4"/>
  <c r="AW4" i="4"/>
  <c r="AA4" i="4"/>
  <c r="AQ4" i="4"/>
  <c r="AK4" i="4"/>
  <c r="AD4" i="4"/>
  <c r="AT4" i="4"/>
  <c r="BH5" i="4" l="1"/>
  <c r="BI5" i="4"/>
  <c r="BG5" i="4"/>
  <c r="BF4" i="4"/>
  <c r="BI4" i="4"/>
  <c r="BH4" i="4"/>
  <c r="BG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Wiyani</author>
  </authors>
  <commentList>
    <comment ref="A1" authorId="0" shapeId="0" xr:uid="{E409E520-7F27-4AAE-ABCE-C4154D77FA89}">
      <text>
        <r>
          <rPr>
            <b/>
            <sz val="9"/>
            <color indexed="81"/>
            <rFont val="Tahoma"/>
            <family val="2"/>
          </rPr>
          <t>Wiyani:</t>
        </r>
        <r>
          <rPr>
            <sz val="9"/>
            <color indexed="81"/>
            <rFont val="Tahoma"/>
            <family val="2"/>
          </rPr>
          <t xml:space="preserve">
Pilihlah kategori asal asset tersebut.
-  BIP untuk new investment
-  CIP untuk asset yang sudah ada di list CIP (Construction In Progress) yang akan didistribusikan oleh FA department
-  CFA untuk Current Fixed Assets (Existing Assets)</t>
        </r>
      </text>
    </comment>
    <comment ref="E1" authorId="0" shapeId="0" xr:uid="{70E0F8BD-9A1D-451E-AB7B-65E322C502E4}">
      <text>
        <r>
          <rPr>
            <b/>
            <sz val="9"/>
            <color indexed="81"/>
            <rFont val="Tahoma"/>
            <family val="2"/>
          </rPr>
          <t>Wiyani:</t>
        </r>
        <r>
          <rPr>
            <sz val="9"/>
            <color indexed="81"/>
            <rFont val="Tahoma"/>
            <family val="2"/>
          </rPr>
          <t xml:space="preserve">
Isi dengan departemen yang akan menggunakan asset</t>
        </r>
      </text>
    </comment>
    <comment ref="I1" authorId="0" shapeId="0" xr:uid="{22A4F3B0-E307-45E0-8B5A-9D1E5F1535C2}">
      <text>
        <r>
          <rPr>
            <b/>
            <sz val="9"/>
            <color indexed="81"/>
            <rFont val="Tahoma"/>
            <family val="2"/>
          </rPr>
          <t>Wiyani:</t>
        </r>
        <r>
          <rPr>
            <sz val="9"/>
            <color indexed="81"/>
            <rFont val="Tahoma"/>
            <family val="2"/>
          </rPr>
          <t xml:space="preserve">
Isikan kolom ini dengan nilai asset secara keseluruhan, contoh; nilai mesin + jasa instalasi + biaya trial + dll
Untuk asset yang akan dialokasikan kebeberapa departemen, harap cantumkan nilai total asset (tidak perlu dibagi secara manual)</t>
        </r>
      </text>
    </comment>
    <comment ref="K1" authorId="0" shapeId="0" xr:uid="{D897555E-DAB9-462E-8345-D1D1E5CCB8D5}">
      <text>
        <r>
          <rPr>
            <b/>
            <sz val="9"/>
            <color indexed="81"/>
            <rFont val="Tahoma"/>
            <family val="2"/>
          </rPr>
          <t>Wiyani:</t>
        </r>
        <r>
          <rPr>
            <sz val="9"/>
            <color indexed="81"/>
            <rFont val="Tahoma"/>
            <family val="2"/>
          </rPr>
          <t xml:space="preserve">
Isi dengan persentase (tanpa dirubah ke format %) pembagian untuk asset yang dialokasikan kebeberapa departemen</t>
        </r>
      </text>
    </comment>
    <comment ref="L1" authorId="0" shapeId="0" xr:uid="{81CBBDAE-34B1-4CB7-856D-CC9DFD57C8DC}">
      <text>
        <r>
          <rPr>
            <b/>
            <sz val="9"/>
            <color indexed="81"/>
            <rFont val="Tahoma"/>
            <family val="2"/>
          </rPr>
          <t>Wiyani:</t>
        </r>
        <r>
          <rPr>
            <sz val="9"/>
            <color indexed="81"/>
            <rFont val="Tahoma"/>
            <family val="2"/>
          </rPr>
          <t xml:space="preserve">
Isikan dengan tanggal, kapan asset tersebut akan mulai digunakan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Wiyani</author>
  </authors>
  <commentList>
    <comment ref="A1" authorId="0" shapeId="0" xr:uid="{BFC40D50-0C11-4BD4-9FCA-AC17FF06214C}">
      <text>
        <r>
          <rPr>
            <b/>
            <sz val="9"/>
            <color indexed="81"/>
            <rFont val="Tahoma"/>
            <family val="2"/>
          </rPr>
          <t>Wiyani:</t>
        </r>
        <r>
          <rPr>
            <sz val="9"/>
            <color indexed="81"/>
            <rFont val="Tahoma"/>
            <family val="2"/>
          </rPr>
          <t xml:space="preserve">
Nomer asset diisi sesuai dengan "1 NOMER" asset untuk "1 JENIS" assets
Untuk Asset yang akan dialokasikan ke beberapa departemen harus menggunakan "1 NOMER" asset</t>
        </r>
      </text>
    </comment>
    <comment ref="E1" authorId="0" shapeId="0" xr:uid="{09884B88-7BC9-45CD-8A2B-BD354FE2D3C3}">
      <text>
        <r>
          <rPr>
            <b/>
            <sz val="9"/>
            <color indexed="81"/>
            <rFont val="Tahoma"/>
            <family val="2"/>
          </rPr>
          <t>Wiyani:</t>
        </r>
        <r>
          <rPr>
            <sz val="9"/>
            <color indexed="81"/>
            <rFont val="Tahoma"/>
            <family val="2"/>
          </rPr>
          <t xml:space="preserve">
Isikan kolom ini dengan nilai asset secara keseluruhan, contoh; nilai mesin + jasa instalasi + biaya trial + dll
Untuk asset yang akan dialokasikan kebeberapa departemen, harap cantumkan nilai total asset (tidak perlu dibagi secara manual)</t>
        </r>
      </text>
    </comment>
    <comment ref="G1" authorId="0" shapeId="0" xr:uid="{C41206E6-D23E-4076-9E0F-5D6DD52D1BF1}">
      <text>
        <r>
          <rPr>
            <b/>
            <sz val="9"/>
            <color indexed="81"/>
            <rFont val="Tahoma"/>
            <family val="2"/>
          </rPr>
          <t>Wiyani:</t>
        </r>
        <r>
          <rPr>
            <sz val="9"/>
            <color indexed="81"/>
            <rFont val="Tahoma"/>
            <family val="2"/>
          </rPr>
          <t xml:space="preserve">
Isi dengan departemen yang akan menggunakan asset</t>
        </r>
      </text>
    </comment>
    <comment ref="H1" authorId="0" shapeId="0" xr:uid="{900DAD86-FFF9-4D0F-BE76-B71F24B6F6FA}">
      <text>
        <r>
          <rPr>
            <b/>
            <sz val="9"/>
            <color indexed="81"/>
            <rFont val="Tahoma"/>
            <family val="2"/>
          </rPr>
          <t>Wiyani:</t>
        </r>
        <r>
          <rPr>
            <sz val="9"/>
            <color indexed="81"/>
            <rFont val="Tahoma"/>
            <family val="2"/>
          </rPr>
          <t xml:space="preserve">
Isi dengan persentase (tanpa dirubah ke format %) pembagian untuk asset yang dialokasikan kebeberapa departemen</t>
        </r>
      </text>
    </comment>
    <comment ref="I1" authorId="0" shapeId="0" xr:uid="{6C94EC80-B724-4385-8DE0-CB9BE479C4DE}">
      <text>
        <r>
          <rPr>
            <b/>
            <sz val="9"/>
            <color indexed="81"/>
            <rFont val="Tahoma"/>
            <family val="2"/>
          </rPr>
          <t>Wiyani:</t>
        </r>
        <r>
          <rPr>
            <sz val="9"/>
            <color indexed="81"/>
            <rFont val="Tahoma"/>
            <family val="2"/>
          </rPr>
          <t xml:space="preserve">
Isikan dengan tanggal, kapan asset tersebut akan mulai digunakan</t>
        </r>
      </text>
    </comment>
    <comment ref="J1" authorId="0" shapeId="0" xr:uid="{4435318B-F7F0-4654-A90B-34F54864A3FD}">
      <text>
        <r>
          <rPr>
            <b/>
            <sz val="9"/>
            <color indexed="81"/>
            <rFont val="Tahoma"/>
            <family val="2"/>
          </rPr>
          <t>Wiyani:</t>
        </r>
        <r>
          <rPr>
            <sz val="9"/>
            <color indexed="81"/>
            <rFont val="Tahoma"/>
            <family val="2"/>
          </rPr>
          <t xml:space="preserve">
Pilihlah kategori asal asset tersebut.
-  BIP untuk new investment
-  CIP untuk asset yang sudah ada di list CIP (Construction In Progress) yang akan didistribusikan oleh FA department
-  CFA untuk Current Fixed Assets (Existing Assets)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Wiyani</author>
  </authors>
  <commentList>
    <comment ref="B1" authorId="0" shapeId="0" xr:uid="{68853EF2-371D-491F-BD8D-FCDB5911B56C}">
      <text>
        <r>
          <rPr>
            <b/>
            <sz val="9"/>
            <color indexed="81"/>
            <rFont val="Tahoma"/>
            <family val="2"/>
          </rPr>
          <t>Wiyani:</t>
        </r>
        <r>
          <rPr>
            <sz val="9"/>
            <color indexed="81"/>
            <rFont val="Tahoma"/>
            <family val="2"/>
          </rPr>
          <t xml:space="preserve">
Nomer asset diisi sesuai dengan "1 NOMER" asset untuk "1 JENIS" assets
Untuk Asset yang akan dialokasikan ke beberapa departemen harus menggunakan "1 NOMER" asset</t>
        </r>
      </text>
    </comment>
    <comment ref="F1" authorId="0" shapeId="0" xr:uid="{E0594668-9F9E-4210-91CD-54B05EE6DF66}">
      <text>
        <r>
          <rPr>
            <b/>
            <sz val="9"/>
            <color indexed="81"/>
            <rFont val="Tahoma"/>
            <family val="2"/>
          </rPr>
          <t>Wiyani:</t>
        </r>
        <r>
          <rPr>
            <sz val="9"/>
            <color indexed="81"/>
            <rFont val="Tahoma"/>
            <family val="2"/>
          </rPr>
          <t xml:space="preserve">
Isi dengan departemen yang akan menggunakan asset</t>
        </r>
      </text>
    </comment>
  </commentList>
</comments>
</file>

<file path=xl/sharedStrings.xml><?xml version="1.0" encoding="utf-8"?>
<sst xmlns="http://schemas.openxmlformats.org/spreadsheetml/2006/main" count="6700" uniqueCount="577">
  <si>
    <t>Name</t>
    <phoneticPr fontId="0"/>
  </si>
  <si>
    <t>COA AX</t>
  </si>
  <si>
    <t>Group Cost</t>
  </si>
  <si>
    <t>UNIQ</t>
  </si>
  <si>
    <t>COA Budget</t>
  </si>
  <si>
    <t>Description</t>
  </si>
  <si>
    <t>Salary for Commissioner</t>
  </si>
  <si>
    <t>SGA</t>
  </si>
  <si>
    <t>A502</t>
  </si>
  <si>
    <t>Salary for Director</t>
  </si>
  <si>
    <t>Salary for Director &amp; Expat</t>
  </si>
  <si>
    <t>Staff Labor - Baslc Salary</t>
  </si>
  <si>
    <t>A501</t>
  </si>
  <si>
    <t>Basic Salary of permanent employee</t>
  </si>
  <si>
    <t>Staff Labor - Allowance</t>
  </si>
  <si>
    <t>Employee allowance</t>
  </si>
  <si>
    <t>Staff Labor - Tax allowance (art.21)</t>
  </si>
  <si>
    <t>Empployee Tax allowance</t>
  </si>
  <si>
    <t>Staff Labor - BPJS JK &amp; JKK (1.19%)</t>
  </si>
  <si>
    <t>BPJS JK &amp; JKK (death warrant, Accident Insurance)</t>
  </si>
  <si>
    <t>Staff Labor - BPJS Kesehatan (4%)</t>
  </si>
  <si>
    <t>BPJS health insurance</t>
  </si>
  <si>
    <t>Staff Overtime</t>
  </si>
  <si>
    <t>A503</t>
  </si>
  <si>
    <t>Overtime permanent employee</t>
  </si>
  <si>
    <t>Staff Welfare - BPJS Dana pensiun (2%)</t>
  </si>
  <si>
    <t>A504</t>
  </si>
  <si>
    <t>BPJS pension fund</t>
  </si>
  <si>
    <t>Staff Welfare - BPJS JHT (3.7%)</t>
  </si>
  <si>
    <t>BPJS Pension plan</t>
  </si>
  <si>
    <t>Staff Bonus / TAT</t>
  </si>
  <si>
    <t>Year-end allowance &amp; Alpha</t>
  </si>
  <si>
    <t>Staff Ramadhan / THR</t>
  </si>
  <si>
    <t>Lebaran bonus</t>
  </si>
  <si>
    <t>Staff Welfare - Outpatient (Medical)</t>
  </si>
  <si>
    <t>outpatient treatment costs</t>
  </si>
  <si>
    <t>Staff Welfare - Hospitalization</t>
  </si>
  <si>
    <t>hospitalization costs</t>
  </si>
  <si>
    <t>Staff Welfare - Glasses</t>
  </si>
  <si>
    <t>glasses costs</t>
  </si>
  <si>
    <t>Staff Welfare - Dental</t>
  </si>
  <si>
    <t>dental costs</t>
  </si>
  <si>
    <t>Staff Welfare - Medical Check Up</t>
  </si>
  <si>
    <t>Medical Check Up cost</t>
  </si>
  <si>
    <t>Staff Welfare - Uniform</t>
  </si>
  <si>
    <t>uniform costs</t>
  </si>
  <si>
    <t>Staff Welfare - Family Gathering / Anniversary</t>
  </si>
  <si>
    <t>Family Gathering / Anniversary</t>
  </si>
  <si>
    <t>Staff Welfare - Meals of canteen &amp; other meals</t>
  </si>
  <si>
    <t>Meals of canteen &amp; other meals cost</t>
  </si>
  <si>
    <t>Staff Welfare - Kaizen &amp; QCC reward</t>
  </si>
  <si>
    <t>an expense, arising from Kaizen and QCC acitivity</t>
  </si>
  <si>
    <t>Staff Welfare - Welfare Others</t>
  </si>
  <si>
    <t>an other welfare expense, arising besides the above welfare expense</t>
  </si>
  <si>
    <t>Retirement Allowance</t>
  </si>
  <si>
    <t>A505</t>
    <phoneticPr fontId="0"/>
  </si>
  <si>
    <t>employee retirement provission costs</t>
  </si>
  <si>
    <t>House Rent Allowance</t>
  </si>
  <si>
    <t>House Rent Allowance for expat</t>
  </si>
  <si>
    <t>Casual Staff Labor - Basic Salary</t>
  </si>
  <si>
    <t>All benefit for temporary worker</t>
  </si>
  <si>
    <t>Casual Staff Labor - Overtime</t>
  </si>
  <si>
    <t>Overtime temporary worker</t>
  </si>
  <si>
    <t>Personnel expense transferred</t>
  </si>
  <si>
    <t>A506</t>
    <phoneticPr fontId="0"/>
  </si>
  <si>
    <t>Transfer Labor cost from one section into another section</t>
  </si>
  <si>
    <t>Depreciation-Building</t>
  </si>
  <si>
    <t>A601</t>
  </si>
  <si>
    <t>the amount of depreciation of tangible assets for building</t>
  </si>
  <si>
    <t>Depreciation-Machiney &amp; equipment</t>
  </si>
  <si>
    <t>the amount of depreciation of tangible assets for machinery &amp; factory equipment</t>
  </si>
  <si>
    <t>Depreciation-Vehicles</t>
  </si>
  <si>
    <t>the amount of depreciation of tangible assets for vehicles</t>
  </si>
  <si>
    <t>Depreciation-Tools, furniture &amp; office equipment</t>
  </si>
  <si>
    <t>the amount of depreciation of tangible assets for office tools, furniture &amp; office equipment</t>
  </si>
  <si>
    <t>Depreciation-Software</t>
  </si>
  <si>
    <r>
      <t xml:space="preserve">the amount of depreciation of </t>
    </r>
    <r>
      <rPr>
        <b/>
        <sz val="10"/>
        <color theme="1"/>
        <rFont val="Tahoma"/>
        <family val="2"/>
      </rPr>
      <t>intangible assets</t>
    </r>
    <r>
      <rPr>
        <sz val="10"/>
        <color theme="1"/>
        <rFont val="Tahoma"/>
        <family val="2"/>
      </rPr>
      <t xml:space="preserve"> for software, and other intangible assets</t>
    </r>
  </si>
  <si>
    <t>Rental car</t>
  </si>
  <si>
    <t>A801</t>
  </si>
  <si>
    <t>The expenses of car rent</t>
  </si>
  <si>
    <t>Other rental fee</t>
  </si>
  <si>
    <t>A701</t>
  </si>
  <si>
    <t>The expenses of rent beside car rent, such as copy machine, dispenser, etc.</t>
  </si>
  <si>
    <t>Electricity Charge</t>
  </si>
  <si>
    <t>A1003</t>
  </si>
  <si>
    <t xml:space="preserve">Electricity consumption </t>
  </si>
  <si>
    <t>Water Supply Charge</t>
  </si>
  <si>
    <t>A1004</t>
  </si>
  <si>
    <t xml:space="preserve">Water consumption </t>
  </si>
  <si>
    <t>Repair Building</t>
  </si>
  <si>
    <t>A1002</t>
  </si>
  <si>
    <t>expenses for repair and maintenance asset building</t>
  </si>
  <si>
    <t>Repair of Equipment</t>
  </si>
  <si>
    <t>expenses for repair and maintenance tangible assets, intangible assets and other assets beside building</t>
  </si>
  <si>
    <t>Factory Supply Expense</t>
  </si>
  <si>
    <t>A1099</t>
  </si>
  <si>
    <t xml:space="preserve">All cost that arrising to support factory acitivity </t>
  </si>
  <si>
    <t>Calibration Cost</t>
  </si>
  <si>
    <t>Cost of calibration for tools and equipment of factory and others</t>
  </si>
  <si>
    <t>Transportation Fee for employee</t>
  </si>
  <si>
    <t>Gasoline of company cars &amp; expense for Local transportation</t>
  </si>
  <si>
    <t>Travel Expense-Domestic</t>
  </si>
  <si>
    <t>expenses for business trip, including allowance for business trip to an employee only for domestic travel</t>
  </si>
  <si>
    <t>Travel Expense-Oversea</t>
  </si>
  <si>
    <t>expenses for business trip, including allowance for business trip to an employee only for overseas travel</t>
  </si>
  <si>
    <t>Entertainment</t>
  </si>
  <si>
    <t>A1001</t>
  </si>
  <si>
    <t>the amount of expenses for the act of entertaining the business partner</t>
  </si>
  <si>
    <t>Amortization of Land &amp; Building tax (PBB)</t>
  </si>
  <si>
    <t>the amount of depreciation of intangible of Land &amp; Building Tax (PBB)</t>
  </si>
  <si>
    <t>License fee</t>
  </si>
  <si>
    <t>The expense related with the documentation process, such as : KIR, Car lisence, company lisence, etc.</t>
  </si>
  <si>
    <t>Insurance Premium</t>
  </si>
  <si>
    <t>expenses for risk management with no premium at the end of the term, such as fire insurance for plants and inventories</t>
  </si>
  <si>
    <t>Office supply &amp; Stationary Expense</t>
  </si>
  <si>
    <t>the amount of supplies for office, such as stationery. Small office equipment included</t>
  </si>
  <si>
    <t>Communication expenses</t>
  </si>
  <si>
    <t>expenses for communication with a people in remote place, such as expense for telephone and postage</t>
  </si>
  <si>
    <t>IT Expense</t>
  </si>
  <si>
    <t>A1005</t>
  </si>
  <si>
    <t>the amount of supplies for IT tools</t>
  </si>
  <si>
    <t>Stamp/Post Fee</t>
  </si>
  <si>
    <t>The expenses related with stamp duty</t>
  </si>
  <si>
    <t>Consultancy/Professional Fee</t>
  </si>
  <si>
    <t>A901</t>
  </si>
  <si>
    <t>a fee for professional who not only public qualification holders, such as a CPA or an attorney, but also a person or an organization with technical knowledge such as a consultant or a translator.</t>
  </si>
  <si>
    <t>NGK group service fee</t>
  </si>
  <si>
    <t>A1007</t>
  </si>
  <si>
    <t>All fees that paid to NGK group</t>
  </si>
  <si>
    <t>Ticket &amp; accomodation of trainer (from NGK Group)</t>
  </si>
  <si>
    <t>The expenses related with the person who come from NGK Group that will provide training to NGK Busi</t>
  </si>
  <si>
    <t>Miscellaneous Expense</t>
  </si>
  <si>
    <t>others operational expense</t>
  </si>
  <si>
    <t>Publishing Expense</t>
  </si>
  <si>
    <t>News paper, magazine, and other publishing cost</t>
  </si>
  <si>
    <t>Cleaning Expense</t>
  </si>
  <si>
    <t>The expenses related with the tools or other for cleaning activity</t>
  </si>
  <si>
    <t>Training Expense</t>
  </si>
  <si>
    <t>A1006</t>
  </si>
  <si>
    <t>Training cost</t>
  </si>
  <si>
    <t>Recruitment Fee</t>
  </si>
  <si>
    <t>Cost for recruitment process</t>
  </si>
  <si>
    <t>Expatriate expenses exclude labor cost</t>
  </si>
  <si>
    <t>Incidental costs related to expatriete</t>
  </si>
  <si>
    <t>Expatriate fee Tax (BADORA)</t>
  </si>
  <si>
    <t>Tax income from expatriete</t>
  </si>
  <si>
    <t>Freights and Export expense</t>
  </si>
  <si>
    <t>A201</t>
  </si>
  <si>
    <t>an expense, arising from export transaction such as; insurance, pallet, freight cost</t>
  </si>
  <si>
    <t>Transportation for Goods</t>
  </si>
  <si>
    <t>A202</t>
  </si>
  <si>
    <t>Transportion expense of local goods sales</t>
  </si>
  <si>
    <t>Packing for Sale</t>
  </si>
  <si>
    <t>A203</t>
  </si>
  <si>
    <t>Packing expense for local good sales</t>
  </si>
  <si>
    <t>Advertising expenses</t>
  </si>
  <si>
    <t>A401</t>
  </si>
  <si>
    <t>an expense for advertise or publication of goods</t>
  </si>
  <si>
    <t>Sales Promotion - Coupon</t>
  </si>
  <si>
    <t>A402</t>
    <phoneticPr fontId="0"/>
  </si>
  <si>
    <r>
      <t xml:space="preserve">an expense for promotion items in the form of </t>
    </r>
    <r>
      <rPr>
        <b/>
        <sz val="10"/>
        <color theme="1"/>
        <rFont val="Tahoma"/>
        <family val="2"/>
      </rPr>
      <t>coupon</t>
    </r>
    <r>
      <rPr>
        <sz val="10"/>
        <color theme="1"/>
        <rFont val="Tahoma"/>
        <family val="2"/>
      </rPr>
      <t xml:space="preserve"> for goods sales also bonus, incentive and other reward to the customer</t>
    </r>
  </si>
  <si>
    <t>Sales Promotion - Activity</t>
  </si>
  <si>
    <t>A404</t>
    <phoneticPr fontId="0"/>
  </si>
  <si>
    <r>
      <t xml:space="preserve">an expense for promotion items in the form of </t>
    </r>
    <r>
      <rPr>
        <b/>
        <sz val="10"/>
        <color theme="1"/>
        <rFont val="Tahoma"/>
        <family val="2"/>
      </rPr>
      <t>promotion activity</t>
    </r>
    <r>
      <rPr>
        <sz val="10"/>
        <color theme="1"/>
        <rFont val="Tahoma"/>
        <family val="2"/>
      </rPr>
      <t xml:space="preserve"> for goods sales also bonus, incentive and other reward to the customer</t>
    </r>
  </si>
  <si>
    <t>Sales Promotion - Supply</t>
  </si>
  <si>
    <t>A403</t>
    <phoneticPr fontId="0"/>
  </si>
  <si>
    <r>
      <t xml:space="preserve">an expense for promotion items in the form of </t>
    </r>
    <r>
      <rPr>
        <b/>
        <sz val="10"/>
        <color theme="1"/>
        <rFont val="Tahoma"/>
        <family val="2"/>
      </rPr>
      <t>mat-prom</t>
    </r>
    <r>
      <rPr>
        <sz val="10"/>
        <color theme="1"/>
        <rFont val="Tahoma"/>
        <family val="2"/>
      </rPr>
      <t xml:space="preserve"> for goods sales also bonus, incentive and other reward to the customer</t>
    </r>
  </si>
  <si>
    <t>Cost of Samples</t>
  </si>
  <si>
    <t>A499</t>
  </si>
  <si>
    <t>Sample expense</t>
  </si>
  <si>
    <t>Sales - Insurance of Delivery or Shipment</t>
  </si>
  <si>
    <t>A299</t>
    <phoneticPr fontId="14"/>
  </si>
  <si>
    <t>Sales - Insurance of AR (Credit Insurance)</t>
  </si>
  <si>
    <t>Sales - Royalty to NGK Group</t>
  </si>
  <si>
    <t>Sales - Royalty to Independence Party</t>
  </si>
  <si>
    <t>Import Duty-purchased FG from NGK group</t>
  </si>
  <si>
    <t>MFG</t>
  </si>
  <si>
    <t>Import Duty-purchased KD&amp;RM from NGK Japan</t>
  </si>
  <si>
    <t>Import Duty-purchased KD&amp;RM from NGK Group(Not fromJP)</t>
  </si>
  <si>
    <t>Import Duty-purchased Comp Parts&amp;RM from outside supplier</t>
  </si>
  <si>
    <t>Import Expense-purchased FG from NGK group</t>
  </si>
  <si>
    <t>Import Expense-purchased KD&amp;RM from NGK Japan</t>
  </si>
  <si>
    <t>Import Expense-purchased KD&amp;RM from NGK Group(Not fromJP)</t>
  </si>
  <si>
    <t>Import Expense-purchased Comp Parts&amp;RM from outside supplier</t>
  </si>
  <si>
    <t>Cost of Factory Supply</t>
  </si>
  <si>
    <t>Cost of Chemical</t>
    <phoneticPr fontId="0"/>
  </si>
  <si>
    <t>The expenses of Chemicals consumption</t>
  </si>
  <si>
    <t>Cost of Packaging</t>
  </si>
  <si>
    <t>Cost of Tooling</t>
  </si>
  <si>
    <t>The expenses of Tooling consumption</t>
  </si>
  <si>
    <t>Cost of Machinery parts</t>
  </si>
  <si>
    <t>The expenses of Spare Parts consumption</t>
  </si>
  <si>
    <t>Casual Staff Labor</t>
  </si>
  <si>
    <t>Others - Miscellaneous Waste</t>
  </si>
  <si>
    <t>OTH</t>
  </si>
  <si>
    <t>Others - Miscellaneous Tax</t>
  </si>
  <si>
    <t>Others - Sport Activity</t>
  </si>
  <si>
    <t>Others - Retribution / Garbage Cost</t>
  </si>
  <si>
    <t>Others - Miscellaneous Non Operational Expense</t>
  </si>
  <si>
    <t>Other Income</t>
  </si>
  <si>
    <t>BNGK</t>
  </si>
  <si>
    <t>GROUP COST</t>
  </si>
  <si>
    <t>GROUP SECTION</t>
  </si>
  <si>
    <t>Code</t>
    <phoneticPr fontId="0"/>
  </si>
  <si>
    <t>COA Assets</t>
  </si>
  <si>
    <t>Name of Asset</t>
  </si>
  <si>
    <t>COA Depre</t>
  </si>
  <si>
    <t>Name of Depre</t>
  </si>
  <si>
    <t>Top Management</t>
  </si>
  <si>
    <t>B1000</t>
  </si>
  <si>
    <t>ADM</t>
  </si>
  <si>
    <t>NGK BUSI INDONESIA</t>
  </si>
  <si>
    <t>Building</t>
  </si>
  <si>
    <t>Commissioner</t>
  </si>
  <si>
    <t>B1001</t>
  </si>
  <si>
    <t>Machinery &amp; Equipment</t>
  </si>
  <si>
    <t>Admin &amp; HR</t>
  </si>
  <si>
    <t>B2200</t>
  </si>
  <si>
    <t>Vehicles</t>
  </si>
  <si>
    <t>General Affair</t>
  </si>
  <si>
    <t>B2210</t>
  </si>
  <si>
    <t>Tools, furniture &amp; office equipment</t>
  </si>
  <si>
    <t>Human Resource</t>
  </si>
  <si>
    <t>B2220</t>
  </si>
  <si>
    <t>Software</t>
  </si>
  <si>
    <t>Health, Safety &amp; Environment</t>
  </si>
  <si>
    <t>B2230</t>
  </si>
  <si>
    <t>Accounting &amp; Finance</t>
  </si>
  <si>
    <t>B2300</t>
  </si>
  <si>
    <t>Information Technology</t>
  </si>
  <si>
    <t>B2400</t>
  </si>
  <si>
    <t>Sales &amp; MKTG Dept.- Automotive</t>
  </si>
  <si>
    <t>B3100</t>
  </si>
  <si>
    <t>Marketing</t>
  </si>
  <si>
    <t>B3160</t>
  </si>
  <si>
    <t>Sales - OEM</t>
  </si>
  <si>
    <t>B3110</t>
  </si>
  <si>
    <t>Sales - OES</t>
  </si>
  <si>
    <t>B3120</t>
  </si>
  <si>
    <t>Sales - IAM</t>
  </si>
  <si>
    <t>B3130</t>
  </si>
  <si>
    <t>SP PD- CF</t>
  </si>
  <si>
    <t>B4101</t>
  </si>
  <si>
    <t>DIR</t>
  </si>
  <si>
    <t>SP PD- CM</t>
  </si>
  <si>
    <t>B4102</t>
  </si>
  <si>
    <t>SP PD- WT</t>
  </si>
  <si>
    <t>B4103</t>
  </si>
  <si>
    <t>SP PD- Plating</t>
  </si>
  <si>
    <t>B4105</t>
  </si>
  <si>
    <t>SP PD- MS Insp.</t>
  </si>
  <si>
    <t>B4109</t>
  </si>
  <si>
    <t>SP PD- Insulator Sealing</t>
  </si>
  <si>
    <t>B4106</t>
  </si>
  <si>
    <t>SP PD- Assy</t>
  </si>
  <si>
    <t>B4110</t>
  </si>
  <si>
    <t>SP-PD-Assy-Auto Assembly</t>
  </si>
  <si>
    <t>B4115</t>
  </si>
  <si>
    <t>SP PD- Bending</t>
  </si>
  <si>
    <t>B4114</t>
  </si>
  <si>
    <t>SP PD- Final Inspection</t>
  </si>
  <si>
    <t>B4120</t>
  </si>
  <si>
    <t>SP PD- QC - OEM</t>
  </si>
  <si>
    <t>B4121</t>
  </si>
  <si>
    <t>PC PD- Injection</t>
  </si>
  <si>
    <t>B4410</t>
  </si>
  <si>
    <t>PC PD- Assy</t>
  </si>
  <si>
    <t>B4430</t>
  </si>
  <si>
    <t>PC PD- QC</t>
  </si>
  <si>
    <t>B4440</t>
  </si>
  <si>
    <t>Plant Operation (Indirect Mfg)</t>
  </si>
  <si>
    <t>B5000</t>
  </si>
  <si>
    <t>IND</t>
  </si>
  <si>
    <t>Production Office</t>
  </si>
  <si>
    <t>B5100</t>
  </si>
  <si>
    <t>Production Office (SP)</t>
  </si>
  <si>
    <t>B5101</t>
  </si>
  <si>
    <t>Production Office (PC)</t>
  </si>
  <si>
    <t>B5104</t>
  </si>
  <si>
    <t>Quality Assurance</t>
  </si>
  <si>
    <t>B5800</t>
  </si>
  <si>
    <t>Quality Control</t>
  </si>
  <si>
    <t>B5900</t>
  </si>
  <si>
    <t>Maintenance</t>
  </si>
  <si>
    <t>B5500</t>
  </si>
  <si>
    <t>Production Engineering</t>
  </si>
  <si>
    <t>B5600</t>
  </si>
  <si>
    <t>Supply Procurement</t>
  </si>
  <si>
    <t>B5130</t>
  </si>
  <si>
    <t>Inventory Control</t>
  </si>
  <si>
    <t>B5200</t>
  </si>
  <si>
    <t>WH Dept.- KD &amp; RM</t>
  </si>
  <si>
    <t>B5710</t>
  </si>
  <si>
    <t>SCM - FG WH</t>
  </si>
  <si>
    <t>B3150</t>
  </si>
  <si>
    <t>Continuous Improvement</t>
  </si>
  <si>
    <t>B5007</t>
  </si>
  <si>
    <t>No Asset</t>
  </si>
  <si>
    <t>Asset Name</t>
  </si>
  <si>
    <t>Coa Name</t>
  </si>
  <si>
    <t>Coa ID</t>
  </si>
  <si>
    <t>Acquisition Value</t>
  </si>
  <si>
    <t>Useful Life</t>
  </si>
  <si>
    <t>To Section</t>
  </si>
  <si>
    <t>Allocation %</t>
  </si>
  <si>
    <t>Depre Start</t>
  </si>
  <si>
    <t>Status (BIP / CIP)</t>
  </si>
  <si>
    <t>Section From</t>
  </si>
  <si>
    <t>001</t>
  </si>
  <si>
    <t>HUMAN RESOURCE</t>
  </si>
  <si>
    <t>BIP</t>
  </si>
  <si>
    <t>CIP</t>
  </si>
  <si>
    <t>Machinery &amp; Equipment - New</t>
  </si>
  <si>
    <t>Machinery &amp; Equipment - Second</t>
  </si>
  <si>
    <t>A</t>
  </si>
  <si>
    <t>Must</t>
  </si>
  <si>
    <t>If this is not done, the company or our team cannot continue its business.</t>
  </si>
  <si>
    <t>B</t>
  </si>
  <si>
    <t>Want to</t>
  </si>
  <si>
    <t>We want to do it as a team this term. we need it.</t>
  </si>
  <si>
    <t>C</t>
  </si>
  <si>
    <t>Challenge</t>
  </si>
  <si>
    <t>We want to do it for this term or the future. But it doesn't matter if it's not this term.</t>
  </si>
  <si>
    <t>Priority Code</t>
  </si>
  <si>
    <t>Priority Name</t>
  </si>
  <si>
    <t>UPS For Rack 2 (AX, ASPROVA, Flexnet Server)</t>
  </si>
  <si>
    <t>002</t>
  </si>
  <si>
    <t>UPS For Rack 1 (Domain, Application Server)</t>
  </si>
  <si>
    <t>003</t>
  </si>
  <si>
    <t>Notebook for IT Member</t>
  </si>
  <si>
    <t>Auto Gate Machine</t>
  </si>
  <si>
    <t>GENERAL AFFAIR</t>
  </si>
  <si>
    <t>AC Central Spark Plug 1</t>
  </si>
  <si>
    <t>Personal Computer Recruitment Staff</t>
  </si>
  <si>
    <t>Personal Computer GA Staff</t>
  </si>
  <si>
    <t>Laptop Training</t>
  </si>
  <si>
    <t>Laptop IR &amp; Legal</t>
  </si>
  <si>
    <t>Projector - Spark Plug 1</t>
  </si>
  <si>
    <t>Projector - Spark Plug 2</t>
  </si>
  <si>
    <t>Projector - Office</t>
  </si>
  <si>
    <t>TV For Projector Guest Room</t>
  </si>
  <si>
    <t>TV For Projector Sensor O2</t>
  </si>
  <si>
    <t>TV For Projector Kaizen</t>
  </si>
  <si>
    <t>Spark Plug Room Partition</t>
  </si>
  <si>
    <t>Operational Car Expats S&amp;M (CRV)</t>
  </si>
  <si>
    <t>SALES &amp; MARKETING</t>
  </si>
  <si>
    <t>Operational Car GA (Mobilio)</t>
  </si>
  <si>
    <t>Operational Car President (Accord)</t>
  </si>
  <si>
    <t>BOARD OF MEMBER</t>
  </si>
  <si>
    <t>Operational Car Vice President (Voxy)</t>
  </si>
  <si>
    <t>Operational Car GA (Ertiga)</t>
  </si>
  <si>
    <t>Operational Car Expats PE (BRV)</t>
  </si>
  <si>
    <t>PLANT OPERATION</t>
  </si>
  <si>
    <t>Operational Car Expats Plant (CRV)</t>
  </si>
  <si>
    <t>Operational Car Expats FA (Innova)</t>
  </si>
  <si>
    <t>FINANCE &amp; ACCOUNTING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</si>
  <si>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</si>
  <si>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</si>
  <si>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</si>
  <si>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</si>
  <si>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</si>
  <si>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</si>
  <si>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</si>
  <si>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</si>
  <si>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</si>
  <si>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</si>
  <si>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</si>
  <si>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</si>
  <si>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</si>
  <si>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</si>
  <si>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</si>
  <si>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</si>
  <si>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</si>
  <si>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</si>
  <si>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</si>
  <si>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</si>
  <si>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</si>
  <si>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</si>
  <si>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</si>
  <si>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PC for Wisnu</t>
  </si>
  <si>
    <t>PC for Andika</t>
  </si>
  <si>
    <t>PC for Ibit R</t>
  </si>
  <si>
    <t>PC for Syauqurrohman</t>
  </si>
  <si>
    <t>PC Oki Setiawan</t>
  </si>
  <si>
    <t xml:space="preserve">Cable and sub distribution panel for Front Office </t>
  </si>
  <si>
    <t>Laptop Agung H</t>
  </si>
  <si>
    <t xml:space="preserve">Relayout Piping &amp; Replacement pressure tank of compressor 4.000 lt </t>
  </si>
  <si>
    <t>Drier Compressor No.5</t>
  </si>
  <si>
    <t>Fire Hydrant 1st Step (Diesel engine, Pump, Valve)</t>
  </si>
  <si>
    <t>Renovation Chemical Warehouse</t>
  </si>
  <si>
    <t>Compressor 37kW No .4</t>
  </si>
  <si>
    <t>Drier Compressor No.4</t>
  </si>
  <si>
    <t>Rack for Increase Capacity WH Finish Good</t>
  </si>
  <si>
    <t>Replace AC CFC became AC Non CFC</t>
  </si>
  <si>
    <t>PC Nugroho Budi</t>
  </si>
  <si>
    <t>PC Nugraha Agus</t>
  </si>
  <si>
    <t xml:space="preserve">Emergency Exit Access </t>
  </si>
  <si>
    <t>Asphalt Replacement &amp; Gutter renovation Front Office Area</t>
  </si>
  <si>
    <t>Renovation fence to full fill regulation from government regarding social facility 1st step</t>
  </si>
  <si>
    <t>Mini Crusher for composting</t>
  </si>
  <si>
    <t>Caliper for Rubber Measurement</t>
  </si>
  <si>
    <t>Notebook Replacement for Edy Haryono</t>
  </si>
  <si>
    <t>PC Replacement for Noviyanto</t>
  </si>
  <si>
    <t>CF image inspection device for CF no. 1</t>
  </si>
  <si>
    <t>Periodic Maintenance CM Machine （№4）&amp; Accessories</t>
  </si>
  <si>
    <t>Semi Auto Packaging Machine　№2</t>
  </si>
  <si>
    <t>End Mill Grinder</t>
  </si>
  <si>
    <t xml:space="preserve">Periodic Maintenance Assy Insulator furnace Oven </t>
  </si>
  <si>
    <t>Update Setsugo Machine （№4）C2 NEW</t>
  </si>
  <si>
    <t>Periodic Maintenance CM No.9 &amp; Accessories</t>
  </si>
  <si>
    <t>Update Manual Assembly  to Auto Assembly Machine No.8 NEW</t>
  </si>
  <si>
    <t>Notebook  Replacement for Pak Dwi Agus</t>
  </si>
  <si>
    <t>Periodic Maintenance Threading (No.5) USED</t>
  </si>
  <si>
    <t>Update Manual assembly Talc Ring Press Machine  No.3</t>
  </si>
  <si>
    <t>Periodic Maintenace  CM Machine （№2）&amp; Accessories</t>
  </si>
  <si>
    <t>Desktop PC for Edi Pujianto Foreman Assy - replacement</t>
  </si>
  <si>
    <t>Desktop PC for Septian Nugraha Admin Assy-replacement</t>
  </si>
  <si>
    <t>Replacement Computer Desktop (Admin Eka Y)</t>
  </si>
  <si>
    <t>Replacement Computer Desktop (Admin Dudung A)</t>
  </si>
  <si>
    <t>Replacement Computer Desktop (Administration)</t>
  </si>
  <si>
    <t>Notebook Replacement for M. Akbar (IT Recommendation)</t>
  </si>
  <si>
    <t>Replacement Computer Desktop (Foreman)</t>
  </si>
  <si>
    <t>WEIGHING SCALE</t>
  </si>
  <si>
    <t>ELECTRIC LABEL DISPENCER</t>
  </si>
  <si>
    <t>Desktop PC for Pepen Ependi Admin FI - replacement</t>
  </si>
  <si>
    <t>Handlift OPK maks 2500 kg For Final Inspection</t>
  </si>
  <si>
    <t>Desktop PC for Rachmad Safii Foreman  OEM - replacement</t>
  </si>
  <si>
    <t>Replacement Computer Desktop (Asman. Samsudin)</t>
  </si>
  <si>
    <t>Laptop</t>
  </si>
  <si>
    <t>1 Unit Apple Mac Book for Marketing Distro</t>
  </si>
  <si>
    <t>Notebook DELL Inspiron 14 i7 for Diko / Arief Firmansyah</t>
  </si>
  <si>
    <t>Notebook DELL Inspiron 14 i7 for Diko</t>
  </si>
  <si>
    <t>MacBook for Marketing (Mr. Wicak)</t>
  </si>
  <si>
    <t>Notebook ACER SWIFT SF314-54G-88EF Core i7-8550U for Kadafi</t>
  </si>
  <si>
    <t>Notebook DELL Inspiron 14 3467 Core i5-7200U #3</t>
  </si>
  <si>
    <t>Desktop WULYANA PASRILA</t>
  </si>
  <si>
    <t>Desktop MONIKA YULIANI</t>
  </si>
  <si>
    <t>Notebook JIMMY  TJAN</t>
  </si>
  <si>
    <t>Notebook CITRA AJI SANJAYA</t>
  </si>
  <si>
    <t>Computer DELL Inspiron 3650 (Core i3-6100)</t>
  </si>
  <si>
    <t>Notebook DELL Inspiron 14 3467 Core i5-7200U Danang</t>
  </si>
  <si>
    <t>Notebook DELL Inspiron 14 3467 Core i5-7200U #2 / Ichsan</t>
  </si>
  <si>
    <t>Notebook DELL Inspiron 14 3467 Core i5-7200U #3 / Ricky</t>
  </si>
  <si>
    <t>Notebook DELL Inspiron 14 3467 Core i5-7200U #4 / ada di IT</t>
  </si>
  <si>
    <t>Notebook DELL Inspiron 14 i7 for R Subketi</t>
  </si>
  <si>
    <t>Notebook DELL Inspiron 14 i7 for Hermawan / Bagas</t>
  </si>
  <si>
    <t>Notebook DELL Inspiron 14 i7 for Aquarialdi</t>
  </si>
  <si>
    <t>Notebook DELL Inspiron 14 i7 for Dibyo / Nicky</t>
  </si>
  <si>
    <t>Notebook for Agung Adityo</t>
  </si>
  <si>
    <t>Notebook for Sabrina Zahra</t>
  </si>
  <si>
    <t>Printer for OEM Customer Delivery</t>
  </si>
  <si>
    <t xml:space="preserve">Computer for Hana Zahra </t>
  </si>
  <si>
    <t>Computer for Yunarissa</t>
  </si>
  <si>
    <t xml:space="preserve">Cupboard Lion and Chair </t>
  </si>
  <si>
    <t xml:space="preserve">001 </t>
  </si>
  <si>
    <t xml:space="preserve">Computer replacement for Wawan Wijaya </t>
  </si>
  <si>
    <t xml:space="preserve">Computer replacement for Meri Indah </t>
  </si>
  <si>
    <t xml:space="preserve">Computer replacement for Munjirin </t>
  </si>
  <si>
    <t xml:space="preserve">Rack / cupboard for sparepart  ( add  1 unit ) </t>
  </si>
  <si>
    <t xml:space="preserve">Rack for increase capacity </t>
  </si>
  <si>
    <t xml:space="preserve">Computer replacement for Rio ( Notebook ) </t>
  </si>
  <si>
    <t xml:space="preserve">Computer replacement for Hana Apriliani </t>
  </si>
  <si>
    <t xml:space="preserve">Chemical Cabinet </t>
  </si>
  <si>
    <t>Battery Forklift  ( YUASA )</t>
  </si>
  <si>
    <t>Printer LQ WH FG</t>
  </si>
  <si>
    <t>Komputer (Pak Asep)</t>
  </si>
  <si>
    <t>Desktop (Dede WH FG)</t>
  </si>
  <si>
    <t>Monitor WH Receive FG</t>
  </si>
  <si>
    <t xml:space="preserve">Handlift </t>
  </si>
  <si>
    <t>BGT.FY124</t>
  </si>
  <si>
    <t>BGT.FY125</t>
  </si>
  <si>
    <t>BGT.FY123</t>
  </si>
  <si>
    <t>BGT.FY122</t>
  </si>
  <si>
    <t>BGT.FY121</t>
  </si>
  <si>
    <t>Computer for General Cost</t>
  </si>
  <si>
    <t>Laptop for FA (SM)</t>
  </si>
  <si>
    <t>Computer for AR</t>
  </si>
  <si>
    <t>Computer for AP</t>
  </si>
  <si>
    <t>Computer for Treasury</t>
  </si>
  <si>
    <t>Computer for Tax</t>
  </si>
  <si>
    <t>Laptop for FA (GM)</t>
  </si>
  <si>
    <t>Period</t>
  </si>
  <si>
    <t>Budget Allocation</t>
  </si>
  <si>
    <t>Update Welding machine from Rotary table became Twin Rotary Table （№5）NEW</t>
  </si>
  <si>
    <t>Vaccum Cleaner</t>
  </si>
  <si>
    <t>Drump Pump</t>
  </si>
  <si>
    <t>Desktop PC</t>
  </si>
  <si>
    <t>Printer Warna EPSON L1300</t>
  </si>
  <si>
    <t>Handlift OPK maks 2500 kg</t>
  </si>
  <si>
    <t>PERSONAL COMPUTER</t>
  </si>
  <si>
    <t>Assets Allocation</t>
  </si>
  <si>
    <t>Montly Depre</t>
  </si>
  <si>
    <t>End Depre</t>
  </si>
  <si>
    <t>2020_10</t>
  </si>
  <si>
    <t>2020_11</t>
  </si>
  <si>
    <t>2020_12</t>
  </si>
  <si>
    <t>2021_01</t>
  </si>
  <si>
    <t>2021_02</t>
  </si>
  <si>
    <t>2021_03</t>
  </si>
  <si>
    <t>2021_04</t>
  </si>
  <si>
    <t>2021_05</t>
  </si>
  <si>
    <t>2021_06</t>
  </si>
  <si>
    <t>2021_07</t>
  </si>
  <si>
    <t>2021_08</t>
  </si>
  <si>
    <t>2021_09</t>
  </si>
  <si>
    <t>2021_10</t>
  </si>
  <si>
    <t>2021_11</t>
  </si>
  <si>
    <t>2021_12</t>
  </si>
  <si>
    <t>2022_01</t>
  </si>
  <si>
    <t>2022_02</t>
  </si>
  <si>
    <t>2022_03</t>
  </si>
  <si>
    <t>2022_04</t>
  </si>
  <si>
    <t>2022_05</t>
  </si>
  <si>
    <t>2022_06</t>
  </si>
  <si>
    <t>2022_07</t>
  </si>
  <si>
    <t>2022_08</t>
  </si>
  <si>
    <t>2022_09</t>
  </si>
  <si>
    <t>2022_10</t>
  </si>
  <si>
    <t>2022_11</t>
  </si>
  <si>
    <t>2022_12</t>
  </si>
  <si>
    <t>2023_01</t>
  </si>
  <si>
    <t>2023_02</t>
  </si>
  <si>
    <t>2023_03</t>
  </si>
  <si>
    <t>TOTAL FY121</t>
  </si>
  <si>
    <t>TOTAL FY122</t>
  </si>
  <si>
    <t>TOTAL FY123</t>
  </si>
  <si>
    <t>COA Name of Depre</t>
  </si>
  <si>
    <t>2023_04</t>
  </si>
  <si>
    <t>2023_05</t>
  </si>
  <si>
    <t>2023_06</t>
  </si>
  <si>
    <t>2023_07</t>
  </si>
  <si>
    <t>2023_08</t>
  </si>
  <si>
    <t>2023_09</t>
  </si>
  <si>
    <t>2023_10</t>
  </si>
  <si>
    <t>2023_11</t>
  </si>
  <si>
    <t>2023_12</t>
  </si>
  <si>
    <t>2024_01</t>
  </si>
  <si>
    <t>2024_02</t>
  </si>
  <si>
    <t>2024_03</t>
  </si>
  <si>
    <t>TOTAL FY124</t>
  </si>
  <si>
    <t/>
  </si>
  <si>
    <t>Name COA AX</t>
  </si>
  <si>
    <t>Staff Welfare - Safety Shoes</t>
  </si>
  <si>
    <t>Depreciation-Lease Machinery &amp; equipment</t>
  </si>
  <si>
    <t>the amount of depreciation of tangible assets for machinery &amp; factory equipment (Leases)</t>
  </si>
  <si>
    <t>Depreciation - Right of use Assets</t>
  </si>
  <si>
    <t>the amount of depreciation of right of use assets</t>
  </si>
  <si>
    <t>All</t>
  </si>
  <si>
    <t>B0000</t>
  </si>
  <si>
    <t>Audit Fee</t>
  </si>
  <si>
    <t>a fee for external auditor of accounting assessment</t>
  </si>
  <si>
    <t>Security Guard</t>
  </si>
  <si>
    <t>Fee for security from outsourcing company</t>
  </si>
  <si>
    <t>Service Fee (Canteen Meal &amp; other service for staff)</t>
  </si>
  <si>
    <t>Expense for canteen</t>
  </si>
  <si>
    <t>A299</t>
    <phoneticPr fontId="12"/>
  </si>
  <si>
    <t>Import Duty-purchased FG from outside supplier</t>
  </si>
  <si>
    <t>Import Expense-purchased FG from outside supplier</t>
  </si>
  <si>
    <t>Expense-purchased Packaging material from outside supplier</t>
  </si>
  <si>
    <t>Subcontracting Cost</t>
  </si>
  <si>
    <t>Indirect material costs</t>
  </si>
  <si>
    <t>Cost of Oil</t>
  </si>
  <si>
    <t>HP Kawai - BIP</t>
  </si>
  <si>
    <t>Notebook for Iwaizako san - BIP (ex Kawabata san)</t>
  </si>
  <si>
    <t>Notebook for Aries SN - BIP</t>
  </si>
  <si>
    <t>Notebook for Kawai san - BIP (ex Goto san)</t>
  </si>
  <si>
    <t>Fire Hydrant 2nd Step (Water tank, Piping, Sprinkle)</t>
  </si>
  <si>
    <t>Fire Alarm system for fire hydrant</t>
  </si>
  <si>
    <t>PC IWAIZAKO - BIP</t>
  </si>
  <si>
    <t>Transformer from Takenaka&amp; Kinden</t>
    <phoneticPr fontId="22" type="noConversion"/>
  </si>
  <si>
    <t>Transformer from Takenaka&amp; Kinden</t>
  </si>
  <si>
    <t>To Section (Code)</t>
  </si>
  <si>
    <t>To Section (Name)</t>
  </si>
  <si>
    <t>Section From (Code)</t>
  </si>
  <si>
    <t>Section From (Name)</t>
  </si>
  <si>
    <t>Budget_Period</t>
  </si>
  <si>
    <t>Budget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</si>
</sst>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b/>
      <sz val="12"/>
      <color theme="0"/>
      <name val="Tahoma"/>
      <family val="2"/>
    </font>
    <font>
      <b/>
      <sz val="12"/>
      <color rgb="FF0033CC"/>
      <name val="Tahoma"/>
      <family val="2"/>
    </font>
    <font>
      <sz val="12"/>
      <color theme="1"/>
      <name val="Tahoma"/>
      <family val="2"/>
    </font>
    <font>
      <sz val="10"/>
      <color theme="1"/>
      <name val="Tahoma"/>
      <family val="2"/>
    </font>
    <font>
      <sz val="10"/>
      <color rgb="FF0033CC"/>
      <name val="Tahoma"/>
      <family val="2"/>
    </font>
    <font>
      <b/>
      <sz val="10"/>
      <color theme="1"/>
      <name val="Tahoma"/>
      <family val="2"/>
    </font>
    <font>
      <sz val="10"/>
      <color rgb="FFC00000"/>
      <name val="Tahoma"/>
      <family val="2"/>
    </font>
    <font>
      <sz val="10"/>
      <name val="Calibri"/>
      <family val="2"/>
      <scheme val="minor"/>
    </font>
    <font>
      <b/>
      <sz val="10"/>
      <color theme="0"/>
      <name val="Tahoma"/>
      <family val="2"/>
    </font>
    <font>
      <sz val="10"/>
      <color theme="0"/>
      <name val="Tahoma"/>
      <family val="2"/>
    </font>
    <font>
      <sz val="9"/>
      <color theme="1"/>
      <name val="Calibri"/>
      <family val="2"/>
      <scheme val="minor"/>
    </font>
    <font>
      <sz val="10"/>
      <name val="Tahoma"/>
      <family val="2"/>
    </font>
    <font>
      <b/>
      <sz val="10"/>
      <color rgb="FF0000FF"/>
      <name val="Tahoma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name val="Tahoma"/>
      <family val="2"/>
    </font>
    <font>
      <b/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6"/>
      <name val="Calibri"/>
      <family val="3"/>
      <charset val="128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indexed="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>
      <alignment vertical="center"/>
    </xf>
    <xf numFmtId="0" fontId="1" fillId="0" borderId="0"/>
    <xf numFmtId="0" fontId="13" fillId="7" borderId="0"/>
    <xf numFmtId="0" fontId="23" fillId="0" borderId="0"/>
    <xf numFmtId="43" fontId="1" fillId="0" borderId="0" applyFont="0" applyFill="0" applyBorder="0" applyAlignment="0" applyProtection="0"/>
    <xf numFmtId="0" fontId="2" fillId="0" borderId="0">
      <alignment vertical="center"/>
    </xf>
    <xf numFmtId="0" fontId="1" fillId="0" borderId="0"/>
  </cellStyleXfs>
  <cellXfs count="129">
    <xf numFmtId="0" fontId="0" fillId="0" borderId="0" xfId="0"/>
    <xf numFmtId="0" fontId="3" fillId="2" borderId="0" xfId="3" applyFont="1" applyFill="1" applyAlignment="1">
      <alignment horizontal="center" vertical="center" wrapText="1"/>
    </xf>
    <xf numFmtId="0" fontId="4" fillId="3" borderId="0" xfId="3" applyFont="1" applyFill="1" applyAlignment="1">
      <alignment horizontal="center" vertical="center" wrapText="1"/>
    </xf>
    <xf numFmtId="0" fontId="5" fillId="0" borderId="0" xfId="3" applyFont="1" applyAlignment="1">
      <alignment vertical="center" wrapText="1"/>
    </xf>
    <xf numFmtId="0" fontId="6" fillId="0" borderId="0" xfId="3" applyFont="1">
      <alignment vertical="center"/>
    </xf>
    <xf numFmtId="0" fontId="6" fillId="0" borderId="0" xfId="3" applyFont="1" applyAlignment="1">
      <alignment horizontal="center" vertical="center"/>
    </xf>
    <xf numFmtId="0" fontId="7" fillId="0" borderId="0" xfId="3" applyFont="1" applyAlignment="1">
      <alignment horizontal="center" vertical="center"/>
    </xf>
    <xf numFmtId="0" fontId="7" fillId="0" borderId="0" xfId="3" applyFont="1">
      <alignment vertical="center"/>
    </xf>
    <xf numFmtId="0" fontId="6" fillId="4" borderId="0" xfId="3" applyFont="1" applyFill="1">
      <alignment vertical="center"/>
    </xf>
    <xf numFmtId="0" fontId="7" fillId="5" borderId="0" xfId="3" applyFont="1" applyFill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9" fillId="4" borderId="0" xfId="3" applyFont="1" applyFill="1" applyAlignment="1">
      <alignment horizontal="center" vertical="center"/>
    </xf>
    <xf numFmtId="0" fontId="10" fillId="0" borderId="0" xfId="4" applyFont="1" applyAlignment="1">
      <alignment horizontal="center" vertical="center"/>
    </xf>
    <xf numFmtId="0" fontId="11" fillId="6" borderId="1" xfId="3" applyFont="1" applyFill="1" applyBorder="1" applyAlignment="1">
      <alignment horizontal="center" vertical="center"/>
    </xf>
    <xf numFmtId="0" fontId="11" fillId="2" borderId="0" xfId="3" applyFont="1" applyFill="1">
      <alignment vertical="center"/>
    </xf>
    <xf numFmtId="0" fontId="12" fillId="6" borderId="1" xfId="3" applyFont="1" applyFill="1" applyBorder="1" applyAlignment="1">
      <alignment horizontal="center" vertical="center"/>
    </xf>
    <xf numFmtId="0" fontId="8" fillId="0" borderId="1" xfId="3" applyFont="1" applyBorder="1" applyAlignment="1">
      <alignment horizontal="center" vertical="center"/>
    </xf>
    <xf numFmtId="0" fontId="8" fillId="0" borderId="1" xfId="3" applyFont="1" applyBorder="1">
      <alignment vertical="center"/>
    </xf>
    <xf numFmtId="0" fontId="14" fillId="0" borderId="1" xfId="5" applyFont="1" applyFill="1" applyBorder="1" applyAlignment="1">
      <alignment vertical="center"/>
    </xf>
    <xf numFmtId="0" fontId="14" fillId="0" borderId="1" xfId="5" applyFont="1" applyFill="1" applyBorder="1" applyAlignment="1">
      <alignment horizontal="center" vertical="center"/>
    </xf>
    <xf numFmtId="0" fontId="15" fillId="0" borderId="1" xfId="3" applyFont="1" applyBorder="1">
      <alignment vertical="center"/>
    </xf>
    <xf numFmtId="0" fontId="6" fillId="0" borderId="1" xfId="3" applyFont="1" applyBorder="1">
      <alignment vertical="center"/>
    </xf>
    <xf numFmtId="0" fontId="6" fillId="0" borderId="1" xfId="3" applyFont="1" applyBorder="1" applyAlignment="1">
      <alignment horizontal="center" vertical="center"/>
    </xf>
    <xf numFmtId="0" fontId="14" fillId="0" borderId="1" xfId="3" applyFont="1" applyBorder="1">
      <alignment vertical="center"/>
    </xf>
    <xf numFmtId="0" fontId="17" fillId="0" borderId="0" xfId="0" applyFont="1" applyAlignment="1">
      <alignment vertical="center" wrapText="1"/>
    </xf>
    <xf numFmtId="0" fontId="16" fillId="0" borderId="0" xfId="0" applyFont="1" applyAlignment="1">
      <alignment vertical="center"/>
    </xf>
    <xf numFmtId="164" fontId="16" fillId="0" borderId="0" xfId="1" applyNumberFormat="1" applyFont="1" applyFill="1" applyBorder="1" applyAlignment="1">
      <alignment vertical="center"/>
    </xf>
    <xf numFmtId="9" fontId="16" fillId="0" borderId="0" xfId="2" applyFont="1" applyFill="1" applyBorder="1" applyAlignment="1">
      <alignment vertical="center"/>
    </xf>
    <xf numFmtId="165" fontId="10" fillId="0" borderId="0" xfId="1" applyNumberFormat="1" applyFont="1" applyFill="1" applyBorder="1" applyAlignment="1">
      <alignment vertical="center"/>
    </xf>
    <xf numFmtId="49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65" fontId="16" fillId="0" borderId="0" xfId="0" applyNumberFormat="1" applyFont="1" applyAlignment="1">
      <alignment vertical="center"/>
    </xf>
    <xf numFmtId="0" fontId="6" fillId="0" borderId="1" xfId="1" applyNumberFormat="1" applyFont="1" applyBorder="1" applyAlignment="1">
      <alignment horizontal="center" vertical="center"/>
    </xf>
    <xf numFmtId="0" fontId="6" fillId="0" borderId="1" xfId="1" applyNumberFormat="1" applyFont="1" applyBorder="1" applyAlignment="1">
      <alignment vertical="center"/>
    </xf>
    <xf numFmtId="0" fontId="8" fillId="0" borderId="0" xfId="0" applyFont="1" applyAlignment="1">
      <alignment horizontal="center" vertical="top"/>
    </xf>
    <xf numFmtId="0" fontId="8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20" fillId="0" borderId="1" xfId="0" applyFont="1" applyFill="1" applyBorder="1" applyAlignment="1">
      <alignment horizontal="center" vertical="top"/>
    </xf>
    <xf numFmtId="0" fontId="14" fillId="0" borderId="1" xfId="0" applyFont="1" applyFill="1" applyBorder="1" applyAlignment="1">
      <alignment horizontal="left" vertical="top" wrapText="1"/>
    </xf>
    <xf numFmtId="0" fontId="14" fillId="0" borderId="1" xfId="0" applyFont="1" applyFill="1" applyBorder="1" applyAlignment="1">
      <alignment horizontal="center" vertical="top"/>
    </xf>
    <xf numFmtId="0" fontId="14" fillId="0" borderId="1" xfId="0" applyFont="1" applyFill="1" applyBorder="1" applyAlignment="1">
      <alignment horizontal="left" vertical="top"/>
    </xf>
    <xf numFmtId="0" fontId="20" fillId="0" borderId="1" xfId="0" applyFont="1" applyFill="1" applyBorder="1" applyAlignment="1">
      <alignment horizontal="left" vertical="top" wrapText="1"/>
    </xf>
    <xf numFmtId="0" fontId="21" fillId="2" borderId="0" xfId="0" applyFont="1" applyFill="1" applyAlignment="1">
      <alignment horizontal="center" vertical="center" wrapText="1"/>
    </xf>
    <xf numFmtId="164" fontId="21" fillId="2" borderId="0" xfId="1" applyNumberFormat="1" applyFont="1" applyFill="1" applyBorder="1" applyAlignment="1">
      <alignment horizontal="center" vertical="center" wrapText="1"/>
    </xf>
    <xf numFmtId="165" fontId="21" fillId="2" borderId="0" xfId="0" applyNumberFormat="1" applyFont="1" applyFill="1" applyAlignment="1">
      <alignment horizontal="center" vertical="center" wrapText="1"/>
    </xf>
    <xf numFmtId="49" fontId="10" fillId="0" borderId="0" xfId="0" applyNumberFormat="1" applyFont="1" applyFill="1" applyAlignment="1">
      <alignment horizontal="center" vertical="center"/>
    </xf>
    <xf numFmtId="0" fontId="16" fillId="0" borderId="0" xfId="0" applyFont="1" applyFill="1" applyAlignment="1">
      <alignment vertical="center"/>
    </xf>
    <xf numFmtId="0" fontId="16" fillId="0" borderId="0" xfId="0" applyFont="1" applyFill="1" applyAlignment="1">
      <alignment horizontal="center" vertical="center"/>
    </xf>
    <xf numFmtId="49" fontId="16" fillId="0" borderId="0" xfId="0" applyNumberFormat="1" applyFont="1" applyFill="1" applyAlignment="1">
      <alignment horizontal="center" vertical="center"/>
    </xf>
    <xf numFmtId="165" fontId="16" fillId="0" borderId="0" xfId="0" applyNumberFormat="1" applyFont="1" applyFill="1" applyAlignment="1">
      <alignment vertical="center"/>
    </xf>
    <xf numFmtId="164" fontId="16" fillId="0" borderId="0" xfId="1" applyNumberFormat="1" applyFont="1" applyFill="1" applyAlignment="1">
      <alignment vertical="center"/>
    </xf>
    <xf numFmtId="164" fontId="16" fillId="0" borderId="0" xfId="1" applyNumberFormat="1" applyFont="1" applyAlignment="1">
      <alignment vertical="center"/>
    </xf>
    <xf numFmtId="164" fontId="21" fillId="2" borderId="0" xfId="1" applyNumberFormat="1" applyFont="1" applyFill="1" applyAlignment="1">
      <alignment vertical="center" wrapText="1"/>
    </xf>
    <xf numFmtId="49" fontId="17" fillId="4" borderId="0" xfId="0" applyNumberFormat="1" applyFont="1" applyFill="1" applyAlignment="1">
      <alignment horizontal="center" vertical="center" wrapText="1"/>
    </xf>
    <xf numFmtId="0" fontId="17" fillId="4" borderId="0" xfId="0" applyFont="1" applyFill="1" applyAlignment="1">
      <alignment horizontal="center" vertical="center" wrapText="1"/>
    </xf>
    <xf numFmtId="164" fontId="17" fillId="4" borderId="0" xfId="1" applyNumberFormat="1" applyFont="1" applyFill="1" applyBorder="1" applyAlignment="1">
      <alignment horizontal="center" vertical="center" wrapText="1"/>
    </xf>
    <xf numFmtId="9" fontId="17" fillId="4" borderId="0" xfId="2" applyFont="1" applyFill="1" applyBorder="1" applyAlignment="1">
      <alignment horizontal="center" vertical="center" wrapText="1"/>
    </xf>
    <xf numFmtId="165" fontId="17" fillId="4" borderId="0" xfId="0" applyNumberFormat="1" applyFont="1" applyFill="1" applyAlignment="1">
      <alignment horizontal="center" vertical="center" wrapText="1"/>
    </xf>
    <xf numFmtId="164" fontId="17" fillId="0" borderId="0" xfId="1" applyNumberFormat="1" applyFont="1" applyAlignment="1">
      <alignment vertical="center" wrapText="1"/>
    </xf>
    <xf numFmtId="164" fontId="21" fillId="8" borderId="0" xfId="1" applyNumberFormat="1" applyFont="1" applyFill="1" applyAlignment="1">
      <alignment vertical="center" wrapText="1"/>
    </xf>
    <xf numFmtId="164" fontId="21" fillId="9" borderId="0" xfId="1" applyNumberFormat="1" applyFont="1" applyFill="1" applyAlignment="1">
      <alignment vertical="center" wrapText="1"/>
    </xf>
    <xf numFmtId="164" fontId="21" fillId="10" borderId="0" xfId="1" applyNumberFormat="1" applyFont="1" applyFill="1" applyAlignment="1">
      <alignment vertical="center" wrapText="1"/>
    </xf>
    <xf numFmtId="164" fontId="21" fillId="11" borderId="0" xfId="1" applyNumberFormat="1" applyFont="1" applyFill="1" applyAlignment="1">
      <alignment vertical="center" wrapText="1"/>
    </xf>
    <xf numFmtId="0" fontId="21" fillId="2" borderId="0" xfId="1" applyNumberFormat="1" applyFont="1" applyFill="1" applyAlignment="1">
      <alignment horizontal="center" vertical="center" wrapText="1"/>
    </xf>
    <xf numFmtId="49" fontId="10" fillId="0" borderId="0" xfId="0" applyNumberFormat="1" applyFont="1" applyAlignment="1">
      <alignment horizontal="center" vertical="center"/>
    </xf>
    <xf numFmtId="0" fontId="16" fillId="12" borderId="0" xfId="0" applyFont="1" applyFill="1" applyAlignment="1">
      <alignment vertical="center"/>
    </xf>
    <xf numFmtId="0" fontId="16" fillId="13" borderId="0" xfId="0" applyFont="1" applyFill="1" applyAlignment="1">
      <alignment horizontal="center" vertical="center"/>
    </xf>
    <xf numFmtId="164" fontId="16" fillId="13" borderId="0" xfId="1" applyNumberFormat="1" applyFont="1" applyFill="1" applyBorder="1" applyAlignment="1">
      <alignment vertical="center"/>
    </xf>
    <xf numFmtId="164" fontId="16" fillId="14" borderId="0" xfId="1" applyNumberFormat="1" applyFont="1" applyFill="1" applyAlignment="1">
      <alignment vertical="center"/>
    </xf>
    <xf numFmtId="164" fontId="16" fillId="12" borderId="0" xfId="1" applyNumberFormat="1" applyFont="1" applyFill="1" applyAlignment="1">
      <alignment vertical="center"/>
    </xf>
    <xf numFmtId="164" fontId="16" fillId="15" borderId="0" xfId="1" applyNumberFormat="1" applyFont="1" applyFill="1" applyAlignment="1">
      <alignment vertical="center"/>
    </xf>
    <xf numFmtId="164" fontId="16" fillId="16" borderId="0" xfId="1" applyNumberFormat="1" applyFont="1" applyFill="1" applyAlignment="1">
      <alignment vertical="center"/>
    </xf>
    <xf numFmtId="0" fontId="16" fillId="17" borderId="0" xfId="1" applyNumberFormat="1" applyFont="1" applyFill="1" applyAlignment="1">
      <alignment horizontal="center" vertical="center"/>
    </xf>
    <xf numFmtId="164" fontId="10" fillId="18" borderId="0" xfId="1" applyNumberFormat="1" applyFont="1" applyFill="1" applyAlignment="1">
      <alignment vertical="center"/>
    </xf>
    <xf numFmtId="0" fontId="16" fillId="0" borderId="0" xfId="1" applyNumberFormat="1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3" fillId="2" borderId="0" xfId="8" applyFont="1" applyFill="1" applyAlignment="1">
      <alignment horizontal="center" vertical="center" wrapText="1"/>
    </xf>
    <xf numFmtId="0" fontId="4" fillId="3" borderId="0" xfId="8" applyFont="1" applyFill="1" applyAlignment="1">
      <alignment horizontal="center" vertical="center" wrapText="1"/>
    </xf>
    <xf numFmtId="0" fontId="5" fillId="8" borderId="0" xfId="8" applyFont="1" applyFill="1" applyAlignment="1">
      <alignment vertical="center" wrapText="1"/>
    </xf>
    <xf numFmtId="0" fontId="11" fillId="6" borderId="1" xfId="8" applyFont="1" applyFill="1" applyBorder="1" applyAlignment="1">
      <alignment horizontal="center" vertical="center"/>
    </xf>
    <xf numFmtId="0" fontId="11" fillId="2" borderId="0" xfId="8" applyFont="1" applyFill="1">
      <alignment vertical="center"/>
    </xf>
    <xf numFmtId="0" fontId="11" fillId="8" borderId="1" xfId="8" applyFont="1" applyFill="1" applyBorder="1" applyAlignment="1">
      <alignment horizontal="center" vertical="center"/>
    </xf>
    <xf numFmtId="0" fontId="12" fillId="6" borderId="1" xfId="8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5" fillId="0" borderId="0" xfId="8" applyFont="1" applyAlignment="1">
      <alignment vertical="center" wrapText="1"/>
    </xf>
    <xf numFmtId="0" fontId="6" fillId="0" borderId="0" xfId="8" applyFont="1">
      <alignment vertical="center"/>
    </xf>
    <xf numFmtId="0" fontId="6" fillId="0" borderId="0" xfId="8" applyFont="1" applyAlignment="1">
      <alignment horizontal="center" vertical="center"/>
    </xf>
    <xf numFmtId="0" fontId="7" fillId="0" borderId="0" xfId="8" applyFont="1" applyAlignment="1">
      <alignment horizontal="center" vertical="center"/>
    </xf>
    <xf numFmtId="0" fontId="7" fillId="0" borderId="0" xfId="8" applyFont="1">
      <alignment vertical="center"/>
    </xf>
    <xf numFmtId="0" fontId="6" fillId="8" borderId="0" xfId="8" applyFont="1" applyFill="1">
      <alignment vertical="center"/>
    </xf>
    <xf numFmtId="0" fontId="15" fillId="0" borderId="1" xfId="8" applyFont="1" applyBorder="1">
      <alignment vertical="center"/>
    </xf>
    <xf numFmtId="0" fontId="6" fillId="0" borderId="1" xfId="8" applyFont="1" applyBorder="1">
      <alignment vertical="center"/>
    </xf>
    <xf numFmtId="0" fontId="14" fillId="0" borderId="1" xfId="0" applyFont="1" applyBorder="1" applyAlignment="1">
      <alignment horizontal="center" vertical="top"/>
    </xf>
    <xf numFmtId="0" fontId="14" fillId="0" borderId="1" xfId="0" applyFont="1" applyBorder="1" applyAlignment="1">
      <alignment horizontal="left" vertical="top"/>
    </xf>
    <xf numFmtId="0" fontId="14" fillId="0" borderId="1" xfId="0" applyFont="1" applyBorder="1" applyAlignment="1">
      <alignment horizontal="left" vertical="top" wrapText="1"/>
    </xf>
    <xf numFmtId="0" fontId="14" fillId="0" borderId="1" xfId="8" applyFont="1" applyBorder="1">
      <alignment vertical="center"/>
    </xf>
    <xf numFmtId="0" fontId="15" fillId="14" borderId="1" xfId="5" applyFont="1" applyFill="1" applyBorder="1" applyAlignment="1">
      <alignment vertical="center"/>
    </xf>
    <xf numFmtId="0" fontId="15" fillId="14" borderId="1" xfId="5" applyFont="1" applyFill="1" applyBorder="1" applyAlignment="1">
      <alignment horizontal="center" vertical="center"/>
    </xf>
    <xf numFmtId="0" fontId="15" fillId="14" borderId="1" xfId="8" applyFont="1" applyFill="1" applyBorder="1">
      <alignment vertical="center"/>
    </xf>
    <xf numFmtId="0" fontId="6" fillId="4" borderId="0" xfId="8" applyFont="1" applyFill="1">
      <alignment vertical="center"/>
    </xf>
    <xf numFmtId="0" fontId="7" fillId="5" borderId="0" xfId="8" applyFont="1" applyFill="1" applyAlignment="1">
      <alignment horizontal="center" vertical="center"/>
    </xf>
    <xf numFmtId="0" fontId="9" fillId="0" borderId="0" xfId="8" applyFont="1" applyAlignment="1">
      <alignment horizontal="center" vertical="center"/>
    </xf>
    <xf numFmtId="0" fontId="9" fillId="4" borderId="0" xfId="8" applyFont="1" applyFill="1" applyAlignment="1">
      <alignment horizontal="center" vertical="center"/>
    </xf>
    <xf numFmtId="0" fontId="10" fillId="0" borderId="0" xfId="9" applyFont="1" applyAlignment="1">
      <alignment horizontal="center" vertical="center"/>
    </xf>
    <xf numFmtId="0" fontId="17" fillId="0" borderId="0" xfId="0" applyNumberFormat="1" applyFont="1" applyAlignment="1">
      <alignment vertical="center" wrapText="1"/>
    </xf>
    <xf numFmtId="0" fontId="16" fillId="0" borderId="0" xfId="0" applyNumberFormat="1" applyFont="1" applyAlignment="1">
      <alignment vertical="center"/>
    </xf>
    <xf numFmtId="0" fontId="17" fillId="4" borderId="0" xfId="0" applyNumberFormat="1" applyFont="1" applyFill="1" applyAlignment="1">
      <alignment horizontal="center" vertical="center" wrapText="1"/>
    </xf>
    <xf numFmtId="0" fontId="16" fillId="12" borderId="0" xfId="0" applyNumberFormat="1" applyFont="1" applyFill="1" applyAlignment="1">
      <alignment vertical="center"/>
    </xf>
    <xf numFmtId="0" fontId="16" fillId="0" borderId="0" xfId="0" applyNumberFormat="1" applyFont="1" applyAlignment="1">
      <alignment horizontal="center" vertical="center"/>
    </xf>
    <xf numFmtId="0" fontId="10" fillId="0" borderId="0" xfId="0" applyNumberFormat="1" applyFont="1" applyFill="1" applyAlignment="1">
      <alignment horizontal="center" vertical="center"/>
    </xf>
    <xf numFmtId="0" fontId="16" fillId="0" borderId="0" xfId="0" applyNumberFormat="1" applyFont="1" applyFill="1" applyAlignment="1">
      <alignment vertical="center"/>
    </xf>
    <xf numFmtId="0" fontId="16" fillId="0" borderId="0" xfId="1" applyNumberFormat="1" applyFont="1" applyFill="1" applyAlignment="1">
      <alignment horizontal="center" vertical="center"/>
    </xf>
    <xf numFmtId="164" fontId="10" fillId="0" borderId="0" xfId="1" applyNumberFormat="1" applyFont="1" applyFill="1" applyAlignment="1">
      <alignment vertical="center"/>
    </xf>
    <xf numFmtId="49" fontId="16" fillId="3" borderId="0" xfId="0" applyNumberFormat="1" applyFont="1" applyFill="1" applyAlignment="1">
      <alignment horizontal="center" vertical="center"/>
    </xf>
    <xf numFmtId="0" fontId="16" fillId="3" borderId="0" xfId="0" applyFont="1" applyFill="1" applyAlignment="1">
      <alignment vertical="center"/>
    </xf>
    <xf numFmtId="0" fontId="16" fillId="3" borderId="0" xfId="0" applyFont="1" applyFill="1" applyAlignment="1">
      <alignment horizontal="center" vertical="center"/>
    </xf>
    <xf numFmtId="164" fontId="16" fillId="3" borderId="0" xfId="1" applyNumberFormat="1" applyFont="1" applyFill="1" applyBorder="1" applyAlignment="1">
      <alignment vertical="center"/>
    </xf>
    <xf numFmtId="9" fontId="16" fillId="3" borderId="0" xfId="2" applyFont="1" applyFill="1" applyBorder="1" applyAlignment="1">
      <alignment vertical="center"/>
    </xf>
    <xf numFmtId="165" fontId="16" fillId="3" borderId="0" xfId="0" applyNumberFormat="1" applyFont="1" applyFill="1" applyAlignment="1">
      <alignment vertical="center"/>
    </xf>
    <xf numFmtId="164" fontId="16" fillId="3" borderId="0" xfId="1" applyNumberFormat="1" applyFont="1" applyFill="1" applyAlignment="1">
      <alignment vertical="center"/>
    </xf>
    <xf numFmtId="49" fontId="10" fillId="3" borderId="0" xfId="0" applyNumberFormat="1" applyFont="1" applyFill="1" applyAlignment="1">
      <alignment horizontal="center" vertical="center"/>
    </xf>
    <xf numFmtId="165" fontId="10" fillId="3" borderId="0" xfId="1" applyNumberFormat="1" applyFont="1" applyFill="1" applyBorder="1" applyAlignment="1">
      <alignment vertical="center"/>
    </xf>
    <xf numFmtId="0" fontId="16" fillId="3" borderId="0" xfId="0" applyNumberFormat="1" applyFont="1" applyFill="1" applyAlignment="1">
      <alignment horizontal="center" vertical="center"/>
    </xf>
    <xf numFmtId="0" fontId="16" fillId="3" borderId="0" xfId="0" applyNumberFormat="1" applyFont="1" applyFill="1" applyAlignment="1">
      <alignment vertical="center"/>
    </xf>
    <xf numFmtId="0" fontId="21" fillId="2" borderId="0" xfId="2" applyNumberFormat="1" applyFont="1" applyFill="1" applyBorder="1" applyAlignment="1">
      <alignment horizontal="center" vertical="center" wrapText="1"/>
    </xf>
    <xf numFmtId="0" fontId="16" fillId="0" borderId="0" xfId="2" applyNumberFormat="1" applyFont="1" applyFill="1" applyBorder="1" applyAlignment="1">
      <alignment vertical="center"/>
    </xf>
    <xf numFmtId="0" fontId="16" fillId="3" borderId="0" xfId="2" applyNumberFormat="1" applyFont="1" applyFill="1" applyBorder="1" applyAlignment="1">
      <alignment vertical="center"/>
    </xf>
    <xf numFmtId="0" fontId="21" fillId="2" borderId="0" xfId="0" applyNumberFormat="1" applyFont="1" applyFill="1" applyAlignment="1">
      <alignment horizontal="center" vertical="center" wrapText="1"/>
    </xf>
  </cellXfs>
  <cellStyles count="10">
    <cellStyle name="Comma" xfId="1" builtinId="3"/>
    <cellStyle name="Comma 3 2" xfId="7" xr:uid="{BDF3CC1A-D45E-486A-AF90-DA506EE3AB88}"/>
    <cellStyle name="Normal" xfId="0" builtinId="0"/>
    <cellStyle name="Normal 2" xfId="3" xr:uid="{D0D1230D-BB5C-46B9-A32E-5621CE411B76}"/>
    <cellStyle name="Normal 2 2" xfId="8" xr:uid="{ADB9C855-0262-4ACB-BA30-02FEFD8893D8}"/>
    <cellStyle name="Normal 20" xfId="6" xr:uid="{125DC8AC-BF0B-497B-AC05-35793C1AF6F9}"/>
    <cellStyle name="Normal 3 3" xfId="4" xr:uid="{0F0BDEAB-4BF8-46D3-9F0B-44F6E0812104}"/>
    <cellStyle name="Normal 3 3 2 2 4" xfId="9" xr:uid="{D1E986E0-2BDF-4861-AFB0-11E61CFDAFF8}"/>
    <cellStyle name="Percent" xfId="2" builtinId="5"/>
    <cellStyle name="標準 2 2" xfId="5" xr:uid="{2993C973-C45A-484E-A994-6D971E3D88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9.xml"/><Relationship Id="rId23" Type="http://schemas.openxmlformats.org/officeDocument/2006/relationships/calcChain" Target="calcChain.xml"/><Relationship Id="rId10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ction1\center\&#12467;&#12540;&#12489;&#34920;PDM&#12487;&#12540;&#12479;\&#20027;&#20307;&#37329;&#20855;\SHELL%20%20%20(&#12467;&#12540;&#12489;&#65297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12467;&#12540;&#12489;&#34920;PDM&#12487;&#12540;&#12479;\&#20027;&#20307;&#37329;&#20855;\SHELL%20%20%20(&#12467;&#12540;&#12489;&#65297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KBUSISVR\hrd_ga\&#20491;&#20154;&#12487;&#65293;&#12479;\&#37325;&#26494;\&#12498;&#12473;&#12488;&#12464;&#12521;&#12512;\&#65419;&#65405;&#65412;&#65400;&#65438;&#65431;&#65425;(LZKAR7A)&#65298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nts%20and%20Settings\PT.%20NGK\My%20Documents\my%20documents\102&#65374;104&#26399;&#20986;&#33655;&#20104;&#23450;&#34920;&#21508;&#37096;&#37197;&#24067;&#29992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pson-mt7500-01\&#20107;&#26989;&#25613;&#30410;&#35211;&#31309;db\PE&#12503;&#12525;&#12487;&#12517;&#12540;&#12473;\183&#26399;\&#38283;&#30330;&#36027;&#29992;Original\CA&#38283;&#30330;&#36027;&#29992;&#35211;&#31309;DB\CA&#35373;&#20633;&#25237;&#36039;&#35336;&#30011;&#26360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KBUSISVR\hrd_ga\Users\kk.384\AppData\Local\Temp\WINNT\Profiles\ichikawa\Personal\&#29983;&#29987;&#29366;&#27841;&#22577;&#21578;&#12539;&#65296;&#65301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k.384\AppData\Local\Temp\WINNT\Profiles\ichikawa\Personal\&#29983;&#29987;&#29366;&#27841;&#22577;&#21578;&#12539;&#65296;&#65301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KBUSISVR\hrd_ga\Users\kk.384\AppData\Local\Temp\DOCUME~1\osumi\LOCALS~1\Temp\notesFFF692\&#36914;&#25431;CHECK&#12471;&#12540;&#12488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k.384\AppData\Local\Temp\DOCUME~1\osumi\LOCALS~1\Temp\notesFFF692\&#36914;&#25431;CHECK&#12471;&#12540;&#12488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chikawa\ichikawa_Data\Documents%20and%20Settings\ichikawa\&#12487;&#12473;&#12463;&#12488;&#12483;&#12503;\&#29983;&#29987;&#29366;&#27841;&#22577;&#21578;\2001\&#25903;&#25588;&#35336;&#30011;&#12539;&#65298;&#65296;&#65296;&#65296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MMA-PDC\js\WINDOWS\&#65411;&#65438;&#65405;&#65400;&#65412;&#65391;&#65420;&#65439;\&#65332;&#65337;setubi\kb410.210.16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i-filesrv05\home\DOCUME~1\takane\LOCALS~1\Temp\c.lotus.notes.data\&#38283;&#30330;&#35336;&#30011;&#21697;&#30058;&#12522;&#12473;&#12488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mma-pdc\js\MY%20DOCUMENTS\&#20013;&#26399;&#35336;&#30011;\&#65305;&#65304;&#12539;&#20013;&#35336;\&#20013;&#26399;&#35336;&#30011;&#65305;&#65304;&#35211;&#30452;&#1237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金具工程見出し"/>
      <sheetName val="主体金具コード表"/>
      <sheetName val="Sheet1"/>
      <sheetName val="Welfare"/>
      <sheetName val="Acc Code &amp; Sec"/>
      <sheetName val="Tran-Emp"/>
      <sheetName val="COA2"/>
      <sheetName val="Definition"/>
      <sheetName val="SEC"/>
      <sheetName val="Unit"/>
      <sheetName val="SNGK Section code"/>
      <sheetName val="COA"/>
      <sheetName val="Mapp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金具工程見出し"/>
      <sheetName val="主体金具コード表"/>
      <sheetName val="CODE-NAME"/>
      <sheetName val="ocean voyage"/>
      <sheetName val="2002"/>
      <sheetName val="直製(集計)"/>
      <sheetName val="3300-00"/>
      <sheetName val="出力②"/>
      <sheetName val="グラフ用"/>
      <sheetName val="Master"/>
      <sheetName val="PKW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使い方"/>
      <sheetName val="入力①"/>
      <sheetName val="出力①"/>
      <sheetName val="マクロ①"/>
      <sheetName val="入力②"/>
      <sheetName val="出力②"/>
      <sheetName val="マクロ②"/>
      <sheetName val="グラフ用"/>
      <sheetName val="3100-00"/>
    </sheetNames>
    <sheetDataSet>
      <sheetData sheetId="0" refreshError="1"/>
      <sheetData sheetId="1"/>
      <sheetData sheetId="2" refreshError="1"/>
      <sheetData sheetId="3" refreshError="1"/>
      <sheetData sheetId="4"/>
      <sheetData sheetId="5">
        <row r="7">
          <cell r="G7" t="str">
            <v>区間</v>
          </cell>
          <cell r="H7" t="str">
            <v>中央値</v>
          </cell>
          <cell r="I7" t="str">
            <v>度数</v>
          </cell>
        </row>
        <row r="8">
          <cell r="G8" t="str">
            <v>～16.35</v>
          </cell>
          <cell r="H8">
            <v>0</v>
          </cell>
          <cell r="I8">
            <v>0</v>
          </cell>
        </row>
        <row r="9">
          <cell r="G9" t="str">
            <v>16.35～16.365</v>
          </cell>
          <cell r="H9">
            <v>16.357500000000002</v>
          </cell>
          <cell r="I9">
            <v>6</v>
          </cell>
        </row>
        <row r="10">
          <cell r="G10" t="str">
            <v>16.365～16.38</v>
          </cell>
          <cell r="H10">
            <v>16.372500000000002</v>
          </cell>
          <cell r="I10">
            <v>10</v>
          </cell>
        </row>
        <row r="11">
          <cell r="G11" t="str">
            <v>16.38～16.395</v>
          </cell>
          <cell r="H11">
            <v>16.387500000000003</v>
          </cell>
          <cell r="I11">
            <v>13</v>
          </cell>
        </row>
        <row r="12">
          <cell r="G12" t="str">
            <v>16.395～16.41</v>
          </cell>
          <cell r="H12">
            <v>16.402500000000003</v>
          </cell>
          <cell r="I12">
            <v>1</v>
          </cell>
        </row>
        <row r="13">
          <cell r="G13" t="str">
            <v>16.41～16.425</v>
          </cell>
          <cell r="H13">
            <v>16.417500000000004</v>
          </cell>
          <cell r="I13">
            <v>0</v>
          </cell>
        </row>
        <row r="14">
          <cell r="G14" t="str">
            <v>16.425～16.44</v>
          </cell>
          <cell r="H14">
            <v>16.432500000000005</v>
          </cell>
          <cell r="I14">
            <v>0</v>
          </cell>
        </row>
        <row r="15">
          <cell r="G15" t="str">
            <v>16.44～16.455</v>
          </cell>
          <cell r="H15">
            <v>16.447500000000005</v>
          </cell>
          <cell r="I15">
            <v>0</v>
          </cell>
        </row>
        <row r="16">
          <cell r="G16" t="str">
            <v>16.455～16.47</v>
          </cell>
          <cell r="H16">
            <v>16.462500000000006</v>
          </cell>
          <cell r="I16">
            <v>0</v>
          </cell>
        </row>
        <row r="17">
          <cell r="G17" t="str">
            <v>16.47～</v>
          </cell>
          <cell r="H17">
            <v>0</v>
          </cell>
          <cell r="I17">
            <v>0</v>
          </cell>
        </row>
        <row r="18">
          <cell r="G18">
            <v>0</v>
          </cell>
          <cell r="H18">
            <v>0</v>
          </cell>
          <cell r="I18">
            <v>0</v>
          </cell>
        </row>
        <row r="19">
          <cell r="G19">
            <v>0</v>
          </cell>
          <cell r="H19">
            <v>0</v>
          </cell>
          <cell r="I19">
            <v>0</v>
          </cell>
        </row>
      </sheetData>
      <sheetData sheetId="6" refreshError="1"/>
      <sheetData sheetId="7">
        <row r="3">
          <cell r="E3">
            <v>15.852</v>
          </cell>
          <cell r="F3">
            <v>0</v>
          </cell>
        </row>
        <row r="4">
          <cell r="E4">
            <v>15.852</v>
          </cell>
          <cell r="F4">
            <v>0</v>
          </cell>
          <cell r="I4" t="str">
            <v>～16.35</v>
          </cell>
          <cell r="J4">
            <v>0</v>
          </cell>
        </row>
        <row r="5">
          <cell r="E5">
            <v>15.852</v>
          </cell>
          <cell r="F5">
            <v>0</v>
          </cell>
          <cell r="H5">
            <v>16.365000000000002</v>
          </cell>
          <cell r="I5">
            <v>16.357500000000002</v>
          </cell>
          <cell r="J5">
            <v>6</v>
          </cell>
        </row>
        <row r="6">
          <cell r="E6">
            <v>15.852</v>
          </cell>
          <cell r="F6">
            <v>0</v>
          </cell>
          <cell r="H6">
            <v>16.380000000000003</v>
          </cell>
          <cell r="I6">
            <v>16.372500000000002</v>
          </cell>
          <cell r="J6">
            <v>10</v>
          </cell>
        </row>
        <row r="7">
          <cell r="E7">
            <v>15.852</v>
          </cell>
          <cell r="F7">
            <v>0</v>
          </cell>
          <cell r="H7">
            <v>16.395000000000003</v>
          </cell>
          <cell r="I7">
            <v>16.387500000000003</v>
          </cell>
          <cell r="J7">
            <v>13</v>
          </cell>
        </row>
        <row r="8">
          <cell r="E8">
            <v>15.852</v>
          </cell>
          <cell r="F8">
            <v>0</v>
          </cell>
          <cell r="H8">
            <v>16.410000000000004</v>
          </cell>
          <cell r="I8">
            <v>16.402500000000003</v>
          </cell>
          <cell r="J8">
            <v>1</v>
          </cell>
        </row>
        <row r="9">
          <cell r="E9">
            <v>15.852</v>
          </cell>
          <cell r="F9">
            <v>0</v>
          </cell>
          <cell r="H9">
            <v>16.425000000000004</v>
          </cell>
          <cell r="I9">
            <v>16.417500000000004</v>
          </cell>
          <cell r="J9">
            <v>0</v>
          </cell>
        </row>
        <row r="10">
          <cell r="E10">
            <v>15.852</v>
          </cell>
          <cell r="F10">
            <v>0</v>
          </cell>
          <cell r="H10">
            <v>16.440000000000005</v>
          </cell>
          <cell r="I10">
            <v>16.432500000000005</v>
          </cell>
          <cell r="J10">
            <v>0</v>
          </cell>
        </row>
        <row r="11">
          <cell r="E11">
            <v>15.852</v>
          </cell>
          <cell r="F11">
            <v>0</v>
          </cell>
          <cell r="H11">
            <v>16.455000000000005</v>
          </cell>
          <cell r="I11">
            <v>16.447500000000005</v>
          </cell>
          <cell r="J11">
            <v>0</v>
          </cell>
        </row>
        <row r="12">
          <cell r="E12">
            <v>15.852</v>
          </cell>
          <cell r="F12">
            <v>0</v>
          </cell>
          <cell r="H12">
            <v>16.470000000000006</v>
          </cell>
          <cell r="I12">
            <v>16.462500000000006</v>
          </cell>
          <cell r="J12">
            <v>0</v>
          </cell>
        </row>
        <row r="13">
          <cell r="E13">
            <v>15.852</v>
          </cell>
          <cell r="F13">
            <v>0</v>
          </cell>
          <cell r="H13">
            <v>16.485000000000007</v>
          </cell>
          <cell r="I13" t="str">
            <v>16.47～</v>
          </cell>
          <cell r="J13">
            <v>0</v>
          </cell>
        </row>
        <row r="14">
          <cell r="E14">
            <v>15.852</v>
          </cell>
          <cell r="F14">
            <v>0</v>
          </cell>
        </row>
      </sheetData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ｺﾋﾟｰ用（直セ）"/>
      <sheetName val="ｺﾋﾟｰ用（海プ）"/>
      <sheetName val="ｺﾋﾟｰ用（全社）"/>
      <sheetName val="生産進捗表（機械別）（サンプル）"/>
      <sheetName val="グラフ用"/>
    </sheetNames>
    <sheetDataSet>
      <sheetData sheetId="0">
        <row r="1">
          <cell r="E1" t="str">
            <v>ﾋﾝ</v>
          </cell>
          <cell r="F1" t="str">
            <v>CD</v>
          </cell>
          <cell r="H1" t="str">
            <v>ｵﾘ</v>
          </cell>
          <cell r="I1" t="str">
            <v>ｲｯ</v>
          </cell>
          <cell r="J1" t="str">
            <v>ｾｷ</v>
          </cell>
          <cell r="K1" t="str">
            <v>ﾒｰ</v>
          </cell>
          <cell r="L1" t="str">
            <v>ｹｲ</v>
          </cell>
          <cell r="M1" t="str">
            <v>ﾕｼｭ</v>
          </cell>
          <cell r="N1" t="str">
            <v>ﾕｼｭｵﾘ</v>
          </cell>
          <cell r="O1" t="str">
            <v>ｹｲ</v>
          </cell>
          <cell r="Q1" t="str">
            <v>ｵﾘ</v>
          </cell>
          <cell r="R1" t="str">
            <v>ｲｯ</v>
          </cell>
          <cell r="S1" t="str">
            <v>ｾｷ</v>
          </cell>
          <cell r="T1" t="str">
            <v>ﾒｰ</v>
          </cell>
          <cell r="U1" t="str">
            <v>ｹｲ</v>
          </cell>
          <cell r="V1" t="str">
            <v>ﾕｼｭ</v>
          </cell>
          <cell r="W1" t="str">
            <v>ﾕｼｭｵﾘ</v>
          </cell>
          <cell r="X1" t="str">
            <v xml:space="preserve">ｹｲ      </v>
          </cell>
        </row>
        <row r="2">
          <cell r="E2" t="str">
            <v>ヒューズ試作</v>
          </cell>
          <cell r="F2" t="str">
            <v>PX10109</v>
          </cell>
          <cell r="G2" t="str">
            <v>数量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60</v>
          </cell>
          <cell r="N2">
            <v>0</v>
          </cell>
          <cell r="O2">
            <v>60</v>
          </cell>
          <cell r="P2" t="str">
            <v>金額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240000</v>
          </cell>
          <cell r="W2">
            <v>0</v>
          </cell>
          <cell r="X2">
            <v>240000</v>
          </cell>
          <cell r="Y2" t="str">
            <v xml:space="preserve"> </v>
          </cell>
        </row>
        <row r="3">
          <cell r="E3" t="str">
            <v>温度センサー</v>
          </cell>
          <cell r="F3" t="str">
            <v>PX101</v>
          </cell>
          <cell r="G3" t="str">
            <v>数量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60</v>
          </cell>
          <cell r="N3">
            <v>0</v>
          </cell>
          <cell r="O3">
            <v>60</v>
          </cell>
          <cell r="P3" t="str">
            <v>金額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240000</v>
          </cell>
          <cell r="W3">
            <v>0</v>
          </cell>
          <cell r="X3">
            <v>240000</v>
          </cell>
          <cell r="Y3" t="str">
            <v xml:space="preserve"> </v>
          </cell>
        </row>
        <row r="4">
          <cell r="E4" t="str">
            <v>ジルコニア完成品</v>
          </cell>
          <cell r="F4" t="str">
            <v>PX11101</v>
          </cell>
          <cell r="G4" t="str">
            <v>数量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1825072</v>
          </cell>
          <cell r="N4">
            <v>1816956</v>
          </cell>
          <cell r="O4">
            <v>1825072</v>
          </cell>
          <cell r="P4" t="str">
            <v>金額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2068879810</v>
          </cell>
          <cell r="W4">
            <v>2058893260</v>
          </cell>
          <cell r="X4">
            <v>2068879810</v>
          </cell>
          <cell r="Y4" t="str">
            <v xml:space="preserve"> </v>
          </cell>
        </row>
        <row r="5">
          <cell r="E5" t="str">
            <v>ジルコニア部品</v>
          </cell>
          <cell r="F5" t="str">
            <v>PX11102</v>
          </cell>
          <cell r="G5" t="str">
            <v>数量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10000</v>
          </cell>
          <cell r="N5">
            <v>10000</v>
          </cell>
          <cell r="O5">
            <v>10000</v>
          </cell>
          <cell r="P5" t="str">
            <v>金額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75000</v>
          </cell>
          <cell r="W5">
            <v>75000</v>
          </cell>
          <cell r="X5">
            <v>75000</v>
          </cell>
          <cell r="Y5" t="str">
            <v xml:space="preserve"> </v>
          </cell>
        </row>
        <row r="6">
          <cell r="E6" t="str">
            <v>ジルコニア試作</v>
          </cell>
          <cell r="F6" t="str">
            <v>PX11103</v>
          </cell>
          <cell r="G6" t="str">
            <v>数量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913</v>
          </cell>
          <cell r="N6">
            <v>0</v>
          </cell>
          <cell r="O6">
            <v>913</v>
          </cell>
          <cell r="P6" t="str">
            <v>金額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4204745</v>
          </cell>
          <cell r="W6">
            <v>0</v>
          </cell>
          <cell r="X6">
            <v>4204745</v>
          </cell>
          <cell r="Y6" t="str">
            <v xml:space="preserve"> </v>
          </cell>
        </row>
        <row r="7">
          <cell r="E7" t="str">
            <v>チタニア</v>
          </cell>
          <cell r="F7" t="str">
            <v>PX11105</v>
          </cell>
          <cell r="G7" t="str">
            <v>数量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13440</v>
          </cell>
          <cell r="N7">
            <v>13440</v>
          </cell>
          <cell r="O7">
            <v>13440</v>
          </cell>
          <cell r="P7" t="str">
            <v>金額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27291840</v>
          </cell>
          <cell r="W7">
            <v>27291840</v>
          </cell>
          <cell r="X7">
            <v>27291840</v>
          </cell>
          <cell r="Y7" t="str">
            <v xml:space="preserve"> </v>
          </cell>
        </row>
        <row r="8">
          <cell r="E8" t="str">
            <v>全領域センサ－</v>
          </cell>
          <cell r="F8" t="str">
            <v>PX11111</v>
          </cell>
          <cell r="G8" t="str">
            <v>数量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45711</v>
          </cell>
          <cell r="N8">
            <v>0</v>
          </cell>
          <cell r="O8">
            <v>45711</v>
          </cell>
          <cell r="P8" t="str">
            <v>金額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123931022</v>
          </cell>
          <cell r="W8">
            <v>0</v>
          </cell>
          <cell r="X8">
            <v>123931022</v>
          </cell>
          <cell r="Y8" t="str">
            <v xml:space="preserve"> </v>
          </cell>
        </row>
        <row r="9">
          <cell r="E9" t="str">
            <v>全領域部品</v>
          </cell>
          <cell r="F9" t="str">
            <v>PX11112</v>
          </cell>
          <cell r="G9" t="str">
            <v>数量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290</v>
          </cell>
          <cell r="N9">
            <v>0</v>
          </cell>
          <cell r="O9">
            <v>290</v>
          </cell>
          <cell r="P9" t="str">
            <v>金額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6218400</v>
          </cell>
          <cell r="W9">
            <v>0</v>
          </cell>
          <cell r="X9">
            <v>6218400</v>
          </cell>
          <cell r="Y9" t="str">
            <v xml:space="preserve"> </v>
          </cell>
        </row>
        <row r="10">
          <cell r="E10" t="str">
            <v>全領域試作</v>
          </cell>
          <cell r="F10" t="str">
            <v>PX11113</v>
          </cell>
          <cell r="G10" t="str">
            <v>数量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150</v>
          </cell>
          <cell r="N10">
            <v>0</v>
          </cell>
          <cell r="O10">
            <v>150</v>
          </cell>
          <cell r="P10" t="str">
            <v>金額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5454100</v>
          </cell>
          <cell r="W10">
            <v>0</v>
          </cell>
          <cell r="X10">
            <v>5454100</v>
          </cell>
          <cell r="Y10" t="str">
            <v xml:space="preserve"> </v>
          </cell>
        </row>
        <row r="11">
          <cell r="E11" t="str">
            <v>酸素センサー</v>
          </cell>
          <cell r="F11" t="str">
            <v>PX111</v>
          </cell>
          <cell r="G11" t="str">
            <v>数量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1895576</v>
          </cell>
          <cell r="N11">
            <v>1840396</v>
          </cell>
          <cell r="O11">
            <v>1895576</v>
          </cell>
          <cell r="P11" t="str">
            <v>金額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2236054917</v>
          </cell>
          <cell r="W11">
            <v>2086260100</v>
          </cell>
          <cell r="X11">
            <v>2236054917</v>
          </cell>
          <cell r="Y11" t="str">
            <v xml:space="preserve"> </v>
          </cell>
        </row>
        <row r="12">
          <cell r="E12" t="str">
            <v>ＮＯＸセンサー</v>
          </cell>
          <cell r="F12" t="str">
            <v>PX12101</v>
          </cell>
          <cell r="G12" t="str">
            <v>数量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847</v>
          </cell>
          <cell r="N12">
            <v>847</v>
          </cell>
          <cell r="O12">
            <v>847</v>
          </cell>
          <cell r="P12" t="str">
            <v>金額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2855237</v>
          </cell>
          <cell r="W12">
            <v>2855237</v>
          </cell>
          <cell r="X12">
            <v>2855237</v>
          </cell>
          <cell r="Y12" t="str">
            <v xml:space="preserve"> </v>
          </cell>
        </row>
        <row r="13">
          <cell r="E13" t="str">
            <v>ＮＯＸ回路</v>
          </cell>
          <cell r="F13" t="str">
            <v>PX12102</v>
          </cell>
          <cell r="G13" t="str">
            <v>数量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350</v>
          </cell>
          <cell r="N13">
            <v>350</v>
          </cell>
          <cell r="O13">
            <v>350</v>
          </cell>
          <cell r="P13" t="str">
            <v>金額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837200</v>
          </cell>
          <cell r="W13">
            <v>837200</v>
          </cell>
          <cell r="X13">
            <v>837200</v>
          </cell>
          <cell r="Y13" t="str">
            <v xml:space="preserve"> </v>
          </cell>
        </row>
        <row r="14">
          <cell r="E14" t="str">
            <v>ノックセンサー</v>
          </cell>
          <cell r="F14" t="str">
            <v>PX12105</v>
          </cell>
          <cell r="G14" t="str">
            <v>数量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218604</v>
          </cell>
          <cell r="N14">
            <v>218604</v>
          </cell>
          <cell r="O14">
            <v>218604</v>
          </cell>
          <cell r="P14" t="str">
            <v>金額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84894000</v>
          </cell>
          <cell r="W14">
            <v>84894000</v>
          </cell>
          <cell r="X14">
            <v>84894000</v>
          </cell>
          <cell r="Y14" t="str">
            <v xml:space="preserve"> </v>
          </cell>
        </row>
        <row r="15">
          <cell r="E15" t="str">
            <v>ノック　試作品</v>
          </cell>
          <cell r="F15" t="str">
            <v>PX12107</v>
          </cell>
          <cell r="G15" t="str">
            <v>数量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500</v>
          </cell>
          <cell r="N15">
            <v>0</v>
          </cell>
          <cell r="O15">
            <v>500</v>
          </cell>
          <cell r="P15" t="str">
            <v>金額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1350000</v>
          </cell>
          <cell r="W15">
            <v>0</v>
          </cell>
          <cell r="X15">
            <v>1350000</v>
          </cell>
          <cell r="Y15" t="str">
            <v xml:space="preserve"> </v>
          </cell>
        </row>
        <row r="16">
          <cell r="E16" t="str">
            <v>その他のセンサー</v>
          </cell>
          <cell r="F16" t="str">
            <v>PX121</v>
          </cell>
          <cell r="G16" t="str">
            <v>数量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220301</v>
          </cell>
          <cell r="N16">
            <v>219801</v>
          </cell>
          <cell r="O16">
            <v>220301</v>
          </cell>
          <cell r="P16" t="str">
            <v>金額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89936437</v>
          </cell>
          <cell r="W16">
            <v>88586437</v>
          </cell>
          <cell r="X16">
            <v>89936437</v>
          </cell>
          <cell r="Y16" t="str">
            <v xml:space="preserve"> </v>
          </cell>
        </row>
        <row r="17">
          <cell r="E17" t="str">
            <v>センサ－</v>
          </cell>
          <cell r="F17" t="str">
            <v>PX1</v>
          </cell>
          <cell r="G17" t="str">
            <v>数量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2115937</v>
          </cell>
          <cell r="N17">
            <v>2060197</v>
          </cell>
          <cell r="O17">
            <v>2115937</v>
          </cell>
          <cell r="P17" t="str">
            <v>金額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2326231354</v>
          </cell>
          <cell r="W17">
            <v>2174846537</v>
          </cell>
          <cell r="X17">
            <v>2326231354</v>
          </cell>
          <cell r="Y17" t="str">
            <v xml:space="preserve"> </v>
          </cell>
        </row>
        <row r="18">
          <cell r="E18" t="str">
            <v>コントロラー</v>
          </cell>
          <cell r="F18" t="str">
            <v>PX50101</v>
          </cell>
          <cell r="G18" t="str">
            <v>数量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680</v>
          </cell>
          <cell r="N18">
            <v>680</v>
          </cell>
          <cell r="O18">
            <v>680</v>
          </cell>
          <cell r="P18" t="str">
            <v>金額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1236480</v>
          </cell>
          <cell r="W18">
            <v>1236480</v>
          </cell>
          <cell r="X18">
            <v>1236480</v>
          </cell>
          <cell r="Y18" t="str">
            <v xml:space="preserve"> </v>
          </cell>
        </row>
        <row r="19">
          <cell r="E19" t="str">
            <v>リレー</v>
          </cell>
          <cell r="F19" t="str">
            <v>PX50110</v>
          </cell>
          <cell r="G19" t="str">
            <v>数量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300</v>
          </cell>
          <cell r="N19">
            <v>300</v>
          </cell>
          <cell r="O19">
            <v>300</v>
          </cell>
          <cell r="P19" t="str">
            <v>金額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320100</v>
          </cell>
          <cell r="W19">
            <v>320100</v>
          </cell>
          <cell r="X19">
            <v>320100</v>
          </cell>
          <cell r="Y19" t="str">
            <v xml:space="preserve"> </v>
          </cell>
        </row>
        <row r="20">
          <cell r="E20" t="str">
            <v>エアーヒーター</v>
          </cell>
          <cell r="F20" t="str">
            <v>PX50113</v>
          </cell>
          <cell r="G20" t="str">
            <v>数量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6600</v>
          </cell>
          <cell r="N20">
            <v>6600</v>
          </cell>
          <cell r="O20">
            <v>6600</v>
          </cell>
          <cell r="P20" t="str">
            <v>金額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15877200</v>
          </cell>
          <cell r="W20">
            <v>15877200</v>
          </cell>
          <cell r="X20">
            <v>15877200</v>
          </cell>
          <cell r="Y20" t="str">
            <v xml:space="preserve"> </v>
          </cell>
        </row>
        <row r="21">
          <cell r="E21" t="str">
            <v>その他</v>
          </cell>
          <cell r="F21" t="str">
            <v>PX50190</v>
          </cell>
          <cell r="G21" t="str">
            <v>数量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400</v>
          </cell>
          <cell r="N21">
            <v>400</v>
          </cell>
          <cell r="O21">
            <v>400</v>
          </cell>
          <cell r="P21" t="str">
            <v>金額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426000</v>
          </cell>
          <cell r="W21">
            <v>426000</v>
          </cell>
          <cell r="X21">
            <v>426000</v>
          </cell>
          <cell r="Y21" t="str">
            <v xml:space="preserve"> </v>
          </cell>
        </row>
        <row r="22">
          <cell r="E22" t="str">
            <v>Ｑ．Ｇ．Ｓ．</v>
          </cell>
          <cell r="F22" t="str">
            <v>PX501</v>
          </cell>
          <cell r="G22" t="str">
            <v>数量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7980</v>
          </cell>
          <cell r="N22">
            <v>7980</v>
          </cell>
          <cell r="O22">
            <v>7980</v>
          </cell>
          <cell r="P22" t="str">
            <v>金額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17859780</v>
          </cell>
          <cell r="W22">
            <v>17859780</v>
          </cell>
          <cell r="X22">
            <v>17859780</v>
          </cell>
          <cell r="Y22" t="str">
            <v xml:space="preserve"> </v>
          </cell>
        </row>
        <row r="23">
          <cell r="E23" t="str">
            <v>関連品その他</v>
          </cell>
          <cell r="F23" t="str">
            <v>PX5</v>
          </cell>
          <cell r="G23" t="str">
            <v>数量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7980</v>
          </cell>
          <cell r="N23">
            <v>7980</v>
          </cell>
          <cell r="O23">
            <v>7980</v>
          </cell>
          <cell r="P23" t="str">
            <v>金額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17859780</v>
          </cell>
          <cell r="W23">
            <v>17859780</v>
          </cell>
          <cell r="X23">
            <v>17859780</v>
          </cell>
          <cell r="Y23" t="str">
            <v xml:space="preserve"> </v>
          </cell>
        </row>
        <row r="24">
          <cell r="E24" t="str">
            <v>関連品</v>
          </cell>
          <cell r="F24" t="str">
            <v>PX</v>
          </cell>
          <cell r="G24" t="str">
            <v>数量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2123917</v>
          </cell>
          <cell r="N24">
            <v>2068177</v>
          </cell>
          <cell r="O24">
            <v>2123917</v>
          </cell>
          <cell r="P24" t="str">
            <v>金額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2344091134</v>
          </cell>
          <cell r="W24">
            <v>2192706317</v>
          </cell>
          <cell r="X24">
            <v>2344091134</v>
          </cell>
          <cell r="Y24" t="str">
            <v xml:space="preserve"> </v>
          </cell>
        </row>
        <row r="25">
          <cell r="F25" t="str">
            <v xml:space="preserve"> </v>
          </cell>
          <cell r="G25" t="str">
            <v>数量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2123917</v>
          </cell>
          <cell r="N25">
            <v>2068177</v>
          </cell>
          <cell r="O25">
            <v>2123917</v>
          </cell>
          <cell r="P25" t="str">
            <v>金額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2344091134</v>
          </cell>
          <cell r="W25">
            <v>2192706317</v>
          </cell>
          <cell r="X25">
            <v>2344091134</v>
          </cell>
          <cell r="Y25" t="str">
            <v xml:space="preserve"> </v>
          </cell>
        </row>
      </sheetData>
      <sheetData sheetId="1">
        <row r="1">
          <cell r="E1" t="str">
            <v>ﾋﾝ</v>
          </cell>
          <cell r="F1" t="str">
            <v>CD</v>
          </cell>
          <cell r="H1" t="str">
            <v>ｵﾘ</v>
          </cell>
          <cell r="I1" t="str">
            <v>ｲｯ</v>
          </cell>
          <cell r="J1" t="str">
            <v>ｾｷ</v>
          </cell>
          <cell r="K1" t="str">
            <v>ﾒｰ</v>
          </cell>
          <cell r="L1" t="str">
            <v>ｹｲ</v>
          </cell>
          <cell r="M1" t="str">
            <v>ﾕｼｭ</v>
          </cell>
          <cell r="N1" t="str">
            <v>ﾕｼｭｵﾘ</v>
          </cell>
          <cell r="O1" t="str">
            <v>ｹｲ</v>
          </cell>
          <cell r="Q1" t="str">
            <v>ｵﾘ</v>
          </cell>
          <cell r="R1" t="str">
            <v>ｲｯ</v>
          </cell>
          <cell r="S1" t="str">
            <v>ｾｷ</v>
          </cell>
          <cell r="T1" t="str">
            <v>ﾒｰ</v>
          </cell>
          <cell r="U1" t="str">
            <v>ｹｲ</v>
          </cell>
          <cell r="V1" t="str">
            <v>ﾕｼｭ</v>
          </cell>
          <cell r="W1" t="str">
            <v>ﾕｼｭｵﾘ</v>
          </cell>
          <cell r="X1" t="str">
            <v xml:space="preserve">ｹｲ      </v>
          </cell>
        </row>
        <row r="2">
          <cell r="E2" t="str">
            <v>レギュラー</v>
          </cell>
          <cell r="F2" t="str">
            <v>PP10101</v>
          </cell>
          <cell r="G2" t="str">
            <v>数量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474380</v>
          </cell>
          <cell r="N2">
            <v>0</v>
          </cell>
          <cell r="O2">
            <v>474380</v>
          </cell>
          <cell r="P2" t="str">
            <v>金額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32693017</v>
          </cell>
          <cell r="W2">
            <v>0</v>
          </cell>
          <cell r="X2">
            <v>32693017</v>
          </cell>
          <cell r="Y2" t="str">
            <v xml:space="preserve"> </v>
          </cell>
        </row>
        <row r="3">
          <cell r="E3" t="str">
            <v>グリーン</v>
          </cell>
          <cell r="F3" t="str">
            <v>PP10103</v>
          </cell>
          <cell r="G3" t="str">
            <v>数量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21900</v>
          </cell>
          <cell r="N3">
            <v>0</v>
          </cell>
          <cell r="O3">
            <v>21900</v>
          </cell>
          <cell r="P3" t="str">
            <v>金額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1485120</v>
          </cell>
          <cell r="W3">
            <v>0</v>
          </cell>
          <cell r="X3">
            <v>1485120</v>
          </cell>
          <cell r="Y3" t="str">
            <v xml:space="preserve"> </v>
          </cell>
        </row>
        <row r="4">
          <cell r="E4" t="str">
            <v>標準タイプ</v>
          </cell>
          <cell r="F4" t="str">
            <v>PP101</v>
          </cell>
          <cell r="G4" t="str">
            <v>数量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496280</v>
          </cell>
          <cell r="N4">
            <v>0</v>
          </cell>
          <cell r="O4">
            <v>496280</v>
          </cell>
          <cell r="P4" t="str">
            <v>金額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34178137</v>
          </cell>
          <cell r="W4">
            <v>0</v>
          </cell>
          <cell r="X4">
            <v>34178137</v>
          </cell>
          <cell r="Y4" t="str">
            <v xml:space="preserve"> </v>
          </cell>
        </row>
        <row r="5">
          <cell r="E5" t="str">
            <v>抵抗入レギュラー</v>
          </cell>
          <cell r="F5" t="str">
            <v>PP12601</v>
          </cell>
          <cell r="G5" t="str">
            <v>数量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53340</v>
          </cell>
          <cell r="N5">
            <v>22690</v>
          </cell>
          <cell r="O5">
            <v>53340</v>
          </cell>
          <cell r="P5" t="str">
            <v>金額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6633456</v>
          </cell>
          <cell r="W5">
            <v>1520430</v>
          </cell>
          <cell r="X5">
            <v>6633456</v>
          </cell>
          <cell r="Y5" t="str">
            <v xml:space="preserve"> </v>
          </cell>
        </row>
        <row r="6">
          <cell r="E6" t="str">
            <v>抵抗入グリーン</v>
          </cell>
          <cell r="F6" t="str">
            <v>PP12602</v>
          </cell>
          <cell r="G6" t="str">
            <v>数量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11100</v>
          </cell>
          <cell r="N6">
            <v>0</v>
          </cell>
          <cell r="O6">
            <v>11100</v>
          </cell>
          <cell r="P6" t="str">
            <v>金額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1035000</v>
          </cell>
          <cell r="W6">
            <v>0</v>
          </cell>
          <cell r="X6">
            <v>1035000</v>
          </cell>
          <cell r="Y6" t="str">
            <v xml:space="preserve"> </v>
          </cell>
        </row>
        <row r="7">
          <cell r="D7" t="str">
            <v xml:space="preserve"> </v>
          </cell>
          <cell r="E7" t="str">
            <v>Ｖパワー</v>
          </cell>
          <cell r="F7" t="str">
            <v>PP12603</v>
          </cell>
          <cell r="G7" t="str">
            <v>数量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146</v>
          </cell>
          <cell r="N7">
            <v>0</v>
          </cell>
          <cell r="O7">
            <v>146</v>
          </cell>
          <cell r="P7" t="str">
            <v>金額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11818</v>
          </cell>
          <cell r="W7">
            <v>0</v>
          </cell>
          <cell r="X7">
            <v>11818</v>
          </cell>
          <cell r="Y7" t="str">
            <v xml:space="preserve"> </v>
          </cell>
        </row>
        <row r="8">
          <cell r="E8" t="str">
            <v>小型プラグ</v>
          </cell>
          <cell r="F8" t="str">
            <v>PP12604</v>
          </cell>
          <cell r="G8" t="str">
            <v>数量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11680</v>
          </cell>
          <cell r="N8">
            <v>0</v>
          </cell>
          <cell r="O8">
            <v>11680</v>
          </cell>
          <cell r="P8" t="str">
            <v>金額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767100</v>
          </cell>
          <cell r="W8">
            <v>0</v>
          </cell>
          <cell r="X8">
            <v>767100</v>
          </cell>
          <cell r="Y8" t="str">
            <v xml:space="preserve"> </v>
          </cell>
        </row>
        <row r="9">
          <cell r="E9" t="str">
            <v>抵抗入ロングリチ</v>
          </cell>
          <cell r="F9" t="str">
            <v>PP12608</v>
          </cell>
          <cell r="G9" t="str">
            <v>数量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20</v>
          </cell>
          <cell r="N9">
            <v>0</v>
          </cell>
          <cell r="O9">
            <v>20</v>
          </cell>
          <cell r="P9" t="str">
            <v>金額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4716</v>
          </cell>
          <cell r="W9">
            <v>0</v>
          </cell>
          <cell r="X9">
            <v>4716</v>
          </cell>
          <cell r="Y9" t="str">
            <v xml:space="preserve"> </v>
          </cell>
        </row>
        <row r="10">
          <cell r="E10" t="str">
            <v>突き出し</v>
          </cell>
          <cell r="F10" t="str">
            <v>PP12610</v>
          </cell>
          <cell r="G10" t="str">
            <v>数量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38300</v>
          </cell>
          <cell r="N10">
            <v>31680</v>
          </cell>
          <cell r="O10">
            <v>38300</v>
          </cell>
          <cell r="P10" t="str">
            <v>金額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2623256</v>
          </cell>
          <cell r="W10">
            <v>1724976</v>
          </cell>
          <cell r="X10">
            <v>2623256</v>
          </cell>
          <cell r="Y10" t="str">
            <v xml:space="preserve"> </v>
          </cell>
        </row>
        <row r="11">
          <cell r="E11" t="str">
            <v>ＨＫ／ＥＫ／ＥＭ</v>
          </cell>
          <cell r="F11" t="str">
            <v>PP12620</v>
          </cell>
          <cell r="G11" t="str">
            <v>数量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6340</v>
          </cell>
          <cell r="N11">
            <v>0</v>
          </cell>
          <cell r="O11">
            <v>6340</v>
          </cell>
          <cell r="P11" t="str">
            <v>金額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1673426</v>
          </cell>
          <cell r="W11">
            <v>0</v>
          </cell>
          <cell r="X11">
            <v>1673426</v>
          </cell>
          <cell r="Y11" t="str">
            <v xml:space="preserve"> </v>
          </cell>
        </row>
        <row r="12">
          <cell r="E12" t="str">
            <v>ＥＴ</v>
          </cell>
          <cell r="F12" t="str">
            <v>PP12621</v>
          </cell>
          <cell r="G12" t="str">
            <v>数量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400</v>
          </cell>
          <cell r="N12">
            <v>0</v>
          </cell>
          <cell r="O12">
            <v>400</v>
          </cell>
          <cell r="P12" t="str">
            <v>金額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84309</v>
          </cell>
          <cell r="W12">
            <v>0</v>
          </cell>
          <cell r="X12">
            <v>84309</v>
          </cell>
          <cell r="Y12" t="str">
            <v xml:space="preserve"> </v>
          </cell>
        </row>
        <row r="13">
          <cell r="E13" t="str">
            <v>ＥＱ</v>
          </cell>
          <cell r="F13" t="str">
            <v>PP12622</v>
          </cell>
          <cell r="G13" t="str">
            <v>数量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30</v>
          </cell>
          <cell r="N13">
            <v>0</v>
          </cell>
          <cell r="O13">
            <v>30</v>
          </cell>
          <cell r="P13" t="str">
            <v>金額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13884</v>
          </cell>
          <cell r="W13">
            <v>0</v>
          </cell>
          <cell r="X13">
            <v>13884</v>
          </cell>
          <cell r="Y13" t="str">
            <v xml:space="preserve"> </v>
          </cell>
        </row>
        <row r="14">
          <cell r="E14" t="str">
            <v>レース用</v>
          </cell>
          <cell r="F14" t="str">
            <v>PP12672</v>
          </cell>
          <cell r="G14" t="str">
            <v>数量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1020</v>
          </cell>
          <cell r="N14">
            <v>0</v>
          </cell>
          <cell r="O14">
            <v>1020</v>
          </cell>
          <cell r="P14" t="str">
            <v>金額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244146</v>
          </cell>
          <cell r="W14">
            <v>0</v>
          </cell>
          <cell r="X14">
            <v>244146</v>
          </cell>
          <cell r="Y14" t="str">
            <v xml:space="preserve"> </v>
          </cell>
        </row>
        <row r="15">
          <cell r="E15" t="str">
            <v>セミレース用</v>
          </cell>
          <cell r="F15" t="str">
            <v>PP12673</v>
          </cell>
          <cell r="G15" t="str">
            <v>数量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1218</v>
          </cell>
          <cell r="N15">
            <v>0</v>
          </cell>
          <cell r="O15">
            <v>1218</v>
          </cell>
          <cell r="P15" t="str">
            <v>金額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243114</v>
          </cell>
          <cell r="W15">
            <v>0</v>
          </cell>
          <cell r="X15">
            <v>243114</v>
          </cell>
          <cell r="Y15" t="str">
            <v xml:space="preserve"> </v>
          </cell>
        </row>
        <row r="16">
          <cell r="E16" t="str">
            <v>その他</v>
          </cell>
          <cell r="F16" t="str">
            <v>PP12690</v>
          </cell>
          <cell r="G16" t="str">
            <v>数量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1</v>
          </cell>
          <cell r="N16">
            <v>0</v>
          </cell>
          <cell r="O16">
            <v>1</v>
          </cell>
          <cell r="P16" t="str">
            <v>金額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1636297</v>
          </cell>
          <cell r="W16">
            <v>0</v>
          </cell>
          <cell r="X16">
            <v>1636297</v>
          </cell>
          <cell r="Y16" t="str">
            <v xml:space="preserve"> </v>
          </cell>
        </row>
        <row r="17">
          <cell r="E17" t="str">
            <v>試　作</v>
          </cell>
          <cell r="F17" t="str">
            <v>PP12691</v>
          </cell>
          <cell r="G17" t="str">
            <v>数量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20</v>
          </cell>
          <cell r="N17">
            <v>0</v>
          </cell>
          <cell r="O17">
            <v>20</v>
          </cell>
          <cell r="P17" t="str">
            <v>金額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100288</v>
          </cell>
          <cell r="W17">
            <v>0</v>
          </cell>
          <cell r="X17">
            <v>100288</v>
          </cell>
          <cell r="Y17" t="str">
            <v xml:space="preserve"> </v>
          </cell>
        </row>
        <row r="18">
          <cell r="E18" t="str">
            <v>特殊品</v>
          </cell>
          <cell r="F18" t="str">
            <v>PP126</v>
          </cell>
          <cell r="G18" t="str">
            <v>数量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123615</v>
          </cell>
          <cell r="N18">
            <v>54370</v>
          </cell>
          <cell r="O18">
            <v>123615</v>
          </cell>
          <cell r="P18" t="str">
            <v>金額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15070810</v>
          </cell>
          <cell r="W18">
            <v>3245406</v>
          </cell>
          <cell r="X18">
            <v>15070810</v>
          </cell>
          <cell r="Y18" t="str">
            <v xml:space="preserve"> </v>
          </cell>
        </row>
        <row r="19">
          <cell r="E19" t="str">
            <v>Ｖ・ＶＸ</v>
          </cell>
          <cell r="F19" t="str">
            <v>PP13006</v>
          </cell>
          <cell r="G19" t="str">
            <v>数量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10994</v>
          </cell>
          <cell r="N19">
            <v>0</v>
          </cell>
          <cell r="O19">
            <v>10994</v>
          </cell>
          <cell r="P19" t="str">
            <v>金額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3728630</v>
          </cell>
          <cell r="W19">
            <v>0</v>
          </cell>
          <cell r="X19">
            <v>3728630</v>
          </cell>
          <cell r="Y19" t="str">
            <v xml:space="preserve"> </v>
          </cell>
        </row>
        <row r="20">
          <cell r="E20" t="str">
            <v>白金チップ</v>
          </cell>
          <cell r="F20" t="str">
            <v>PP13008</v>
          </cell>
          <cell r="G20" t="str">
            <v>数量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10920</v>
          </cell>
          <cell r="N20">
            <v>0</v>
          </cell>
          <cell r="O20">
            <v>10920</v>
          </cell>
          <cell r="P20" t="str">
            <v>金額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5665763</v>
          </cell>
          <cell r="W20">
            <v>0</v>
          </cell>
          <cell r="X20">
            <v>5665763</v>
          </cell>
          <cell r="Y20" t="str">
            <v xml:space="preserve"> </v>
          </cell>
        </row>
        <row r="21">
          <cell r="E21" t="str">
            <v>突出白金チップ</v>
          </cell>
          <cell r="F21" t="str">
            <v>PP13050</v>
          </cell>
          <cell r="G21" t="str">
            <v>数量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22120</v>
          </cell>
          <cell r="N21">
            <v>12000</v>
          </cell>
          <cell r="O21">
            <v>22120</v>
          </cell>
          <cell r="P21" t="str">
            <v>金額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3828840</v>
          </cell>
          <cell r="W21">
            <v>2052000</v>
          </cell>
          <cell r="X21">
            <v>3828840</v>
          </cell>
          <cell r="Y21" t="str">
            <v xml:space="preserve"> </v>
          </cell>
        </row>
        <row r="22">
          <cell r="E22" t="str">
            <v>イリジューム</v>
          </cell>
          <cell r="F22" t="str">
            <v>PP13070</v>
          </cell>
          <cell r="G22" t="str">
            <v>数量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2348</v>
          </cell>
          <cell r="N22">
            <v>2118</v>
          </cell>
          <cell r="O22">
            <v>2348</v>
          </cell>
          <cell r="P22" t="str">
            <v>金額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692478</v>
          </cell>
          <cell r="W22">
            <v>618400</v>
          </cell>
          <cell r="X22">
            <v>692478</v>
          </cell>
          <cell r="Y22" t="str">
            <v xml:space="preserve"> </v>
          </cell>
        </row>
        <row r="23">
          <cell r="E23" t="str">
            <v>貴金属その他</v>
          </cell>
          <cell r="F23" t="str">
            <v>PP13090</v>
          </cell>
          <cell r="G23" t="str">
            <v>数量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5590</v>
          </cell>
          <cell r="N23">
            <v>3000</v>
          </cell>
          <cell r="O23">
            <v>5590</v>
          </cell>
          <cell r="P23" t="str">
            <v>金額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2297188</v>
          </cell>
          <cell r="W23">
            <v>723000</v>
          </cell>
          <cell r="X23">
            <v>2297188</v>
          </cell>
          <cell r="Y23" t="str">
            <v xml:space="preserve"> </v>
          </cell>
        </row>
        <row r="24">
          <cell r="E24" t="str">
            <v>貴金属タイプ</v>
          </cell>
          <cell r="F24" t="str">
            <v>PP130</v>
          </cell>
          <cell r="G24" t="str">
            <v>数量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51972</v>
          </cell>
          <cell r="N24">
            <v>17118</v>
          </cell>
          <cell r="O24">
            <v>51972</v>
          </cell>
          <cell r="P24" t="str">
            <v>金額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16212899</v>
          </cell>
          <cell r="W24">
            <v>3393400</v>
          </cell>
          <cell r="X24">
            <v>16212899</v>
          </cell>
          <cell r="Y24" t="str">
            <v xml:space="preserve"> </v>
          </cell>
        </row>
        <row r="25">
          <cell r="E25" t="str">
            <v>ＱＧＳグロー１材</v>
          </cell>
          <cell r="F25" t="str">
            <v>PP18005</v>
          </cell>
          <cell r="G25" t="str">
            <v>数量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1540</v>
          </cell>
          <cell r="N25">
            <v>0</v>
          </cell>
          <cell r="O25">
            <v>1540</v>
          </cell>
          <cell r="P25" t="str">
            <v>金額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404888</v>
          </cell>
          <cell r="W25">
            <v>0</v>
          </cell>
          <cell r="X25">
            <v>404888</v>
          </cell>
          <cell r="Y25" t="str">
            <v xml:space="preserve"> </v>
          </cell>
        </row>
        <row r="26">
          <cell r="E26" t="str">
            <v>ＱＧＳグロ－２材</v>
          </cell>
          <cell r="F26" t="str">
            <v>PP18008</v>
          </cell>
          <cell r="G26" t="str">
            <v>数量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11140</v>
          </cell>
          <cell r="N26">
            <v>0</v>
          </cell>
          <cell r="O26">
            <v>11140</v>
          </cell>
          <cell r="P26" t="str">
            <v>金額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3471282</v>
          </cell>
          <cell r="W26">
            <v>0</v>
          </cell>
          <cell r="X26">
            <v>3471282</v>
          </cell>
          <cell r="Y26" t="str">
            <v xml:space="preserve"> </v>
          </cell>
        </row>
        <row r="27">
          <cell r="E27" t="str">
            <v>ＳＲＭ</v>
          </cell>
          <cell r="F27" t="str">
            <v>PP18009</v>
          </cell>
          <cell r="G27" t="str">
            <v>数量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2180</v>
          </cell>
          <cell r="N27">
            <v>0</v>
          </cell>
          <cell r="O27">
            <v>2180</v>
          </cell>
          <cell r="P27" t="str">
            <v>金額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1426559</v>
          </cell>
          <cell r="W27">
            <v>0</v>
          </cell>
          <cell r="X27">
            <v>1426559</v>
          </cell>
          <cell r="Y27" t="str">
            <v xml:space="preserve"> </v>
          </cell>
        </row>
        <row r="28">
          <cell r="E28" t="str">
            <v>速熱グロー</v>
          </cell>
          <cell r="F28" t="str">
            <v>PP18011</v>
          </cell>
          <cell r="G28" t="str">
            <v>数量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12870</v>
          </cell>
          <cell r="N28">
            <v>0</v>
          </cell>
          <cell r="O28">
            <v>12870</v>
          </cell>
          <cell r="P28" t="str">
            <v>金額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2484445</v>
          </cell>
          <cell r="W28">
            <v>0</v>
          </cell>
          <cell r="X28">
            <v>2484445</v>
          </cell>
          <cell r="Y28" t="str">
            <v xml:space="preserve"> </v>
          </cell>
        </row>
        <row r="29">
          <cell r="E29" t="str">
            <v>一般グロー</v>
          </cell>
          <cell r="F29" t="str">
            <v>PP18017</v>
          </cell>
          <cell r="G29" t="str">
            <v>数量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2480</v>
          </cell>
          <cell r="N29">
            <v>0</v>
          </cell>
          <cell r="O29">
            <v>2480</v>
          </cell>
          <cell r="P29" t="str">
            <v>金額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294011</v>
          </cell>
          <cell r="W29">
            <v>0</v>
          </cell>
          <cell r="X29">
            <v>294011</v>
          </cell>
          <cell r="Y29" t="str">
            <v xml:space="preserve"> </v>
          </cell>
        </row>
        <row r="30">
          <cell r="E30" t="str">
            <v>コイル</v>
          </cell>
          <cell r="F30" t="str">
            <v>PP18080</v>
          </cell>
          <cell r="G30" t="str">
            <v>数量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20</v>
          </cell>
          <cell r="N30">
            <v>0</v>
          </cell>
          <cell r="O30">
            <v>20</v>
          </cell>
          <cell r="P30" t="str">
            <v>金額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2211</v>
          </cell>
          <cell r="W30">
            <v>0</v>
          </cell>
          <cell r="X30">
            <v>2211</v>
          </cell>
          <cell r="Y30" t="str">
            <v xml:space="preserve"> </v>
          </cell>
        </row>
        <row r="31">
          <cell r="E31" t="str">
            <v>その他</v>
          </cell>
          <cell r="F31" t="str">
            <v>PP18090</v>
          </cell>
          <cell r="G31" t="str">
            <v>数量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1</v>
          </cell>
          <cell r="N31">
            <v>0</v>
          </cell>
          <cell r="O31">
            <v>1</v>
          </cell>
          <cell r="P31" t="str">
            <v>金額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620984</v>
          </cell>
          <cell r="W31">
            <v>0</v>
          </cell>
          <cell r="X31">
            <v>620984</v>
          </cell>
          <cell r="Y31" t="str">
            <v xml:space="preserve"> </v>
          </cell>
        </row>
        <row r="32">
          <cell r="E32" t="str">
            <v>試作</v>
          </cell>
          <cell r="F32" t="str">
            <v>PP18091</v>
          </cell>
          <cell r="G32" t="str">
            <v>数量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24</v>
          </cell>
          <cell r="N32">
            <v>0</v>
          </cell>
          <cell r="O32">
            <v>24</v>
          </cell>
          <cell r="P32" t="str">
            <v>金額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48000</v>
          </cell>
          <cell r="W32">
            <v>0</v>
          </cell>
          <cell r="X32">
            <v>48000</v>
          </cell>
          <cell r="Y32" t="str">
            <v xml:space="preserve"> </v>
          </cell>
        </row>
        <row r="33">
          <cell r="E33" t="str">
            <v>メタルグロー</v>
          </cell>
          <cell r="F33" t="str">
            <v>PP180</v>
          </cell>
          <cell r="G33" t="str">
            <v>数量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30255</v>
          </cell>
          <cell r="N33">
            <v>0</v>
          </cell>
          <cell r="O33">
            <v>30255</v>
          </cell>
          <cell r="P33" t="str">
            <v>金額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8752380</v>
          </cell>
          <cell r="W33">
            <v>0</v>
          </cell>
          <cell r="X33">
            <v>8752380</v>
          </cell>
          <cell r="Y33" t="str">
            <v xml:space="preserve"> </v>
          </cell>
        </row>
        <row r="34">
          <cell r="E34" t="str">
            <v>プラグ完成品</v>
          </cell>
          <cell r="F34" t="str">
            <v>PP1</v>
          </cell>
          <cell r="G34" t="str">
            <v>数量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702122</v>
          </cell>
          <cell r="N34">
            <v>71488</v>
          </cell>
          <cell r="O34">
            <v>702122</v>
          </cell>
          <cell r="P34" t="str">
            <v>金額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74214226</v>
          </cell>
          <cell r="W34">
            <v>6638806</v>
          </cell>
          <cell r="X34">
            <v>74214226</v>
          </cell>
          <cell r="Y34" t="str">
            <v xml:space="preserve"> </v>
          </cell>
        </row>
        <row r="35">
          <cell r="E35" t="str">
            <v>中軸付絶縁体</v>
          </cell>
          <cell r="F35" t="str">
            <v>PP50102</v>
          </cell>
          <cell r="G35" t="str">
            <v>数量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7535731</v>
          </cell>
          <cell r="N35">
            <v>2112490</v>
          </cell>
          <cell r="O35">
            <v>7535731</v>
          </cell>
          <cell r="P35" t="str">
            <v>金額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384111683</v>
          </cell>
          <cell r="W35">
            <v>136668923</v>
          </cell>
          <cell r="X35">
            <v>384111683</v>
          </cell>
          <cell r="Y35" t="str">
            <v xml:space="preserve"> </v>
          </cell>
        </row>
        <row r="36">
          <cell r="E36" t="str">
            <v>中　軸</v>
          </cell>
          <cell r="F36" t="str">
            <v>PP50104</v>
          </cell>
          <cell r="G36" t="str">
            <v>数量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2745000</v>
          </cell>
          <cell r="N36">
            <v>350000</v>
          </cell>
          <cell r="O36">
            <v>2745000</v>
          </cell>
          <cell r="P36" t="str">
            <v>金額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18913250</v>
          </cell>
          <cell r="W36">
            <v>1435000</v>
          </cell>
          <cell r="X36">
            <v>18913250</v>
          </cell>
          <cell r="Y36" t="str">
            <v xml:space="preserve"> </v>
          </cell>
        </row>
        <row r="37">
          <cell r="E37" t="str">
            <v>主体金具</v>
          </cell>
          <cell r="F37" t="str">
            <v>PP50106</v>
          </cell>
          <cell r="G37" t="str">
            <v>数量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8590730</v>
          </cell>
          <cell r="N37">
            <v>1785920</v>
          </cell>
          <cell r="O37">
            <v>8590730</v>
          </cell>
          <cell r="P37" t="str">
            <v>金額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166109043</v>
          </cell>
          <cell r="W37">
            <v>67561952</v>
          </cell>
          <cell r="X37">
            <v>166109043</v>
          </cell>
          <cell r="Y37" t="str">
            <v xml:space="preserve"> </v>
          </cell>
        </row>
        <row r="38">
          <cell r="E38" t="str">
            <v>絶縁体</v>
          </cell>
          <cell r="F38" t="str">
            <v>PP50108</v>
          </cell>
          <cell r="G38" t="str">
            <v>数量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2691970</v>
          </cell>
          <cell r="N38">
            <v>326370</v>
          </cell>
          <cell r="O38">
            <v>2691970</v>
          </cell>
          <cell r="P38" t="str">
            <v>金額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49039246</v>
          </cell>
          <cell r="W38">
            <v>2952786</v>
          </cell>
          <cell r="X38">
            <v>49039246</v>
          </cell>
          <cell r="Y38" t="str">
            <v xml:space="preserve"> </v>
          </cell>
        </row>
        <row r="39">
          <cell r="E39" t="str">
            <v>端子ナット</v>
          </cell>
          <cell r="F39" t="str">
            <v>PP50110</v>
          </cell>
          <cell r="G39" t="str">
            <v>数量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1200000</v>
          </cell>
          <cell r="N39">
            <v>0</v>
          </cell>
          <cell r="O39">
            <v>1200000</v>
          </cell>
          <cell r="P39" t="str">
            <v>金額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672000</v>
          </cell>
          <cell r="W39">
            <v>0</v>
          </cell>
          <cell r="X39">
            <v>672000</v>
          </cell>
          <cell r="Y39" t="str">
            <v xml:space="preserve"> </v>
          </cell>
        </row>
        <row r="40">
          <cell r="E40" t="str">
            <v>雄ネジ</v>
          </cell>
          <cell r="F40" t="str">
            <v>PP50112</v>
          </cell>
          <cell r="G40" t="str">
            <v>数量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1235000</v>
          </cell>
          <cell r="N40">
            <v>0</v>
          </cell>
          <cell r="O40">
            <v>1235000</v>
          </cell>
          <cell r="P40" t="str">
            <v>金額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2761500</v>
          </cell>
          <cell r="W40">
            <v>0</v>
          </cell>
          <cell r="X40">
            <v>2761500</v>
          </cell>
          <cell r="Y40" t="str">
            <v xml:space="preserve"> </v>
          </cell>
        </row>
        <row r="41">
          <cell r="E41" t="str">
            <v>一体端子</v>
          </cell>
          <cell r="F41" t="str">
            <v>PP50114</v>
          </cell>
          <cell r="G41" t="str">
            <v>数量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1700000</v>
          </cell>
          <cell r="N41">
            <v>300000</v>
          </cell>
          <cell r="O41">
            <v>1700000</v>
          </cell>
          <cell r="P41" t="str">
            <v>金額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5470400</v>
          </cell>
          <cell r="W41">
            <v>870000</v>
          </cell>
          <cell r="X41">
            <v>5470400</v>
          </cell>
          <cell r="Y41" t="str">
            <v xml:space="preserve"> </v>
          </cell>
        </row>
        <row r="42">
          <cell r="E42" t="str">
            <v>板パッキン</v>
          </cell>
          <cell r="F42" t="str">
            <v>PP50120</v>
          </cell>
          <cell r="G42" t="str">
            <v>数量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2300000</v>
          </cell>
          <cell r="N42">
            <v>0</v>
          </cell>
          <cell r="O42">
            <v>2300000</v>
          </cell>
          <cell r="P42" t="str">
            <v>金額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184000</v>
          </cell>
          <cell r="W42">
            <v>0</v>
          </cell>
          <cell r="X42">
            <v>184000</v>
          </cell>
          <cell r="Y42" t="str">
            <v xml:space="preserve"> </v>
          </cell>
        </row>
        <row r="43">
          <cell r="E43" t="str">
            <v>線パッキン</v>
          </cell>
          <cell r="F43" t="str">
            <v>PP50122</v>
          </cell>
          <cell r="G43" t="str">
            <v>数量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4160000</v>
          </cell>
          <cell r="N43">
            <v>0</v>
          </cell>
          <cell r="O43">
            <v>4160000</v>
          </cell>
          <cell r="P43" t="str">
            <v>金額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332800</v>
          </cell>
          <cell r="W43">
            <v>0</v>
          </cell>
          <cell r="X43">
            <v>332800</v>
          </cell>
          <cell r="Y43" t="str">
            <v xml:space="preserve"> </v>
          </cell>
        </row>
        <row r="44">
          <cell r="E44" t="str">
            <v>ガスケット</v>
          </cell>
          <cell r="F44" t="str">
            <v>PP50125</v>
          </cell>
          <cell r="G44" t="str">
            <v>数量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5530000</v>
          </cell>
          <cell r="N44">
            <v>0</v>
          </cell>
          <cell r="O44">
            <v>5530000</v>
          </cell>
          <cell r="P44" t="str">
            <v>金額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4262200</v>
          </cell>
          <cell r="W44">
            <v>0</v>
          </cell>
          <cell r="X44">
            <v>4262200</v>
          </cell>
          <cell r="Y44" t="str">
            <v xml:space="preserve"> </v>
          </cell>
        </row>
        <row r="45">
          <cell r="E45" t="str">
            <v>外測電極</v>
          </cell>
          <cell r="F45" t="str">
            <v>PP50127</v>
          </cell>
          <cell r="G45" t="str">
            <v>数量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196000</v>
          </cell>
          <cell r="N45">
            <v>196000</v>
          </cell>
          <cell r="O45">
            <v>196000</v>
          </cell>
          <cell r="P45" t="str">
            <v>金額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3332000</v>
          </cell>
          <cell r="W45">
            <v>3332000</v>
          </cell>
          <cell r="X45">
            <v>3332000</v>
          </cell>
          <cell r="Y45" t="str">
            <v xml:space="preserve"> </v>
          </cell>
        </row>
        <row r="46">
          <cell r="E46" t="str">
            <v>特殊中軸</v>
          </cell>
          <cell r="F46" t="str">
            <v>PP50142</v>
          </cell>
          <cell r="G46" t="str">
            <v>数量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500000</v>
          </cell>
          <cell r="N46">
            <v>0</v>
          </cell>
          <cell r="O46">
            <v>500000</v>
          </cell>
          <cell r="P46" t="str">
            <v>金額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3845000</v>
          </cell>
          <cell r="W46">
            <v>0</v>
          </cell>
          <cell r="X46">
            <v>3845000</v>
          </cell>
          <cell r="Y46" t="str">
            <v xml:space="preserve"> </v>
          </cell>
        </row>
        <row r="47">
          <cell r="E47" t="str">
            <v>滑　石</v>
          </cell>
          <cell r="F47" t="str">
            <v>PP50188</v>
          </cell>
          <cell r="G47" t="str">
            <v>数量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12020</v>
          </cell>
          <cell r="N47">
            <v>0</v>
          </cell>
          <cell r="O47">
            <v>12020</v>
          </cell>
          <cell r="P47" t="str">
            <v>金額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2711588</v>
          </cell>
          <cell r="W47">
            <v>0</v>
          </cell>
          <cell r="X47">
            <v>2711588</v>
          </cell>
          <cell r="Y47" t="str">
            <v xml:space="preserve"> </v>
          </cell>
        </row>
        <row r="48">
          <cell r="E48" t="str">
            <v>原材料・他</v>
          </cell>
          <cell r="F48" t="str">
            <v>PP50189</v>
          </cell>
          <cell r="G48" t="str">
            <v>数量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2128070</v>
          </cell>
          <cell r="N48">
            <v>0</v>
          </cell>
          <cell r="O48">
            <v>2128070</v>
          </cell>
          <cell r="P48" t="str">
            <v>金額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38058500</v>
          </cell>
          <cell r="W48">
            <v>0</v>
          </cell>
          <cell r="X48">
            <v>38058500</v>
          </cell>
          <cell r="Y48" t="str">
            <v xml:space="preserve"> </v>
          </cell>
        </row>
        <row r="49">
          <cell r="E49" t="str">
            <v>その他</v>
          </cell>
          <cell r="F49" t="str">
            <v>PP50190</v>
          </cell>
          <cell r="G49" t="str">
            <v>数量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3429</v>
          </cell>
          <cell r="N49">
            <v>0</v>
          </cell>
          <cell r="O49">
            <v>3429</v>
          </cell>
          <cell r="P49" t="str">
            <v>金額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11266215</v>
          </cell>
          <cell r="W49">
            <v>0</v>
          </cell>
          <cell r="X49">
            <v>11266215</v>
          </cell>
          <cell r="Y49" t="str">
            <v xml:space="preserve"> </v>
          </cell>
        </row>
        <row r="50">
          <cell r="E50" t="str">
            <v>スパ－クプラ部品</v>
          </cell>
          <cell r="F50" t="str">
            <v>PP501</v>
          </cell>
          <cell r="G50" t="str">
            <v>数量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40527950</v>
          </cell>
          <cell r="N50">
            <v>5070780</v>
          </cell>
          <cell r="O50">
            <v>40527950</v>
          </cell>
          <cell r="P50" t="str">
            <v>金額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691069425</v>
          </cell>
          <cell r="W50">
            <v>212820661</v>
          </cell>
          <cell r="X50">
            <v>691069425</v>
          </cell>
          <cell r="Y50" t="str">
            <v xml:space="preserve"> </v>
          </cell>
        </row>
        <row r="51">
          <cell r="E51" t="str">
            <v>スウェージャー品</v>
          </cell>
          <cell r="F51" t="str">
            <v>PP50343</v>
          </cell>
          <cell r="G51" t="str">
            <v>数量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-18821</v>
          </cell>
          <cell r="N51">
            <v>0</v>
          </cell>
          <cell r="O51">
            <v>-18821</v>
          </cell>
          <cell r="P51" t="str">
            <v>金額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-4235688</v>
          </cell>
          <cell r="W51">
            <v>0</v>
          </cell>
          <cell r="X51">
            <v>-4235688</v>
          </cell>
          <cell r="Y51" t="str">
            <v xml:space="preserve"> </v>
          </cell>
        </row>
        <row r="52">
          <cell r="E52" t="str">
            <v>その他</v>
          </cell>
          <cell r="F52" t="str">
            <v>PP50390</v>
          </cell>
          <cell r="G52" t="str">
            <v>数量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3410</v>
          </cell>
          <cell r="N52">
            <v>0</v>
          </cell>
          <cell r="O52">
            <v>3410</v>
          </cell>
          <cell r="P52" t="str">
            <v>金額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2549000</v>
          </cell>
          <cell r="W52">
            <v>0</v>
          </cell>
          <cell r="X52">
            <v>2549000</v>
          </cell>
          <cell r="Y52" t="str">
            <v xml:space="preserve"> </v>
          </cell>
        </row>
        <row r="53">
          <cell r="E53" t="str">
            <v>グロー部品</v>
          </cell>
          <cell r="F53" t="str">
            <v>PP503</v>
          </cell>
          <cell r="G53" t="str">
            <v>数量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-15411</v>
          </cell>
          <cell r="N53">
            <v>0</v>
          </cell>
          <cell r="O53">
            <v>-15411</v>
          </cell>
          <cell r="P53" t="str">
            <v>金額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-1686688</v>
          </cell>
          <cell r="W53">
            <v>0</v>
          </cell>
          <cell r="X53">
            <v>-1686688</v>
          </cell>
          <cell r="Y53" t="str">
            <v xml:space="preserve"> </v>
          </cell>
        </row>
        <row r="54">
          <cell r="E54" t="str">
            <v>ガラスパイプ</v>
          </cell>
          <cell r="F54" t="str">
            <v>PP50422</v>
          </cell>
          <cell r="G54" t="str">
            <v>数量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60000</v>
          </cell>
          <cell r="N54">
            <v>0</v>
          </cell>
          <cell r="O54">
            <v>60000</v>
          </cell>
          <cell r="P54" t="str">
            <v>金額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420000</v>
          </cell>
          <cell r="W54">
            <v>0</v>
          </cell>
          <cell r="X54">
            <v>420000</v>
          </cell>
          <cell r="Y54" t="str">
            <v xml:space="preserve"> </v>
          </cell>
        </row>
        <row r="55">
          <cell r="E55" t="str">
            <v>発熱体部品</v>
          </cell>
          <cell r="F55" t="str">
            <v>PP50442</v>
          </cell>
          <cell r="G55" t="str">
            <v>数量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50000</v>
          </cell>
          <cell r="N55">
            <v>0</v>
          </cell>
          <cell r="O55">
            <v>50000</v>
          </cell>
          <cell r="P55" t="str">
            <v>金額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25000000</v>
          </cell>
          <cell r="W55">
            <v>0</v>
          </cell>
          <cell r="X55">
            <v>25000000</v>
          </cell>
          <cell r="Y55" t="str">
            <v xml:space="preserve"> </v>
          </cell>
        </row>
        <row r="56">
          <cell r="E56" t="str">
            <v>Ｃグロー部品</v>
          </cell>
          <cell r="F56" t="str">
            <v>PP504</v>
          </cell>
          <cell r="G56" t="str">
            <v>数量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110000</v>
          </cell>
          <cell r="N56">
            <v>0</v>
          </cell>
          <cell r="O56">
            <v>110000</v>
          </cell>
          <cell r="P56" t="str">
            <v>金額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25420000</v>
          </cell>
          <cell r="W56">
            <v>0</v>
          </cell>
          <cell r="X56">
            <v>25420000</v>
          </cell>
          <cell r="Y56" t="str">
            <v xml:space="preserve"> </v>
          </cell>
        </row>
        <row r="57">
          <cell r="E57" t="str">
            <v>プラグ部品</v>
          </cell>
          <cell r="F57" t="str">
            <v>PP5</v>
          </cell>
          <cell r="G57" t="str">
            <v>数量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40622539</v>
          </cell>
          <cell r="N57">
            <v>5070780</v>
          </cell>
          <cell r="O57">
            <v>40622539</v>
          </cell>
          <cell r="P57" t="str">
            <v>金額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714802737</v>
          </cell>
          <cell r="W57">
            <v>212820661</v>
          </cell>
          <cell r="X57">
            <v>714802737</v>
          </cell>
          <cell r="Y57" t="str">
            <v xml:space="preserve"> </v>
          </cell>
        </row>
        <row r="58">
          <cell r="E58" t="str">
            <v>プラグ</v>
          </cell>
          <cell r="F58" t="str">
            <v>PP</v>
          </cell>
          <cell r="G58" t="str">
            <v>数量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41324661</v>
          </cell>
          <cell r="N58">
            <v>5142268</v>
          </cell>
          <cell r="O58">
            <v>41324661</v>
          </cell>
          <cell r="P58" t="str">
            <v>金額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789016963</v>
          </cell>
          <cell r="W58">
            <v>219459467</v>
          </cell>
          <cell r="X58">
            <v>789016963</v>
          </cell>
          <cell r="Y58" t="str">
            <v xml:space="preserve"> </v>
          </cell>
        </row>
        <row r="59">
          <cell r="E59" t="str">
            <v>ジルコニア半製品</v>
          </cell>
          <cell r="F59" t="str">
            <v>PX11100</v>
          </cell>
          <cell r="G59" t="str">
            <v>数量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119800</v>
          </cell>
          <cell r="N59">
            <v>1000</v>
          </cell>
          <cell r="O59">
            <v>119800</v>
          </cell>
          <cell r="P59" t="str">
            <v>金額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90687000</v>
          </cell>
          <cell r="W59">
            <v>561000</v>
          </cell>
          <cell r="X59">
            <v>90687000</v>
          </cell>
          <cell r="Y59" t="str">
            <v xml:space="preserve"> </v>
          </cell>
        </row>
        <row r="60">
          <cell r="E60" t="str">
            <v>ジルコニア完成品</v>
          </cell>
          <cell r="F60" t="str">
            <v>PX11101</v>
          </cell>
          <cell r="G60" t="str">
            <v>数量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7200</v>
          </cell>
          <cell r="N60">
            <v>7200</v>
          </cell>
          <cell r="O60">
            <v>7200</v>
          </cell>
          <cell r="P60" t="str">
            <v>金額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8596800</v>
          </cell>
          <cell r="W60">
            <v>8596800</v>
          </cell>
          <cell r="X60">
            <v>8596800</v>
          </cell>
          <cell r="Y60" t="str">
            <v xml:space="preserve"> </v>
          </cell>
        </row>
        <row r="61">
          <cell r="E61" t="str">
            <v>ジルコニア部品</v>
          </cell>
          <cell r="F61" t="str">
            <v>PX11102</v>
          </cell>
          <cell r="G61" t="str">
            <v>数量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3960879</v>
          </cell>
          <cell r="N61">
            <v>3283607</v>
          </cell>
          <cell r="O61">
            <v>3960879</v>
          </cell>
          <cell r="P61" t="str">
            <v>金額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222146713</v>
          </cell>
          <cell r="W61">
            <v>189350713</v>
          </cell>
          <cell r="X61">
            <v>222146713</v>
          </cell>
          <cell r="Y61" t="str">
            <v xml:space="preserve"> </v>
          </cell>
        </row>
        <row r="62">
          <cell r="E62" t="str">
            <v>ジルコニア素子</v>
          </cell>
          <cell r="F62" t="str">
            <v>PX11104</v>
          </cell>
          <cell r="G62" t="str">
            <v>数量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702000</v>
          </cell>
          <cell r="N62">
            <v>702000</v>
          </cell>
          <cell r="O62">
            <v>702000</v>
          </cell>
          <cell r="P62" t="str">
            <v>金額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243072720</v>
          </cell>
          <cell r="W62">
            <v>243072720</v>
          </cell>
          <cell r="X62">
            <v>243072720</v>
          </cell>
          <cell r="Y62" t="str">
            <v xml:space="preserve"> </v>
          </cell>
        </row>
        <row r="63">
          <cell r="E63" t="str">
            <v>チタニア</v>
          </cell>
          <cell r="F63" t="str">
            <v>PX11105</v>
          </cell>
          <cell r="G63" t="str">
            <v>数量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25820</v>
          </cell>
          <cell r="N63">
            <v>0</v>
          </cell>
          <cell r="O63">
            <v>25820</v>
          </cell>
          <cell r="P63" t="str">
            <v>金額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34839380</v>
          </cell>
          <cell r="W63">
            <v>0</v>
          </cell>
          <cell r="X63">
            <v>34839380</v>
          </cell>
          <cell r="Y63" t="str">
            <v xml:space="preserve"> </v>
          </cell>
        </row>
        <row r="64">
          <cell r="E64" t="str">
            <v>厚膜センサＮＧＫ</v>
          </cell>
          <cell r="F64" t="str">
            <v>PX11125</v>
          </cell>
          <cell r="G64" t="str">
            <v>数量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700</v>
          </cell>
          <cell r="N64">
            <v>0</v>
          </cell>
          <cell r="O64">
            <v>700</v>
          </cell>
          <cell r="P64" t="str">
            <v>金額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2283400</v>
          </cell>
          <cell r="W64">
            <v>0</v>
          </cell>
          <cell r="X64">
            <v>2283400</v>
          </cell>
          <cell r="Y64" t="str">
            <v xml:space="preserve"> </v>
          </cell>
        </row>
        <row r="65">
          <cell r="E65" t="str">
            <v>酸素センサー</v>
          </cell>
          <cell r="F65" t="str">
            <v>PX111</v>
          </cell>
          <cell r="G65" t="str">
            <v>数量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4816399</v>
          </cell>
          <cell r="N65">
            <v>3993807</v>
          </cell>
          <cell r="O65">
            <v>4816399</v>
          </cell>
          <cell r="P65" t="str">
            <v>金額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601626013</v>
          </cell>
          <cell r="W65">
            <v>441581233</v>
          </cell>
          <cell r="X65">
            <v>601626013</v>
          </cell>
          <cell r="Y65" t="str">
            <v xml:space="preserve"> </v>
          </cell>
        </row>
        <row r="66">
          <cell r="E66" t="str">
            <v>センサ－</v>
          </cell>
          <cell r="F66" t="str">
            <v>PX1</v>
          </cell>
          <cell r="G66" t="str">
            <v>数量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4816399</v>
          </cell>
          <cell r="N66">
            <v>3993807</v>
          </cell>
          <cell r="O66">
            <v>4816399</v>
          </cell>
          <cell r="P66" t="str">
            <v>金額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601626013</v>
          </cell>
          <cell r="W66">
            <v>441581233</v>
          </cell>
          <cell r="X66">
            <v>601626013</v>
          </cell>
          <cell r="Y66" t="str">
            <v xml:space="preserve"> </v>
          </cell>
        </row>
        <row r="67">
          <cell r="E67" t="str">
            <v>抵抗入キャップ</v>
          </cell>
          <cell r="F67" t="str">
            <v>PX51105</v>
          </cell>
          <cell r="G67" t="str">
            <v>数量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1250</v>
          </cell>
          <cell r="N67">
            <v>0</v>
          </cell>
          <cell r="O67">
            <v>1250</v>
          </cell>
          <cell r="P67" t="str">
            <v>金額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144804</v>
          </cell>
          <cell r="W67">
            <v>0</v>
          </cell>
          <cell r="X67">
            <v>144804</v>
          </cell>
          <cell r="Y67" t="str">
            <v xml:space="preserve"> </v>
          </cell>
        </row>
        <row r="68">
          <cell r="E68" t="str">
            <v>その他</v>
          </cell>
          <cell r="F68" t="str">
            <v>PX51190</v>
          </cell>
          <cell r="G68" t="str">
            <v>数量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1</v>
          </cell>
          <cell r="N68">
            <v>0</v>
          </cell>
          <cell r="O68">
            <v>1</v>
          </cell>
          <cell r="P68" t="str">
            <v>金額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21346</v>
          </cell>
          <cell r="W68">
            <v>0</v>
          </cell>
          <cell r="X68">
            <v>21346</v>
          </cell>
          <cell r="Y68" t="str">
            <v xml:space="preserve"> </v>
          </cell>
        </row>
        <row r="69">
          <cell r="E69" t="str">
            <v>部　品</v>
          </cell>
          <cell r="F69" t="str">
            <v>PX51195</v>
          </cell>
          <cell r="G69" t="str">
            <v>数量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960000</v>
          </cell>
          <cell r="N69">
            <v>960000</v>
          </cell>
          <cell r="O69">
            <v>960000</v>
          </cell>
          <cell r="P69" t="str">
            <v>金額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5811000</v>
          </cell>
          <cell r="W69">
            <v>5811000</v>
          </cell>
          <cell r="X69">
            <v>5811000</v>
          </cell>
          <cell r="Y69" t="str">
            <v xml:space="preserve"> </v>
          </cell>
        </row>
        <row r="70">
          <cell r="E70" t="str">
            <v>プラグキャップ</v>
          </cell>
          <cell r="F70" t="str">
            <v>PX511</v>
          </cell>
          <cell r="G70" t="str">
            <v>数量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961251</v>
          </cell>
          <cell r="N70">
            <v>960000</v>
          </cell>
          <cell r="O70">
            <v>961251</v>
          </cell>
          <cell r="P70" t="str">
            <v>金額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5977150</v>
          </cell>
          <cell r="W70">
            <v>5811000</v>
          </cell>
          <cell r="X70">
            <v>5977150</v>
          </cell>
          <cell r="Y70" t="str">
            <v xml:space="preserve"> </v>
          </cell>
        </row>
        <row r="71">
          <cell r="E71" t="str">
            <v>プラグコード</v>
          </cell>
          <cell r="F71" t="str">
            <v>PX52101</v>
          </cell>
          <cell r="G71" t="str">
            <v>数量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422</v>
          </cell>
          <cell r="N71">
            <v>0</v>
          </cell>
          <cell r="O71">
            <v>422</v>
          </cell>
          <cell r="P71" t="str">
            <v>金額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736070</v>
          </cell>
          <cell r="W71">
            <v>0</v>
          </cell>
          <cell r="X71">
            <v>736070</v>
          </cell>
          <cell r="Y71" t="str">
            <v xml:space="preserve"> </v>
          </cell>
        </row>
        <row r="72">
          <cell r="E72" t="str">
            <v>パワーケーブル</v>
          </cell>
          <cell r="F72" t="str">
            <v>PX52130</v>
          </cell>
          <cell r="G72" t="str">
            <v>数量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188</v>
          </cell>
          <cell r="N72">
            <v>0</v>
          </cell>
          <cell r="O72">
            <v>188</v>
          </cell>
          <cell r="P72" t="str">
            <v>金額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1270900</v>
          </cell>
          <cell r="W72">
            <v>0</v>
          </cell>
          <cell r="X72">
            <v>1270900</v>
          </cell>
          <cell r="Y72" t="str">
            <v xml:space="preserve"> </v>
          </cell>
        </row>
        <row r="73">
          <cell r="E73" t="str">
            <v>部　品</v>
          </cell>
          <cell r="F73" t="str">
            <v>PX52195</v>
          </cell>
          <cell r="G73" t="str">
            <v>数量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90000</v>
          </cell>
          <cell r="N73">
            <v>0</v>
          </cell>
          <cell r="O73">
            <v>90000</v>
          </cell>
          <cell r="P73" t="str">
            <v>金額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7640000</v>
          </cell>
          <cell r="W73">
            <v>0</v>
          </cell>
          <cell r="X73">
            <v>7640000</v>
          </cell>
          <cell r="Y73" t="str">
            <v xml:space="preserve"> </v>
          </cell>
        </row>
        <row r="74">
          <cell r="E74" t="str">
            <v>プラグコード</v>
          </cell>
          <cell r="F74" t="str">
            <v>PX521</v>
          </cell>
          <cell r="G74" t="str">
            <v>数量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90610</v>
          </cell>
          <cell r="N74">
            <v>0</v>
          </cell>
          <cell r="O74">
            <v>90610</v>
          </cell>
          <cell r="P74" t="str">
            <v>金額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9646970</v>
          </cell>
          <cell r="W74">
            <v>0</v>
          </cell>
          <cell r="X74">
            <v>9646970</v>
          </cell>
          <cell r="Y74" t="str">
            <v xml:space="preserve"> </v>
          </cell>
        </row>
        <row r="75">
          <cell r="E75" t="str">
            <v>その他</v>
          </cell>
          <cell r="F75" t="str">
            <v>PX59090</v>
          </cell>
          <cell r="G75" t="str">
            <v>数量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234000</v>
          </cell>
          <cell r="N75">
            <v>0</v>
          </cell>
          <cell r="O75">
            <v>234000</v>
          </cell>
          <cell r="P75" t="str">
            <v>金額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93600</v>
          </cell>
          <cell r="W75">
            <v>0</v>
          </cell>
          <cell r="X75">
            <v>93600</v>
          </cell>
          <cell r="Y75" t="str">
            <v xml:space="preserve"> </v>
          </cell>
        </row>
        <row r="76">
          <cell r="E76" t="str">
            <v>その他</v>
          </cell>
          <cell r="F76" t="str">
            <v>PX590</v>
          </cell>
          <cell r="G76" t="str">
            <v>数量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234000</v>
          </cell>
          <cell r="N76">
            <v>0</v>
          </cell>
          <cell r="O76">
            <v>234000</v>
          </cell>
          <cell r="P76" t="str">
            <v>金額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93600</v>
          </cell>
          <cell r="W76">
            <v>0</v>
          </cell>
          <cell r="X76">
            <v>93600</v>
          </cell>
          <cell r="Y76" t="str">
            <v xml:space="preserve"> </v>
          </cell>
        </row>
        <row r="77">
          <cell r="E77" t="str">
            <v>プ事機械設備</v>
          </cell>
          <cell r="F77" t="str">
            <v>PX59501</v>
          </cell>
          <cell r="G77" t="str">
            <v>数量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604</v>
          </cell>
          <cell r="N77">
            <v>0</v>
          </cell>
          <cell r="O77">
            <v>604</v>
          </cell>
          <cell r="P77" t="str">
            <v>金額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11047505</v>
          </cell>
          <cell r="W77">
            <v>0</v>
          </cell>
          <cell r="X77">
            <v>11047505</v>
          </cell>
          <cell r="Y77" t="str">
            <v xml:space="preserve"> </v>
          </cell>
        </row>
        <row r="78">
          <cell r="E78" t="str">
            <v>プ事部品</v>
          </cell>
          <cell r="F78" t="str">
            <v>PX59551</v>
          </cell>
          <cell r="G78" t="str">
            <v>数量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188</v>
          </cell>
          <cell r="N78">
            <v>0</v>
          </cell>
          <cell r="O78">
            <v>188</v>
          </cell>
          <cell r="P78" t="str">
            <v>金額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7395845</v>
          </cell>
          <cell r="W78">
            <v>0</v>
          </cell>
          <cell r="X78">
            <v>7395845</v>
          </cell>
          <cell r="Y78" t="str">
            <v xml:space="preserve"> </v>
          </cell>
        </row>
        <row r="79">
          <cell r="E79" t="str">
            <v>機械設備</v>
          </cell>
          <cell r="F79" t="str">
            <v>PX595</v>
          </cell>
          <cell r="G79" t="str">
            <v>数量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792</v>
          </cell>
          <cell r="N79">
            <v>0</v>
          </cell>
          <cell r="O79">
            <v>792</v>
          </cell>
          <cell r="P79" t="str">
            <v>金額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18443350</v>
          </cell>
          <cell r="W79">
            <v>0</v>
          </cell>
          <cell r="X79">
            <v>18443350</v>
          </cell>
          <cell r="Y79" t="str">
            <v xml:space="preserve"> </v>
          </cell>
        </row>
        <row r="80">
          <cell r="E80" t="str">
            <v>セ事機械設備</v>
          </cell>
          <cell r="F80" t="str">
            <v>PX59601</v>
          </cell>
          <cell r="G80" t="str">
            <v>数量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2</v>
          </cell>
          <cell r="N80">
            <v>0</v>
          </cell>
          <cell r="O80">
            <v>2</v>
          </cell>
          <cell r="P80" t="str">
            <v>金額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70448800</v>
          </cell>
          <cell r="W80">
            <v>0</v>
          </cell>
          <cell r="X80">
            <v>70448800</v>
          </cell>
          <cell r="Y80" t="str">
            <v xml:space="preserve"> </v>
          </cell>
        </row>
        <row r="81">
          <cell r="E81" t="str">
            <v>セ事部品</v>
          </cell>
          <cell r="F81" t="str">
            <v>PX59651</v>
          </cell>
          <cell r="G81" t="str">
            <v>数量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130</v>
          </cell>
          <cell r="N81">
            <v>0</v>
          </cell>
          <cell r="O81">
            <v>130</v>
          </cell>
          <cell r="P81" t="str">
            <v>金額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7050892</v>
          </cell>
          <cell r="W81">
            <v>0</v>
          </cell>
          <cell r="X81">
            <v>7050892</v>
          </cell>
          <cell r="Y81" t="str">
            <v xml:space="preserve"> </v>
          </cell>
        </row>
        <row r="82">
          <cell r="E82" t="str">
            <v>セ事機械設備</v>
          </cell>
          <cell r="F82" t="str">
            <v>PX596</v>
          </cell>
          <cell r="G82" t="str">
            <v>数量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132</v>
          </cell>
          <cell r="N82">
            <v>0</v>
          </cell>
          <cell r="O82">
            <v>132</v>
          </cell>
          <cell r="P82" t="str">
            <v>金額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77499692</v>
          </cell>
          <cell r="W82">
            <v>0</v>
          </cell>
          <cell r="X82">
            <v>77499692</v>
          </cell>
          <cell r="Y82" t="str">
            <v xml:space="preserve"> </v>
          </cell>
        </row>
        <row r="83">
          <cell r="E83" t="str">
            <v>関連品その他</v>
          </cell>
          <cell r="F83" t="str">
            <v>PX5</v>
          </cell>
          <cell r="G83" t="str">
            <v>数量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1286785</v>
          </cell>
          <cell r="N83">
            <v>960000</v>
          </cell>
          <cell r="O83">
            <v>1286785</v>
          </cell>
          <cell r="P83" t="str">
            <v>金額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111660762</v>
          </cell>
          <cell r="W83">
            <v>5811000</v>
          </cell>
          <cell r="X83">
            <v>111660762</v>
          </cell>
          <cell r="Y83" t="str">
            <v xml:space="preserve"> </v>
          </cell>
        </row>
        <row r="84">
          <cell r="E84" t="str">
            <v>雨用バルク</v>
          </cell>
          <cell r="F84" t="str">
            <v>PX90405</v>
          </cell>
          <cell r="G84" t="str">
            <v>数量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1000</v>
          </cell>
          <cell r="N84">
            <v>0</v>
          </cell>
          <cell r="O84">
            <v>1000</v>
          </cell>
          <cell r="P84" t="str">
            <v>金額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321000</v>
          </cell>
          <cell r="W84">
            <v>0</v>
          </cell>
          <cell r="X84">
            <v>321000</v>
          </cell>
          <cell r="Y84" t="str">
            <v xml:space="preserve"> </v>
          </cell>
        </row>
        <row r="85">
          <cell r="E85" t="str">
            <v>ワイパーブレード</v>
          </cell>
          <cell r="F85" t="str">
            <v>PX904</v>
          </cell>
          <cell r="G85" t="str">
            <v>数量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1000</v>
          </cell>
          <cell r="N85">
            <v>0</v>
          </cell>
          <cell r="O85">
            <v>1000</v>
          </cell>
          <cell r="P85" t="str">
            <v>金額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321000</v>
          </cell>
          <cell r="W85">
            <v>0</v>
          </cell>
          <cell r="X85">
            <v>321000</v>
          </cell>
          <cell r="Y85" t="str">
            <v xml:space="preserve"> </v>
          </cell>
        </row>
        <row r="86">
          <cell r="E86" t="str">
            <v>仕入商品</v>
          </cell>
          <cell r="F86" t="str">
            <v>PX9</v>
          </cell>
          <cell r="G86" t="str">
            <v>数量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1000</v>
          </cell>
          <cell r="N86">
            <v>0</v>
          </cell>
          <cell r="O86">
            <v>1000</v>
          </cell>
          <cell r="P86" t="str">
            <v>金額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321000</v>
          </cell>
          <cell r="W86">
            <v>0</v>
          </cell>
          <cell r="X86">
            <v>321000</v>
          </cell>
          <cell r="Y86" t="str">
            <v xml:space="preserve"> </v>
          </cell>
        </row>
        <row r="87">
          <cell r="E87" t="str">
            <v>関連品</v>
          </cell>
          <cell r="F87" t="str">
            <v>PX</v>
          </cell>
          <cell r="G87" t="str">
            <v>数量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6104184</v>
          </cell>
          <cell r="N87">
            <v>4953807</v>
          </cell>
          <cell r="O87">
            <v>6104184</v>
          </cell>
          <cell r="P87" t="str">
            <v>金額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713607775</v>
          </cell>
          <cell r="W87">
            <v>447392233</v>
          </cell>
          <cell r="X87">
            <v>713607775</v>
          </cell>
          <cell r="Y87" t="str">
            <v xml:space="preserve"> </v>
          </cell>
        </row>
        <row r="88">
          <cell r="F88" t="str">
            <v xml:space="preserve"> </v>
          </cell>
          <cell r="G88" t="str">
            <v>数量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47428845</v>
          </cell>
          <cell r="N88">
            <v>10096075</v>
          </cell>
          <cell r="O88">
            <v>47428845</v>
          </cell>
          <cell r="P88" t="str">
            <v>金額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1502624738</v>
          </cell>
          <cell r="W88">
            <v>666851700</v>
          </cell>
          <cell r="X88">
            <v>1502624738</v>
          </cell>
          <cell r="Y88" t="str">
            <v xml:space="preserve"> </v>
          </cell>
        </row>
      </sheetData>
      <sheetData sheetId="2">
        <row r="1">
          <cell r="E1" t="str">
            <v>ﾋﾝ</v>
          </cell>
          <cell r="F1" t="str">
            <v>CD</v>
          </cell>
          <cell r="H1" t="str">
            <v>ｵﾘ</v>
          </cell>
          <cell r="I1" t="str">
            <v>ｲｯ</v>
          </cell>
          <cell r="J1" t="str">
            <v>ｾｷ</v>
          </cell>
          <cell r="K1" t="str">
            <v>ﾒｰ</v>
          </cell>
          <cell r="L1" t="str">
            <v>ｹｲ</v>
          </cell>
          <cell r="M1" t="str">
            <v>ﾕｼｭ</v>
          </cell>
          <cell r="N1" t="str">
            <v>ﾕｼｭｵﾘ</v>
          </cell>
          <cell r="O1" t="str">
            <v>ｹｲ</v>
          </cell>
          <cell r="Q1" t="str">
            <v>ｵﾘ</v>
          </cell>
          <cell r="R1" t="str">
            <v>ｲｯ</v>
          </cell>
          <cell r="S1" t="str">
            <v>ｾｷ</v>
          </cell>
          <cell r="T1" t="str">
            <v>ﾒｰ</v>
          </cell>
          <cell r="U1" t="str">
            <v>ｹｲ</v>
          </cell>
          <cell r="V1" t="str">
            <v>ﾕｼｭ</v>
          </cell>
          <cell r="W1" t="str">
            <v>ﾕｼｭｵﾘ</v>
          </cell>
          <cell r="X1" t="str">
            <v xml:space="preserve">ｹｲ      </v>
          </cell>
        </row>
        <row r="2">
          <cell r="E2" t="str">
            <v>レギュラー</v>
          </cell>
          <cell r="F2" t="str">
            <v>PP10101</v>
          </cell>
          <cell r="G2" t="str">
            <v>数量</v>
          </cell>
          <cell r="H2">
            <v>139638</v>
          </cell>
          <cell r="I2">
            <v>148156</v>
          </cell>
          <cell r="J2">
            <v>635</v>
          </cell>
          <cell r="K2">
            <v>153310</v>
          </cell>
          <cell r="L2">
            <v>302101</v>
          </cell>
          <cell r="M2">
            <v>7147181</v>
          </cell>
          <cell r="N2">
            <v>73000</v>
          </cell>
          <cell r="O2">
            <v>7588920</v>
          </cell>
          <cell r="P2" t="str">
            <v>金額</v>
          </cell>
          <cell r="Q2">
            <v>4799546</v>
          </cell>
          <cell r="R2">
            <v>25897903</v>
          </cell>
          <cell r="S2">
            <v>115515</v>
          </cell>
          <cell r="T2">
            <v>25570266</v>
          </cell>
          <cell r="U2">
            <v>51583684</v>
          </cell>
          <cell r="V2">
            <v>497498676</v>
          </cell>
          <cell r="W2">
            <v>2617410</v>
          </cell>
          <cell r="X2">
            <v>553881906</v>
          </cell>
          <cell r="Y2" t="str">
            <v xml:space="preserve"> </v>
          </cell>
        </row>
        <row r="3">
          <cell r="E3" t="str">
            <v>グリーン</v>
          </cell>
          <cell r="F3" t="str">
            <v>PP10103</v>
          </cell>
          <cell r="G3" t="str">
            <v>数量</v>
          </cell>
          <cell r="H3">
            <v>9274</v>
          </cell>
          <cell r="I3">
            <v>7695</v>
          </cell>
          <cell r="J3">
            <v>28</v>
          </cell>
          <cell r="K3">
            <v>5525</v>
          </cell>
          <cell r="L3">
            <v>13248</v>
          </cell>
          <cell r="M3">
            <v>289211</v>
          </cell>
          <cell r="N3">
            <v>12000</v>
          </cell>
          <cell r="O3">
            <v>311733</v>
          </cell>
          <cell r="P3" t="str">
            <v>金額</v>
          </cell>
          <cell r="Q3">
            <v>505750</v>
          </cell>
          <cell r="R3">
            <v>1369264</v>
          </cell>
          <cell r="S3">
            <v>4900</v>
          </cell>
          <cell r="T3">
            <v>938436</v>
          </cell>
          <cell r="U3">
            <v>2312600</v>
          </cell>
          <cell r="V3">
            <v>21091460</v>
          </cell>
          <cell r="W3">
            <v>240000</v>
          </cell>
          <cell r="X3">
            <v>23909810</v>
          </cell>
          <cell r="Y3" t="str">
            <v xml:space="preserve"> </v>
          </cell>
        </row>
        <row r="4">
          <cell r="E4" t="str">
            <v>標準タイプ</v>
          </cell>
          <cell r="F4" t="str">
            <v>PP101</v>
          </cell>
          <cell r="G4" t="str">
            <v>数量</v>
          </cell>
          <cell r="H4">
            <v>148912</v>
          </cell>
          <cell r="I4">
            <v>155851</v>
          </cell>
          <cell r="J4">
            <v>663</v>
          </cell>
          <cell r="K4">
            <v>158835</v>
          </cell>
          <cell r="L4">
            <v>315349</v>
          </cell>
          <cell r="M4">
            <v>7436392</v>
          </cell>
          <cell r="N4">
            <v>85000</v>
          </cell>
          <cell r="O4">
            <v>7900653</v>
          </cell>
          <cell r="P4" t="str">
            <v>金額</v>
          </cell>
          <cell r="Q4">
            <v>5305296</v>
          </cell>
          <cell r="R4">
            <v>27267167</v>
          </cell>
          <cell r="S4">
            <v>120415</v>
          </cell>
          <cell r="T4">
            <v>26508702</v>
          </cell>
          <cell r="U4">
            <v>53896284</v>
          </cell>
          <cell r="V4">
            <v>518590136</v>
          </cell>
          <cell r="W4">
            <v>2857410</v>
          </cell>
          <cell r="X4">
            <v>577791716</v>
          </cell>
          <cell r="Y4" t="str">
            <v xml:space="preserve"> </v>
          </cell>
        </row>
        <row r="5">
          <cell r="E5" t="str">
            <v>抵抗入レギュラー</v>
          </cell>
          <cell r="F5" t="str">
            <v>PP12601</v>
          </cell>
          <cell r="G5" t="str">
            <v>数量</v>
          </cell>
          <cell r="H5">
            <v>895901</v>
          </cell>
          <cell r="I5">
            <v>252406</v>
          </cell>
          <cell r="J5">
            <v>416</v>
          </cell>
          <cell r="K5">
            <v>331836</v>
          </cell>
          <cell r="L5">
            <v>584658</v>
          </cell>
          <cell r="M5">
            <v>6114539</v>
          </cell>
          <cell r="N5">
            <v>601790</v>
          </cell>
          <cell r="O5">
            <v>7595098</v>
          </cell>
          <cell r="P5" t="str">
            <v>金額</v>
          </cell>
          <cell r="Q5">
            <v>54571220</v>
          </cell>
          <cell r="R5">
            <v>60084713</v>
          </cell>
          <cell r="S5">
            <v>106226</v>
          </cell>
          <cell r="T5">
            <v>76179964</v>
          </cell>
          <cell r="U5">
            <v>136370903</v>
          </cell>
          <cell r="V5">
            <v>506084171</v>
          </cell>
          <cell r="W5">
            <v>29161555</v>
          </cell>
          <cell r="X5">
            <v>697026294</v>
          </cell>
          <cell r="Y5" t="str">
            <v xml:space="preserve"> </v>
          </cell>
        </row>
        <row r="6">
          <cell r="E6" t="str">
            <v>抵抗入グリーン</v>
          </cell>
          <cell r="F6" t="str">
            <v>PP12602</v>
          </cell>
          <cell r="G6" t="str">
            <v>数量</v>
          </cell>
          <cell r="H6">
            <v>815630</v>
          </cell>
          <cell r="I6">
            <v>260238</v>
          </cell>
          <cell r="J6">
            <v>1464</v>
          </cell>
          <cell r="K6">
            <v>895996</v>
          </cell>
          <cell r="L6">
            <v>1157698</v>
          </cell>
          <cell r="M6">
            <v>2791353</v>
          </cell>
          <cell r="N6">
            <v>14000</v>
          </cell>
          <cell r="O6">
            <v>4764681</v>
          </cell>
          <cell r="P6" t="str">
            <v>金額</v>
          </cell>
          <cell r="Q6">
            <v>46241674</v>
          </cell>
          <cell r="R6">
            <v>60410883</v>
          </cell>
          <cell r="S6">
            <v>357151</v>
          </cell>
          <cell r="T6">
            <v>176866624</v>
          </cell>
          <cell r="U6">
            <v>237634658</v>
          </cell>
          <cell r="V6">
            <v>235280746</v>
          </cell>
          <cell r="W6">
            <v>973000</v>
          </cell>
          <cell r="X6">
            <v>519157078</v>
          </cell>
          <cell r="Y6" t="str">
            <v xml:space="preserve"> </v>
          </cell>
        </row>
        <row r="7">
          <cell r="E7" t="str">
            <v>Ｖパワー</v>
          </cell>
          <cell r="F7" t="str">
            <v>PP12603</v>
          </cell>
          <cell r="G7" t="str">
            <v>数量</v>
          </cell>
          <cell r="H7">
            <v>0</v>
          </cell>
          <cell r="I7">
            <v>48</v>
          </cell>
          <cell r="J7">
            <v>0</v>
          </cell>
          <cell r="K7">
            <v>0</v>
          </cell>
          <cell r="L7">
            <v>48</v>
          </cell>
          <cell r="M7">
            <v>441400</v>
          </cell>
          <cell r="N7">
            <v>0</v>
          </cell>
          <cell r="O7">
            <v>441448</v>
          </cell>
          <cell r="P7" t="str">
            <v>金額</v>
          </cell>
          <cell r="Q7">
            <v>0</v>
          </cell>
          <cell r="R7">
            <v>17672</v>
          </cell>
          <cell r="S7">
            <v>0</v>
          </cell>
          <cell r="T7">
            <v>0</v>
          </cell>
          <cell r="U7">
            <v>17672</v>
          </cell>
          <cell r="V7">
            <v>30234792</v>
          </cell>
          <cell r="W7">
            <v>0</v>
          </cell>
          <cell r="X7">
            <v>30252464</v>
          </cell>
          <cell r="Y7" t="str">
            <v xml:space="preserve"> </v>
          </cell>
        </row>
        <row r="8">
          <cell r="E8" t="str">
            <v>小型プラグ</v>
          </cell>
          <cell r="F8" t="str">
            <v>PP12604</v>
          </cell>
          <cell r="G8" t="str">
            <v>数量</v>
          </cell>
          <cell r="H8">
            <v>201976</v>
          </cell>
          <cell r="I8">
            <v>28750</v>
          </cell>
          <cell r="J8">
            <v>633</v>
          </cell>
          <cell r="K8">
            <v>11679</v>
          </cell>
          <cell r="L8">
            <v>41062</v>
          </cell>
          <cell r="M8">
            <v>1085100</v>
          </cell>
          <cell r="N8">
            <v>280100</v>
          </cell>
          <cell r="O8">
            <v>1328138</v>
          </cell>
          <cell r="P8" t="str">
            <v>金額</v>
          </cell>
          <cell r="Q8">
            <v>11418437</v>
          </cell>
          <cell r="R8">
            <v>4948691</v>
          </cell>
          <cell r="S8">
            <v>105205</v>
          </cell>
          <cell r="T8">
            <v>2016394</v>
          </cell>
          <cell r="U8">
            <v>7070290</v>
          </cell>
          <cell r="V8">
            <v>62392227</v>
          </cell>
          <cell r="W8">
            <v>8038500</v>
          </cell>
          <cell r="X8">
            <v>80880954</v>
          </cell>
          <cell r="Y8" t="str">
            <v xml:space="preserve"> </v>
          </cell>
        </row>
        <row r="9">
          <cell r="E9" t="str">
            <v>抵抗入ロングリチ</v>
          </cell>
          <cell r="F9" t="str">
            <v>PP12608</v>
          </cell>
          <cell r="G9" t="str">
            <v>数量</v>
          </cell>
          <cell r="H9">
            <v>36168</v>
          </cell>
          <cell r="I9">
            <v>0</v>
          </cell>
          <cell r="J9">
            <v>0</v>
          </cell>
          <cell r="K9">
            <v>671</v>
          </cell>
          <cell r="L9">
            <v>671</v>
          </cell>
          <cell r="M9">
            <v>8980</v>
          </cell>
          <cell r="N9">
            <v>0</v>
          </cell>
          <cell r="O9">
            <v>45819</v>
          </cell>
          <cell r="P9" t="str">
            <v>金額</v>
          </cell>
          <cell r="Q9">
            <v>2785472</v>
          </cell>
          <cell r="R9">
            <v>0</v>
          </cell>
          <cell r="S9">
            <v>0</v>
          </cell>
          <cell r="T9">
            <v>193631</v>
          </cell>
          <cell r="U9">
            <v>193631</v>
          </cell>
          <cell r="V9">
            <v>1330580</v>
          </cell>
          <cell r="W9">
            <v>0</v>
          </cell>
          <cell r="X9">
            <v>4309683</v>
          </cell>
          <cell r="Y9" t="str">
            <v xml:space="preserve"> </v>
          </cell>
        </row>
        <row r="10">
          <cell r="E10" t="str">
            <v>突き出し</v>
          </cell>
          <cell r="F10" t="str">
            <v>PP12610</v>
          </cell>
          <cell r="G10" t="str">
            <v>数量</v>
          </cell>
          <cell r="H10">
            <v>205464</v>
          </cell>
          <cell r="I10">
            <v>36695</v>
          </cell>
          <cell r="J10">
            <v>72</v>
          </cell>
          <cell r="K10">
            <v>123513</v>
          </cell>
          <cell r="L10">
            <v>160280</v>
          </cell>
          <cell r="M10">
            <v>605991</v>
          </cell>
          <cell r="N10">
            <v>24480</v>
          </cell>
          <cell r="O10">
            <v>971735</v>
          </cell>
          <cell r="P10" t="str">
            <v>金額</v>
          </cell>
          <cell r="Q10">
            <v>16086479</v>
          </cell>
          <cell r="R10">
            <v>10877906</v>
          </cell>
          <cell r="S10">
            <v>21740</v>
          </cell>
          <cell r="T10">
            <v>36284514</v>
          </cell>
          <cell r="U10">
            <v>47184160</v>
          </cell>
          <cell r="V10">
            <v>62587181</v>
          </cell>
          <cell r="W10">
            <v>1309176</v>
          </cell>
          <cell r="X10">
            <v>125857820</v>
          </cell>
          <cell r="Y10" t="str">
            <v xml:space="preserve"> </v>
          </cell>
        </row>
        <row r="11">
          <cell r="E11" t="str">
            <v>沿　面</v>
          </cell>
          <cell r="F11" t="str">
            <v>PP12612</v>
          </cell>
          <cell r="G11" t="str">
            <v>数量</v>
          </cell>
          <cell r="H11">
            <v>0</v>
          </cell>
          <cell r="I11">
            <v>94</v>
          </cell>
          <cell r="J11">
            <v>0</v>
          </cell>
          <cell r="K11">
            <v>0</v>
          </cell>
          <cell r="L11">
            <v>94</v>
          </cell>
          <cell r="M11">
            <v>33170</v>
          </cell>
          <cell r="N11">
            <v>0</v>
          </cell>
          <cell r="O11">
            <v>33264</v>
          </cell>
          <cell r="P11" t="str">
            <v>金額</v>
          </cell>
          <cell r="Q11">
            <v>0</v>
          </cell>
          <cell r="R11">
            <v>40440</v>
          </cell>
          <cell r="S11">
            <v>0</v>
          </cell>
          <cell r="T11">
            <v>0</v>
          </cell>
          <cell r="U11">
            <v>40440</v>
          </cell>
          <cell r="V11">
            <v>4474350</v>
          </cell>
          <cell r="W11">
            <v>0</v>
          </cell>
          <cell r="X11">
            <v>4514790</v>
          </cell>
          <cell r="Y11" t="str">
            <v xml:space="preserve"> </v>
          </cell>
        </row>
        <row r="12">
          <cell r="E12" t="str">
            <v>セミ沿面</v>
          </cell>
          <cell r="F12" t="str">
            <v>PP12614</v>
          </cell>
          <cell r="G12" t="str">
            <v>数量</v>
          </cell>
          <cell r="H12">
            <v>1100</v>
          </cell>
          <cell r="I12">
            <v>1551</v>
          </cell>
          <cell r="J12">
            <v>3</v>
          </cell>
          <cell r="K12">
            <v>995</v>
          </cell>
          <cell r="L12">
            <v>2549</v>
          </cell>
          <cell r="M12">
            <v>59480</v>
          </cell>
          <cell r="N12">
            <v>0</v>
          </cell>
          <cell r="O12">
            <v>63129</v>
          </cell>
          <cell r="P12" t="str">
            <v>金額</v>
          </cell>
          <cell r="Q12">
            <v>73700</v>
          </cell>
          <cell r="R12">
            <v>444565</v>
          </cell>
          <cell r="S12">
            <v>780</v>
          </cell>
          <cell r="T12">
            <v>290563</v>
          </cell>
          <cell r="U12">
            <v>735908</v>
          </cell>
          <cell r="V12">
            <v>5423570</v>
          </cell>
          <cell r="W12">
            <v>0</v>
          </cell>
          <cell r="X12">
            <v>6233178</v>
          </cell>
          <cell r="Y12" t="str">
            <v xml:space="preserve"> </v>
          </cell>
        </row>
        <row r="13">
          <cell r="E13" t="str">
            <v>ＨＫ／ＥＫ／ＥＭ</v>
          </cell>
          <cell r="F13" t="str">
            <v>PP12620</v>
          </cell>
          <cell r="G13" t="str">
            <v>数量</v>
          </cell>
          <cell r="H13">
            <v>232216</v>
          </cell>
          <cell r="I13">
            <v>53256</v>
          </cell>
          <cell r="J13">
            <v>60</v>
          </cell>
          <cell r="K13">
            <v>37666</v>
          </cell>
          <cell r="L13">
            <v>90982</v>
          </cell>
          <cell r="M13">
            <v>1111868</v>
          </cell>
          <cell r="N13">
            <v>109760</v>
          </cell>
          <cell r="O13">
            <v>1435066</v>
          </cell>
          <cell r="P13" t="str">
            <v>金額</v>
          </cell>
          <cell r="Q13">
            <v>24644255</v>
          </cell>
          <cell r="R13">
            <v>17953867</v>
          </cell>
          <cell r="S13">
            <v>20890</v>
          </cell>
          <cell r="T13">
            <v>11871645</v>
          </cell>
          <cell r="U13">
            <v>29846402</v>
          </cell>
          <cell r="V13">
            <v>117021425</v>
          </cell>
          <cell r="W13">
            <v>8634510</v>
          </cell>
          <cell r="X13">
            <v>171512082</v>
          </cell>
          <cell r="Y13" t="str">
            <v xml:space="preserve"> </v>
          </cell>
        </row>
        <row r="14">
          <cell r="E14" t="str">
            <v>ＥＴ</v>
          </cell>
          <cell r="F14" t="str">
            <v>PP12621</v>
          </cell>
          <cell r="G14" t="str">
            <v>数量</v>
          </cell>
          <cell r="H14">
            <v>7400</v>
          </cell>
          <cell r="I14">
            <v>1774</v>
          </cell>
          <cell r="J14">
            <v>0</v>
          </cell>
          <cell r="K14">
            <v>69</v>
          </cell>
          <cell r="L14">
            <v>1843</v>
          </cell>
          <cell r="M14">
            <v>1184300</v>
          </cell>
          <cell r="N14">
            <v>229890</v>
          </cell>
          <cell r="O14">
            <v>1193543</v>
          </cell>
          <cell r="P14" t="str">
            <v>金額</v>
          </cell>
          <cell r="Q14">
            <v>999000</v>
          </cell>
          <cell r="R14">
            <v>703720</v>
          </cell>
          <cell r="S14">
            <v>0</v>
          </cell>
          <cell r="T14">
            <v>20408</v>
          </cell>
          <cell r="U14">
            <v>724128</v>
          </cell>
          <cell r="V14">
            <v>134220987</v>
          </cell>
          <cell r="W14">
            <v>15203070</v>
          </cell>
          <cell r="X14">
            <v>135944115</v>
          </cell>
          <cell r="Y14" t="str">
            <v xml:space="preserve"> </v>
          </cell>
        </row>
        <row r="15">
          <cell r="E15" t="str">
            <v>ＥＱ</v>
          </cell>
          <cell r="F15" t="str">
            <v>PP12622</v>
          </cell>
          <cell r="G15" t="str">
            <v>数量</v>
          </cell>
          <cell r="H15">
            <v>288</v>
          </cell>
          <cell r="I15">
            <v>2790</v>
          </cell>
          <cell r="J15">
            <v>12</v>
          </cell>
          <cell r="K15">
            <v>4136</v>
          </cell>
          <cell r="L15">
            <v>6938</v>
          </cell>
          <cell r="M15">
            <v>4580</v>
          </cell>
          <cell r="N15">
            <v>0</v>
          </cell>
          <cell r="O15">
            <v>11806</v>
          </cell>
          <cell r="P15" t="str">
            <v>金額</v>
          </cell>
          <cell r="Q15">
            <v>83520</v>
          </cell>
          <cell r="R15">
            <v>1970940</v>
          </cell>
          <cell r="S15">
            <v>8520</v>
          </cell>
          <cell r="T15">
            <v>2558080</v>
          </cell>
          <cell r="U15">
            <v>4537540</v>
          </cell>
          <cell r="V15">
            <v>1575054</v>
          </cell>
          <cell r="W15">
            <v>0</v>
          </cell>
          <cell r="X15">
            <v>6196114</v>
          </cell>
          <cell r="Y15" t="str">
            <v xml:space="preserve"> </v>
          </cell>
        </row>
        <row r="16">
          <cell r="E16" t="str">
            <v>特殊タイプ</v>
          </cell>
          <cell r="F16" t="str">
            <v>PP12627</v>
          </cell>
          <cell r="G16" t="str">
            <v>数量</v>
          </cell>
          <cell r="H16">
            <v>0</v>
          </cell>
          <cell r="I16">
            <v>0</v>
          </cell>
          <cell r="J16">
            <v>0</v>
          </cell>
          <cell r="K16">
            <v>2000</v>
          </cell>
          <cell r="L16">
            <v>2000</v>
          </cell>
          <cell r="M16">
            <v>0</v>
          </cell>
          <cell r="N16">
            <v>0</v>
          </cell>
          <cell r="O16">
            <v>2000</v>
          </cell>
          <cell r="P16" t="str">
            <v>金額</v>
          </cell>
          <cell r="Q16">
            <v>0</v>
          </cell>
          <cell r="R16">
            <v>0</v>
          </cell>
          <cell r="S16">
            <v>0</v>
          </cell>
          <cell r="T16">
            <v>920000</v>
          </cell>
          <cell r="U16">
            <v>920000</v>
          </cell>
          <cell r="V16">
            <v>0</v>
          </cell>
          <cell r="W16">
            <v>0</v>
          </cell>
          <cell r="X16">
            <v>920000</v>
          </cell>
          <cell r="Y16" t="str">
            <v xml:space="preserve"> </v>
          </cell>
        </row>
        <row r="17">
          <cell r="E17" t="str">
            <v>農舶用</v>
          </cell>
          <cell r="F17" t="str">
            <v>PP12670</v>
          </cell>
          <cell r="G17" t="str">
            <v>数量</v>
          </cell>
          <cell r="H17">
            <v>0</v>
          </cell>
          <cell r="I17">
            <v>210</v>
          </cell>
          <cell r="J17">
            <v>0</v>
          </cell>
          <cell r="K17">
            <v>12</v>
          </cell>
          <cell r="L17">
            <v>222</v>
          </cell>
          <cell r="M17">
            <v>1360</v>
          </cell>
          <cell r="N17">
            <v>0</v>
          </cell>
          <cell r="O17">
            <v>1582</v>
          </cell>
          <cell r="P17" t="str">
            <v>金額</v>
          </cell>
          <cell r="Q17">
            <v>0</v>
          </cell>
          <cell r="R17">
            <v>68315</v>
          </cell>
          <cell r="S17">
            <v>0</v>
          </cell>
          <cell r="T17">
            <v>3960</v>
          </cell>
          <cell r="U17">
            <v>72275</v>
          </cell>
          <cell r="V17">
            <v>180420</v>
          </cell>
          <cell r="W17">
            <v>0</v>
          </cell>
          <cell r="X17">
            <v>252695</v>
          </cell>
          <cell r="Y17" t="str">
            <v xml:space="preserve"> </v>
          </cell>
        </row>
        <row r="18">
          <cell r="E18" t="str">
            <v>レース用</v>
          </cell>
          <cell r="F18" t="str">
            <v>PP12672</v>
          </cell>
          <cell r="G18" t="str">
            <v>数量</v>
          </cell>
          <cell r="H18">
            <v>3661</v>
          </cell>
          <cell r="I18">
            <v>629</v>
          </cell>
          <cell r="J18">
            <v>0</v>
          </cell>
          <cell r="K18">
            <v>197</v>
          </cell>
          <cell r="L18">
            <v>826</v>
          </cell>
          <cell r="M18">
            <v>78314</v>
          </cell>
          <cell r="N18">
            <v>0</v>
          </cell>
          <cell r="O18">
            <v>82801</v>
          </cell>
          <cell r="P18" t="str">
            <v>金額</v>
          </cell>
          <cell r="Q18">
            <v>449262</v>
          </cell>
          <cell r="R18">
            <v>182375</v>
          </cell>
          <cell r="S18">
            <v>0</v>
          </cell>
          <cell r="T18">
            <v>57882</v>
          </cell>
          <cell r="U18">
            <v>240257</v>
          </cell>
          <cell r="V18">
            <v>11270103</v>
          </cell>
          <cell r="W18">
            <v>0</v>
          </cell>
          <cell r="X18">
            <v>11959622</v>
          </cell>
          <cell r="Y18" t="str">
            <v xml:space="preserve"> </v>
          </cell>
        </row>
        <row r="19">
          <cell r="E19" t="str">
            <v>セミレース用</v>
          </cell>
          <cell r="F19" t="str">
            <v>PP12673</v>
          </cell>
          <cell r="G19" t="str">
            <v>数量</v>
          </cell>
          <cell r="H19">
            <v>622</v>
          </cell>
          <cell r="I19">
            <v>2636</v>
          </cell>
          <cell r="J19">
            <v>0</v>
          </cell>
          <cell r="K19">
            <v>1590</v>
          </cell>
          <cell r="L19">
            <v>4226</v>
          </cell>
          <cell r="M19">
            <v>14168</v>
          </cell>
          <cell r="N19">
            <v>0</v>
          </cell>
          <cell r="O19">
            <v>19016</v>
          </cell>
          <cell r="P19" t="str">
            <v>金額</v>
          </cell>
          <cell r="Q19">
            <v>54480</v>
          </cell>
          <cell r="R19">
            <v>902510</v>
          </cell>
          <cell r="S19">
            <v>0</v>
          </cell>
          <cell r="T19">
            <v>525108</v>
          </cell>
          <cell r="U19">
            <v>1427618</v>
          </cell>
          <cell r="V19">
            <v>2824069</v>
          </cell>
          <cell r="W19">
            <v>0</v>
          </cell>
          <cell r="X19">
            <v>4306167</v>
          </cell>
          <cell r="Y19" t="str">
            <v xml:space="preserve"> </v>
          </cell>
        </row>
        <row r="20">
          <cell r="E20" t="str">
            <v>ジェット</v>
          </cell>
          <cell r="F20" t="str">
            <v>PP12684</v>
          </cell>
          <cell r="G20" t="str">
            <v>数量</v>
          </cell>
          <cell r="H20">
            <v>5</v>
          </cell>
          <cell r="I20">
            <v>12</v>
          </cell>
          <cell r="J20">
            <v>0</v>
          </cell>
          <cell r="K20">
            <v>4</v>
          </cell>
          <cell r="L20">
            <v>16</v>
          </cell>
          <cell r="M20">
            <v>290</v>
          </cell>
          <cell r="N20">
            <v>0</v>
          </cell>
          <cell r="O20">
            <v>311</v>
          </cell>
          <cell r="P20" t="str">
            <v>金額</v>
          </cell>
          <cell r="Q20">
            <v>147800</v>
          </cell>
          <cell r="R20">
            <v>801200</v>
          </cell>
          <cell r="S20">
            <v>0</v>
          </cell>
          <cell r="T20">
            <v>85600</v>
          </cell>
          <cell r="U20">
            <v>886800</v>
          </cell>
          <cell r="V20">
            <v>4012500</v>
          </cell>
          <cell r="W20">
            <v>0</v>
          </cell>
          <cell r="X20">
            <v>5047100</v>
          </cell>
          <cell r="Y20" t="str">
            <v xml:space="preserve"> </v>
          </cell>
        </row>
        <row r="21">
          <cell r="E21" t="str">
            <v>ＧＬ</v>
          </cell>
          <cell r="F21" t="str">
            <v>PP12686</v>
          </cell>
          <cell r="G21" t="str">
            <v>数量</v>
          </cell>
          <cell r="H21">
            <v>70</v>
          </cell>
          <cell r="I21">
            <v>10</v>
          </cell>
          <cell r="J21">
            <v>0</v>
          </cell>
          <cell r="K21">
            <v>94</v>
          </cell>
          <cell r="L21">
            <v>104</v>
          </cell>
          <cell r="M21">
            <v>0</v>
          </cell>
          <cell r="N21">
            <v>0</v>
          </cell>
          <cell r="O21">
            <v>174</v>
          </cell>
          <cell r="P21" t="str">
            <v>金額</v>
          </cell>
          <cell r="Q21">
            <v>1545000</v>
          </cell>
          <cell r="R21">
            <v>120000</v>
          </cell>
          <cell r="S21">
            <v>0</v>
          </cell>
          <cell r="T21">
            <v>1048180</v>
          </cell>
          <cell r="U21">
            <v>1168180</v>
          </cell>
          <cell r="V21">
            <v>0</v>
          </cell>
          <cell r="W21">
            <v>0</v>
          </cell>
          <cell r="X21">
            <v>2713180</v>
          </cell>
          <cell r="Y21" t="str">
            <v xml:space="preserve"> </v>
          </cell>
        </row>
        <row r="22">
          <cell r="E22" t="str">
            <v>その他</v>
          </cell>
          <cell r="F22" t="str">
            <v>PP12690</v>
          </cell>
          <cell r="G22" t="str">
            <v>数量</v>
          </cell>
          <cell r="H22">
            <v>132</v>
          </cell>
          <cell r="I22">
            <v>4</v>
          </cell>
          <cell r="J22">
            <v>0</v>
          </cell>
          <cell r="K22">
            <v>0</v>
          </cell>
          <cell r="L22">
            <v>4</v>
          </cell>
          <cell r="M22">
            <v>1</v>
          </cell>
          <cell r="N22">
            <v>0</v>
          </cell>
          <cell r="O22">
            <v>137</v>
          </cell>
          <cell r="P22" t="str">
            <v>金額</v>
          </cell>
          <cell r="Q22">
            <v>17002</v>
          </cell>
          <cell r="R22">
            <v>87832</v>
          </cell>
          <cell r="S22">
            <v>0</v>
          </cell>
          <cell r="T22">
            <v>0</v>
          </cell>
          <cell r="U22">
            <v>87832</v>
          </cell>
          <cell r="V22">
            <v>1636297</v>
          </cell>
          <cell r="W22">
            <v>0</v>
          </cell>
          <cell r="X22">
            <v>1741131</v>
          </cell>
          <cell r="Y22" t="str">
            <v xml:space="preserve"> </v>
          </cell>
        </row>
        <row r="23">
          <cell r="E23" t="str">
            <v>試　作</v>
          </cell>
          <cell r="F23" t="str">
            <v>PP12691</v>
          </cell>
          <cell r="G23" t="str">
            <v>数量</v>
          </cell>
          <cell r="H23">
            <v>7448</v>
          </cell>
          <cell r="I23">
            <v>15097</v>
          </cell>
          <cell r="J23">
            <v>0</v>
          </cell>
          <cell r="K23">
            <v>2182</v>
          </cell>
          <cell r="L23">
            <v>17279</v>
          </cell>
          <cell r="M23">
            <v>13452</v>
          </cell>
          <cell r="N23">
            <v>0</v>
          </cell>
          <cell r="O23">
            <v>38179</v>
          </cell>
          <cell r="P23" t="str">
            <v>金額</v>
          </cell>
          <cell r="Q23">
            <v>21756202</v>
          </cell>
          <cell r="R23">
            <v>20068560</v>
          </cell>
          <cell r="S23">
            <v>0</v>
          </cell>
          <cell r="T23">
            <v>6401895</v>
          </cell>
          <cell r="U23">
            <v>26470455</v>
          </cell>
          <cell r="V23">
            <v>19764775</v>
          </cell>
          <cell r="W23">
            <v>0</v>
          </cell>
          <cell r="X23">
            <v>67991432</v>
          </cell>
          <cell r="Y23" t="str">
            <v xml:space="preserve"> </v>
          </cell>
        </row>
        <row r="24">
          <cell r="E24" t="str">
            <v>特殊品</v>
          </cell>
          <cell r="F24" t="str">
            <v>PP126</v>
          </cell>
          <cell r="G24" t="str">
            <v>数量</v>
          </cell>
          <cell r="H24">
            <v>2408081</v>
          </cell>
          <cell r="I24">
            <v>656200</v>
          </cell>
          <cell r="J24">
            <v>2660</v>
          </cell>
          <cell r="K24">
            <v>1412640</v>
          </cell>
          <cell r="L24">
            <v>2071500</v>
          </cell>
          <cell r="M24">
            <v>13548346</v>
          </cell>
          <cell r="N24">
            <v>1260020</v>
          </cell>
          <cell r="O24">
            <v>18027927</v>
          </cell>
          <cell r="P24" t="str">
            <v>金額</v>
          </cell>
          <cell r="Q24">
            <v>180873503</v>
          </cell>
          <cell r="R24">
            <v>179684189</v>
          </cell>
          <cell r="S24">
            <v>620512</v>
          </cell>
          <cell r="T24">
            <v>315324448</v>
          </cell>
          <cell r="U24">
            <v>495629149</v>
          </cell>
          <cell r="V24">
            <v>1200313247</v>
          </cell>
          <cell r="W24">
            <v>63319811</v>
          </cell>
          <cell r="X24">
            <v>1876815899</v>
          </cell>
          <cell r="Y24" t="str">
            <v xml:space="preserve"> </v>
          </cell>
        </row>
        <row r="25">
          <cell r="E25" t="str">
            <v>Ｖ・ＶＸ</v>
          </cell>
          <cell r="F25" t="str">
            <v>PP13006</v>
          </cell>
          <cell r="G25" t="str">
            <v>数量</v>
          </cell>
          <cell r="H25">
            <v>10297</v>
          </cell>
          <cell r="I25">
            <v>14595</v>
          </cell>
          <cell r="J25">
            <v>75</v>
          </cell>
          <cell r="K25">
            <v>4854</v>
          </cell>
          <cell r="L25">
            <v>19524</v>
          </cell>
          <cell r="M25">
            <v>309644</v>
          </cell>
          <cell r="N25">
            <v>9440</v>
          </cell>
          <cell r="O25">
            <v>339465</v>
          </cell>
          <cell r="P25" t="str">
            <v>金額</v>
          </cell>
          <cell r="Q25">
            <v>3665505</v>
          </cell>
          <cell r="R25">
            <v>9839200</v>
          </cell>
          <cell r="S25">
            <v>46550</v>
          </cell>
          <cell r="T25">
            <v>3285176</v>
          </cell>
          <cell r="U25">
            <v>13170926</v>
          </cell>
          <cell r="V25">
            <v>61229050</v>
          </cell>
          <cell r="W25">
            <v>1996712</v>
          </cell>
          <cell r="X25">
            <v>78065481</v>
          </cell>
          <cell r="Y25" t="str">
            <v xml:space="preserve"> </v>
          </cell>
        </row>
        <row r="26">
          <cell r="E26" t="str">
            <v>白金チップ</v>
          </cell>
          <cell r="F26" t="str">
            <v>PP13008</v>
          </cell>
          <cell r="G26" t="str">
            <v>数量</v>
          </cell>
          <cell r="H26">
            <v>260681</v>
          </cell>
          <cell r="I26">
            <v>8802</v>
          </cell>
          <cell r="J26">
            <v>18</v>
          </cell>
          <cell r="K26">
            <v>75226</v>
          </cell>
          <cell r="L26">
            <v>84046</v>
          </cell>
          <cell r="M26">
            <v>690759</v>
          </cell>
          <cell r="N26">
            <v>227420</v>
          </cell>
          <cell r="O26">
            <v>1035486</v>
          </cell>
          <cell r="P26" t="str">
            <v>金額</v>
          </cell>
          <cell r="Q26">
            <v>55327300</v>
          </cell>
          <cell r="R26">
            <v>8078580</v>
          </cell>
          <cell r="S26">
            <v>16380</v>
          </cell>
          <cell r="T26">
            <v>43578045</v>
          </cell>
          <cell r="U26">
            <v>51673005</v>
          </cell>
          <cell r="V26">
            <v>221776269</v>
          </cell>
          <cell r="W26">
            <v>48421411</v>
          </cell>
          <cell r="X26">
            <v>328776574</v>
          </cell>
          <cell r="Y26" t="str">
            <v xml:space="preserve"> </v>
          </cell>
        </row>
        <row r="27">
          <cell r="E27" t="str">
            <v>ロングリーチ白金</v>
          </cell>
          <cell r="F27" t="str">
            <v>PP13040</v>
          </cell>
          <cell r="G27" t="str">
            <v>数量</v>
          </cell>
          <cell r="H27">
            <v>132486</v>
          </cell>
          <cell r="I27">
            <v>0</v>
          </cell>
          <cell r="J27">
            <v>0</v>
          </cell>
          <cell r="K27">
            <v>98</v>
          </cell>
          <cell r="L27">
            <v>98</v>
          </cell>
          <cell r="M27">
            <v>600</v>
          </cell>
          <cell r="N27">
            <v>0</v>
          </cell>
          <cell r="O27">
            <v>133184</v>
          </cell>
          <cell r="P27" t="str">
            <v>金額</v>
          </cell>
          <cell r="Q27">
            <v>25333980</v>
          </cell>
          <cell r="R27">
            <v>0</v>
          </cell>
          <cell r="S27">
            <v>0</v>
          </cell>
          <cell r="T27">
            <v>75486</v>
          </cell>
          <cell r="U27">
            <v>75486</v>
          </cell>
          <cell r="V27">
            <v>275100</v>
          </cell>
          <cell r="W27">
            <v>0</v>
          </cell>
          <cell r="X27">
            <v>25684566</v>
          </cell>
          <cell r="Y27" t="str">
            <v xml:space="preserve"> </v>
          </cell>
        </row>
        <row r="28">
          <cell r="E28" t="str">
            <v>ロング片側白金</v>
          </cell>
          <cell r="F28" t="str">
            <v>PP13041</v>
          </cell>
          <cell r="G28" t="str">
            <v>数量</v>
          </cell>
          <cell r="H28">
            <v>24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24</v>
          </cell>
          <cell r="P28" t="str">
            <v>金額</v>
          </cell>
          <cell r="Q28">
            <v>3528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3528</v>
          </cell>
          <cell r="Y28" t="str">
            <v xml:space="preserve"> </v>
          </cell>
        </row>
        <row r="29">
          <cell r="E29" t="str">
            <v>突出白金チップ</v>
          </cell>
          <cell r="F29" t="str">
            <v>PP13050</v>
          </cell>
          <cell r="G29" t="str">
            <v>数量</v>
          </cell>
          <cell r="H29">
            <v>27496</v>
          </cell>
          <cell r="I29">
            <v>533</v>
          </cell>
          <cell r="J29">
            <v>0</v>
          </cell>
          <cell r="K29">
            <v>9664</v>
          </cell>
          <cell r="L29">
            <v>10197</v>
          </cell>
          <cell r="M29">
            <v>409724</v>
          </cell>
          <cell r="N29">
            <v>328920</v>
          </cell>
          <cell r="O29">
            <v>447417</v>
          </cell>
          <cell r="P29" t="str">
            <v>金額</v>
          </cell>
          <cell r="Q29">
            <v>7700390</v>
          </cell>
          <cell r="R29">
            <v>576540</v>
          </cell>
          <cell r="S29">
            <v>0</v>
          </cell>
          <cell r="T29">
            <v>8068709</v>
          </cell>
          <cell r="U29">
            <v>8645249</v>
          </cell>
          <cell r="V29">
            <v>95088602</v>
          </cell>
          <cell r="W29">
            <v>66507120</v>
          </cell>
          <cell r="X29">
            <v>111434241</v>
          </cell>
          <cell r="Y29" t="str">
            <v xml:space="preserve"> </v>
          </cell>
        </row>
        <row r="30">
          <cell r="E30" t="str">
            <v>片側白金チップ</v>
          </cell>
          <cell r="F30" t="str">
            <v>PP13057</v>
          </cell>
          <cell r="G30" t="str">
            <v>数量</v>
          </cell>
          <cell r="H30">
            <v>24800</v>
          </cell>
          <cell r="I30">
            <v>0</v>
          </cell>
          <cell r="J30">
            <v>0</v>
          </cell>
          <cell r="K30">
            <v>85</v>
          </cell>
          <cell r="L30">
            <v>85</v>
          </cell>
          <cell r="M30">
            <v>344</v>
          </cell>
          <cell r="N30">
            <v>0</v>
          </cell>
          <cell r="O30">
            <v>25229</v>
          </cell>
          <cell r="P30" t="str">
            <v>金額</v>
          </cell>
          <cell r="Q30">
            <v>3126400</v>
          </cell>
          <cell r="R30">
            <v>0</v>
          </cell>
          <cell r="S30">
            <v>0</v>
          </cell>
          <cell r="T30">
            <v>36805</v>
          </cell>
          <cell r="U30">
            <v>36805</v>
          </cell>
          <cell r="V30">
            <v>103200</v>
          </cell>
          <cell r="W30">
            <v>0</v>
          </cell>
          <cell r="X30">
            <v>3266405</v>
          </cell>
          <cell r="Y30" t="str">
            <v xml:space="preserve"> </v>
          </cell>
        </row>
        <row r="31">
          <cell r="E31" t="str">
            <v>イリジューム</v>
          </cell>
          <cell r="F31" t="str">
            <v>PP13070</v>
          </cell>
          <cell r="G31" t="str">
            <v>数量</v>
          </cell>
          <cell r="H31">
            <v>323041</v>
          </cell>
          <cell r="I31">
            <v>58</v>
          </cell>
          <cell r="J31">
            <v>0</v>
          </cell>
          <cell r="K31">
            <v>12476</v>
          </cell>
          <cell r="L31">
            <v>12534</v>
          </cell>
          <cell r="M31">
            <v>77858</v>
          </cell>
          <cell r="N31">
            <v>22278</v>
          </cell>
          <cell r="O31">
            <v>413433</v>
          </cell>
          <cell r="P31" t="str">
            <v>金額</v>
          </cell>
          <cell r="Q31">
            <v>95500781</v>
          </cell>
          <cell r="R31">
            <v>62220</v>
          </cell>
          <cell r="S31">
            <v>0</v>
          </cell>
          <cell r="T31">
            <v>10766813</v>
          </cell>
          <cell r="U31">
            <v>10829033</v>
          </cell>
          <cell r="V31">
            <v>26394210</v>
          </cell>
          <cell r="W31">
            <v>5517280</v>
          </cell>
          <cell r="X31">
            <v>132724024</v>
          </cell>
          <cell r="Y31" t="str">
            <v xml:space="preserve"> </v>
          </cell>
        </row>
        <row r="32">
          <cell r="E32" t="str">
            <v>ロングイリジウム</v>
          </cell>
          <cell r="F32" t="str">
            <v>PP13071</v>
          </cell>
          <cell r="G32" t="str">
            <v>数量</v>
          </cell>
          <cell r="H32">
            <v>918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918</v>
          </cell>
          <cell r="P32" t="str">
            <v>金額</v>
          </cell>
          <cell r="Q32">
            <v>387396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387396</v>
          </cell>
          <cell r="Y32" t="str">
            <v xml:space="preserve"> </v>
          </cell>
        </row>
        <row r="33">
          <cell r="E33" t="str">
            <v>突出イリジューム</v>
          </cell>
          <cell r="F33" t="str">
            <v>PP13072</v>
          </cell>
          <cell r="G33" t="str">
            <v>数量</v>
          </cell>
          <cell r="H33">
            <v>41242</v>
          </cell>
          <cell r="I33">
            <v>10</v>
          </cell>
          <cell r="J33">
            <v>0</v>
          </cell>
          <cell r="K33">
            <v>481</v>
          </cell>
          <cell r="L33">
            <v>491</v>
          </cell>
          <cell r="M33">
            <v>1500</v>
          </cell>
          <cell r="N33">
            <v>0</v>
          </cell>
          <cell r="O33">
            <v>43233</v>
          </cell>
          <cell r="P33" t="str">
            <v>金額</v>
          </cell>
          <cell r="Q33">
            <v>13062320</v>
          </cell>
          <cell r="R33">
            <v>12000</v>
          </cell>
          <cell r="S33">
            <v>0</v>
          </cell>
          <cell r="T33">
            <v>427550</v>
          </cell>
          <cell r="U33">
            <v>439550</v>
          </cell>
          <cell r="V33">
            <v>1123428</v>
          </cell>
          <cell r="W33">
            <v>0</v>
          </cell>
          <cell r="X33">
            <v>14625298</v>
          </cell>
          <cell r="Y33" t="str">
            <v xml:space="preserve"> </v>
          </cell>
        </row>
        <row r="34">
          <cell r="E34" t="str">
            <v>片側イリジュウム</v>
          </cell>
          <cell r="F34" t="str">
            <v>PP13073</v>
          </cell>
          <cell r="G34" t="str">
            <v>数量</v>
          </cell>
          <cell r="H34">
            <v>25686</v>
          </cell>
          <cell r="I34">
            <v>79</v>
          </cell>
          <cell r="J34">
            <v>3</v>
          </cell>
          <cell r="K34">
            <v>686</v>
          </cell>
          <cell r="L34">
            <v>768</v>
          </cell>
          <cell r="M34">
            <v>2580</v>
          </cell>
          <cell r="N34">
            <v>0</v>
          </cell>
          <cell r="O34">
            <v>29034</v>
          </cell>
          <cell r="P34" t="str">
            <v>金額</v>
          </cell>
          <cell r="Q34">
            <v>6298560</v>
          </cell>
          <cell r="R34">
            <v>74970</v>
          </cell>
          <cell r="S34">
            <v>2730</v>
          </cell>
          <cell r="T34">
            <v>511000</v>
          </cell>
          <cell r="U34">
            <v>588700</v>
          </cell>
          <cell r="V34">
            <v>889284</v>
          </cell>
          <cell r="W34">
            <v>0</v>
          </cell>
          <cell r="X34">
            <v>7776544</v>
          </cell>
          <cell r="Y34" t="str">
            <v xml:space="preserve"> </v>
          </cell>
        </row>
        <row r="35">
          <cell r="E35" t="str">
            <v>イリシリーズ</v>
          </cell>
          <cell r="F35" t="str">
            <v>PP13075</v>
          </cell>
          <cell r="G35" t="str">
            <v>数量</v>
          </cell>
          <cell r="H35">
            <v>124</v>
          </cell>
          <cell r="I35">
            <v>12608</v>
          </cell>
          <cell r="J35">
            <v>16</v>
          </cell>
          <cell r="K35">
            <v>5</v>
          </cell>
          <cell r="L35">
            <v>12629</v>
          </cell>
          <cell r="M35">
            <v>0</v>
          </cell>
          <cell r="N35">
            <v>0</v>
          </cell>
          <cell r="O35">
            <v>12753</v>
          </cell>
          <cell r="P35" t="str">
            <v>金額</v>
          </cell>
          <cell r="Q35">
            <v>124000</v>
          </cell>
          <cell r="R35">
            <v>10964170</v>
          </cell>
          <cell r="S35">
            <v>13760</v>
          </cell>
          <cell r="T35">
            <v>4600</v>
          </cell>
          <cell r="U35">
            <v>10982530</v>
          </cell>
          <cell r="V35">
            <v>0</v>
          </cell>
          <cell r="W35">
            <v>0</v>
          </cell>
          <cell r="X35">
            <v>11106530</v>
          </cell>
          <cell r="Y35" t="str">
            <v xml:space="preserve"> </v>
          </cell>
        </row>
        <row r="36">
          <cell r="E36" t="str">
            <v>ＩＸ</v>
          </cell>
          <cell r="F36" t="str">
            <v>PP13076</v>
          </cell>
          <cell r="G36" t="str">
            <v>数量</v>
          </cell>
          <cell r="H36">
            <v>52</v>
          </cell>
          <cell r="I36">
            <v>41857</v>
          </cell>
          <cell r="J36">
            <v>54</v>
          </cell>
          <cell r="K36">
            <v>18196</v>
          </cell>
          <cell r="L36">
            <v>60107</v>
          </cell>
          <cell r="M36">
            <v>34129</v>
          </cell>
          <cell r="N36">
            <v>0</v>
          </cell>
          <cell r="O36">
            <v>94288</v>
          </cell>
          <cell r="P36" t="str">
            <v>金額</v>
          </cell>
          <cell r="Q36">
            <v>58240</v>
          </cell>
          <cell r="R36">
            <v>27585895</v>
          </cell>
          <cell r="S36">
            <v>34880</v>
          </cell>
          <cell r="T36">
            <v>11738440</v>
          </cell>
          <cell r="U36">
            <v>39359215</v>
          </cell>
          <cell r="V36">
            <v>9194485</v>
          </cell>
          <cell r="W36">
            <v>0</v>
          </cell>
          <cell r="X36">
            <v>48611940</v>
          </cell>
          <cell r="Y36" t="str">
            <v xml:space="preserve"> </v>
          </cell>
        </row>
        <row r="37">
          <cell r="E37" t="str">
            <v>イリデュアル</v>
          </cell>
          <cell r="F37" t="str">
            <v>PP13077</v>
          </cell>
          <cell r="G37" t="str">
            <v>数量</v>
          </cell>
          <cell r="H37">
            <v>0</v>
          </cell>
          <cell r="I37">
            <v>3000</v>
          </cell>
          <cell r="J37">
            <v>0</v>
          </cell>
          <cell r="K37">
            <v>0</v>
          </cell>
          <cell r="L37">
            <v>3000</v>
          </cell>
          <cell r="M37">
            <v>0</v>
          </cell>
          <cell r="N37">
            <v>0</v>
          </cell>
          <cell r="O37">
            <v>3000</v>
          </cell>
          <cell r="P37" t="str">
            <v>金額</v>
          </cell>
          <cell r="Q37">
            <v>0</v>
          </cell>
          <cell r="R37">
            <v>2355000</v>
          </cell>
          <cell r="S37">
            <v>0</v>
          </cell>
          <cell r="T37">
            <v>0</v>
          </cell>
          <cell r="U37">
            <v>2355000</v>
          </cell>
          <cell r="V37">
            <v>0</v>
          </cell>
          <cell r="W37">
            <v>0</v>
          </cell>
          <cell r="X37">
            <v>2355000</v>
          </cell>
          <cell r="Y37" t="str">
            <v xml:space="preserve"> </v>
          </cell>
        </row>
        <row r="38">
          <cell r="E38" t="str">
            <v>貴金属その他</v>
          </cell>
          <cell r="F38" t="str">
            <v>PP13090</v>
          </cell>
          <cell r="G38" t="str">
            <v>数量</v>
          </cell>
          <cell r="H38">
            <v>50916</v>
          </cell>
          <cell r="I38">
            <v>8013</v>
          </cell>
          <cell r="J38">
            <v>0</v>
          </cell>
          <cell r="K38">
            <v>5098</v>
          </cell>
          <cell r="L38">
            <v>13111</v>
          </cell>
          <cell r="M38">
            <v>479210</v>
          </cell>
          <cell r="N38">
            <v>383200</v>
          </cell>
          <cell r="O38">
            <v>543237</v>
          </cell>
          <cell r="P38" t="str">
            <v>金額</v>
          </cell>
          <cell r="Q38">
            <v>14593406</v>
          </cell>
          <cell r="R38">
            <v>6743400</v>
          </cell>
          <cell r="S38">
            <v>0</v>
          </cell>
          <cell r="T38">
            <v>4707420</v>
          </cell>
          <cell r="U38">
            <v>11450820</v>
          </cell>
          <cell r="V38">
            <v>110115270</v>
          </cell>
          <cell r="W38">
            <v>77750300</v>
          </cell>
          <cell r="X38">
            <v>136159496</v>
          </cell>
          <cell r="Y38" t="str">
            <v xml:space="preserve"> </v>
          </cell>
        </row>
        <row r="39">
          <cell r="E39" t="str">
            <v>貴金属タイプ</v>
          </cell>
          <cell r="F39" t="str">
            <v>PP130</v>
          </cell>
          <cell r="G39" t="str">
            <v>数量</v>
          </cell>
          <cell r="H39">
            <v>897763</v>
          </cell>
          <cell r="I39">
            <v>89555</v>
          </cell>
          <cell r="J39">
            <v>166</v>
          </cell>
          <cell r="K39">
            <v>126869</v>
          </cell>
          <cell r="L39">
            <v>216590</v>
          </cell>
          <cell r="M39">
            <v>2006348</v>
          </cell>
          <cell r="N39">
            <v>971258</v>
          </cell>
          <cell r="O39">
            <v>3120701</v>
          </cell>
          <cell r="P39" t="str">
            <v>金額</v>
          </cell>
          <cell r="Q39">
            <v>225181806</v>
          </cell>
          <cell r="R39">
            <v>66291975</v>
          </cell>
          <cell r="S39">
            <v>114300</v>
          </cell>
          <cell r="T39">
            <v>83200044</v>
          </cell>
          <cell r="U39">
            <v>149606319</v>
          </cell>
          <cell r="V39">
            <v>526188898</v>
          </cell>
          <cell r="W39">
            <v>200192823</v>
          </cell>
          <cell r="X39">
            <v>900977023</v>
          </cell>
          <cell r="Y39" t="str">
            <v xml:space="preserve"> </v>
          </cell>
        </row>
        <row r="40">
          <cell r="E40" t="str">
            <v>ＨＴＣ</v>
          </cell>
          <cell r="F40" t="str">
            <v>PP17904</v>
          </cell>
          <cell r="G40" t="str">
            <v>数量</v>
          </cell>
          <cell r="H40">
            <v>90212</v>
          </cell>
          <cell r="I40">
            <v>0</v>
          </cell>
          <cell r="J40">
            <v>0</v>
          </cell>
          <cell r="K40">
            <v>43</v>
          </cell>
          <cell r="L40">
            <v>43</v>
          </cell>
          <cell r="M40">
            <v>70</v>
          </cell>
          <cell r="N40">
            <v>0</v>
          </cell>
          <cell r="O40">
            <v>90325</v>
          </cell>
          <cell r="P40" t="str">
            <v>金額</v>
          </cell>
          <cell r="Q40">
            <v>49012360</v>
          </cell>
          <cell r="R40">
            <v>0</v>
          </cell>
          <cell r="S40">
            <v>0</v>
          </cell>
          <cell r="T40">
            <v>37453</v>
          </cell>
          <cell r="U40">
            <v>37453</v>
          </cell>
          <cell r="V40">
            <v>56000</v>
          </cell>
          <cell r="W40">
            <v>0</v>
          </cell>
          <cell r="X40">
            <v>49105813</v>
          </cell>
          <cell r="Y40" t="str">
            <v xml:space="preserve"> </v>
          </cell>
        </row>
        <row r="41">
          <cell r="E41" t="str">
            <v>自己制御　ＣＹ</v>
          </cell>
          <cell r="F41" t="str">
            <v>PP17905</v>
          </cell>
          <cell r="G41" t="str">
            <v>数量</v>
          </cell>
          <cell r="H41">
            <v>31677</v>
          </cell>
          <cell r="I41">
            <v>0</v>
          </cell>
          <cell r="J41">
            <v>0</v>
          </cell>
          <cell r="K41">
            <v>18774</v>
          </cell>
          <cell r="L41">
            <v>18774</v>
          </cell>
          <cell r="M41">
            <v>6263</v>
          </cell>
          <cell r="N41">
            <v>0</v>
          </cell>
          <cell r="O41">
            <v>56714</v>
          </cell>
          <cell r="P41" t="str">
            <v>金額</v>
          </cell>
          <cell r="Q41">
            <v>18988770</v>
          </cell>
          <cell r="R41">
            <v>0</v>
          </cell>
          <cell r="S41">
            <v>0</v>
          </cell>
          <cell r="T41">
            <v>28104590</v>
          </cell>
          <cell r="U41">
            <v>28104590</v>
          </cell>
          <cell r="V41">
            <v>5219230</v>
          </cell>
          <cell r="W41">
            <v>0</v>
          </cell>
          <cell r="X41">
            <v>52312590</v>
          </cell>
          <cell r="Y41" t="str">
            <v xml:space="preserve"> </v>
          </cell>
        </row>
        <row r="42">
          <cell r="E42" t="str">
            <v>両絶縁　ＣＸ</v>
          </cell>
          <cell r="F42" t="str">
            <v>PP17910</v>
          </cell>
          <cell r="G42" t="str">
            <v>数量</v>
          </cell>
          <cell r="H42">
            <v>30</v>
          </cell>
          <cell r="I42">
            <v>0</v>
          </cell>
          <cell r="J42">
            <v>0</v>
          </cell>
          <cell r="K42">
            <v>1290</v>
          </cell>
          <cell r="L42">
            <v>1290</v>
          </cell>
          <cell r="M42">
            <v>1304</v>
          </cell>
          <cell r="N42">
            <v>0</v>
          </cell>
          <cell r="O42">
            <v>2624</v>
          </cell>
          <cell r="P42" t="str">
            <v>金額</v>
          </cell>
          <cell r="Q42">
            <v>39000</v>
          </cell>
          <cell r="R42">
            <v>0</v>
          </cell>
          <cell r="S42">
            <v>0</v>
          </cell>
          <cell r="T42">
            <v>1657650</v>
          </cell>
          <cell r="U42">
            <v>1657650</v>
          </cell>
          <cell r="V42">
            <v>1675640</v>
          </cell>
          <cell r="W42">
            <v>0</v>
          </cell>
          <cell r="X42">
            <v>3372290</v>
          </cell>
          <cell r="Y42" t="str">
            <v xml:space="preserve"> </v>
          </cell>
        </row>
        <row r="43">
          <cell r="E43" t="str">
            <v>ボデーアースＣＺ</v>
          </cell>
          <cell r="F43" t="str">
            <v>PP17915</v>
          </cell>
          <cell r="G43" t="str">
            <v>数量</v>
          </cell>
          <cell r="H43">
            <v>0</v>
          </cell>
          <cell r="I43">
            <v>0</v>
          </cell>
          <cell r="J43">
            <v>0</v>
          </cell>
          <cell r="K43">
            <v>920</v>
          </cell>
          <cell r="L43">
            <v>920</v>
          </cell>
          <cell r="M43">
            <v>674</v>
          </cell>
          <cell r="N43">
            <v>0</v>
          </cell>
          <cell r="O43">
            <v>1594</v>
          </cell>
          <cell r="P43" t="str">
            <v>金額</v>
          </cell>
          <cell r="Q43">
            <v>0</v>
          </cell>
          <cell r="R43">
            <v>0</v>
          </cell>
          <cell r="S43">
            <v>0</v>
          </cell>
          <cell r="T43">
            <v>1168400</v>
          </cell>
          <cell r="U43">
            <v>1168400</v>
          </cell>
          <cell r="V43">
            <v>855980</v>
          </cell>
          <cell r="W43">
            <v>0</v>
          </cell>
          <cell r="X43">
            <v>2024380</v>
          </cell>
          <cell r="Y43" t="str">
            <v xml:space="preserve"> </v>
          </cell>
        </row>
        <row r="44">
          <cell r="E44" t="str">
            <v>試作</v>
          </cell>
          <cell r="F44" t="str">
            <v>PP17991</v>
          </cell>
          <cell r="G44" t="str">
            <v>数量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50</v>
          </cell>
          <cell r="N44">
            <v>0</v>
          </cell>
          <cell r="O44">
            <v>50</v>
          </cell>
          <cell r="P44" t="str">
            <v>金額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250000</v>
          </cell>
          <cell r="W44">
            <v>0</v>
          </cell>
          <cell r="X44">
            <v>250000</v>
          </cell>
          <cell r="Y44" t="str">
            <v xml:space="preserve"> </v>
          </cell>
        </row>
        <row r="45">
          <cell r="E45" t="str">
            <v>温測セラミツク</v>
          </cell>
          <cell r="F45" t="str">
            <v>PP17995</v>
          </cell>
          <cell r="G45" t="str">
            <v>数量</v>
          </cell>
          <cell r="H45">
            <v>8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8</v>
          </cell>
          <cell r="P45" t="str">
            <v>金額</v>
          </cell>
          <cell r="Q45">
            <v>400000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400000</v>
          </cell>
          <cell r="Y45" t="str">
            <v xml:space="preserve"> </v>
          </cell>
        </row>
        <row r="46">
          <cell r="E46" t="str">
            <v>セラミックグロー</v>
          </cell>
          <cell r="F46" t="str">
            <v>PP179</v>
          </cell>
          <cell r="G46" t="str">
            <v>数量</v>
          </cell>
          <cell r="H46">
            <v>121927</v>
          </cell>
          <cell r="I46">
            <v>0</v>
          </cell>
          <cell r="J46">
            <v>0</v>
          </cell>
          <cell r="K46">
            <v>21027</v>
          </cell>
          <cell r="L46">
            <v>21027</v>
          </cell>
          <cell r="M46">
            <v>8361</v>
          </cell>
          <cell r="N46">
            <v>0</v>
          </cell>
          <cell r="O46">
            <v>151315</v>
          </cell>
          <cell r="P46" t="str">
            <v>金額</v>
          </cell>
          <cell r="Q46">
            <v>68440130</v>
          </cell>
          <cell r="R46">
            <v>0</v>
          </cell>
          <cell r="S46">
            <v>0</v>
          </cell>
          <cell r="T46">
            <v>30968093</v>
          </cell>
          <cell r="U46">
            <v>30968093</v>
          </cell>
          <cell r="V46">
            <v>8056850</v>
          </cell>
          <cell r="W46">
            <v>0</v>
          </cell>
          <cell r="X46">
            <v>107465073</v>
          </cell>
          <cell r="Y46" t="str">
            <v xml:space="preserve"> </v>
          </cell>
        </row>
        <row r="47">
          <cell r="E47" t="str">
            <v>ＱＧＳグロー１材</v>
          </cell>
          <cell r="F47" t="str">
            <v>PP18005</v>
          </cell>
          <cell r="G47" t="str">
            <v>数量</v>
          </cell>
          <cell r="H47">
            <v>1000</v>
          </cell>
          <cell r="I47">
            <v>615</v>
          </cell>
          <cell r="J47">
            <v>0</v>
          </cell>
          <cell r="K47">
            <v>2032</v>
          </cell>
          <cell r="L47">
            <v>2647</v>
          </cell>
          <cell r="M47">
            <v>8363</v>
          </cell>
          <cell r="N47">
            <v>0</v>
          </cell>
          <cell r="O47">
            <v>12010</v>
          </cell>
          <cell r="P47" t="str">
            <v>金額</v>
          </cell>
          <cell r="Q47">
            <v>394000</v>
          </cell>
          <cell r="R47">
            <v>707020</v>
          </cell>
          <cell r="S47">
            <v>0</v>
          </cell>
          <cell r="T47">
            <v>1862910</v>
          </cell>
          <cell r="U47">
            <v>2569930</v>
          </cell>
          <cell r="V47">
            <v>4050178</v>
          </cell>
          <cell r="W47">
            <v>0</v>
          </cell>
          <cell r="X47">
            <v>7014108</v>
          </cell>
          <cell r="Y47" t="str">
            <v xml:space="preserve"> </v>
          </cell>
        </row>
        <row r="48">
          <cell r="E48" t="str">
            <v>ＱＧＳグロ－２材</v>
          </cell>
          <cell r="F48" t="str">
            <v>PP18008</v>
          </cell>
          <cell r="G48" t="str">
            <v>数量</v>
          </cell>
          <cell r="H48">
            <v>173233</v>
          </cell>
          <cell r="I48">
            <v>1754</v>
          </cell>
          <cell r="J48">
            <v>0</v>
          </cell>
          <cell r="K48">
            <v>14198</v>
          </cell>
          <cell r="L48">
            <v>15952</v>
          </cell>
          <cell r="M48">
            <v>25300</v>
          </cell>
          <cell r="N48">
            <v>0</v>
          </cell>
          <cell r="O48">
            <v>214485</v>
          </cell>
          <cell r="P48" t="str">
            <v>金額</v>
          </cell>
          <cell r="Q48">
            <v>60002809</v>
          </cell>
          <cell r="R48">
            <v>2693500</v>
          </cell>
          <cell r="S48">
            <v>0</v>
          </cell>
          <cell r="T48">
            <v>13772746</v>
          </cell>
          <cell r="U48">
            <v>16466246</v>
          </cell>
          <cell r="V48">
            <v>10686362</v>
          </cell>
          <cell r="W48">
            <v>0</v>
          </cell>
          <cell r="X48">
            <v>87155417</v>
          </cell>
          <cell r="Y48" t="str">
            <v xml:space="preserve"> </v>
          </cell>
        </row>
        <row r="49">
          <cell r="E49" t="str">
            <v>ＳＲＭ</v>
          </cell>
          <cell r="F49" t="str">
            <v>PP18009</v>
          </cell>
          <cell r="G49" t="str">
            <v>数量</v>
          </cell>
          <cell r="H49">
            <v>27520</v>
          </cell>
          <cell r="I49">
            <v>4</v>
          </cell>
          <cell r="J49">
            <v>0</v>
          </cell>
          <cell r="K49">
            <v>19992</v>
          </cell>
          <cell r="L49">
            <v>19996</v>
          </cell>
          <cell r="M49">
            <v>3290</v>
          </cell>
          <cell r="N49">
            <v>0</v>
          </cell>
          <cell r="O49">
            <v>50806</v>
          </cell>
          <cell r="P49" t="str">
            <v>金額</v>
          </cell>
          <cell r="Q49">
            <v>9632360</v>
          </cell>
          <cell r="R49">
            <v>4400</v>
          </cell>
          <cell r="S49">
            <v>0</v>
          </cell>
          <cell r="T49">
            <v>21173700</v>
          </cell>
          <cell r="U49">
            <v>21178100</v>
          </cell>
          <cell r="V49">
            <v>2040669</v>
          </cell>
          <cell r="W49">
            <v>0</v>
          </cell>
          <cell r="X49">
            <v>32851129</v>
          </cell>
          <cell r="Y49" t="str">
            <v xml:space="preserve"> </v>
          </cell>
        </row>
        <row r="50">
          <cell r="E50" t="str">
            <v>速熱グロー</v>
          </cell>
          <cell r="F50" t="str">
            <v>PP18011</v>
          </cell>
          <cell r="G50" t="str">
            <v>数量</v>
          </cell>
          <cell r="H50">
            <v>20552</v>
          </cell>
          <cell r="I50">
            <v>445</v>
          </cell>
          <cell r="J50">
            <v>0</v>
          </cell>
          <cell r="K50">
            <v>2523</v>
          </cell>
          <cell r="L50">
            <v>2968</v>
          </cell>
          <cell r="M50">
            <v>25942</v>
          </cell>
          <cell r="N50">
            <v>0</v>
          </cell>
          <cell r="O50">
            <v>49462</v>
          </cell>
          <cell r="P50" t="str">
            <v>金額</v>
          </cell>
          <cell r="Q50">
            <v>6207044</v>
          </cell>
          <cell r="R50">
            <v>373030</v>
          </cell>
          <cell r="S50">
            <v>0</v>
          </cell>
          <cell r="T50">
            <v>1469035</v>
          </cell>
          <cell r="U50">
            <v>1842065</v>
          </cell>
          <cell r="V50">
            <v>6095470</v>
          </cell>
          <cell r="W50">
            <v>0</v>
          </cell>
          <cell r="X50">
            <v>14144579</v>
          </cell>
          <cell r="Y50" t="str">
            <v xml:space="preserve"> </v>
          </cell>
        </row>
        <row r="51">
          <cell r="E51" t="str">
            <v>一般グロー</v>
          </cell>
          <cell r="F51" t="str">
            <v>PP18017</v>
          </cell>
          <cell r="G51" t="str">
            <v>数量</v>
          </cell>
          <cell r="H51">
            <v>4916</v>
          </cell>
          <cell r="I51">
            <v>896</v>
          </cell>
          <cell r="J51">
            <v>0</v>
          </cell>
          <cell r="K51">
            <v>1339</v>
          </cell>
          <cell r="L51">
            <v>2235</v>
          </cell>
          <cell r="M51">
            <v>5204</v>
          </cell>
          <cell r="N51">
            <v>0</v>
          </cell>
          <cell r="O51">
            <v>12355</v>
          </cell>
          <cell r="P51" t="str">
            <v>金額</v>
          </cell>
          <cell r="Q51">
            <v>2267124</v>
          </cell>
          <cell r="R51">
            <v>401920</v>
          </cell>
          <cell r="S51">
            <v>0</v>
          </cell>
          <cell r="T51">
            <v>829756</v>
          </cell>
          <cell r="U51">
            <v>1231676</v>
          </cell>
          <cell r="V51">
            <v>2008691</v>
          </cell>
          <cell r="W51">
            <v>0</v>
          </cell>
          <cell r="X51">
            <v>5507491</v>
          </cell>
          <cell r="Y51" t="str">
            <v xml:space="preserve"> </v>
          </cell>
        </row>
        <row r="52">
          <cell r="E52" t="str">
            <v>プラグ型ヒーター</v>
          </cell>
          <cell r="F52" t="str">
            <v>PP18025</v>
          </cell>
          <cell r="G52" t="str">
            <v>数量</v>
          </cell>
          <cell r="H52">
            <v>11300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30000</v>
          </cell>
          <cell r="N52">
            <v>30000</v>
          </cell>
          <cell r="O52">
            <v>41300</v>
          </cell>
          <cell r="P52" t="str">
            <v>金額</v>
          </cell>
          <cell r="Q52">
            <v>4639900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5886000</v>
          </cell>
          <cell r="W52">
            <v>5886000</v>
          </cell>
          <cell r="X52">
            <v>10525900</v>
          </cell>
          <cell r="Y52" t="str">
            <v xml:space="preserve"> </v>
          </cell>
        </row>
        <row r="53">
          <cell r="E53" t="str">
            <v>プラグ型レジスタ</v>
          </cell>
          <cell r="F53" t="str">
            <v>PP18070</v>
          </cell>
          <cell r="G53" t="str">
            <v>数量</v>
          </cell>
          <cell r="H53">
            <v>730</v>
          </cell>
          <cell r="I53">
            <v>0</v>
          </cell>
          <cell r="J53">
            <v>0</v>
          </cell>
          <cell r="K53">
            <v>10</v>
          </cell>
          <cell r="L53">
            <v>10</v>
          </cell>
          <cell r="M53">
            <v>44</v>
          </cell>
          <cell r="N53">
            <v>0</v>
          </cell>
          <cell r="O53">
            <v>784</v>
          </cell>
          <cell r="P53" t="str">
            <v>金額</v>
          </cell>
          <cell r="Q53">
            <v>575300</v>
          </cell>
          <cell r="R53">
            <v>0</v>
          </cell>
          <cell r="S53">
            <v>0</v>
          </cell>
          <cell r="T53">
            <v>19080</v>
          </cell>
          <cell r="U53">
            <v>19080</v>
          </cell>
          <cell r="V53">
            <v>48463</v>
          </cell>
          <cell r="W53">
            <v>0</v>
          </cell>
          <cell r="X53">
            <v>642843</v>
          </cell>
          <cell r="Y53" t="str">
            <v xml:space="preserve"> </v>
          </cell>
        </row>
        <row r="54">
          <cell r="E54" t="str">
            <v>両絶縁</v>
          </cell>
          <cell r="F54" t="str">
            <v>PP18072</v>
          </cell>
          <cell r="G54" t="str">
            <v>数量</v>
          </cell>
          <cell r="H54">
            <v>0</v>
          </cell>
          <cell r="I54">
            <v>0</v>
          </cell>
          <cell r="J54">
            <v>0</v>
          </cell>
          <cell r="K54">
            <v>11</v>
          </cell>
          <cell r="L54">
            <v>11</v>
          </cell>
          <cell r="M54">
            <v>0</v>
          </cell>
          <cell r="N54">
            <v>0</v>
          </cell>
          <cell r="O54">
            <v>11</v>
          </cell>
          <cell r="P54" t="str">
            <v>金額</v>
          </cell>
          <cell r="Q54">
            <v>0</v>
          </cell>
          <cell r="R54">
            <v>0</v>
          </cell>
          <cell r="S54">
            <v>0</v>
          </cell>
          <cell r="T54">
            <v>14400</v>
          </cell>
          <cell r="U54">
            <v>14400</v>
          </cell>
          <cell r="V54">
            <v>0</v>
          </cell>
          <cell r="W54">
            <v>0</v>
          </cell>
          <cell r="X54">
            <v>14400</v>
          </cell>
          <cell r="Y54" t="str">
            <v xml:space="preserve"> </v>
          </cell>
        </row>
        <row r="55">
          <cell r="E55" t="str">
            <v>コイル</v>
          </cell>
          <cell r="F55" t="str">
            <v>PP18080</v>
          </cell>
          <cell r="G55" t="str">
            <v>数量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20</v>
          </cell>
          <cell r="N55">
            <v>0</v>
          </cell>
          <cell r="O55">
            <v>20</v>
          </cell>
          <cell r="P55" t="str">
            <v>金額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2211</v>
          </cell>
          <cell r="W55">
            <v>0</v>
          </cell>
          <cell r="X55">
            <v>2211</v>
          </cell>
          <cell r="Y55" t="str">
            <v xml:space="preserve"> </v>
          </cell>
        </row>
        <row r="56">
          <cell r="E56" t="str">
            <v>その他</v>
          </cell>
          <cell r="F56" t="str">
            <v>PP18090</v>
          </cell>
          <cell r="G56" t="str">
            <v>数量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1</v>
          </cell>
          <cell r="N56">
            <v>0</v>
          </cell>
          <cell r="O56">
            <v>1</v>
          </cell>
          <cell r="P56" t="str">
            <v>金額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620984</v>
          </cell>
          <cell r="W56">
            <v>0</v>
          </cell>
          <cell r="X56">
            <v>620984</v>
          </cell>
          <cell r="Y56" t="str">
            <v xml:space="preserve"> </v>
          </cell>
        </row>
        <row r="57">
          <cell r="E57" t="str">
            <v>試作</v>
          </cell>
          <cell r="F57" t="str">
            <v>PP18091</v>
          </cell>
          <cell r="G57" t="str">
            <v>数量</v>
          </cell>
          <cell r="H57">
            <v>9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24</v>
          </cell>
          <cell r="N57">
            <v>0</v>
          </cell>
          <cell r="O57">
            <v>33</v>
          </cell>
          <cell r="P57" t="str">
            <v>金額</v>
          </cell>
          <cell r="Q57">
            <v>270000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48000</v>
          </cell>
          <cell r="W57">
            <v>0</v>
          </cell>
          <cell r="X57">
            <v>318000</v>
          </cell>
          <cell r="Y57" t="str">
            <v xml:space="preserve"> </v>
          </cell>
        </row>
        <row r="58">
          <cell r="E58" t="str">
            <v>温測グロー</v>
          </cell>
          <cell r="F58" t="str">
            <v>PP18095</v>
          </cell>
          <cell r="G58" t="str">
            <v>数量</v>
          </cell>
          <cell r="H58">
            <v>2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2</v>
          </cell>
          <cell r="P58" t="str">
            <v>金額</v>
          </cell>
          <cell r="Q58">
            <v>20000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20000</v>
          </cell>
          <cell r="Y58" t="str">
            <v xml:space="preserve"> </v>
          </cell>
        </row>
        <row r="59">
          <cell r="E59" t="str">
            <v>メタルグロー</v>
          </cell>
          <cell r="F59" t="str">
            <v>PP180</v>
          </cell>
          <cell r="G59" t="str">
            <v>数量</v>
          </cell>
          <cell r="H59">
            <v>239262</v>
          </cell>
          <cell r="I59">
            <v>3714</v>
          </cell>
          <cell r="J59">
            <v>0</v>
          </cell>
          <cell r="K59">
            <v>40105</v>
          </cell>
          <cell r="L59">
            <v>43819</v>
          </cell>
          <cell r="M59">
            <v>98188</v>
          </cell>
          <cell r="N59">
            <v>30000</v>
          </cell>
          <cell r="O59">
            <v>381269</v>
          </cell>
          <cell r="P59" t="str">
            <v>金額</v>
          </cell>
          <cell r="Q59">
            <v>84008537</v>
          </cell>
          <cell r="R59">
            <v>4179870</v>
          </cell>
          <cell r="S59">
            <v>0</v>
          </cell>
          <cell r="T59">
            <v>39141627</v>
          </cell>
          <cell r="U59">
            <v>43321497</v>
          </cell>
          <cell r="V59">
            <v>31487028</v>
          </cell>
          <cell r="W59">
            <v>5886000</v>
          </cell>
          <cell r="X59">
            <v>158817062</v>
          </cell>
          <cell r="Y59" t="str">
            <v xml:space="preserve"> </v>
          </cell>
        </row>
        <row r="60">
          <cell r="E60" t="str">
            <v>プラグ完成品</v>
          </cell>
          <cell r="F60" t="str">
            <v>PP1</v>
          </cell>
          <cell r="G60" t="str">
            <v>数量</v>
          </cell>
          <cell r="H60">
            <v>3815945</v>
          </cell>
          <cell r="I60">
            <v>905320</v>
          </cell>
          <cell r="J60">
            <v>3489</v>
          </cell>
          <cell r="K60">
            <v>1759476</v>
          </cell>
          <cell r="L60">
            <v>2668285</v>
          </cell>
          <cell r="M60">
            <v>23097635</v>
          </cell>
          <cell r="N60">
            <v>2346278</v>
          </cell>
          <cell r="O60">
            <v>29581865</v>
          </cell>
          <cell r="P60" t="str">
            <v>金額</v>
          </cell>
          <cell r="Q60">
            <v>563809272</v>
          </cell>
          <cell r="R60">
            <v>277423201</v>
          </cell>
          <cell r="S60">
            <v>855227</v>
          </cell>
          <cell r="T60">
            <v>495142914</v>
          </cell>
          <cell r="U60">
            <v>773421342</v>
          </cell>
          <cell r="V60">
            <v>2284636159</v>
          </cell>
          <cell r="W60">
            <v>272256044</v>
          </cell>
          <cell r="X60">
            <v>3621866773</v>
          </cell>
          <cell r="Y60" t="str">
            <v xml:space="preserve"> </v>
          </cell>
        </row>
        <row r="61">
          <cell r="E61" t="str">
            <v>中軸付絶縁体</v>
          </cell>
          <cell r="F61" t="str">
            <v>PP50102</v>
          </cell>
          <cell r="G61" t="str">
            <v>数量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7535731</v>
          </cell>
          <cell r="N61">
            <v>2112490</v>
          </cell>
          <cell r="O61">
            <v>7535731</v>
          </cell>
          <cell r="P61" t="str">
            <v>金額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384111683</v>
          </cell>
          <cell r="W61">
            <v>136668923</v>
          </cell>
          <cell r="X61">
            <v>384111683</v>
          </cell>
          <cell r="Y61" t="str">
            <v xml:space="preserve"> </v>
          </cell>
        </row>
        <row r="62">
          <cell r="E62" t="str">
            <v>中　軸</v>
          </cell>
          <cell r="F62" t="str">
            <v>PP50104</v>
          </cell>
          <cell r="G62" t="str">
            <v>数量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2745000</v>
          </cell>
          <cell r="N62">
            <v>350000</v>
          </cell>
          <cell r="O62">
            <v>2745000</v>
          </cell>
          <cell r="P62" t="str">
            <v>金額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18913250</v>
          </cell>
          <cell r="W62">
            <v>1435000</v>
          </cell>
          <cell r="X62">
            <v>18913250</v>
          </cell>
          <cell r="Y62" t="str">
            <v xml:space="preserve"> </v>
          </cell>
        </row>
        <row r="63">
          <cell r="E63" t="str">
            <v>主体金具</v>
          </cell>
          <cell r="F63" t="str">
            <v>PP50106</v>
          </cell>
          <cell r="G63" t="str">
            <v>数量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8590730</v>
          </cell>
          <cell r="N63">
            <v>1785920</v>
          </cell>
          <cell r="O63">
            <v>8590730</v>
          </cell>
          <cell r="P63" t="str">
            <v>金額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166109043</v>
          </cell>
          <cell r="W63">
            <v>67561952</v>
          </cell>
          <cell r="X63">
            <v>166109043</v>
          </cell>
          <cell r="Y63" t="str">
            <v xml:space="preserve"> </v>
          </cell>
        </row>
        <row r="64">
          <cell r="E64" t="str">
            <v>絶縁体</v>
          </cell>
          <cell r="F64" t="str">
            <v>PP50108</v>
          </cell>
          <cell r="G64" t="str">
            <v>数量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2691970</v>
          </cell>
          <cell r="N64">
            <v>326370</v>
          </cell>
          <cell r="O64">
            <v>2691970</v>
          </cell>
          <cell r="P64" t="str">
            <v>金額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49039246</v>
          </cell>
          <cell r="W64">
            <v>2952786</v>
          </cell>
          <cell r="X64">
            <v>49039246</v>
          </cell>
          <cell r="Y64" t="str">
            <v xml:space="preserve"> </v>
          </cell>
        </row>
        <row r="65">
          <cell r="E65" t="str">
            <v>端子ナット</v>
          </cell>
          <cell r="F65" t="str">
            <v>PP50110</v>
          </cell>
          <cell r="G65" t="str">
            <v>数量</v>
          </cell>
          <cell r="H65">
            <v>100</v>
          </cell>
          <cell r="I65">
            <v>1571</v>
          </cell>
          <cell r="J65">
            <v>0</v>
          </cell>
          <cell r="K65">
            <v>0</v>
          </cell>
          <cell r="L65">
            <v>1571</v>
          </cell>
          <cell r="M65">
            <v>1200000</v>
          </cell>
          <cell r="N65">
            <v>0</v>
          </cell>
          <cell r="O65">
            <v>1201671</v>
          </cell>
          <cell r="P65" t="str">
            <v>金額</v>
          </cell>
          <cell r="Q65">
            <v>1000</v>
          </cell>
          <cell r="R65">
            <v>15368</v>
          </cell>
          <cell r="S65">
            <v>0</v>
          </cell>
          <cell r="T65">
            <v>0</v>
          </cell>
          <cell r="U65">
            <v>15368</v>
          </cell>
          <cell r="V65">
            <v>672000</v>
          </cell>
          <cell r="W65">
            <v>0</v>
          </cell>
          <cell r="X65">
            <v>688368</v>
          </cell>
          <cell r="Y65" t="str">
            <v xml:space="preserve"> </v>
          </cell>
        </row>
        <row r="66">
          <cell r="E66" t="str">
            <v>雄ネジ</v>
          </cell>
          <cell r="F66" t="str">
            <v>PP50112</v>
          </cell>
          <cell r="G66" t="str">
            <v>数量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1235000</v>
          </cell>
          <cell r="N66">
            <v>0</v>
          </cell>
          <cell r="O66">
            <v>1235000</v>
          </cell>
          <cell r="P66" t="str">
            <v>金額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2761500</v>
          </cell>
          <cell r="W66">
            <v>0</v>
          </cell>
          <cell r="X66">
            <v>2761500</v>
          </cell>
          <cell r="Y66" t="str">
            <v xml:space="preserve"> </v>
          </cell>
        </row>
        <row r="67">
          <cell r="E67" t="str">
            <v>一体端子</v>
          </cell>
          <cell r="F67" t="str">
            <v>PP50114</v>
          </cell>
          <cell r="G67" t="str">
            <v>数量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1700000</v>
          </cell>
          <cell r="N67">
            <v>300000</v>
          </cell>
          <cell r="O67">
            <v>1700000</v>
          </cell>
          <cell r="P67" t="str">
            <v>金額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5470400</v>
          </cell>
          <cell r="W67">
            <v>870000</v>
          </cell>
          <cell r="X67">
            <v>5470400</v>
          </cell>
          <cell r="Y67" t="str">
            <v xml:space="preserve"> </v>
          </cell>
        </row>
        <row r="68">
          <cell r="E68" t="str">
            <v>板パッキン</v>
          </cell>
          <cell r="F68" t="str">
            <v>PP50120</v>
          </cell>
          <cell r="G68" t="str">
            <v>数量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2300000</v>
          </cell>
          <cell r="N68">
            <v>0</v>
          </cell>
          <cell r="O68">
            <v>2300000</v>
          </cell>
          <cell r="P68" t="str">
            <v>金額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184000</v>
          </cell>
          <cell r="W68">
            <v>0</v>
          </cell>
          <cell r="X68">
            <v>184000</v>
          </cell>
          <cell r="Y68" t="str">
            <v xml:space="preserve"> </v>
          </cell>
        </row>
        <row r="69">
          <cell r="E69" t="str">
            <v>線パッキン</v>
          </cell>
          <cell r="F69" t="str">
            <v>PP50122</v>
          </cell>
          <cell r="G69" t="str">
            <v>数量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4160000</v>
          </cell>
          <cell r="N69">
            <v>0</v>
          </cell>
          <cell r="O69">
            <v>4160000</v>
          </cell>
          <cell r="P69" t="str">
            <v>金額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332800</v>
          </cell>
          <cell r="W69">
            <v>0</v>
          </cell>
          <cell r="X69">
            <v>332800</v>
          </cell>
          <cell r="Y69" t="str">
            <v xml:space="preserve"> </v>
          </cell>
        </row>
        <row r="70">
          <cell r="E70" t="str">
            <v>ガスケット</v>
          </cell>
          <cell r="F70" t="str">
            <v>PP50125</v>
          </cell>
          <cell r="G70" t="str">
            <v>数量</v>
          </cell>
          <cell r="H70">
            <v>1237756</v>
          </cell>
          <cell r="I70">
            <v>50</v>
          </cell>
          <cell r="J70">
            <v>0</v>
          </cell>
          <cell r="K70">
            <v>331443</v>
          </cell>
          <cell r="L70">
            <v>331493</v>
          </cell>
          <cell r="M70">
            <v>5551206</v>
          </cell>
          <cell r="N70">
            <v>0</v>
          </cell>
          <cell r="O70">
            <v>7120455</v>
          </cell>
          <cell r="P70" t="str">
            <v>金額</v>
          </cell>
          <cell r="Q70">
            <v>4125122</v>
          </cell>
          <cell r="R70">
            <v>400</v>
          </cell>
          <cell r="S70">
            <v>0</v>
          </cell>
          <cell r="T70">
            <v>1336309</v>
          </cell>
          <cell r="U70">
            <v>1336709</v>
          </cell>
          <cell r="V70">
            <v>4338541</v>
          </cell>
          <cell r="W70">
            <v>0</v>
          </cell>
          <cell r="X70">
            <v>9800372</v>
          </cell>
          <cell r="Y70" t="str">
            <v xml:space="preserve"> </v>
          </cell>
        </row>
        <row r="71">
          <cell r="E71" t="str">
            <v>外測電極</v>
          </cell>
          <cell r="F71" t="str">
            <v>PP50127</v>
          </cell>
          <cell r="G71" t="str">
            <v>数量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196000</v>
          </cell>
          <cell r="N71">
            <v>196000</v>
          </cell>
          <cell r="O71">
            <v>196000</v>
          </cell>
          <cell r="P71" t="str">
            <v>金額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3332000</v>
          </cell>
          <cell r="W71">
            <v>3332000</v>
          </cell>
          <cell r="X71">
            <v>3332000</v>
          </cell>
          <cell r="Y71" t="str">
            <v xml:space="preserve"> </v>
          </cell>
        </row>
        <row r="72">
          <cell r="E72" t="str">
            <v>特殊中軸</v>
          </cell>
          <cell r="F72" t="str">
            <v>PP50142</v>
          </cell>
          <cell r="G72" t="str">
            <v>数量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500000</v>
          </cell>
          <cell r="N72">
            <v>0</v>
          </cell>
          <cell r="O72">
            <v>500000</v>
          </cell>
          <cell r="P72" t="str">
            <v>金額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3845000</v>
          </cell>
          <cell r="W72">
            <v>0</v>
          </cell>
          <cell r="X72">
            <v>3845000</v>
          </cell>
          <cell r="Y72" t="str">
            <v xml:space="preserve"> </v>
          </cell>
        </row>
        <row r="73">
          <cell r="E73" t="str">
            <v>滑　石</v>
          </cell>
          <cell r="F73" t="str">
            <v>PP50188</v>
          </cell>
          <cell r="G73" t="str">
            <v>数量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12020</v>
          </cell>
          <cell r="N73">
            <v>0</v>
          </cell>
          <cell r="O73">
            <v>12020</v>
          </cell>
          <cell r="P73" t="str">
            <v>金額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2711588</v>
          </cell>
          <cell r="W73">
            <v>0</v>
          </cell>
          <cell r="X73">
            <v>2711588</v>
          </cell>
          <cell r="Y73" t="str">
            <v xml:space="preserve"> </v>
          </cell>
        </row>
        <row r="74">
          <cell r="E74" t="str">
            <v>原材料・他</v>
          </cell>
          <cell r="F74" t="str">
            <v>PP50189</v>
          </cell>
          <cell r="G74" t="str">
            <v>数量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2128070</v>
          </cell>
          <cell r="N74">
            <v>0</v>
          </cell>
          <cell r="O74">
            <v>2128070</v>
          </cell>
          <cell r="P74" t="str">
            <v>金額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38058500</v>
          </cell>
          <cell r="W74">
            <v>0</v>
          </cell>
          <cell r="X74">
            <v>38058500</v>
          </cell>
          <cell r="Y74" t="str">
            <v xml:space="preserve"> </v>
          </cell>
        </row>
        <row r="75">
          <cell r="E75" t="str">
            <v>その他</v>
          </cell>
          <cell r="F75" t="str">
            <v>PP50190</v>
          </cell>
          <cell r="G75" t="str">
            <v>数量</v>
          </cell>
          <cell r="H75">
            <v>20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3429</v>
          </cell>
          <cell r="N75">
            <v>0</v>
          </cell>
          <cell r="O75">
            <v>3449</v>
          </cell>
          <cell r="P75" t="str">
            <v>金額</v>
          </cell>
          <cell r="Q75">
            <v>36000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11266215</v>
          </cell>
          <cell r="W75">
            <v>0</v>
          </cell>
          <cell r="X75">
            <v>11302215</v>
          </cell>
          <cell r="Y75" t="str">
            <v xml:space="preserve"> </v>
          </cell>
        </row>
        <row r="76">
          <cell r="E76" t="str">
            <v>スパ－クプラ部品</v>
          </cell>
          <cell r="F76" t="str">
            <v>PP501</v>
          </cell>
          <cell r="G76" t="str">
            <v>数量</v>
          </cell>
          <cell r="H76">
            <v>1237876</v>
          </cell>
          <cell r="I76">
            <v>1621</v>
          </cell>
          <cell r="J76">
            <v>0</v>
          </cell>
          <cell r="K76">
            <v>331443</v>
          </cell>
          <cell r="L76">
            <v>333064</v>
          </cell>
          <cell r="M76">
            <v>40549156</v>
          </cell>
          <cell r="N76">
            <v>5070780</v>
          </cell>
          <cell r="O76">
            <v>42120096</v>
          </cell>
          <cell r="P76" t="str">
            <v>金額</v>
          </cell>
          <cell r="Q76">
            <v>4162122</v>
          </cell>
          <cell r="R76">
            <v>15768</v>
          </cell>
          <cell r="S76">
            <v>0</v>
          </cell>
          <cell r="T76">
            <v>1336309</v>
          </cell>
          <cell r="U76">
            <v>1352077</v>
          </cell>
          <cell r="V76">
            <v>691145766</v>
          </cell>
          <cell r="W76">
            <v>212820661</v>
          </cell>
          <cell r="X76">
            <v>696659965</v>
          </cell>
          <cell r="Y76" t="str">
            <v xml:space="preserve"> </v>
          </cell>
        </row>
        <row r="77">
          <cell r="E77" t="str">
            <v>板パッキン</v>
          </cell>
          <cell r="F77" t="str">
            <v>PP50330</v>
          </cell>
          <cell r="G77" t="str">
            <v>数量</v>
          </cell>
          <cell r="H77">
            <v>120</v>
          </cell>
          <cell r="I77">
            <v>0</v>
          </cell>
          <cell r="J77">
            <v>0</v>
          </cell>
          <cell r="K77">
            <v>100</v>
          </cell>
          <cell r="L77">
            <v>100</v>
          </cell>
          <cell r="M77">
            <v>0</v>
          </cell>
          <cell r="N77">
            <v>0</v>
          </cell>
          <cell r="O77">
            <v>220</v>
          </cell>
          <cell r="P77" t="str">
            <v>金額</v>
          </cell>
          <cell r="Q77">
            <v>1200</v>
          </cell>
          <cell r="R77">
            <v>0</v>
          </cell>
          <cell r="S77">
            <v>0</v>
          </cell>
          <cell r="T77">
            <v>1000</v>
          </cell>
          <cell r="U77">
            <v>1000</v>
          </cell>
          <cell r="V77">
            <v>0</v>
          </cell>
          <cell r="W77">
            <v>0</v>
          </cell>
          <cell r="X77">
            <v>2200</v>
          </cell>
          <cell r="Y77" t="str">
            <v xml:space="preserve"> </v>
          </cell>
        </row>
        <row r="78">
          <cell r="E78" t="str">
            <v>スウェージャー品</v>
          </cell>
          <cell r="F78" t="str">
            <v>PP50343</v>
          </cell>
          <cell r="G78" t="str">
            <v>数量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-18821</v>
          </cell>
          <cell r="N78">
            <v>0</v>
          </cell>
          <cell r="O78">
            <v>-18821</v>
          </cell>
          <cell r="P78" t="str">
            <v>金額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-4235688</v>
          </cell>
          <cell r="W78">
            <v>0</v>
          </cell>
          <cell r="X78">
            <v>-4235688</v>
          </cell>
          <cell r="Y78" t="str">
            <v xml:space="preserve"> </v>
          </cell>
        </row>
        <row r="79">
          <cell r="E79" t="str">
            <v>その他</v>
          </cell>
          <cell r="F79" t="str">
            <v>PP50390</v>
          </cell>
          <cell r="G79" t="str">
            <v>数量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3410</v>
          </cell>
          <cell r="N79">
            <v>0</v>
          </cell>
          <cell r="O79">
            <v>3410</v>
          </cell>
          <cell r="P79" t="str">
            <v>金額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2549000</v>
          </cell>
          <cell r="W79">
            <v>0</v>
          </cell>
          <cell r="X79">
            <v>2549000</v>
          </cell>
          <cell r="Y79" t="str">
            <v xml:space="preserve"> </v>
          </cell>
        </row>
        <row r="80">
          <cell r="E80" t="str">
            <v>グロー部品</v>
          </cell>
          <cell r="F80" t="str">
            <v>PP503</v>
          </cell>
          <cell r="G80" t="str">
            <v>数量</v>
          </cell>
          <cell r="H80">
            <v>120</v>
          </cell>
          <cell r="I80">
            <v>0</v>
          </cell>
          <cell r="J80">
            <v>0</v>
          </cell>
          <cell r="K80">
            <v>100</v>
          </cell>
          <cell r="L80">
            <v>100</v>
          </cell>
          <cell r="M80">
            <v>-15411</v>
          </cell>
          <cell r="N80">
            <v>0</v>
          </cell>
          <cell r="O80">
            <v>-15191</v>
          </cell>
          <cell r="P80" t="str">
            <v>金額</v>
          </cell>
          <cell r="Q80">
            <v>1200</v>
          </cell>
          <cell r="R80">
            <v>0</v>
          </cell>
          <cell r="S80">
            <v>0</v>
          </cell>
          <cell r="T80">
            <v>1000</v>
          </cell>
          <cell r="U80">
            <v>1000</v>
          </cell>
          <cell r="V80">
            <v>-1686688</v>
          </cell>
          <cell r="W80">
            <v>0</v>
          </cell>
          <cell r="X80">
            <v>-1684488</v>
          </cell>
          <cell r="Y80" t="str">
            <v xml:space="preserve"> </v>
          </cell>
        </row>
        <row r="81">
          <cell r="E81" t="str">
            <v>ガラスパイプ</v>
          </cell>
          <cell r="F81" t="str">
            <v>PP50422</v>
          </cell>
          <cell r="G81" t="str">
            <v>数量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60000</v>
          </cell>
          <cell r="N81">
            <v>0</v>
          </cell>
          <cell r="O81">
            <v>60000</v>
          </cell>
          <cell r="P81" t="str">
            <v>金額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420000</v>
          </cell>
          <cell r="W81">
            <v>0</v>
          </cell>
          <cell r="X81">
            <v>420000</v>
          </cell>
          <cell r="Y81" t="str">
            <v xml:space="preserve"> </v>
          </cell>
        </row>
        <row r="82">
          <cell r="E82" t="str">
            <v>発熱体部品</v>
          </cell>
          <cell r="F82" t="str">
            <v>PP50442</v>
          </cell>
          <cell r="G82" t="str">
            <v>数量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50000</v>
          </cell>
          <cell r="N82">
            <v>0</v>
          </cell>
          <cell r="O82">
            <v>50000</v>
          </cell>
          <cell r="P82" t="str">
            <v>金額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25000000</v>
          </cell>
          <cell r="W82">
            <v>0</v>
          </cell>
          <cell r="X82">
            <v>25000000</v>
          </cell>
          <cell r="Y82" t="str">
            <v xml:space="preserve"> </v>
          </cell>
        </row>
        <row r="83">
          <cell r="E83" t="str">
            <v>Ｃグロー部品</v>
          </cell>
          <cell r="F83" t="str">
            <v>PP504</v>
          </cell>
          <cell r="G83" t="str">
            <v>数量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110000</v>
          </cell>
          <cell r="N83">
            <v>0</v>
          </cell>
          <cell r="O83">
            <v>110000</v>
          </cell>
          <cell r="P83" t="str">
            <v>金額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25420000</v>
          </cell>
          <cell r="W83">
            <v>0</v>
          </cell>
          <cell r="X83">
            <v>25420000</v>
          </cell>
          <cell r="Y83" t="str">
            <v xml:space="preserve"> </v>
          </cell>
        </row>
        <row r="84">
          <cell r="E84" t="str">
            <v>その他</v>
          </cell>
          <cell r="F84" t="str">
            <v>PP50790</v>
          </cell>
          <cell r="G84" t="str">
            <v>数量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2</v>
          </cell>
          <cell r="N84">
            <v>0</v>
          </cell>
          <cell r="O84">
            <v>2</v>
          </cell>
          <cell r="P84" t="str">
            <v>金額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76000</v>
          </cell>
          <cell r="W84">
            <v>0</v>
          </cell>
          <cell r="X84">
            <v>76000</v>
          </cell>
          <cell r="Y84" t="str">
            <v xml:space="preserve"> </v>
          </cell>
        </row>
        <row r="85">
          <cell r="E85" t="str">
            <v>ＧＬ部品</v>
          </cell>
          <cell r="F85" t="str">
            <v>PP507</v>
          </cell>
          <cell r="G85" t="str">
            <v>数量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2</v>
          </cell>
          <cell r="N85">
            <v>0</v>
          </cell>
          <cell r="O85">
            <v>2</v>
          </cell>
          <cell r="P85" t="str">
            <v>金額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76000</v>
          </cell>
          <cell r="W85">
            <v>0</v>
          </cell>
          <cell r="X85">
            <v>76000</v>
          </cell>
          <cell r="Y85" t="str">
            <v xml:space="preserve"> </v>
          </cell>
        </row>
        <row r="86">
          <cell r="E86" t="str">
            <v>プラグ部品</v>
          </cell>
          <cell r="F86" t="str">
            <v>PP5</v>
          </cell>
          <cell r="G86" t="str">
            <v>数量</v>
          </cell>
          <cell r="H86">
            <v>1237996</v>
          </cell>
          <cell r="I86">
            <v>1621</v>
          </cell>
          <cell r="J86">
            <v>0</v>
          </cell>
          <cell r="K86">
            <v>331543</v>
          </cell>
          <cell r="L86">
            <v>333164</v>
          </cell>
          <cell r="M86">
            <v>40643747</v>
          </cell>
          <cell r="N86">
            <v>5070780</v>
          </cell>
          <cell r="O86">
            <v>42214907</v>
          </cell>
          <cell r="P86" t="str">
            <v>金額</v>
          </cell>
          <cell r="Q86">
            <v>4163322</v>
          </cell>
          <cell r="R86">
            <v>15768</v>
          </cell>
          <cell r="S86">
            <v>0</v>
          </cell>
          <cell r="T86">
            <v>1337309</v>
          </cell>
          <cell r="U86">
            <v>1353077</v>
          </cell>
          <cell r="V86">
            <v>714955078</v>
          </cell>
          <cell r="W86">
            <v>212820661</v>
          </cell>
          <cell r="X86">
            <v>720471477</v>
          </cell>
          <cell r="Y86" t="str">
            <v xml:space="preserve"> </v>
          </cell>
        </row>
        <row r="87">
          <cell r="E87" t="str">
            <v>プラグ</v>
          </cell>
          <cell r="F87" t="str">
            <v>PP</v>
          </cell>
          <cell r="G87" t="str">
            <v>数量</v>
          </cell>
          <cell r="H87">
            <v>5053941</v>
          </cell>
          <cell r="I87">
            <v>906941</v>
          </cell>
          <cell r="J87">
            <v>3489</v>
          </cell>
          <cell r="K87">
            <v>2091019</v>
          </cell>
          <cell r="L87">
            <v>3001449</v>
          </cell>
          <cell r="M87">
            <v>63741382</v>
          </cell>
          <cell r="N87">
            <v>7417058</v>
          </cell>
          <cell r="O87">
            <v>71796772</v>
          </cell>
          <cell r="P87" t="str">
            <v>金額</v>
          </cell>
          <cell r="Q87">
            <v>567972594</v>
          </cell>
          <cell r="R87">
            <v>277438969</v>
          </cell>
          <cell r="S87">
            <v>855227</v>
          </cell>
          <cell r="T87">
            <v>496480223</v>
          </cell>
          <cell r="U87">
            <v>774774419</v>
          </cell>
          <cell r="V87">
            <v>2999591237</v>
          </cell>
          <cell r="W87">
            <v>485076705</v>
          </cell>
          <cell r="X87">
            <v>4342338250</v>
          </cell>
          <cell r="Y87" t="str">
            <v xml:space="preserve"> </v>
          </cell>
        </row>
        <row r="88">
          <cell r="E88" t="str">
            <v>サーミスター</v>
          </cell>
          <cell r="F88" t="str">
            <v>PX10101</v>
          </cell>
          <cell r="G88" t="str">
            <v>数量</v>
          </cell>
          <cell r="H88">
            <v>4890</v>
          </cell>
          <cell r="I88">
            <v>0</v>
          </cell>
          <cell r="J88">
            <v>0</v>
          </cell>
          <cell r="K88">
            <v>422</v>
          </cell>
          <cell r="L88">
            <v>422</v>
          </cell>
          <cell r="M88">
            <v>0</v>
          </cell>
          <cell r="N88">
            <v>0</v>
          </cell>
          <cell r="O88">
            <v>5312</v>
          </cell>
          <cell r="P88" t="str">
            <v>金額</v>
          </cell>
          <cell r="Q88">
            <v>8275810</v>
          </cell>
          <cell r="R88">
            <v>0</v>
          </cell>
          <cell r="S88">
            <v>0</v>
          </cell>
          <cell r="T88">
            <v>545725</v>
          </cell>
          <cell r="U88">
            <v>545725</v>
          </cell>
          <cell r="V88">
            <v>0</v>
          </cell>
          <cell r="W88">
            <v>0</v>
          </cell>
          <cell r="X88">
            <v>8821535</v>
          </cell>
          <cell r="Y88" t="str">
            <v xml:space="preserve"> </v>
          </cell>
        </row>
        <row r="89">
          <cell r="E89" t="str">
            <v>Ｃ　Ａ</v>
          </cell>
          <cell r="F89" t="str">
            <v>PX10104</v>
          </cell>
          <cell r="G89" t="str">
            <v>数量</v>
          </cell>
          <cell r="H89">
            <v>0</v>
          </cell>
          <cell r="I89">
            <v>0</v>
          </cell>
          <cell r="J89">
            <v>0</v>
          </cell>
          <cell r="K89">
            <v>9</v>
          </cell>
          <cell r="L89">
            <v>9</v>
          </cell>
          <cell r="M89">
            <v>0</v>
          </cell>
          <cell r="N89">
            <v>0</v>
          </cell>
          <cell r="O89">
            <v>9</v>
          </cell>
          <cell r="P89" t="str">
            <v>金額</v>
          </cell>
          <cell r="Q89">
            <v>0</v>
          </cell>
          <cell r="R89">
            <v>0</v>
          </cell>
          <cell r="S89">
            <v>0</v>
          </cell>
          <cell r="T89">
            <v>10630</v>
          </cell>
          <cell r="U89">
            <v>10630</v>
          </cell>
          <cell r="V89">
            <v>0</v>
          </cell>
          <cell r="W89">
            <v>0</v>
          </cell>
          <cell r="X89">
            <v>10630</v>
          </cell>
          <cell r="Y89" t="str">
            <v xml:space="preserve"> </v>
          </cell>
        </row>
        <row r="90">
          <cell r="E90" t="str">
            <v>ヒューズ</v>
          </cell>
          <cell r="F90" t="str">
            <v>PX10107</v>
          </cell>
          <cell r="G90" t="str">
            <v>数量</v>
          </cell>
          <cell r="H90">
            <v>17</v>
          </cell>
          <cell r="I90">
            <v>0</v>
          </cell>
          <cell r="J90">
            <v>0</v>
          </cell>
          <cell r="K90">
            <v>10868</v>
          </cell>
          <cell r="L90">
            <v>10868</v>
          </cell>
          <cell r="M90">
            <v>0</v>
          </cell>
          <cell r="N90">
            <v>0</v>
          </cell>
          <cell r="O90">
            <v>10885</v>
          </cell>
          <cell r="P90" t="str">
            <v>金額</v>
          </cell>
          <cell r="Q90">
            <v>21554</v>
          </cell>
          <cell r="R90">
            <v>0</v>
          </cell>
          <cell r="S90">
            <v>0</v>
          </cell>
          <cell r="T90">
            <v>9565317</v>
          </cell>
          <cell r="U90">
            <v>9565317</v>
          </cell>
          <cell r="V90">
            <v>0</v>
          </cell>
          <cell r="W90">
            <v>0</v>
          </cell>
          <cell r="X90">
            <v>9586871</v>
          </cell>
          <cell r="Y90" t="str">
            <v xml:space="preserve"> </v>
          </cell>
        </row>
        <row r="91">
          <cell r="E91" t="str">
            <v>ヒューズ　部品</v>
          </cell>
          <cell r="F91" t="str">
            <v>PX10108</v>
          </cell>
          <cell r="G91" t="str">
            <v>数量</v>
          </cell>
          <cell r="H91">
            <v>5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5</v>
          </cell>
          <cell r="P91" t="str">
            <v>金額</v>
          </cell>
          <cell r="Q91">
            <v>3625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3625</v>
          </cell>
          <cell r="Y91" t="str">
            <v xml:space="preserve"> </v>
          </cell>
        </row>
        <row r="92">
          <cell r="E92" t="str">
            <v>ヒューズ試作</v>
          </cell>
          <cell r="F92" t="str">
            <v>PX10109</v>
          </cell>
          <cell r="G92" t="str">
            <v>数量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60</v>
          </cell>
          <cell r="N92">
            <v>0</v>
          </cell>
          <cell r="O92">
            <v>60</v>
          </cell>
          <cell r="P92" t="str">
            <v>金額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240000</v>
          </cell>
          <cell r="W92">
            <v>0</v>
          </cell>
          <cell r="X92">
            <v>240000</v>
          </cell>
          <cell r="Y92" t="str">
            <v xml:space="preserve"> </v>
          </cell>
        </row>
        <row r="93">
          <cell r="E93" t="str">
            <v>シースＣＡ</v>
          </cell>
          <cell r="F93" t="str">
            <v>PX10110</v>
          </cell>
          <cell r="G93" t="str">
            <v>数量</v>
          </cell>
          <cell r="H93">
            <v>277</v>
          </cell>
          <cell r="I93">
            <v>0</v>
          </cell>
          <cell r="J93">
            <v>0</v>
          </cell>
          <cell r="K93">
            <v>16</v>
          </cell>
          <cell r="L93">
            <v>16</v>
          </cell>
          <cell r="M93">
            <v>0</v>
          </cell>
          <cell r="N93">
            <v>0</v>
          </cell>
          <cell r="O93">
            <v>293</v>
          </cell>
          <cell r="P93" t="str">
            <v>金額</v>
          </cell>
          <cell r="Q93">
            <v>623378</v>
          </cell>
          <cell r="R93">
            <v>0</v>
          </cell>
          <cell r="S93">
            <v>0</v>
          </cell>
          <cell r="T93">
            <v>17144</v>
          </cell>
          <cell r="U93">
            <v>17144</v>
          </cell>
          <cell r="V93">
            <v>0</v>
          </cell>
          <cell r="W93">
            <v>0</v>
          </cell>
          <cell r="X93">
            <v>640522</v>
          </cell>
          <cell r="Y93" t="str">
            <v xml:space="preserve"> </v>
          </cell>
        </row>
        <row r="94">
          <cell r="E94" t="str">
            <v>シースＣＡ試作</v>
          </cell>
          <cell r="F94" t="str">
            <v>PX10112</v>
          </cell>
          <cell r="G94" t="str">
            <v>数量</v>
          </cell>
          <cell r="H94">
            <v>355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355</v>
          </cell>
          <cell r="P94" t="str">
            <v>金額</v>
          </cell>
          <cell r="Q94">
            <v>547622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547622</v>
          </cell>
          <cell r="Y94" t="str">
            <v xml:space="preserve"> </v>
          </cell>
        </row>
        <row r="95">
          <cell r="E95" t="str">
            <v>回路　試作品</v>
          </cell>
          <cell r="F95" t="str">
            <v>PX10115</v>
          </cell>
          <cell r="G95" t="str">
            <v>数量</v>
          </cell>
          <cell r="H95">
            <v>3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3</v>
          </cell>
          <cell r="P95" t="str">
            <v>金額</v>
          </cell>
          <cell r="Q95">
            <v>16500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16500</v>
          </cell>
          <cell r="Y95" t="str">
            <v xml:space="preserve"> </v>
          </cell>
        </row>
        <row r="96">
          <cell r="E96" t="str">
            <v>ＶＣセンサー</v>
          </cell>
          <cell r="F96" t="str">
            <v>PX10120</v>
          </cell>
          <cell r="G96" t="str">
            <v>数量</v>
          </cell>
          <cell r="H96">
            <v>26451</v>
          </cell>
          <cell r="I96">
            <v>0</v>
          </cell>
          <cell r="J96">
            <v>0</v>
          </cell>
          <cell r="K96">
            <v>341</v>
          </cell>
          <cell r="L96">
            <v>341</v>
          </cell>
          <cell r="M96">
            <v>0</v>
          </cell>
          <cell r="N96">
            <v>0</v>
          </cell>
          <cell r="O96">
            <v>26792</v>
          </cell>
          <cell r="P96" t="str">
            <v>金額</v>
          </cell>
          <cell r="Q96">
            <v>18318099</v>
          </cell>
          <cell r="R96">
            <v>0</v>
          </cell>
          <cell r="S96">
            <v>0</v>
          </cell>
          <cell r="T96">
            <v>299229</v>
          </cell>
          <cell r="U96">
            <v>299229</v>
          </cell>
          <cell r="V96">
            <v>0</v>
          </cell>
          <cell r="W96">
            <v>0</v>
          </cell>
          <cell r="X96">
            <v>18617328</v>
          </cell>
          <cell r="Y96" t="str">
            <v xml:space="preserve"> </v>
          </cell>
        </row>
        <row r="97">
          <cell r="E97" t="str">
            <v>ＶＣセンサー試作</v>
          </cell>
          <cell r="F97" t="str">
            <v>PX10121</v>
          </cell>
          <cell r="G97" t="str">
            <v>数量</v>
          </cell>
          <cell r="H97">
            <v>1</v>
          </cell>
          <cell r="I97">
            <v>0</v>
          </cell>
          <cell r="J97">
            <v>0</v>
          </cell>
          <cell r="K97">
            <v>1</v>
          </cell>
          <cell r="L97">
            <v>1</v>
          </cell>
          <cell r="M97">
            <v>0</v>
          </cell>
          <cell r="N97">
            <v>0</v>
          </cell>
          <cell r="O97">
            <v>2</v>
          </cell>
          <cell r="P97" t="str">
            <v>金額</v>
          </cell>
          <cell r="Q97">
            <v>5000</v>
          </cell>
          <cell r="R97">
            <v>0</v>
          </cell>
          <cell r="S97">
            <v>0</v>
          </cell>
          <cell r="T97">
            <v>5000</v>
          </cell>
          <cell r="U97">
            <v>5000</v>
          </cell>
          <cell r="V97">
            <v>0</v>
          </cell>
          <cell r="W97">
            <v>0</v>
          </cell>
          <cell r="X97">
            <v>10000</v>
          </cell>
          <cell r="Y97" t="str">
            <v xml:space="preserve"> </v>
          </cell>
        </row>
        <row r="98">
          <cell r="E98" t="str">
            <v>温度センサ仕入品</v>
          </cell>
          <cell r="F98" t="str">
            <v>PX10190</v>
          </cell>
          <cell r="G98" t="str">
            <v>数量</v>
          </cell>
          <cell r="H98">
            <v>1200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1200</v>
          </cell>
          <cell r="P98" t="str">
            <v>金額</v>
          </cell>
          <cell r="Q98">
            <v>368000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368000</v>
          </cell>
          <cell r="Y98" t="str">
            <v xml:space="preserve"> </v>
          </cell>
        </row>
        <row r="99">
          <cell r="E99" t="str">
            <v>温度センサー</v>
          </cell>
          <cell r="F99" t="str">
            <v>PX101</v>
          </cell>
          <cell r="G99" t="str">
            <v>数量</v>
          </cell>
          <cell r="H99">
            <v>33199</v>
          </cell>
          <cell r="I99">
            <v>0</v>
          </cell>
          <cell r="J99">
            <v>0</v>
          </cell>
          <cell r="K99">
            <v>11657</v>
          </cell>
          <cell r="L99">
            <v>11657</v>
          </cell>
          <cell r="M99">
            <v>60</v>
          </cell>
          <cell r="N99">
            <v>0</v>
          </cell>
          <cell r="O99">
            <v>44916</v>
          </cell>
          <cell r="P99" t="str">
            <v>金額</v>
          </cell>
          <cell r="Q99">
            <v>28179588</v>
          </cell>
          <cell r="R99">
            <v>0</v>
          </cell>
          <cell r="S99">
            <v>0</v>
          </cell>
          <cell r="T99">
            <v>10443045</v>
          </cell>
          <cell r="U99">
            <v>10443045</v>
          </cell>
          <cell r="V99">
            <v>240000</v>
          </cell>
          <cell r="W99">
            <v>0</v>
          </cell>
          <cell r="X99">
            <v>38862633</v>
          </cell>
          <cell r="Y99" t="str">
            <v xml:space="preserve"> </v>
          </cell>
        </row>
        <row r="100">
          <cell r="E100" t="str">
            <v>ジルコニア半製品</v>
          </cell>
          <cell r="F100" t="str">
            <v>PX11100</v>
          </cell>
          <cell r="G100" t="str">
            <v>数量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119800</v>
          </cell>
          <cell r="N100">
            <v>1000</v>
          </cell>
          <cell r="O100">
            <v>119800</v>
          </cell>
          <cell r="P100" t="str">
            <v>金額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90687000</v>
          </cell>
          <cell r="W100">
            <v>561000</v>
          </cell>
          <cell r="X100">
            <v>90687000</v>
          </cell>
          <cell r="Y100" t="str">
            <v xml:space="preserve"> </v>
          </cell>
        </row>
        <row r="101">
          <cell r="E101" t="str">
            <v>ジルコニア完成品</v>
          </cell>
          <cell r="F101" t="str">
            <v>PX11101</v>
          </cell>
          <cell r="G101" t="str">
            <v>数量</v>
          </cell>
          <cell r="H101">
            <v>224500</v>
          </cell>
          <cell r="I101">
            <v>0</v>
          </cell>
          <cell r="J101">
            <v>0</v>
          </cell>
          <cell r="K101">
            <v>5376</v>
          </cell>
          <cell r="L101">
            <v>5376</v>
          </cell>
          <cell r="M101">
            <v>1849822</v>
          </cell>
          <cell r="N101">
            <v>1840826</v>
          </cell>
          <cell r="O101">
            <v>2079698</v>
          </cell>
          <cell r="P101" t="str">
            <v>金額</v>
          </cell>
          <cell r="Q101">
            <v>369681205</v>
          </cell>
          <cell r="R101">
            <v>0</v>
          </cell>
          <cell r="S101">
            <v>0</v>
          </cell>
          <cell r="T101">
            <v>11346703</v>
          </cell>
          <cell r="U101">
            <v>11346703</v>
          </cell>
          <cell r="V101">
            <v>2107698591</v>
          </cell>
          <cell r="W101">
            <v>2096557065</v>
          </cell>
          <cell r="X101">
            <v>2488726499</v>
          </cell>
          <cell r="Y101" t="str">
            <v xml:space="preserve"> </v>
          </cell>
        </row>
        <row r="102">
          <cell r="E102" t="str">
            <v>ジルコニア部品</v>
          </cell>
          <cell r="F102" t="str">
            <v>PX11102</v>
          </cell>
          <cell r="G102" t="str">
            <v>数量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3970879</v>
          </cell>
          <cell r="N102">
            <v>3293607</v>
          </cell>
          <cell r="O102">
            <v>3970879</v>
          </cell>
          <cell r="P102" t="str">
            <v>金額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222221713</v>
          </cell>
          <cell r="W102">
            <v>189425713</v>
          </cell>
          <cell r="X102">
            <v>222221713</v>
          </cell>
          <cell r="Y102" t="str">
            <v xml:space="preserve"> </v>
          </cell>
        </row>
        <row r="103">
          <cell r="E103" t="str">
            <v>ジルコニア試作</v>
          </cell>
          <cell r="F103" t="str">
            <v>PX11103</v>
          </cell>
          <cell r="G103" t="str">
            <v>数量</v>
          </cell>
          <cell r="H103">
            <v>461</v>
          </cell>
          <cell r="I103">
            <v>0</v>
          </cell>
          <cell r="J103">
            <v>0</v>
          </cell>
          <cell r="K103">
            <v>21</v>
          </cell>
          <cell r="L103">
            <v>21</v>
          </cell>
          <cell r="M103">
            <v>913</v>
          </cell>
          <cell r="N103">
            <v>0</v>
          </cell>
          <cell r="O103">
            <v>1395</v>
          </cell>
          <cell r="P103" t="str">
            <v>金額</v>
          </cell>
          <cell r="Q103">
            <v>5778367</v>
          </cell>
          <cell r="R103">
            <v>0</v>
          </cell>
          <cell r="S103">
            <v>0</v>
          </cell>
          <cell r="T103">
            <v>225000</v>
          </cell>
          <cell r="U103">
            <v>225000</v>
          </cell>
          <cell r="V103">
            <v>4204745</v>
          </cell>
          <cell r="W103">
            <v>0</v>
          </cell>
          <cell r="X103">
            <v>10208112</v>
          </cell>
          <cell r="Y103" t="str">
            <v xml:space="preserve"> </v>
          </cell>
        </row>
        <row r="104">
          <cell r="E104" t="str">
            <v>ジルコニア素子</v>
          </cell>
          <cell r="F104" t="str">
            <v>PX11104</v>
          </cell>
          <cell r="G104" t="str">
            <v>数量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702000</v>
          </cell>
          <cell r="N104">
            <v>702000</v>
          </cell>
          <cell r="O104">
            <v>702000</v>
          </cell>
          <cell r="P104" t="str">
            <v>金額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243072720</v>
          </cell>
          <cell r="W104">
            <v>243072720</v>
          </cell>
          <cell r="X104">
            <v>243072720</v>
          </cell>
          <cell r="Y104" t="str">
            <v xml:space="preserve"> </v>
          </cell>
        </row>
        <row r="105">
          <cell r="E105" t="str">
            <v>チタニア</v>
          </cell>
          <cell r="F105" t="str">
            <v>PX11105</v>
          </cell>
          <cell r="G105" t="str">
            <v>数量</v>
          </cell>
          <cell r="H105">
            <v>0</v>
          </cell>
          <cell r="I105">
            <v>0</v>
          </cell>
          <cell r="J105">
            <v>0</v>
          </cell>
          <cell r="K105">
            <v>5153</v>
          </cell>
          <cell r="L105">
            <v>5153</v>
          </cell>
          <cell r="M105">
            <v>41260</v>
          </cell>
          <cell r="N105">
            <v>15440</v>
          </cell>
          <cell r="O105">
            <v>46413</v>
          </cell>
          <cell r="P105" t="str">
            <v>金額</v>
          </cell>
          <cell r="Q105">
            <v>0</v>
          </cell>
          <cell r="R105">
            <v>0</v>
          </cell>
          <cell r="S105">
            <v>0</v>
          </cell>
          <cell r="T105">
            <v>11952282</v>
          </cell>
          <cell r="U105">
            <v>11952282</v>
          </cell>
          <cell r="V105">
            <v>66358820</v>
          </cell>
          <cell r="W105">
            <v>31519440</v>
          </cell>
          <cell r="X105">
            <v>78311102</v>
          </cell>
          <cell r="Y105" t="str">
            <v xml:space="preserve"> </v>
          </cell>
        </row>
        <row r="106">
          <cell r="E106" t="str">
            <v>Ａ／Ｆメーター</v>
          </cell>
          <cell r="F106" t="str">
            <v>PX11110</v>
          </cell>
          <cell r="G106" t="str">
            <v>数量</v>
          </cell>
          <cell r="H106">
            <v>0</v>
          </cell>
          <cell r="I106">
            <v>2</v>
          </cell>
          <cell r="J106">
            <v>0</v>
          </cell>
          <cell r="K106">
            <v>0</v>
          </cell>
          <cell r="L106">
            <v>2</v>
          </cell>
          <cell r="M106">
            <v>0</v>
          </cell>
          <cell r="N106">
            <v>0</v>
          </cell>
          <cell r="O106">
            <v>2</v>
          </cell>
          <cell r="P106" t="str">
            <v>金額</v>
          </cell>
          <cell r="Q106">
            <v>0</v>
          </cell>
          <cell r="R106">
            <v>126000</v>
          </cell>
          <cell r="S106">
            <v>0</v>
          </cell>
          <cell r="T106">
            <v>0</v>
          </cell>
          <cell r="U106">
            <v>126000</v>
          </cell>
          <cell r="V106">
            <v>0</v>
          </cell>
          <cell r="W106">
            <v>0</v>
          </cell>
          <cell r="X106">
            <v>126000</v>
          </cell>
          <cell r="Y106" t="str">
            <v xml:space="preserve"> </v>
          </cell>
        </row>
        <row r="107">
          <cell r="E107" t="str">
            <v>全領域センサ－</v>
          </cell>
          <cell r="F107" t="str">
            <v>PX11111</v>
          </cell>
          <cell r="G107" t="str">
            <v>数量</v>
          </cell>
          <cell r="H107">
            <v>2635</v>
          </cell>
          <cell r="I107">
            <v>0</v>
          </cell>
          <cell r="J107">
            <v>0</v>
          </cell>
          <cell r="K107">
            <v>545</v>
          </cell>
          <cell r="L107">
            <v>545</v>
          </cell>
          <cell r="M107">
            <v>45791</v>
          </cell>
          <cell r="N107">
            <v>0</v>
          </cell>
          <cell r="O107">
            <v>48971</v>
          </cell>
          <cell r="P107" t="str">
            <v>金額</v>
          </cell>
          <cell r="Q107">
            <v>12047149</v>
          </cell>
          <cell r="R107">
            <v>0</v>
          </cell>
          <cell r="S107">
            <v>0</v>
          </cell>
          <cell r="T107">
            <v>2144995</v>
          </cell>
          <cell r="U107">
            <v>2144995</v>
          </cell>
          <cell r="V107">
            <v>124147118</v>
          </cell>
          <cell r="W107">
            <v>0</v>
          </cell>
          <cell r="X107">
            <v>138339262</v>
          </cell>
          <cell r="Y107" t="str">
            <v xml:space="preserve"> </v>
          </cell>
        </row>
        <row r="108">
          <cell r="E108" t="str">
            <v>全領域部品</v>
          </cell>
          <cell r="F108" t="str">
            <v>PX11112</v>
          </cell>
          <cell r="G108" t="str">
            <v>数量</v>
          </cell>
          <cell r="H108">
            <v>259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290</v>
          </cell>
          <cell r="N108">
            <v>0</v>
          </cell>
          <cell r="O108">
            <v>549</v>
          </cell>
          <cell r="P108" t="str">
            <v>金額</v>
          </cell>
          <cell r="Q108">
            <v>4611336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6218400</v>
          </cell>
          <cell r="W108">
            <v>0</v>
          </cell>
          <cell r="X108">
            <v>10829736</v>
          </cell>
          <cell r="Y108" t="str">
            <v xml:space="preserve"> </v>
          </cell>
        </row>
        <row r="109">
          <cell r="E109" t="str">
            <v>全領域試作</v>
          </cell>
          <cell r="F109" t="str">
            <v>PX11113</v>
          </cell>
          <cell r="G109" t="str">
            <v>数量</v>
          </cell>
          <cell r="H109">
            <v>118</v>
          </cell>
          <cell r="I109">
            <v>0</v>
          </cell>
          <cell r="J109">
            <v>0</v>
          </cell>
          <cell r="K109">
            <v>5</v>
          </cell>
          <cell r="L109">
            <v>5</v>
          </cell>
          <cell r="M109">
            <v>150</v>
          </cell>
          <cell r="N109">
            <v>0</v>
          </cell>
          <cell r="O109">
            <v>273</v>
          </cell>
          <cell r="P109" t="str">
            <v>金額</v>
          </cell>
          <cell r="Q109">
            <v>3248740</v>
          </cell>
          <cell r="R109">
            <v>0</v>
          </cell>
          <cell r="S109">
            <v>0</v>
          </cell>
          <cell r="T109">
            <v>30000</v>
          </cell>
          <cell r="U109">
            <v>30000</v>
          </cell>
          <cell r="V109">
            <v>5454100</v>
          </cell>
          <cell r="W109">
            <v>0</v>
          </cell>
          <cell r="X109">
            <v>8732840</v>
          </cell>
          <cell r="Y109" t="str">
            <v xml:space="preserve"> </v>
          </cell>
        </row>
        <row r="110">
          <cell r="E110" t="str">
            <v>筒型センサＮＧＫ</v>
          </cell>
          <cell r="F110" t="str">
            <v>PX11121</v>
          </cell>
          <cell r="G110" t="str">
            <v>数量</v>
          </cell>
          <cell r="H110">
            <v>0</v>
          </cell>
          <cell r="I110">
            <v>0</v>
          </cell>
          <cell r="J110">
            <v>0</v>
          </cell>
          <cell r="K110">
            <v>284</v>
          </cell>
          <cell r="L110">
            <v>284</v>
          </cell>
          <cell r="M110">
            <v>0</v>
          </cell>
          <cell r="N110">
            <v>0</v>
          </cell>
          <cell r="O110">
            <v>284</v>
          </cell>
          <cell r="P110" t="str">
            <v>金額</v>
          </cell>
          <cell r="Q110">
            <v>0</v>
          </cell>
          <cell r="R110">
            <v>0</v>
          </cell>
          <cell r="S110">
            <v>0</v>
          </cell>
          <cell r="T110">
            <v>561883</v>
          </cell>
          <cell r="U110">
            <v>561883</v>
          </cell>
          <cell r="V110">
            <v>0</v>
          </cell>
          <cell r="W110">
            <v>0</v>
          </cell>
          <cell r="X110">
            <v>561883</v>
          </cell>
          <cell r="Y110" t="str">
            <v xml:space="preserve"> </v>
          </cell>
        </row>
        <row r="111">
          <cell r="E111" t="str">
            <v>厚膜センサＮＧＫ</v>
          </cell>
          <cell r="F111" t="str">
            <v>PX11125</v>
          </cell>
          <cell r="G111" t="str">
            <v>数量</v>
          </cell>
          <cell r="H111">
            <v>0</v>
          </cell>
          <cell r="I111">
            <v>0</v>
          </cell>
          <cell r="J111">
            <v>0</v>
          </cell>
          <cell r="K111">
            <v>1987</v>
          </cell>
          <cell r="L111">
            <v>1987</v>
          </cell>
          <cell r="M111">
            <v>700</v>
          </cell>
          <cell r="N111">
            <v>0</v>
          </cell>
          <cell r="O111">
            <v>2687</v>
          </cell>
          <cell r="P111" t="str">
            <v>金額</v>
          </cell>
          <cell r="Q111">
            <v>0</v>
          </cell>
          <cell r="R111">
            <v>0</v>
          </cell>
          <cell r="S111">
            <v>0</v>
          </cell>
          <cell r="T111">
            <v>3960322</v>
          </cell>
          <cell r="U111">
            <v>3960322</v>
          </cell>
          <cell r="V111">
            <v>2283400</v>
          </cell>
          <cell r="W111">
            <v>0</v>
          </cell>
          <cell r="X111">
            <v>6243722</v>
          </cell>
          <cell r="Y111" t="str">
            <v xml:space="preserve"> </v>
          </cell>
        </row>
        <row r="112">
          <cell r="E112" t="str">
            <v>酸素センサー</v>
          </cell>
          <cell r="F112" t="str">
            <v>PX111</v>
          </cell>
          <cell r="G112" t="str">
            <v>数量</v>
          </cell>
          <cell r="H112">
            <v>227973</v>
          </cell>
          <cell r="I112">
            <v>2</v>
          </cell>
          <cell r="J112">
            <v>0</v>
          </cell>
          <cell r="K112">
            <v>13371</v>
          </cell>
          <cell r="L112">
            <v>13373</v>
          </cell>
          <cell r="M112">
            <v>6731605</v>
          </cell>
          <cell r="N112">
            <v>5852873</v>
          </cell>
          <cell r="O112">
            <v>6972951</v>
          </cell>
          <cell r="P112" t="str">
            <v>金額</v>
          </cell>
          <cell r="Q112">
            <v>395366797</v>
          </cell>
          <cell r="R112">
            <v>126000</v>
          </cell>
          <cell r="S112">
            <v>0</v>
          </cell>
          <cell r="T112">
            <v>30221185</v>
          </cell>
          <cell r="U112">
            <v>30347185</v>
          </cell>
          <cell r="V112">
            <v>2872346607</v>
          </cell>
          <cell r="W112">
            <v>2561135938</v>
          </cell>
          <cell r="X112">
            <v>3298060589</v>
          </cell>
          <cell r="Y112" t="str">
            <v xml:space="preserve"> </v>
          </cell>
        </row>
        <row r="113">
          <cell r="E113" t="str">
            <v>ＮＯＸセンサー</v>
          </cell>
          <cell r="F113" t="str">
            <v>PX12101</v>
          </cell>
          <cell r="G113" t="str">
            <v>数量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847</v>
          </cell>
          <cell r="N113">
            <v>847</v>
          </cell>
          <cell r="O113">
            <v>847</v>
          </cell>
          <cell r="P113" t="str">
            <v>金額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2855237</v>
          </cell>
          <cell r="W113">
            <v>2855237</v>
          </cell>
          <cell r="X113">
            <v>2855237</v>
          </cell>
          <cell r="Y113" t="str">
            <v xml:space="preserve"> </v>
          </cell>
        </row>
        <row r="114">
          <cell r="E114" t="str">
            <v>ＮＯＸ回路</v>
          </cell>
          <cell r="F114" t="str">
            <v>PX12102</v>
          </cell>
          <cell r="G114" t="str">
            <v>数量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350</v>
          </cell>
          <cell r="N114">
            <v>350</v>
          </cell>
          <cell r="O114">
            <v>350</v>
          </cell>
          <cell r="P114" t="str">
            <v>金額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837200</v>
          </cell>
          <cell r="W114">
            <v>837200</v>
          </cell>
          <cell r="X114">
            <v>837200</v>
          </cell>
          <cell r="Y114" t="str">
            <v xml:space="preserve"> </v>
          </cell>
        </row>
        <row r="115">
          <cell r="E115" t="str">
            <v>ノックセンサー</v>
          </cell>
          <cell r="F115" t="str">
            <v>PX12105</v>
          </cell>
          <cell r="G115" t="str">
            <v>数量</v>
          </cell>
          <cell r="H115">
            <v>124635</v>
          </cell>
          <cell r="I115">
            <v>0</v>
          </cell>
          <cell r="J115">
            <v>0</v>
          </cell>
          <cell r="K115">
            <v>323</v>
          </cell>
          <cell r="L115">
            <v>323</v>
          </cell>
          <cell r="M115">
            <v>218904</v>
          </cell>
          <cell r="N115">
            <v>218904</v>
          </cell>
          <cell r="O115">
            <v>343862</v>
          </cell>
          <cell r="P115" t="str">
            <v>金額</v>
          </cell>
          <cell r="Q115">
            <v>50887512</v>
          </cell>
          <cell r="R115">
            <v>0</v>
          </cell>
          <cell r="S115">
            <v>0</v>
          </cell>
          <cell r="T115">
            <v>219976</v>
          </cell>
          <cell r="U115">
            <v>219976</v>
          </cell>
          <cell r="V115">
            <v>85140300</v>
          </cell>
          <cell r="W115">
            <v>85140300</v>
          </cell>
          <cell r="X115">
            <v>136247788</v>
          </cell>
          <cell r="Y115" t="str">
            <v xml:space="preserve"> </v>
          </cell>
        </row>
        <row r="116">
          <cell r="E116" t="str">
            <v>ノック　試作品</v>
          </cell>
          <cell r="F116" t="str">
            <v>PX12107</v>
          </cell>
          <cell r="G116" t="str">
            <v>数量</v>
          </cell>
          <cell r="H116">
            <v>15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500</v>
          </cell>
          <cell r="N116">
            <v>0</v>
          </cell>
          <cell r="O116">
            <v>515</v>
          </cell>
          <cell r="P116" t="str">
            <v>金額</v>
          </cell>
          <cell r="Q116">
            <v>214628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1350000</v>
          </cell>
          <cell r="W116">
            <v>0</v>
          </cell>
          <cell r="X116">
            <v>1564628</v>
          </cell>
          <cell r="Y116" t="str">
            <v xml:space="preserve"> </v>
          </cell>
        </row>
        <row r="117">
          <cell r="E117" t="str">
            <v>オイルセンサー</v>
          </cell>
          <cell r="F117" t="str">
            <v>PX12110</v>
          </cell>
          <cell r="G117" t="str">
            <v>数量</v>
          </cell>
          <cell r="H117">
            <v>3</v>
          </cell>
          <cell r="I117">
            <v>0</v>
          </cell>
          <cell r="J117">
            <v>0</v>
          </cell>
          <cell r="K117">
            <v>18</v>
          </cell>
          <cell r="L117">
            <v>18</v>
          </cell>
          <cell r="M117">
            <v>0</v>
          </cell>
          <cell r="N117">
            <v>0</v>
          </cell>
          <cell r="O117">
            <v>21</v>
          </cell>
          <cell r="P117" t="str">
            <v>金額</v>
          </cell>
          <cell r="Q117">
            <v>15400</v>
          </cell>
          <cell r="R117">
            <v>0</v>
          </cell>
          <cell r="S117">
            <v>0</v>
          </cell>
          <cell r="T117">
            <v>62040</v>
          </cell>
          <cell r="U117">
            <v>62040</v>
          </cell>
          <cell r="V117">
            <v>0</v>
          </cell>
          <cell r="W117">
            <v>0</v>
          </cell>
          <cell r="X117">
            <v>77440</v>
          </cell>
          <cell r="Y117" t="str">
            <v xml:space="preserve"> </v>
          </cell>
        </row>
        <row r="118">
          <cell r="E118" t="str">
            <v>荷重センサー</v>
          </cell>
          <cell r="F118" t="str">
            <v>PX12114</v>
          </cell>
          <cell r="G118" t="str">
            <v>数量</v>
          </cell>
          <cell r="H118">
            <v>400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400</v>
          </cell>
          <cell r="P118" t="str">
            <v>金額</v>
          </cell>
          <cell r="Q118">
            <v>1094832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1094832</v>
          </cell>
          <cell r="Y118" t="str">
            <v xml:space="preserve"> </v>
          </cell>
        </row>
        <row r="119">
          <cell r="E119" t="str">
            <v>荷重　試作品</v>
          </cell>
          <cell r="F119" t="str">
            <v>PX12116</v>
          </cell>
          <cell r="G119" t="str">
            <v>数量</v>
          </cell>
          <cell r="H119">
            <v>1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1</v>
          </cell>
          <cell r="P119" t="str">
            <v>金額</v>
          </cell>
          <cell r="Q119">
            <v>7376987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7376987</v>
          </cell>
          <cell r="Y119" t="str">
            <v xml:space="preserve"> </v>
          </cell>
        </row>
        <row r="120">
          <cell r="E120" t="str">
            <v>Ｚ－ＴＦセンサー</v>
          </cell>
          <cell r="F120" t="str">
            <v>PX12120</v>
          </cell>
          <cell r="G120" t="str">
            <v>数量</v>
          </cell>
          <cell r="H120">
            <v>7260</v>
          </cell>
          <cell r="I120">
            <v>0</v>
          </cell>
          <cell r="J120">
            <v>0</v>
          </cell>
          <cell r="K120">
            <v>20</v>
          </cell>
          <cell r="L120">
            <v>20</v>
          </cell>
          <cell r="M120">
            <v>0</v>
          </cell>
          <cell r="N120">
            <v>0</v>
          </cell>
          <cell r="O120">
            <v>7280</v>
          </cell>
          <cell r="P120" t="str">
            <v>金額</v>
          </cell>
          <cell r="Q120">
            <v>11979000</v>
          </cell>
          <cell r="R120">
            <v>0</v>
          </cell>
          <cell r="S120">
            <v>0</v>
          </cell>
          <cell r="T120">
            <v>42900</v>
          </cell>
          <cell r="U120">
            <v>42900</v>
          </cell>
          <cell r="V120">
            <v>0</v>
          </cell>
          <cell r="W120">
            <v>0</v>
          </cell>
          <cell r="X120">
            <v>12021900</v>
          </cell>
          <cell r="Y120" t="str">
            <v xml:space="preserve"> </v>
          </cell>
        </row>
        <row r="121">
          <cell r="E121" t="str">
            <v>筒内圧センサ－</v>
          </cell>
          <cell r="F121" t="str">
            <v>PX12130</v>
          </cell>
          <cell r="G121" t="str">
            <v>数量</v>
          </cell>
          <cell r="H121">
            <v>0</v>
          </cell>
          <cell r="I121">
            <v>0</v>
          </cell>
          <cell r="J121">
            <v>0</v>
          </cell>
          <cell r="K121">
            <v>32</v>
          </cell>
          <cell r="L121">
            <v>32</v>
          </cell>
          <cell r="M121">
            <v>0</v>
          </cell>
          <cell r="N121">
            <v>0</v>
          </cell>
          <cell r="O121">
            <v>32</v>
          </cell>
          <cell r="P121" t="str">
            <v>金額</v>
          </cell>
          <cell r="Q121">
            <v>0</v>
          </cell>
          <cell r="R121">
            <v>0</v>
          </cell>
          <cell r="S121">
            <v>0</v>
          </cell>
          <cell r="T121">
            <v>153450</v>
          </cell>
          <cell r="U121">
            <v>153450</v>
          </cell>
          <cell r="V121">
            <v>0</v>
          </cell>
          <cell r="W121">
            <v>0</v>
          </cell>
          <cell r="X121">
            <v>153450</v>
          </cell>
          <cell r="Y121" t="str">
            <v xml:space="preserve"> </v>
          </cell>
        </row>
        <row r="122">
          <cell r="E122" t="str">
            <v>筒内圧試作品</v>
          </cell>
          <cell r="F122" t="str">
            <v>PX12132</v>
          </cell>
          <cell r="G122" t="str">
            <v>数量</v>
          </cell>
          <cell r="H122">
            <v>499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499</v>
          </cell>
          <cell r="P122" t="str">
            <v>金額</v>
          </cell>
          <cell r="Q122">
            <v>4990000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4990000</v>
          </cell>
          <cell r="Y122" t="str">
            <v xml:space="preserve"> </v>
          </cell>
        </row>
        <row r="123">
          <cell r="E123" t="str">
            <v>失火検知</v>
          </cell>
          <cell r="F123" t="str">
            <v>PX12192</v>
          </cell>
          <cell r="G123" t="str">
            <v>数量</v>
          </cell>
          <cell r="H123">
            <v>456</v>
          </cell>
          <cell r="I123">
            <v>0</v>
          </cell>
          <cell r="J123">
            <v>0</v>
          </cell>
          <cell r="K123">
            <v>25</v>
          </cell>
          <cell r="L123">
            <v>25</v>
          </cell>
          <cell r="M123">
            <v>0</v>
          </cell>
          <cell r="N123">
            <v>0</v>
          </cell>
          <cell r="O123">
            <v>481</v>
          </cell>
          <cell r="P123" t="str">
            <v>金額</v>
          </cell>
          <cell r="Q123">
            <v>2366868</v>
          </cell>
          <cell r="R123">
            <v>0</v>
          </cell>
          <cell r="S123">
            <v>0</v>
          </cell>
          <cell r="T123">
            <v>167700</v>
          </cell>
          <cell r="U123">
            <v>167700</v>
          </cell>
          <cell r="V123">
            <v>0</v>
          </cell>
          <cell r="W123">
            <v>0</v>
          </cell>
          <cell r="X123">
            <v>2534568</v>
          </cell>
          <cell r="Y123" t="str">
            <v xml:space="preserve"> </v>
          </cell>
        </row>
        <row r="124">
          <cell r="E124" t="str">
            <v>その他　試作品</v>
          </cell>
          <cell r="F124" t="str">
            <v>PX12194</v>
          </cell>
          <cell r="G124" t="str">
            <v>数量</v>
          </cell>
          <cell r="H124">
            <v>91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91</v>
          </cell>
          <cell r="P124" t="str">
            <v>金額</v>
          </cell>
          <cell r="Q124">
            <v>3977200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3977200</v>
          </cell>
          <cell r="Y124" t="str">
            <v xml:space="preserve"> </v>
          </cell>
        </row>
        <row r="125">
          <cell r="E125" t="str">
            <v>その他　その他</v>
          </cell>
          <cell r="F125" t="str">
            <v>PX12196</v>
          </cell>
          <cell r="G125" t="str">
            <v>数量</v>
          </cell>
          <cell r="H125">
            <v>108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108</v>
          </cell>
          <cell r="P125" t="str">
            <v>金額</v>
          </cell>
          <cell r="Q125">
            <v>1620000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1620000</v>
          </cell>
          <cell r="Y125" t="str">
            <v xml:space="preserve"> </v>
          </cell>
        </row>
        <row r="126">
          <cell r="E126" t="str">
            <v>その他のセンサー</v>
          </cell>
          <cell r="F126" t="str">
            <v>PX121</v>
          </cell>
          <cell r="G126" t="str">
            <v>数量</v>
          </cell>
          <cell r="H126">
            <v>133468</v>
          </cell>
          <cell r="I126">
            <v>0</v>
          </cell>
          <cell r="J126">
            <v>0</v>
          </cell>
          <cell r="K126">
            <v>418</v>
          </cell>
          <cell r="L126">
            <v>418</v>
          </cell>
          <cell r="M126">
            <v>220601</v>
          </cell>
          <cell r="N126">
            <v>220101</v>
          </cell>
          <cell r="O126">
            <v>354487</v>
          </cell>
          <cell r="P126" t="str">
            <v>金額</v>
          </cell>
          <cell r="Q126">
            <v>84522427</v>
          </cell>
          <cell r="R126">
            <v>0</v>
          </cell>
          <cell r="S126">
            <v>0</v>
          </cell>
          <cell r="T126">
            <v>646066</v>
          </cell>
          <cell r="U126">
            <v>646066</v>
          </cell>
          <cell r="V126">
            <v>90182737</v>
          </cell>
          <cell r="W126">
            <v>88832737</v>
          </cell>
          <cell r="X126">
            <v>175351230</v>
          </cell>
          <cell r="Y126" t="str">
            <v xml:space="preserve"> </v>
          </cell>
        </row>
        <row r="127">
          <cell r="E127" t="str">
            <v>センサ－</v>
          </cell>
          <cell r="F127" t="str">
            <v>PX1</v>
          </cell>
          <cell r="G127" t="str">
            <v>数量</v>
          </cell>
          <cell r="H127">
            <v>394640</v>
          </cell>
          <cell r="I127">
            <v>2</v>
          </cell>
          <cell r="J127">
            <v>0</v>
          </cell>
          <cell r="K127">
            <v>25446</v>
          </cell>
          <cell r="L127">
            <v>25448</v>
          </cell>
          <cell r="M127">
            <v>6952266</v>
          </cell>
          <cell r="N127">
            <v>6072974</v>
          </cell>
          <cell r="O127">
            <v>7372354</v>
          </cell>
          <cell r="P127" t="str">
            <v>金額</v>
          </cell>
          <cell r="Q127">
            <v>508068812</v>
          </cell>
          <cell r="R127">
            <v>126000</v>
          </cell>
          <cell r="S127">
            <v>0</v>
          </cell>
          <cell r="T127">
            <v>41310296</v>
          </cell>
          <cell r="U127">
            <v>41436296</v>
          </cell>
          <cell r="V127">
            <v>2962769344</v>
          </cell>
          <cell r="W127">
            <v>2649968675</v>
          </cell>
          <cell r="X127">
            <v>3512274452</v>
          </cell>
          <cell r="Y127" t="str">
            <v xml:space="preserve"> </v>
          </cell>
        </row>
        <row r="128">
          <cell r="E128" t="str">
            <v>完成品</v>
          </cell>
          <cell r="F128" t="str">
            <v>PX30101</v>
          </cell>
          <cell r="G128" t="str">
            <v>数量</v>
          </cell>
          <cell r="H128">
            <v>500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500</v>
          </cell>
          <cell r="P128" t="str">
            <v>金額</v>
          </cell>
          <cell r="Q128">
            <v>115000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115000</v>
          </cell>
          <cell r="Y128" t="str">
            <v xml:space="preserve"> </v>
          </cell>
        </row>
        <row r="129">
          <cell r="E129" t="str">
            <v>オウヨウ　チップ</v>
          </cell>
          <cell r="F129" t="str">
            <v>PX301</v>
          </cell>
          <cell r="G129" t="str">
            <v>数量</v>
          </cell>
          <cell r="H129">
            <v>500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500</v>
          </cell>
          <cell r="P129" t="str">
            <v>金額</v>
          </cell>
          <cell r="Q129">
            <v>115000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115000</v>
          </cell>
          <cell r="Y129" t="str">
            <v xml:space="preserve"> </v>
          </cell>
        </row>
        <row r="130">
          <cell r="E130" t="str">
            <v>完成品</v>
          </cell>
          <cell r="F130" t="str">
            <v>PX30501</v>
          </cell>
          <cell r="G130" t="str">
            <v>数量</v>
          </cell>
          <cell r="H130">
            <v>24082</v>
          </cell>
          <cell r="I130">
            <v>0</v>
          </cell>
          <cell r="J130">
            <v>0</v>
          </cell>
          <cell r="K130">
            <v>565</v>
          </cell>
          <cell r="L130">
            <v>565</v>
          </cell>
          <cell r="M130">
            <v>0</v>
          </cell>
          <cell r="N130">
            <v>0</v>
          </cell>
          <cell r="O130">
            <v>24647</v>
          </cell>
          <cell r="P130" t="str">
            <v>金額</v>
          </cell>
          <cell r="Q130">
            <v>31587920</v>
          </cell>
          <cell r="R130">
            <v>0</v>
          </cell>
          <cell r="S130">
            <v>0</v>
          </cell>
          <cell r="T130">
            <v>1214105</v>
          </cell>
          <cell r="U130">
            <v>1214105</v>
          </cell>
          <cell r="V130">
            <v>0</v>
          </cell>
          <cell r="W130">
            <v>0</v>
          </cell>
          <cell r="X130">
            <v>32802025</v>
          </cell>
          <cell r="Y130" t="str">
            <v xml:space="preserve"> </v>
          </cell>
        </row>
        <row r="131">
          <cell r="E131" t="str">
            <v>オウヨウタペット</v>
          </cell>
          <cell r="F131" t="str">
            <v>PX305</v>
          </cell>
          <cell r="G131" t="str">
            <v>数量</v>
          </cell>
          <cell r="H131">
            <v>24082</v>
          </cell>
          <cell r="I131">
            <v>0</v>
          </cell>
          <cell r="J131">
            <v>0</v>
          </cell>
          <cell r="K131">
            <v>565</v>
          </cell>
          <cell r="L131">
            <v>565</v>
          </cell>
          <cell r="M131">
            <v>0</v>
          </cell>
          <cell r="N131">
            <v>0</v>
          </cell>
          <cell r="O131">
            <v>24647</v>
          </cell>
          <cell r="P131" t="str">
            <v>金額</v>
          </cell>
          <cell r="Q131">
            <v>31587920</v>
          </cell>
          <cell r="R131">
            <v>0</v>
          </cell>
          <cell r="S131">
            <v>0</v>
          </cell>
          <cell r="T131">
            <v>1214105</v>
          </cell>
          <cell r="U131">
            <v>1214105</v>
          </cell>
          <cell r="V131">
            <v>0</v>
          </cell>
          <cell r="W131">
            <v>0</v>
          </cell>
          <cell r="X131">
            <v>32802025</v>
          </cell>
          <cell r="Y131" t="str">
            <v xml:space="preserve"> </v>
          </cell>
        </row>
        <row r="132">
          <cell r="E132" t="str">
            <v>オウヨウ</v>
          </cell>
          <cell r="F132" t="str">
            <v>PX3</v>
          </cell>
          <cell r="G132" t="str">
            <v>数量</v>
          </cell>
          <cell r="H132">
            <v>24582</v>
          </cell>
          <cell r="I132">
            <v>0</v>
          </cell>
          <cell r="J132">
            <v>0</v>
          </cell>
          <cell r="K132">
            <v>565</v>
          </cell>
          <cell r="L132">
            <v>565</v>
          </cell>
          <cell r="M132">
            <v>0</v>
          </cell>
          <cell r="N132">
            <v>0</v>
          </cell>
          <cell r="O132">
            <v>25147</v>
          </cell>
          <cell r="P132" t="str">
            <v>金額</v>
          </cell>
          <cell r="Q132">
            <v>31702920</v>
          </cell>
          <cell r="R132">
            <v>0</v>
          </cell>
          <cell r="S132">
            <v>0</v>
          </cell>
          <cell r="T132">
            <v>1214105</v>
          </cell>
          <cell r="U132">
            <v>1214105</v>
          </cell>
          <cell r="V132">
            <v>0</v>
          </cell>
          <cell r="W132">
            <v>0</v>
          </cell>
          <cell r="X132">
            <v>32917025</v>
          </cell>
          <cell r="Y132" t="str">
            <v xml:space="preserve"> </v>
          </cell>
        </row>
        <row r="133">
          <cell r="E133" t="str">
            <v>コントロラー</v>
          </cell>
          <cell r="F133" t="str">
            <v>PX50101</v>
          </cell>
          <cell r="G133" t="str">
            <v>数量</v>
          </cell>
          <cell r="H133">
            <v>29964</v>
          </cell>
          <cell r="I133">
            <v>0</v>
          </cell>
          <cell r="J133">
            <v>0</v>
          </cell>
          <cell r="K133">
            <v>1963</v>
          </cell>
          <cell r="L133">
            <v>1963</v>
          </cell>
          <cell r="M133">
            <v>680</v>
          </cell>
          <cell r="N133">
            <v>680</v>
          </cell>
          <cell r="O133">
            <v>32607</v>
          </cell>
          <cell r="P133" t="str">
            <v>金額</v>
          </cell>
          <cell r="Q133">
            <v>63218850</v>
          </cell>
          <cell r="R133">
            <v>0</v>
          </cell>
          <cell r="S133">
            <v>0</v>
          </cell>
          <cell r="T133">
            <v>3377209</v>
          </cell>
          <cell r="U133">
            <v>3377209</v>
          </cell>
          <cell r="V133">
            <v>1236480</v>
          </cell>
          <cell r="W133">
            <v>1236480</v>
          </cell>
          <cell r="X133">
            <v>67832539</v>
          </cell>
          <cell r="Y133" t="str">
            <v xml:space="preserve"> </v>
          </cell>
        </row>
        <row r="134">
          <cell r="E134" t="str">
            <v>レジスター</v>
          </cell>
          <cell r="F134" t="str">
            <v>PX50105</v>
          </cell>
          <cell r="G134" t="str">
            <v>数量</v>
          </cell>
          <cell r="H134">
            <v>1145</v>
          </cell>
          <cell r="I134">
            <v>0</v>
          </cell>
          <cell r="J134">
            <v>0</v>
          </cell>
          <cell r="K134">
            <v>89</v>
          </cell>
          <cell r="L134">
            <v>89</v>
          </cell>
          <cell r="M134">
            <v>0</v>
          </cell>
          <cell r="N134">
            <v>0</v>
          </cell>
          <cell r="O134">
            <v>1234</v>
          </cell>
          <cell r="P134" t="str">
            <v>金額</v>
          </cell>
          <cell r="Q134">
            <v>711385</v>
          </cell>
          <cell r="R134">
            <v>0</v>
          </cell>
          <cell r="S134">
            <v>0</v>
          </cell>
          <cell r="T134">
            <v>88446</v>
          </cell>
          <cell r="U134">
            <v>88446</v>
          </cell>
          <cell r="V134">
            <v>0</v>
          </cell>
          <cell r="W134">
            <v>0</v>
          </cell>
          <cell r="X134">
            <v>799831</v>
          </cell>
          <cell r="Y134" t="str">
            <v xml:space="preserve"> </v>
          </cell>
        </row>
        <row r="135">
          <cell r="E135" t="str">
            <v>リレー</v>
          </cell>
          <cell r="F135" t="str">
            <v>PX50110</v>
          </cell>
          <cell r="G135" t="str">
            <v>数量</v>
          </cell>
          <cell r="H135">
            <v>30278</v>
          </cell>
          <cell r="I135">
            <v>0</v>
          </cell>
          <cell r="J135">
            <v>0</v>
          </cell>
          <cell r="K135">
            <v>1464</v>
          </cell>
          <cell r="L135">
            <v>1464</v>
          </cell>
          <cell r="M135">
            <v>300</v>
          </cell>
          <cell r="N135">
            <v>300</v>
          </cell>
          <cell r="O135">
            <v>32042</v>
          </cell>
          <cell r="P135" t="str">
            <v>金額</v>
          </cell>
          <cell r="Q135">
            <v>14187630</v>
          </cell>
          <cell r="R135">
            <v>0</v>
          </cell>
          <cell r="S135">
            <v>0</v>
          </cell>
          <cell r="T135">
            <v>913505</v>
          </cell>
          <cell r="U135">
            <v>913505</v>
          </cell>
          <cell r="V135">
            <v>320100</v>
          </cell>
          <cell r="W135">
            <v>320100</v>
          </cell>
          <cell r="X135">
            <v>15421235</v>
          </cell>
          <cell r="Y135" t="str">
            <v xml:space="preserve"> </v>
          </cell>
        </row>
        <row r="136">
          <cell r="E136" t="str">
            <v>エアーヒーター</v>
          </cell>
          <cell r="F136" t="str">
            <v>PX50113</v>
          </cell>
          <cell r="G136" t="str">
            <v>数量</v>
          </cell>
          <cell r="H136">
            <v>15117</v>
          </cell>
          <cell r="I136">
            <v>0</v>
          </cell>
          <cell r="J136">
            <v>0</v>
          </cell>
          <cell r="K136">
            <v>440</v>
          </cell>
          <cell r="L136">
            <v>440</v>
          </cell>
          <cell r="M136">
            <v>6700</v>
          </cell>
          <cell r="N136">
            <v>6700</v>
          </cell>
          <cell r="O136">
            <v>22257</v>
          </cell>
          <cell r="P136" t="str">
            <v>金額</v>
          </cell>
          <cell r="Q136">
            <v>20209803</v>
          </cell>
          <cell r="R136">
            <v>0</v>
          </cell>
          <cell r="S136">
            <v>0</v>
          </cell>
          <cell r="T136">
            <v>1365749</v>
          </cell>
          <cell r="U136">
            <v>1365749</v>
          </cell>
          <cell r="V136">
            <v>15968500</v>
          </cell>
          <cell r="W136">
            <v>15968500</v>
          </cell>
          <cell r="X136">
            <v>37544052</v>
          </cell>
          <cell r="Y136" t="str">
            <v xml:space="preserve"> </v>
          </cell>
        </row>
        <row r="137">
          <cell r="E137" t="str">
            <v>その他</v>
          </cell>
          <cell r="F137" t="str">
            <v>PX50190</v>
          </cell>
          <cell r="G137" t="str">
            <v>数量</v>
          </cell>
          <cell r="H137">
            <v>3096</v>
          </cell>
          <cell r="I137">
            <v>0</v>
          </cell>
          <cell r="J137">
            <v>0</v>
          </cell>
          <cell r="K137">
            <v>227</v>
          </cell>
          <cell r="L137">
            <v>227</v>
          </cell>
          <cell r="M137">
            <v>400</v>
          </cell>
          <cell r="N137">
            <v>400</v>
          </cell>
          <cell r="O137">
            <v>3723</v>
          </cell>
          <cell r="P137" t="str">
            <v>金額</v>
          </cell>
          <cell r="Q137">
            <v>2273575</v>
          </cell>
          <cell r="R137">
            <v>0</v>
          </cell>
          <cell r="S137">
            <v>0</v>
          </cell>
          <cell r="T137">
            <v>193712</v>
          </cell>
          <cell r="U137">
            <v>193712</v>
          </cell>
          <cell r="V137">
            <v>426000</v>
          </cell>
          <cell r="W137">
            <v>426000</v>
          </cell>
          <cell r="X137">
            <v>2893287</v>
          </cell>
          <cell r="Y137" t="str">
            <v xml:space="preserve"> </v>
          </cell>
        </row>
        <row r="138">
          <cell r="E138" t="str">
            <v>試作品</v>
          </cell>
          <cell r="F138" t="str">
            <v>PX50191</v>
          </cell>
          <cell r="G138" t="str">
            <v>数量</v>
          </cell>
          <cell r="H138">
            <v>37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37</v>
          </cell>
          <cell r="P138" t="str">
            <v>金額</v>
          </cell>
          <cell r="Q138">
            <v>1998700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1998700</v>
          </cell>
          <cell r="Y138" t="str">
            <v xml:space="preserve"> </v>
          </cell>
        </row>
        <row r="139">
          <cell r="E139" t="str">
            <v>Ｑ．Ｇ．Ｓ．</v>
          </cell>
          <cell r="F139" t="str">
            <v>PX501</v>
          </cell>
          <cell r="G139" t="str">
            <v>数量</v>
          </cell>
          <cell r="H139">
            <v>79637</v>
          </cell>
          <cell r="I139">
            <v>0</v>
          </cell>
          <cell r="J139">
            <v>0</v>
          </cell>
          <cell r="K139">
            <v>4183</v>
          </cell>
          <cell r="L139">
            <v>4183</v>
          </cell>
          <cell r="M139">
            <v>8080</v>
          </cell>
          <cell r="N139">
            <v>8080</v>
          </cell>
          <cell r="O139">
            <v>91900</v>
          </cell>
          <cell r="P139" t="str">
            <v>金額</v>
          </cell>
          <cell r="Q139">
            <v>102599943</v>
          </cell>
          <cell r="R139">
            <v>0</v>
          </cell>
          <cell r="S139">
            <v>0</v>
          </cell>
          <cell r="T139">
            <v>5938621</v>
          </cell>
          <cell r="U139">
            <v>5938621</v>
          </cell>
          <cell r="V139">
            <v>17951080</v>
          </cell>
          <cell r="W139">
            <v>17951080</v>
          </cell>
          <cell r="X139">
            <v>126489644</v>
          </cell>
          <cell r="Y139" t="str">
            <v xml:space="preserve"> </v>
          </cell>
        </row>
        <row r="140">
          <cell r="E140" t="str">
            <v>一　般キャップ</v>
          </cell>
          <cell r="F140" t="str">
            <v>PX51101</v>
          </cell>
          <cell r="G140" t="str">
            <v>数量</v>
          </cell>
          <cell r="H140">
            <v>1027</v>
          </cell>
          <cell r="I140">
            <v>5</v>
          </cell>
          <cell r="J140">
            <v>0</v>
          </cell>
          <cell r="K140">
            <v>0</v>
          </cell>
          <cell r="L140">
            <v>5</v>
          </cell>
          <cell r="M140">
            <v>16380</v>
          </cell>
          <cell r="N140">
            <v>0</v>
          </cell>
          <cell r="O140">
            <v>17412</v>
          </cell>
          <cell r="P140" t="str">
            <v>金額</v>
          </cell>
          <cell r="Q140">
            <v>112785</v>
          </cell>
          <cell r="R140">
            <v>1840</v>
          </cell>
          <cell r="S140">
            <v>0</v>
          </cell>
          <cell r="T140">
            <v>0</v>
          </cell>
          <cell r="U140">
            <v>1840</v>
          </cell>
          <cell r="V140">
            <v>572965</v>
          </cell>
          <cell r="W140">
            <v>0</v>
          </cell>
          <cell r="X140">
            <v>687590</v>
          </cell>
          <cell r="Y140" t="str">
            <v xml:space="preserve"> </v>
          </cell>
        </row>
        <row r="141">
          <cell r="E141" t="str">
            <v>抵抗入キャップ</v>
          </cell>
          <cell r="F141" t="str">
            <v>PX51105</v>
          </cell>
          <cell r="G141" t="str">
            <v>数量</v>
          </cell>
          <cell r="H141">
            <v>62642</v>
          </cell>
          <cell r="I141">
            <v>3445</v>
          </cell>
          <cell r="J141">
            <v>0</v>
          </cell>
          <cell r="K141">
            <v>2272</v>
          </cell>
          <cell r="L141">
            <v>5717</v>
          </cell>
          <cell r="M141">
            <v>213278</v>
          </cell>
          <cell r="N141">
            <v>71800</v>
          </cell>
          <cell r="O141">
            <v>281637</v>
          </cell>
          <cell r="P141" t="str">
            <v>金額</v>
          </cell>
          <cell r="Q141">
            <v>10125960</v>
          </cell>
          <cell r="R141">
            <v>1892660</v>
          </cell>
          <cell r="S141">
            <v>0</v>
          </cell>
          <cell r="T141">
            <v>303280</v>
          </cell>
          <cell r="U141">
            <v>2195940</v>
          </cell>
          <cell r="V141">
            <v>22846207</v>
          </cell>
          <cell r="W141">
            <v>10403150</v>
          </cell>
          <cell r="X141">
            <v>35168107</v>
          </cell>
          <cell r="Y141" t="str">
            <v xml:space="preserve"> </v>
          </cell>
        </row>
        <row r="142">
          <cell r="E142" t="str">
            <v>その他</v>
          </cell>
          <cell r="F142" t="str">
            <v>PX51190</v>
          </cell>
          <cell r="G142" t="str">
            <v>数量</v>
          </cell>
          <cell r="H142">
            <v>0</v>
          </cell>
          <cell r="I142">
            <v>1242</v>
          </cell>
          <cell r="J142">
            <v>0</v>
          </cell>
          <cell r="K142">
            <v>0</v>
          </cell>
          <cell r="L142">
            <v>1242</v>
          </cell>
          <cell r="M142">
            <v>1</v>
          </cell>
          <cell r="N142">
            <v>0</v>
          </cell>
          <cell r="O142">
            <v>1243</v>
          </cell>
          <cell r="P142" t="str">
            <v>金額</v>
          </cell>
          <cell r="Q142">
            <v>0</v>
          </cell>
          <cell r="R142">
            <v>248850</v>
          </cell>
          <cell r="S142">
            <v>0</v>
          </cell>
          <cell r="T142">
            <v>0</v>
          </cell>
          <cell r="U142">
            <v>248850</v>
          </cell>
          <cell r="V142">
            <v>21346</v>
          </cell>
          <cell r="W142">
            <v>0</v>
          </cell>
          <cell r="X142">
            <v>270196</v>
          </cell>
          <cell r="Y142" t="str">
            <v xml:space="preserve"> </v>
          </cell>
        </row>
        <row r="143">
          <cell r="E143" t="str">
            <v>試作品</v>
          </cell>
          <cell r="F143" t="str">
            <v>PX51191</v>
          </cell>
          <cell r="G143" t="str">
            <v>数量</v>
          </cell>
          <cell r="H143">
            <v>1380</v>
          </cell>
          <cell r="I143">
            <v>7</v>
          </cell>
          <cell r="J143">
            <v>0</v>
          </cell>
          <cell r="K143">
            <v>0</v>
          </cell>
          <cell r="L143">
            <v>7</v>
          </cell>
          <cell r="M143">
            <v>0</v>
          </cell>
          <cell r="N143">
            <v>0</v>
          </cell>
          <cell r="O143">
            <v>1387</v>
          </cell>
          <cell r="P143" t="str">
            <v>金額</v>
          </cell>
          <cell r="Q143">
            <v>3421640</v>
          </cell>
          <cell r="R143">
            <v>13500</v>
          </cell>
          <cell r="S143">
            <v>0</v>
          </cell>
          <cell r="T143">
            <v>0</v>
          </cell>
          <cell r="U143">
            <v>13500</v>
          </cell>
          <cell r="V143">
            <v>0</v>
          </cell>
          <cell r="W143">
            <v>0</v>
          </cell>
          <cell r="X143">
            <v>3435140</v>
          </cell>
          <cell r="Y143" t="str">
            <v xml:space="preserve"> </v>
          </cell>
        </row>
        <row r="144">
          <cell r="E144" t="str">
            <v>部　品</v>
          </cell>
          <cell r="F144" t="str">
            <v>PX51195</v>
          </cell>
          <cell r="G144" t="str">
            <v>数量</v>
          </cell>
          <cell r="H144">
            <v>1096</v>
          </cell>
          <cell r="I144">
            <v>0</v>
          </cell>
          <cell r="J144">
            <v>0</v>
          </cell>
          <cell r="K144">
            <v>60</v>
          </cell>
          <cell r="L144">
            <v>60</v>
          </cell>
          <cell r="M144">
            <v>960000</v>
          </cell>
          <cell r="N144">
            <v>960000</v>
          </cell>
          <cell r="O144">
            <v>961156</v>
          </cell>
          <cell r="P144" t="str">
            <v>金額</v>
          </cell>
          <cell r="Q144">
            <v>6576</v>
          </cell>
          <cell r="R144">
            <v>0</v>
          </cell>
          <cell r="S144">
            <v>0</v>
          </cell>
          <cell r="T144">
            <v>15000</v>
          </cell>
          <cell r="U144">
            <v>15000</v>
          </cell>
          <cell r="V144">
            <v>5811000</v>
          </cell>
          <cell r="W144">
            <v>5811000</v>
          </cell>
          <cell r="X144">
            <v>5832576</v>
          </cell>
          <cell r="Y144" t="str">
            <v xml:space="preserve"> </v>
          </cell>
        </row>
        <row r="145">
          <cell r="E145" t="str">
            <v>プラグキャップ</v>
          </cell>
          <cell r="F145" t="str">
            <v>PX511</v>
          </cell>
          <cell r="G145" t="str">
            <v>数量</v>
          </cell>
          <cell r="H145">
            <v>66145</v>
          </cell>
          <cell r="I145">
            <v>4699</v>
          </cell>
          <cell r="J145">
            <v>0</v>
          </cell>
          <cell r="K145">
            <v>2332</v>
          </cell>
          <cell r="L145">
            <v>7031</v>
          </cell>
          <cell r="M145">
            <v>1189659</v>
          </cell>
          <cell r="N145">
            <v>1031800</v>
          </cell>
          <cell r="O145">
            <v>1262835</v>
          </cell>
          <cell r="P145" t="str">
            <v>金額</v>
          </cell>
          <cell r="Q145">
            <v>13666961</v>
          </cell>
          <cell r="R145">
            <v>2156850</v>
          </cell>
          <cell r="S145">
            <v>0</v>
          </cell>
          <cell r="T145">
            <v>318280</v>
          </cell>
          <cell r="U145">
            <v>2475130</v>
          </cell>
          <cell r="V145">
            <v>29251518</v>
          </cell>
          <cell r="W145">
            <v>16214150</v>
          </cell>
          <cell r="X145">
            <v>45393609</v>
          </cell>
          <cell r="Y145" t="str">
            <v xml:space="preserve"> </v>
          </cell>
        </row>
        <row r="146">
          <cell r="E146" t="str">
            <v>プラグコード</v>
          </cell>
          <cell r="F146" t="str">
            <v>PX52101</v>
          </cell>
          <cell r="G146" t="str">
            <v>数量</v>
          </cell>
          <cell r="H146">
            <v>7130</v>
          </cell>
          <cell r="I146">
            <v>30109</v>
          </cell>
          <cell r="J146">
            <v>7</v>
          </cell>
          <cell r="K146">
            <v>0</v>
          </cell>
          <cell r="L146">
            <v>30116</v>
          </cell>
          <cell r="M146">
            <v>49319</v>
          </cell>
          <cell r="N146">
            <v>0</v>
          </cell>
          <cell r="O146">
            <v>86565</v>
          </cell>
          <cell r="P146" t="str">
            <v>金額</v>
          </cell>
          <cell r="Q146">
            <v>3208500</v>
          </cell>
          <cell r="R146">
            <v>59733662</v>
          </cell>
          <cell r="S146">
            <v>13400</v>
          </cell>
          <cell r="T146">
            <v>0</v>
          </cell>
          <cell r="U146">
            <v>59747062</v>
          </cell>
          <cell r="V146">
            <v>82766716</v>
          </cell>
          <cell r="W146">
            <v>0</v>
          </cell>
          <cell r="X146">
            <v>145722278</v>
          </cell>
          <cell r="Y146" t="str">
            <v xml:space="preserve"> </v>
          </cell>
        </row>
        <row r="147">
          <cell r="E147" t="str">
            <v>プラグコードバラ</v>
          </cell>
          <cell r="F147" t="str">
            <v>PX52126</v>
          </cell>
          <cell r="G147" t="str">
            <v>数量</v>
          </cell>
          <cell r="H147">
            <v>2389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10600</v>
          </cell>
          <cell r="N147">
            <v>0</v>
          </cell>
          <cell r="O147">
            <v>12989</v>
          </cell>
          <cell r="P147" t="str">
            <v>金額</v>
          </cell>
          <cell r="Q147">
            <v>778559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3102260</v>
          </cell>
          <cell r="W147">
            <v>0</v>
          </cell>
          <cell r="X147">
            <v>3880819</v>
          </cell>
          <cell r="Y147" t="str">
            <v xml:space="preserve"> </v>
          </cell>
        </row>
        <row r="148">
          <cell r="E148" t="str">
            <v>パワーケーブル</v>
          </cell>
          <cell r="F148" t="str">
            <v>PX52130</v>
          </cell>
          <cell r="G148" t="str">
            <v>数量</v>
          </cell>
          <cell r="H148">
            <v>0</v>
          </cell>
          <cell r="I148">
            <v>851</v>
          </cell>
          <cell r="J148">
            <v>1</v>
          </cell>
          <cell r="K148">
            <v>3</v>
          </cell>
          <cell r="L148">
            <v>855</v>
          </cell>
          <cell r="M148">
            <v>188</v>
          </cell>
          <cell r="N148">
            <v>0</v>
          </cell>
          <cell r="O148">
            <v>1043</v>
          </cell>
          <cell r="P148" t="str">
            <v>金額</v>
          </cell>
          <cell r="Q148">
            <v>0</v>
          </cell>
          <cell r="R148">
            <v>4748555</v>
          </cell>
          <cell r="S148">
            <v>5600</v>
          </cell>
          <cell r="T148">
            <v>24210</v>
          </cell>
          <cell r="U148">
            <v>4778365</v>
          </cell>
          <cell r="V148">
            <v>1270900</v>
          </cell>
          <cell r="W148">
            <v>0</v>
          </cell>
          <cell r="X148">
            <v>6049265</v>
          </cell>
          <cell r="Y148" t="str">
            <v xml:space="preserve"> </v>
          </cell>
        </row>
        <row r="149">
          <cell r="E149" t="str">
            <v>試作品</v>
          </cell>
          <cell r="F149" t="str">
            <v>PX52191</v>
          </cell>
          <cell r="G149" t="str">
            <v>数量</v>
          </cell>
          <cell r="H149">
            <v>507</v>
          </cell>
          <cell r="I149">
            <v>30</v>
          </cell>
          <cell r="J149">
            <v>0</v>
          </cell>
          <cell r="K149">
            <v>318</v>
          </cell>
          <cell r="L149">
            <v>348</v>
          </cell>
          <cell r="M149">
            <v>101</v>
          </cell>
          <cell r="N149">
            <v>0</v>
          </cell>
          <cell r="O149">
            <v>956</v>
          </cell>
          <cell r="P149" t="str">
            <v>金額</v>
          </cell>
          <cell r="Q149">
            <v>2298000</v>
          </cell>
          <cell r="R149">
            <v>181000</v>
          </cell>
          <cell r="S149">
            <v>0</v>
          </cell>
          <cell r="T149">
            <v>1414005</v>
          </cell>
          <cell r="U149">
            <v>1595005</v>
          </cell>
          <cell r="V149">
            <v>29353</v>
          </cell>
          <cell r="W149">
            <v>0</v>
          </cell>
          <cell r="X149">
            <v>3922358</v>
          </cell>
          <cell r="Y149" t="str">
            <v xml:space="preserve"> </v>
          </cell>
        </row>
        <row r="150">
          <cell r="E150" t="str">
            <v>部　品</v>
          </cell>
          <cell r="F150" t="str">
            <v>PX52195</v>
          </cell>
          <cell r="G150" t="str">
            <v>数量</v>
          </cell>
          <cell r="H150">
            <v>740</v>
          </cell>
          <cell r="I150">
            <v>0</v>
          </cell>
          <cell r="J150">
            <v>0</v>
          </cell>
          <cell r="K150">
            <v>249</v>
          </cell>
          <cell r="L150">
            <v>249</v>
          </cell>
          <cell r="M150">
            <v>90000</v>
          </cell>
          <cell r="N150">
            <v>0</v>
          </cell>
          <cell r="O150">
            <v>90989</v>
          </cell>
          <cell r="P150" t="str">
            <v>金額</v>
          </cell>
          <cell r="Q150">
            <v>267100</v>
          </cell>
          <cell r="R150">
            <v>0</v>
          </cell>
          <cell r="S150">
            <v>0</v>
          </cell>
          <cell r="T150">
            <v>252100</v>
          </cell>
          <cell r="U150">
            <v>252100</v>
          </cell>
          <cell r="V150">
            <v>7640000</v>
          </cell>
          <cell r="W150">
            <v>0</v>
          </cell>
          <cell r="X150">
            <v>8159200</v>
          </cell>
          <cell r="Y150" t="str">
            <v xml:space="preserve"> </v>
          </cell>
        </row>
        <row r="151">
          <cell r="E151" t="str">
            <v>プラグコード</v>
          </cell>
          <cell r="F151" t="str">
            <v>PX521</v>
          </cell>
          <cell r="G151" t="str">
            <v>数量</v>
          </cell>
          <cell r="H151">
            <v>10766</v>
          </cell>
          <cell r="I151">
            <v>30990</v>
          </cell>
          <cell r="J151">
            <v>8</v>
          </cell>
          <cell r="K151">
            <v>570</v>
          </cell>
          <cell r="L151">
            <v>31568</v>
          </cell>
          <cell r="M151">
            <v>150208</v>
          </cell>
          <cell r="N151">
            <v>0</v>
          </cell>
          <cell r="O151">
            <v>192542</v>
          </cell>
          <cell r="P151" t="str">
            <v>金額</v>
          </cell>
          <cell r="Q151">
            <v>6552159</v>
          </cell>
          <cell r="R151">
            <v>64663217</v>
          </cell>
          <cell r="S151">
            <v>19000</v>
          </cell>
          <cell r="T151">
            <v>1690315</v>
          </cell>
          <cell r="U151">
            <v>66372532</v>
          </cell>
          <cell r="V151">
            <v>94809229</v>
          </cell>
          <cell r="W151">
            <v>0</v>
          </cell>
          <cell r="X151">
            <v>167733920</v>
          </cell>
          <cell r="Y151" t="str">
            <v xml:space="preserve"> </v>
          </cell>
        </row>
        <row r="152">
          <cell r="E152" t="str">
            <v>本　体</v>
          </cell>
          <cell r="F152" t="str">
            <v>PX53101</v>
          </cell>
          <cell r="G152" t="str">
            <v>数量</v>
          </cell>
          <cell r="H152">
            <v>838</v>
          </cell>
          <cell r="I152">
            <v>0</v>
          </cell>
          <cell r="J152">
            <v>0</v>
          </cell>
          <cell r="K152">
            <v>582</v>
          </cell>
          <cell r="L152">
            <v>582</v>
          </cell>
          <cell r="M152">
            <v>75</v>
          </cell>
          <cell r="N152">
            <v>0</v>
          </cell>
          <cell r="O152">
            <v>1495</v>
          </cell>
          <cell r="P152" t="str">
            <v>金額</v>
          </cell>
          <cell r="Q152">
            <v>226100</v>
          </cell>
          <cell r="R152">
            <v>0</v>
          </cell>
          <cell r="S152">
            <v>0</v>
          </cell>
          <cell r="T152">
            <v>207360</v>
          </cell>
          <cell r="U152">
            <v>207360</v>
          </cell>
          <cell r="V152">
            <v>22630</v>
          </cell>
          <cell r="W152">
            <v>0</v>
          </cell>
          <cell r="X152">
            <v>456090</v>
          </cell>
          <cell r="Y152" t="str">
            <v xml:space="preserve"> </v>
          </cell>
        </row>
        <row r="153">
          <cell r="E153" t="str">
            <v>グローシグナル</v>
          </cell>
          <cell r="F153" t="str">
            <v>PX531</v>
          </cell>
          <cell r="G153" t="str">
            <v>数量</v>
          </cell>
          <cell r="H153">
            <v>838</v>
          </cell>
          <cell r="I153">
            <v>0</v>
          </cell>
          <cell r="J153">
            <v>0</v>
          </cell>
          <cell r="K153">
            <v>582</v>
          </cell>
          <cell r="L153">
            <v>582</v>
          </cell>
          <cell r="M153">
            <v>75</v>
          </cell>
          <cell r="N153">
            <v>0</v>
          </cell>
          <cell r="O153">
            <v>1495</v>
          </cell>
          <cell r="P153" t="str">
            <v>金額</v>
          </cell>
          <cell r="Q153">
            <v>226100</v>
          </cell>
          <cell r="R153">
            <v>0</v>
          </cell>
          <cell r="S153">
            <v>0</v>
          </cell>
          <cell r="T153">
            <v>207360</v>
          </cell>
          <cell r="U153">
            <v>207360</v>
          </cell>
          <cell r="V153">
            <v>22630</v>
          </cell>
          <cell r="W153">
            <v>0</v>
          </cell>
          <cell r="X153">
            <v>456090</v>
          </cell>
          <cell r="Y153" t="str">
            <v xml:space="preserve"> </v>
          </cell>
        </row>
        <row r="154">
          <cell r="E154" t="str">
            <v>その他</v>
          </cell>
          <cell r="F154" t="str">
            <v>PX59090</v>
          </cell>
          <cell r="G154" t="str">
            <v>数量</v>
          </cell>
          <cell r="H154">
            <v>80</v>
          </cell>
          <cell r="I154">
            <v>5</v>
          </cell>
          <cell r="J154">
            <v>0</v>
          </cell>
          <cell r="K154">
            <v>0</v>
          </cell>
          <cell r="L154">
            <v>5</v>
          </cell>
          <cell r="M154">
            <v>234000</v>
          </cell>
          <cell r="N154">
            <v>0</v>
          </cell>
          <cell r="O154">
            <v>234085</v>
          </cell>
          <cell r="P154" t="str">
            <v>金額</v>
          </cell>
          <cell r="Q154">
            <v>240000</v>
          </cell>
          <cell r="R154">
            <v>25000</v>
          </cell>
          <cell r="S154">
            <v>0</v>
          </cell>
          <cell r="T154">
            <v>0</v>
          </cell>
          <cell r="U154">
            <v>25000</v>
          </cell>
          <cell r="V154">
            <v>93600</v>
          </cell>
          <cell r="W154">
            <v>0</v>
          </cell>
          <cell r="X154">
            <v>358600</v>
          </cell>
          <cell r="Y154" t="str">
            <v xml:space="preserve"> </v>
          </cell>
        </row>
        <row r="155">
          <cell r="E155" t="str">
            <v>その他</v>
          </cell>
          <cell r="F155" t="str">
            <v>PX590</v>
          </cell>
          <cell r="G155" t="str">
            <v>数量</v>
          </cell>
          <cell r="H155">
            <v>80</v>
          </cell>
          <cell r="I155">
            <v>5</v>
          </cell>
          <cell r="J155">
            <v>0</v>
          </cell>
          <cell r="K155">
            <v>0</v>
          </cell>
          <cell r="L155">
            <v>5</v>
          </cell>
          <cell r="M155">
            <v>234000</v>
          </cell>
          <cell r="N155">
            <v>0</v>
          </cell>
          <cell r="O155">
            <v>234085</v>
          </cell>
          <cell r="P155" t="str">
            <v>金額</v>
          </cell>
          <cell r="Q155">
            <v>240000</v>
          </cell>
          <cell r="R155">
            <v>25000</v>
          </cell>
          <cell r="S155">
            <v>0</v>
          </cell>
          <cell r="T155">
            <v>0</v>
          </cell>
          <cell r="U155">
            <v>25000</v>
          </cell>
          <cell r="V155">
            <v>93600</v>
          </cell>
          <cell r="W155">
            <v>0</v>
          </cell>
          <cell r="X155">
            <v>358600</v>
          </cell>
          <cell r="Y155" t="str">
            <v xml:space="preserve"> </v>
          </cell>
        </row>
        <row r="156">
          <cell r="E156" t="str">
            <v>プ事機械設備</v>
          </cell>
          <cell r="F156" t="str">
            <v>PX59501</v>
          </cell>
          <cell r="G156" t="str">
            <v>数量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604</v>
          </cell>
          <cell r="N156">
            <v>0</v>
          </cell>
          <cell r="O156">
            <v>604</v>
          </cell>
          <cell r="P156" t="str">
            <v>金額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11047505</v>
          </cell>
          <cell r="W156">
            <v>0</v>
          </cell>
          <cell r="X156">
            <v>11047505</v>
          </cell>
          <cell r="Y156" t="str">
            <v xml:space="preserve"> </v>
          </cell>
        </row>
        <row r="157">
          <cell r="E157" t="str">
            <v>プ事部品</v>
          </cell>
          <cell r="F157" t="str">
            <v>PX59551</v>
          </cell>
          <cell r="G157" t="str">
            <v>数量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188</v>
          </cell>
          <cell r="N157">
            <v>0</v>
          </cell>
          <cell r="O157">
            <v>188</v>
          </cell>
          <cell r="P157" t="str">
            <v>金額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7395845</v>
          </cell>
          <cell r="W157">
            <v>0</v>
          </cell>
          <cell r="X157">
            <v>7395845</v>
          </cell>
          <cell r="Y157" t="str">
            <v xml:space="preserve"> </v>
          </cell>
        </row>
        <row r="158">
          <cell r="E158" t="str">
            <v>機械設備</v>
          </cell>
          <cell r="F158" t="str">
            <v>PX595</v>
          </cell>
          <cell r="G158" t="str">
            <v>数量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792</v>
          </cell>
          <cell r="N158">
            <v>0</v>
          </cell>
          <cell r="O158">
            <v>792</v>
          </cell>
          <cell r="P158" t="str">
            <v>金額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18443350</v>
          </cell>
          <cell r="W158">
            <v>0</v>
          </cell>
          <cell r="X158">
            <v>18443350</v>
          </cell>
          <cell r="Y158" t="str">
            <v xml:space="preserve"> </v>
          </cell>
        </row>
        <row r="159">
          <cell r="E159" t="str">
            <v>セ事機械設備</v>
          </cell>
          <cell r="F159" t="str">
            <v>PX59601</v>
          </cell>
          <cell r="G159" t="str">
            <v>数量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2</v>
          </cell>
          <cell r="N159">
            <v>0</v>
          </cell>
          <cell r="O159">
            <v>2</v>
          </cell>
          <cell r="P159" t="str">
            <v>金額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70448800</v>
          </cell>
          <cell r="W159">
            <v>0</v>
          </cell>
          <cell r="X159">
            <v>70448800</v>
          </cell>
          <cell r="Y159" t="str">
            <v xml:space="preserve"> </v>
          </cell>
        </row>
        <row r="160">
          <cell r="E160" t="str">
            <v>セ事部品</v>
          </cell>
          <cell r="F160" t="str">
            <v>PX59651</v>
          </cell>
          <cell r="G160" t="str">
            <v>数量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130</v>
          </cell>
          <cell r="N160">
            <v>0</v>
          </cell>
          <cell r="O160">
            <v>130</v>
          </cell>
          <cell r="P160" t="str">
            <v>金額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7050892</v>
          </cell>
          <cell r="W160">
            <v>0</v>
          </cell>
          <cell r="X160">
            <v>7050892</v>
          </cell>
          <cell r="Y160" t="str">
            <v xml:space="preserve"> </v>
          </cell>
        </row>
        <row r="161">
          <cell r="E161" t="str">
            <v>セ事機械設備</v>
          </cell>
          <cell r="F161" t="str">
            <v>PX596</v>
          </cell>
          <cell r="G161" t="str">
            <v>数量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132</v>
          </cell>
          <cell r="N161">
            <v>0</v>
          </cell>
          <cell r="O161">
            <v>132</v>
          </cell>
          <cell r="P161" t="str">
            <v>金額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77499692</v>
          </cell>
          <cell r="W161">
            <v>0</v>
          </cell>
          <cell r="X161">
            <v>77499692</v>
          </cell>
          <cell r="Y161" t="str">
            <v xml:space="preserve"> </v>
          </cell>
        </row>
        <row r="162">
          <cell r="E162" t="str">
            <v>関連品その他</v>
          </cell>
          <cell r="F162" t="str">
            <v>PX5</v>
          </cell>
          <cell r="G162" t="str">
            <v>数量</v>
          </cell>
          <cell r="H162">
            <v>157466</v>
          </cell>
          <cell r="I162">
            <v>35694</v>
          </cell>
          <cell r="J162">
            <v>8</v>
          </cell>
          <cell r="K162">
            <v>7667</v>
          </cell>
          <cell r="L162">
            <v>43369</v>
          </cell>
          <cell r="M162">
            <v>1582946</v>
          </cell>
          <cell r="N162">
            <v>1039880</v>
          </cell>
          <cell r="O162">
            <v>1783781</v>
          </cell>
          <cell r="P162" t="str">
            <v>金額</v>
          </cell>
          <cell r="Q162">
            <v>123285163</v>
          </cell>
          <cell r="R162">
            <v>66845067</v>
          </cell>
          <cell r="S162">
            <v>19000</v>
          </cell>
          <cell r="T162">
            <v>8154576</v>
          </cell>
          <cell r="U162">
            <v>75018643</v>
          </cell>
          <cell r="V162">
            <v>238071099</v>
          </cell>
          <cell r="W162">
            <v>34165230</v>
          </cell>
          <cell r="X162">
            <v>436374905</v>
          </cell>
          <cell r="Y162" t="str">
            <v xml:space="preserve"> </v>
          </cell>
        </row>
        <row r="163">
          <cell r="E163" t="str">
            <v>雨用セット</v>
          </cell>
          <cell r="F163" t="str">
            <v>PX90401</v>
          </cell>
          <cell r="G163" t="str">
            <v>数量</v>
          </cell>
          <cell r="H163">
            <v>0</v>
          </cell>
          <cell r="I163">
            <v>2838</v>
          </cell>
          <cell r="J163">
            <v>150</v>
          </cell>
          <cell r="K163">
            <v>0</v>
          </cell>
          <cell r="L163">
            <v>2988</v>
          </cell>
          <cell r="M163">
            <v>0</v>
          </cell>
          <cell r="N163">
            <v>0</v>
          </cell>
          <cell r="O163">
            <v>2988</v>
          </cell>
          <cell r="P163" t="str">
            <v>金額</v>
          </cell>
          <cell r="Q163">
            <v>0</v>
          </cell>
          <cell r="R163">
            <v>1643725</v>
          </cell>
          <cell r="S163">
            <v>88040</v>
          </cell>
          <cell r="T163">
            <v>0</v>
          </cell>
          <cell r="U163">
            <v>1731765</v>
          </cell>
          <cell r="V163">
            <v>0</v>
          </cell>
          <cell r="W163">
            <v>0</v>
          </cell>
          <cell r="X163">
            <v>1731765</v>
          </cell>
          <cell r="Y163" t="str">
            <v xml:space="preserve"> </v>
          </cell>
        </row>
        <row r="164">
          <cell r="E164" t="str">
            <v>雪用セット</v>
          </cell>
          <cell r="F164" t="str">
            <v>PX90402</v>
          </cell>
          <cell r="G164" t="str">
            <v>数量</v>
          </cell>
          <cell r="H164">
            <v>0</v>
          </cell>
          <cell r="I164">
            <v>36506</v>
          </cell>
          <cell r="J164">
            <v>0</v>
          </cell>
          <cell r="K164">
            <v>1257</v>
          </cell>
          <cell r="L164">
            <v>37763</v>
          </cell>
          <cell r="M164">
            <v>0</v>
          </cell>
          <cell r="N164">
            <v>0</v>
          </cell>
          <cell r="O164">
            <v>37763</v>
          </cell>
          <cell r="P164" t="str">
            <v>金額</v>
          </cell>
          <cell r="Q164">
            <v>0</v>
          </cell>
          <cell r="R164">
            <v>41073615</v>
          </cell>
          <cell r="S164">
            <v>0</v>
          </cell>
          <cell r="T164">
            <v>1150690</v>
          </cell>
          <cell r="U164">
            <v>42224305</v>
          </cell>
          <cell r="V164">
            <v>0</v>
          </cell>
          <cell r="W164">
            <v>0</v>
          </cell>
          <cell r="X164">
            <v>42224305</v>
          </cell>
          <cell r="Y164" t="str">
            <v xml:space="preserve"> </v>
          </cell>
        </row>
        <row r="165">
          <cell r="E165" t="str">
            <v>替ゴム</v>
          </cell>
          <cell r="F165" t="str">
            <v>PX90403</v>
          </cell>
          <cell r="G165" t="str">
            <v>数量</v>
          </cell>
          <cell r="H165">
            <v>0</v>
          </cell>
          <cell r="I165">
            <v>10258</v>
          </cell>
          <cell r="J165">
            <v>0</v>
          </cell>
          <cell r="K165">
            <v>5283</v>
          </cell>
          <cell r="L165">
            <v>15541</v>
          </cell>
          <cell r="M165">
            <v>0</v>
          </cell>
          <cell r="N165">
            <v>0</v>
          </cell>
          <cell r="O165">
            <v>15541</v>
          </cell>
          <cell r="P165" t="str">
            <v>金額</v>
          </cell>
          <cell r="Q165">
            <v>0</v>
          </cell>
          <cell r="R165">
            <v>2213010</v>
          </cell>
          <cell r="S165">
            <v>0</v>
          </cell>
          <cell r="T165">
            <v>947950</v>
          </cell>
          <cell r="U165">
            <v>3160960</v>
          </cell>
          <cell r="V165">
            <v>0</v>
          </cell>
          <cell r="W165">
            <v>0</v>
          </cell>
          <cell r="X165">
            <v>3160960</v>
          </cell>
          <cell r="Y165" t="str">
            <v xml:space="preserve"> </v>
          </cell>
        </row>
        <row r="166">
          <cell r="E166" t="str">
            <v>雨用バルク</v>
          </cell>
          <cell r="F166" t="str">
            <v>PX90405</v>
          </cell>
          <cell r="G166" t="str">
            <v>数量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1000</v>
          </cell>
          <cell r="N166">
            <v>0</v>
          </cell>
          <cell r="O166">
            <v>1000</v>
          </cell>
          <cell r="P166" t="str">
            <v>金額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321000</v>
          </cell>
          <cell r="W166">
            <v>0</v>
          </cell>
          <cell r="X166">
            <v>321000</v>
          </cell>
          <cell r="Y166" t="str">
            <v xml:space="preserve"> </v>
          </cell>
        </row>
        <row r="167">
          <cell r="E167" t="str">
            <v>アダプタクリップ</v>
          </cell>
          <cell r="F167" t="str">
            <v>PX90411</v>
          </cell>
          <cell r="G167" t="str">
            <v>数量</v>
          </cell>
          <cell r="H167">
            <v>0</v>
          </cell>
          <cell r="I167">
            <v>3061</v>
          </cell>
          <cell r="J167">
            <v>0</v>
          </cell>
          <cell r="K167">
            <v>0</v>
          </cell>
          <cell r="L167">
            <v>3061</v>
          </cell>
          <cell r="M167">
            <v>0</v>
          </cell>
          <cell r="N167">
            <v>0</v>
          </cell>
          <cell r="O167">
            <v>3061</v>
          </cell>
          <cell r="P167" t="str">
            <v>金額</v>
          </cell>
          <cell r="Q167">
            <v>0</v>
          </cell>
          <cell r="R167">
            <v>245020</v>
          </cell>
          <cell r="S167">
            <v>0</v>
          </cell>
          <cell r="T167">
            <v>0</v>
          </cell>
          <cell r="U167">
            <v>245020</v>
          </cell>
          <cell r="V167">
            <v>0</v>
          </cell>
          <cell r="W167">
            <v>0</v>
          </cell>
          <cell r="X167">
            <v>245020</v>
          </cell>
          <cell r="Y167" t="str">
            <v xml:space="preserve"> </v>
          </cell>
        </row>
        <row r="168">
          <cell r="E168" t="str">
            <v>ワイパーブレード</v>
          </cell>
          <cell r="F168" t="str">
            <v>PX904</v>
          </cell>
          <cell r="G168" t="str">
            <v>数量</v>
          </cell>
          <cell r="H168">
            <v>0</v>
          </cell>
          <cell r="I168">
            <v>52663</v>
          </cell>
          <cell r="J168">
            <v>150</v>
          </cell>
          <cell r="K168">
            <v>6540</v>
          </cell>
          <cell r="L168">
            <v>59353</v>
          </cell>
          <cell r="M168">
            <v>1000</v>
          </cell>
          <cell r="N168">
            <v>0</v>
          </cell>
          <cell r="O168">
            <v>60353</v>
          </cell>
          <cell r="P168" t="str">
            <v>金額</v>
          </cell>
          <cell r="Q168">
            <v>0</v>
          </cell>
          <cell r="R168">
            <v>45175370</v>
          </cell>
          <cell r="S168">
            <v>88040</v>
          </cell>
          <cell r="T168">
            <v>2098640</v>
          </cell>
          <cell r="U168">
            <v>47362050</v>
          </cell>
          <cell r="V168">
            <v>321000</v>
          </cell>
          <cell r="W168">
            <v>0</v>
          </cell>
          <cell r="X168">
            <v>47683050</v>
          </cell>
          <cell r="Y168" t="str">
            <v xml:space="preserve"> </v>
          </cell>
        </row>
        <row r="169">
          <cell r="E169" t="str">
            <v>標準セット</v>
          </cell>
          <cell r="F169" t="str">
            <v>PX90501</v>
          </cell>
          <cell r="G169" t="str">
            <v>数量</v>
          </cell>
          <cell r="H169">
            <v>0</v>
          </cell>
          <cell r="I169">
            <v>11</v>
          </cell>
          <cell r="J169">
            <v>0</v>
          </cell>
          <cell r="K169">
            <v>0</v>
          </cell>
          <cell r="L169">
            <v>11</v>
          </cell>
          <cell r="M169">
            <v>0</v>
          </cell>
          <cell r="N169">
            <v>0</v>
          </cell>
          <cell r="O169">
            <v>11</v>
          </cell>
          <cell r="P169" t="str">
            <v>金額</v>
          </cell>
          <cell r="Q169">
            <v>0</v>
          </cell>
          <cell r="R169">
            <v>417000</v>
          </cell>
          <cell r="S169">
            <v>0</v>
          </cell>
          <cell r="T169">
            <v>0</v>
          </cell>
          <cell r="U169">
            <v>417000</v>
          </cell>
          <cell r="V169">
            <v>0</v>
          </cell>
          <cell r="W169">
            <v>0</v>
          </cell>
          <cell r="X169">
            <v>417000</v>
          </cell>
          <cell r="Y169" t="str">
            <v xml:space="preserve"> </v>
          </cell>
        </row>
        <row r="170">
          <cell r="E170" t="str">
            <v>付属品単品</v>
          </cell>
          <cell r="F170" t="str">
            <v>PX90504</v>
          </cell>
          <cell r="G170" t="str">
            <v>数量</v>
          </cell>
          <cell r="H170">
            <v>0</v>
          </cell>
          <cell r="I170">
            <v>2</v>
          </cell>
          <cell r="J170">
            <v>0</v>
          </cell>
          <cell r="K170">
            <v>0</v>
          </cell>
          <cell r="L170">
            <v>2</v>
          </cell>
          <cell r="M170">
            <v>0</v>
          </cell>
          <cell r="N170">
            <v>0</v>
          </cell>
          <cell r="O170">
            <v>2</v>
          </cell>
          <cell r="P170" t="str">
            <v>金額</v>
          </cell>
          <cell r="Q170">
            <v>0</v>
          </cell>
          <cell r="R170">
            <v>8000</v>
          </cell>
          <cell r="S170">
            <v>0</v>
          </cell>
          <cell r="T170">
            <v>0</v>
          </cell>
          <cell r="U170">
            <v>8000</v>
          </cell>
          <cell r="V170">
            <v>0</v>
          </cell>
          <cell r="W170">
            <v>0</v>
          </cell>
          <cell r="X170">
            <v>8000</v>
          </cell>
          <cell r="Y170" t="str">
            <v xml:space="preserve"> </v>
          </cell>
        </row>
        <row r="171">
          <cell r="E171" t="str">
            <v>携帯電話</v>
          </cell>
          <cell r="F171" t="str">
            <v>PX905</v>
          </cell>
          <cell r="G171" t="str">
            <v>数量</v>
          </cell>
          <cell r="H171">
            <v>0</v>
          </cell>
          <cell r="I171">
            <v>13</v>
          </cell>
          <cell r="J171">
            <v>0</v>
          </cell>
          <cell r="K171">
            <v>0</v>
          </cell>
          <cell r="L171">
            <v>13</v>
          </cell>
          <cell r="M171">
            <v>0</v>
          </cell>
          <cell r="N171">
            <v>0</v>
          </cell>
          <cell r="O171">
            <v>13</v>
          </cell>
          <cell r="P171" t="str">
            <v>金額</v>
          </cell>
          <cell r="Q171">
            <v>0</v>
          </cell>
          <cell r="R171">
            <v>425000</v>
          </cell>
          <cell r="S171">
            <v>0</v>
          </cell>
          <cell r="T171">
            <v>0</v>
          </cell>
          <cell r="U171">
            <v>425000</v>
          </cell>
          <cell r="V171">
            <v>0</v>
          </cell>
          <cell r="W171">
            <v>0</v>
          </cell>
          <cell r="X171">
            <v>425000</v>
          </cell>
          <cell r="Y171" t="str">
            <v xml:space="preserve"> </v>
          </cell>
        </row>
        <row r="172">
          <cell r="E172" t="str">
            <v>本体セット</v>
          </cell>
          <cell r="F172" t="str">
            <v>PX90901</v>
          </cell>
          <cell r="G172" t="str">
            <v>数量</v>
          </cell>
          <cell r="H172">
            <v>0</v>
          </cell>
          <cell r="I172">
            <v>2</v>
          </cell>
          <cell r="J172">
            <v>0</v>
          </cell>
          <cell r="K172">
            <v>0</v>
          </cell>
          <cell r="L172">
            <v>2</v>
          </cell>
          <cell r="M172">
            <v>0</v>
          </cell>
          <cell r="N172">
            <v>0</v>
          </cell>
          <cell r="O172">
            <v>2</v>
          </cell>
          <cell r="P172" t="str">
            <v>金額</v>
          </cell>
          <cell r="Q172">
            <v>0</v>
          </cell>
          <cell r="R172">
            <v>2340</v>
          </cell>
          <cell r="S172">
            <v>0</v>
          </cell>
          <cell r="T172">
            <v>0</v>
          </cell>
          <cell r="U172">
            <v>2340</v>
          </cell>
          <cell r="V172">
            <v>0</v>
          </cell>
          <cell r="W172">
            <v>0</v>
          </cell>
          <cell r="X172">
            <v>2340</v>
          </cell>
          <cell r="Y172" t="str">
            <v xml:space="preserve"> </v>
          </cell>
        </row>
        <row r="173">
          <cell r="E173" t="str">
            <v>磁気治療器</v>
          </cell>
          <cell r="F173" t="str">
            <v>PX909</v>
          </cell>
          <cell r="G173" t="str">
            <v>数量</v>
          </cell>
          <cell r="H173">
            <v>0</v>
          </cell>
          <cell r="I173">
            <v>2</v>
          </cell>
          <cell r="J173">
            <v>0</v>
          </cell>
          <cell r="K173">
            <v>0</v>
          </cell>
          <cell r="L173">
            <v>2</v>
          </cell>
          <cell r="M173">
            <v>0</v>
          </cell>
          <cell r="N173">
            <v>0</v>
          </cell>
          <cell r="O173">
            <v>2</v>
          </cell>
          <cell r="P173" t="str">
            <v>金額</v>
          </cell>
          <cell r="Q173">
            <v>0</v>
          </cell>
          <cell r="R173">
            <v>2340</v>
          </cell>
          <cell r="S173">
            <v>0</v>
          </cell>
          <cell r="T173">
            <v>0</v>
          </cell>
          <cell r="U173">
            <v>2340</v>
          </cell>
          <cell r="V173">
            <v>0</v>
          </cell>
          <cell r="W173">
            <v>0</v>
          </cell>
          <cell r="X173">
            <v>2340</v>
          </cell>
          <cell r="Y173" t="str">
            <v xml:space="preserve"> </v>
          </cell>
        </row>
        <row r="174">
          <cell r="E174" t="str">
            <v>ツメクリン洗剤</v>
          </cell>
          <cell r="F174" t="str">
            <v>PX91002</v>
          </cell>
          <cell r="G174" t="str">
            <v>数量</v>
          </cell>
          <cell r="H174">
            <v>0</v>
          </cell>
          <cell r="I174">
            <v>6</v>
          </cell>
          <cell r="J174">
            <v>0</v>
          </cell>
          <cell r="K174">
            <v>0</v>
          </cell>
          <cell r="L174">
            <v>6</v>
          </cell>
          <cell r="M174">
            <v>0</v>
          </cell>
          <cell r="N174">
            <v>0</v>
          </cell>
          <cell r="O174">
            <v>6</v>
          </cell>
          <cell r="P174" t="str">
            <v>金額</v>
          </cell>
          <cell r="Q174">
            <v>0</v>
          </cell>
          <cell r="R174">
            <v>7500</v>
          </cell>
          <cell r="S174">
            <v>0</v>
          </cell>
          <cell r="T174">
            <v>0</v>
          </cell>
          <cell r="U174">
            <v>7500</v>
          </cell>
          <cell r="V174">
            <v>0</v>
          </cell>
          <cell r="W174">
            <v>0</v>
          </cell>
          <cell r="X174">
            <v>7500</v>
          </cell>
          <cell r="Y174" t="str">
            <v xml:space="preserve"> </v>
          </cell>
        </row>
        <row r="175">
          <cell r="E175" t="str">
            <v>ケミカル品</v>
          </cell>
          <cell r="F175" t="str">
            <v>PX910</v>
          </cell>
          <cell r="G175" t="str">
            <v>数量</v>
          </cell>
          <cell r="H175">
            <v>0</v>
          </cell>
          <cell r="I175">
            <v>6</v>
          </cell>
          <cell r="J175">
            <v>0</v>
          </cell>
          <cell r="K175">
            <v>0</v>
          </cell>
          <cell r="L175">
            <v>6</v>
          </cell>
          <cell r="M175">
            <v>0</v>
          </cell>
          <cell r="N175">
            <v>0</v>
          </cell>
          <cell r="O175">
            <v>6</v>
          </cell>
          <cell r="P175" t="str">
            <v>金額</v>
          </cell>
          <cell r="Q175">
            <v>0</v>
          </cell>
          <cell r="R175">
            <v>7500</v>
          </cell>
          <cell r="S175">
            <v>0</v>
          </cell>
          <cell r="T175">
            <v>0</v>
          </cell>
          <cell r="U175">
            <v>7500</v>
          </cell>
          <cell r="V175">
            <v>0</v>
          </cell>
          <cell r="W175">
            <v>0</v>
          </cell>
          <cell r="X175">
            <v>7500</v>
          </cell>
          <cell r="Y175" t="str">
            <v xml:space="preserve"> </v>
          </cell>
        </row>
        <row r="176">
          <cell r="E176" t="str">
            <v>ツメクリン</v>
          </cell>
          <cell r="F176" t="str">
            <v>PX91101</v>
          </cell>
          <cell r="G176" t="str">
            <v>数量</v>
          </cell>
          <cell r="H176">
            <v>0</v>
          </cell>
          <cell r="I176">
            <v>301</v>
          </cell>
          <cell r="J176">
            <v>0</v>
          </cell>
          <cell r="K176">
            <v>0</v>
          </cell>
          <cell r="L176">
            <v>301</v>
          </cell>
          <cell r="M176">
            <v>0</v>
          </cell>
          <cell r="N176">
            <v>0</v>
          </cell>
          <cell r="O176">
            <v>301</v>
          </cell>
          <cell r="P176" t="str">
            <v>金額</v>
          </cell>
          <cell r="Q176">
            <v>0</v>
          </cell>
          <cell r="R176">
            <v>324750</v>
          </cell>
          <cell r="S176">
            <v>0</v>
          </cell>
          <cell r="T176">
            <v>0</v>
          </cell>
          <cell r="U176">
            <v>324750</v>
          </cell>
          <cell r="V176">
            <v>0</v>
          </cell>
          <cell r="W176">
            <v>0</v>
          </cell>
          <cell r="X176">
            <v>324750</v>
          </cell>
          <cell r="Y176" t="str">
            <v xml:space="preserve"> </v>
          </cell>
        </row>
        <row r="177">
          <cell r="E177" t="str">
            <v>超音波洗浄器</v>
          </cell>
          <cell r="F177" t="str">
            <v>PX911</v>
          </cell>
          <cell r="G177" t="str">
            <v>数量</v>
          </cell>
          <cell r="H177">
            <v>0</v>
          </cell>
          <cell r="I177">
            <v>301</v>
          </cell>
          <cell r="J177">
            <v>0</v>
          </cell>
          <cell r="K177">
            <v>0</v>
          </cell>
          <cell r="L177">
            <v>301</v>
          </cell>
          <cell r="M177">
            <v>0</v>
          </cell>
          <cell r="N177">
            <v>0</v>
          </cell>
          <cell r="O177">
            <v>301</v>
          </cell>
          <cell r="P177" t="str">
            <v>金額</v>
          </cell>
          <cell r="Q177">
            <v>0</v>
          </cell>
          <cell r="R177">
            <v>324750</v>
          </cell>
          <cell r="S177">
            <v>0</v>
          </cell>
          <cell r="T177">
            <v>0</v>
          </cell>
          <cell r="U177">
            <v>324750</v>
          </cell>
          <cell r="V177">
            <v>0</v>
          </cell>
          <cell r="W177">
            <v>0</v>
          </cell>
          <cell r="X177">
            <v>324750</v>
          </cell>
          <cell r="Y177" t="str">
            <v xml:space="preserve"> </v>
          </cell>
        </row>
        <row r="178">
          <cell r="E178" t="str">
            <v>本体</v>
          </cell>
          <cell r="F178" t="str">
            <v>PX91301</v>
          </cell>
          <cell r="G178" t="str">
            <v>数量</v>
          </cell>
          <cell r="H178">
            <v>0</v>
          </cell>
          <cell r="I178">
            <v>16</v>
          </cell>
          <cell r="J178">
            <v>0</v>
          </cell>
          <cell r="K178">
            <v>26</v>
          </cell>
          <cell r="L178">
            <v>42</v>
          </cell>
          <cell r="M178">
            <v>0</v>
          </cell>
          <cell r="N178">
            <v>0</v>
          </cell>
          <cell r="O178">
            <v>42</v>
          </cell>
          <cell r="P178" t="str">
            <v>金額</v>
          </cell>
          <cell r="Q178">
            <v>0</v>
          </cell>
          <cell r="R178">
            <v>57600</v>
          </cell>
          <cell r="S178">
            <v>0</v>
          </cell>
          <cell r="T178">
            <v>93600</v>
          </cell>
          <cell r="U178">
            <v>151200</v>
          </cell>
          <cell r="V178">
            <v>0</v>
          </cell>
          <cell r="W178">
            <v>0</v>
          </cell>
          <cell r="X178">
            <v>151200</v>
          </cell>
          <cell r="Y178" t="str">
            <v xml:space="preserve"> </v>
          </cell>
        </row>
        <row r="179">
          <cell r="E179" t="str">
            <v>ＢＢライダー</v>
          </cell>
          <cell r="F179" t="str">
            <v>PX913</v>
          </cell>
          <cell r="G179" t="str">
            <v>数量</v>
          </cell>
          <cell r="H179">
            <v>0</v>
          </cell>
          <cell r="I179">
            <v>16</v>
          </cell>
          <cell r="J179">
            <v>0</v>
          </cell>
          <cell r="K179">
            <v>26</v>
          </cell>
          <cell r="L179">
            <v>42</v>
          </cell>
          <cell r="M179">
            <v>0</v>
          </cell>
          <cell r="N179">
            <v>0</v>
          </cell>
          <cell r="O179">
            <v>42</v>
          </cell>
          <cell r="P179" t="str">
            <v>金額</v>
          </cell>
          <cell r="Q179">
            <v>0</v>
          </cell>
          <cell r="R179">
            <v>57600</v>
          </cell>
          <cell r="S179">
            <v>0</v>
          </cell>
          <cell r="T179">
            <v>93600</v>
          </cell>
          <cell r="U179">
            <v>151200</v>
          </cell>
          <cell r="V179">
            <v>0</v>
          </cell>
          <cell r="W179">
            <v>0</v>
          </cell>
          <cell r="X179">
            <v>151200</v>
          </cell>
          <cell r="Y179" t="str">
            <v xml:space="preserve"> </v>
          </cell>
        </row>
        <row r="180">
          <cell r="E180" t="str">
            <v>レギュラータイプ</v>
          </cell>
          <cell r="F180" t="str">
            <v>PX91401</v>
          </cell>
          <cell r="G180" t="str">
            <v>数量</v>
          </cell>
          <cell r="H180">
            <v>0</v>
          </cell>
          <cell r="I180">
            <v>8063</v>
          </cell>
          <cell r="J180">
            <v>0</v>
          </cell>
          <cell r="K180">
            <v>0</v>
          </cell>
          <cell r="L180">
            <v>8063</v>
          </cell>
          <cell r="M180">
            <v>0</v>
          </cell>
          <cell r="N180">
            <v>0</v>
          </cell>
          <cell r="O180">
            <v>8063</v>
          </cell>
          <cell r="P180" t="str">
            <v>金額</v>
          </cell>
          <cell r="Q180">
            <v>0</v>
          </cell>
          <cell r="R180">
            <v>2515110</v>
          </cell>
          <cell r="S180">
            <v>0</v>
          </cell>
          <cell r="T180">
            <v>0</v>
          </cell>
          <cell r="U180">
            <v>2515110</v>
          </cell>
          <cell r="V180">
            <v>0</v>
          </cell>
          <cell r="W180">
            <v>0</v>
          </cell>
          <cell r="X180">
            <v>2515110</v>
          </cell>
          <cell r="Y180" t="str">
            <v xml:space="preserve"> </v>
          </cell>
        </row>
        <row r="181">
          <cell r="E181" t="str">
            <v>スポーツタイプ</v>
          </cell>
          <cell r="F181" t="str">
            <v>PX91402</v>
          </cell>
          <cell r="G181" t="str">
            <v>数量</v>
          </cell>
          <cell r="H181">
            <v>0</v>
          </cell>
          <cell r="I181">
            <v>404</v>
          </cell>
          <cell r="J181">
            <v>0</v>
          </cell>
          <cell r="K181">
            <v>0</v>
          </cell>
          <cell r="L181">
            <v>404</v>
          </cell>
          <cell r="M181">
            <v>0</v>
          </cell>
          <cell r="N181">
            <v>0</v>
          </cell>
          <cell r="O181">
            <v>404</v>
          </cell>
          <cell r="P181" t="str">
            <v>金額</v>
          </cell>
          <cell r="Q181">
            <v>0</v>
          </cell>
          <cell r="R181">
            <v>320160</v>
          </cell>
          <cell r="S181">
            <v>0</v>
          </cell>
          <cell r="T181">
            <v>0</v>
          </cell>
          <cell r="U181">
            <v>320160</v>
          </cell>
          <cell r="V181">
            <v>0</v>
          </cell>
          <cell r="W181">
            <v>0</v>
          </cell>
          <cell r="X181">
            <v>320160</v>
          </cell>
          <cell r="Y181" t="str">
            <v xml:space="preserve"> </v>
          </cell>
        </row>
        <row r="182">
          <cell r="E182" t="str">
            <v>ラジエタキャップ</v>
          </cell>
          <cell r="F182" t="str">
            <v>PX914</v>
          </cell>
          <cell r="G182" t="str">
            <v>数量</v>
          </cell>
          <cell r="H182">
            <v>0</v>
          </cell>
          <cell r="I182">
            <v>8467</v>
          </cell>
          <cell r="J182">
            <v>0</v>
          </cell>
          <cell r="K182">
            <v>0</v>
          </cell>
          <cell r="L182">
            <v>8467</v>
          </cell>
          <cell r="M182">
            <v>0</v>
          </cell>
          <cell r="N182">
            <v>0</v>
          </cell>
          <cell r="O182">
            <v>8467</v>
          </cell>
          <cell r="P182" t="str">
            <v>金額</v>
          </cell>
          <cell r="Q182">
            <v>0</v>
          </cell>
          <cell r="R182">
            <v>2835270</v>
          </cell>
          <cell r="S182">
            <v>0</v>
          </cell>
          <cell r="T182">
            <v>0</v>
          </cell>
          <cell r="U182">
            <v>2835270</v>
          </cell>
          <cell r="V182">
            <v>0</v>
          </cell>
          <cell r="W182">
            <v>0</v>
          </cell>
          <cell r="X182">
            <v>2835270</v>
          </cell>
          <cell r="Y182" t="str">
            <v xml:space="preserve"> </v>
          </cell>
        </row>
        <row r="183">
          <cell r="E183" t="str">
            <v>セット</v>
          </cell>
          <cell r="F183" t="str">
            <v>PX91501</v>
          </cell>
          <cell r="G183" t="str">
            <v>数量</v>
          </cell>
          <cell r="H183">
            <v>1</v>
          </cell>
          <cell r="I183">
            <v>9</v>
          </cell>
          <cell r="J183">
            <v>0</v>
          </cell>
          <cell r="K183">
            <v>0</v>
          </cell>
          <cell r="L183">
            <v>9</v>
          </cell>
          <cell r="M183">
            <v>0</v>
          </cell>
          <cell r="N183">
            <v>0</v>
          </cell>
          <cell r="O183">
            <v>10</v>
          </cell>
          <cell r="P183" t="str">
            <v>金額</v>
          </cell>
          <cell r="Q183">
            <v>107900</v>
          </cell>
          <cell r="R183">
            <v>1013600</v>
          </cell>
          <cell r="S183">
            <v>0</v>
          </cell>
          <cell r="T183">
            <v>0</v>
          </cell>
          <cell r="U183">
            <v>1013600</v>
          </cell>
          <cell r="V183">
            <v>0</v>
          </cell>
          <cell r="W183">
            <v>0</v>
          </cell>
          <cell r="X183">
            <v>1121500</v>
          </cell>
          <cell r="Y183" t="str">
            <v xml:space="preserve"> </v>
          </cell>
        </row>
        <row r="184">
          <cell r="E184" t="str">
            <v>単品</v>
          </cell>
          <cell r="F184" t="str">
            <v>PX91502</v>
          </cell>
          <cell r="G184" t="str">
            <v>数量</v>
          </cell>
          <cell r="H184">
            <v>0</v>
          </cell>
          <cell r="I184">
            <v>16</v>
          </cell>
          <cell r="J184">
            <v>0</v>
          </cell>
          <cell r="K184">
            <v>0</v>
          </cell>
          <cell r="L184">
            <v>16</v>
          </cell>
          <cell r="M184">
            <v>0</v>
          </cell>
          <cell r="N184">
            <v>0</v>
          </cell>
          <cell r="O184">
            <v>16</v>
          </cell>
          <cell r="P184" t="str">
            <v>金額</v>
          </cell>
          <cell r="Q184">
            <v>0</v>
          </cell>
          <cell r="R184">
            <v>388300</v>
          </cell>
          <cell r="S184">
            <v>0</v>
          </cell>
          <cell r="T184">
            <v>0</v>
          </cell>
          <cell r="U184">
            <v>388300</v>
          </cell>
          <cell r="V184">
            <v>0</v>
          </cell>
          <cell r="W184">
            <v>0</v>
          </cell>
          <cell r="X184">
            <v>388300</v>
          </cell>
          <cell r="Y184" t="str">
            <v xml:space="preserve"> </v>
          </cell>
        </row>
        <row r="185">
          <cell r="E185" t="str">
            <v>ＡＦ－ブーストＭ</v>
          </cell>
          <cell r="F185" t="str">
            <v>PX915</v>
          </cell>
          <cell r="G185" t="str">
            <v>数量</v>
          </cell>
          <cell r="H185">
            <v>1</v>
          </cell>
          <cell r="I185">
            <v>25</v>
          </cell>
          <cell r="J185">
            <v>0</v>
          </cell>
          <cell r="K185">
            <v>0</v>
          </cell>
          <cell r="L185">
            <v>25</v>
          </cell>
          <cell r="M185">
            <v>0</v>
          </cell>
          <cell r="N185">
            <v>0</v>
          </cell>
          <cell r="O185">
            <v>26</v>
          </cell>
          <cell r="P185" t="str">
            <v>金額</v>
          </cell>
          <cell r="Q185">
            <v>107900</v>
          </cell>
          <cell r="R185">
            <v>1401900</v>
          </cell>
          <cell r="S185">
            <v>0</v>
          </cell>
          <cell r="T185">
            <v>0</v>
          </cell>
          <cell r="U185">
            <v>1401900</v>
          </cell>
          <cell r="V185">
            <v>0</v>
          </cell>
          <cell r="W185">
            <v>0</v>
          </cell>
          <cell r="X185">
            <v>1509800</v>
          </cell>
          <cell r="Y185" t="str">
            <v xml:space="preserve"> </v>
          </cell>
        </row>
        <row r="186">
          <cell r="E186" t="str">
            <v>仕入商品</v>
          </cell>
          <cell r="F186" t="str">
            <v>PX9</v>
          </cell>
          <cell r="G186" t="str">
            <v>数量</v>
          </cell>
          <cell r="H186">
            <v>1</v>
          </cell>
          <cell r="I186">
            <v>61493</v>
          </cell>
          <cell r="J186">
            <v>150</v>
          </cell>
          <cell r="K186">
            <v>6566</v>
          </cell>
          <cell r="L186">
            <v>68209</v>
          </cell>
          <cell r="M186">
            <v>1000</v>
          </cell>
          <cell r="N186">
            <v>0</v>
          </cell>
          <cell r="O186">
            <v>69210</v>
          </cell>
          <cell r="P186" t="str">
            <v>金額</v>
          </cell>
          <cell r="Q186">
            <v>107900</v>
          </cell>
          <cell r="R186">
            <v>50229730</v>
          </cell>
          <cell r="S186">
            <v>88040</v>
          </cell>
          <cell r="T186">
            <v>2192240</v>
          </cell>
          <cell r="U186">
            <v>52510010</v>
          </cell>
          <cell r="V186">
            <v>321000</v>
          </cell>
          <cell r="W186">
            <v>0</v>
          </cell>
          <cell r="X186">
            <v>52938910</v>
          </cell>
          <cell r="Y186" t="str">
            <v xml:space="preserve"> </v>
          </cell>
        </row>
        <row r="187">
          <cell r="E187" t="str">
            <v>関連品</v>
          </cell>
          <cell r="F187" t="str">
            <v>PX</v>
          </cell>
          <cell r="G187" t="str">
            <v>数量</v>
          </cell>
          <cell r="H187">
            <v>576689</v>
          </cell>
          <cell r="I187">
            <v>97189</v>
          </cell>
          <cell r="J187">
            <v>158</v>
          </cell>
          <cell r="K187">
            <v>40244</v>
          </cell>
          <cell r="L187">
            <v>137591</v>
          </cell>
          <cell r="M187">
            <v>8536212</v>
          </cell>
          <cell r="N187">
            <v>7112854</v>
          </cell>
          <cell r="O187">
            <v>9250492</v>
          </cell>
          <cell r="P187" t="str">
            <v>金額</v>
          </cell>
          <cell r="Q187">
            <v>663164795</v>
          </cell>
          <cell r="R187">
            <v>117200797</v>
          </cell>
          <cell r="S187">
            <v>107040</v>
          </cell>
          <cell r="T187">
            <v>52871217</v>
          </cell>
          <cell r="U187">
            <v>170179054</v>
          </cell>
          <cell r="V187">
            <v>3201161443</v>
          </cell>
          <cell r="W187">
            <v>2684133905</v>
          </cell>
          <cell r="X187">
            <v>4034505292</v>
          </cell>
          <cell r="Y187" t="str">
            <v xml:space="preserve"> </v>
          </cell>
        </row>
        <row r="188">
          <cell r="F188" t="str">
            <v xml:space="preserve"> </v>
          </cell>
          <cell r="G188" t="str">
            <v>数量</v>
          </cell>
          <cell r="H188">
            <v>5630630</v>
          </cell>
          <cell r="I188">
            <v>1004130</v>
          </cell>
          <cell r="J188">
            <v>3647</v>
          </cell>
          <cell r="K188">
            <v>2131263</v>
          </cell>
          <cell r="L188">
            <v>3139040</v>
          </cell>
          <cell r="M188">
            <v>72277594</v>
          </cell>
          <cell r="N188">
            <v>14529912</v>
          </cell>
          <cell r="O188">
            <v>81047264</v>
          </cell>
          <cell r="P188" t="str">
            <v>金額</v>
          </cell>
          <cell r="Q188">
            <v>1231137389</v>
          </cell>
          <cell r="R188">
            <v>394639766</v>
          </cell>
          <cell r="S188">
            <v>962267</v>
          </cell>
          <cell r="T188">
            <v>549351440</v>
          </cell>
          <cell r="U188">
            <v>944953473</v>
          </cell>
          <cell r="V188">
            <v>6200752680</v>
          </cell>
          <cell r="W188">
            <v>3169210610</v>
          </cell>
          <cell r="X188">
            <v>8376843542</v>
          </cell>
          <cell r="Y188" t="str">
            <v xml:space="preserve"> 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設備投資詳細"/>
      <sheetName val="設備追加時のテンプレート"/>
      <sheetName val="リスト"/>
      <sheetName val="データ移植時の注意"/>
      <sheetName val="★記入時注意事項"/>
      <sheetName val="CODE-NAME"/>
      <sheetName val="COA"/>
      <sheetName val="Group Section"/>
      <sheetName val="ｺﾋﾟｰ用（直セ）"/>
      <sheetName val="ｺﾋﾟｰ用（海プ）"/>
      <sheetName val="ｺﾋﾟｰ用（全社）"/>
      <sheetName val="SJEXCE"/>
      <sheetName val="生産進捗表（機械別）（サンプル）"/>
      <sheetName val="Total"/>
      <sheetName val="BEX"/>
      <sheetName val="BIP CIP"/>
      <sheetName val="3165-00"/>
      <sheetName val="sheet1"/>
      <sheetName val="G8D Report"/>
    </sheetNames>
    <sheetDataSet>
      <sheetData sheetId="0" refreshError="1"/>
      <sheetData sheetId="1" refreshError="1"/>
      <sheetData sheetId="2" refreshError="1">
        <row r="1">
          <cell r="C1" t="str">
            <v>サポート_アプリ</v>
          </cell>
        </row>
        <row r="2">
          <cell r="C2" t="str">
            <v>サポート_Steinberg</v>
          </cell>
        </row>
        <row r="3">
          <cell r="C3" t="str">
            <v>サポート_商品開発推進室経費</v>
          </cell>
        </row>
        <row r="4">
          <cell r="C4" t="str">
            <v>技術開発_アンプ音質_SW電源</v>
          </cell>
        </row>
        <row r="5">
          <cell r="C5" t="str">
            <v>CA Series II in US_CMS8</v>
          </cell>
        </row>
        <row r="6">
          <cell r="C6" t="str">
            <v>技術開発_DSP8</v>
          </cell>
        </row>
        <row r="7">
          <cell r="C7" t="str">
            <v>技術開発_Atlantic UI</v>
          </cell>
        </row>
        <row r="8">
          <cell r="C8" t="str">
            <v>技術開発_技術開発G経費</v>
          </cell>
        </row>
        <row r="9">
          <cell r="C9" t="str">
            <v>_PM5D</v>
          </cell>
        </row>
        <row r="10">
          <cell r="C10" t="str">
            <v>_PM5D-RH</v>
          </cell>
        </row>
        <row r="11">
          <cell r="C11" t="str">
            <v>PC-L SERIES_PC2000L</v>
          </cell>
        </row>
        <row r="12">
          <cell r="C12" t="str">
            <v>PC-L SERIES_PC3000L</v>
          </cell>
        </row>
        <row r="13">
          <cell r="C13" t="str">
            <v>PC-L SERIES_PC4000L</v>
          </cell>
        </row>
        <row r="14">
          <cell r="C14" t="str">
            <v>PC-L SERIES_PC5500L</v>
          </cell>
        </row>
        <row r="15">
          <cell r="C15" t="str">
            <v>PC-L SERIES_PC7000L</v>
          </cell>
        </row>
        <row r="16">
          <cell r="C16" t="str">
            <v>PC-N SERIES Additional models_PC2000N</v>
          </cell>
        </row>
        <row r="17">
          <cell r="C17" t="str">
            <v>PC-N SERIES Additional models_PC3300N</v>
          </cell>
        </row>
        <row r="18">
          <cell r="C18" t="str">
            <v>PC-N SERIES Additional models_PC6500N</v>
          </cell>
        </row>
        <row r="19">
          <cell r="C19" t="str">
            <v>CA Series I in US_CA315/95/64</v>
          </cell>
        </row>
        <row r="20">
          <cell r="C20" t="str">
            <v>CA Series I in US_CA300/95/64</v>
          </cell>
        </row>
        <row r="21">
          <cell r="C21" t="str">
            <v>CA Series I in US_CA212H/95/64/99</v>
          </cell>
        </row>
        <row r="22">
          <cell r="C22" t="str">
            <v>CA Series I in US_CA212H/AS</v>
          </cell>
        </row>
        <row r="23">
          <cell r="C23" t="str">
            <v>CA Series I in US_CA215H/95/64/99</v>
          </cell>
        </row>
        <row r="24">
          <cell r="C24" t="str">
            <v>CA Series I in US_CA215H/AS</v>
          </cell>
        </row>
        <row r="25">
          <cell r="C25" t="str">
            <v>CA Series I in US_CA228</v>
          </cell>
        </row>
        <row r="26">
          <cell r="C26" t="str">
            <v>CA Series I in US_CA208</v>
          </cell>
        </row>
        <row r="27">
          <cell r="C27" t="str">
            <v>CA Series I in US_CA224</v>
          </cell>
        </row>
        <row r="28">
          <cell r="C28" t="str">
            <v>CA Series I in US_SW215</v>
          </cell>
        </row>
        <row r="29">
          <cell r="C29" t="str">
            <v>CA Series I in US_SW225</v>
          </cell>
        </row>
        <row r="30">
          <cell r="C30" t="str">
            <v>CA Series I in US_SW218</v>
          </cell>
        </row>
        <row r="31">
          <cell r="C31" t="str">
            <v>CA Series I in US_SW228</v>
          </cell>
        </row>
        <row r="32">
          <cell r="C32" t="str">
            <v>CA Series I in US_CA212/95/64/99</v>
          </cell>
        </row>
        <row r="33">
          <cell r="C33" t="str">
            <v>CA Series I in US_CA215/95/64/99</v>
          </cell>
        </row>
        <row r="34">
          <cell r="C34" t="str">
            <v>CA Series I in US_CAスピーカ金具</v>
          </cell>
        </row>
        <row r="35">
          <cell r="C35" t="str">
            <v>MONACO_MONACO 32ch</v>
          </cell>
        </row>
        <row r="36">
          <cell r="C36" t="str">
            <v>MONACO_MONACO 48ch</v>
          </cell>
        </row>
        <row r="37">
          <cell r="C37" t="str">
            <v>_DA824/96</v>
          </cell>
        </row>
        <row r="38">
          <cell r="C38" t="str">
            <v>_Talisman-C</v>
          </cell>
        </row>
        <row r="39">
          <cell r="C39" t="str">
            <v>_Talisman-SP</v>
          </cell>
        </row>
        <row r="40">
          <cell r="C40" t="str">
            <v>CA Series I in Eu and Japan_</v>
          </cell>
        </row>
        <row r="41">
          <cell r="C41" t="str">
            <v>CA Series II_</v>
          </cell>
        </row>
        <row r="42">
          <cell r="C42" t="str">
            <v>_MY8-ADDA</v>
          </cell>
        </row>
        <row r="43">
          <cell r="C43" t="str">
            <v>_TALISMAN Add Soft 1</v>
          </cell>
        </row>
        <row r="44">
          <cell r="C44" t="str">
            <v>_TALISMAN Add Soft 2</v>
          </cell>
        </row>
        <row r="45">
          <cell r="C45" t="str">
            <v>_Vegas3000 V2.0K</v>
          </cell>
        </row>
        <row r="46">
          <cell r="C46" t="str">
            <v>_DME64N</v>
          </cell>
        </row>
        <row r="47">
          <cell r="C47" t="str">
            <v>_DME24N</v>
          </cell>
        </row>
        <row r="48">
          <cell r="C48" t="str">
            <v>XM SERIES_XM4080</v>
          </cell>
        </row>
        <row r="49">
          <cell r="C49" t="str">
            <v>XM SERIES_XM4180</v>
          </cell>
        </row>
        <row r="50">
          <cell r="C50" t="str">
            <v>_AE041</v>
          </cell>
        </row>
        <row r="51">
          <cell r="C51" t="str">
            <v>_AE051</v>
          </cell>
        </row>
        <row r="52">
          <cell r="C52" t="str">
            <v>XH SERIES_XH180</v>
          </cell>
        </row>
        <row r="53">
          <cell r="C53" t="str">
            <v>_CP1SF</v>
          </cell>
        </row>
        <row r="54">
          <cell r="C54" t="str">
            <v>_CP4SF</v>
          </cell>
        </row>
        <row r="55">
          <cell r="C55" t="str">
            <v>_CP4SW</v>
          </cell>
        </row>
        <row r="56">
          <cell r="C56" t="str">
            <v>_ICP1</v>
          </cell>
        </row>
        <row r="57">
          <cell r="C57" t="str">
            <v>PC-N SERIES Additional models_PC9500N-II</v>
          </cell>
        </row>
        <row r="58">
          <cell r="C58" t="str">
            <v>PC-N SERIES Additional models_PC4800N-II</v>
          </cell>
        </row>
        <row r="59">
          <cell r="C59" t="str">
            <v>_AD8C</v>
          </cell>
        </row>
        <row r="60">
          <cell r="C60" t="str">
            <v>_DA8C</v>
          </cell>
        </row>
        <row r="61">
          <cell r="C61" t="str">
            <v>_ADA44C</v>
          </cell>
        </row>
        <row r="62">
          <cell r="C62" t="str">
            <v>miniYGDAI Series_MY8-AEBB</v>
          </cell>
        </row>
        <row r="63">
          <cell r="C63" t="str">
            <v>_ACOU</v>
          </cell>
        </row>
        <row r="64">
          <cell r="C64" t="str">
            <v>_GPI16N</v>
          </cell>
        </row>
        <row r="65">
          <cell r="C65" t="str">
            <v>PM1D_PM1D V2</v>
          </cell>
        </row>
        <row r="66">
          <cell r="C66" t="str">
            <v>MONACO_MONACO V2</v>
          </cell>
        </row>
        <row r="67">
          <cell r="C67" t="str">
            <v>DMM Series_DMM48</v>
          </cell>
        </row>
        <row r="68">
          <cell r="C68" t="str">
            <v>DMM Series_W-DMM</v>
          </cell>
        </row>
        <row r="69">
          <cell r="C69" t="str">
            <v>DMM Series_DMM-Rack</v>
          </cell>
        </row>
        <row r="70">
          <cell r="C70" t="str">
            <v>SR SERIES_PC12000H</v>
          </cell>
        </row>
        <row r="71">
          <cell r="C71" t="str">
            <v>SR SERIES_PC8000H</v>
          </cell>
        </row>
        <row r="72">
          <cell r="C72" t="str">
            <v>SR SERIES_PC5000H</v>
          </cell>
        </row>
        <row r="73">
          <cell r="C73" t="str">
            <v>SR SERIES_PC3000H</v>
          </cell>
        </row>
        <row r="74">
          <cell r="C74" t="str">
            <v>CA Series I in US_UB212(W)</v>
          </cell>
        </row>
        <row r="75">
          <cell r="C75" t="str">
            <v>CA Series I in US_UB212AS(W)</v>
          </cell>
        </row>
        <row r="76">
          <cell r="C76" t="str">
            <v>CA Series I in US_UB215(W)</v>
          </cell>
        </row>
        <row r="77">
          <cell r="C77" t="str">
            <v>CA Series I in US_UB215AS(W)</v>
          </cell>
        </row>
        <row r="78">
          <cell r="C78" t="str">
            <v>CA Series I in US_UB300(W)</v>
          </cell>
        </row>
        <row r="79">
          <cell r="C79" t="str">
            <v>CA Series I in US_UB228(W)</v>
          </cell>
        </row>
        <row r="80">
          <cell r="C80" t="str">
            <v>CA Series I in US_UB208(W)</v>
          </cell>
        </row>
        <row r="81">
          <cell r="C81" t="str">
            <v>CA Series I in US_UB224(W)</v>
          </cell>
        </row>
        <row r="82">
          <cell r="C82" t="str">
            <v>CA Series I in US_HAF2-212(W)</v>
          </cell>
        </row>
        <row r="83">
          <cell r="C83" t="str">
            <v>CA Series I in US_HAF2-215(W)</v>
          </cell>
        </row>
        <row r="84">
          <cell r="C84" t="str">
            <v>CA Series I in US_HAF2-315(W)</v>
          </cell>
        </row>
        <row r="85">
          <cell r="C85" t="str">
            <v>CA Series I in US_HAF3-212(W)</v>
          </cell>
        </row>
        <row r="86">
          <cell r="C86" t="str">
            <v>CA Series I in US_HAF3-215(W)</v>
          </cell>
        </row>
        <row r="87">
          <cell r="C87" t="str">
            <v>CA Series I in US_HAF3-315(W)</v>
          </cell>
        </row>
        <row r="88">
          <cell r="C88" t="str">
            <v>CA Series I in US_HAF3-18S(W)</v>
          </cell>
        </row>
        <row r="89">
          <cell r="C89" t="str">
            <v>CA Series I in US_VAF2-212(W)</v>
          </cell>
        </row>
        <row r="90">
          <cell r="C90" t="str">
            <v>_MB-MONACO</v>
          </cell>
        </row>
        <row r="91">
          <cell r="C91" t="str">
            <v>_PSL360</v>
          </cell>
        </row>
        <row r="92">
          <cell r="C92" t="str">
            <v>Waves_Y96K</v>
          </cell>
        </row>
        <row r="93">
          <cell r="C93" t="str">
            <v>技術開発_SR Series AMP</v>
          </cell>
        </row>
        <row r="94">
          <cell r="C94" t="str">
            <v>技術開発_DSPX</v>
          </cell>
        </row>
        <row r="95">
          <cell r="C95" t="str">
            <v>技術開発_CA Network</v>
          </cell>
        </row>
        <row r="96">
          <cell r="C96" t="str">
            <v>CA Series I in US_VAF2-215(W)</v>
          </cell>
        </row>
        <row r="97">
          <cell r="C97" t="str">
            <v>CA Series I in US_VAF2-315(W)</v>
          </cell>
        </row>
        <row r="98">
          <cell r="C98" t="str">
            <v>CA Series II in US_CMS4</v>
          </cell>
        </row>
        <row r="99">
          <cell r="C99" t="str">
            <v>CA Series II in US_CMS5</v>
          </cell>
        </row>
        <row r="100">
          <cell r="C100" t="str">
            <v>CA Series II in US_CMS6</v>
          </cell>
        </row>
        <row r="101">
          <cell r="C101" t="str">
            <v>CA Series II in US_CSW8</v>
          </cell>
        </row>
        <row r="102">
          <cell r="C102" t="str">
            <v>CA Series II in US_SMS4</v>
          </cell>
        </row>
        <row r="103">
          <cell r="C103" t="str">
            <v>CA Series II in US_SMS5</v>
          </cell>
        </row>
        <row r="104">
          <cell r="C104" t="str">
            <v>CA Series II in US_SMS6</v>
          </cell>
        </row>
        <row r="105">
          <cell r="C105" t="str">
            <v>miniYGDAI Series_MY16-C II</v>
          </cell>
        </row>
        <row r="106">
          <cell r="C106" t="str">
            <v>DME_Software Update</v>
          </cell>
        </row>
        <row r="107">
          <cell r="C107" t="str">
            <v>Pegasus_Base Frame</v>
          </cell>
        </row>
        <row r="108">
          <cell r="C108" t="str">
            <v>Pegasus_DSPX</v>
          </cell>
        </row>
        <row r="109">
          <cell r="C109" t="str">
            <v>Pegasus_CA Network</v>
          </cell>
        </row>
        <row r="110">
          <cell r="C110" t="str">
            <v>Pegasus_COM</v>
          </cell>
        </row>
        <row r="111">
          <cell r="C111" t="str">
            <v>Pegasus_AI4</v>
          </cell>
        </row>
        <row r="112">
          <cell r="C112" t="str">
            <v>Pegasus_AO4</v>
          </cell>
        </row>
        <row r="113">
          <cell r="C113" t="str">
            <v>Pegasus_AI8</v>
          </cell>
        </row>
        <row r="114">
          <cell r="C114" t="str">
            <v>Pegasus_AO8</v>
          </cell>
        </row>
        <row r="115">
          <cell r="C115" t="str">
            <v>Pegasus_AI4-e</v>
          </cell>
        </row>
        <row r="116">
          <cell r="C116" t="str">
            <v>Pegasus_AO4-e</v>
          </cell>
        </row>
        <row r="117">
          <cell r="C117" t="str">
            <v>Pegasus_AI8-e</v>
          </cell>
        </row>
        <row r="118">
          <cell r="C118" t="str">
            <v>Pegasus_AO8-e</v>
          </cell>
        </row>
        <row r="119">
          <cell r="C119" t="str">
            <v>Pegasus_AIO8-e</v>
          </cell>
        </row>
        <row r="120">
          <cell r="C120" t="str">
            <v>Pegasus_AES/EBU</v>
          </cell>
        </row>
        <row r="121">
          <cell r="C121" t="str">
            <v>Pegasus_CobraNet</v>
          </cell>
        </row>
        <row r="122">
          <cell r="C122" t="str">
            <v>Pegasus_System Designer</v>
          </cell>
        </row>
        <row r="123">
          <cell r="C123" t="str">
            <v>Pegasus_Router512x512</v>
          </cell>
        </row>
        <row r="124">
          <cell r="C124" t="str">
            <v>Pegasus_Router256x256</v>
          </cell>
        </row>
        <row r="125">
          <cell r="C125" t="str">
            <v>Pegasus_Router128x128</v>
          </cell>
        </row>
        <row r="126">
          <cell r="C126" t="str">
            <v>Pegasus_Router64x64</v>
          </cell>
        </row>
        <row r="127">
          <cell r="C127" t="str">
            <v>Pegasus_Digital Snake A</v>
          </cell>
        </row>
        <row r="128">
          <cell r="C128" t="str">
            <v>Pegasus_Digital Snake B</v>
          </cell>
        </row>
        <row r="129">
          <cell r="C129" t="str">
            <v>Pegasus_DME256</v>
          </cell>
        </row>
        <row r="130">
          <cell r="C130" t="str">
            <v>Pegasus_PM2D-192</v>
          </cell>
        </row>
        <row r="131">
          <cell r="C131" t="str">
            <v>Pegasus_PM2D-96</v>
          </cell>
        </row>
        <row r="132">
          <cell r="C132" t="str">
            <v>Pegasus_PM7D</v>
          </cell>
        </row>
        <row r="133">
          <cell r="C133" t="str">
            <v>Pegasus_DM5000</v>
          </cell>
        </row>
        <row r="134">
          <cell r="C134" t="str">
            <v>Pegasus_SHARC</v>
          </cell>
        </row>
        <row r="135">
          <cell r="C135" t="str">
            <v>Pegasus_GPI</v>
          </cell>
        </row>
        <row r="136">
          <cell r="C136" t="str">
            <v>Pegasus_MADI</v>
          </cell>
        </row>
        <row r="137">
          <cell r="C137" t="str">
            <v>Pegasus_EtherSound</v>
          </cell>
        </row>
        <row r="138">
          <cell r="C138" t="str">
            <v>Pegasus_AVIOM</v>
          </cell>
        </row>
        <row r="139">
          <cell r="C139" t="str">
            <v>Pegasus_SuperMac</v>
          </cell>
        </row>
        <row r="140">
          <cell r="C140" t="str">
            <v>Pegasus_Condole PM2D</v>
          </cell>
        </row>
        <row r="141">
          <cell r="C141" t="str">
            <v>Pegasus_Condole PM7D</v>
          </cell>
        </row>
        <row r="142">
          <cell r="C142" t="str">
            <v>Pegasus_Condole DM5000</v>
          </cell>
        </row>
        <row r="143">
          <cell r="C143" t="str">
            <v>サポート_アプリ183</v>
          </cell>
        </row>
        <row r="144">
          <cell r="C144" t="str">
            <v>サポート_Steinberg183</v>
          </cell>
        </row>
        <row r="145">
          <cell r="C145" t="str">
            <v>サポート_アプリ184</v>
          </cell>
        </row>
        <row r="146">
          <cell r="C146" t="str">
            <v>サポート_Steinberg184</v>
          </cell>
        </row>
        <row r="147">
          <cell r="C147" t="str">
            <v>_SP2060</v>
          </cell>
        </row>
        <row r="148">
          <cell r="C148" t="str">
            <v>_</v>
          </cell>
        </row>
        <row r="149">
          <cell r="C149" t="str">
            <v>_</v>
          </cell>
        </row>
        <row r="150">
          <cell r="C150" t="str">
            <v>_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>
        <row r="1">
          <cell r="C1" t="str">
            <v>Section Code (From)</v>
          </cell>
        </row>
      </sheetData>
      <sheetData sheetId="16"/>
      <sheetData sheetId="17" refreshError="1"/>
      <sheetData sheetId="1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報告まとめ・０５"/>
      <sheetName val="支援計画・０５"/>
      <sheetName val="報告まとめ・０４"/>
      <sheetName val="計算シート"/>
      <sheetName val="2000_05PCD"/>
      <sheetName val="2000_05ACC"/>
      <sheetName val="2000_04PCD"/>
      <sheetName val="2000_04ACC"/>
      <sheetName val="CLAVINOVA &amp; EL_05"/>
      <sheetName val="Portable Keyboard_05"/>
      <sheetName val="CLAVINOVA &amp; EL_04"/>
      <sheetName val="Portable Keyboard_04"/>
      <sheetName val="在籍４月"/>
      <sheetName val="支援計画・０４"/>
      <sheetName val="2000予算"/>
      <sheetName val="2000_03ACC"/>
      <sheetName val="2000_02ACC"/>
      <sheetName val="2000_01ACC"/>
      <sheetName val="2000_03PCD"/>
      <sheetName val="2000_02PCD"/>
      <sheetName val="2000_01PCD"/>
      <sheetName val="在籍３月"/>
      <sheetName val="CODE-NAME"/>
      <sheetName val="リスト"/>
      <sheetName val="ｺﾋﾟｰ用（直セ）"/>
      <sheetName val="ｺﾋﾟｰ用（海プ）"/>
      <sheetName val="ｺﾋﾟｰ用（全社）"/>
      <sheetName val="出力②"/>
      <sheetName val="グラフ用"/>
      <sheetName val="Total"/>
      <sheetName val="BEX"/>
      <sheetName val="BIP CI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4">
          <cell r="F4" t="str">
            <v>到着</v>
          </cell>
          <cell r="G4" t="str">
            <v>出発</v>
          </cell>
          <cell r="J4">
            <v>36586</v>
          </cell>
          <cell r="K4">
            <v>36587</v>
          </cell>
          <cell r="L4">
            <v>36588</v>
          </cell>
          <cell r="M4">
            <v>36589</v>
          </cell>
          <cell r="N4">
            <v>36590</v>
          </cell>
          <cell r="O4">
            <v>36591</v>
          </cell>
          <cell r="P4">
            <v>36592</v>
          </cell>
          <cell r="Q4">
            <v>36593</v>
          </cell>
          <cell r="R4">
            <v>36594</v>
          </cell>
          <cell r="S4">
            <v>36595</v>
          </cell>
          <cell r="T4">
            <v>36596</v>
          </cell>
          <cell r="U4">
            <v>36597</v>
          </cell>
          <cell r="V4">
            <v>36598</v>
          </cell>
          <cell r="W4">
            <v>36599</v>
          </cell>
          <cell r="X4">
            <v>36600</v>
          </cell>
          <cell r="Y4">
            <v>36601</v>
          </cell>
          <cell r="Z4">
            <v>36602</v>
          </cell>
          <cell r="AA4">
            <v>36603</v>
          </cell>
          <cell r="AB4">
            <v>36604</v>
          </cell>
          <cell r="AC4">
            <v>36605</v>
          </cell>
          <cell r="AD4">
            <v>36606</v>
          </cell>
          <cell r="AE4">
            <v>36607</v>
          </cell>
          <cell r="AF4">
            <v>36608</v>
          </cell>
          <cell r="AG4">
            <v>36609</v>
          </cell>
          <cell r="AH4">
            <v>36610</v>
          </cell>
          <cell r="AI4">
            <v>36611</v>
          </cell>
          <cell r="AJ4">
            <v>36612</v>
          </cell>
          <cell r="AK4">
            <v>36613</v>
          </cell>
          <cell r="AL4">
            <v>36614</v>
          </cell>
          <cell r="AM4">
            <v>36615</v>
          </cell>
          <cell r="AN4">
            <v>36616</v>
          </cell>
          <cell r="AO4">
            <v>36617</v>
          </cell>
          <cell r="AP4">
            <v>36618</v>
          </cell>
          <cell r="AQ4">
            <v>36619</v>
          </cell>
          <cell r="AR4">
            <v>36620</v>
          </cell>
          <cell r="AS4">
            <v>36621</v>
          </cell>
          <cell r="AT4">
            <v>36622</v>
          </cell>
          <cell r="AU4">
            <v>36623</v>
          </cell>
          <cell r="AV4">
            <v>36624</v>
          </cell>
          <cell r="AW4">
            <v>36625</v>
          </cell>
          <cell r="AX4">
            <v>36626</v>
          </cell>
          <cell r="AY4">
            <v>36627</v>
          </cell>
          <cell r="AZ4">
            <v>36628</v>
          </cell>
          <cell r="BA4">
            <v>36629</v>
          </cell>
          <cell r="BB4">
            <v>36630</v>
          </cell>
          <cell r="BC4">
            <v>36631</v>
          </cell>
          <cell r="BD4">
            <v>36632</v>
          </cell>
          <cell r="BE4">
            <v>36633</v>
          </cell>
          <cell r="BF4">
            <v>36634</v>
          </cell>
          <cell r="BG4">
            <v>36635</v>
          </cell>
          <cell r="BH4">
            <v>36636</v>
          </cell>
          <cell r="BI4">
            <v>36637</v>
          </cell>
          <cell r="BJ4">
            <v>36638</v>
          </cell>
          <cell r="BK4">
            <v>36639</v>
          </cell>
          <cell r="BL4">
            <v>36640</v>
          </cell>
          <cell r="BM4">
            <v>36641</v>
          </cell>
          <cell r="BN4">
            <v>36642</v>
          </cell>
          <cell r="BO4">
            <v>36643</v>
          </cell>
          <cell r="BP4">
            <v>36644</v>
          </cell>
          <cell r="BQ4">
            <v>36645</v>
          </cell>
          <cell r="BR4">
            <v>36646</v>
          </cell>
          <cell r="BS4">
            <v>36647</v>
          </cell>
          <cell r="BT4">
            <v>36648</v>
          </cell>
          <cell r="BU4">
            <v>36649</v>
          </cell>
          <cell r="BV4">
            <v>36650</v>
          </cell>
          <cell r="BW4">
            <v>36651</v>
          </cell>
          <cell r="BX4">
            <v>36652</v>
          </cell>
          <cell r="BY4">
            <v>36653</v>
          </cell>
          <cell r="BZ4">
            <v>36654</v>
          </cell>
          <cell r="CA4">
            <v>36655</v>
          </cell>
          <cell r="CB4">
            <v>36656</v>
          </cell>
          <cell r="CC4">
            <v>36657</v>
          </cell>
          <cell r="CD4">
            <v>36658</v>
          </cell>
          <cell r="CE4">
            <v>36659</v>
          </cell>
          <cell r="CF4">
            <v>36660</v>
          </cell>
          <cell r="CG4">
            <v>36661</v>
          </cell>
          <cell r="CH4">
            <v>36662</v>
          </cell>
          <cell r="CI4">
            <v>36663</v>
          </cell>
          <cell r="CJ4">
            <v>36664</v>
          </cell>
          <cell r="CK4">
            <v>36665</v>
          </cell>
          <cell r="CL4">
            <v>36666</v>
          </cell>
          <cell r="CM4">
            <v>36667</v>
          </cell>
          <cell r="CN4">
            <v>36668</v>
          </cell>
          <cell r="CO4">
            <v>36669</v>
          </cell>
          <cell r="CP4">
            <v>36670</v>
          </cell>
          <cell r="CQ4">
            <v>36671</v>
          </cell>
          <cell r="CR4">
            <v>36672</v>
          </cell>
          <cell r="CS4">
            <v>36673</v>
          </cell>
          <cell r="CT4">
            <v>36674</v>
          </cell>
          <cell r="CU4">
            <v>36675</v>
          </cell>
          <cell r="CV4">
            <v>36676</v>
          </cell>
          <cell r="CW4">
            <v>36677</v>
          </cell>
        </row>
        <row r="5">
          <cell r="F5">
            <v>36543</v>
          </cell>
          <cell r="G5">
            <v>36601</v>
          </cell>
        </row>
        <row r="6">
          <cell r="F6">
            <v>36579</v>
          </cell>
          <cell r="G6">
            <v>36602</v>
          </cell>
        </row>
        <row r="7">
          <cell r="F7">
            <v>36586</v>
          </cell>
          <cell r="G7">
            <v>36595</v>
          </cell>
        </row>
        <row r="8">
          <cell r="F8">
            <v>36605</v>
          </cell>
          <cell r="G8">
            <v>36644</v>
          </cell>
        </row>
        <row r="9">
          <cell r="F9">
            <v>36633</v>
          </cell>
          <cell r="G9">
            <v>36679</v>
          </cell>
        </row>
        <row r="10">
          <cell r="F10">
            <v>36647</v>
          </cell>
          <cell r="G10">
            <v>36705</v>
          </cell>
        </row>
        <row r="13">
          <cell r="F13">
            <v>36642</v>
          </cell>
          <cell r="G13">
            <v>36644</v>
          </cell>
        </row>
        <row r="14">
          <cell r="F14">
            <v>36642</v>
          </cell>
          <cell r="G14">
            <v>36644</v>
          </cell>
        </row>
        <row r="17">
          <cell r="F17">
            <v>36640</v>
          </cell>
          <cell r="G17">
            <v>36644</v>
          </cell>
        </row>
        <row r="18">
          <cell r="F18">
            <v>36640</v>
          </cell>
          <cell r="G18">
            <v>36644</v>
          </cell>
        </row>
        <row r="19">
          <cell r="F19">
            <v>36640</v>
          </cell>
          <cell r="G19">
            <v>36644</v>
          </cell>
        </row>
        <row r="20">
          <cell r="F20">
            <v>36667</v>
          </cell>
          <cell r="G20">
            <v>36674</v>
          </cell>
        </row>
        <row r="23">
          <cell r="F23">
            <v>36543</v>
          </cell>
          <cell r="G23">
            <v>36615</v>
          </cell>
        </row>
        <row r="24">
          <cell r="F24">
            <v>36556</v>
          </cell>
          <cell r="G24">
            <v>36602</v>
          </cell>
        </row>
        <row r="25">
          <cell r="F25">
            <v>36640</v>
          </cell>
          <cell r="G25">
            <v>36698</v>
          </cell>
        </row>
        <row r="26">
          <cell r="F26">
            <v>36667</v>
          </cell>
          <cell r="G26">
            <v>36684</v>
          </cell>
        </row>
        <row r="29">
          <cell r="F29">
            <v>36570</v>
          </cell>
          <cell r="G29">
            <v>36644</v>
          </cell>
        </row>
        <row r="30">
          <cell r="F30">
            <v>36654</v>
          </cell>
          <cell r="G30">
            <v>36665</v>
          </cell>
        </row>
        <row r="31">
          <cell r="F31">
            <v>36654</v>
          </cell>
          <cell r="G31">
            <v>36665</v>
          </cell>
        </row>
        <row r="32">
          <cell r="F32">
            <v>36654</v>
          </cell>
          <cell r="G32">
            <v>36686</v>
          </cell>
        </row>
        <row r="33">
          <cell r="F33">
            <v>36661</v>
          </cell>
          <cell r="G33">
            <v>36672</v>
          </cell>
        </row>
        <row r="34">
          <cell r="F34">
            <v>36668</v>
          </cell>
          <cell r="G34">
            <v>36672</v>
          </cell>
        </row>
        <row r="37">
          <cell r="F37">
            <v>36543</v>
          </cell>
          <cell r="G37">
            <v>36594</v>
          </cell>
        </row>
        <row r="38">
          <cell r="F38">
            <v>36543</v>
          </cell>
          <cell r="G38">
            <v>36601</v>
          </cell>
        </row>
        <row r="39">
          <cell r="F39">
            <v>36543</v>
          </cell>
          <cell r="G39">
            <v>36601</v>
          </cell>
        </row>
        <row r="40">
          <cell r="F40">
            <v>36591</v>
          </cell>
          <cell r="G40">
            <v>36644</v>
          </cell>
        </row>
        <row r="41">
          <cell r="F41">
            <v>36605</v>
          </cell>
          <cell r="G41">
            <v>36663</v>
          </cell>
        </row>
        <row r="42">
          <cell r="F42">
            <v>36612</v>
          </cell>
          <cell r="G42">
            <v>36644</v>
          </cell>
        </row>
        <row r="43">
          <cell r="F43">
            <v>36612</v>
          </cell>
          <cell r="G43">
            <v>36670</v>
          </cell>
        </row>
        <row r="44">
          <cell r="F44">
            <v>36640</v>
          </cell>
          <cell r="G44">
            <v>36693</v>
          </cell>
        </row>
        <row r="45">
          <cell r="F45">
            <v>36661</v>
          </cell>
          <cell r="G45">
            <v>36720</v>
          </cell>
        </row>
        <row r="46">
          <cell r="F46">
            <v>36668</v>
          </cell>
          <cell r="G46">
            <v>36727</v>
          </cell>
        </row>
        <row r="49">
          <cell r="F49">
            <v>36654</v>
          </cell>
          <cell r="G49">
            <v>36661</v>
          </cell>
        </row>
        <row r="50">
          <cell r="F50">
            <v>36654</v>
          </cell>
          <cell r="G50">
            <v>36661</v>
          </cell>
        </row>
        <row r="53">
          <cell r="F53">
            <v>36577</v>
          </cell>
          <cell r="G53">
            <v>36596</v>
          </cell>
        </row>
        <row r="54">
          <cell r="F54">
            <v>36593</v>
          </cell>
          <cell r="G54">
            <v>36602</v>
          </cell>
        </row>
        <row r="55">
          <cell r="F55">
            <v>36598</v>
          </cell>
          <cell r="G55">
            <v>36613</v>
          </cell>
        </row>
        <row r="56">
          <cell r="F56">
            <v>36605</v>
          </cell>
          <cell r="G56">
            <v>36616</v>
          </cell>
        </row>
        <row r="57">
          <cell r="F57">
            <v>36606</v>
          </cell>
          <cell r="G57">
            <v>36609</v>
          </cell>
        </row>
        <row r="58">
          <cell r="F58">
            <v>36606</v>
          </cell>
          <cell r="G58">
            <v>36609</v>
          </cell>
        </row>
        <row r="59">
          <cell r="F59">
            <v>36606</v>
          </cell>
          <cell r="G59">
            <v>36616</v>
          </cell>
        </row>
        <row r="60">
          <cell r="F60">
            <v>36633</v>
          </cell>
          <cell r="G60">
            <v>36636</v>
          </cell>
        </row>
        <row r="61">
          <cell r="F61">
            <v>36634</v>
          </cell>
          <cell r="G61">
            <v>36650</v>
          </cell>
        </row>
        <row r="64">
          <cell r="F64">
            <v>36577</v>
          </cell>
          <cell r="G64">
            <v>36596</v>
          </cell>
        </row>
        <row r="65">
          <cell r="F65">
            <v>36606</v>
          </cell>
          <cell r="G65">
            <v>36613</v>
          </cell>
        </row>
        <row r="66">
          <cell r="F66">
            <v>36606</v>
          </cell>
          <cell r="G66">
            <v>36616</v>
          </cell>
        </row>
        <row r="67">
          <cell r="F67">
            <v>36633</v>
          </cell>
          <cell r="G67">
            <v>36636</v>
          </cell>
        </row>
        <row r="68">
          <cell r="F68">
            <v>36661</v>
          </cell>
          <cell r="G68">
            <v>36672</v>
          </cell>
        </row>
        <row r="71">
          <cell r="F71">
            <v>36543</v>
          </cell>
          <cell r="G71">
            <v>36587</v>
          </cell>
        </row>
        <row r="72">
          <cell r="F72">
            <v>36543</v>
          </cell>
          <cell r="G72">
            <v>36594</v>
          </cell>
        </row>
        <row r="73">
          <cell r="F73">
            <v>36543</v>
          </cell>
          <cell r="G73">
            <v>36601</v>
          </cell>
        </row>
        <row r="74">
          <cell r="F74">
            <v>36577</v>
          </cell>
          <cell r="G74">
            <v>36609</v>
          </cell>
        </row>
        <row r="75">
          <cell r="F75">
            <v>36584</v>
          </cell>
          <cell r="G75">
            <v>36595</v>
          </cell>
        </row>
        <row r="76">
          <cell r="F76">
            <v>36598</v>
          </cell>
          <cell r="G76">
            <v>36656</v>
          </cell>
        </row>
        <row r="77">
          <cell r="F77">
            <v>36605</v>
          </cell>
          <cell r="G77">
            <v>36636</v>
          </cell>
        </row>
        <row r="78">
          <cell r="F78">
            <v>36623</v>
          </cell>
          <cell r="G78">
            <v>36644</v>
          </cell>
        </row>
        <row r="79">
          <cell r="F79">
            <v>36623</v>
          </cell>
          <cell r="G79">
            <v>36658</v>
          </cell>
        </row>
        <row r="80">
          <cell r="F80">
            <v>36623</v>
          </cell>
          <cell r="G80">
            <v>36679</v>
          </cell>
        </row>
        <row r="81">
          <cell r="F81">
            <v>36661</v>
          </cell>
          <cell r="G81">
            <v>36672</v>
          </cell>
        </row>
        <row r="82">
          <cell r="F82">
            <v>36668</v>
          </cell>
          <cell r="G82">
            <v>36700</v>
          </cell>
        </row>
        <row r="85">
          <cell r="F85">
            <v>36570</v>
          </cell>
          <cell r="G85">
            <v>36602</v>
          </cell>
        </row>
        <row r="86">
          <cell r="F86">
            <v>36586</v>
          </cell>
          <cell r="G86">
            <v>36616</v>
          </cell>
        </row>
        <row r="87">
          <cell r="F87">
            <v>36598</v>
          </cell>
          <cell r="G87">
            <v>36613</v>
          </cell>
        </row>
        <row r="88">
          <cell r="F88">
            <v>36605</v>
          </cell>
          <cell r="G88">
            <v>36616</v>
          </cell>
        </row>
        <row r="89">
          <cell r="F89">
            <v>36623</v>
          </cell>
          <cell r="G89">
            <v>36665</v>
          </cell>
        </row>
        <row r="92">
          <cell r="F92">
            <v>36543</v>
          </cell>
          <cell r="G92">
            <v>36601</v>
          </cell>
        </row>
        <row r="93">
          <cell r="F93">
            <v>36543</v>
          </cell>
          <cell r="G93">
            <v>36601</v>
          </cell>
        </row>
        <row r="94">
          <cell r="F94">
            <v>36550</v>
          </cell>
          <cell r="G94">
            <v>36601</v>
          </cell>
        </row>
        <row r="95">
          <cell r="F95">
            <v>36598</v>
          </cell>
          <cell r="G95">
            <v>36602</v>
          </cell>
        </row>
        <row r="96">
          <cell r="F96">
            <v>36623</v>
          </cell>
          <cell r="G96">
            <v>36644</v>
          </cell>
        </row>
        <row r="97">
          <cell r="F97">
            <v>36623</v>
          </cell>
          <cell r="G97">
            <v>36644</v>
          </cell>
        </row>
        <row r="98">
          <cell r="F98">
            <v>36628</v>
          </cell>
          <cell r="G98">
            <v>36658</v>
          </cell>
        </row>
        <row r="99">
          <cell r="F99">
            <v>36634</v>
          </cell>
          <cell r="G99">
            <v>36644</v>
          </cell>
        </row>
        <row r="100">
          <cell r="F100">
            <v>36661</v>
          </cell>
          <cell r="G100">
            <v>36721</v>
          </cell>
        </row>
        <row r="101">
          <cell r="F101">
            <v>36668</v>
          </cell>
          <cell r="G101">
            <v>36706</v>
          </cell>
        </row>
        <row r="104">
          <cell r="F104">
            <v>36543</v>
          </cell>
          <cell r="G104">
            <v>36601</v>
          </cell>
        </row>
        <row r="105">
          <cell r="F105">
            <v>36579</v>
          </cell>
          <cell r="G105">
            <v>36616</v>
          </cell>
        </row>
        <row r="106">
          <cell r="F106">
            <v>36586</v>
          </cell>
          <cell r="G106">
            <v>36616</v>
          </cell>
        </row>
        <row r="107">
          <cell r="F107">
            <v>36586</v>
          </cell>
          <cell r="G107">
            <v>36644</v>
          </cell>
        </row>
        <row r="108">
          <cell r="F108">
            <v>36598</v>
          </cell>
          <cell r="G108">
            <v>36644</v>
          </cell>
        </row>
        <row r="109">
          <cell r="F109">
            <v>36642</v>
          </cell>
          <cell r="G109">
            <v>36690</v>
          </cell>
        </row>
        <row r="112">
          <cell r="F112">
            <v>36543</v>
          </cell>
          <cell r="G112">
            <v>36614</v>
          </cell>
        </row>
        <row r="113">
          <cell r="F113">
            <v>36570</v>
          </cell>
          <cell r="G113">
            <v>36630</v>
          </cell>
        </row>
        <row r="114">
          <cell r="F114">
            <v>36623</v>
          </cell>
          <cell r="G114">
            <v>36679</v>
          </cell>
        </row>
        <row r="115">
          <cell r="F115">
            <v>36634</v>
          </cell>
          <cell r="G115">
            <v>36692</v>
          </cell>
        </row>
        <row r="116">
          <cell r="F116">
            <v>36661</v>
          </cell>
          <cell r="G116">
            <v>36700</v>
          </cell>
        </row>
        <row r="117">
          <cell r="F117">
            <v>36675</v>
          </cell>
          <cell r="G117">
            <v>36733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4">
          <cell r="F4" t="str">
            <v>ADM - HR</v>
          </cell>
        </row>
      </sheetData>
      <sheetData sheetId="30"/>
      <sheetData sheetId="3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報告まとめ・０５"/>
      <sheetName val="支援計画・０５"/>
      <sheetName val="報告まとめ・０４"/>
      <sheetName val="計算シート"/>
      <sheetName val="2000_05PCD"/>
      <sheetName val="2000_05ACC"/>
      <sheetName val="2000_04PCD"/>
      <sheetName val="2000_04ACC"/>
      <sheetName val="CLAVINOVA &amp; EL_05"/>
      <sheetName val="Portable Keyboard_05"/>
      <sheetName val="CLAVINOVA &amp; EL_04"/>
      <sheetName val="Portable Keyboard_04"/>
      <sheetName val="在籍４月"/>
      <sheetName val="支援計画・０４"/>
      <sheetName val="2000予算"/>
      <sheetName val="2000_03ACC"/>
      <sheetName val="2000_02ACC"/>
      <sheetName val="2000_01ACC"/>
      <sheetName val="2000_03PCD"/>
      <sheetName val="2000_02PCD"/>
      <sheetName val="2000_01PCD"/>
      <sheetName val="在籍３月"/>
      <sheetName val="CODE-NAME"/>
      <sheetName val="リス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4">
          <cell r="F4" t="str">
            <v>到着</v>
          </cell>
          <cell r="G4" t="str">
            <v>出発</v>
          </cell>
          <cell r="J4">
            <v>36586</v>
          </cell>
          <cell r="K4">
            <v>36587</v>
          </cell>
          <cell r="L4">
            <v>36588</v>
          </cell>
          <cell r="M4">
            <v>36589</v>
          </cell>
          <cell r="N4">
            <v>36590</v>
          </cell>
          <cell r="O4">
            <v>36591</v>
          </cell>
          <cell r="P4">
            <v>36592</v>
          </cell>
          <cell r="Q4">
            <v>36593</v>
          </cell>
          <cell r="R4">
            <v>36594</v>
          </cell>
          <cell r="S4">
            <v>36595</v>
          </cell>
          <cell r="T4">
            <v>36596</v>
          </cell>
          <cell r="U4">
            <v>36597</v>
          </cell>
          <cell r="V4">
            <v>36598</v>
          </cell>
          <cell r="W4">
            <v>36599</v>
          </cell>
          <cell r="X4">
            <v>36600</v>
          </cell>
          <cell r="Y4">
            <v>36601</v>
          </cell>
          <cell r="Z4">
            <v>36602</v>
          </cell>
          <cell r="AA4">
            <v>36603</v>
          </cell>
          <cell r="AB4">
            <v>36604</v>
          </cell>
          <cell r="AC4">
            <v>36605</v>
          </cell>
          <cell r="AD4">
            <v>36606</v>
          </cell>
          <cell r="AE4">
            <v>36607</v>
          </cell>
          <cell r="AF4">
            <v>36608</v>
          </cell>
          <cell r="AG4">
            <v>36609</v>
          </cell>
          <cell r="AH4">
            <v>36610</v>
          </cell>
          <cell r="AI4">
            <v>36611</v>
          </cell>
          <cell r="AJ4">
            <v>36612</v>
          </cell>
          <cell r="AK4">
            <v>36613</v>
          </cell>
          <cell r="AL4">
            <v>36614</v>
          </cell>
          <cell r="AM4">
            <v>36615</v>
          </cell>
          <cell r="AN4">
            <v>36616</v>
          </cell>
          <cell r="AO4">
            <v>36617</v>
          </cell>
          <cell r="AP4">
            <v>36618</v>
          </cell>
          <cell r="AQ4">
            <v>36619</v>
          </cell>
          <cell r="AR4">
            <v>36620</v>
          </cell>
          <cell r="AS4">
            <v>36621</v>
          </cell>
          <cell r="AT4">
            <v>36622</v>
          </cell>
          <cell r="AU4">
            <v>36623</v>
          </cell>
          <cell r="AV4">
            <v>36624</v>
          </cell>
          <cell r="AW4">
            <v>36625</v>
          </cell>
          <cell r="AX4">
            <v>36626</v>
          </cell>
          <cell r="AY4">
            <v>36627</v>
          </cell>
          <cell r="AZ4">
            <v>36628</v>
          </cell>
          <cell r="BA4">
            <v>36629</v>
          </cell>
          <cell r="BB4">
            <v>36630</v>
          </cell>
          <cell r="BC4">
            <v>36631</v>
          </cell>
          <cell r="BD4">
            <v>36632</v>
          </cell>
          <cell r="BE4">
            <v>36633</v>
          </cell>
          <cell r="BF4">
            <v>36634</v>
          </cell>
          <cell r="BG4">
            <v>36635</v>
          </cell>
          <cell r="BH4">
            <v>36636</v>
          </cell>
          <cell r="BI4">
            <v>36637</v>
          </cell>
          <cell r="BJ4">
            <v>36638</v>
          </cell>
          <cell r="BK4">
            <v>36639</v>
          </cell>
          <cell r="BL4">
            <v>36640</v>
          </cell>
          <cell r="BM4">
            <v>36641</v>
          </cell>
          <cell r="BN4">
            <v>36642</v>
          </cell>
          <cell r="BO4">
            <v>36643</v>
          </cell>
          <cell r="BP4">
            <v>36644</v>
          </cell>
          <cell r="BQ4">
            <v>36645</v>
          </cell>
          <cell r="BR4">
            <v>36646</v>
          </cell>
          <cell r="BS4">
            <v>36647</v>
          </cell>
          <cell r="BT4">
            <v>36648</v>
          </cell>
          <cell r="BU4">
            <v>36649</v>
          </cell>
          <cell r="BV4">
            <v>36650</v>
          </cell>
          <cell r="BW4">
            <v>36651</v>
          </cell>
          <cell r="BX4">
            <v>36652</v>
          </cell>
          <cell r="BY4">
            <v>36653</v>
          </cell>
          <cell r="BZ4">
            <v>36654</v>
          </cell>
          <cell r="CA4">
            <v>36655</v>
          </cell>
          <cell r="CB4">
            <v>36656</v>
          </cell>
          <cell r="CC4">
            <v>36657</v>
          </cell>
          <cell r="CD4">
            <v>36658</v>
          </cell>
          <cell r="CE4">
            <v>36659</v>
          </cell>
          <cell r="CF4">
            <v>36660</v>
          </cell>
          <cell r="CG4">
            <v>36661</v>
          </cell>
          <cell r="CH4">
            <v>36662</v>
          </cell>
          <cell r="CI4">
            <v>36663</v>
          </cell>
          <cell r="CJ4">
            <v>36664</v>
          </cell>
          <cell r="CK4">
            <v>36665</v>
          </cell>
          <cell r="CL4">
            <v>36666</v>
          </cell>
          <cell r="CM4">
            <v>36667</v>
          </cell>
          <cell r="CN4">
            <v>36668</v>
          </cell>
          <cell r="CO4">
            <v>36669</v>
          </cell>
          <cell r="CP4">
            <v>36670</v>
          </cell>
          <cell r="CQ4">
            <v>36671</v>
          </cell>
          <cell r="CR4">
            <v>36672</v>
          </cell>
          <cell r="CS4">
            <v>36673</v>
          </cell>
          <cell r="CT4">
            <v>36674</v>
          </cell>
          <cell r="CU4">
            <v>36675</v>
          </cell>
          <cell r="CV4">
            <v>36676</v>
          </cell>
          <cell r="CW4">
            <v>36677</v>
          </cell>
        </row>
        <row r="5">
          <cell r="F5">
            <v>36543</v>
          </cell>
          <cell r="G5">
            <v>36601</v>
          </cell>
        </row>
        <row r="6">
          <cell r="F6">
            <v>36579</v>
          </cell>
          <cell r="G6">
            <v>36602</v>
          </cell>
        </row>
        <row r="7">
          <cell r="F7">
            <v>36586</v>
          </cell>
          <cell r="G7">
            <v>36595</v>
          </cell>
        </row>
        <row r="8">
          <cell r="F8">
            <v>36605</v>
          </cell>
          <cell r="G8">
            <v>36644</v>
          </cell>
        </row>
        <row r="9">
          <cell r="F9">
            <v>36633</v>
          </cell>
          <cell r="G9">
            <v>36679</v>
          </cell>
        </row>
        <row r="10">
          <cell r="F10">
            <v>36647</v>
          </cell>
          <cell r="G10">
            <v>36705</v>
          </cell>
        </row>
        <row r="13">
          <cell r="F13">
            <v>36642</v>
          </cell>
          <cell r="G13">
            <v>36644</v>
          </cell>
        </row>
        <row r="14">
          <cell r="F14">
            <v>36642</v>
          </cell>
          <cell r="G14">
            <v>36644</v>
          </cell>
        </row>
        <row r="17">
          <cell r="F17">
            <v>36640</v>
          </cell>
          <cell r="G17">
            <v>36644</v>
          </cell>
        </row>
        <row r="18">
          <cell r="F18">
            <v>36640</v>
          </cell>
          <cell r="G18">
            <v>36644</v>
          </cell>
        </row>
        <row r="19">
          <cell r="F19">
            <v>36640</v>
          </cell>
          <cell r="G19">
            <v>36644</v>
          </cell>
        </row>
        <row r="20">
          <cell r="F20">
            <v>36667</v>
          </cell>
          <cell r="G20">
            <v>36674</v>
          </cell>
        </row>
        <row r="23">
          <cell r="F23">
            <v>36543</v>
          </cell>
          <cell r="G23">
            <v>36615</v>
          </cell>
        </row>
        <row r="24">
          <cell r="F24">
            <v>36556</v>
          </cell>
          <cell r="G24">
            <v>36602</v>
          </cell>
        </row>
        <row r="25">
          <cell r="F25">
            <v>36640</v>
          </cell>
          <cell r="G25">
            <v>36698</v>
          </cell>
        </row>
        <row r="26">
          <cell r="F26">
            <v>36667</v>
          </cell>
          <cell r="G26">
            <v>36684</v>
          </cell>
        </row>
        <row r="29">
          <cell r="F29">
            <v>36570</v>
          </cell>
          <cell r="G29">
            <v>36644</v>
          </cell>
        </row>
        <row r="30">
          <cell r="F30">
            <v>36654</v>
          </cell>
          <cell r="G30">
            <v>36665</v>
          </cell>
        </row>
        <row r="31">
          <cell r="F31">
            <v>36654</v>
          </cell>
          <cell r="G31">
            <v>36665</v>
          </cell>
        </row>
        <row r="32">
          <cell r="F32">
            <v>36654</v>
          </cell>
          <cell r="G32">
            <v>36686</v>
          </cell>
        </row>
        <row r="33">
          <cell r="F33">
            <v>36661</v>
          </cell>
          <cell r="G33">
            <v>36672</v>
          </cell>
        </row>
        <row r="34">
          <cell r="F34">
            <v>36668</v>
          </cell>
          <cell r="G34">
            <v>36672</v>
          </cell>
        </row>
        <row r="37">
          <cell r="F37">
            <v>36543</v>
          </cell>
          <cell r="G37">
            <v>36594</v>
          </cell>
        </row>
        <row r="38">
          <cell r="F38">
            <v>36543</v>
          </cell>
          <cell r="G38">
            <v>36601</v>
          </cell>
        </row>
        <row r="39">
          <cell r="F39">
            <v>36543</v>
          </cell>
          <cell r="G39">
            <v>36601</v>
          </cell>
        </row>
        <row r="40">
          <cell r="F40">
            <v>36591</v>
          </cell>
          <cell r="G40">
            <v>36644</v>
          </cell>
        </row>
        <row r="41">
          <cell r="F41">
            <v>36605</v>
          </cell>
          <cell r="G41">
            <v>36663</v>
          </cell>
        </row>
        <row r="42">
          <cell r="F42">
            <v>36612</v>
          </cell>
          <cell r="G42">
            <v>36644</v>
          </cell>
        </row>
        <row r="43">
          <cell r="F43">
            <v>36612</v>
          </cell>
          <cell r="G43">
            <v>36670</v>
          </cell>
        </row>
        <row r="44">
          <cell r="F44">
            <v>36640</v>
          </cell>
          <cell r="G44">
            <v>36693</v>
          </cell>
        </row>
        <row r="45">
          <cell r="F45">
            <v>36661</v>
          </cell>
          <cell r="G45">
            <v>36720</v>
          </cell>
        </row>
        <row r="46">
          <cell r="F46">
            <v>36668</v>
          </cell>
          <cell r="G46">
            <v>36727</v>
          </cell>
        </row>
        <row r="49">
          <cell r="F49">
            <v>36654</v>
          </cell>
          <cell r="G49">
            <v>36661</v>
          </cell>
        </row>
        <row r="50">
          <cell r="F50">
            <v>36654</v>
          </cell>
          <cell r="G50">
            <v>36661</v>
          </cell>
        </row>
        <row r="53">
          <cell r="F53">
            <v>36577</v>
          </cell>
          <cell r="G53">
            <v>36596</v>
          </cell>
        </row>
        <row r="54">
          <cell r="F54">
            <v>36593</v>
          </cell>
          <cell r="G54">
            <v>36602</v>
          </cell>
        </row>
        <row r="55">
          <cell r="F55">
            <v>36598</v>
          </cell>
          <cell r="G55">
            <v>36613</v>
          </cell>
        </row>
        <row r="56">
          <cell r="F56">
            <v>36605</v>
          </cell>
          <cell r="G56">
            <v>36616</v>
          </cell>
        </row>
        <row r="57">
          <cell r="F57">
            <v>36606</v>
          </cell>
          <cell r="G57">
            <v>36609</v>
          </cell>
        </row>
        <row r="58">
          <cell r="F58">
            <v>36606</v>
          </cell>
          <cell r="G58">
            <v>36609</v>
          </cell>
        </row>
        <row r="59">
          <cell r="F59">
            <v>36606</v>
          </cell>
          <cell r="G59">
            <v>36616</v>
          </cell>
        </row>
        <row r="60">
          <cell r="F60">
            <v>36633</v>
          </cell>
          <cell r="G60">
            <v>36636</v>
          </cell>
        </row>
        <row r="61">
          <cell r="F61">
            <v>36634</v>
          </cell>
          <cell r="G61">
            <v>36650</v>
          </cell>
        </row>
        <row r="64">
          <cell r="F64">
            <v>36577</v>
          </cell>
          <cell r="G64">
            <v>36596</v>
          </cell>
        </row>
        <row r="65">
          <cell r="F65">
            <v>36606</v>
          </cell>
          <cell r="G65">
            <v>36613</v>
          </cell>
        </row>
        <row r="66">
          <cell r="F66">
            <v>36606</v>
          </cell>
          <cell r="G66">
            <v>36616</v>
          </cell>
        </row>
        <row r="67">
          <cell r="F67">
            <v>36633</v>
          </cell>
          <cell r="G67">
            <v>36636</v>
          </cell>
        </row>
        <row r="68">
          <cell r="F68">
            <v>36661</v>
          </cell>
          <cell r="G68">
            <v>36672</v>
          </cell>
        </row>
        <row r="71">
          <cell r="F71">
            <v>36543</v>
          </cell>
          <cell r="G71">
            <v>36587</v>
          </cell>
        </row>
        <row r="72">
          <cell r="F72">
            <v>36543</v>
          </cell>
          <cell r="G72">
            <v>36594</v>
          </cell>
        </row>
        <row r="73">
          <cell r="F73">
            <v>36543</v>
          </cell>
          <cell r="G73">
            <v>36601</v>
          </cell>
        </row>
        <row r="74">
          <cell r="F74">
            <v>36577</v>
          </cell>
          <cell r="G74">
            <v>36609</v>
          </cell>
        </row>
        <row r="75">
          <cell r="F75">
            <v>36584</v>
          </cell>
          <cell r="G75">
            <v>36595</v>
          </cell>
        </row>
        <row r="76">
          <cell r="F76">
            <v>36598</v>
          </cell>
          <cell r="G76">
            <v>36656</v>
          </cell>
        </row>
        <row r="77">
          <cell r="F77">
            <v>36605</v>
          </cell>
          <cell r="G77">
            <v>36636</v>
          </cell>
        </row>
        <row r="78">
          <cell r="F78">
            <v>36623</v>
          </cell>
          <cell r="G78">
            <v>36644</v>
          </cell>
        </row>
        <row r="79">
          <cell r="F79">
            <v>36623</v>
          </cell>
          <cell r="G79">
            <v>36658</v>
          </cell>
        </row>
        <row r="80">
          <cell r="F80">
            <v>36623</v>
          </cell>
          <cell r="G80">
            <v>36679</v>
          </cell>
        </row>
        <row r="81">
          <cell r="F81">
            <v>36661</v>
          </cell>
          <cell r="G81">
            <v>36672</v>
          </cell>
        </row>
        <row r="82">
          <cell r="F82">
            <v>36668</v>
          </cell>
          <cell r="G82">
            <v>36700</v>
          </cell>
        </row>
        <row r="85">
          <cell r="F85">
            <v>36570</v>
          </cell>
          <cell r="G85">
            <v>36602</v>
          </cell>
        </row>
        <row r="86">
          <cell r="F86">
            <v>36586</v>
          </cell>
          <cell r="G86">
            <v>36616</v>
          </cell>
        </row>
        <row r="87">
          <cell r="F87">
            <v>36598</v>
          </cell>
          <cell r="G87">
            <v>36613</v>
          </cell>
        </row>
        <row r="88">
          <cell r="F88">
            <v>36605</v>
          </cell>
          <cell r="G88">
            <v>36616</v>
          </cell>
        </row>
        <row r="89">
          <cell r="F89">
            <v>36623</v>
          </cell>
          <cell r="G89">
            <v>36665</v>
          </cell>
        </row>
        <row r="92">
          <cell r="F92">
            <v>36543</v>
          </cell>
          <cell r="G92">
            <v>36601</v>
          </cell>
        </row>
        <row r="93">
          <cell r="F93">
            <v>36543</v>
          </cell>
          <cell r="G93">
            <v>36601</v>
          </cell>
        </row>
        <row r="94">
          <cell r="F94">
            <v>36550</v>
          </cell>
          <cell r="G94">
            <v>36601</v>
          </cell>
        </row>
        <row r="95">
          <cell r="F95">
            <v>36598</v>
          </cell>
          <cell r="G95">
            <v>36602</v>
          </cell>
        </row>
        <row r="96">
          <cell r="F96">
            <v>36623</v>
          </cell>
          <cell r="G96">
            <v>36644</v>
          </cell>
        </row>
        <row r="97">
          <cell r="F97">
            <v>36623</v>
          </cell>
          <cell r="G97">
            <v>36644</v>
          </cell>
        </row>
        <row r="98">
          <cell r="F98">
            <v>36628</v>
          </cell>
          <cell r="G98">
            <v>36658</v>
          </cell>
        </row>
        <row r="99">
          <cell r="F99">
            <v>36634</v>
          </cell>
          <cell r="G99">
            <v>36644</v>
          </cell>
        </row>
        <row r="100">
          <cell r="F100">
            <v>36661</v>
          </cell>
          <cell r="G100">
            <v>36721</v>
          </cell>
        </row>
        <row r="101">
          <cell r="F101">
            <v>36668</v>
          </cell>
          <cell r="G101">
            <v>36706</v>
          </cell>
        </row>
        <row r="104">
          <cell r="F104">
            <v>36543</v>
          </cell>
          <cell r="G104">
            <v>36601</v>
          </cell>
        </row>
        <row r="105">
          <cell r="F105">
            <v>36579</v>
          </cell>
          <cell r="G105">
            <v>36616</v>
          </cell>
        </row>
        <row r="106">
          <cell r="F106">
            <v>36586</v>
          </cell>
          <cell r="G106">
            <v>36616</v>
          </cell>
        </row>
        <row r="107">
          <cell r="F107">
            <v>36586</v>
          </cell>
          <cell r="G107">
            <v>36644</v>
          </cell>
        </row>
        <row r="108">
          <cell r="F108">
            <v>36598</v>
          </cell>
          <cell r="G108">
            <v>36644</v>
          </cell>
        </row>
        <row r="109">
          <cell r="F109">
            <v>36642</v>
          </cell>
          <cell r="G109">
            <v>36690</v>
          </cell>
        </row>
        <row r="112">
          <cell r="F112">
            <v>36543</v>
          </cell>
          <cell r="G112">
            <v>36614</v>
          </cell>
        </row>
        <row r="113">
          <cell r="F113">
            <v>36570</v>
          </cell>
          <cell r="G113">
            <v>36630</v>
          </cell>
        </row>
        <row r="114">
          <cell r="F114">
            <v>36623</v>
          </cell>
          <cell r="G114">
            <v>36679</v>
          </cell>
        </row>
        <row r="115">
          <cell r="F115">
            <v>36634</v>
          </cell>
          <cell r="G115">
            <v>36692</v>
          </cell>
        </row>
        <row r="116">
          <cell r="F116">
            <v>36661</v>
          </cell>
          <cell r="G116">
            <v>36700</v>
          </cell>
        </row>
        <row r="117">
          <cell r="F117">
            <v>36675</v>
          </cell>
          <cell r="G117">
            <v>36733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進捗CHECK"/>
      <sheetName val="テーブル"/>
      <sheetName val="支援計画・０４"/>
      <sheetName val="Sheet1"/>
    </sheetNames>
    <sheetDataSet>
      <sheetData sheetId="0" refreshError="1"/>
      <sheetData sheetId="1" refreshError="1">
        <row r="2">
          <cell r="A2">
            <v>2006</v>
          </cell>
          <cell r="B2" t="str">
            <v>EL</v>
          </cell>
          <cell r="C2" t="str">
            <v>豊岡</v>
          </cell>
          <cell r="D2">
            <v>1</v>
          </cell>
          <cell r="F2" t="str">
            <v>加藤久</v>
          </cell>
        </row>
        <row r="3">
          <cell r="A3">
            <v>2007</v>
          </cell>
          <cell r="B3" t="str">
            <v>CL</v>
          </cell>
          <cell r="C3" t="str">
            <v>天津ﾔﾏﾊ</v>
          </cell>
          <cell r="D3">
            <v>2</v>
          </cell>
          <cell r="F3" t="str">
            <v>坪井</v>
          </cell>
        </row>
        <row r="4">
          <cell r="A4">
            <v>2008</v>
          </cell>
          <cell r="B4" t="str">
            <v>PK</v>
          </cell>
          <cell r="C4" t="str">
            <v>YMMA</v>
          </cell>
          <cell r="D4">
            <v>3</v>
          </cell>
          <cell r="F4" t="str">
            <v>川合</v>
          </cell>
        </row>
        <row r="5">
          <cell r="A5">
            <v>2009</v>
          </cell>
          <cell r="B5" t="str">
            <v>DE</v>
          </cell>
          <cell r="C5" t="str">
            <v>ﾌｫｽﾀｰ</v>
          </cell>
          <cell r="D5">
            <v>4</v>
          </cell>
          <cell r="F5" t="str">
            <v>平田</v>
          </cell>
        </row>
        <row r="6">
          <cell r="A6">
            <v>2010</v>
          </cell>
          <cell r="B6" t="str">
            <v>PA</v>
          </cell>
          <cell r="C6" t="str">
            <v>ｼﾝｶﾞﾄﾛ</v>
          </cell>
          <cell r="D6">
            <v>5</v>
          </cell>
          <cell r="F6" t="str">
            <v>大野</v>
          </cell>
        </row>
        <row r="7">
          <cell r="A7">
            <v>2011</v>
          </cell>
          <cell r="D7">
            <v>6</v>
          </cell>
          <cell r="F7" t="str">
            <v>松島</v>
          </cell>
        </row>
        <row r="8">
          <cell r="A8">
            <v>2012</v>
          </cell>
          <cell r="D8">
            <v>7</v>
          </cell>
          <cell r="F8" t="str">
            <v>深谷</v>
          </cell>
        </row>
        <row r="9">
          <cell r="A9">
            <v>2013</v>
          </cell>
          <cell r="D9">
            <v>8</v>
          </cell>
          <cell r="F9" t="str">
            <v>下向</v>
          </cell>
        </row>
        <row r="10">
          <cell r="A10">
            <v>2014</v>
          </cell>
          <cell r="D10">
            <v>9</v>
          </cell>
          <cell r="F10" t="str">
            <v>荻久保</v>
          </cell>
        </row>
        <row r="11">
          <cell r="A11">
            <v>2015</v>
          </cell>
          <cell r="D11">
            <v>10</v>
          </cell>
          <cell r="F11" t="str">
            <v>市川義</v>
          </cell>
        </row>
        <row r="12">
          <cell r="D12">
            <v>11</v>
          </cell>
          <cell r="F12" t="str">
            <v>加藤実</v>
          </cell>
        </row>
        <row r="13">
          <cell r="D13">
            <v>12</v>
          </cell>
          <cell r="F13" t="str">
            <v>稲垣</v>
          </cell>
        </row>
        <row r="14">
          <cell r="F14" t="str">
            <v>守本</v>
          </cell>
        </row>
        <row r="15">
          <cell r="F15" t="str">
            <v>岡野</v>
          </cell>
        </row>
        <row r="16">
          <cell r="F16" t="str">
            <v>大瀬</v>
          </cell>
        </row>
        <row r="17">
          <cell r="F17" t="str">
            <v>匂坂</v>
          </cell>
        </row>
        <row r="18">
          <cell r="F18" t="str">
            <v>西川</v>
          </cell>
        </row>
        <row r="19">
          <cell r="F19" t="str">
            <v>鈴木健</v>
          </cell>
        </row>
        <row r="20">
          <cell r="F20" t="str">
            <v>野中豊</v>
          </cell>
        </row>
        <row r="21">
          <cell r="F21" t="str">
            <v>鉄村</v>
          </cell>
        </row>
      </sheetData>
      <sheetData sheetId="2" refreshError="1"/>
      <sheetData sheetId="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進捗CHECK"/>
      <sheetName val="テーブル"/>
      <sheetName val="支援計画・０４"/>
    </sheetNames>
    <sheetDataSet>
      <sheetData sheetId="0" refreshError="1"/>
      <sheetData sheetId="1" refreshError="1">
        <row r="2">
          <cell r="A2">
            <v>2006</v>
          </cell>
          <cell r="B2" t="str">
            <v>EL</v>
          </cell>
          <cell r="C2" t="str">
            <v>豊岡</v>
          </cell>
          <cell r="D2">
            <v>1</v>
          </cell>
          <cell r="F2" t="str">
            <v>加藤久</v>
          </cell>
        </row>
        <row r="3">
          <cell r="A3">
            <v>2007</v>
          </cell>
          <cell r="B3" t="str">
            <v>CL</v>
          </cell>
          <cell r="C3" t="str">
            <v>天津ﾔﾏﾊ</v>
          </cell>
          <cell r="D3">
            <v>2</v>
          </cell>
          <cell r="F3" t="str">
            <v>坪井</v>
          </cell>
        </row>
        <row r="4">
          <cell r="A4">
            <v>2008</v>
          </cell>
          <cell r="B4" t="str">
            <v>PK</v>
          </cell>
          <cell r="C4" t="str">
            <v>YMMA</v>
          </cell>
          <cell r="D4">
            <v>3</v>
          </cell>
          <cell r="F4" t="str">
            <v>川合</v>
          </cell>
        </row>
        <row r="5">
          <cell r="A5">
            <v>2009</v>
          </cell>
          <cell r="B5" t="str">
            <v>DE</v>
          </cell>
          <cell r="C5" t="str">
            <v>ﾌｫｽﾀｰ</v>
          </cell>
          <cell r="D5">
            <v>4</v>
          </cell>
          <cell r="F5" t="str">
            <v>平田</v>
          </cell>
        </row>
        <row r="6">
          <cell r="A6">
            <v>2010</v>
          </cell>
          <cell r="B6" t="str">
            <v>PA</v>
          </cell>
          <cell r="C6" t="str">
            <v>ｼﾝｶﾞﾄﾛ</v>
          </cell>
          <cell r="D6">
            <v>5</v>
          </cell>
          <cell r="F6" t="str">
            <v>大野</v>
          </cell>
        </row>
        <row r="7">
          <cell r="A7">
            <v>2011</v>
          </cell>
          <cell r="D7">
            <v>6</v>
          </cell>
          <cell r="F7" t="str">
            <v>松島</v>
          </cell>
        </row>
        <row r="8">
          <cell r="A8">
            <v>2012</v>
          </cell>
          <cell r="D8">
            <v>7</v>
          </cell>
          <cell r="F8" t="str">
            <v>深谷</v>
          </cell>
        </row>
        <row r="9">
          <cell r="A9">
            <v>2013</v>
          </cell>
          <cell r="D9">
            <v>8</v>
          </cell>
          <cell r="F9" t="str">
            <v>下向</v>
          </cell>
        </row>
        <row r="10">
          <cell r="A10">
            <v>2014</v>
          </cell>
          <cell r="D10">
            <v>9</v>
          </cell>
          <cell r="F10" t="str">
            <v>荻久保</v>
          </cell>
        </row>
        <row r="11">
          <cell r="A11">
            <v>2015</v>
          </cell>
          <cell r="D11">
            <v>10</v>
          </cell>
          <cell r="F11" t="str">
            <v>市川義</v>
          </cell>
        </row>
        <row r="12">
          <cell r="D12">
            <v>11</v>
          </cell>
          <cell r="F12" t="str">
            <v>加藤実</v>
          </cell>
        </row>
        <row r="13">
          <cell r="D13">
            <v>12</v>
          </cell>
          <cell r="F13" t="str">
            <v>稲垣</v>
          </cell>
        </row>
        <row r="14">
          <cell r="F14" t="str">
            <v>守本</v>
          </cell>
        </row>
        <row r="15">
          <cell r="F15" t="str">
            <v>岡野</v>
          </cell>
        </row>
        <row r="16">
          <cell r="F16" t="str">
            <v>大瀬</v>
          </cell>
        </row>
        <row r="17">
          <cell r="F17" t="str">
            <v>匂坂</v>
          </cell>
        </row>
        <row r="18">
          <cell r="F18" t="str">
            <v>西川</v>
          </cell>
        </row>
        <row r="19">
          <cell r="F19" t="str">
            <v>鈴木健</v>
          </cell>
        </row>
        <row r="20">
          <cell r="F20" t="str">
            <v>野中豊</v>
          </cell>
        </row>
        <row r="21">
          <cell r="F21" t="str">
            <v>鉄村</v>
          </cell>
        </row>
      </sheetData>
      <sheetData sheetId="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まとめ"/>
      <sheetName val="予定日別1-6"/>
      <sheetName val="予定日別7-12"/>
      <sheetName val="テーブル"/>
      <sheetName val="KB,MOLD ESTIMATE.00"/>
      <sheetName val="TS Foreman"/>
      <sheetName val="Mapping-cm"/>
      <sheetName val="Competensi Skill'Chaidir"/>
      <sheetName val="TS OP"/>
      <sheetName val="Competensi Skill'Novy A"/>
      <sheetName val="Competensi Skill'M.Mulyadi"/>
      <sheetName val="PK"/>
      <sheetName val="QCC PROGRESS"/>
      <sheetName val="Summary Foreman'FY120"/>
      <sheetName val="Effisiensi,Kousu &amp; PPM (2)"/>
      <sheetName val="CRESULT,FY119"/>
      <sheetName val="Technical Result FY119"/>
      <sheetName val="Grand PA"/>
      <sheetName val="Pn,Kerja Mulyadi"/>
      <sheetName val="PPK.M.Mulyadi"/>
      <sheetName val="COMPETENCY RESULT M.Mulyadi."/>
      <sheetName val="Pn,Kerja Eko"/>
      <sheetName val="PPK.Eko Margiono"/>
      <sheetName val="COMPETENCY RESULT Eko.M"/>
      <sheetName val="Pn,Kerja Suyuti."/>
      <sheetName val="PPK.Suyuti"/>
      <sheetName val="COMPETENCY RESULT Suyuti"/>
      <sheetName val="Pn,Kerja Yusup.E."/>
      <sheetName val="PPK.Yusup Efendi"/>
      <sheetName val="COMPETENCY RESULT Yusup E"/>
      <sheetName val="Pn Basroni"/>
      <sheetName val="PPK.Basroni"/>
      <sheetName val="COMPETENCY RESULT Basroni"/>
      <sheetName val="COMPETENCY RESULT Eka YL"/>
      <sheetName val="COMPETENCY RESULT Dudung A"/>
      <sheetName val="Pn,Kerja Eka"/>
      <sheetName val="Pn,Kerja Dudung"/>
      <sheetName val="Pn,Kerja Surahman,"/>
      <sheetName val="Pn,Kerja Samsul."/>
      <sheetName val="Pn,Kerja Agung mp."/>
      <sheetName val="Pn,Kerja Firman"/>
      <sheetName val="Pn,Kerja Candra A"/>
      <sheetName val="Pn,Kerja Irfan ."/>
      <sheetName val="PPK.Samsul M "/>
      <sheetName val="PPK.Surahman"/>
      <sheetName val="PPK.Agung MP"/>
      <sheetName val="PPK Irfan sw"/>
      <sheetName val="PPK Candra A."/>
      <sheetName val="PPK Firman J."/>
      <sheetName val="COMPETENCY RESULT Samsul.M."/>
      <sheetName val="COMPETENCY RESULT Surahman."/>
      <sheetName val="COMPETENCY RESULT Agung MP"/>
      <sheetName val="COMPETENCY RESULT Firman J"/>
      <sheetName val="COMPETENCY RESULT Irfan SW"/>
      <sheetName val="COMPETENCY RESULT Candra A"/>
      <sheetName val="Pn,Kerja Novy."/>
      <sheetName val="Pn,Kerja Agung R."/>
      <sheetName val="Pn,Kerja Sutriyono."/>
      <sheetName val="Pn,Kerja Agung S."/>
      <sheetName val="Pn,Kerja Wahyu S."/>
      <sheetName val="Pn,Kerja Jefrimar."/>
      <sheetName val="PPK.Novy Aryanto"/>
      <sheetName val="PPK.Agung R"/>
      <sheetName val="PPK.Sutriyono"/>
      <sheetName val="PPK.Agung S"/>
      <sheetName val="PPK.Jefrimar"/>
      <sheetName val="PPK.Wahyu Santoso"/>
      <sheetName val="COMPETENCY RESULT Novy A."/>
      <sheetName val="COMPETENCY RESULT Agung R"/>
      <sheetName val="COMPETENCY RESULT Sutriyono"/>
      <sheetName val="COMPETENCY RESULT Agung S"/>
      <sheetName val="COMPETENCY RESULT Wahyu S"/>
      <sheetName val="COMPETENCY RESULT Jefrimar"/>
      <sheetName val="出力②"/>
      <sheetName val="グラフ用"/>
      <sheetName val="Data"/>
    </sheetNames>
    <sheetDataSet>
      <sheetData sheetId="0" refreshError="1"/>
      <sheetData sheetId="1" refreshError="1">
        <row r="4">
          <cell r="U4">
            <v>36708</v>
          </cell>
          <cell r="V4">
            <v>36709</v>
          </cell>
          <cell r="W4">
            <v>36710</v>
          </cell>
          <cell r="X4">
            <v>36711</v>
          </cell>
          <cell r="Y4">
            <v>36712</v>
          </cell>
          <cell r="Z4">
            <v>36713</v>
          </cell>
          <cell r="AA4">
            <v>36714</v>
          </cell>
          <cell r="AB4">
            <v>36715</v>
          </cell>
          <cell r="AC4">
            <v>36716</v>
          </cell>
          <cell r="AD4">
            <v>36717</v>
          </cell>
          <cell r="AE4">
            <v>36718</v>
          </cell>
          <cell r="AF4">
            <v>36719</v>
          </cell>
          <cell r="AG4">
            <v>36720</v>
          </cell>
          <cell r="AH4">
            <v>36721</v>
          </cell>
          <cell r="AI4">
            <v>36722</v>
          </cell>
          <cell r="AJ4">
            <v>36723</v>
          </cell>
          <cell r="AK4">
            <v>36724</v>
          </cell>
          <cell r="AL4">
            <v>36725</v>
          </cell>
          <cell r="AM4">
            <v>36726</v>
          </cell>
          <cell r="AN4">
            <v>36727</v>
          </cell>
          <cell r="AO4">
            <v>36728</v>
          </cell>
          <cell r="AP4">
            <v>36729</v>
          </cell>
          <cell r="AQ4">
            <v>36730</v>
          </cell>
          <cell r="AR4">
            <v>36731</v>
          </cell>
          <cell r="AS4">
            <v>36732</v>
          </cell>
          <cell r="AT4">
            <v>36733</v>
          </cell>
          <cell r="AU4">
            <v>36734</v>
          </cell>
          <cell r="AV4">
            <v>36735</v>
          </cell>
          <cell r="AW4">
            <v>36736</v>
          </cell>
          <cell r="AX4">
            <v>36737</v>
          </cell>
          <cell r="AY4">
            <v>36738</v>
          </cell>
          <cell r="AZ4">
            <v>36739</v>
          </cell>
          <cell r="BA4">
            <v>36740</v>
          </cell>
          <cell r="BB4">
            <v>36741</v>
          </cell>
          <cell r="BC4">
            <v>36742</v>
          </cell>
          <cell r="BD4">
            <v>36743</v>
          </cell>
          <cell r="BE4">
            <v>36744</v>
          </cell>
          <cell r="BF4">
            <v>36745</v>
          </cell>
          <cell r="BG4">
            <v>36746</v>
          </cell>
          <cell r="BH4">
            <v>36747</v>
          </cell>
          <cell r="BI4">
            <v>36748</v>
          </cell>
          <cell r="BJ4">
            <v>36749</v>
          </cell>
          <cell r="BK4">
            <v>36750</v>
          </cell>
          <cell r="BL4">
            <v>36751</v>
          </cell>
          <cell r="BM4">
            <v>36752</v>
          </cell>
          <cell r="BN4">
            <v>36753</v>
          </cell>
          <cell r="BO4">
            <v>36754</v>
          </cell>
          <cell r="BP4">
            <v>36755</v>
          </cell>
          <cell r="BQ4">
            <v>36756</v>
          </cell>
          <cell r="BR4">
            <v>36757</v>
          </cell>
          <cell r="BS4">
            <v>36758</v>
          </cell>
          <cell r="BT4">
            <v>36759</v>
          </cell>
          <cell r="BU4">
            <v>36760</v>
          </cell>
          <cell r="BV4">
            <v>36761</v>
          </cell>
          <cell r="BW4">
            <v>36762</v>
          </cell>
          <cell r="BX4">
            <v>36763</v>
          </cell>
          <cell r="BY4">
            <v>36764</v>
          </cell>
          <cell r="BZ4">
            <v>36765</v>
          </cell>
          <cell r="CA4">
            <v>36766</v>
          </cell>
          <cell r="CB4">
            <v>36767</v>
          </cell>
          <cell r="CC4">
            <v>36768</v>
          </cell>
          <cell r="CD4">
            <v>36769</v>
          </cell>
          <cell r="CE4">
            <v>36770</v>
          </cell>
          <cell r="CF4">
            <v>36771</v>
          </cell>
          <cell r="CG4">
            <v>36772</v>
          </cell>
          <cell r="CH4">
            <v>36773</v>
          </cell>
          <cell r="CI4">
            <v>36774</v>
          </cell>
          <cell r="CJ4">
            <v>36775</v>
          </cell>
          <cell r="CK4">
            <v>36776</v>
          </cell>
          <cell r="CL4">
            <v>36777</v>
          </cell>
          <cell r="CM4">
            <v>36778</v>
          </cell>
          <cell r="CN4">
            <v>36779</v>
          </cell>
          <cell r="CO4">
            <v>36780</v>
          </cell>
          <cell r="CP4">
            <v>36781</v>
          </cell>
          <cell r="CQ4">
            <v>36782</v>
          </cell>
          <cell r="CR4">
            <v>36783</v>
          </cell>
          <cell r="CS4">
            <v>36784</v>
          </cell>
          <cell r="CT4">
            <v>36785</v>
          </cell>
          <cell r="CU4">
            <v>36786</v>
          </cell>
          <cell r="CV4">
            <v>36787</v>
          </cell>
          <cell r="CW4">
            <v>36788</v>
          </cell>
          <cell r="CX4">
            <v>36789</v>
          </cell>
          <cell r="CY4">
            <v>36790</v>
          </cell>
          <cell r="CZ4">
            <v>36791</v>
          </cell>
          <cell r="DA4">
            <v>36792</v>
          </cell>
          <cell r="DB4">
            <v>36793</v>
          </cell>
          <cell r="DC4">
            <v>36794</v>
          </cell>
          <cell r="DD4">
            <v>36795</v>
          </cell>
          <cell r="DE4">
            <v>36796</v>
          </cell>
          <cell r="DF4">
            <v>36797</v>
          </cell>
          <cell r="DG4">
            <v>36798</v>
          </cell>
          <cell r="DH4">
            <v>36799</v>
          </cell>
          <cell r="DI4">
            <v>36800</v>
          </cell>
          <cell r="DJ4">
            <v>36801</v>
          </cell>
          <cell r="DK4">
            <v>36802</v>
          </cell>
          <cell r="DL4">
            <v>36803</v>
          </cell>
          <cell r="DM4">
            <v>36804</v>
          </cell>
          <cell r="DN4">
            <v>36805</v>
          </cell>
          <cell r="DO4">
            <v>36806</v>
          </cell>
          <cell r="DP4">
            <v>36807</v>
          </cell>
          <cell r="DQ4">
            <v>36808</v>
          </cell>
          <cell r="DR4">
            <v>36809</v>
          </cell>
          <cell r="DS4">
            <v>36810</v>
          </cell>
          <cell r="DT4">
            <v>36811</v>
          </cell>
          <cell r="DU4">
            <v>36812</v>
          </cell>
          <cell r="DV4">
            <v>36813</v>
          </cell>
          <cell r="DW4">
            <v>36814</v>
          </cell>
          <cell r="DX4">
            <v>36815</v>
          </cell>
          <cell r="DY4">
            <v>36816</v>
          </cell>
          <cell r="DZ4">
            <v>36817</v>
          </cell>
          <cell r="EA4">
            <v>36818</v>
          </cell>
          <cell r="EB4">
            <v>36819</v>
          </cell>
          <cell r="EC4">
            <v>36820</v>
          </cell>
          <cell r="ED4">
            <v>36821</v>
          </cell>
          <cell r="EE4">
            <v>36822</v>
          </cell>
          <cell r="EF4">
            <v>36823</v>
          </cell>
          <cell r="EG4">
            <v>36824</v>
          </cell>
          <cell r="EH4">
            <v>36825</v>
          </cell>
          <cell r="EI4">
            <v>36826</v>
          </cell>
          <cell r="EJ4">
            <v>36827</v>
          </cell>
          <cell r="EK4">
            <v>36828</v>
          </cell>
          <cell r="EL4">
            <v>36829</v>
          </cell>
          <cell r="EM4">
            <v>36830</v>
          </cell>
          <cell r="EN4">
            <v>36831</v>
          </cell>
          <cell r="EO4">
            <v>36832</v>
          </cell>
          <cell r="EP4">
            <v>36833</v>
          </cell>
          <cell r="EQ4">
            <v>36834</v>
          </cell>
          <cell r="ER4">
            <v>36835</v>
          </cell>
          <cell r="ES4">
            <v>36836</v>
          </cell>
          <cell r="ET4">
            <v>36837</v>
          </cell>
          <cell r="EU4">
            <v>36838</v>
          </cell>
          <cell r="EV4">
            <v>36839</v>
          </cell>
          <cell r="EW4">
            <v>36840</v>
          </cell>
          <cell r="EX4">
            <v>36841</v>
          </cell>
          <cell r="EY4">
            <v>36842</v>
          </cell>
          <cell r="EZ4">
            <v>36843</v>
          </cell>
          <cell r="FA4">
            <v>36844</v>
          </cell>
          <cell r="FB4">
            <v>36845</v>
          </cell>
          <cell r="FC4">
            <v>36846</v>
          </cell>
          <cell r="FD4">
            <v>36847</v>
          </cell>
          <cell r="FE4">
            <v>36848</v>
          </cell>
          <cell r="FF4">
            <v>36849</v>
          </cell>
          <cell r="FG4">
            <v>36850</v>
          </cell>
          <cell r="FH4">
            <v>36851</v>
          </cell>
          <cell r="FI4">
            <v>36852</v>
          </cell>
          <cell r="FJ4">
            <v>36853</v>
          </cell>
          <cell r="FK4">
            <v>36854</v>
          </cell>
          <cell r="FL4">
            <v>36855</v>
          </cell>
          <cell r="FM4">
            <v>36856</v>
          </cell>
          <cell r="FN4">
            <v>36857</v>
          </cell>
          <cell r="FO4">
            <v>36858</v>
          </cell>
          <cell r="FP4">
            <v>36859</v>
          </cell>
          <cell r="FQ4">
            <v>36860</v>
          </cell>
          <cell r="FR4">
            <v>36861</v>
          </cell>
          <cell r="FS4">
            <v>36862</v>
          </cell>
          <cell r="FT4">
            <v>36863</v>
          </cell>
          <cell r="FU4">
            <v>36864</v>
          </cell>
          <cell r="FV4">
            <v>36865</v>
          </cell>
          <cell r="FW4">
            <v>36866</v>
          </cell>
          <cell r="FX4">
            <v>36867</v>
          </cell>
          <cell r="FY4">
            <v>36868</v>
          </cell>
          <cell r="FZ4">
            <v>36869</v>
          </cell>
          <cell r="GA4">
            <v>36870</v>
          </cell>
          <cell r="GB4">
            <v>36871</v>
          </cell>
          <cell r="GC4">
            <v>36872</v>
          </cell>
          <cell r="GD4">
            <v>36873</v>
          </cell>
          <cell r="GE4">
            <v>36874</v>
          </cell>
          <cell r="GF4">
            <v>36875</v>
          </cell>
          <cell r="GG4">
            <v>36876</v>
          </cell>
          <cell r="GH4">
            <v>36877</v>
          </cell>
          <cell r="GI4">
            <v>36878</v>
          </cell>
          <cell r="GJ4">
            <v>36879</v>
          </cell>
          <cell r="GK4">
            <v>36880</v>
          </cell>
          <cell r="GL4">
            <v>36881</v>
          </cell>
          <cell r="GM4">
            <v>36882</v>
          </cell>
          <cell r="GN4">
            <v>36883</v>
          </cell>
          <cell r="GO4">
            <v>36884</v>
          </cell>
          <cell r="GP4">
            <v>36885</v>
          </cell>
          <cell r="GQ4">
            <v>36886</v>
          </cell>
          <cell r="GR4">
            <v>36887</v>
          </cell>
          <cell r="GS4">
            <v>36888</v>
          </cell>
          <cell r="GT4">
            <v>36889</v>
          </cell>
          <cell r="GU4">
            <v>36890</v>
          </cell>
          <cell r="GV4">
            <v>36891</v>
          </cell>
        </row>
      </sheetData>
      <sheetData sheetId="2" refreshError="1"/>
      <sheetData sheetId="3" refreshError="1"/>
      <sheetData sheetId="4" refreshError="1"/>
      <sheetData sheetId="5">
        <row r="4">
          <cell r="U4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B,MOLD ESTIMATE.00"/>
      <sheetName val="KB_MOLD ESTIMATE_00"/>
      <sheetName val="予定日別1-6"/>
      <sheetName val="テーブル"/>
      <sheetName val="Sheet1"/>
      <sheetName val="出力②"/>
      <sheetName val="グラフ用"/>
      <sheetName val="G8D Report"/>
    </sheetNames>
    <sheetDataSet>
      <sheetData sheetId="0" refreshError="1">
        <row r="13">
          <cell r="F13">
            <v>1.4</v>
          </cell>
          <cell r="G13">
            <v>1.4</v>
          </cell>
          <cell r="H13">
            <v>1.4</v>
          </cell>
          <cell r="I13">
            <v>1.4</v>
          </cell>
          <cell r="J13">
            <v>0.1</v>
          </cell>
          <cell r="K13">
            <v>0.1</v>
          </cell>
          <cell r="L13">
            <v>0.1</v>
          </cell>
          <cell r="M13">
            <v>0.1</v>
          </cell>
          <cell r="N13">
            <v>0.1</v>
          </cell>
          <cell r="O13">
            <v>0.1</v>
          </cell>
        </row>
      </sheetData>
      <sheetData sheetId="1"/>
      <sheetData sheetId="2" refreshError="1"/>
      <sheetData sheetId="3" refreshError="1"/>
      <sheetData sheetId="4"/>
      <sheetData sheetId="5"/>
      <sheetData sheetId="6"/>
      <sheetData sheetId="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このbookの利用ルール"/>
      <sheetName val="開発計画品番リスト"/>
      <sheetName val="KB,MOLD ESTIMATE.00"/>
      <sheetName val="予定日別1-6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中期計画・９８"/>
      <sheetName val="数値計画"/>
      <sheetName val="原価明細・資金計画"/>
      <sheetName val="製造品目明細"/>
      <sheetName val="要員計画"/>
      <sheetName val="投資計画"/>
      <sheetName val="調達計画"/>
      <sheetName val="スタッフ部門計画"/>
      <sheetName val="人材育成"/>
      <sheetName val="本社支援計画"/>
      <sheetName val="業務計画"/>
      <sheetName val="自立のイメージ"/>
      <sheetName val="Sheet1"/>
      <sheetName val="1998"/>
      <sheetName val="1999"/>
      <sheetName val="2000"/>
      <sheetName val="2001"/>
      <sheetName val="2002"/>
      <sheetName val="データ"/>
      <sheetName val="開発計画品番リスト"/>
      <sheetName val="KB,MOLD ESTIMATE.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86C78-A7C3-4058-9DEC-53815F5CD0C1}">
  <sheetPr>
    <pageSetUpPr fitToPage="1"/>
  </sheetPr>
  <dimension ref="A1:F155"/>
  <sheetViews>
    <sheetView zoomScale="80" zoomScaleNormal="80" workbookViewId="0">
      <pane xSplit="1" ySplit="1" topLeftCell="B134" activePane="bottomRight" state="frozen"/>
      <selection activeCell="A26" sqref="A26"/>
      <selection pane="topRight" activeCell="A26" sqref="A26"/>
      <selection pane="bottomLeft" activeCell="A26" sqref="A26"/>
      <selection pane="bottomRight" activeCell="A26" sqref="A26"/>
    </sheetView>
  </sheetViews>
  <sheetFormatPr defaultColWidth="8.85546875" defaultRowHeight="18" customHeight="1"/>
  <cols>
    <col min="1" max="1" width="44.42578125" style="4" bestFit="1" customWidth="1"/>
    <col min="2" max="2" width="8.42578125" style="5" customWidth="1"/>
    <col min="3" max="3" width="8.5703125" style="6" customWidth="1"/>
    <col min="4" max="4" width="12.140625" style="6" bestFit="1" customWidth="1"/>
    <col min="5" max="5" width="10.5703125" style="6" customWidth="1"/>
    <col min="6" max="6" width="163.42578125" style="4" bestFit="1" customWidth="1"/>
    <col min="7" max="16384" width="8.85546875" style="4"/>
  </cols>
  <sheetData>
    <row r="1" spans="1:6" s="3" customFormat="1" ht="60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</row>
    <row r="2" spans="1:6" ht="18" customHeight="1">
      <c r="A2" s="4" t="s">
        <v>6</v>
      </c>
      <c r="B2" s="5">
        <v>7511101</v>
      </c>
      <c r="C2" s="6" t="s">
        <v>7</v>
      </c>
      <c r="D2" s="7" t="str">
        <f t="shared" ref="D2:D65" si="0">C2&amp;"-"&amp;B2</f>
        <v>SGA-7511101</v>
      </c>
      <c r="E2" s="6" t="s">
        <v>8</v>
      </c>
      <c r="F2" s="4" t="s">
        <v>6</v>
      </c>
    </row>
    <row r="3" spans="1:6" ht="18" customHeight="1">
      <c r="A3" s="4" t="s">
        <v>9</v>
      </c>
      <c r="B3" s="5">
        <v>7511102</v>
      </c>
      <c r="C3" s="6" t="s">
        <v>7</v>
      </c>
      <c r="D3" s="7" t="str">
        <f t="shared" si="0"/>
        <v>SGA-7511102</v>
      </c>
      <c r="E3" s="6" t="s">
        <v>8</v>
      </c>
      <c r="F3" s="4" t="s">
        <v>10</v>
      </c>
    </row>
    <row r="4" spans="1:6" ht="18" customHeight="1">
      <c r="A4" s="4" t="s">
        <v>11</v>
      </c>
      <c r="B4" s="5">
        <v>7511103</v>
      </c>
      <c r="C4" s="6" t="s">
        <v>7</v>
      </c>
      <c r="D4" s="7" t="str">
        <f t="shared" si="0"/>
        <v>SGA-7511103</v>
      </c>
      <c r="E4" s="6" t="s">
        <v>12</v>
      </c>
      <c r="F4" s="4" t="s">
        <v>13</v>
      </c>
    </row>
    <row r="5" spans="1:6" ht="18" customHeight="1">
      <c r="A5" s="4" t="s">
        <v>14</v>
      </c>
      <c r="B5" s="5">
        <v>7511111</v>
      </c>
      <c r="C5" s="6" t="s">
        <v>7</v>
      </c>
      <c r="D5" s="7" t="str">
        <f t="shared" si="0"/>
        <v>SGA-7511111</v>
      </c>
      <c r="E5" s="6" t="s">
        <v>12</v>
      </c>
      <c r="F5" s="4" t="s">
        <v>15</v>
      </c>
    </row>
    <row r="6" spans="1:6" ht="18" customHeight="1">
      <c r="A6" s="4" t="s">
        <v>16</v>
      </c>
      <c r="B6" s="5">
        <v>7511112</v>
      </c>
      <c r="C6" s="6" t="s">
        <v>7</v>
      </c>
      <c r="D6" s="7" t="str">
        <f t="shared" si="0"/>
        <v>SGA-7511112</v>
      </c>
      <c r="E6" s="6" t="s">
        <v>12</v>
      </c>
      <c r="F6" s="4" t="s">
        <v>17</v>
      </c>
    </row>
    <row r="7" spans="1:6" ht="18" customHeight="1">
      <c r="A7" s="4" t="s">
        <v>18</v>
      </c>
      <c r="B7" s="5">
        <v>7511121</v>
      </c>
      <c r="C7" s="6" t="s">
        <v>7</v>
      </c>
      <c r="D7" s="7" t="str">
        <f t="shared" si="0"/>
        <v>SGA-7511121</v>
      </c>
      <c r="E7" s="6" t="s">
        <v>12</v>
      </c>
      <c r="F7" s="4" t="s">
        <v>19</v>
      </c>
    </row>
    <row r="8" spans="1:6" ht="18" customHeight="1">
      <c r="A8" s="4" t="s">
        <v>20</v>
      </c>
      <c r="B8" s="5">
        <v>7511122</v>
      </c>
      <c r="C8" s="6" t="s">
        <v>7</v>
      </c>
      <c r="D8" s="7" t="str">
        <f t="shared" si="0"/>
        <v>SGA-7511122</v>
      </c>
      <c r="E8" s="6" t="s">
        <v>12</v>
      </c>
      <c r="F8" s="4" t="s">
        <v>21</v>
      </c>
    </row>
    <row r="9" spans="1:6" ht="18" customHeight="1">
      <c r="A9" s="4" t="s">
        <v>22</v>
      </c>
      <c r="B9" s="5">
        <v>7511201</v>
      </c>
      <c r="C9" s="6" t="s">
        <v>7</v>
      </c>
      <c r="D9" s="7" t="str">
        <f t="shared" si="0"/>
        <v>SGA-7511201</v>
      </c>
      <c r="E9" s="6" t="s">
        <v>23</v>
      </c>
      <c r="F9" s="4" t="s">
        <v>24</v>
      </c>
    </row>
    <row r="10" spans="1:6" ht="18" customHeight="1">
      <c r="A10" s="4" t="s">
        <v>25</v>
      </c>
      <c r="B10" s="5">
        <v>7512111</v>
      </c>
      <c r="C10" s="6" t="s">
        <v>7</v>
      </c>
      <c r="D10" s="7" t="str">
        <f t="shared" si="0"/>
        <v>SGA-7512111</v>
      </c>
      <c r="E10" s="6" t="s">
        <v>26</v>
      </c>
      <c r="F10" s="4" t="s">
        <v>27</v>
      </c>
    </row>
    <row r="11" spans="1:6" ht="18" customHeight="1">
      <c r="A11" s="4" t="s">
        <v>28</v>
      </c>
      <c r="B11" s="5">
        <v>7512112</v>
      </c>
      <c r="C11" s="6" t="s">
        <v>7</v>
      </c>
      <c r="D11" s="7" t="str">
        <f t="shared" si="0"/>
        <v>SGA-7512112</v>
      </c>
      <c r="E11" s="6" t="s">
        <v>26</v>
      </c>
      <c r="F11" s="4" t="s">
        <v>29</v>
      </c>
    </row>
    <row r="12" spans="1:6" ht="18" customHeight="1">
      <c r="A12" s="4" t="s">
        <v>30</v>
      </c>
      <c r="B12" s="5">
        <v>7514101</v>
      </c>
      <c r="C12" s="6" t="s">
        <v>7</v>
      </c>
      <c r="D12" s="7" t="str">
        <f t="shared" si="0"/>
        <v>SGA-7514101</v>
      </c>
      <c r="E12" s="6" t="s">
        <v>12</v>
      </c>
      <c r="F12" s="4" t="s">
        <v>31</v>
      </c>
    </row>
    <row r="13" spans="1:6" ht="18" customHeight="1">
      <c r="A13" s="4" t="s">
        <v>32</v>
      </c>
      <c r="B13" s="5">
        <v>7514102</v>
      </c>
      <c r="C13" s="6" t="s">
        <v>7</v>
      </c>
      <c r="D13" s="7" t="str">
        <f t="shared" si="0"/>
        <v>SGA-7514102</v>
      </c>
      <c r="E13" s="6" t="s">
        <v>12</v>
      </c>
      <c r="F13" s="4" t="s">
        <v>33</v>
      </c>
    </row>
    <row r="14" spans="1:6" ht="18" customHeight="1">
      <c r="A14" s="4" t="s">
        <v>34</v>
      </c>
      <c r="B14" s="5">
        <v>7515401</v>
      </c>
      <c r="C14" s="6" t="s">
        <v>7</v>
      </c>
      <c r="D14" s="7" t="str">
        <f t="shared" si="0"/>
        <v>SGA-7515401</v>
      </c>
      <c r="E14" s="6" t="s">
        <v>26</v>
      </c>
      <c r="F14" s="4" t="s">
        <v>35</v>
      </c>
    </row>
    <row r="15" spans="1:6" ht="18" customHeight="1">
      <c r="A15" s="4" t="s">
        <v>36</v>
      </c>
      <c r="B15" s="5">
        <v>7515402</v>
      </c>
      <c r="C15" s="6" t="s">
        <v>7</v>
      </c>
      <c r="D15" s="7" t="str">
        <f t="shared" si="0"/>
        <v>SGA-7515402</v>
      </c>
      <c r="E15" s="6" t="s">
        <v>26</v>
      </c>
      <c r="F15" s="4" t="s">
        <v>37</v>
      </c>
    </row>
    <row r="16" spans="1:6" ht="18" customHeight="1">
      <c r="A16" s="4" t="s">
        <v>38</v>
      </c>
      <c r="B16" s="5">
        <v>7515403</v>
      </c>
      <c r="C16" s="6" t="s">
        <v>7</v>
      </c>
      <c r="D16" s="7" t="str">
        <f t="shared" si="0"/>
        <v>SGA-7515403</v>
      </c>
      <c r="E16" s="6" t="s">
        <v>26</v>
      </c>
      <c r="F16" s="4" t="s">
        <v>39</v>
      </c>
    </row>
    <row r="17" spans="1:6" ht="18" customHeight="1">
      <c r="A17" s="4" t="s">
        <v>40</v>
      </c>
      <c r="B17" s="5">
        <v>7515404</v>
      </c>
      <c r="C17" s="6" t="s">
        <v>7</v>
      </c>
      <c r="D17" s="7" t="str">
        <f t="shared" si="0"/>
        <v>SGA-7515404</v>
      </c>
      <c r="E17" s="6" t="s">
        <v>26</v>
      </c>
      <c r="F17" s="4" t="s">
        <v>41</v>
      </c>
    </row>
    <row r="18" spans="1:6" ht="18" customHeight="1">
      <c r="A18" s="4" t="s">
        <v>42</v>
      </c>
      <c r="B18" s="5">
        <v>7515405</v>
      </c>
      <c r="C18" s="6" t="s">
        <v>7</v>
      </c>
      <c r="D18" s="7" t="str">
        <f t="shared" si="0"/>
        <v>SGA-7515405</v>
      </c>
      <c r="E18" s="6" t="s">
        <v>26</v>
      </c>
      <c r="F18" s="4" t="s">
        <v>43</v>
      </c>
    </row>
    <row r="19" spans="1:6" ht="18" customHeight="1">
      <c r="A19" s="4" t="s">
        <v>44</v>
      </c>
      <c r="B19" s="5">
        <v>7515406</v>
      </c>
      <c r="C19" s="6" t="s">
        <v>7</v>
      </c>
      <c r="D19" s="7" t="str">
        <f t="shared" si="0"/>
        <v>SGA-7515406</v>
      </c>
      <c r="E19" s="6" t="s">
        <v>26</v>
      </c>
      <c r="F19" s="4" t="s">
        <v>45</v>
      </c>
    </row>
    <row r="20" spans="1:6" ht="18" customHeight="1">
      <c r="A20" s="4" t="s">
        <v>46</v>
      </c>
      <c r="B20" s="5">
        <v>7515408</v>
      </c>
      <c r="C20" s="6" t="s">
        <v>7</v>
      </c>
      <c r="D20" s="7" t="str">
        <f t="shared" si="0"/>
        <v>SGA-7515408</v>
      </c>
      <c r="E20" s="6" t="s">
        <v>26</v>
      </c>
      <c r="F20" s="4" t="s">
        <v>47</v>
      </c>
    </row>
    <row r="21" spans="1:6" ht="18" customHeight="1">
      <c r="A21" s="4" t="s">
        <v>48</v>
      </c>
      <c r="B21" s="5">
        <v>7515409</v>
      </c>
      <c r="C21" s="6" t="s">
        <v>7</v>
      </c>
      <c r="D21" s="7" t="str">
        <f t="shared" si="0"/>
        <v>SGA-7515409</v>
      </c>
      <c r="E21" s="6" t="s">
        <v>26</v>
      </c>
      <c r="F21" s="4" t="s">
        <v>49</v>
      </c>
    </row>
    <row r="22" spans="1:6" ht="18" customHeight="1">
      <c r="A22" s="4" t="s">
        <v>50</v>
      </c>
      <c r="B22" s="5">
        <v>7515410</v>
      </c>
      <c r="C22" s="6" t="s">
        <v>7</v>
      </c>
      <c r="D22" s="7" t="str">
        <f t="shared" si="0"/>
        <v>SGA-7515410</v>
      </c>
      <c r="E22" s="6" t="s">
        <v>26</v>
      </c>
      <c r="F22" s="4" t="s">
        <v>51</v>
      </c>
    </row>
    <row r="23" spans="1:6" ht="18" customHeight="1">
      <c r="A23" s="4" t="s">
        <v>52</v>
      </c>
      <c r="B23" s="5">
        <v>7515499</v>
      </c>
      <c r="C23" s="6" t="s">
        <v>7</v>
      </c>
      <c r="D23" s="7" t="str">
        <f t="shared" si="0"/>
        <v>SGA-7515499</v>
      </c>
      <c r="E23" s="6" t="s">
        <v>26</v>
      </c>
      <c r="F23" s="4" t="s">
        <v>53</v>
      </c>
    </row>
    <row r="24" spans="1:6" ht="18" customHeight="1">
      <c r="A24" s="4" t="s">
        <v>54</v>
      </c>
      <c r="B24" s="5">
        <v>7516102</v>
      </c>
      <c r="C24" s="6" t="s">
        <v>7</v>
      </c>
      <c r="D24" s="7" t="str">
        <f t="shared" si="0"/>
        <v>SGA-7516102</v>
      </c>
      <c r="E24" s="6" t="s">
        <v>55</v>
      </c>
      <c r="F24" s="4" t="s">
        <v>56</v>
      </c>
    </row>
    <row r="25" spans="1:6" ht="18" customHeight="1">
      <c r="A25" s="4" t="s">
        <v>57</v>
      </c>
      <c r="B25" s="5">
        <v>7519101</v>
      </c>
      <c r="C25" s="6" t="s">
        <v>7</v>
      </c>
      <c r="D25" s="7" t="str">
        <f t="shared" si="0"/>
        <v>SGA-7519101</v>
      </c>
      <c r="E25" s="6" t="s">
        <v>8</v>
      </c>
      <c r="F25" s="4" t="s">
        <v>58</v>
      </c>
    </row>
    <row r="26" spans="1:6" ht="18" customHeight="1">
      <c r="A26" s="4" t="s">
        <v>59</v>
      </c>
      <c r="B26" s="5">
        <v>7521101</v>
      </c>
      <c r="C26" s="6" t="s">
        <v>7</v>
      </c>
      <c r="D26" s="7" t="str">
        <f t="shared" si="0"/>
        <v>SGA-7521101</v>
      </c>
      <c r="E26" s="6" t="s">
        <v>12</v>
      </c>
      <c r="F26" s="4" t="s">
        <v>60</v>
      </c>
    </row>
    <row r="27" spans="1:6" ht="18" customHeight="1">
      <c r="A27" s="4" t="s">
        <v>61</v>
      </c>
      <c r="B27" s="5">
        <v>7521102</v>
      </c>
      <c r="C27" s="6" t="s">
        <v>7</v>
      </c>
      <c r="D27" s="7" t="str">
        <f t="shared" si="0"/>
        <v>SGA-7521102</v>
      </c>
      <c r="E27" s="6" t="s">
        <v>23</v>
      </c>
      <c r="F27" s="4" t="s">
        <v>62</v>
      </c>
    </row>
    <row r="28" spans="1:6" ht="18" customHeight="1">
      <c r="A28" s="4" t="s">
        <v>63</v>
      </c>
      <c r="B28" s="5">
        <v>7571101</v>
      </c>
      <c r="C28" s="6" t="s">
        <v>7</v>
      </c>
      <c r="D28" s="7" t="str">
        <f t="shared" si="0"/>
        <v>SGA-7571101</v>
      </c>
      <c r="E28" s="6" t="s">
        <v>64</v>
      </c>
      <c r="F28" s="4" t="s">
        <v>65</v>
      </c>
    </row>
    <row r="29" spans="1:6" ht="18" customHeight="1">
      <c r="A29" s="4" t="s">
        <v>66</v>
      </c>
      <c r="B29" s="5">
        <v>7611100</v>
      </c>
      <c r="C29" s="6" t="s">
        <v>7</v>
      </c>
      <c r="D29" s="7" t="str">
        <f t="shared" si="0"/>
        <v>SGA-7611100</v>
      </c>
      <c r="E29" s="6" t="s">
        <v>67</v>
      </c>
      <c r="F29" s="4" t="s">
        <v>68</v>
      </c>
    </row>
    <row r="30" spans="1:6" ht="18" customHeight="1">
      <c r="A30" s="4" t="s">
        <v>69</v>
      </c>
      <c r="B30" s="5">
        <v>7611300</v>
      </c>
      <c r="C30" s="6" t="s">
        <v>7</v>
      </c>
      <c r="D30" s="7" t="str">
        <f t="shared" si="0"/>
        <v>SGA-7611300</v>
      </c>
      <c r="E30" s="6" t="s">
        <v>67</v>
      </c>
      <c r="F30" s="4" t="s">
        <v>70</v>
      </c>
    </row>
    <row r="31" spans="1:6" ht="18" customHeight="1">
      <c r="A31" s="4" t="s">
        <v>71</v>
      </c>
      <c r="B31" s="5">
        <v>7611500</v>
      </c>
      <c r="C31" s="6" t="s">
        <v>7</v>
      </c>
      <c r="D31" s="7" t="str">
        <f t="shared" si="0"/>
        <v>SGA-7611500</v>
      </c>
      <c r="E31" s="6" t="s">
        <v>67</v>
      </c>
      <c r="F31" s="4" t="s">
        <v>72</v>
      </c>
    </row>
    <row r="32" spans="1:6" ht="18" customHeight="1">
      <c r="A32" s="4" t="s">
        <v>73</v>
      </c>
      <c r="B32" s="5">
        <v>7611600</v>
      </c>
      <c r="C32" s="6" t="s">
        <v>7</v>
      </c>
      <c r="D32" s="7" t="str">
        <f t="shared" si="0"/>
        <v>SGA-7611600</v>
      </c>
      <c r="E32" s="6" t="s">
        <v>67</v>
      </c>
      <c r="F32" s="4" t="s">
        <v>74</v>
      </c>
    </row>
    <row r="33" spans="1:6" ht="18" customHeight="1">
      <c r="A33" s="4" t="s">
        <v>75</v>
      </c>
      <c r="B33" s="5">
        <v>7611700</v>
      </c>
      <c r="C33" s="6" t="s">
        <v>7</v>
      </c>
      <c r="D33" s="7" t="str">
        <f t="shared" si="0"/>
        <v>SGA-7611700</v>
      </c>
      <c r="E33" s="6" t="s">
        <v>67</v>
      </c>
      <c r="F33" s="4" t="s">
        <v>76</v>
      </c>
    </row>
    <row r="34" spans="1:6" ht="18" customHeight="1">
      <c r="A34" s="4" t="s">
        <v>77</v>
      </c>
      <c r="B34" s="5">
        <v>7621101</v>
      </c>
      <c r="C34" s="6" t="s">
        <v>7</v>
      </c>
      <c r="D34" s="7" t="str">
        <f t="shared" si="0"/>
        <v>SGA-7621101</v>
      </c>
      <c r="E34" s="6" t="s">
        <v>78</v>
      </c>
      <c r="F34" s="4" t="s">
        <v>79</v>
      </c>
    </row>
    <row r="35" spans="1:6" ht="18" customHeight="1">
      <c r="A35" s="4" t="s">
        <v>80</v>
      </c>
      <c r="B35" s="5">
        <v>7621199</v>
      </c>
      <c r="C35" s="6" t="s">
        <v>7</v>
      </c>
      <c r="D35" s="7" t="str">
        <f t="shared" si="0"/>
        <v>SGA-7621199</v>
      </c>
      <c r="E35" s="6" t="s">
        <v>81</v>
      </c>
      <c r="F35" s="4" t="s">
        <v>82</v>
      </c>
    </row>
    <row r="36" spans="1:6" ht="18" customHeight="1">
      <c r="A36" s="4" t="s">
        <v>83</v>
      </c>
      <c r="B36" s="5">
        <v>7631101</v>
      </c>
      <c r="C36" s="6" t="s">
        <v>7</v>
      </c>
      <c r="D36" s="7" t="str">
        <f t="shared" si="0"/>
        <v>SGA-7631101</v>
      </c>
      <c r="E36" s="6" t="s">
        <v>84</v>
      </c>
      <c r="F36" s="4" t="s">
        <v>85</v>
      </c>
    </row>
    <row r="37" spans="1:6" ht="18" customHeight="1">
      <c r="A37" s="4" t="s">
        <v>86</v>
      </c>
      <c r="B37" s="5">
        <v>7631102</v>
      </c>
      <c r="C37" s="6" t="s">
        <v>7</v>
      </c>
      <c r="D37" s="7" t="str">
        <f t="shared" si="0"/>
        <v>SGA-7631102</v>
      </c>
      <c r="E37" s="6" t="s">
        <v>87</v>
      </c>
      <c r="F37" s="4" t="s">
        <v>88</v>
      </c>
    </row>
    <row r="38" spans="1:6" ht="18" customHeight="1">
      <c r="A38" s="4" t="s">
        <v>89</v>
      </c>
      <c r="B38" s="5">
        <v>7641101</v>
      </c>
      <c r="C38" s="6" t="s">
        <v>7</v>
      </c>
      <c r="D38" s="7" t="str">
        <f t="shared" si="0"/>
        <v>SGA-7641101</v>
      </c>
      <c r="E38" s="6" t="s">
        <v>90</v>
      </c>
      <c r="F38" s="4" t="s">
        <v>91</v>
      </c>
    </row>
    <row r="39" spans="1:6" ht="18" customHeight="1">
      <c r="A39" s="4" t="s">
        <v>92</v>
      </c>
      <c r="B39" s="5">
        <v>7641102</v>
      </c>
      <c r="C39" s="6" t="s">
        <v>7</v>
      </c>
      <c r="D39" s="7" t="str">
        <f t="shared" si="0"/>
        <v>SGA-7641102</v>
      </c>
      <c r="E39" s="6" t="s">
        <v>90</v>
      </c>
      <c r="F39" s="4" t="s">
        <v>93</v>
      </c>
    </row>
    <row r="40" spans="1:6" ht="18" customHeight="1">
      <c r="A40" s="4" t="s">
        <v>94</v>
      </c>
      <c r="B40" s="5">
        <v>7641103</v>
      </c>
      <c r="C40" s="6" t="s">
        <v>7</v>
      </c>
      <c r="D40" s="7" t="str">
        <f t="shared" si="0"/>
        <v>SGA-7641103</v>
      </c>
      <c r="E40" s="6" t="s">
        <v>95</v>
      </c>
      <c r="F40" s="4" t="s">
        <v>96</v>
      </c>
    </row>
    <row r="41" spans="1:6" ht="18" customHeight="1">
      <c r="A41" s="4" t="s">
        <v>97</v>
      </c>
      <c r="B41" s="5">
        <v>7641104</v>
      </c>
      <c r="C41" s="6" t="s">
        <v>7</v>
      </c>
      <c r="D41" s="7" t="str">
        <f t="shared" si="0"/>
        <v>SGA-7641104</v>
      </c>
      <c r="E41" s="6" t="s">
        <v>95</v>
      </c>
      <c r="F41" s="4" t="s">
        <v>98</v>
      </c>
    </row>
    <row r="42" spans="1:6" ht="18" customHeight="1">
      <c r="A42" s="4" t="s">
        <v>99</v>
      </c>
      <c r="B42" s="5">
        <v>7651101</v>
      </c>
      <c r="C42" s="6" t="s">
        <v>7</v>
      </c>
      <c r="D42" s="7" t="str">
        <f t="shared" si="0"/>
        <v>SGA-7651101</v>
      </c>
      <c r="E42" s="6" t="s">
        <v>78</v>
      </c>
      <c r="F42" s="4" t="s">
        <v>100</v>
      </c>
    </row>
    <row r="43" spans="1:6" ht="18" customHeight="1">
      <c r="A43" s="4" t="s">
        <v>101</v>
      </c>
      <c r="B43" s="5">
        <v>7651102</v>
      </c>
      <c r="C43" s="6" t="s">
        <v>7</v>
      </c>
      <c r="D43" s="7" t="str">
        <f t="shared" si="0"/>
        <v>SGA-7651102</v>
      </c>
      <c r="E43" s="6" t="s">
        <v>78</v>
      </c>
      <c r="F43" s="4" t="s">
        <v>102</v>
      </c>
    </row>
    <row r="44" spans="1:6" ht="18" customHeight="1">
      <c r="A44" s="4" t="s">
        <v>103</v>
      </c>
      <c r="B44" s="5">
        <v>7651103</v>
      </c>
      <c r="C44" s="6" t="s">
        <v>7</v>
      </c>
      <c r="D44" s="7" t="str">
        <f t="shared" si="0"/>
        <v>SGA-7651103</v>
      </c>
      <c r="E44" s="6" t="s">
        <v>78</v>
      </c>
      <c r="F44" s="4" t="s">
        <v>104</v>
      </c>
    </row>
    <row r="45" spans="1:6" ht="18" customHeight="1">
      <c r="A45" s="4" t="s">
        <v>105</v>
      </c>
      <c r="B45" s="5">
        <v>7661101</v>
      </c>
      <c r="C45" s="6" t="s">
        <v>7</v>
      </c>
      <c r="D45" s="7" t="str">
        <f t="shared" si="0"/>
        <v>SGA-7661101</v>
      </c>
      <c r="E45" s="6" t="s">
        <v>106</v>
      </c>
      <c r="F45" s="4" t="s">
        <v>107</v>
      </c>
    </row>
    <row r="46" spans="1:6" ht="18" customHeight="1">
      <c r="A46" s="4" t="s">
        <v>108</v>
      </c>
      <c r="B46" s="5">
        <v>7671102</v>
      </c>
      <c r="C46" s="6" t="s">
        <v>7</v>
      </c>
      <c r="D46" s="7" t="str">
        <f t="shared" si="0"/>
        <v>SGA-7671102</v>
      </c>
      <c r="E46" s="6" t="s">
        <v>95</v>
      </c>
      <c r="F46" s="4" t="s">
        <v>109</v>
      </c>
    </row>
    <row r="47" spans="1:6" ht="18" customHeight="1">
      <c r="A47" s="4" t="s">
        <v>110</v>
      </c>
      <c r="B47" s="5">
        <v>7671103</v>
      </c>
      <c r="C47" s="6" t="s">
        <v>7</v>
      </c>
      <c r="D47" s="7" t="str">
        <f t="shared" si="0"/>
        <v>SGA-7671103</v>
      </c>
      <c r="E47" s="6" t="s">
        <v>95</v>
      </c>
      <c r="F47" s="4" t="s">
        <v>111</v>
      </c>
    </row>
    <row r="48" spans="1:6" ht="18" customHeight="1">
      <c r="A48" s="4" t="s">
        <v>112</v>
      </c>
      <c r="B48" s="5">
        <v>7681101</v>
      </c>
      <c r="C48" s="6" t="s">
        <v>7</v>
      </c>
      <c r="D48" s="7" t="str">
        <f t="shared" si="0"/>
        <v>SGA-7681101</v>
      </c>
      <c r="E48" s="6" t="s">
        <v>95</v>
      </c>
      <c r="F48" s="4" t="s">
        <v>113</v>
      </c>
    </row>
    <row r="49" spans="1:6" ht="18" customHeight="1">
      <c r="A49" s="4" t="s">
        <v>114</v>
      </c>
      <c r="B49" s="5">
        <v>7691000</v>
      </c>
      <c r="C49" s="6" t="s">
        <v>7</v>
      </c>
      <c r="D49" s="7" t="str">
        <f t="shared" si="0"/>
        <v>SGA-7691000</v>
      </c>
      <c r="E49" s="6" t="s">
        <v>95</v>
      </c>
      <c r="F49" s="4" t="s">
        <v>115</v>
      </c>
    </row>
    <row r="50" spans="1:6" ht="18" customHeight="1">
      <c r="A50" s="4" t="s">
        <v>116</v>
      </c>
      <c r="B50" s="5">
        <v>7711101</v>
      </c>
      <c r="C50" s="6" t="s">
        <v>7</v>
      </c>
      <c r="D50" s="7" t="str">
        <f t="shared" si="0"/>
        <v>SGA-7711101</v>
      </c>
      <c r="E50" s="6" t="s">
        <v>95</v>
      </c>
      <c r="F50" s="4" t="s">
        <v>117</v>
      </c>
    </row>
    <row r="51" spans="1:6" ht="18" customHeight="1">
      <c r="A51" s="4" t="s">
        <v>118</v>
      </c>
      <c r="B51" s="5">
        <v>7711102</v>
      </c>
      <c r="C51" s="6" t="s">
        <v>7</v>
      </c>
      <c r="D51" s="7" t="str">
        <f t="shared" si="0"/>
        <v>SGA-7711102</v>
      </c>
      <c r="E51" s="6" t="s">
        <v>119</v>
      </c>
      <c r="F51" s="4" t="s">
        <v>120</v>
      </c>
    </row>
    <row r="52" spans="1:6" ht="18" customHeight="1">
      <c r="A52" s="4" t="s">
        <v>121</v>
      </c>
      <c r="B52" s="5">
        <v>7711103</v>
      </c>
      <c r="C52" s="6" t="s">
        <v>7</v>
      </c>
      <c r="D52" s="7" t="str">
        <f t="shared" si="0"/>
        <v>SGA-7711103</v>
      </c>
      <c r="E52" s="6" t="s">
        <v>95</v>
      </c>
      <c r="F52" s="4" t="s">
        <v>122</v>
      </c>
    </row>
    <row r="53" spans="1:6" ht="18" customHeight="1">
      <c r="A53" s="4" t="s">
        <v>123</v>
      </c>
      <c r="B53" s="5">
        <v>7729101</v>
      </c>
      <c r="C53" s="6" t="s">
        <v>7</v>
      </c>
      <c r="D53" s="7" t="str">
        <f t="shared" si="0"/>
        <v>SGA-7729101</v>
      </c>
      <c r="E53" s="6" t="s">
        <v>124</v>
      </c>
      <c r="F53" s="4" t="s">
        <v>125</v>
      </c>
    </row>
    <row r="54" spans="1:6" ht="18" customHeight="1">
      <c r="A54" s="4" t="s">
        <v>126</v>
      </c>
      <c r="B54" s="5">
        <v>7729103</v>
      </c>
      <c r="C54" s="6" t="s">
        <v>7</v>
      </c>
      <c r="D54" s="7" t="str">
        <f t="shared" si="0"/>
        <v>SGA-7729103</v>
      </c>
      <c r="E54" s="6" t="s">
        <v>127</v>
      </c>
      <c r="F54" s="4" t="s">
        <v>128</v>
      </c>
    </row>
    <row r="55" spans="1:6" ht="18" customHeight="1">
      <c r="A55" s="4" t="s">
        <v>129</v>
      </c>
      <c r="B55" s="5">
        <v>7729105</v>
      </c>
      <c r="C55" s="6" t="s">
        <v>7</v>
      </c>
      <c r="D55" s="7" t="str">
        <f t="shared" si="0"/>
        <v>SGA-7729105</v>
      </c>
      <c r="E55" s="6" t="s">
        <v>95</v>
      </c>
      <c r="F55" s="4" t="s">
        <v>130</v>
      </c>
    </row>
    <row r="56" spans="1:6" ht="18" customHeight="1">
      <c r="A56" s="4" t="s">
        <v>131</v>
      </c>
      <c r="B56" s="5">
        <v>7781101</v>
      </c>
      <c r="C56" s="6" t="s">
        <v>7</v>
      </c>
      <c r="D56" s="7" t="str">
        <f t="shared" si="0"/>
        <v>SGA-7781101</v>
      </c>
      <c r="E56" s="6" t="s">
        <v>95</v>
      </c>
      <c r="F56" s="4" t="s">
        <v>132</v>
      </c>
    </row>
    <row r="57" spans="1:6" ht="18" customHeight="1">
      <c r="A57" s="4" t="s">
        <v>133</v>
      </c>
      <c r="B57" s="5">
        <v>7781103</v>
      </c>
      <c r="C57" s="6" t="s">
        <v>7</v>
      </c>
      <c r="D57" s="7" t="str">
        <f t="shared" si="0"/>
        <v>SGA-7781103</v>
      </c>
      <c r="E57" s="6" t="s">
        <v>95</v>
      </c>
      <c r="F57" s="4" t="s">
        <v>134</v>
      </c>
    </row>
    <row r="58" spans="1:6" ht="18" customHeight="1">
      <c r="A58" s="4" t="s">
        <v>135</v>
      </c>
      <c r="B58" s="5">
        <v>7781104</v>
      </c>
      <c r="C58" s="6" t="s">
        <v>7</v>
      </c>
      <c r="D58" s="7" t="str">
        <f t="shared" si="0"/>
        <v>SGA-7781104</v>
      </c>
      <c r="E58" s="6" t="s">
        <v>95</v>
      </c>
      <c r="F58" s="4" t="s">
        <v>136</v>
      </c>
    </row>
    <row r="59" spans="1:6" ht="18" customHeight="1">
      <c r="A59" s="4" t="s">
        <v>137</v>
      </c>
      <c r="B59" s="5">
        <v>7781107</v>
      </c>
      <c r="C59" s="6" t="s">
        <v>7</v>
      </c>
      <c r="D59" s="7" t="str">
        <f t="shared" si="0"/>
        <v>SGA-7781107</v>
      </c>
      <c r="E59" s="6" t="s">
        <v>138</v>
      </c>
      <c r="F59" s="4" t="s">
        <v>139</v>
      </c>
    </row>
    <row r="60" spans="1:6" ht="18" customHeight="1">
      <c r="A60" s="4" t="s">
        <v>140</v>
      </c>
      <c r="B60" s="5">
        <v>7781111</v>
      </c>
      <c r="C60" s="6" t="s">
        <v>7</v>
      </c>
      <c r="D60" s="7" t="str">
        <f t="shared" si="0"/>
        <v>SGA-7781111</v>
      </c>
      <c r="E60" s="6" t="s">
        <v>95</v>
      </c>
      <c r="F60" s="4" t="s">
        <v>141</v>
      </c>
    </row>
    <row r="61" spans="1:6" ht="18" customHeight="1">
      <c r="A61" s="4" t="s">
        <v>142</v>
      </c>
      <c r="B61" s="5">
        <v>7781112</v>
      </c>
      <c r="C61" s="6" t="s">
        <v>7</v>
      </c>
      <c r="D61" s="7" t="str">
        <f t="shared" si="0"/>
        <v>SGA-7781112</v>
      </c>
      <c r="E61" s="6" t="s">
        <v>95</v>
      </c>
      <c r="F61" s="4" t="s">
        <v>143</v>
      </c>
    </row>
    <row r="62" spans="1:6" ht="18" customHeight="1">
      <c r="A62" s="4" t="s">
        <v>144</v>
      </c>
      <c r="B62" s="5">
        <v>7781113</v>
      </c>
      <c r="C62" s="6" t="s">
        <v>7</v>
      </c>
      <c r="D62" s="7" t="str">
        <f t="shared" si="0"/>
        <v>SGA-7781113</v>
      </c>
      <c r="E62" s="6" t="s">
        <v>95</v>
      </c>
      <c r="F62" s="4" t="s">
        <v>145</v>
      </c>
    </row>
    <row r="63" spans="1:6" ht="18" customHeight="1">
      <c r="A63" s="4" t="s">
        <v>146</v>
      </c>
      <c r="B63" s="5">
        <v>7411101</v>
      </c>
      <c r="C63" s="6" t="s">
        <v>7</v>
      </c>
      <c r="D63" s="7" t="str">
        <f t="shared" si="0"/>
        <v>SGA-7411101</v>
      </c>
      <c r="E63" s="6" t="s">
        <v>147</v>
      </c>
      <c r="F63" s="4" t="s">
        <v>148</v>
      </c>
    </row>
    <row r="64" spans="1:6" ht="18" customHeight="1">
      <c r="A64" s="4" t="s">
        <v>149</v>
      </c>
      <c r="B64" s="5">
        <v>7411103</v>
      </c>
      <c r="C64" s="6" t="s">
        <v>7</v>
      </c>
      <c r="D64" s="7" t="str">
        <f t="shared" si="0"/>
        <v>SGA-7411103</v>
      </c>
      <c r="E64" s="6" t="s">
        <v>150</v>
      </c>
      <c r="F64" s="4" t="s">
        <v>151</v>
      </c>
    </row>
    <row r="65" spans="1:6" ht="18" customHeight="1">
      <c r="A65" s="4" t="s">
        <v>152</v>
      </c>
      <c r="B65" s="5">
        <v>7411104</v>
      </c>
      <c r="C65" s="6" t="s">
        <v>7</v>
      </c>
      <c r="D65" s="7" t="str">
        <f t="shared" si="0"/>
        <v>SGA-7411104</v>
      </c>
      <c r="E65" s="6" t="s">
        <v>153</v>
      </c>
      <c r="F65" s="4" t="s">
        <v>154</v>
      </c>
    </row>
    <row r="66" spans="1:6" ht="18" customHeight="1">
      <c r="A66" s="4" t="s">
        <v>155</v>
      </c>
      <c r="B66" s="5">
        <v>7431101</v>
      </c>
      <c r="C66" s="6" t="s">
        <v>7</v>
      </c>
      <c r="D66" s="7" t="str">
        <f t="shared" ref="D66:D129" si="1">C66&amp;"-"&amp;B66</f>
        <v>SGA-7431101</v>
      </c>
      <c r="E66" s="6" t="s">
        <v>156</v>
      </c>
      <c r="F66" s="4" t="s">
        <v>157</v>
      </c>
    </row>
    <row r="67" spans="1:6" ht="18" customHeight="1">
      <c r="A67" s="4" t="s">
        <v>158</v>
      </c>
      <c r="B67" s="5">
        <v>7451101</v>
      </c>
      <c r="C67" s="6" t="s">
        <v>7</v>
      </c>
      <c r="D67" s="7" t="str">
        <f t="shared" si="1"/>
        <v>SGA-7451101</v>
      </c>
      <c r="E67" s="6" t="s">
        <v>159</v>
      </c>
      <c r="F67" s="4" t="s">
        <v>160</v>
      </c>
    </row>
    <row r="68" spans="1:6" ht="18" customHeight="1">
      <c r="A68" s="4" t="s">
        <v>161</v>
      </c>
      <c r="B68" s="5">
        <v>7451102</v>
      </c>
      <c r="C68" s="6" t="s">
        <v>7</v>
      </c>
      <c r="D68" s="7" t="str">
        <f t="shared" si="1"/>
        <v>SGA-7451102</v>
      </c>
      <c r="E68" s="6" t="s">
        <v>162</v>
      </c>
      <c r="F68" s="4" t="s">
        <v>163</v>
      </c>
    </row>
    <row r="69" spans="1:6" ht="18" customHeight="1">
      <c r="A69" s="4" t="s">
        <v>164</v>
      </c>
      <c r="B69" s="5">
        <v>7451103</v>
      </c>
      <c r="C69" s="6" t="s">
        <v>7</v>
      </c>
      <c r="D69" s="7" t="str">
        <f t="shared" si="1"/>
        <v>SGA-7451103</v>
      </c>
      <c r="E69" s="6" t="s">
        <v>165</v>
      </c>
      <c r="F69" s="4" t="s">
        <v>166</v>
      </c>
    </row>
    <row r="70" spans="1:6" ht="18" customHeight="1">
      <c r="A70" s="8" t="s">
        <v>167</v>
      </c>
      <c r="B70" s="5">
        <v>7461101</v>
      </c>
      <c r="C70" s="6" t="s">
        <v>7</v>
      </c>
      <c r="D70" s="7" t="str">
        <f t="shared" si="1"/>
        <v>SGA-7461101</v>
      </c>
      <c r="E70" s="6" t="s">
        <v>168</v>
      </c>
      <c r="F70" s="4" t="s">
        <v>169</v>
      </c>
    </row>
    <row r="71" spans="1:6" ht="18" customHeight="1">
      <c r="A71" s="4" t="s">
        <v>170</v>
      </c>
      <c r="B71" s="5">
        <v>7411105</v>
      </c>
      <c r="C71" s="6" t="s">
        <v>7</v>
      </c>
      <c r="D71" s="6" t="str">
        <f t="shared" si="1"/>
        <v>SGA-7411105</v>
      </c>
      <c r="E71" s="9" t="s">
        <v>171</v>
      </c>
    </row>
    <row r="72" spans="1:6" ht="18" customHeight="1">
      <c r="A72" s="4" t="s">
        <v>172</v>
      </c>
      <c r="B72" s="5">
        <v>7471201</v>
      </c>
      <c r="C72" s="6" t="s">
        <v>7</v>
      </c>
      <c r="D72" s="6" t="str">
        <f t="shared" si="1"/>
        <v>SGA-7471201</v>
      </c>
      <c r="E72" s="9" t="s">
        <v>171</v>
      </c>
    </row>
    <row r="73" spans="1:6" ht="18" customHeight="1">
      <c r="A73" s="4" t="s">
        <v>173</v>
      </c>
      <c r="B73" s="5">
        <v>7751101</v>
      </c>
      <c r="C73" s="6" t="s">
        <v>7</v>
      </c>
      <c r="D73" s="6" t="str">
        <f t="shared" si="1"/>
        <v>SGA-7751101</v>
      </c>
    </row>
    <row r="74" spans="1:6" ht="18" customHeight="1">
      <c r="A74" s="4" t="s">
        <v>174</v>
      </c>
      <c r="B74" s="5">
        <v>7751102</v>
      </c>
      <c r="C74" s="6" t="s">
        <v>7</v>
      </c>
      <c r="D74" s="6" t="str">
        <f t="shared" si="1"/>
        <v>SGA-7751102</v>
      </c>
    </row>
    <row r="75" spans="1:6" ht="18" customHeight="1">
      <c r="A75" s="4" t="s">
        <v>175</v>
      </c>
      <c r="B75" s="10">
        <v>7111211</v>
      </c>
      <c r="C75" s="10" t="s">
        <v>176</v>
      </c>
      <c r="D75" s="10" t="str">
        <f t="shared" si="1"/>
        <v>MFG-7111211</v>
      </c>
    </row>
    <row r="76" spans="1:6" ht="18" customHeight="1">
      <c r="A76" s="4" t="s">
        <v>177</v>
      </c>
      <c r="B76" s="10">
        <v>7111221</v>
      </c>
      <c r="C76" s="10" t="s">
        <v>176</v>
      </c>
      <c r="D76" s="10" t="str">
        <f t="shared" si="1"/>
        <v>MFG-7111221</v>
      </c>
    </row>
    <row r="77" spans="1:6" ht="18" customHeight="1">
      <c r="A77" s="4" t="s">
        <v>178</v>
      </c>
      <c r="B77" s="10">
        <v>7111222</v>
      </c>
      <c r="C77" s="10" t="s">
        <v>176</v>
      </c>
      <c r="D77" s="10" t="str">
        <f t="shared" si="1"/>
        <v>MFG-7111222</v>
      </c>
    </row>
    <row r="78" spans="1:6" ht="18" customHeight="1">
      <c r="A78" s="4" t="s">
        <v>179</v>
      </c>
      <c r="B78" s="10">
        <v>7111223</v>
      </c>
      <c r="C78" s="10" t="s">
        <v>176</v>
      </c>
      <c r="D78" s="10" t="str">
        <f t="shared" si="1"/>
        <v>MFG-7111223</v>
      </c>
    </row>
    <row r="79" spans="1:6" ht="18" customHeight="1">
      <c r="A79" s="4" t="s">
        <v>180</v>
      </c>
      <c r="B79" s="10">
        <v>7111311</v>
      </c>
      <c r="C79" s="10" t="s">
        <v>176</v>
      </c>
      <c r="D79" s="10" t="str">
        <f t="shared" si="1"/>
        <v>MFG-7111311</v>
      </c>
    </row>
    <row r="80" spans="1:6" ht="18" customHeight="1">
      <c r="A80" s="4" t="s">
        <v>181</v>
      </c>
      <c r="B80" s="10">
        <v>7111321</v>
      </c>
      <c r="C80" s="10" t="s">
        <v>176</v>
      </c>
      <c r="D80" s="10" t="str">
        <f t="shared" si="1"/>
        <v>MFG-7111321</v>
      </c>
    </row>
    <row r="81" spans="1:6" ht="18" customHeight="1">
      <c r="A81" s="4" t="s">
        <v>182</v>
      </c>
      <c r="B81" s="10">
        <v>7111322</v>
      </c>
      <c r="C81" s="10" t="s">
        <v>176</v>
      </c>
      <c r="D81" s="10" t="str">
        <f t="shared" si="1"/>
        <v>MFG-7111322</v>
      </c>
    </row>
    <row r="82" spans="1:6" ht="18" customHeight="1">
      <c r="A82" s="4" t="s">
        <v>183</v>
      </c>
      <c r="B82" s="10">
        <v>7111323</v>
      </c>
      <c r="C82" s="10" t="s">
        <v>176</v>
      </c>
      <c r="D82" s="10" t="str">
        <f t="shared" si="1"/>
        <v>MFG-7111323</v>
      </c>
    </row>
    <row r="83" spans="1:6" ht="18" customHeight="1">
      <c r="A83" s="4" t="s">
        <v>184</v>
      </c>
      <c r="B83" s="10">
        <v>7211101</v>
      </c>
      <c r="C83" s="10" t="s">
        <v>176</v>
      </c>
      <c r="D83" s="10" t="str">
        <f t="shared" si="1"/>
        <v>MFG-7211101</v>
      </c>
    </row>
    <row r="84" spans="1:6" ht="18" customHeight="1">
      <c r="A84" s="4" t="s">
        <v>185</v>
      </c>
      <c r="B84" s="10">
        <v>7211102</v>
      </c>
      <c r="C84" s="10" t="s">
        <v>176</v>
      </c>
      <c r="D84" s="10" t="str">
        <f t="shared" si="1"/>
        <v>MFG-7211102</v>
      </c>
      <c r="E84" s="10">
        <v>901</v>
      </c>
      <c r="F84" s="4" t="s">
        <v>186</v>
      </c>
    </row>
    <row r="85" spans="1:6" ht="18" customHeight="1">
      <c r="A85" s="4" t="s">
        <v>187</v>
      </c>
      <c r="B85" s="10">
        <v>7211103</v>
      </c>
      <c r="C85" s="10" t="s">
        <v>176</v>
      </c>
      <c r="D85" s="10" t="str">
        <f t="shared" si="1"/>
        <v>MFG-7211103</v>
      </c>
      <c r="E85" s="10"/>
    </row>
    <row r="86" spans="1:6" ht="18" customHeight="1">
      <c r="A86" s="4" t="s">
        <v>188</v>
      </c>
      <c r="B86" s="10">
        <v>7221101</v>
      </c>
      <c r="C86" s="10" t="s">
        <v>176</v>
      </c>
      <c r="D86" s="10" t="str">
        <f t="shared" si="1"/>
        <v>MFG-7221101</v>
      </c>
      <c r="E86" s="10">
        <v>302</v>
      </c>
      <c r="F86" s="4" t="s">
        <v>189</v>
      </c>
    </row>
    <row r="87" spans="1:6" ht="18" customHeight="1">
      <c r="A87" s="4" t="s">
        <v>190</v>
      </c>
      <c r="B87" s="10">
        <v>7221102</v>
      </c>
      <c r="C87" s="10" t="s">
        <v>176</v>
      </c>
      <c r="D87" s="10" t="str">
        <f t="shared" si="1"/>
        <v>MFG-7221102</v>
      </c>
      <c r="E87" s="10">
        <v>301</v>
      </c>
      <c r="F87" s="4" t="s">
        <v>191</v>
      </c>
    </row>
    <row r="88" spans="1:6" ht="18" customHeight="1">
      <c r="A88" s="4" t="s">
        <v>6</v>
      </c>
      <c r="B88" s="10">
        <v>7511101</v>
      </c>
      <c r="C88" s="10" t="s">
        <v>176</v>
      </c>
      <c r="D88" s="10" t="str">
        <f t="shared" si="1"/>
        <v>MFG-7511101</v>
      </c>
      <c r="E88" s="10">
        <v>602</v>
      </c>
      <c r="F88" s="4" t="s">
        <v>6</v>
      </c>
    </row>
    <row r="89" spans="1:6" ht="18" customHeight="1">
      <c r="A89" s="4" t="s">
        <v>9</v>
      </c>
      <c r="B89" s="10">
        <v>7511102</v>
      </c>
      <c r="C89" s="10" t="s">
        <v>176</v>
      </c>
      <c r="D89" s="10" t="str">
        <f t="shared" si="1"/>
        <v>MFG-7511102</v>
      </c>
      <c r="E89" s="10">
        <v>602</v>
      </c>
      <c r="F89" s="4" t="s">
        <v>10</v>
      </c>
    </row>
    <row r="90" spans="1:6" ht="18" customHeight="1">
      <c r="A90" s="4" t="s">
        <v>11</v>
      </c>
      <c r="B90" s="10">
        <v>7511103</v>
      </c>
      <c r="C90" s="10" t="s">
        <v>176</v>
      </c>
      <c r="D90" s="10" t="str">
        <f t="shared" si="1"/>
        <v>MFG-7511103</v>
      </c>
      <c r="E90" s="10">
        <v>601</v>
      </c>
      <c r="F90" s="4" t="s">
        <v>13</v>
      </c>
    </row>
    <row r="91" spans="1:6" ht="18" customHeight="1">
      <c r="A91" s="4" t="s">
        <v>14</v>
      </c>
      <c r="B91" s="10">
        <v>7511111</v>
      </c>
      <c r="C91" s="10" t="s">
        <v>176</v>
      </c>
      <c r="D91" s="10" t="str">
        <f t="shared" si="1"/>
        <v>MFG-7511111</v>
      </c>
      <c r="E91" s="10">
        <v>601</v>
      </c>
      <c r="F91" s="4" t="s">
        <v>15</v>
      </c>
    </row>
    <row r="92" spans="1:6" ht="18" customHeight="1">
      <c r="A92" s="4" t="s">
        <v>16</v>
      </c>
      <c r="B92" s="10">
        <v>7511112</v>
      </c>
      <c r="C92" s="10" t="s">
        <v>176</v>
      </c>
      <c r="D92" s="10" t="str">
        <f t="shared" si="1"/>
        <v>MFG-7511112</v>
      </c>
      <c r="E92" s="10">
        <v>601</v>
      </c>
      <c r="F92" s="4" t="s">
        <v>17</v>
      </c>
    </row>
    <row r="93" spans="1:6" ht="18" customHeight="1">
      <c r="A93" s="4" t="s">
        <v>18</v>
      </c>
      <c r="B93" s="10">
        <v>7511121</v>
      </c>
      <c r="C93" s="10" t="s">
        <v>176</v>
      </c>
      <c r="D93" s="10" t="str">
        <f t="shared" si="1"/>
        <v>MFG-7511121</v>
      </c>
      <c r="E93" s="10">
        <v>601</v>
      </c>
      <c r="F93" s="4" t="s">
        <v>19</v>
      </c>
    </row>
    <row r="94" spans="1:6" ht="18" customHeight="1">
      <c r="A94" s="4" t="s">
        <v>20</v>
      </c>
      <c r="B94" s="10">
        <v>7511122</v>
      </c>
      <c r="C94" s="10" t="s">
        <v>176</v>
      </c>
      <c r="D94" s="10" t="str">
        <f t="shared" si="1"/>
        <v>MFG-7511122</v>
      </c>
      <c r="E94" s="10">
        <v>601</v>
      </c>
      <c r="F94" s="4" t="s">
        <v>21</v>
      </c>
    </row>
    <row r="95" spans="1:6" ht="18" customHeight="1">
      <c r="A95" s="4" t="s">
        <v>22</v>
      </c>
      <c r="B95" s="10">
        <v>7511201</v>
      </c>
      <c r="C95" s="10" t="s">
        <v>176</v>
      </c>
      <c r="D95" s="10" t="str">
        <f t="shared" si="1"/>
        <v>MFG-7511201</v>
      </c>
      <c r="E95" s="10">
        <v>603</v>
      </c>
      <c r="F95" s="4" t="s">
        <v>24</v>
      </c>
    </row>
    <row r="96" spans="1:6" ht="18" customHeight="1">
      <c r="A96" s="4" t="s">
        <v>25</v>
      </c>
      <c r="B96" s="10">
        <v>7512111</v>
      </c>
      <c r="C96" s="10" t="s">
        <v>176</v>
      </c>
      <c r="D96" s="10" t="str">
        <f t="shared" si="1"/>
        <v>MFG-7512111</v>
      </c>
      <c r="E96" s="10">
        <v>604</v>
      </c>
      <c r="F96" s="4" t="s">
        <v>27</v>
      </c>
    </row>
    <row r="97" spans="1:6" ht="18" customHeight="1">
      <c r="A97" s="4" t="s">
        <v>28</v>
      </c>
      <c r="B97" s="10">
        <v>7512112</v>
      </c>
      <c r="C97" s="10" t="s">
        <v>176</v>
      </c>
      <c r="D97" s="10" t="str">
        <f t="shared" si="1"/>
        <v>MFG-7512112</v>
      </c>
      <c r="E97" s="10">
        <v>604</v>
      </c>
      <c r="F97" s="4" t="s">
        <v>29</v>
      </c>
    </row>
    <row r="98" spans="1:6" ht="18" customHeight="1">
      <c r="A98" s="4" t="s">
        <v>30</v>
      </c>
      <c r="B98" s="10">
        <v>7514101</v>
      </c>
      <c r="C98" s="10" t="s">
        <v>176</v>
      </c>
      <c r="D98" s="10" t="str">
        <f t="shared" si="1"/>
        <v>MFG-7514101</v>
      </c>
      <c r="E98" s="10">
        <v>601</v>
      </c>
      <c r="F98" s="4" t="s">
        <v>31</v>
      </c>
    </row>
    <row r="99" spans="1:6" ht="18" customHeight="1">
      <c r="A99" s="4" t="s">
        <v>32</v>
      </c>
      <c r="B99" s="10">
        <v>7514102</v>
      </c>
      <c r="C99" s="10" t="s">
        <v>176</v>
      </c>
      <c r="D99" s="10" t="str">
        <f t="shared" si="1"/>
        <v>MFG-7514102</v>
      </c>
      <c r="E99" s="10">
        <v>601</v>
      </c>
      <c r="F99" s="4" t="s">
        <v>33</v>
      </c>
    </row>
    <row r="100" spans="1:6" ht="18" customHeight="1">
      <c r="A100" s="4" t="s">
        <v>34</v>
      </c>
      <c r="B100" s="10">
        <v>7515401</v>
      </c>
      <c r="C100" s="10" t="s">
        <v>176</v>
      </c>
      <c r="D100" s="10" t="str">
        <f t="shared" si="1"/>
        <v>MFG-7515401</v>
      </c>
      <c r="E100" s="10">
        <v>604</v>
      </c>
      <c r="F100" s="4" t="s">
        <v>35</v>
      </c>
    </row>
    <row r="101" spans="1:6" ht="18" customHeight="1">
      <c r="A101" s="4" t="s">
        <v>36</v>
      </c>
      <c r="B101" s="10">
        <v>7515402</v>
      </c>
      <c r="C101" s="10" t="s">
        <v>176</v>
      </c>
      <c r="D101" s="10" t="str">
        <f t="shared" si="1"/>
        <v>MFG-7515402</v>
      </c>
      <c r="E101" s="10">
        <v>604</v>
      </c>
      <c r="F101" s="4" t="s">
        <v>37</v>
      </c>
    </row>
    <row r="102" spans="1:6" ht="18" customHeight="1">
      <c r="A102" s="4" t="s">
        <v>38</v>
      </c>
      <c r="B102" s="10">
        <v>7515403</v>
      </c>
      <c r="C102" s="10" t="s">
        <v>176</v>
      </c>
      <c r="D102" s="10" t="str">
        <f t="shared" si="1"/>
        <v>MFG-7515403</v>
      </c>
      <c r="E102" s="10">
        <v>604</v>
      </c>
      <c r="F102" s="4" t="s">
        <v>39</v>
      </c>
    </row>
    <row r="103" spans="1:6" ht="18" customHeight="1">
      <c r="A103" s="4" t="s">
        <v>40</v>
      </c>
      <c r="B103" s="10">
        <v>7515404</v>
      </c>
      <c r="C103" s="10" t="s">
        <v>176</v>
      </c>
      <c r="D103" s="10" t="str">
        <f t="shared" si="1"/>
        <v>MFG-7515404</v>
      </c>
      <c r="E103" s="10">
        <v>604</v>
      </c>
      <c r="F103" s="4" t="s">
        <v>41</v>
      </c>
    </row>
    <row r="104" spans="1:6" ht="18" customHeight="1">
      <c r="A104" s="4" t="s">
        <v>42</v>
      </c>
      <c r="B104" s="10">
        <v>7515405</v>
      </c>
      <c r="C104" s="10" t="s">
        <v>176</v>
      </c>
      <c r="D104" s="10" t="str">
        <f t="shared" si="1"/>
        <v>MFG-7515405</v>
      </c>
      <c r="E104" s="10">
        <v>604</v>
      </c>
      <c r="F104" s="4" t="s">
        <v>43</v>
      </c>
    </row>
    <row r="105" spans="1:6" ht="18" customHeight="1">
      <c r="A105" s="4" t="s">
        <v>44</v>
      </c>
      <c r="B105" s="10">
        <v>7515406</v>
      </c>
      <c r="C105" s="10" t="s">
        <v>176</v>
      </c>
      <c r="D105" s="10" t="str">
        <f t="shared" si="1"/>
        <v>MFG-7515406</v>
      </c>
      <c r="E105" s="10">
        <v>604</v>
      </c>
      <c r="F105" s="4" t="s">
        <v>45</v>
      </c>
    </row>
    <row r="106" spans="1:6" ht="18" customHeight="1">
      <c r="A106" s="4" t="s">
        <v>46</v>
      </c>
      <c r="B106" s="10">
        <v>7515408</v>
      </c>
      <c r="C106" s="10" t="s">
        <v>176</v>
      </c>
      <c r="D106" s="10" t="str">
        <f t="shared" si="1"/>
        <v>MFG-7515408</v>
      </c>
      <c r="E106" s="10">
        <v>604</v>
      </c>
      <c r="F106" s="4" t="s">
        <v>47</v>
      </c>
    </row>
    <row r="107" spans="1:6" ht="18" customHeight="1">
      <c r="A107" s="4" t="s">
        <v>48</v>
      </c>
      <c r="B107" s="10">
        <v>7515409</v>
      </c>
      <c r="C107" s="10" t="s">
        <v>176</v>
      </c>
      <c r="D107" s="10" t="str">
        <f t="shared" si="1"/>
        <v>MFG-7515409</v>
      </c>
      <c r="E107" s="10">
        <v>604</v>
      </c>
      <c r="F107" s="4" t="s">
        <v>49</v>
      </c>
    </row>
    <row r="108" spans="1:6" ht="18" customHeight="1">
      <c r="A108" s="4" t="s">
        <v>50</v>
      </c>
      <c r="B108" s="10">
        <v>7515410</v>
      </c>
      <c r="C108" s="10" t="s">
        <v>176</v>
      </c>
      <c r="D108" s="10" t="str">
        <f t="shared" si="1"/>
        <v>MFG-7515410</v>
      </c>
      <c r="E108" s="10">
        <v>604</v>
      </c>
      <c r="F108" s="4" t="s">
        <v>51</v>
      </c>
    </row>
    <row r="109" spans="1:6" ht="18" customHeight="1">
      <c r="A109" s="4" t="s">
        <v>52</v>
      </c>
      <c r="B109" s="10">
        <v>7515499</v>
      </c>
      <c r="C109" s="10" t="s">
        <v>176</v>
      </c>
      <c r="D109" s="10" t="str">
        <f t="shared" si="1"/>
        <v>MFG-7515499</v>
      </c>
      <c r="E109" s="10">
        <v>604</v>
      </c>
      <c r="F109" s="4" t="s">
        <v>53</v>
      </c>
    </row>
    <row r="110" spans="1:6" ht="18" customHeight="1">
      <c r="A110" s="4" t="s">
        <v>54</v>
      </c>
      <c r="B110" s="10">
        <v>7516102</v>
      </c>
      <c r="C110" s="10" t="s">
        <v>176</v>
      </c>
      <c r="D110" s="10" t="str">
        <f t="shared" si="1"/>
        <v>MFG-7516102</v>
      </c>
      <c r="E110" s="10">
        <v>605</v>
      </c>
      <c r="F110" s="4" t="s">
        <v>56</v>
      </c>
    </row>
    <row r="111" spans="1:6" ht="18" customHeight="1">
      <c r="A111" s="4" t="s">
        <v>57</v>
      </c>
      <c r="B111" s="10">
        <v>7519101</v>
      </c>
      <c r="C111" s="10" t="s">
        <v>176</v>
      </c>
      <c r="D111" s="10" t="str">
        <f t="shared" si="1"/>
        <v>MFG-7519101</v>
      </c>
      <c r="E111" s="10">
        <v>602</v>
      </c>
      <c r="F111" s="4" t="s">
        <v>58</v>
      </c>
    </row>
    <row r="112" spans="1:6" ht="18" customHeight="1">
      <c r="A112" s="4" t="s">
        <v>192</v>
      </c>
      <c r="B112" s="10">
        <v>7521101</v>
      </c>
      <c r="C112" s="10" t="s">
        <v>176</v>
      </c>
      <c r="D112" s="10" t="str">
        <f t="shared" si="1"/>
        <v>MFG-7521101</v>
      </c>
      <c r="E112" s="10">
        <v>601</v>
      </c>
      <c r="F112" s="4" t="s">
        <v>60</v>
      </c>
    </row>
    <row r="113" spans="1:6" ht="18" customHeight="1">
      <c r="A113" s="4" t="s">
        <v>61</v>
      </c>
      <c r="B113" s="10">
        <v>7521102</v>
      </c>
      <c r="C113" s="10" t="s">
        <v>176</v>
      </c>
      <c r="D113" s="10" t="str">
        <f t="shared" si="1"/>
        <v>MFG-7521102</v>
      </c>
      <c r="E113" s="10">
        <v>603</v>
      </c>
      <c r="F113" s="4" t="s">
        <v>62</v>
      </c>
    </row>
    <row r="114" spans="1:6" ht="18" customHeight="1">
      <c r="A114" s="4" t="s">
        <v>63</v>
      </c>
      <c r="B114" s="10">
        <v>7571101</v>
      </c>
      <c r="C114" s="10" t="s">
        <v>176</v>
      </c>
      <c r="D114" s="10" t="str">
        <f t="shared" si="1"/>
        <v>MFG-7571101</v>
      </c>
      <c r="E114" s="10">
        <v>606</v>
      </c>
      <c r="F114" s="4" t="s">
        <v>65</v>
      </c>
    </row>
    <row r="115" spans="1:6" ht="18" customHeight="1">
      <c r="A115" s="4" t="s">
        <v>66</v>
      </c>
      <c r="B115" s="10">
        <v>7611100</v>
      </c>
      <c r="C115" s="10" t="s">
        <v>176</v>
      </c>
      <c r="D115" s="10" t="str">
        <f t="shared" si="1"/>
        <v>MFG-7611100</v>
      </c>
      <c r="E115" s="10">
        <v>701</v>
      </c>
      <c r="F115" s="4" t="s">
        <v>68</v>
      </c>
    </row>
    <row r="116" spans="1:6" ht="18" customHeight="1">
      <c r="A116" s="4" t="s">
        <v>69</v>
      </c>
      <c r="B116" s="10">
        <v>7611300</v>
      </c>
      <c r="C116" s="10" t="s">
        <v>176</v>
      </c>
      <c r="D116" s="10" t="str">
        <f t="shared" si="1"/>
        <v>MFG-7611300</v>
      </c>
      <c r="E116" s="10">
        <v>701</v>
      </c>
      <c r="F116" s="4" t="s">
        <v>70</v>
      </c>
    </row>
    <row r="117" spans="1:6" ht="18" customHeight="1">
      <c r="A117" s="4" t="s">
        <v>71</v>
      </c>
      <c r="B117" s="10">
        <v>7611500</v>
      </c>
      <c r="C117" s="10" t="s">
        <v>176</v>
      </c>
      <c r="D117" s="10" t="str">
        <f t="shared" si="1"/>
        <v>MFG-7611500</v>
      </c>
      <c r="E117" s="10">
        <v>701</v>
      </c>
      <c r="F117" s="4" t="s">
        <v>72</v>
      </c>
    </row>
    <row r="118" spans="1:6" ht="18" customHeight="1">
      <c r="A118" s="4" t="s">
        <v>73</v>
      </c>
      <c r="B118" s="10">
        <v>7611600</v>
      </c>
      <c r="C118" s="10" t="s">
        <v>176</v>
      </c>
      <c r="D118" s="10" t="str">
        <f t="shared" si="1"/>
        <v>MFG-7611600</v>
      </c>
      <c r="E118" s="10">
        <v>701</v>
      </c>
      <c r="F118" s="4" t="s">
        <v>74</v>
      </c>
    </row>
    <row r="119" spans="1:6" ht="18" customHeight="1">
      <c r="A119" s="4" t="s">
        <v>75</v>
      </c>
      <c r="B119" s="10">
        <v>7611700</v>
      </c>
      <c r="C119" s="10" t="s">
        <v>176</v>
      </c>
      <c r="D119" s="10" t="str">
        <f t="shared" si="1"/>
        <v>MFG-7611700</v>
      </c>
      <c r="E119" s="10">
        <v>701</v>
      </c>
      <c r="F119" s="4" t="s">
        <v>76</v>
      </c>
    </row>
    <row r="120" spans="1:6" ht="18" customHeight="1">
      <c r="A120" s="4" t="s">
        <v>77</v>
      </c>
      <c r="B120" s="10">
        <v>7621101</v>
      </c>
      <c r="C120" s="10" t="s">
        <v>176</v>
      </c>
      <c r="D120" s="10" t="str">
        <f t="shared" si="1"/>
        <v>MFG-7621101</v>
      </c>
      <c r="E120" s="10">
        <v>903</v>
      </c>
      <c r="F120" s="4" t="s">
        <v>79</v>
      </c>
    </row>
    <row r="121" spans="1:6" ht="18" customHeight="1">
      <c r="A121" s="8" t="s">
        <v>80</v>
      </c>
      <c r="B121" s="11">
        <v>7621199</v>
      </c>
      <c r="C121" s="10" t="s">
        <v>176</v>
      </c>
      <c r="D121" s="10" t="str">
        <f t="shared" si="1"/>
        <v>MFG-7621199</v>
      </c>
      <c r="E121" s="10">
        <v>801</v>
      </c>
      <c r="F121" s="4" t="s">
        <v>82</v>
      </c>
    </row>
    <row r="122" spans="1:6" ht="18" customHeight="1">
      <c r="A122" s="4" t="s">
        <v>83</v>
      </c>
      <c r="B122" s="10">
        <v>7631101</v>
      </c>
      <c r="C122" s="10" t="s">
        <v>176</v>
      </c>
      <c r="D122" s="10" t="str">
        <f t="shared" si="1"/>
        <v>MFG-7631101</v>
      </c>
      <c r="E122" s="10">
        <v>501</v>
      </c>
      <c r="F122" s="4" t="s">
        <v>85</v>
      </c>
    </row>
    <row r="123" spans="1:6" ht="18" customHeight="1">
      <c r="A123" s="4" t="s">
        <v>86</v>
      </c>
      <c r="B123" s="10">
        <v>7631102</v>
      </c>
      <c r="C123" s="10" t="s">
        <v>176</v>
      </c>
      <c r="D123" s="10" t="str">
        <f t="shared" si="1"/>
        <v>MFG-7631102</v>
      </c>
      <c r="E123" s="10">
        <v>502</v>
      </c>
      <c r="F123" s="4" t="s">
        <v>88</v>
      </c>
    </row>
    <row r="124" spans="1:6" ht="18" customHeight="1">
      <c r="A124" s="4" t="s">
        <v>89</v>
      </c>
      <c r="B124" s="10">
        <v>7641101</v>
      </c>
      <c r="C124" s="10" t="s">
        <v>176</v>
      </c>
      <c r="D124" s="10" t="str">
        <f t="shared" si="1"/>
        <v>MFG-7641101</v>
      </c>
      <c r="E124" s="10">
        <v>401</v>
      </c>
      <c r="F124" s="4" t="s">
        <v>91</v>
      </c>
    </row>
    <row r="125" spans="1:6" ht="18" customHeight="1">
      <c r="A125" s="4" t="s">
        <v>92</v>
      </c>
      <c r="B125" s="10">
        <v>7641102</v>
      </c>
      <c r="C125" s="10" t="s">
        <v>176</v>
      </c>
      <c r="D125" s="10" t="str">
        <f t="shared" si="1"/>
        <v>MFG-7641102</v>
      </c>
      <c r="E125" s="10">
        <v>401</v>
      </c>
      <c r="F125" s="4" t="s">
        <v>93</v>
      </c>
    </row>
    <row r="126" spans="1:6" ht="18" customHeight="1">
      <c r="A126" s="4" t="s">
        <v>94</v>
      </c>
      <c r="B126" s="10">
        <v>7641103</v>
      </c>
      <c r="C126" s="10" t="s">
        <v>176</v>
      </c>
      <c r="D126" s="10" t="str">
        <f t="shared" si="1"/>
        <v>MFG-7641103</v>
      </c>
      <c r="E126" s="10">
        <v>902</v>
      </c>
      <c r="F126" s="4" t="s">
        <v>96</v>
      </c>
    </row>
    <row r="127" spans="1:6" ht="18" customHeight="1">
      <c r="A127" s="4" t="s">
        <v>97</v>
      </c>
      <c r="B127" s="10">
        <v>7641104</v>
      </c>
      <c r="C127" s="10" t="s">
        <v>176</v>
      </c>
      <c r="D127" s="10" t="str">
        <f t="shared" si="1"/>
        <v>MFG-7641104</v>
      </c>
      <c r="E127" s="10">
        <v>999</v>
      </c>
      <c r="F127" s="4" t="s">
        <v>98</v>
      </c>
    </row>
    <row r="128" spans="1:6" ht="18" customHeight="1">
      <c r="A128" s="4" t="s">
        <v>99</v>
      </c>
      <c r="B128" s="10">
        <v>7651101</v>
      </c>
      <c r="C128" s="10" t="s">
        <v>176</v>
      </c>
      <c r="D128" s="10" t="str">
        <f t="shared" si="1"/>
        <v>MFG-7651101</v>
      </c>
      <c r="E128" s="10">
        <v>903</v>
      </c>
      <c r="F128" s="4" t="s">
        <v>100</v>
      </c>
    </row>
    <row r="129" spans="1:6" ht="18" customHeight="1">
      <c r="A129" s="4" t="s">
        <v>101</v>
      </c>
      <c r="B129" s="10">
        <v>7651102</v>
      </c>
      <c r="C129" s="10" t="s">
        <v>176</v>
      </c>
      <c r="D129" s="10" t="str">
        <f t="shared" si="1"/>
        <v>MFG-7651102</v>
      </c>
      <c r="E129" s="10">
        <v>903</v>
      </c>
      <c r="F129" s="4" t="s">
        <v>102</v>
      </c>
    </row>
    <row r="130" spans="1:6" ht="18" customHeight="1">
      <c r="A130" s="4" t="s">
        <v>103</v>
      </c>
      <c r="B130" s="10">
        <v>7651103</v>
      </c>
      <c r="C130" s="10" t="s">
        <v>176</v>
      </c>
      <c r="D130" s="10" t="str">
        <f t="shared" ref="D130:D154" si="2">C130&amp;"-"&amp;B130</f>
        <v>MFG-7651103</v>
      </c>
      <c r="E130" s="10">
        <v>903</v>
      </c>
      <c r="F130" s="4" t="s">
        <v>104</v>
      </c>
    </row>
    <row r="131" spans="1:6" ht="18" customHeight="1">
      <c r="A131" s="4" t="s">
        <v>105</v>
      </c>
      <c r="B131" s="10">
        <v>7661101</v>
      </c>
      <c r="C131" s="10" t="s">
        <v>176</v>
      </c>
      <c r="D131" s="10" t="str">
        <f t="shared" si="2"/>
        <v>MFG-7661101</v>
      </c>
      <c r="E131" s="10">
        <v>999</v>
      </c>
      <c r="F131" s="4" t="s">
        <v>107</v>
      </c>
    </row>
    <row r="132" spans="1:6" ht="18" customHeight="1">
      <c r="A132" s="4" t="s">
        <v>108</v>
      </c>
      <c r="B132" s="10">
        <v>7671102</v>
      </c>
      <c r="C132" s="10" t="s">
        <v>176</v>
      </c>
      <c r="D132" s="10" t="str">
        <f t="shared" si="2"/>
        <v>MFG-7671102</v>
      </c>
      <c r="E132" s="10">
        <v>999</v>
      </c>
      <c r="F132" s="4" t="s">
        <v>109</v>
      </c>
    </row>
    <row r="133" spans="1:6" ht="18" customHeight="1">
      <c r="A133" s="4" t="s">
        <v>110</v>
      </c>
      <c r="B133" s="10">
        <v>7671103</v>
      </c>
      <c r="C133" s="10" t="s">
        <v>176</v>
      </c>
      <c r="D133" s="10" t="str">
        <f t="shared" si="2"/>
        <v>MFG-7671103</v>
      </c>
      <c r="E133" s="10">
        <v>999</v>
      </c>
      <c r="F133" s="4" t="s">
        <v>111</v>
      </c>
    </row>
    <row r="134" spans="1:6" ht="18" customHeight="1">
      <c r="A134" s="4" t="s">
        <v>112</v>
      </c>
      <c r="B134" s="10">
        <v>7681101</v>
      </c>
      <c r="C134" s="10" t="s">
        <v>176</v>
      </c>
      <c r="D134" s="10" t="str">
        <f t="shared" si="2"/>
        <v>MFG-7681101</v>
      </c>
      <c r="E134" s="10">
        <v>999</v>
      </c>
      <c r="F134" s="4" t="s">
        <v>113</v>
      </c>
    </row>
    <row r="135" spans="1:6" ht="18" customHeight="1">
      <c r="A135" s="4" t="s">
        <v>114</v>
      </c>
      <c r="B135" s="10">
        <v>7691000</v>
      </c>
      <c r="C135" s="10" t="s">
        <v>176</v>
      </c>
      <c r="D135" s="10" t="str">
        <f t="shared" si="2"/>
        <v>MFG-7691000</v>
      </c>
      <c r="E135" s="10">
        <v>999</v>
      </c>
      <c r="F135" s="4" t="s">
        <v>115</v>
      </c>
    </row>
    <row r="136" spans="1:6" ht="18" customHeight="1">
      <c r="A136" s="4" t="s">
        <v>116</v>
      </c>
      <c r="B136" s="10">
        <v>7711101</v>
      </c>
      <c r="C136" s="10" t="s">
        <v>176</v>
      </c>
      <c r="D136" s="10" t="str">
        <f t="shared" si="2"/>
        <v>MFG-7711101</v>
      </c>
      <c r="E136" s="10">
        <v>999</v>
      </c>
      <c r="F136" s="4" t="s">
        <v>117</v>
      </c>
    </row>
    <row r="137" spans="1:6" ht="18" customHeight="1">
      <c r="A137" s="4" t="s">
        <v>118</v>
      </c>
      <c r="B137" s="10">
        <v>7711102</v>
      </c>
      <c r="C137" s="10" t="s">
        <v>176</v>
      </c>
      <c r="D137" s="10" t="str">
        <f t="shared" si="2"/>
        <v>MFG-7711102</v>
      </c>
      <c r="E137" s="10">
        <v>904</v>
      </c>
      <c r="F137" s="4" t="s">
        <v>120</v>
      </c>
    </row>
    <row r="138" spans="1:6" ht="18" customHeight="1">
      <c r="A138" s="4" t="s">
        <v>121</v>
      </c>
      <c r="B138" s="10">
        <v>7711103</v>
      </c>
      <c r="C138" s="10" t="s">
        <v>176</v>
      </c>
      <c r="D138" s="10" t="str">
        <f t="shared" si="2"/>
        <v>MFG-7711103</v>
      </c>
      <c r="E138" s="10">
        <v>999</v>
      </c>
      <c r="F138" s="4" t="s">
        <v>122</v>
      </c>
    </row>
    <row r="139" spans="1:6" ht="18" customHeight="1">
      <c r="A139" s="4" t="s">
        <v>123</v>
      </c>
      <c r="B139" s="10">
        <v>7729101</v>
      </c>
      <c r="C139" s="10" t="s">
        <v>176</v>
      </c>
      <c r="D139" s="10" t="str">
        <f t="shared" si="2"/>
        <v>MFG-7729101</v>
      </c>
      <c r="E139" s="10">
        <v>905</v>
      </c>
      <c r="F139" s="4" t="s">
        <v>125</v>
      </c>
    </row>
    <row r="140" spans="1:6" ht="18" customHeight="1">
      <c r="A140" s="4" t="s">
        <v>126</v>
      </c>
      <c r="B140" s="10">
        <v>7729103</v>
      </c>
      <c r="C140" s="10" t="s">
        <v>176</v>
      </c>
      <c r="D140" s="10" t="str">
        <f t="shared" si="2"/>
        <v>MFG-7729103</v>
      </c>
      <c r="E140" s="10">
        <v>907</v>
      </c>
      <c r="F140" s="4" t="s">
        <v>128</v>
      </c>
    </row>
    <row r="141" spans="1:6" ht="18" customHeight="1">
      <c r="A141" s="4" t="s">
        <v>129</v>
      </c>
      <c r="B141" s="10">
        <v>7729105</v>
      </c>
      <c r="C141" s="10" t="s">
        <v>176</v>
      </c>
      <c r="D141" s="10" t="str">
        <f t="shared" si="2"/>
        <v>MFG-7729105</v>
      </c>
      <c r="E141" s="10">
        <v>999</v>
      </c>
      <c r="F141" s="4" t="s">
        <v>130</v>
      </c>
    </row>
    <row r="142" spans="1:6" ht="18" customHeight="1">
      <c r="A142" s="4" t="s">
        <v>131</v>
      </c>
      <c r="B142" s="10">
        <v>7781101</v>
      </c>
      <c r="C142" s="10" t="s">
        <v>176</v>
      </c>
      <c r="D142" s="10" t="str">
        <f t="shared" si="2"/>
        <v>MFG-7781101</v>
      </c>
      <c r="E142" s="10">
        <v>999</v>
      </c>
      <c r="F142" s="4" t="s">
        <v>132</v>
      </c>
    </row>
    <row r="143" spans="1:6" ht="18" customHeight="1">
      <c r="A143" s="4" t="s">
        <v>133</v>
      </c>
      <c r="B143" s="10">
        <v>7781103</v>
      </c>
      <c r="C143" s="10" t="s">
        <v>176</v>
      </c>
      <c r="D143" s="10" t="str">
        <f t="shared" si="2"/>
        <v>MFG-7781103</v>
      </c>
      <c r="E143" s="10">
        <v>999</v>
      </c>
      <c r="F143" s="4" t="s">
        <v>134</v>
      </c>
    </row>
    <row r="144" spans="1:6" ht="18" customHeight="1">
      <c r="A144" s="4" t="s">
        <v>135</v>
      </c>
      <c r="B144" s="10">
        <v>7781104</v>
      </c>
      <c r="C144" s="10" t="s">
        <v>176</v>
      </c>
      <c r="D144" s="10" t="str">
        <f t="shared" si="2"/>
        <v>MFG-7781104</v>
      </c>
      <c r="E144" s="10">
        <v>999</v>
      </c>
      <c r="F144" s="4" t="s">
        <v>136</v>
      </c>
    </row>
    <row r="145" spans="1:6" ht="18" customHeight="1">
      <c r="A145" s="4" t="s">
        <v>137</v>
      </c>
      <c r="B145" s="10">
        <v>7781107</v>
      </c>
      <c r="C145" s="10" t="s">
        <v>176</v>
      </c>
      <c r="D145" s="10" t="str">
        <f t="shared" si="2"/>
        <v>MFG-7781107</v>
      </c>
      <c r="E145" s="10">
        <v>906</v>
      </c>
      <c r="F145" s="4" t="s">
        <v>139</v>
      </c>
    </row>
    <row r="146" spans="1:6" ht="18" customHeight="1">
      <c r="A146" s="4" t="s">
        <v>140</v>
      </c>
      <c r="B146" s="10">
        <v>7781111</v>
      </c>
      <c r="C146" s="10" t="s">
        <v>176</v>
      </c>
      <c r="D146" s="10" t="str">
        <f t="shared" si="2"/>
        <v>MFG-7781111</v>
      </c>
      <c r="E146" s="10">
        <v>999</v>
      </c>
      <c r="F146" s="4" t="s">
        <v>141</v>
      </c>
    </row>
    <row r="147" spans="1:6" ht="18" customHeight="1">
      <c r="A147" s="4" t="s">
        <v>142</v>
      </c>
      <c r="B147" s="10">
        <v>7781112</v>
      </c>
      <c r="C147" s="10" t="s">
        <v>176</v>
      </c>
      <c r="D147" s="10" t="str">
        <f t="shared" si="2"/>
        <v>MFG-7781112</v>
      </c>
      <c r="E147" s="10">
        <v>999</v>
      </c>
      <c r="F147" s="4" t="s">
        <v>143</v>
      </c>
    </row>
    <row r="148" spans="1:6" ht="18" customHeight="1">
      <c r="A148" s="4" t="s">
        <v>144</v>
      </c>
      <c r="B148" s="10">
        <v>7781113</v>
      </c>
      <c r="C148" s="10" t="s">
        <v>176</v>
      </c>
      <c r="D148" s="10" t="str">
        <f t="shared" si="2"/>
        <v>MFG-7781113</v>
      </c>
      <c r="E148" s="10">
        <v>999</v>
      </c>
      <c r="F148" s="4" t="s">
        <v>145</v>
      </c>
    </row>
    <row r="149" spans="1:6" ht="18" customHeight="1">
      <c r="A149" s="4" t="s">
        <v>193</v>
      </c>
      <c r="B149" s="5">
        <v>8291101</v>
      </c>
      <c r="C149" s="6" t="s">
        <v>194</v>
      </c>
      <c r="D149" s="6" t="str">
        <f t="shared" si="2"/>
        <v>OTH-8291101</v>
      </c>
    </row>
    <row r="150" spans="1:6" ht="18" customHeight="1">
      <c r="A150" s="4" t="s">
        <v>195</v>
      </c>
      <c r="B150" s="5">
        <v>8291102</v>
      </c>
      <c r="C150" s="6" t="s">
        <v>194</v>
      </c>
      <c r="D150" s="6" t="str">
        <f t="shared" si="2"/>
        <v>OTH-8291102</v>
      </c>
    </row>
    <row r="151" spans="1:6" ht="18" customHeight="1">
      <c r="A151" s="4" t="s">
        <v>196</v>
      </c>
      <c r="B151" s="5">
        <v>8291201</v>
      </c>
      <c r="C151" s="6" t="s">
        <v>194</v>
      </c>
      <c r="D151" s="6" t="str">
        <f t="shared" si="2"/>
        <v>OTH-8291201</v>
      </c>
    </row>
    <row r="152" spans="1:6" ht="18" customHeight="1">
      <c r="A152" s="4" t="s">
        <v>197</v>
      </c>
      <c r="B152" s="5">
        <v>8291202</v>
      </c>
      <c r="C152" s="6" t="s">
        <v>194</v>
      </c>
      <c r="D152" s="6" t="str">
        <f t="shared" si="2"/>
        <v>OTH-8291202</v>
      </c>
    </row>
    <row r="153" spans="1:6" ht="18" customHeight="1">
      <c r="A153" s="4" t="s">
        <v>198</v>
      </c>
      <c r="B153" s="5">
        <v>8291203</v>
      </c>
      <c r="C153" s="6" t="s">
        <v>194</v>
      </c>
      <c r="D153" s="6" t="str">
        <f t="shared" si="2"/>
        <v>OTH-8291203</v>
      </c>
    </row>
    <row r="154" spans="1:6" ht="18" customHeight="1">
      <c r="A154" s="4" t="s">
        <v>199</v>
      </c>
      <c r="B154" s="5">
        <v>8191101</v>
      </c>
      <c r="C154" s="6" t="s">
        <v>194</v>
      </c>
      <c r="D154" s="6" t="str">
        <f t="shared" si="2"/>
        <v>OTH-8191101</v>
      </c>
    </row>
    <row r="155" spans="1:6" ht="18" customHeight="1">
      <c r="E155" s="12"/>
    </row>
  </sheetData>
  <phoneticPr fontId="24"/>
  <pageMargins left="0.25" right="0.25" top="0.75" bottom="0.75" header="0.3" footer="0.3"/>
  <pageSetup paperSize="9" scale="6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FF172-4F7E-4F8C-81F6-B959C5A7DE76}">
  <sheetPr>
    <tabColor rgb="FFFFFF00"/>
  </sheetPr>
  <dimension ref="A1:O147"/>
  <sheetViews>
    <sheetView tabSelected="1" zoomScaleNormal="100" workbookViewId="0">
      <pane xSplit="8" ySplit="1" topLeftCell="M2" activePane="bottomRight" state="frozen"/>
      <selection pane="topRight" activeCell="D1" sqref="D1"/>
      <selection pane="bottomLeft" activeCell="A2" sqref="A2"/>
      <selection pane="bottomRight" activeCell="A2" sqref="A2"/>
    </sheetView>
  </sheetViews>
  <sheetFormatPr defaultColWidth="8.5703125" defaultRowHeight="15" customHeight="1"/>
  <cols>
    <col min="1" max="1" width="10.42578125" style="25" customWidth="1"/>
    <col min="2" max="2" width="15.5703125" style="106" bestFit="1" customWidth="1"/>
    <col min="3" max="3" width="27" style="25" customWidth="1"/>
    <col min="4" max="4" width="14.42578125" style="26" bestFit="1" customWidth="1"/>
    <col min="5" max="5" width="24.42578125" style="25" customWidth="1"/>
    <col min="6" max="6" width="9" style="30" customWidth="1"/>
    <col min="7" max="7" width="30.5703125" style="25" customWidth="1"/>
    <col min="8" max="8" width="26.85546875" style="25" customWidth="1"/>
    <col min="9" max="9" width="15" style="26" bestFit="1" customWidth="1"/>
    <col min="10" max="10" width="6.85546875" style="26" customWidth="1"/>
    <col min="11" max="11" width="12" style="126" customWidth="1"/>
    <col min="12" max="12" width="10.140625" style="31" customWidth="1"/>
    <col min="13" max="13" width="16.140625" style="30" bestFit="1" customWidth="1"/>
    <col min="14" max="14" width="16.140625" style="30" customWidth="1"/>
    <col min="15" max="15" width="14.42578125" style="51" bestFit="1" customWidth="1"/>
    <col min="16" max="16384" width="8.5703125" style="25"/>
  </cols>
  <sheetData>
    <row r="1" spans="1:15" s="24" customFormat="1" ht="34.9" customHeight="1">
      <c r="A1" s="42" t="s">
        <v>576</v>
      </c>
      <c r="B1" s="128" t="s">
        <v>573</v>
      </c>
      <c r="C1" s="42" t="s">
        <v>574</v>
      </c>
      <c r="D1" s="43" t="s">
        <v>571</v>
      </c>
      <c r="E1" s="42" t="s">
        <v>572</v>
      </c>
      <c r="F1" s="42" t="s">
        <v>300</v>
      </c>
      <c r="G1" s="42" t="s">
        <v>299</v>
      </c>
      <c r="H1" s="42" t="s">
        <v>298</v>
      </c>
      <c r="I1" s="43" t="s">
        <v>301</v>
      </c>
      <c r="J1" s="43" t="s">
        <v>302</v>
      </c>
      <c r="K1" s="125" t="s">
        <v>304</v>
      </c>
      <c r="L1" s="44" t="s">
        <v>305</v>
      </c>
      <c r="M1" s="42" t="s">
        <v>323</v>
      </c>
      <c r="N1" s="42" t="s">
        <v>575</v>
      </c>
      <c r="O1" s="52" t="s">
        <v>482</v>
      </c>
    </row>
    <row r="2" spans="1:15" s="46" customFormat="1" ht="15" customHeight="1">
      <c r="A2" s="46" t="s">
        <v>310</v>
      </c>
      <c r="B2" s="26" t="str">
        <f>_xlfn.IFNA(VLOOKUP(C2,Sheet3!$H:$I,2,FALSE),"")</f>
        <v>B2400</v>
      </c>
      <c r="C2" s="46" t="s">
        <v>229</v>
      </c>
      <c r="D2" s="26" t="str">
        <f>_xlfn.IFNA(VLOOKUP(E2,Sheet3!$H:$I,2,FALSE),"")</f>
        <v>B2400</v>
      </c>
      <c r="E2" s="46" t="s">
        <v>229</v>
      </c>
      <c r="F2" s="47">
        <v>2141000</v>
      </c>
      <c r="G2" s="46" t="s">
        <v>221</v>
      </c>
      <c r="H2" s="46" t="s">
        <v>325</v>
      </c>
      <c r="I2" s="26">
        <v>127990800</v>
      </c>
      <c r="J2" s="26">
        <v>60</v>
      </c>
      <c r="K2" s="126">
        <v>100</v>
      </c>
      <c r="L2" s="28">
        <v>43922</v>
      </c>
      <c r="M2" s="47" t="s">
        <v>314</v>
      </c>
      <c r="N2" s="47"/>
      <c r="O2" s="50">
        <v>127990800</v>
      </c>
    </row>
    <row r="3" spans="1:15" s="46" customFormat="1" ht="15" customHeight="1">
      <c r="A3" s="46" t="s">
        <v>310</v>
      </c>
      <c r="B3" s="26" t="str">
        <f>_xlfn.IFNA(VLOOKUP(C3,Sheet3!$H:$I,2,FALSE),"")</f>
        <v>B2400</v>
      </c>
      <c r="C3" s="46" t="s">
        <v>229</v>
      </c>
      <c r="D3" s="26" t="str">
        <f>_xlfn.IFNA(VLOOKUP(E3,Sheet3!$H:$I,2,FALSE),"")</f>
        <v>B2400</v>
      </c>
      <c r="E3" s="46" t="s">
        <v>229</v>
      </c>
      <c r="F3" s="47">
        <v>2141000</v>
      </c>
      <c r="G3" s="46" t="s">
        <v>221</v>
      </c>
      <c r="H3" s="46" t="s">
        <v>327</v>
      </c>
      <c r="I3" s="26">
        <v>88905600</v>
      </c>
      <c r="J3" s="26">
        <v>60</v>
      </c>
      <c r="K3" s="126">
        <v>100</v>
      </c>
      <c r="L3" s="28">
        <v>43922</v>
      </c>
      <c r="M3" s="47" t="s">
        <v>317</v>
      </c>
      <c r="N3" s="47"/>
      <c r="O3" s="50">
        <v>88905600</v>
      </c>
    </row>
    <row r="4" spans="1:15" s="46" customFormat="1" ht="15" customHeight="1">
      <c r="A4" s="46" t="s">
        <v>310</v>
      </c>
      <c r="B4" s="26" t="str">
        <f>_xlfn.IFNA(VLOOKUP(C4,Sheet3!$H:$I,2,FALSE),"")</f>
        <v>B2400</v>
      </c>
      <c r="C4" s="46" t="s">
        <v>229</v>
      </c>
      <c r="D4" s="26" t="str">
        <f>_xlfn.IFNA(VLOOKUP(E4,Sheet3!$H:$I,2,FALSE),"")</f>
        <v>B2400</v>
      </c>
      <c r="E4" s="46" t="s">
        <v>229</v>
      </c>
      <c r="F4" s="47">
        <v>2141000</v>
      </c>
      <c r="G4" s="46" t="s">
        <v>221</v>
      </c>
      <c r="H4" s="46" t="s">
        <v>329</v>
      </c>
      <c r="I4" s="26">
        <v>15000000</v>
      </c>
      <c r="J4" s="26">
        <v>60</v>
      </c>
      <c r="K4" s="126">
        <v>100</v>
      </c>
      <c r="L4" s="28">
        <v>43983</v>
      </c>
      <c r="M4" s="47" t="s">
        <v>320</v>
      </c>
      <c r="N4" s="47"/>
      <c r="O4" s="50">
        <v>15000000</v>
      </c>
    </row>
    <row r="5" spans="1:15" s="46" customFormat="1" ht="15" customHeight="1">
      <c r="A5" s="46" t="s">
        <v>310</v>
      </c>
      <c r="B5" s="26" t="str">
        <f>_xlfn.IFNA(VLOOKUP(C5,Sheet3!$H:$I,2,FALSE),"")</f>
        <v>B2210</v>
      </c>
      <c r="C5" s="46" t="s">
        <v>331</v>
      </c>
      <c r="D5" s="26" t="str">
        <f>_xlfn.IFNA(VLOOKUP(E5,Sheet3!$H:$I,2,FALSE),"")</f>
        <v>B2210</v>
      </c>
      <c r="E5" s="46" t="s">
        <v>331</v>
      </c>
      <c r="F5" s="47">
        <v>2141000</v>
      </c>
      <c r="G5" s="46" t="s">
        <v>221</v>
      </c>
      <c r="H5" s="46" t="s">
        <v>330</v>
      </c>
      <c r="I5" s="26">
        <v>40000000</v>
      </c>
      <c r="J5" s="26">
        <v>60</v>
      </c>
      <c r="K5" s="126">
        <v>100</v>
      </c>
      <c r="L5" s="49">
        <v>44197</v>
      </c>
      <c r="M5" s="47" t="s">
        <v>320</v>
      </c>
      <c r="N5" s="47"/>
      <c r="O5" s="50">
        <v>40000000</v>
      </c>
    </row>
    <row r="6" spans="1:15" s="46" customFormat="1" ht="15" customHeight="1">
      <c r="A6" s="46" t="s">
        <v>310</v>
      </c>
      <c r="B6" s="26" t="str">
        <f>_xlfn.IFNA(VLOOKUP(C6,Sheet3!$H:$I,2,FALSE),"")</f>
        <v>B2210</v>
      </c>
      <c r="C6" s="46" t="s">
        <v>331</v>
      </c>
      <c r="D6" s="26" t="str">
        <f>_xlfn.IFNA(VLOOKUP(E6,Sheet3!$H:$I,2,FALSE),"")</f>
        <v>B2210</v>
      </c>
      <c r="E6" s="46" t="s">
        <v>331</v>
      </c>
      <c r="F6" s="47">
        <v>2141000</v>
      </c>
      <c r="G6" s="46" t="s">
        <v>221</v>
      </c>
      <c r="H6" s="46" t="s">
        <v>332</v>
      </c>
      <c r="I6" s="26">
        <v>40000000</v>
      </c>
      <c r="J6" s="26">
        <v>60</v>
      </c>
      <c r="K6" s="126">
        <v>100</v>
      </c>
      <c r="L6" s="49">
        <v>44197</v>
      </c>
      <c r="M6" s="47" t="s">
        <v>320</v>
      </c>
      <c r="N6" s="47"/>
      <c r="O6" s="50">
        <v>40000000</v>
      </c>
    </row>
    <row r="7" spans="1:15" ht="15" customHeight="1">
      <c r="A7" s="46" t="s">
        <v>310</v>
      </c>
      <c r="B7" s="26" t="str">
        <f>_xlfn.IFNA(VLOOKUP(C7,Sheet3!$H:$I,2,FALSE),"")</f>
        <v>B2210</v>
      </c>
      <c r="C7" s="46" t="s">
        <v>331</v>
      </c>
      <c r="D7" s="26" t="str">
        <f>_xlfn.IFNA(VLOOKUP(E7,Sheet3!$H:$I,2,FALSE),"")</f>
        <v>B2220</v>
      </c>
      <c r="E7" s="46" t="s">
        <v>309</v>
      </c>
      <c r="F7" s="47">
        <v>2141000</v>
      </c>
      <c r="G7" s="46" t="s">
        <v>221</v>
      </c>
      <c r="H7" s="46" t="s">
        <v>333</v>
      </c>
      <c r="I7" s="26">
        <v>8000000</v>
      </c>
      <c r="J7" s="26">
        <v>60</v>
      </c>
      <c r="K7" s="126">
        <v>100</v>
      </c>
      <c r="L7" s="49">
        <v>44287</v>
      </c>
      <c r="M7" s="47" t="s">
        <v>320</v>
      </c>
      <c r="N7" s="47"/>
      <c r="O7" s="50">
        <v>8000000</v>
      </c>
    </row>
    <row r="8" spans="1:15" ht="15" customHeight="1">
      <c r="A8" s="46" t="s">
        <v>310</v>
      </c>
      <c r="B8" s="26" t="str">
        <f>_xlfn.IFNA(VLOOKUP(C8,Sheet3!$H:$I,2,FALSE),"")</f>
        <v>B2210</v>
      </c>
      <c r="C8" s="46" t="s">
        <v>331</v>
      </c>
      <c r="D8" s="26" t="str">
        <f>_xlfn.IFNA(VLOOKUP(E8,Sheet3!$H:$I,2,FALSE),"")</f>
        <v>B2210</v>
      </c>
      <c r="E8" s="46" t="s">
        <v>331</v>
      </c>
      <c r="F8" s="47">
        <v>2141000</v>
      </c>
      <c r="G8" s="46" t="s">
        <v>221</v>
      </c>
      <c r="H8" s="46" t="s">
        <v>334</v>
      </c>
      <c r="I8" s="26">
        <v>8000000</v>
      </c>
      <c r="J8" s="26">
        <v>60</v>
      </c>
      <c r="K8" s="126">
        <v>100</v>
      </c>
      <c r="L8" s="49">
        <v>44287</v>
      </c>
      <c r="M8" s="47" t="s">
        <v>320</v>
      </c>
      <c r="N8" s="47"/>
      <c r="O8" s="50">
        <v>8000000</v>
      </c>
    </row>
    <row r="9" spans="1:15" ht="15" customHeight="1">
      <c r="A9" s="46" t="s">
        <v>310</v>
      </c>
      <c r="B9" s="26" t="str">
        <f>_xlfn.IFNA(VLOOKUP(C9,Sheet3!$H:$I,2,FALSE),"")</f>
        <v>B2210</v>
      </c>
      <c r="C9" s="46" t="s">
        <v>331</v>
      </c>
      <c r="D9" s="26" t="str">
        <f>_xlfn.IFNA(VLOOKUP(E9,Sheet3!$H:$I,2,FALSE),"")</f>
        <v>B2220</v>
      </c>
      <c r="E9" s="46" t="s">
        <v>309</v>
      </c>
      <c r="F9" s="47">
        <v>2141000</v>
      </c>
      <c r="G9" s="46" t="s">
        <v>221</v>
      </c>
      <c r="H9" s="46" t="s">
        <v>335</v>
      </c>
      <c r="I9" s="26">
        <v>10000000</v>
      </c>
      <c r="J9" s="26">
        <v>60</v>
      </c>
      <c r="K9" s="126">
        <v>100</v>
      </c>
      <c r="L9" s="49">
        <v>44287</v>
      </c>
      <c r="M9" s="47" t="s">
        <v>320</v>
      </c>
      <c r="N9" s="47"/>
      <c r="O9" s="50">
        <v>10000000</v>
      </c>
    </row>
    <row r="10" spans="1:15" ht="15" customHeight="1">
      <c r="A10" s="46" t="s">
        <v>310</v>
      </c>
      <c r="B10" s="26" t="str">
        <f>_xlfn.IFNA(VLOOKUP(C10,Sheet3!$H:$I,2,FALSE),"")</f>
        <v>B2210</v>
      </c>
      <c r="C10" s="46" t="s">
        <v>331</v>
      </c>
      <c r="D10" s="26" t="str">
        <f>_xlfn.IFNA(VLOOKUP(E10,Sheet3!$H:$I,2,FALSE),"")</f>
        <v>B2210</v>
      </c>
      <c r="E10" s="46" t="s">
        <v>331</v>
      </c>
      <c r="F10" s="47">
        <v>2141000</v>
      </c>
      <c r="G10" s="46" t="s">
        <v>221</v>
      </c>
      <c r="H10" s="46" t="s">
        <v>336</v>
      </c>
      <c r="I10" s="26">
        <v>10000000</v>
      </c>
      <c r="J10" s="26">
        <v>60</v>
      </c>
      <c r="K10" s="126">
        <v>100</v>
      </c>
      <c r="L10" s="49">
        <v>44287</v>
      </c>
      <c r="M10" s="47" t="s">
        <v>320</v>
      </c>
      <c r="N10" s="47"/>
      <c r="O10" s="50">
        <v>10000000</v>
      </c>
    </row>
    <row r="11" spans="1:15" ht="15" customHeight="1">
      <c r="A11" s="46" t="s">
        <v>310</v>
      </c>
      <c r="B11" s="26" t="str">
        <f>_xlfn.IFNA(VLOOKUP(C11,Sheet3!$H:$I,2,FALSE),"")</f>
        <v>B2210</v>
      </c>
      <c r="C11" s="46" t="s">
        <v>331</v>
      </c>
      <c r="D11" s="26" t="str">
        <f>_xlfn.IFNA(VLOOKUP(E11,Sheet3!$H:$I,2,FALSE),"")</f>
        <v>B2210</v>
      </c>
      <c r="E11" s="46" t="s">
        <v>331</v>
      </c>
      <c r="F11" s="47">
        <v>2141000</v>
      </c>
      <c r="G11" s="46" t="s">
        <v>221</v>
      </c>
      <c r="H11" s="46" t="s">
        <v>337</v>
      </c>
      <c r="I11" s="26">
        <v>8000000</v>
      </c>
      <c r="J11" s="26">
        <v>60</v>
      </c>
      <c r="K11" s="126">
        <v>100</v>
      </c>
      <c r="L11" s="49">
        <v>44348</v>
      </c>
      <c r="M11" s="47" t="s">
        <v>320</v>
      </c>
      <c r="N11" s="47"/>
      <c r="O11" s="50">
        <v>8000000</v>
      </c>
    </row>
    <row r="12" spans="1:15" ht="15" customHeight="1">
      <c r="A12" s="46" t="s">
        <v>310</v>
      </c>
      <c r="B12" s="26" t="str">
        <f>_xlfn.IFNA(VLOOKUP(C12,Sheet3!$H:$I,2,FALSE),"")</f>
        <v>B2210</v>
      </c>
      <c r="C12" s="46" t="s">
        <v>331</v>
      </c>
      <c r="D12" s="26" t="str">
        <f>_xlfn.IFNA(VLOOKUP(E12,Sheet3!$H:$I,2,FALSE),"")</f>
        <v>B2210</v>
      </c>
      <c r="E12" s="46" t="s">
        <v>331</v>
      </c>
      <c r="F12" s="47">
        <v>2141000</v>
      </c>
      <c r="G12" s="46" t="s">
        <v>221</v>
      </c>
      <c r="H12" s="46" t="s">
        <v>338</v>
      </c>
      <c r="I12" s="26">
        <v>8000000</v>
      </c>
      <c r="J12" s="26">
        <v>60</v>
      </c>
      <c r="K12" s="126">
        <v>100</v>
      </c>
      <c r="L12" s="49">
        <v>44348</v>
      </c>
      <c r="M12" s="47" t="s">
        <v>320</v>
      </c>
      <c r="N12" s="47"/>
      <c r="O12" s="50">
        <v>8000000</v>
      </c>
    </row>
    <row r="13" spans="1:15" ht="15" customHeight="1">
      <c r="A13" s="46" t="s">
        <v>310</v>
      </c>
      <c r="B13" s="26" t="str">
        <f>_xlfn.IFNA(VLOOKUP(C13,Sheet3!$H:$I,2,FALSE),"")</f>
        <v>B2210</v>
      </c>
      <c r="C13" s="46" t="s">
        <v>331</v>
      </c>
      <c r="D13" s="26" t="str">
        <f>_xlfn.IFNA(VLOOKUP(E13,Sheet3!$H:$I,2,FALSE),"")</f>
        <v>B2210</v>
      </c>
      <c r="E13" s="46" t="s">
        <v>331</v>
      </c>
      <c r="F13" s="47">
        <v>2141000</v>
      </c>
      <c r="G13" s="46" t="s">
        <v>221</v>
      </c>
      <c r="H13" s="46" t="s">
        <v>339</v>
      </c>
      <c r="I13" s="26">
        <v>8000000</v>
      </c>
      <c r="J13" s="26">
        <v>60</v>
      </c>
      <c r="K13" s="126">
        <v>100</v>
      </c>
      <c r="L13" s="49">
        <v>44348</v>
      </c>
      <c r="M13" s="47" t="s">
        <v>320</v>
      </c>
      <c r="N13" s="47"/>
      <c r="O13" s="50">
        <v>8000000</v>
      </c>
    </row>
    <row r="14" spans="1:15" ht="15" customHeight="1">
      <c r="A14" s="46" t="s">
        <v>310</v>
      </c>
      <c r="B14" s="26" t="str">
        <f>_xlfn.IFNA(VLOOKUP(C14,Sheet3!$H:$I,2,FALSE),"")</f>
        <v>B2210</v>
      </c>
      <c r="C14" s="46" t="s">
        <v>331</v>
      </c>
      <c r="D14" s="26" t="str">
        <f>_xlfn.IFNA(VLOOKUP(E14,Sheet3!$H:$I,2,FALSE),"")</f>
        <v>B2210</v>
      </c>
      <c r="E14" s="46" t="s">
        <v>331</v>
      </c>
      <c r="F14" s="47">
        <v>2141000</v>
      </c>
      <c r="G14" s="46" t="s">
        <v>221</v>
      </c>
      <c r="H14" s="46" t="s">
        <v>340</v>
      </c>
      <c r="I14" s="26">
        <v>10000000</v>
      </c>
      <c r="J14" s="26">
        <v>60</v>
      </c>
      <c r="K14" s="126">
        <v>100</v>
      </c>
      <c r="L14" s="49">
        <v>44348</v>
      </c>
      <c r="M14" s="47" t="s">
        <v>320</v>
      </c>
      <c r="N14" s="47"/>
      <c r="O14" s="50">
        <v>10000000</v>
      </c>
    </row>
    <row r="15" spans="1:15" ht="15" customHeight="1">
      <c r="A15" s="46" t="s">
        <v>310</v>
      </c>
      <c r="B15" s="26" t="str">
        <f>_xlfn.IFNA(VLOOKUP(C15,Sheet3!$H:$I,2,FALSE),"")</f>
        <v>B2210</v>
      </c>
      <c r="C15" s="46" t="s">
        <v>331</v>
      </c>
      <c r="D15" s="26" t="str">
        <f>_xlfn.IFNA(VLOOKUP(E15,Sheet3!$H:$I,2,FALSE),"")</f>
        <v>B2210</v>
      </c>
      <c r="E15" s="46" t="s">
        <v>331</v>
      </c>
      <c r="F15" s="47">
        <v>2141000</v>
      </c>
      <c r="G15" s="46" t="s">
        <v>221</v>
      </c>
      <c r="H15" s="46" t="s">
        <v>341</v>
      </c>
      <c r="I15" s="26">
        <v>10000000</v>
      </c>
      <c r="J15" s="26">
        <v>60</v>
      </c>
      <c r="K15" s="126">
        <v>100</v>
      </c>
      <c r="L15" s="49">
        <v>44348</v>
      </c>
      <c r="M15" s="47" t="s">
        <v>320</v>
      </c>
      <c r="N15" s="47"/>
      <c r="O15" s="50">
        <v>10000000</v>
      </c>
    </row>
    <row r="16" spans="1:15" ht="15" customHeight="1">
      <c r="A16" s="46" t="s">
        <v>310</v>
      </c>
      <c r="B16" s="26" t="str">
        <f>_xlfn.IFNA(VLOOKUP(C16,Sheet3!$H:$I,2,FALSE),"")</f>
        <v>B2210</v>
      </c>
      <c r="C16" s="46" t="s">
        <v>331</v>
      </c>
      <c r="D16" s="26" t="str">
        <f>_xlfn.IFNA(VLOOKUP(E16,Sheet3!$H:$I,2,FALSE),"")</f>
        <v>B2210</v>
      </c>
      <c r="E16" s="46" t="s">
        <v>331</v>
      </c>
      <c r="F16" s="47">
        <v>2141000</v>
      </c>
      <c r="G16" s="46" t="s">
        <v>221</v>
      </c>
      <c r="H16" s="46" t="s">
        <v>342</v>
      </c>
      <c r="I16" s="26">
        <v>10000000</v>
      </c>
      <c r="J16" s="26">
        <v>60</v>
      </c>
      <c r="K16" s="126">
        <v>100</v>
      </c>
      <c r="L16" s="49">
        <v>44348</v>
      </c>
      <c r="M16" s="47" t="s">
        <v>320</v>
      </c>
      <c r="N16" s="47"/>
      <c r="O16" s="50">
        <v>10000000</v>
      </c>
    </row>
    <row r="17" spans="1:15" ht="15" customHeight="1">
      <c r="A17" s="46" t="s">
        <v>310</v>
      </c>
      <c r="B17" s="26" t="str">
        <f>_xlfn.IFNA(VLOOKUP(C17,Sheet3!$H:$I,2,FALSE),"")</f>
        <v>B2210</v>
      </c>
      <c r="C17" s="46" t="s">
        <v>331</v>
      </c>
      <c r="D17" s="26" t="str">
        <f>_xlfn.IFNA(VLOOKUP(E17,Sheet3!$H:$I,2,FALSE),"")</f>
        <v>B2210</v>
      </c>
      <c r="E17" s="46" t="s">
        <v>331</v>
      </c>
      <c r="F17" s="47">
        <v>2141000</v>
      </c>
      <c r="G17" s="46" t="s">
        <v>221</v>
      </c>
      <c r="H17" s="46" t="s">
        <v>343</v>
      </c>
      <c r="I17" s="26">
        <v>90000000</v>
      </c>
      <c r="J17" s="26">
        <v>60</v>
      </c>
      <c r="K17" s="126">
        <v>100</v>
      </c>
      <c r="L17" s="49">
        <v>44470</v>
      </c>
      <c r="M17" s="47" t="s">
        <v>320</v>
      </c>
      <c r="N17" s="47"/>
      <c r="O17" s="50">
        <v>90000000</v>
      </c>
    </row>
    <row r="18" spans="1:15" ht="15" customHeight="1">
      <c r="A18" s="46" t="s">
        <v>310</v>
      </c>
      <c r="B18" s="26" t="str">
        <f>_xlfn.IFNA(VLOOKUP(C18,Sheet3!$H:$I,2,FALSE),"")</f>
        <v>B2210</v>
      </c>
      <c r="C18" s="46" t="s">
        <v>331</v>
      </c>
      <c r="D18" s="26" t="str">
        <f>_xlfn.IFNA(VLOOKUP(E18,Sheet3!$H:$I,2,FALSE),"")</f>
        <v/>
      </c>
      <c r="E18" s="46" t="s">
        <v>345</v>
      </c>
      <c r="F18" s="47">
        <v>2131000</v>
      </c>
      <c r="G18" s="46" t="s">
        <v>218</v>
      </c>
      <c r="H18" s="46" t="s">
        <v>344</v>
      </c>
      <c r="I18" s="26">
        <v>467500000</v>
      </c>
      <c r="J18" s="26">
        <v>60</v>
      </c>
      <c r="K18" s="126">
        <v>100</v>
      </c>
      <c r="L18" s="49">
        <v>44264</v>
      </c>
      <c r="M18" s="47" t="s">
        <v>320</v>
      </c>
      <c r="N18" s="47"/>
      <c r="O18" s="50">
        <v>467500000</v>
      </c>
    </row>
    <row r="19" spans="1:15" ht="15" customHeight="1">
      <c r="A19" s="46" t="s">
        <v>310</v>
      </c>
      <c r="B19" s="26" t="str">
        <f>_xlfn.IFNA(VLOOKUP(C19,Sheet3!$H:$I,2,FALSE),"")</f>
        <v>B2210</v>
      </c>
      <c r="C19" s="46" t="s">
        <v>331</v>
      </c>
      <c r="D19" s="26" t="str">
        <f>_xlfn.IFNA(VLOOKUP(E19,Sheet3!$H:$I,2,FALSE),"")</f>
        <v>B2210</v>
      </c>
      <c r="E19" s="46" t="s">
        <v>331</v>
      </c>
      <c r="F19" s="47">
        <v>2131000</v>
      </c>
      <c r="G19" s="46" t="s">
        <v>218</v>
      </c>
      <c r="H19" s="46" t="s">
        <v>346</v>
      </c>
      <c r="I19" s="26">
        <v>220000000</v>
      </c>
      <c r="J19" s="26">
        <v>60</v>
      </c>
      <c r="K19" s="126">
        <v>100</v>
      </c>
      <c r="L19" s="49">
        <v>44287</v>
      </c>
      <c r="M19" s="47" t="s">
        <v>320</v>
      </c>
      <c r="N19" s="47"/>
      <c r="O19" s="50">
        <v>220000000</v>
      </c>
    </row>
    <row r="20" spans="1:15" ht="15" customHeight="1">
      <c r="A20" s="46" t="s">
        <v>310</v>
      </c>
      <c r="B20" s="26" t="str">
        <f>_xlfn.IFNA(VLOOKUP(C20,Sheet3!$H:$I,2,FALSE),"")</f>
        <v>B2210</v>
      </c>
      <c r="C20" s="46" t="s">
        <v>331</v>
      </c>
      <c r="D20" s="26" t="str">
        <f>_xlfn.IFNA(VLOOKUP(E20,Sheet3!$H:$I,2,FALSE),"")</f>
        <v>B2210</v>
      </c>
      <c r="E20" s="46" t="s">
        <v>331</v>
      </c>
      <c r="F20" s="47">
        <v>2131000</v>
      </c>
      <c r="G20" s="46" t="s">
        <v>218</v>
      </c>
      <c r="H20" s="46" t="s">
        <v>346</v>
      </c>
      <c r="I20" s="26">
        <v>220000000</v>
      </c>
      <c r="J20" s="26">
        <v>60</v>
      </c>
      <c r="K20" s="126">
        <v>100</v>
      </c>
      <c r="L20" s="49">
        <v>44378</v>
      </c>
      <c r="M20" s="47" t="s">
        <v>320</v>
      </c>
      <c r="N20" s="47"/>
      <c r="O20" s="50">
        <v>220000000</v>
      </c>
    </row>
    <row r="21" spans="1:15" ht="15" customHeight="1">
      <c r="A21" s="46" t="s">
        <v>310</v>
      </c>
      <c r="B21" s="26" t="str">
        <f>_xlfn.IFNA(VLOOKUP(C21,Sheet3!$H:$I,2,FALSE),"")</f>
        <v>B2210</v>
      </c>
      <c r="C21" s="46" t="s">
        <v>331</v>
      </c>
      <c r="D21" s="26" t="str">
        <f>_xlfn.IFNA(VLOOKUP(E21,Sheet3!$H:$I,2,FALSE),"")</f>
        <v>B2210</v>
      </c>
      <c r="E21" s="46" t="s">
        <v>331</v>
      </c>
      <c r="F21" s="47">
        <v>2131000</v>
      </c>
      <c r="G21" s="46" t="s">
        <v>218</v>
      </c>
      <c r="H21" s="46" t="s">
        <v>346</v>
      </c>
      <c r="I21" s="26">
        <v>220000000</v>
      </c>
      <c r="J21" s="26">
        <v>60</v>
      </c>
      <c r="K21" s="126">
        <v>100</v>
      </c>
      <c r="L21" s="49">
        <v>44440</v>
      </c>
      <c r="M21" s="47" t="s">
        <v>320</v>
      </c>
      <c r="N21" s="47"/>
      <c r="O21" s="50">
        <v>220000000</v>
      </c>
    </row>
    <row r="22" spans="1:15" ht="15" customHeight="1">
      <c r="A22" s="46" t="s">
        <v>310</v>
      </c>
      <c r="B22" s="26" t="str">
        <f>_xlfn.IFNA(VLOOKUP(C22,Sheet3!$H:$I,2,FALSE),"")</f>
        <v>B2210</v>
      </c>
      <c r="C22" s="46" t="s">
        <v>331</v>
      </c>
      <c r="D22" s="26" t="str">
        <f>_xlfn.IFNA(VLOOKUP(E22,Sheet3!$H:$I,2,FALSE),"")</f>
        <v/>
      </c>
      <c r="E22" s="46" t="s">
        <v>348</v>
      </c>
      <c r="F22" s="47">
        <v>2131000</v>
      </c>
      <c r="G22" s="46" t="s">
        <v>218</v>
      </c>
      <c r="H22" s="46" t="s">
        <v>347</v>
      </c>
      <c r="I22" s="26">
        <v>734000000</v>
      </c>
      <c r="J22" s="26">
        <v>60</v>
      </c>
      <c r="K22" s="126">
        <v>100</v>
      </c>
      <c r="L22" s="49">
        <v>44531</v>
      </c>
      <c r="M22" s="47" t="s">
        <v>320</v>
      </c>
      <c r="N22" s="47"/>
      <c r="O22" s="50">
        <v>734000000</v>
      </c>
    </row>
    <row r="23" spans="1:15" ht="15" customHeight="1">
      <c r="A23" s="46" t="s">
        <v>310</v>
      </c>
      <c r="B23" s="26" t="str">
        <f>_xlfn.IFNA(VLOOKUP(C23,Sheet3!$H:$I,2,FALSE),"")</f>
        <v>B2210</v>
      </c>
      <c r="C23" s="46" t="s">
        <v>331</v>
      </c>
      <c r="D23" s="26" t="str">
        <f>_xlfn.IFNA(VLOOKUP(E23,Sheet3!$H:$I,2,FALSE),"")</f>
        <v/>
      </c>
      <c r="E23" s="46" t="s">
        <v>348</v>
      </c>
      <c r="F23" s="47">
        <v>2131000</v>
      </c>
      <c r="G23" s="46" t="s">
        <v>218</v>
      </c>
      <c r="H23" s="46" t="s">
        <v>349</v>
      </c>
      <c r="I23" s="26">
        <v>500000000</v>
      </c>
      <c r="J23" s="26">
        <v>60</v>
      </c>
      <c r="K23" s="126">
        <v>100</v>
      </c>
      <c r="L23" s="49">
        <v>44593</v>
      </c>
      <c r="M23" s="47" t="s">
        <v>320</v>
      </c>
      <c r="N23" s="47"/>
      <c r="O23" s="50">
        <v>500000000</v>
      </c>
    </row>
    <row r="24" spans="1:15" ht="15" customHeight="1">
      <c r="A24" s="46" t="s">
        <v>310</v>
      </c>
      <c r="B24" s="26" t="str">
        <f>_xlfn.IFNA(VLOOKUP(C24,Sheet3!$H:$I,2,FALSE),"")</f>
        <v>B2210</v>
      </c>
      <c r="C24" s="46" t="s">
        <v>331</v>
      </c>
      <c r="D24" s="26" t="str">
        <f>_xlfn.IFNA(VLOOKUP(E24,Sheet3!$H:$I,2,FALSE),"")</f>
        <v>B2210</v>
      </c>
      <c r="E24" s="46" t="s">
        <v>331</v>
      </c>
      <c r="F24" s="47">
        <v>2131000</v>
      </c>
      <c r="G24" s="46" t="s">
        <v>218</v>
      </c>
      <c r="H24" s="46" t="s">
        <v>350</v>
      </c>
      <c r="I24" s="26">
        <v>235000000</v>
      </c>
      <c r="J24" s="26">
        <v>60</v>
      </c>
      <c r="K24" s="126">
        <v>100</v>
      </c>
      <c r="L24" s="49">
        <v>44805</v>
      </c>
      <c r="M24" s="47" t="s">
        <v>320</v>
      </c>
      <c r="N24" s="47"/>
      <c r="O24" s="50">
        <v>235000000</v>
      </c>
    </row>
    <row r="25" spans="1:15" ht="15" customHeight="1">
      <c r="A25" s="46" t="s">
        <v>310</v>
      </c>
      <c r="B25" s="26" t="str">
        <f>_xlfn.IFNA(VLOOKUP(C25,Sheet3!$H:$I,2,FALSE),"")</f>
        <v>B2210</v>
      </c>
      <c r="C25" s="46" t="s">
        <v>331</v>
      </c>
      <c r="D25" s="26" t="str">
        <f>_xlfn.IFNA(VLOOKUP(E25,Sheet3!$H:$I,2,FALSE),"")</f>
        <v/>
      </c>
      <c r="E25" s="46" t="s">
        <v>352</v>
      </c>
      <c r="F25" s="47">
        <v>2131000</v>
      </c>
      <c r="G25" s="46" t="s">
        <v>218</v>
      </c>
      <c r="H25" s="46" t="s">
        <v>351</v>
      </c>
      <c r="I25" s="26">
        <v>270000000</v>
      </c>
      <c r="J25" s="26">
        <v>60</v>
      </c>
      <c r="K25" s="126">
        <v>100</v>
      </c>
      <c r="L25" s="49">
        <v>44958</v>
      </c>
      <c r="M25" s="47" t="s">
        <v>320</v>
      </c>
      <c r="N25" s="47"/>
      <c r="O25" s="50">
        <v>270000000</v>
      </c>
    </row>
    <row r="26" spans="1:15" ht="15" customHeight="1">
      <c r="A26" s="46" t="s">
        <v>310</v>
      </c>
      <c r="B26" s="26" t="str">
        <f>_xlfn.IFNA(VLOOKUP(C26,Sheet3!$H:$I,2,FALSE),"")</f>
        <v>B2210</v>
      </c>
      <c r="C26" s="46" t="s">
        <v>331</v>
      </c>
      <c r="D26" s="26" t="str">
        <f>_xlfn.IFNA(VLOOKUP(E26,Sheet3!$H:$I,2,FALSE),"")</f>
        <v>B2210</v>
      </c>
      <c r="E26" s="46" t="s">
        <v>331</v>
      </c>
      <c r="F26" s="47">
        <v>2131000</v>
      </c>
      <c r="G26" s="46" t="s">
        <v>218</v>
      </c>
      <c r="H26" s="46" t="s">
        <v>350</v>
      </c>
      <c r="I26" s="26">
        <v>235000000</v>
      </c>
      <c r="J26" s="26">
        <v>60</v>
      </c>
      <c r="K26" s="126">
        <v>100</v>
      </c>
      <c r="L26" s="49">
        <v>44986</v>
      </c>
      <c r="M26" s="47" t="s">
        <v>320</v>
      </c>
      <c r="N26" s="47"/>
      <c r="O26" s="50">
        <v>235000000</v>
      </c>
    </row>
    <row r="27" spans="1:15" ht="15" customHeight="1">
      <c r="A27" s="46" t="s">
        <v>310</v>
      </c>
      <c r="B27" s="26" t="str">
        <f>_xlfn.IFNA(VLOOKUP(C27,Sheet3!$H:$I,2,FALSE),"")</f>
        <v>B2210</v>
      </c>
      <c r="C27" s="46" t="s">
        <v>331</v>
      </c>
      <c r="D27" s="26" t="str">
        <f>_xlfn.IFNA(VLOOKUP(E27,Sheet3!$H:$I,2,FALSE),"")</f>
        <v>B2210</v>
      </c>
      <c r="E27" s="46" t="s">
        <v>331</v>
      </c>
      <c r="F27" s="47">
        <v>2131000</v>
      </c>
      <c r="G27" s="46" t="s">
        <v>218</v>
      </c>
      <c r="H27" s="46" t="s">
        <v>350</v>
      </c>
      <c r="I27" s="26">
        <v>235000000</v>
      </c>
      <c r="J27" s="26">
        <v>60</v>
      </c>
      <c r="K27" s="126">
        <v>100</v>
      </c>
      <c r="L27" s="49">
        <v>45047</v>
      </c>
      <c r="M27" s="47" t="s">
        <v>320</v>
      </c>
      <c r="N27" s="47"/>
      <c r="O27" s="50">
        <v>235000000</v>
      </c>
    </row>
    <row r="28" spans="1:15" ht="15" customHeight="1">
      <c r="A28" s="46" t="s">
        <v>310</v>
      </c>
      <c r="B28" s="26" t="str">
        <f>_xlfn.IFNA(VLOOKUP(C28,Sheet3!$H:$I,2,FALSE),"")</f>
        <v>B2210</v>
      </c>
      <c r="C28" s="46" t="s">
        <v>331</v>
      </c>
      <c r="D28" s="26" t="str">
        <f>_xlfn.IFNA(VLOOKUP(E28,Sheet3!$H:$I,2,FALSE),"")</f>
        <v/>
      </c>
      <c r="E28" s="46" t="s">
        <v>352</v>
      </c>
      <c r="F28" s="47">
        <v>2131000</v>
      </c>
      <c r="G28" s="46" t="s">
        <v>218</v>
      </c>
      <c r="H28" s="46" t="s">
        <v>353</v>
      </c>
      <c r="I28" s="26">
        <v>467500000</v>
      </c>
      <c r="J28" s="26">
        <v>60</v>
      </c>
      <c r="K28" s="126">
        <v>100</v>
      </c>
      <c r="L28" s="49">
        <v>45323</v>
      </c>
      <c r="M28" s="47" t="s">
        <v>320</v>
      </c>
      <c r="N28" s="47"/>
      <c r="O28" s="50">
        <v>467500000</v>
      </c>
    </row>
    <row r="29" spans="1:15" ht="15" customHeight="1">
      <c r="A29" s="46" t="s">
        <v>310</v>
      </c>
      <c r="B29" s="26" t="str">
        <f>_xlfn.IFNA(VLOOKUP(C29,Sheet3!$H:$I,2,FALSE),"")</f>
        <v>B2210</v>
      </c>
      <c r="C29" s="46" t="s">
        <v>331</v>
      </c>
      <c r="D29" s="26" t="str">
        <f>_xlfn.IFNA(VLOOKUP(E29,Sheet3!$H:$I,2,FALSE),"")</f>
        <v>B2210</v>
      </c>
      <c r="E29" s="46" t="s">
        <v>331</v>
      </c>
      <c r="F29" s="47">
        <v>2131000</v>
      </c>
      <c r="G29" s="46" t="s">
        <v>218</v>
      </c>
      <c r="H29" s="46" t="s">
        <v>346</v>
      </c>
      <c r="I29" s="26">
        <v>220000000</v>
      </c>
      <c r="J29" s="26">
        <v>60</v>
      </c>
      <c r="K29" s="126">
        <v>100</v>
      </c>
      <c r="L29" s="49">
        <v>45397</v>
      </c>
      <c r="M29" s="47" t="s">
        <v>320</v>
      </c>
      <c r="N29" s="47"/>
      <c r="O29" s="50">
        <v>220000000</v>
      </c>
    </row>
    <row r="30" spans="1:15" ht="15" customHeight="1">
      <c r="A30" s="46" t="s">
        <v>310</v>
      </c>
      <c r="B30" s="26" t="str">
        <f>_xlfn.IFNA(VLOOKUP(C30,Sheet3!$H:$I,2,FALSE),"")</f>
        <v>B2210</v>
      </c>
      <c r="C30" s="46" t="s">
        <v>331</v>
      </c>
      <c r="D30" s="26" t="str">
        <f>_xlfn.IFNA(VLOOKUP(E30,Sheet3!$H:$I,2,FALSE),"")</f>
        <v/>
      </c>
      <c r="E30" s="46" t="s">
        <v>355</v>
      </c>
      <c r="F30" s="47">
        <v>2131000</v>
      </c>
      <c r="G30" s="46" t="s">
        <v>218</v>
      </c>
      <c r="H30" s="46" t="s">
        <v>354</v>
      </c>
      <c r="I30" s="26">
        <v>335000000</v>
      </c>
      <c r="J30" s="26">
        <v>60</v>
      </c>
      <c r="K30" s="126">
        <v>100</v>
      </c>
      <c r="L30" s="49">
        <v>45469</v>
      </c>
      <c r="M30" s="47" t="s">
        <v>320</v>
      </c>
      <c r="N30" s="47"/>
      <c r="O30" s="50">
        <v>335000000</v>
      </c>
    </row>
    <row r="31" spans="1:15" ht="15" customHeight="1">
      <c r="A31" s="46" t="s">
        <v>310</v>
      </c>
      <c r="B31" s="26" t="str">
        <f>_xlfn.IFNA(VLOOKUP(C31,Sheet3!$H:$I,2,FALSE),"")</f>
        <v>B2230</v>
      </c>
      <c r="C31" s="46" t="s">
        <v>225</v>
      </c>
      <c r="D31" s="26" t="str">
        <f>_xlfn.IFNA(VLOOKUP(E31,Sheet3!$H:$I,2,FALSE),"")</f>
        <v>B2230</v>
      </c>
      <c r="E31" s="46" t="s">
        <v>225</v>
      </c>
      <c r="F31" s="47">
        <v>2141000</v>
      </c>
      <c r="G31" s="46" t="s">
        <v>221</v>
      </c>
      <c r="H31" s="46" t="s">
        <v>379</v>
      </c>
      <c r="I31" s="26">
        <v>10000000</v>
      </c>
      <c r="J31" s="26">
        <v>60</v>
      </c>
      <c r="K31" s="126">
        <v>100</v>
      </c>
      <c r="L31" s="49">
        <v>44197</v>
      </c>
      <c r="M31" s="47" t="s">
        <v>314</v>
      </c>
      <c r="N31" s="47"/>
      <c r="O31" s="50">
        <v>10000000</v>
      </c>
    </row>
    <row r="32" spans="1:15" ht="15" customHeight="1">
      <c r="A32" s="46" t="s">
        <v>310</v>
      </c>
      <c r="B32" s="26" t="str">
        <f>_xlfn.IFNA(VLOOKUP(C32,Sheet3!$H:$I,2,FALSE),"")</f>
        <v>B2230</v>
      </c>
      <c r="C32" s="46" t="s">
        <v>225</v>
      </c>
      <c r="D32" s="26" t="str">
        <f>_xlfn.IFNA(VLOOKUP(E32,Sheet3!$H:$I,2,FALSE),"")</f>
        <v>B2230</v>
      </c>
      <c r="E32" s="46" t="s">
        <v>225</v>
      </c>
      <c r="F32" s="47">
        <v>2141000</v>
      </c>
      <c r="G32" s="46" t="s">
        <v>221</v>
      </c>
      <c r="H32" s="46" t="s">
        <v>380</v>
      </c>
      <c r="I32" s="26">
        <v>10000000</v>
      </c>
      <c r="J32" s="26">
        <v>60</v>
      </c>
      <c r="K32" s="126">
        <v>100</v>
      </c>
      <c r="L32" s="49">
        <v>44197</v>
      </c>
      <c r="M32" s="47" t="s">
        <v>314</v>
      </c>
      <c r="N32" s="47"/>
      <c r="O32" s="50">
        <v>10000000</v>
      </c>
    </row>
    <row r="33" spans="1:15" ht="15" customHeight="1">
      <c r="A33" s="46" t="s">
        <v>310</v>
      </c>
      <c r="B33" s="26" t="str">
        <f>_xlfn.IFNA(VLOOKUP(C33,Sheet3!$H:$I,2,FALSE),"")</f>
        <v>B2230</v>
      </c>
      <c r="C33" s="46" t="s">
        <v>225</v>
      </c>
      <c r="D33" s="26" t="str">
        <f>_xlfn.IFNA(VLOOKUP(E33,Sheet3!$H:$I,2,FALSE),"")</f>
        <v>B2230</v>
      </c>
      <c r="E33" s="46" t="s">
        <v>225</v>
      </c>
      <c r="F33" s="47">
        <v>2141000</v>
      </c>
      <c r="G33" s="46" t="s">
        <v>221</v>
      </c>
      <c r="H33" s="46" t="s">
        <v>381</v>
      </c>
      <c r="I33" s="26">
        <v>10000000</v>
      </c>
      <c r="J33" s="26">
        <v>60</v>
      </c>
      <c r="K33" s="126">
        <v>100</v>
      </c>
      <c r="L33" s="49">
        <v>44378</v>
      </c>
      <c r="M33" s="47" t="s">
        <v>314</v>
      </c>
      <c r="N33" s="47"/>
      <c r="O33" s="50">
        <v>10000000</v>
      </c>
    </row>
    <row r="34" spans="1:15" ht="15" customHeight="1">
      <c r="A34" s="46" t="s">
        <v>310</v>
      </c>
      <c r="B34" s="26" t="str">
        <f>_xlfn.IFNA(VLOOKUP(C34,Sheet3!$H:$I,2,FALSE),"")</f>
        <v>B2230</v>
      </c>
      <c r="C34" s="46" t="s">
        <v>225</v>
      </c>
      <c r="D34" s="26" t="str">
        <f>_xlfn.IFNA(VLOOKUP(E34,Sheet3!$H:$I,2,FALSE),"")</f>
        <v>B2230</v>
      </c>
      <c r="E34" s="46" t="s">
        <v>225</v>
      </c>
      <c r="F34" s="47">
        <v>2141000</v>
      </c>
      <c r="G34" s="46" t="s">
        <v>221</v>
      </c>
      <c r="H34" s="46" t="s">
        <v>382</v>
      </c>
      <c r="I34" s="26">
        <v>10000000</v>
      </c>
      <c r="J34" s="26">
        <v>60</v>
      </c>
      <c r="K34" s="126">
        <v>100</v>
      </c>
      <c r="L34" s="49">
        <v>44378</v>
      </c>
      <c r="M34" s="47" t="s">
        <v>314</v>
      </c>
      <c r="N34" s="47"/>
      <c r="O34" s="50">
        <v>10000000</v>
      </c>
    </row>
    <row r="35" spans="1:15" ht="15" customHeight="1">
      <c r="A35" s="46" t="s">
        <v>310</v>
      </c>
      <c r="B35" s="26" t="str">
        <f>_xlfn.IFNA(VLOOKUP(C35,Sheet3!$H:$I,2,FALSE),"")</f>
        <v>B5500</v>
      </c>
      <c r="C35" s="46" t="s">
        <v>283</v>
      </c>
      <c r="D35" s="26" t="str">
        <f>_xlfn.IFNA(VLOOKUP(E35,Sheet3!$H:$I,2,FALSE),"")</f>
        <v>B5500</v>
      </c>
      <c r="E35" s="46" t="s">
        <v>283</v>
      </c>
      <c r="F35" s="47">
        <v>2141000</v>
      </c>
      <c r="G35" s="46" t="s">
        <v>221</v>
      </c>
      <c r="H35" s="46" t="s">
        <v>383</v>
      </c>
      <c r="I35" s="26">
        <v>8000000</v>
      </c>
      <c r="J35" s="26">
        <v>60</v>
      </c>
      <c r="K35" s="126">
        <v>100</v>
      </c>
      <c r="L35" s="49">
        <v>44348</v>
      </c>
      <c r="M35" s="47" t="s">
        <v>317</v>
      </c>
      <c r="N35" s="47"/>
      <c r="O35" s="50">
        <v>8000000</v>
      </c>
    </row>
    <row r="36" spans="1:15" ht="15" customHeight="1">
      <c r="A36" s="46" t="s">
        <v>310</v>
      </c>
      <c r="B36" s="26" t="str">
        <f>_xlfn.IFNA(VLOOKUP(C36,Sheet3!$H:$I,2,FALSE),"")</f>
        <v>B5500</v>
      </c>
      <c r="C36" s="46" t="s">
        <v>283</v>
      </c>
      <c r="D36" s="26" t="str">
        <f>_xlfn.IFNA(VLOOKUP(E36,Sheet3!$H:$I,2,FALSE),"")</f>
        <v>B2210</v>
      </c>
      <c r="E36" s="46" t="s">
        <v>219</v>
      </c>
      <c r="F36" s="47">
        <v>2111100</v>
      </c>
      <c r="G36" s="46" t="s">
        <v>212</v>
      </c>
      <c r="H36" s="46" t="s">
        <v>384</v>
      </c>
      <c r="I36" s="26">
        <v>80000000</v>
      </c>
      <c r="J36" s="26">
        <v>120</v>
      </c>
      <c r="K36" s="126">
        <v>100</v>
      </c>
      <c r="L36" s="49">
        <v>44378</v>
      </c>
      <c r="M36" s="47" t="s">
        <v>317</v>
      </c>
      <c r="N36" s="47"/>
      <c r="O36" s="50">
        <v>80000000</v>
      </c>
    </row>
    <row r="37" spans="1:15" ht="15" customHeight="1">
      <c r="A37" s="46" t="s">
        <v>310</v>
      </c>
      <c r="B37" s="26" t="str">
        <f>_xlfn.IFNA(VLOOKUP(C37,Sheet3!$H:$I,2,FALSE),"")</f>
        <v>B5500</v>
      </c>
      <c r="C37" s="46" t="s">
        <v>283</v>
      </c>
      <c r="D37" s="26" t="str">
        <f>_xlfn.IFNA(VLOOKUP(E37,Sheet3!$H:$I,2,FALSE),"")</f>
        <v>B5500</v>
      </c>
      <c r="E37" s="46" t="s">
        <v>283</v>
      </c>
      <c r="F37" s="47">
        <v>2141000</v>
      </c>
      <c r="G37" s="46" t="s">
        <v>221</v>
      </c>
      <c r="H37" s="46" t="s">
        <v>385</v>
      </c>
      <c r="I37" s="26">
        <v>15000000</v>
      </c>
      <c r="J37" s="26">
        <v>60</v>
      </c>
      <c r="K37" s="126">
        <v>100</v>
      </c>
      <c r="L37" s="49">
        <v>44378</v>
      </c>
      <c r="M37" s="47" t="s">
        <v>317</v>
      </c>
      <c r="N37" s="47"/>
      <c r="O37" s="50">
        <v>15000000</v>
      </c>
    </row>
    <row r="38" spans="1:15" ht="15" customHeight="1">
      <c r="A38" s="46" t="s">
        <v>311</v>
      </c>
      <c r="B38" s="26" t="str">
        <f>_xlfn.IFNA(VLOOKUP(C38,Sheet3!$H:$I,2,FALSE),"")</f>
        <v>B5500</v>
      </c>
      <c r="C38" s="46" t="s">
        <v>283</v>
      </c>
      <c r="D38" s="26" t="str">
        <f>_xlfn.IFNA(VLOOKUP(E38,Sheet3!$H:$I,2,FALSE),"")</f>
        <v>B5500</v>
      </c>
      <c r="E38" s="46" t="s">
        <v>283</v>
      </c>
      <c r="F38" s="47">
        <v>2121000</v>
      </c>
      <c r="G38" s="46" t="s">
        <v>312</v>
      </c>
      <c r="H38" s="46" t="s">
        <v>386</v>
      </c>
      <c r="I38" s="26">
        <v>500000000</v>
      </c>
      <c r="J38" s="26">
        <v>120</v>
      </c>
      <c r="K38" s="126">
        <v>100</v>
      </c>
      <c r="L38" s="49">
        <v>44378</v>
      </c>
      <c r="M38" s="47" t="s">
        <v>317</v>
      </c>
      <c r="N38" s="47"/>
      <c r="O38" s="50">
        <v>500000000</v>
      </c>
    </row>
    <row r="39" spans="1:15" ht="15" customHeight="1">
      <c r="A39" s="46" t="s">
        <v>311</v>
      </c>
      <c r="B39" s="26" t="str">
        <f>_xlfn.IFNA(VLOOKUP(C39,Sheet3!$H:$I,2,FALSE),"")</f>
        <v>B5500</v>
      </c>
      <c r="C39" s="46" t="s">
        <v>283</v>
      </c>
      <c r="D39" s="26" t="str">
        <f>_xlfn.IFNA(VLOOKUP(E39,Sheet3!$H:$I,2,FALSE),"")</f>
        <v>B5500</v>
      </c>
      <c r="E39" s="46" t="s">
        <v>283</v>
      </c>
      <c r="F39" s="47">
        <v>2121000</v>
      </c>
      <c r="G39" s="46" t="s">
        <v>312</v>
      </c>
      <c r="H39" s="46" t="s">
        <v>387</v>
      </c>
      <c r="I39" s="26">
        <v>100000000</v>
      </c>
      <c r="J39" s="26">
        <v>120</v>
      </c>
      <c r="K39" s="126">
        <v>100</v>
      </c>
      <c r="L39" s="49">
        <v>44378</v>
      </c>
      <c r="M39" s="47" t="s">
        <v>317</v>
      </c>
      <c r="N39" s="47"/>
      <c r="O39" s="50">
        <v>100000000</v>
      </c>
    </row>
    <row r="40" spans="1:15" ht="15" customHeight="1">
      <c r="A40" s="46" t="s">
        <v>311</v>
      </c>
      <c r="B40" s="26" t="str">
        <f>_xlfn.IFNA(VLOOKUP(C40,Sheet3!$H:$I,2,FALSE),"")</f>
        <v>B5500</v>
      </c>
      <c r="C40" s="46" t="s">
        <v>283</v>
      </c>
      <c r="D40" s="26" t="str">
        <f>_xlfn.IFNA(VLOOKUP(E40,Sheet3!$H:$I,2,FALSE),"")</f>
        <v>B2230</v>
      </c>
      <c r="E40" s="46" t="s">
        <v>225</v>
      </c>
      <c r="F40" s="47">
        <v>2121000</v>
      </c>
      <c r="G40" s="46" t="s">
        <v>312</v>
      </c>
      <c r="H40" s="46" t="s">
        <v>388</v>
      </c>
      <c r="I40" s="26">
        <v>1600000000</v>
      </c>
      <c r="J40" s="26">
        <v>120</v>
      </c>
      <c r="K40" s="126">
        <v>100</v>
      </c>
      <c r="L40" s="49">
        <v>44378</v>
      </c>
      <c r="M40" s="47" t="s">
        <v>317</v>
      </c>
      <c r="N40" s="47"/>
      <c r="O40" s="50">
        <v>1600000000</v>
      </c>
    </row>
    <row r="41" spans="1:15" ht="15" customHeight="1">
      <c r="A41" s="46" t="s">
        <v>311</v>
      </c>
      <c r="B41" s="26" t="str">
        <f>_xlfn.IFNA(VLOOKUP(C41,Sheet3!$H:$I,2,FALSE),"")</f>
        <v>B5500</v>
      </c>
      <c r="C41" s="46" t="s">
        <v>283</v>
      </c>
      <c r="D41" s="26" t="str">
        <f>_xlfn.IFNA(VLOOKUP(E41,Sheet3!$H:$I,2,FALSE),"")</f>
        <v>B2230</v>
      </c>
      <c r="E41" s="46" t="s">
        <v>225</v>
      </c>
      <c r="F41" s="47">
        <v>2121000</v>
      </c>
      <c r="G41" s="46" t="s">
        <v>312</v>
      </c>
      <c r="H41" s="46" t="s">
        <v>566</v>
      </c>
      <c r="I41" s="26">
        <v>5300000000</v>
      </c>
      <c r="J41" s="26">
        <v>120</v>
      </c>
      <c r="K41" s="126">
        <v>100</v>
      </c>
      <c r="L41" s="49">
        <v>44378</v>
      </c>
      <c r="M41" s="47" t="s">
        <v>317</v>
      </c>
      <c r="N41" s="47"/>
      <c r="O41" s="50">
        <v>5300000000</v>
      </c>
    </row>
    <row r="42" spans="1:15" ht="15" customHeight="1">
      <c r="A42" s="46" t="s">
        <v>310</v>
      </c>
      <c r="B42" s="26" t="str">
        <f>_xlfn.IFNA(VLOOKUP(C42,Sheet3!$H:$I,2,FALSE),"")</f>
        <v>B5500</v>
      </c>
      <c r="C42" s="46" t="s">
        <v>283</v>
      </c>
      <c r="D42" s="26" t="str">
        <f>_xlfn.IFNA(VLOOKUP(E42,Sheet3!$H:$I,2,FALSE),"")</f>
        <v>B2230</v>
      </c>
      <c r="E42" s="46" t="s">
        <v>225</v>
      </c>
      <c r="F42" s="47">
        <v>2121000</v>
      </c>
      <c r="G42" s="46" t="s">
        <v>312</v>
      </c>
      <c r="H42" s="46" t="s">
        <v>567</v>
      </c>
      <c r="I42" s="26">
        <v>603300000</v>
      </c>
      <c r="J42" s="26">
        <v>120</v>
      </c>
      <c r="K42" s="126">
        <v>100</v>
      </c>
      <c r="L42" s="49">
        <v>44470</v>
      </c>
      <c r="M42" s="47" t="s">
        <v>317</v>
      </c>
      <c r="N42" s="47"/>
      <c r="O42" s="26">
        <v>603300000</v>
      </c>
    </row>
    <row r="43" spans="1:15" ht="15" customHeight="1">
      <c r="A43" s="46" t="s">
        <v>310</v>
      </c>
      <c r="B43" s="26" t="str">
        <f>_xlfn.IFNA(VLOOKUP(C43,Sheet3!$H:$I,2,FALSE),"")</f>
        <v>B5500</v>
      </c>
      <c r="C43" s="46" t="s">
        <v>283</v>
      </c>
      <c r="D43" s="26" t="str">
        <f>_xlfn.IFNA(VLOOKUP(E43,Sheet3!$H:$I,2,FALSE),"")</f>
        <v>B5710</v>
      </c>
      <c r="E43" s="46" t="s">
        <v>291</v>
      </c>
      <c r="F43" s="47">
        <v>2111100</v>
      </c>
      <c r="G43" s="46" t="s">
        <v>212</v>
      </c>
      <c r="H43" s="46" t="s">
        <v>389</v>
      </c>
      <c r="I43" s="26">
        <v>500000000</v>
      </c>
      <c r="J43" s="26">
        <v>240</v>
      </c>
      <c r="K43" s="126">
        <v>50</v>
      </c>
      <c r="L43" s="49">
        <v>44470</v>
      </c>
      <c r="M43" s="47" t="s">
        <v>317</v>
      </c>
      <c r="N43" s="47"/>
      <c r="O43" s="50">
        <v>250000000</v>
      </c>
    </row>
    <row r="44" spans="1:15" ht="15" customHeight="1">
      <c r="A44" s="46" t="s">
        <v>310</v>
      </c>
      <c r="B44" s="26" t="str">
        <f>_xlfn.IFNA(VLOOKUP(C44,Sheet3!$H:$I,2,FALSE),"")</f>
        <v>B5500</v>
      </c>
      <c r="C44" s="46" t="s">
        <v>283</v>
      </c>
      <c r="D44" s="26" t="str">
        <f>_xlfn.IFNA(VLOOKUP(E44,Sheet3!$H:$I,2,FALSE),"")</f>
        <v>B4105</v>
      </c>
      <c r="E44" s="46" t="s">
        <v>248</v>
      </c>
      <c r="F44" s="47">
        <v>2111100</v>
      </c>
      <c r="G44" s="46" t="s">
        <v>212</v>
      </c>
      <c r="H44" s="46" t="s">
        <v>389</v>
      </c>
      <c r="I44" s="26">
        <v>500000000</v>
      </c>
      <c r="J44" s="26">
        <v>240</v>
      </c>
      <c r="K44" s="126">
        <v>50</v>
      </c>
      <c r="L44" s="49">
        <v>44470</v>
      </c>
      <c r="M44" s="47" t="s">
        <v>317</v>
      </c>
      <c r="N44" s="47"/>
      <c r="O44" s="50">
        <v>250000000</v>
      </c>
    </row>
    <row r="45" spans="1:15" ht="15" customHeight="1">
      <c r="A45" s="46" t="s">
        <v>310</v>
      </c>
      <c r="B45" s="26" t="str">
        <f>_xlfn.IFNA(VLOOKUP(C45,Sheet3!$H:$I,2,FALSE),"")</f>
        <v>B5500</v>
      </c>
      <c r="C45" s="46" t="s">
        <v>283</v>
      </c>
      <c r="D45" s="26" t="str">
        <f>_xlfn.IFNA(VLOOKUP(E45,Sheet3!$H:$I,2,FALSE),"")</f>
        <v>B5500</v>
      </c>
      <c r="E45" s="46" t="s">
        <v>283</v>
      </c>
      <c r="F45" s="47">
        <v>2121000</v>
      </c>
      <c r="G45" s="46" t="s">
        <v>312</v>
      </c>
      <c r="H45" s="46" t="s">
        <v>390</v>
      </c>
      <c r="I45" s="26">
        <v>500000000</v>
      </c>
      <c r="J45" s="26">
        <v>120</v>
      </c>
      <c r="K45" s="126">
        <v>100</v>
      </c>
      <c r="L45" s="49">
        <v>44531</v>
      </c>
      <c r="M45" s="47" t="s">
        <v>317</v>
      </c>
      <c r="N45" s="47"/>
      <c r="O45" s="50">
        <v>500000000</v>
      </c>
    </row>
    <row r="46" spans="1:15" ht="15" customHeight="1">
      <c r="A46" s="46" t="s">
        <v>310</v>
      </c>
      <c r="B46" s="26" t="str">
        <f>_xlfn.IFNA(VLOOKUP(C46,Sheet3!$H:$I,2,FALSE),"")</f>
        <v>B5500</v>
      </c>
      <c r="C46" s="46" t="s">
        <v>283</v>
      </c>
      <c r="D46" s="26" t="str">
        <f>_xlfn.IFNA(VLOOKUP(E46,Sheet3!$H:$I,2,FALSE),"")</f>
        <v>B5500</v>
      </c>
      <c r="E46" s="46" t="s">
        <v>283</v>
      </c>
      <c r="F46" s="47">
        <v>2121000</v>
      </c>
      <c r="G46" s="46" t="s">
        <v>312</v>
      </c>
      <c r="H46" s="46" t="s">
        <v>391</v>
      </c>
      <c r="I46" s="26">
        <v>100000000</v>
      </c>
      <c r="J46" s="26">
        <v>120</v>
      </c>
      <c r="K46" s="126">
        <v>100</v>
      </c>
      <c r="L46" s="49">
        <v>44531</v>
      </c>
      <c r="M46" s="47" t="s">
        <v>317</v>
      </c>
      <c r="N46" s="47"/>
      <c r="O46" s="50">
        <v>100000000</v>
      </c>
    </row>
    <row r="47" spans="1:15" ht="15" customHeight="1">
      <c r="A47" s="46" t="s">
        <v>310</v>
      </c>
      <c r="B47" s="26" t="str">
        <f>_xlfn.IFNA(VLOOKUP(C47,Sheet3!$H:$I,2,FALSE),"")</f>
        <v>B5500</v>
      </c>
      <c r="C47" s="46" t="s">
        <v>283</v>
      </c>
      <c r="D47" s="26" t="str">
        <f>_xlfn.IFNA(VLOOKUP(E47,Sheet3!$H:$I,2,FALSE),"")</f>
        <v>B3150</v>
      </c>
      <c r="E47" s="46" t="s">
        <v>293</v>
      </c>
      <c r="F47" s="47">
        <v>2141000</v>
      </c>
      <c r="G47" s="46" t="s">
        <v>221</v>
      </c>
      <c r="H47" s="46" t="s">
        <v>392</v>
      </c>
      <c r="I47" s="26">
        <v>275000000</v>
      </c>
      <c r="J47" s="26">
        <v>60</v>
      </c>
      <c r="K47" s="126">
        <v>100</v>
      </c>
      <c r="L47" s="49">
        <v>44621</v>
      </c>
      <c r="M47" s="47" t="s">
        <v>317</v>
      </c>
      <c r="N47" s="47"/>
      <c r="O47" s="50">
        <v>275000000</v>
      </c>
    </row>
    <row r="48" spans="1:15" ht="15" customHeight="1">
      <c r="A48" s="46" t="s">
        <v>310</v>
      </c>
      <c r="B48" s="26" t="str">
        <f>_xlfn.IFNA(VLOOKUP(C48,Sheet3!$H:$I,2,FALSE),"")</f>
        <v>B5500</v>
      </c>
      <c r="C48" s="46" t="s">
        <v>283</v>
      </c>
      <c r="D48" s="26" t="str">
        <f>_xlfn.IFNA(VLOOKUP(E48,Sheet3!$H:$I,2,FALSE),"")</f>
        <v>B2210</v>
      </c>
      <c r="E48" s="46" t="s">
        <v>219</v>
      </c>
      <c r="F48" s="47">
        <v>2141000</v>
      </c>
      <c r="G48" s="46" t="s">
        <v>221</v>
      </c>
      <c r="H48" s="46" t="s">
        <v>393</v>
      </c>
      <c r="I48" s="26">
        <v>205000000</v>
      </c>
      <c r="J48" s="26">
        <v>60</v>
      </c>
      <c r="K48" s="126">
        <v>100</v>
      </c>
      <c r="L48" s="49">
        <v>44621</v>
      </c>
      <c r="M48" s="47" t="s">
        <v>317</v>
      </c>
      <c r="N48" s="47"/>
      <c r="O48" s="50">
        <v>205000000</v>
      </c>
    </row>
    <row r="49" spans="1:15" ht="15" customHeight="1">
      <c r="A49" s="46" t="s">
        <v>310</v>
      </c>
      <c r="B49" s="26" t="str">
        <f>_xlfn.IFNA(VLOOKUP(C49,Sheet3!$H:$I,2,FALSE),"")</f>
        <v>B5500</v>
      </c>
      <c r="C49" s="46" t="s">
        <v>283</v>
      </c>
      <c r="D49" s="26" t="str">
        <f>_xlfn.IFNA(VLOOKUP(E49,Sheet3!$H:$I,2,FALSE),"")</f>
        <v>B5500</v>
      </c>
      <c r="E49" s="46" t="s">
        <v>283</v>
      </c>
      <c r="F49" s="47">
        <v>2141000</v>
      </c>
      <c r="G49" s="46" t="s">
        <v>221</v>
      </c>
      <c r="H49" s="46" t="s">
        <v>394</v>
      </c>
      <c r="I49" s="26">
        <v>10000000</v>
      </c>
      <c r="J49" s="26">
        <v>60</v>
      </c>
      <c r="K49" s="126">
        <v>100</v>
      </c>
      <c r="L49" s="49">
        <v>44743</v>
      </c>
      <c r="M49" s="47" t="s">
        <v>317</v>
      </c>
      <c r="N49" s="47"/>
      <c r="O49" s="50">
        <v>10000000</v>
      </c>
    </row>
    <row r="50" spans="1:15" ht="15" customHeight="1">
      <c r="A50" s="46" t="s">
        <v>310</v>
      </c>
      <c r="B50" s="26" t="str">
        <f>_xlfn.IFNA(VLOOKUP(C50,Sheet3!$H:$I,2,FALSE),"")</f>
        <v>B5500</v>
      </c>
      <c r="C50" s="46" t="s">
        <v>283</v>
      </c>
      <c r="D50" s="26" t="str">
        <f>_xlfn.IFNA(VLOOKUP(E50,Sheet3!$H:$I,2,FALSE),"")</f>
        <v>B5500</v>
      </c>
      <c r="E50" s="46" t="s">
        <v>283</v>
      </c>
      <c r="F50" s="47">
        <v>2141000</v>
      </c>
      <c r="G50" s="46" t="s">
        <v>221</v>
      </c>
      <c r="H50" s="46" t="s">
        <v>395</v>
      </c>
      <c r="I50" s="26">
        <v>8000000</v>
      </c>
      <c r="J50" s="26">
        <v>60</v>
      </c>
      <c r="K50" s="126">
        <v>100</v>
      </c>
      <c r="L50" s="49">
        <v>44774</v>
      </c>
      <c r="M50" s="47" t="s">
        <v>317</v>
      </c>
      <c r="N50" s="47"/>
      <c r="O50" s="50">
        <v>8000000</v>
      </c>
    </row>
    <row r="51" spans="1:15" ht="15" customHeight="1">
      <c r="A51" s="46" t="s">
        <v>310</v>
      </c>
      <c r="B51" s="26" t="str">
        <f>_xlfn.IFNA(VLOOKUP(C51,Sheet3!$H:$I,2,FALSE),"")</f>
        <v>B5500</v>
      </c>
      <c r="C51" s="46" t="s">
        <v>283</v>
      </c>
      <c r="D51" s="26" t="str">
        <f>_xlfn.IFNA(VLOOKUP(E51,Sheet3!$H:$I,2,FALSE),"")</f>
        <v>B2230</v>
      </c>
      <c r="E51" s="46" t="s">
        <v>225</v>
      </c>
      <c r="F51" s="47">
        <v>2111100</v>
      </c>
      <c r="G51" s="46" t="s">
        <v>212</v>
      </c>
      <c r="H51" s="46" t="s">
        <v>396</v>
      </c>
      <c r="I51" s="26">
        <v>100000000</v>
      </c>
      <c r="J51" s="26">
        <v>240</v>
      </c>
      <c r="K51" s="126">
        <v>100</v>
      </c>
      <c r="L51" s="49">
        <v>44774</v>
      </c>
      <c r="M51" s="47" t="s">
        <v>320</v>
      </c>
      <c r="N51" s="47"/>
      <c r="O51" s="50">
        <v>100000000</v>
      </c>
    </row>
    <row r="52" spans="1:15" ht="15" customHeight="1">
      <c r="A52" s="46" t="s">
        <v>310</v>
      </c>
      <c r="B52" s="26" t="str">
        <f>_xlfn.IFNA(VLOOKUP(C52,Sheet3!$H:$I,2,FALSE),"")</f>
        <v>B5500</v>
      </c>
      <c r="C52" s="46" t="s">
        <v>283</v>
      </c>
      <c r="D52" s="26" t="str">
        <f>_xlfn.IFNA(VLOOKUP(E52,Sheet3!$H:$I,2,FALSE),"")</f>
        <v>B2210</v>
      </c>
      <c r="E52" s="46" t="s">
        <v>219</v>
      </c>
      <c r="F52" s="47">
        <v>2111100</v>
      </c>
      <c r="G52" s="46" t="s">
        <v>212</v>
      </c>
      <c r="H52" s="46" t="s">
        <v>397</v>
      </c>
      <c r="I52" s="26">
        <v>600000000</v>
      </c>
      <c r="J52" s="26">
        <v>240</v>
      </c>
      <c r="K52" s="126">
        <v>100</v>
      </c>
      <c r="L52" s="49">
        <v>44896</v>
      </c>
      <c r="M52" s="47" t="s">
        <v>320</v>
      </c>
      <c r="N52" s="47"/>
      <c r="O52" s="50">
        <v>600000000</v>
      </c>
    </row>
    <row r="53" spans="1:15" ht="15" customHeight="1">
      <c r="A53" s="46" t="s">
        <v>310</v>
      </c>
      <c r="B53" s="26" t="str">
        <f>_xlfn.IFNA(VLOOKUP(C53,Sheet3!$H:$I,2,FALSE),"")</f>
        <v>B5500</v>
      </c>
      <c r="C53" s="46" t="s">
        <v>283</v>
      </c>
      <c r="D53" s="26" t="str">
        <f>_xlfn.IFNA(VLOOKUP(E53,Sheet3!$H:$I,2,FALSE),"")</f>
        <v>B2210</v>
      </c>
      <c r="E53" s="46" t="s">
        <v>219</v>
      </c>
      <c r="F53" s="47">
        <v>2111100</v>
      </c>
      <c r="G53" s="46" t="s">
        <v>212</v>
      </c>
      <c r="H53" s="46" t="s">
        <v>398</v>
      </c>
      <c r="I53" s="26">
        <v>723000000</v>
      </c>
      <c r="J53" s="26">
        <v>240</v>
      </c>
      <c r="K53" s="126">
        <v>100</v>
      </c>
      <c r="L53" s="49">
        <v>44986</v>
      </c>
      <c r="M53" s="47" t="s">
        <v>317</v>
      </c>
      <c r="N53" s="47"/>
      <c r="O53" s="50">
        <v>723000000</v>
      </c>
    </row>
    <row r="54" spans="1:15" ht="15" customHeight="1">
      <c r="A54" s="46" t="s">
        <v>310</v>
      </c>
      <c r="B54" s="26" t="str">
        <f>_xlfn.IFNA(VLOOKUP(C54,Sheet3!$H:$I,2,FALSE),"")</f>
        <v>B5500</v>
      </c>
      <c r="C54" s="46" t="s">
        <v>283</v>
      </c>
      <c r="D54" s="26" t="str">
        <f>_xlfn.IFNA(VLOOKUP(E54,Sheet3!$H:$I,2,FALSE),"")</f>
        <v>B2230</v>
      </c>
      <c r="E54" s="46" t="s">
        <v>225</v>
      </c>
      <c r="F54" s="47">
        <v>2141000</v>
      </c>
      <c r="G54" s="46" t="s">
        <v>221</v>
      </c>
      <c r="H54" s="46" t="s">
        <v>399</v>
      </c>
      <c r="I54" s="26">
        <v>30000000</v>
      </c>
      <c r="J54" s="26">
        <v>60</v>
      </c>
      <c r="K54" s="126">
        <v>100</v>
      </c>
      <c r="L54" s="49">
        <v>45231</v>
      </c>
      <c r="M54" s="47" t="s">
        <v>320</v>
      </c>
      <c r="N54" s="47"/>
      <c r="O54" s="50">
        <v>30000000</v>
      </c>
    </row>
    <row r="55" spans="1:15" s="46" customFormat="1" ht="15" customHeight="1">
      <c r="A55" s="115" t="s">
        <v>310</v>
      </c>
      <c r="B55" s="26" t="str">
        <f>_xlfn.IFNA(VLOOKUP(C55,Sheet3!$H:$I,2,FALSE),"")</f>
        <v>B5500</v>
      </c>
      <c r="C55" s="115" t="s">
        <v>283</v>
      </c>
      <c r="D55" s="26" t="str">
        <f>_xlfn.IFNA(VLOOKUP(E55,Sheet3!$H:$I,2,FALSE),"")</f>
        <v>B5500</v>
      </c>
      <c r="E55" s="115" t="s">
        <v>283</v>
      </c>
      <c r="F55" s="116">
        <v>2121000</v>
      </c>
      <c r="G55" s="115" t="s">
        <v>312</v>
      </c>
      <c r="H55" s="115" t="s">
        <v>569</v>
      </c>
      <c r="I55" s="117">
        <v>550000000</v>
      </c>
      <c r="J55" s="117">
        <v>120</v>
      </c>
      <c r="K55" s="127">
        <v>100</v>
      </c>
      <c r="L55" s="119">
        <v>44256</v>
      </c>
      <c r="M55" s="116" t="s">
        <v>314</v>
      </c>
      <c r="N55" s="116"/>
      <c r="O55" s="120">
        <f>+I55</f>
        <v>550000000</v>
      </c>
    </row>
    <row r="56" spans="1:15" ht="15" customHeight="1">
      <c r="A56" s="46" t="s">
        <v>310</v>
      </c>
      <c r="B56" s="26" t="str">
        <f>_xlfn.IFNA(VLOOKUP(C56,Sheet3!$H:$I,2,FALSE),"")</f>
        <v>B5600</v>
      </c>
      <c r="C56" s="46" t="s">
        <v>285</v>
      </c>
      <c r="D56" s="26" t="str">
        <f>_xlfn.IFNA(VLOOKUP(E56,Sheet3!$H:$I,2,FALSE),"")</f>
        <v>B5900</v>
      </c>
      <c r="E56" s="46" t="s">
        <v>281</v>
      </c>
      <c r="F56" s="47">
        <v>2141000</v>
      </c>
      <c r="G56" s="46" t="s">
        <v>221</v>
      </c>
      <c r="H56" s="46" t="s">
        <v>400</v>
      </c>
      <c r="I56" s="26">
        <v>14000000</v>
      </c>
      <c r="J56" s="26">
        <v>60</v>
      </c>
      <c r="K56" s="126">
        <v>100</v>
      </c>
      <c r="L56" s="49">
        <v>44378</v>
      </c>
      <c r="M56" s="47" t="s">
        <v>317</v>
      </c>
      <c r="N56" s="47"/>
      <c r="O56" s="50">
        <v>14000000</v>
      </c>
    </row>
    <row r="57" spans="1:15" ht="15" customHeight="1">
      <c r="A57" s="46" t="s">
        <v>310</v>
      </c>
      <c r="B57" s="26" t="str">
        <f>_xlfn.IFNA(VLOOKUP(C57,Sheet3!$H:$I,2,FALSE),"")</f>
        <v>B5600</v>
      </c>
      <c r="C57" s="46" t="s">
        <v>285</v>
      </c>
      <c r="D57" s="26" t="str">
        <f>_xlfn.IFNA(VLOOKUP(E57,Sheet3!$H:$I,2,FALSE),"")</f>
        <v>B5900</v>
      </c>
      <c r="E57" s="46" t="s">
        <v>281</v>
      </c>
      <c r="F57" s="47">
        <v>2141000</v>
      </c>
      <c r="G57" s="46" t="s">
        <v>221</v>
      </c>
      <c r="H57" s="46" t="s">
        <v>400</v>
      </c>
      <c r="I57" s="26">
        <v>14000000</v>
      </c>
      <c r="J57" s="26">
        <v>60</v>
      </c>
      <c r="K57" s="126">
        <v>100</v>
      </c>
      <c r="L57" s="49">
        <v>44378</v>
      </c>
      <c r="M57" s="47" t="s">
        <v>317</v>
      </c>
      <c r="N57" s="47"/>
      <c r="O57" s="50">
        <v>14000000</v>
      </c>
    </row>
    <row r="58" spans="1:15" ht="15" customHeight="1">
      <c r="A58" s="46" t="s">
        <v>310</v>
      </c>
      <c r="B58" s="26" t="str">
        <f>_xlfn.IFNA(VLOOKUP(C58,Sheet3!$H:$I,2,FALSE),"")</f>
        <v>B5600</v>
      </c>
      <c r="C58" s="46" t="s">
        <v>285</v>
      </c>
      <c r="D58" s="26" t="str">
        <f>_xlfn.IFNA(VLOOKUP(E58,Sheet3!$H:$I,2,FALSE),"")</f>
        <v>B5900</v>
      </c>
      <c r="E58" s="46" t="s">
        <v>281</v>
      </c>
      <c r="F58" s="47">
        <v>2141000</v>
      </c>
      <c r="G58" s="46" t="s">
        <v>221</v>
      </c>
      <c r="H58" s="46" t="s">
        <v>400</v>
      </c>
      <c r="I58" s="26">
        <v>14000000</v>
      </c>
      <c r="J58" s="26">
        <v>60</v>
      </c>
      <c r="K58" s="126">
        <v>100</v>
      </c>
      <c r="L58" s="49">
        <v>44378</v>
      </c>
      <c r="M58" s="47" t="s">
        <v>317</v>
      </c>
      <c r="N58" s="47"/>
      <c r="O58" s="50">
        <v>14000000</v>
      </c>
    </row>
    <row r="59" spans="1:15" ht="15" customHeight="1">
      <c r="A59" s="46" t="s">
        <v>310</v>
      </c>
      <c r="B59" s="26" t="str">
        <f>_xlfn.IFNA(VLOOKUP(C59,Sheet3!$H:$I,2,FALSE),"")</f>
        <v>B5600</v>
      </c>
      <c r="C59" s="46" t="s">
        <v>285</v>
      </c>
      <c r="D59" s="26" t="str">
        <f>_xlfn.IFNA(VLOOKUP(E59,Sheet3!$H:$I,2,FALSE),"")</f>
        <v>B5600</v>
      </c>
      <c r="E59" s="46" t="s">
        <v>285</v>
      </c>
      <c r="F59" s="47">
        <v>2141000</v>
      </c>
      <c r="G59" s="46" t="s">
        <v>221</v>
      </c>
      <c r="H59" s="46" t="s">
        <v>401</v>
      </c>
      <c r="I59" s="26">
        <v>10000000</v>
      </c>
      <c r="J59" s="26">
        <v>60</v>
      </c>
      <c r="K59" s="126">
        <v>100</v>
      </c>
      <c r="L59" s="49">
        <v>44409</v>
      </c>
      <c r="M59" s="47" t="s">
        <v>317</v>
      </c>
      <c r="N59" s="47"/>
      <c r="O59" s="50">
        <v>10000000</v>
      </c>
    </row>
    <row r="60" spans="1:15" ht="15" customHeight="1">
      <c r="A60" s="46" t="s">
        <v>310</v>
      </c>
      <c r="B60" s="26" t="str">
        <f>_xlfn.IFNA(VLOOKUP(C60,Sheet3!$H:$I,2,FALSE),"")</f>
        <v>B5600</v>
      </c>
      <c r="C60" s="46" t="s">
        <v>285</v>
      </c>
      <c r="D60" s="26" t="str">
        <f>_xlfn.IFNA(VLOOKUP(E60,Sheet3!$H:$I,2,FALSE),"")</f>
        <v>B5600</v>
      </c>
      <c r="E60" s="46" t="s">
        <v>285</v>
      </c>
      <c r="F60" s="47">
        <v>2141000</v>
      </c>
      <c r="G60" s="46" t="s">
        <v>221</v>
      </c>
      <c r="H60" s="46" t="s">
        <v>402</v>
      </c>
      <c r="I60" s="26">
        <v>8000000</v>
      </c>
      <c r="J60" s="26">
        <v>60</v>
      </c>
      <c r="K60" s="126">
        <v>100</v>
      </c>
      <c r="L60" s="49">
        <v>44409</v>
      </c>
      <c r="M60" s="47" t="s">
        <v>317</v>
      </c>
      <c r="N60" s="47"/>
      <c r="O60" s="50">
        <v>8000000</v>
      </c>
    </row>
    <row r="61" spans="1:15" ht="15" customHeight="1">
      <c r="A61" s="46" t="s">
        <v>310</v>
      </c>
      <c r="B61" s="26" t="str">
        <f>_xlfn.IFNA(VLOOKUP(C61,Sheet3!$H:$I,2,FALSE),"")</f>
        <v>B5600</v>
      </c>
      <c r="C61" s="46" t="s">
        <v>285</v>
      </c>
      <c r="D61" s="26" t="str">
        <f>_xlfn.IFNA(VLOOKUP(E61,Sheet3!$H:$I,2,FALSE),"")</f>
        <v>B4101</v>
      </c>
      <c r="E61" s="46" t="s">
        <v>241</v>
      </c>
      <c r="F61" s="47">
        <v>2141000</v>
      </c>
      <c r="G61" s="46" t="s">
        <v>221</v>
      </c>
      <c r="H61" s="46" t="s">
        <v>403</v>
      </c>
      <c r="I61" s="26">
        <v>100000000</v>
      </c>
      <c r="J61" s="26">
        <v>60</v>
      </c>
      <c r="K61" s="126">
        <v>100</v>
      </c>
      <c r="L61" s="49">
        <v>44470</v>
      </c>
      <c r="M61" s="47" t="s">
        <v>317</v>
      </c>
      <c r="N61" s="47"/>
      <c r="O61" s="50">
        <v>100000000</v>
      </c>
    </row>
    <row r="62" spans="1:15" ht="15" customHeight="1">
      <c r="A62" s="46" t="s">
        <v>310</v>
      </c>
      <c r="B62" s="26" t="str">
        <f>_xlfn.IFNA(VLOOKUP(C62,Sheet3!$H:$I,2,FALSE),"")</f>
        <v>B5600</v>
      </c>
      <c r="C62" s="46" t="s">
        <v>285</v>
      </c>
      <c r="D62" s="26" t="str">
        <f>_xlfn.IFNA(VLOOKUP(E62,Sheet3!$H:$I,2,FALSE),"")</f>
        <v>B4102</v>
      </c>
      <c r="E62" s="46" t="s">
        <v>244</v>
      </c>
      <c r="F62" s="47">
        <v>2121000</v>
      </c>
      <c r="G62" s="46" t="s">
        <v>313</v>
      </c>
      <c r="H62" s="46" t="s">
        <v>404</v>
      </c>
      <c r="I62" s="26">
        <v>11167645280</v>
      </c>
      <c r="J62" s="26">
        <v>84</v>
      </c>
      <c r="K62" s="126">
        <v>100</v>
      </c>
      <c r="L62" s="49">
        <v>44593</v>
      </c>
      <c r="M62" s="47" t="s">
        <v>314</v>
      </c>
      <c r="N62" s="47"/>
      <c r="O62" s="50">
        <v>11167645280</v>
      </c>
    </row>
    <row r="63" spans="1:15" ht="15" customHeight="1">
      <c r="A63" s="46" t="s">
        <v>310</v>
      </c>
      <c r="B63" s="26" t="str">
        <f>_xlfn.IFNA(VLOOKUP(C63,Sheet3!$H:$I,2,FALSE),"")</f>
        <v>B5600</v>
      </c>
      <c r="C63" s="46" t="s">
        <v>285</v>
      </c>
      <c r="D63" s="26" t="str">
        <f>_xlfn.IFNA(VLOOKUP(E63,Sheet3!$H:$I,2,FALSE),"")</f>
        <v>B4120</v>
      </c>
      <c r="E63" s="46" t="s">
        <v>260</v>
      </c>
      <c r="F63" s="47">
        <v>2121000</v>
      </c>
      <c r="G63" s="46" t="s">
        <v>312</v>
      </c>
      <c r="H63" s="46" t="s">
        <v>405</v>
      </c>
      <c r="I63" s="26">
        <v>1054411599.9999999</v>
      </c>
      <c r="J63" s="26">
        <v>120</v>
      </c>
      <c r="K63" s="126">
        <v>100</v>
      </c>
      <c r="L63" s="49">
        <v>44593</v>
      </c>
      <c r="M63" s="47" t="s">
        <v>314</v>
      </c>
      <c r="N63" s="47"/>
      <c r="O63" s="50">
        <v>1054411599.9999999</v>
      </c>
    </row>
    <row r="64" spans="1:15" ht="15" customHeight="1">
      <c r="A64" s="46" t="s">
        <v>310</v>
      </c>
      <c r="B64" s="26" t="str">
        <f>_xlfn.IFNA(VLOOKUP(C64,Sheet3!$H:$I,2,FALSE),"")</f>
        <v>B5600</v>
      </c>
      <c r="C64" s="46" t="s">
        <v>285</v>
      </c>
      <c r="D64" s="26" t="str">
        <f>_xlfn.IFNA(VLOOKUP(E64,Sheet3!$H:$I,2,FALSE),"")</f>
        <v>B5600</v>
      </c>
      <c r="E64" s="46" t="s">
        <v>285</v>
      </c>
      <c r="F64" s="47">
        <v>2141000</v>
      </c>
      <c r="G64" s="46" t="s">
        <v>221</v>
      </c>
      <c r="H64" s="46" t="s">
        <v>406</v>
      </c>
      <c r="I64" s="26">
        <v>30000000</v>
      </c>
      <c r="J64" s="26">
        <v>60</v>
      </c>
      <c r="K64" s="126">
        <v>100</v>
      </c>
      <c r="L64" s="49">
        <v>44713</v>
      </c>
      <c r="M64" s="47" t="s">
        <v>320</v>
      </c>
      <c r="N64" s="47"/>
      <c r="O64" s="50">
        <v>30000000</v>
      </c>
    </row>
    <row r="65" spans="1:15" ht="15" customHeight="1">
      <c r="A65" s="46" t="s">
        <v>310</v>
      </c>
      <c r="B65" s="26" t="str">
        <f>_xlfn.IFNA(VLOOKUP(C65,Sheet3!$H:$I,2,FALSE),"")</f>
        <v>B5600</v>
      </c>
      <c r="C65" s="46" t="s">
        <v>285</v>
      </c>
      <c r="D65" s="26" t="str">
        <f>_xlfn.IFNA(VLOOKUP(E65,Sheet3!$H:$I,2,FALSE),"")</f>
        <v>B4106</v>
      </c>
      <c r="E65" s="46" t="s">
        <v>252</v>
      </c>
      <c r="F65" s="47">
        <v>2121000</v>
      </c>
      <c r="G65" s="46" t="s">
        <v>313</v>
      </c>
      <c r="H65" s="46" t="s">
        <v>407</v>
      </c>
      <c r="I65" s="26">
        <v>1594117400</v>
      </c>
      <c r="J65" s="26">
        <v>84</v>
      </c>
      <c r="K65" s="126">
        <v>100</v>
      </c>
      <c r="L65" s="49">
        <v>44774</v>
      </c>
      <c r="M65" s="47" t="s">
        <v>314</v>
      </c>
      <c r="N65" s="47"/>
      <c r="O65" s="50">
        <v>1594117400</v>
      </c>
    </row>
    <row r="66" spans="1:15" ht="15" customHeight="1">
      <c r="A66" s="46" t="s">
        <v>310</v>
      </c>
      <c r="B66" s="26" t="str">
        <f>_xlfn.IFNA(VLOOKUP(C66,Sheet3!$H:$I,2,FALSE),"")</f>
        <v>B5600</v>
      </c>
      <c r="C66" s="46" t="s">
        <v>285</v>
      </c>
      <c r="D66" s="26" t="str">
        <f>_xlfn.IFNA(VLOOKUP(E66,Sheet3!$H:$I,2,FALSE),"")</f>
        <v>B4106</v>
      </c>
      <c r="E66" s="46" t="s">
        <v>252</v>
      </c>
      <c r="F66" s="47">
        <v>2121000</v>
      </c>
      <c r="G66" s="46" t="s">
        <v>312</v>
      </c>
      <c r="H66" s="46" t="s">
        <v>408</v>
      </c>
      <c r="I66" s="26">
        <v>14748527060</v>
      </c>
      <c r="J66" s="26">
        <v>120</v>
      </c>
      <c r="K66" s="126">
        <v>100</v>
      </c>
      <c r="L66" s="49">
        <v>44805</v>
      </c>
      <c r="M66" s="47" t="s">
        <v>320</v>
      </c>
      <c r="N66" s="47"/>
      <c r="O66" s="50">
        <v>14748527060</v>
      </c>
    </row>
    <row r="67" spans="1:15" ht="15" customHeight="1">
      <c r="A67" s="46" t="s">
        <v>310</v>
      </c>
      <c r="B67" s="26" t="str">
        <f>_xlfn.IFNA(VLOOKUP(C67,Sheet3!$H:$I,2,FALSE),"")</f>
        <v>B5600</v>
      </c>
      <c r="C67" s="46" t="s">
        <v>285</v>
      </c>
      <c r="D67" s="26" t="str">
        <f>_xlfn.IFNA(VLOOKUP(E67,Sheet3!$H:$I,2,FALSE),"")</f>
        <v>B4102</v>
      </c>
      <c r="E67" s="46" t="s">
        <v>244</v>
      </c>
      <c r="F67" s="47">
        <v>2121000</v>
      </c>
      <c r="G67" s="46" t="s">
        <v>313</v>
      </c>
      <c r="H67" s="46" t="s">
        <v>409</v>
      </c>
      <c r="I67" s="26">
        <v>11167645280</v>
      </c>
      <c r="J67" s="26">
        <v>84</v>
      </c>
      <c r="K67" s="126">
        <v>100</v>
      </c>
      <c r="L67" s="49">
        <v>44866</v>
      </c>
      <c r="M67" s="47" t="s">
        <v>314</v>
      </c>
      <c r="N67" s="47"/>
      <c r="O67" s="50">
        <v>11167645280</v>
      </c>
    </row>
    <row r="68" spans="1:15" ht="15" customHeight="1">
      <c r="A68" s="46" t="s">
        <v>310</v>
      </c>
      <c r="B68" s="26" t="str">
        <f>_xlfn.IFNA(VLOOKUP(C68,Sheet3!$H:$I,2,FALSE),"")</f>
        <v>B5600</v>
      </c>
      <c r="C68" s="46" t="s">
        <v>285</v>
      </c>
      <c r="D68" s="26" t="str">
        <f>_xlfn.IFNA(VLOOKUP(E68,Sheet3!$H:$I,2,FALSE),"")</f>
        <v>B4110</v>
      </c>
      <c r="E68" s="46" t="s">
        <v>254</v>
      </c>
      <c r="F68" s="47">
        <v>2121000</v>
      </c>
      <c r="G68" s="46" t="s">
        <v>312</v>
      </c>
      <c r="H68" s="46" t="s">
        <v>410</v>
      </c>
      <c r="I68" s="26">
        <v>19969114460</v>
      </c>
      <c r="J68" s="26">
        <v>120</v>
      </c>
      <c r="K68" s="126">
        <v>100</v>
      </c>
      <c r="L68" s="49">
        <v>44958</v>
      </c>
      <c r="M68" s="47" t="s">
        <v>320</v>
      </c>
      <c r="N68" s="47"/>
      <c r="O68" s="50">
        <v>19969114460</v>
      </c>
    </row>
    <row r="69" spans="1:15" ht="15" customHeight="1">
      <c r="A69" s="46" t="s">
        <v>310</v>
      </c>
      <c r="B69" s="26" t="str">
        <f>_xlfn.IFNA(VLOOKUP(C69,Sheet3!$H:$I,2,FALSE),"")</f>
        <v>B5600</v>
      </c>
      <c r="C69" s="46" t="s">
        <v>285</v>
      </c>
      <c r="D69" s="26" t="str">
        <f>_xlfn.IFNA(VLOOKUP(E69,Sheet3!$H:$I,2,FALSE),"")</f>
        <v>B5600</v>
      </c>
      <c r="E69" s="46" t="s">
        <v>285</v>
      </c>
      <c r="F69" s="47">
        <v>2141000</v>
      </c>
      <c r="G69" s="46" t="s">
        <v>221</v>
      </c>
      <c r="H69" s="46" t="s">
        <v>411</v>
      </c>
      <c r="I69" s="26">
        <v>15000000</v>
      </c>
      <c r="J69" s="26">
        <v>60</v>
      </c>
      <c r="K69" s="126">
        <v>100</v>
      </c>
      <c r="L69" s="49">
        <v>44774</v>
      </c>
      <c r="M69" s="47" t="s">
        <v>317</v>
      </c>
      <c r="N69" s="47"/>
      <c r="O69" s="50">
        <v>15000000</v>
      </c>
    </row>
    <row r="70" spans="1:15" ht="15" customHeight="1">
      <c r="A70" s="46" t="s">
        <v>310</v>
      </c>
      <c r="B70" s="26" t="str">
        <f>_xlfn.IFNA(VLOOKUP(C70,Sheet3!$H:$I,2,FALSE),"")</f>
        <v>B5600</v>
      </c>
      <c r="C70" s="46" t="s">
        <v>285</v>
      </c>
      <c r="D70" s="26" t="str">
        <f>_xlfn.IFNA(VLOOKUP(E70,Sheet3!$H:$I,2,FALSE),"")</f>
        <v>B4103</v>
      </c>
      <c r="E70" s="46" t="s">
        <v>246</v>
      </c>
      <c r="F70" s="47">
        <v>2121000</v>
      </c>
      <c r="G70" s="46" t="s">
        <v>312</v>
      </c>
      <c r="H70" s="46" t="s">
        <v>483</v>
      </c>
      <c r="I70" s="26">
        <v>6907351840</v>
      </c>
      <c r="J70" s="26">
        <v>120</v>
      </c>
      <c r="K70" s="126">
        <v>100</v>
      </c>
      <c r="L70" s="49">
        <v>45017</v>
      </c>
      <c r="M70" s="47" t="s">
        <v>314</v>
      </c>
      <c r="N70" s="47"/>
      <c r="O70" s="50">
        <v>6907351840</v>
      </c>
    </row>
    <row r="71" spans="1:15" ht="15" customHeight="1">
      <c r="A71" s="46" t="s">
        <v>310</v>
      </c>
      <c r="B71" s="26" t="str">
        <f>_xlfn.IFNA(VLOOKUP(C71,Sheet3!$H:$I,2,FALSE),"")</f>
        <v>B5600</v>
      </c>
      <c r="C71" s="46" t="s">
        <v>285</v>
      </c>
      <c r="D71" s="26" t="str">
        <f>_xlfn.IFNA(VLOOKUP(E71,Sheet3!$H:$I,2,FALSE),"")</f>
        <v>B4103</v>
      </c>
      <c r="E71" s="46" t="s">
        <v>246</v>
      </c>
      <c r="F71" s="47">
        <v>2121000</v>
      </c>
      <c r="G71" s="46" t="s">
        <v>313</v>
      </c>
      <c r="H71" s="46" t="s">
        <v>412</v>
      </c>
      <c r="I71" s="26">
        <v>2649999580</v>
      </c>
      <c r="J71" s="26">
        <v>84</v>
      </c>
      <c r="K71" s="126">
        <v>100</v>
      </c>
      <c r="L71" s="49">
        <v>45017</v>
      </c>
      <c r="M71" s="47" t="s">
        <v>314</v>
      </c>
      <c r="N71" s="47"/>
      <c r="O71" s="50">
        <v>2649999580</v>
      </c>
    </row>
    <row r="72" spans="1:15" ht="15" customHeight="1">
      <c r="A72" s="46" t="s">
        <v>310</v>
      </c>
      <c r="B72" s="26" t="str">
        <f>_xlfn.IFNA(VLOOKUP(C72,Sheet3!$H:$I,2,FALSE),"")</f>
        <v>B5600</v>
      </c>
      <c r="C72" s="46" t="s">
        <v>285</v>
      </c>
      <c r="D72" s="26" t="str">
        <f>_xlfn.IFNA(VLOOKUP(E72,Sheet3!$H:$I,2,FALSE),"")</f>
        <v>B4110</v>
      </c>
      <c r="E72" s="46" t="s">
        <v>254</v>
      </c>
      <c r="F72" s="47">
        <v>2121000</v>
      </c>
      <c r="G72" s="46" t="s">
        <v>312</v>
      </c>
      <c r="H72" s="46" t="s">
        <v>413</v>
      </c>
      <c r="I72" s="26">
        <v>3123234800</v>
      </c>
      <c r="J72" s="26">
        <v>120</v>
      </c>
      <c r="K72" s="126">
        <v>100</v>
      </c>
      <c r="L72" s="49">
        <v>45139</v>
      </c>
      <c r="M72" s="47" t="s">
        <v>314</v>
      </c>
      <c r="N72" s="47"/>
      <c r="O72" s="50">
        <v>3123234800</v>
      </c>
    </row>
    <row r="73" spans="1:15" ht="15" customHeight="1">
      <c r="A73" s="46" t="s">
        <v>310</v>
      </c>
      <c r="B73" s="26" t="str">
        <f>_xlfn.IFNA(VLOOKUP(C73,Sheet3!$H:$I,2,FALSE),"")</f>
        <v>B5600</v>
      </c>
      <c r="C73" s="46" t="s">
        <v>285</v>
      </c>
      <c r="D73" s="26" t="str">
        <f>_xlfn.IFNA(VLOOKUP(E73,Sheet3!$H:$I,2,FALSE),"")</f>
        <v>B4102</v>
      </c>
      <c r="E73" s="46" t="s">
        <v>244</v>
      </c>
      <c r="F73" s="47">
        <v>2121000</v>
      </c>
      <c r="G73" s="46" t="s">
        <v>313</v>
      </c>
      <c r="H73" s="46" t="s">
        <v>414</v>
      </c>
      <c r="I73" s="26">
        <v>11167645280</v>
      </c>
      <c r="J73" s="26">
        <v>84</v>
      </c>
      <c r="K73" s="126">
        <v>100</v>
      </c>
      <c r="L73" s="49">
        <v>45140</v>
      </c>
      <c r="M73" s="47" t="s">
        <v>314</v>
      </c>
      <c r="N73" s="47"/>
      <c r="O73" s="50">
        <v>11167645280</v>
      </c>
    </row>
    <row r="74" spans="1:15" ht="15" customHeight="1">
      <c r="A74" s="46" t="s">
        <v>310</v>
      </c>
      <c r="B74" s="26" t="str">
        <f>_xlfn.IFNA(VLOOKUP(C74,Sheet3!$H:$I,2,FALSE),"")</f>
        <v>B4102</v>
      </c>
      <c r="C74" s="46" t="s">
        <v>244</v>
      </c>
      <c r="D74" s="26" t="str">
        <f>_xlfn.IFNA(VLOOKUP(E74,Sheet3!$H:$I,2,FALSE),"")</f>
        <v>B4102</v>
      </c>
      <c r="E74" s="46" t="s">
        <v>244</v>
      </c>
      <c r="F74" s="47">
        <v>2141000</v>
      </c>
      <c r="G74" s="46" t="s">
        <v>221</v>
      </c>
      <c r="H74" s="46" t="s">
        <v>417</v>
      </c>
      <c r="I74" s="26">
        <v>8000000</v>
      </c>
      <c r="J74" s="26">
        <v>60</v>
      </c>
      <c r="K74" s="126">
        <v>100</v>
      </c>
      <c r="L74" s="49">
        <v>44287</v>
      </c>
      <c r="M74" s="47" t="s">
        <v>317</v>
      </c>
      <c r="N74" s="47"/>
      <c r="O74" s="50">
        <v>8000000</v>
      </c>
    </row>
    <row r="75" spans="1:15" ht="15" customHeight="1">
      <c r="A75" s="46" t="s">
        <v>310</v>
      </c>
      <c r="B75" s="26" t="str">
        <f>_xlfn.IFNA(VLOOKUP(C75,Sheet3!$H:$I,2,FALSE),"")</f>
        <v>B4102</v>
      </c>
      <c r="C75" s="46" t="s">
        <v>244</v>
      </c>
      <c r="D75" s="26" t="str">
        <f>_xlfn.IFNA(VLOOKUP(E75,Sheet3!$H:$I,2,FALSE),"")</f>
        <v>B4102</v>
      </c>
      <c r="E75" s="46" t="s">
        <v>244</v>
      </c>
      <c r="F75" s="47">
        <v>2141000</v>
      </c>
      <c r="G75" s="46" t="s">
        <v>221</v>
      </c>
      <c r="H75" s="46" t="s">
        <v>418</v>
      </c>
      <c r="I75" s="26">
        <v>8000000</v>
      </c>
      <c r="J75" s="26">
        <v>60</v>
      </c>
      <c r="K75" s="126">
        <v>100</v>
      </c>
      <c r="L75" s="49">
        <v>44287</v>
      </c>
      <c r="M75" s="47" t="s">
        <v>317</v>
      </c>
      <c r="N75" s="47"/>
      <c r="O75" s="50">
        <v>8000000</v>
      </c>
    </row>
    <row r="76" spans="1:15" ht="15" customHeight="1">
      <c r="A76" s="46" t="s">
        <v>310</v>
      </c>
      <c r="B76" s="26" t="str">
        <f>_xlfn.IFNA(VLOOKUP(C76,Sheet3!$H:$I,2,FALSE),"")</f>
        <v>B4106</v>
      </c>
      <c r="C76" s="46" t="s">
        <v>252</v>
      </c>
      <c r="D76" s="26" t="str">
        <f>_xlfn.IFNA(VLOOKUP(E76,Sheet3!$H:$I,2,FALSE),"")</f>
        <v>B4106</v>
      </c>
      <c r="E76" s="46" t="s">
        <v>252</v>
      </c>
      <c r="F76" s="47">
        <v>2141000</v>
      </c>
      <c r="G76" s="46" t="s">
        <v>221</v>
      </c>
      <c r="H76" s="46" t="s">
        <v>419</v>
      </c>
      <c r="I76" s="26">
        <v>8000000</v>
      </c>
      <c r="J76" s="26">
        <v>60</v>
      </c>
      <c r="K76" s="126">
        <v>100</v>
      </c>
      <c r="L76" s="49">
        <v>44287</v>
      </c>
      <c r="M76" s="47" t="s">
        <v>317</v>
      </c>
      <c r="N76" s="47"/>
      <c r="O76" s="50">
        <v>8000000</v>
      </c>
    </row>
    <row r="77" spans="1:15" ht="15" customHeight="1">
      <c r="A77" s="46" t="s">
        <v>310</v>
      </c>
      <c r="B77" s="26" t="str">
        <f>_xlfn.IFNA(VLOOKUP(C77,Sheet3!$H:$I,2,FALSE),"")</f>
        <v>B5100</v>
      </c>
      <c r="C77" s="46" t="s">
        <v>273</v>
      </c>
      <c r="D77" s="26" t="str">
        <f>_xlfn.IFNA(VLOOKUP(E77,Sheet3!$H:$I,2,FALSE),"")</f>
        <v>B5100</v>
      </c>
      <c r="E77" s="46" t="s">
        <v>273</v>
      </c>
      <c r="F77" s="47">
        <v>2141000</v>
      </c>
      <c r="G77" s="46" t="s">
        <v>221</v>
      </c>
      <c r="H77" s="46" t="s">
        <v>420</v>
      </c>
      <c r="I77" s="26">
        <v>13000000</v>
      </c>
      <c r="J77" s="26">
        <v>60</v>
      </c>
      <c r="K77" s="126">
        <v>100</v>
      </c>
      <c r="L77" s="49">
        <v>44287</v>
      </c>
      <c r="M77" s="47" t="s">
        <v>317</v>
      </c>
      <c r="N77" s="47"/>
      <c r="O77" s="50">
        <v>13000000</v>
      </c>
    </row>
    <row r="78" spans="1:15" ht="15" customHeight="1">
      <c r="A78" s="46" t="s">
        <v>310</v>
      </c>
      <c r="B78" s="26" t="str">
        <f>_xlfn.IFNA(VLOOKUP(C78,Sheet3!$H:$I,2,FALSE),"")</f>
        <v>B4105</v>
      </c>
      <c r="C78" s="46" t="s">
        <v>248</v>
      </c>
      <c r="D78" s="26" t="str">
        <f>_xlfn.IFNA(VLOOKUP(E78,Sheet3!$H:$I,2,FALSE),"")</f>
        <v>B4105</v>
      </c>
      <c r="E78" s="46" t="s">
        <v>248</v>
      </c>
      <c r="F78" s="47">
        <v>2141000</v>
      </c>
      <c r="G78" s="46" t="s">
        <v>221</v>
      </c>
      <c r="H78" s="46" t="s">
        <v>421</v>
      </c>
      <c r="I78" s="26">
        <v>8000000</v>
      </c>
      <c r="J78" s="26">
        <v>60</v>
      </c>
      <c r="K78" s="126">
        <v>100</v>
      </c>
      <c r="L78" s="49">
        <v>44287</v>
      </c>
      <c r="M78" s="47" t="s">
        <v>317</v>
      </c>
      <c r="N78" s="47"/>
      <c r="O78" s="50">
        <v>8000000</v>
      </c>
    </row>
    <row r="79" spans="1:15" ht="15" customHeight="1">
      <c r="A79" s="46" t="s">
        <v>310</v>
      </c>
      <c r="B79" s="26" t="str">
        <f>_xlfn.IFNA(VLOOKUP(C79,Sheet3!$H:$I,2,FALSE),"")</f>
        <v>B4105</v>
      </c>
      <c r="C79" s="46" t="s">
        <v>248</v>
      </c>
      <c r="D79" s="26" t="str">
        <f>_xlfn.IFNA(VLOOKUP(E79,Sheet3!$H:$I,2,FALSE),"")</f>
        <v>B4105</v>
      </c>
      <c r="E79" s="46" t="s">
        <v>248</v>
      </c>
      <c r="F79" s="47">
        <v>2141000</v>
      </c>
      <c r="G79" s="46" t="s">
        <v>221</v>
      </c>
      <c r="H79" s="46" t="s">
        <v>484</v>
      </c>
      <c r="I79" s="26">
        <v>13000000</v>
      </c>
      <c r="J79" s="26">
        <v>60</v>
      </c>
      <c r="K79" s="126">
        <v>100</v>
      </c>
      <c r="L79" s="49">
        <v>44228</v>
      </c>
      <c r="M79" s="47" t="s">
        <v>317</v>
      </c>
      <c r="N79" s="47"/>
      <c r="O79" s="50">
        <v>13000000</v>
      </c>
    </row>
    <row r="80" spans="1:15" ht="15" customHeight="1">
      <c r="A80" s="46" t="s">
        <v>310</v>
      </c>
      <c r="B80" s="26" t="str">
        <f>_xlfn.IFNA(VLOOKUP(C80,Sheet3!$H:$I,2,FALSE),"")</f>
        <v>B4105</v>
      </c>
      <c r="C80" s="46" t="s">
        <v>248</v>
      </c>
      <c r="D80" s="26" t="str">
        <f>_xlfn.IFNA(VLOOKUP(E80,Sheet3!$H:$I,2,FALSE),"")</f>
        <v>B4105</v>
      </c>
      <c r="E80" s="46" t="s">
        <v>248</v>
      </c>
      <c r="F80" s="47">
        <v>2141000</v>
      </c>
      <c r="G80" s="46" t="s">
        <v>221</v>
      </c>
      <c r="H80" s="46" t="s">
        <v>485</v>
      </c>
      <c r="I80" s="26">
        <v>16000000</v>
      </c>
      <c r="J80" s="26">
        <v>60</v>
      </c>
      <c r="K80" s="126">
        <v>100</v>
      </c>
      <c r="L80" s="49">
        <v>44256</v>
      </c>
      <c r="M80" s="47" t="s">
        <v>317</v>
      </c>
      <c r="N80" s="47"/>
      <c r="O80" s="50">
        <v>16000000</v>
      </c>
    </row>
    <row r="81" spans="1:15" ht="15" customHeight="1">
      <c r="A81" s="46" t="s">
        <v>310</v>
      </c>
      <c r="B81" s="26" t="str">
        <f>_xlfn.IFNA(VLOOKUP(C81,Sheet3!$H:$I,2,FALSE),"")</f>
        <v>B4410</v>
      </c>
      <c r="C81" s="46" t="s">
        <v>264</v>
      </c>
      <c r="D81" s="26" t="str">
        <f>_xlfn.IFNA(VLOOKUP(E81,Sheet3!$H:$I,2,FALSE),"")</f>
        <v>B4410</v>
      </c>
      <c r="E81" s="46" t="s">
        <v>264</v>
      </c>
      <c r="F81" s="47">
        <v>2141000</v>
      </c>
      <c r="G81" s="46" t="s">
        <v>221</v>
      </c>
      <c r="H81" s="46" t="s">
        <v>489</v>
      </c>
      <c r="I81" s="26">
        <v>10000000</v>
      </c>
      <c r="J81" s="26">
        <v>60</v>
      </c>
      <c r="K81" s="126">
        <v>100</v>
      </c>
      <c r="L81" s="49">
        <v>44256</v>
      </c>
      <c r="M81" s="47" t="s">
        <v>317</v>
      </c>
      <c r="N81" s="47"/>
      <c r="O81" s="50">
        <v>10000000</v>
      </c>
    </row>
    <row r="82" spans="1:15" ht="15" customHeight="1">
      <c r="A82" s="46" t="s">
        <v>310</v>
      </c>
      <c r="B82" s="26" t="str">
        <f>_xlfn.IFNA(VLOOKUP(C82,Sheet3!$H:$I,2,FALSE),"")</f>
        <v>B4430</v>
      </c>
      <c r="C82" s="46" t="s">
        <v>266</v>
      </c>
      <c r="D82" s="26" t="str">
        <f>_xlfn.IFNA(VLOOKUP(E82,Sheet3!$H:$I,2,FALSE),"")</f>
        <v>B4430</v>
      </c>
      <c r="E82" s="46" t="s">
        <v>266</v>
      </c>
      <c r="F82" s="47">
        <v>2121000</v>
      </c>
      <c r="G82" s="46" t="s">
        <v>312</v>
      </c>
      <c r="H82" s="46" t="s">
        <v>422</v>
      </c>
      <c r="I82" s="26">
        <v>10000000</v>
      </c>
      <c r="J82" s="26">
        <v>120</v>
      </c>
      <c r="K82" s="126">
        <v>100</v>
      </c>
      <c r="L82" s="49">
        <v>44287</v>
      </c>
      <c r="M82" s="47" t="s">
        <v>317</v>
      </c>
      <c r="N82" s="47"/>
      <c r="O82" s="50">
        <v>10000000</v>
      </c>
    </row>
    <row r="83" spans="1:15" ht="15" customHeight="1">
      <c r="A83" s="46" t="s">
        <v>310</v>
      </c>
      <c r="B83" s="26" t="str">
        <f>_xlfn.IFNA(VLOOKUP(C83,Sheet3!$H:$I,2,FALSE),"")</f>
        <v>B4430</v>
      </c>
      <c r="C83" s="46" t="s">
        <v>266</v>
      </c>
      <c r="D83" s="26" t="str">
        <f>_xlfn.IFNA(VLOOKUP(E83,Sheet3!$H:$I,2,FALSE),"")</f>
        <v>B4430</v>
      </c>
      <c r="E83" s="46" t="s">
        <v>266</v>
      </c>
      <c r="F83" s="47">
        <v>2141000</v>
      </c>
      <c r="G83" s="46" t="s">
        <v>221</v>
      </c>
      <c r="H83" s="46" t="s">
        <v>489</v>
      </c>
      <c r="I83" s="26">
        <v>10000000</v>
      </c>
      <c r="J83" s="26">
        <v>60</v>
      </c>
      <c r="K83" s="126">
        <v>100</v>
      </c>
      <c r="L83" s="49">
        <v>44256</v>
      </c>
      <c r="M83" s="47" t="s">
        <v>317</v>
      </c>
      <c r="N83" s="47"/>
      <c r="O83" s="50">
        <v>10000000</v>
      </c>
    </row>
    <row r="84" spans="1:15" ht="15" customHeight="1">
      <c r="A84" s="46" t="s">
        <v>310</v>
      </c>
      <c r="B84" s="26" t="str">
        <f>_xlfn.IFNA(VLOOKUP(C84,Sheet3!$H:$I,2,FALSE),"")</f>
        <v>B4440</v>
      </c>
      <c r="C84" s="46" t="s">
        <v>268</v>
      </c>
      <c r="D84" s="26" t="str">
        <f>_xlfn.IFNA(VLOOKUP(E84,Sheet3!$H:$I,2,FALSE),"")</f>
        <v>B4440</v>
      </c>
      <c r="E84" s="46" t="s">
        <v>268</v>
      </c>
      <c r="F84" s="47">
        <v>2121000</v>
      </c>
      <c r="G84" s="46" t="s">
        <v>312</v>
      </c>
      <c r="H84" s="46" t="s">
        <v>423</v>
      </c>
      <c r="I84" s="26">
        <v>12000000</v>
      </c>
      <c r="J84" s="26">
        <v>120</v>
      </c>
      <c r="K84" s="126">
        <v>100</v>
      </c>
      <c r="L84" s="49">
        <v>44287</v>
      </c>
      <c r="M84" s="47" t="s">
        <v>317</v>
      </c>
      <c r="N84" s="47"/>
      <c r="O84" s="50">
        <v>12000000</v>
      </c>
    </row>
    <row r="85" spans="1:15" ht="15" customHeight="1">
      <c r="A85" s="46" t="s">
        <v>310</v>
      </c>
      <c r="B85" s="26" t="str">
        <f>_xlfn.IFNA(VLOOKUP(C85,Sheet3!$H:$I,2,FALSE),"")</f>
        <v>B4110</v>
      </c>
      <c r="C85" s="46" t="s">
        <v>254</v>
      </c>
      <c r="D85" s="26" t="str">
        <f>_xlfn.IFNA(VLOOKUP(E85,Sheet3!$H:$I,2,FALSE),"")</f>
        <v>B4110</v>
      </c>
      <c r="E85" s="46" t="s">
        <v>254</v>
      </c>
      <c r="F85" s="47">
        <v>2141000</v>
      </c>
      <c r="G85" s="46" t="s">
        <v>221</v>
      </c>
      <c r="H85" s="46" t="s">
        <v>415</v>
      </c>
      <c r="I85" s="26">
        <v>8000000</v>
      </c>
      <c r="J85" s="26">
        <v>60</v>
      </c>
      <c r="K85" s="126">
        <v>100</v>
      </c>
      <c r="L85" s="49">
        <v>44317</v>
      </c>
      <c r="M85" s="47" t="s">
        <v>317</v>
      </c>
      <c r="N85" s="47"/>
      <c r="O85" s="50">
        <v>8000000</v>
      </c>
    </row>
    <row r="86" spans="1:15" ht="15" customHeight="1">
      <c r="A86" s="46" t="s">
        <v>310</v>
      </c>
      <c r="B86" s="26" t="str">
        <f>_xlfn.IFNA(VLOOKUP(C86,Sheet3!$H:$I,2,FALSE),"")</f>
        <v>B4110</v>
      </c>
      <c r="C86" s="46" t="s">
        <v>254</v>
      </c>
      <c r="D86" s="26" t="str">
        <f>_xlfn.IFNA(VLOOKUP(E86,Sheet3!$H:$I,2,FALSE),"")</f>
        <v>B4110</v>
      </c>
      <c r="E86" s="46" t="s">
        <v>254</v>
      </c>
      <c r="F86" s="47">
        <v>2141000</v>
      </c>
      <c r="G86" s="46" t="s">
        <v>221</v>
      </c>
      <c r="H86" s="46" t="s">
        <v>416</v>
      </c>
      <c r="I86" s="26">
        <v>8000000</v>
      </c>
      <c r="J86" s="26">
        <v>60</v>
      </c>
      <c r="K86" s="126">
        <v>100</v>
      </c>
      <c r="L86" s="49">
        <v>44378</v>
      </c>
      <c r="M86" s="47" t="s">
        <v>317</v>
      </c>
      <c r="N86" s="47"/>
      <c r="O86" s="50">
        <v>8000000</v>
      </c>
    </row>
    <row r="87" spans="1:15" ht="15" customHeight="1">
      <c r="A87" s="46" t="s">
        <v>310</v>
      </c>
      <c r="B87" s="26" t="str">
        <f>_xlfn.IFNA(VLOOKUP(C87,Sheet3!$H:$I,2,FALSE),"")</f>
        <v>B4110</v>
      </c>
      <c r="C87" s="46" t="s">
        <v>254</v>
      </c>
      <c r="D87" s="26" t="str">
        <f>_xlfn.IFNA(VLOOKUP(E87,Sheet3!$H:$I,2,FALSE),"")</f>
        <v>B4110</v>
      </c>
      <c r="E87" s="46" t="s">
        <v>254</v>
      </c>
      <c r="F87" s="47">
        <v>2141000</v>
      </c>
      <c r="G87" s="46" t="s">
        <v>221</v>
      </c>
      <c r="H87" s="46" t="s">
        <v>488</v>
      </c>
      <c r="I87" s="26">
        <v>15000000</v>
      </c>
      <c r="J87" s="26">
        <v>60</v>
      </c>
      <c r="K87" s="126">
        <v>100</v>
      </c>
      <c r="L87" s="49">
        <v>43862</v>
      </c>
      <c r="M87" s="47" t="s">
        <v>317</v>
      </c>
      <c r="N87" s="47"/>
      <c r="O87" s="50">
        <v>15000000</v>
      </c>
    </row>
    <row r="88" spans="1:15" ht="15" customHeight="1">
      <c r="A88" s="46" t="s">
        <v>310</v>
      </c>
      <c r="B88" s="26" t="str">
        <f>_xlfn.IFNA(VLOOKUP(C88,Sheet3!$H:$I,2,FALSE),"")</f>
        <v>B4120</v>
      </c>
      <c r="C88" s="46" t="s">
        <v>260</v>
      </c>
      <c r="D88" s="26" t="str">
        <f>_xlfn.IFNA(VLOOKUP(E88,Sheet3!$H:$I,2,FALSE),"")</f>
        <v>B4120</v>
      </c>
      <c r="E88" s="46" t="s">
        <v>260</v>
      </c>
      <c r="F88" s="47">
        <v>2141000</v>
      </c>
      <c r="G88" s="46" t="s">
        <v>221</v>
      </c>
      <c r="H88" s="46" t="s">
        <v>424</v>
      </c>
      <c r="I88" s="26">
        <v>8000000</v>
      </c>
      <c r="J88" s="26">
        <v>60</v>
      </c>
      <c r="K88" s="126">
        <v>100</v>
      </c>
      <c r="L88" s="49">
        <v>44409</v>
      </c>
      <c r="M88" s="47" t="s">
        <v>317</v>
      </c>
      <c r="N88" s="47"/>
      <c r="O88" s="50">
        <v>8000000</v>
      </c>
    </row>
    <row r="89" spans="1:15" ht="15" customHeight="1">
      <c r="A89" s="46" t="s">
        <v>310</v>
      </c>
      <c r="B89" s="26" t="str">
        <f>_xlfn.IFNA(VLOOKUP(C89,Sheet3!$H:$I,2,FALSE),"")</f>
        <v>B4120</v>
      </c>
      <c r="C89" s="46" t="s">
        <v>260</v>
      </c>
      <c r="D89" s="26" t="str">
        <f>_xlfn.IFNA(VLOOKUP(E89,Sheet3!$H:$I,2,FALSE),"")</f>
        <v>B4120</v>
      </c>
      <c r="E89" s="46" t="s">
        <v>260</v>
      </c>
      <c r="F89" s="47">
        <v>2141000</v>
      </c>
      <c r="G89" s="46" t="s">
        <v>221</v>
      </c>
      <c r="H89" s="46" t="s">
        <v>425</v>
      </c>
      <c r="I89" s="26">
        <v>15000000</v>
      </c>
      <c r="J89" s="26">
        <v>60</v>
      </c>
      <c r="K89" s="126">
        <v>100</v>
      </c>
      <c r="L89" s="49">
        <v>44410</v>
      </c>
      <c r="M89" s="47" t="s">
        <v>317</v>
      </c>
      <c r="N89" s="47"/>
      <c r="O89" s="50">
        <v>15000000</v>
      </c>
    </row>
    <row r="90" spans="1:15" ht="15" customHeight="1">
      <c r="A90" s="46" t="s">
        <v>310</v>
      </c>
      <c r="B90" s="26" t="str">
        <f>_xlfn.IFNA(VLOOKUP(C90,Sheet3!$H:$I,2,FALSE),"")</f>
        <v>B4120</v>
      </c>
      <c r="C90" s="46" t="s">
        <v>260</v>
      </c>
      <c r="D90" s="26" t="str">
        <f>_xlfn.IFNA(VLOOKUP(E90,Sheet3!$H:$I,2,FALSE),"")</f>
        <v>B4120</v>
      </c>
      <c r="E90" s="46" t="s">
        <v>260</v>
      </c>
      <c r="F90" s="47">
        <v>2141000</v>
      </c>
      <c r="G90" s="46" t="s">
        <v>221</v>
      </c>
      <c r="H90" s="46" t="s">
        <v>486</v>
      </c>
      <c r="I90" s="26">
        <v>10000000</v>
      </c>
      <c r="J90" s="26">
        <v>60</v>
      </c>
      <c r="K90" s="126">
        <v>100</v>
      </c>
      <c r="L90" s="49">
        <v>44228</v>
      </c>
      <c r="M90" s="47" t="s">
        <v>317</v>
      </c>
      <c r="N90" s="47"/>
      <c r="O90" s="50">
        <v>10000000</v>
      </c>
    </row>
    <row r="91" spans="1:15" ht="15" customHeight="1">
      <c r="A91" s="46" t="s">
        <v>310</v>
      </c>
      <c r="B91" s="26" t="str">
        <f>_xlfn.IFNA(VLOOKUP(C91,Sheet3!$H:$I,2,FALSE),"")</f>
        <v>B4120</v>
      </c>
      <c r="C91" s="46" t="s">
        <v>260</v>
      </c>
      <c r="D91" s="26" t="str">
        <f>_xlfn.IFNA(VLOOKUP(E91,Sheet3!$H:$I,2,FALSE),"")</f>
        <v>B4120</v>
      </c>
      <c r="E91" s="46" t="s">
        <v>260</v>
      </c>
      <c r="F91" s="47">
        <v>2141000</v>
      </c>
      <c r="G91" s="46" t="s">
        <v>221</v>
      </c>
      <c r="H91" s="46" t="s">
        <v>487</v>
      </c>
      <c r="I91" s="26">
        <v>6000000</v>
      </c>
      <c r="J91" s="26">
        <v>60</v>
      </c>
      <c r="K91" s="126">
        <v>100</v>
      </c>
      <c r="L91" s="49">
        <v>44228</v>
      </c>
      <c r="M91" s="47" t="s">
        <v>317</v>
      </c>
      <c r="N91" s="47"/>
      <c r="O91" s="50">
        <v>6000000</v>
      </c>
    </row>
    <row r="92" spans="1:15" ht="15" customHeight="1">
      <c r="A92" s="46" t="s">
        <v>310</v>
      </c>
      <c r="B92" s="26" t="str">
        <f>_xlfn.IFNA(VLOOKUP(C92,Sheet3!$H:$I,2,FALSE),"")</f>
        <v>B4121</v>
      </c>
      <c r="C92" s="46" t="s">
        <v>262</v>
      </c>
      <c r="D92" s="26" t="str">
        <f>_xlfn.IFNA(VLOOKUP(E92,Sheet3!$H:$I,2,FALSE),"")</f>
        <v>B4121</v>
      </c>
      <c r="E92" s="46" t="s">
        <v>262</v>
      </c>
      <c r="F92" s="47">
        <v>2141000</v>
      </c>
      <c r="G92" s="46" t="s">
        <v>221</v>
      </c>
      <c r="H92" s="46" t="s">
        <v>426</v>
      </c>
      <c r="I92" s="26">
        <v>8000000</v>
      </c>
      <c r="J92" s="26">
        <v>60</v>
      </c>
      <c r="K92" s="126">
        <v>100</v>
      </c>
      <c r="L92" s="49">
        <v>44378</v>
      </c>
      <c r="M92" s="47" t="s">
        <v>317</v>
      </c>
      <c r="N92" s="47"/>
      <c r="O92" s="50">
        <v>8000000</v>
      </c>
    </row>
    <row r="93" spans="1:15" ht="15" customHeight="1">
      <c r="A93" s="46" t="s">
        <v>310</v>
      </c>
      <c r="B93" s="26" t="str">
        <f>_xlfn.IFNA(VLOOKUP(C93,Sheet3!$H:$I,2,FALSE),"")</f>
        <v>B4103</v>
      </c>
      <c r="C93" s="46" t="s">
        <v>246</v>
      </c>
      <c r="D93" s="26" t="str">
        <f>_xlfn.IFNA(VLOOKUP(E93,Sheet3!$H:$I,2,FALSE),"")</f>
        <v>B4103</v>
      </c>
      <c r="E93" s="46" t="s">
        <v>246</v>
      </c>
      <c r="F93" s="47">
        <v>2141000</v>
      </c>
      <c r="G93" s="46" t="s">
        <v>221</v>
      </c>
      <c r="H93" s="46" t="s">
        <v>427</v>
      </c>
      <c r="I93" s="26">
        <v>10000000</v>
      </c>
      <c r="J93" s="26">
        <v>60</v>
      </c>
      <c r="K93" s="126">
        <v>100</v>
      </c>
      <c r="L93" s="49">
        <v>44287</v>
      </c>
      <c r="M93" s="47" t="s">
        <v>317</v>
      </c>
      <c r="N93" s="47"/>
      <c r="O93" s="50">
        <v>10000000</v>
      </c>
    </row>
    <row r="94" spans="1:15" ht="15" customHeight="1">
      <c r="A94" s="46" t="s">
        <v>310</v>
      </c>
      <c r="B94" s="26" t="str">
        <f>_xlfn.IFNA(VLOOKUP(C94,Sheet3!$H:$I,2,FALSE),"")</f>
        <v>B5800</v>
      </c>
      <c r="C94" s="46" t="s">
        <v>279</v>
      </c>
      <c r="D94" s="26" t="str">
        <f>_xlfn.IFNA(VLOOKUP(E94,Sheet3!$H:$I,2,FALSE),"")</f>
        <v>B5800</v>
      </c>
      <c r="E94" s="46" t="s">
        <v>279</v>
      </c>
      <c r="F94" s="47">
        <v>2141000</v>
      </c>
      <c r="G94" s="46" t="s">
        <v>221</v>
      </c>
      <c r="H94" s="46" t="s">
        <v>428</v>
      </c>
      <c r="I94" s="26">
        <v>13000000</v>
      </c>
      <c r="J94" s="26">
        <v>60</v>
      </c>
      <c r="K94" s="126">
        <v>100</v>
      </c>
      <c r="L94" s="49">
        <v>44317</v>
      </c>
      <c r="M94" s="47" t="s">
        <v>314</v>
      </c>
      <c r="N94" s="47"/>
      <c r="O94" s="50">
        <v>13000000</v>
      </c>
    </row>
    <row r="95" spans="1:15" ht="15" customHeight="1">
      <c r="A95" s="46" t="s">
        <v>310</v>
      </c>
      <c r="B95" s="26" t="str">
        <f>_xlfn.IFNA(VLOOKUP(C95,Sheet3!$H:$I,2,FALSE),"")</f>
        <v>B5800</v>
      </c>
      <c r="C95" s="46" t="s">
        <v>279</v>
      </c>
      <c r="D95" s="26" t="str">
        <f>_xlfn.IFNA(VLOOKUP(E95,Sheet3!$H:$I,2,FALSE),"")</f>
        <v>B5800</v>
      </c>
      <c r="E95" s="46" t="s">
        <v>279</v>
      </c>
      <c r="F95" s="47">
        <v>2141000</v>
      </c>
      <c r="G95" s="46" t="s">
        <v>221</v>
      </c>
      <c r="H95" s="46" t="s">
        <v>428</v>
      </c>
      <c r="I95" s="26">
        <v>10000000</v>
      </c>
      <c r="J95" s="26">
        <v>60</v>
      </c>
      <c r="K95" s="126">
        <v>100</v>
      </c>
      <c r="L95" s="49">
        <v>44317</v>
      </c>
      <c r="M95" s="47" t="s">
        <v>314</v>
      </c>
      <c r="N95" s="47"/>
      <c r="O95" s="50">
        <v>10000000</v>
      </c>
    </row>
    <row r="96" spans="1:15" ht="15" customHeight="1">
      <c r="A96" s="46" t="s">
        <v>310</v>
      </c>
      <c r="B96" s="26" t="str">
        <f>_xlfn.IFNA(VLOOKUP(C96,Sheet3!$H:$I,2,FALSE),"")</f>
        <v>B3160</v>
      </c>
      <c r="C96" s="46" t="s">
        <v>233</v>
      </c>
      <c r="D96" s="26" t="str">
        <f>_xlfn.IFNA(VLOOKUP(E96,Sheet3!$H:$I,2,FALSE),"")</f>
        <v>B3160</v>
      </c>
      <c r="E96" s="46" t="s">
        <v>233</v>
      </c>
      <c r="F96" s="47">
        <v>2141000</v>
      </c>
      <c r="G96" s="46" t="s">
        <v>221</v>
      </c>
      <c r="H96" s="46" t="s">
        <v>429</v>
      </c>
      <c r="I96" s="26">
        <v>13000000</v>
      </c>
      <c r="J96" s="26">
        <v>60</v>
      </c>
      <c r="K96" s="126">
        <v>100</v>
      </c>
      <c r="L96" s="49">
        <v>44317</v>
      </c>
      <c r="M96" s="47" t="s">
        <v>314</v>
      </c>
      <c r="N96" s="47"/>
      <c r="O96" s="50">
        <v>13000000</v>
      </c>
    </row>
    <row r="97" spans="1:15" ht="15" customHeight="1">
      <c r="A97" s="46" t="s">
        <v>310</v>
      </c>
      <c r="B97" s="26" t="str">
        <f>_xlfn.IFNA(VLOOKUP(C97,Sheet3!$H:$I,2,FALSE),"")</f>
        <v>B3160</v>
      </c>
      <c r="C97" s="46" t="s">
        <v>233</v>
      </c>
      <c r="D97" s="26" t="str">
        <f>_xlfn.IFNA(VLOOKUP(E97,Sheet3!$H:$I,2,FALSE),"")</f>
        <v>B3160</v>
      </c>
      <c r="E97" s="46" t="s">
        <v>233</v>
      </c>
      <c r="F97" s="47">
        <v>2141000</v>
      </c>
      <c r="G97" s="46" t="s">
        <v>221</v>
      </c>
      <c r="H97" s="46" t="s">
        <v>431</v>
      </c>
      <c r="I97" s="26">
        <v>13000000</v>
      </c>
      <c r="J97" s="26">
        <v>60</v>
      </c>
      <c r="K97" s="126">
        <v>100</v>
      </c>
      <c r="L97" s="49">
        <v>45261</v>
      </c>
      <c r="M97" s="47" t="s">
        <v>314</v>
      </c>
      <c r="N97" s="47"/>
      <c r="O97" s="50">
        <v>13000000</v>
      </c>
    </row>
    <row r="98" spans="1:15" ht="15" customHeight="1">
      <c r="A98" s="46" t="s">
        <v>310</v>
      </c>
      <c r="B98" s="26" t="str">
        <f>_xlfn.IFNA(VLOOKUP(C98,Sheet3!$H:$I,2,FALSE),"")</f>
        <v>B3160</v>
      </c>
      <c r="C98" s="46" t="s">
        <v>233</v>
      </c>
      <c r="D98" s="26" t="str">
        <f>_xlfn.IFNA(VLOOKUP(E98,Sheet3!$H:$I,2,FALSE),"")</f>
        <v>B3160</v>
      </c>
      <c r="E98" s="46" t="s">
        <v>233</v>
      </c>
      <c r="F98" s="47">
        <v>2141000</v>
      </c>
      <c r="G98" s="46" t="s">
        <v>221</v>
      </c>
      <c r="H98" s="46" t="s">
        <v>432</v>
      </c>
      <c r="I98" s="26">
        <v>13000000</v>
      </c>
      <c r="J98" s="26">
        <v>60</v>
      </c>
      <c r="K98" s="126">
        <v>100</v>
      </c>
      <c r="L98" s="49">
        <v>45078</v>
      </c>
      <c r="M98" s="47" t="s">
        <v>314</v>
      </c>
      <c r="N98" s="47"/>
      <c r="O98" s="50">
        <v>13000000</v>
      </c>
    </row>
    <row r="99" spans="1:15" ht="15" customHeight="1">
      <c r="A99" s="46" t="s">
        <v>310</v>
      </c>
      <c r="B99" s="26" t="str">
        <f>_xlfn.IFNA(VLOOKUP(C99,Sheet3!$H:$I,2,FALSE),"")</f>
        <v>B3160</v>
      </c>
      <c r="C99" s="46" t="s">
        <v>233</v>
      </c>
      <c r="D99" s="26" t="str">
        <f>_xlfn.IFNA(VLOOKUP(E99,Sheet3!$H:$I,2,FALSE),"")</f>
        <v>B3160</v>
      </c>
      <c r="E99" s="46" t="s">
        <v>233</v>
      </c>
      <c r="F99" s="47">
        <v>2141000</v>
      </c>
      <c r="G99" s="46" t="s">
        <v>221</v>
      </c>
      <c r="H99" s="46" t="s">
        <v>433</v>
      </c>
      <c r="I99" s="26">
        <v>13000000</v>
      </c>
      <c r="J99" s="26">
        <v>60</v>
      </c>
      <c r="K99" s="126">
        <v>100</v>
      </c>
      <c r="L99" s="49">
        <v>45231</v>
      </c>
      <c r="M99" s="47" t="s">
        <v>314</v>
      </c>
      <c r="N99" s="47"/>
      <c r="O99" s="50">
        <v>13000000</v>
      </c>
    </row>
    <row r="100" spans="1:15" ht="15" customHeight="1">
      <c r="A100" s="46" t="s">
        <v>310</v>
      </c>
      <c r="B100" s="26" t="str">
        <f>_xlfn.IFNA(VLOOKUP(C100,Sheet3!$H:$I,2,FALSE),"")</f>
        <v>B3160</v>
      </c>
      <c r="C100" s="46" t="s">
        <v>233</v>
      </c>
      <c r="D100" s="26" t="str">
        <f>_xlfn.IFNA(VLOOKUP(E100,Sheet3!$H:$I,2,FALSE),"")</f>
        <v>B3160</v>
      </c>
      <c r="E100" s="46" t="s">
        <v>233</v>
      </c>
      <c r="F100" s="47">
        <v>2141000</v>
      </c>
      <c r="G100" s="46" t="s">
        <v>221</v>
      </c>
      <c r="H100" s="46" t="s">
        <v>441</v>
      </c>
      <c r="I100" s="26">
        <v>10000000</v>
      </c>
      <c r="J100" s="26">
        <v>60</v>
      </c>
      <c r="K100" s="126">
        <v>100</v>
      </c>
      <c r="L100" s="49">
        <v>44866</v>
      </c>
      <c r="M100" s="47" t="s">
        <v>317</v>
      </c>
      <c r="N100" s="47"/>
      <c r="O100" s="50">
        <v>10000000</v>
      </c>
    </row>
    <row r="101" spans="1:15" ht="15" customHeight="1">
      <c r="A101" s="46" t="s">
        <v>310</v>
      </c>
      <c r="B101" s="26" t="str">
        <f>_xlfn.IFNA(VLOOKUP(C101,Sheet3!$H:$I,2,FALSE),"")</f>
        <v>B3130</v>
      </c>
      <c r="C101" s="46" t="s">
        <v>239</v>
      </c>
      <c r="D101" s="26" t="str">
        <f>_xlfn.IFNA(VLOOKUP(E101,Sheet3!$H:$I,2,FALSE),"")</f>
        <v>B3130</v>
      </c>
      <c r="E101" s="46" t="s">
        <v>239</v>
      </c>
      <c r="F101" s="47">
        <v>2141000</v>
      </c>
      <c r="G101" s="46" t="s">
        <v>221</v>
      </c>
      <c r="H101" s="46" t="s">
        <v>430</v>
      </c>
      <c r="I101" s="26">
        <v>13000000</v>
      </c>
      <c r="J101" s="26">
        <v>60</v>
      </c>
      <c r="K101" s="126">
        <v>100</v>
      </c>
      <c r="L101" s="49">
        <v>45047</v>
      </c>
      <c r="M101" s="47" t="s">
        <v>317</v>
      </c>
      <c r="N101" s="47"/>
      <c r="O101" s="50">
        <v>13000000</v>
      </c>
    </row>
    <row r="102" spans="1:15" ht="15" customHeight="1">
      <c r="A102" s="46" t="s">
        <v>310</v>
      </c>
      <c r="B102" s="26" t="str">
        <f>_xlfn.IFNA(VLOOKUP(C102,Sheet3!$H:$I,2,FALSE),"")</f>
        <v>B3130</v>
      </c>
      <c r="C102" s="46" t="s">
        <v>239</v>
      </c>
      <c r="D102" s="26" t="str">
        <f>_xlfn.IFNA(VLOOKUP(E102,Sheet3!$H:$I,2,FALSE),"")</f>
        <v>B3130</v>
      </c>
      <c r="E102" s="46" t="s">
        <v>239</v>
      </c>
      <c r="F102" s="47">
        <v>2141000</v>
      </c>
      <c r="G102" s="46" t="s">
        <v>221</v>
      </c>
      <c r="H102" s="46" t="s">
        <v>435</v>
      </c>
      <c r="I102" s="26">
        <v>8000000</v>
      </c>
      <c r="J102" s="26">
        <v>60</v>
      </c>
      <c r="K102" s="126">
        <v>100</v>
      </c>
      <c r="L102" s="49">
        <v>44287</v>
      </c>
      <c r="M102" s="47" t="s">
        <v>314</v>
      </c>
      <c r="N102" s="47"/>
      <c r="O102" s="50">
        <v>8000000</v>
      </c>
    </row>
    <row r="103" spans="1:15" ht="15" customHeight="1">
      <c r="A103" s="46" t="s">
        <v>310</v>
      </c>
      <c r="B103" s="26" t="str">
        <f>_xlfn.IFNA(VLOOKUP(C103,Sheet3!$H:$I,2,FALSE),"")</f>
        <v>B3130</v>
      </c>
      <c r="C103" s="46" t="s">
        <v>239</v>
      </c>
      <c r="D103" s="26" t="str">
        <f>_xlfn.IFNA(VLOOKUP(E103,Sheet3!$H:$I,2,FALSE),"")</f>
        <v>B3130</v>
      </c>
      <c r="E103" s="46" t="s">
        <v>239</v>
      </c>
      <c r="F103" s="47">
        <v>2141000</v>
      </c>
      <c r="G103" s="46" t="s">
        <v>221</v>
      </c>
      <c r="H103" s="46" t="s">
        <v>436</v>
      </c>
      <c r="I103" s="26">
        <v>8000000</v>
      </c>
      <c r="J103" s="26">
        <v>60</v>
      </c>
      <c r="K103" s="126">
        <v>100</v>
      </c>
      <c r="L103" s="49">
        <v>44287</v>
      </c>
      <c r="M103" s="47" t="s">
        <v>314</v>
      </c>
      <c r="N103" s="47"/>
      <c r="O103" s="50">
        <v>8000000</v>
      </c>
    </row>
    <row r="104" spans="1:15" ht="15" customHeight="1">
      <c r="A104" s="46" t="s">
        <v>310</v>
      </c>
      <c r="B104" s="26" t="str">
        <f>_xlfn.IFNA(VLOOKUP(C104,Sheet3!$H:$I,2,FALSE),"")</f>
        <v>B3130</v>
      </c>
      <c r="C104" s="46" t="s">
        <v>239</v>
      </c>
      <c r="D104" s="26" t="str">
        <f>_xlfn.IFNA(VLOOKUP(E104,Sheet3!$H:$I,2,FALSE),"")</f>
        <v>B3130</v>
      </c>
      <c r="E104" s="46" t="s">
        <v>239</v>
      </c>
      <c r="F104" s="47">
        <v>2141000</v>
      </c>
      <c r="G104" s="46" t="s">
        <v>221</v>
      </c>
      <c r="H104" s="46" t="s">
        <v>437</v>
      </c>
      <c r="I104" s="26">
        <v>15000000</v>
      </c>
      <c r="J104" s="26">
        <v>60</v>
      </c>
      <c r="K104" s="126">
        <v>100</v>
      </c>
      <c r="L104" s="49">
        <v>44287</v>
      </c>
      <c r="M104" s="47" t="s">
        <v>317</v>
      </c>
      <c r="N104" s="47"/>
      <c r="O104" s="50">
        <v>15000000</v>
      </c>
    </row>
    <row r="105" spans="1:15" ht="15" customHeight="1">
      <c r="A105" s="46" t="s">
        <v>310</v>
      </c>
      <c r="B105" s="26" t="str">
        <f>_xlfn.IFNA(VLOOKUP(C105,Sheet3!$H:$I,2,FALSE),"")</f>
        <v>B3130</v>
      </c>
      <c r="C105" s="46" t="s">
        <v>239</v>
      </c>
      <c r="D105" s="26" t="str">
        <f>_xlfn.IFNA(VLOOKUP(E105,Sheet3!$H:$I,2,FALSE),"")</f>
        <v>B3130</v>
      </c>
      <c r="E105" s="46" t="s">
        <v>239</v>
      </c>
      <c r="F105" s="47">
        <v>2141000</v>
      </c>
      <c r="G105" s="46" t="s">
        <v>221</v>
      </c>
      <c r="H105" s="46" t="s">
        <v>438</v>
      </c>
      <c r="I105" s="26">
        <v>15000000</v>
      </c>
      <c r="J105" s="26">
        <v>60</v>
      </c>
      <c r="K105" s="126">
        <v>100</v>
      </c>
      <c r="L105" s="49">
        <v>44197</v>
      </c>
      <c r="M105" s="47" t="s">
        <v>317</v>
      </c>
      <c r="N105" s="47"/>
      <c r="O105" s="50">
        <v>15000000</v>
      </c>
    </row>
    <row r="106" spans="1:15" ht="15" customHeight="1">
      <c r="A106" s="46" t="s">
        <v>310</v>
      </c>
      <c r="B106" s="26" t="str">
        <f>_xlfn.IFNA(VLOOKUP(C106,Sheet3!$H:$I,2,FALSE),"")</f>
        <v>B3130</v>
      </c>
      <c r="C106" s="46" t="s">
        <v>239</v>
      </c>
      <c r="D106" s="26" t="str">
        <f>_xlfn.IFNA(VLOOKUP(E106,Sheet3!$H:$I,2,FALSE),"")</f>
        <v>B3130</v>
      </c>
      <c r="E106" s="46" t="s">
        <v>239</v>
      </c>
      <c r="F106" s="47">
        <v>2141000</v>
      </c>
      <c r="G106" s="46" t="s">
        <v>221</v>
      </c>
      <c r="H106" s="46" t="s">
        <v>439</v>
      </c>
      <c r="I106" s="26">
        <v>10000000</v>
      </c>
      <c r="J106" s="26">
        <v>60</v>
      </c>
      <c r="K106" s="126">
        <v>100</v>
      </c>
      <c r="L106" s="49">
        <v>44866</v>
      </c>
      <c r="M106" s="47" t="s">
        <v>317</v>
      </c>
      <c r="N106" s="47"/>
      <c r="O106" s="50">
        <v>10000000</v>
      </c>
    </row>
    <row r="107" spans="1:15" ht="15" customHeight="1">
      <c r="A107" s="46" t="s">
        <v>310</v>
      </c>
      <c r="B107" s="26" t="str">
        <f>_xlfn.IFNA(VLOOKUP(C107,Sheet3!$H:$I,2,FALSE),"")</f>
        <v>B3130</v>
      </c>
      <c r="C107" s="46" t="s">
        <v>239</v>
      </c>
      <c r="D107" s="26" t="str">
        <f>_xlfn.IFNA(VLOOKUP(E107,Sheet3!$H:$I,2,FALSE),"")</f>
        <v>B3130</v>
      </c>
      <c r="E107" s="46" t="s">
        <v>239</v>
      </c>
      <c r="F107" s="47">
        <v>2141000</v>
      </c>
      <c r="G107" s="46" t="s">
        <v>221</v>
      </c>
      <c r="H107" s="46" t="s">
        <v>440</v>
      </c>
      <c r="I107" s="26">
        <v>10000000</v>
      </c>
      <c r="J107" s="26">
        <v>60</v>
      </c>
      <c r="K107" s="126">
        <v>100</v>
      </c>
      <c r="L107" s="49">
        <v>44866</v>
      </c>
      <c r="M107" s="47" t="s">
        <v>317</v>
      </c>
      <c r="N107" s="47"/>
      <c r="O107" s="50">
        <v>10000000</v>
      </c>
    </row>
    <row r="108" spans="1:15" ht="15" customHeight="1">
      <c r="A108" s="46" t="s">
        <v>310</v>
      </c>
      <c r="B108" s="26" t="str">
        <f>_xlfn.IFNA(VLOOKUP(C108,Sheet3!$H:$I,2,FALSE),"")</f>
        <v>B3130</v>
      </c>
      <c r="C108" s="46" t="s">
        <v>239</v>
      </c>
      <c r="D108" s="26" t="str">
        <f>_xlfn.IFNA(VLOOKUP(E108,Sheet3!$H:$I,2,FALSE),"")</f>
        <v>B3130</v>
      </c>
      <c r="E108" s="46" t="s">
        <v>239</v>
      </c>
      <c r="F108" s="47">
        <v>2141000</v>
      </c>
      <c r="G108" s="46" t="s">
        <v>221</v>
      </c>
      <c r="H108" s="46" t="s">
        <v>443</v>
      </c>
      <c r="I108" s="26">
        <v>10000000</v>
      </c>
      <c r="J108" s="26">
        <v>60</v>
      </c>
      <c r="K108" s="126">
        <v>100</v>
      </c>
      <c r="L108" s="49">
        <v>44866</v>
      </c>
      <c r="M108" s="47" t="s">
        <v>317</v>
      </c>
      <c r="N108" s="47"/>
      <c r="O108" s="50">
        <v>10000000</v>
      </c>
    </row>
    <row r="109" spans="1:15" ht="15" customHeight="1">
      <c r="A109" s="46" t="s">
        <v>310</v>
      </c>
      <c r="B109" s="26" t="str">
        <f>_xlfn.IFNA(VLOOKUP(C109,Sheet3!$H:$I,2,FALSE),"")</f>
        <v>B3130</v>
      </c>
      <c r="C109" s="46" t="s">
        <v>239</v>
      </c>
      <c r="D109" s="26" t="str">
        <f>_xlfn.IFNA(VLOOKUP(E109,Sheet3!$H:$I,2,FALSE),"")</f>
        <v>B3130</v>
      </c>
      <c r="E109" s="46" t="s">
        <v>239</v>
      </c>
      <c r="F109" s="47">
        <v>2141000</v>
      </c>
      <c r="G109" s="46" t="s">
        <v>221</v>
      </c>
      <c r="H109" s="46" t="s">
        <v>444</v>
      </c>
      <c r="I109" s="26">
        <v>10000000</v>
      </c>
      <c r="J109" s="26">
        <v>60</v>
      </c>
      <c r="K109" s="126">
        <v>100</v>
      </c>
      <c r="L109" s="49">
        <v>45047</v>
      </c>
      <c r="M109" s="47" t="s">
        <v>317</v>
      </c>
      <c r="N109" s="47"/>
      <c r="O109" s="50">
        <v>10000000</v>
      </c>
    </row>
    <row r="110" spans="1:15" ht="15" customHeight="1">
      <c r="A110" s="46" t="s">
        <v>310</v>
      </c>
      <c r="B110" s="26" t="str">
        <f>_xlfn.IFNA(VLOOKUP(C110,Sheet3!$H:$I,2,FALSE),"")</f>
        <v>B3130</v>
      </c>
      <c r="C110" s="46" t="s">
        <v>239</v>
      </c>
      <c r="D110" s="26" t="str">
        <f>_xlfn.IFNA(VLOOKUP(E110,Sheet3!$H:$I,2,FALSE),"")</f>
        <v>B3130</v>
      </c>
      <c r="E110" s="46" t="s">
        <v>239</v>
      </c>
      <c r="F110" s="47">
        <v>2141000</v>
      </c>
      <c r="G110" s="46" t="s">
        <v>221</v>
      </c>
      <c r="H110" s="46" t="s">
        <v>445</v>
      </c>
      <c r="I110" s="26">
        <v>10000000</v>
      </c>
      <c r="J110" s="26">
        <v>60</v>
      </c>
      <c r="K110" s="126">
        <v>100</v>
      </c>
      <c r="L110" s="49">
        <v>45047</v>
      </c>
      <c r="M110" s="47" t="s">
        <v>317</v>
      </c>
      <c r="N110" s="47"/>
      <c r="O110" s="50">
        <v>10000000</v>
      </c>
    </row>
    <row r="111" spans="1:15" ht="15" customHeight="1">
      <c r="A111" s="46" t="s">
        <v>310</v>
      </c>
      <c r="B111" s="26" t="str">
        <f>_xlfn.IFNA(VLOOKUP(C111,Sheet3!$H:$I,2,FALSE),"")</f>
        <v>B3130</v>
      </c>
      <c r="C111" s="46" t="s">
        <v>239</v>
      </c>
      <c r="D111" s="26" t="str">
        <f>_xlfn.IFNA(VLOOKUP(E111,Sheet3!$H:$I,2,FALSE),"")</f>
        <v>B3130</v>
      </c>
      <c r="E111" s="46" t="s">
        <v>239</v>
      </c>
      <c r="F111" s="47">
        <v>2141000</v>
      </c>
      <c r="G111" s="46" t="s">
        <v>221</v>
      </c>
      <c r="H111" s="46" t="s">
        <v>446</v>
      </c>
      <c r="I111" s="26">
        <v>10000000</v>
      </c>
      <c r="J111" s="26">
        <v>60</v>
      </c>
      <c r="K111" s="126">
        <v>100</v>
      </c>
      <c r="L111" s="49">
        <v>45047</v>
      </c>
      <c r="M111" s="47" t="s">
        <v>317</v>
      </c>
      <c r="N111" s="47"/>
      <c r="O111" s="50">
        <v>10000000</v>
      </c>
    </row>
    <row r="112" spans="1:15" ht="15" customHeight="1">
      <c r="A112" s="46" t="s">
        <v>310</v>
      </c>
      <c r="B112" s="26" t="str">
        <f>_xlfn.IFNA(VLOOKUP(C112,Sheet3!$H:$I,2,FALSE),"")</f>
        <v>B3130</v>
      </c>
      <c r="C112" s="46" t="s">
        <v>239</v>
      </c>
      <c r="D112" s="26" t="str">
        <f>_xlfn.IFNA(VLOOKUP(E112,Sheet3!$H:$I,2,FALSE),"")</f>
        <v>B3130</v>
      </c>
      <c r="E112" s="46" t="s">
        <v>239</v>
      </c>
      <c r="F112" s="47">
        <v>2141000</v>
      </c>
      <c r="G112" s="46" t="s">
        <v>221</v>
      </c>
      <c r="H112" s="46" t="s">
        <v>447</v>
      </c>
      <c r="I112" s="26">
        <v>10000000</v>
      </c>
      <c r="J112" s="26">
        <v>60</v>
      </c>
      <c r="K112" s="126">
        <v>100</v>
      </c>
      <c r="L112" s="49">
        <v>45047</v>
      </c>
      <c r="M112" s="47" t="s">
        <v>317</v>
      </c>
      <c r="N112" s="47"/>
      <c r="O112" s="50">
        <v>10000000</v>
      </c>
    </row>
    <row r="113" spans="1:15" ht="15" customHeight="1">
      <c r="A113" s="46" t="s">
        <v>310</v>
      </c>
      <c r="B113" s="26" t="str">
        <f>_xlfn.IFNA(VLOOKUP(C113,Sheet3!$H:$I,2,FALSE),"")</f>
        <v>B3120</v>
      </c>
      <c r="C113" s="46" t="s">
        <v>237</v>
      </c>
      <c r="D113" s="26" t="str">
        <f>_xlfn.IFNA(VLOOKUP(E113,Sheet3!$H:$I,2,FALSE),"")</f>
        <v>B3120</v>
      </c>
      <c r="E113" s="46" t="s">
        <v>237</v>
      </c>
      <c r="F113" s="47">
        <v>2141000</v>
      </c>
      <c r="G113" s="46" t="s">
        <v>221</v>
      </c>
      <c r="H113" s="46" t="s">
        <v>434</v>
      </c>
      <c r="I113" s="26">
        <v>13000000</v>
      </c>
      <c r="J113" s="26">
        <v>60</v>
      </c>
      <c r="K113" s="126">
        <v>100</v>
      </c>
      <c r="L113" s="49">
        <v>44866</v>
      </c>
      <c r="M113" s="47" t="s">
        <v>317</v>
      </c>
      <c r="N113" s="47"/>
      <c r="O113" s="50">
        <v>13000000</v>
      </c>
    </row>
    <row r="114" spans="1:15" ht="15" customHeight="1">
      <c r="A114" s="46" t="s">
        <v>310</v>
      </c>
      <c r="B114" s="26" t="str">
        <f>_xlfn.IFNA(VLOOKUP(C114,Sheet3!$H:$I,2,FALSE),"")</f>
        <v>B3120</v>
      </c>
      <c r="C114" s="46" t="s">
        <v>237</v>
      </c>
      <c r="D114" s="26" t="str">
        <f>_xlfn.IFNA(VLOOKUP(E114,Sheet3!$H:$I,2,FALSE),"")</f>
        <v>B3120</v>
      </c>
      <c r="E114" s="46" t="s">
        <v>237</v>
      </c>
      <c r="F114" s="47">
        <v>2141000</v>
      </c>
      <c r="G114" s="46" t="s">
        <v>221</v>
      </c>
      <c r="H114" s="46" t="s">
        <v>442</v>
      </c>
      <c r="I114" s="26">
        <v>10000000</v>
      </c>
      <c r="J114" s="26">
        <v>60</v>
      </c>
      <c r="K114" s="126">
        <v>100</v>
      </c>
      <c r="L114" s="49">
        <v>44866</v>
      </c>
      <c r="M114" s="47" t="s">
        <v>317</v>
      </c>
      <c r="N114" s="47"/>
      <c r="O114" s="50">
        <v>10000000</v>
      </c>
    </row>
    <row r="115" spans="1:15" ht="15" customHeight="1">
      <c r="A115" s="46" t="s">
        <v>310</v>
      </c>
      <c r="B115" s="26" t="str">
        <f>_xlfn.IFNA(VLOOKUP(C115,Sheet3!$H:$I,2,FALSE),"")</f>
        <v>B3110</v>
      </c>
      <c r="C115" s="46" t="s">
        <v>235</v>
      </c>
      <c r="D115" s="26" t="str">
        <f>_xlfn.IFNA(VLOOKUP(E115,Sheet3!$H:$I,2,FALSE),"")</f>
        <v>B3110</v>
      </c>
      <c r="E115" s="46" t="s">
        <v>235</v>
      </c>
      <c r="F115" s="47">
        <v>2141000</v>
      </c>
      <c r="G115" s="46" t="s">
        <v>221</v>
      </c>
      <c r="H115" s="46" t="s">
        <v>448</v>
      </c>
      <c r="I115" s="26">
        <v>10000000</v>
      </c>
      <c r="J115" s="26">
        <v>60</v>
      </c>
      <c r="K115" s="126">
        <v>100</v>
      </c>
      <c r="L115" s="49">
        <v>44287</v>
      </c>
      <c r="M115" s="47" t="s">
        <v>317</v>
      </c>
      <c r="N115" s="47"/>
      <c r="O115" s="50">
        <v>10000000</v>
      </c>
    </row>
    <row r="116" spans="1:15" ht="15" customHeight="1">
      <c r="A116" s="46" t="s">
        <v>310</v>
      </c>
      <c r="B116" s="26" t="str">
        <f>_xlfn.IFNA(VLOOKUP(C116,Sheet3!$H:$I,2,FALSE),"")</f>
        <v>B3110</v>
      </c>
      <c r="C116" s="46" t="s">
        <v>235</v>
      </c>
      <c r="D116" s="26" t="str">
        <f>_xlfn.IFNA(VLOOKUP(E116,Sheet3!$H:$I,2,FALSE),"")</f>
        <v>B3110</v>
      </c>
      <c r="E116" s="46" t="s">
        <v>235</v>
      </c>
      <c r="F116" s="47">
        <v>2141000</v>
      </c>
      <c r="G116" s="46" t="s">
        <v>221</v>
      </c>
      <c r="H116" s="46" t="s">
        <v>449</v>
      </c>
      <c r="I116" s="26">
        <v>10000000</v>
      </c>
      <c r="J116" s="26">
        <v>60</v>
      </c>
      <c r="K116" s="126">
        <v>100</v>
      </c>
      <c r="L116" s="49">
        <v>44652</v>
      </c>
      <c r="M116" s="47" t="s">
        <v>317</v>
      </c>
      <c r="N116" s="47"/>
      <c r="O116" s="50">
        <v>10000000</v>
      </c>
    </row>
    <row r="117" spans="1:15" ht="15" customHeight="1">
      <c r="A117" s="46" t="s">
        <v>310</v>
      </c>
      <c r="B117" s="26" t="str">
        <f>_xlfn.IFNA(VLOOKUP(C117,Sheet3!$H:$I,2,FALSE),"")</f>
        <v>B3110</v>
      </c>
      <c r="C117" s="46" t="s">
        <v>235</v>
      </c>
      <c r="D117" s="26" t="str">
        <f>_xlfn.IFNA(VLOOKUP(E117,Sheet3!$H:$I,2,FALSE),"")</f>
        <v>B3110</v>
      </c>
      <c r="E117" s="46" t="s">
        <v>235</v>
      </c>
      <c r="F117" s="47">
        <v>2141000</v>
      </c>
      <c r="G117" s="46" t="s">
        <v>221</v>
      </c>
      <c r="H117" s="46" t="s">
        <v>450</v>
      </c>
      <c r="I117" s="26">
        <v>10000000</v>
      </c>
      <c r="J117" s="26">
        <v>60</v>
      </c>
      <c r="K117" s="126">
        <v>100</v>
      </c>
      <c r="L117" s="49">
        <v>44197</v>
      </c>
      <c r="M117" s="47" t="s">
        <v>317</v>
      </c>
      <c r="N117" s="47"/>
      <c r="O117" s="50">
        <v>10000000</v>
      </c>
    </row>
    <row r="118" spans="1:15" ht="15" customHeight="1">
      <c r="A118" s="46" t="s">
        <v>310</v>
      </c>
      <c r="B118" s="26" t="str">
        <f>_xlfn.IFNA(VLOOKUP(C118,Sheet3!$H:$I,2,FALSE),"")</f>
        <v>B3110</v>
      </c>
      <c r="C118" s="46" t="s">
        <v>235</v>
      </c>
      <c r="D118" s="26" t="str">
        <f>_xlfn.IFNA(VLOOKUP(E118,Sheet3!$H:$I,2,FALSE),"")</f>
        <v>B3110</v>
      </c>
      <c r="E118" s="46" t="s">
        <v>235</v>
      </c>
      <c r="F118" s="47">
        <v>2141000</v>
      </c>
      <c r="G118" s="46" t="s">
        <v>221</v>
      </c>
      <c r="H118" s="46" t="s">
        <v>451</v>
      </c>
      <c r="I118" s="26">
        <v>10000000</v>
      </c>
      <c r="J118" s="26">
        <v>60</v>
      </c>
      <c r="K118" s="126">
        <v>100</v>
      </c>
      <c r="L118" s="49">
        <v>44652</v>
      </c>
      <c r="M118" s="47" t="s">
        <v>317</v>
      </c>
      <c r="N118" s="47"/>
      <c r="O118" s="50">
        <v>10000000</v>
      </c>
    </row>
    <row r="119" spans="1:15" ht="15" customHeight="1">
      <c r="A119" s="46" t="s">
        <v>310</v>
      </c>
      <c r="B119" s="26" t="str">
        <f>_xlfn.IFNA(VLOOKUP(C119,Sheet3!$H:$I,2,FALSE),"")</f>
        <v>B3110</v>
      </c>
      <c r="C119" s="46" t="s">
        <v>235</v>
      </c>
      <c r="D119" s="26" t="str">
        <f>_xlfn.IFNA(VLOOKUP(E119,Sheet3!$H:$I,2,FALSE),"")</f>
        <v>B3110</v>
      </c>
      <c r="E119" s="46" t="s">
        <v>235</v>
      </c>
      <c r="F119" s="47">
        <v>2141000</v>
      </c>
      <c r="G119" s="46" t="s">
        <v>221</v>
      </c>
      <c r="H119" s="46" t="s">
        <v>452</v>
      </c>
      <c r="I119" s="26">
        <v>10000000</v>
      </c>
      <c r="J119" s="26">
        <v>60</v>
      </c>
      <c r="K119" s="126">
        <v>100</v>
      </c>
      <c r="L119" s="49">
        <v>45292</v>
      </c>
      <c r="M119" s="47" t="s">
        <v>317</v>
      </c>
      <c r="N119" s="47"/>
      <c r="O119" s="50">
        <v>10000000</v>
      </c>
    </row>
    <row r="120" spans="1:15" ht="15" customHeight="1">
      <c r="A120" s="46" t="s">
        <v>310</v>
      </c>
      <c r="B120" s="26" t="str">
        <f>_xlfn.IFNA(VLOOKUP(C120,Sheet3!$H:$I,2,FALSE),"")</f>
        <v>B3110</v>
      </c>
      <c r="C120" s="46" t="s">
        <v>235</v>
      </c>
      <c r="D120" s="26" t="str">
        <f>_xlfn.IFNA(VLOOKUP(E120,Sheet3!$H:$I,2,FALSE),"")</f>
        <v>B3110</v>
      </c>
      <c r="E120" s="46" t="s">
        <v>235</v>
      </c>
      <c r="F120" s="47">
        <v>2141000</v>
      </c>
      <c r="G120" s="46" t="s">
        <v>221</v>
      </c>
      <c r="H120" s="46" t="s">
        <v>453</v>
      </c>
      <c r="I120" s="26">
        <v>15000000</v>
      </c>
      <c r="J120" s="26">
        <v>60</v>
      </c>
      <c r="K120" s="126">
        <v>100</v>
      </c>
      <c r="L120" s="49">
        <v>44228</v>
      </c>
      <c r="M120" s="47" t="s">
        <v>317</v>
      </c>
      <c r="N120" s="47"/>
      <c r="O120" s="50">
        <v>15000000</v>
      </c>
    </row>
    <row r="121" spans="1:15" ht="15" customHeight="1">
      <c r="A121" s="46" t="s">
        <v>310</v>
      </c>
      <c r="B121" s="26" t="str">
        <f>_xlfn.IFNA(VLOOKUP(C121,Sheet3!$H:$I,2,FALSE),"")</f>
        <v>B5130</v>
      </c>
      <c r="C121" s="46" t="s">
        <v>287</v>
      </c>
      <c r="D121" s="26" t="str">
        <f>_xlfn.IFNA(VLOOKUP(E121,Sheet3!$H:$I,2,FALSE),"")</f>
        <v>B5130</v>
      </c>
      <c r="E121" s="46" t="s">
        <v>287</v>
      </c>
      <c r="F121" s="47">
        <v>2141000</v>
      </c>
      <c r="G121" s="46" t="s">
        <v>221</v>
      </c>
      <c r="H121" s="46" t="s">
        <v>455</v>
      </c>
      <c r="I121" s="26">
        <v>10000000</v>
      </c>
      <c r="J121" s="26">
        <v>60</v>
      </c>
      <c r="K121" s="126">
        <v>100</v>
      </c>
      <c r="L121" s="49">
        <v>44287</v>
      </c>
      <c r="M121" s="47" t="s">
        <v>314</v>
      </c>
      <c r="N121" s="47"/>
      <c r="O121" s="50">
        <v>10000000</v>
      </c>
    </row>
    <row r="122" spans="1:15" ht="15" customHeight="1">
      <c r="A122" s="46" t="s">
        <v>310</v>
      </c>
      <c r="B122" s="26" t="str">
        <f>_xlfn.IFNA(VLOOKUP(C122,Sheet3!$H:$I,2,FALSE),"")</f>
        <v>B5130</v>
      </c>
      <c r="C122" s="46" t="s">
        <v>287</v>
      </c>
      <c r="D122" s="26" t="str">
        <f>_xlfn.IFNA(VLOOKUP(E122,Sheet3!$H:$I,2,FALSE),"")</f>
        <v>B5130</v>
      </c>
      <c r="E122" s="46" t="s">
        <v>287</v>
      </c>
      <c r="F122" s="47">
        <v>2141000</v>
      </c>
      <c r="G122" s="46" t="s">
        <v>221</v>
      </c>
      <c r="H122" s="46" t="s">
        <v>456</v>
      </c>
      <c r="I122" s="26">
        <v>10000000</v>
      </c>
      <c r="J122" s="26">
        <v>60</v>
      </c>
      <c r="K122" s="126">
        <v>100</v>
      </c>
      <c r="L122" s="49">
        <v>44287</v>
      </c>
      <c r="M122" s="47" t="s">
        <v>314</v>
      </c>
      <c r="N122" s="47"/>
      <c r="O122" s="50">
        <v>10000000</v>
      </c>
    </row>
    <row r="123" spans="1:15" ht="15" customHeight="1">
      <c r="A123" s="46" t="s">
        <v>310</v>
      </c>
      <c r="B123" s="26" t="str">
        <f>_xlfn.IFNA(VLOOKUP(C123,Sheet3!$H:$I,2,FALSE),"")</f>
        <v>B5130</v>
      </c>
      <c r="C123" s="46" t="s">
        <v>287</v>
      </c>
      <c r="D123" s="26" t="str">
        <f>_xlfn.IFNA(VLOOKUP(E123,Sheet3!$H:$I,2,FALSE),"")</f>
        <v>B5130</v>
      </c>
      <c r="E123" s="46" t="s">
        <v>287</v>
      </c>
      <c r="F123" s="47">
        <v>2141000</v>
      </c>
      <c r="G123" s="46" t="s">
        <v>221</v>
      </c>
      <c r="H123" s="46" t="s">
        <v>457</v>
      </c>
      <c r="I123" s="26">
        <v>10000000</v>
      </c>
      <c r="J123" s="26">
        <v>60</v>
      </c>
      <c r="K123" s="126">
        <v>100</v>
      </c>
      <c r="L123" s="49">
        <v>44287</v>
      </c>
      <c r="M123" s="47" t="s">
        <v>314</v>
      </c>
      <c r="N123" s="47"/>
      <c r="O123" s="50">
        <v>10000000</v>
      </c>
    </row>
    <row r="124" spans="1:15" ht="15" customHeight="1">
      <c r="A124" s="46" t="s">
        <v>310</v>
      </c>
      <c r="B124" s="26" t="str">
        <f>_xlfn.IFNA(VLOOKUP(C124,Sheet3!$H:$I,2,FALSE),"")</f>
        <v>B5130</v>
      </c>
      <c r="C124" s="46" t="s">
        <v>287</v>
      </c>
      <c r="D124" s="26" t="str">
        <f>_xlfn.IFNA(VLOOKUP(E124,Sheet3!$H:$I,2,FALSE),"")</f>
        <v>B5130</v>
      </c>
      <c r="E124" s="46" t="s">
        <v>287</v>
      </c>
      <c r="F124" s="47">
        <v>2141000</v>
      </c>
      <c r="G124" s="46" t="s">
        <v>221</v>
      </c>
      <c r="H124" s="46" t="s">
        <v>458</v>
      </c>
      <c r="I124" s="26">
        <v>8000000</v>
      </c>
      <c r="J124" s="26">
        <v>60</v>
      </c>
      <c r="K124" s="126">
        <v>100</v>
      </c>
      <c r="L124" s="49">
        <v>44287</v>
      </c>
      <c r="M124" s="47" t="s">
        <v>317</v>
      </c>
      <c r="N124" s="47"/>
      <c r="O124" s="50">
        <v>8000000</v>
      </c>
    </row>
    <row r="125" spans="1:15" ht="15" customHeight="1">
      <c r="A125" s="46" t="s">
        <v>310</v>
      </c>
      <c r="B125" s="26" t="str">
        <f>_xlfn.IFNA(VLOOKUP(C125,Sheet3!$H:$I,2,FALSE),"")</f>
        <v>B5130</v>
      </c>
      <c r="C125" s="46" t="s">
        <v>287</v>
      </c>
      <c r="D125" s="26" t="str">
        <f>_xlfn.IFNA(VLOOKUP(E125,Sheet3!$H:$I,2,FALSE),"")</f>
        <v>B5130</v>
      </c>
      <c r="E125" s="46" t="s">
        <v>287</v>
      </c>
      <c r="F125" s="47">
        <v>2141000</v>
      </c>
      <c r="G125" s="46" t="s">
        <v>221</v>
      </c>
      <c r="H125" s="46" t="s">
        <v>459</v>
      </c>
      <c r="I125" s="26">
        <v>75000000</v>
      </c>
      <c r="J125" s="26">
        <v>60</v>
      </c>
      <c r="K125" s="126">
        <v>100</v>
      </c>
      <c r="L125" s="49">
        <v>44287</v>
      </c>
      <c r="M125" s="47" t="s">
        <v>317</v>
      </c>
      <c r="N125" s="47"/>
      <c r="O125" s="50">
        <v>75000000</v>
      </c>
    </row>
    <row r="126" spans="1:15" ht="15" customHeight="1">
      <c r="A126" s="46" t="s">
        <v>310</v>
      </c>
      <c r="B126" s="26" t="str">
        <f>_xlfn.IFNA(VLOOKUP(C126,Sheet3!$H:$I,2,FALSE),"")</f>
        <v>B5200</v>
      </c>
      <c r="C126" s="46" t="s">
        <v>289</v>
      </c>
      <c r="D126" s="26" t="str">
        <f>_xlfn.IFNA(VLOOKUP(E126,Sheet3!$H:$I,2,FALSE),"")</f>
        <v>B5200</v>
      </c>
      <c r="E126" s="46" t="s">
        <v>289</v>
      </c>
      <c r="F126" s="47">
        <v>2141000</v>
      </c>
      <c r="G126" s="46" t="s">
        <v>221</v>
      </c>
      <c r="H126" s="46" t="s">
        <v>460</v>
      </c>
      <c r="I126" s="26">
        <v>10000000</v>
      </c>
      <c r="J126" s="26">
        <v>60</v>
      </c>
      <c r="K126" s="126">
        <v>100</v>
      </c>
      <c r="L126" s="49">
        <v>44287</v>
      </c>
      <c r="M126" s="47" t="s">
        <v>314</v>
      </c>
      <c r="N126" s="47"/>
      <c r="O126" s="50">
        <v>10000000</v>
      </c>
    </row>
    <row r="127" spans="1:15" ht="15" customHeight="1">
      <c r="A127" s="46" t="s">
        <v>310</v>
      </c>
      <c r="B127" s="26" t="str">
        <f>_xlfn.IFNA(VLOOKUP(C127,Sheet3!$H:$I,2,FALSE),"")</f>
        <v>B5200</v>
      </c>
      <c r="C127" s="46" t="s">
        <v>289</v>
      </c>
      <c r="D127" s="26" t="str">
        <f>_xlfn.IFNA(VLOOKUP(E127,Sheet3!$H:$I,2,FALSE),"")</f>
        <v>B5200</v>
      </c>
      <c r="E127" s="46" t="s">
        <v>289</v>
      </c>
      <c r="F127" s="47">
        <v>2141000</v>
      </c>
      <c r="G127" s="46" t="s">
        <v>221</v>
      </c>
      <c r="H127" s="46" t="s">
        <v>461</v>
      </c>
      <c r="I127" s="26">
        <v>10000000</v>
      </c>
      <c r="J127" s="26">
        <v>60</v>
      </c>
      <c r="K127" s="126">
        <v>100</v>
      </c>
      <c r="L127" s="49">
        <v>44287</v>
      </c>
      <c r="M127" s="47" t="s">
        <v>314</v>
      </c>
      <c r="N127" s="47"/>
      <c r="O127" s="50">
        <v>10000000</v>
      </c>
    </row>
    <row r="128" spans="1:15" ht="15" customHeight="1">
      <c r="A128" s="46" t="s">
        <v>310</v>
      </c>
      <c r="B128" s="26" t="str">
        <f>_xlfn.IFNA(VLOOKUP(C128,Sheet3!$H:$I,2,FALSE),"")</f>
        <v>B5710</v>
      </c>
      <c r="C128" s="46" t="s">
        <v>291</v>
      </c>
      <c r="D128" s="26" t="str">
        <f>_xlfn.IFNA(VLOOKUP(E128,Sheet3!$H:$I,2,FALSE),"")</f>
        <v>B5710</v>
      </c>
      <c r="E128" s="46" t="s">
        <v>291</v>
      </c>
      <c r="F128" s="47">
        <v>2141000</v>
      </c>
      <c r="G128" s="46" t="s">
        <v>221</v>
      </c>
      <c r="H128" s="46" t="s">
        <v>462</v>
      </c>
      <c r="I128" s="26">
        <v>6000000</v>
      </c>
      <c r="J128" s="26">
        <v>60</v>
      </c>
      <c r="K128" s="126">
        <v>100</v>
      </c>
      <c r="L128" s="49">
        <v>44287</v>
      </c>
      <c r="M128" s="47" t="s">
        <v>317</v>
      </c>
      <c r="N128" s="47"/>
      <c r="O128" s="50">
        <v>6000000</v>
      </c>
    </row>
    <row r="129" spans="1:15" ht="15" customHeight="1">
      <c r="A129" s="46" t="s">
        <v>310</v>
      </c>
      <c r="B129" s="26" t="str">
        <f>_xlfn.IFNA(VLOOKUP(C129,Sheet3!$H:$I,2,FALSE),"")</f>
        <v>B5710</v>
      </c>
      <c r="C129" s="46" t="s">
        <v>291</v>
      </c>
      <c r="D129" s="26" t="str">
        <f>_xlfn.IFNA(VLOOKUP(E129,Sheet3!$H:$I,2,FALSE),"")</f>
        <v>B5710</v>
      </c>
      <c r="E129" s="46" t="s">
        <v>291</v>
      </c>
      <c r="F129" s="47">
        <v>2121000</v>
      </c>
      <c r="G129" s="46" t="s">
        <v>312</v>
      </c>
      <c r="H129" s="46" t="s">
        <v>463</v>
      </c>
      <c r="I129" s="26">
        <v>50000000</v>
      </c>
      <c r="J129" s="26">
        <v>120</v>
      </c>
      <c r="K129" s="126">
        <v>100</v>
      </c>
      <c r="L129" s="49">
        <v>44287</v>
      </c>
      <c r="M129" s="47" t="s">
        <v>314</v>
      </c>
      <c r="N129" s="47"/>
      <c r="O129" s="50">
        <v>50000000</v>
      </c>
    </row>
    <row r="130" spans="1:15" ht="15" customHeight="1">
      <c r="A130" s="46" t="s">
        <v>310</v>
      </c>
      <c r="B130" s="26" t="str">
        <f>_xlfn.IFNA(VLOOKUP(C130,Sheet3!$H:$I,2,FALSE),"")</f>
        <v>B2400</v>
      </c>
      <c r="C130" s="46" t="s">
        <v>229</v>
      </c>
      <c r="D130" s="26" t="str">
        <f>_xlfn.IFNA(VLOOKUP(E130,Sheet3!$H:$I,2,FALSE),"")</f>
        <v>B3150</v>
      </c>
      <c r="E130" s="46" t="s">
        <v>293</v>
      </c>
      <c r="F130" s="47">
        <v>2141000</v>
      </c>
      <c r="G130" s="46" t="s">
        <v>221</v>
      </c>
      <c r="H130" s="46" t="s">
        <v>464</v>
      </c>
      <c r="I130" s="26">
        <v>9000000</v>
      </c>
      <c r="J130" s="26">
        <v>60</v>
      </c>
      <c r="K130" s="126">
        <v>100</v>
      </c>
      <c r="L130" s="49">
        <v>44348</v>
      </c>
      <c r="M130" s="47" t="s">
        <v>317</v>
      </c>
      <c r="N130" s="47"/>
      <c r="O130" s="50">
        <v>9000000</v>
      </c>
    </row>
    <row r="131" spans="1:15" ht="15" customHeight="1">
      <c r="A131" s="46" t="s">
        <v>310</v>
      </c>
      <c r="B131" s="26" t="str">
        <f>_xlfn.IFNA(VLOOKUP(C131,Sheet3!$H:$I,2,FALSE),"")</f>
        <v>B2400</v>
      </c>
      <c r="C131" s="46" t="s">
        <v>229</v>
      </c>
      <c r="D131" s="26" t="str">
        <f>_xlfn.IFNA(VLOOKUP(E131,Sheet3!$H:$I,2,FALSE),"")</f>
        <v>B3150</v>
      </c>
      <c r="E131" s="46" t="s">
        <v>293</v>
      </c>
      <c r="F131" s="47">
        <v>2141000</v>
      </c>
      <c r="G131" s="46" t="s">
        <v>221</v>
      </c>
      <c r="H131" s="46" t="s">
        <v>465</v>
      </c>
      <c r="I131" s="26">
        <v>10000000</v>
      </c>
      <c r="J131" s="26">
        <v>60</v>
      </c>
      <c r="K131" s="126">
        <v>100</v>
      </c>
      <c r="L131" s="49">
        <v>44317</v>
      </c>
      <c r="M131" s="47" t="s">
        <v>317</v>
      </c>
      <c r="N131" s="47"/>
      <c r="O131" s="50">
        <v>10000000</v>
      </c>
    </row>
    <row r="132" spans="1:15" ht="15" customHeight="1">
      <c r="A132" s="46" t="s">
        <v>310</v>
      </c>
      <c r="B132" s="26" t="str">
        <f>_xlfn.IFNA(VLOOKUP(C132,Sheet3!$H:$I,2,FALSE),"")</f>
        <v>B2400</v>
      </c>
      <c r="C132" s="46" t="s">
        <v>229</v>
      </c>
      <c r="D132" s="26" t="str">
        <f>_xlfn.IFNA(VLOOKUP(E132,Sheet3!$H:$I,2,FALSE),"")</f>
        <v>B3150</v>
      </c>
      <c r="E132" s="46" t="s">
        <v>293</v>
      </c>
      <c r="F132" s="47">
        <v>2141000</v>
      </c>
      <c r="G132" s="46" t="s">
        <v>221</v>
      </c>
      <c r="H132" s="46" t="s">
        <v>466</v>
      </c>
      <c r="I132" s="26">
        <v>10000000</v>
      </c>
      <c r="J132" s="26">
        <v>60</v>
      </c>
      <c r="K132" s="126">
        <v>100</v>
      </c>
      <c r="L132" s="49">
        <v>44317</v>
      </c>
      <c r="M132" s="47" t="s">
        <v>317</v>
      </c>
      <c r="N132" s="47"/>
      <c r="O132" s="50">
        <v>10000000</v>
      </c>
    </row>
    <row r="133" spans="1:15" ht="15" customHeight="1">
      <c r="A133" s="46" t="s">
        <v>310</v>
      </c>
      <c r="B133" s="26" t="str">
        <f>_xlfn.IFNA(VLOOKUP(C133,Sheet3!$H:$I,2,FALSE),"")</f>
        <v>B2400</v>
      </c>
      <c r="C133" s="46" t="s">
        <v>229</v>
      </c>
      <c r="D133" s="26" t="str">
        <f>_xlfn.IFNA(VLOOKUP(E133,Sheet3!$H:$I,2,FALSE),"")</f>
        <v>B3150</v>
      </c>
      <c r="E133" s="46" t="s">
        <v>293</v>
      </c>
      <c r="F133" s="47">
        <v>2141000</v>
      </c>
      <c r="G133" s="46" t="s">
        <v>221</v>
      </c>
      <c r="H133" s="46" t="s">
        <v>467</v>
      </c>
      <c r="I133" s="26">
        <v>7000000</v>
      </c>
      <c r="J133" s="26">
        <v>60</v>
      </c>
      <c r="K133" s="126">
        <v>100</v>
      </c>
      <c r="L133" s="49">
        <v>44287</v>
      </c>
      <c r="M133" s="47" t="s">
        <v>314</v>
      </c>
      <c r="N133" s="47"/>
      <c r="O133" s="50">
        <v>7000000</v>
      </c>
    </row>
    <row r="134" spans="1:15" ht="15" customHeight="1">
      <c r="A134" s="46" t="s">
        <v>310</v>
      </c>
      <c r="B134" s="26" t="str">
        <f>_xlfn.IFNA(VLOOKUP(C134,Sheet3!$H:$I,2,FALSE),"")</f>
        <v>B3150</v>
      </c>
      <c r="C134" s="46" t="s">
        <v>293</v>
      </c>
      <c r="D134" s="26" t="str">
        <f>_xlfn.IFNA(VLOOKUP(E134,Sheet3!$H:$I,2,FALSE),"")</f>
        <v>B3150</v>
      </c>
      <c r="E134" s="46" t="s">
        <v>293</v>
      </c>
      <c r="F134" s="47">
        <v>2141000</v>
      </c>
      <c r="G134" s="46" t="s">
        <v>221</v>
      </c>
      <c r="H134" s="46" t="s">
        <v>468</v>
      </c>
      <c r="I134" s="26">
        <v>25000000</v>
      </c>
      <c r="J134" s="26">
        <v>60</v>
      </c>
      <c r="K134" s="126">
        <v>100</v>
      </c>
      <c r="L134" s="49">
        <v>44378</v>
      </c>
      <c r="M134" s="47" t="s">
        <v>320</v>
      </c>
      <c r="N134" s="47"/>
      <c r="O134" s="50">
        <v>25000000</v>
      </c>
    </row>
    <row r="135" spans="1:15" ht="15" customHeight="1">
      <c r="A135" s="46" t="s">
        <v>310</v>
      </c>
      <c r="B135" s="26" t="str">
        <f>_xlfn.IFNA(VLOOKUP(C135,Sheet3!$H:$I,2,FALSE),"")</f>
        <v>B2300</v>
      </c>
      <c r="C135" s="46" t="s">
        <v>227</v>
      </c>
      <c r="D135" s="26" t="str">
        <f>_xlfn.IFNA(VLOOKUP(E135,Sheet3!$H:$I,2,FALSE),"")</f>
        <v>B2300</v>
      </c>
      <c r="E135" s="46" t="s">
        <v>227</v>
      </c>
      <c r="F135" s="47">
        <v>2141000</v>
      </c>
      <c r="G135" s="46" t="s">
        <v>221</v>
      </c>
      <c r="H135" s="46" t="s">
        <v>474</v>
      </c>
      <c r="I135" s="26">
        <v>8000000</v>
      </c>
      <c r="J135" s="26">
        <v>60</v>
      </c>
      <c r="K135" s="126">
        <v>100</v>
      </c>
      <c r="L135" s="49">
        <v>44470</v>
      </c>
      <c r="M135" s="47" t="s">
        <v>317</v>
      </c>
      <c r="N135" s="47"/>
      <c r="O135" s="50">
        <v>8000000</v>
      </c>
    </row>
    <row r="136" spans="1:15" ht="15" customHeight="1">
      <c r="A136" s="46" t="s">
        <v>310</v>
      </c>
      <c r="B136" s="26" t="str">
        <f>_xlfn.IFNA(VLOOKUP(C136,Sheet3!$H:$I,2,FALSE),"")</f>
        <v>B2300</v>
      </c>
      <c r="C136" s="46" t="s">
        <v>227</v>
      </c>
      <c r="D136" s="26" t="str">
        <f>_xlfn.IFNA(VLOOKUP(E136,Sheet3!$H:$I,2,FALSE),"")</f>
        <v>B2300</v>
      </c>
      <c r="E136" s="46" t="s">
        <v>227</v>
      </c>
      <c r="F136" s="47">
        <v>2141000</v>
      </c>
      <c r="G136" s="46" t="s">
        <v>221</v>
      </c>
      <c r="H136" s="46" t="s">
        <v>475</v>
      </c>
      <c r="I136" s="26">
        <v>15000000</v>
      </c>
      <c r="J136" s="26">
        <v>60</v>
      </c>
      <c r="K136" s="126">
        <v>100</v>
      </c>
      <c r="L136" s="49">
        <v>44743</v>
      </c>
      <c r="M136" s="47" t="s">
        <v>317</v>
      </c>
      <c r="N136" s="47"/>
      <c r="O136" s="50">
        <v>15000000</v>
      </c>
    </row>
    <row r="137" spans="1:15" ht="15" customHeight="1">
      <c r="A137" s="46" t="s">
        <v>310</v>
      </c>
      <c r="B137" s="26" t="str">
        <f>_xlfn.IFNA(VLOOKUP(C137,Sheet3!$H:$I,2,FALSE),"")</f>
        <v>B2300</v>
      </c>
      <c r="C137" s="46" t="s">
        <v>227</v>
      </c>
      <c r="D137" s="26" t="str">
        <f>_xlfn.IFNA(VLOOKUP(E137,Sheet3!$H:$I,2,FALSE),"")</f>
        <v>B2300</v>
      </c>
      <c r="E137" s="46" t="s">
        <v>227</v>
      </c>
      <c r="F137" s="47">
        <v>2141000</v>
      </c>
      <c r="G137" s="46" t="s">
        <v>221</v>
      </c>
      <c r="H137" s="46" t="s">
        <v>476</v>
      </c>
      <c r="I137" s="26">
        <v>10000000</v>
      </c>
      <c r="J137" s="26">
        <v>60</v>
      </c>
      <c r="K137" s="126">
        <v>100</v>
      </c>
      <c r="L137" s="49">
        <v>45261</v>
      </c>
      <c r="M137" s="47" t="s">
        <v>317</v>
      </c>
      <c r="N137" s="47"/>
      <c r="O137" s="50">
        <v>10000000</v>
      </c>
    </row>
    <row r="138" spans="1:15" ht="15" customHeight="1">
      <c r="A138" s="46" t="s">
        <v>310</v>
      </c>
      <c r="B138" s="26" t="str">
        <f>_xlfn.IFNA(VLOOKUP(C138,Sheet3!$H:$I,2,FALSE),"")</f>
        <v>B2300</v>
      </c>
      <c r="C138" s="46" t="s">
        <v>227</v>
      </c>
      <c r="D138" s="26" t="str">
        <f>_xlfn.IFNA(VLOOKUP(E138,Sheet3!$H:$I,2,FALSE),"")</f>
        <v>B2300</v>
      </c>
      <c r="E138" s="46" t="s">
        <v>227</v>
      </c>
      <c r="F138" s="47">
        <v>2141000</v>
      </c>
      <c r="G138" s="46" t="s">
        <v>221</v>
      </c>
      <c r="H138" s="46" t="s">
        <v>477</v>
      </c>
      <c r="I138" s="26">
        <v>10000000</v>
      </c>
      <c r="J138" s="26">
        <v>60</v>
      </c>
      <c r="K138" s="126">
        <v>100</v>
      </c>
      <c r="L138" s="49">
        <v>45352</v>
      </c>
      <c r="M138" s="47" t="s">
        <v>317</v>
      </c>
      <c r="N138" s="47"/>
      <c r="O138" s="50">
        <v>10000000</v>
      </c>
    </row>
    <row r="139" spans="1:15" ht="15" customHeight="1">
      <c r="A139" s="46" t="s">
        <v>310</v>
      </c>
      <c r="B139" s="26" t="str">
        <f>_xlfn.IFNA(VLOOKUP(C139,Sheet3!$H:$I,2,FALSE),"")</f>
        <v>B2300</v>
      </c>
      <c r="C139" s="46" t="s">
        <v>227</v>
      </c>
      <c r="D139" s="26" t="str">
        <f>_xlfn.IFNA(VLOOKUP(E139,Sheet3!$H:$I,2,FALSE),"")</f>
        <v>B2300</v>
      </c>
      <c r="E139" s="46" t="s">
        <v>227</v>
      </c>
      <c r="F139" s="47">
        <v>2141000</v>
      </c>
      <c r="G139" s="46" t="s">
        <v>221</v>
      </c>
      <c r="H139" s="46" t="s">
        <v>477</v>
      </c>
      <c r="I139" s="26">
        <v>10000000</v>
      </c>
      <c r="J139" s="26">
        <v>60</v>
      </c>
      <c r="K139" s="126">
        <v>100</v>
      </c>
      <c r="L139" s="49">
        <v>45352</v>
      </c>
      <c r="M139" s="47" t="s">
        <v>317</v>
      </c>
      <c r="N139" s="47"/>
      <c r="O139" s="50">
        <v>10000000</v>
      </c>
    </row>
    <row r="140" spans="1:15" ht="15" customHeight="1">
      <c r="A140" s="46" t="s">
        <v>310</v>
      </c>
      <c r="B140" s="26" t="str">
        <f>_xlfn.IFNA(VLOOKUP(C140,Sheet3!$H:$I,2,FALSE),"")</f>
        <v>B2300</v>
      </c>
      <c r="C140" s="46" t="s">
        <v>227</v>
      </c>
      <c r="D140" s="26" t="str">
        <f>_xlfn.IFNA(VLOOKUP(E140,Sheet3!$H:$I,2,FALSE),"")</f>
        <v>B2300</v>
      </c>
      <c r="E140" s="46" t="s">
        <v>227</v>
      </c>
      <c r="F140" s="47">
        <v>2141000</v>
      </c>
      <c r="G140" s="46" t="s">
        <v>221</v>
      </c>
      <c r="H140" s="46" t="s">
        <v>478</v>
      </c>
      <c r="I140" s="26">
        <v>10000000</v>
      </c>
      <c r="J140" s="26">
        <v>60</v>
      </c>
      <c r="K140" s="126">
        <v>100</v>
      </c>
      <c r="L140" s="49">
        <v>45352</v>
      </c>
      <c r="M140" s="47" t="s">
        <v>317</v>
      </c>
      <c r="N140" s="47"/>
      <c r="O140" s="50">
        <v>10000000</v>
      </c>
    </row>
    <row r="141" spans="1:15" ht="15" customHeight="1">
      <c r="A141" s="46" t="s">
        <v>310</v>
      </c>
      <c r="B141" s="26" t="str">
        <f>_xlfn.IFNA(VLOOKUP(C141,Sheet3!$H:$I,2,FALSE),"")</f>
        <v>B2300</v>
      </c>
      <c r="C141" s="46" t="s">
        <v>227</v>
      </c>
      <c r="D141" s="26" t="str">
        <f>_xlfn.IFNA(VLOOKUP(E141,Sheet3!$H:$I,2,FALSE),"")</f>
        <v>B2300</v>
      </c>
      <c r="E141" s="46" t="s">
        <v>227</v>
      </c>
      <c r="F141" s="47">
        <v>2141000</v>
      </c>
      <c r="G141" s="46" t="s">
        <v>221</v>
      </c>
      <c r="H141" s="46" t="s">
        <v>479</v>
      </c>
      <c r="I141" s="26">
        <v>10000000</v>
      </c>
      <c r="J141" s="26">
        <v>60</v>
      </c>
      <c r="K141" s="126">
        <v>100</v>
      </c>
      <c r="L141" s="49">
        <v>45352</v>
      </c>
      <c r="M141" s="47" t="s">
        <v>317</v>
      </c>
      <c r="N141" s="47"/>
      <c r="O141" s="50">
        <v>10000000</v>
      </c>
    </row>
    <row r="142" spans="1:15" ht="15" customHeight="1">
      <c r="A142" s="46" t="s">
        <v>310</v>
      </c>
      <c r="B142" s="26" t="str">
        <f>_xlfn.IFNA(VLOOKUP(C142,Sheet3!$H:$I,2,FALSE),"")</f>
        <v>B2300</v>
      </c>
      <c r="C142" s="46" t="s">
        <v>227</v>
      </c>
      <c r="D142" s="26" t="str">
        <f>_xlfn.IFNA(VLOOKUP(E142,Sheet3!$H:$I,2,FALSE),"")</f>
        <v>B2300</v>
      </c>
      <c r="E142" s="46" t="s">
        <v>227</v>
      </c>
      <c r="F142" s="47">
        <v>2141000</v>
      </c>
      <c r="G142" s="46" t="s">
        <v>221</v>
      </c>
      <c r="H142" s="46" t="s">
        <v>480</v>
      </c>
      <c r="I142" s="26">
        <v>17000000</v>
      </c>
      <c r="J142" s="26">
        <v>60</v>
      </c>
      <c r="K142" s="126">
        <v>100</v>
      </c>
      <c r="L142" s="49">
        <v>45352</v>
      </c>
      <c r="M142" s="47" t="s">
        <v>317</v>
      </c>
      <c r="N142" s="47"/>
      <c r="O142" s="50">
        <v>17000000</v>
      </c>
    </row>
    <row r="143" spans="1:15" ht="15" customHeight="1">
      <c r="A143" s="25" t="s">
        <v>310</v>
      </c>
      <c r="B143" s="26" t="str">
        <f>_xlfn.IFNA(VLOOKUP(C143,Sheet3!$H:$I,2,FALSE),"")</f>
        <v>B5000</v>
      </c>
      <c r="C143" s="25" t="s">
        <v>270</v>
      </c>
      <c r="D143" s="26" t="str">
        <f>_xlfn.IFNA(VLOOKUP(E143,Sheet3!$H:$I,2,FALSE),"")</f>
        <v>B5000</v>
      </c>
      <c r="E143" s="25" t="s">
        <v>270</v>
      </c>
      <c r="F143" s="30">
        <v>2141000</v>
      </c>
      <c r="G143" s="25" t="s">
        <v>221</v>
      </c>
      <c r="H143" s="25" t="s">
        <v>562</v>
      </c>
      <c r="I143" s="26">
        <v>6650000</v>
      </c>
      <c r="J143" s="26">
        <v>60</v>
      </c>
      <c r="K143" s="126">
        <v>100</v>
      </c>
      <c r="L143" s="31">
        <v>44348</v>
      </c>
      <c r="M143" s="47" t="s">
        <v>317</v>
      </c>
      <c r="O143" s="51">
        <v>6650000</v>
      </c>
    </row>
    <row r="144" spans="1:15" ht="15" customHeight="1">
      <c r="A144" s="25" t="s">
        <v>310</v>
      </c>
      <c r="B144" s="26" t="str">
        <f>_xlfn.IFNA(VLOOKUP(C144,Sheet3!$H:$I,2,FALSE),"")</f>
        <v>B5000</v>
      </c>
      <c r="C144" s="25" t="s">
        <v>270</v>
      </c>
      <c r="D144" s="26" t="str">
        <f>_xlfn.IFNA(VLOOKUP(E144,Sheet3!$H:$I,2,FALSE),"")</f>
        <v>B5000</v>
      </c>
      <c r="E144" s="25" t="s">
        <v>270</v>
      </c>
      <c r="F144" s="30">
        <v>2141000</v>
      </c>
      <c r="G144" s="25" t="s">
        <v>221</v>
      </c>
      <c r="H144" s="25" t="s">
        <v>563</v>
      </c>
      <c r="I144" s="26">
        <v>15000000</v>
      </c>
      <c r="J144" s="26">
        <v>60</v>
      </c>
      <c r="K144" s="126">
        <v>100</v>
      </c>
      <c r="L144" s="31">
        <v>44621</v>
      </c>
      <c r="M144" s="47" t="s">
        <v>317</v>
      </c>
      <c r="O144" s="51">
        <v>15000000</v>
      </c>
    </row>
    <row r="145" spans="1:15" ht="15" customHeight="1">
      <c r="A145" s="25" t="s">
        <v>310</v>
      </c>
      <c r="B145" s="26" t="str">
        <f>_xlfn.IFNA(VLOOKUP(C145,Sheet3!$H:$I,2,FALSE),"")</f>
        <v>B5000</v>
      </c>
      <c r="C145" s="25" t="s">
        <v>270</v>
      </c>
      <c r="D145" s="26" t="str">
        <f>_xlfn.IFNA(VLOOKUP(E145,Sheet3!$H:$I,2,FALSE),"")</f>
        <v>B5000</v>
      </c>
      <c r="E145" s="25" t="s">
        <v>270</v>
      </c>
      <c r="F145" s="30">
        <v>2141000</v>
      </c>
      <c r="G145" s="25" t="s">
        <v>221</v>
      </c>
      <c r="H145" s="25" t="s">
        <v>564</v>
      </c>
      <c r="I145" s="26">
        <v>15000000</v>
      </c>
      <c r="J145" s="26">
        <v>60</v>
      </c>
      <c r="K145" s="126">
        <v>100</v>
      </c>
      <c r="L145" s="31">
        <v>44713</v>
      </c>
      <c r="M145" s="47" t="s">
        <v>317</v>
      </c>
      <c r="O145" s="51">
        <v>15000000</v>
      </c>
    </row>
    <row r="146" spans="1:15" ht="15" customHeight="1">
      <c r="A146" s="25" t="s">
        <v>310</v>
      </c>
      <c r="B146" s="26" t="str">
        <f>_xlfn.IFNA(VLOOKUP(C146,Sheet3!$H:$I,2,FALSE),"")</f>
        <v>B5000</v>
      </c>
      <c r="C146" s="25" t="s">
        <v>270</v>
      </c>
      <c r="D146" s="26" t="str">
        <f>_xlfn.IFNA(VLOOKUP(E146,Sheet3!$H:$I,2,FALSE),"")</f>
        <v>B5000</v>
      </c>
      <c r="E146" s="25" t="s">
        <v>270</v>
      </c>
      <c r="F146" s="30">
        <v>2141000</v>
      </c>
      <c r="G146" s="25" t="s">
        <v>221</v>
      </c>
      <c r="H146" s="25" t="s">
        <v>565</v>
      </c>
      <c r="I146" s="26">
        <v>15000000</v>
      </c>
      <c r="J146" s="26">
        <v>60</v>
      </c>
      <c r="K146" s="126">
        <v>100</v>
      </c>
      <c r="L146" s="31">
        <v>44958</v>
      </c>
      <c r="M146" s="47" t="s">
        <v>317</v>
      </c>
      <c r="O146" s="51">
        <v>15000000</v>
      </c>
    </row>
    <row r="147" spans="1:15" ht="15" customHeight="1">
      <c r="A147" s="25" t="s">
        <v>310</v>
      </c>
      <c r="B147" s="26" t="str">
        <f>_xlfn.IFNA(VLOOKUP(C147,Sheet3!$H:$I,2,FALSE),"")</f>
        <v>B5000</v>
      </c>
      <c r="C147" s="25" t="s">
        <v>270</v>
      </c>
      <c r="D147" s="26" t="str">
        <f>_xlfn.IFNA(VLOOKUP(E147,Sheet3!$H:$I,2,FALSE),"")</f>
        <v>B5000</v>
      </c>
      <c r="E147" s="25" t="s">
        <v>270</v>
      </c>
      <c r="F147" s="30">
        <v>2141000</v>
      </c>
      <c r="G147" s="25" t="s">
        <v>221</v>
      </c>
      <c r="H147" s="25" t="s">
        <v>568</v>
      </c>
      <c r="I147" s="26">
        <v>10000000</v>
      </c>
      <c r="J147" s="26">
        <v>60</v>
      </c>
      <c r="K147" s="126">
        <v>100</v>
      </c>
      <c r="L147" s="31">
        <v>44621</v>
      </c>
      <c r="M147" s="47" t="s">
        <v>317</v>
      </c>
      <c r="O147" s="26">
        <v>10000000</v>
      </c>
    </row>
  </sheetData>
  <autoFilter ref="H1:M147" xr:uid="{217A82DE-71A0-4D1C-913B-F16E91CA4E32}"/>
  <phoneticPr fontId="22" type="noConversion"/>
  <dataValidations count="1">
    <dataValidation type="list" allowBlank="1" showInputMessage="1" showErrorMessage="1" sqref="A2:G4" xr:uid="{F0409187-EBC0-4085-84C6-4E3D9A2A4475}">
      <formula1>#REF!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71C4764-773E-4331-9B61-1EE9C675E3E0}">
          <x14:formula1>
            <xm:f>Master!$A$2:$A$44</xm:f>
          </x14:formula1>
          <xm:sqref>C2:G4</xm:sqref>
        </x14:dataValidation>
        <x14:dataValidation type="list" allowBlank="1" showInputMessage="1" showErrorMessage="1" xr:uid="{0BCCD100-5C7F-4A3B-A280-E75FC940512C}">
          <x14:formula1>
            <xm:f>Master!$AI$2:$AI$4</xm:f>
          </x14:formula1>
          <xm:sqref>M2:M30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7F5A-1FA7-447A-87B8-BCD1D2EB0411}">
  <dimension ref="A1:AK173"/>
  <sheetViews>
    <sheetView showGridLines="0" topLeftCell="AC1" zoomScale="90" zoomScaleNormal="90" workbookViewId="0">
      <selection activeCell="AG2" sqref="AG2"/>
    </sheetView>
  </sheetViews>
  <sheetFormatPr defaultColWidth="8.85546875" defaultRowHeight="18" customHeight="1"/>
  <cols>
    <col min="1" max="1" width="28.42578125" style="4" bestFit="1" customWidth="1"/>
    <col min="2" max="2" width="7.42578125" style="4" customWidth="1"/>
    <col min="3" max="3" width="15" style="4" bestFit="1" customWidth="1"/>
    <col min="4" max="4" width="17" style="4" bestFit="1" customWidth="1"/>
    <col min="5" max="5" width="31.140625" style="4" customWidth="1"/>
    <col min="6" max="6" width="0.85546875" style="4" customWidth="1"/>
    <col min="7" max="7" width="6.42578125" style="4" bestFit="1" customWidth="1"/>
    <col min="8" max="8" width="38" style="4" bestFit="1" customWidth="1"/>
    <col min="9" max="9" width="0.85546875" style="4" customWidth="1"/>
    <col min="10" max="10" width="56.140625" style="86" bestFit="1" customWidth="1"/>
    <col min="11" max="11" width="10.5703125" style="87" bestFit="1" customWidth="1"/>
    <col min="12" max="12" width="12.5703125" style="88" bestFit="1" customWidth="1"/>
    <col min="13" max="13" width="12.42578125" style="88" bestFit="1" customWidth="1"/>
    <col min="14" max="14" width="13.85546875" style="88" bestFit="1" customWidth="1"/>
    <col min="15" max="15" width="50.7109375" style="86" hidden="1" customWidth="1"/>
    <col min="16" max="16" width="0.85546875" style="90" customWidth="1"/>
    <col min="17" max="17" width="28.5703125" style="86" bestFit="1" customWidth="1"/>
    <col min="18" max="18" width="11.42578125" style="87" bestFit="1" customWidth="1"/>
    <col min="19" max="19" width="15.85546875" style="86" bestFit="1" customWidth="1"/>
    <col min="20" max="20" width="19.42578125" style="86" bestFit="1" customWidth="1"/>
    <col min="21" max="21" width="28.5703125" style="86" bestFit="1" customWidth="1"/>
    <col min="22" max="22" width="0.85546875" style="90" customWidth="1"/>
    <col min="23" max="23" width="9.85546875" style="86" bestFit="1" customWidth="1"/>
    <col min="24" max="24" width="19.5703125" style="86" bestFit="1" customWidth="1"/>
    <col min="25" max="25" width="0.85546875" style="90" customWidth="1"/>
    <col min="26" max="26" width="18.42578125" style="34" bestFit="1" customWidth="1"/>
    <col min="27" max="27" width="19" style="35" bestFit="1" customWidth="1"/>
    <col min="28" max="28" width="72.5703125" style="36" bestFit="1" customWidth="1"/>
    <col min="29" max="29" width="8.85546875" style="86"/>
    <col min="30" max="30" width="11.5703125" style="5" bestFit="1" customWidth="1"/>
    <col min="31" max="31" width="30.140625" style="4" bestFit="1" customWidth="1"/>
    <col min="32" max="32" width="11.42578125" style="5" bestFit="1" customWidth="1"/>
    <col min="33" max="33" width="41.42578125" style="4" bestFit="1" customWidth="1"/>
    <col min="34" max="34" width="0.85546875" style="4" customWidth="1"/>
    <col min="35" max="35" width="16.42578125" style="34" bestFit="1" customWidth="1"/>
    <col min="36" max="36" width="17.42578125" style="35" customWidth="1"/>
    <col min="37" max="37" width="51.42578125" style="36" customWidth="1"/>
    <col min="38" max="16384" width="8.85546875" style="4"/>
  </cols>
  <sheetData>
    <row r="1" spans="1:37" ht="18" customHeight="1">
      <c r="A1" s="13" t="s">
        <v>0</v>
      </c>
      <c r="B1" s="13" t="s">
        <v>200</v>
      </c>
      <c r="C1" s="14" t="s">
        <v>201</v>
      </c>
      <c r="D1" s="14" t="s">
        <v>202</v>
      </c>
      <c r="E1" s="13" t="s">
        <v>0</v>
      </c>
      <c r="G1" s="15" t="s">
        <v>203</v>
      </c>
      <c r="H1" s="15" t="s">
        <v>0</v>
      </c>
      <c r="J1" s="76" t="s">
        <v>541</v>
      </c>
      <c r="K1" s="76" t="s">
        <v>1</v>
      </c>
      <c r="L1" s="77" t="s">
        <v>2</v>
      </c>
      <c r="M1" s="77" t="s">
        <v>3</v>
      </c>
      <c r="N1" s="77" t="s">
        <v>4</v>
      </c>
      <c r="O1" s="76" t="s">
        <v>5</v>
      </c>
      <c r="P1" s="78"/>
      <c r="Q1" s="79" t="s">
        <v>0</v>
      </c>
      <c r="R1" s="79" t="s">
        <v>200</v>
      </c>
      <c r="S1" s="80" t="s">
        <v>201</v>
      </c>
      <c r="T1" s="80" t="s">
        <v>202</v>
      </c>
      <c r="U1" s="79" t="s">
        <v>0</v>
      </c>
      <c r="V1" s="81"/>
      <c r="W1" s="82" t="s">
        <v>203</v>
      </c>
      <c r="X1" s="82" t="s">
        <v>0</v>
      </c>
      <c r="Y1" s="81"/>
      <c r="Z1" s="83" t="s">
        <v>323</v>
      </c>
      <c r="AA1" s="83" t="s">
        <v>324</v>
      </c>
      <c r="AB1" s="84" t="s">
        <v>5</v>
      </c>
      <c r="AC1" s="85"/>
      <c r="AD1" s="16" t="s">
        <v>204</v>
      </c>
      <c r="AE1" s="17" t="s">
        <v>205</v>
      </c>
      <c r="AF1" s="16" t="s">
        <v>206</v>
      </c>
      <c r="AG1" s="17" t="s">
        <v>207</v>
      </c>
      <c r="AI1" s="37" t="s">
        <v>323</v>
      </c>
      <c r="AJ1" s="37" t="s">
        <v>324</v>
      </c>
      <c r="AK1" s="41" t="s">
        <v>5</v>
      </c>
    </row>
    <row r="2" spans="1:37" ht="32.25" customHeight="1">
      <c r="A2" s="18" t="s">
        <v>208</v>
      </c>
      <c r="B2" s="19" t="s">
        <v>209</v>
      </c>
      <c r="C2" s="20" t="s">
        <v>7</v>
      </c>
      <c r="D2" s="21" t="s">
        <v>210</v>
      </c>
      <c r="E2" s="21" t="str">
        <f>A2</f>
        <v>Top Management</v>
      </c>
      <c r="G2" s="21">
        <v>53450</v>
      </c>
      <c r="H2" s="21" t="s">
        <v>211</v>
      </c>
      <c r="J2" s="86" t="s">
        <v>6</v>
      </c>
      <c r="K2" s="87">
        <v>7511101</v>
      </c>
      <c r="L2" s="88" t="s">
        <v>7</v>
      </c>
      <c r="M2" s="89" t="str">
        <f t="shared" ref="M2:M65" si="0">L2&amp;"-"&amp;K2</f>
        <v>SGA-7511101</v>
      </c>
      <c r="N2" s="88" t="s">
        <v>8</v>
      </c>
      <c r="O2" s="86" t="s">
        <v>6</v>
      </c>
      <c r="Q2" s="18" t="s">
        <v>208</v>
      </c>
      <c r="R2" s="19" t="s">
        <v>209</v>
      </c>
      <c r="S2" s="91" t="s">
        <v>7</v>
      </c>
      <c r="T2" s="92" t="s">
        <v>210</v>
      </c>
      <c r="U2" s="92" t="str">
        <f>Q2</f>
        <v>Top Management</v>
      </c>
      <c r="W2" s="92">
        <v>53450</v>
      </c>
      <c r="X2" s="92" t="s">
        <v>211</v>
      </c>
      <c r="Z2" s="93" t="s">
        <v>314</v>
      </c>
      <c r="AA2" s="94" t="s">
        <v>315</v>
      </c>
      <c r="AB2" s="95" t="s">
        <v>316</v>
      </c>
      <c r="AD2" s="22">
        <v>2111100</v>
      </c>
      <c r="AE2" s="21" t="s">
        <v>212</v>
      </c>
      <c r="AF2" s="32">
        <v>7611100</v>
      </c>
      <c r="AG2" s="33" t="s">
        <v>66</v>
      </c>
      <c r="AI2" s="39" t="s">
        <v>314</v>
      </c>
      <c r="AJ2" s="40" t="s">
        <v>315</v>
      </c>
      <c r="AK2" s="38" t="s">
        <v>316</v>
      </c>
    </row>
    <row r="3" spans="1:37" ht="32.25" customHeight="1">
      <c r="A3" s="18" t="s">
        <v>213</v>
      </c>
      <c r="B3" s="19" t="s">
        <v>214</v>
      </c>
      <c r="C3" s="20" t="s">
        <v>7</v>
      </c>
      <c r="D3" s="21" t="s">
        <v>210</v>
      </c>
      <c r="E3" s="21" t="str">
        <f t="shared" ref="E3:E43" si="1">A3</f>
        <v>Commissioner</v>
      </c>
      <c r="G3" s="21"/>
      <c r="H3" s="21"/>
      <c r="J3" s="86" t="s">
        <v>9</v>
      </c>
      <c r="K3" s="87">
        <v>7511102</v>
      </c>
      <c r="L3" s="88" t="s">
        <v>7</v>
      </c>
      <c r="M3" s="89" t="str">
        <f t="shared" si="0"/>
        <v>SGA-7511102</v>
      </c>
      <c r="N3" s="88" t="s">
        <v>8</v>
      </c>
      <c r="O3" s="86" t="s">
        <v>10</v>
      </c>
      <c r="Q3" s="18" t="s">
        <v>213</v>
      </c>
      <c r="R3" s="19" t="s">
        <v>214</v>
      </c>
      <c r="S3" s="91" t="s">
        <v>7</v>
      </c>
      <c r="T3" s="92" t="s">
        <v>210</v>
      </c>
      <c r="U3" s="92" t="str">
        <f t="shared" ref="U3:U43" si="2">Q3</f>
        <v>Commissioner</v>
      </c>
      <c r="W3" s="92"/>
      <c r="X3" s="92"/>
      <c r="Z3" s="93" t="s">
        <v>317</v>
      </c>
      <c r="AA3" s="94" t="s">
        <v>318</v>
      </c>
      <c r="AB3" s="95" t="s">
        <v>319</v>
      </c>
      <c r="AD3" s="22">
        <v>2121000</v>
      </c>
      <c r="AE3" s="21" t="s">
        <v>215</v>
      </c>
      <c r="AF3" s="22">
        <v>7611300</v>
      </c>
      <c r="AG3" s="21" t="s">
        <v>69</v>
      </c>
      <c r="AI3" s="39" t="s">
        <v>317</v>
      </c>
      <c r="AJ3" s="40" t="s">
        <v>318</v>
      </c>
      <c r="AK3" s="38" t="s">
        <v>319</v>
      </c>
    </row>
    <row r="4" spans="1:37" ht="32.25" customHeight="1">
      <c r="A4" s="18" t="s">
        <v>216</v>
      </c>
      <c r="B4" s="19" t="s">
        <v>217</v>
      </c>
      <c r="C4" s="20" t="s">
        <v>7</v>
      </c>
      <c r="D4" s="21" t="s">
        <v>210</v>
      </c>
      <c r="E4" s="21" t="str">
        <f t="shared" si="1"/>
        <v>Admin &amp; HR</v>
      </c>
      <c r="G4" s="21"/>
      <c r="H4" s="21"/>
      <c r="J4" s="86" t="s">
        <v>11</v>
      </c>
      <c r="K4" s="87">
        <v>7511103</v>
      </c>
      <c r="L4" s="88" t="s">
        <v>7</v>
      </c>
      <c r="M4" s="89" t="str">
        <f t="shared" si="0"/>
        <v>SGA-7511103</v>
      </c>
      <c r="N4" s="88" t="s">
        <v>12</v>
      </c>
      <c r="O4" s="86" t="s">
        <v>13</v>
      </c>
      <c r="Q4" s="18" t="s">
        <v>216</v>
      </c>
      <c r="R4" s="19" t="s">
        <v>217</v>
      </c>
      <c r="S4" s="91" t="s">
        <v>7</v>
      </c>
      <c r="T4" s="92" t="s">
        <v>210</v>
      </c>
      <c r="U4" s="92" t="str">
        <f t="shared" si="2"/>
        <v>Admin &amp; HR</v>
      </c>
      <c r="W4" s="92"/>
      <c r="X4" s="92"/>
      <c r="Z4" s="93" t="s">
        <v>320</v>
      </c>
      <c r="AA4" s="94" t="s">
        <v>321</v>
      </c>
      <c r="AB4" s="95" t="s">
        <v>322</v>
      </c>
      <c r="AD4" s="22">
        <v>2131000</v>
      </c>
      <c r="AE4" s="21" t="s">
        <v>218</v>
      </c>
      <c r="AF4" s="32">
        <v>7611500</v>
      </c>
      <c r="AG4" s="33" t="s">
        <v>71</v>
      </c>
      <c r="AI4" s="39" t="s">
        <v>320</v>
      </c>
      <c r="AJ4" s="40" t="s">
        <v>321</v>
      </c>
      <c r="AK4" s="38" t="s">
        <v>322</v>
      </c>
    </row>
    <row r="5" spans="1:37" ht="18" customHeight="1">
      <c r="A5" s="18" t="s">
        <v>219</v>
      </c>
      <c r="B5" s="19" t="s">
        <v>220</v>
      </c>
      <c r="C5" s="20" t="s">
        <v>7</v>
      </c>
      <c r="D5" s="21" t="s">
        <v>210</v>
      </c>
      <c r="E5" s="21" t="str">
        <f t="shared" si="1"/>
        <v>General Affair</v>
      </c>
      <c r="J5" s="86" t="s">
        <v>14</v>
      </c>
      <c r="K5" s="87">
        <v>7511111</v>
      </c>
      <c r="L5" s="88" t="s">
        <v>7</v>
      </c>
      <c r="M5" s="89" t="str">
        <f t="shared" si="0"/>
        <v>SGA-7511111</v>
      </c>
      <c r="N5" s="88" t="s">
        <v>12</v>
      </c>
      <c r="O5" s="86" t="s">
        <v>15</v>
      </c>
      <c r="Q5" s="18" t="s">
        <v>219</v>
      </c>
      <c r="R5" s="19" t="s">
        <v>220</v>
      </c>
      <c r="S5" s="91" t="s">
        <v>7</v>
      </c>
      <c r="T5" s="92" t="s">
        <v>210</v>
      </c>
      <c r="U5" s="92" t="str">
        <f t="shared" si="2"/>
        <v>General Affair</v>
      </c>
      <c r="AD5" s="22">
        <v>2141000</v>
      </c>
      <c r="AE5" s="21" t="s">
        <v>221</v>
      </c>
      <c r="AF5" s="22">
        <v>7611600</v>
      </c>
      <c r="AG5" s="21" t="s">
        <v>73</v>
      </c>
    </row>
    <row r="6" spans="1:37" ht="18" customHeight="1">
      <c r="A6" s="18" t="s">
        <v>222</v>
      </c>
      <c r="B6" s="19" t="s">
        <v>223</v>
      </c>
      <c r="C6" s="20" t="s">
        <v>7</v>
      </c>
      <c r="D6" s="21" t="s">
        <v>210</v>
      </c>
      <c r="E6" s="21" t="str">
        <f t="shared" si="1"/>
        <v>Human Resource</v>
      </c>
      <c r="J6" s="86" t="s">
        <v>16</v>
      </c>
      <c r="K6" s="87">
        <v>7511112</v>
      </c>
      <c r="L6" s="88" t="s">
        <v>7</v>
      </c>
      <c r="M6" s="89" t="str">
        <f t="shared" si="0"/>
        <v>SGA-7511112</v>
      </c>
      <c r="N6" s="88" t="s">
        <v>12</v>
      </c>
      <c r="O6" s="86" t="s">
        <v>17</v>
      </c>
      <c r="Q6" s="18" t="s">
        <v>222</v>
      </c>
      <c r="R6" s="19" t="s">
        <v>223</v>
      </c>
      <c r="S6" s="91" t="s">
        <v>7</v>
      </c>
      <c r="T6" s="92" t="s">
        <v>210</v>
      </c>
      <c r="U6" s="92" t="str">
        <f t="shared" si="2"/>
        <v>Human Resource</v>
      </c>
      <c r="AD6" s="22">
        <v>2221101</v>
      </c>
      <c r="AE6" s="21" t="s">
        <v>224</v>
      </c>
      <c r="AF6" s="22">
        <v>7611700</v>
      </c>
      <c r="AG6" s="21" t="s">
        <v>75</v>
      </c>
    </row>
    <row r="7" spans="1:37" ht="18" customHeight="1">
      <c r="A7" s="18" t="s">
        <v>225</v>
      </c>
      <c r="B7" s="19" t="s">
        <v>226</v>
      </c>
      <c r="C7" s="20" t="s">
        <v>7</v>
      </c>
      <c r="D7" s="21" t="s">
        <v>210</v>
      </c>
      <c r="E7" s="21" t="str">
        <f t="shared" si="1"/>
        <v>Health, Safety &amp; Environment</v>
      </c>
      <c r="J7" s="86" t="s">
        <v>18</v>
      </c>
      <c r="K7" s="87">
        <v>7511121</v>
      </c>
      <c r="L7" s="88" t="s">
        <v>7</v>
      </c>
      <c r="M7" s="89" t="str">
        <f t="shared" si="0"/>
        <v>SGA-7511121</v>
      </c>
      <c r="N7" s="88" t="s">
        <v>12</v>
      </c>
      <c r="O7" s="86" t="s">
        <v>19</v>
      </c>
      <c r="Q7" s="18" t="s">
        <v>225</v>
      </c>
      <c r="R7" s="19" t="s">
        <v>226</v>
      </c>
      <c r="S7" s="91" t="s">
        <v>7</v>
      </c>
      <c r="T7" s="92" t="s">
        <v>210</v>
      </c>
      <c r="U7" s="92" t="str">
        <f t="shared" si="2"/>
        <v>Health, Safety &amp; Environment</v>
      </c>
    </row>
    <row r="8" spans="1:37" ht="18" customHeight="1">
      <c r="A8" s="18" t="s">
        <v>227</v>
      </c>
      <c r="B8" s="19" t="s">
        <v>228</v>
      </c>
      <c r="C8" s="20" t="s">
        <v>7</v>
      </c>
      <c r="D8" s="21" t="s">
        <v>210</v>
      </c>
      <c r="E8" s="21" t="str">
        <f t="shared" si="1"/>
        <v>Accounting &amp; Finance</v>
      </c>
      <c r="J8" s="86" t="s">
        <v>20</v>
      </c>
      <c r="K8" s="87">
        <v>7511122</v>
      </c>
      <c r="L8" s="88" t="s">
        <v>7</v>
      </c>
      <c r="M8" s="89" t="str">
        <f t="shared" si="0"/>
        <v>SGA-7511122</v>
      </c>
      <c r="N8" s="88" t="s">
        <v>12</v>
      </c>
      <c r="O8" s="86" t="s">
        <v>21</v>
      </c>
      <c r="Q8" s="18" t="s">
        <v>227</v>
      </c>
      <c r="R8" s="19" t="s">
        <v>228</v>
      </c>
      <c r="S8" s="91" t="s">
        <v>7</v>
      </c>
      <c r="T8" s="92" t="s">
        <v>210</v>
      </c>
      <c r="U8" s="92" t="str">
        <f t="shared" si="2"/>
        <v>Accounting &amp; Finance</v>
      </c>
    </row>
    <row r="9" spans="1:37" ht="18" customHeight="1">
      <c r="A9" s="18" t="s">
        <v>229</v>
      </c>
      <c r="B9" s="19" t="s">
        <v>230</v>
      </c>
      <c r="C9" s="20" t="s">
        <v>7</v>
      </c>
      <c r="D9" s="21" t="s">
        <v>210</v>
      </c>
      <c r="E9" s="21" t="str">
        <f t="shared" si="1"/>
        <v>Information Technology</v>
      </c>
      <c r="J9" s="86" t="s">
        <v>22</v>
      </c>
      <c r="K9" s="87">
        <v>7511201</v>
      </c>
      <c r="L9" s="88" t="s">
        <v>7</v>
      </c>
      <c r="M9" s="89" t="str">
        <f t="shared" si="0"/>
        <v>SGA-7511201</v>
      </c>
      <c r="N9" s="88" t="s">
        <v>23</v>
      </c>
      <c r="O9" s="86" t="s">
        <v>24</v>
      </c>
      <c r="Q9" s="18" t="s">
        <v>229</v>
      </c>
      <c r="R9" s="19" t="s">
        <v>230</v>
      </c>
      <c r="S9" s="91" t="s">
        <v>7</v>
      </c>
      <c r="T9" s="92" t="s">
        <v>210</v>
      </c>
      <c r="U9" s="92" t="str">
        <f t="shared" si="2"/>
        <v>Information Technology</v>
      </c>
    </row>
    <row r="10" spans="1:37" ht="18" customHeight="1">
      <c r="A10" s="18" t="s">
        <v>231</v>
      </c>
      <c r="B10" s="19" t="s">
        <v>232</v>
      </c>
      <c r="C10" s="20" t="s">
        <v>7</v>
      </c>
      <c r="D10" s="21" t="s">
        <v>210</v>
      </c>
      <c r="E10" s="21" t="str">
        <f t="shared" si="1"/>
        <v>Sales &amp; MKTG Dept.- Automotive</v>
      </c>
      <c r="J10" s="86" t="s">
        <v>25</v>
      </c>
      <c r="K10" s="87">
        <v>7512111</v>
      </c>
      <c r="L10" s="88" t="s">
        <v>7</v>
      </c>
      <c r="M10" s="89" t="str">
        <f t="shared" si="0"/>
        <v>SGA-7512111</v>
      </c>
      <c r="N10" s="88" t="s">
        <v>26</v>
      </c>
      <c r="O10" s="86" t="s">
        <v>27</v>
      </c>
      <c r="Q10" s="18" t="s">
        <v>231</v>
      </c>
      <c r="R10" s="19" t="s">
        <v>232</v>
      </c>
      <c r="S10" s="91" t="s">
        <v>7</v>
      </c>
      <c r="T10" s="92" t="s">
        <v>210</v>
      </c>
      <c r="U10" s="92" t="str">
        <f t="shared" si="2"/>
        <v>Sales &amp; MKTG Dept.- Automotive</v>
      </c>
    </row>
    <row r="11" spans="1:37" ht="18" customHeight="1">
      <c r="A11" s="18" t="s">
        <v>233</v>
      </c>
      <c r="B11" s="19" t="s">
        <v>234</v>
      </c>
      <c r="C11" s="20" t="s">
        <v>7</v>
      </c>
      <c r="D11" s="21" t="s">
        <v>210</v>
      </c>
      <c r="E11" s="21" t="str">
        <f t="shared" si="1"/>
        <v>Marketing</v>
      </c>
      <c r="J11" s="86" t="s">
        <v>28</v>
      </c>
      <c r="K11" s="87">
        <v>7512112</v>
      </c>
      <c r="L11" s="88" t="s">
        <v>7</v>
      </c>
      <c r="M11" s="89" t="str">
        <f t="shared" si="0"/>
        <v>SGA-7512112</v>
      </c>
      <c r="N11" s="88" t="s">
        <v>26</v>
      </c>
      <c r="O11" s="86" t="s">
        <v>29</v>
      </c>
      <c r="Q11" s="18" t="s">
        <v>233</v>
      </c>
      <c r="R11" s="19" t="s">
        <v>234</v>
      </c>
      <c r="S11" s="91" t="s">
        <v>7</v>
      </c>
      <c r="T11" s="92" t="s">
        <v>210</v>
      </c>
      <c r="U11" s="92" t="str">
        <f t="shared" si="2"/>
        <v>Marketing</v>
      </c>
    </row>
    <row r="12" spans="1:37" ht="18" customHeight="1">
      <c r="A12" s="18" t="s">
        <v>235</v>
      </c>
      <c r="B12" s="19" t="s">
        <v>236</v>
      </c>
      <c r="C12" s="20" t="s">
        <v>7</v>
      </c>
      <c r="D12" s="21" t="s">
        <v>210</v>
      </c>
      <c r="E12" s="21" t="str">
        <f t="shared" si="1"/>
        <v>Sales - OEM</v>
      </c>
      <c r="J12" s="86" t="s">
        <v>30</v>
      </c>
      <c r="K12" s="87">
        <v>7514101</v>
      </c>
      <c r="L12" s="88" t="s">
        <v>7</v>
      </c>
      <c r="M12" s="89" t="str">
        <f t="shared" si="0"/>
        <v>SGA-7514101</v>
      </c>
      <c r="N12" s="88" t="s">
        <v>12</v>
      </c>
      <c r="O12" s="86" t="s">
        <v>31</v>
      </c>
      <c r="Q12" s="18" t="s">
        <v>235</v>
      </c>
      <c r="R12" s="19" t="s">
        <v>236</v>
      </c>
      <c r="S12" s="91" t="s">
        <v>7</v>
      </c>
      <c r="T12" s="92" t="s">
        <v>210</v>
      </c>
      <c r="U12" s="92" t="str">
        <f t="shared" si="2"/>
        <v>Sales - OEM</v>
      </c>
    </row>
    <row r="13" spans="1:37" ht="18" customHeight="1">
      <c r="A13" s="18" t="s">
        <v>237</v>
      </c>
      <c r="B13" s="19" t="s">
        <v>238</v>
      </c>
      <c r="C13" s="20" t="s">
        <v>7</v>
      </c>
      <c r="D13" s="21" t="s">
        <v>210</v>
      </c>
      <c r="E13" s="21" t="str">
        <f t="shared" si="1"/>
        <v>Sales - OES</v>
      </c>
      <c r="J13" s="86" t="s">
        <v>32</v>
      </c>
      <c r="K13" s="87">
        <v>7514102</v>
      </c>
      <c r="L13" s="88" t="s">
        <v>7</v>
      </c>
      <c r="M13" s="89" t="str">
        <f t="shared" si="0"/>
        <v>SGA-7514102</v>
      </c>
      <c r="N13" s="88" t="s">
        <v>12</v>
      </c>
      <c r="O13" s="86" t="s">
        <v>33</v>
      </c>
      <c r="Q13" s="18" t="s">
        <v>237</v>
      </c>
      <c r="R13" s="19" t="s">
        <v>238</v>
      </c>
      <c r="S13" s="91" t="s">
        <v>7</v>
      </c>
      <c r="T13" s="92" t="s">
        <v>210</v>
      </c>
      <c r="U13" s="92" t="str">
        <f t="shared" si="2"/>
        <v>Sales - OES</v>
      </c>
    </row>
    <row r="14" spans="1:37" ht="18" customHeight="1">
      <c r="A14" s="18" t="s">
        <v>239</v>
      </c>
      <c r="B14" s="19" t="s">
        <v>240</v>
      </c>
      <c r="C14" s="20" t="s">
        <v>7</v>
      </c>
      <c r="D14" s="21" t="s">
        <v>210</v>
      </c>
      <c r="E14" s="21" t="str">
        <f t="shared" si="1"/>
        <v>Sales - IAM</v>
      </c>
      <c r="J14" s="86" t="s">
        <v>34</v>
      </c>
      <c r="K14" s="87">
        <v>7515401</v>
      </c>
      <c r="L14" s="88" t="s">
        <v>7</v>
      </c>
      <c r="M14" s="89" t="str">
        <f t="shared" si="0"/>
        <v>SGA-7515401</v>
      </c>
      <c r="N14" s="88" t="s">
        <v>26</v>
      </c>
      <c r="O14" s="86" t="s">
        <v>35</v>
      </c>
      <c r="Q14" s="18" t="s">
        <v>239</v>
      </c>
      <c r="R14" s="19" t="s">
        <v>240</v>
      </c>
      <c r="S14" s="91" t="s">
        <v>7</v>
      </c>
      <c r="T14" s="92" t="s">
        <v>210</v>
      </c>
      <c r="U14" s="92" t="str">
        <f t="shared" si="2"/>
        <v>Sales - IAM</v>
      </c>
    </row>
    <row r="15" spans="1:37" ht="18" customHeight="1">
      <c r="A15" s="18" t="s">
        <v>241</v>
      </c>
      <c r="B15" s="19" t="s">
        <v>242</v>
      </c>
      <c r="C15" s="21" t="s">
        <v>176</v>
      </c>
      <c r="D15" s="21" t="s">
        <v>243</v>
      </c>
      <c r="E15" s="21" t="str">
        <f t="shared" si="1"/>
        <v>SP PD- CF</v>
      </c>
      <c r="J15" s="86" t="s">
        <v>36</v>
      </c>
      <c r="K15" s="87">
        <v>7515402</v>
      </c>
      <c r="L15" s="88" t="s">
        <v>7</v>
      </c>
      <c r="M15" s="89" t="str">
        <f t="shared" si="0"/>
        <v>SGA-7515402</v>
      </c>
      <c r="N15" s="88" t="s">
        <v>26</v>
      </c>
      <c r="O15" s="86" t="s">
        <v>37</v>
      </c>
      <c r="Q15" s="18" t="s">
        <v>241</v>
      </c>
      <c r="R15" s="19" t="s">
        <v>242</v>
      </c>
      <c r="S15" s="92" t="s">
        <v>176</v>
      </c>
      <c r="T15" s="92" t="s">
        <v>243</v>
      </c>
      <c r="U15" s="92" t="str">
        <f t="shared" si="2"/>
        <v>SP PD- CF</v>
      </c>
    </row>
    <row r="16" spans="1:37" ht="18" customHeight="1">
      <c r="A16" s="18" t="s">
        <v>244</v>
      </c>
      <c r="B16" s="19" t="s">
        <v>245</v>
      </c>
      <c r="C16" s="21" t="s">
        <v>176</v>
      </c>
      <c r="D16" s="21" t="s">
        <v>243</v>
      </c>
      <c r="E16" s="21" t="str">
        <f t="shared" si="1"/>
        <v>SP PD- CM</v>
      </c>
      <c r="J16" s="86" t="s">
        <v>38</v>
      </c>
      <c r="K16" s="87">
        <v>7515403</v>
      </c>
      <c r="L16" s="88" t="s">
        <v>7</v>
      </c>
      <c r="M16" s="89" t="str">
        <f t="shared" si="0"/>
        <v>SGA-7515403</v>
      </c>
      <c r="N16" s="88" t="s">
        <v>26</v>
      </c>
      <c r="O16" s="86" t="s">
        <v>39</v>
      </c>
      <c r="Q16" s="18" t="s">
        <v>244</v>
      </c>
      <c r="R16" s="19" t="s">
        <v>245</v>
      </c>
      <c r="S16" s="92" t="s">
        <v>176</v>
      </c>
      <c r="T16" s="92" t="s">
        <v>243</v>
      </c>
      <c r="U16" s="92" t="str">
        <f t="shared" si="2"/>
        <v>SP PD- CM</v>
      </c>
    </row>
    <row r="17" spans="1:21" ht="18" customHeight="1">
      <c r="A17" s="23" t="s">
        <v>246</v>
      </c>
      <c r="B17" s="19" t="s">
        <v>247</v>
      </c>
      <c r="C17" s="21" t="s">
        <v>176</v>
      </c>
      <c r="D17" s="21" t="s">
        <v>243</v>
      </c>
      <c r="E17" s="21" t="str">
        <f t="shared" si="1"/>
        <v>SP PD- WT</v>
      </c>
      <c r="J17" s="86" t="s">
        <v>40</v>
      </c>
      <c r="K17" s="87">
        <v>7515404</v>
      </c>
      <c r="L17" s="88" t="s">
        <v>7</v>
      </c>
      <c r="M17" s="89" t="str">
        <f t="shared" si="0"/>
        <v>SGA-7515404</v>
      </c>
      <c r="N17" s="88" t="s">
        <v>26</v>
      </c>
      <c r="O17" s="86" t="s">
        <v>41</v>
      </c>
      <c r="Q17" s="96" t="s">
        <v>246</v>
      </c>
      <c r="R17" s="19" t="s">
        <v>247</v>
      </c>
      <c r="S17" s="92" t="s">
        <v>176</v>
      </c>
      <c r="T17" s="92" t="s">
        <v>243</v>
      </c>
      <c r="U17" s="92" t="str">
        <f t="shared" si="2"/>
        <v>SP PD- WT</v>
      </c>
    </row>
    <row r="18" spans="1:21" ht="18" customHeight="1">
      <c r="A18" s="23" t="s">
        <v>248</v>
      </c>
      <c r="B18" s="19" t="s">
        <v>249</v>
      </c>
      <c r="C18" s="21" t="s">
        <v>176</v>
      </c>
      <c r="D18" s="21" t="s">
        <v>243</v>
      </c>
      <c r="E18" s="21" t="str">
        <f t="shared" si="1"/>
        <v>SP PD- Plating</v>
      </c>
      <c r="J18" s="86" t="s">
        <v>42</v>
      </c>
      <c r="K18" s="87">
        <v>7515405</v>
      </c>
      <c r="L18" s="88" t="s">
        <v>7</v>
      </c>
      <c r="M18" s="89" t="str">
        <f t="shared" si="0"/>
        <v>SGA-7515405</v>
      </c>
      <c r="N18" s="88" t="s">
        <v>26</v>
      </c>
      <c r="O18" s="86" t="s">
        <v>43</v>
      </c>
      <c r="Q18" s="96" t="s">
        <v>248</v>
      </c>
      <c r="R18" s="19" t="s">
        <v>249</v>
      </c>
      <c r="S18" s="92" t="s">
        <v>176</v>
      </c>
      <c r="T18" s="92" t="s">
        <v>243</v>
      </c>
      <c r="U18" s="92" t="str">
        <f t="shared" si="2"/>
        <v>SP PD- Plating</v>
      </c>
    </row>
    <row r="19" spans="1:21" ht="18" customHeight="1">
      <c r="A19" s="23" t="s">
        <v>250</v>
      </c>
      <c r="B19" s="19" t="s">
        <v>251</v>
      </c>
      <c r="C19" s="21" t="s">
        <v>176</v>
      </c>
      <c r="D19" s="21" t="s">
        <v>243</v>
      </c>
      <c r="E19" s="21" t="str">
        <f t="shared" si="1"/>
        <v>SP PD- MS Insp.</v>
      </c>
      <c r="J19" s="86" t="s">
        <v>44</v>
      </c>
      <c r="K19" s="87">
        <v>7515406</v>
      </c>
      <c r="L19" s="88" t="s">
        <v>7</v>
      </c>
      <c r="M19" s="89" t="str">
        <f t="shared" si="0"/>
        <v>SGA-7515406</v>
      </c>
      <c r="N19" s="88" t="s">
        <v>26</v>
      </c>
      <c r="O19" s="86" t="s">
        <v>45</v>
      </c>
      <c r="Q19" s="96" t="s">
        <v>250</v>
      </c>
      <c r="R19" s="19" t="s">
        <v>251</v>
      </c>
      <c r="S19" s="92" t="s">
        <v>176</v>
      </c>
      <c r="T19" s="92" t="s">
        <v>243</v>
      </c>
      <c r="U19" s="92" t="str">
        <f t="shared" si="2"/>
        <v>SP PD- MS Insp.</v>
      </c>
    </row>
    <row r="20" spans="1:21" ht="18" customHeight="1">
      <c r="A20" s="23" t="s">
        <v>252</v>
      </c>
      <c r="B20" s="19" t="s">
        <v>253</v>
      </c>
      <c r="C20" s="21" t="s">
        <v>176</v>
      </c>
      <c r="D20" s="21" t="s">
        <v>243</v>
      </c>
      <c r="E20" s="21" t="str">
        <f t="shared" si="1"/>
        <v>SP PD- Insulator Sealing</v>
      </c>
      <c r="J20" s="86" t="s">
        <v>542</v>
      </c>
      <c r="K20" s="87">
        <v>7515407</v>
      </c>
      <c r="L20" s="88" t="s">
        <v>7</v>
      </c>
      <c r="M20" s="89" t="str">
        <f t="shared" si="0"/>
        <v>SGA-7515407</v>
      </c>
      <c r="N20" s="88" t="s">
        <v>26</v>
      </c>
      <c r="Q20" s="96"/>
      <c r="R20" s="19"/>
      <c r="S20" s="92"/>
      <c r="T20" s="92"/>
      <c r="U20" s="92"/>
    </row>
    <row r="21" spans="1:21" ht="18" customHeight="1">
      <c r="A21" s="23" t="s">
        <v>254</v>
      </c>
      <c r="B21" s="19" t="s">
        <v>255</v>
      </c>
      <c r="C21" s="21" t="s">
        <v>176</v>
      </c>
      <c r="D21" s="21" t="s">
        <v>243</v>
      </c>
      <c r="E21" s="21" t="str">
        <f t="shared" si="1"/>
        <v>SP PD- Assy</v>
      </c>
      <c r="J21" s="86" t="s">
        <v>46</v>
      </c>
      <c r="K21" s="87">
        <v>7515408</v>
      </c>
      <c r="L21" s="88" t="s">
        <v>7</v>
      </c>
      <c r="M21" s="89" t="str">
        <f t="shared" si="0"/>
        <v>SGA-7515408</v>
      </c>
      <c r="N21" s="88" t="s">
        <v>26</v>
      </c>
      <c r="O21" s="86" t="s">
        <v>47</v>
      </c>
      <c r="Q21" s="96" t="s">
        <v>252</v>
      </c>
      <c r="R21" s="19" t="s">
        <v>253</v>
      </c>
      <c r="S21" s="92" t="s">
        <v>176</v>
      </c>
      <c r="T21" s="92" t="s">
        <v>243</v>
      </c>
      <c r="U21" s="92" t="str">
        <f t="shared" si="2"/>
        <v>SP PD- Insulator Sealing</v>
      </c>
    </row>
    <row r="22" spans="1:21" ht="18" customHeight="1">
      <c r="A22" s="23" t="s">
        <v>256</v>
      </c>
      <c r="B22" s="19" t="s">
        <v>257</v>
      </c>
      <c r="C22" s="21" t="s">
        <v>176</v>
      </c>
      <c r="D22" s="21" t="s">
        <v>243</v>
      </c>
      <c r="E22" s="21" t="str">
        <f t="shared" si="1"/>
        <v>SP-PD-Assy-Auto Assembly</v>
      </c>
      <c r="J22" s="86" t="s">
        <v>48</v>
      </c>
      <c r="K22" s="87">
        <v>7515409</v>
      </c>
      <c r="L22" s="88" t="s">
        <v>7</v>
      </c>
      <c r="M22" s="89" t="str">
        <f t="shared" si="0"/>
        <v>SGA-7515409</v>
      </c>
      <c r="N22" s="88" t="s">
        <v>26</v>
      </c>
      <c r="O22" s="86" t="s">
        <v>49</v>
      </c>
      <c r="Q22" s="96" t="s">
        <v>254</v>
      </c>
      <c r="R22" s="19" t="s">
        <v>255</v>
      </c>
      <c r="S22" s="92" t="s">
        <v>176</v>
      </c>
      <c r="T22" s="92" t="s">
        <v>243</v>
      </c>
      <c r="U22" s="92" t="str">
        <f t="shared" si="2"/>
        <v>SP PD- Assy</v>
      </c>
    </row>
    <row r="23" spans="1:21" ht="18" customHeight="1">
      <c r="A23" s="23" t="s">
        <v>258</v>
      </c>
      <c r="B23" s="19" t="s">
        <v>259</v>
      </c>
      <c r="C23" s="21" t="s">
        <v>176</v>
      </c>
      <c r="D23" s="21" t="s">
        <v>243</v>
      </c>
      <c r="E23" s="21" t="str">
        <f t="shared" si="1"/>
        <v>SP PD- Bending</v>
      </c>
      <c r="J23" s="86" t="s">
        <v>50</v>
      </c>
      <c r="K23" s="87">
        <v>7515410</v>
      </c>
      <c r="L23" s="88" t="s">
        <v>7</v>
      </c>
      <c r="M23" s="89" t="str">
        <f t="shared" si="0"/>
        <v>SGA-7515410</v>
      </c>
      <c r="N23" s="88" t="s">
        <v>26</v>
      </c>
      <c r="O23" s="86" t="s">
        <v>51</v>
      </c>
      <c r="Q23" s="96" t="s">
        <v>256</v>
      </c>
      <c r="R23" s="19" t="s">
        <v>257</v>
      </c>
      <c r="S23" s="92" t="s">
        <v>176</v>
      </c>
      <c r="T23" s="92" t="s">
        <v>243</v>
      </c>
      <c r="U23" s="92" t="str">
        <f t="shared" si="2"/>
        <v>SP-PD-Assy-Auto Assembly</v>
      </c>
    </row>
    <row r="24" spans="1:21" ht="18" customHeight="1">
      <c r="A24" s="23" t="s">
        <v>260</v>
      </c>
      <c r="B24" s="19" t="s">
        <v>261</v>
      </c>
      <c r="C24" s="21" t="s">
        <v>176</v>
      </c>
      <c r="D24" s="21" t="s">
        <v>243</v>
      </c>
      <c r="E24" s="21" t="str">
        <f t="shared" si="1"/>
        <v>SP PD- Final Inspection</v>
      </c>
      <c r="J24" s="86" t="s">
        <v>52</v>
      </c>
      <c r="K24" s="87">
        <v>7515499</v>
      </c>
      <c r="L24" s="88" t="s">
        <v>7</v>
      </c>
      <c r="M24" s="89" t="str">
        <f t="shared" si="0"/>
        <v>SGA-7515499</v>
      </c>
      <c r="N24" s="88" t="s">
        <v>26</v>
      </c>
      <c r="O24" s="86" t="s">
        <v>53</v>
      </c>
      <c r="Q24" s="96" t="s">
        <v>258</v>
      </c>
      <c r="R24" s="19" t="s">
        <v>259</v>
      </c>
      <c r="S24" s="92" t="s">
        <v>176</v>
      </c>
      <c r="T24" s="92" t="s">
        <v>243</v>
      </c>
      <c r="U24" s="92" t="str">
        <f t="shared" si="2"/>
        <v>SP PD- Bending</v>
      </c>
    </row>
    <row r="25" spans="1:21" ht="18" customHeight="1">
      <c r="A25" s="23" t="s">
        <v>262</v>
      </c>
      <c r="B25" s="19" t="s">
        <v>263</v>
      </c>
      <c r="C25" s="21" t="s">
        <v>176</v>
      </c>
      <c r="D25" s="21" t="s">
        <v>243</v>
      </c>
      <c r="E25" s="21" t="str">
        <f t="shared" si="1"/>
        <v>SP PD- QC - OEM</v>
      </c>
      <c r="J25" s="86" t="s">
        <v>54</v>
      </c>
      <c r="K25" s="87">
        <v>7516102</v>
      </c>
      <c r="L25" s="88" t="s">
        <v>7</v>
      </c>
      <c r="M25" s="89" t="str">
        <f t="shared" si="0"/>
        <v>SGA-7516102</v>
      </c>
      <c r="N25" s="88" t="s">
        <v>55</v>
      </c>
      <c r="O25" s="86" t="s">
        <v>56</v>
      </c>
      <c r="Q25" s="96" t="s">
        <v>260</v>
      </c>
      <c r="R25" s="19" t="s">
        <v>261</v>
      </c>
      <c r="S25" s="92" t="s">
        <v>176</v>
      </c>
      <c r="T25" s="92" t="s">
        <v>243</v>
      </c>
      <c r="U25" s="92" t="str">
        <f t="shared" si="2"/>
        <v>SP PD- Final Inspection</v>
      </c>
    </row>
    <row r="26" spans="1:21" ht="18" customHeight="1">
      <c r="A26" s="23" t="s">
        <v>264</v>
      </c>
      <c r="B26" s="19" t="s">
        <v>265</v>
      </c>
      <c r="C26" s="21" t="s">
        <v>176</v>
      </c>
      <c r="D26" s="21" t="s">
        <v>243</v>
      </c>
      <c r="E26" s="21" t="str">
        <f t="shared" si="1"/>
        <v>PC PD- Injection</v>
      </c>
      <c r="J26" s="86" t="s">
        <v>57</v>
      </c>
      <c r="K26" s="87">
        <v>7519101</v>
      </c>
      <c r="L26" s="88" t="s">
        <v>7</v>
      </c>
      <c r="M26" s="89" t="str">
        <f t="shared" si="0"/>
        <v>SGA-7519101</v>
      </c>
      <c r="N26" s="88" t="s">
        <v>8</v>
      </c>
      <c r="O26" s="86" t="s">
        <v>58</v>
      </c>
      <c r="Q26" s="96" t="s">
        <v>262</v>
      </c>
      <c r="R26" s="19" t="s">
        <v>263</v>
      </c>
      <c r="S26" s="92" t="s">
        <v>176</v>
      </c>
      <c r="T26" s="92" t="s">
        <v>243</v>
      </c>
      <c r="U26" s="92" t="str">
        <f t="shared" si="2"/>
        <v>SP PD- QC - OEM</v>
      </c>
    </row>
    <row r="27" spans="1:21" ht="18" customHeight="1">
      <c r="A27" s="23" t="s">
        <v>266</v>
      </c>
      <c r="B27" s="19" t="s">
        <v>267</v>
      </c>
      <c r="C27" s="21" t="s">
        <v>176</v>
      </c>
      <c r="D27" s="21" t="s">
        <v>243</v>
      </c>
      <c r="E27" s="21" t="str">
        <f t="shared" si="1"/>
        <v>PC PD- Assy</v>
      </c>
      <c r="J27" s="86" t="s">
        <v>59</v>
      </c>
      <c r="K27" s="87">
        <v>7521101</v>
      </c>
      <c r="L27" s="88" t="s">
        <v>7</v>
      </c>
      <c r="M27" s="89" t="str">
        <f t="shared" si="0"/>
        <v>SGA-7521101</v>
      </c>
      <c r="N27" s="88" t="s">
        <v>12</v>
      </c>
      <c r="O27" s="86" t="s">
        <v>60</v>
      </c>
      <c r="Q27" s="96" t="s">
        <v>264</v>
      </c>
      <c r="R27" s="19" t="s">
        <v>265</v>
      </c>
      <c r="S27" s="92" t="s">
        <v>176</v>
      </c>
      <c r="T27" s="92" t="s">
        <v>243</v>
      </c>
      <c r="U27" s="92" t="str">
        <f t="shared" si="2"/>
        <v>PC PD- Injection</v>
      </c>
    </row>
    <row r="28" spans="1:21" ht="18" customHeight="1">
      <c r="A28" s="23" t="s">
        <v>268</v>
      </c>
      <c r="B28" s="19" t="s">
        <v>269</v>
      </c>
      <c r="C28" s="21" t="s">
        <v>176</v>
      </c>
      <c r="D28" s="21" t="s">
        <v>243</v>
      </c>
      <c r="E28" s="21" t="str">
        <f t="shared" si="1"/>
        <v>PC PD- QC</v>
      </c>
      <c r="J28" s="86" t="s">
        <v>61</v>
      </c>
      <c r="K28" s="87">
        <v>7521102</v>
      </c>
      <c r="L28" s="88" t="s">
        <v>7</v>
      </c>
      <c r="M28" s="89" t="str">
        <f t="shared" si="0"/>
        <v>SGA-7521102</v>
      </c>
      <c r="N28" s="88" t="s">
        <v>23</v>
      </c>
      <c r="O28" s="86" t="s">
        <v>62</v>
      </c>
      <c r="Q28" s="96" t="s">
        <v>266</v>
      </c>
      <c r="R28" s="19" t="s">
        <v>267</v>
      </c>
      <c r="S28" s="92" t="s">
        <v>176</v>
      </c>
      <c r="T28" s="92" t="s">
        <v>243</v>
      </c>
      <c r="U28" s="92" t="str">
        <f t="shared" si="2"/>
        <v>PC PD- Assy</v>
      </c>
    </row>
    <row r="29" spans="1:21" ht="18" customHeight="1">
      <c r="A29" s="23" t="s">
        <v>270</v>
      </c>
      <c r="B29" s="19" t="s">
        <v>271</v>
      </c>
      <c r="C29" s="21" t="s">
        <v>176</v>
      </c>
      <c r="D29" s="21" t="s">
        <v>272</v>
      </c>
      <c r="E29" s="21" t="str">
        <f t="shared" si="1"/>
        <v>Plant Operation (Indirect Mfg)</v>
      </c>
      <c r="J29" s="86" t="s">
        <v>63</v>
      </c>
      <c r="K29" s="87">
        <v>7571101</v>
      </c>
      <c r="L29" s="88" t="s">
        <v>7</v>
      </c>
      <c r="M29" s="89" t="str">
        <f t="shared" si="0"/>
        <v>SGA-7571101</v>
      </c>
      <c r="N29" s="88" t="s">
        <v>64</v>
      </c>
      <c r="O29" s="86" t="s">
        <v>65</v>
      </c>
      <c r="Q29" s="96" t="s">
        <v>268</v>
      </c>
      <c r="R29" s="19" t="s">
        <v>269</v>
      </c>
      <c r="S29" s="92" t="s">
        <v>176</v>
      </c>
      <c r="T29" s="92" t="s">
        <v>243</v>
      </c>
      <c r="U29" s="92" t="str">
        <f t="shared" si="2"/>
        <v>PC PD- QC</v>
      </c>
    </row>
    <row r="30" spans="1:21" ht="18" customHeight="1">
      <c r="A30" s="23" t="s">
        <v>273</v>
      </c>
      <c r="B30" s="19" t="s">
        <v>274</v>
      </c>
      <c r="C30" s="21" t="s">
        <v>176</v>
      </c>
      <c r="D30" s="21" t="s">
        <v>272</v>
      </c>
      <c r="E30" s="21" t="str">
        <f t="shared" si="1"/>
        <v>Production Office</v>
      </c>
      <c r="J30" s="86" t="s">
        <v>66</v>
      </c>
      <c r="K30" s="87">
        <v>7611100</v>
      </c>
      <c r="L30" s="88" t="s">
        <v>7</v>
      </c>
      <c r="M30" s="89" t="str">
        <f t="shared" si="0"/>
        <v>SGA-7611100</v>
      </c>
      <c r="N30" s="88" t="s">
        <v>67</v>
      </c>
      <c r="O30" s="86" t="s">
        <v>68</v>
      </c>
      <c r="Q30" s="96" t="s">
        <v>270</v>
      </c>
      <c r="R30" s="19" t="s">
        <v>271</v>
      </c>
      <c r="S30" s="92" t="s">
        <v>176</v>
      </c>
      <c r="T30" s="92" t="s">
        <v>272</v>
      </c>
      <c r="U30" s="92" t="str">
        <f t="shared" si="2"/>
        <v>Plant Operation (Indirect Mfg)</v>
      </c>
    </row>
    <row r="31" spans="1:21" ht="18" customHeight="1">
      <c r="A31" s="23" t="s">
        <v>275</v>
      </c>
      <c r="B31" s="19" t="s">
        <v>276</v>
      </c>
      <c r="C31" s="21" t="s">
        <v>176</v>
      </c>
      <c r="D31" s="21" t="s">
        <v>272</v>
      </c>
      <c r="E31" s="21" t="str">
        <f t="shared" si="1"/>
        <v>Production Office (SP)</v>
      </c>
      <c r="J31" s="86" t="s">
        <v>69</v>
      </c>
      <c r="K31" s="87">
        <v>7611300</v>
      </c>
      <c r="L31" s="88" t="s">
        <v>7</v>
      </c>
      <c r="M31" s="89" t="str">
        <f t="shared" si="0"/>
        <v>SGA-7611300</v>
      </c>
      <c r="N31" s="88" t="s">
        <v>67</v>
      </c>
      <c r="O31" s="86" t="s">
        <v>70</v>
      </c>
      <c r="Q31" s="96" t="s">
        <v>273</v>
      </c>
      <c r="R31" s="19" t="s">
        <v>274</v>
      </c>
      <c r="S31" s="92" t="s">
        <v>176</v>
      </c>
      <c r="T31" s="92" t="s">
        <v>272</v>
      </c>
      <c r="U31" s="92" t="str">
        <f t="shared" si="2"/>
        <v>Production Office</v>
      </c>
    </row>
    <row r="32" spans="1:21" ht="18" customHeight="1">
      <c r="A32" s="23" t="s">
        <v>277</v>
      </c>
      <c r="B32" s="19" t="s">
        <v>278</v>
      </c>
      <c r="C32" s="21" t="s">
        <v>176</v>
      </c>
      <c r="D32" s="21" t="s">
        <v>272</v>
      </c>
      <c r="E32" s="21" t="str">
        <f t="shared" si="1"/>
        <v>Production Office (PC)</v>
      </c>
      <c r="J32" s="86" t="s">
        <v>543</v>
      </c>
      <c r="K32" s="87">
        <v>7611400</v>
      </c>
      <c r="L32" s="88" t="s">
        <v>7</v>
      </c>
      <c r="M32" s="89" t="str">
        <f t="shared" si="0"/>
        <v>SGA-7611400</v>
      </c>
      <c r="N32" s="88" t="s">
        <v>67</v>
      </c>
      <c r="O32" s="86" t="s">
        <v>544</v>
      </c>
      <c r="Q32" s="96" t="s">
        <v>275</v>
      </c>
      <c r="R32" s="19" t="s">
        <v>276</v>
      </c>
      <c r="S32" s="92" t="s">
        <v>176</v>
      </c>
      <c r="T32" s="92" t="s">
        <v>272</v>
      </c>
      <c r="U32" s="92" t="str">
        <f t="shared" si="2"/>
        <v>Production Office (SP)</v>
      </c>
    </row>
    <row r="33" spans="1:21" ht="18" customHeight="1">
      <c r="A33" s="23" t="s">
        <v>279</v>
      </c>
      <c r="B33" s="19" t="s">
        <v>280</v>
      </c>
      <c r="C33" s="21" t="s">
        <v>176</v>
      </c>
      <c r="D33" s="21" t="s">
        <v>272</v>
      </c>
      <c r="E33" s="21" t="str">
        <f t="shared" si="1"/>
        <v>Quality Assurance</v>
      </c>
      <c r="J33" s="86" t="s">
        <v>71</v>
      </c>
      <c r="K33" s="87">
        <v>7611500</v>
      </c>
      <c r="L33" s="88" t="s">
        <v>7</v>
      </c>
      <c r="M33" s="89" t="str">
        <f t="shared" si="0"/>
        <v>SGA-7611500</v>
      </c>
      <c r="N33" s="88" t="s">
        <v>67</v>
      </c>
      <c r="O33" s="86" t="s">
        <v>72</v>
      </c>
      <c r="Q33" s="96" t="s">
        <v>277</v>
      </c>
      <c r="R33" s="19" t="s">
        <v>278</v>
      </c>
      <c r="S33" s="92" t="s">
        <v>176</v>
      </c>
      <c r="T33" s="92" t="s">
        <v>272</v>
      </c>
      <c r="U33" s="92" t="str">
        <f t="shared" si="2"/>
        <v>Production Office (PC)</v>
      </c>
    </row>
    <row r="34" spans="1:21" ht="18" customHeight="1">
      <c r="A34" s="23" t="s">
        <v>281</v>
      </c>
      <c r="B34" s="19" t="s">
        <v>282</v>
      </c>
      <c r="C34" s="21" t="s">
        <v>176</v>
      </c>
      <c r="D34" s="21" t="s">
        <v>272</v>
      </c>
      <c r="E34" s="21" t="str">
        <f t="shared" si="1"/>
        <v>Quality Control</v>
      </c>
      <c r="J34" s="86" t="s">
        <v>73</v>
      </c>
      <c r="K34" s="87">
        <v>7611600</v>
      </c>
      <c r="L34" s="88" t="s">
        <v>7</v>
      </c>
      <c r="M34" s="89" t="str">
        <f t="shared" si="0"/>
        <v>SGA-7611600</v>
      </c>
      <c r="N34" s="88" t="s">
        <v>67</v>
      </c>
      <c r="O34" s="86" t="s">
        <v>74</v>
      </c>
      <c r="Q34" s="96" t="s">
        <v>279</v>
      </c>
      <c r="R34" s="19" t="s">
        <v>280</v>
      </c>
      <c r="S34" s="92" t="s">
        <v>176</v>
      </c>
      <c r="T34" s="92" t="s">
        <v>272</v>
      </c>
      <c r="U34" s="92" t="str">
        <f t="shared" si="2"/>
        <v>Quality Assurance</v>
      </c>
    </row>
    <row r="35" spans="1:21" ht="18" customHeight="1">
      <c r="A35" s="23" t="s">
        <v>283</v>
      </c>
      <c r="B35" s="19" t="s">
        <v>284</v>
      </c>
      <c r="C35" s="21" t="s">
        <v>176</v>
      </c>
      <c r="D35" s="21" t="s">
        <v>272</v>
      </c>
      <c r="E35" s="21" t="str">
        <f t="shared" si="1"/>
        <v>Maintenance</v>
      </c>
      <c r="J35" s="86" t="s">
        <v>75</v>
      </c>
      <c r="K35" s="87">
        <v>7611700</v>
      </c>
      <c r="L35" s="88" t="s">
        <v>7</v>
      </c>
      <c r="M35" s="89" t="str">
        <f t="shared" si="0"/>
        <v>SGA-7611700</v>
      </c>
      <c r="N35" s="88" t="s">
        <v>67</v>
      </c>
      <c r="O35" s="86" t="s">
        <v>76</v>
      </c>
      <c r="Q35" s="96" t="s">
        <v>281</v>
      </c>
      <c r="R35" s="19" t="s">
        <v>282</v>
      </c>
      <c r="S35" s="92" t="s">
        <v>176</v>
      </c>
      <c r="T35" s="92" t="s">
        <v>272</v>
      </c>
      <c r="U35" s="92" t="str">
        <f t="shared" si="2"/>
        <v>Quality Control</v>
      </c>
    </row>
    <row r="36" spans="1:21" ht="18" customHeight="1">
      <c r="A36" s="23" t="s">
        <v>285</v>
      </c>
      <c r="B36" s="19" t="s">
        <v>286</v>
      </c>
      <c r="C36" s="21" t="s">
        <v>176</v>
      </c>
      <c r="D36" s="21" t="s">
        <v>272</v>
      </c>
      <c r="E36" s="21" t="str">
        <f t="shared" si="1"/>
        <v>Production Engineering</v>
      </c>
      <c r="J36" s="86" t="s">
        <v>545</v>
      </c>
      <c r="K36" s="87">
        <v>7611800</v>
      </c>
      <c r="L36" s="88" t="s">
        <v>7</v>
      </c>
      <c r="M36" s="89" t="str">
        <f t="shared" si="0"/>
        <v>SGA-7611800</v>
      </c>
      <c r="N36" s="88" t="s">
        <v>67</v>
      </c>
      <c r="O36" s="86" t="s">
        <v>546</v>
      </c>
      <c r="Q36" s="96" t="s">
        <v>283</v>
      </c>
      <c r="R36" s="19" t="s">
        <v>284</v>
      </c>
      <c r="S36" s="92" t="s">
        <v>176</v>
      </c>
      <c r="T36" s="92" t="s">
        <v>272</v>
      </c>
      <c r="U36" s="92" t="str">
        <f t="shared" si="2"/>
        <v>Maintenance</v>
      </c>
    </row>
    <row r="37" spans="1:21" ht="18" customHeight="1">
      <c r="A37" s="18" t="s">
        <v>287</v>
      </c>
      <c r="B37" s="19" t="s">
        <v>288</v>
      </c>
      <c r="C37" s="21" t="s">
        <v>176</v>
      </c>
      <c r="D37" s="21" t="s">
        <v>272</v>
      </c>
      <c r="E37" s="21" t="str">
        <f t="shared" si="1"/>
        <v>Supply Procurement</v>
      </c>
      <c r="J37" s="86" t="s">
        <v>77</v>
      </c>
      <c r="K37" s="87">
        <v>7621101</v>
      </c>
      <c r="L37" s="88" t="s">
        <v>7</v>
      </c>
      <c r="M37" s="89" t="str">
        <f t="shared" si="0"/>
        <v>SGA-7621101</v>
      </c>
      <c r="N37" s="88" t="s">
        <v>78</v>
      </c>
      <c r="O37" s="86" t="s">
        <v>79</v>
      </c>
      <c r="Q37" s="96" t="s">
        <v>285</v>
      </c>
      <c r="R37" s="19" t="s">
        <v>286</v>
      </c>
      <c r="S37" s="92" t="s">
        <v>176</v>
      </c>
      <c r="T37" s="92" t="s">
        <v>272</v>
      </c>
      <c r="U37" s="92" t="str">
        <f t="shared" si="2"/>
        <v>Production Engineering</v>
      </c>
    </row>
    <row r="38" spans="1:21" ht="18" customHeight="1">
      <c r="A38" s="18" t="s">
        <v>289</v>
      </c>
      <c r="B38" s="19" t="s">
        <v>290</v>
      </c>
      <c r="C38" s="21" t="s">
        <v>176</v>
      </c>
      <c r="D38" s="21" t="s">
        <v>272</v>
      </c>
      <c r="E38" s="21" t="str">
        <f t="shared" si="1"/>
        <v>Inventory Control</v>
      </c>
      <c r="J38" s="86" t="s">
        <v>80</v>
      </c>
      <c r="K38" s="87">
        <v>7621199</v>
      </c>
      <c r="L38" s="88" t="s">
        <v>7</v>
      </c>
      <c r="M38" s="89" t="str">
        <f t="shared" si="0"/>
        <v>SGA-7621199</v>
      </c>
      <c r="N38" s="88" t="s">
        <v>81</v>
      </c>
      <c r="O38" s="86" t="s">
        <v>82</v>
      </c>
      <c r="Q38" s="18" t="s">
        <v>287</v>
      </c>
      <c r="R38" s="19" t="s">
        <v>288</v>
      </c>
      <c r="S38" s="92" t="s">
        <v>176</v>
      </c>
      <c r="T38" s="92" t="s">
        <v>272</v>
      </c>
      <c r="U38" s="92" t="str">
        <f t="shared" si="2"/>
        <v>Supply Procurement</v>
      </c>
    </row>
    <row r="39" spans="1:21" ht="18" customHeight="1">
      <c r="A39" s="18" t="s">
        <v>291</v>
      </c>
      <c r="B39" s="19" t="s">
        <v>292</v>
      </c>
      <c r="C39" s="21" t="s">
        <v>176</v>
      </c>
      <c r="D39" s="21" t="s">
        <v>272</v>
      </c>
      <c r="E39" s="21" t="str">
        <f t="shared" si="1"/>
        <v>WH Dept.- KD &amp; RM</v>
      </c>
      <c r="J39" s="86" t="s">
        <v>83</v>
      </c>
      <c r="K39" s="87">
        <v>7631101</v>
      </c>
      <c r="L39" s="88" t="s">
        <v>7</v>
      </c>
      <c r="M39" s="89" t="str">
        <f t="shared" si="0"/>
        <v>SGA-7631101</v>
      </c>
      <c r="N39" s="88" t="s">
        <v>84</v>
      </c>
      <c r="O39" s="86" t="s">
        <v>85</v>
      </c>
      <c r="Q39" s="18" t="s">
        <v>289</v>
      </c>
      <c r="R39" s="19" t="s">
        <v>290</v>
      </c>
      <c r="S39" s="92" t="s">
        <v>176</v>
      </c>
      <c r="T39" s="92" t="s">
        <v>272</v>
      </c>
      <c r="U39" s="92" t="str">
        <f t="shared" si="2"/>
        <v>Inventory Control</v>
      </c>
    </row>
    <row r="40" spans="1:21" ht="18" customHeight="1">
      <c r="A40" s="18" t="s">
        <v>291</v>
      </c>
      <c r="B40" s="19" t="s">
        <v>292</v>
      </c>
      <c r="C40" s="21" t="s">
        <v>176</v>
      </c>
      <c r="D40" s="21" t="s">
        <v>272</v>
      </c>
      <c r="E40" s="21" t="str">
        <f t="shared" si="1"/>
        <v>WH Dept.- KD &amp; RM</v>
      </c>
      <c r="J40" s="86" t="s">
        <v>86</v>
      </c>
      <c r="K40" s="87">
        <v>7631102</v>
      </c>
      <c r="L40" s="88" t="s">
        <v>7</v>
      </c>
      <c r="M40" s="89" t="str">
        <f t="shared" si="0"/>
        <v>SGA-7631102</v>
      </c>
      <c r="N40" s="88" t="s">
        <v>87</v>
      </c>
      <c r="O40" s="86" t="s">
        <v>88</v>
      </c>
      <c r="Q40" s="97" t="s">
        <v>293</v>
      </c>
      <c r="R40" s="98" t="s">
        <v>294</v>
      </c>
      <c r="S40" s="99" t="s">
        <v>7</v>
      </c>
      <c r="T40" s="99" t="s">
        <v>210</v>
      </c>
      <c r="U40" s="99" t="str">
        <f t="shared" si="2"/>
        <v>SCM - FG WH</v>
      </c>
    </row>
    <row r="41" spans="1:21" ht="18" customHeight="1">
      <c r="A41" s="18" t="s">
        <v>293</v>
      </c>
      <c r="B41" s="19" t="s">
        <v>294</v>
      </c>
      <c r="C41" s="20" t="s">
        <v>7</v>
      </c>
      <c r="D41" s="21" t="s">
        <v>210</v>
      </c>
      <c r="E41" s="21" t="str">
        <f t="shared" si="1"/>
        <v>SCM - FG WH</v>
      </c>
      <c r="J41" s="86" t="s">
        <v>89</v>
      </c>
      <c r="K41" s="87">
        <v>7641101</v>
      </c>
      <c r="L41" s="88" t="s">
        <v>7</v>
      </c>
      <c r="M41" s="89" t="str">
        <f t="shared" si="0"/>
        <v>SGA-7641101</v>
      </c>
      <c r="N41" s="88" t="s">
        <v>90</v>
      </c>
      <c r="O41" s="86" t="s">
        <v>91</v>
      </c>
      <c r="Q41" s="18" t="s">
        <v>291</v>
      </c>
      <c r="R41" s="19" t="s">
        <v>292</v>
      </c>
      <c r="S41" s="92" t="s">
        <v>176</v>
      </c>
      <c r="T41" s="92" t="s">
        <v>272</v>
      </c>
      <c r="U41" s="92" t="str">
        <f t="shared" si="2"/>
        <v>WH Dept.- KD &amp; RM</v>
      </c>
    </row>
    <row r="42" spans="1:21" ht="18" customHeight="1">
      <c r="A42" s="18" t="s">
        <v>291</v>
      </c>
      <c r="B42" s="19" t="s">
        <v>292</v>
      </c>
      <c r="C42" s="21" t="s">
        <v>176</v>
      </c>
      <c r="D42" s="21" t="s">
        <v>272</v>
      </c>
      <c r="E42" s="21" t="str">
        <f t="shared" si="1"/>
        <v>WH Dept.- KD &amp; RM</v>
      </c>
      <c r="J42" s="86" t="s">
        <v>92</v>
      </c>
      <c r="K42" s="87">
        <v>7641102</v>
      </c>
      <c r="L42" s="88" t="s">
        <v>7</v>
      </c>
      <c r="M42" s="89" t="str">
        <f t="shared" si="0"/>
        <v>SGA-7641102</v>
      </c>
      <c r="N42" s="88" t="s">
        <v>90</v>
      </c>
      <c r="O42" s="86" t="s">
        <v>93</v>
      </c>
      <c r="Q42" s="18" t="s">
        <v>295</v>
      </c>
      <c r="R42" s="19" t="s">
        <v>296</v>
      </c>
      <c r="S42" s="92" t="s">
        <v>176</v>
      </c>
      <c r="T42" s="92" t="s">
        <v>272</v>
      </c>
      <c r="U42" s="92" t="str">
        <f t="shared" si="2"/>
        <v>Continuous Improvement</v>
      </c>
    </row>
    <row r="43" spans="1:21" ht="18" customHeight="1">
      <c r="A43" s="18" t="s">
        <v>295</v>
      </c>
      <c r="B43" s="19" t="s">
        <v>296</v>
      </c>
      <c r="C43" s="21" t="s">
        <v>176</v>
      </c>
      <c r="D43" s="21" t="s">
        <v>272</v>
      </c>
      <c r="E43" s="21" t="str">
        <f t="shared" si="1"/>
        <v>Continuous Improvement</v>
      </c>
      <c r="J43" s="86" t="s">
        <v>94</v>
      </c>
      <c r="K43" s="87">
        <v>7641103</v>
      </c>
      <c r="L43" s="88" t="s">
        <v>7</v>
      </c>
      <c r="M43" s="89" t="str">
        <f t="shared" si="0"/>
        <v>SGA-7641103</v>
      </c>
      <c r="N43" s="88" t="s">
        <v>95</v>
      </c>
      <c r="O43" s="86" t="s">
        <v>96</v>
      </c>
      <c r="Q43" s="86" t="s">
        <v>547</v>
      </c>
      <c r="R43" s="87" t="s">
        <v>548</v>
      </c>
      <c r="U43" s="86" t="str">
        <f t="shared" si="2"/>
        <v>All</v>
      </c>
    </row>
    <row r="44" spans="1:21" ht="18" customHeight="1">
      <c r="J44" s="86" t="s">
        <v>97</v>
      </c>
      <c r="K44" s="87">
        <v>7641104</v>
      </c>
      <c r="L44" s="88" t="s">
        <v>7</v>
      </c>
      <c r="M44" s="89" t="str">
        <f t="shared" si="0"/>
        <v>SGA-7641104</v>
      </c>
      <c r="N44" s="88" t="s">
        <v>95</v>
      </c>
      <c r="O44" s="86" t="s">
        <v>98</v>
      </c>
    </row>
    <row r="45" spans="1:21" ht="18" customHeight="1">
      <c r="J45" s="86" t="s">
        <v>99</v>
      </c>
      <c r="K45" s="87">
        <v>7651101</v>
      </c>
      <c r="L45" s="88" t="s">
        <v>7</v>
      </c>
      <c r="M45" s="89" t="str">
        <f t="shared" si="0"/>
        <v>SGA-7651101</v>
      </c>
      <c r="N45" s="88" t="s">
        <v>78</v>
      </c>
      <c r="O45" s="86" t="s">
        <v>100</v>
      </c>
    </row>
    <row r="46" spans="1:21" ht="18" customHeight="1">
      <c r="J46" s="86" t="s">
        <v>101</v>
      </c>
      <c r="K46" s="87">
        <v>7651102</v>
      </c>
      <c r="L46" s="88" t="s">
        <v>7</v>
      </c>
      <c r="M46" s="89" t="str">
        <f t="shared" si="0"/>
        <v>SGA-7651102</v>
      </c>
      <c r="N46" s="88" t="s">
        <v>78</v>
      </c>
      <c r="O46" s="86" t="s">
        <v>102</v>
      </c>
    </row>
    <row r="47" spans="1:21" ht="18" customHeight="1">
      <c r="J47" s="86" t="s">
        <v>103</v>
      </c>
      <c r="K47" s="87">
        <v>7651103</v>
      </c>
      <c r="L47" s="88" t="s">
        <v>7</v>
      </c>
      <c r="M47" s="89" t="str">
        <f t="shared" si="0"/>
        <v>SGA-7651103</v>
      </c>
      <c r="N47" s="88" t="s">
        <v>78</v>
      </c>
      <c r="O47" s="86" t="s">
        <v>104</v>
      </c>
    </row>
    <row r="48" spans="1:21" ht="18" customHeight="1">
      <c r="J48" s="86" t="s">
        <v>105</v>
      </c>
      <c r="K48" s="87">
        <v>7661101</v>
      </c>
      <c r="L48" s="88" t="s">
        <v>7</v>
      </c>
      <c r="M48" s="89" t="str">
        <f t="shared" si="0"/>
        <v>SGA-7661101</v>
      </c>
      <c r="N48" s="88" t="s">
        <v>106</v>
      </c>
      <c r="O48" s="86" t="s">
        <v>107</v>
      </c>
    </row>
    <row r="49" spans="10:15" ht="18" customHeight="1">
      <c r="J49" s="86" t="s">
        <v>108</v>
      </c>
      <c r="K49" s="87">
        <v>7671102</v>
      </c>
      <c r="L49" s="88" t="s">
        <v>7</v>
      </c>
      <c r="M49" s="89" t="str">
        <f t="shared" si="0"/>
        <v>SGA-7671102</v>
      </c>
      <c r="N49" s="88" t="s">
        <v>95</v>
      </c>
      <c r="O49" s="86" t="s">
        <v>109</v>
      </c>
    </row>
    <row r="50" spans="10:15" ht="18" customHeight="1">
      <c r="J50" s="86" t="s">
        <v>110</v>
      </c>
      <c r="K50" s="87">
        <v>7671103</v>
      </c>
      <c r="L50" s="88" t="s">
        <v>7</v>
      </c>
      <c r="M50" s="89" t="str">
        <f t="shared" si="0"/>
        <v>SGA-7671103</v>
      </c>
      <c r="N50" s="88" t="s">
        <v>95</v>
      </c>
      <c r="O50" s="86" t="s">
        <v>111</v>
      </c>
    </row>
    <row r="51" spans="10:15" ht="18" customHeight="1">
      <c r="J51" s="86" t="s">
        <v>112</v>
      </c>
      <c r="K51" s="87">
        <v>7681101</v>
      </c>
      <c r="L51" s="88" t="s">
        <v>7</v>
      </c>
      <c r="M51" s="89" t="str">
        <f t="shared" si="0"/>
        <v>SGA-7681101</v>
      </c>
      <c r="N51" s="88" t="s">
        <v>95</v>
      </c>
      <c r="O51" s="86" t="s">
        <v>113</v>
      </c>
    </row>
    <row r="52" spans="10:15" ht="18" customHeight="1">
      <c r="J52" s="86" t="s">
        <v>114</v>
      </c>
      <c r="K52" s="87">
        <v>7691000</v>
      </c>
      <c r="L52" s="88" t="s">
        <v>7</v>
      </c>
      <c r="M52" s="89" t="str">
        <f t="shared" si="0"/>
        <v>SGA-7691000</v>
      </c>
      <c r="N52" s="88" t="s">
        <v>95</v>
      </c>
      <c r="O52" s="86" t="s">
        <v>115</v>
      </c>
    </row>
    <row r="53" spans="10:15" ht="18" customHeight="1">
      <c r="J53" s="86" t="s">
        <v>116</v>
      </c>
      <c r="K53" s="87">
        <v>7711101</v>
      </c>
      <c r="L53" s="88" t="s">
        <v>7</v>
      </c>
      <c r="M53" s="89" t="str">
        <f t="shared" si="0"/>
        <v>SGA-7711101</v>
      </c>
      <c r="N53" s="88" t="s">
        <v>95</v>
      </c>
      <c r="O53" s="86" t="s">
        <v>117</v>
      </c>
    </row>
    <row r="54" spans="10:15" ht="18" customHeight="1">
      <c r="J54" s="86" t="s">
        <v>118</v>
      </c>
      <c r="K54" s="87">
        <v>7711102</v>
      </c>
      <c r="L54" s="88" t="s">
        <v>7</v>
      </c>
      <c r="M54" s="89" t="str">
        <f t="shared" si="0"/>
        <v>SGA-7711102</v>
      </c>
      <c r="N54" s="88" t="s">
        <v>119</v>
      </c>
      <c r="O54" s="86" t="s">
        <v>120</v>
      </c>
    </row>
    <row r="55" spans="10:15" ht="18" customHeight="1">
      <c r="J55" s="86" t="s">
        <v>121</v>
      </c>
      <c r="K55" s="87">
        <v>7711103</v>
      </c>
      <c r="L55" s="88" t="s">
        <v>7</v>
      </c>
      <c r="M55" s="89" t="str">
        <f t="shared" si="0"/>
        <v>SGA-7711103</v>
      </c>
      <c r="N55" s="88" t="s">
        <v>95</v>
      </c>
      <c r="O55" s="86" t="s">
        <v>122</v>
      </c>
    </row>
    <row r="56" spans="10:15" ht="18" customHeight="1">
      <c r="J56" s="86" t="s">
        <v>549</v>
      </c>
      <c r="K56" s="87">
        <v>7721101</v>
      </c>
      <c r="L56" s="88" t="s">
        <v>7</v>
      </c>
      <c r="M56" s="89" t="str">
        <f t="shared" si="0"/>
        <v>SGA-7721101</v>
      </c>
      <c r="N56" s="88" t="s">
        <v>95</v>
      </c>
      <c r="O56" s="86" t="s">
        <v>550</v>
      </c>
    </row>
    <row r="57" spans="10:15" ht="18" customHeight="1">
      <c r="J57" s="86" t="s">
        <v>123</v>
      </c>
      <c r="K57" s="87">
        <v>7729101</v>
      </c>
      <c r="L57" s="88" t="s">
        <v>7</v>
      </c>
      <c r="M57" s="89" t="str">
        <f t="shared" si="0"/>
        <v>SGA-7729101</v>
      </c>
      <c r="N57" s="88" t="s">
        <v>124</v>
      </c>
      <c r="O57" s="86" t="s">
        <v>125</v>
      </c>
    </row>
    <row r="58" spans="10:15" ht="18" customHeight="1">
      <c r="J58" s="86" t="s">
        <v>126</v>
      </c>
      <c r="K58" s="87">
        <v>7729103</v>
      </c>
      <c r="L58" s="88" t="s">
        <v>7</v>
      </c>
      <c r="M58" s="89" t="str">
        <f t="shared" si="0"/>
        <v>SGA-7729103</v>
      </c>
      <c r="N58" s="88" t="s">
        <v>127</v>
      </c>
      <c r="O58" s="86" t="s">
        <v>128</v>
      </c>
    </row>
    <row r="59" spans="10:15" ht="18" customHeight="1">
      <c r="J59" s="86" t="s">
        <v>129</v>
      </c>
      <c r="K59" s="87">
        <v>7729105</v>
      </c>
      <c r="L59" s="88" t="s">
        <v>7</v>
      </c>
      <c r="M59" s="89" t="str">
        <f t="shared" si="0"/>
        <v>SGA-7729105</v>
      </c>
      <c r="N59" s="88" t="s">
        <v>95</v>
      </c>
      <c r="O59" s="86" t="s">
        <v>130</v>
      </c>
    </row>
    <row r="60" spans="10:15" ht="18" customHeight="1">
      <c r="J60" s="86" t="s">
        <v>131</v>
      </c>
      <c r="K60" s="87">
        <v>7781101</v>
      </c>
      <c r="L60" s="88" t="s">
        <v>7</v>
      </c>
      <c r="M60" s="89" t="str">
        <f t="shared" si="0"/>
        <v>SGA-7781101</v>
      </c>
      <c r="N60" s="88" t="s">
        <v>95</v>
      </c>
      <c r="O60" s="86" t="s">
        <v>132</v>
      </c>
    </row>
    <row r="61" spans="10:15" ht="18" customHeight="1">
      <c r="J61" s="86" t="s">
        <v>133</v>
      </c>
      <c r="K61" s="87">
        <v>7781103</v>
      </c>
      <c r="L61" s="88" t="s">
        <v>7</v>
      </c>
      <c r="M61" s="89" t="str">
        <f t="shared" si="0"/>
        <v>SGA-7781103</v>
      </c>
      <c r="N61" s="88" t="s">
        <v>95</v>
      </c>
      <c r="O61" s="86" t="s">
        <v>134</v>
      </c>
    </row>
    <row r="62" spans="10:15" ht="18" customHeight="1">
      <c r="J62" s="86" t="s">
        <v>135</v>
      </c>
      <c r="K62" s="87">
        <v>7781104</v>
      </c>
      <c r="L62" s="88" t="s">
        <v>7</v>
      </c>
      <c r="M62" s="89" t="str">
        <f t="shared" si="0"/>
        <v>SGA-7781104</v>
      </c>
      <c r="N62" s="88" t="s">
        <v>95</v>
      </c>
      <c r="O62" s="86" t="s">
        <v>136</v>
      </c>
    </row>
    <row r="63" spans="10:15" ht="18" customHeight="1">
      <c r="J63" s="86" t="s">
        <v>551</v>
      </c>
      <c r="K63" s="87">
        <v>7781105</v>
      </c>
      <c r="L63" s="88" t="s">
        <v>7</v>
      </c>
      <c r="M63" s="89" t="str">
        <f t="shared" si="0"/>
        <v>SGA-7781105</v>
      </c>
      <c r="N63" s="88" t="s">
        <v>95</v>
      </c>
      <c r="O63" s="86" t="s">
        <v>552</v>
      </c>
    </row>
    <row r="64" spans="10:15" ht="18" customHeight="1">
      <c r="J64" s="86" t="s">
        <v>553</v>
      </c>
      <c r="K64" s="87">
        <v>7781106</v>
      </c>
      <c r="L64" s="88" t="s">
        <v>7</v>
      </c>
      <c r="M64" s="89" t="str">
        <f t="shared" si="0"/>
        <v>SGA-7781106</v>
      </c>
      <c r="N64" s="88" t="s">
        <v>95</v>
      </c>
      <c r="O64" s="86" t="s">
        <v>554</v>
      </c>
    </row>
    <row r="65" spans="10:15" ht="18" customHeight="1">
      <c r="J65" s="86" t="s">
        <v>137</v>
      </c>
      <c r="K65" s="87">
        <v>7781107</v>
      </c>
      <c r="L65" s="88" t="s">
        <v>7</v>
      </c>
      <c r="M65" s="89" t="str">
        <f t="shared" si="0"/>
        <v>SGA-7781107</v>
      </c>
      <c r="N65" s="88" t="s">
        <v>138</v>
      </c>
      <c r="O65" s="86" t="s">
        <v>139</v>
      </c>
    </row>
    <row r="66" spans="10:15" ht="18" customHeight="1">
      <c r="J66" s="86" t="s">
        <v>140</v>
      </c>
      <c r="K66" s="87">
        <v>7781111</v>
      </c>
      <c r="L66" s="88" t="s">
        <v>7</v>
      </c>
      <c r="M66" s="89" t="str">
        <f t="shared" ref="M66:M129" si="3">L66&amp;"-"&amp;K66</f>
        <v>SGA-7781111</v>
      </c>
      <c r="N66" s="88" t="s">
        <v>95</v>
      </c>
      <c r="O66" s="86" t="s">
        <v>141</v>
      </c>
    </row>
    <row r="67" spans="10:15" ht="18" customHeight="1">
      <c r="J67" s="86" t="s">
        <v>142</v>
      </c>
      <c r="K67" s="87">
        <v>7781112</v>
      </c>
      <c r="L67" s="88" t="s">
        <v>7</v>
      </c>
      <c r="M67" s="89" t="str">
        <f t="shared" si="3"/>
        <v>SGA-7781112</v>
      </c>
      <c r="N67" s="88" t="s">
        <v>95</v>
      </c>
      <c r="O67" s="86" t="s">
        <v>143</v>
      </c>
    </row>
    <row r="68" spans="10:15" ht="18" customHeight="1">
      <c r="J68" s="86" t="s">
        <v>144</v>
      </c>
      <c r="K68" s="87">
        <v>7781113</v>
      </c>
      <c r="L68" s="88" t="s">
        <v>7</v>
      </c>
      <c r="M68" s="89" t="str">
        <f t="shared" si="3"/>
        <v>SGA-7781113</v>
      </c>
      <c r="N68" s="88" t="s">
        <v>95</v>
      </c>
      <c r="O68" s="86" t="s">
        <v>145</v>
      </c>
    </row>
    <row r="69" spans="10:15" ht="18" customHeight="1">
      <c r="J69" s="86" t="s">
        <v>146</v>
      </c>
      <c r="K69" s="87">
        <v>7411101</v>
      </c>
      <c r="L69" s="88" t="s">
        <v>7</v>
      </c>
      <c r="M69" s="89" t="str">
        <f t="shared" si="3"/>
        <v>SGA-7411101</v>
      </c>
      <c r="N69" s="88" t="s">
        <v>147</v>
      </c>
      <c r="O69" s="86" t="s">
        <v>148</v>
      </c>
    </row>
    <row r="70" spans="10:15" ht="18" customHeight="1">
      <c r="J70" s="86" t="s">
        <v>149</v>
      </c>
      <c r="K70" s="87">
        <v>7411103</v>
      </c>
      <c r="L70" s="88" t="s">
        <v>7</v>
      </c>
      <c r="M70" s="89" t="str">
        <f t="shared" si="3"/>
        <v>SGA-7411103</v>
      </c>
      <c r="N70" s="88" t="s">
        <v>150</v>
      </c>
      <c r="O70" s="86" t="s">
        <v>151</v>
      </c>
    </row>
    <row r="71" spans="10:15" ht="18" customHeight="1">
      <c r="J71" s="86" t="s">
        <v>152</v>
      </c>
      <c r="K71" s="87">
        <v>7411104</v>
      </c>
      <c r="L71" s="88" t="s">
        <v>7</v>
      </c>
      <c r="M71" s="89" t="str">
        <f t="shared" si="3"/>
        <v>SGA-7411104</v>
      </c>
      <c r="N71" s="88" t="s">
        <v>153</v>
      </c>
      <c r="O71" s="86" t="s">
        <v>154</v>
      </c>
    </row>
    <row r="72" spans="10:15" ht="18" customHeight="1">
      <c r="J72" s="86" t="s">
        <v>155</v>
      </c>
      <c r="K72" s="87">
        <v>7431101</v>
      </c>
      <c r="L72" s="88" t="s">
        <v>7</v>
      </c>
      <c r="M72" s="89" t="str">
        <f t="shared" si="3"/>
        <v>SGA-7431101</v>
      </c>
      <c r="N72" s="88" t="s">
        <v>156</v>
      </c>
      <c r="O72" s="86" t="s">
        <v>157</v>
      </c>
    </row>
    <row r="73" spans="10:15" ht="18" customHeight="1">
      <c r="J73" s="86" t="s">
        <v>158</v>
      </c>
      <c r="K73" s="87">
        <v>7451101</v>
      </c>
      <c r="L73" s="88" t="s">
        <v>7</v>
      </c>
      <c r="M73" s="89" t="str">
        <f t="shared" si="3"/>
        <v>SGA-7451101</v>
      </c>
      <c r="N73" s="88" t="s">
        <v>159</v>
      </c>
      <c r="O73" s="86" t="s">
        <v>160</v>
      </c>
    </row>
    <row r="74" spans="10:15" ht="18" customHeight="1">
      <c r="J74" s="86" t="s">
        <v>161</v>
      </c>
      <c r="K74" s="87">
        <v>7451102</v>
      </c>
      <c r="L74" s="88" t="s">
        <v>7</v>
      </c>
      <c r="M74" s="89" t="str">
        <f t="shared" si="3"/>
        <v>SGA-7451102</v>
      </c>
      <c r="N74" s="88" t="s">
        <v>162</v>
      </c>
      <c r="O74" s="86" t="s">
        <v>163</v>
      </c>
    </row>
    <row r="75" spans="10:15" ht="18" customHeight="1">
      <c r="J75" s="86" t="s">
        <v>164</v>
      </c>
      <c r="K75" s="87">
        <v>7451103</v>
      </c>
      <c r="L75" s="88" t="s">
        <v>7</v>
      </c>
      <c r="M75" s="89" t="str">
        <f t="shared" si="3"/>
        <v>SGA-7451103</v>
      </c>
      <c r="N75" s="88" t="s">
        <v>165</v>
      </c>
      <c r="O75" s="86" t="s">
        <v>166</v>
      </c>
    </row>
    <row r="76" spans="10:15" ht="18" customHeight="1">
      <c r="J76" s="100" t="s">
        <v>167</v>
      </c>
      <c r="K76" s="87">
        <v>7461101</v>
      </c>
      <c r="L76" s="88" t="s">
        <v>7</v>
      </c>
      <c r="M76" s="89" t="str">
        <f t="shared" si="3"/>
        <v>SGA-7461101</v>
      </c>
      <c r="N76" s="88" t="s">
        <v>168</v>
      </c>
      <c r="O76" s="86" t="s">
        <v>169</v>
      </c>
    </row>
    <row r="77" spans="10:15" ht="18" customHeight="1">
      <c r="J77" s="86" t="s">
        <v>170</v>
      </c>
      <c r="K77" s="87">
        <v>7411105</v>
      </c>
      <c r="L77" s="88" t="s">
        <v>7</v>
      </c>
      <c r="M77" s="88" t="str">
        <f t="shared" si="3"/>
        <v>SGA-7411105</v>
      </c>
      <c r="N77" s="101" t="s">
        <v>555</v>
      </c>
    </row>
    <row r="78" spans="10:15" ht="18" customHeight="1">
      <c r="J78" s="86" t="s">
        <v>172</v>
      </c>
      <c r="K78" s="87">
        <v>7471201</v>
      </c>
      <c r="L78" s="88" t="s">
        <v>7</v>
      </c>
      <c r="M78" s="88" t="str">
        <f t="shared" si="3"/>
        <v>SGA-7471201</v>
      </c>
      <c r="N78" s="101" t="s">
        <v>555</v>
      </c>
    </row>
    <row r="79" spans="10:15" ht="18" customHeight="1">
      <c r="J79" s="86" t="s">
        <v>173</v>
      </c>
      <c r="K79" s="87">
        <v>7751101</v>
      </c>
      <c r="L79" s="88" t="s">
        <v>7</v>
      </c>
      <c r="M79" s="88" t="str">
        <f t="shared" si="3"/>
        <v>SGA-7751101</v>
      </c>
    </row>
    <row r="80" spans="10:15" ht="18" customHeight="1">
      <c r="J80" s="86" t="s">
        <v>174</v>
      </c>
      <c r="K80" s="87">
        <v>7751102</v>
      </c>
      <c r="L80" s="88" t="s">
        <v>7</v>
      </c>
      <c r="M80" s="88" t="str">
        <f t="shared" si="3"/>
        <v>SGA-7751102</v>
      </c>
    </row>
    <row r="81" spans="10:15" ht="18" customHeight="1">
      <c r="J81" s="86" t="s">
        <v>175</v>
      </c>
      <c r="K81" s="102">
        <v>7111211</v>
      </c>
      <c r="L81" s="102" t="s">
        <v>176</v>
      </c>
      <c r="M81" s="102" t="str">
        <f t="shared" si="3"/>
        <v>MFG-7111211</v>
      </c>
    </row>
    <row r="82" spans="10:15" ht="18" customHeight="1">
      <c r="J82" s="86" t="s">
        <v>556</v>
      </c>
      <c r="K82" s="102">
        <v>7111212</v>
      </c>
      <c r="L82" s="102" t="s">
        <v>176</v>
      </c>
      <c r="M82" s="102" t="str">
        <f t="shared" si="3"/>
        <v>MFG-7111212</v>
      </c>
    </row>
    <row r="83" spans="10:15" ht="18" customHeight="1">
      <c r="J83" s="86" t="s">
        <v>177</v>
      </c>
      <c r="K83" s="102">
        <v>7111221</v>
      </c>
      <c r="L83" s="102" t="s">
        <v>176</v>
      </c>
      <c r="M83" s="102" t="str">
        <f t="shared" si="3"/>
        <v>MFG-7111221</v>
      </c>
    </row>
    <row r="84" spans="10:15" ht="18" customHeight="1">
      <c r="J84" s="86" t="s">
        <v>178</v>
      </c>
      <c r="K84" s="102">
        <v>7111222</v>
      </c>
      <c r="L84" s="102" t="s">
        <v>176</v>
      </c>
      <c r="M84" s="102" t="str">
        <f t="shared" si="3"/>
        <v>MFG-7111222</v>
      </c>
    </row>
    <row r="85" spans="10:15" ht="18" customHeight="1">
      <c r="J85" s="86" t="s">
        <v>179</v>
      </c>
      <c r="K85" s="102">
        <v>7111223</v>
      </c>
      <c r="L85" s="102" t="s">
        <v>176</v>
      </c>
      <c r="M85" s="102" t="str">
        <f t="shared" si="3"/>
        <v>MFG-7111223</v>
      </c>
    </row>
    <row r="86" spans="10:15" ht="18" customHeight="1">
      <c r="J86" s="86" t="s">
        <v>180</v>
      </c>
      <c r="K86" s="102">
        <v>7111311</v>
      </c>
      <c r="L86" s="102" t="s">
        <v>176</v>
      </c>
      <c r="M86" s="102" t="str">
        <f t="shared" si="3"/>
        <v>MFG-7111311</v>
      </c>
    </row>
    <row r="87" spans="10:15" ht="18" customHeight="1">
      <c r="J87" s="86" t="s">
        <v>557</v>
      </c>
      <c r="K87" s="102">
        <v>7111312</v>
      </c>
      <c r="L87" s="102" t="s">
        <v>176</v>
      </c>
      <c r="M87" s="102" t="str">
        <f t="shared" si="3"/>
        <v>MFG-7111312</v>
      </c>
    </row>
    <row r="88" spans="10:15" ht="18" customHeight="1">
      <c r="J88" s="86" t="s">
        <v>181</v>
      </c>
      <c r="K88" s="102">
        <v>7111321</v>
      </c>
      <c r="L88" s="102" t="s">
        <v>176</v>
      </c>
      <c r="M88" s="102" t="str">
        <f t="shared" si="3"/>
        <v>MFG-7111321</v>
      </c>
    </row>
    <row r="89" spans="10:15" ht="18" customHeight="1">
      <c r="J89" s="86" t="s">
        <v>182</v>
      </c>
      <c r="K89" s="102">
        <v>7111322</v>
      </c>
      <c r="L89" s="102" t="s">
        <v>176</v>
      </c>
      <c r="M89" s="102" t="str">
        <f t="shared" si="3"/>
        <v>MFG-7111322</v>
      </c>
    </row>
    <row r="90" spans="10:15" ht="18" customHeight="1">
      <c r="J90" s="86" t="s">
        <v>183</v>
      </c>
      <c r="K90" s="102">
        <v>7111323</v>
      </c>
      <c r="L90" s="102" t="s">
        <v>176</v>
      </c>
      <c r="M90" s="102" t="str">
        <f t="shared" si="3"/>
        <v>MFG-7111323</v>
      </c>
    </row>
    <row r="91" spans="10:15" ht="18" customHeight="1">
      <c r="J91" s="86" t="s">
        <v>558</v>
      </c>
      <c r="K91" s="102">
        <v>7111411</v>
      </c>
      <c r="L91" s="102" t="s">
        <v>176</v>
      </c>
      <c r="M91" s="102" t="str">
        <f t="shared" si="3"/>
        <v>MFG-7111411</v>
      </c>
    </row>
    <row r="92" spans="10:15" ht="18" customHeight="1">
      <c r="J92" s="86" t="s">
        <v>559</v>
      </c>
      <c r="K92" s="102">
        <v>7151101</v>
      </c>
      <c r="L92" s="102" t="s">
        <v>176</v>
      </c>
      <c r="M92" s="102" t="str">
        <f t="shared" si="3"/>
        <v>MFG-7151101</v>
      </c>
    </row>
    <row r="93" spans="10:15" ht="18" customHeight="1">
      <c r="J93" s="86" t="s">
        <v>560</v>
      </c>
      <c r="K93" s="102">
        <v>7200000</v>
      </c>
      <c r="L93" s="102" t="s">
        <v>176</v>
      </c>
      <c r="M93" s="102" t="str">
        <f t="shared" si="3"/>
        <v>MFG-7200000</v>
      </c>
    </row>
    <row r="94" spans="10:15" ht="18" customHeight="1">
      <c r="J94" s="86" t="s">
        <v>184</v>
      </c>
      <c r="K94" s="102">
        <v>7211101</v>
      </c>
      <c r="L94" s="102" t="s">
        <v>176</v>
      </c>
      <c r="M94" s="102" t="str">
        <f t="shared" si="3"/>
        <v>MFG-7211101</v>
      </c>
    </row>
    <row r="95" spans="10:15" ht="18" customHeight="1">
      <c r="J95" s="86" t="s">
        <v>185</v>
      </c>
      <c r="K95" s="102">
        <v>7211102</v>
      </c>
      <c r="L95" s="102" t="s">
        <v>176</v>
      </c>
      <c r="M95" s="102" t="str">
        <f t="shared" si="3"/>
        <v>MFG-7211102</v>
      </c>
      <c r="N95" s="102">
        <v>901</v>
      </c>
      <c r="O95" s="86" t="s">
        <v>186</v>
      </c>
    </row>
    <row r="96" spans="10:15" ht="18" customHeight="1">
      <c r="J96" s="86" t="s">
        <v>187</v>
      </c>
      <c r="K96" s="102">
        <v>7211103</v>
      </c>
      <c r="L96" s="102" t="s">
        <v>176</v>
      </c>
      <c r="M96" s="102" t="str">
        <f t="shared" si="3"/>
        <v>MFG-7211103</v>
      </c>
      <c r="N96" s="102"/>
    </row>
    <row r="97" spans="10:15" ht="18" customHeight="1">
      <c r="J97" s="86" t="s">
        <v>561</v>
      </c>
      <c r="K97" s="102">
        <v>7211104</v>
      </c>
      <c r="L97" s="102" t="s">
        <v>176</v>
      </c>
      <c r="M97" s="102" t="str">
        <f t="shared" si="3"/>
        <v>MFG-7211104</v>
      </c>
      <c r="N97" s="102">
        <v>302</v>
      </c>
    </row>
    <row r="98" spans="10:15" ht="18" customHeight="1">
      <c r="J98" s="86" t="s">
        <v>188</v>
      </c>
      <c r="K98" s="102">
        <v>7221101</v>
      </c>
      <c r="L98" s="102" t="s">
        <v>176</v>
      </c>
      <c r="M98" s="102" t="str">
        <f t="shared" si="3"/>
        <v>MFG-7221101</v>
      </c>
      <c r="N98" s="102">
        <v>302</v>
      </c>
      <c r="O98" s="86" t="s">
        <v>189</v>
      </c>
    </row>
    <row r="99" spans="10:15" ht="18" customHeight="1">
      <c r="J99" s="86" t="s">
        <v>190</v>
      </c>
      <c r="K99" s="102">
        <v>7221102</v>
      </c>
      <c r="L99" s="102" t="s">
        <v>176</v>
      </c>
      <c r="M99" s="102" t="str">
        <f t="shared" si="3"/>
        <v>MFG-7221102</v>
      </c>
      <c r="N99" s="102">
        <v>301</v>
      </c>
      <c r="O99" s="86" t="s">
        <v>191</v>
      </c>
    </row>
    <row r="100" spans="10:15" ht="18" customHeight="1">
      <c r="J100" s="86" t="s">
        <v>6</v>
      </c>
      <c r="K100" s="102">
        <v>7511101</v>
      </c>
      <c r="L100" s="102" t="s">
        <v>176</v>
      </c>
      <c r="M100" s="102" t="str">
        <f t="shared" si="3"/>
        <v>MFG-7511101</v>
      </c>
      <c r="N100" s="102">
        <v>602</v>
      </c>
      <c r="O100" s="86" t="s">
        <v>6</v>
      </c>
    </row>
    <row r="101" spans="10:15" ht="18" customHeight="1">
      <c r="J101" s="86" t="s">
        <v>9</v>
      </c>
      <c r="K101" s="102">
        <v>7511102</v>
      </c>
      <c r="L101" s="102" t="s">
        <v>176</v>
      </c>
      <c r="M101" s="102" t="str">
        <f t="shared" si="3"/>
        <v>MFG-7511102</v>
      </c>
      <c r="N101" s="102">
        <v>602</v>
      </c>
      <c r="O101" s="86" t="s">
        <v>10</v>
      </c>
    </row>
    <row r="102" spans="10:15" ht="18" customHeight="1">
      <c r="J102" s="86" t="s">
        <v>11</v>
      </c>
      <c r="K102" s="102">
        <v>7511103</v>
      </c>
      <c r="L102" s="102" t="s">
        <v>176</v>
      </c>
      <c r="M102" s="102" t="str">
        <f t="shared" si="3"/>
        <v>MFG-7511103</v>
      </c>
      <c r="N102" s="102">
        <v>601</v>
      </c>
      <c r="O102" s="86" t="s">
        <v>13</v>
      </c>
    </row>
    <row r="103" spans="10:15" ht="18" customHeight="1">
      <c r="J103" s="86" t="s">
        <v>14</v>
      </c>
      <c r="K103" s="102">
        <v>7511111</v>
      </c>
      <c r="L103" s="102" t="s">
        <v>176</v>
      </c>
      <c r="M103" s="102" t="str">
        <f t="shared" si="3"/>
        <v>MFG-7511111</v>
      </c>
      <c r="N103" s="102">
        <v>601</v>
      </c>
      <c r="O103" s="86" t="s">
        <v>15</v>
      </c>
    </row>
    <row r="104" spans="10:15" ht="18" customHeight="1">
      <c r="J104" s="86" t="s">
        <v>16</v>
      </c>
      <c r="K104" s="102">
        <v>7511112</v>
      </c>
      <c r="L104" s="102" t="s">
        <v>176</v>
      </c>
      <c r="M104" s="102" t="str">
        <f t="shared" si="3"/>
        <v>MFG-7511112</v>
      </c>
      <c r="N104" s="102">
        <v>601</v>
      </c>
      <c r="O104" s="86" t="s">
        <v>17</v>
      </c>
    </row>
    <row r="105" spans="10:15" ht="18" customHeight="1">
      <c r="J105" s="86" t="s">
        <v>18</v>
      </c>
      <c r="K105" s="102">
        <v>7511121</v>
      </c>
      <c r="L105" s="102" t="s">
        <v>176</v>
      </c>
      <c r="M105" s="102" t="str">
        <f t="shared" si="3"/>
        <v>MFG-7511121</v>
      </c>
      <c r="N105" s="102">
        <v>601</v>
      </c>
      <c r="O105" s="86" t="s">
        <v>19</v>
      </c>
    </row>
    <row r="106" spans="10:15" ht="18" customHeight="1">
      <c r="J106" s="86" t="s">
        <v>20</v>
      </c>
      <c r="K106" s="102">
        <v>7511122</v>
      </c>
      <c r="L106" s="102" t="s">
        <v>176</v>
      </c>
      <c r="M106" s="102" t="str">
        <f t="shared" si="3"/>
        <v>MFG-7511122</v>
      </c>
      <c r="N106" s="102">
        <v>601</v>
      </c>
      <c r="O106" s="86" t="s">
        <v>21</v>
      </c>
    </row>
    <row r="107" spans="10:15" ht="18" customHeight="1">
      <c r="J107" s="86" t="s">
        <v>22</v>
      </c>
      <c r="K107" s="102">
        <v>7511201</v>
      </c>
      <c r="L107" s="102" t="s">
        <v>176</v>
      </c>
      <c r="M107" s="102" t="str">
        <f t="shared" si="3"/>
        <v>MFG-7511201</v>
      </c>
      <c r="N107" s="102">
        <v>603</v>
      </c>
      <c r="O107" s="86" t="s">
        <v>24</v>
      </c>
    </row>
    <row r="108" spans="10:15" ht="18" customHeight="1">
      <c r="J108" s="86" t="s">
        <v>25</v>
      </c>
      <c r="K108" s="102">
        <v>7512111</v>
      </c>
      <c r="L108" s="102" t="s">
        <v>176</v>
      </c>
      <c r="M108" s="102" t="str">
        <f t="shared" si="3"/>
        <v>MFG-7512111</v>
      </c>
      <c r="N108" s="102">
        <v>604</v>
      </c>
      <c r="O108" s="86" t="s">
        <v>27</v>
      </c>
    </row>
    <row r="109" spans="10:15" ht="18" customHeight="1">
      <c r="J109" s="86" t="s">
        <v>28</v>
      </c>
      <c r="K109" s="102">
        <v>7512112</v>
      </c>
      <c r="L109" s="102" t="s">
        <v>176</v>
      </c>
      <c r="M109" s="102" t="str">
        <f t="shared" si="3"/>
        <v>MFG-7512112</v>
      </c>
      <c r="N109" s="102">
        <v>604</v>
      </c>
      <c r="O109" s="86" t="s">
        <v>29</v>
      </c>
    </row>
    <row r="110" spans="10:15" ht="18" customHeight="1">
      <c r="J110" s="86" t="s">
        <v>30</v>
      </c>
      <c r="K110" s="102">
        <v>7514101</v>
      </c>
      <c r="L110" s="102" t="s">
        <v>176</v>
      </c>
      <c r="M110" s="102" t="str">
        <f t="shared" si="3"/>
        <v>MFG-7514101</v>
      </c>
      <c r="N110" s="102">
        <v>601</v>
      </c>
      <c r="O110" s="86" t="s">
        <v>31</v>
      </c>
    </row>
    <row r="111" spans="10:15" ht="18" customHeight="1">
      <c r="J111" s="86" t="s">
        <v>32</v>
      </c>
      <c r="K111" s="102">
        <v>7514102</v>
      </c>
      <c r="L111" s="102" t="s">
        <v>176</v>
      </c>
      <c r="M111" s="102" t="str">
        <f t="shared" si="3"/>
        <v>MFG-7514102</v>
      </c>
      <c r="N111" s="102">
        <v>601</v>
      </c>
      <c r="O111" s="86" t="s">
        <v>33</v>
      </c>
    </row>
    <row r="112" spans="10:15" ht="18" customHeight="1">
      <c r="J112" s="86" t="s">
        <v>34</v>
      </c>
      <c r="K112" s="102">
        <v>7515401</v>
      </c>
      <c r="L112" s="102" t="s">
        <v>176</v>
      </c>
      <c r="M112" s="102" t="str">
        <f t="shared" si="3"/>
        <v>MFG-7515401</v>
      </c>
      <c r="N112" s="102">
        <v>604</v>
      </c>
      <c r="O112" s="86" t="s">
        <v>35</v>
      </c>
    </row>
    <row r="113" spans="10:15" ht="18" customHeight="1">
      <c r="J113" s="86" t="s">
        <v>36</v>
      </c>
      <c r="K113" s="102">
        <v>7515402</v>
      </c>
      <c r="L113" s="102" t="s">
        <v>176</v>
      </c>
      <c r="M113" s="102" t="str">
        <f t="shared" si="3"/>
        <v>MFG-7515402</v>
      </c>
      <c r="N113" s="102">
        <v>604</v>
      </c>
      <c r="O113" s="86" t="s">
        <v>37</v>
      </c>
    </row>
    <row r="114" spans="10:15" ht="18" customHeight="1">
      <c r="J114" s="86" t="s">
        <v>38</v>
      </c>
      <c r="K114" s="102">
        <v>7515403</v>
      </c>
      <c r="L114" s="102" t="s">
        <v>176</v>
      </c>
      <c r="M114" s="102" t="str">
        <f t="shared" si="3"/>
        <v>MFG-7515403</v>
      </c>
      <c r="N114" s="102">
        <v>604</v>
      </c>
      <c r="O114" s="86" t="s">
        <v>39</v>
      </c>
    </row>
    <row r="115" spans="10:15" ht="18" customHeight="1">
      <c r="J115" s="86" t="s">
        <v>40</v>
      </c>
      <c r="K115" s="102">
        <v>7515404</v>
      </c>
      <c r="L115" s="102" t="s">
        <v>176</v>
      </c>
      <c r="M115" s="102" t="str">
        <f t="shared" si="3"/>
        <v>MFG-7515404</v>
      </c>
      <c r="N115" s="102">
        <v>604</v>
      </c>
      <c r="O115" s="86" t="s">
        <v>41</v>
      </c>
    </row>
    <row r="116" spans="10:15" ht="18" customHeight="1">
      <c r="J116" s="86" t="s">
        <v>42</v>
      </c>
      <c r="K116" s="102">
        <v>7515405</v>
      </c>
      <c r="L116" s="102" t="s">
        <v>176</v>
      </c>
      <c r="M116" s="102" t="str">
        <f t="shared" si="3"/>
        <v>MFG-7515405</v>
      </c>
      <c r="N116" s="102">
        <v>604</v>
      </c>
      <c r="O116" s="86" t="s">
        <v>43</v>
      </c>
    </row>
    <row r="117" spans="10:15" ht="18" customHeight="1">
      <c r="J117" s="86" t="s">
        <v>44</v>
      </c>
      <c r="K117" s="102">
        <v>7515406</v>
      </c>
      <c r="L117" s="102" t="s">
        <v>176</v>
      </c>
      <c r="M117" s="102" t="str">
        <f t="shared" si="3"/>
        <v>MFG-7515406</v>
      </c>
      <c r="N117" s="102">
        <v>604</v>
      </c>
      <c r="O117" s="86" t="s">
        <v>45</v>
      </c>
    </row>
    <row r="118" spans="10:15" ht="18" customHeight="1">
      <c r="J118" s="86" t="s">
        <v>542</v>
      </c>
      <c r="K118" s="102">
        <v>7515407</v>
      </c>
      <c r="L118" s="102" t="s">
        <v>176</v>
      </c>
      <c r="M118" s="102" t="str">
        <f t="shared" si="3"/>
        <v>MFG-7515407</v>
      </c>
      <c r="N118" s="102">
        <v>604</v>
      </c>
    </row>
    <row r="119" spans="10:15" ht="18" customHeight="1">
      <c r="J119" s="86" t="s">
        <v>46</v>
      </c>
      <c r="K119" s="102">
        <v>7515408</v>
      </c>
      <c r="L119" s="102" t="s">
        <v>176</v>
      </c>
      <c r="M119" s="102" t="str">
        <f t="shared" si="3"/>
        <v>MFG-7515408</v>
      </c>
      <c r="N119" s="102">
        <v>604</v>
      </c>
      <c r="O119" s="86" t="s">
        <v>47</v>
      </c>
    </row>
    <row r="120" spans="10:15" ht="18" customHeight="1">
      <c r="J120" s="86" t="s">
        <v>48</v>
      </c>
      <c r="K120" s="102">
        <v>7515409</v>
      </c>
      <c r="L120" s="102" t="s">
        <v>176</v>
      </c>
      <c r="M120" s="102" t="str">
        <f t="shared" si="3"/>
        <v>MFG-7515409</v>
      </c>
      <c r="N120" s="102">
        <v>604</v>
      </c>
      <c r="O120" s="86" t="s">
        <v>49</v>
      </c>
    </row>
    <row r="121" spans="10:15" ht="18" customHeight="1">
      <c r="J121" s="86" t="s">
        <v>50</v>
      </c>
      <c r="K121" s="102">
        <v>7515410</v>
      </c>
      <c r="L121" s="102" t="s">
        <v>176</v>
      </c>
      <c r="M121" s="102" t="str">
        <f t="shared" si="3"/>
        <v>MFG-7515410</v>
      </c>
      <c r="N121" s="102">
        <v>604</v>
      </c>
      <c r="O121" s="86" t="s">
        <v>51</v>
      </c>
    </row>
    <row r="122" spans="10:15" ht="18" customHeight="1">
      <c r="J122" s="86" t="s">
        <v>52</v>
      </c>
      <c r="K122" s="102">
        <v>7515499</v>
      </c>
      <c r="L122" s="102" t="s">
        <v>176</v>
      </c>
      <c r="M122" s="102" t="str">
        <f t="shared" si="3"/>
        <v>MFG-7515499</v>
      </c>
      <c r="N122" s="102">
        <v>604</v>
      </c>
      <c r="O122" s="86" t="s">
        <v>53</v>
      </c>
    </row>
    <row r="123" spans="10:15" ht="18" customHeight="1">
      <c r="J123" s="86" t="s">
        <v>54</v>
      </c>
      <c r="K123" s="102">
        <v>7516102</v>
      </c>
      <c r="L123" s="102" t="s">
        <v>176</v>
      </c>
      <c r="M123" s="102" t="str">
        <f t="shared" si="3"/>
        <v>MFG-7516102</v>
      </c>
      <c r="N123" s="102">
        <v>605</v>
      </c>
      <c r="O123" s="86" t="s">
        <v>56</v>
      </c>
    </row>
    <row r="124" spans="10:15" ht="18" customHeight="1">
      <c r="J124" s="86" t="s">
        <v>57</v>
      </c>
      <c r="K124" s="102">
        <v>7519101</v>
      </c>
      <c r="L124" s="102" t="s">
        <v>176</v>
      </c>
      <c r="M124" s="102" t="str">
        <f t="shared" si="3"/>
        <v>MFG-7519101</v>
      </c>
      <c r="N124" s="102">
        <v>602</v>
      </c>
      <c r="O124" s="86" t="s">
        <v>58</v>
      </c>
    </row>
    <row r="125" spans="10:15" ht="18" customHeight="1">
      <c r="J125" s="86" t="s">
        <v>192</v>
      </c>
      <c r="K125" s="102">
        <v>7521101</v>
      </c>
      <c r="L125" s="102" t="s">
        <v>176</v>
      </c>
      <c r="M125" s="102" t="str">
        <f t="shared" si="3"/>
        <v>MFG-7521101</v>
      </c>
      <c r="N125" s="102">
        <v>601</v>
      </c>
      <c r="O125" s="86" t="s">
        <v>60</v>
      </c>
    </row>
    <row r="126" spans="10:15" ht="18" customHeight="1">
      <c r="J126" s="86" t="s">
        <v>61</v>
      </c>
      <c r="K126" s="102">
        <v>7521102</v>
      </c>
      <c r="L126" s="102" t="s">
        <v>176</v>
      </c>
      <c r="M126" s="102" t="str">
        <f t="shared" si="3"/>
        <v>MFG-7521102</v>
      </c>
      <c r="N126" s="102">
        <v>603</v>
      </c>
      <c r="O126" s="86" t="s">
        <v>62</v>
      </c>
    </row>
    <row r="127" spans="10:15" ht="18" customHeight="1">
      <c r="J127" s="86" t="s">
        <v>63</v>
      </c>
      <c r="K127" s="102">
        <v>7571101</v>
      </c>
      <c r="L127" s="102" t="s">
        <v>176</v>
      </c>
      <c r="M127" s="102" t="str">
        <f t="shared" si="3"/>
        <v>MFG-7571101</v>
      </c>
      <c r="N127" s="102">
        <v>606</v>
      </c>
      <c r="O127" s="86" t="s">
        <v>65</v>
      </c>
    </row>
    <row r="128" spans="10:15" ht="18" customHeight="1">
      <c r="J128" s="86" t="s">
        <v>66</v>
      </c>
      <c r="K128" s="102">
        <v>7611100</v>
      </c>
      <c r="L128" s="102" t="s">
        <v>176</v>
      </c>
      <c r="M128" s="102" t="str">
        <f t="shared" si="3"/>
        <v>MFG-7611100</v>
      </c>
      <c r="N128" s="102">
        <v>701</v>
      </c>
      <c r="O128" s="86" t="s">
        <v>68</v>
      </c>
    </row>
    <row r="129" spans="10:15" ht="18" customHeight="1">
      <c r="J129" s="86" t="s">
        <v>69</v>
      </c>
      <c r="K129" s="102">
        <v>7611300</v>
      </c>
      <c r="L129" s="102" t="s">
        <v>176</v>
      </c>
      <c r="M129" s="102" t="str">
        <f t="shared" si="3"/>
        <v>MFG-7611300</v>
      </c>
      <c r="N129" s="102">
        <v>701</v>
      </c>
      <c r="O129" s="86" t="s">
        <v>70</v>
      </c>
    </row>
    <row r="130" spans="10:15" ht="18" customHeight="1">
      <c r="J130" s="86" t="s">
        <v>543</v>
      </c>
      <c r="K130" s="102">
        <v>7611400</v>
      </c>
      <c r="L130" s="102" t="s">
        <v>176</v>
      </c>
      <c r="M130" s="102" t="str">
        <f t="shared" ref="M130:M172" si="4">L130&amp;"-"&amp;K130</f>
        <v>MFG-7611400</v>
      </c>
      <c r="N130" s="102">
        <v>701</v>
      </c>
      <c r="O130" s="86" t="s">
        <v>544</v>
      </c>
    </row>
    <row r="131" spans="10:15" ht="18" customHeight="1">
      <c r="J131" s="86" t="s">
        <v>71</v>
      </c>
      <c r="K131" s="102">
        <v>7611500</v>
      </c>
      <c r="L131" s="102" t="s">
        <v>176</v>
      </c>
      <c r="M131" s="102" t="str">
        <f t="shared" si="4"/>
        <v>MFG-7611500</v>
      </c>
      <c r="N131" s="102">
        <v>701</v>
      </c>
      <c r="O131" s="86" t="s">
        <v>72</v>
      </c>
    </row>
    <row r="132" spans="10:15" ht="18" customHeight="1">
      <c r="J132" s="86" t="s">
        <v>73</v>
      </c>
      <c r="K132" s="102">
        <v>7611600</v>
      </c>
      <c r="L132" s="102" t="s">
        <v>176</v>
      </c>
      <c r="M132" s="102" t="str">
        <f t="shared" si="4"/>
        <v>MFG-7611600</v>
      </c>
      <c r="N132" s="102">
        <v>701</v>
      </c>
      <c r="O132" s="86" t="s">
        <v>74</v>
      </c>
    </row>
    <row r="133" spans="10:15" ht="18" customHeight="1">
      <c r="J133" s="86" t="s">
        <v>75</v>
      </c>
      <c r="K133" s="102">
        <v>7611700</v>
      </c>
      <c r="L133" s="102" t="s">
        <v>176</v>
      </c>
      <c r="M133" s="102" t="str">
        <f t="shared" si="4"/>
        <v>MFG-7611700</v>
      </c>
      <c r="N133" s="102">
        <v>701</v>
      </c>
      <c r="O133" s="86" t="s">
        <v>76</v>
      </c>
    </row>
    <row r="134" spans="10:15" ht="18" customHeight="1">
      <c r="J134" s="86" t="s">
        <v>545</v>
      </c>
      <c r="K134" s="102">
        <v>7611800</v>
      </c>
      <c r="L134" s="102" t="s">
        <v>176</v>
      </c>
      <c r="M134" s="102" t="str">
        <f t="shared" si="4"/>
        <v>MFG-7611800</v>
      </c>
      <c r="N134" s="102">
        <v>701</v>
      </c>
      <c r="O134" s="86" t="s">
        <v>546</v>
      </c>
    </row>
    <row r="135" spans="10:15" ht="18" customHeight="1">
      <c r="J135" s="86" t="s">
        <v>77</v>
      </c>
      <c r="K135" s="102">
        <v>7621101</v>
      </c>
      <c r="L135" s="102" t="s">
        <v>176</v>
      </c>
      <c r="M135" s="102" t="str">
        <f t="shared" si="4"/>
        <v>MFG-7621101</v>
      </c>
      <c r="N135" s="102">
        <v>903</v>
      </c>
      <c r="O135" s="86" t="s">
        <v>79</v>
      </c>
    </row>
    <row r="136" spans="10:15" ht="18" customHeight="1">
      <c r="J136" s="100" t="s">
        <v>80</v>
      </c>
      <c r="K136" s="103">
        <v>7621199</v>
      </c>
      <c r="L136" s="102" t="s">
        <v>176</v>
      </c>
      <c r="M136" s="102" t="str">
        <f t="shared" si="4"/>
        <v>MFG-7621199</v>
      </c>
      <c r="N136" s="102">
        <v>801</v>
      </c>
      <c r="O136" s="86" t="s">
        <v>82</v>
      </c>
    </row>
    <row r="137" spans="10:15" ht="18" customHeight="1">
      <c r="J137" s="86" t="s">
        <v>83</v>
      </c>
      <c r="K137" s="102">
        <v>7631101</v>
      </c>
      <c r="L137" s="102" t="s">
        <v>176</v>
      </c>
      <c r="M137" s="102" t="str">
        <f t="shared" si="4"/>
        <v>MFG-7631101</v>
      </c>
      <c r="N137" s="102">
        <v>501</v>
      </c>
      <c r="O137" s="86" t="s">
        <v>85</v>
      </c>
    </row>
    <row r="138" spans="10:15" ht="18" customHeight="1">
      <c r="J138" s="86" t="s">
        <v>86</v>
      </c>
      <c r="K138" s="102">
        <v>7631102</v>
      </c>
      <c r="L138" s="102" t="s">
        <v>176</v>
      </c>
      <c r="M138" s="102" t="str">
        <f t="shared" si="4"/>
        <v>MFG-7631102</v>
      </c>
      <c r="N138" s="102">
        <v>502</v>
      </c>
      <c r="O138" s="86" t="s">
        <v>88</v>
      </c>
    </row>
    <row r="139" spans="10:15" ht="18" customHeight="1">
      <c r="J139" s="86" t="s">
        <v>89</v>
      </c>
      <c r="K139" s="102">
        <v>7641101</v>
      </c>
      <c r="L139" s="102" t="s">
        <v>176</v>
      </c>
      <c r="M139" s="102" t="str">
        <f t="shared" si="4"/>
        <v>MFG-7641101</v>
      </c>
      <c r="N139" s="102">
        <v>401</v>
      </c>
      <c r="O139" s="86" t="s">
        <v>91</v>
      </c>
    </row>
    <row r="140" spans="10:15" ht="18" customHeight="1">
      <c r="J140" s="86" t="s">
        <v>92</v>
      </c>
      <c r="K140" s="102">
        <v>7641102</v>
      </c>
      <c r="L140" s="102" t="s">
        <v>176</v>
      </c>
      <c r="M140" s="102" t="str">
        <f t="shared" si="4"/>
        <v>MFG-7641102</v>
      </c>
      <c r="N140" s="102">
        <v>401</v>
      </c>
      <c r="O140" s="86" t="s">
        <v>93</v>
      </c>
    </row>
    <row r="141" spans="10:15" ht="18" customHeight="1">
      <c r="J141" s="86" t="s">
        <v>94</v>
      </c>
      <c r="K141" s="102">
        <v>7641103</v>
      </c>
      <c r="L141" s="102" t="s">
        <v>176</v>
      </c>
      <c r="M141" s="102" t="str">
        <f t="shared" si="4"/>
        <v>MFG-7641103</v>
      </c>
      <c r="N141" s="102">
        <v>902</v>
      </c>
      <c r="O141" s="86" t="s">
        <v>96</v>
      </c>
    </row>
    <row r="142" spans="10:15" ht="18" customHeight="1">
      <c r="J142" s="86" t="s">
        <v>97</v>
      </c>
      <c r="K142" s="102">
        <v>7641104</v>
      </c>
      <c r="L142" s="102" t="s">
        <v>176</v>
      </c>
      <c r="M142" s="102" t="str">
        <f t="shared" si="4"/>
        <v>MFG-7641104</v>
      </c>
      <c r="N142" s="102">
        <v>999</v>
      </c>
      <c r="O142" s="86" t="s">
        <v>98</v>
      </c>
    </row>
    <row r="143" spans="10:15" ht="18" customHeight="1">
      <c r="J143" s="86" t="s">
        <v>99</v>
      </c>
      <c r="K143" s="102">
        <v>7651101</v>
      </c>
      <c r="L143" s="102" t="s">
        <v>176</v>
      </c>
      <c r="M143" s="102" t="str">
        <f t="shared" si="4"/>
        <v>MFG-7651101</v>
      </c>
      <c r="N143" s="102">
        <v>903</v>
      </c>
      <c r="O143" s="86" t="s">
        <v>100</v>
      </c>
    </row>
    <row r="144" spans="10:15" ht="18" customHeight="1">
      <c r="J144" s="86" t="s">
        <v>101</v>
      </c>
      <c r="K144" s="102">
        <v>7651102</v>
      </c>
      <c r="L144" s="102" t="s">
        <v>176</v>
      </c>
      <c r="M144" s="102" t="str">
        <f t="shared" si="4"/>
        <v>MFG-7651102</v>
      </c>
      <c r="N144" s="102">
        <v>903</v>
      </c>
      <c r="O144" s="86" t="s">
        <v>102</v>
      </c>
    </row>
    <row r="145" spans="10:15" ht="18" customHeight="1">
      <c r="J145" s="86" t="s">
        <v>103</v>
      </c>
      <c r="K145" s="102">
        <v>7651103</v>
      </c>
      <c r="L145" s="102" t="s">
        <v>176</v>
      </c>
      <c r="M145" s="102" t="str">
        <f t="shared" si="4"/>
        <v>MFG-7651103</v>
      </c>
      <c r="N145" s="102">
        <v>903</v>
      </c>
      <c r="O145" s="86" t="s">
        <v>104</v>
      </c>
    </row>
    <row r="146" spans="10:15" ht="18" customHeight="1">
      <c r="J146" s="86" t="s">
        <v>105</v>
      </c>
      <c r="K146" s="102">
        <v>7661101</v>
      </c>
      <c r="L146" s="102" t="s">
        <v>176</v>
      </c>
      <c r="M146" s="102" t="str">
        <f t="shared" si="4"/>
        <v>MFG-7661101</v>
      </c>
      <c r="N146" s="102">
        <v>999</v>
      </c>
      <c r="O146" s="86" t="s">
        <v>107</v>
      </c>
    </row>
    <row r="147" spans="10:15" ht="18" customHeight="1">
      <c r="J147" s="86" t="s">
        <v>108</v>
      </c>
      <c r="K147" s="102">
        <v>7671102</v>
      </c>
      <c r="L147" s="102" t="s">
        <v>176</v>
      </c>
      <c r="M147" s="102" t="str">
        <f t="shared" si="4"/>
        <v>MFG-7671102</v>
      </c>
      <c r="N147" s="102">
        <v>999</v>
      </c>
      <c r="O147" s="86" t="s">
        <v>109</v>
      </c>
    </row>
    <row r="148" spans="10:15" ht="18" customHeight="1">
      <c r="J148" s="86" t="s">
        <v>110</v>
      </c>
      <c r="K148" s="102">
        <v>7671103</v>
      </c>
      <c r="L148" s="102" t="s">
        <v>176</v>
      </c>
      <c r="M148" s="102" t="str">
        <f t="shared" si="4"/>
        <v>MFG-7671103</v>
      </c>
      <c r="N148" s="102">
        <v>999</v>
      </c>
      <c r="O148" s="86" t="s">
        <v>111</v>
      </c>
    </row>
    <row r="149" spans="10:15" ht="18" customHeight="1">
      <c r="J149" s="86" t="s">
        <v>112</v>
      </c>
      <c r="K149" s="102">
        <v>7681101</v>
      </c>
      <c r="L149" s="102" t="s">
        <v>176</v>
      </c>
      <c r="M149" s="102" t="str">
        <f t="shared" si="4"/>
        <v>MFG-7681101</v>
      </c>
      <c r="N149" s="102">
        <v>999</v>
      </c>
      <c r="O149" s="86" t="s">
        <v>113</v>
      </c>
    </row>
    <row r="150" spans="10:15" ht="18" customHeight="1">
      <c r="J150" s="86" t="s">
        <v>114</v>
      </c>
      <c r="K150" s="102">
        <v>7691000</v>
      </c>
      <c r="L150" s="102" t="s">
        <v>176</v>
      </c>
      <c r="M150" s="102" t="str">
        <f t="shared" si="4"/>
        <v>MFG-7691000</v>
      </c>
      <c r="N150" s="102">
        <v>999</v>
      </c>
      <c r="O150" s="86" t="s">
        <v>115</v>
      </c>
    </row>
    <row r="151" spans="10:15" ht="18" customHeight="1">
      <c r="J151" s="86" t="s">
        <v>116</v>
      </c>
      <c r="K151" s="102">
        <v>7711101</v>
      </c>
      <c r="L151" s="102" t="s">
        <v>176</v>
      </c>
      <c r="M151" s="102" t="str">
        <f t="shared" si="4"/>
        <v>MFG-7711101</v>
      </c>
      <c r="N151" s="102">
        <v>999</v>
      </c>
      <c r="O151" s="86" t="s">
        <v>117</v>
      </c>
    </row>
    <row r="152" spans="10:15" ht="18" customHeight="1">
      <c r="J152" s="86" t="s">
        <v>118</v>
      </c>
      <c r="K152" s="102">
        <v>7711102</v>
      </c>
      <c r="L152" s="102" t="s">
        <v>176</v>
      </c>
      <c r="M152" s="102" t="str">
        <f t="shared" si="4"/>
        <v>MFG-7711102</v>
      </c>
      <c r="N152" s="102">
        <v>904</v>
      </c>
      <c r="O152" s="86" t="s">
        <v>120</v>
      </c>
    </row>
    <row r="153" spans="10:15" ht="18" customHeight="1">
      <c r="J153" s="86" t="s">
        <v>121</v>
      </c>
      <c r="K153" s="102">
        <v>7711103</v>
      </c>
      <c r="L153" s="102" t="s">
        <v>176</v>
      </c>
      <c r="M153" s="102" t="str">
        <f t="shared" si="4"/>
        <v>MFG-7711103</v>
      </c>
      <c r="N153" s="102">
        <v>999</v>
      </c>
      <c r="O153" s="86" t="s">
        <v>122</v>
      </c>
    </row>
    <row r="154" spans="10:15" ht="18" customHeight="1">
      <c r="J154" s="86" t="s">
        <v>549</v>
      </c>
      <c r="K154" s="102">
        <v>7721101</v>
      </c>
      <c r="L154" s="102" t="s">
        <v>176</v>
      </c>
      <c r="M154" s="102" t="str">
        <f t="shared" si="4"/>
        <v>MFG-7721101</v>
      </c>
      <c r="N154" s="102">
        <v>999</v>
      </c>
      <c r="O154" s="86" t="s">
        <v>550</v>
      </c>
    </row>
    <row r="155" spans="10:15" ht="18" customHeight="1">
      <c r="J155" s="86" t="s">
        <v>123</v>
      </c>
      <c r="K155" s="102">
        <v>7729101</v>
      </c>
      <c r="L155" s="102" t="s">
        <v>176</v>
      </c>
      <c r="M155" s="102" t="str">
        <f t="shared" si="4"/>
        <v>MFG-7729101</v>
      </c>
      <c r="N155" s="102">
        <v>905</v>
      </c>
      <c r="O155" s="86" t="s">
        <v>125</v>
      </c>
    </row>
    <row r="156" spans="10:15" ht="18" customHeight="1">
      <c r="J156" s="86" t="s">
        <v>126</v>
      </c>
      <c r="K156" s="102">
        <v>7729103</v>
      </c>
      <c r="L156" s="102" t="s">
        <v>176</v>
      </c>
      <c r="M156" s="102" t="str">
        <f t="shared" si="4"/>
        <v>MFG-7729103</v>
      </c>
      <c r="N156" s="102">
        <v>907</v>
      </c>
      <c r="O156" s="86" t="s">
        <v>128</v>
      </c>
    </row>
    <row r="157" spans="10:15" ht="18" customHeight="1">
      <c r="J157" s="86" t="s">
        <v>129</v>
      </c>
      <c r="K157" s="102">
        <v>7729105</v>
      </c>
      <c r="L157" s="102" t="s">
        <v>176</v>
      </c>
      <c r="M157" s="102" t="str">
        <f t="shared" si="4"/>
        <v>MFG-7729105</v>
      </c>
      <c r="N157" s="102">
        <v>999</v>
      </c>
      <c r="O157" s="86" t="s">
        <v>130</v>
      </c>
    </row>
    <row r="158" spans="10:15" ht="18" customHeight="1">
      <c r="J158" s="86" t="s">
        <v>131</v>
      </c>
      <c r="K158" s="102">
        <v>7781101</v>
      </c>
      <c r="L158" s="102" t="s">
        <v>176</v>
      </c>
      <c r="M158" s="102" t="str">
        <f t="shared" si="4"/>
        <v>MFG-7781101</v>
      </c>
      <c r="N158" s="102">
        <v>999</v>
      </c>
      <c r="O158" s="86" t="s">
        <v>132</v>
      </c>
    </row>
    <row r="159" spans="10:15" ht="18" customHeight="1">
      <c r="J159" s="86" t="s">
        <v>133</v>
      </c>
      <c r="K159" s="102">
        <v>7781103</v>
      </c>
      <c r="L159" s="102" t="s">
        <v>176</v>
      </c>
      <c r="M159" s="102" t="str">
        <f t="shared" si="4"/>
        <v>MFG-7781103</v>
      </c>
      <c r="N159" s="102">
        <v>999</v>
      </c>
      <c r="O159" s="86" t="s">
        <v>134</v>
      </c>
    </row>
    <row r="160" spans="10:15" ht="18" customHeight="1">
      <c r="J160" s="86" t="s">
        <v>135</v>
      </c>
      <c r="K160" s="102">
        <v>7781104</v>
      </c>
      <c r="L160" s="102" t="s">
        <v>176</v>
      </c>
      <c r="M160" s="102" t="str">
        <f t="shared" si="4"/>
        <v>MFG-7781104</v>
      </c>
      <c r="N160" s="102">
        <v>999</v>
      </c>
      <c r="O160" s="86" t="s">
        <v>136</v>
      </c>
    </row>
    <row r="161" spans="10:15" ht="18" customHeight="1">
      <c r="J161" s="86" t="s">
        <v>551</v>
      </c>
      <c r="K161" s="102">
        <v>7781105</v>
      </c>
      <c r="L161" s="102" t="s">
        <v>176</v>
      </c>
      <c r="M161" s="102" t="str">
        <f t="shared" si="4"/>
        <v>MFG-7781105</v>
      </c>
      <c r="N161" s="102">
        <v>999</v>
      </c>
      <c r="O161" s="86" t="s">
        <v>552</v>
      </c>
    </row>
    <row r="162" spans="10:15" ht="18" customHeight="1">
      <c r="J162" s="86" t="s">
        <v>553</v>
      </c>
      <c r="K162" s="102">
        <v>7781106</v>
      </c>
      <c r="L162" s="102" t="s">
        <v>176</v>
      </c>
      <c r="M162" s="102" t="str">
        <f t="shared" si="4"/>
        <v>MFG-7781106</v>
      </c>
      <c r="N162" s="102">
        <v>999</v>
      </c>
      <c r="O162" s="86" t="s">
        <v>554</v>
      </c>
    </row>
    <row r="163" spans="10:15" ht="18" customHeight="1">
      <c r="J163" s="86" t="s">
        <v>137</v>
      </c>
      <c r="K163" s="102">
        <v>7781107</v>
      </c>
      <c r="L163" s="102" t="s">
        <v>176</v>
      </c>
      <c r="M163" s="102" t="str">
        <f t="shared" si="4"/>
        <v>MFG-7781107</v>
      </c>
      <c r="N163" s="102">
        <v>906</v>
      </c>
      <c r="O163" s="86" t="s">
        <v>139</v>
      </c>
    </row>
    <row r="164" spans="10:15" ht="18" customHeight="1">
      <c r="J164" s="86" t="s">
        <v>140</v>
      </c>
      <c r="K164" s="102">
        <v>7781111</v>
      </c>
      <c r="L164" s="102" t="s">
        <v>176</v>
      </c>
      <c r="M164" s="102" t="str">
        <f t="shared" si="4"/>
        <v>MFG-7781111</v>
      </c>
      <c r="N164" s="102">
        <v>999</v>
      </c>
      <c r="O164" s="86" t="s">
        <v>141</v>
      </c>
    </row>
    <row r="165" spans="10:15" ht="18" customHeight="1">
      <c r="J165" s="86" t="s">
        <v>142</v>
      </c>
      <c r="K165" s="102">
        <v>7781112</v>
      </c>
      <c r="L165" s="102" t="s">
        <v>176</v>
      </c>
      <c r="M165" s="102" t="str">
        <f t="shared" si="4"/>
        <v>MFG-7781112</v>
      </c>
      <c r="N165" s="102">
        <v>999</v>
      </c>
      <c r="O165" s="86" t="s">
        <v>143</v>
      </c>
    </row>
    <row r="166" spans="10:15" ht="18" customHeight="1">
      <c r="J166" s="86" t="s">
        <v>144</v>
      </c>
      <c r="K166" s="102">
        <v>7781113</v>
      </c>
      <c r="L166" s="102" t="s">
        <v>176</v>
      </c>
      <c r="M166" s="102" t="str">
        <f t="shared" si="4"/>
        <v>MFG-7781113</v>
      </c>
      <c r="N166" s="102">
        <v>999</v>
      </c>
      <c r="O166" s="86" t="s">
        <v>145</v>
      </c>
    </row>
    <row r="167" spans="10:15" ht="18" customHeight="1">
      <c r="J167" s="86" t="s">
        <v>193</v>
      </c>
      <c r="K167" s="87">
        <v>8291101</v>
      </c>
      <c r="L167" s="88" t="s">
        <v>194</v>
      </c>
      <c r="M167" s="88" t="str">
        <f t="shared" si="4"/>
        <v>OTH-8291101</v>
      </c>
    </row>
    <row r="168" spans="10:15" ht="18" customHeight="1">
      <c r="J168" s="86" t="s">
        <v>195</v>
      </c>
      <c r="K168" s="87">
        <v>8291102</v>
      </c>
      <c r="L168" s="88" t="s">
        <v>194</v>
      </c>
      <c r="M168" s="88" t="str">
        <f t="shared" si="4"/>
        <v>OTH-8291102</v>
      </c>
    </row>
    <row r="169" spans="10:15" ht="18" customHeight="1">
      <c r="J169" s="86" t="s">
        <v>196</v>
      </c>
      <c r="K169" s="87">
        <v>8291201</v>
      </c>
      <c r="L169" s="88" t="s">
        <v>194</v>
      </c>
      <c r="M169" s="88" t="str">
        <f t="shared" si="4"/>
        <v>OTH-8291201</v>
      </c>
    </row>
    <row r="170" spans="10:15" ht="18" customHeight="1">
      <c r="J170" s="86" t="s">
        <v>197</v>
      </c>
      <c r="K170" s="87">
        <v>8291202</v>
      </c>
      <c r="L170" s="88" t="s">
        <v>194</v>
      </c>
      <c r="M170" s="88" t="str">
        <f t="shared" si="4"/>
        <v>OTH-8291202</v>
      </c>
    </row>
    <row r="171" spans="10:15" ht="18" customHeight="1">
      <c r="J171" s="86" t="s">
        <v>198</v>
      </c>
      <c r="K171" s="87">
        <v>8291203</v>
      </c>
      <c r="L171" s="88" t="s">
        <v>194</v>
      </c>
      <c r="M171" s="88" t="str">
        <f t="shared" si="4"/>
        <v>OTH-8291203</v>
      </c>
    </row>
    <row r="172" spans="10:15" ht="18" customHeight="1">
      <c r="J172" s="86" t="s">
        <v>199</v>
      </c>
      <c r="K172" s="87">
        <v>8191101</v>
      </c>
      <c r="L172" s="88" t="s">
        <v>194</v>
      </c>
      <c r="M172" s="88" t="str">
        <f t="shared" si="4"/>
        <v>OTH-8191101</v>
      </c>
    </row>
    <row r="173" spans="10:15" ht="18" customHeight="1">
      <c r="N173" s="104"/>
    </row>
  </sheetData>
  <phoneticPr fontId="24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61871-B522-4360-BDA4-9BF4A4426FC5}">
  <dimension ref="A1:S173"/>
  <sheetViews>
    <sheetView zoomScale="80" zoomScaleNormal="80" workbookViewId="0">
      <selection activeCell="H9" sqref="H9"/>
    </sheetView>
  </sheetViews>
  <sheetFormatPr defaultColWidth="8.85546875" defaultRowHeight="12.75"/>
  <cols>
    <col min="1" max="1" width="56.140625" style="86" bestFit="1" customWidth="1"/>
    <col min="2" max="2" width="10.5703125" style="87" bestFit="1" customWidth="1"/>
    <col min="3" max="3" width="12.5703125" style="88" bestFit="1" customWidth="1"/>
    <col min="4" max="4" width="12.42578125" style="88" bestFit="1" customWidth="1"/>
    <col min="5" max="5" width="13.85546875" style="88" bestFit="1" customWidth="1"/>
    <col min="6" max="6" width="50.7109375" style="86" hidden="1" customWidth="1"/>
    <col min="7" max="7" width="0.85546875" style="90" customWidth="1"/>
    <col min="8" max="8" width="28.5703125" style="86" bestFit="1" customWidth="1"/>
    <col min="9" max="9" width="11.42578125" style="87" bestFit="1" customWidth="1"/>
    <col min="10" max="10" width="15.85546875" style="86" bestFit="1" customWidth="1"/>
    <col min="11" max="11" width="19.42578125" style="86" bestFit="1" customWidth="1"/>
    <col min="12" max="12" width="28.5703125" style="86" bestFit="1" customWidth="1"/>
    <col min="13" max="13" width="0.85546875" style="90" customWidth="1"/>
    <col min="14" max="14" width="9.85546875" style="86" bestFit="1" customWidth="1"/>
    <col min="15" max="15" width="19.5703125" style="86" bestFit="1" customWidth="1"/>
    <col min="16" max="16" width="0.85546875" style="90" customWidth="1"/>
    <col min="17" max="17" width="18.42578125" style="34" bestFit="1" customWidth="1"/>
    <col min="18" max="18" width="19" style="35" bestFit="1" customWidth="1"/>
    <col min="19" max="19" width="72.5703125" style="36" bestFit="1" customWidth="1"/>
    <col min="20" max="16384" width="8.85546875" style="86"/>
  </cols>
  <sheetData>
    <row r="1" spans="1:19" s="85" customFormat="1" ht="60" customHeight="1">
      <c r="A1" s="76" t="s">
        <v>541</v>
      </c>
      <c r="B1" s="76" t="s">
        <v>1</v>
      </c>
      <c r="C1" s="77" t="s">
        <v>2</v>
      </c>
      <c r="D1" s="77" t="s">
        <v>3</v>
      </c>
      <c r="E1" s="77" t="s">
        <v>4</v>
      </c>
      <c r="F1" s="76" t="s">
        <v>5</v>
      </c>
      <c r="G1" s="78"/>
      <c r="H1" s="79" t="s">
        <v>0</v>
      </c>
      <c r="I1" s="79" t="s">
        <v>200</v>
      </c>
      <c r="J1" s="80" t="s">
        <v>201</v>
      </c>
      <c r="K1" s="80" t="s">
        <v>202</v>
      </c>
      <c r="L1" s="79" t="s">
        <v>0</v>
      </c>
      <c r="M1" s="81"/>
      <c r="N1" s="82" t="s">
        <v>203</v>
      </c>
      <c r="O1" s="82" t="s">
        <v>0</v>
      </c>
      <c r="P1" s="81"/>
      <c r="Q1" s="83" t="s">
        <v>323</v>
      </c>
      <c r="R1" s="83" t="s">
        <v>324</v>
      </c>
      <c r="S1" s="84" t="s">
        <v>5</v>
      </c>
    </row>
    <row r="2" spans="1:19" ht="18" customHeight="1">
      <c r="A2" s="86" t="s">
        <v>6</v>
      </c>
      <c r="B2" s="87">
        <v>7511101</v>
      </c>
      <c r="C2" s="88" t="s">
        <v>7</v>
      </c>
      <c r="D2" s="89" t="str">
        <f t="shared" ref="D2:D65" si="0">C2&amp;"-"&amp;B2</f>
        <v>SGA-7511101</v>
      </c>
      <c r="E2" s="88" t="s">
        <v>8</v>
      </c>
      <c r="F2" s="86" t="s">
        <v>6</v>
      </c>
      <c r="H2" s="18" t="s">
        <v>208</v>
      </c>
      <c r="I2" s="19" t="s">
        <v>209</v>
      </c>
      <c r="J2" s="91" t="s">
        <v>7</v>
      </c>
      <c r="K2" s="92" t="s">
        <v>210</v>
      </c>
      <c r="L2" s="92" t="str">
        <f>H2</f>
        <v>Top Management</v>
      </c>
      <c r="N2" s="92">
        <v>53450</v>
      </c>
      <c r="O2" s="92" t="s">
        <v>211</v>
      </c>
      <c r="Q2" s="93" t="s">
        <v>314</v>
      </c>
      <c r="R2" s="94" t="s">
        <v>315</v>
      </c>
      <c r="S2" s="95" t="s">
        <v>316</v>
      </c>
    </row>
    <row r="3" spans="1:19" ht="18" customHeight="1">
      <c r="A3" s="86" t="s">
        <v>9</v>
      </c>
      <c r="B3" s="87">
        <v>7511102</v>
      </c>
      <c r="C3" s="88" t="s">
        <v>7</v>
      </c>
      <c r="D3" s="89" t="str">
        <f t="shared" si="0"/>
        <v>SGA-7511102</v>
      </c>
      <c r="E3" s="88" t="s">
        <v>8</v>
      </c>
      <c r="F3" s="86" t="s">
        <v>10</v>
      </c>
      <c r="H3" s="18" t="s">
        <v>213</v>
      </c>
      <c r="I3" s="19" t="s">
        <v>214</v>
      </c>
      <c r="J3" s="91" t="s">
        <v>7</v>
      </c>
      <c r="K3" s="92" t="s">
        <v>210</v>
      </c>
      <c r="L3" s="92" t="str">
        <f t="shared" ref="L3:L42" si="1">H3</f>
        <v>Commissioner</v>
      </c>
      <c r="N3" s="92"/>
      <c r="O3" s="92"/>
      <c r="Q3" s="93" t="s">
        <v>317</v>
      </c>
      <c r="R3" s="94" t="s">
        <v>318</v>
      </c>
      <c r="S3" s="95" t="s">
        <v>319</v>
      </c>
    </row>
    <row r="4" spans="1:19" ht="18" customHeight="1">
      <c r="A4" s="86" t="s">
        <v>11</v>
      </c>
      <c r="B4" s="87">
        <v>7511103</v>
      </c>
      <c r="C4" s="88" t="s">
        <v>7</v>
      </c>
      <c r="D4" s="89" t="str">
        <f t="shared" si="0"/>
        <v>SGA-7511103</v>
      </c>
      <c r="E4" s="88" t="s">
        <v>12</v>
      </c>
      <c r="F4" s="86" t="s">
        <v>13</v>
      </c>
      <c r="H4" s="18" t="s">
        <v>216</v>
      </c>
      <c r="I4" s="19" t="s">
        <v>217</v>
      </c>
      <c r="J4" s="91" t="s">
        <v>7</v>
      </c>
      <c r="K4" s="92" t="s">
        <v>210</v>
      </c>
      <c r="L4" s="92" t="str">
        <f t="shared" si="1"/>
        <v>Admin &amp; HR</v>
      </c>
      <c r="N4" s="92"/>
      <c r="O4" s="92"/>
      <c r="Q4" s="93" t="s">
        <v>320</v>
      </c>
      <c r="R4" s="94" t="s">
        <v>321</v>
      </c>
      <c r="S4" s="95" t="s">
        <v>322</v>
      </c>
    </row>
    <row r="5" spans="1:19" ht="18" customHeight="1">
      <c r="A5" s="86" t="s">
        <v>14</v>
      </c>
      <c r="B5" s="87">
        <v>7511111</v>
      </c>
      <c r="C5" s="88" t="s">
        <v>7</v>
      </c>
      <c r="D5" s="89" t="str">
        <f t="shared" si="0"/>
        <v>SGA-7511111</v>
      </c>
      <c r="E5" s="88" t="s">
        <v>12</v>
      </c>
      <c r="F5" s="86" t="s">
        <v>15</v>
      </c>
      <c r="H5" s="18" t="s">
        <v>219</v>
      </c>
      <c r="I5" s="19" t="s">
        <v>220</v>
      </c>
      <c r="J5" s="91" t="s">
        <v>7</v>
      </c>
      <c r="K5" s="92" t="s">
        <v>210</v>
      </c>
      <c r="L5" s="92" t="str">
        <f t="shared" si="1"/>
        <v>General Affair</v>
      </c>
    </row>
    <row r="6" spans="1:19" ht="18" customHeight="1">
      <c r="A6" s="86" t="s">
        <v>16</v>
      </c>
      <c r="B6" s="87">
        <v>7511112</v>
      </c>
      <c r="C6" s="88" t="s">
        <v>7</v>
      </c>
      <c r="D6" s="89" t="str">
        <f t="shared" si="0"/>
        <v>SGA-7511112</v>
      </c>
      <c r="E6" s="88" t="s">
        <v>12</v>
      </c>
      <c r="F6" s="86" t="s">
        <v>17</v>
      </c>
      <c r="H6" s="18" t="s">
        <v>222</v>
      </c>
      <c r="I6" s="19" t="s">
        <v>223</v>
      </c>
      <c r="J6" s="91" t="s">
        <v>7</v>
      </c>
      <c r="K6" s="92" t="s">
        <v>210</v>
      </c>
      <c r="L6" s="92" t="str">
        <f t="shared" si="1"/>
        <v>Human Resource</v>
      </c>
    </row>
    <row r="7" spans="1:19" ht="18" customHeight="1">
      <c r="A7" s="86" t="s">
        <v>18</v>
      </c>
      <c r="B7" s="87">
        <v>7511121</v>
      </c>
      <c r="C7" s="88" t="s">
        <v>7</v>
      </c>
      <c r="D7" s="89" t="str">
        <f t="shared" si="0"/>
        <v>SGA-7511121</v>
      </c>
      <c r="E7" s="88" t="s">
        <v>12</v>
      </c>
      <c r="F7" s="86" t="s">
        <v>19</v>
      </c>
      <c r="H7" s="18" t="s">
        <v>225</v>
      </c>
      <c r="I7" s="19" t="s">
        <v>226</v>
      </c>
      <c r="J7" s="91" t="s">
        <v>7</v>
      </c>
      <c r="K7" s="92" t="s">
        <v>210</v>
      </c>
      <c r="L7" s="92" t="str">
        <f t="shared" si="1"/>
        <v>Health, Safety &amp; Environment</v>
      </c>
    </row>
    <row r="8" spans="1:19" ht="18" customHeight="1">
      <c r="A8" s="86" t="s">
        <v>20</v>
      </c>
      <c r="B8" s="87">
        <v>7511122</v>
      </c>
      <c r="C8" s="88" t="s">
        <v>7</v>
      </c>
      <c r="D8" s="89" t="str">
        <f t="shared" si="0"/>
        <v>SGA-7511122</v>
      </c>
      <c r="E8" s="88" t="s">
        <v>12</v>
      </c>
      <c r="F8" s="86" t="s">
        <v>21</v>
      </c>
      <c r="H8" s="18" t="s">
        <v>227</v>
      </c>
      <c r="I8" s="19" t="s">
        <v>228</v>
      </c>
      <c r="J8" s="91" t="s">
        <v>7</v>
      </c>
      <c r="K8" s="92" t="s">
        <v>210</v>
      </c>
      <c r="L8" s="92" t="str">
        <f t="shared" si="1"/>
        <v>Accounting &amp; Finance</v>
      </c>
    </row>
    <row r="9" spans="1:19" ht="18" customHeight="1">
      <c r="A9" s="86" t="s">
        <v>22</v>
      </c>
      <c r="B9" s="87">
        <v>7511201</v>
      </c>
      <c r="C9" s="88" t="s">
        <v>7</v>
      </c>
      <c r="D9" s="89" t="str">
        <f t="shared" si="0"/>
        <v>SGA-7511201</v>
      </c>
      <c r="E9" s="88" t="s">
        <v>23</v>
      </c>
      <c r="F9" s="86" t="s">
        <v>24</v>
      </c>
      <c r="H9" s="18" t="s">
        <v>229</v>
      </c>
      <c r="I9" s="19" t="s">
        <v>230</v>
      </c>
      <c r="J9" s="91" t="s">
        <v>7</v>
      </c>
      <c r="K9" s="92" t="s">
        <v>210</v>
      </c>
      <c r="L9" s="92" t="str">
        <f t="shared" si="1"/>
        <v>Information Technology</v>
      </c>
    </row>
    <row r="10" spans="1:19" ht="18" customHeight="1">
      <c r="A10" s="86" t="s">
        <v>25</v>
      </c>
      <c r="B10" s="87">
        <v>7512111</v>
      </c>
      <c r="C10" s="88" t="s">
        <v>7</v>
      </c>
      <c r="D10" s="89" t="str">
        <f t="shared" si="0"/>
        <v>SGA-7512111</v>
      </c>
      <c r="E10" s="88" t="s">
        <v>26</v>
      </c>
      <c r="F10" s="86" t="s">
        <v>27</v>
      </c>
      <c r="H10" s="18" t="s">
        <v>231</v>
      </c>
      <c r="I10" s="19" t="s">
        <v>232</v>
      </c>
      <c r="J10" s="91" t="s">
        <v>7</v>
      </c>
      <c r="K10" s="92" t="s">
        <v>210</v>
      </c>
      <c r="L10" s="92" t="str">
        <f t="shared" si="1"/>
        <v>Sales &amp; MKTG Dept.- Automotive</v>
      </c>
    </row>
    <row r="11" spans="1:19" ht="18" customHeight="1">
      <c r="A11" s="86" t="s">
        <v>28</v>
      </c>
      <c r="B11" s="87">
        <v>7512112</v>
      </c>
      <c r="C11" s="88" t="s">
        <v>7</v>
      </c>
      <c r="D11" s="89" t="str">
        <f t="shared" si="0"/>
        <v>SGA-7512112</v>
      </c>
      <c r="E11" s="88" t="s">
        <v>26</v>
      </c>
      <c r="F11" s="86" t="s">
        <v>29</v>
      </c>
      <c r="H11" s="18" t="s">
        <v>233</v>
      </c>
      <c r="I11" s="19" t="s">
        <v>234</v>
      </c>
      <c r="J11" s="91" t="s">
        <v>7</v>
      </c>
      <c r="K11" s="92" t="s">
        <v>210</v>
      </c>
      <c r="L11" s="92" t="str">
        <f t="shared" si="1"/>
        <v>Marketing</v>
      </c>
    </row>
    <row r="12" spans="1:19" ht="18" customHeight="1">
      <c r="A12" s="86" t="s">
        <v>30</v>
      </c>
      <c r="B12" s="87">
        <v>7514101</v>
      </c>
      <c r="C12" s="88" t="s">
        <v>7</v>
      </c>
      <c r="D12" s="89" t="str">
        <f t="shared" si="0"/>
        <v>SGA-7514101</v>
      </c>
      <c r="E12" s="88" t="s">
        <v>12</v>
      </c>
      <c r="F12" s="86" t="s">
        <v>31</v>
      </c>
      <c r="H12" s="18" t="s">
        <v>235</v>
      </c>
      <c r="I12" s="19" t="s">
        <v>236</v>
      </c>
      <c r="J12" s="91" t="s">
        <v>7</v>
      </c>
      <c r="K12" s="92" t="s">
        <v>210</v>
      </c>
      <c r="L12" s="92" t="str">
        <f t="shared" si="1"/>
        <v>Sales - OEM</v>
      </c>
    </row>
    <row r="13" spans="1:19" ht="18" customHeight="1">
      <c r="A13" s="86" t="s">
        <v>32</v>
      </c>
      <c r="B13" s="87">
        <v>7514102</v>
      </c>
      <c r="C13" s="88" t="s">
        <v>7</v>
      </c>
      <c r="D13" s="89" t="str">
        <f t="shared" si="0"/>
        <v>SGA-7514102</v>
      </c>
      <c r="E13" s="88" t="s">
        <v>12</v>
      </c>
      <c r="F13" s="86" t="s">
        <v>33</v>
      </c>
      <c r="H13" s="18" t="s">
        <v>237</v>
      </c>
      <c r="I13" s="19" t="s">
        <v>238</v>
      </c>
      <c r="J13" s="91" t="s">
        <v>7</v>
      </c>
      <c r="K13" s="92" t="s">
        <v>210</v>
      </c>
      <c r="L13" s="92" t="str">
        <f t="shared" si="1"/>
        <v>Sales - OES</v>
      </c>
    </row>
    <row r="14" spans="1:19" ht="18" customHeight="1">
      <c r="A14" s="86" t="s">
        <v>34</v>
      </c>
      <c r="B14" s="87">
        <v>7515401</v>
      </c>
      <c r="C14" s="88" t="s">
        <v>7</v>
      </c>
      <c r="D14" s="89" t="str">
        <f t="shared" si="0"/>
        <v>SGA-7515401</v>
      </c>
      <c r="E14" s="88" t="s">
        <v>26</v>
      </c>
      <c r="F14" s="86" t="s">
        <v>35</v>
      </c>
      <c r="H14" s="18" t="s">
        <v>239</v>
      </c>
      <c r="I14" s="19" t="s">
        <v>240</v>
      </c>
      <c r="J14" s="91" t="s">
        <v>7</v>
      </c>
      <c r="K14" s="92" t="s">
        <v>210</v>
      </c>
      <c r="L14" s="92" t="str">
        <f t="shared" si="1"/>
        <v>Sales - IAM</v>
      </c>
    </row>
    <row r="15" spans="1:19" ht="18" customHeight="1">
      <c r="A15" s="86" t="s">
        <v>36</v>
      </c>
      <c r="B15" s="87">
        <v>7515402</v>
      </c>
      <c r="C15" s="88" t="s">
        <v>7</v>
      </c>
      <c r="D15" s="89" t="str">
        <f t="shared" si="0"/>
        <v>SGA-7515402</v>
      </c>
      <c r="E15" s="88" t="s">
        <v>26</v>
      </c>
      <c r="F15" s="86" t="s">
        <v>37</v>
      </c>
      <c r="H15" s="18" t="s">
        <v>241</v>
      </c>
      <c r="I15" s="19" t="s">
        <v>242</v>
      </c>
      <c r="J15" s="92" t="s">
        <v>176</v>
      </c>
      <c r="K15" s="92" t="s">
        <v>243</v>
      </c>
      <c r="L15" s="92" t="str">
        <f t="shared" si="1"/>
        <v>SP PD- CF</v>
      </c>
    </row>
    <row r="16" spans="1:19" ht="18" customHeight="1">
      <c r="A16" s="86" t="s">
        <v>38</v>
      </c>
      <c r="B16" s="87">
        <v>7515403</v>
      </c>
      <c r="C16" s="88" t="s">
        <v>7</v>
      </c>
      <c r="D16" s="89" t="str">
        <f t="shared" si="0"/>
        <v>SGA-7515403</v>
      </c>
      <c r="E16" s="88" t="s">
        <v>26</v>
      </c>
      <c r="F16" s="86" t="s">
        <v>39</v>
      </c>
      <c r="H16" s="18" t="s">
        <v>244</v>
      </c>
      <c r="I16" s="19" t="s">
        <v>245</v>
      </c>
      <c r="J16" s="92" t="s">
        <v>176</v>
      </c>
      <c r="K16" s="92" t="s">
        <v>243</v>
      </c>
      <c r="L16" s="92" t="str">
        <f t="shared" si="1"/>
        <v>SP PD- CM</v>
      </c>
    </row>
    <row r="17" spans="1:12" ht="18" customHeight="1">
      <c r="A17" s="86" t="s">
        <v>40</v>
      </c>
      <c r="B17" s="87">
        <v>7515404</v>
      </c>
      <c r="C17" s="88" t="s">
        <v>7</v>
      </c>
      <c r="D17" s="89" t="str">
        <f t="shared" si="0"/>
        <v>SGA-7515404</v>
      </c>
      <c r="E17" s="88" t="s">
        <v>26</v>
      </c>
      <c r="F17" s="86" t="s">
        <v>41</v>
      </c>
      <c r="H17" s="96" t="s">
        <v>246</v>
      </c>
      <c r="I17" s="19" t="s">
        <v>247</v>
      </c>
      <c r="J17" s="92" t="s">
        <v>176</v>
      </c>
      <c r="K17" s="92" t="s">
        <v>243</v>
      </c>
      <c r="L17" s="92" t="str">
        <f t="shared" si="1"/>
        <v>SP PD- WT</v>
      </c>
    </row>
    <row r="18" spans="1:12" ht="18" customHeight="1">
      <c r="A18" s="86" t="s">
        <v>42</v>
      </c>
      <c r="B18" s="87">
        <v>7515405</v>
      </c>
      <c r="C18" s="88" t="s">
        <v>7</v>
      </c>
      <c r="D18" s="89" t="str">
        <f t="shared" si="0"/>
        <v>SGA-7515405</v>
      </c>
      <c r="E18" s="88" t="s">
        <v>26</v>
      </c>
      <c r="F18" s="86" t="s">
        <v>43</v>
      </c>
      <c r="H18" s="96" t="s">
        <v>248</v>
      </c>
      <c r="I18" s="19" t="s">
        <v>249</v>
      </c>
      <c r="J18" s="92" t="s">
        <v>176</v>
      </c>
      <c r="K18" s="92" t="s">
        <v>243</v>
      </c>
      <c r="L18" s="92" t="str">
        <f t="shared" si="1"/>
        <v>SP PD- Plating</v>
      </c>
    </row>
    <row r="19" spans="1:12" ht="18" customHeight="1">
      <c r="A19" s="86" t="s">
        <v>44</v>
      </c>
      <c r="B19" s="87">
        <v>7515406</v>
      </c>
      <c r="C19" s="88" t="s">
        <v>7</v>
      </c>
      <c r="D19" s="89" t="str">
        <f t="shared" si="0"/>
        <v>SGA-7515406</v>
      </c>
      <c r="E19" s="88" t="s">
        <v>26</v>
      </c>
      <c r="F19" s="86" t="s">
        <v>45</v>
      </c>
      <c r="H19" s="96" t="s">
        <v>250</v>
      </c>
      <c r="I19" s="19" t="s">
        <v>251</v>
      </c>
      <c r="J19" s="92" t="s">
        <v>176</v>
      </c>
      <c r="K19" s="92" t="s">
        <v>243</v>
      </c>
      <c r="L19" s="92" t="str">
        <f t="shared" si="1"/>
        <v>SP PD- MS Insp.</v>
      </c>
    </row>
    <row r="20" spans="1:12" ht="18" customHeight="1">
      <c r="A20" s="86" t="s">
        <v>542</v>
      </c>
      <c r="B20" s="87">
        <v>7515407</v>
      </c>
      <c r="C20" s="88" t="s">
        <v>7</v>
      </c>
      <c r="D20" s="89" t="str">
        <f t="shared" si="0"/>
        <v>SGA-7515407</v>
      </c>
      <c r="E20" s="88" t="s">
        <v>26</v>
      </c>
      <c r="H20" s="96" t="s">
        <v>252</v>
      </c>
      <c r="I20" s="19" t="s">
        <v>253</v>
      </c>
      <c r="J20" s="92" t="s">
        <v>176</v>
      </c>
      <c r="K20" s="92" t="s">
        <v>243</v>
      </c>
      <c r="L20" s="92" t="str">
        <f t="shared" si="1"/>
        <v>SP PD- Insulator Sealing</v>
      </c>
    </row>
    <row r="21" spans="1:12" ht="18" customHeight="1">
      <c r="A21" s="86" t="s">
        <v>46</v>
      </c>
      <c r="B21" s="87">
        <v>7515408</v>
      </c>
      <c r="C21" s="88" t="s">
        <v>7</v>
      </c>
      <c r="D21" s="89" t="str">
        <f t="shared" si="0"/>
        <v>SGA-7515408</v>
      </c>
      <c r="E21" s="88" t="s">
        <v>26</v>
      </c>
      <c r="F21" s="86" t="s">
        <v>47</v>
      </c>
      <c r="H21" s="96" t="s">
        <v>254</v>
      </c>
      <c r="I21" s="19" t="s">
        <v>255</v>
      </c>
      <c r="J21" s="92" t="s">
        <v>176</v>
      </c>
      <c r="K21" s="92" t="s">
        <v>243</v>
      </c>
      <c r="L21" s="92" t="str">
        <f t="shared" si="1"/>
        <v>SP PD- Assy</v>
      </c>
    </row>
    <row r="22" spans="1:12" ht="18" customHeight="1">
      <c r="A22" s="86" t="s">
        <v>48</v>
      </c>
      <c r="B22" s="87">
        <v>7515409</v>
      </c>
      <c r="C22" s="88" t="s">
        <v>7</v>
      </c>
      <c r="D22" s="89" t="str">
        <f t="shared" si="0"/>
        <v>SGA-7515409</v>
      </c>
      <c r="E22" s="88" t="s">
        <v>26</v>
      </c>
      <c r="F22" s="86" t="s">
        <v>49</v>
      </c>
      <c r="H22" s="96" t="s">
        <v>256</v>
      </c>
      <c r="I22" s="19" t="s">
        <v>257</v>
      </c>
      <c r="J22" s="92" t="s">
        <v>176</v>
      </c>
      <c r="K22" s="92" t="s">
        <v>243</v>
      </c>
      <c r="L22" s="92" t="str">
        <f t="shared" si="1"/>
        <v>SP-PD-Assy-Auto Assembly</v>
      </c>
    </row>
    <row r="23" spans="1:12" ht="18" customHeight="1">
      <c r="A23" s="86" t="s">
        <v>50</v>
      </c>
      <c r="B23" s="87">
        <v>7515410</v>
      </c>
      <c r="C23" s="88" t="s">
        <v>7</v>
      </c>
      <c r="D23" s="89" t="str">
        <f t="shared" si="0"/>
        <v>SGA-7515410</v>
      </c>
      <c r="E23" s="88" t="s">
        <v>26</v>
      </c>
      <c r="F23" s="86" t="s">
        <v>51</v>
      </c>
      <c r="H23" s="96" t="s">
        <v>258</v>
      </c>
      <c r="I23" s="19" t="s">
        <v>259</v>
      </c>
      <c r="J23" s="92" t="s">
        <v>176</v>
      </c>
      <c r="K23" s="92" t="s">
        <v>243</v>
      </c>
      <c r="L23" s="92" t="str">
        <f t="shared" si="1"/>
        <v>SP PD- Bending</v>
      </c>
    </row>
    <row r="24" spans="1:12" ht="18" customHeight="1">
      <c r="A24" s="86" t="s">
        <v>52</v>
      </c>
      <c r="B24" s="87">
        <v>7515499</v>
      </c>
      <c r="C24" s="88" t="s">
        <v>7</v>
      </c>
      <c r="D24" s="89" t="str">
        <f t="shared" si="0"/>
        <v>SGA-7515499</v>
      </c>
      <c r="E24" s="88" t="s">
        <v>26</v>
      </c>
      <c r="F24" s="86" t="s">
        <v>53</v>
      </c>
      <c r="H24" s="96" t="s">
        <v>260</v>
      </c>
      <c r="I24" s="19" t="s">
        <v>261</v>
      </c>
      <c r="J24" s="92" t="s">
        <v>176</v>
      </c>
      <c r="K24" s="92" t="s">
        <v>243</v>
      </c>
      <c r="L24" s="92" t="str">
        <f t="shared" si="1"/>
        <v>SP PD- Final Inspection</v>
      </c>
    </row>
    <row r="25" spans="1:12" ht="18" customHeight="1">
      <c r="A25" s="86" t="s">
        <v>54</v>
      </c>
      <c r="B25" s="87">
        <v>7516102</v>
      </c>
      <c r="C25" s="88" t="s">
        <v>7</v>
      </c>
      <c r="D25" s="89" t="str">
        <f t="shared" si="0"/>
        <v>SGA-7516102</v>
      </c>
      <c r="E25" s="88" t="s">
        <v>55</v>
      </c>
      <c r="F25" s="86" t="s">
        <v>56</v>
      </c>
      <c r="H25" s="96" t="s">
        <v>262</v>
      </c>
      <c r="I25" s="19" t="s">
        <v>263</v>
      </c>
      <c r="J25" s="92" t="s">
        <v>176</v>
      </c>
      <c r="K25" s="92" t="s">
        <v>243</v>
      </c>
      <c r="L25" s="92" t="str">
        <f t="shared" si="1"/>
        <v>SP PD- QC - OEM</v>
      </c>
    </row>
    <row r="26" spans="1:12" ht="18" customHeight="1">
      <c r="A26" s="86" t="s">
        <v>57</v>
      </c>
      <c r="B26" s="87">
        <v>7519101</v>
      </c>
      <c r="C26" s="88" t="s">
        <v>7</v>
      </c>
      <c r="D26" s="89" t="str">
        <f t="shared" si="0"/>
        <v>SGA-7519101</v>
      </c>
      <c r="E26" s="88" t="s">
        <v>8</v>
      </c>
      <c r="F26" s="86" t="s">
        <v>58</v>
      </c>
      <c r="H26" s="96" t="s">
        <v>264</v>
      </c>
      <c r="I26" s="19" t="s">
        <v>265</v>
      </c>
      <c r="J26" s="92" t="s">
        <v>176</v>
      </c>
      <c r="K26" s="92" t="s">
        <v>243</v>
      </c>
      <c r="L26" s="92" t="str">
        <f t="shared" si="1"/>
        <v>PC PD- Injection</v>
      </c>
    </row>
    <row r="27" spans="1:12" ht="18" customHeight="1">
      <c r="A27" s="86" t="s">
        <v>59</v>
      </c>
      <c r="B27" s="87">
        <v>7521101</v>
      </c>
      <c r="C27" s="88" t="s">
        <v>7</v>
      </c>
      <c r="D27" s="89" t="str">
        <f t="shared" si="0"/>
        <v>SGA-7521101</v>
      </c>
      <c r="E27" s="88" t="s">
        <v>12</v>
      </c>
      <c r="F27" s="86" t="s">
        <v>60</v>
      </c>
      <c r="H27" s="96" t="s">
        <v>266</v>
      </c>
      <c r="I27" s="19" t="s">
        <v>267</v>
      </c>
      <c r="J27" s="92" t="s">
        <v>176</v>
      </c>
      <c r="K27" s="92" t="s">
        <v>243</v>
      </c>
      <c r="L27" s="92" t="str">
        <f t="shared" si="1"/>
        <v>PC PD- Assy</v>
      </c>
    </row>
    <row r="28" spans="1:12" ht="18" customHeight="1">
      <c r="A28" s="86" t="s">
        <v>61</v>
      </c>
      <c r="B28" s="87">
        <v>7521102</v>
      </c>
      <c r="C28" s="88" t="s">
        <v>7</v>
      </c>
      <c r="D28" s="89" t="str">
        <f t="shared" si="0"/>
        <v>SGA-7521102</v>
      </c>
      <c r="E28" s="88" t="s">
        <v>23</v>
      </c>
      <c r="F28" s="86" t="s">
        <v>62</v>
      </c>
      <c r="H28" s="96" t="s">
        <v>268</v>
      </c>
      <c r="I28" s="19" t="s">
        <v>269</v>
      </c>
      <c r="J28" s="92" t="s">
        <v>176</v>
      </c>
      <c r="K28" s="92" t="s">
        <v>243</v>
      </c>
      <c r="L28" s="92" t="str">
        <f t="shared" si="1"/>
        <v>PC PD- QC</v>
      </c>
    </row>
    <row r="29" spans="1:12" ht="18" customHeight="1">
      <c r="A29" s="86" t="s">
        <v>63</v>
      </c>
      <c r="B29" s="87">
        <v>7571101</v>
      </c>
      <c r="C29" s="88" t="s">
        <v>7</v>
      </c>
      <c r="D29" s="89" t="str">
        <f t="shared" si="0"/>
        <v>SGA-7571101</v>
      </c>
      <c r="E29" s="88" t="s">
        <v>64</v>
      </c>
      <c r="F29" s="86" t="s">
        <v>65</v>
      </c>
      <c r="H29" s="96" t="s">
        <v>270</v>
      </c>
      <c r="I29" s="19" t="s">
        <v>271</v>
      </c>
      <c r="J29" s="92" t="s">
        <v>176</v>
      </c>
      <c r="K29" s="92" t="s">
        <v>272</v>
      </c>
      <c r="L29" s="92" t="str">
        <f t="shared" si="1"/>
        <v>Plant Operation (Indirect Mfg)</v>
      </c>
    </row>
    <row r="30" spans="1:12" ht="18" customHeight="1">
      <c r="A30" s="86" t="s">
        <v>66</v>
      </c>
      <c r="B30" s="87">
        <v>7611100</v>
      </c>
      <c r="C30" s="88" t="s">
        <v>7</v>
      </c>
      <c r="D30" s="89" t="str">
        <f t="shared" si="0"/>
        <v>SGA-7611100</v>
      </c>
      <c r="E30" s="88" t="s">
        <v>67</v>
      </c>
      <c r="F30" s="86" t="s">
        <v>68</v>
      </c>
      <c r="H30" s="96" t="s">
        <v>273</v>
      </c>
      <c r="I30" s="19" t="s">
        <v>274</v>
      </c>
      <c r="J30" s="92" t="s">
        <v>176</v>
      </c>
      <c r="K30" s="92" t="s">
        <v>272</v>
      </c>
      <c r="L30" s="92" t="str">
        <f t="shared" si="1"/>
        <v>Production Office</v>
      </c>
    </row>
    <row r="31" spans="1:12" ht="18" customHeight="1">
      <c r="A31" s="86" t="s">
        <v>69</v>
      </c>
      <c r="B31" s="87">
        <v>7611300</v>
      </c>
      <c r="C31" s="88" t="s">
        <v>7</v>
      </c>
      <c r="D31" s="89" t="str">
        <f t="shared" si="0"/>
        <v>SGA-7611300</v>
      </c>
      <c r="E31" s="88" t="s">
        <v>67</v>
      </c>
      <c r="F31" s="86" t="s">
        <v>70</v>
      </c>
      <c r="H31" s="96" t="s">
        <v>275</v>
      </c>
      <c r="I31" s="19" t="s">
        <v>276</v>
      </c>
      <c r="J31" s="92" t="s">
        <v>176</v>
      </c>
      <c r="K31" s="92" t="s">
        <v>272</v>
      </c>
      <c r="L31" s="92" t="str">
        <f t="shared" si="1"/>
        <v>Production Office (SP)</v>
      </c>
    </row>
    <row r="32" spans="1:12" ht="18" customHeight="1">
      <c r="A32" s="86" t="s">
        <v>543</v>
      </c>
      <c r="B32" s="87">
        <v>7611400</v>
      </c>
      <c r="C32" s="88" t="s">
        <v>7</v>
      </c>
      <c r="D32" s="89" t="str">
        <f t="shared" si="0"/>
        <v>SGA-7611400</v>
      </c>
      <c r="E32" s="88" t="s">
        <v>67</v>
      </c>
      <c r="F32" s="86" t="s">
        <v>544</v>
      </c>
      <c r="H32" s="96" t="s">
        <v>277</v>
      </c>
      <c r="I32" s="19" t="s">
        <v>278</v>
      </c>
      <c r="J32" s="92" t="s">
        <v>176</v>
      </c>
      <c r="K32" s="92" t="s">
        <v>272</v>
      </c>
      <c r="L32" s="92" t="str">
        <f t="shared" si="1"/>
        <v>Production Office (PC)</v>
      </c>
    </row>
    <row r="33" spans="1:12" ht="18" customHeight="1">
      <c r="A33" s="86" t="s">
        <v>71</v>
      </c>
      <c r="B33" s="87">
        <v>7611500</v>
      </c>
      <c r="C33" s="88" t="s">
        <v>7</v>
      </c>
      <c r="D33" s="89" t="str">
        <f t="shared" si="0"/>
        <v>SGA-7611500</v>
      </c>
      <c r="E33" s="88" t="s">
        <v>67</v>
      </c>
      <c r="F33" s="86" t="s">
        <v>72</v>
      </c>
      <c r="H33" s="96" t="s">
        <v>279</v>
      </c>
      <c r="I33" s="19" t="s">
        <v>280</v>
      </c>
      <c r="J33" s="92" t="s">
        <v>176</v>
      </c>
      <c r="K33" s="92" t="s">
        <v>272</v>
      </c>
      <c r="L33" s="92" t="str">
        <f t="shared" si="1"/>
        <v>Quality Assurance</v>
      </c>
    </row>
    <row r="34" spans="1:12" ht="18" customHeight="1">
      <c r="A34" s="86" t="s">
        <v>73</v>
      </c>
      <c r="B34" s="87">
        <v>7611600</v>
      </c>
      <c r="C34" s="88" t="s">
        <v>7</v>
      </c>
      <c r="D34" s="89" t="str">
        <f t="shared" si="0"/>
        <v>SGA-7611600</v>
      </c>
      <c r="E34" s="88" t="s">
        <v>67</v>
      </c>
      <c r="F34" s="86" t="s">
        <v>74</v>
      </c>
      <c r="H34" s="96" t="s">
        <v>281</v>
      </c>
      <c r="I34" s="19" t="s">
        <v>282</v>
      </c>
      <c r="J34" s="92" t="s">
        <v>176</v>
      </c>
      <c r="K34" s="92" t="s">
        <v>272</v>
      </c>
      <c r="L34" s="92" t="str">
        <f t="shared" si="1"/>
        <v>Quality Control</v>
      </c>
    </row>
    <row r="35" spans="1:12" ht="18" customHeight="1">
      <c r="A35" s="86" t="s">
        <v>75</v>
      </c>
      <c r="B35" s="87">
        <v>7611700</v>
      </c>
      <c r="C35" s="88" t="s">
        <v>7</v>
      </c>
      <c r="D35" s="89" t="str">
        <f t="shared" si="0"/>
        <v>SGA-7611700</v>
      </c>
      <c r="E35" s="88" t="s">
        <v>67</v>
      </c>
      <c r="F35" s="86" t="s">
        <v>76</v>
      </c>
      <c r="H35" s="96" t="s">
        <v>283</v>
      </c>
      <c r="I35" s="19" t="s">
        <v>284</v>
      </c>
      <c r="J35" s="92" t="s">
        <v>176</v>
      </c>
      <c r="K35" s="92" t="s">
        <v>272</v>
      </c>
      <c r="L35" s="92" t="str">
        <f t="shared" si="1"/>
        <v>Maintenance</v>
      </c>
    </row>
    <row r="36" spans="1:12" ht="18" customHeight="1">
      <c r="A36" s="86" t="s">
        <v>545</v>
      </c>
      <c r="B36" s="87">
        <v>7611800</v>
      </c>
      <c r="C36" s="88" t="s">
        <v>7</v>
      </c>
      <c r="D36" s="89" t="str">
        <f t="shared" si="0"/>
        <v>SGA-7611800</v>
      </c>
      <c r="E36" s="88" t="s">
        <v>67</v>
      </c>
      <c r="F36" s="86" t="s">
        <v>546</v>
      </c>
      <c r="H36" s="96" t="s">
        <v>285</v>
      </c>
      <c r="I36" s="19" t="s">
        <v>286</v>
      </c>
      <c r="J36" s="92" t="s">
        <v>176</v>
      </c>
      <c r="K36" s="92" t="s">
        <v>272</v>
      </c>
      <c r="L36" s="92" t="str">
        <f t="shared" si="1"/>
        <v>Production Engineering</v>
      </c>
    </row>
    <row r="37" spans="1:12" ht="18" customHeight="1">
      <c r="A37" s="86" t="s">
        <v>77</v>
      </c>
      <c r="B37" s="87">
        <v>7621101</v>
      </c>
      <c r="C37" s="88" t="s">
        <v>7</v>
      </c>
      <c r="D37" s="89" t="str">
        <f t="shared" si="0"/>
        <v>SGA-7621101</v>
      </c>
      <c r="E37" s="88" t="s">
        <v>78</v>
      </c>
      <c r="F37" s="86" t="s">
        <v>79</v>
      </c>
      <c r="H37" s="18" t="s">
        <v>287</v>
      </c>
      <c r="I37" s="19" t="s">
        <v>288</v>
      </c>
      <c r="J37" s="92" t="s">
        <v>176</v>
      </c>
      <c r="K37" s="92" t="s">
        <v>272</v>
      </c>
      <c r="L37" s="92" t="str">
        <f t="shared" si="1"/>
        <v>Supply Procurement</v>
      </c>
    </row>
    <row r="38" spans="1:12" ht="18" customHeight="1">
      <c r="A38" s="86" t="s">
        <v>80</v>
      </c>
      <c r="B38" s="87">
        <v>7621199</v>
      </c>
      <c r="C38" s="88" t="s">
        <v>7</v>
      </c>
      <c r="D38" s="89" t="str">
        <f t="shared" si="0"/>
        <v>SGA-7621199</v>
      </c>
      <c r="E38" s="88" t="s">
        <v>81</v>
      </c>
      <c r="F38" s="86" t="s">
        <v>82</v>
      </c>
      <c r="H38" s="18" t="s">
        <v>289</v>
      </c>
      <c r="I38" s="19" t="s">
        <v>290</v>
      </c>
      <c r="J38" s="92" t="s">
        <v>176</v>
      </c>
      <c r="K38" s="92" t="s">
        <v>272</v>
      </c>
      <c r="L38" s="92" t="str">
        <f t="shared" si="1"/>
        <v>Inventory Control</v>
      </c>
    </row>
    <row r="39" spans="1:12" ht="18" customHeight="1">
      <c r="A39" s="86" t="s">
        <v>83</v>
      </c>
      <c r="B39" s="87">
        <v>7631101</v>
      </c>
      <c r="C39" s="88" t="s">
        <v>7</v>
      </c>
      <c r="D39" s="89" t="str">
        <f t="shared" si="0"/>
        <v>SGA-7631101</v>
      </c>
      <c r="E39" s="88" t="s">
        <v>84</v>
      </c>
      <c r="F39" s="86" t="s">
        <v>85</v>
      </c>
      <c r="H39" s="97" t="s">
        <v>293</v>
      </c>
      <c r="I39" s="98" t="s">
        <v>294</v>
      </c>
      <c r="J39" s="99" t="s">
        <v>7</v>
      </c>
      <c r="K39" s="99" t="s">
        <v>210</v>
      </c>
      <c r="L39" s="99" t="str">
        <f t="shared" si="1"/>
        <v>SCM - FG WH</v>
      </c>
    </row>
    <row r="40" spans="1:12" ht="18" customHeight="1">
      <c r="A40" s="86" t="s">
        <v>86</v>
      </c>
      <c r="B40" s="87">
        <v>7631102</v>
      </c>
      <c r="C40" s="88" t="s">
        <v>7</v>
      </c>
      <c r="D40" s="89" t="str">
        <f t="shared" si="0"/>
        <v>SGA-7631102</v>
      </c>
      <c r="E40" s="88" t="s">
        <v>87</v>
      </c>
      <c r="F40" s="86" t="s">
        <v>88</v>
      </c>
      <c r="H40" s="18" t="s">
        <v>291</v>
      </c>
      <c r="I40" s="19" t="s">
        <v>292</v>
      </c>
      <c r="J40" s="92" t="s">
        <v>176</v>
      </c>
      <c r="K40" s="92" t="s">
        <v>272</v>
      </c>
      <c r="L40" s="92" t="str">
        <f t="shared" si="1"/>
        <v>WH Dept.- KD &amp; RM</v>
      </c>
    </row>
    <row r="41" spans="1:12" ht="18" customHeight="1">
      <c r="A41" s="86" t="s">
        <v>89</v>
      </c>
      <c r="B41" s="87">
        <v>7641101</v>
      </c>
      <c r="C41" s="88" t="s">
        <v>7</v>
      </c>
      <c r="D41" s="89" t="str">
        <f t="shared" si="0"/>
        <v>SGA-7641101</v>
      </c>
      <c r="E41" s="88" t="s">
        <v>90</v>
      </c>
      <c r="F41" s="86" t="s">
        <v>91</v>
      </c>
      <c r="H41" s="18" t="s">
        <v>295</v>
      </c>
      <c r="I41" s="19" t="s">
        <v>296</v>
      </c>
      <c r="J41" s="92" t="s">
        <v>176</v>
      </c>
      <c r="K41" s="92" t="s">
        <v>272</v>
      </c>
      <c r="L41" s="92" t="str">
        <f t="shared" si="1"/>
        <v>Continuous Improvement</v>
      </c>
    </row>
    <row r="42" spans="1:12" ht="18" customHeight="1">
      <c r="A42" s="86" t="s">
        <v>92</v>
      </c>
      <c r="B42" s="87">
        <v>7641102</v>
      </c>
      <c r="C42" s="88" t="s">
        <v>7</v>
      </c>
      <c r="D42" s="89" t="str">
        <f t="shared" si="0"/>
        <v>SGA-7641102</v>
      </c>
      <c r="E42" s="88" t="s">
        <v>90</v>
      </c>
      <c r="F42" s="86" t="s">
        <v>93</v>
      </c>
      <c r="H42" s="86" t="s">
        <v>547</v>
      </c>
      <c r="I42" s="87" t="s">
        <v>548</v>
      </c>
      <c r="L42" s="86" t="str">
        <f t="shared" si="1"/>
        <v>All</v>
      </c>
    </row>
    <row r="43" spans="1:12" ht="18" customHeight="1">
      <c r="A43" s="86" t="s">
        <v>94</v>
      </c>
      <c r="B43" s="87">
        <v>7641103</v>
      </c>
      <c r="C43" s="88" t="s">
        <v>7</v>
      </c>
      <c r="D43" s="89" t="str">
        <f t="shared" si="0"/>
        <v>SGA-7641103</v>
      </c>
      <c r="E43" s="88" t="s">
        <v>95</v>
      </c>
      <c r="F43" s="86" t="s">
        <v>96</v>
      </c>
    </row>
    <row r="44" spans="1:12" ht="18" customHeight="1">
      <c r="A44" s="86" t="s">
        <v>97</v>
      </c>
      <c r="B44" s="87">
        <v>7641104</v>
      </c>
      <c r="C44" s="88" t="s">
        <v>7</v>
      </c>
      <c r="D44" s="89" t="str">
        <f t="shared" si="0"/>
        <v>SGA-7641104</v>
      </c>
      <c r="E44" s="88" t="s">
        <v>95</v>
      </c>
      <c r="F44" s="86" t="s">
        <v>98</v>
      </c>
    </row>
    <row r="45" spans="1:12" ht="18" customHeight="1">
      <c r="A45" s="86" t="s">
        <v>99</v>
      </c>
      <c r="B45" s="87">
        <v>7651101</v>
      </c>
      <c r="C45" s="88" t="s">
        <v>7</v>
      </c>
      <c r="D45" s="89" t="str">
        <f t="shared" si="0"/>
        <v>SGA-7651101</v>
      </c>
      <c r="E45" s="88" t="s">
        <v>78</v>
      </c>
      <c r="F45" s="86" t="s">
        <v>100</v>
      </c>
    </row>
    <row r="46" spans="1:12" ht="18" customHeight="1">
      <c r="A46" s="86" t="s">
        <v>101</v>
      </c>
      <c r="B46" s="87">
        <v>7651102</v>
      </c>
      <c r="C46" s="88" t="s">
        <v>7</v>
      </c>
      <c r="D46" s="89" t="str">
        <f t="shared" si="0"/>
        <v>SGA-7651102</v>
      </c>
      <c r="E46" s="88" t="s">
        <v>78</v>
      </c>
      <c r="F46" s="86" t="s">
        <v>102</v>
      </c>
    </row>
    <row r="47" spans="1:12" ht="18" customHeight="1">
      <c r="A47" s="86" t="s">
        <v>103</v>
      </c>
      <c r="B47" s="87">
        <v>7651103</v>
      </c>
      <c r="C47" s="88" t="s">
        <v>7</v>
      </c>
      <c r="D47" s="89" t="str">
        <f t="shared" si="0"/>
        <v>SGA-7651103</v>
      </c>
      <c r="E47" s="88" t="s">
        <v>78</v>
      </c>
      <c r="F47" s="86" t="s">
        <v>104</v>
      </c>
    </row>
    <row r="48" spans="1:12" ht="18" customHeight="1">
      <c r="A48" s="86" t="s">
        <v>105</v>
      </c>
      <c r="B48" s="87">
        <v>7661101</v>
      </c>
      <c r="C48" s="88" t="s">
        <v>7</v>
      </c>
      <c r="D48" s="89" t="str">
        <f t="shared" si="0"/>
        <v>SGA-7661101</v>
      </c>
      <c r="E48" s="88" t="s">
        <v>106</v>
      </c>
      <c r="F48" s="86" t="s">
        <v>107</v>
      </c>
    </row>
    <row r="49" spans="1:6" ht="18" customHeight="1">
      <c r="A49" s="86" t="s">
        <v>108</v>
      </c>
      <c r="B49" s="87">
        <v>7671102</v>
      </c>
      <c r="C49" s="88" t="s">
        <v>7</v>
      </c>
      <c r="D49" s="89" t="str">
        <f t="shared" si="0"/>
        <v>SGA-7671102</v>
      </c>
      <c r="E49" s="88" t="s">
        <v>95</v>
      </c>
      <c r="F49" s="86" t="s">
        <v>109</v>
      </c>
    </row>
    <row r="50" spans="1:6" ht="18" customHeight="1">
      <c r="A50" s="86" t="s">
        <v>110</v>
      </c>
      <c r="B50" s="87">
        <v>7671103</v>
      </c>
      <c r="C50" s="88" t="s">
        <v>7</v>
      </c>
      <c r="D50" s="89" t="str">
        <f t="shared" si="0"/>
        <v>SGA-7671103</v>
      </c>
      <c r="E50" s="88" t="s">
        <v>95</v>
      </c>
      <c r="F50" s="86" t="s">
        <v>111</v>
      </c>
    </row>
    <row r="51" spans="1:6" ht="18" customHeight="1">
      <c r="A51" s="86" t="s">
        <v>112</v>
      </c>
      <c r="B51" s="87">
        <v>7681101</v>
      </c>
      <c r="C51" s="88" t="s">
        <v>7</v>
      </c>
      <c r="D51" s="89" t="str">
        <f t="shared" si="0"/>
        <v>SGA-7681101</v>
      </c>
      <c r="E51" s="88" t="s">
        <v>95</v>
      </c>
      <c r="F51" s="86" t="s">
        <v>113</v>
      </c>
    </row>
    <row r="52" spans="1:6" ht="18" customHeight="1">
      <c r="A52" s="86" t="s">
        <v>114</v>
      </c>
      <c r="B52" s="87">
        <v>7691000</v>
      </c>
      <c r="C52" s="88" t="s">
        <v>7</v>
      </c>
      <c r="D52" s="89" t="str">
        <f t="shared" si="0"/>
        <v>SGA-7691000</v>
      </c>
      <c r="E52" s="88" t="s">
        <v>95</v>
      </c>
      <c r="F52" s="86" t="s">
        <v>115</v>
      </c>
    </row>
    <row r="53" spans="1:6" ht="18" customHeight="1">
      <c r="A53" s="86" t="s">
        <v>116</v>
      </c>
      <c r="B53" s="87">
        <v>7711101</v>
      </c>
      <c r="C53" s="88" t="s">
        <v>7</v>
      </c>
      <c r="D53" s="89" t="str">
        <f t="shared" si="0"/>
        <v>SGA-7711101</v>
      </c>
      <c r="E53" s="88" t="s">
        <v>95</v>
      </c>
      <c r="F53" s="86" t="s">
        <v>117</v>
      </c>
    </row>
    <row r="54" spans="1:6" ht="18" customHeight="1">
      <c r="A54" s="86" t="s">
        <v>118</v>
      </c>
      <c r="B54" s="87">
        <v>7711102</v>
      </c>
      <c r="C54" s="88" t="s">
        <v>7</v>
      </c>
      <c r="D54" s="89" t="str">
        <f t="shared" si="0"/>
        <v>SGA-7711102</v>
      </c>
      <c r="E54" s="88" t="s">
        <v>119</v>
      </c>
      <c r="F54" s="86" t="s">
        <v>120</v>
      </c>
    </row>
    <row r="55" spans="1:6" ht="18" customHeight="1">
      <c r="A55" s="86" t="s">
        <v>121</v>
      </c>
      <c r="B55" s="87">
        <v>7711103</v>
      </c>
      <c r="C55" s="88" t="s">
        <v>7</v>
      </c>
      <c r="D55" s="89" t="str">
        <f t="shared" si="0"/>
        <v>SGA-7711103</v>
      </c>
      <c r="E55" s="88" t="s">
        <v>95</v>
      </c>
      <c r="F55" s="86" t="s">
        <v>122</v>
      </c>
    </row>
    <row r="56" spans="1:6" ht="18" customHeight="1">
      <c r="A56" s="86" t="s">
        <v>549</v>
      </c>
      <c r="B56" s="87">
        <v>7721101</v>
      </c>
      <c r="C56" s="88" t="s">
        <v>7</v>
      </c>
      <c r="D56" s="89" t="str">
        <f t="shared" si="0"/>
        <v>SGA-7721101</v>
      </c>
      <c r="E56" s="88" t="s">
        <v>95</v>
      </c>
      <c r="F56" s="86" t="s">
        <v>550</v>
      </c>
    </row>
    <row r="57" spans="1:6" ht="18" customHeight="1">
      <c r="A57" s="86" t="s">
        <v>123</v>
      </c>
      <c r="B57" s="87">
        <v>7729101</v>
      </c>
      <c r="C57" s="88" t="s">
        <v>7</v>
      </c>
      <c r="D57" s="89" t="str">
        <f t="shared" si="0"/>
        <v>SGA-7729101</v>
      </c>
      <c r="E57" s="88" t="s">
        <v>124</v>
      </c>
      <c r="F57" s="86" t="s">
        <v>125</v>
      </c>
    </row>
    <row r="58" spans="1:6" ht="18" customHeight="1">
      <c r="A58" s="86" t="s">
        <v>126</v>
      </c>
      <c r="B58" s="87">
        <v>7729103</v>
      </c>
      <c r="C58" s="88" t="s">
        <v>7</v>
      </c>
      <c r="D58" s="89" t="str">
        <f t="shared" si="0"/>
        <v>SGA-7729103</v>
      </c>
      <c r="E58" s="88" t="s">
        <v>127</v>
      </c>
      <c r="F58" s="86" t="s">
        <v>128</v>
      </c>
    </row>
    <row r="59" spans="1:6" ht="18" customHeight="1">
      <c r="A59" s="86" t="s">
        <v>129</v>
      </c>
      <c r="B59" s="87">
        <v>7729105</v>
      </c>
      <c r="C59" s="88" t="s">
        <v>7</v>
      </c>
      <c r="D59" s="89" t="str">
        <f t="shared" si="0"/>
        <v>SGA-7729105</v>
      </c>
      <c r="E59" s="88" t="s">
        <v>95</v>
      </c>
      <c r="F59" s="86" t="s">
        <v>130</v>
      </c>
    </row>
    <row r="60" spans="1:6" ht="18" customHeight="1">
      <c r="A60" s="86" t="s">
        <v>131</v>
      </c>
      <c r="B60" s="87">
        <v>7781101</v>
      </c>
      <c r="C60" s="88" t="s">
        <v>7</v>
      </c>
      <c r="D60" s="89" t="str">
        <f t="shared" si="0"/>
        <v>SGA-7781101</v>
      </c>
      <c r="E60" s="88" t="s">
        <v>95</v>
      </c>
      <c r="F60" s="86" t="s">
        <v>132</v>
      </c>
    </row>
    <row r="61" spans="1:6" ht="18" customHeight="1">
      <c r="A61" s="86" t="s">
        <v>133</v>
      </c>
      <c r="B61" s="87">
        <v>7781103</v>
      </c>
      <c r="C61" s="88" t="s">
        <v>7</v>
      </c>
      <c r="D61" s="89" t="str">
        <f t="shared" si="0"/>
        <v>SGA-7781103</v>
      </c>
      <c r="E61" s="88" t="s">
        <v>95</v>
      </c>
      <c r="F61" s="86" t="s">
        <v>134</v>
      </c>
    </row>
    <row r="62" spans="1:6" ht="18" customHeight="1">
      <c r="A62" s="86" t="s">
        <v>135</v>
      </c>
      <c r="B62" s="87">
        <v>7781104</v>
      </c>
      <c r="C62" s="88" t="s">
        <v>7</v>
      </c>
      <c r="D62" s="89" t="str">
        <f t="shared" si="0"/>
        <v>SGA-7781104</v>
      </c>
      <c r="E62" s="88" t="s">
        <v>95</v>
      </c>
      <c r="F62" s="86" t="s">
        <v>136</v>
      </c>
    </row>
    <row r="63" spans="1:6" ht="18" customHeight="1">
      <c r="A63" s="86" t="s">
        <v>551</v>
      </c>
      <c r="B63" s="87">
        <v>7781105</v>
      </c>
      <c r="C63" s="88" t="s">
        <v>7</v>
      </c>
      <c r="D63" s="89" t="str">
        <f t="shared" si="0"/>
        <v>SGA-7781105</v>
      </c>
      <c r="E63" s="88" t="s">
        <v>95</v>
      </c>
      <c r="F63" s="86" t="s">
        <v>552</v>
      </c>
    </row>
    <row r="64" spans="1:6" ht="18" customHeight="1">
      <c r="A64" s="86" t="s">
        <v>553</v>
      </c>
      <c r="B64" s="87">
        <v>7781106</v>
      </c>
      <c r="C64" s="88" t="s">
        <v>7</v>
      </c>
      <c r="D64" s="89" t="str">
        <f t="shared" si="0"/>
        <v>SGA-7781106</v>
      </c>
      <c r="E64" s="88" t="s">
        <v>95</v>
      </c>
      <c r="F64" s="86" t="s">
        <v>554</v>
      </c>
    </row>
    <row r="65" spans="1:6" ht="18" customHeight="1">
      <c r="A65" s="86" t="s">
        <v>137</v>
      </c>
      <c r="B65" s="87">
        <v>7781107</v>
      </c>
      <c r="C65" s="88" t="s">
        <v>7</v>
      </c>
      <c r="D65" s="89" t="str">
        <f t="shared" si="0"/>
        <v>SGA-7781107</v>
      </c>
      <c r="E65" s="88" t="s">
        <v>138</v>
      </c>
      <c r="F65" s="86" t="s">
        <v>139</v>
      </c>
    </row>
    <row r="66" spans="1:6" ht="18" customHeight="1">
      <c r="A66" s="86" t="s">
        <v>140</v>
      </c>
      <c r="B66" s="87">
        <v>7781111</v>
      </c>
      <c r="C66" s="88" t="s">
        <v>7</v>
      </c>
      <c r="D66" s="89" t="str">
        <f t="shared" ref="D66:D129" si="2">C66&amp;"-"&amp;B66</f>
        <v>SGA-7781111</v>
      </c>
      <c r="E66" s="88" t="s">
        <v>95</v>
      </c>
      <c r="F66" s="86" t="s">
        <v>141</v>
      </c>
    </row>
    <row r="67" spans="1:6" ht="18" customHeight="1">
      <c r="A67" s="86" t="s">
        <v>142</v>
      </c>
      <c r="B67" s="87">
        <v>7781112</v>
      </c>
      <c r="C67" s="88" t="s">
        <v>7</v>
      </c>
      <c r="D67" s="89" t="str">
        <f t="shared" si="2"/>
        <v>SGA-7781112</v>
      </c>
      <c r="E67" s="88" t="s">
        <v>95</v>
      </c>
      <c r="F67" s="86" t="s">
        <v>143</v>
      </c>
    </row>
    <row r="68" spans="1:6" ht="18" customHeight="1">
      <c r="A68" s="86" t="s">
        <v>144</v>
      </c>
      <c r="B68" s="87">
        <v>7781113</v>
      </c>
      <c r="C68" s="88" t="s">
        <v>7</v>
      </c>
      <c r="D68" s="89" t="str">
        <f t="shared" si="2"/>
        <v>SGA-7781113</v>
      </c>
      <c r="E68" s="88" t="s">
        <v>95</v>
      </c>
      <c r="F68" s="86" t="s">
        <v>145</v>
      </c>
    </row>
    <row r="69" spans="1:6" ht="18" customHeight="1">
      <c r="A69" s="86" t="s">
        <v>146</v>
      </c>
      <c r="B69" s="87">
        <v>7411101</v>
      </c>
      <c r="C69" s="88" t="s">
        <v>7</v>
      </c>
      <c r="D69" s="89" t="str">
        <f t="shared" si="2"/>
        <v>SGA-7411101</v>
      </c>
      <c r="E69" s="88" t="s">
        <v>147</v>
      </c>
      <c r="F69" s="86" t="s">
        <v>148</v>
      </c>
    </row>
    <row r="70" spans="1:6" ht="18" customHeight="1">
      <c r="A70" s="86" t="s">
        <v>149</v>
      </c>
      <c r="B70" s="87">
        <v>7411103</v>
      </c>
      <c r="C70" s="88" t="s">
        <v>7</v>
      </c>
      <c r="D70" s="89" t="str">
        <f t="shared" si="2"/>
        <v>SGA-7411103</v>
      </c>
      <c r="E70" s="88" t="s">
        <v>150</v>
      </c>
      <c r="F70" s="86" t="s">
        <v>151</v>
      </c>
    </row>
    <row r="71" spans="1:6" ht="18" customHeight="1">
      <c r="A71" s="86" t="s">
        <v>152</v>
      </c>
      <c r="B71" s="87">
        <v>7411104</v>
      </c>
      <c r="C71" s="88" t="s">
        <v>7</v>
      </c>
      <c r="D71" s="89" t="str">
        <f t="shared" si="2"/>
        <v>SGA-7411104</v>
      </c>
      <c r="E71" s="88" t="s">
        <v>153</v>
      </c>
      <c r="F71" s="86" t="s">
        <v>154</v>
      </c>
    </row>
    <row r="72" spans="1:6" ht="18" customHeight="1">
      <c r="A72" s="86" t="s">
        <v>155</v>
      </c>
      <c r="B72" s="87">
        <v>7431101</v>
      </c>
      <c r="C72" s="88" t="s">
        <v>7</v>
      </c>
      <c r="D72" s="89" t="str">
        <f t="shared" si="2"/>
        <v>SGA-7431101</v>
      </c>
      <c r="E72" s="88" t="s">
        <v>156</v>
      </c>
      <c r="F72" s="86" t="s">
        <v>157</v>
      </c>
    </row>
    <row r="73" spans="1:6" ht="18" customHeight="1">
      <c r="A73" s="86" t="s">
        <v>158</v>
      </c>
      <c r="B73" s="87">
        <v>7451101</v>
      </c>
      <c r="C73" s="88" t="s">
        <v>7</v>
      </c>
      <c r="D73" s="89" t="str">
        <f t="shared" si="2"/>
        <v>SGA-7451101</v>
      </c>
      <c r="E73" s="88" t="s">
        <v>159</v>
      </c>
      <c r="F73" s="86" t="s">
        <v>160</v>
      </c>
    </row>
    <row r="74" spans="1:6" ht="18" customHeight="1">
      <c r="A74" s="86" t="s">
        <v>161</v>
      </c>
      <c r="B74" s="87">
        <v>7451102</v>
      </c>
      <c r="C74" s="88" t="s">
        <v>7</v>
      </c>
      <c r="D74" s="89" t="str">
        <f t="shared" si="2"/>
        <v>SGA-7451102</v>
      </c>
      <c r="E74" s="88" t="s">
        <v>162</v>
      </c>
      <c r="F74" s="86" t="s">
        <v>163</v>
      </c>
    </row>
    <row r="75" spans="1:6" ht="18" customHeight="1">
      <c r="A75" s="86" t="s">
        <v>164</v>
      </c>
      <c r="B75" s="87">
        <v>7451103</v>
      </c>
      <c r="C75" s="88" t="s">
        <v>7</v>
      </c>
      <c r="D75" s="89" t="str">
        <f t="shared" si="2"/>
        <v>SGA-7451103</v>
      </c>
      <c r="E75" s="88" t="s">
        <v>165</v>
      </c>
      <c r="F75" s="86" t="s">
        <v>166</v>
      </c>
    </row>
    <row r="76" spans="1:6" ht="18" customHeight="1">
      <c r="A76" s="100" t="s">
        <v>167</v>
      </c>
      <c r="B76" s="87">
        <v>7461101</v>
      </c>
      <c r="C76" s="88" t="s">
        <v>7</v>
      </c>
      <c r="D76" s="89" t="str">
        <f t="shared" si="2"/>
        <v>SGA-7461101</v>
      </c>
      <c r="E76" s="88" t="s">
        <v>168</v>
      </c>
      <c r="F76" s="86" t="s">
        <v>169</v>
      </c>
    </row>
    <row r="77" spans="1:6" ht="18" customHeight="1">
      <c r="A77" s="86" t="s">
        <v>170</v>
      </c>
      <c r="B77" s="87">
        <v>7411105</v>
      </c>
      <c r="C77" s="88" t="s">
        <v>7</v>
      </c>
      <c r="D77" s="88" t="str">
        <f t="shared" si="2"/>
        <v>SGA-7411105</v>
      </c>
      <c r="E77" s="101" t="s">
        <v>555</v>
      </c>
    </row>
    <row r="78" spans="1:6" ht="18" customHeight="1">
      <c r="A78" s="86" t="s">
        <v>172</v>
      </c>
      <c r="B78" s="87">
        <v>7471201</v>
      </c>
      <c r="C78" s="88" t="s">
        <v>7</v>
      </c>
      <c r="D78" s="88" t="str">
        <f t="shared" si="2"/>
        <v>SGA-7471201</v>
      </c>
      <c r="E78" s="101" t="s">
        <v>555</v>
      </c>
    </row>
    <row r="79" spans="1:6" ht="18" customHeight="1">
      <c r="A79" s="86" t="s">
        <v>173</v>
      </c>
      <c r="B79" s="87">
        <v>7751101</v>
      </c>
      <c r="C79" s="88" t="s">
        <v>7</v>
      </c>
      <c r="D79" s="88" t="str">
        <f t="shared" si="2"/>
        <v>SGA-7751101</v>
      </c>
    </row>
    <row r="80" spans="1:6" ht="18" customHeight="1">
      <c r="A80" s="86" t="s">
        <v>174</v>
      </c>
      <c r="B80" s="87">
        <v>7751102</v>
      </c>
      <c r="C80" s="88" t="s">
        <v>7</v>
      </c>
      <c r="D80" s="88" t="str">
        <f t="shared" si="2"/>
        <v>SGA-7751102</v>
      </c>
    </row>
    <row r="81" spans="1:6" ht="18" customHeight="1">
      <c r="A81" s="86" t="s">
        <v>175</v>
      </c>
      <c r="B81" s="102">
        <v>7111211</v>
      </c>
      <c r="C81" s="102" t="s">
        <v>176</v>
      </c>
      <c r="D81" s="102" t="str">
        <f t="shared" si="2"/>
        <v>MFG-7111211</v>
      </c>
    </row>
    <row r="82" spans="1:6" ht="18" customHeight="1">
      <c r="A82" s="86" t="s">
        <v>556</v>
      </c>
      <c r="B82" s="102">
        <v>7111212</v>
      </c>
      <c r="C82" s="102" t="s">
        <v>176</v>
      </c>
      <c r="D82" s="102" t="str">
        <f t="shared" si="2"/>
        <v>MFG-7111212</v>
      </c>
    </row>
    <row r="83" spans="1:6" ht="18" customHeight="1">
      <c r="A83" s="86" t="s">
        <v>177</v>
      </c>
      <c r="B83" s="102">
        <v>7111221</v>
      </c>
      <c r="C83" s="102" t="s">
        <v>176</v>
      </c>
      <c r="D83" s="102" t="str">
        <f t="shared" si="2"/>
        <v>MFG-7111221</v>
      </c>
    </row>
    <row r="84" spans="1:6" ht="18" customHeight="1">
      <c r="A84" s="86" t="s">
        <v>178</v>
      </c>
      <c r="B84" s="102">
        <v>7111222</v>
      </c>
      <c r="C84" s="102" t="s">
        <v>176</v>
      </c>
      <c r="D84" s="102" t="str">
        <f t="shared" si="2"/>
        <v>MFG-7111222</v>
      </c>
    </row>
    <row r="85" spans="1:6" ht="18" customHeight="1">
      <c r="A85" s="86" t="s">
        <v>179</v>
      </c>
      <c r="B85" s="102">
        <v>7111223</v>
      </c>
      <c r="C85" s="102" t="s">
        <v>176</v>
      </c>
      <c r="D85" s="102" t="str">
        <f t="shared" si="2"/>
        <v>MFG-7111223</v>
      </c>
    </row>
    <row r="86" spans="1:6" ht="18" customHeight="1">
      <c r="A86" s="86" t="s">
        <v>180</v>
      </c>
      <c r="B86" s="102">
        <v>7111311</v>
      </c>
      <c r="C86" s="102" t="s">
        <v>176</v>
      </c>
      <c r="D86" s="102" t="str">
        <f t="shared" si="2"/>
        <v>MFG-7111311</v>
      </c>
    </row>
    <row r="87" spans="1:6" ht="18" customHeight="1">
      <c r="A87" s="86" t="s">
        <v>557</v>
      </c>
      <c r="B87" s="102">
        <v>7111312</v>
      </c>
      <c r="C87" s="102" t="s">
        <v>176</v>
      </c>
      <c r="D87" s="102" t="str">
        <f t="shared" si="2"/>
        <v>MFG-7111312</v>
      </c>
    </row>
    <row r="88" spans="1:6" ht="18" customHeight="1">
      <c r="A88" s="86" t="s">
        <v>181</v>
      </c>
      <c r="B88" s="102">
        <v>7111321</v>
      </c>
      <c r="C88" s="102" t="s">
        <v>176</v>
      </c>
      <c r="D88" s="102" t="str">
        <f t="shared" si="2"/>
        <v>MFG-7111321</v>
      </c>
    </row>
    <row r="89" spans="1:6" ht="18" customHeight="1">
      <c r="A89" s="86" t="s">
        <v>182</v>
      </c>
      <c r="B89" s="102">
        <v>7111322</v>
      </c>
      <c r="C89" s="102" t="s">
        <v>176</v>
      </c>
      <c r="D89" s="102" t="str">
        <f t="shared" si="2"/>
        <v>MFG-7111322</v>
      </c>
    </row>
    <row r="90" spans="1:6" ht="18" customHeight="1">
      <c r="A90" s="86" t="s">
        <v>183</v>
      </c>
      <c r="B90" s="102">
        <v>7111323</v>
      </c>
      <c r="C90" s="102" t="s">
        <v>176</v>
      </c>
      <c r="D90" s="102" t="str">
        <f t="shared" si="2"/>
        <v>MFG-7111323</v>
      </c>
    </row>
    <row r="91" spans="1:6" ht="18" customHeight="1">
      <c r="A91" s="86" t="s">
        <v>558</v>
      </c>
      <c r="B91" s="102">
        <v>7111411</v>
      </c>
      <c r="C91" s="102" t="s">
        <v>176</v>
      </c>
      <c r="D91" s="102" t="str">
        <f t="shared" si="2"/>
        <v>MFG-7111411</v>
      </c>
    </row>
    <row r="92" spans="1:6" ht="18" customHeight="1">
      <c r="A92" s="86" t="s">
        <v>559</v>
      </c>
      <c r="B92" s="102">
        <v>7151101</v>
      </c>
      <c r="C92" s="102" t="s">
        <v>176</v>
      </c>
      <c r="D92" s="102" t="str">
        <f t="shared" si="2"/>
        <v>MFG-7151101</v>
      </c>
    </row>
    <row r="93" spans="1:6" ht="18" customHeight="1">
      <c r="A93" s="86" t="s">
        <v>560</v>
      </c>
      <c r="B93" s="102">
        <v>7200000</v>
      </c>
      <c r="C93" s="102" t="s">
        <v>176</v>
      </c>
      <c r="D93" s="102" t="str">
        <f t="shared" si="2"/>
        <v>MFG-7200000</v>
      </c>
    </row>
    <row r="94" spans="1:6" ht="18" customHeight="1">
      <c r="A94" s="86" t="s">
        <v>184</v>
      </c>
      <c r="B94" s="102">
        <v>7211101</v>
      </c>
      <c r="C94" s="102" t="s">
        <v>176</v>
      </c>
      <c r="D94" s="102" t="str">
        <f t="shared" si="2"/>
        <v>MFG-7211101</v>
      </c>
    </row>
    <row r="95" spans="1:6" ht="18" customHeight="1">
      <c r="A95" s="86" t="s">
        <v>185</v>
      </c>
      <c r="B95" s="102">
        <v>7211102</v>
      </c>
      <c r="C95" s="102" t="s">
        <v>176</v>
      </c>
      <c r="D95" s="102" t="str">
        <f t="shared" si="2"/>
        <v>MFG-7211102</v>
      </c>
      <c r="E95" s="102">
        <v>901</v>
      </c>
      <c r="F95" s="86" t="s">
        <v>186</v>
      </c>
    </row>
    <row r="96" spans="1:6" ht="18" customHeight="1">
      <c r="A96" s="86" t="s">
        <v>187</v>
      </c>
      <c r="B96" s="102">
        <v>7211103</v>
      </c>
      <c r="C96" s="102" t="s">
        <v>176</v>
      </c>
      <c r="D96" s="102" t="str">
        <f t="shared" si="2"/>
        <v>MFG-7211103</v>
      </c>
      <c r="E96" s="102"/>
    </row>
    <row r="97" spans="1:6" ht="18" customHeight="1">
      <c r="A97" s="86" t="s">
        <v>561</v>
      </c>
      <c r="B97" s="102">
        <v>7211104</v>
      </c>
      <c r="C97" s="102" t="s">
        <v>176</v>
      </c>
      <c r="D97" s="102" t="str">
        <f t="shared" si="2"/>
        <v>MFG-7211104</v>
      </c>
      <c r="E97" s="102">
        <v>302</v>
      </c>
    </row>
    <row r="98" spans="1:6" ht="18" customHeight="1">
      <c r="A98" s="86" t="s">
        <v>188</v>
      </c>
      <c r="B98" s="102">
        <v>7221101</v>
      </c>
      <c r="C98" s="102" t="s">
        <v>176</v>
      </c>
      <c r="D98" s="102" t="str">
        <f t="shared" si="2"/>
        <v>MFG-7221101</v>
      </c>
      <c r="E98" s="102">
        <v>302</v>
      </c>
      <c r="F98" s="86" t="s">
        <v>189</v>
      </c>
    </row>
    <row r="99" spans="1:6" ht="18" customHeight="1">
      <c r="A99" s="86" t="s">
        <v>190</v>
      </c>
      <c r="B99" s="102">
        <v>7221102</v>
      </c>
      <c r="C99" s="102" t="s">
        <v>176</v>
      </c>
      <c r="D99" s="102" t="str">
        <f t="shared" si="2"/>
        <v>MFG-7221102</v>
      </c>
      <c r="E99" s="102">
        <v>301</v>
      </c>
      <c r="F99" s="86" t="s">
        <v>191</v>
      </c>
    </row>
    <row r="100" spans="1:6" ht="18" customHeight="1">
      <c r="A100" s="86" t="s">
        <v>6</v>
      </c>
      <c r="B100" s="102">
        <v>7511101</v>
      </c>
      <c r="C100" s="102" t="s">
        <v>176</v>
      </c>
      <c r="D100" s="102" t="str">
        <f t="shared" si="2"/>
        <v>MFG-7511101</v>
      </c>
      <c r="E100" s="102">
        <v>602</v>
      </c>
      <c r="F100" s="86" t="s">
        <v>6</v>
      </c>
    </row>
    <row r="101" spans="1:6" ht="18" customHeight="1">
      <c r="A101" s="86" t="s">
        <v>9</v>
      </c>
      <c r="B101" s="102">
        <v>7511102</v>
      </c>
      <c r="C101" s="102" t="s">
        <v>176</v>
      </c>
      <c r="D101" s="102" t="str">
        <f t="shared" si="2"/>
        <v>MFG-7511102</v>
      </c>
      <c r="E101" s="102">
        <v>602</v>
      </c>
      <c r="F101" s="86" t="s">
        <v>10</v>
      </c>
    </row>
    <row r="102" spans="1:6" ht="18" customHeight="1">
      <c r="A102" s="86" t="s">
        <v>11</v>
      </c>
      <c r="B102" s="102">
        <v>7511103</v>
      </c>
      <c r="C102" s="102" t="s">
        <v>176</v>
      </c>
      <c r="D102" s="102" t="str">
        <f t="shared" si="2"/>
        <v>MFG-7511103</v>
      </c>
      <c r="E102" s="102">
        <v>601</v>
      </c>
      <c r="F102" s="86" t="s">
        <v>13</v>
      </c>
    </row>
    <row r="103" spans="1:6" ht="18" customHeight="1">
      <c r="A103" s="86" t="s">
        <v>14</v>
      </c>
      <c r="B103" s="102">
        <v>7511111</v>
      </c>
      <c r="C103" s="102" t="s">
        <v>176</v>
      </c>
      <c r="D103" s="102" t="str">
        <f t="shared" si="2"/>
        <v>MFG-7511111</v>
      </c>
      <c r="E103" s="102">
        <v>601</v>
      </c>
      <c r="F103" s="86" t="s">
        <v>15</v>
      </c>
    </row>
    <row r="104" spans="1:6" ht="18" customHeight="1">
      <c r="A104" s="86" t="s">
        <v>16</v>
      </c>
      <c r="B104" s="102">
        <v>7511112</v>
      </c>
      <c r="C104" s="102" t="s">
        <v>176</v>
      </c>
      <c r="D104" s="102" t="str">
        <f t="shared" si="2"/>
        <v>MFG-7511112</v>
      </c>
      <c r="E104" s="102">
        <v>601</v>
      </c>
      <c r="F104" s="86" t="s">
        <v>17</v>
      </c>
    </row>
    <row r="105" spans="1:6" ht="18" customHeight="1">
      <c r="A105" s="86" t="s">
        <v>18</v>
      </c>
      <c r="B105" s="102">
        <v>7511121</v>
      </c>
      <c r="C105" s="102" t="s">
        <v>176</v>
      </c>
      <c r="D105" s="102" t="str">
        <f t="shared" si="2"/>
        <v>MFG-7511121</v>
      </c>
      <c r="E105" s="102">
        <v>601</v>
      </c>
      <c r="F105" s="86" t="s">
        <v>19</v>
      </c>
    </row>
    <row r="106" spans="1:6" ht="18" customHeight="1">
      <c r="A106" s="86" t="s">
        <v>20</v>
      </c>
      <c r="B106" s="102">
        <v>7511122</v>
      </c>
      <c r="C106" s="102" t="s">
        <v>176</v>
      </c>
      <c r="D106" s="102" t="str">
        <f t="shared" si="2"/>
        <v>MFG-7511122</v>
      </c>
      <c r="E106" s="102">
        <v>601</v>
      </c>
      <c r="F106" s="86" t="s">
        <v>21</v>
      </c>
    </row>
    <row r="107" spans="1:6" ht="18" customHeight="1">
      <c r="A107" s="86" t="s">
        <v>22</v>
      </c>
      <c r="B107" s="102">
        <v>7511201</v>
      </c>
      <c r="C107" s="102" t="s">
        <v>176</v>
      </c>
      <c r="D107" s="102" t="str">
        <f t="shared" si="2"/>
        <v>MFG-7511201</v>
      </c>
      <c r="E107" s="102">
        <v>603</v>
      </c>
      <c r="F107" s="86" t="s">
        <v>24</v>
      </c>
    </row>
    <row r="108" spans="1:6" ht="18" customHeight="1">
      <c r="A108" s="86" t="s">
        <v>25</v>
      </c>
      <c r="B108" s="102">
        <v>7512111</v>
      </c>
      <c r="C108" s="102" t="s">
        <v>176</v>
      </c>
      <c r="D108" s="102" t="str">
        <f t="shared" si="2"/>
        <v>MFG-7512111</v>
      </c>
      <c r="E108" s="102">
        <v>604</v>
      </c>
      <c r="F108" s="86" t="s">
        <v>27</v>
      </c>
    </row>
    <row r="109" spans="1:6" ht="18" customHeight="1">
      <c r="A109" s="86" t="s">
        <v>28</v>
      </c>
      <c r="B109" s="102">
        <v>7512112</v>
      </c>
      <c r="C109" s="102" t="s">
        <v>176</v>
      </c>
      <c r="D109" s="102" t="str">
        <f t="shared" si="2"/>
        <v>MFG-7512112</v>
      </c>
      <c r="E109" s="102">
        <v>604</v>
      </c>
      <c r="F109" s="86" t="s">
        <v>29</v>
      </c>
    </row>
    <row r="110" spans="1:6" ht="18" customHeight="1">
      <c r="A110" s="86" t="s">
        <v>30</v>
      </c>
      <c r="B110" s="102">
        <v>7514101</v>
      </c>
      <c r="C110" s="102" t="s">
        <v>176</v>
      </c>
      <c r="D110" s="102" t="str">
        <f t="shared" si="2"/>
        <v>MFG-7514101</v>
      </c>
      <c r="E110" s="102">
        <v>601</v>
      </c>
      <c r="F110" s="86" t="s">
        <v>31</v>
      </c>
    </row>
    <row r="111" spans="1:6" ht="18" customHeight="1">
      <c r="A111" s="86" t="s">
        <v>32</v>
      </c>
      <c r="B111" s="102">
        <v>7514102</v>
      </c>
      <c r="C111" s="102" t="s">
        <v>176</v>
      </c>
      <c r="D111" s="102" t="str">
        <f t="shared" si="2"/>
        <v>MFG-7514102</v>
      </c>
      <c r="E111" s="102">
        <v>601</v>
      </c>
      <c r="F111" s="86" t="s">
        <v>33</v>
      </c>
    </row>
    <row r="112" spans="1:6" ht="18" customHeight="1">
      <c r="A112" s="86" t="s">
        <v>34</v>
      </c>
      <c r="B112" s="102">
        <v>7515401</v>
      </c>
      <c r="C112" s="102" t="s">
        <v>176</v>
      </c>
      <c r="D112" s="102" t="str">
        <f t="shared" si="2"/>
        <v>MFG-7515401</v>
      </c>
      <c r="E112" s="102">
        <v>604</v>
      </c>
      <c r="F112" s="86" t="s">
        <v>35</v>
      </c>
    </row>
    <row r="113" spans="1:6" ht="18" customHeight="1">
      <c r="A113" s="86" t="s">
        <v>36</v>
      </c>
      <c r="B113" s="102">
        <v>7515402</v>
      </c>
      <c r="C113" s="102" t="s">
        <v>176</v>
      </c>
      <c r="D113" s="102" t="str">
        <f t="shared" si="2"/>
        <v>MFG-7515402</v>
      </c>
      <c r="E113" s="102">
        <v>604</v>
      </c>
      <c r="F113" s="86" t="s">
        <v>37</v>
      </c>
    </row>
    <row r="114" spans="1:6" ht="18" customHeight="1">
      <c r="A114" s="86" t="s">
        <v>38</v>
      </c>
      <c r="B114" s="102">
        <v>7515403</v>
      </c>
      <c r="C114" s="102" t="s">
        <v>176</v>
      </c>
      <c r="D114" s="102" t="str">
        <f t="shared" si="2"/>
        <v>MFG-7515403</v>
      </c>
      <c r="E114" s="102">
        <v>604</v>
      </c>
      <c r="F114" s="86" t="s">
        <v>39</v>
      </c>
    </row>
    <row r="115" spans="1:6" ht="18" customHeight="1">
      <c r="A115" s="86" t="s">
        <v>40</v>
      </c>
      <c r="B115" s="102">
        <v>7515404</v>
      </c>
      <c r="C115" s="102" t="s">
        <v>176</v>
      </c>
      <c r="D115" s="102" t="str">
        <f t="shared" si="2"/>
        <v>MFG-7515404</v>
      </c>
      <c r="E115" s="102">
        <v>604</v>
      </c>
      <c r="F115" s="86" t="s">
        <v>41</v>
      </c>
    </row>
    <row r="116" spans="1:6" ht="18" customHeight="1">
      <c r="A116" s="86" t="s">
        <v>42</v>
      </c>
      <c r="B116" s="102">
        <v>7515405</v>
      </c>
      <c r="C116" s="102" t="s">
        <v>176</v>
      </c>
      <c r="D116" s="102" t="str">
        <f t="shared" si="2"/>
        <v>MFG-7515405</v>
      </c>
      <c r="E116" s="102">
        <v>604</v>
      </c>
      <c r="F116" s="86" t="s">
        <v>43</v>
      </c>
    </row>
    <row r="117" spans="1:6" ht="18" customHeight="1">
      <c r="A117" s="86" t="s">
        <v>44</v>
      </c>
      <c r="B117" s="102">
        <v>7515406</v>
      </c>
      <c r="C117" s="102" t="s">
        <v>176</v>
      </c>
      <c r="D117" s="102" t="str">
        <f t="shared" si="2"/>
        <v>MFG-7515406</v>
      </c>
      <c r="E117" s="102">
        <v>604</v>
      </c>
      <c r="F117" s="86" t="s">
        <v>45</v>
      </c>
    </row>
    <row r="118" spans="1:6" ht="18" customHeight="1">
      <c r="A118" s="86" t="s">
        <v>542</v>
      </c>
      <c r="B118" s="102">
        <v>7515407</v>
      </c>
      <c r="C118" s="102" t="s">
        <v>176</v>
      </c>
      <c r="D118" s="102" t="str">
        <f t="shared" si="2"/>
        <v>MFG-7515407</v>
      </c>
      <c r="E118" s="102">
        <v>604</v>
      </c>
    </row>
    <row r="119" spans="1:6" ht="18" customHeight="1">
      <c r="A119" s="86" t="s">
        <v>46</v>
      </c>
      <c r="B119" s="102">
        <v>7515408</v>
      </c>
      <c r="C119" s="102" t="s">
        <v>176</v>
      </c>
      <c r="D119" s="102" t="str">
        <f t="shared" si="2"/>
        <v>MFG-7515408</v>
      </c>
      <c r="E119" s="102">
        <v>604</v>
      </c>
      <c r="F119" s="86" t="s">
        <v>47</v>
      </c>
    </row>
    <row r="120" spans="1:6" ht="18" customHeight="1">
      <c r="A120" s="86" t="s">
        <v>48</v>
      </c>
      <c r="B120" s="102">
        <v>7515409</v>
      </c>
      <c r="C120" s="102" t="s">
        <v>176</v>
      </c>
      <c r="D120" s="102" t="str">
        <f t="shared" si="2"/>
        <v>MFG-7515409</v>
      </c>
      <c r="E120" s="102">
        <v>604</v>
      </c>
      <c r="F120" s="86" t="s">
        <v>49</v>
      </c>
    </row>
    <row r="121" spans="1:6" ht="18" customHeight="1">
      <c r="A121" s="86" t="s">
        <v>50</v>
      </c>
      <c r="B121" s="102">
        <v>7515410</v>
      </c>
      <c r="C121" s="102" t="s">
        <v>176</v>
      </c>
      <c r="D121" s="102" t="str">
        <f t="shared" si="2"/>
        <v>MFG-7515410</v>
      </c>
      <c r="E121" s="102">
        <v>604</v>
      </c>
      <c r="F121" s="86" t="s">
        <v>51</v>
      </c>
    </row>
    <row r="122" spans="1:6" ht="18" customHeight="1">
      <c r="A122" s="86" t="s">
        <v>52</v>
      </c>
      <c r="B122" s="102">
        <v>7515499</v>
      </c>
      <c r="C122" s="102" t="s">
        <v>176</v>
      </c>
      <c r="D122" s="102" t="str">
        <f t="shared" si="2"/>
        <v>MFG-7515499</v>
      </c>
      <c r="E122" s="102">
        <v>604</v>
      </c>
      <c r="F122" s="86" t="s">
        <v>53</v>
      </c>
    </row>
    <row r="123" spans="1:6" ht="18" customHeight="1">
      <c r="A123" s="86" t="s">
        <v>54</v>
      </c>
      <c r="B123" s="102">
        <v>7516102</v>
      </c>
      <c r="C123" s="102" t="s">
        <v>176</v>
      </c>
      <c r="D123" s="102" t="str">
        <f t="shared" si="2"/>
        <v>MFG-7516102</v>
      </c>
      <c r="E123" s="102">
        <v>605</v>
      </c>
      <c r="F123" s="86" t="s">
        <v>56</v>
      </c>
    </row>
    <row r="124" spans="1:6" ht="18" customHeight="1">
      <c r="A124" s="86" t="s">
        <v>57</v>
      </c>
      <c r="B124" s="102">
        <v>7519101</v>
      </c>
      <c r="C124" s="102" t="s">
        <v>176</v>
      </c>
      <c r="D124" s="102" t="str">
        <f t="shared" si="2"/>
        <v>MFG-7519101</v>
      </c>
      <c r="E124" s="102">
        <v>602</v>
      </c>
      <c r="F124" s="86" t="s">
        <v>58</v>
      </c>
    </row>
    <row r="125" spans="1:6" ht="18" customHeight="1">
      <c r="A125" s="86" t="s">
        <v>192</v>
      </c>
      <c r="B125" s="102">
        <v>7521101</v>
      </c>
      <c r="C125" s="102" t="s">
        <v>176</v>
      </c>
      <c r="D125" s="102" t="str">
        <f t="shared" si="2"/>
        <v>MFG-7521101</v>
      </c>
      <c r="E125" s="102">
        <v>601</v>
      </c>
      <c r="F125" s="86" t="s">
        <v>60</v>
      </c>
    </row>
    <row r="126" spans="1:6" ht="18" customHeight="1">
      <c r="A126" s="86" t="s">
        <v>61</v>
      </c>
      <c r="B126" s="102">
        <v>7521102</v>
      </c>
      <c r="C126" s="102" t="s">
        <v>176</v>
      </c>
      <c r="D126" s="102" t="str">
        <f t="shared" si="2"/>
        <v>MFG-7521102</v>
      </c>
      <c r="E126" s="102">
        <v>603</v>
      </c>
      <c r="F126" s="86" t="s">
        <v>62</v>
      </c>
    </row>
    <row r="127" spans="1:6" ht="18" customHeight="1">
      <c r="A127" s="86" t="s">
        <v>63</v>
      </c>
      <c r="B127" s="102">
        <v>7571101</v>
      </c>
      <c r="C127" s="102" t="s">
        <v>176</v>
      </c>
      <c r="D127" s="102" t="str">
        <f t="shared" si="2"/>
        <v>MFG-7571101</v>
      </c>
      <c r="E127" s="102">
        <v>606</v>
      </c>
      <c r="F127" s="86" t="s">
        <v>65</v>
      </c>
    </row>
    <row r="128" spans="1:6" ht="18" customHeight="1">
      <c r="A128" s="86" t="s">
        <v>66</v>
      </c>
      <c r="B128" s="102">
        <v>7611100</v>
      </c>
      <c r="C128" s="102" t="s">
        <v>176</v>
      </c>
      <c r="D128" s="102" t="str">
        <f t="shared" si="2"/>
        <v>MFG-7611100</v>
      </c>
      <c r="E128" s="102">
        <v>701</v>
      </c>
      <c r="F128" s="86" t="s">
        <v>68</v>
      </c>
    </row>
    <row r="129" spans="1:6" ht="18" customHeight="1">
      <c r="A129" s="86" t="s">
        <v>69</v>
      </c>
      <c r="B129" s="102">
        <v>7611300</v>
      </c>
      <c r="C129" s="102" t="s">
        <v>176</v>
      </c>
      <c r="D129" s="102" t="str">
        <f t="shared" si="2"/>
        <v>MFG-7611300</v>
      </c>
      <c r="E129" s="102">
        <v>701</v>
      </c>
      <c r="F129" s="86" t="s">
        <v>70</v>
      </c>
    </row>
    <row r="130" spans="1:6" ht="18" customHeight="1">
      <c r="A130" s="86" t="s">
        <v>543</v>
      </c>
      <c r="B130" s="102">
        <v>7611400</v>
      </c>
      <c r="C130" s="102" t="s">
        <v>176</v>
      </c>
      <c r="D130" s="102" t="str">
        <f t="shared" ref="D130:D172" si="3">C130&amp;"-"&amp;B130</f>
        <v>MFG-7611400</v>
      </c>
      <c r="E130" s="102">
        <v>701</v>
      </c>
      <c r="F130" s="86" t="s">
        <v>544</v>
      </c>
    </row>
    <row r="131" spans="1:6" ht="18" customHeight="1">
      <c r="A131" s="86" t="s">
        <v>71</v>
      </c>
      <c r="B131" s="102">
        <v>7611500</v>
      </c>
      <c r="C131" s="102" t="s">
        <v>176</v>
      </c>
      <c r="D131" s="102" t="str">
        <f t="shared" si="3"/>
        <v>MFG-7611500</v>
      </c>
      <c r="E131" s="102">
        <v>701</v>
      </c>
      <c r="F131" s="86" t="s">
        <v>72</v>
      </c>
    </row>
    <row r="132" spans="1:6" ht="18" customHeight="1">
      <c r="A132" s="86" t="s">
        <v>73</v>
      </c>
      <c r="B132" s="102">
        <v>7611600</v>
      </c>
      <c r="C132" s="102" t="s">
        <v>176</v>
      </c>
      <c r="D132" s="102" t="str">
        <f t="shared" si="3"/>
        <v>MFG-7611600</v>
      </c>
      <c r="E132" s="102">
        <v>701</v>
      </c>
      <c r="F132" s="86" t="s">
        <v>74</v>
      </c>
    </row>
    <row r="133" spans="1:6" ht="18" customHeight="1">
      <c r="A133" s="86" t="s">
        <v>75</v>
      </c>
      <c r="B133" s="102">
        <v>7611700</v>
      </c>
      <c r="C133" s="102" t="s">
        <v>176</v>
      </c>
      <c r="D133" s="102" t="str">
        <f t="shared" si="3"/>
        <v>MFG-7611700</v>
      </c>
      <c r="E133" s="102">
        <v>701</v>
      </c>
      <c r="F133" s="86" t="s">
        <v>76</v>
      </c>
    </row>
    <row r="134" spans="1:6" ht="18" customHeight="1">
      <c r="A134" s="86" t="s">
        <v>545</v>
      </c>
      <c r="B134" s="102">
        <v>7611800</v>
      </c>
      <c r="C134" s="102" t="s">
        <v>176</v>
      </c>
      <c r="D134" s="102" t="str">
        <f t="shared" si="3"/>
        <v>MFG-7611800</v>
      </c>
      <c r="E134" s="102">
        <v>701</v>
      </c>
      <c r="F134" s="86" t="s">
        <v>546</v>
      </c>
    </row>
    <row r="135" spans="1:6" ht="18" customHeight="1">
      <c r="A135" s="86" t="s">
        <v>77</v>
      </c>
      <c r="B135" s="102">
        <v>7621101</v>
      </c>
      <c r="C135" s="102" t="s">
        <v>176</v>
      </c>
      <c r="D135" s="102" t="str">
        <f t="shared" si="3"/>
        <v>MFG-7621101</v>
      </c>
      <c r="E135" s="102">
        <v>903</v>
      </c>
      <c r="F135" s="86" t="s">
        <v>79</v>
      </c>
    </row>
    <row r="136" spans="1:6" ht="18" customHeight="1">
      <c r="A136" s="100" t="s">
        <v>80</v>
      </c>
      <c r="B136" s="103">
        <v>7621199</v>
      </c>
      <c r="C136" s="102" t="s">
        <v>176</v>
      </c>
      <c r="D136" s="102" t="str">
        <f t="shared" si="3"/>
        <v>MFG-7621199</v>
      </c>
      <c r="E136" s="102">
        <v>801</v>
      </c>
      <c r="F136" s="86" t="s">
        <v>82</v>
      </c>
    </row>
    <row r="137" spans="1:6" ht="18" customHeight="1">
      <c r="A137" s="86" t="s">
        <v>83</v>
      </c>
      <c r="B137" s="102">
        <v>7631101</v>
      </c>
      <c r="C137" s="102" t="s">
        <v>176</v>
      </c>
      <c r="D137" s="102" t="str">
        <f t="shared" si="3"/>
        <v>MFG-7631101</v>
      </c>
      <c r="E137" s="102">
        <v>501</v>
      </c>
      <c r="F137" s="86" t="s">
        <v>85</v>
      </c>
    </row>
    <row r="138" spans="1:6" ht="18" customHeight="1">
      <c r="A138" s="86" t="s">
        <v>86</v>
      </c>
      <c r="B138" s="102">
        <v>7631102</v>
      </c>
      <c r="C138" s="102" t="s">
        <v>176</v>
      </c>
      <c r="D138" s="102" t="str">
        <f t="shared" si="3"/>
        <v>MFG-7631102</v>
      </c>
      <c r="E138" s="102">
        <v>502</v>
      </c>
      <c r="F138" s="86" t="s">
        <v>88</v>
      </c>
    </row>
    <row r="139" spans="1:6" ht="18" customHeight="1">
      <c r="A139" s="86" t="s">
        <v>89</v>
      </c>
      <c r="B139" s="102">
        <v>7641101</v>
      </c>
      <c r="C139" s="102" t="s">
        <v>176</v>
      </c>
      <c r="D139" s="102" t="str">
        <f t="shared" si="3"/>
        <v>MFG-7641101</v>
      </c>
      <c r="E139" s="102">
        <v>401</v>
      </c>
      <c r="F139" s="86" t="s">
        <v>91</v>
      </c>
    </row>
    <row r="140" spans="1:6" ht="18" customHeight="1">
      <c r="A140" s="86" t="s">
        <v>92</v>
      </c>
      <c r="B140" s="102">
        <v>7641102</v>
      </c>
      <c r="C140" s="102" t="s">
        <v>176</v>
      </c>
      <c r="D140" s="102" t="str">
        <f t="shared" si="3"/>
        <v>MFG-7641102</v>
      </c>
      <c r="E140" s="102">
        <v>401</v>
      </c>
      <c r="F140" s="86" t="s">
        <v>93</v>
      </c>
    </row>
    <row r="141" spans="1:6" ht="18" customHeight="1">
      <c r="A141" s="86" t="s">
        <v>94</v>
      </c>
      <c r="B141" s="102">
        <v>7641103</v>
      </c>
      <c r="C141" s="102" t="s">
        <v>176</v>
      </c>
      <c r="D141" s="102" t="str">
        <f t="shared" si="3"/>
        <v>MFG-7641103</v>
      </c>
      <c r="E141" s="102">
        <v>902</v>
      </c>
      <c r="F141" s="86" t="s">
        <v>96</v>
      </c>
    </row>
    <row r="142" spans="1:6" ht="18" customHeight="1">
      <c r="A142" s="86" t="s">
        <v>97</v>
      </c>
      <c r="B142" s="102">
        <v>7641104</v>
      </c>
      <c r="C142" s="102" t="s">
        <v>176</v>
      </c>
      <c r="D142" s="102" t="str">
        <f t="shared" si="3"/>
        <v>MFG-7641104</v>
      </c>
      <c r="E142" s="102">
        <v>999</v>
      </c>
      <c r="F142" s="86" t="s">
        <v>98</v>
      </c>
    </row>
    <row r="143" spans="1:6" ht="18" customHeight="1">
      <c r="A143" s="86" t="s">
        <v>99</v>
      </c>
      <c r="B143" s="102">
        <v>7651101</v>
      </c>
      <c r="C143" s="102" t="s">
        <v>176</v>
      </c>
      <c r="D143" s="102" t="str">
        <f t="shared" si="3"/>
        <v>MFG-7651101</v>
      </c>
      <c r="E143" s="102">
        <v>903</v>
      </c>
      <c r="F143" s="86" t="s">
        <v>100</v>
      </c>
    </row>
    <row r="144" spans="1:6" ht="18" customHeight="1">
      <c r="A144" s="86" t="s">
        <v>101</v>
      </c>
      <c r="B144" s="102">
        <v>7651102</v>
      </c>
      <c r="C144" s="102" t="s">
        <v>176</v>
      </c>
      <c r="D144" s="102" t="str">
        <f t="shared" si="3"/>
        <v>MFG-7651102</v>
      </c>
      <c r="E144" s="102">
        <v>903</v>
      </c>
      <c r="F144" s="86" t="s">
        <v>102</v>
      </c>
    </row>
    <row r="145" spans="1:6" ht="18" customHeight="1">
      <c r="A145" s="86" t="s">
        <v>103</v>
      </c>
      <c r="B145" s="102">
        <v>7651103</v>
      </c>
      <c r="C145" s="102" t="s">
        <v>176</v>
      </c>
      <c r="D145" s="102" t="str">
        <f t="shared" si="3"/>
        <v>MFG-7651103</v>
      </c>
      <c r="E145" s="102">
        <v>903</v>
      </c>
      <c r="F145" s="86" t="s">
        <v>104</v>
      </c>
    </row>
    <row r="146" spans="1:6" ht="18" customHeight="1">
      <c r="A146" s="86" t="s">
        <v>105</v>
      </c>
      <c r="B146" s="102">
        <v>7661101</v>
      </c>
      <c r="C146" s="102" t="s">
        <v>176</v>
      </c>
      <c r="D146" s="102" t="str">
        <f t="shared" si="3"/>
        <v>MFG-7661101</v>
      </c>
      <c r="E146" s="102">
        <v>999</v>
      </c>
      <c r="F146" s="86" t="s">
        <v>107</v>
      </c>
    </row>
    <row r="147" spans="1:6" ht="18" customHeight="1">
      <c r="A147" s="86" t="s">
        <v>108</v>
      </c>
      <c r="B147" s="102">
        <v>7671102</v>
      </c>
      <c r="C147" s="102" t="s">
        <v>176</v>
      </c>
      <c r="D147" s="102" t="str">
        <f t="shared" si="3"/>
        <v>MFG-7671102</v>
      </c>
      <c r="E147" s="102">
        <v>999</v>
      </c>
      <c r="F147" s="86" t="s">
        <v>109</v>
      </c>
    </row>
    <row r="148" spans="1:6" ht="18" customHeight="1">
      <c r="A148" s="86" t="s">
        <v>110</v>
      </c>
      <c r="B148" s="102">
        <v>7671103</v>
      </c>
      <c r="C148" s="102" t="s">
        <v>176</v>
      </c>
      <c r="D148" s="102" t="str">
        <f t="shared" si="3"/>
        <v>MFG-7671103</v>
      </c>
      <c r="E148" s="102">
        <v>999</v>
      </c>
      <c r="F148" s="86" t="s">
        <v>111</v>
      </c>
    </row>
    <row r="149" spans="1:6" ht="18" customHeight="1">
      <c r="A149" s="86" t="s">
        <v>112</v>
      </c>
      <c r="B149" s="102">
        <v>7681101</v>
      </c>
      <c r="C149" s="102" t="s">
        <v>176</v>
      </c>
      <c r="D149" s="102" t="str">
        <f t="shared" si="3"/>
        <v>MFG-7681101</v>
      </c>
      <c r="E149" s="102">
        <v>999</v>
      </c>
      <c r="F149" s="86" t="s">
        <v>113</v>
      </c>
    </row>
    <row r="150" spans="1:6" ht="18" customHeight="1">
      <c r="A150" s="86" t="s">
        <v>114</v>
      </c>
      <c r="B150" s="102">
        <v>7691000</v>
      </c>
      <c r="C150" s="102" t="s">
        <v>176</v>
      </c>
      <c r="D150" s="102" t="str">
        <f t="shared" si="3"/>
        <v>MFG-7691000</v>
      </c>
      <c r="E150" s="102">
        <v>999</v>
      </c>
      <c r="F150" s="86" t="s">
        <v>115</v>
      </c>
    </row>
    <row r="151" spans="1:6" ht="18" customHeight="1">
      <c r="A151" s="86" t="s">
        <v>116</v>
      </c>
      <c r="B151" s="102">
        <v>7711101</v>
      </c>
      <c r="C151" s="102" t="s">
        <v>176</v>
      </c>
      <c r="D151" s="102" t="str">
        <f t="shared" si="3"/>
        <v>MFG-7711101</v>
      </c>
      <c r="E151" s="102">
        <v>999</v>
      </c>
      <c r="F151" s="86" t="s">
        <v>117</v>
      </c>
    </row>
    <row r="152" spans="1:6" ht="18" customHeight="1">
      <c r="A152" s="86" t="s">
        <v>118</v>
      </c>
      <c r="B152" s="102">
        <v>7711102</v>
      </c>
      <c r="C152" s="102" t="s">
        <v>176</v>
      </c>
      <c r="D152" s="102" t="str">
        <f t="shared" si="3"/>
        <v>MFG-7711102</v>
      </c>
      <c r="E152" s="102">
        <v>904</v>
      </c>
      <c r="F152" s="86" t="s">
        <v>120</v>
      </c>
    </row>
    <row r="153" spans="1:6" ht="18" customHeight="1">
      <c r="A153" s="86" t="s">
        <v>121</v>
      </c>
      <c r="B153" s="102">
        <v>7711103</v>
      </c>
      <c r="C153" s="102" t="s">
        <v>176</v>
      </c>
      <c r="D153" s="102" t="str">
        <f t="shared" si="3"/>
        <v>MFG-7711103</v>
      </c>
      <c r="E153" s="102">
        <v>999</v>
      </c>
      <c r="F153" s="86" t="s">
        <v>122</v>
      </c>
    </row>
    <row r="154" spans="1:6" ht="18" customHeight="1">
      <c r="A154" s="86" t="s">
        <v>549</v>
      </c>
      <c r="B154" s="102">
        <v>7721101</v>
      </c>
      <c r="C154" s="102" t="s">
        <v>176</v>
      </c>
      <c r="D154" s="102" t="str">
        <f t="shared" si="3"/>
        <v>MFG-7721101</v>
      </c>
      <c r="E154" s="102">
        <v>999</v>
      </c>
      <c r="F154" s="86" t="s">
        <v>550</v>
      </c>
    </row>
    <row r="155" spans="1:6" ht="18" customHeight="1">
      <c r="A155" s="86" t="s">
        <v>123</v>
      </c>
      <c r="B155" s="102">
        <v>7729101</v>
      </c>
      <c r="C155" s="102" t="s">
        <v>176</v>
      </c>
      <c r="D155" s="102" t="str">
        <f t="shared" si="3"/>
        <v>MFG-7729101</v>
      </c>
      <c r="E155" s="102">
        <v>905</v>
      </c>
      <c r="F155" s="86" t="s">
        <v>125</v>
      </c>
    </row>
    <row r="156" spans="1:6" ht="18" customHeight="1">
      <c r="A156" s="86" t="s">
        <v>126</v>
      </c>
      <c r="B156" s="102">
        <v>7729103</v>
      </c>
      <c r="C156" s="102" t="s">
        <v>176</v>
      </c>
      <c r="D156" s="102" t="str">
        <f t="shared" si="3"/>
        <v>MFG-7729103</v>
      </c>
      <c r="E156" s="102">
        <v>907</v>
      </c>
      <c r="F156" s="86" t="s">
        <v>128</v>
      </c>
    </row>
    <row r="157" spans="1:6" ht="18" customHeight="1">
      <c r="A157" s="86" t="s">
        <v>129</v>
      </c>
      <c r="B157" s="102">
        <v>7729105</v>
      </c>
      <c r="C157" s="102" t="s">
        <v>176</v>
      </c>
      <c r="D157" s="102" t="str">
        <f t="shared" si="3"/>
        <v>MFG-7729105</v>
      </c>
      <c r="E157" s="102">
        <v>999</v>
      </c>
      <c r="F157" s="86" t="s">
        <v>130</v>
      </c>
    </row>
    <row r="158" spans="1:6" ht="18" customHeight="1">
      <c r="A158" s="86" t="s">
        <v>131</v>
      </c>
      <c r="B158" s="102">
        <v>7781101</v>
      </c>
      <c r="C158" s="102" t="s">
        <v>176</v>
      </c>
      <c r="D158" s="102" t="str">
        <f t="shared" si="3"/>
        <v>MFG-7781101</v>
      </c>
      <c r="E158" s="102">
        <v>999</v>
      </c>
      <c r="F158" s="86" t="s">
        <v>132</v>
      </c>
    </row>
    <row r="159" spans="1:6" ht="18" customHeight="1">
      <c r="A159" s="86" t="s">
        <v>133</v>
      </c>
      <c r="B159" s="102">
        <v>7781103</v>
      </c>
      <c r="C159" s="102" t="s">
        <v>176</v>
      </c>
      <c r="D159" s="102" t="str">
        <f t="shared" si="3"/>
        <v>MFG-7781103</v>
      </c>
      <c r="E159" s="102">
        <v>999</v>
      </c>
      <c r="F159" s="86" t="s">
        <v>134</v>
      </c>
    </row>
    <row r="160" spans="1:6" ht="18" customHeight="1">
      <c r="A160" s="86" t="s">
        <v>135</v>
      </c>
      <c r="B160" s="102">
        <v>7781104</v>
      </c>
      <c r="C160" s="102" t="s">
        <v>176</v>
      </c>
      <c r="D160" s="102" t="str">
        <f t="shared" si="3"/>
        <v>MFG-7781104</v>
      </c>
      <c r="E160" s="102">
        <v>999</v>
      </c>
      <c r="F160" s="86" t="s">
        <v>136</v>
      </c>
    </row>
    <row r="161" spans="1:6" ht="18" customHeight="1">
      <c r="A161" s="86" t="s">
        <v>551</v>
      </c>
      <c r="B161" s="102">
        <v>7781105</v>
      </c>
      <c r="C161" s="102" t="s">
        <v>176</v>
      </c>
      <c r="D161" s="102" t="str">
        <f t="shared" si="3"/>
        <v>MFG-7781105</v>
      </c>
      <c r="E161" s="102">
        <v>999</v>
      </c>
      <c r="F161" s="86" t="s">
        <v>552</v>
      </c>
    </row>
    <row r="162" spans="1:6" ht="18" customHeight="1">
      <c r="A162" s="86" t="s">
        <v>553</v>
      </c>
      <c r="B162" s="102">
        <v>7781106</v>
      </c>
      <c r="C162" s="102" t="s">
        <v>176</v>
      </c>
      <c r="D162" s="102" t="str">
        <f t="shared" si="3"/>
        <v>MFG-7781106</v>
      </c>
      <c r="E162" s="102">
        <v>999</v>
      </c>
      <c r="F162" s="86" t="s">
        <v>554</v>
      </c>
    </row>
    <row r="163" spans="1:6" ht="18" customHeight="1">
      <c r="A163" s="86" t="s">
        <v>137</v>
      </c>
      <c r="B163" s="102">
        <v>7781107</v>
      </c>
      <c r="C163" s="102" t="s">
        <v>176</v>
      </c>
      <c r="D163" s="102" t="str">
        <f t="shared" si="3"/>
        <v>MFG-7781107</v>
      </c>
      <c r="E163" s="102">
        <v>906</v>
      </c>
      <c r="F163" s="86" t="s">
        <v>139</v>
      </c>
    </row>
    <row r="164" spans="1:6" ht="18" customHeight="1">
      <c r="A164" s="86" t="s">
        <v>140</v>
      </c>
      <c r="B164" s="102">
        <v>7781111</v>
      </c>
      <c r="C164" s="102" t="s">
        <v>176</v>
      </c>
      <c r="D164" s="102" t="str">
        <f t="shared" si="3"/>
        <v>MFG-7781111</v>
      </c>
      <c r="E164" s="102">
        <v>999</v>
      </c>
      <c r="F164" s="86" t="s">
        <v>141</v>
      </c>
    </row>
    <row r="165" spans="1:6" ht="18" customHeight="1">
      <c r="A165" s="86" t="s">
        <v>142</v>
      </c>
      <c r="B165" s="102">
        <v>7781112</v>
      </c>
      <c r="C165" s="102" t="s">
        <v>176</v>
      </c>
      <c r="D165" s="102" t="str">
        <f t="shared" si="3"/>
        <v>MFG-7781112</v>
      </c>
      <c r="E165" s="102">
        <v>999</v>
      </c>
      <c r="F165" s="86" t="s">
        <v>143</v>
      </c>
    </row>
    <row r="166" spans="1:6" ht="18" customHeight="1">
      <c r="A166" s="86" t="s">
        <v>144</v>
      </c>
      <c r="B166" s="102">
        <v>7781113</v>
      </c>
      <c r="C166" s="102" t="s">
        <v>176</v>
      </c>
      <c r="D166" s="102" t="str">
        <f t="shared" si="3"/>
        <v>MFG-7781113</v>
      </c>
      <c r="E166" s="102">
        <v>999</v>
      </c>
      <c r="F166" s="86" t="s">
        <v>145</v>
      </c>
    </row>
    <row r="167" spans="1:6" ht="18" customHeight="1">
      <c r="A167" s="86" t="s">
        <v>193</v>
      </c>
      <c r="B167" s="87">
        <v>8291101</v>
      </c>
      <c r="C167" s="88" t="s">
        <v>194</v>
      </c>
      <c r="D167" s="88" t="str">
        <f t="shared" si="3"/>
        <v>OTH-8291101</v>
      </c>
    </row>
    <row r="168" spans="1:6" ht="18" customHeight="1">
      <c r="A168" s="86" t="s">
        <v>195</v>
      </c>
      <c r="B168" s="87">
        <v>8291102</v>
      </c>
      <c r="C168" s="88" t="s">
        <v>194</v>
      </c>
      <c r="D168" s="88" t="str">
        <f t="shared" si="3"/>
        <v>OTH-8291102</v>
      </c>
    </row>
    <row r="169" spans="1:6" ht="18" customHeight="1">
      <c r="A169" s="86" t="s">
        <v>196</v>
      </c>
      <c r="B169" s="87">
        <v>8291201</v>
      </c>
      <c r="C169" s="88" t="s">
        <v>194</v>
      </c>
      <c r="D169" s="88" t="str">
        <f t="shared" si="3"/>
        <v>OTH-8291201</v>
      </c>
    </row>
    <row r="170" spans="1:6" ht="18" customHeight="1">
      <c r="A170" s="86" t="s">
        <v>197</v>
      </c>
      <c r="B170" s="87">
        <v>8291202</v>
      </c>
      <c r="C170" s="88" t="s">
        <v>194</v>
      </c>
      <c r="D170" s="88" t="str">
        <f t="shared" si="3"/>
        <v>OTH-8291202</v>
      </c>
    </row>
    <row r="171" spans="1:6" ht="18" customHeight="1">
      <c r="A171" s="86" t="s">
        <v>198</v>
      </c>
      <c r="B171" s="87">
        <v>8291203</v>
      </c>
      <c r="C171" s="88" t="s">
        <v>194</v>
      </c>
      <c r="D171" s="88" t="str">
        <f t="shared" si="3"/>
        <v>OTH-8291203</v>
      </c>
    </row>
    <row r="172" spans="1:6" ht="18" customHeight="1">
      <c r="A172" s="86" t="s">
        <v>199</v>
      </c>
      <c r="B172" s="87">
        <v>8191101</v>
      </c>
      <c r="C172" s="88" t="s">
        <v>194</v>
      </c>
      <c r="D172" s="88" t="str">
        <f t="shared" si="3"/>
        <v>OTH-8191101</v>
      </c>
    </row>
    <row r="173" spans="1:6" ht="18" customHeight="1">
      <c r="E173" s="104"/>
    </row>
  </sheetData>
  <phoneticPr fontId="2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624FE-44D9-431B-BDB0-B0A5A12956EF}">
  <sheetPr>
    <tabColor theme="7" tint="-0.249977111117893"/>
  </sheetPr>
  <dimension ref="A1:BK151"/>
  <sheetViews>
    <sheetView zoomScale="70" zoomScaleNormal="70" workbookViewId="0">
      <pane xSplit="6" ySplit="1" topLeftCell="N2" activePane="bottomRight" state="frozen"/>
      <selection activeCell="K32" sqref="K32"/>
      <selection pane="topRight" activeCell="K32" sqref="K32"/>
      <selection pane="bottomLeft" activeCell="K32" sqref="K32"/>
      <selection pane="bottomRight" activeCell="U55" sqref="U55:Y55"/>
    </sheetView>
  </sheetViews>
  <sheetFormatPr defaultColWidth="8.5703125" defaultRowHeight="15" customHeight="1"/>
  <cols>
    <col min="1" max="1" width="8" style="29" bestFit="1" customWidth="1"/>
    <col min="2" max="2" width="80" style="25" bestFit="1" customWidth="1"/>
    <col min="3" max="3" width="32.28515625" style="25" bestFit="1" customWidth="1"/>
    <col min="4" max="4" width="8.42578125" style="30" bestFit="1" customWidth="1"/>
    <col min="5" max="5" width="16.42578125" style="26" bestFit="1" customWidth="1"/>
    <col min="6" max="6" width="7.5703125" style="26" bestFit="1" customWidth="1"/>
    <col min="7" max="7" width="21.42578125" style="25" bestFit="1" customWidth="1"/>
    <col min="8" max="8" width="10.42578125" style="27" bestFit="1" customWidth="1"/>
    <col min="9" max="9" width="16.42578125" style="31" customWidth="1"/>
    <col min="10" max="10" width="9.42578125" style="25" bestFit="1" customWidth="1"/>
    <col min="11" max="11" width="18.42578125" style="25" bestFit="1" customWidth="1"/>
    <col min="12" max="13" width="18.42578125" style="25" customWidth="1"/>
    <col min="14" max="14" width="14.42578125" style="51" bestFit="1" customWidth="1"/>
    <col min="15" max="15" width="16.42578125" style="51" bestFit="1" customWidth="1"/>
    <col min="16" max="16" width="9" style="51" bestFit="1" customWidth="1"/>
    <col min="17" max="24" width="10" style="51" bestFit="1" customWidth="1"/>
    <col min="25" max="31" width="11" style="51" bestFit="1" customWidth="1"/>
    <col min="32" max="57" width="12" style="51" bestFit="1" customWidth="1"/>
    <col min="58" max="58" width="11" style="51" bestFit="1" customWidth="1"/>
    <col min="59" max="59" width="12" style="51" bestFit="1" customWidth="1"/>
    <col min="60" max="61" width="13.42578125" style="51" bestFit="1" customWidth="1"/>
    <col min="62" max="62" width="9.7109375" style="74" bestFit="1" customWidth="1"/>
    <col min="63" max="63" width="56.42578125" style="51" customWidth="1"/>
    <col min="64" max="16384" width="8.5703125" style="25"/>
  </cols>
  <sheetData>
    <row r="1" spans="1:63" s="24" customFormat="1" ht="38.450000000000003" customHeight="1">
      <c r="A1" s="53" t="s">
        <v>297</v>
      </c>
      <c r="B1" s="54" t="s">
        <v>298</v>
      </c>
      <c r="C1" s="54" t="s">
        <v>299</v>
      </c>
      <c r="D1" s="54" t="s">
        <v>300</v>
      </c>
      <c r="E1" s="55" t="s">
        <v>301</v>
      </c>
      <c r="F1" s="55" t="s">
        <v>302</v>
      </c>
      <c r="G1" s="54" t="s">
        <v>303</v>
      </c>
      <c r="H1" s="56" t="s">
        <v>304</v>
      </c>
      <c r="I1" s="57" t="s">
        <v>305</v>
      </c>
      <c r="J1" s="54" t="s">
        <v>306</v>
      </c>
      <c r="K1" s="54" t="s">
        <v>307</v>
      </c>
      <c r="L1" s="54" t="s">
        <v>323</v>
      </c>
      <c r="M1" s="54" t="s">
        <v>481</v>
      </c>
      <c r="N1" s="58" t="s">
        <v>490</v>
      </c>
      <c r="O1" s="58" t="s">
        <v>491</v>
      </c>
      <c r="P1" s="58" t="s">
        <v>492</v>
      </c>
      <c r="Q1" s="59" t="s">
        <v>494</v>
      </c>
      <c r="R1" s="59" t="s">
        <v>495</v>
      </c>
      <c r="S1" s="59" t="s">
        <v>496</v>
      </c>
      <c r="T1" s="59" t="s">
        <v>497</v>
      </c>
      <c r="U1" s="59" t="s">
        <v>498</v>
      </c>
      <c r="V1" s="60" t="s">
        <v>499</v>
      </c>
      <c r="W1" s="60" t="s">
        <v>500</v>
      </c>
      <c r="X1" s="60" t="s">
        <v>501</v>
      </c>
      <c r="Y1" s="60" t="s">
        <v>502</v>
      </c>
      <c r="Z1" s="60" t="s">
        <v>503</v>
      </c>
      <c r="AA1" s="60" t="s">
        <v>504</v>
      </c>
      <c r="AB1" s="60" t="s">
        <v>505</v>
      </c>
      <c r="AC1" s="60" t="s">
        <v>506</v>
      </c>
      <c r="AD1" s="60" t="s">
        <v>507</v>
      </c>
      <c r="AE1" s="60" t="s">
        <v>508</v>
      </c>
      <c r="AF1" s="60" t="s">
        <v>509</v>
      </c>
      <c r="AG1" s="60" t="s">
        <v>510</v>
      </c>
      <c r="AH1" s="61" t="s">
        <v>511</v>
      </c>
      <c r="AI1" s="61" t="s">
        <v>512</v>
      </c>
      <c r="AJ1" s="61" t="s">
        <v>513</v>
      </c>
      <c r="AK1" s="61" t="s">
        <v>514</v>
      </c>
      <c r="AL1" s="61" t="s">
        <v>515</v>
      </c>
      <c r="AM1" s="61" t="s">
        <v>516</v>
      </c>
      <c r="AN1" s="61" t="s">
        <v>517</v>
      </c>
      <c r="AO1" s="61" t="s">
        <v>518</v>
      </c>
      <c r="AP1" s="61" t="s">
        <v>519</v>
      </c>
      <c r="AQ1" s="61" t="s">
        <v>520</v>
      </c>
      <c r="AR1" s="61" t="s">
        <v>521</v>
      </c>
      <c r="AS1" s="61" t="s">
        <v>522</v>
      </c>
      <c r="AT1" s="62" t="s">
        <v>527</v>
      </c>
      <c r="AU1" s="62" t="s">
        <v>528</v>
      </c>
      <c r="AV1" s="62" t="s">
        <v>529</v>
      </c>
      <c r="AW1" s="62" t="s">
        <v>530</v>
      </c>
      <c r="AX1" s="62" t="s">
        <v>531</v>
      </c>
      <c r="AY1" s="62" t="s">
        <v>532</v>
      </c>
      <c r="AZ1" s="62" t="s">
        <v>533</v>
      </c>
      <c r="BA1" s="62" t="s">
        <v>534</v>
      </c>
      <c r="BB1" s="62" t="s">
        <v>535</v>
      </c>
      <c r="BC1" s="62" t="s">
        <v>536</v>
      </c>
      <c r="BD1" s="62" t="s">
        <v>537</v>
      </c>
      <c r="BE1" s="62" t="s">
        <v>538</v>
      </c>
      <c r="BF1" s="59" t="s">
        <v>523</v>
      </c>
      <c r="BG1" s="60" t="s">
        <v>524</v>
      </c>
      <c r="BH1" s="61" t="s">
        <v>525</v>
      </c>
      <c r="BI1" s="62" t="s">
        <v>539</v>
      </c>
      <c r="BJ1" s="63" t="s">
        <v>206</v>
      </c>
      <c r="BK1" s="52" t="s">
        <v>526</v>
      </c>
    </row>
    <row r="2" spans="1:63" ht="15" customHeight="1">
      <c r="A2" s="64" t="s">
        <v>308</v>
      </c>
      <c r="B2" s="25" t="s">
        <v>325</v>
      </c>
      <c r="C2" s="65" t="s">
        <v>221</v>
      </c>
      <c r="D2" s="66">
        <v>2141000</v>
      </c>
      <c r="E2" s="26">
        <v>127990800</v>
      </c>
      <c r="F2" s="67">
        <v>60</v>
      </c>
      <c r="G2" s="65" t="s">
        <v>229</v>
      </c>
      <c r="H2" s="27">
        <v>1</v>
      </c>
      <c r="I2" s="28">
        <v>43922</v>
      </c>
      <c r="J2" s="65" t="s">
        <v>310</v>
      </c>
      <c r="K2" s="65" t="s">
        <v>229</v>
      </c>
      <c r="L2" s="65" t="s">
        <v>314</v>
      </c>
      <c r="M2" s="65" t="s">
        <v>473</v>
      </c>
      <c r="N2" s="51">
        <f>H2*E2</f>
        <v>127990800</v>
      </c>
      <c r="O2" s="51">
        <f>N2/F2</f>
        <v>2133180</v>
      </c>
      <c r="P2" s="28">
        <f>DATE(YEAR(I2),MONTH(I2)+F2,DAY(I2))</f>
        <v>45748</v>
      </c>
      <c r="Q2" s="68">
        <f t="shared" ref="Q2:Z7" si="0">IF(AND(LEFT(Q$1,FIND("_",Q$1)-1)&amp;RIGHT(Q$1,LEN(Q$1)-FIND("_",Q$1)) &gt;= YEAR($I2) &amp; TEXT(MONTH($I2),"00"),LEFT(Q$1,FIND("_",Q$1)-1)&amp;RIGHT(Q$1,LEN(Q$1)-FIND("_",Q$1)) &lt; YEAR($P2) &amp; TEXT(MONTH($P2),"00")),$O2,"")</f>
        <v>2133180</v>
      </c>
      <c r="R2" s="68">
        <f t="shared" si="0"/>
        <v>2133180</v>
      </c>
      <c r="S2" s="68">
        <f t="shared" si="0"/>
        <v>2133180</v>
      </c>
      <c r="T2" s="68">
        <f t="shared" si="0"/>
        <v>2133180</v>
      </c>
      <c r="U2" s="68">
        <f t="shared" si="0"/>
        <v>2133180</v>
      </c>
      <c r="V2" s="69">
        <f t="shared" si="0"/>
        <v>2133180</v>
      </c>
      <c r="W2" s="69">
        <f t="shared" si="0"/>
        <v>2133180</v>
      </c>
      <c r="X2" s="69">
        <f t="shared" si="0"/>
        <v>2133180</v>
      </c>
      <c r="Y2" s="69">
        <f t="shared" si="0"/>
        <v>2133180</v>
      </c>
      <c r="Z2" s="69">
        <f t="shared" si="0"/>
        <v>2133180</v>
      </c>
      <c r="AA2" s="69">
        <f t="shared" ref="AA2:AJ7" si="1">IF(AND(LEFT(AA$1,FIND("_",AA$1)-1)&amp;RIGHT(AA$1,LEN(AA$1)-FIND("_",AA$1)) &gt;= YEAR($I2) &amp; TEXT(MONTH($I2),"00"),LEFT(AA$1,FIND("_",AA$1)-1)&amp;RIGHT(AA$1,LEN(AA$1)-FIND("_",AA$1)) &lt; YEAR($P2) &amp; TEXT(MONTH($P2),"00")),$O2,"")</f>
        <v>2133180</v>
      </c>
      <c r="AB2" s="69">
        <f t="shared" si="1"/>
        <v>2133180</v>
      </c>
      <c r="AC2" s="69">
        <f t="shared" si="1"/>
        <v>2133180</v>
      </c>
      <c r="AD2" s="69">
        <f t="shared" si="1"/>
        <v>2133180</v>
      </c>
      <c r="AE2" s="69">
        <f t="shared" si="1"/>
        <v>2133180</v>
      </c>
      <c r="AF2" s="69">
        <f t="shared" si="1"/>
        <v>2133180</v>
      </c>
      <c r="AG2" s="69">
        <f t="shared" si="1"/>
        <v>2133180</v>
      </c>
      <c r="AH2" s="70">
        <f t="shared" si="1"/>
        <v>2133180</v>
      </c>
      <c r="AI2" s="70">
        <f t="shared" si="1"/>
        <v>2133180</v>
      </c>
      <c r="AJ2" s="70">
        <f t="shared" si="1"/>
        <v>2133180</v>
      </c>
      <c r="AK2" s="70">
        <f t="shared" ref="AK2:AT7" si="2">IF(AND(LEFT(AK$1,FIND("_",AK$1)-1)&amp;RIGHT(AK$1,LEN(AK$1)-FIND("_",AK$1)) &gt;= YEAR($I2) &amp; TEXT(MONTH($I2),"00"),LEFT(AK$1,FIND("_",AK$1)-1)&amp;RIGHT(AK$1,LEN(AK$1)-FIND("_",AK$1)) &lt; YEAR($P2) &amp; TEXT(MONTH($P2),"00")),$O2,"")</f>
        <v>2133180</v>
      </c>
      <c r="AL2" s="70">
        <f t="shared" si="2"/>
        <v>2133180</v>
      </c>
      <c r="AM2" s="70">
        <f t="shared" si="2"/>
        <v>2133180</v>
      </c>
      <c r="AN2" s="70">
        <f t="shared" si="2"/>
        <v>2133180</v>
      </c>
      <c r="AO2" s="70">
        <f t="shared" si="2"/>
        <v>2133180</v>
      </c>
      <c r="AP2" s="70">
        <f t="shared" si="2"/>
        <v>2133180</v>
      </c>
      <c r="AQ2" s="70">
        <f t="shared" si="2"/>
        <v>2133180</v>
      </c>
      <c r="AR2" s="70">
        <f t="shared" si="2"/>
        <v>2133180</v>
      </c>
      <c r="AS2" s="70">
        <f t="shared" si="2"/>
        <v>2133180</v>
      </c>
      <c r="AT2" s="71">
        <f t="shared" si="2"/>
        <v>2133180</v>
      </c>
      <c r="AU2" s="71">
        <f t="shared" ref="AU2:BE7" si="3">IF(AND(LEFT(AU$1,FIND("_",AU$1)-1)&amp;RIGHT(AU$1,LEN(AU$1)-FIND("_",AU$1)) &gt;= YEAR($I2) &amp; TEXT(MONTH($I2),"00"),LEFT(AU$1,FIND("_",AU$1)-1)&amp;RIGHT(AU$1,LEN(AU$1)-FIND("_",AU$1)) &lt; YEAR($P2) &amp; TEXT(MONTH($P2),"00")),$O2,"")</f>
        <v>2133180</v>
      </c>
      <c r="AV2" s="71">
        <f t="shared" si="3"/>
        <v>2133180</v>
      </c>
      <c r="AW2" s="71">
        <f t="shared" si="3"/>
        <v>2133180</v>
      </c>
      <c r="AX2" s="71">
        <f t="shared" si="3"/>
        <v>2133180</v>
      </c>
      <c r="AY2" s="71">
        <f t="shared" si="3"/>
        <v>2133180</v>
      </c>
      <c r="AZ2" s="71">
        <f t="shared" si="3"/>
        <v>2133180</v>
      </c>
      <c r="BA2" s="71">
        <f t="shared" si="3"/>
        <v>2133180</v>
      </c>
      <c r="BB2" s="71">
        <f t="shared" si="3"/>
        <v>2133180</v>
      </c>
      <c r="BC2" s="71">
        <f t="shared" si="3"/>
        <v>2133180</v>
      </c>
      <c r="BD2" s="71">
        <f t="shared" si="3"/>
        <v>2133180</v>
      </c>
      <c r="BE2" s="71">
        <f t="shared" si="3"/>
        <v>2133180</v>
      </c>
      <c r="BF2" s="68">
        <f>SUM(Q2:U2)</f>
        <v>10665900</v>
      </c>
      <c r="BG2" s="69">
        <f>SUM(V2:AG2)</f>
        <v>25598160</v>
      </c>
      <c r="BH2" s="70">
        <f>SUM(AH2:AS2)</f>
        <v>25598160</v>
      </c>
      <c r="BI2" s="71">
        <f>SUM(AT2:BE2)</f>
        <v>25598160</v>
      </c>
      <c r="BJ2" s="72">
        <f>VLOOKUP(D2,Master!AD:AG,3,FALSE)</f>
        <v>7611600</v>
      </c>
      <c r="BK2" s="73" t="str">
        <f>VLOOKUP(D2,Master!AD:AG,4,FALSE)</f>
        <v>Depreciation-Tools, furniture &amp; office equipment</v>
      </c>
    </row>
    <row r="3" spans="1:63" ht="15" customHeight="1">
      <c r="A3" s="64" t="s">
        <v>326</v>
      </c>
      <c r="B3" s="25" t="s">
        <v>327</v>
      </c>
      <c r="C3" s="65" t="s">
        <v>221</v>
      </c>
      <c r="D3" s="66">
        <v>2141000</v>
      </c>
      <c r="E3" s="26">
        <v>88905600</v>
      </c>
      <c r="F3" s="67">
        <v>60</v>
      </c>
      <c r="G3" s="65" t="s">
        <v>229</v>
      </c>
      <c r="H3" s="27">
        <v>1</v>
      </c>
      <c r="I3" s="28">
        <v>43922</v>
      </c>
      <c r="J3" s="65" t="s">
        <v>310</v>
      </c>
      <c r="K3" s="65" t="s">
        <v>229</v>
      </c>
      <c r="L3" s="65" t="s">
        <v>317</v>
      </c>
      <c r="M3" s="65" t="s">
        <v>473</v>
      </c>
      <c r="N3" s="51">
        <f t="shared" ref="N3:N5" si="4">H3*E3</f>
        <v>88905600</v>
      </c>
      <c r="O3" s="51">
        <f t="shared" ref="O3:O5" si="5">N3/F3</f>
        <v>1481760</v>
      </c>
      <c r="P3" s="28">
        <f t="shared" ref="P3:P5" si="6">DATE(YEAR(I3),MONTH(I3)+F3,DAY(I3))</f>
        <v>45748</v>
      </c>
      <c r="Q3" s="68">
        <f t="shared" si="0"/>
        <v>1481760</v>
      </c>
      <c r="R3" s="68">
        <f t="shared" si="0"/>
        <v>1481760</v>
      </c>
      <c r="S3" s="68">
        <f t="shared" si="0"/>
        <v>1481760</v>
      </c>
      <c r="T3" s="68">
        <f t="shared" si="0"/>
        <v>1481760</v>
      </c>
      <c r="U3" s="68">
        <f t="shared" si="0"/>
        <v>1481760</v>
      </c>
      <c r="V3" s="69">
        <f t="shared" si="0"/>
        <v>1481760</v>
      </c>
      <c r="W3" s="69">
        <f t="shared" si="0"/>
        <v>1481760</v>
      </c>
      <c r="X3" s="69">
        <f t="shared" si="0"/>
        <v>1481760</v>
      </c>
      <c r="Y3" s="69">
        <f t="shared" si="0"/>
        <v>1481760</v>
      </c>
      <c r="Z3" s="69">
        <f t="shared" si="0"/>
        <v>1481760</v>
      </c>
      <c r="AA3" s="69">
        <f t="shared" si="1"/>
        <v>1481760</v>
      </c>
      <c r="AB3" s="69">
        <f t="shared" si="1"/>
        <v>1481760</v>
      </c>
      <c r="AC3" s="69">
        <f t="shared" si="1"/>
        <v>1481760</v>
      </c>
      <c r="AD3" s="69">
        <f t="shared" si="1"/>
        <v>1481760</v>
      </c>
      <c r="AE3" s="69">
        <f t="shared" si="1"/>
        <v>1481760</v>
      </c>
      <c r="AF3" s="69">
        <f t="shared" si="1"/>
        <v>1481760</v>
      </c>
      <c r="AG3" s="69">
        <f t="shared" si="1"/>
        <v>1481760</v>
      </c>
      <c r="AH3" s="70">
        <f t="shared" si="1"/>
        <v>1481760</v>
      </c>
      <c r="AI3" s="70">
        <f t="shared" si="1"/>
        <v>1481760</v>
      </c>
      <c r="AJ3" s="70">
        <f t="shared" si="1"/>
        <v>1481760</v>
      </c>
      <c r="AK3" s="70">
        <f t="shared" si="2"/>
        <v>1481760</v>
      </c>
      <c r="AL3" s="70">
        <f t="shared" si="2"/>
        <v>1481760</v>
      </c>
      <c r="AM3" s="70">
        <f t="shared" si="2"/>
        <v>1481760</v>
      </c>
      <c r="AN3" s="70">
        <f t="shared" si="2"/>
        <v>1481760</v>
      </c>
      <c r="AO3" s="70">
        <f t="shared" si="2"/>
        <v>1481760</v>
      </c>
      <c r="AP3" s="70">
        <f t="shared" si="2"/>
        <v>1481760</v>
      </c>
      <c r="AQ3" s="70">
        <f t="shared" si="2"/>
        <v>1481760</v>
      </c>
      <c r="AR3" s="70">
        <f t="shared" si="2"/>
        <v>1481760</v>
      </c>
      <c r="AS3" s="70">
        <f t="shared" si="2"/>
        <v>1481760</v>
      </c>
      <c r="AT3" s="71">
        <f t="shared" si="2"/>
        <v>1481760</v>
      </c>
      <c r="AU3" s="71">
        <f t="shared" si="3"/>
        <v>1481760</v>
      </c>
      <c r="AV3" s="71">
        <f t="shared" si="3"/>
        <v>1481760</v>
      </c>
      <c r="AW3" s="71">
        <f t="shared" si="3"/>
        <v>1481760</v>
      </c>
      <c r="AX3" s="71">
        <f t="shared" si="3"/>
        <v>1481760</v>
      </c>
      <c r="AY3" s="71">
        <f t="shared" si="3"/>
        <v>1481760</v>
      </c>
      <c r="AZ3" s="71">
        <f t="shared" si="3"/>
        <v>1481760</v>
      </c>
      <c r="BA3" s="71">
        <f t="shared" si="3"/>
        <v>1481760</v>
      </c>
      <c r="BB3" s="71">
        <f t="shared" si="3"/>
        <v>1481760</v>
      </c>
      <c r="BC3" s="71">
        <f t="shared" si="3"/>
        <v>1481760</v>
      </c>
      <c r="BD3" s="71">
        <f t="shared" si="3"/>
        <v>1481760</v>
      </c>
      <c r="BE3" s="71">
        <f t="shared" si="3"/>
        <v>1481760</v>
      </c>
      <c r="BF3" s="68">
        <f t="shared" ref="BF3:BF67" si="7">SUM(Q3:U3)</f>
        <v>7408800</v>
      </c>
      <c r="BG3" s="69">
        <f t="shared" ref="BG3:BG67" si="8">SUM(V3:AG3)</f>
        <v>17781120</v>
      </c>
      <c r="BH3" s="70">
        <f t="shared" ref="BH3:BH67" si="9">SUM(AH3:AS3)</f>
        <v>17781120</v>
      </c>
      <c r="BI3" s="71">
        <f t="shared" ref="BI3:BI67" si="10">SUM(AT3:BE3)</f>
        <v>17781120</v>
      </c>
      <c r="BJ3" s="72">
        <f>VLOOKUP(D3,Master!AD:AG,3,FALSE)</f>
        <v>7611600</v>
      </c>
      <c r="BK3" s="73" t="str">
        <f>VLOOKUP(D3,Master!AD:AG,4,FALSE)</f>
        <v>Depreciation-Tools, furniture &amp; office equipment</v>
      </c>
    </row>
    <row r="4" spans="1:63" ht="15" customHeight="1">
      <c r="A4" s="64" t="s">
        <v>328</v>
      </c>
      <c r="B4" s="25" t="s">
        <v>329</v>
      </c>
      <c r="C4" s="65" t="s">
        <v>221</v>
      </c>
      <c r="D4" s="66">
        <v>2141000</v>
      </c>
      <c r="E4" s="26">
        <v>15000000</v>
      </c>
      <c r="F4" s="67">
        <v>60</v>
      </c>
      <c r="G4" s="65" t="s">
        <v>229</v>
      </c>
      <c r="H4" s="27">
        <v>1</v>
      </c>
      <c r="I4" s="28">
        <v>43983</v>
      </c>
      <c r="J4" s="65" t="s">
        <v>310</v>
      </c>
      <c r="K4" s="65" t="s">
        <v>229</v>
      </c>
      <c r="L4" s="65" t="s">
        <v>320</v>
      </c>
      <c r="M4" s="65" t="s">
        <v>473</v>
      </c>
      <c r="N4" s="51">
        <f t="shared" si="4"/>
        <v>15000000</v>
      </c>
      <c r="O4" s="51">
        <f t="shared" si="5"/>
        <v>250000</v>
      </c>
      <c r="P4" s="28">
        <f t="shared" si="6"/>
        <v>45809</v>
      </c>
      <c r="Q4" s="68">
        <f t="shared" si="0"/>
        <v>250000</v>
      </c>
      <c r="R4" s="68">
        <f t="shared" si="0"/>
        <v>250000</v>
      </c>
      <c r="S4" s="68">
        <f t="shared" si="0"/>
        <v>250000</v>
      </c>
      <c r="T4" s="68">
        <f t="shared" si="0"/>
        <v>250000</v>
      </c>
      <c r="U4" s="68">
        <f t="shared" si="0"/>
        <v>250000</v>
      </c>
      <c r="V4" s="69">
        <f t="shared" si="0"/>
        <v>250000</v>
      </c>
      <c r="W4" s="69">
        <f t="shared" si="0"/>
        <v>250000</v>
      </c>
      <c r="X4" s="69">
        <f t="shared" si="0"/>
        <v>250000</v>
      </c>
      <c r="Y4" s="69">
        <f t="shared" si="0"/>
        <v>250000</v>
      </c>
      <c r="Z4" s="69">
        <f t="shared" si="0"/>
        <v>250000</v>
      </c>
      <c r="AA4" s="69">
        <f t="shared" si="1"/>
        <v>250000</v>
      </c>
      <c r="AB4" s="69">
        <f t="shared" si="1"/>
        <v>250000</v>
      </c>
      <c r="AC4" s="69">
        <f t="shared" si="1"/>
        <v>250000</v>
      </c>
      <c r="AD4" s="69">
        <f t="shared" si="1"/>
        <v>250000</v>
      </c>
      <c r="AE4" s="69">
        <f t="shared" si="1"/>
        <v>250000</v>
      </c>
      <c r="AF4" s="69">
        <f t="shared" si="1"/>
        <v>250000</v>
      </c>
      <c r="AG4" s="69">
        <f t="shared" si="1"/>
        <v>250000</v>
      </c>
      <c r="AH4" s="70">
        <f t="shared" si="1"/>
        <v>250000</v>
      </c>
      <c r="AI4" s="70">
        <f t="shared" si="1"/>
        <v>250000</v>
      </c>
      <c r="AJ4" s="70">
        <f t="shared" si="1"/>
        <v>250000</v>
      </c>
      <c r="AK4" s="70">
        <f t="shared" si="2"/>
        <v>250000</v>
      </c>
      <c r="AL4" s="70">
        <f t="shared" si="2"/>
        <v>250000</v>
      </c>
      <c r="AM4" s="70">
        <f t="shared" si="2"/>
        <v>250000</v>
      </c>
      <c r="AN4" s="70">
        <f t="shared" si="2"/>
        <v>250000</v>
      </c>
      <c r="AO4" s="70">
        <f t="shared" si="2"/>
        <v>250000</v>
      </c>
      <c r="AP4" s="70">
        <f t="shared" si="2"/>
        <v>250000</v>
      </c>
      <c r="AQ4" s="70">
        <f t="shared" si="2"/>
        <v>250000</v>
      </c>
      <c r="AR4" s="70">
        <f t="shared" si="2"/>
        <v>250000</v>
      </c>
      <c r="AS4" s="70">
        <f t="shared" si="2"/>
        <v>250000</v>
      </c>
      <c r="AT4" s="71">
        <f t="shared" si="2"/>
        <v>250000</v>
      </c>
      <c r="AU4" s="71">
        <f t="shared" si="3"/>
        <v>250000</v>
      </c>
      <c r="AV4" s="71">
        <f t="shared" si="3"/>
        <v>250000</v>
      </c>
      <c r="AW4" s="71">
        <f t="shared" si="3"/>
        <v>250000</v>
      </c>
      <c r="AX4" s="71">
        <f t="shared" si="3"/>
        <v>250000</v>
      </c>
      <c r="AY4" s="71">
        <f t="shared" si="3"/>
        <v>250000</v>
      </c>
      <c r="AZ4" s="71">
        <f t="shared" si="3"/>
        <v>250000</v>
      </c>
      <c r="BA4" s="71">
        <f t="shared" si="3"/>
        <v>250000</v>
      </c>
      <c r="BB4" s="71">
        <f t="shared" si="3"/>
        <v>250000</v>
      </c>
      <c r="BC4" s="71">
        <f t="shared" si="3"/>
        <v>250000</v>
      </c>
      <c r="BD4" s="71">
        <f t="shared" si="3"/>
        <v>250000</v>
      </c>
      <c r="BE4" s="71">
        <f t="shared" si="3"/>
        <v>250000</v>
      </c>
      <c r="BF4" s="68">
        <f t="shared" si="7"/>
        <v>1250000</v>
      </c>
      <c r="BG4" s="69">
        <f t="shared" si="8"/>
        <v>3000000</v>
      </c>
      <c r="BH4" s="70">
        <f t="shared" si="9"/>
        <v>3000000</v>
      </c>
      <c r="BI4" s="71">
        <f t="shared" si="10"/>
        <v>3000000</v>
      </c>
      <c r="BJ4" s="72">
        <f>VLOOKUP(D4,Master!AD:AG,3,FALSE)</f>
        <v>7611600</v>
      </c>
      <c r="BK4" s="73" t="str">
        <f>VLOOKUP(D4,Master!AD:AG,4,FALSE)</f>
        <v>Depreciation-Tools, furniture &amp; office equipment</v>
      </c>
    </row>
    <row r="5" spans="1:63" ht="15" customHeight="1">
      <c r="A5" s="64" t="s">
        <v>308</v>
      </c>
      <c r="B5" s="25" t="s">
        <v>330</v>
      </c>
      <c r="C5" s="65" t="s">
        <v>221</v>
      </c>
      <c r="D5" s="66">
        <v>2141000</v>
      </c>
      <c r="E5" s="26">
        <v>40000000</v>
      </c>
      <c r="F5" s="67">
        <v>60</v>
      </c>
      <c r="G5" s="65" t="s">
        <v>331</v>
      </c>
      <c r="H5" s="27">
        <v>1</v>
      </c>
      <c r="I5" s="28">
        <v>44197</v>
      </c>
      <c r="J5" s="65" t="s">
        <v>310</v>
      </c>
      <c r="K5" s="65" t="s">
        <v>331</v>
      </c>
      <c r="L5" s="65"/>
      <c r="M5" s="65" t="s">
        <v>473</v>
      </c>
      <c r="N5" s="51">
        <f t="shared" si="4"/>
        <v>40000000</v>
      </c>
      <c r="O5" s="51">
        <f t="shared" si="5"/>
        <v>666666.66666666663</v>
      </c>
      <c r="P5" s="28">
        <f t="shared" si="6"/>
        <v>46023</v>
      </c>
      <c r="Q5" s="68" t="str">
        <f t="shared" si="0"/>
        <v/>
      </c>
      <c r="R5" s="68" t="str">
        <f t="shared" si="0"/>
        <v/>
      </c>
      <c r="S5" s="68">
        <f t="shared" si="0"/>
        <v>666666.66666666663</v>
      </c>
      <c r="T5" s="68">
        <f t="shared" si="0"/>
        <v>666666.66666666663</v>
      </c>
      <c r="U5" s="68">
        <f t="shared" si="0"/>
        <v>666666.66666666663</v>
      </c>
      <c r="V5" s="69">
        <f t="shared" si="0"/>
        <v>666666.66666666663</v>
      </c>
      <c r="W5" s="69">
        <f t="shared" si="0"/>
        <v>666666.66666666663</v>
      </c>
      <c r="X5" s="69">
        <f t="shared" si="0"/>
        <v>666666.66666666663</v>
      </c>
      <c r="Y5" s="69">
        <f t="shared" si="0"/>
        <v>666666.66666666663</v>
      </c>
      <c r="Z5" s="69">
        <f t="shared" si="0"/>
        <v>666666.66666666663</v>
      </c>
      <c r="AA5" s="69">
        <f t="shared" si="1"/>
        <v>666666.66666666663</v>
      </c>
      <c r="AB5" s="69">
        <f t="shared" si="1"/>
        <v>666666.66666666663</v>
      </c>
      <c r="AC5" s="69">
        <f t="shared" si="1"/>
        <v>666666.66666666663</v>
      </c>
      <c r="AD5" s="69">
        <f t="shared" si="1"/>
        <v>666666.66666666663</v>
      </c>
      <c r="AE5" s="69">
        <f t="shared" si="1"/>
        <v>666666.66666666663</v>
      </c>
      <c r="AF5" s="69">
        <f t="shared" si="1"/>
        <v>666666.66666666663</v>
      </c>
      <c r="AG5" s="69">
        <f t="shared" si="1"/>
        <v>666666.66666666663</v>
      </c>
      <c r="AH5" s="70">
        <f t="shared" si="1"/>
        <v>666666.66666666663</v>
      </c>
      <c r="AI5" s="70">
        <f t="shared" si="1"/>
        <v>666666.66666666663</v>
      </c>
      <c r="AJ5" s="70">
        <f t="shared" si="1"/>
        <v>666666.66666666663</v>
      </c>
      <c r="AK5" s="70">
        <f t="shared" si="2"/>
        <v>666666.66666666663</v>
      </c>
      <c r="AL5" s="70">
        <f t="shared" si="2"/>
        <v>666666.66666666663</v>
      </c>
      <c r="AM5" s="70">
        <f t="shared" si="2"/>
        <v>666666.66666666663</v>
      </c>
      <c r="AN5" s="70">
        <f t="shared" si="2"/>
        <v>666666.66666666663</v>
      </c>
      <c r="AO5" s="70">
        <f t="shared" si="2"/>
        <v>666666.66666666663</v>
      </c>
      <c r="AP5" s="70">
        <f t="shared" si="2"/>
        <v>666666.66666666663</v>
      </c>
      <c r="AQ5" s="70">
        <f t="shared" si="2"/>
        <v>666666.66666666663</v>
      </c>
      <c r="AR5" s="70">
        <f t="shared" si="2"/>
        <v>666666.66666666663</v>
      </c>
      <c r="AS5" s="70">
        <f t="shared" si="2"/>
        <v>666666.66666666663</v>
      </c>
      <c r="AT5" s="71">
        <f t="shared" si="2"/>
        <v>666666.66666666663</v>
      </c>
      <c r="AU5" s="71">
        <f t="shared" si="3"/>
        <v>666666.66666666663</v>
      </c>
      <c r="AV5" s="71">
        <f t="shared" si="3"/>
        <v>666666.66666666663</v>
      </c>
      <c r="AW5" s="71">
        <f t="shared" si="3"/>
        <v>666666.66666666663</v>
      </c>
      <c r="AX5" s="71">
        <f t="shared" si="3"/>
        <v>666666.66666666663</v>
      </c>
      <c r="AY5" s="71">
        <f t="shared" si="3"/>
        <v>666666.66666666663</v>
      </c>
      <c r="AZ5" s="71">
        <f t="shared" si="3"/>
        <v>666666.66666666663</v>
      </c>
      <c r="BA5" s="71">
        <f t="shared" si="3"/>
        <v>666666.66666666663</v>
      </c>
      <c r="BB5" s="71">
        <f t="shared" si="3"/>
        <v>666666.66666666663</v>
      </c>
      <c r="BC5" s="71">
        <f t="shared" si="3"/>
        <v>666666.66666666663</v>
      </c>
      <c r="BD5" s="71">
        <f t="shared" si="3"/>
        <v>666666.66666666663</v>
      </c>
      <c r="BE5" s="71">
        <f t="shared" si="3"/>
        <v>666666.66666666663</v>
      </c>
      <c r="BF5" s="68">
        <f t="shared" si="7"/>
        <v>2000000</v>
      </c>
      <c r="BG5" s="69">
        <f t="shared" si="8"/>
        <v>8000000.0000000009</v>
      </c>
      <c r="BH5" s="70">
        <f t="shared" si="9"/>
        <v>8000000.0000000009</v>
      </c>
      <c r="BI5" s="71">
        <f t="shared" si="10"/>
        <v>8000000.0000000009</v>
      </c>
      <c r="BJ5" s="72">
        <f>VLOOKUP(D5,Master!AD:AG,3,FALSE)</f>
        <v>7611600</v>
      </c>
      <c r="BK5" s="73" t="str">
        <f>VLOOKUP(D5,Master!AD:AG,4,FALSE)</f>
        <v>Depreciation-Tools, furniture &amp; office equipment</v>
      </c>
    </row>
    <row r="6" spans="1:63" ht="15" customHeight="1">
      <c r="A6" s="64" t="s">
        <v>326</v>
      </c>
      <c r="B6" s="25" t="s">
        <v>332</v>
      </c>
      <c r="C6" s="65" t="s">
        <v>221</v>
      </c>
      <c r="D6" s="66">
        <v>2141000</v>
      </c>
      <c r="E6" s="26">
        <v>40000000</v>
      </c>
      <c r="F6" s="67">
        <v>60</v>
      </c>
      <c r="G6" s="65" t="s">
        <v>331</v>
      </c>
      <c r="H6" s="27">
        <v>1</v>
      </c>
      <c r="I6" s="28">
        <v>44197</v>
      </c>
      <c r="J6" s="65" t="s">
        <v>310</v>
      </c>
      <c r="K6" s="65" t="s">
        <v>331</v>
      </c>
      <c r="L6" s="65"/>
      <c r="M6" s="65" t="s">
        <v>473</v>
      </c>
      <c r="N6" s="51">
        <f t="shared" ref="N6:N70" si="11">H6*E6</f>
        <v>40000000</v>
      </c>
      <c r="O6" s="51">
        <f t="shared" ref="O6:O70" si="12">N6/F6</f>
        <v>666666.66666666663</v>
      </c>
      <c r="P6" s="28">
        <f t="shared" ref="P6:P70" si="13">DATE(YEAR(I6),MONTH(I6)+F6,DAY(I6))</f>
        <v>46023</v>
      </c>
      <c r="Q6" s="68" t="str">
        <f t="shared" si="0"/>
        <v/>
      </c>
      <c r="R6" s="68" t="str">
        <f t="shared" si="0"/>
        <v/>
      </c>
      <c r="S6" s="68">
        <f t="shared" si="0"/>
        <v>666666.66666666663</v>
      </c>
      <c r="T6" s="68">
        <f t="shared" si="0"/>
        <v>666666.66666666663</v>
      </c>
      <c r="U6" s="68">
        <f t="shared" si="0"/>
        <v>666666.66666666663</v>
      </c>
      <c r="V6" s="69">
        <f t="shared" si="0"/>
        <v>666666.66666666663</v>
      </c>
      <c r="W6" s="69">
        <f t="shared" si="0"/>
        <v>666666.66666666663</v>
      </c>
      <c r="X6" s="69">
        <f t="shared" si="0"/>
        <v>666666.66666666663</v>
      </c>
      <c r="Y6" s="69">
        <f t="shared" si="0"/>
        <v>666666.66666666663</v>
      </c>
      <c r="Z6" s="69">
        <f t="shared" si="0"/>
        <v>666666.66666666663</v>
      </c>
      <c r="AA6" s="69">
        <f t="shared" si="1"/>
        <v>666666.66666666663</v>
      </c>
      <c r="AB6" s="69">
        <f t="shared" si="1"/>
        <v>666666.66666666663</v>
      </c>
      <c r="AC6" s="69">
        <f t="shared" si="1"/>
        <v>666666.66666666663</v>
      </c>
      <c r="AD6" s="69">
        <f t="shared" si="1"/>
        <v>666666.66666666663</v>
      </c>
      <c r="AE6" s="69">
        <f t="shared" si="1"/>
        <v>666666.66666666663</v>
      </c>
      <c r="AF6" s="69">
        <f t="shared" si="1"/>
        <v>666666.66666666663</v>
      </c>
      <c r="AG6" s="69">
        <f t="shared" si="1"/>
        <v>666666.66666666663</v>
      </c>
      <c r="AH6" s="70">
        <f t="shared" si="1"/>
        <v>666666.66666666663</v>
      </c>
      <c r="AI6" s="70">
        <f t="shared" si="1"/>
        <v>666666.66666666663</v>
      </c>
      <c r="AJ6" s="70">
        <f t="shared" si="1"/>
        <v>666666.66666666663</v>
      </c>
      <c r="AK6" s="70">
        <f t="shared" si="2"/>
        <v>666666.66666666663</v>
      </c>
      <c r="AL6" s="70">
        <f t="shared" si="2"/>
        <v>666666.66666666663</v>
      </c>
      <c r="AM6" s="70">
        <f t="shared" si="2"/>
        <v>666666.66666666663</v>
      </c>
      <c r="AN6" s="70">
        <f t="shared" si="2"/>
        <v>666666.66666666663</v>
      </c>
      <c r="AO6" s="70">
        <f t="shared" si="2"/>
        <v>666666.66666666663</v>
      </c>
      <c r="AP6" s="70">
        <f t="shared" si="2"/>
        <v>666666.66666666663</v>
      </c>
      <c r="AQ6" s="70">
        <f t="shared" si="2"/>
        <v>666666.66666666663</v>
      </c>
      <c r="AR6" s="70">
        <f t="shared" si="2"/>
        <v>666666.66666666663</v>
      </c>
      <c r="AS6" s="70">
        <f t="shared" si="2"/>
        <v>666666.66666666663</v>
      </c>
      <c r="AT6" s="71">
        <f t="shared" si="2"/>
        <v>666666.66666666663</v>
      </c>
      <c r="AU6" s="71">
        <f t="shared" si="3"/>
        <v>666666.66666666663</v>
      </c>
      <c r="AV6" s="71">
        <f t="shared" si="3"/>
        <v>666666.66666666663</v>
      </c>
      <c r="AW6" s="71">
        <f t="shared" si="3"/>
        <v>666666.66666666663</v>
      </c>
      <c r="AX6" s="71">
        <f t="shared" si="3"/>
        <v>666666.66666666663</v>
      </c>
      <c r="AY6" s="71">
        <f t="shared" si="3"/>
        <v>666666.66666666663</v>
      </c>
      <c r="AZ6" s="71">
        <f t="shared" si="3"/>
        <v>666666.66666666663</v>
      </c>
      <c r="BA6" s="71">
        <f t="shared" si="3"/>
        <v>666666.66666666663</v>
      </c>
      <c r="BB6" s="71">
        <f t="shared" si="3"/>
        <v>666666.66666666663</v>
      </c>
      <c r="BC6" s="71">
        <f t="shared" si="3"/>
        <v>666666.66666666663</v>
      </c>
      <c r="BD6" s="71">
        <f t="shared" si="3"/>
        <v>666666.66666666663</v>
      </c>
      <c r="BE6" s="71">
        <f t="shared" si="3"/>
        <v>666666.66666666663</v>
      </c>
      <c r="BF6" s="68">
        <f t="shared" si="7"/>
        <v>2000000</v>
      </c>
      <c r="BG6" s="69">
        <f t="shared" si="8"/>
        <v>8000000.0000000009</v>
      </c>
      <c r="BH6" s="70">
        <f t="shared" si="9"/>
        <v>8000000.0000000009</v>
      </c>
      <c r="BI6" s="71">
        <f t="shared" si="10"/>
        <v>8000000.0000000009</v>
      </c>
      <c r="BJ6" s="72">
        <f>VLOOKUP(D6,Master!AD:AG,3,FALSE)</f>
        <v>7611600</v>
      </c>
      <c r="BK6" s="73" t="str">
        <f>VLOOKUP(D6,Master!AD:AG,4,FALSE)</f>
        <v>Depreciation-Tools, furniture &amp; office equipment</v>
      </c>
    </row>
    <row r="7" spans="1:63" ht="15" customHeight="1">
      <c r="A7" s="64" t="s">
        <v>328</v>
      </c>
      <c r="B7" s="25" t="s">
        <v>333</v>
      </c>
      <c r="C7" s="65" t="s">
        <v>221</v>
      </c>
      <c r="D7" s="66">
        <v>2141000</v>
      </c>
      <c r="E7" s="26">
        <v>8000000</v>
      </c>
      <c r="F7" s="67">
        <v>60</v>
      </c>
      <c r="G7" s="65" t="s">
        <v>309</v>
      </c>
      <c r="H7" s="27">
        <v>1</v>
      </c>
      <c r="I7" s="28">
        <v>44287</v>
      </c>
      <c r="J7" s="65" t="s">
        <v>310</v>
      </c>
      <c r="K7" s="65" t="s">
        <v>331</v>
      </c>
      <c r="L7" s="65"/>
      <c r="M7" s="65" t="s">
        <v>472</v>
      </c>
      <c r="N7" s="51">
        <f t="shared" si="11"/>
        <v>8000000</v>
      </c>
      <c r="O7" s="51">
        <f t="shared" si="12"/>
        <v>133333.33333333334</v>
      </c>
      <c r="P7" s="28">
        <f t="shared" si="13"/>
        <v>46113</v>
      </c>
      <c r="Q7" s="68" t="str">
        <f t="shared" si="0"/>
        <v/>
      </c>
      <c r="R7" s="68" t="str">
        <f t="shared" si="0"/>
        <v/>
      </c>
      <c r="S7" s="68" t="str">
        <f t="shared" si="0"/>
        <v/>
      </c>
      <c r="T7" s="68" t="str">
        <f t="shared" si="0"/>
        <v/>
      </c>
      <c r="U7" s="68" t="str">
        <f t="shared" si="0"/>
        <v/>
      </c>
      <c r="V7" s="69">
        <f t="shared" si="0"/>
        <v>133333.33333333334</v>
      </c>
      <c r="W7" s="69">
        <f t="shared" si="0"/>
        <v>133333.33333333334</v>
      </c>
      <c r="X7" s="69">
        <f t="shared" si="0"/>
        <v>133333.33333333334</v>
      </c>
      <c r="Y7" s="69">
        <f t="shared" si="0"/>
        <v>133333.33333333334</v>
      </c>
      <c r="Z7" s="69">
        <f t="shared" si="0"/>
        <v>133333.33333333334</v>
      </c>
      <c r="AA7" s="69">
        <f t="shared" si="1"/>
        <v>133333.33333333334</v>
      </c>
      <c r="AB7" s="69">
        <f t="shared" si="1"/>
        <v>133333.33333333334</v>
      </c>
      <c r="AC7" s="69">
        <f t="shared" si="1"/>
        <v>133333.33333333334</v>
      </c>
      <c r="AD7" s="69">
        <f t="shared" si="1"/>
        <v>133333.33333333334</v>
      </c>
      <c r="AE7" s="69">
        <f t="shared" si="1"/>
        <v>133333.33333333334</v>
      </c>
      <c r="AF7" s="69">
        <f t="shared" si="1"/>
        <v>133333.33333333334</v>
      </c>
      <c r="AG7" s="69">
        <f t="shared" si="1"/>
        <v>133333.33333333334</v>
      </c>
      <c r="AH7" s="70">
        <f t="shared" si="1"/>
        <v>133333.33333333334</v>
      </c>
      <c r="AI7" s="70">
        <f t="shared" si="1"/>
        <v>133333.33333333334</v>
      </c>
      <c r="AJ7" s="70">
        <f t="shared" si="1"/>
        <v>133333.33333333334</v>
      </c>
      <c r="AK7" s="70">
        <f t="shared" si="2"/>
        <v>133333.33333333334</v>
      </c>
      <c r="AL7" s="70">
        <f t="shared" si="2"/>
        <v>133333.33333333334</v>
      </c>
      <c r="AM7" s="70">
        <f t="shared" si="2"/>
        <v>133333.33333333334</v>
      </c>
      <c r="AN7" s="70">
        <f t="shared" si="2"/>
        <v>133333.33333333334</v>
      </c>
      <c r="AO7" s="70">
        <f t="shared" si="2"/>
        <v>133333.33333333334</v>
      </c>
      <c r="AP7" s="70">
        <f t="shared" si="2"/>
        <v>133333.33333333334</v>
      </c>
      <c r="AQ7" s="70">
        <f t="shared" si="2"/>
        <v>133333.33333333334</v>
      </c>
      <c r="AR7" s="70">
        <f t="shared" si="2"/>
        <v>133333.33333333334</v>
      </c>
      <c r="AS7" s="70">
        <f t="shared" si="2"/>
        <v>133333.33333333334</v>
      </c>
      <c r="AT7" s="71">
        <f t="shared" si="2"/>
        <v>133333.33333333334</v>
      </c>
      <c r="AU7" s="71">
        <f t="shared" si="3"/>
        <v>133333.33333333334</v>
      </c>
      <c r="AV7" s="71">
        <f t="shared" si="3"/>
        <v>133333.33333333334</v>
      </c>
      <c r="AW7" s="71">
        <f t="shared" si="3"/>
        <v>133333.33333333334</v>
      </c>
      <c r="AX7" s="71">
        <f t="shared" si="3"/>
        <v>133333.33333333334</v>
      </c>
      <c r="AY7" s="71">
        <f t="shared" si="3"/>
        <v>133333.33333333334</v>
      </c>
      <c r="AZ7" s="71">
        <f t="shared" si="3"/>
        <v>133333.33333333334</v>
      </c>
      <c r="BA7" s="71">
        <f t="shared" si="3"/>
        <v>133333.33333333334</v>
      </c>
      <c r="BB7" s="71">
        <f t="shared" si="3"/>
        <v>133333.33333333334</v>
      </c>
      <c r="BC7" s="71">
        <f t="shared" si="3"/>
        <v>133333.33333333334</v>
      </c>
      <c r="BD7" s="71">
        <f t="shared" si="3"/>
        <v>133333.33333333334</v>
      </c>
      <c r="BE7" s="71">
        <f t="shared" si="3"/>
        <v>133333.33333333334</v>
      </c>
      <c r="BF7" s="68">
        <f t="shared" si="7"/>
        <v>0</v>
      </c>
      <c r="BG7" s="69">
        <f t="shared" si="8"/>
        <v>1599999.9999999998</v>
      </c>
      <c r="BH7" s="70">
        <f t="shared" si="9"/>
        <v>1599999.9999999998</v>
      </c>
      <c r="BI7" s="71">
        <f t="shared" si="10"/>
        <v>1599999.9999999998</v>
      </c>
      <c r="BJ7" s="72">
        <f>VLOOKUP(D7,Master!AD:AG,3,FALSE)</f>
        <v>7611600</v>
      </c>
      <c r="BK7" s="73" t="str">
        <f>VLOOKUP(D7,Master!AD:AG,4,FALSE)</f>
        <v>Depreciation-Tools, furniture &amp; office equipment</v>
      </c>
    </row>
    <row r="8" spans="1:63" ht="15" customHeight="1">
      <c r="A8" s="64" t="s">
        <v>356</v>
      </c>
      <c r="B8" s="25" t="s">
        <v>334</v>
      </c>
      <c r="C8" s="65" t="s">
        <v>221</v>
      </c>
      <c r="D8" s="66">
        <v>2141000</v>
      </c>
      <c r="E8" s="26">
        <v>8000000</v>
      </c>
      <c r="F8" s="67">
        <v>60</v>
      </c>
      <c r="G8" s="65" t="s">
        <v>331</v>
      </c>
      <c r="H8" s="27">
        <v>1</v>
      </c>
      <c r="I8" s="28">
        <v>44287</v>
      </c>
      <c r="J8" s="65" t="s">
        <v>310</v>
      </c>
      <c r="K8" s="65" t="s">
        <v>331</v>
      </c>
      <c r="L8" s="65"/>
      <c r="M8" s="65" t="s">
        <v>472</v>
      </c>
      <c r="N8" s="51">
        <f t="shared" si="11"/>
        <v>8000000</v>
      </c>
      <c r="O8" s="51">
        <f t="shared" si="12"/>
        <v>133333.33333333334</v>
      </c>
      <c r="P8" s="28">
        <f t="shared" si="13"/>
        <v>46113</v>
      </c>
      <c r="Q8" s="68" t="str">
        <f t="shared" ref="Q8:AF17" si="14">IF(AND(LEFT(Q$1,FIND("_",Q$1)-1)&amp;RIGHT(Q$1,LEN(Q$1)-FIND("_",Q$1)) &gt;= YEAR($I8) &amp; TEXT(MONTH($I8),"00"),LEFT(Q$1,FIND("_",Q$1)-1)&amp;RIGHT(Q$1,LEN(Q$1)-FIND("_",Q$1)) &lt; YEAR($P8) &amp; TEXT(MONTH($P8),"00")),$O8,"")</f>
        <v/>
      </c>
      <c r="R8" s="68" t="str">
        <f t="shared" si="14"/>
        <v/>
      </c>
      <c r="S8" s="68" t="str">
        <f t="shared" si="14"/>
        <v/>
      </c>
      <c r="T8" s="68" t="str">
        <f t="shared" si="14"/>
        <v/>
      </c>
      <c r="U8" s="68" t="str">
        <f t="shared" si="14"/>
        <v/>
      </c>
      <c r="V8" s="69">
        <f t="shared" si="14"/>
        <v>133333.33333333334</v>
      </c>
      <c r="W8" s="69">
        <f t="shared" si="14"/>
        <v>133333.33333333334</v>
      </c>
      <c r="X8" s="69">
        <f t="shared" si="14"/>
        <v>133333.33333333334</v>
      </c>
      <c r="Y8" s="69">
        <f t="shared" si="14"/>
        <v>133333.33333333334</v>
      </c>
      <c r="Z8" s="69">
        <f t="shared" si="14"/>
        <v>133333.33333333334</v>
      </c>
      <c r="AA8" s="69">
        <f t="shared" si="14"/>
        <v>133333.33333333334</v>
      </c>
      <c r="AB8" s="69">
        <f t="shared" si="14"/>
        <v>133333.33333333334</v>
      </c>
      <c r="AC8" s="69">
        <f t="shared" si="14"/>
        <v>133333.33333333334</v>
      </c>
      <c r="AD8" s="69">
        <f t="shared" si="14"/>
        <v>133333.33333333334</v>
      </c>
      <c r="AE8" s="69">
        <f t="shared" si="14"/>
        <v>133333.33333333334</v>
      </c>
      <c r="AF8" s="69">
        <f t="shared" si="14"/>
        <v>133333.33333333334</v>
      </c>
      <c r="AG8" s="69">
        <f t="shared" ref="AG8:AV23" si="15">IF(AND(LEFT(AG$1,FIND("_",AG$1)-1)&amp;RIGHT(AG$1,LEN(AG$1)-FIND("_",AG$1)) &gt;= YEAR($I8) &amp; TEXT(MONTH($I8),"00"),LEFT(AG$1,FIND("_",AG$1)-1)&amp;RIGHT(AG$1,LEN(AG$1)-FIND("_",AG$1)) &lt; YEAR($P8) &amp; TEXT(MONTH($P8),"00")),$O8,"")</f>
        <v>133333.33333333334</v>
      </c>
      <c r="AH8" s="70">
        <f t="shared" si="15"/>
        <v>133333.33333333334</v>
      </c>
      <c r="AI8" s="70">
        <f t="shared" si="15"/>
        <v>133333.33333333334</v>
      </c>
      <c r="AJ8" s="70">
        <f t="shared" si="15"/>
        <v>133333.33333333334</v>
      </c>
      <c r="AK8" s="70">
        <f t="shared" si="15"/>
        <v>133333.33333333334</v>
      </c>
      <c r="AL8" s="70">
        <f t="shared" si="15"/>
        <v>133333.33333333334</v>
      </c>
      <c r="AM8" s="70">
        <f t="shared" si="15"/>
        <v>133333.33333333334</v>
      </c>
      <c r="AN8" s="70">
        <f t="shared" si="15"/>
        <v>133333.33333333334</v>
      </c>
      <c r="AO8" s="70">
        <f t="shared" si="15"/>
        <v>133333.33333333334</v>
      </c>
      <c r="AP8" s="70">
        <f t="shared" si="15"/>
        <v>133333.33333333334</v>
      </c>
      <c r="AQ8" s="70">
        <f t="shared" si="15"/>
        <v>133333.33333333334</v>
      </c>
      <c r="AR8" s="70">
        <f t="shared" si="15"/>
        <v>133333.33333333334</v>
      </c>
      <c r="AS8" s="70">
        <f t="shared" si="15"/>
        <v>133333.33333333334</v>
      </c>
      <c r="AT8" s="71">
        <f t="shared" si="15"/>
        <v>133333.33333333334</v>
      </c>
      <c r="AU8" s="71">
        <f t="shared" si="15"/>
        <v>133333.33333333334</v>
      </c>
      <c r="AV8" s="71">
        <f t="shared" si="15"/>
        <v>133333.33333333334</v>
      </c>
      <c r="AW8" s="71">
        <f t="shared" ref="AW8:BE23" si="16">IF(AND(LEFT(AW$1,FIND("_",AW$1)-1)&amp;RIGHT(AW$1,LEN(AW$1)-FIND("_",AW$1)) &gt;= YEAR($I8) &amp; TEXT(MONTH($I8),"00"),LEFT(AW$1,FIND("_",AW$1)-1)&amp;RIGHT(AW$1,LEN(AW$1)-FIND("_",AW$1)) &lt; YEAR($P8) &amp; TEXT(MONTH($P8),"00")),$O8,"")</f>
        <v>133333.33333333334</v>
      </c>
      <c r="AX8" s="71">
        <f t="shared" si="16"/>
        <v>133333.33333333334</v>
      </c>
      <c r="AY8" s="71">
        <f t="shared" si="16"/>
        <v>133333.33333333334</v>
      </c>
      <c r="AZ8" s="71">
        <f t="shared" si="16"/>
        <v>133333.33333333334</v>
      </c>
      <c r="BA8" s="71">
        <f t="shared" si="16"/>
        <v>133333.33333333334</v>
      </c>
      <c r="BB8" s="71">
        <f t="shared" si="16"/>
        <v>133333.33333333334</v>
      </c>
      <c r="BC8" s="71">
        <f t="shared" si="16"/>
        <v>133333.33333333334</v>
      </c>
      <c r="BD8" s="71">
        <f t="shared" si="16"/>
        <v>133333.33333333334</v>
      </c>
      <c r="BE8" s="71">
        <f t="shared" si="16"/>
        <v>133333.33333333334</v>
      </c>
      <c r="BF8" s="68">
        <f t="shared" si="7"/>
        <v>0</v>
      </c>
      <c r="BG8" s="69">
        <f t="shared" si="8"/>
        <v>1599999.9999999998</v>
      </c>
      <c r="BH8" s="70">
        <f t="shared" si="9"/>
        <v>1599999.9999999998</v>
      </c>
      <c r="BI8" s="71">
        <f t="shared" si="10"/>
        <v>1599999.9999999998</v>
      </c>
      <c r="BJ8" s="72">
        <f>VLOOKUP(D8,Master!AD:AG,3,FALSE)</f>
        <v>7611600</v>
      </c>
      <c r="BK8" s="73" t="str">
        <f>VLOOKUP(D8,Master!AD:AG,4,FALSE)</f>
        <v>Depreciation-Tools, furniture &amp; office equipment</v>
      </c>
    </row>
    <row r="9" spans="1:63" ht="15" customHeight="1">
      <c r="A9" s="64" t="s">
        <v>357</v>
      </c>
      <c r="B9" s="25" t="s">
        <v>335</v>
      </c>
      <c r="C9" s="65" t="s">
        <v>221</v>
      </c>
      <c r="D9" s="66">
        <v>2141000</v>
      </c>
      <c r="E9" s="26">
        <v>10000000</v>
      </c>
      <c r="F9" s="67">
        <v>60</v>
      </c>
      <c r="G9" s="65" t="s">
        <v>309</v>
      </c>
      <c r="H9" s="27">
        <v>1</v>
      </c>
      <c r="I9" s="28">
        <v>44287</v>
      </c>
      <c r="J9" s="65" t="s">
        <v>310</v>
      </c>
      <c r="K9" s="65" t="s">
        <v>331</v>
      </c>
      <c r="L9" s="65"/>
      <c r="M9" s="65" t="s">
        <v>472</v>
      </c>
      <c r="N9" s="51">
        <f t="shared" si="11"/>
        <v>10000000</v>
      </c>
      <c r="O9" s="51">
        <f t="shared" si="12"/>
        <v>166666.66666666666</v>
      </c>
      <c r="P9" s="28">
        <f t="shared" si="13"/>
        <v>46113</v>
      </c>
      <c r="Q9" s="68" t="str">
        <f t="shared" si="14"/>
        <v/>
      </c>
      <c r="R9" s="68" t="str">
        <f t="shared" si="14"/>
        <v/>
      </c>
      <c r="S9" s="68" t="str">
        <f t="shared" si="14"/>
        <v/>
      </c>
      <c r="T9" s="68" t="str">
        <f t="shared" si="14"/>
        <v/>
      </c>
      <c r="U9" s="68" t="str">
        <f t="shared" si="14"/>
        <v/>
      </c>
      <c r="V9" s="69">
        <f t="shared" si="14"/>
        <v>166666.66666666666</v>
      </c>
      <c r="W9" s="69">
        <f t="shared" si="14"/>
        <v>166666.66666666666</v>
      </c>
      <c r="X9" s="69">
        <f t="shared" si="14"/>
        <v>166666.66666666666</v>
      </c>
      <c r="Y9" s="69">
        <f t="shared" si="14"/>
        <v>166666.66666666666</v>
      </c>
      <c r="Z9" s="69">
        <f t="shared" si="14"/>
        <v>166666.66666666666</v>
      </c>
      <c r="AA9" s="69">
        <f t="shared" si="14"/>
        <v>166666.66666666666</v>
      </c>
      <c r="AB9" s="69">
        <f t="shared" si="14"/>
        <v>166666.66666666666</v>
      </c>
      <c r="AC9" s="69">
        <f t="shared" si="14"/>
        <v>166666.66666666666</v>
      </c>
      <c r="AD9" s="69">
        <f t="shared" si="14"/>
        <v>166666.66666666666</v>
      </c>
      <c r="AE9" s="69">
        <f t="shared" si="14"/>
        <v>166666.66666666666</v>
      </c>
      <c r="AF9" s="69">
        <f t="shared" si="14"/>
        <v>166666.66666666666</v>
      </c>
      <c r="AG9" s="69">
        <f t="shared" si="15"/>
        <v>166666.66666666666</v>
      </c>
      <c r="AH9" s="70">
        <f t="shared" si="15"/>
        <v>166666.66666666666</v>
      </c>
      <c r="AI9" s="70">
        <f t="shared" si="15"/>
        <v>166666.66666666666</v>
      </c>
      <c r="AJ9" s="70">
        <f t="shared" si="15"/>
        <v>166666.66666666666</v>
      </c>
      <c r="AK9" s="70">
        <f t="shared" si="15"/>
        <v>166666.66666666666</v>
      </c>
      <c r="AL9" s="70">
        <f t="shared" si="15"/>
        <v>166666.66666666666</v>
      </c>
      <c r="AM9" s="70">
        <f t="shared" si="15"/>
        <v>166666.66666666666</v>
      </c>
      <c r="AN9" s="70">
        <f t="shared" si="15"/>
        <v>166666.66666666666</v>
      </c>
      <c r="AO9" s="70">
        <f t="shared" si="15"/>
        <v>166666.66666666666</v>
      </c>
      <c r="AP9" s="70">
        <f t="shared" si="15"/>
        <v>166666.66666666666</v>
      </c>
      <c r="AQ9" s="70">
        <f t="shared" si="15"/>
        <v>166666.66666666666</v>
      </c>
      <c r="AR9" s="70">
        <f t="shared" si="15"/>
        <v>166666.66666666666</v>
      </c>
      <c r="AS9" s="70">
        <f t="shared" si="15"/>
        <v>166666.66666666666</v>
      </c>
      <c r="AT9" s="71">
        <f t="shared" si="15"/>
        <v>166666.66666666666</v>
      </c>
      <c r="AU9" s="71">
        <f t="shared" si="15"/>
        <v>166666.66666666666</v>
      </c>
      <c r="AV9" s="71">
        <f t="shared" si="15"/>
        <v>166666.66666666666</v>
      </c>
      <c r="AW9" s="71">
        <f t="shared" si="16"/>
        <v>166666.66666666666</v>
      </c>
      <c r="AX9" s="71">
        <f t="shared" si="16"/>
        <v>166666.66666666666</v>
      </c>
      <c r="AY9" s="71">
        <f t="shared" si="16"/>
        <v>166666.66666666666</v>
      </c>
      <c r="AZ9" s="71">
        <f t="shared" si="16"/>
        <v>166666.66666666666</v>
      </c>
      <c r="BA9" s="71">
        <f t="shared" si="16"/>
        <v>166666.66666666666</v>
      </c>
      <c r="BB9" s="71">
        <f t="shared" si="16"/>
        <v>166666.66666666666</v>
      </c>
      <c r="BC9" s="71">
        <f t="shared" si="16"/>
        <v>166666.66666666666</v>
      </c>
      <c r="BD9" s="71">
        <f t="shared" si="16"/>
        <v>166666.66666666666</v>
      </c>
      <c r="BE9" s="71">
        <f t="shared" si="16"/>
        <v>166666.66666666666</v>
      </c>
      <c r="BF9" s="68">
        <f t="shared" si="7"/>
        <v>0</v>
      </c>
      <c r="BG9" s="69">
        <f t="shared" si="8"/>
        <v>2000000.0000000002</v>
      </c>
      <c r="BH9" s="70">
        <f t="shared" si="9"/>
        <v>2000000.0000000002</v>
      </c>
      <c r="BI9" s="71">
        <f t="shared" si="10"/>
        <v>2000000.0000000002</v>
      </c>
      <c r="BJ9" s="72">
        <f>VLOOKUP(D9,Master!AD:AG,3,FALSE)</f>
        <v>7611600</v>
      </c>
      <c r="BK9" s="73" t="str">
        <f>VLOOKUP(D9,Master!AD:AG,4,FALSE)</f>
        <v>Depreciation-Tools, furniture &amp; office equipment</v>
      </c>
    </row>
    <row r="10" spans="1:63" ht="15" customHeight="1">
      <c r="A10" s="64" t="s">
        <v>358</v>
      </c>
      <c r="B10" s="25" t="s">
        <v>336</v>
      </c>
      <c r="C10" s="65" t="s">
        <v>221</v>
      </c>
      <c r="D10" s="66">
        <v>2141000</v>
      </c>
      <c r="E10" s="26">
        <v>10000000</v>
      </c>
      <c r="F10" s="67">
        <v>60</v>
      </c>
      <c r="G10" s="65" t="s">
        <v>331</v>
      </c>
      <c r="H10" s="27">
        <v>1</v>
      </c>
      <c r="I10" s="28">
        <v>44287</v>
      </c>
      <c r="J10" s="65" t="s">
        <v>310</v>
      </c>
      <c r="K10" s="65" t="s">
        <v>331</v>
      </c>
      <c r="L10" s="65"/>
      <c r="M10" s="65" t="s">
        <v>472</v>
      </c>
      <c r="N10" s="51">
        <f t="shared" si="11"/>
        <v>10000000</v>
      </c>
      <c r="O10" s="51">
        <f t="shared" si="12"/>
        <v>166666.66666666666</v>
      </c>
      <c r="P10" s="28">
        <f t="shared" si="13"/>
        <v>46113</v>
      </c>
      <c r="Q10" s="68" t="str">
        <f t="shared" si="14"/>
        <v/>
      </c>
      <c r="R10" s="68" t="str">
        <f t="shared" si="14"/>
        <v/>
      </c>
      <c r="S10" s="68" t="str">
        <f t="shared" si="14"/>
        <v/>
      </c>
      <c r="T10" s="68" t="str">
        <f t="shared" si="14"/>
        <v/>
      </c>
      <c r="U10" s="68" t="str">
        <f t="shared" si="14"/>
        <v/>
      </c>
      <c r="V10" s="69">
        <f t="shared" si="14"/>
        <v>166666.66666666666</v>
      </c>
      <c r="W10" s="69">
        <f t="shared" si="14"/>
        <v>166666.66666666666</v>
      </c>
      <c r="X10" s="69">
        <f t="shared" si="14"/>
        <v>166666.66666666666</v>
      </c>
      <c r="Y10" s="69">
        <f t="shared" si="14"/>
        <v>166666.66666666666</v>
      </c>
      <c r="Z10" s="69">
        <f t="shared" si="14"/>
        <v>166666.66666666666</v>
      </c>
      <c r="AA10" s="69">
        <f t="shared" si="14"/>
        <v>166666.66666666666</v>
      </c>
      <c r="AB10" s="69">
        <f t="shared" si="14"/>
        <v>166666.66666666666</v>
      </c>
      <c r="AC10" s="69">
        <f t="shared" si="14"/>
        <v>166666.66666666666</v>
      </c>
      <c r="AD10" s="69">
        <f t="shared" si="14"/>
        <v>166666.66666666666</v>
      </c>
      <c r="AE10" s="69">
        <f t="shared" si="14"/>
        <v>166666.66666666666</v>
      </c>
      <c r="AF10" s="69">
        <f t="shared" si="14"/>
        <v>166666.66666666666</v>
      </c>
      <c r="AG10" s="69">
        <f t="shared" si="15"/>
        <v>166666.66666666666</v>
      </c>
      <c r="AH10" s="70">
        <f t="shared" si="15"/>
        <v>166666.66666666666</v>
      </c>
      <c r="AI10" s="70">
        <f t="shared" si="15"/>
        <v>166666.66666666666</v>
      </c>
      <c r="AJ10" s="70">
        <f t="shared" si="15"/>
        <v>166666.66666666666</v>
      </c>
      <c r="AK10" s="70">
        <f t="shared" si="15"/>
        <v>166666.66666666666</v>
      </c>
      <c r="AL10" s="70">
        <f t="shared" si="15"/>
        <v>166666.66666666666</v>
      </c>
      <c r="AM10" s="70">
        <f t="shared" si="15"/>
        <v>166666.66666666666</v>
      </c>
      <c r="AN10" s="70">
        <f t="shared" si="15"/>
        <v>166666.66666666666</v>
      </c>
      <c r="AO10" s="70">
        <f t="shared" si="15"/>
        <v>166666.66666666666</v>
      </c>
      <c r="AP10" s="70">
        <f t="shared" si="15"/>
        <v>166666.66666666666</v>
      </c>
      <c r="AQ10" s="70">
        <f t="shared" si="15"/>
        <v>166666.66666666666</v>
      </c>
      <c r="AR10" s="70">
        <f t="shared" si="15"/>
        <v>166666.66666666666</v>
      </c>
      <c r="AS10" s="70">
        <f t="shared" si="15"/>
        <v>166666.66666666666</v>
      </c>
      <c r="AT10" s="71">
        <f t="shared" si="15"/>
        <v>166666.66666666666</v>
      </c>
      <c r="AU10" s="71">
        <f t="shared" si="15"/>
        <v>166666.66666666666</v>
      </c>
      <c r="AV10" s="71">
        <f t="shared" si="15"/>
        <v>166666.66666666666</v>
      </c>
      <c r="AW10" s="71">
        <f t="shared" si="16"/>
        <v>166666.66666666666</v>
      </c>
      <c r="AX10" s="71">
        <f t="shared" si="16"/>
        <v>166666.66666666666</v>
      </c>
      <c r="AY10" s="71">
        <f t="shared" si="16"/>
        <v>166666.66666666666</v>
      </c>
      <c r="AZ10" s="71">
        <f t="shared" si="16"/>
        <v>166666.66666666666</v>
      </c>
      <c r="BA10" s="71">
        <f t="shared" si="16"/>
        <v>166666.66666666666</v>
      </c>
      <c r="BB10" s="71">
        <f t="shared" si="16"/>
        <v>166666.66666666666</v>
      </c>
      <c r="BC10" s="71">
        <f t="shared" si="16"/>
        <v>166666.66666666666</v>
      </c>
      <c r="BD10" s="71">
        <f t="shared" si="16"/>
        <v>166666.66666666666</v>
      </c>
      <c r="BE10" s="71">
        <f t="shared" si="16"/>
        <v>166666.66666666666</v>
      </c>
      <c r="BF10" s="68">
        <f t="shared" si="7"/>
        <v>0</v>
      </c>
      <c r="BG10" s="69">
        <f t="shared" si="8"/>
        <v>2000000.0000000002</v>
      </c>
      <c r="BH10" s="70">
        <f t="shared" si="9"/>
        <v>2000000.0000000002</v>
      </c>
      <c r="BI10" s="71">
        <f t="shared" si="10"/>
        <v>2000000.0000000002</v>
      </c>
      <c r="BJ10" s="72">
        <f>VLOOKUP(D10,Master!AD:AG,3,FALSE)</f>
        <v>7611600</v>
      </c>
      <c r="BK10" s="73" t="str">
        <f>VLOOKUP(D10,Master!AD:AG,4,FALSE)</f>
        <v>Depreciation-Tools, furniture &amp; office equipment</v>
      </c>
    </row>
    <row r="11" spans="1:63" ht="15" customHeight="1">
      <c r="A11" s="64" t="s">
        <v>359</v>
      </c>
      <c r="B11" s="25" t="s">
        <v>337</v>
      </c>
      <c r="C11" s="65" t="s">
        <v>221</v>
      </c>
      <c r="D11" s="66">
        <v>2141000</v>
      </c>
      <c r="E11" s="26">
        <v>8000000</v>
      </c>
      <c r="F11" s="67">
        <v>60</v>
      </c>
      <c r="G11" s="65" t="s">
        <v>331</v>
      </c>
      <c r="H11" s="27">
        <v>1</v>
      </c>
      <c r="I11" s="28">
        <v>44348</v>
      </c>
      <c r="J11" s="65" t="s">
        <v>310</v>
      </c>
      <c r="K11" s="65" t="s">
        <v>331</v>
      </c>
      <c r="L11" s="65"/>
      <c r="M11" s="65" t="s">
        <v>472</v>
      </c>
      <c r="N11" s="51">
        <f t="shared" si="11"/>
        <v>8000000</v>
      </c>
      <c r="O11" s="51">
        <f t="shared" si="12"/>
        <v>133333.33333333334</v>
      </c>
      <c r="P11" s="28">
        <f t="shared" si="13"/>
        <v>46174</v>
      </c>
      <c r="Q11" s="68" t="str">
        <f t="shared" si="14"/>
        <v/>
      </c>
      <c r="R11" s="68" t="str">
        <f t="shared" si="14"/>
        <v/>
      </c>
      <c r="S11" s="68" t="str">
        <f t="shared" si="14"/>
        <v/>
      </c>
      <c r="T11" s="68" t="str">
        <f t="shared" si="14"/>
        <v/>
      </c>
      <c r="U11" s="68" t="str">
        <f t="shared" si="14"/>
        <v/>
      </c>
      <c r="V11" s="69" t="str">
        <f t="shared" si="14"/>
        <v/>
      </c>
      <c r="W11" s="69" t="str">
        <f t="shared" si="14"/>
        <v/>
      </c>
      <c r="X11" s="69">
        <f t="shared" si="14"/>
        <v>133333.33333333334</v>
      </c>
      <c r="Y11" s="69">
        <f t="shared" si="14"/>
        <v>133333.33333333334</v>
      </c>
      <c r="Z11" s="69">
        <f t="shared" si="14"/>
        <v>133333.33333333334</v>
      </c>
      <c r="AA11" s="69">
        <f t="shared" si="14"/>
        <v>133333.33333333334</v>
      </c>
      <c r="AB11" s="69">
        <f t="shared" si="14"/>
        <v>133333.33333333334</v>
      </c>
      <c r="AC11" s="69">
        <f t="shared" si="14"/>
        <v>133333.33333333334</v>
      </c>
      <c r="AD11" s="69">
        <f t="shared" si="14"/>
        <v>133333.33333333334</v>
      </c>
      <c r="AE11" s="69">
        <f t="shared" si="14"/>
        <v>133333.33333333334</v>
      </c>
      <c r="AF11" s="69">
        <f t="shared" si="14"/>
        <v>133333.33333333334</v>
      </c>
      <c r="AG11" s="69">
        <f t="shared" si="15"/>
        <v>133333.33333333334</v>
      </c>
      <c r="AH11" s="70">
        <f t="shared" si="15"/>
        <v>133333.33333333334</v>
      </c>
      <c r="AI11" s="70">
        <f t="shared" si="15"/>
        <v>133333.33333333334</v>
      </c>
      <c r="AJ11" s="70">
        <f t="shared" si="15"/>
        <v>133333.33333333334</v>
      </c>
      <c r="AK11" s="70">
        <f t="shared" si="15"/>
        <v>133333.33333333334</v>
      </c>
      <c r="AL11" s="70">
        <f t="shared" si="15"/>
        <v>133333.33333333334</v>
      </c>
      <c r="AM11" s="70">
        <f t="shared" si="15"/>
        <v>133333.33333333334</v>
      </c>
      <c r="AN11" s="70">
        <f t="shared" si="15"/>
        <v>133333.33333333334</v>
      </c>
      <c r="AO11" s="70">
        <f t="shared" si="15"/>
        <v>133333.33333333334</v>
      </c>
      <c r="AP11" s="70">
        <f t="shared" si="15"/>
        <v>133333.33333333334</v>
      </c>
      <c r="AQ11" s="70">
        <f t="shared" si="15"/>
        <v>133333.33333333334</v>
      </c>
      <c r="AR11" s="70">
        <f t="shared" si="15"/>
        <v>133333.33333333334</v>
      </c>
      <c r="AS11" s="70">
        <f t="shared" si="15"/>
        <v>133333.33333333334</v>
      </c>
      <c r="AT11" s="71">
        <f t="shared" si="15"/>
        <v>133333.33333333334</v>
      </c>
      <c r="AU11" s="71">
        <f t="shared" si="15"/>
        <v>133333.33333333334</v>
      </c>
      <c r="AV11" s="71">
        <f t="shared" si="15"/>
        <v>133333.33333333334</v>
      </c>
      <c r="AW11" s="71">
        <f t="shared" si="16"/>
        <v>133333.33333333334</v>
      </c>
      <c r="AX11" s="71">
        <f t="shared" si="16"/>
        <v>133333.33333333334</v>
      </c>
      <c r="AY11" s="71">
        <f t="shared" si="16"/>
        <v>133333.33333333334</v>
      </c>
      <c r="AZ11" s="71">
        <f t="shared" si="16"/>
        <v>133333.33333333334</v>
      </c>
      <c r="BA11" s="71">
        <f t="shared" si="16"/>
        <v>133333.33333333334</v>
      </c>
      <c r="BB11" s="71">
        <f t="shared" si="16"/>
        <v>133333.33333333334</v>
      </c>
      <c r="BC11" s="71">
        <f t="shared" si="16"/>
        <v>133333.33333333334</v>
      </c>
      <c r="BD11" s="71">
        <f t="shared" si="16"/>
        <v>133333.33333333334</v>
      </c>
      <c r="BE11" s="71">
        <f t="shared" si="16"/>
        <v>133333.33333333334</v>
      </c>
      <c r="BF11" s="68">
        <f t="shared" si="7"/>
        <v>0</v>
      </c>
      <c r="BG11" s="69">
        <f t="shared" si="8"/>
        <v>1333333.3333333333</v>
      </c>
      <c r="BH11" s="70">
        <f t="shared" si="9"/>
        <v>1599999.9999999998</v>
      </c>
      <c r="BI11" s="71">
        <f t="shared" si="10"/>
        <v>1599999.9999999998</v>
      </c>
      <c r="BJ11" s="72">
        <f>VLOOKUP(D11,Master!AD:AG,3,FALSE)</f>
        <v>7611600</v>
      </c>
      <c r="BK11" s="73" t="str">
        <f>VLOOKUP(D11,Master!AD:AG,4,FALSE)</f>
        <v>Depreciation-Tools, furniture &amp; office equipment</v>
      </c>
    </row>
    <row r="12" spans="1:63" ht="15" customHeight="1">
      <c r="A12" s="64" t="s">
        <v>360</v>
      </c>
      <c r="B12" s="25" t="s">
        <v>338</v>
      </c>
      <c r="C12" s="65" t="s">
        <v>221</v>
      </c>
      <c r="D12" s="66">
        <v>2141000</v>
      </c>
      <c r="E12" s="26">
        <v>8000000</v>
      </c>
      <c r="F12" s="67">
        <v>60</v>
      </c>
      <c r="G12" s="65" t="s">
        <v>331</v>
      </c>
      <c r="H12" s="27">
        <v>1</v>
      </c>
      <c r="I12" s="28">
        <v>44348</v>
      </c>
      <c r="J12" s="65" t="s">
        <v>310</v>
      </c>
      <c r="K12" s="65" t="s">
        <v>331</v>
      </c>
      <c r="L12" s="65"/>
      <c r="M12" s="65" t="s">
        <v>472</v>
      </c>
      <c r="N12" s="51">
        <f t="shared" si="11"/>
        <v>8000000</v>
      </c>
      <c r="O12" s="51">
        <f t="shared" si="12"/>
        <v>133333.33333333334</v>
      </c>
      <c r="P12" s="28">
        <f t="shared" si="13"/>
        <v>46174</v>
      </c>
      <c r="Q12" s="68" t="str">
        <f t="shared" si="14"/>
        <v/>
      </c>
      <c r="R12" s="68" t="str">
        <f t="shared" si="14"/>
        <v/>
      </c>
      <c r="S12" s="68" t="str">
        <f t="shared" si="14"/>
        <v/>
      </c>
      <c r="T12" s="68" t="str">
        <f t="shared" si="14"/>
        <v/>
      </c>
      <c r="U12" s="68" t="str">
        <f t="shared" si="14"/>
        <v/>
      </c>
      <c r="V12" s="69" t="str">
        <f t="shared" si="14"/>
        <v/>
      </c>
      <c r="W12" s="69" t="str">
        <f t="shared" si="14"/>
        <v/>
      </c>
      <c r="X12" s="69">
        <f t="shared" si="14"/>
        <v>133333.33333333334</v>
      </c>
      <c r="Y12" s="69">
        <f t="shared" si="14"/>
        <v>133333.33333333334</v>
      </c>
      <c r="Z12" s="69">
        <f t="shared" si="14"/>
        <v>133333.33333333334</v>
      </c>
      <c r="AA12" s="69">
        <f t="shared" si="14"/>
        <v>133333.33333333334</v>
      </c>
      <c r="AB12" s="69">
        <f t="shared" si="14"/>
        <v>133333.33333333334</v>
      </c>
      <c r="AC12" s="69">
        <f t="shared" si="14"/>
        <v>133333.33333333334</v>
      </c>
      <c r="AD12" s="69">
        <f t="shared" si="14"/>
        <v>133333.33333333334</v>
      </c>
      <c r="AE12" s="69">
        <f t="shared" si="14"/>
        <v>133333.33333333334</v>
      </c>
      <c r="AF12" s="69">
        <f t="shared" si="14"/>
        <v>133333.33333333334</v>
      </c>
      <c r="AG12" s="69">
        <f t="shared" si="15"/>
        <v>133333.33333333334</v>
      </c>
      <c r="AH12" s="70">
        <f t="shared" si="15"/>
        <v>133333.33333333334</v>
      </c>
      <c r="AI12" s="70">
        <f t="shared" si="15"/>
        <v>133333.33333333334</v>
      </c>
      <c r="AJ12" s="70">
        <f t="shared" si="15"/>
        <v>133333.33333333334</v>
      </c>
      <c r="AK12" s="70">
        <f t="shared" si="15"/>
        <v>133333.33333333334</v>
      </c>
      <c r="AL12" s="70">
        <f t="shared" si="15"/>
        <v>133333.33333333334</v>
      </c>
      <c r="AM12" s="70">
        <f t="shared" si="15"/>
        <v>133333.33333333334</v>
      </c>
      <c r="AN12" s="70">
        <f t="shared" si="15"/>
        <v>133333.33333333334</v>
      </c>
      <c r="AO12" s="70">
        <f t="shared" si="15"/>
        <v>133333.33333333334</v>
      </c>
      <c r="AP12" s="70">
        <f t="shared" si="15"/>
        <v>133333.33333333334</v>
      </c>
      <c r="AQ12" s="70">
        <f t="shared" si="15"/>
        <v>133333.33333333334</v>
      </c>
      <c r="AR12" s="70">
        <f t="shared" si="15"/>
        <v>133333.33333333334</v>
      </c>
      <c r="AS12" s="70">
        <f t="shared" si="15"/>
        <v>133333.33333333334</v>
      </c>
      <c r="AT12" s="71">
        <f t="shared" si="15"/>
        <v>133333.33333333334</v>
      </c>
      <c r="AU12" s="71">
        <f t="shared" si="15"/>
        <v>133333.33333333334</v>
      </c>
      <c r="AV12" s="71">
        <f t="shared" si="15"/>
        <v>133333.33333333334</v>
      </c>
      <c r="AW12" s="71">
        <f t="shared" si="16"/>
        <v>133333.33333333334</v>
      </c>
      <c r="AX12" s="71">
        <f t="shared" si="16"/>
        <v>133333.33333333334</v>
      </c>
      <c r="AY12" s="71">
        <f t="shared" si="16"/>
        <v>133333.33333333334</v>
      </c>
      <c r="AZ12" s="71">
        <f t="shared" si="16"/>
        <v>133333.33333333334</v>
      </c>
      <c r="BA12" s="71">
        <f t="shared" si="16"/>
        <v>133333.33333333334</v>
      </c>
      <c r="BB12" s="71">
        <f t="shared" si="16"/>
        <v>133333.33333333334</v>
      </c>
      <c r="BC12" s="71">
        <f t="shared" si="16"/>
        <v>133333.33333333334</v>
      </c>
      <c r="BD12" s="71">
        <f t="shared" si="16"/>
        <v>133333.33333333334</v>
      </c>
      <c r="BE12" s="71">
        <f t="shared" si="16"/>
        <v>133333.33333333334</v>
      </c>
      <c r="BF12" s="68">
        <f t="shared" si="7"/>
        <v>0</v>
      </c>
      <c r="BG12" s="69">
        <f t="shared" si="8"/>
        <v>1333333.3333333333</v>
      </c>
      <c r="BH12" s="70">
        <f t="shared" si="9"/>
        <v>1599999.9999999998</v>
      </c>
      <c r="BI12" s="71">
        <f t="shared" si="10"/>
        <v>1599999.9999999998</v>
      </c>
      <c r="BJ12" s="72">
        <f>VLOOKUP(D12,Master!AD:AG,3,FALSE)</f>
        <v>7611600</v>
      </c>
      <c r="BK12" s="73" t="str">
        <f>VLOOKUP(D12,Master!AD:AG,4,FALSE)</f>
        <v>Depreciation-Tools, furniture &amp; office equipment</v>
      </c>
    </row>
    <row r="13" spans="1:63" ht="15" customHeight="1">
      <c r="A13" s="64" t="s">
        <v>361</v>
      </c>
      <c r="B13" s="25" t="s">
        <v>339</v>
      </c>
      <c r="C13" s="65" t="s">
        <v>221</v>
      </c>
      <c r="D13" s="66">
        <v>2141000</v>
      </c>
      <c r="E13" s="26">
        <v>8000000</v>
      </c>
      <c r="F13" s="67">
        <v>60</v>
      </c>
      <c r="G13" s="65" t="s">
        <v>331</v>
      </c>
      <c r="H13" s="27">
        <v>1</v>
      </c>
      <c r="I13" s="28">
        <v>44348</v>
      </c>
      <c r="J13" s="65" t="s">
        <v>310</v>
      </c>
      <c r="K13" s="65" t="s">
        <v>331</v>
      </c>
      <c r="L13" s="65"/>
      <c r="M13" s="65" t="s">
        <v>472</v>
      </c>
      <c r="N13" s="51">
        <f t="shared" si="11"/>
        <v>8000000</v>
      </c>
      <c r="O13" s="51">
        <f t="shared" si="12"/>
        <v>133333.33333333334</v>
      </c>
      <c r="P13" s="28">
        <f t="shared" si="13"/>
        <v>46174</v>
      </c>
      <c r="Q13" s="68" t="str">
        <f t="shared" si="14"/>
        <v/>
      </c>
      <c r="R13" s="68" t="str">
        <f t="shared" si="14"/>
        <v/>
      </c>
      <c r="S13" s="68" t="str">
        <f t="shared" si="14"/>
        <v/>
      </c>
      <c r="T13" s="68" t="str">
        <f t="shared" si="14"/>
        <v/>
      </c>
      <c r="U13" s="68" t="str">
        <f t="shared" si="14"/>
        <v/>
      </c>
      <c r="V13" s="69" t="str">
        <f t="shared" si="14"/>
        <v/>
      </c>
      <c r="W13" s="69" t="str">
        <f t="shared" si="14"/>
        <v/>
      </c>
      <c r="X13" s="69">
        <f t="shared" si="14"/>
        <v>133333.33333333334</v>
      </c>
      <c r="Y13" s="69">
        <f t="shared" si="14"/>
        <v>133333.33333333334</v>
      </c>
      <c r="Z13" s="69">
        <f t="shared" si="14"/>
        <v>133333.33333333334</v>
      </c>
      <c r="AA13" s="69">
        <f t="shared" si="14"/>
        <v>133333.33333333334</v>
      </c>
      <c r="AB13" s="69">
        <f t="shared" si="14"/>
        <v>133333.33333333334</v>
      </c>
      <c r="AC13" s="69">
        <f t="shared" si="14"/>
        <v>133333.33333333334</v>
      </c>
      <c r="AD13" s="69">
        <f t="shared" si="14"/>
        <v>133333.33333333334</v>
      </c>
      <c r="AE13" s="69">
        <f t="shared" si="14"/>
        <v>133333.33333333334</v>
      </c>
      <c r="AF13" s="69">
        <f t="shared" si="14"/>
        <v>133333.33333333334</v>
      </c>
      <c r="AG13" s="69">
        <f t="shared" si="15"/>
        <v>133333.33333333334</v>
      </c>
      <c r="AH13" s="70">
        <f t="shared" si="15"/>
        <v>133333.33333333334</v>
      </c>
      <c r="AI13" s="70">
        <f t="shared" si="15"/>
        <v>133333.33333333334</v>
      </c>
      <c r="AJ13" s="70">
        <f t="shared" si="15"/>
        <v>133333.33333333334</v>
      </c>
      <c r="AK13" s="70">
        <f t="shared" si="15"/>
        <v>133333.33333333334</v>
      </c>
      <c r="AL13" s="70">
        <f t="shared" si="15"/>
        <v>133333.33333333334</v>
      </c>
      <c r="AM13" s="70">
        <f t="shared" si="15"/>
        <v>133333.33333333334</v>
      </c>
      <c r="AN13" s="70">
        <f t="shared" si="15"/>
        <v>133333.33333333334</v>
      </c>
      <c r="AO13" s="70">
        <f t="shared" si="15"/>
        <v>133333.33333333334</v>
      </c>
      <c r="AP13" s="70">
        <f t="shared" si="15"/>
        <v>133333.33333333334</v>
      </c>
      <c r="AQ13" s="70">
        <f t="shared" si="15"/>
        <v>133333.33333333334</v>
      </c>
      <c r="AR13" s="70">
        <f t="shared" si="15"/>
        <v>133333.33333333334</v>
      </c>
      <c r="AS13" s="70">
        <f t="shared" si="15"/>
        <v>133333.33333333334</v>
      </c>
      <c r="AT13" s="71">
        <f t="shared" si="15"/>
        <v>133333.33333333334</v>
      </c>
      <c r="AU13" s="71">
        <f t="shared" si="15"/>
        <v>133333.33333333334</v>
      </c>
      <c r="AV13" s="71">
        <f t="shared" si="15"/>
        <v>133333.33333333334</v>
      </c>
      <c r="AW13" s="71">
        <f t="shared" si="16"/>
        <v>133333.33333333334</v>
      </c>
      <c r="AX13" s="71">
        <f t="shared" si="16"/>
        <v>133333.33333333334</v>
      </c>
      <c r="AY13" s="71">
        <f t="shared" si="16"/>
        <v>133333.33333333334</v>
      </c>
      <c r="AZ13" s="71">
        <f t="shared" si="16"/>
        <v>133333.33333333334</v>
      </c>
      <c r="BA13" s="71">
        <f t="shared" si="16"/>
        <v>133333.33333333334</v>
      </c>
      <c r="BB13" s="71">
        <f t="shared" si="16"/>
        <v>133333.33333333334</v>
      </c>
      <c r="BC13" s="71">
        <f t="shared" si="16"/>
        <v>133333.33333333334</v>
      </c>
      <c r="BD13" s="71">
        <f t="shared" si="16"/>
        <v>133333.33333333334</v>
      </c>
      <c r="BE13" s="71">
        <f t="shared" si="16"/>
        <v>133333.33333333334</v>
      </c>
      <c r="BF13" s="68">
        <f t="shared" si="7"/>
        <v>0</v>
      </c>
      <c r="BG13" s="69">
        <f t="shared" si="8"/>
        <v>1333333.3333333333</v>
      </c>
      <c r="BH13" s="70">
        <f t="shared" si="9"/>
        <v>1599999.9999999998</v>
      </c>
      <c r="BI13" s="71">
        <f t="shared" si="10"/>
        <v>1599999.9999999998</v>
      </c>
      <c r="BJ13" s="72">
        <f>VLOOKUP(D13,Master!AD:AG,3,FALSE)</f>
        <v>7611600</v>
      </c>
      <c r="BK13" s="73" t="str">
        <f>VLOOKUP(D13,Master!AD:AG,4,FALSE)</f>
        <v>Depreciation-Tools, furniture &amp; office equipment</v>
      </c>
    </row>
    <row r="14" spans="1:63" ht="15" customHeight="1">
      <c r="A14" s="64" t="s">
        <v>362</v>
      </c>
      <c r="B14" s="25" t="s">
        <v>340</v>
      </c>
      <c r="C14" s="65" t="s">
        <v>221</v>
      </c>
      <c r="D14" s="66">
        <v>2141000</v>
      </c>
      <c r="E14" s="26">
        <v>10000000</v>
      </c>
      <c r="F14" s="67">
        <v>60</v>
      </c>
      <c r="G14" s="65" t="s">
        <v>331</v>
      </c>
      <c r="H14" s="27">
        <v>1</v>
      </c>
      <c r="I14" s="28">
        <v>44348</v>
      </c>
      <c r="J14" s="65" t="s">
        <v>310</v>
      </c>
      <c r="K14" s="65" t="s">
        <v>331</v>
      </c>
      <c r="L14" s="65"/>
      <c r="M14" s="65" t="s">
        <v>472</v>
      </c>
      <c r="N14" s="51">
        <f t="shared" si="11"/>
        <v>10000000</v>
      </c>
      <c r="O14" s="51">
        <f t="shared" si="12"/>
        <v>166666.66666666666</v>
      </c>
      <c r="P14" s="28">
        <f t="shared" si="13"/>
        <v>46174</v>
      </c>
      <c r="Q14" s="68" t="str">
        <f t="shared" si="14"/>
        <v/>
      </c>
      <c r="R14" s="68" t="str">
        <f t="shared" si="14"/>
        <v/>
      </c>
      <c r="S14" s="68" t="str">
        <f t="shared" si="14"/>
        <v/>
      </c>
      <c r="T14" s="68" t="str">
        <f t="shared" si="14"/>
        <v/>
      </c>
      <c r="U14" s="68" t="str">
        <f t="shared" si="14"/>
        <v/>
      </c>
      <c r="V14" s="69" t="str">
        <f t="shared" si="14"/>
        <v/>
      </c>
      <c r="W14" s="69" t="str">
        <f t="shared" si="14"/>
        <v/>
      </c>
      <c r="X14" s="69">
        <f t="shared" si="14"/>
        <v>166666.66666666666</v>
      </c>
      <c r="Y14" s="69">
        <f t="shared" si="14"/>
        <v>166666.66666666666</v>
      </c>
      <c r="Z14" s="69">
        <f t="shared" si="14"/>
        <v>166666.66666666666</v>
      </c>
      <c r="AA14" s="69">
        <f t="shared" si="14"/>
        <v>166666.66666666666</v>
      </c>
      <c r="AB14" s="69">
        <f t="shared" si="14"/>
        <v>166666.66666666666</v>
      </c>
      <c r="AC14" s="69">
        <f t="shared" si="14"/>
        <v>166666.66666666666</v>
      </c>
      <c r="AD14" s="69">
        <f t="shared" si="14"/>
        <v>166666.66666666666</v>
      </c>
      <c r="AE14" s="69">
        <f t="shared" si="14"/>
        <v>166666.66666666666</v>
      </c>
      <c r="AF14" s="69">
        <f t="shared" si="14"/>
        <v>166666.66666666666</v>
      </c>
      <c r="AG14" s="69">
        <f t="shared" si="15"/>
        <v>166666.66666666666</v>
      </c>
      <c r="AH14" s="70">
        <f t="shared" si="15"/>
        <v>166666.66666666666</v>
      </c>
      <c r="AI14" s="70">
        <f t="shared" si="15"/>
        <v>166666.66666666666</v>
      </c>
      <c r="AJ14" s="70">
        <f t="shared" si="15"/>
        <v>166666.66666666666</v>
      </c>
      <c r="AK14" s="70">
        <f t="shared" si="15"/>
        <v>166666.66666666666</v>
      </c>
      <c r="AL14" s="70">
        <f t="shared" si="15"/>
        <v>166666.66666666666</v>
      </c>
      <c r="AM14" s="70">
        <f t="shared" si="15"/>
        <v>166666.66666666666</v>
      </c>
      <c r="AN14" s="70">
        <f t="shared" si="15"/>
        <v>166666.66666666666</v>
      </c>
      <c r="AO14" s="70">
        <f t="shared" si="15"/>
        <v>166666.66666666666</v>
      </c>
      <c r="AP14" s="70">
        <f t="shared" si="15"/>
        <v>166666.66666666666</v>
      </c>
      <c r="AQ14" s="70">
        <f t="shared" si="15"/>
        <v>166666.66666666666</v>
      </c>
      <c r="AR14" s="70">
        <f t="shared" si="15"/>
        <v>166666.66666666666</v>
      </c>
      <c r="AS14" s="70">
        <f t="shared" si="15"/>
        <v>166666.66666666666</v>
      </c>
      <c r="AT14" s="71">
        <f t="shared" si="15"/>
        <v>166666.66666666666</v>
      </c>
      <c r="AU14" s="71">
        <f t="shared" si="15"/>
        <v>166666.66666666666</v>
      </c>
      <c r="AV14" s="71">
        <f t="shared" si="15"/>
        <v>166666.66666666666</v>
      </c>
      <c r="AW14" s="71">
        <f t="shared" si="16"/>
        <v>166666.66666666666</v>
      </c>
      <c r="AX14" s="71">
        <f t="shared" si="16"/>
        <v>166666.66666666666</v>
      </c>
      <c r="AY14" s="71">
        <f t="shared" si="16"/>
        <v>166666.66666666666</v>
      </c>
      <c r="AZ14" s="71">
        <f t="shared" si="16"/>
        <v>166666.66666666666</v>
      </c>
      <c r="BA14" s="71">
        <f t="shared" si="16"/>
        <v>166666.66666666666</v>
      </c>
      <c r="BB14" s="71">
        <f t="shared" si="16"/>
        <v>166666.66666666666</v>
      </c>
      <c r="BC14" s="71">
        <f t="shared" si="16"/>
        <v>166666.66666666666</v>
      </c>
      <c r="BD14" s="71">
        <f t="shared" si="16"/>
        <v>166666.66666666666</v>
      </c>
      <c r="BE14" s="71">
        <f t="shared" si="16"/>
        <v>166666.66666666666</v>
      </c>
      <c r="BF14" s="68">
        <f t="shared" si="7"/>
        <v>0</v>
      </c>
      <c r="BG14" s="69">
        <f t="shared" si="8"/>
        <v>1666666.6666666667</v>
      </c>
      <c r="BH14" s="70">
        <f t="shared" si="9"/>
        <v>2000000.0000000002</v>
      </c>
      <c r="BI14" s="71">
        <f t="shared" si="10"/>
        <v>2000000.0000000002</v>
      </c>
      <c r="BJ14" s="72">
        <f>VLOOKUP(D14,Master!AD:AG,3,FALSE)</f>
        <v>7611600</v>
      </c>
      <c r="BK14" s="73" t="str">
        <f>VLOOKUP(D14,Master!AD:AG,4,FALSE)</f>
        <v>Depreciation-Tools, furniture &amp; office equipment</v>
      </c>
    </row>
    <row r="15" spans="1:63" ht="15" customHeight="1">
      <c r="A15" s="64" t="s">
        <v>363</v>
      </c>
      <c r="B15" s="25" t="s">
        <v>341</v>
      </c>
      <c r="C15" s="65" t="s">
        <v>221</v>
      </c>
      <c r="D15" s="66">
        <v>2141000</v>
      </c>
      <c r="E15" s="26">
        <v>10000000</v>
      </c>
      <c r="F15" s="67">
        <v>60</v>
      </c>
      <c r="G15" s="65" t="s">
        <v>331</v>
      </c>
      <c r="H15" s="27">
        <v>1</v>
      </c>
      <c r="I15" s="28">
        <v>44348</v>
      </c>
      <c r="J15" s="65" t="s">
        <v>310</v>
      </c>
      <c r="K15" s="65" t="s">
        <v>331</v>
      </c>
      <c r="L15" s="65"/>
      <c r="M15" s="65" t="s">
        <v>472</v>
      </c>
      <c r="N15" s="51">
        <f t="shared" si="11"/>
        <v>10000000</v>
      </c>
      <c r="O15" s="51">
        <f t="shared" si="12"/>
        <v>166666.66666666666</v>
      </c>
      <c r="P15" s="28">
        <f t="shared" si="13"/>
        <v>46174</v>
      </c>
      <c r="Q15" s="68" t="str">
        <f t="shared" si="14"/>
        <v/>
      </c>
      <c r="R15" s="68" t="str">
        <f t="shared" si="14"/>
        <v/>
      </c>
      <c r="S15" s="68" t="str">
        <f t="shared" si="14"/>
        <v/>
      </c>
      <c r="T15" s="68" t="str">
        <f t="shared" si="14"/>
        <v/>
      </c>
      <c r="U15" s="68" t="str">
        <f t="shared" si="14"/>
        <v/>
      </c>
      <c r="V15" s="69" t="str">
        <f t="shared" si="14"/>
        <v/>
      </c>
      <c r="W15" s="69" t="str">
        <f t="shared" si="14"/>
        <v/>
      </c>
      <c r="X15" s="69">
        <f t="shared" si="14"/>
        <v>166666.66666666666</v>
      </c>
      <c r="Y15" s="69">
        <f t="shared" si="14"/>
        <v>166666.66666666666</v>
      </c>
      <c r="Z15" s="69">
        <f t="shared" si="14"/>
        <v>166666.66666666666</v>
      </c>
      <c r="AA15" s="69">
        <f t="shared" si="14"/>
        <v>166666.66666666666</v>
      </c>
      <c r="AB15" s="69">
        <f t="shared" si="14"/>
        <v>166666.66666666666</v>
      </c>
      <c r="AC15" s="69">
        <f t="shared" si="14"/>
        <v>166666.66666666666</v>
      </c>
      <c r="AD15" s="69">
        <f t="shared" si="14"/>
        <v>166666.66666666666</v>
      </c>
      <c r="AE15" s="69">
        <f t="shared" si="14"/>
        <v>166666.66666666666</v>
      </c>
      <c r="AF15" s="69">
        <f t="shared" si="14"/>
        <v>166666.66666666666</v>
      </c>
      <c r="AG15" s="69">
        <f t="shared" si="15"/>
        <v>166666.66666666666</v>
      </c>
      <c r="AH15" s="70">
        <f t="shared" si="15"/>
        <v>166666.66666666666</v>
      </c>
      <c r="AI15" s="70">
        <f t="shared" si="15"/>
        <v>166666.66666666666</v>
      </c>
      <c r="AJ15" s="70">
        <f t="shared" si="15"/>
        <v>166666.66666666666</v>
      </c>
      <c r="AK15" s="70">
        <f t="shared" si="15"/>
        <v>166666.66666666666</v>
      </c>
      <c r="AL15" s="70">
        <f t="shared" si="15"/>
        <v>166666.66666666666</v>
      </c>
      <c r="AM15" s="70">
        <f t="shared" si="15"/>
        <v>166666.66666666666</v>
      </c>
      <c r="AN15" s="70">
        <f t="shared" si="15"/>
        <v>166666.66666666666</v>
      </c>
      <c r="AO15" s="70">
        <f t="shared" si="15"/>
        <v>166666.66666666666</v>
      </c>
      <c r="AP15" s="70">
        <f t="shared" si="15"/>
        <v>166666.66666666666</v>
      </c>
      <c r="AQ15" s="70">
        <f t="shared" si="15"/>
        <v>166666.66666666666</v>
      </c>
      <c r="AR15" s="70">
        <f t="shared" si="15"/>
        <v>166666.66666666666</v>
      </c>
      <c r="AS15" s="70">
        <f t="shared" si="15"/>
        <v>166666.66666666666</v>
      </c>
      <c r="AT15" s="71">
        <f t="shared" si="15"/>
        <v>166666.66666666666</v>
      </c>
      <c r="AU15" s="71">
        <f t="shared" si="15"/>
        <v>166666.66666666666</v>
      </c>
      <c r="AV15" s="71">
        <f t="shared" si="15"/>
        <v>166666.66666666666</v>
      </c>
      <c r="AW15" s="71">
        <f t="shared" si="16"/>
        <v>166666.66666666666</v>
      </c>
      <c r="AX15" s="71">
        <f t="shared" si="16"/>
        <v>166666.66666666666</v>
      </c>
      <c r="AY15" s="71">
        <f t="shared" si="16"/>
        <v>166666.66666666666</v>
      </c>
      <c r="AZ15" s="71">
        <f t="shared" si="16"/>
        <v>166666.66666666666</v>
      </c>
      <c r="BA15" s="71">
        <f t="shared" si="16"/>
        <v>166666.66666666666</v>
      </c>
      <c r="BB15" s="71">
        <f t="shared" si="16"/>
        <v>166666.66666666666</v>
      </c>
      <c r="BC15" s="71">
        <f t="shared" si="16"/>
        <v>166666.66666666666</v>
      </c>
      <c r="BD15" s="71">
        <f t="shared" si="16"/>
        <v>166666.66666666666</v>
      </c>
      <c r="BE15" s="71">
        <f t="shared" si="16"/>
        <v>166666.66666666666</v>
      </c>
      <c r="BF15" s="68">
        <f t="shared" si="7"/>
        <v>0</v>
      </c>
      <c r="BG15" s="69">
        <f t="shared" si="8"/>
        <v>1666666.6666666667</v>
      </c>
      <c r="BH15" s="70">
        <f t="shared" si="9"/>
        <v>2000000.0000000002</v>
      </c>
      <c r="BI15" s="71">
        <f t="shared" si="10"/>
        <v>2000000.0000000002</v>
      </c>
      <c r="BJ15" s="72">
        <f>VLOOKUP(D15,Master!AD:AG,3,FALSE)</f>
        <v>7611600</v>
      </c>
      <c r="BK15" s="73" t="str">
        <f>VLOOKUP(D15,Master!AD:AG,4,FALSE)</f>
        <v>Depreciation-Tools, furniture &amp; office equipment</v>
      </c>
    </row>
    <row r="16" spans="1:63" ht="15" customHeight="1">
      <c r="A16" s="64" t="s">
        <v>364</v>
      </c>
      <c r="B16" s="25" t="s">
        <v>342</v>
      </c>
      <c r="C16" s="65" t="s">
        <v>221</v>
      </c>
      <c r="D16" s="66">
        <v>2141000</v>
      </c>
      <c r="E16" s="26">
        <v>10000000</v>
      </c>
      <c r="F16" s="67">
        <v>60</v>
      </c>
      <c r="G16" s="65" t="s">
        <v>331</v>
      </c>
      <c r="H16" s="27">
        <v>1</v>
      </c>
      <c r="I16" s="28">
        <v>44348</v>
      </c>
      <c r="J16" s="65" t="s">
        <v>310</v>
      </c>
      <c r="K16" s="65" t="s">
        <v>331</v>
      </c>
      <c r="L16" s="65"/>
      <c r="M16" s="65" t="s">
        <v>472</v>
      </c>
      <c r="N16" s="51">
        <f t="shared" si="11"/>
        <v>10000000</v>
      </c>
      <c r="O16" s="51">
        <f t="shared" si="12"/>
        <v>166666.66666666666</v>
      </c>
      <c r="P16" s="28">
        <f t="shared" si="13"/>
        <v>46174</v>
      </c>
      <c r="Q16" s="68" t="str">
        <f t="shared" si="14"/>
        <v/>
      </c>
      <c r="R16" s="68" t="str">
        <f t="shared" si="14"/>
        <v/>
      </c>
      <c r="S16" s="68" t="str">
        <f t="shared" si="14"/>
        <v/>
      </c>
      <c r="T16" s="68" t="str">
        <f t="shared" si="14"/>
        <v/>
      </c>
      <c r="U16" s="68" t="str">
        <f t="shared" si="14"/>
        <v/>
      </c>
      <c r="V16" s="69" t="str">
        <f t="shared" si="14"/>
        <v/>
      </c>
      <c r="W16" s="69" t="str">
        <f t="shared" si="14"/>
        <v/>
      </c>
      <c r="X16" s="69">
        <f t="shared" si="14"/>
        <v>166666.66666666666</v>
      </c>
      <c r="Y16" s="69">
        <f t="shared" si="14"/>
        <v>166666.66666666666</v>
      </c>
      <c r="Z16" s="69">
        <f t="shared" si="14"/>
        <v>166666.66666666666</v>
      </c>
      <c r="AA16" s="69">
        <f t="shared" si="14"/>
        <v>166666.66666666666</v>
      </c>
      <c r="AB16" s="69">
        <f t="shared" si="14"/>
        <v>166666.66666666666</v>
      </c>
      <c r="AC16" s="69">
        <f t="shared" si="14"/>
        <v>166666.66666666666</v>
      </c>
      <c r="AD16" s="69">
        <f t="shared" si="14"/>
        <v>166666.66666666666</v>
      </c>
      <c r="AE16" s="69">
        <f t="shared" si="14"/>
        <v>166666.66666666666</v>
      </c>
      <c r="AF16" s="69">
        <f t="shared" si="14"/>
        <v>166666.66666666666</v>
      </c>
      <c r="AG16" s="69">
        <f t="shared" si="15"/>
        <v>166666.66666666666</v>
      </c>
      <c r="AH16" s="70">
        <f t="shared" si="15"/>
        <v>166666.66666666666</v>
      </c>
      <c r="AI16" s="70">
        <f t="shared" si="15"/>
        <v>166666.66666666666</v>
      </c>
      <c r="AJ16" s="70">
        <f t="shared" si="15"/>
        <v>166666.66666666666</v>
      </c>
      <c r="AK16" s="70">
        <f t="shared" si="15"/>
        <v>166666.66666666666</v>
      </c>
      <c r="AL16" s="70">
        <f t="shared" si="15"/>
        <v>166666.66666666666</v>
      </c>
      <c r="AM16" s="70">
        <f t="shared" si="15"/>
        <v>166666.66666666666</v>
      </c>
      <c r="AN16" s="70">
        <f t="shared" si="15"/>
        <v>166666.66666666666</v>
      </c>
      <c r="AO16" s="70">
        <f t="shared" si="15"/>
        <v>166666.66666666666</v>
      </c>
      <c r="AP16" s="70">
        <f t="shared" si="15"/>
        <v>166666.66666666666</v>
      </c>
      <c r="AQ16" s="70">
        <f t="shared" si="15"/>
        <v>166666.66666666666</v>
      </c>
      <c r="AR16" s="70">
        <f t="shared" si="15"/>
        <v>166666.66666666666</v>
      </c>
      <c r="AS16" s="70">
        <f t="shared" si="15"/>
        <v>166666.66666666666</v>
      </c>
      <c r="AT16" s="71">
        <f t="shared" si="15"/>
        <v>166666.66666666666</v>
      </c>
      <c r="AU16" s="71">
        <f t="shared" si="15"/>
        <v>166666.66666666666</v>
      </c>
      <c r="AV16" s="71">
        <f t="shared" si="15"/>
        <v>166666.66666666666</v>
      </c>
      <c r="AW16" s="71">
        <f t="shared" si="16"/>
        <v>166666.66666666666</v>
      </c>
      <c r="AX16" s="71">
        <f t="shared" si="16"/>
        <v>166666.66666666666</v>
      </c>
      <c r="AY16" s="71">
        <f t="shared" si="16"/>
        <v>166666.66666666666</v>
      </c>
      <c r="AZ16" s="71">
        <f t="shared" si="16"/>
        <v>166666.66666666666</v>
      </c>
      <c r="BA16" s="71">
        <f t="shared" si="16"/>
        <v>166666.66666666666</v>
      </c>
      <c r="BB16" s="71">
        <f t="shared" si="16"/>
        <v>166666.66666666666</v>
      </c>
      <c r="BC16" s="71">
        <f t="shared" si="16"/>
        <v>166666.66666666666</v>
      </c>
      <c r="BD16" s="71">
        <f t="shared" si="16"/>
        <v>166666.66666666666</v>
      </c>
      <c r="BE16" s="71">
        <f t="shared" si="16"/>
        <v>166666.66666666666</v>
      </c>
      <c r="BF16" s="68">
        <f t="shared" si="7"/>
        <v>0</v>
      </c>
      <c r="BG16" s="69">
        <f t="shared" si="8"/>
        <v>1666666.6666666667</v>
      </c>
      <c r="BH16" s="70">
        <f t="shared" si="9"/>
        <v>2000000.0000000002</v>
      </c>
      <c r="BI16" s="71">
        <f t="shared" si="10"/>
        <v>2000000.0000000002</v>
      </c>
      <c r="BJ16" s="72">
        <f>VLOOKUP(D16,Master!AD:AG,3,FALSE)</f>
        <v>7611600</v>
      </c>
      <c r="BK16" s="73" t="str">
        <f>VLOOKUP(D16,Master!AD:AG,4,FALSE)</f>
        <v>Depreciation-Tools, furniture &amp; office equipment</v>
      </c>
    </row>
    <row r="17" spans="1:63" s="74" customFormat="1" ht="15" customHeight="1">
      <c r="A17" s="64" t="s">
        <v>365</v>
      </c>
      <c r="B17" s="25" t="s">
        <v>343</v>
      </c>
      <c r="C17" s="65" t="s">
        <v>221</v>
      </c>
      <c r="D17" s="66">
        <v>2141000</v>
      </c>
      <c r="E17" s="26">
        <v>90000000</v>
      </c>
      <c r="F17" s="67">
        <v>60</v>
      </c>
      <c r="G17" s="65" t="s">
        <v>331</v>
      </c>
      <c r="H17" s="27">
        <v>1</v>
      </c>
      <c r="I17" s="28">
        <v>44470</v>
      </c>
      <c r="J17" s="65" t="s">
        <v>310</v>
      </c>
      <c r="K17" s="65" t="s">
        <v>331</v>
      </c>
      <c r="L17" s="65"/>
      <c r="M17" s="65" t="s">
        <v>472</v>
      </c>
      <c r="N17" s="51">
        <f t="shared" si="11"/>
        <v>90000000</v>
      </c>
      <c r="O17" s="51">
        <f t="shared" si="12"/>
        <v>1500000</v>
      </c>
      <c r="P17" s="28">
        <f t="shared" si="13"/>
        <v>46296</v>
      </c>
      <c r="Q17" s="68" t="str">
        <f t="shared" si="14"/>
        <v/>
      </c>
      <c r="R17" s="68" t="str">
        <f t="shared" si="14"/>
        <v/>
      </c>
      <c r="S17" s="68" t="str">
        <f t="shared" si="14"/>
        <v/>
      </c>
      <c r="T17" s="68" t="str">
        <f t="shared" si="14"/>
        <v/>
      </c>
      <c r="U17" s="68" t="str">
        <f t="shared" si="14"/>
        <v/>
      </c>
      <c r="V17" s="69" t="str">
        <f t="shared" si="14"/>
        <v/>
      </c>
      <c r="W17" s="69" t="str">
        <f t="shared" si="14"/>
        <v/>
      </c>
      <c r="X17" s="69" t="str">
        <f t="shared" si="14"/>
        <v/>
      </c>
      <c r="Y17" s="69" t="str">
        <f t="shared" si="14"/>
        <v/>
      </c>
      <c r="Z17" s="69" t="str">
        <f t="shared" si="14"/>
        <v/>
      </c>
      <c r="AA17" s="69" t="str">
        <f t="shared" si="14"/>
        <v/>
      </c>
      <c r="AB17" s="69">
        <f t="shared" si="14"/>
        <v>1500000</v>
      </c>
      <c r="AC17" s="69">
        <f t="shared" si="14"/>
        <v>1500000</v>
      </c>
      <c r="AD17" s="69">
        <f t="shared" si="14"/>
        <v>1500000</v>
      </c>
      <c r="AE17" s="69">
        <f t="shared" si="14"/>
        <v>1500000</v>
      </c>
      <c r="AF17" s="69">
        <f t="shared" si="14"/>
        <v>1500000</v>
      </c>
      <c r="AG17" s="69">
        <f t="shared" si="15"/>
        <v>1500000</v>
      </c>
      <c r="AH17" s="70">
        <f t="shared" si="15"/>
        <v>1500000</v>
      </c>
      <c r="AI17" s="70">
        <f t="shared" si="15"/>
        <v>1500000</v>
      </c>
      <c r="AJ17" s="70">
        <f t="shared" si="15"/>
        <v>1500000</v>
      </c>
      <c r="AK17" s="70">
        <f t="shared" si="15"/>
        <v>1500000</v>
      </c>
      <c r="AL17" s="70">
        <f t="shared" si="15"/>
        <v>1500000</v>
      </c>
      <c r="AM17" s="70">
        <f t="shared" si="15"/>
        <v>1500000</v>
      </c>
      <c r="AN17" s="70">
        <f t="shared" si="15"/>
        <v>1500000</v>
      </c>
      <c r="AO17" s="70">
        <f t="shared" si="15"/>
        <v>1500000</v>
      </c>
      <c r="AP17" s="70">
        <f t="shared" si="15"/>
        <v>1500000</v>
      </c>
      <c r="AQ17" s="70">
        <f t="shared" si="15"/>
        <v>1500000</v>
      </c>
      <c r="AR17" s="70">
        <f t="shared" si="15"/>
        <v>1500000</v>
      </c>
      <c r="AS17" s="70">
        <f t="shared" si="15"/>
        <v>1500000</v>
      </c>
      <c r="AT17" s="71">
        <f t="shared" si="15"/>
        <v>1500000</v>
      </c>
      <c r="AU17" s="71">
        <f t="shared" si="15"/>
        <v>1500000</v>
      </c>
      <c r="AV17" s="71">
        <f t="shared" si="15"/>
        <v>1500000</v>
      </c>
      <c r="AW17" s="71">
        <f t="shared" si="16"/>
        <v>1500000</v>
      </c>
      <c r="AX17" s="71">
        <f t="shared" si="16"/>
        <v>1500000</v>
      </c>
      <c r="AY17" s="71">
        <f t="shared" si="16"/>
        <v>1500000</v>
      </c>
      <c r="AZ17" s="71">
        <f t="shared" si="16"/>
        <v>1500000</v>
      </c>
      <c r="BA17" s="71">
        <f t="shared" si="16"/>
        <v>1500000</v>
      </c>
      <c r="BB17" s="71">
        <f t="shared" si="16"/>
        <v>1500000</v>
      </c>
      <c r="BC17" s="71">
        <f t="shared" si="16"/>
        <v>1500000</v>
      </c>
      <c r="BD17" s="71">
        <f t="shared" si="16"/>
        <v>1500000</v>
      </c>
      <c r="BE17" s="71">
        <f t="shared" si="16"/>
        <v>1500000</v>
      </c>
      <c r="BF17" s="68">
        <f t="shared" si="7"/>
        <v>0</v>
      </c>
      <c r="BG17" s="69">
        <f t="shared" si="8"/>
        <v>9000000</v>
      </c>
      <c r="BH17" s="70">
        <f t="shared" si="9"/>
        <v>18000000</v>
      </c>
      <c r="BI17" s="71">
        <f t="shared" si="10"/>
        <v>18000000</v>
      </c>
      <c r="BJ17" s="72">
        <f>VLOOKUP(D17,Master!AD:AG,3,FALSE)</f>
        <v>7611600</v>
      </c>
      <c r="BK17" s="73" t="str">
        <f>VLOOKUP(D17,Master!AD:AG,4,FALSE)</f>
        <v>Depreciation-Tools, furniture &amp; office equipment</v>
      </c>
    </row>
    <row r="18" spans="1:63" s="74" customFormat="1" ht="15" customHeight="1">
      <c r="A18" s="64" t="s">
        <v>366</v>
      </c>
      <c r="B18" s="25" t="s">
        <v>344</v>
      </c>
      <c r="C18" s="65" t="s">
        <v>218</v>
      </c>
      <c r="D18" s="66">
        <v>2131000</v>
      </c>
      <c r="E18" s="26">
        <v>467500000</v>
      </c>
      <c r="F18" s="67">
        <v>60</v>
      </c>
      <c r="G18" s="65" t="s">
        <v>239</v>
      </c>
      <c r="H18" s="27">
        <v>1</v>
      </c>
      <c r="I18" s="28">
        <v>44264</v>
      </c>
      <c r="J18" s="65" t="s">
        <v>310</v>
      </c>
      <c r="K18" s="65" t="s">
        <v>331</v>
      </c>
      <c r="L18" s="65"/>
      <c r="M18" s="65" t="s">
        <v>473</v>
      </c>
      <c r="N18" s="51">
        <f t="shared" si="11"/>
        <v>467500000</v>
      </c>
      <c r="O18" s="51">
        <f t="shared" si="12"/>
        <v>7791666.666666667</v>
      </c>
      <c r="P18" s="28">
        <f t="shared" si="13"/>
        <v>46090</v>
      </c>
      <c r="Q18" s="68" t="str">
        <f t="shared" ref="Q18:AF27" si="17">IF(AND(LEFT(Q$1,FIND("_",Q$1)-1)&amp;RIGHT(Q$1,LEN(Q$1)-FIND("_",Q$1)) &gt;= YEAR($I18) &amp; TEXT(MONTH($I18),"00"),LEFT(Q$1,FIND("_",Q$1)-1)&amp;RIGHT(Q$1,LEN(Q$1)-FIND("_",Q$1)) &lt; YEAR($P18) &amp; TEXT(MONTH($P18),"00")),$O18,"")</f>
        <v/>
      </c>
      <c r="R18" s="68" t="str">
        <f t="shared" si="17"/>
        <v/>
      </c>
      <c r="S18" s="68" t="str">
        <f t="shared" si="17"/>
        <v/>
      </c>
      <c r="T18" s="68" t="str">
        <f t="shared" si="17"/>
        <v/>
      </c>
      <c r="U18" s="68">
        <f t="shared" si="17"/>
        <v>7791666.666666667</v>
      </c>
      <c r="V18" s="69">
        <f t="shared" si="17"/>
        <v>7791666.666666667</v>
      </c>
      <c r="W18" s="69">
        <f t="shared" si="17"/>
        <v>7791666.666666667</v>
      </c>
      <c r="X18" s="69">
        <f t="shared" si="17"/>
        <v>7791666.666666667</v>
      </c>
      <c r="Y18" s="69">
        <f t="shared" si="17"/>
        <v>7791666.666666667</v>
      </c>
      <c r="Z18" s="69">
        <f t="shared" si="17"/>
        <v>7791666.666666667</v>
      </c>
      <c r="AA18" s="69">
        <f t="shared" si="17"/>
        <v>7791666.666666667</v>
      </c>
      <c r="AB18" s="69">
        <f t="shared" si="17"/>
        <v>7791666.666666667</v>
      </c>
      <c r="AC18" s="69">
        <f t="shared" si="17"/>
        <v>7791666.666666667</v>
      </c>
      <c r="AD18" s="69">
        <f t="shared" si="17"/>
        <v>7791666.666666667</v>
      </c>
      <c r="AE18" s="69">
        <f t="shared" si="17"/>
        <v>7791666.666666667</v>
      </c>
      <c r="AF18" s="69">
        <f t="shared" si="17"/>
        <v>7791666.666666667</v>
      </c>
      <c r="AG18" s="69">
        <f t="shared" si="15"/>
        <v>7791666.666666667</v>
      </c>
      <c r="AH18" s="70">
        <f t="shared" si="15"/>
        <v>7791666.666666667</v>
      </c>
      <c r="AI18" s="70">
        <f t="shared" si="15"/>
        <v>7791666.666666667</v>
      </c>
      <c r="AJ18" s="70">
        <f t="shared" si="15"/>
        <v>7791666.666666667</v>
      </c>
      <c r="AK18" s="70">
        <f t="shared" si="15"/>
        <v>7791666.666666667</v>
      </c>
      <c r="AL18" s="70">
        <f t="shared" si="15"/>
        <v>7791666.666666667</v>
      </c>
      <c r="AM18" s="70">
        <f t="shared" si="15"/>
        <v>7791666.666666667</v>
      </c>
      <c r="AN18" s="70">
        <f t="shared" si="15"/>
        <v>7791666.666666667</v>
      </c>
      <c r="AO18" s="70">
        <f t="shared" si="15"/>
        <v>7791666.666666667</v>
      </c>
      <c r="AP18" s="70">
        <f t="shared" si="15"/>
        <v>7791666.666666667</v>
      </c>
      <c r="AQ18" s="70">
        <f t="shared" si="15"/>
        <v>7791666.666666667</v>
      </c>
      <c r="AR18" s="70">
        <f t="shared" si="15"/>
        <v>7791666.666666667</v>
      </c>
      <c r="AS18" s="70">
        <f t="shared" si="15"/>
        <v>7791666.666666667</v>
      </c>
      <c r="AT18" s="71">
        <f t="shared" si="15"/>
        <v>7791666.666666667</v>
      </c>
      <c r="AU18" s="71">
        <f t="shared" si="15"/>
        <v>7791666.666666667</v>
      </c>
      <c r="AV18" s="71">
        <f t="shared" si="15"/>
        <v>7791666.666666667</v>
      </c>
      <c r="AW18" s="71">
        <f t="shared" si="16"/>
        <v>7791666.666666667</v>
      </c>
      <c r="AX18" s="71">
        <f t="shared" si="16"/>
        <v>7791666.666666667</v>
      </c>
      <c r="AY18" s="71">
        <f t="shared" si="16"/>
        <v>7791666.666666667</v>
      </c>
      <c r="AZ18" s="71">
        <f t="shared" si="16"/>
        <v>7791666.666666667</v>
      </c>
      <c r="BA18" s="71">
        <f t="shared" si="16"/>
        <v>7791666.666666667</v>
      </c>
      <c r="BB18" s="71">
        <f t="shared" si="16"/>
        <v>7791666.666666667</v>
      </c>
      <c r="BC18" s="71">
        <f t="shared" si="16"/>
        <v>7791666.666666667</v>
      </c>
      <c r="BD18" s="71">
        <f t="shared" si="16"/>
        <v>7791666.666666667</v>
      </c>
      <c r="BE18" s="71">
        <f t="shared" si="16"/>
        <v>7791666.666666667</v>
      </c>
      <c r="BF18" s="68">
        <f t="shared" si="7"/>
        <v>7791666.666666667</v>
      </c>
      <c r="BG18" s="69">
        <f t="shared" si="8"/>
        <v>93500000.000000015</v>
      </c>
      <c r="BH18" s="70">
        <f t="shared" si="9"/>
        <v>93500000.000000015</v>
      </c>
      <c r="BI18" s="71">
        <f t="shared" si="10"/>
        <v>93500000.000000015</v>
      </c>
      <c r="BJ18" s="72">
        <f>VLOOKUP(D18,Master!AD:AG,3,FALSE)</f>
        <v>7611500</v>
      </c>
      <c r="BK18" s="73" t="str">
        <f>VLOOKUP(D18,Master!AD:AG,4,FALSE)</f>
        <v>Depreciation-Vehicles</v>
      </c>
    </row>
    <row r="19" spans="1:63" s="74" customFormat="1" ht="15" customHeight="1">
      <c r="A19" s="64" t="s">
        <v>367</v>
      </c>
      <c r="B19" s="25" t="s">
        <v>346</v>
      </c>
      <c r="C19" s="65" t="s">
        <v>218</v>
      </c>
      <c r="D19" s="66">
        <v>2131000</v>
      </c>
      <c r="E19" s="26">
        <v>220000000</v>
      </c>
      <c r="F19" s="67">
        <v>60</v>
      </c>
      <c r="G19" s="65" t="s">
        <v>331</v>
      </c>
      <c r="H19" s="27">
        <v>1</v>
      </c>
      <c r="I19" s="28">
        <v>44287</v>
      </c>
      <c r="J19" s="65" t="s">
        <v>310</v>
      </c>
      <c r="K19" s="65" t="s">
        <v>331</v>
      </c>
      <c r="L19" s="65"/>
      <c r="M19" s="65" t="s">
        <v>472</v>
      </c>
      <c r="N19" s="51">
        <f t="shared" si="11"/>
        <v>220000000</v>
      </c>
      <c r="O19" s="51">
        <f t="shared" si="12"/>
        <v>3666666.6666666665</v>
      </c>
      <c r="P19" s="28">
        <f t="shared" si="13"/>
        <v>46113</v>
      </c>
      <c r="Q19" s="68" t="str">
        <f t="shared" si="17"/>
        <v/>
      </c>
      <c r="R19" s="68" t="str">
        <f t="shared" si="17"/>
        <v/>
      </c>
      <c r="S19" s="68" t="str">
        <f t="shared" si="17"/>
        <v/>
      </c>
      <c r="T19" s="68" t="str">
        <f t="shared" si="17"/>
        <v/>
      </c>
      <c r="U19" s="68" t="str">
        <f t="shared" si="17"/>
        <v/>
      </c>
      <c r="V19" s="69">
        <f t="shared" si="17"/>
        <v>3666666.6666666665</v>
      </c>
      <c r="W19" s="69">
        <f t="shared" si="17"/>
        <v>3666666.6666666665</v>
      </c>
      <c r="X19" s="69">
        <f t="shared" si="17"/>
        <v>3666666.6666666665</v>
      </c>
      <c r="Y19" s="69">
        <f t="shared" si="17"/>
        <v>3666666.6666666665</v>
      </c>
      <c r="Z19" s="69">
        <f t="shared" si="17"/>
        <v>3666666.6666666665</v>
      </c>
      <c r="AA19" s="69">
        <f t="shared" si="17"/>
        <v>3666666.6666666665</v>
      </c>
      <c r="AB19" s="69">
        <f t="shared" si="17"/>
        <v>3666666.6666666665</v>
      </c>
      <c r="AC19" s="69">
        <f t="shared" si="17"/>
        <v>3666666.6666666665</v>
      </c>
      <c r="AD19" s="69">
        <f t="shared" si="17"/>
        <v>3666666.6666666665</v>
      </c>
      <c r="AE19" s="69">
        <f t="shared" si="17"/>
        <v>3666666.6666666665</v>
      </c>
      <c r="AF19" s="69">
        <f t="shared" si="17"/>
        <v>3666666.6666666665</v>
      </c>
      <c r="AG19" s="69">
        <f t="shared" si="15"/>
        <v>3666666.6666666665</v>
      </c>
      <c r="AH19" s="70">
        <f t="shared" si="15"/>
        <v>3666666.6666666665</v>
      </c>
      <c r="AI19" s="70">
        <f t="shared" si="15"/>
        <v>3666666.6666666665</v>
      </c>
      <c r="AJ19" s="70">
        <f t="shared" si="15"/>
        <v>3666666.6666666665</v>
      </c>
      <c r="AK19" s="70">
        <f t="shared" si="15"/>
        <v>3666666.6666666665</v>
      </c>
      <c r="AL19" s="70">
        <f t="shared" si="15"/>
        <v>3666666.6666666665</v>
      </c>
      <c r="AM19" s="70">
        <f t="shared" si="15"/>
        <v>3666666.6666666665</v>
      </c>
      <c r="AN19" s="70">
        <f t="shared" si="15"/>
        <v>3666666.6666666665</v>
      </c>
      <c r="AO19" s="70">
        <f t="shared" si="15"/>
        <v>3666666.6666666665</v>
      </c>
      <c r="AP19" s="70">
        <f t="shared" si="15"/>
        <v>3666666.6666666665</v>
      </c>
      <c r="AQ19" s="70">
        <f t="shared" si="15"/>
        <v>3666666.6666666665</v>
      </c>
      <c r="AR19" s="70">
        <f t="shared" si="15"/>
        <v>3666666.6666666665</v>
      </c>
      <c r="AS19" s="70">
        <f t="shared" si="15"/>
        <v>3666666.6666666665</v>
      </c>
      <c r="AT19" s="71">
        <f t="shared" si="15"/>
        <v>3666666.6666666665</v>
      </c>
      <c r="AU19" s="71">
        <f t="shared" si="15"/>
        <v>3666666.6666666665</v>
      </c>
      <c r="AV19" s="71">
        <f t="shared" si="15"/>
        <v>3666666.6666666665</v>
      </c>
      <c r="AW19" s="71">
        <f t="shared" si="16"/>
        <v>3666666.6666666665</v>
      </c>
      <c r="AX19" s="71">
        <f t="shared" si="16"/>
        <v>3666666.6666666665</v>
      </c>
      <c r="AY19" s="71">
        <f t="shared" si="16"/>
        <v>3666666.6666666665</v>
      </c>
      <c r="AZ19" s="71">
        <f t="shared" si="16"/>
        <v>3666666.6666666665</v>
      </c>
      <c r="BA19" s="71">
        <f t="shared" si="16"/>
        <v>3666666.6666666665</v>
      </c>
      <c r="BB19" s="71">
        <f t="shared" si="16"/>
        <v>3666666.6666666665</v>
      </c>
      <c r="BC19" s="71">
        <f t="shared" si="16"/>
        <v>3666666.6666666665</v>
      </c>
      <c r="BD19" s="71">
        <f t="shared" si="16"/>
        <v>3666666.6666666665</v>
      </c>
      <c r="BE19" s="71">
        <f t="shared" si="16"/>
        <v>3666666.6666666665</v>
      </c>
      <c r="BF19" s="68">
        <f t="shared" si="7"/>
        <v>0</v>
      </c>
      <c r="BG19" s="69">
        <f t="shared" si="8"/>
        <v>44000000</v>
      </c>
      <c r="BH19" s="70">
        <f t="shared" si="9"/>
        <v>44000000</v>
      </c>
      <c r="BI19" s="71">
        <f t="shared" si="10"/>
        <v>44000000</v>
      </c>
      <c r="BJ19" s="72">
        <f>VLOOKUP(D19,Master!AD:AG,3,FALSE)</f>
        <v>7611500</v>
      </c>
      <c r="BK19" s="73" t="str">
        <f>VLOOKUP(D19,Master!AD:AG,4,FALSE)</f>
        <v>Depreciation-Vehicles</v>
      </c>
    </row>
    <row r="20" spans="1:63" s="74" customFormat="1" ht="15" customHeight="1">
      <c r="A20" s="64" t="s">
        <v>368</v>
      </c>
      <c r="B20" s="25" t="s">
        <v>346</v>
      </c>
      <c r="C20" s="65" t="s">
        <v>218</v>
      </c>
      <c r="D20" s="66">
        <v>2131000</v>
      </c>
      <c r="E20" s="26">
        <v>220000000</v>
      </c>
      <c r="F20" s="67">
        <v>60</v>
      </c>
      <c r="G20" s="65" t="s">
        <v>331</v>
      </c>
      <c r="H20" s="27">
        <v>1</v>
      </c>
      <c r="I20" s="28">
        <v>44378</v>
      </c>
      <c r="J20" s="65" t="s">
        <v>310</v>
      </c>
      <c r="K20" s="65" t="s">
        <v>331</v>
      </c>
      <c r="L20" s="65"/>
      <c r="M20" s="65" t="s">
        <v>472</v>
      </c>
      <c r="N20" s="51">
        <f t="shared" si="11"/>
        <v>220000000</v>
      </c>
      <c r="O20" s="51">
        <f t="shared" si="12"/>
        <v>3666666.6666666665</v>
      </c>
      <c r="P20" s="28">
        <f t="shared" si="13"/>
        <v>46204</v>
      </c>
      <c r="Q20" s="68" t="str">
        <f t="shared" si="17"/>
        <v/>
      </c>
      <c r="R20" s="68" t="str">
        <f t="shared" si="17"/>
        <v/>
      </c>
      <c r="S20" s="68" t="str">
        <f t="shared" si="17"/>
        <v/>
      </c>
      <c r="T20" s="68" t="str">
        <f t="shared" si="17"/>
        <v/>
      </c>
      <c r="U20" s="68" t="str">
        <f t="shared" si="17"/>
        <v/>
      </c>
      <c r="V20" s="69" t="str">
        <f t="shared" si="17"/>
        <v/>
      </c>
      <c r="W20" s="69" t="str">
        <f t="shared" si="17"/>
        <v/>
      </c>
      <c r="X20" s="69" t="str">
        <f t="shared" si="17"/>
        <v/>
      </c>
      <c r="Y20" s="69">
        <f t="shared" si="17"/>
        <v>3666666.6666666665</v>
      </c>
      <c r="Z20" s="69">
        <f t="shared" si="17"/>
        <v>3666666.6666666665</v>
      </c>
      <c r="AA20" s="69">
        <f t="shared" si="17"/>
        <v>3666666.6666666665</v>
      </c>
      <c r="AB20" s="69">
        <f t="shared" si="17"/>
        <v>3666666.6666666665</v>
      </c>
      <c r="AC20" s="69">
        <f t="shared" si="17"/>
        <v>3666666.6666666665</v>
      </c>
      <c r="AD20" s="69">
        <f t="shared" si="17"/>
        <v>3666666.6666666665</v>
      </c>
      <c r="AE20" s="69">
        <f t="shared" si="17"/>
        <v>3666666.6666666665</v>
      </c>
      <c r="AF20" s="69">
        <f t="shared" si="17"/>
        <v>3666666.6666666665</v>
      </c>
      <c r="AG20" s="69">
        <f t="shared" si="15"/>
        <v>3666666.6666666665</v>
      </c>
      <c r="AH20" s="70">
        <f t="shared" si="15"/>
        <v>3666666.6666666665</v>
      </c>
      <c r="AI20" s="70">
        <f t="shared" si="15"/>
        <v>3666666.6666666665</v>
      </c>
      <c r="AJ20" s="70">
        <f t="shared" si="15"/>
        <v>3666666.6666666665</v>
      </c>
      <c r="AK20" s="70">
        <f t="shared" si="15"/>
        <v>3666666.6666666665</v>
      </c>
      <c r="AL20" s="70">
        <f t="shared" si="15"/>
        <v>3666666.6666666665</v>
      </c>
      <c r="AM20" s="70">
        <f t="shared" si="15"/>
        <v>3666666.6666666665</v>
      </c>
      <c r="AN20" s="70">
        <f t="shared" si="15"/>
        <v>3666666.6666666665</v>
      </c>
      <c r="AO20" s="70">
        <f t="shared" si="15"/>
        <v>3666666.6666666665</v>
      </c>
      <c r="AP20" s="70">
        <f t="shared" si="15"/>
        <v>3666666.6666666665</v>
      </c>
      <c r="AQ20" s="70">
        <f t="shared" si="15"/>
        <v>3666666.6666666665</v>
      </c>
      <c r="AR20" s="70">
        <f t="shared" si="15"/>
        <v>3666666.6666666665</v>
      </c>
      <c r="AS20" s="70">
        <f t="shared" si="15"/>
        <v>3666666.6666666665</v>
      </c>
      <c r="AT20" s="71">
        <f t="shared" si="15"/>
        <v>3666666.6666666665</v>
      </c>
      <c r="AU20" s="71">
        <f t="shared" si="15"/>
        <v>3666666.6666666665</v>
      </c>
      <c r="AV20" s="71">
        <f t="shared" si="15"/>
        <v>3666666.6666666665</v>
      </c>
      <c r="AW20" s="71">
        <f t="shared" si="16"/>
        <v>3666666.6666666665</v>
      </c>
      <c r="AX20" s="71">
        <f t="shared" si="16"/>
        <v>3666666.6666666665</v>
      </c>
      <c r="AY20" s="71">
        <f t="shared" si="16"/>
        <v>3666666.6666666665</v>
      </c>
      <c r="AZ20" s="71">
        <f t="shared" si="16"/>
        <v>3666666.6666666665</v>
      </c>
      <c r="BA20" s="71">
        <f t="shared" si="16"/>
        <v>3666666.6666666665</v>
      </c>
      <c r="BB20" s="71">
        <f t="shared" si="16"/>
        <v>3666666.6666666665</v>
      </c>
      <c r="BC20" s="71">
        <f t="shared" si="16"/>
        <v>3666666.6666666665</v>
      </c>
      <c r="BD20" s="71">
        <f t="shared" si="16"/>
        <v>3666666.6666666665</v>
      </c>
      <c r="BE20" s="71">
        <f t="shared" si="16"/>
        <v>3666666.6666666665</v>
      </c>
      <c r="BF20" s="68">
        <f t="shared" si="7"/>
        <v>0</v>
      </c>
      <c r="BG20" s="69">
        <f t="shared" si="8"/>
        <v>33000000.000000004</v>
      </c>
      <c r="BH20" s="70">
        <f t="shared" si="9"/>
        <v>44000000</v>
      </c>
      <c r="BI20" s="71">
        <f t="shared" si="10"/>
        <v>44000000</v>
      </c>
      <c r="BJ20" s="72">
        <f>VLOOKUP(D20,Master!AD:AG,3,FALSE)</f>
        <v>7611500</v>
      </c>
      <c r="BK20" s="73" t="str">
        <f>VLOOKUP(D20,Master!AD:AG,4,FALSE)</f>
        <v>Depreciation-Vehicles</v>
      </c>
    </row>
    <row r="21" spans="1:63" s="74" customFormat="1" ht="15" customHeight="1">
      <c r="A21" s="64" t="s">
        <v>369</v>
      </c>
      <c r="B21" s="25" t="s">
        <v>346</v>
      </c>
      <c r="C21" s="65" t="s">
        <v>218</v>
      </c>
      <c r="D21" s="66">
        <v>2131000</v>
      </c>
      <c r="E21" s="26">
        <v>220000000</v>
      </c>
      <c r="F21" s="67">
        <v>60</v>
      </c>
      <c r="G21" s="65" t="s">
        <v>331</v>
      </c>
      <c r="H21" s="27">
        <v>1</v>
      </c>
      <c r="I21" s="28">
        <v>44440</v>
      </c>
      <c r="J21" s="65" t="s">
        <v>310</v>
      </c>
      <c r="K21" s="65" t="s">
        <v>331</v>
      </c>
      <c r="L21" s="65"/>
      <c r="M21" s="65" t="s">
        <v>472</v>
      </c>
      <c r="N21" s="51">
        <f t="shared" si="11"/>
        <v>220000000</v>
      </c>
      <c r="O21" s="51">
        <f t="shared" si="12"/>
        <v>3666666.6666666665</v>
      </c>
      <c r="P21" s="28">
        <f t="shared" si="13"/>
        <v>46266</v>
      </c>
      <c r="Q21" s="68" t="str">
        <f t="shared" si="17"/>
        <v/>
      </c>
      <c r="R21" s="68" t="str">
        <f t="shared" si="17"/>
        <v/>
      </c>
      <c r="S21" s="68" t="str">
        <f t="shared" si="17"/>
        <v/>
      </c>
      <c r="T21" s="68" t="str">
        <f t="shared" si="17"/>
        <v/>
      </c>
      <c r="U21" s="68" t="str">
        <f t="shared" si="17"/>
        <v/>
      </c>
      <c r="V21" s="69" t="str">
        <f t="shared" si="17"/>
        <v/>
      </c>
      <c r="W21" s="69" t="str">
        <f t="shared" si="17"/>
        <v/>
      </c>
      <c r="X21" s="69" t="str">
        <f t="shared" si="17"/>
        <v/>
      </c>
      <c r="Y21" s="69" t="str">
        <f t="shared" si="17"/>
        <v/>
      </c>
      <c r="Z21" s="69" t="str">
        <f t="shared" si="17"/>
        <v/>
      </c>
      <c r="AA21" s="69">
        <f t="shared" si="17"/>
        <v>3666666.6666666665</v>
      </c>
      <c r="AB21" s="69">
        <f t="shared" si="17"/>
        <v>3666666.6666666665</v>
      </c>
      <c r="AC21" s="69">
        <f t="shared" si="17"/>
        <v>3666666.6666666665</v>
      </c>
      <c r="AD21" s="69">
        <f t="shared" si="17"/>
        <v>3666666.6666666665</v>
      </c>
      <c r="AE21" s="69">
        <f t="shared" si="17"/>
        <v>3666666.6666666665</v>
      </c>
      <c r="AF21" s="69">
        <f t="shared" si="17"/>
        <v>3666666.6666666665</v>
      </c>
      <c r="AG21" s="69">
        <f t="shared" si="15"/>
        <v>3666666.6666666665</v>
      </c>
      <c r="AH21" s="70">
        <f t="shared" si="15"/>
        <v>3666666.6666666665</v>
      </c>
      <c r="AI21" s="70">
        <f t="shared" si="15"/>
        <v>3666666.6666666665</v>
      </c>
      <c r="AJ21" s="70">
        <f t="shared" si="15"/>
        <v>3666666.6666666665</v>
      </c>
      <c r="AK21" s="70">
        <f t="shared" si="15"/>
        <v>3666666.6666666665</v>
      </c>
      <c r="AL21" s="70">
        <f t="shared" si="15"/>
        <v>3666666.6666666665</v>
      </c>
      <c r="AM21" s="70">
        <f t="shared" si="15"/>
        <v>3666666.6666666665</v>
      </c>
      <c r="AN21" s="70">
        <f t="shared" si="15"/>
        <v>3666666.6666666665</v>
      </c>
      <c r="AO21" s="70">
        <f t="shared" si="15"/>
        <v>3666666.6666666665</v>
      </c>
      <c r="AP21" s="70">
        <f t="shared" si="15"/>
        <v>3666666.6666666665</v>
      </c>
      <c r="AQ21" s="70">
        <f t="shared" si="15"/>
        <v>3666666.6666666665</v>
      </c>
      <c r="AR21" s="70">
        <f t="shared" si="15"/>
        <v>3666666.6666666665</v>
      </c>
      <c r="AS21" s="70">
        <f t="shared" si="15"/>
        <v>3666666.6666666665</v>
      </c>
      <c r="AT21" s="71">
        <f t="shared" si="15"/>
        <v>3666666.6666666665</v>
      </c>
      <c r="AU21" s="71">
        <f t="shared" si="15"/>
        <v>3666666.6666666665</v>
      </c>
      <c r="AV21" s="71">
        <f t="shared" si="15"/>
        <v>3666666.6666666665</v>
      </c>
      <c r="AW21" s="71">
        <f t="shared" si="16"/>
        <v>3666666.6666666665</v>
      </c>
      <c r="AX21" s="71">
        <f t="shared" si="16"/>
        <v>3666666.6666666665</v>
      </c>
      <c r="AY21" s="71">
        <f t="shared" si="16"/>
        <v>3666666.6666666665</v>
      </c>
      <c r="AZ21" s="71">
        <f t="shared" si="16"/>
        <v>3666666.6666666665</v>
      </c>
      <c r="BA21" s="71">
        <f t="shared" si="16"/>
        <v>3666666.6666666665</v>
      </c>
      <c r="BB21" s="71">
        <f t="shared" si="16"/>
        <v>3666666.6666666665</v>
      </c>
      <c r="BC21" s="71">
        <f t="shared" si="16"/>
        <v>3666666.6666666665</v>
      </c>
      <c r="BD21" s="71">
        <f t="shared" si="16"/>
        <v>3666666.6666666665</v>
      </c>
      <c r="BE21" s="71">
        <f t="shared" si="16"/>
        <v>3666666.6666666665</v>
      </c>
      <c r="BF21" s="68">
        <f t="shared" si="7"/>
        <v>0</v>
      </c>
      <c r="BG21" s="69">
        <f t="shared" si="8"/>
        <v>25666666.666666668</v>
      </c>
      <c r="BH21" s="70">
        <f t="shared" si="9"/>
        <v>44000000</v>
      </c>
      <c r="BI21" s="71">
        <f t="shared" si="10"/>
        <v>44000000</v>
      </c>
      <c r="BJ21" s="72">
        <f>VLOOKUP(D21,Master!AD:AG,3,FALSE)</f>
        <v>7611500</v>
      </c>
      <c r="BK21" s="73" t="str">
        <f>VLOOKUP(D21,Master!AD:AG,4,FALSE)</f>
        <v>Depreciation-Vehicles</v>
      </c>
    </row>
    <row r="22" spans="1:63" s="74" customFormat="1" ht="15" customHeight="1">
      <c r="A22" s="64" t="s">
        <v>370</v>
      </c>
      <c r="B22" s="25" t="s">
        <v>347</v>
      </c>
      <c r="C22" s="65" t="s">
        <v>218</v>
      </c>
      <c r="D22" s="66">
        <v>2131000</v>
      </c>
      <c r="E22" s="26">
        <v>734000000</v>
      </c>
      <c r="F22" s="67">
        <v>60</v>
      </c>
      <c r="G22" s="65" t="s">
        <v>208</v>
      </c>
      <c r="H22" s="27">
        <v>1</v>
      </c>
      <c r="I22" s="28">
        <v>44531</v>
      </c>
      <c r="J22" s="65" t="s">
        <v>310</v>
      </c>
      <c r="K22" s="65" t="s">
        <v>331</v>
      </c>
      <c r="L22" s="65"/>
      <c r="M22" s="65" t="s">
        <v>472</v>
      </c>
      <c r="N22" s="51">
        <f t="shared" si="11"/>
        <v>734000000</v>
      </c>
      <c r="O22" s="51">
        <f t="shared" si="12"/>
        <v>12233333.333333334</v>
      </c>
      <c r="P22" s="28">
        <f t="shared" si="13"/>
        <v>46357</v>
      </c>
      <c r="Q22" s="68" t="str">
        <f t="shared" si="17"/>
        <v/>
      </c>
      <c r="R22" s="68" t="str">
        <f t="shared" si="17"/>
        <v/>
      </c>
      <c r="S22" s="68" t="str">
        <f t="shared" si="17"/>
        <v/>
      </c>
      <c r="T22" s="68" t="str">
        <f t="shared" si="17"/>
        <v/>
      </c>
      <c r="U22" s="68" t="str">
        <f t="shared" si="17"/>
        <v/>
      </c>
      <c r="V22" s="69" t="str">
        <f t="shared" si="17"/>
        <v/>
      </c>
      <c r="W22" s="69" t="str">
        <f t="shared" si="17"/>
        <v/>
      </c>
      <c r="X22" s="69" t="str">
        <f t="shared" si="17"/>
        <v/>
      </c>
      <c r="Y22" s="69" t="str">
        <f t="shared" si="17"/>
        <v/>
      </c>
      <c r="Z22" s="69" t="str">
        <f t="shared" si="17"/>
        <v/>
      </c>
      <c r="AA22" s="69" t="str">
        <f t="shared" si="17"/>
        <v/>
      </c>
      <c r="AB22" s="69" t="str">
        <f t="shared" si="17"/>
        <v/>
      </c>
      <c r="AC22" s="69" t="str">
        <f t="shared" si="17"/>
        <v/>
      </c>
      <c r="AD22" s="69">
        <f t="shared" si="17"/>
        <v>12233333.333333334</v>
      </c>
      <c r="AE22" s="69">
        <f t="shared" si="17"/>
        <v>12233333.333333334</v>
      </c>
      <c r="AF22" s="69">
        <f t="shared" si="17"/>
        <v>12233333.333333334</v>
      </c>
      <c r="AG22" s="69">
        <f t="shared" si="15"/>
        <v>12233333.333333334</v>
      </c>
      <c r="AH22" s="70">
        <f t="shared" si="15"/>
        <v>12233333.333333334</v>
      </c>
      <c r="AI22" s="70">
        <f t="shared" si="15"/>
        <v>12233333.333333334</v>
      </c>
      <c r="AJ22" s="70">
        <f t="shared" si="15"/>
        <v>12233333.333333334</v>
      </c>
      <c r="AK22" s="70">
        <f t="shared" si="15"/>
        <v>12233333.333333334</v>
      </c>
      <c r="AL22" s="70">
        <f t="shared" si="15"/>
        <v>12233333.333333334</v>
      </c>
      <c r="AM22" s="70">
        <f t="shared" si="15"/>
        <v>12233333.333333334</v>
      </c>
      <c r="AN22" s="70">
        <f t="shared" si="15"/>
        <v>12233333.333333334</v>
      </c>
      <c r="AO22" s="70">
        <f t="shared" si="15"/>
        <v>12233333.333333334</v>
      </c>
      <c r="AP22" s="70">
        <f t="shared" si="15"/>
        <v>12233333.333333334</v>
      </c>
      <c r="AQ22" s="70">
        <f t="shared" si="15"/>
        <v>12233333.333333334</v>
      </c>
      <c r="AR22" s="70">
        <f t="shared" si="15"/>
        <v>12233333.333333334</v>
      </c>
      <c r="AS22" s="70">
        <f t="shared" si="15"/>
        <v>12233333.333333334</v>
      </c>
      <c r="AT22" s="71">
        <f t="shared" si="15"/>
        <v>12233333.333333334</v>
      </c>
      <c r="AU22" s="71">
        <f t="shared" si="15"/>
        <v>12233333.333333334</v>
      </c>
      <c r="AV22" s="71">
        <f t="shared" si="15"/>
        <v>12233333.333333334</v>
      </c>
      <c r="AW22" s="71">
        <f t="shared" si="16"/>
        <v>12233333.333333334</v>
      </c>
      <c r="AX22" s="71">
        <f t="shared" si="16"/>
        <v>12233333.333333334</v>
      </c>
      <c r="AY22" s="71">
        <f t="shared" si="16"/>
        <v>12233333.333333334</v>
      </c>
      <c r="AZ22" s="71">
        <f t="shared" si="16"/>
        <v>12233333.333333334</v>
      </c>
      <c r="BA22" s="71">
        <f t="shared" si="16"/>
        <v>12233333.333333334</v>
      </c>
      <c r="BB22" s="71">
        <f t="shared" si="16"/>
        <v>12233333.333333334</v>
      </c>
      <c r="BC22" s="71">
        <f t="shared" si="16"/>
        <v>12233333.333333334</v>
      </c>
      <c r="BD22" s="71">
        <f t="shared" si="16"/>
        <v>12233333.333333334</v>
      </c>
      <c r="BE22" s="71">
        <f t="shared" si="16"/>
        <v>12233333.333333334</v>
      </c>
      <c r="BF22" s="68">
        <f t="shared" si="7"/>
        <v>0</v>
      </c>
      <c r="BG22" s="69">
        <f t="shared" si="8"/>
        <v>48933333.333333336</v>
      </c>
      <c r="BH22" s="70">
        <f t="shared" si="9"/>
        <v>146800000</v>
      </c>
      <c r="BI22" s="71">
        <f t="shared" si="10"/>
        <v>146800000</v>
      </c>
      <c r="BJ22" s="72">
        <f>VLOOKUP(D22,Master!AD:AG,3,FALSE)</f>
        <v>7611500</v>
      </c>
      <c r="BK22" s="73" t="str">
        <f>VLOOKUP(D22,Master!AD:AG,4,FALSE)</f>
        <v>Depreciation-Vehicles</v>
      </c>
    </row>
    <row r="23" spans="1:63" s="74" customFormat="1" ht="15" customHeight="1">
      <c r="A23" s="64" t="s">
        <v>371</v>
      </c>
      <c r="B23" s="25" t="s">
        <v>349</v>
      </c>
      <c r="C23" s="65" t="s">
        <v>218</v>
      </c>
      <c r="D23" s="66">
        <v>2131000</v>
      </c>
      <c r="E23" s="26">
        <v>500000000</v>
      </c>
      <c r="F23" s="67">
        <v>60</v>
      </c>
      <c r="G23" s="65" t="s">
        <v>208</v>
      </c>
      <c r="H23" s="27">
        <v>1</v>
      </c>
      <c r="I23" s="28">
        <v>44593</v>
      </c>
      <c r="J23" s="65" t="s">
        <v>310</v>
      </c>
      <c r="K23" s="65" t="s">
        <v>331</v>
      </c>
      <c r="L23" s="65"/>
      <c r="M23" s="65" t="s">
        <v>472</v>
      </c>
      <c r="N23" s="51">
        <f t="shared" si="11"/>
        <v>500000000</v>
      </c>
      <c r="O23" s="51">
        <f t="shared" si="12"/>
        <v>8333333.333333333</v>
      </c>
      <c r="P23" s="28">
        <f t="shared" si="13"/>
        <v>46419</v>
      </c>
      <c r="Q23" s="68" t="str">
        <f t="shared" si="17"/>
        <v/>
      </c>
      <c r="R23" s="68" t="str">
        <f t="shared" si="17"/>
        <v/>
      </c>
      <c r="S23" s="68" t="str">
        <f t="shared" si="17"/>
        <v/>
      </c>
      <c r="T23" s="68" t="str">
        <f t="shared" si="17"/>
        <v/>
      </c>
      <c r="U23" s="68" t="str">
        <f t="shared" si="17"/>
        <v/>
      </c>
      <c r="V23" s="69" t="str">
        <f t="shared" si="17"/>
        <v/>
      </c>
      <c r="W23" s="69" t="str">
        <f t="shared" si="17"/>
        <v/>
      </c>
      <c r="X23" s="69" t="str">
        <f t="shared" si="17"/>
        <v/>
      </c>
      <c r="Y23" s="69" t="str">
        <f t="shared" si="17"/>
        <v/>
      </c>
      <c r="Z23" s="69" t="str">
        <f t="shared" si="17"/>
        <v/>
      </c>
      <c r="AA23" s="69" t="str">
        <f t="shared" si="17"/>
        <v/>
      </c>
      <c r="AB23" s="69" t="str">
        <f t="shared" si="17"/>
        <v/>
      </c>
      <c r="AC23" s="69" t="str">
        <f t="shared" si="17"/>
        <v/>
      </c>
      <c r="AD23" s="69" t="str">
        <f t="shared" si="17"/>
        <v/>
      </c>
      <c r="AE23" s="69" t="str">
        <f t="shared" si="17"/>
        <v/>
      </c>
      <c r="AF23" s="69">
        <f t="shared" si="17"/>
        <v>8333333.333333333</v>
      </c>
      <c r="AG23" s="69">
        <f t="shared" si="15"/>
        <v>8333333.333333333</v>
      </c>
      <c r="AH23" s="70">
        <f t="shared" si="15"/>
        <v>8333333.333333333</v>
      </c>
      <c r="AI23" s="70">
        <f t="shared" si="15"/>
        <v>8333333.333333333</v>
      </c>
      <c r="AJ23" s="70">
        <f t="shared" si="15"/>
        <v>8333333.333333333</v>
      </c>
      <c r="AK23" s="70">
        <f t="shared" si="15"/>
        <v>8333333.333333333</v>
      </c>
      <c r="AL23" s="70">
        <f t="shared" si="15"/>
        <v>8333333.333333333</v>
      </c>
      <c r="AM23" s="70">
        <f t="shared" si="15"/>
        <v>8333333.333333333</v>
      </c>
      <c r="AN23" s="70">
        <f t="shared" si="15"/>
        <v>8333333.333333333</v>
      </c>
      <c r="AO23" s="70">
        <f t="shared" si="15"/>
        <v>8333333.333333333</v>
      </c>
      <c r="AP23" s="70">
        <f t="shared" si="15"/>
        <v>8333333.333333333</v>
      </c>
      <c r="AQ23" s="70">
        <f t="shared" si="15"/>
        <v>8333333.333333333</v>
      </c>
      <c r="AR23" s="70">
        <f t="shared" si="15"/>
        <v>8333333.333333333</v>
      </c>
      <c r="AS23" s="70">
        <f t="shared" si="15"/>
        <v>8333333.333333333</v>
      </c>
      <c r="AT23" s="71">
        <f t="shared" si="15"/>
        <v>8333333.333333333</v>
      </c>
      <c r="AU23" s="71">
        <f t="shared" si="15"/>
        <v>8333333.333333333</v>
      </c>
      <c r="AV23" s="71">
        <f t="shared" ref="AG23:AV39" si="18">IF(AND(LEFT(AV$1,FIND("_",AV$1)-1)&amp;RIGHT(AV$1,LEN(AV$1)-FIND("_",AV$1)) &gt;= YEAR($I23) &amp; TEXT(MONTH($I23),"00"),LEFT(AV$1,FIND("_",AV$1)-1)&amp;RIGHT(AV$1,LEN(AV$1)-FIND("_",AV$1)) &lt; YEAR($P23) &amp; TEXT(MONTH($P23),"00")),$O23,"")</f>
        <v>8333333.333333333</v>
      </c>
      <c r="AW23" s="71">
        <f t="shared" si="16"/>
        <v>8333333.333333333</v>
      </c>
      <c r="AX23" s="71">
        <f t="shared" si="16"/>
        <v>8333333.333333333</v>
      </c>
      <c r="AY23" s="71">
        <f t="shared" si="16"/>
        <v>8333333.333333333</v>
      </c>
      <c r="AZ23" s="71">
        <f t="shared" si="16"/>
        <v>8333333.333333333</v>
      </c>
      <c r="BA23" s="71">
        <f t="shared" si="16"/>
        <v>8333333.333333333</v>
      </c>
      <c r="BB23" s="71">
        <f t="shared" si="16"/>
        <v>8333333.333333333</v>
      </c>
      <c r="BC23" s="71">
        <f t="shared" si="16"/>
        <v>8333333.333333333</v>
      </c>
      <c r="BD23" s="71">
        <f t="shared" si="16"/>
        <v>8333333.333333333</v>
      </c>
      <c r="BE23" s="71">
        <f t="shared" si="16"/>
        <v>8333333.333333333</v>
      </c>
      <c r="BF23" s="68">
        <f t="shared" si="7"/>
        <v>0</v>
      </c>
      <c r="BG23" s="69">
        <f t="shared" si="8"/>
        <v>16666666.666666666</v>
      </c>
      <c r="BH23" s="70">
        <f t="shared" si="9"/>
        <v>99999999.999999985</v>
      </c>
      <c r="BI23" s="71">
        <f t="shared" si="10"/>
        <v>99999999.999999985</v>
      </c>
      <c r="BJ23" s="72">
        <f>VLOOKUP(D23,Master!AD:AG,3,FALSE)</f>
        <v>7611500</v>
      </c>
      <c r="BK23" s="73" t="str">
        <f>VLOOKUP(D23,Master!AD:AG,4,FALSE)</f>
        <v>Depreciation-Vehicles</v>
      </c>
    </row>
    <row r="24" spans="1:63" s="74" customFormat="1" ht="15" customHeight="1">
      <c r="A24" s="64" t="s">
        <v>372</v>
      </c>
      <c r="B24" s="25" t="s">
        <v>350</v>
      </c>
      <c r="C24" s="65" t="s">
        <v>218</v>
      </c>
      <c r="D24" s="66">
        <v>2131000</v>
      </c>
      <c r="E24" s="26">
        <v>235000000</v>
      </c>
      <c r="F24" s="67">
        <v>60</v>
      </c>
      <c r="G24" s="65" t="s">
        <v>331</v>
      </c>
      <c r="H24" s="27">
        <v>1</v>
      </c>
      <c r="I24" s="28">
        <v>44805</v>
      </c>
      <c r="J24" s="65" t="s">
        <v>310</v>
      </c>
      <c r="K24" s="65" t="s">
        <v>331</v>
      </c>
      <c r="L24" s="65"/>
      <c r="M24" s="65" t="s">
        <v>471</v>
      </c>
      <c r="N24" s="51">
        <f t="shared" si="11"/>
        <v>235000000</v>
      </c>
      <c r="O24" s="51">
        <f t="shared" si="12"/>
        <v>3916666.6666666665</v>
      </c>
      <c r="P24" s="28">
        <f t="shared" si="13"/>
        <v>46631</v>
      </c>
      <c r="Q24" s="68" t="str">
        <f t="shared" si="17"/>
        <v/>
      </c>
      <c r="R24" s="68" t="str">
        <f t="shared" si="17"/>
        <v/>
      </c>
      <c r="S24" s="68" t="str">
        <f t="shared" si="17"/>
        <v/>
      </c>
      <c r="T24" s="68" t="str">
        <f t="shared" si="17"/>
        <v/>
      </c>
      <c r="U24" s="68" t="str">
        <f t="shared" si="17"/>
        <v/>
      </c>
      <c r="V24" s="69" t="str">
        <f t="shared" si="17"/>
        <v/>
      </c>
      <c r="W24" s="69" t="str">
        <f t="shared" si="17"/>
        <v/>
      </c>
      <c r="X24" s="69" t="str">
        <f t="shared" si="17"/>
        <v/>
      </c>
      <c r="Y24" s="69" t="str">
        <f t="shared" si="17"/>
        <v/>
      </c>
      <c r="Z24" s="69" t="str">
        <f t="shared" si="17"/>
        <v/>
      </c>
      <c r="AA24" s="69" t="str">
        <f t="shared" si="17"/>
        <v/>
      </c>
      <c r="AB24" s="69" t="str">
        <f t="shared" si="17"/>
        <v/>
      </c>
      <c r="AC24" s="69" t="str">
        <f t="shared" si="17"/>
        <v/>
      </c>
      <c r="AD24" s="69" t="str">
        <f t="shared" si="17"/>
        <v/>
      </c>
      <c r="AE24" s="69" t="str">
        <f t="shared" si="17"/>
        <v/>
      </c>
      <c r="AF24" s="69" t="str">
        <f t="shared" si="17"/>
        <v/>
      </c>
      <c r="AG24" s="69" t="str">
        <f t="shared" si="18"/>
        <v/>
      </c>
      <c r="AH24" s="70" t="str">
        <f t="shared" si="18"/>
        <v/>
      </c>
      <c r="AI24" s="70" t="str">
        <f t="shared" si="18"/>
        <v/>
      </c>
      <c r="AJ24" s="70" t="str">
        <f t="shared" si="18"/>
        <v/>
      </c>
      <c r="AK24" s="70" t="str">
        <f t="shared" si="18"/>
        <v/>
      </c>
      <c r="AL24" s="70" t="str">
        <f t="shared" si="18"/>
        <v/>
      </c>
      <c r="AM24" s="70">
        <f t="shared" si="18"/>
        <v>3916666.6666666665</v>
      </c>
      <c r="AN24" s="70">
        <f t="shared" si="18"/>
        <v>3916666.6666666665</v>
      </c>
      <c r="AO24" s="70">
        <f t="shared" si="18"/>
        <v>3916666.6666666665</v>
      </c>
      <c r="AP24" s="70">
        <f t="shared" si="18"/>
        <v>3916666.6666666665</v>
      </c>
      <c r="AQ24" s="70">
        <f t="shared" si="18"/>
        <v>3916666.6666666665</v>
      </c>
      <c r="AR24" s="70">
        <f t="shared" si="18"/>
        <v>3916666.6666666665</v>
      </c>
      <c r="AS24" s="70">
        <f t="shared" si="18"/>
        <v>3916666.6666666665</v>
      </c>
      <c r="AT24" s="71">
        <f t="shared" si="18"/>
        <v>3916666.6666666665</v>
      </c>
      <c r="AU24" s="71">
        <f t="shared" si="18"/>
        <v>3916666.6666666665</v>
      </c>
      <c r="AV24" s="71">
        <f t="shared" si="18"/>
        <v>3916666.6666666665</v>
      </c>
      <c r="AW24" s="71">
        <f t="shared" ref="AW24:BE52" si="19">IF(AND(LEFT(AW$1,FIND("_",AW$1)-1)&amp;RIGHT(AW$1,LEN(AW$1)-FIND("_",AW$1)) &gt;= YEAR($I24) &amp; TEXT(MONTH($I24),"00"),LEFT(AW$1,FIND("_",AW$1)-1)&amp;RIGHT(AW$1,LEN(AW$1)-FIND("_",AW$1)) &lt; YEAR($P24) &amp; TEXT(MONTH($P24),"00")),$O24,"")</f>
        <v>3916666.6666666665</v>
      </c>
      <c r="AX24" s="71">
        <f t="shared" si="19"/>
        <v>3916666.6666666665</v>
      </c>
      <c r="AY24" s="71">
        <f t="shared" si="19"/>
        <v>3916666.6666666665</v>
      </c>
      <c r="AZ24" s="71">
        <f t="shared" si="19"/>
        <v>3916666.6666666665</v>
      </c>
      <c r="BA24" s="71">
        <f t="shared" si="19"/>
        <v>3916666.6666666665</v>
      </c>
      <c r="BB24" s="71">
        <f t="shared" si="19"/>
        <v>3916666.6666666665</v>
      </c>
      <c r="BC24" s="71">
        <f t="shared" si="19"/>
        <v>3916666.6666666665</v>
      </c>
      <c r="BD24" s="71">
        <f t="shared" si="19"/>
        <v>3916666.6666666665</v>
      </c>
      <c r="BE24" s="71">
        <f t="shared" si="19"/>
        <v>3916666.6666666665</v>
      </c>
      <c r="BF24" s="68">
        <f t="shared" si="7"/>
        <v>0</v>
      </c>
      <c r="BG24" s="69">
        <f t="shared" si="8"/>
        <v>0</v>
      </c>
      <c r="BH24" s="70">
        <f t="shared" si="9"/>
        <v>27416666.666666668</v>
      </c>
      <c r="BI24" s="71">
        <f t="shared" si="10"/>
        <v>46999999.999999993</v>
      </c>
      <c r="BJ24" s="72">
        <f>VLOOKUP(D24,Master!AD:AG,3,FALSE)</f>
        <v>7611500</v>
      </c>
      <c r="BK24" s="73" t="str">
        <f>VLOOKUP(D24,Master!AD:AG,4,FALSE)</f>
        <v>Depreciation-Vehicles</v>
      </c>
    </row>
    <row r="25" spans="1:63" s="74" customFormat="1" ht="15" customHeight="1">
      <c r="A25" s="64" t="s">
        <v>373</v>
      </c>
      <c r="B25" s="25" t="s">
        <v>351</v>
      </c>
      <c r="C25" s="65" t="s">
        <v>218</v>
      </c>
      <c r="D25" s="66">
        <v>2131000</v>
      </c>
      <c r="E25" s="26">
        <v>270000000</v>
      </c>
      <c r="F25" s="67">
        <v>60</v>
      </c>
      <c r="G25" s="65" t="s">
        <v>270</v>
      </c>
      <c r="H25" s="27">
        <v>1</v>
      </c>
      <c r="I25" s="28">
        <v>44958</v>
      </c>
      <c r="J25" s="65" t="s">
        <v>310</v>
      </c>
      <c r="K25" s="65" t="s">
        <v>331</v>
      </c>
      <c r="L25" s="65"/>
      <c r="M25" s="65" t="s">
        <v>471</v>
      </c>
      <c r="N25" s="51">
        <f t="shared" si="11"/>
        <v>270000000</v>
      </c>
      <c r="O25" s="51">
        <f t="shared" si="12"/>
        <v>4500000</v>
      </c>
      <c r="P25" s="28">
        <f t="shared" si="13"/>
        <v>46784</v>
      </c>
      <c r="Q25" s="68" t="str">
        <f t="shared" si="17"/>
        <v/>
      </c>
      <c r="R25" s="68" t="str">
        <f t="shared" si="17"/>
        <v/>
      </c>
      <c r="S25" s="68" t="str">
        <f t="shared" si="17"/>
        <v/>
      </c>
      <c r="T25" s="68" t="str">
        <f t="shared" si="17"/>
        <v/>
      </c>
      <c r="U25" s="68" t="str">
        <f t="shared" si="17"/>
        <v/>
      </c>
      <c r="V25" s="69" t="str">
        <f t="shared" si="17"/>
        <v/>
      </c>
      <c r="W25" s="69" t="str">
        <f t="shared" si="17"/>
        <v/>
      </c>
      <c r="X25" s="69" t="str">
        <f t="shared" si="17"/>
        <v/>
      </c>
      <c r="Y25" s="69" t="str">
        <f t="shared" si="17"/>
        <v/>
      </c>
      <c r="Z25" s="69" t="str">
        <f t="shared" si="17"/>
        <v/>
      </c>
      <c r="AA25" s="69" t="str">
        <f t="shared" si="17"/>
        <v/>
      </c>
      <c r="AB25" s="69" t="str">
        <f t="shared" si="17"/>
        <v/>
      </c>
      <c r="AC25" s="69" t="str">
        <f t="shared" si="17"/>
        <v/>
      </c>
      <c r="AD25" s="69" t="str">
        <f t="shared" si="17"/>
        <v/>
      </c>
      <c r="AE25" s="69" t="str">
        <f t="shared" si="17"/>
        <v/>
      </c>
      <c r="AF25" s="69" t="str">
        <f t="shared" si="17"/>
        <v/>
      </c>
      <c r="AG25" s="69" t="str">
        <f t="shared" si="18"/>
        <v/>
      </c>
      <c r="AH25" s="70" t="str">
        <f t="shared" si="18"/>
        <v/>
      </c>
      <c r="AI25" s="70" t="str">
        <f t="shared" si="18"/>
        <v/>
      </c>
      <c r="AJ25" s="70" t="str">
        <f t="shared" si="18"/>
        <v/>
      </c>
      <c r="AK25" s="70" t="str">
        <f t="shared" si="18"/>
        <v/>
      </c>
      <c r="AL25" s="70" t="str">
        <f t="shared" si="18"/>
        <v/>
      </c>
      <c r="AM25" s="70" t="str">
        <f t="shared" si="18"/>
        <v/>
      </c>
      <c r="AN25" s="70" t="str">
        <f t="shared" si="18"/>
        <v/>
      </c>
      <c r="AO25" s="70" t="str">
        <f t="shared" si="18"/>
        <v/>
      </c>
      <c r="AP25" s="70" t="str">
        <f t="shared" si="18"/>
        <v/>
      </c>
      <c r="AQ25" s="70" t="str">
        <f t="shared" si="18"/>
        <v/>
      </c>
      <c r="AR25" s="70">
        <f t="shared" si="18"/>
        <v>4500000</v>
      </c>
      <c r="AS25" s="70">
        <f t="shared" si="18"/>
        <v>4500000</v>
      </c>
      <c r="AT25" s="71">
        <f t="shared" si="18"/>
        <v>4500000</v>
      </c>
      <c r="AU25" s="71">
        <f t="shared" si="18"/>
        <v>4500000</v>
      </c>
      <c r="AV25" s="71">
        <f t="shared" si="18"/>
        <v>4500000</v>
      </c>
      <c r="AW25" s="71">
        <f t="shared" si="19"/>
        <v>4500000</v>
      </c>
      <c r="AX25" s="71">
        <f t="shared" si="19"/>
        <v>4500000</v>
      </c>
      <c r="AY25" s="71">
        <f t="shared" si="19"/>
        <v>4500000</v>
      </c>
      <c r="AZ25" s="71">
        <f t="shared" si="19"/>
        <v>4500000</v>
      </c>
      <c r="BA25" s="71">
        <f t="shared" si="19"/>
        <v>4500000</v>
      </c>
      <c r="BB25" s="71">
        <f t="shared" si="19"/>
        <v>4500000</v>
      </c>
      <c r="BC25" s="71">
        <f t="shared" si="19"/>
        <v>4500000</v>
      </c>
      <c r="BD25" s="71">
        <f t="shared" si="19"/>
        <v>4500000</v>
      </c>
      <c r="BE25" s="71">
        <f t="shared" si="19"/>
        <v>4500000</v>
      </c>
      <c r="BF25" s="68">
        <f t="shared" si="7"/>
        <v>0</v>
      </c>
      <c r="BG25" s="69">
        <f t="shared" si="8"/>
        <v>0</v>
      </c>
      <c r="BH25" s="70">
        <f t="shared" si="9"/>
        <v>9000000</v>
      </c>
      <c r="BI25" s="71">
        <f t="shared" si="10"/>
        <v>54000000</v>
      </c>
      <c r="BJ25" s="72">
        <f>VLOOKUP(D25,Master!AD:AG,3,FALSE)</f>
        <v>7611500</v>
      </c>
      <c r="BK25" s="73" t="str">
        <f>VLOOKUP(D25,Master!AD:AG,4,FALSE)</f>
        <v>Depreciation-Vehicles</v>
      </c>
    </row>
    <row r="26" spans="1:63" s="74" customFormat="1" ht="15" customHeight="1">
      <c r="A26" s="64" t="s">
        <v>374</v>
      </c>
      <c r="B26" s="25" t="s">
        <v>350</v>
      </c>
      <c r="C26" s="65" t="s">
        <v>218</v>
      </c>
      <c r="D26" s="66">
        <v>2131000</v>
      </c>
      <c r="E26" s="26">
        <v>235000000</v>
      </c>
      <c r="F26" s="67">
        <v>60</v>
      </c>
      <c r="G26" s="65" t="s">
        <v>331</v>
      </c>
      <c r="H26" s="27">
        <v>1</v>
      </c>
      <c r="I26" s="28">
        <v>44986</v>
      </c>
      <c r="J26" s="65" t="s">
        <v>310</v>
      </c>
      <c r="K26" s="65" t="s">
        <v>331</v>
      </c>
      <c r="L26" s="65"/>
      <c r="M26" s="65" t="s">
        <v>471</v>
      </c>
      <c r="N26" s="51">
        <f t="shared" si="11"/>
        <v>235000000</v>
      </c>
      <c r="O26" s="51">
        <f t="shared" si="12"/>
        <v>3916666.6666666665</v>
      </c>
      <c r="P26" s="28">
        <f t="shared" si="13"/>
        <v>46813</v>
      </c>
      <c r="Q26" s="68" t="str">
        <f t="shared" si="17"/>
        <v/>
      </c>
      <c r="R26" s="68" t="str">
        <f t="shared" si="17"/>
        <v/>
      </c>
      <c r="S26" s="68" t="str">
        <f t="shared" si="17"/>
        <v/>
      </c>
      <c r="T26" s="68" t="str">
        <f t="shared" si="17"/>
        <v/>
      </c>
      <c r="U26" s="68" t="str">
        <f t="shared" si="17"/>
        <v/>
      </c>
      <c r="V26" s="69" t="str">
        <f t="shared" si="17"/>
        <v/>
      </c>
      <c r="W26" s="69" t="str">
        <f t="shared" si="17"/>
        <v/>
      </c>
      <c r="X26" s="69" t="str">
        <f t="shared" si="17"/>
        <v/>
      </c>
      <c r="Y26" s="69" t="str">
        <f t="shared" si="17"/>
        <v/>
      </c>
      <c r="Z26" s="69" t="str">
        <f t="shared" si="17"/>
        <v/>
      </c>
      <c r="AA26" s="69" t="str">
        <f t="shared" si="17"/>
        <v/>
      </c>
      <c r="AB26" s="69" t="str">
        <f t="shared" si="17"/>
        <v/>
      </c>
      <c r="AC26" s="69" t="str">
        <f t="shared" si="17"/>
        <v/>
      </c>
      <c r="AD26" s="69" t="str">
        <f t="shared" si="17"/>
        <v/>
      </c>
      <c r="AE26" s="69" t="str">
        <f t="shared" si="17"/>
        <v/>
      </c>
      <c r="AF26" s="69" t="str">
        <f t="shared" si="17"/>
        <v/>
      </c>
      <c r="AG26" s="69" t="str">
        <f t="shared" si="18"/>
        <v/>
      </c>
      <c r="AH26" s="70" t="str">
        <f t="shared" si="18"/>
        <v/>
      </c>
      <c r="AI26" s="70" t="str">
        <f t="shared" si="18"/>
        <v/>
      </c>
      <c r="AJ26" s="70" t="str">
        <f t="shared" si="18"/>
        <v/>
      </c>
      <c r="AK26" s="70" t="str">
        <f t="shared" si="18"/>
        <v/>
      </c>
      <c r="AL26" s="70" t="str">
        <f t="shared" si="18"/>
        <v/>
      </c>
      <c r="AM26" s="70" t="str">
        <f t="shared" si="18"/>
        <v/>
      </c>
      <c r="AN26" s="70" t="str">
        <f t="shared" si="18"/>
        <v/>
      </c>
      <c r="AO26" s="70" t="str">
        <f t="shared" si="18"/>
        <v/>
      </c>
      <c r="AP26" s="70" t="str">
        <f t="shared" si="18"/>
        <v/>
      </c>
      <c r="AQ26" s="70" t="str">
        <f t="shared" si="18"/>
        <v/>
      </c>
      <c r="AR26" s="70" t="str">
        <f t="shared" si="18"/>
        <v/>
      </c>
      <c r="AS26" s="70">
        <f t="shared" si="18"/>
        <v>3916666.6666666665</v>
      </c>
      <c r="AT26" s="71">
        <f t="shared" si="18"/>
        <v>3916666.6666666665</v>
      </c>
      <c r="AU26" s="71">
        <f t="shared" si="18"/>
        <v>3916666.6666666665</v>
      </c>
      <c r="AV26" s="71">
        <f t="shared" si="18"/>
        <v>3916666.6666666665</v>
      </c>
      <c r="AW26" s="71">
        <f t="shared" si="19"/>
        <v>3916666.6666666665</v>
      </c>
      <c r="AX26" s="71">
        <f t="shared" si="19"/>
        <v>3916666.6666666665</v>
      </c>
      <c r="AY26" s="71">
        <f t="shared" si="19"/>
        <v>3916666.6666666665</v>
      </c>
      <c r="AZ26" s="71">
        <f t="shared" si="19"/>
        <v>3916666.6666666665</v>
      </c>
      <c r="BA26" s="71">
        <f t="shared" si="19"/>
        <v>3916666.6666666665</v>
      </c>
      <c r="BB26" s="71">
        <f t="shared" si="19"/>
        <v>3916666.6666666665</v>
      </c>
      <c r="BC26" s="71">
        <f t="shared" si="19"/>
        <v>3916666.6666666665</v>
      </c>
      <c r="BD26" s="71">
        <f t="shared" si="19"/>
        <v>3916666.6666666665</v>
      </c>
      <c r="BE26" s="71">
        <f t="shared" si="19"/>
        <v>3916666.6666666665</v>
      </c>
      <c r="BF26" s="68">
        <f t="shared" si="7"/>
        <v>0</v>
      </c>
      <c r="BG26" s="69">
        <f t="shared" si="8"/>
        <v>0</v>
      </c>
      <c r="BH26" s="70">
        <f t="shared" si="9"/>
        <v>3916666.6666666665</v>
      </c>
      <c r="BI26" s="71">
        <f t="shared" si="10"/>
        <v>46999999.999999993</v>
      </c>
      <c r="BJ26" s="72">
        <f>VLOOKUP(D26,Master!AD:AG,3,FALSE)</f>
        <v>7611500</v>
      </c>
      <c r="BK26" s="73" t="str">
        <f>VLOOKUP(D26,Master!AD:AG,4,FALSE)</f>
        <v>Depreciation-Vehicles</v>
      </c>
    </row>
    <row r="27" spans="1:63" s="74" customFormat="1" ht="15" customHeight="1">
      <c r="A27" s="64" t="s">
        <v>375</v>
      </c>
      <c r="B27" s="25" t="s">
        <v>350</v>
      </c>
      <c r="C27" s="65" t="s">
        <v>218</v>
      </c>
      <c r="D27" s="66">
        <v>2131000</v>
      </c>
      <c r="E27" s="26">
        <v>235000000</v>
      </c>
      <c r="F27" s="67">
        <v>60</v>
      </c>
      <c r="G27" s="65" t="s">
        <v>331</v>
      </c>
      <c r="H27" s="27">
        <v>1</v>
      </c>
      <c r="I27" s="28">
        <v>45047</v>
      </c>
      <c r="J27" s="65" t="s">
        <v>310</v>
      </c>
      <c r="K27" s="65" t="s">
        <v>331</v>
      </c>
      <c r="L27" s="65"/>
      <c r="M27" s="65" t="s">
        <v>469</v>
      </c>
      <c r="N27" s="51">
        <f t="shared" si="11"/>
        <v>235000000</v>
      </c>
      <c r="O27" s="51">
        <f t="shared" si="12"/>
        <v>3916666.6666666665</v>
      </c>
      <c r="P27" s="28">
        <f t="shared" si="13"/>
        <v>46874</v>
      </c>
      <c r="Q27" s="68" t="str">
        <f t="shared" si="17"/>
        <v/>
      </c>
      <c r="R27" s="68" t="str">
        <f t="shared" si="17"/>
        <v/>
      </c>
      <c r="S27" s="68" t="str">
        <f t="shared" si="17"/>
        <v/>
      </c>
      <c r="T27" s="68" t="str">
        <f t="shared" si="17"/>
        <v/>
      </c>
      <c r="U27" s="68" t="str">
        <f t="shared" si="17"/>
        <v/>
      </c>
      <c r="V27" s="69" t="str">
        <f t="shared" si="17"/>
        <v/>
      </c>
      <c r="W27" s="69" t="str">
        <f t="shared" si="17"/>
        <v/>
      </c>
      <c r="X27" s="69" t="str">
        <f t="shared" si="17"/>
        <v/>
      </c>
      <c r="Y27" s="69" t="str">
        <f t="shared" si="17"/>
        <v/>
      </c>
      <c r="Z27" s="69" t="str">
        <f t="shared" si="17"/>
        <v/>
      </c>
      <c r="AA27" s="69" t="str">
        <f t="shared" si="17"/>
        <v/>
      </c>
      <c r="AB27" s="69" t="str">
        <f t="shared" si="17"/>
        <v/>
      </c>
      <c r="AC27" s="69" t="str">
        <f t="shared" si="17"/>
        <v/>
      </c>
      <c r="AD27" s="69" t="str">
        <f t="shared" si="17"/>
        <v/>
      </c>
      <c r="AE27" s="69" t="str">
        <f t="shared" si="17"/>
        <v/>
      </c>
      <c r="AF27" s="69" t="str">
        <f t="shared" si="17"/>
        <v/>
      </c>
      <c r="AG27" s="69" t="str">
        <f t="shared" si="18"/>
        <v/>
      </c>
      <c r="AH27" s="70" t="str">
        <f t="shared" si="18"/>
        <v/>
      </c>
      <c r="AI27" s="70" t="str">
        <f t="shared" si="18"/>
        <v/>
      </c>
      <c r="AJ27" s="70" t="str">
        <f t="shared" si="18"/>
        <v/>
      </c>
      <c r="AK27" s="70" t="str">
        <f t="shared" si="18"/>
        <v/>
      </c>
      <c r="AL27" s="70" t="str">
        <f t="shared" si="18"/>
        <v/>
      </c>
      <c r="AM27" s="70" t="str">
        <f t="shared" si="18"/>
        <v/>
      </c>
      <c r="AN27" s="70" t="str">
        <f t="shared" si="18"/>
        <v/>
      </c>
      <c r="AO27" s="70" t="str">
        <f t="shared" si="18"/>
        <v/>
      </c>
      <c r="AP27" s="70" t="str">
        <f t="shared" si="18"/>
        <v/>
      </c>
      <c r="AQ27" s="70" t="str">
        <f t="shared" si="18"/>
        <v/>
      </c>
      <c r="AR27" s="70" t="str">
        <f t="shared" si="18"/>
        <v/>
      </c>
      <c r="AS27" s="70" t="str">
        <f t="shared" si="18"/>
        <v/>
      </c>
      <c r="AT27" s="71" t="str">
        <f t="shared" si="18"/>
        <v/>
      </c>
      <c r="AU27" s="71">
        <f t="shared" si="18"/>
        <v>3916666.6666666665</v>
      </c>
      <c r="AV27" s="71">
        <f t="shared" si="18"/>
        <v>3916666.6666666665</v>
      </c>
      <c r="AW27" s="71">
        <f t="shared" si="19"/>
        <v>3916666.6666666665</v>
      </c>
      <c r="AX27" s="71">
        <f t="shared" si="19"/>
        <v>3916666.6666666665</v>
      </c>
      <c r="AY27" s="71">
        <f t="shared" si="19"/>
        <v>3916666.6666666665</v>
      </c>
      <c r="AZ27" s="71">
        <f t="shared" si="19"/>
        <v>3916666.6666666665</v>
      </c>
      <c r="BA27" s="71">
        <f t="shared" si="19"/>
        <v>3916666.6666666665</v>
      </c>
      <c r="BB27" s="71">
        <f t="shared" si="19"/>
        <v>3916666.6666666665</v>
      </c>
      <c r="BC27" s="71">
        <f t="shared" si="19"/>
        <v>3916666.6666666665</v>
      </c>
      <c r="BD27" s="71">
        <f t="shared" si="19"/>
        <v>3916666.6666666665</v>
      </c>
      <c r="BE27" s="71">
        <f t="shared" si="19"/>
        <v>3916666.6666666665</v>
      </c>
      <c r="BF27" s="68">
        <f t="shared" si="7"/>
        <v>0</v>
      </c>
      <c r="BG27" s="69">
        <f t="shared" si="8"/>
        <v>0</v>
      </c>
      <c r="BH27" s="70">
        <f t="shared" si="9"/>
        <v>0</v>
      </c>
      <c r="BI27" s="71">
        <f t="shared" si="10"/>
        <v>43083333.333333328</v>
      </c>
      <c r="BJ27" s="72">
        <f>VLOOKUP(D27,Master!AD:AG,3,FALSE)</f>
        <v>7611500</v>
      </c>
      <c r="BK27" s="73" t="str">
        <f>VLOOKUP(D27,Master!AD:AG,4,FALSE)</f>
        <v>Depreciation-Vehicles</v>
      </c>
    </row>
    <row r="28" spans="1:63" s="74" customFormat="1" ht="15" customHeight="1">
      <c r="A28" s="64" t="s">
        <v>376</v>
      </c>
      <c r="B28" s="25" t="s">
        <v>353</v>
      </c>
      <c r="C28" s="65" t="s">
        <v>218</v>
      </c>
      <c r="D28" s="66">
        <v>2131000</v>
      </c>
      <c r="E28" s="26">
        <v>467500000</v>
      </c>
      <c r="F28" s="67">
        <v>60</v>
      </c>
      <c r="G28" s="65" t="s">
        <v>270</v>
      </c>
      <c r="H28" s="27">
        <v>1</v>
      </c>
      <c r="I28" s="28">
        <v>45323</v>
      </c>
      <c r="J28" s="65" t="s">
        <v>310</v>
      </c>
      <c r="K28" s="65" t="s">
        <v>331</v>
      </c>
      <c r="L28" s="65"/>
      <c r="M28" s="65" t="s">
        <v>469</v>
      </c>
      <c r="N28" s="51">
        <f t="shared" si="11"/>
        <v>467500000</v>
      </c>
      <c r="O28" s="51">
        <f t="shared" si="12"/>
        <v>7791666.666666667</v>
      </c>
      <c r="P28" s="28">
        <f t="shared" si="13"/>
        <v>47150</v>
      </c>
      <c r="Q28" s="68" t="str">
        <f t="shared" ref="Q28:AF34" si="20">IF(AND(LEFT(Q$1,FIND("_",Q$1)-1)&amp;RIGHT(Q$1,LEN(Q$1)-FIND("_",Q$1)) &gt;= YEAR($I28) &amp; TEXT(MONTH($I28),"00"),LEFT(Q$1,FIND("_",Q$1)-1)&amp;RIGHT(Q$1,LEN(Q$1)-FIND("_",Q$1)) &lt; YEAR($P28) &amp; TEXT(MONTH($P28),"00")),$O28,"")</f>
        <v/>
      </c>
      <c r="R28" s="68" t="str">
        <f t="shared" si="20"/>
        <v/>
      </c>
      <c r="S28" s="68" t="str">
        <f t="shared" si="20"/>
        <v/>
      </c>
      <c r="T28" s="68" t="str">
        <f t="shared" si="20"/>
        <v/>
      </c>
      <c r="U28" s="68" t="str">
        <f t="shared" si="20"/>
        <v/>
      </c>
      <c r="V28" s="69" t="str">
        <f t="shared" si="20"/>
        <v/>
      </c>
      <c r="W28" s="69" t="str">
        <f t="shared" si="20"/>
        <v/>
      </c>
      <c r="X28" s="69" t="str">
        <f t="shared" si="20"/>
        <v/>
      </c>
      <c r="Y28" s="69" t="str">
        <f t="shared" si="20"/>
        <v/>
      </c>
      <c r="Z28" s="69" t="str">
        <f t="shared" si="20"/>
        <v/>
      </c>
      <c r="AA28" s="69" t="str">
        <f t="shared" si="20"/>
        <v/>
      </c>
      <c r="AB28" s="69" t="str">
        <f t="shared" si="20"/>
        <v/>
      </c>
      <c r="AC28" s="69" t="str">
        <f t="shared" si="20"/>
        <v/>
      </c>
      <c r="AD28" s="69" t="str">
        <f t="shared" si="20"/>
        <v/>
      </c>
      <c r="AE28" s="69" t="str">
        <f t="shared" si="20"/>
        <v/>
      </c>
      <c r="AF28" s="69" t="str">
        <f t="shared" si="20"/>
        <v/>
      </c>
      <c r="AG28" s="69" t="str">
        <f t="shared" si="18"/>
        <v/>
      </c>
      <c r="AH28" s="70" t="str">
        <f t="shared" si="18"/>
        <v/>
      </c>
      <c r="AI28" s="70" t="str">
        <f t="shared" si="18"/>
        <v/>
      </c>
      <c r="AJ28" s="70" t="str">
        <f t="shared" si="18"/>
        <v/>
      </c>
      <c r="AK28" s="70" t="str">
        <f t="shared" si="18"/>
        <v/>
      </c>
      <c r="AL28" s="70" t="str">
        <f t="shared" si="18"/>
        <v/>
      </c>
      <c r="AM28" s="70" t="str">
        <f t="shared" si="18"/>
        <v/>
      </c>
      <c r="AN28" s="70" t="str">
        <f t="shared" si="18"/>
        <v/>
      </c>
      <c r="AO28" s="70" t="str">
        <f t="shared" si="18"/>
        <v/>
      </c>
      <c r="AP28" s="70" t="str">
        <f t="shared" si="18"/>
        <v/>
      </c>
      <c r="AQ28" s="70" t="str">
        <f t="shared" si="18"/>
        <v/>
      </c>
      <c r="AR28" s="70" t="str">
        <f t="shared" si="18"/>
        <v/>
      </c>
      <c r="AS28" s="70" t="str">
        <f t="shared" si="18"/>
        <v/>
      </c>
      <c r="AT28" s="71" t="str">
        <f t="shared" si="18"/>
        <v/>
      </c>
      <c r="AU28" s="71" t="str">
        <f t="shared" si="18"/>
        <v/>
      </c>
      <c r="AV28" s="71" t="str">
        <f t="shared" si="18"/>
        <v/>
      </c>
      <c r="AW28" s="71" t="str">
        <f t="shared" si="19"/>
        <v/>
      </c>
      <c r="AX28" s="71" t="str">
        <f t="shared" si="19"/>
        <v/>
      </c>
      <c r="AY28" s="71" t="str">
        <f t="shared" si="19"/>
        <v/>
      </c>
      <c r="AZ28" s="71" t="str">
        <f t="shared" si="19"/>
        <v/>
      </c>
      <c r="BA28" s="71" t="str">
        <f t="shared" si="19"/>
        <v/>
      </c>
      <c r="BB28" s="71" t="str">
        <f t="shared" si="19"/>
        <v/>
      </c>
      <c r="BC28" s="71" t="str">
        <f t="shared" si="19"/>
        <v/>
      </c>
      <c r="BD28" s="71">
        <f t="shared" si="19"/>
        <v>7791666.666666667</v>
      </c>
      <c r="BE28" s="71">
        <f t="shared" si="19"/>
        <v>7791666.666666667</v>
      </c>
      <c r="BF28" s="68">
        <f t="shared" si="7"/>
        <v>0</v>
      </c>
      <c r="BG28" s="69">
        <f t="shared" si="8"/>
        <v>0</v>
      </c>
      <c r="BH28" s="70">
        <f t="shared" si="9"/>
        <v>0</v>
      </c>
      <c r="BI28" s="71">
        <f t="shared" si="10"/>
        <v>15583333.333333334</v>
      </c>
      <c r="BJ28" s="72">
        <f>VLOOKUP(D28,Master!AD:AG,3,FALSE)</f>
        <v>7611500</v>
      </c>
      <c r="BK28" s="73" t="str">
        <f>VLOOKUP(D28,Master!AD:AG,4,FALSE)</f>
        <v>Depreciation-Vehicles</v>
      </c>
    </row>
    <row r="29" spans="1:63" s="74" customFormat="1" ht="15" customHeight="1">
      <c r="A29" s="64" t="s">
        <v>377</v>
      </c>
      <c r="B29" s="25" t="s">
        <v>346</v>
      </c>
      <c r="C29" s="65" t="s">
        <v>218</v>
      </c>
      <c r="D29" s="66">
        <v>2131000</v>
      </c>
      <c r="E29" s="26">
        <v>220000000</v>
      </c>
      <c r="F29" s="67">
        <v>60</v>
      </c>
      <c r="G29" s="65" t="s">
        <v>331</v>
      </c>
      <c r="H29" s="27">
        <v>1</v>
      </c>
      <c r="I29" s="28">
        <v>45397</v>
      </c>
      <c r="J29" s="65" t="s">
        <v>310</v>
      </c>
      <c r="K29" s="65" t="s">
        <v>331</v>
      </c>
      <c r="L29" s="65"/>
      <c r="M29" s="65" t="s">
        <v>470</v>
      </c>
      <c r="N29" s="51">
        <f t="shared" si="11"/>
        <v>220000000</v>
      </c>
      <c r="O29" s="51">
        <f t="shared" si="12"/>
        <v>3666666.6666666665</v>
      </c>
      <c r="P29" s="28">
        <f t="shared" si="13"/>
        <v>47223</v>
      </c>
      <c r="Q29" s="68" t="str">
        <f t="shared" si="20"/>
        <v/>
      </c>
      <c r="R29" s="68" t="str">
        <f t="shared" si="20"/>
        <v/>
      </c>
      <c r="S29" s="68" t="str">
        <f t="shared" si="20"/>
        <v/>
      </c>
      <c r="T29" s="68" t="str">
        <f t="shared" si="20"/>
        <v/>
      </c>
      <c r="U29" s="68" t="str">
        <f t="shared" si="20"/>
        <v/>
      </c>
      <c r="V29" s="69" t="str">
        <f t="shared" si="20"/>
        <v/>
      </c>
      <c r="W29" s="69" t="str">
        <f t="shared" si="20"/>
        <v/>
      </c>
      <c r="X29" s="69" t="str">
        <f t="shared" si="20"/>
        <v/>
      </c>
      <c r="Y29" s="69" t="str">
        <f t="shared" si="20"/>
        <v/>
      </c>
      <c r="Z29" s="69" t="str">
        <f t="shared" si="20"/>
        <v/>
      </c>
      <c r="AA29" s="69" t="str">
        <f t="shared" si="20"/>
        <v/>
      </c>
      <c r="AB29" s="69" t="str">
        <f t="shared" si="20"/>
        <v/>
      </c>
      <c r="AC29" s="69" t="str">
        <f t="shared" si="20"/>
        <v/>
      </c>
      <c r="AD29" s="69" t="str">
        <f t="shared" si="20"/>
        <v/>
      </c>
      <c r="AE29" s="69" t="str">
        <f t="shared" si="20"/>
        <v/>
      </c>
      <c r="AF29" s="69" t="str">
        <f t="shared" si="20"/>
        <v/>
      </c>
      <c r="AG29" s="69" t="str">
        <f t="shared" si="18"/>
        <v/>
      </c>
      <c r="AH29" s="70" t="str">
        <f t="shared" si="18"/>
        <v/>
      </c>
      <c r="AI29" s="70" t="str">
        <f t="shared" si="18"/>
        <v/>
      </c>
      <c r="AJ29" s="70" t="str">
        <f t="shared" si="18"/>
        <v/>
      </c>
      <c r="AK29" s="70" t="str">
        <f t="shared" si="18"/>
        <v/>
      </c>
      <c r="AL29" s="70" t="str">
        <f t="shared" si="18"/>
        <v/>
      </c>
      <c r="AM29" s="70" t="str">
        <f t="shared" si="18"/>
        <v/>
      </c>
      <c r="AN29" s="70" t="str">
        <f t="shared" si="18"/>
        <v/>
      </c>
      <c r="AO29" s="70" t="str">
        <f t="shared" si="18"/>
        <v/>
      </c>
      <c r="AP29" s="70" t="str">
        <f t="shared" si="18"/>
        <v/>
      </c>
      <c r="AQ29" s="70" t="str">
        <f t="shared" si="18"/>
        <v/>
      </c>
      <c r="AR29" s="70" t="str">
        <f t="shared" si="18"/>
        <v/>
      </c>
      <c r="AS29" s="70" t="str">
        <f t="shared" si="18"/>
        <v/>
      </c>
      <c r="AT29" s="71" t="str">
        <f t="shared" si="18"/>
        <v/>
      </c>
      <c r="AU29" s="71" t="str">
        <f t="shared" si="18"/>
        <v/>
      </c>
      <c r="AV29" s="71" t="str">
        <f t="shared" si="18"/>
        <v/>
      </c>
      <c r="AW29" s="71" t="str">
        <f t="shared" si="19"/>
        <v/>
      </c>
      <c r="AX29" s="71" t="str">
        <f t="shared" si="19"/>
        <v/>
      </c>
      <c r="AY29" s="71" t="str">
        <f t="shared" si="19"/>
        <v/>
      </c>
      <c r="AZ29" s="71" t="str">
        <f t="shared" si="19"/>
        <v/>
      </c>
      <c r="BA29" s="71" t="str">
        <f t="shared" si="19"/>
        <v/>
      </c>
      <c r="BB29" s="71" t="str">
        <f t="shared" si="19"/>
        <v/>
      </c>
      <c r="BC29" s="71" t="str">
        <f t="shared" si="19"/>
        <v/>
      </c>
      <c r="BD29" s="71" t="str">
        <f t="shared" si="19"/>
        <v/>
      </c>
      <c r="BE29" s="71" t="str">
        <f t="shared" si="19"/>
        <v/>
      </c>
      <c r="BF29" s="68">
        <f t="shared" si="7"/>
        <v>0</v>
      </c>
      <c r="BG29" s="69">
        <f t="shared" si="8"/>
        <v>0</v>
      </c>
      <c r="BH29" s="70">
        <f t="shared" si="9"/>
        <v>0</v>
      </c>
      <c r="BI29" s="71">
        <f t="shared" si="10"/>
        <v>0</v>
      </c>
      <c r="BJ29" s="72">
        <f>VLOOKUP(D29,Master!AD:AG,3,FALSE)</f>
        <v>7611500</v>
      </c>
      <c r="BK29" s="73" t="str">
        <f>VLOOKUP(D29,Master!AD:AG,4,FALSE)</f>
        <v>Depreciation-Vehicles</v>
      </c>
    </row>
    <row r="30" spans="1:63" s="74" customFormat="1" ht="15" customHeight="1">
      <c r="A30" s="64" t="s">
        <v>378</v>
      </c>
      <c r="B30" s="25" t="s">
        <v>354</v>
      </c>
      <c r="C30" s="65" t="s">
        <v>218</v>
      </c>
      <c r="D30" s="66">
        <v>2131000</v>
      </c>
      <c r="E30" s="26">
        <v>335000000</v>
      </c>
      <c r="F30" s="67">
        <v>60</v>
      </c>
      <c r="G30" s="108" t="s">
        <v>227</v>
      </c>
      <c r="H30" s="27">
        <v>1</v>
      </c>
      <c r="I30" s="28">
        <v>45469</v>
      </c>
      <c r="J30" s="65" t="s">
        <v>310</v>
      </c>
      <c r="K30" s="65" t="s">
        <v>331</v>
      </c>
      <c r="L30" s="65"/>
      <c r="M30" s="65" t="s">
        <v>470</v>
      </c>
      <c r="N30" s="51">
        <f t="shared" si="11"/>
        <v>335000000</v>
      </c>
      <c r="O30" s="51">
        <f t="shared" si="12"/>
        <v>5583333.333333333</v>
      </c>
      <c r="P30" s="28">
        <f t="shared" si="13"/>
        <v>47295</v>
      </c>
      <c r="Q30" s="68" t="str">
        <f t="shared" si="20"/>
        <v/>
      </c>
      <c r="R30" s="68" t="str">
        <f t="shared" si="20"/>
        <v/>
      </c>
      <c r="S30" s="68" t="str">
        <f t="shared" si="20"/>
        <v/>
      </c>
      <c r="T30" s="68" t="str">
        <f t="shared" si="20"/>
        <v/>
      </c>
      <c r="U30" s="68" t="str">
        <f t="shared" si="20"/>
        <v/>
      </c>
      <c r="V30" s="69" t="str">
        <f t="shared" si="20"/>
        <v/>
      </c>
      <c r="W30" s="69" t="str">
        <f t="shared" si="20"/>
        <v/>
      </c>
      <c r="X30" s="69" t="str">
        <f t="shared" si="20"/>
        <v/>
      </c>
      <c r="Y30" s="69" t="str">
        <f t="shared" si="20"/>
        <v/>
      </c>
      <c r="Z30" s="69" t="str">
        <f t="shared" si="20"/>
        <v/>
      </c>
      <c r="AA30" s="69" t="str">
        <f t="shared" si="20"/>
        <v/>
      </c>
      <c r="AB30" s="69" t="str">
        <f t="shared" si="20"/>
        <v/>
      </c>
      <c r="AC30" s="69" t="str">
        <f t="shared" si="20"/>
        <v/>
      </c>
      <c r="AD30" s="69" t="str">
        <f t="shared" si="20"/>
        <v/>
      </c>
      <c r="AE30" s="69" t="str">
        <f t="shared" si="20"/>
        <v/>
      </c>
      <c r="AF30" s="69" t="str">
        <f t="shared" si="20"/>
        <v/>
      </c>
      <c r="AG30" s="69" t="str">
        <f t="shared" si="18"/>
        <v/>
      </c>
      <c r="AH30" s="70" t="str">
        <f t="shared" si="18"/>
        <v/>
      </c>
      <c r="AI30" s="70" t="str">
        <f t="shared" si="18"/>
        <v/>
      </c>
      <c r="AJ30" s="70" t="str">
        <f t="shared" si="18"/>
        <v/>
      </c>
      <c r="AK30" s="70" t="str">
        <f t="shared" si="18"/>
        <v/>
      </c>
      <c r="AL30" s="70" t="str">
        <f t="shared" si="18"/>
        <v/>
      </c>
      <c r="AM30" s="70" t="str">
        <f t="shared" si="18"/>
        <v/>
      </c>
      <c r="AN30" s="70" t="str">
        <f t="shared" si="18"/>
        <v/>
      </c>
      <c r="AO30" s="70" t="str">
        <f t="shared" si="18"/>
        <v/>
      </c>
      <c r="AP30" s="70" t="str">
        <f t="shared" si="18"/>
        <v/>
      </c>
      <c r="AQ30" s="70" t="str">
        <f t="shared" si="18"/>
        <v/>
      </c>
      <c r="AR30" s="70" t="str">
        <f t="shared" si="18"/>
        <v/>
      </c>
      <c r="AS30" s="70" t="str">
        <f t="shared" si="18"/>
        <v/>
      </c>
      <c r="AT30" s="71" t="str">
        <f t="shared" si="18"/>
        <v/>
      </c>
      <c r="AU30" s="71" t="str">
        <f t="shared" si="18"/>
        <v/>
      </c>
      <c r="AV30" s="71" t="str">
        <f t="shared" si="18"/>
        <v/>
      </c>
      <c r="AW30" s="71" t="str">
        <f t="shared" si="19"/>
        <v/>
      </c>
      <c r="AX30" s="71" t="str">
        <f t="shared" si="19"/>
        <v/>
      </c>
      <c r="AY30" s="71" t="str">
        <f t="shared" si="19"/>
        <v/>
      </c>
      <c r="AZ30" s="71" t="str">
        <f t="shared" si="19"/>
        <v/>
      </c>
      <c r="BA30" s="71" t="str">
        <f t="shared" si="19"/>
        <v/>
      </c>
      <c r="BB30" s="71" t="str">
        <f t="shared" si="19"/>
        <v/>
      </c>
      <c r="BC30" s="71" t="str">
        <f t="shared" si="19"/>
        <v/>
      </c>
      <c r="BD30" s="71" t="str">
        <f t="shared" si="19"/>
        <v/>
      </c>
      <c r="BE30" s="71" t="str">
        <f t="shared" si="19"/>
        <v/>
      </c>
      <c r="BF30" s="68">
        <f t="shared" si="7"/>
        <v>0</v>
      </c>
      <c r="BG30" s="69">
        <f t="shared" si="8"/>
        <v>0</v>
      </c>
      <c r="BH30" s="70">
        <f t="shared" si="9"/>
        <v>0</v>
      </c>
      <c r="BI30" s="71">
        <f t="shared" si="10"/>
        <v>0</v>
      </c>
      <c r="BJ30" s="72">
        <f>VLOOKUP(D30,Master!AD:AG,3,FALSE)</f>
        <v>7611500</v>
      </c>
      <c r="BK30" s="73" t="str">
        <f>VLOOKUP(D30,Master!AD:AG,4,FALSE)</f>
        <v>Depreciation-Vehicles</v>
      </c>
    </row>
    <row r="31" spans="1:63" s="74" customFormat="1" ht="15" customHeight="1">
      <c r="A31" s="64" t="s">
        <v>308</v>
      </c>
      <c r="B31" s="25" t="s">
        <v>379</v>
      </c>
      <c r="C31" s="65" t="s">
        <v>221</v>
      </c>
      <c r="D31" s="66">
        <v>2141000</v>
      </c>
      <c r="E31" s="26">
        <v>10000000</v>
      </c>
      <c r="F31" s="67">
        <v>60</v>
      </c>
      <c r="G31" s="65" t="s">
        <v>225</v>
      </c>
      <c r="H31" s="27">
        <v>1</v>
      </c>
      <c r="I31" s="28">
        <v>44197</v>
      </c>
      <c r="J31" s="65" t="s">
        <v>310</v>
      </c>
      <c r="K31" s="65" t="s">
        <v>225</v>
      </c>
      <c r="L31" s="65" t="s">
        <v>314</v>
      </c>
      <c r="M31" s="65" t="s">
        <v>473</v>
      </c>
      <c r="N31" s="51">
        <f t="shared" si="11"/>
        <v>10000000</v>
      </c>
      <c r="O31" s="51">
        <f t="shared" si="12"/>
        <v>166666.66666666666</v>
      </c>
      <c r="P31" s="28">
        <f t="shared" si="13"/>
        <v>46023</v>
      </c>
      <c r="Q31" s="68" t="str">
        <f t="shared" si="20"/>
        <v/>
      </c>
      <c r="R31" s="68" t="str">
        <f t="shared" si="20"/>
        <v/>
      </c>
      <c r="S31" s="68">
        <f t="shared" si="20"/>
        <v>166666.66666666666</v>
      </c>
      <c r="T31" s="68">
        <f t="shared" si="20"/>
        <v>166666.66666666666</v>
      </c>
      <c r="U31" s="68">
        <f t="shared" si="20"/>
        <v>166666.66666666666</v>
      </c>
      <c r="V31" s="69">
        <f t="shared" si="20"/>
        <v>166666.66666666666</v>
      </c>
      <c r="W31" s="69">
        <f t="shared" si="20"/>
        <v>166666.66666666666</v>
      </c>
      <c r="X31" s="69">
        <f t="shared" si="20"/>
        <v>166666.66666666666</v>
      </c>
      <c r="Y31" s="69">
        <f t="shared" si="20"/>
        <v>166666.66666666666</v>
      </c>
      <c r="Z31" s="69">
        <f t="shared" si="20"/>
        <v>166666.66666666666</v>
      </c>
      <c r="AA31" s="69">
        <f t="shared" si="20"/>
        <v>166666.66666666666</v>
      </c>
      <c r="AB31" s="69">
        <f t="shared" si="20"/>
        <v>166666.66666666666</v>
      </c>
      <c r="AC31" s="69">
        <f t="shared" si="20"/>
        <v>166666.66666666666</v>
      </c>
      <c r="AD31" s="69">
        <f t="shared" si="20"/>
        <v>166666.66666666666</v>
      </c>
      <c r="AE31" s="69">
        <f t="shared" si="20"/>
        <v>166666.66666666666</v>
      </c>
      <c r="AF31" s="69">
        <f t="shared" si="20"/>
        <v>166666.66666666666</v>
      </c>
      <c r="AG31" s="69">
        <f t="shared" si="18"/>
        <v>166666.66666666666</v>
      </c>
      <c r="AH31" s="70">
        <f t="shared" si="18"/>
        <v>166666.66666666666</v>
      </c>
      <c r="AI31" s="70">
        <f t="shared" si="18"/>
        <v>166666.66666666666</v>
      </c>
      <c r="AJ31" s="70">
        <f t="shared" si="18"/>
        <v>166666.66666666666</v>
      </c>
      <c r="AK31" s="70">
        <f t="shared" si="18"/>
        <v>166666.66666666666</v>
      </c>
      <c r="AL31" s="70">
        <f t="shared" si="18"/>
        <v>166666.66666666666</v>
      </c>
      <c r="AM31" s="70">
        <f t="shared" si="18"/>
        <v>166666.66666666666</v>
      </c>
      <c r="AN31" s="70">
        <f t="shared" si="18"/>
        <v>166666.66666666666</v>
      </c>
      <c r="AO31" s="70">
        <f t="shared" si="18"/>
        <v>166666.66666666666</v>
      </c>
      <c r="AP31" s="70">
        <f t="shared" si="18"/>
        <v>166666.66666666666</v>
      </c>
      <c r="AQ31" s="70">
        <f t="shared" si="18"/>
        <v>166666.66666666666</v>
      </c>
      <c r="AR31" s="70">
        <f t="shared" si="18"/>
        <v>166666.66666666666</v>
      </c>
      <c r="AS31" s="70">
        <f t="shared" si="18"/>
        <v>166666.66666666666</v>
      </c>
      <c r="AT31" s="71">
        <f t="shared" si="18"/>
        <v>166666.66666666666</v>
      </c>
      <c r="AU31" s="71">
        <f t="shared" si="18"/>
        <v>166666.66666666666</v>
      </c>
      <c r="AV31" s="71">
        <f t="shared" si="18"/>
        <v>166666.66666666666</v>
      </c>
      <c r="AW31" s="71">
        <f t="shared" si="19"/>
        <v>166666.66666666666</v>
      </c>
      <c r="AX31" s="71">
        <f t="shared" si="19"/>
        <v>166666.66666666666</v>
      </c>
      <c r="AY31" s="71">
        <f t="shared" si="19"/>
        <v>166666.66666666666</v>
      </c>
      <c r="AZ31" s="71">
        <f t="shared" si="19"/>
        <v>166666.66666666666</v>
      </c>
      <c r="BA31" s="71">
        <f t="shared" si="19"/>
        <v>166666.66666666666</v>
      </c>
      <c r="BB31" s="71">
        <f t="shared" si="19"/>
        <v>166666.66666666666</v>
      </c>
      <c r="BC31" s="71">
        <f t="shared" si="19"/>
        <v>166666.66666666666</v>
      </c>
      <c r="BD31" s="71">
        <f t="shared" si="19"/>
        <v>166666.66666666666</v>
      </c>
      <c r="BE31" s="71">
        <f t="shared" si="19"/>
        <v>166666.66666666666</v>
      </c>
      <c r="BF31" s="68">
        <f t="shared" si="7"/>
        <v>500000</v>
      </c>
      <c r="BG31" s="69">
        <f t="shared" si="8"/>
        <v>2000000.0000000002</v>
      </c>
      <c r="BH31" s="70">
        <f t="shared" si="9"/>
        <v>2000000.0000000002</v>
      </c>
      <c r="BI31" s="71">
        <f t="shared" si="10"/>
        <v>2000000.0000000002</v>
      </c>
      <c r="BJ31" s="72">
        <f>VLOOKUP(D31,Master!AD:AG,3,FALSE)</f>
        <v>7611600</v>
      </c>
      <c r="BK31" s="73" t="str">
        <f>VLOOKUP(D31,Master!AD:AG,4,FALSE)</f>
        <v>Depreciation-Tools, furniture &amp; office equipment</v>
      </c>
    </row>
    <row r="32" spans="1:63" s="74" customFormat="1" ht="15" customHeight="1">
      <c r="A32" s="64" t="s">
        <v>326</v>
      </c>
      <c r="B32" s="25" t="s">
        <v>380</v>
      </c>
      <c r="C32" s="65" t="s">
        <v>221</v>
      </c>
      <c r="D32" s="66">
        <v>2141000</v>
      </c>
      <c r="E32" s="26">
        <v>10000000</v>
      </c>
      <c r="F32" s="67">
        <v>60</v>
      </c>
      <c r="G32" s="65" t="s">
        <v>225</v>
      </c>
      <c r="H32" s="27">
        <v>1</v>
      </c>
      <c r="I32" s="28">
        <v>44197</v>
      </c>
      <c r="J32" s="65" t="s">
        <v>310</v>
      </c>
      <c r="K32" s="65" t="s">
        <v>225</v>
      </c>
      <c r="L32" s="65" t="s">
        <v>314</v>
      </c>
      <c r="M32" s="65" t="s">
        <v>473</v>
      </c>
      <c r="N32" s="51">
        <f t="shared" si="11"/>
        <v>10000000</v>
      </c>
      <c r="O32" s="51">
        <f t="shared" si="12"/>
        <v>166666.66666666666</v>
      </c>
      <c r="P32" s="28">
        <f t="shared" si="13"/>
        <v>46023</v>
      </c>
      <c r="Q32" s="68" t="str">
        <f t="shared" si="20"/>
        <v/>
      </c>
      <c r="R32" s="68" t="str">
        <f t="shared" si="20"/>
        <v/>
      </c>
      <c r="S32" s="68">
        <f t="shared" si="20"/>
        <v>166666.66666666666</v>
      </c>
      <c r="T32" s="68">
        <f t="shared" si="20"/>
        <v>166666.66666666666</v>
      </c>
      <c r="U32" s="68">
        <f t="shared" si="20"/>
        <v>166666.66666666666</v>
      </c>
      <c r="V32" s="69">
        <f t="shared" si="20"/>
        <v>166666.66666666666</v>
      </c>
      <c r="W32" s="69">
        <f t="shared" si="20"/>
        <v>166666.66666666666</v>
      </c>
      <c r="X32" s="69">
        <f t="shared" si="20"/>
        <v>166666.66666666666</v>
      </c>
      <c r="Y32" s="69">
        <f t="shared" si="20"/>
        <v>166666.66666666666</v>
      </c>
      <c r="Z32" s="69">
        <f t="shared" si="20"/>
        <v>166666.66666666666</v>
      </c>
      <c r="AA32" s="69">
        <f t="shared" si="20"/>
        <v>166666.66666666666</v>
      </c>
      <c r="AB32" s="69">
        <f t="shared" si="20"/>
        <v>166666.66666666666</v>
      </c>
      <c r="AC32" s="69">
        <f t="shared" si="20"/>
        <v>166666.66666666666</v>
      </c>
      <c r="AD32" s="69">
        <f t="shared" si="20"/>
        <v>166666.66666666666</v>
      </c>
      <c r="AE32" s="69">
        <f t="shared" si="20"/>
        <v>166666.66666666666</v>
      </c>
      <c r="AF32" s="69">
        <f t="shared" si="20"/>
        <v>166666.66666666666</v>
      </c>
      <c r="AG32" s="69">
        <f t="shared" si="18"/>
        <v>166666.66666666666</v>
      </c>
      <c r="AH32" s="70">
        <f t="shared" si="18"/>
        <v>166666.66666666666</v>
      </c>
      <c r="AI32" s="70">
        <f t="shared" si="18"/>
        <v>166666.66666666666</v>
      </c>
      <c r="AJ32" s="70">
        <f t="shared" si="18"/>
        <v>166666.66666666666</v>
      </c>
      <c r="AK32" s="70">
        <f t="shared" si="18"/>
        <v>166666.66666666666</v>
      </c>
      <c r="AL32" s="70">
        <f t="shared" si="18"/>
        <v>166666.66666666666</v>
      </c>
      <c r="AM32" s="70">
        <f t="shared" si="18"/>
        <v>166666.66666666666</v>
      </c>
      <c r="AN32" s="70">
        <f t="shared" si="18"/>
        <v>166666.66666666666</v>
      </c>
      <c r="AO32" s="70">
        <f t="shared" si="18"/>
        <v>166666.66666666666</v>
      </c>
      <c r="AP32" s="70">
        <f t="shared" si="18"/>
        <v>166666.66666666666</v>
      </c>
      <c r="AQ32" s="70">
        <f t="shared" si="18"/>
        <v>166666.66666666666</v>
      </c>
      <c r="AR32" s="70">
        <f t="shared" si="18"/>
        <v>166666.66666666666</v>
      </c>
      <c r="AS32" s="70">
        <f t="shared" si="18"/>
        <v>166666.66666666666</v>
      </c>
      <c r="AT32" s="71">
        <f t="shared" si="18"/>
        <v>166666.66666666666</v>
      </c>
      <c r="AU32" s="71">
        <f t="shared" si="18"/>
        <v>166666.66666666666</v>
      </c>
      <c r="AV32" s="71">
        <f t="shared" si="18"/>
        <v>166666.66666666666</v>
      </c>
      <c r="AW32" s="71">
        <f t="shared" si="19"/>
        <v>166666.66666666666</v>
      </c>
      <c r="AX32" s="71">
        <f t="shared" si="19"/>
        <v>166666.66666666666</v>
      </c>
      <c r="AY32" s="71">
        <f t="shared" si="19"/>
        <v>166666.66666666666</v>
      </c>
      <c r="AZ32" s="71">
        <f t="shared" si="19"/>
        <v>166666.66666666666</v>
      </c>
      <c r="BA32" s="71">
        <f t="shared" si="19"/>
        <v>166666.66666666666</v>
      </c>
      <c r="BB32" s="71">
        <f t="shared" si="19"/>
        <v>166666.66666666666</v>
      </c>
      <c r="BC32" s="71">
        <f t="shared" si="19"/>
        <v>166666.66666666666</v>
      </c>
      <c r="BD32" s="71">
        <f t="shared" si="19"/>
        <v>166666.66666666666</v>
      </c>
      <c r="BE32" s="71">
        <f t="shared" si="19"/>
        <v>166666.66666666666</v>
      </c>
      <c r="BF32" s="68">
        <f t="shared" si="7"/>
        <v>500000</v>
      </c>
      <c r="BG32" s="69">
        <f t="shared" si="8"/>
        <v>2000000.0000000002</v>
      </c>
      <c r="BH32" s="70">
        <f t="shared" si="9"/>
        <v>2000000.0000000002</v>
      </c>
      <c r="BI32" s="71">
        <f t="shared" si="10"/>
        <v>2000000.0000000002</v>
      </c>
      <c r="BJ32" s="72">
        <f>VLOOKUP(D32,Master!AD:AG,3,FALSE)</f>
        <v>7611600</v>
      </c>
      <c r="BK32" s="73" t="str">
        <f>VLOOKUP(D32,Master!AD:AG,4,FALSE)</f>
        <v>Depreciation-Tools, furniture &amp; office equipment</v>
      </c>
    </row>
    <row r="33" spans="1:63" s="74" customFormat="1" ht="15" customHeight="1">
      <c r="A33" s="64" t="s">
        <v>328</v>
      </c>
      <c r="B33" s="25" t="s">
        <v>381</v>
      </c>
      <c r="C33" s="65" t="s">
        <v>221</v>
      </c>
      <c r="D33" s="66">
        <v>2141000</v>
      </c>
      <c r="E33" s="26">
        <v>10000000</v>
      </c>
      <c r="F33" s="67">
        <v>60</v>
      </c>
      <c r="G33" s="65" t="s">
        <v>225</v>
      </c>
      <c r="H33" s="27">
        <v>1</v>
      </c>
      <c r="I33" s="28">
        <v>44378</v>
      </c>
      <c r="J33" s="65" t="s">
        <v>310</v>
      </c>
      <c r="K33" s="65" t="s">
        <v>225</v>
      </c>
      <c r="L33" s="65" t="s">
        <v>314</v>
      </c>
      <c r="M33" s="65" t="s">
        <v>472</v>
      </c>
      <c r="N33" s="51">
        <f t="shared" si="11"/>
        <v>10000000</v>
      </c>
      <c r="O33" s="51">
        <f t="shared" si="12"/>
        <v>166666.66666666666</v>
      </c>
      <c r="P33" s="28">
        <f t="shared" si="13"/>
        <v>46204</v>
      </c>
      <c r="Q33" s="68" t="str">
        <f t="shared" si="20"/>
        <v/>
      </c>
      <c r="R33" s="68" t="str">
        <f t="shared" si="20"/>
        <v/>
      </c>
      <c r="S33" s="68" t="str">
        <f t="shared" si="20"/>
        <v/>
      </c>
      <c r="T33" s="68" t="str">
        <f t="shared" si="20"/>
        <v/>
      </c>
      <c r="U33" s="68" t="str">
        <f t="shared" si="20"/>
        <v/>
      </c>
      <c r="V33" s="69" t="str">
        <f t="shared" si="20"/>
        <v/>
      </c>
      <c r="W33" s="69" t="str">
        <f t="shared" si="20"/>
        <v/>
      </c>
      <c r="X33" s="69" t="str">
        <f t="shared" si="20"/>
        <v/>
      </c>
      <c r="Y33" s="69">
        <f t="shared" si="20"/>
        <v>166666.66666666666</v>
      </c>
      <c r="Z33" s="69">
        <f t="shared" si="20"/>
        <v>166666.66666666666</v>
      </c>
      <c r="AA33" s="69">
        <f t="shared" si="20"/>
        <v>166666.66666666666</v>
      </c>
      <c r="AB33" s="69">
        <f t="shared" si="20"/>
        <v>166666.66666666666</v>
      </c>
      <c r="AC33" s="69">
        <f t="shared" si="20"/>
        <v>166666.66666666666</v>
      </c>
      <c r="AD33" s="69">
        <f t="shared" si="20"/>
        <v>166666.66666666666</v>
      </c>
      <c r="AE33" s="69">
        <f t="shared" si="20"/>
        <v>166666.66666666666</v>
      </c>
      <c r="AF33" s="69">
        <f t="shared" si="20"/>
        <v>166666.66666666666</v>
      </c>
      <c r="AG33" s="69">
        <f t="shared" si="18"/>
        <v>166666.66666666666</v>
      </c>
      <c r="AH33" s="70">
        <f t="shared" si="18"/>
        <v>166666.66666666666</v>
      </c>
      <c r="AI33" s="70">
        <f t="shared" si="18"/>
        <v>166666.66666666666</v>
      </c>
      <c r="AJ33" s="70">
        <f t="shared" si="18"/>
        <v>166666.66666666666</v>
      </c>
      <c r="AK33" s="70">
        <f t="shared" si="18"/>
        <v>166666.66666666666</v>
      </c>
      <c r="AL33" s="70">
        <f t="shared" si="18"/>
        <v>166666.66666666666</v>
      </c>
      <c r="AM33" s="70">
        <f t="shared" si="18"/>
        <v>166666.66666666666</v>
      </c>
      <c r="AN33" s="70">
        <f t="shared" si="18"/>
        <v>166666.66666666666</v>
      </c>
      <c r="AO33" s="70">
        <f t="shared" si="18"/>
        <v>166666.66666666666</v>
      </c>
      <c r="AP33" s="70">
        <f t="shared" si="18"/>
        <v>166666.66666666666</v>
      </c>
      <c r="AQ33" s="70">
        <f t="shared" si="18"/>
        <v>166666.66666666666</v>
      </c>
      <c r="AR33" s="70">
        <f t="shared" si="18"/>
        <v>166666.66666666666</v>
      </c>
      <c r="AS33" s="70">
        <f t="shared" si="18"/>
        <v>166666.66666666666</v>
      </c>
      <c r="AT33" s="71">
        <f t="shared" si="18"/>
        <v>166666.66666666666</v>
      </c>
      <c r="AU33" s="71">
        <f t="shared" si="18"/>
        <v>166666.66666666666</v>
      </c>
      <c r="AV33" s="71">
        <f t="shared" si="18"/>
        <v>166666.66666666666</v>
      </c>
      <c r="AW33" s="71">
        <f t="shared" si="19"/>
        <v>166666.66666666666</v>
      </c>
      <c r="AX33" s="71">
        <f t="shared" si="19"/>
        <v>166666.66666666666</v>
      </c>
      <c r="AY33" s="71">
        <f t="shared" si="19"/>
        <v>166666.66666666666</v>
      </c>
      <c r="AZ33" s="71">
        <f t="shared" si="19"/>
        <v>166666.66666666666</v>
      </c>
      <c r="BA33" s="71">
        <f t="shared" si="19"/>
        <v>166666.66666666666</v>
      </c>
      <c r="BB33" s="71">
        <f t="shared" si="19"/>
        <v>166666.66666666666</v>
      </c>
      <c r="BC33" s="71">
        <f t="shared" si="19"/>
        <v>166666.66666666666</v>
      </c>
      <c r="BD33" s="71">
        <f t="shared" si="19"/>
        <v>166666.66666666666</v>
      </c>
      <c r="BE33" s="71">
        <f t="shared" si="19"/>
        <v>166666.66666666666</v>
      </c>
      <c r="BF33" s="68">
        <f t="shared" si="7"/>
        <v>0</v>
      </c>
      <c r="BG33" s="69">
        <f t="shared" si="8"/>
        <v>1500000</v>
      </c>
      <c r="BH33" s="70">
        <f t="shared" si="9"/>
        <v>2000000.0000000002</v>
      </c>
      <c r="BI33" s="71">
        <f t="shared" si="10"/>
        <v>2000000.0000000002</v>
      </c>
      <c r="BJ33" s="72">
        <f>VLOOKUP(D33,Master!AD:AG,3,FALSE)</f>
        <v>7611600</v>
      </c>
      <c r="BK33" s="73" t="str">
        <f>VLOOKUP(D33,Master!AD:AG,4,FALSE)</f>
        <v>Depreciation-Tools, furniture &amp; office equipment</v>
      </c>
    </row>
    <row r="34" spans="1:63" s="74" customFormat="1" ht="15" customHeight="1">
      <c r="A34" s="64" t="s">
        <v>356</v>
      </c>
      <c r="B34" s="25" t="s">
        <v>382</v>
      </c>
      <c r="C34" s="65" t="s">
        <v>221</v>
      </c>
      <c r="D34" s="66">
        <v>2141000</v>
      </c>
      <c r="E34" s="26">
        <v>10000000</v>
      </c>
      <c r="F34" s="67">
        <v>60</v>
      </c>
      <c r="G34" s="65" t="s">
        <v>225</v>
      </c>
      <c r="H34" s="27">
        <v>1</v>
      </c>
      <c r="I34" s="28">
        <v>44378</v>
      </c>
      <c r="J34" s="65" t="s">
        <v>310</v>
      </c>
      <c r="K34" s="65" t="s">
        <v>225</v>
      </c>
      <c r="L34" s="65" t="s">
        <v>314</v>
      </c>
      <c r="M34" s="65" t="s">
        <v>472</v>
      </c>
      <c r="N34" s="51">
        <f t="shared" si="11"/>
        <v>10000000</v>
      </c>
      <c r="O34" s="51">
        <f t="shared" si="12"/>
        <v>166666.66666666666</v>
      </c>
      <c r="P34" s="28">
        <f t="shared" si="13"/>
        <v>46204</v>
      </c>
      <c r="Q34" s="68" t="str">
        <f t="shared" si="20"/>
        <v/>
      </c>
      <c r="R34" s="68" t="str">
        <f t="shared" si="20"/>
        <v/>
      </c>
      <c r="S34" s="68" t="str">
        <f t="shared" si="20"/>
        <v/>
      </c>
      <c r="T34" s="68" t="str">
        <f t="shared" si="20"/>
        <v/>
      </c>
      <c r="U34" s="68" t="str">
        <f t="shared" si="20"/>
        <v/>
      </c>
      <c r="V34" s="69" t="str">
        <f t="shared" si="20"/>
        <v/>
      </c>
      <c r="W34" s="69" t="str">
        <f t="shared" si="20"/>
        <v/>
      </c>
      <c r="X34" s="69" t="str">
        <f t="shared" si="20"/>
        <v/>
      </c>
      <c r="Y34" s="69">
        <f t="shared" si="20"/>
        <v>166666.66666666666</v>
      </c>
      <c r="Z34" s="69">
        <f t="shared" si="20"/>
        <v>166666.66666666666</v>
      </c>
      <c r="AA34" s="69">
        <f t="shared" si="20"/>
        <v>166666.66666666666</v>
      </c>
      <c r="AB34" s="69">
        <f t="shared" si="20"/>
        <v>166666.66666666666</v>
      </c>
      <c r="AC34" s="69">
        <f t="shared" si="20"/>
        <v>166666.66666666666</v>
      </c>
      <c r="AD34" s="69">
        <f t="shared" si="20"/>
        <v>166666.66666666666</v>
      </c>
      <c r="AE34" s="69">
        <f t="shared" si="20"/>
        <v>166666.66666666666</v>
      </c>
      <c r="AF34" s="69">
        <f t="shared" si="20"/>
        <v>166666.66666666666</v>
      </c>
      <c r="AG34" s="69">
        <f t="shared" si="18"/>
        <v>166666.66666666666</v>
      </c>
      <c r="AH34" s="70">
        <f t="shared" si="18"/>
        <v>166666.66666666666</v>
      </c>
      <c r="AI34" s="70">
        <f t="shared" si="18"/>
        <v>166666.66666666666</v>
      </c>
      <c r="AJ34" s="70">
        <f t="shared" si="18"/>
        <v>166666.66666666666</v>
      </c>
      <c r="AK34" s="70">
        <f t="shared" si="18"/>
        <v>166666.66666666666</v>
      </c>
      <c r="AL34" s="70">
        <f t="shared" si="18"/>
        <v>166666.66666666666</v>
      </c>
      <c r="AM34" s="70">
        <f t="shared" si="18"/>
        <v>166666.66666666666</v>
      </c>
      <c r="AN34" s="70">
        <f t="shared" si="18"/>
        <v>166666.66666666666</v>
      </c>
      <c r="AO34" s="70">
        <f t="shared" si="18"/>
        <v>166666.66666666666</v>
      </c>
      <c r="AP34" s="70">
        <f t="shared" si="18"/>
        <v>166666.66666666666</v>
      </c>
      <c r="AQ34" s="70">
        <f t="shared" si="18"/>
        <v>166666.66666666666</v>
      </c>
      <c r="AR34" s="70">
        <f t="shared" si="18"/>
        <v>166666.66666666666</v>
      </c>
      <c r="AS34" s="70">
        <f t="shared" si="18"/>
        <v>166666.66666666666</v>
      </c>
      <c r="AT34" s="71">
        <f t="shared" si="18"/>
        <v>166666.66666666666</v>
      </c>
      <c r="AU34" s="71">
        <f t="shared" si="18"/>
        <v>166666.66666666666</v>
      </c>
      <c r="AV34" s="71">
        <f t="shared" si="18"/>
        <v>166666.66666666666</v>
      </c>
      <c r="AW34" s="71">
        <f t="shared" si="19"/>
        <v>166666.66666666666</v>
      </c>
      <c r="AX34" s="71">
        <f t="shared" si="19"/>
        <v>166666.66666666666</v>
      </c>
      <c r="AY34" s="71">
        <f t="shared" si="19"/>
        <v>166666.66666666666</v>
      </c>
      <c r="AZ34" s="71">
        <f t="shared" si="19"/>
        <v>166666.66666666666</v>
      </c>
      <c r="BA34" s="71">
        <f t="shared" si="19"/>
        <v>166666.66666666666</v>
      </c>
      <c r="BB34" s="71">
        <f t="shared" si="19"/>
        <v>166666.66666666666</v>
      </c>
      <c r="BC34" s="71">
        <f t="shared" si="19"/>
        <v>166666.66666666666</v>
      </c>
      <c r="BD34" s="71">
        <f t="shared" si="19"/>
        <v>166666.66666666666</v>
      </c>
      <c r="BE34" s="71">
        <f t="shared" si="19"/>
        <v>166666.66666666666</v>
      </c>
      <c r="BF34" s="68">
        <f t="shared" si="7"/>
        <v>0</v>
      </c>
      <c r="BG34" s="69">
        <f t="shared" si="8"/>
        <v>1500000</v>
      </c>
      <c r="BH34" s="70">
        <f t="shared" si="9"/>
        <v>2000000.0000000002</v>
      </c>
      <c r="BI34" s="71">
        <f t="shared" si="10"/>
        <v>2000000.0000000002</v>
      </c>
      <c r="BJ34" s="72">
        <f>VLOOKUP(D34,Master!AD:AG,3,FALSE)</f>
        <v>7611600</v>
      </c>
      <c r="BK34" s="73" t="str">
        <f>VLOOKUP(D34,Master!AD:AG,4,FALSE)</f>
        <v>Depreciation-Tools, furniture &amp; office equipment</v>
      </c>
    </row>
    <row r="35" spans="1:63" s="74" customFormat="1" ht="15" customHeight="1">
      <c r="A35" s="64" t="s">
        <v>308</v>
      </c>
      <c r="B35" s="25" t="s">
        <v>383</v>
      </c>
      <c r="C35" s="65" t="s">
        <v>221</v>
      </c>
      <c r="D35" s="66">
        <v>2141000</v>
      </c>
      <c r="E35" s="26">
        <v>8000000</v>
      </c>
      <c r="F35" s="67">
        <v>60</v>
      </c>
      <c r="G35" s="65" t="s">
        <v>283</v>
      </c>
      <c r="H35" s="27">
        <v>1</v>
      </c>
      <c r="I35" s="28">
        <v>44348</v>
      </c>
      <c r="J35" s="65" t="s">
        <v>310</v>
      </c>
      <c r="K35" s="65" t="s">
        <v>283</v>
      </c>
      <c r="L35" s="65" t="s">
        <v>317</v>
      </c>
      <c r="M35" s="65" t="s">
        <v>472</v>
      </c>
      <c r="N35" s="51">
        <f t="shared" si="11"/>
        <v>8000000</v>
      </c>
      <c r="O35" s="51">
        <f t="shared" si="12"/>
        <v>133333.33333333334</v>
      </c>
      <c r="P35" s="28">
        <f t="shared" si="13"/>
        <v>46174</v>
      </c>
      <c r="Q35" s="68" t="str">
        <f t="shared" ref="Q35:AE35" si="21">IF(AND(LEFT(Q$1,FIND("_",Q$1)-1)&amp;RIGHT(Q$1,LEN(Q$1)-FIND("_",Q$1)) &gt;= YEAR($I35) &amp; TEXT(MONTH($I35),"00"),LEFT(Q$1,FIND("_",Q$1)-1)&amp;RIGHT(Q$1,LEN(Q$1)-FIND("_",Q$1)) &lt; YEAR($P35) &amp; TEXT(MONTH($P35),"00")),$O35,"")</f>
        <v/>
      </c>
      <c r="R35" s="68" t="str">
        <f t="shared" si="21"/>
        <v/>
      </c>
      <c r="S35" s="68" t="str">
        <f t="shared" si="21"/>
        <v/>
      </c>
      <c r="T35" s="68" t="str">
        <f t="shared" si="21"/>
        <v/>
      </c>
      <c r="U35" s="68" t="str">
        <f t="shared" si="21"/>
        <v/>
      </c>
      <c r="V35" s="69" t="str">
        <f t="shared" si="21"/>
        <v/>
      </c>
      <c r="W35" s="69" t="str">
        <f t="shared" si="21"/>
        <v/>
      </c>
      <c r="X35" s="69">
        <f t="shared" si="21"/>
        <v>133333.33333333334</v>
      </c>
      <c r="Y35" s="69">
        <f t="shared" si="21"/>
        <v>133333.33333333334</v>
      </c>
      <c r="Z35" s="69">
        <f t="shared" si="21"/>
        <v>133333.33333333334</v>
      </c>
      <c r="AA35" s="69">
        <f t="shared" si="21"/>
        <v>133333.33333333334</v>
      </c>
      <c r="AB35" s="69">
        <f t="shared" si="21"/>
        <v>133333.33333333334</v>
      </c>
      <c r="AC35" s="69">
        <f t="shared" si="21"/>
        <v>133333.33333333334</v>
      </c>
      <c r="AD35" s="69">
        <f t="shared" si="21"/>
        <v>133333.33333333334</v>
      </c>
      <c r="AE35" s="69">
        <f t="shared" si="21"/>
        <v>133333.33333333334</v>
      </c>
      <c r="AF35" s="69">
        <f t="shared" ref="Q35:AF51" si="22">IF(AND(LEFT(AF$1,FIND("_",AF$1)-1)&amp;RIGHT(AF$1,LEN(AF$1)-FIND("_",AF$1)) &gt;= YEAR($I35) &amp; TEXT(MONTH($I35),"00"),LEFT(AF$1,FIND("_",AF$1)-1)&amp;RIGHT(AF$1,LEN(AF$1)-FIND("_",AF$1)) &lt; YEAR($P35) &amp; TEXT(MONTH($P35),"00")),$O35,"")</f>
        <v>133333.33333333334</v>
      </c>
      <c r="AG35" s="69">
        <f t="shared" si="18"/>
        <v>133333.33333333334</v>
      </c>
      <c r="AH35" s="70">
        <f t="shared" si="18"/>
        <v>133333.33333333334</v>
      </c>
      <c r="AI35" s="70">
        <f t="shared" si="18"/>
        <v>133333.33333333334</v>
      </c>
      <c r="AJ35" s="70">
        <f t="shared" si="18"/>
        <v>133333.33333333334</v>
      </c>
      <c r="AK35" s="70">
        <f t="shared" si="18"/>
        <v>133333.33333333334</v>
      </c>
      <c r="AL35" s="70">
        <f t="shared" si="18"/>
        <v>133333.33333333334</v>
      </c>
      <c r="AM35" s="70">
        <f t="shared" si="18"/>
        <v>133333.33333333334</v>
      </c>
      <c r="AN35" s="70">
        <f t="shared" si="18"/>
        <v>133333.33333333334</v>
      </c>
      <c r="AO35" s="70">
        <f t="shared" si="18"/>
        <v>133333.33333333334</v>
      </c>
      <c r="AP35" s="70">
        <f t="shared" si="18"/>
        <v>133333.33333333334</v>
      </c>
      <c r="AQ35" s="70">
        <f t="shared" si="18"/>
        <v>133333.33333333334</v>
      </c>
      <c r="AR35" s="70">
        <f t="shared" si="18"/>
        <v>133333.33333333334</v>
      </c>
      <c r="AS35" s="70">
        <f t="shared" si="18"/>
        <v>133333.33333333334</v>
      </c>
      <c r="AT35" s="71">
        <f t="shared" si="18"/>
        <v>133333.33333333334</v>
      </c>
      <c r="AU35" s="71">
        <f t="shared" si="18"/>
        <v>133333.33333333334</v>
      </c>
      <c r="AV35" s="71">
        <f t="shared" si="18"/>
        <v>133333.33333333334</v>
      </c>
      <c r="AW35" s="71">
        <f t="shared" si="19"/>
        <v>133333.33333333334</v>
      </c>
      <c r="AX35" s="71">
        <f t="shared" si="19"/>
        <v>133333.33333333334</v>
      </c>
      <c r="AY35" s="71">
        <f t="shared" si="19"/>
        <v>133333.33333333334</v>
      </c>
      <c r="AZ35" s="71">
        <f t="shared" si="19"/>
        <v>133333.33333333334</v>
      </c>
      <c r="BA35" s="71">
        <f t="shared" si="19"/>
        <v>133333.33333333334</v>
      </c>
      <c r="BB35" s="71">
        <f t="shared" si="19"/>
        <v>133333.33333333334</v>
      </c>
      <c r="BC35" s="71">
        <f t="shared" si="19"/>
        <v>133333.33333333334</v>
      </c>
      <c r="BD35" s="71">
        <f t="shared" si="19"/>
        <v>133333.33333333334</v>
      </c>
      <c r="BE35" s="71">
        <f t="shared" si="19"/>
        <v>133333.33333333334</v>
      </c>
      <c r="BF35" s="68">
        <f t="shared" si="7"/>
        <v>0</v>
      </c>
      <c r="BG35" s="69">
        <f t="shared" si="8"/>
        <v>1333333.3333333333</v>
      </c>
      <c r="BH35" s="70">
        <f t="shared" si="9"/>
        <v>1599999.9999999998</v>
      </c>
      <c r="BI35" s="71">
        <f t="shared" si="10"/>
        <v>1599999.9999999998</v>
      </c>
      <c r="BJ35" s="72">
        <f>VLOOKUP(D35,Master!AD:AG,3,FALSE)</f>
        <v>7611600</v>
      </c>
      <c r="BK35" s="73" t="str">
        <f>VLOOKUP(D35,Master!AD:AG,4,FALSE)</f>
        <v>Depreciation-Tools, furniture &amp; office equipment</v>
      </c>
    </row>
    <row r="36" spans="1:63" s="74" customFormat="1" ht="15" customHeight="1">
      <c r="A36" s="64" t="s">
        <v>326</v>
      </c>
      <c r="B36" s="25" t="s">
        <v>384</v>
      </c>
      <c r="C36" s="65" t="s">
        <v>212</v>
      </c>
      <c r="D36" s="66">
        <v>2111100</v>
      </c>
      <c r="E36" s="26">
        <v>80000000</v>
      </c>
      <c r="F36" s="67">
        <v>120</v>
      </c>
      <c r="G36" s="65" t="s">
        <v>219</v>
      </c>
      <c r="H36" s="27">
        <v>1</v>
      </c>
      <c r="I36" s="28">
        <v>44378</v>
      </c>
      <c r="J36" s="65" t="s">
        <v>310</v>
      </c>
      <c r="K36" s="65" t="s">
        <v>283</v>
      </c>
      <c r="L36" s="65" t="s">
        <v>317</v>
      </c>
      <c r="M36" s="65" t="s">
        <v>472</v>
      </c>
      <c r="N36" s="51">
        <f t="shared" si="11"/>
        <v>80000000</v>
      </c>
      <c r="O36" s="51">
        <f t="shared" si="12"/>
        <v>666666.66666666663</v>
      </c>
      <c r="P36" s="28">
        <f t="shared" si="13"/>
        <v>48030</v>
      </c>
      <c r="Q36" s="68" t="str">
        <f t="shared" si="22"/>
        <v/>
      </c>
      <c r="R36" s="68" t="str">
        <f t="shared" si="22"/>
        <v/>
      </c>
      <c r="S36" s="68" t="str">
        <f t="shared" si="22"/>
        <v/>
      </c>
      <c r="T36" s="68" t="str">
        <f t="shared" si="22"/>
        <v/>
      </c>
      <c r="U36" s="68" t="str">
        <f t="shared" si="22"/>
        <v/>
      </c>
      <c r="V36" s="69" t="str">
        <f t="shared" si="22"/>
        <v/>
      </c>
      <c r="W36" s="69" t="str">
        <f t="shared" si="22"/>
        <v/>
      </c>
      <c r="X36" s="69" t="str">
        <f t="shared" si="22"/>
        <v/>
      </c>
      <c r="Y36" s="69">
        <f t="shared" si="22"/>
        <v>666666.66666666663</v>
      </c>
      <c r="Z36" s="69">
        <f t="shared" si="22"/>
        <v>666666.66666666663</v>
      </c>
      <c r="AA36" s="69">
        <f t="shared" si="22"/>
        <v>666666.66666666663</v>
      </c>
      <c r="AB36" s="69">
        <f t="shared" si="22"/>
        <v>666666.66666666663</v>
      </c>
      <c r="AC36" s="69">
        <f t="shared" si="22"/>
        <v>666666.66666666663</v>
      </c>
      <c r="AD36" s="69">
        <f t="shared" si="22"/>
        <v>666666.66666666663</v>
      </c>
      <c r="AE36" s="69">
        <f t="shared" si="22"/>
        <v>666666.66666666663</v>
      </c>
      <c r="AF36" s="69">
        <f t="shared" si="22"/>
        <v>666666.66666666663</v>
      </c>
      <c r="AG36" s="69">
        <f t="shared" si="18"/>
        <v>666666.66666666663</v>
      </c>
      <c r="AH36" s="70">
        <f t="shared" si="18"/>
        <v>666666.66666666663</v>
      </c>
      <c r="AI36" s="70">
        <f t="shared" si="18"/>
        <v>666666.66666666663</v>
      </c>
      <c r="AJ36" s="70">
        <f t="shared" si="18"/>
        <v>666666.66666666663</v>
      </c>
      <c r="AK36" s="70">
        <f t="shared" si="18"/>
        <v>666666.66666666663</v>
      </c>
      <c r="AL36" s="70">
        <f t="shared" si="18"/>
        <v>666666.66666666663</v>
      </c>
      <c r="AM36" s="70">
        <f t="shared" si="18"/>
        <v>666666.66666666663</v>
      </c>
      <c r="AN36" s="70">
        <f t="shared" si="18"/>
        <v>666666.66666666663</v>
      </c>
      <c r="AO36" s="70">
        <f t="shared" si="18"/>
        <v>666666.66666666663</v>
      </c>
      <c r="AP36" s="70">
        <f t="shared" si="18"/>
        <v>666666.66666666663</v>
      </c>
      <c r="AQ36" s="70">
        <f t="shared" si="18"/>
        <v>666666.66666666663</v>
      </c>
      <c r="AR36" s="70">
        <f t="shared" si="18"/>
        <v>666666.66666666663</v>
      </c>
      <c r="AS36" s="70">
        <f t="shared" si="18"/>
        <v>666666.66666666663</v>
      </c>
      <c r="AT36" s="71">
        <f t="shared" si="18"/>
        <v>666666.66666666663</v>
      </c>
      <c r="AU36" s="71">
        <f t="shared" si="18"/>
        <v>666666.66666666663</v>
      </c>
      <c r="AV36" s="71">
        <f t="shared" si="18"/>
        <v>666666.66666666663</v>
      </c>
      <c r="AW36" s="71">
        <f t="shared" si="19"/>
        <v>666666.66666666663</v>
      </c>
      <c r="AX36" s="71">
        <f t="shared" si="19"/>
        <v>666666.66666666663</v>
      </c>
      <c r="AY36" s="71">
        <f t="shared" si="19"/>
        <v>666666.66666666663</v>
      </c>
      <c r="AZ36" s="71">
        <f t="shared" si="19"/>
        <v>666666.66666666663</v>
      </c>
      <c r="BA36" s="71">
        <f t="shared" si="19"/>
        <v>666666.66666666663</v>
      </c>
      <c r="BB36" s="71">
        <f t="shared" si="19"/>
        <v>666666.66666666663</v>
      </c>
      <c r="BC36" s="71">
        <f t="shared" si="19"/>
        <v>666666.66666666663</v>
      </c>
      <c r="BD36" s="71">
        <f t="shared" si="19"/>
        <v>666666.66666666663</v>
      </c>
      <c r="BE36" s="71">
        <f t="shared" si="19"/>
        <v>666666.66666666663</v>
      </c>
      <c r="BF36" s="68">
        <f t="shared" si="7"/>
        <v>0</v>
      </c>
      <c r="BG36" s="69">
        <f t="shared" si="8"/>
        <v>6000000</v>
      </c>
      <c r="BH36" s="70">
        <f t="shared" si="9"/>
        <v>8000000.0000000009</v>
      </c>
      <c r="BI36" s="71">
        <f t="shared" si="10"/>
        <v>8000000.0000000009</v>
      </c>
      <c r="BJ36" s="72">
        <f>VLOOKUP(D36,Master!AD:AG,3,FALSE)</f>
        <v>7611100</v>
      </c>
      <c r="BK36" s="73" t="str">
        <f>VLOOKUP(D36,Master!AD:AG,4,FALSE)</f>
        <v>Depreciation-Building</v>
      </c>
    </row>
    <row r="37" spans="1:63" s="74" customFormat="1" ht="15" customHeight="1">
      <c r="A37" s="64" t="s">
        <v>328</v>
      </c>
      <c r="B37" s="25" t="s">
        <v>385</v>
      </c>
      <c r="C37" s="65" t="s">
        <v>221</v>
      </c>
      <c r="D37" s="66">
        <v>2141000</v>
      </c>
      <c r="E37" s="26">
        <v>15000000</v>
      </c>
      <c r="F37" s="67">
        <v>60</v>
      </c>
      <c r="G37" s="65" t="s">
        <v>283</v>
      </c>
      <c r="H37" s="27">
        <v>1</v>
      </c>
      <c r="I37" s="28">
        <v>44378</v>
      </c>
      <c r="J37" s="65" t="s">
        <v>310</v>
      </c>
      <c r="K37" s="65" t="s">
        <v>283</v>
      </c>
      <c r="L37" s="65" t="s">
        <v>317</v>
      </c>
      <c r="M37" s="65" t="s">
        <v>472</v>
      </c>
      <c r="N37" s="51">
        <f t="shared" si="11"/>
        <v>15000000</v>
      </c>
      <c r="O37" s="51">
        <f t="shared" si="12"/>
        <v>250000</v>
      </c>
      <c r="P37" s="28">
        <f t="shared" si="13"/>
        <v>46204</v>
      </c>
      <c r="Q37" s="68" t="str">
        <f t="shared" si="22"/>
        <v/>
      </c>
      <c r="R37" s="68" t="str">
        <f t="shared" si="22"/>
        <v/>
      </c>
      <c r="S37" s="68" t="str">
        <f t="shared" si="22"/>
        <v/>
      </c>
      <c r="T37" s="68" t="str">
        <f t="shared" si="22"/>
        <v/>
      </c>
      <c r="U37" s="68" t="str">
        <f t="shared" si="22"/>
        <v/>
      </c>
      <c r="V37" s="69" t="str">
        <f t="shared" si="22"/>
        <v/>
      </c>
      <c r="W37" s="69" t="str">
        <f t="shared" si="22"/>
        <v/>
      </c>
      <c r="X37" s="69" t="str">
        <f t="shared" si="22"/>
        <v/>
      </c>
      <c r="Y37" s="69">
        <f t="shared" si="22"/>
        <v>250000</v>
      </c>
      <c r="Z37" s="69">
        <f t="shared" si="22"/>
        <v>250000</v>
      </c>
      <c r="AA37" s="69">
        <f t="shared" si="22"/>
        <v>250000</v>
      </c>
      <c r="AB37" s="69">
        <f t="shared" si="22"/>
        <v>250000</v>
      </c>
      <c r="AC37" s="69">
        <f t="shared" si="22"/>
        <v>250000</v>
      </c>
      <c r="AD37" s="69">
        <f t="shared" si="22"/>
        <v>250000</v>
      </c>
      <c r="AE37" s="69">
        <f t="shared" si="22"/>
        <v>250000</v>
      </c>
      <c r="AF37" s="69">
        <f t="shared" si="22"/>
        <v>250000</v>
      </c>
      <c r="AG37" s="69">
        <f t="shared" si="18"/>
        <v>250000</v>
      </c>
      <c r="AH37" s="70">
        <f t="shared" si="18"/>
        <v>250000</v>
      </c>
      <c r="AI37" s="70">
        <f t="shared" si="18"/>
        <v>250000</v>
      </c>
      <c r="AJ37" s="70">
        <f t="shared" si="18"/>
        <v>250000</v>
      </c>
      <c r="AK37" s="70">
        <f t="shared" si="18"/>
        <v>250000</v>
      </c>
      <c r="AL37" s="70">
        <f t="shared" si="18"/>
        <v>250000</v>
      </c>
      <c r="AM37" s="70">
        <f t="shared" si="18"/>
        <v>250000</v>
      </c>
      <c r="AN37" s="70">
        <f t="shared" si="18"/>
        <v>250000</v>
      </c>
      <c r="AO37" s="70">
        <f t="shared" si="18"/>
        <v>250000</v>
      </c>
      <c r="AP37" s="70">
        <f t="shared" si="18"/>
        <v>250000</v>
      </c>
      <c r="AQ37" s="70">
        <f t="shared" si="18"/>
        <v>250000</v>
      </c>
      <c r="AR37" s="70">
        <f t="shared" si="18"/>
        <v>250000</v>
      </c>
      <c r="AS37" s="70">
        <f t="shared" si="18"/>
        <v>250000</v>
      </c>
      <c r="AT37" s="71">
        <f t="shared" si="18"/>
        <v>250000</v>
      </c>
      <c r="AU37" s="71">
        <f t="shared" si="18"/>
        <v>250000</v>
      </c>
      <c r="AV37" s="71">
        <f t="shared" si="18"/>
        <v>250000</v>
      </c>
      <c r="AW37" s="71">
        <f t="shared" si="19"/>
        <v>250000</v>
      </c>
      <c r="AX37" s="71">
        <f t="shared" si="19"/>
        <v>250000</v>
      </c>
      <c r="AY37" s="71">
        <f t="shared" si="19"/>
        <v>250000</v>
      </c>
      <c r="AZ37" s="71">
        <f t="shared" si="19"/>
        <v>250000</v>
      </c>
      <c r="BA37" s="71">
        <f t="shared" si="19"/>
        <v>250000</v>
      </c>
      <c r="BB37" s="71">
        <f t="shared" si="19"/>
        <v>250000</v>
      </c>
      <c r="BC37" s="71">
        <f t="shared" si="19"/>
        <v>250000</v>
      </c>
      <c r="BD37" s="71">
        <f t="shared" si="19"/>
        <v>250000</v>
      </c>
      <c r="BE37" s="71">
        <f t="shared" si="19"/>
        <v>250000</v>
      </c>
      <c r="BF37" s="68">
        <f t="shared" si="7"/>
        <v>0</v>
      </c>
      <c r="BG37" s="69">
        <f t="shared" si="8"/>
        <v>2250000</v>
      </c>
      <c r="BH37" s="70">
        <f t="shared" si="9"/>
        <v>3000000</v>
      </c>
      <c r="BI37" s="71">
        <f t="shared" si="10"/>
        <v>3000000</v>
      </c>
      <c r="BJ37" s="72">
        <f>VLOOKUP(D37,Master!AD:AG,3,FALSE)</f>
        <v>7611600</v>
      </c>
      <c r="BK37" s="73" t="str">
        <f>VLOOKUP(D37,Master!AD:AG,4,FALSE)</f>
        <v>Depreciation-Tools, furniture &amp; office equipment</v>
      </c>
    </row>
    <row r="38" spans="1:63" s="74" customFormat="1" ht="15" customHeight="1">
      <c r="A38" s="64" t="s">
        <v>356</v>
      </c>
      <c r="B38" s="25" t="s">
        <v>386</v>
      </c>
      <c r="C38" s="65" t="s">
        <v>312</v>
      </c>
      <c r="D38" s="66">
        <v>2121000</v>
      </c>
      <c r="E38" s="26">
        <v>500000000</v>
      </c>
      <c r="F38" s="67">
        <v>120</v>
      </c>
      <c r="G38" s="65" t="s">
        <v>283</v>
      </c>
      <c r="H38" s="27">
        <v>1</v>
      </c>
      <c r="I38" s="28">
        <v>44378</v>
      </c>
      <c r="J38" s="65" t="s">
        <v>311</v>
      </c>
      <c r="K38" s="65" t="s">
        <v>283</v>
      </c>
      <c r="L38" s="65" t="s">
        <v>317</v>
      </c>
      <c r="M38" s="65" t="s">
        <v>472</v>
      </c>
      <c r="N38" s="51">
        <f t="shared" si="11"/>
        <v>500000000</v>
      </c>
      <c r="O38" s="51">
        <f t="shared" si="12"/>
        <v>4166666.6666666665</v>
      </c>
      <c r="P38" s="28">
        <f t="shared" si="13"/>
        <v>48030</v>
      </c>
      <c r="Q38" s="68" t="str">
        <f t="shared" si="22"/>
        <v/>
      </c>
      <c r="R38" s="68" t="str">
        <f t="shared" si="22"/>
        <v/>
      </c>
      <c r="S38" s="68" t="str">
        <f t="shared" si="22"/>
        <v/>
      </c>
      <c r="T38" s="68" t="str">
        <f t="shared" si="22"/>
        <v/>
      </c>
      <c r="U38" s="68" t="str">
        <f t="shared" si="22"/>
        <v/>
      </c>
      <c r="V38" s="69" t="str">
        <f t="shared" si="22"/>
        <v/>
      </c>
      <c r="W38" s="69" t="str">
        <f t="shared" si="22"/>
        <v/>
      </c>
      <c r="X38" s="69" t="str">
        <f t="shared" si="22"/>
        <v/>
      </c>
      <c r="Y38" s="69">
        <f t="shared" si="22"/>
        <v>4166666.6666666665</v>
      </c>
      <c r="Z38" s="69">
        <f t="shared" si="22"/>
        <v>4166666.6666666665</v>
      </c>
      <c r="AA38" s="69">
        <f t="shared" si="22"/>
        <v>4166666.6666666665</v>
      </c>
      <c r="AB38" s="69">
        <f t="shared" si="22"/>
        <v>4166666.6666666665</v>
      </c>
      <c r="AC38" s="69">
        <f t="shared" si="22"/>
        <v>4166666.6666666665</v>
      </c>
      <c r="AD38" s="69">
        <f t="shared" si="22"/>
        <v>4166666.6666666665</v>
      </c>
      <c r="AE38" s="69">
        <f t="shared" si="22"/>
        <v>4166666.6666666665</v>
      </c>
      <c r="AF38" s="69">
        <f t="shared" si="22"/>
        <v>4166666.6666666665</v>
      </c>
      <c r="AG38" s="69">
        <f t="shared" si="18"/>
        <v>4166666.6666666665</v>
      </c>
      <c r="AH38" s="70">
        <f t="shared" si="18"/>
        <v>4166666.6666666665</v>
      </c>
      <c r="AI38" s="70">
        <f t="shared" si="18"/>
        <v>4166666.6666666665</v>
      </c>
      <c r="AJ38" s="70">
        <f t="shared" si="18"/>
        <v>4166666.6666666665</v>
      </c>
      <c r="AK38" s="70">
        <f t="shared" si="18"/>
        <v>4166666.6666666665</v>
      </c>
      <c r="AL38" s="70">
        <f t="shared" si="18"/>
        <v>4166666.6666666665</v>
      </c>
      <c r="AM38" s="70">
        <f t="shared" si="18"/>
        <v>4166666.6666666665</v>
      </c>
      <c r="AN38" s="70">
        <f t="shared" si="18"/>
        <v>4166666.6666666665</v>
      </c>
      <c r="AO38" s="70">
        <f t="shared" si="18"/>
        <v>4166666.6666666665</v>
      </c>
      <c r="AP38" s="70">
        <f t="shared" si="18"/>
        <v>4166666.6666666665</v>
      </c>
      <c r="AQ38" s="70">
        <f t="shared" si="18"/>
        <v>4166666.6666666665</v>
      </c>
      <c r="AR38" s="70">
        <f t="shared" si="18"/>
        <v>4166666.6666666665</v>
      </c>
      <c r="AS38" s="70">
        <f t="shared" si="18"/>
        <v>4166666.6666666665</v>
      </c>
      <c r="AT38" s="71">
        <f t="shared" si="18"/>
        <v>4166666.6666666665</v>
      </c>
      <c r="AU38" s="71">
        <f t="shared" si="18"/>
        <v>4166666.6666666665</v>
      </c>
      <c r="AV38" s="71">
        <f t="shared" si="18"/>
        <v>4166666.6666666665</v>
      </c>
      <c r="AW38" s="71">
        <f t="shared" si="19"/>
        <v>4166666.6666666665</v>
      </c>
      <c r="AX38" s="71">
        <f t="shared" si="19"/>
        <v>4166666.6666666665</v>
      </c>
      <c r="AY38" s="71">
        <f t="shared" si="19"/>
        <v>4166666.6666666665</v>
      </c>
      <c r="AZ38" s="71">
        <f t="shared" si="19"/>
        <v>4166666.6666666665</v>
      </c>
      <c r="BA38" s="71">
        <f t="shared" si="19"/>
        <v>4166666.6666666665</v>
      </c>
      <c r="BB38" s="71">
        <f t="shared" si="19"/>
        <v>4166666.6666666665</v>
      </c>
      <c r="BC38" s="71">
        <f t="shared" si="19"/>
        <v>4166666.6666666665</v>
      </c>
      <c r="BD38" s="71">
        <f t="shared" si="19"/>
        <v>4166666.6666666665</v>
      </c>
      <c r="BE38" s="71">
        <f t="shared" si="19"/>
        <v>4166666.6666666665</v>
      </c>
      <c r="BF38" s="68">
        <f t="shared" si="7"/>
        <v>0</v>
      </c>
      <c r="BG38" s="69">
        <f t="shared" si="8"/>
        <v>37500000</v>
      </c>
      <c r="BH38" s="70">
        <f t="shared" si="9"/>
        <v>49999999.999999993</v>
      </c>
      <c r="BI38" s="71">
        <f t="shared" si="10"/>
        <v>49999999.999999993</v>
      </c>
      <c r="BJ38" s="72">
        <f>VLOOKUP(D38,Master!AD:AG,3,FALSE)</f>
        <v>7611300</v>
      </c>
      <c r="BK38" s="73" t="str">
        <f>VLOOKUP(D38,Master!AD:AG,4,FALSE)</f>
        <v>Depreciation-Machiney &amp; equipment</v>
      </c>
    </row>
    <row r="39" spans="1:63" s="74" customFormat="1" ht="15" customHeight="1">
      <c r="A39" s="64" t="s">
        <v>357</v>
      </c>
      <c r="B39" s="25" t="s">
        <v>387</v>
      </c>
      <c r="C39" s="65" t="s">
        <v>312</v>
      </c>
      <c r="D39" s="66">
        <v>2121000</v>
      </c>
      <c r="E39" s="26">
        <v>100000000</v>
      </c>
      <c r="F39" s="67">
        <v>120</v>
      </c>
      <c r="G39" s="65" t="s">
        <v>283</v>
      </c>
      <c r="H39" s="27">
        <v>1</v>
      </c>
      <c r="I39" s="28">
        <v>44378</v>
      </c>
      <c r="J39" s="65" t="s">
        <v>311</v>
      </c>
      <c r="K39" s="65" t="s">
        <v>283</v>
      </c>
      <c r="L39" s="65" t="s">
        <v>317</v>
      </c>
      <c r="M39" s="65" t="s">
        <v>472</v>
      </c>
      <c r="N39" s="51">
        <f t="shared" si="11"/>
        <v>100000000</v>
      </c>
      <c r="O39" s="51">
        <f t="shared" si="12"/>
        <v>833333.33333333337</v>
      </c>
      <c r="P39" s="28">
        <f t="shared" si="13"/>
        <v>48030</v>
      </c>
      <c r="Q39" s="68" t="str">
        <f t="shared" si="22"/>
        <v/>
      </c>
      <c r="R39" s="68" t="str">
        <f t="shared" si="22"/>
        <v/>
      </c>
      <c r="S39" s="68" t="str">
        <f t="shared" si="22"/>
        <v/>
      </c>
      <c r="T39" s="68" t="str">
        <f t="shared" si="22"/>
        <v/>
      </c>
      <c r="U39" s="68" t="str">
        <f t="shared" si="22"/>
        <v/>
      </c>
      <c r="V39" s="69" t="str">
        <f t="shared" si="22"/>
        <v/>
      </c>
      <c r="W39" s="69" t="str">
        <f t="shared" si="22"/>
        <v/>
      </c>
      <c r="X39" s="69" t="str">
        <f t="shared" si="22"/>
        <v/>
      </c>
      <c r="Y39" s="69">
        <f t="shared" si="22"/>
        <v>833333.33333333337</v>
      </c>
      <c r="Z39" s="69">
        <f t="shared" si="22"/>
        <v>833333.33333333337</v>
      </c>
      <c r="AA39" s="69">
        <f t="shared" si="22"/>
        <v>833333.33333333337</v>
      </c>
      <c r="AB39" s="69">
        <f t="shared" si="22"/>
        <v>833333.33333333337</v>
      </c>
      <c r="AC39" s="69">
        <f t="shared" si="22"/>
        <v>833333.33333333337</v>
      </c>
      <c r="AD39" s="69">
        <f t="shared" si="22"/>
        <v>833333.33333333337</v>
      </c>
      <c r="AE39" s="69">
        <f t="shared" si="22"/>
        <v>833333.33333333337</v>
      </c>
      <c r="AF39" s="69">
        <f t="shared" si="22"/>
        <v>833333.33333333337</v>
      </c>
      <c r="AG39" s="69">
        <f t="shared" si="18"/>
        <v>833333.33333333337</v>
      </c>
      <c r="AH39" s="70">
        <f t="shared" si="18"/>
        <v>833333.33333333337</v>
      </c>
      <c r="AI39" s="70">
        <f t="shared" si="18"/>
        <v>833333.33333333337</v>
      </c>
      <c r="AJ39" s="70">
        <f t="shared" si="18"/>
        <v>833333.33333333337</v>
      </c>
      <c r="AK39" s="70">
        <f t="shared" si="18"/>
        <v>833333.33333333337</v>
      </c>
      <c r="AL39" s="70">
        <f t="shared" si="18"/>
        <v>833333.33333333337</v>
      </c>
      <c r="AM39" s="70">
        <f t="shared" si="18"/>
        <v>833333.33333333337</v>
      </c>
      <c r="AN39" s="70">
        <f t="shared" si="18"/>
        <v>833333.33333333337</v>
      </c>
      <c r="AO39" s="70">
        <f t="shared" si="18"/>
        <v>833333.33333333337</v>
      </c>
      <c r="AP39" s="70">
        <f t="shared" si="18"/>
        <v>833333.33333333337</v>
      </c>
      <c r="AQ39" s="70">
        <f t="shared" si="18"/>
        <v>833333.33333333337</v>
      </c>
      <c r="AR39" s="70">
        <f t="shared" si="18"/>
        <v>833333.33333333337</v>
      </c>
      <c r="AS39" s="70">
        <f t="shared" si="18"/>
        <v>833333.33333333337</v>
      </c>
      <c r="AT39" s="71">
        <f t="shared" si="18"/>
        <v>833333.33333333337</v>
      </c>
      <c r="AU39" s="71">
        <f t="shared" ref="AG39:AV56" si="23">IF(AND(LEFT(AU$1,FIND("_",AU$1)-1)&amp;RIGHT(AU$1,LEN(AU$1)-FIND("_",AU$1)) &gt;= YEAR($I39) &amp; TEXT(MONTH($I39),"00"),LEFT(AU$1,FIND("_",AU$1)-1)&amp;RIGHT(AU$1,LEN(AU$1)-FIND("_",AU$1)) &lt; YEAR($P39) &amp; TEXT(MONTH($P39),"00")),$O39,"")</f>
        <v>833333.33333333337</v>
      </c>
      <c r="AV39" s="71">
        <f t="shared" si="23"/>
        <v>833333.33333333337</v>
      </c>
      <c r="AW39" s="71">
        <f t="shared" si="19"/>
        <v>833333.33333333337</v>
      </c>
      <c r="AX39" s="71">
        <f t="shared" si="19"/>
        <v>833333.33333333337</v>
      </c>
      <c r="AY39" s="71">
        <f t="shared" si="19"/>
        <v>833333.33333333337</v>
      </c>
      <c r="AZ39" s="71">
        <f t="shared" si="19"/>
        <v>833333.33333333337</v>
      </c>
      <c r="BA39" s="71">
        <f t="shared" si="19"/>
        <v>833333.33333333337</v>
      </c>
      <c r="BB39" s="71">
        <f t="shared" si="19"/>
        <v>833333.33333333337</v>
      </c>
      <c r="BC39" s="71">
        <f t="shared" si="19"/>
        <v>833333.33333333337</v>
      </c>
      <c r="BD39" s="71">
        <f t="shared" si="19"/>
        <v>833333.33333333337</v>
      </c>
      <c r="BE39" s="71">
        <f t="shared" si="19"/>
        <v>833333.33333333337</v>
      </c>
      <c r="BF39" s="68">
        <f t="shared" si="7"/>
        <v>0</v>
      </c>
      <c r="BG39" s="69">
        <f t="shared" si="8"/>
        <v>7499999.9999999991</v>
      </c>
      <c r="BH39" s="70">
        <f t="shared" si="9"/>
        <v>10000000</v>
      </c>
      <c r="BI39" s="71">
        <f t="shared" si="10"/>
        <v>10000000</v>
      </c>
      <c r="BJ39" s="72">
        <f>VLOOKUP(D39,Master!AD:AG,3,FALSE)</f>
        <v>7611300</v>
      </c>
      <c r="BK39" s="73" t="str">
        <f>VLOOKUP(D39,Master!AD:AG,4,FALSE)</f>
        <v>Depreciation-Machiney &amp; equipment</v>
      </c>
    </row>
    <row r="40" spans="1:63" s="74" customFormat="1" ht="15" customHeight="1">
      <c r="A40" s="64" t="s">
        <v>358</v>
      </c>
      <c r="B40" s="25" t="s">
        <v>388</v>
      </c>
      <c r="C40" s="65" t="s">
        <v>312</v>
      </c>
      <c r="D40" s="66">
        <v>2121000</v>
      </c>
      <c r="E40" s="26">
        <v>1600000000</v>
      </c>
      <c r="F40" s="67">
        <v>120</v>
      </c>
      <c r="G40" s="65" t="s">
        <v>225</v>
      </c>
      <c r="H40" s="27">
        <v>1</v>
      </c>
      <c r="I40" s="28">
        <v>44378</v>
      </c>
      <c r="J40" s="65" t="s">
        <v>311</v>
      </c>
      <c r="K40" s="65" t="s">
        <v>283</v>
      </c>
      <c r="L40" s="65" t="s">
        <v>317</v>
      </c>
      <c r="M40" s="65" t="s">
        <v>472</v>
      </c>
      <c r="N40" s="51">
        <f t="shared" si="11"/>
        <v>1600000000</v>
      </c>
      <c r="O40" s="51">
        <f t="shared" si="12"/>
        <v>13333333.333333334</v>
      </c>
      <c r="P40" s="28">
        <f t="shared" si="13"/>
        <v>48030</v>
      </c>
      <c r="Q40" s="68" t="str">
        <f t="shared" si="22"/>
        <v/>
      </c>
      <c r="R40" s="68" t="str">
        <f t="shared" si="22"/>
        <v/>
      </c>
      <c r="S40" s="68" t="str">
        <f t="shared" si="22"/>
        <v/>
      </c>
      <c r="T40" s="68" t="str">
        <f t="shared" si="22"/>
        <v/>
      </c>
      <c r="U40" s="68" t="str">
        <f t="shared" si="22"/>
        <v/>
      </c>
      <c r="V40" s="69" t="str">
        <f t="shared" si="22"/>
        <v/>
      </c>
      <c r="W40" s="69" t="str">
        <f t="shared" si="22"/>
        <v/>
      </c>
      <c r="X40" s="69" t="str">
        <f t="shared" si="22"/>
        <v/>
      </c>
      <c r="Y40" s="69">
        <f t="shared" si="22"/>
        <v>13333333.333333334</v>
      </c>
      <c r="Z40" s="69">
        <f t="shared" si="22"/>
        <v>13333333.333333334</v>
      </c>
      <c r="AA40" s="69">
        <f t="shared" si="22"/>
        <v>13333333.333333334</v>
      </c>
      <c r="AB40" s="69">
        <f t="shared" si="22"/>
        <v>13333333.333333334</v>
      </c>
      <c r="AC40" s="69">
        <f t="shared" si="22"/>
        <v>13333333.333333334</v>
      </c>
      <c r="AD40" s="69">
        <f t="shared" si="22"/>
        <v>13333333.333333334</v>
      </c>
      <c r="AE40" s="69">
        <f t="shared" si="22"/>
        <v>13333333.333333334</v>
      </c>
      <c r="AF40" s="69">
        <f t="shared" si="22"/>
        <v>13333333.333333334</v>
      </c>
      <c r="AG40" s="69">
        <f t="shared" si="23"/>
        <v>13333333.333333334</v>
      </c>
      <c r="AH40" s="70">
        <f t="shared" si="23"/>
        <v>13333333.333333334</v>
      </c>
      <c r="AI40" s="70">
        <f t="shared" si="23"/>
        <v>13333333.333333334</v>
      </c>
      <c r="AJ40" s="70">
        <f t="shared" si="23"/>
        <v>13333333.333333334</v>
      </c>
      <c r="AK40" s="70">
        <f t="shared" si="23"/>
        <v>13333333.333333334</v>
      </c>
      <c r="AL40" s="70">
        <f t="shared" si="23"/>
        <v>13333333.333333334</v>
      </c>
      <c r="AM40" s="70">
        <f t="shared" si="23"/>
        <v>13333333.333333334</v>
      </c>
      <c r="AN40" s="70">
        <f t="shared" si="23"/>
        <v>13333333.333333334</v>
      </c>
      <c r="AO40" s="70">
        <f t="shared" si="23"/>
        <v>13333333.333333334</v>
      </c>
      <c r="AP40" s="70">
        <f t="shared" si="23"/>
        <v>13333333.333333334</v>
      </c>
      <c r="AQ40" s="70">
        <f t="shared" si="23"/>
        <v>13333333.333333334</v>
      </c>
      <c r="AR40" s="70">
        <f t="shared" si="23"/>
        <v>13333333.333333334</v>
      </c>
      <c r="AS40" s="70">
        <f t="shared" si="23"/>
        <v>13333333.333333334</v>
      </c>
      <c r="AT40" s="71">
        <f t="shared" si="23"/>
        <v>13333333.333333334</v>
      </c>
      <c r="AU40" s="71">
        <f t="shared" si="23"/>
        <v>13333333.333333334</v>
      </c>
      <c r="AV40" s="71">
        <f t="shared" si="23"/>
        <v>13333333.333333334</v>
      </c>
      <c r="AW40" s="71">
        <f t="shared" si="19"/>
        <v>13333333.333333334</v>
      </c>
      <c r="AX40" s="71">
        <f t="shared" si="19"/>
        <v>13333333.333333334</v>
      </c>
      <c r="AY40" s="71">
        <f t="shared" si="19"/>
        <v>13333333.333333334</v>
      </c>
      <c r="AZ40" s="71">
        <f t="shared" si="19"/>
        <v>13333333.333333334</v>
      </c>
      <c r="BA40" s="71">
        <f t="shared" si="19"/>
        <v>13333333.333333334</v>
      </c>
      <c r="BB40" s="71">
        <f t="shared" si="19"/>
        <v>13333333.333333334</v>
      </c>
      <c r="BC40" s="71">
        <f t="shared" si="19"/>
        <v>13333333.333333334</v>
      </c>
      <c r="BD40" s="71">
        <f t="shared" si="19"/>
        <v>13333333.333333334</v>
      </c>
      <c r="BE40" s="71">
        <f t="shared" si="19"/>
        <v>13333333.333333334</v>
      </c>
      <c r="BF40" s="68">
        <f t="shared" si="7"/>
        <v>0</v>
      </c>
      <c r="BG40" s="69">
        <f t="shared" si="8"/>
        <v>119999999.99999999</v>
      </c>
      <c r="BH40" s="70">
        <f t="shared" si="9"/>
        <v>160000000</v>
      </c>
      <c r="BI40" s="71">
        <f t="shared" si="10"/>
        <v>160000000</v>
      </c>
      <c r="BJ40" s="72">
        <f>VLOOKUP(D40,Master!AD:AG,3,FALSE)</f>
        <v>7611300</v>
      </c>
      <c r="BK40" s="73" t="str">
        <f>VLOOKUP(D40,Master!AD:AG,4,FALSE)</f>
        <v>Depreciation-Machiney &amp; equipment</v>
      </c>
    </row>
    <row r="41" spans="1:63" s="74" customFormat="1" ht="15" customHeight="1">
      <c r="A41" s="64" t="s">
        <v>359</v>
      </c>
      <c r="B41" s="25" t="s">
        <v>566</v>
      </c>
      <c r="C41" s="65" t="s">
        <v>312</v>
      </c>
      <c r="D41" s="66">
        <v>2121000</v>
      </c>
      <c r="E41" s="26">
        <v>5300000000</v>
      </c>
      <c r="F41" s="67">
        <v>120</v>
      </c>
      <c r="G41" s="65" t="s">
        <v>225</v>
      </c>
      <c r="H41" s="27">
        <v>1</v>
      </c>
      <c r="I41" s="28">
        <v>44378</v>
      </c>
      <c r="J41" s="65" t="s">
        <v>311</v>
      </c>
      <c r="K41" s="65" t="s">
        <v>283</v>
      </c>
      <c r="L41" s="65" t="s">
        <v>317</v>
      </c>
      <c r="M41" s="65" t="s">
        <v>472</v>
      </c>
      <c r="N41" s="51">
        <f t="shared" si="11"/>
        <v>5300000000</v>
      </c>
      <c r="O41" s="51">
        <f t="shared" si="12"/>
        <v>44166666.666666664</v>
      </c>
      <c r="P41" s="28">
        <f t="shared" si="13"/>
        <v>48030</v>
      </c>
      <c r="Q41" s="68" t="str">
        <f t="shared" si="22"/>
        <v/>
      </c>
      <c r="R41" s="68" t="str">
        <f t="shared" si="22"/>
        <v/>
      </c>
      <c r="S41" s="68" t="str">
        <f t="shared" si="22"/>
        <v/>
      </c>
      <c r="T41" s="68" t="str">
        <f t="shared" si="22"/>
        <v/>
      </c>
      <c r="U41" s="68" t="str">
        <f t="shared" si="22"/>
        <v/>
      </c>
      <c r="V41" s="69" t="str">
        <f t="shared" si="22"/>
        <v/>
      </c>
      <c r="W41" s="69" t="str">
        <f t="shared" si="22"/>
        <v/>
      </c>
      <c r="X41" s="69" t="str">
        <f t="shared" si="22"/>
        <v/>
      </c>
      <c r="Y41" s="69">
        <f t="shared" si="22"/>
        <v>44166666.666666664</v>
      </c>
      <c r="Z41" s="69">
        <f t="shared" si="22"/>
        <v>44166666.666666664</v>
      </c>
      <c r="AA41" s="69">
        <f t="shared" si="22"/>
        <v>44166666.666666664</v>
      </c>
      <c r="AB41" s="69">
        <f t="shared" si="22"/>
        <v>44166666.666666664</v>
      </c>
      <c r="AC41" s="69">
        <f t="shared" si="22"/>
        <v>44166666.666666664</v>
      </c>
      <c r="AD41" s="69">
        <f t="shared" si="22"/>
        <v>44166666.666666664</v>
      </c>
      <c r="AE41" s="69">
        <f t="shared" si="22"/>
        <v>44166666.666666664</v>
      </c>
      <c r="AF41" s="69">
        <f t="shared" si="22"/>
        <v>44166666.666666664</v>
      </c>
      <c r="AG41" s="69">
        <f t="shared" si="23"/>
        <v>44166666.666666664</v>
      </c>
      <c r="AH41" s="70">
        <f t="shared" si="23"/>
        <v>44166666.666666664</v>
      </c>
      <c r="AI41" s="70">
        <f t="shared" si="23"/>
        <v>44166666.666666664</v>
      </c>
      <c r="AJ41" s="70">
        <f t="shared" si="23"/>
        <v>44166666.666666664</v>
      </c>
      <c r="AK41" s="70">
        <f t="shared" si="23"/>
        <v>44166666.666666664</v>
      </c>
      <c r="AL41" s="70">
        <f t="shared" si="23"/>
        <v>44166666.666666664</v>
      </c>
      <c r="AM41" s="70">
        <f t="shared" si="23"/>
        <v>44166666.666666664</v>
      </c>
      <c r="AN41" s="70">
        <f t="shared" si="23"/>
        <v>44166666.666666664</v>
      </c>
      <c r="AO41" s="70">
        <f t="shared" si="23"/>
        <v>44166666.666666664</v>
      </c>
      <c r="AP41" s="70">
        <f t="shared" si="23"/>
        <v>44166666.666666664</v>
      </c>
      <c r="AQ41" s="70">
        <f t="shared" si="23"/>
        <v>44166666.666666664</v>
      </c>
      <c r="AR41" s="70">
        <f t="shared" si="23"/>
        <v>44166666.666666664</v>
      </c>
      <c r="AS41" s="70">
        <f t="shared" si="23"/>
        <v>44166666.666666664</v>
      </c>
      <c r="AT41" s="71">
        <f t="shared" si="23"/>
        <v>44166666.666666664</v>
      </c>
      <c r="AU41" s="71">
        <f t="shared" si="23"/>
        <v>44166666.666666664</v>
      </c>
      <c r="AV41" s="71">
        <f t="shared" si="23"/>
        <v>44166666.666666664</v>
      </c>
      <c r="AW41" s="71">
        <f t="shared" si="19"/>
        <v>44166666.666666664</v>
      </c>
      <c r="AX41" s="71">
        <f t="shared" si="19"/>
        <v>44166666.666666664</v>
      </c>
      <c r="AY41" s="71">
        <f t="shared" si="19"/>
        <v>44166666.666666664</v>
      </c>
      <c r="AZ41" s="71">
        <f t="shared" si="19"/>
        <v>44166666.666666664</v>
      </c>
      <c r="BA41" s="71">
        <f t="shared" si="19"/>
        <v>44166666.666666664</v>
      </c>
      <c r="BB41" s="71">
        <f t="shared" si="19"/>
        <v>44166666.666666664</v>
      </c>
      <c r="BC41" s="71">
        <f t="shared" si="19"/>
        <v>44166666.666666664</v>
      </c>
      <c r="BD41" s="71">
        <f t="shared" si="19"/>
        <v>44166666.666666664</v>
      </c>
      <c r="BE41" s="71">
        <f t="shared" si="19"/>
        <v>44166666.666666664</v>
      </c>
      <c r="BF41" s="68">
        <f t="shared" si="7"/>
        <v>0</v>
      </c>
      <c r="BG41" s="69">
        <f t="shared" si="8"/>
        <v>397500000</v>
      </c>
      <c r="BH41" s="70">
        <f t="shared" si="9"/>
        <v>530000000.00000006</v>
      </c>
      <c r="BI41" s="71">
        <f t="shared" si="10"/>
        <v>530000000.00000006</v>
      </c>
      <c r="BJ41" s="72">
        <f>VLOOKUP(D41,Master!AD:AG,3,FALSE)</f>
        <v>7611300</v>
      </c>
      <c r="BK41" s="73" t="str">
        <f>VLOOKUP(D41,Master!AD:AG,4,FALSE)</f>
        <v>Depreciation-Machiney &amp; equipment</v>
      </c>
    </row>
    <row r="42" spans="1:63" s="74" customFormat="1" ht="15" customHeight="1">
      <c r="A42" s="64" t="s">
        <v>360</v>
      </c>
      <c r="B42" s="25" t="s">
        <v>567</v>
      </c>
      <c r="C42" s="65" t="s">
        <v>312</v>
      </c>
      <c r="D42" s="66">
        <v>2121000</v>
      </c>
      <c r="E42" s="26">
        <v>603300000</v>
      </c>
      <c r="F42" s="67">
        <v>120</v>
      </c>
      <c r="G42" s="65" t="s">
        <v>225</v>
      </c>
      <c r="H42" s="27">
        <v>1</v>
      </c>
      <c r="I42" s="28">
        <v>44470</v>
      </c>
      <c r="J42" s="65" t="s">
        <v>310</v>
      </c>
      <c r="K42" s="65" t="s">
        <v>283</v>
      </c>
      <c r="L42" s="65"/>
      <c r="M42" s="65" t="s">
        <v>472</v>
      </c>
      <c r="N42" s="51">
        <f t="shared" si="11"/>
        <v>603300000</v>
      </c>
      <c r="O42" s="51">
        <f t="shared" si="12"/>
        <v>5027500</v>
      </c>
      <c r="P42" s="28">
        <f t="shared" si="13"/>
        <v>48122</v>
      </c>
      <c r="Q42" s="68" t="str">
        <f t="shared" si="22"/>
        <v/>
      </c>
      <c r="R42" s="68" t="str">
        <f t="shared" si="22"/>
        <v/>
      </c>
      <c r="S42" s="68" t="str">
        <f t="shared" si="22"/>
        <v/>
      </c>
      <c r="T42" s="68" t="str">
        <f t="shared" si="22"/>
        <v/>
      </c>
      <c r="U42" s="68" t="str">
        <f t="shared" si="22"/>
        <v/>
      </c>
      <c r="V42" s="69" t="str">
        <f t="shared" si="22"/>
        <v/>
      </c>
      <c r="W42" s="69" t="str">
        <f t="shared" si="22"/>
        <v/>
      </c>
      <c r="X42" s="69" t="str">
        <f t="shared" si="22"/>
        <v/>
      </c>
      <c r="Y42" s="69" t="str">
        <f t="shared" si="22"/>
        <v/>
      </c>
      <c r="Z42" s="69" t="str">
        <f t="shared" si="22"/>
        <v/>
      </c>
      <c r="AA42" s="69" t="str">
        <f t="shared" si="22"/>
        <v/>
      </c>
      <c r="AB42" s="69">
        <f t="shared" si="22"/>
        <v>5027500</v>
      </c>
      <c r="AC42" s="69">
        <f t="shared" si="22"/>
        <v>5027500</v>
      </c>
      <c r="AD42" s="69">
        <f t="shared" si="22"/>
        <v>5027500</v>
      </c>
      <c r="AE42" s="69">
        <f t="shared" si="22"/>
        <v>5027500</v>
      </c>
      <c r="AF42" s="69">
        <f t="shared" si="22"/>
        <v>5027500</v>
      </c>
      <c r="AG42" s="69">
        <f t="shared" si="23"/>
        <v>5027500</v>
      </c>
      <c r="AH42" s="70">
        <f t="shared" si="23"/>
        <v>5027500</v>
      </c>
      <c r="AI42" s="70">
        <f t="shared" si="23"/>
        <v>5027500</v>
      </c>
      <c r="AJ42" s="70">
        <f t="shared" si="23"/>
        <v>5027500</v>
      </c>
      <c r="AK42" s="70">
        <f t="shared" si="23"/>
        <v>5027500</v>
      </c>
      <c r="AL42" s="70">
        <f t="shared" si="23"/>
        <v>5027500</v>
      </c>
      <c r="AM42" s="70">
        <f t="shared" si="23"/>
        <v>5027500</v>
      </c>
      <c r="AN42" s="70">
        <f t="shared" si="23"/>
        <v>5027500</v>
      </c>
      <c r="AO42" s="70">
        <f t="shared" si="23"/>
        <v>5027500</v>
      </c>
      <c r="AP42" s="70">
        <f t="shared" si="23"/>
        <v>5027500</v>
      </c>
      <c r="AQ42" s="70">
        <f t="shared" si="23"/>
        <v>5027500</v>
      </c>
      <c r="AR42" s="70">
        <f t="shared" si="23"/>
        <v>5027500</v>
      </c>
      <c r="AS42" s="70">
        <f t="shared" si="23"/>
        <v>5027500</v>
      </c>
      <c r="AT42" s="71">
        <f t="shared" si="23"/>
        <v>5027500</v>
      </c>
      <c r="AU42" s="71">
        <f t="shared" si="23"/>
        <v>5027500</v>
      </c>
      <c r="AV42" s="71">
        <f t="shared" si="23"/>
        <v>5027500</v>
      </c>
      <c r="AW42" s="71">
        <f t="shared" si="19"/>
        <v>5027500</v>
      </c>
      <c r="AX42" s="71">
        <f t="shared" si="19"/>
        <v>5027500</v>
      </c>
      <c r="AY42" s="71">
        <f t="shared" si="19"/>
        <v>5027500</v>
      </c>
      <c r="AZ42" s="71">
        <f t="shared" si="19"/>
        <v>5027500</v>
      </c>
      <c r="BA42" s="71">
        <f t="shared" si="19"/>
        <v>5027500</v>
      </c>
      <c r="BB42" s="71">
        <f t="shared" si="19"/>
        <v>5027500</v>
      </c>
      <c r="BC42" s="71">
        <f t="shared" si="19"/>
        <v>5027500</v>
      </c>
      <c r="BD42" s="71">
        <f t="shared" si="19"/>
        <v>5027500</v>
      </c>
      <c r="BE42" s="71">
        <f t="shared" si="19"/>
        <v>5027500</v>
      </c>
      <c r="BF42" s="68">
        <f t="shared" si="7"/>
        <v>0</v>
      </c>
      <c r="BG42" s="69">
        <f t="shared" si="8"/>
        <v>30165000</v>
      </c>
      <c r="BH42" s="70">
        <f t="shared" si="9"/>
        <v>60330000</v>
      </c>
      <c r="BI42" s="71">
        <f t="shared" si="10"/>
        <v>60330000</v>
      </c>
      <c r="BJ42" s="72">
        <f>VLOOKUP(D42,Master!AD:AG,3,FALSE)</f>
        <v>7611300</v>
      </c>
      <c r="BK42" s="73" t="str">
        <f>VLOOKUP(D42,Master!AD:AG,4,FALSE)</f>
        <v>Depreciation-Machiney &amp; equipment</v>
      </c>
    </row>
    <row r="43" spans="1:63" s="74" customFormat="1" ht="15" customHeight="1">
      <c r="A43" s="64" t="s">
        <v>361</v>
      </c>
      <c r="B43" s="25" t="s">
        <v>389</v>
      </c>
      <c r="C43" s="65" t="s">
        <v>212</v>
      </c>
      <c r="D43" s="66">
        <v>2111100</v>
      </c>
      <c r="E43" s="26">
        <v>500000000</v>
      </c>
      <c r="F43" s="67">
        <v>240</v>
      </c>
      <c r="G43" s="65" t="s">
        <v>291</v>
      </c>
      <c r="H43" s="27">
        <v>0.5</v>
      </c>
      <c r="I43" s="28">
        <v>44470</v>
      </c>
      <c r="J43" s="65" t="s">
        <v>310</v>
      </c>
      <c r="K43" s="65" t="s">
        <v>283</v>
      </c>
      <c r="L43" s="65" t="s">
        <v>317</v>
      </c>
      <c r="M43" s="65" t="s">
        <v>472</v>
      </c>
      <c r="N43" s="51">
        <f t="shared" si="11"/>
        <v>250000000</v>
      </c>
      <c r="O43" s="51">
        <f t="shared" si="12"/>
        <v>1041666.6666666666</v>
      </c>
      <c r="P43" s="28">
        <f t="shared" si="13"/>
        <v>51775</v>
      </c>
      <c r="Q43" s="68" t="str">
        <f t="shared" si="22"/>
        <v/>
      </c>
      <c r="R43" s="68" t="str">
        <f t="shared" si="22"/>
        <v/>
      </c>
      <c r="S43" s="68" t="str">
        <f t="shared" si="22"/>
        <v/>
      </c>
      <c r="T43" s="68" t="str">
        <f t="shared" si="22"/>
        <v/>
      </c>
      <c r="U43" s="68" t="str">
        <f t="shared" si="22"/>
        <v/>
      </c>
      <c r="V43" s="69" t="str">
        <f t="shared" si="22"/>
        <v/>
      </c>
      <c r="W43" s="69" t="str">
        <f t="shared" si="22"/>
        <v/>
      </c>
      <c r="X43" s="69" t="str">
        <f t="shared" si="22"/>
        <v/>
      </c>
      <c r="Y43" s="69" t="str">
        <f t="shared" si="22"/>
        <v/>
      </c>
      <c r="Z43" s="69" t="str">
        <f t="shared" si="22"/>
        <v/>
      </c>
      <c r="AA43" s="69" t="str">
        <f t="shared" si="22"/>
        <v/>
      </c>
      <c r="AB43" s="69">
        <f t="shared" si="22"/>
        <v>1041666.6666666666</v>
      </c>
      <c r="AC43" s="69">
        <f t="shared" si="22"/>
        <v>1041666.6666666666</v>
      </c>
      <c r="AD43" s="69">
        <f t="shared" si="22"/>
        <v>1041666.6666666666</v>
      </c>
      <c r="AE43" s="69">
        <f t="shared" si="22"/>
        <v>1041666.6666666666</v>
      </c>
      <c r="AF43" s="69">
        <f t="shared" si="22"/>
        <v>1041666.6666666666</v>
      </c>
      <c r="AG43" s="69">
        <f t="shared" si="23"/>
        <v>1041666.6666666666</v>
      </c>
      <c r="AH43" s="70">
        <f t="shared" si="23"/>
        <v>1041666.6666666666</v>
      </c>
      <c r="AI43" s="70">
        <f t="shared" si="23"/>
        <v>1041666.6666666666</v>
      </c>
      <c r="AJ43" s="70">
        <f t="shared" si="23"/>
        <v>1041666.6666666666</v>
      </c>
      <c r="AK43" s="70">
        <f t="shared" si="23"/>
        <v>1041666.6666666666</v>
      </c>
      <c r="AL43" s="70">
        <f t="shared" si="23"/>
        <v>1041666.6666666666</v>
      </c>
      <c r="AM43" s="70">
        <f t="shared" si="23"/>
        <v>1041666.6666666666</v>
      </c>
      <c r="AN43" s="70">
        <f t="shared" si="23"/>
        <v>1041666.6666666666</v>
      </c>
      <c r="AO43" s="70">
        <f t="shared" si="23"/>
        <v>1041666.6666666666</v>
      </c>
      <c r="AP43" s="70">
        <f t="shared" si="23"/>
        <v>1041666.6666666666</v>
      </c>
      <c r="AQ43" s="70">
        <f t="shared" si="23"/>
        <v>1041666.6666666666</v>
      </c>
      <c r="AR43" s="70">
        <f t="shared" si="23"/>
        <v>1041666.6666666666</v>
      </c>
      <c r="AS43" s="70">
        <f t="shared" si="23"/>
        <v>1041666.6666666666</v>
      </c>
      <c r="AT43" s="71">
        <f t="shared" si="23"/>
        <v>1041666.6666666666</v>
      </c>
      <c r="AU43" s="71">
        <f t="shared" si="23"/>
        <v>1041666.6666666666</v>
      </c>
      <c r="AV43" s="71">
        <f t="shared" si="23"/>
        <v>1041666.6666666666</v>
      </c>
      <c r="AW43" s="71">
        <f t="shared" si="19"/>
        <v>1041666.6666666666</v>
      </c>
      <c r="AX43" s="71">
        <f t="shared" si="19"/>
        <v>1041666.6666666666</v>
      </c>
      <c r="AY43" s="71">
        <f t="shared" si="19"/>
        <v>1041666.6666666666</v>
      </c>
      <c r="AZ43" s="71">
        <f t="shared" si="19"/>
        <v>1041666.6666666666</v>
      </c>
      <c r="BA43" s="71">
        <f t="shared" si="19"/>
        <v>1041666.6666666666</v>
      </c>
      <c r="BB43" s="71">
        <f t="shared" si="19"/>
        <v>1041666.6666666666</v>
      </c>
      <c r="BC43" s="71">
        <f t="shared" si="19"/>
        <v>1041666.6666666666</v>
      </c>
      <c r="BD43" s="71">
        <f t="shared" si="19"/>
        <v>1041666.6666666666</v>
      </c>
      <c r="BE43" s="71">
        <f t="shared" si="19"/>
        <v>1041666.6666666666</v>
      </c>
      <c r="BF43" s="68">
        <f t="shared" si="7"/>
        <v>0</v>
      </c>
      <c r="BG43" s="69">
        <f t="shared" si="8"/>
        <v>6250000</v>
      </c>
      <c r="BH43" s="70">
        <f t="shared" si="9"/>
        <v>12499999.999999998</v>
      </c>
      <c r="BI43" s="71">
        <f t="shared" si="10"/>
        <v>12499999.999999998</v>
      </c>
      <c r="BJ43" s="72">
        <f>VLOOKUP(D43,Master!AD:AG,3,FALSE)</f>
        <v>7611100</v>
      </c>
      <c r="BK43" s="73" t="str">
        <f>VLOOKUP(D43,Master!AD:AG,4,FALSE)</f>
        <v>Depreciation-Building</v>
      </c>
    </row>
    <row r="44" spans="1:63" s="74" customFormat="1" ht="15" customHeight="1">
      <c r="A44" s="64" t="s">
        <v>361</v>
      </c>
      <c r="B44" s="25" t="s">
        <v>389</v>
      </c>
      <c r="C44" s="65" t="s">
        <v>212</v>
      </c>
      <c r="D44" s="66">
        <v>2111100</v>
      </c>
      <c r="E44" s="26">
        <v>500000000</v>
      </c>
      <c r="F44" s="67">
        <v>240</v>
      </c>
      <c r="G44" s="65" t="s">
        <v>248</v>
      </c>
      <c r="H44" s="27">
        <v>0.5</v>
      </c>
      <c r="I44" s="28">
        <v>44470</v>
      </c>
      <c r="J44" s="65" t="s">
        <v>310</v>
      </c>
      <c r="K44" s="65" t="s">
        <v>283</v>
      </c>
      <c r="L44" s="65" t="s">
        <v>317</v>
      </c>
      <c r="M44" s="65" t="s">
        <v>472</v>
      </c>
      <c r="N44" s="51">
        <f t="shared" si="11"/>
        <v>250000000</v>
      </c>
      <c r="O44" s="51">
        <f t="shared" si="12"/>
        <v>1041666.6666666666</v>
      </c>
      <c r="P44" s="28">
        <f t="shared" si="13"/>
        <v>51775</v>
      </c>
      <c r="Q44" s="68" t="str">
        <f t="shared" si="22"/>
        <v/>
      </c>
      <c r="R44" s="68" t="str">
        <f t="shared" si="22"/>
        <v/>
      </c>
      <c r="S44" s="68" t="str">
        <f t="shared" si="22"/>
        <v/>
      </c>
      <c r="T44" s="68" t="str">
        <f t="shared" si="22"/>
        <v/>
      </c>
      <c r="U44" s="68" t="str">
        <f t="shared" si="22"/>
        <v/>
      </c>
      <c r="V44" s="69" t="str">
        <f t="shared" si="22"/>
        <v/>
      </c>
      <c r="W44" s="69" t="str">
        <f t="shared" si="22"/>
        <v/>
      </c>
      <c r="X44" s="69" t="str">
        <f t="shared" si="22"/>
        <v/>
      </c>
      <c r="Y44" s="69" t="str">
        <f t="shared" si="22"/>
        <v/>
      </c>
      <c r="Z44" s="69" t="str">
        <f t="shared" si="22"/>
        <v/>
      </c>
      <c r="AA44" s="69" t="str">
        <f t="shared" si="22"/>
        <v/>
      </c>
      <c r="AB44" s="69">
        <f t="shared" si="22"/>
        <v>1041666.6666666666</v>
      </c>
      <c r="AC44" s="69">
        <f t="shared" si="22"/>
        <v>1041666.6666666666</v>
      </c>
      <c r="AD44" s="69">
        <f t="shared" si="22"/>
        <v>1041666.6666666666</v>
      </c>
      <c r="AE44" s="69">
        <f t="shared" si="22"/>
        <v>1041666.6666666666</v>
      </c>
      <c r="AF44" s="69">
        <f t="shared" si="22"/>
        <v>1041666.6666666666</v>
      </c>
      <c r="AG44" s="69">
        <f t="shared" si="23"/>
        <v>1041666.6666666666</v>
      </c>
      <c r="AH44" s="70">
        <f t="shared" si="23"/>
        <v>1041666.6666666666</v>
      </c>
      <c r="AI44" s="70">
        <f t="shared" si="23"/>
        <v>1041666.6666666666</v>
      </c>
      <c r="AJ44" s="70">
        <f t="shared" si="23"/>
        <v>1041666.6666666666</v>
      </c>
      <c r="AK44" s="70">
        <f t="shared" si="23"/>
        <v>1041666.6666666666</v>
      </c>
      <c r="AL44" s="70">
        <f t="shared" si="23"/>
        <v>1041666.6666666666</v>
      </c>
      <c r="AM44" s="70">
        <f t="shared" si="23"/>
        <v>1041666.6666666666</v>
      </c>
      <c r="AN44" s="70">
        <f t="shared" si="23"/>
        <v>1041666.6666666666</v>
      </c>
      <c r="AO44" s="70">
        <f t="shared" si="23"/>
        <v>1041666.6666666666</v>
      </c>
      <c r="AP44" s="70">
        <f t="shared" si="23"/>
        <v>1041666.6666666666</v>
      </c>
      <c r="AQ44" s="70">
        <f t="shared" si="23"/>
        <v>1041666.6666666666</v>
      </c>
      <c r="AR44" s="70">
        <f t="shared" si="23"/>
        <v>1041666.6666666666</v>
      </c>
      <c r="AS44" s="70">
        <f t="shared" si="23"/>
        <v>1041666.6666666666</v>
      </c>
      <c r="AT44" s="71">
        <f t="shared" si="23"/>
        <v>1041666.6666666666</v>
      </c>
      <c r="AU44" s="71">
        <f t="shared" si="23"/>
        <v>1041666.6666666666</v>
      </c>
      <c r="AV44" s="71">
        <f t="shared" si="23"/>
        <v>1041666.6666666666</v>
      </c>
      <c r="AW44" s="71">
        <f t="shared" si="19"/>
        <v>1041666.6666666666</v>
      </c>
      <c r="AX44" s="71">
        <f t="shared" si="19"/>
        <v>1041666.6666666666</v>
      </c>
      <c r="AY44" s="71">
        <f t="shared" si="19"/>
        <v>1041666.6666666666</v>
      </c>
      <c r="AZ44" s="71">
        <f t="shared" si="19"/>
        <v>1041666.6666666666</v>
      </c>
      <c r="BA44" s="71">
        <f t="shared" si="19"/>
        <v>1041666.6666666666</v>
      </c>
      <c r="BB44" s="71">
        <f t="shared" si="19"/>
        <v>1041666.6666666666</v>
      </c>
      <c r="BC44" s="71">
        <f t="shared" si="19"/>
        <v>1041666.6666666666</v>
      </c>
      <c r="BD44" s="71">
        <f t="shared" si="19"/>
        <v>1041666.6666666666</v>
      </c>
      <c r="BE44" s="71">
        <f t="shared" si="19"/>
        <v>1041666.6666666666</v>
      </c>
      <c r="BF44" s="68">
        <f t="shared" si="7"/>
        <v>0</v>
      </c>
      <c r="BG44" s="69">
        <f t="shared" si="8"/>
        <v>6250000</v>
      </c>
      <c r="BH44" s="70">
        <f t="shared" si="9"/>
        <v>12499999.999999998</v>
      </c>
      <c r="BI44" s="71">
        <f t="shared" si="10"/>
        <v>12499999.999999998</v>
      </c>
      <c r="BJ44" s="72">
        <f>VLOOKUP(D44,Master!AD:AG,3,FALSE)</f>
        <v>7611100</v>
      </c>
      <c r="BK44" s="73" t="str">
        <f>VLOOKUP(D44,Master!AD:AG,4,FALSE)</f>
        <v>Depreciation-Building</v>
      </c>
    </row>
    <row r="45" spans="1:63" s="74" customFormat="1" ht="15" customHeight="1">
      <c r="A45" s="64" t="s">
        <v>362</v>
      </c>
      <c r="B45" s="25" t="s">
        <v>390</v>
      </c>
      <c r="C45" s="65" t="s">
        <v>312</v>
      </c>
      <c r="D45" s="66">
        <v>2121000</v>
      </c>
      <c r="E45" s="26">
        <v>500000000</v>
      </c>
      <c r="F45" s="67">
        <v>120</v>
      </c>
      <c r="G45" s="65" t="s">
        <v>283</v>
      </c>
      <c r="H45" s="27">
        <v>1</v>
      </c>
      <c r="I45" s="28">
        <v>44531</v>
      </c>
      <c r="J45" s="65" t="s">
        <v>310</v>
      </c>
      <c r="K45" s="65" t="s">
        <v>283</v>
      </c>
      <c r="L45" s="65" t="s">
        <v>317</v>
      </c>
      <c r="M45" s="65" t="s">
        <v>472</v>
      </c>
      <c r="N45" s="51">
        <f t="shared" si="11"/>
        <v>500000000</v>
      </c>
      <c r="O45" s="51">
        <f t="shared" si="12"/>
        <v>4166666.6666666665</v>
      </c>
      <c r="P45" s="28">
        <f t="shared" si="13"/>
        <v>48183</v>
      </c>
      <c r="Q45" s="68" t="str">
        <f t="shared" si="22"/>
        <v/>
      </c>
      <c r="R45" s="68" t="str">
        <f t="shared" si="22"/>
        <v/>
      </c>
      <c r="S45" s="68" t="str">
        <f t="shared" si="22"/>
        <v/>
      </c>
      <c r="T45" s="68" t="str">
        <f t="shared" si="22"/>
        <v/>
      </c>
      <c r="U45" s="68" t="str">
        <f t="shared" si="22"/>
        <v/>
      </c>
      <c r="V45" s="69" t="str">
        <f t="shared" si="22"/>
        <v/>
      </c>
      <c r="W45" s="69" t="str">
        <f t="shared" si="22"/>
        <v/>
      </c>
      <c r="X45" s="69" t="str">
        <f t="shared" si="22"/>
        <v/>
      </c>
      <c r="Y45" s="69" t="str">
        <f t="shared" si="22"/>
        <v/>
      </c>
      <c r="Z45" s="69" t="str">
        <f t="shared" si="22"/>
        <v/>
      </c>
      <c r="AA45" s="69" t="str">
        <f t="shared" si="22"/>
        <v/>
      </c>
      <c r="AB45" s="69" t="str">
        <f t="shared" si="22"/>
        <v/>
      </c>
      <c r="AC45" s="69" t="str">
        <f t="shared" si="22"/>
        <v/>
      </c>
      <c r="AD45" s="69">
        <f t="shared" si="22"/>
        <v>4166666.6666666665</v>
      </c>
      <c r="AE45" s="69">
        <f t="shared" si="22"/>
        <v>4166666.6666666665</v>
      </c>
      <c r="AF45" s="69">
        <f t="shared" si="22"/>
        <v>4166666.6666666665</v>
      </c>
      <c r="AG45" s="69">
        <f t="shared" si="23"/>
        <v>4166666.6666666665</v>
      </c>
      <c r="AH45" s="70">
        <f t="shared" si="23"/>
        <v>4166666.6666666665</v>
      </c>
      <c r="AI45" s="70">
        <f t="shared" si="23"/>
        <v>4166666.6666666665</v>
      </c>
      <c r="AJ45" s="70">
        <f t="shared" si="23"/>
        <v>4166666.6666666665</v>
      </c>
      <c r="AK45" s="70">
        <f t="shared" si="23"/>
        <v>4166666.6666666665</v>
      </c>
      <c r="AL45" s="70">
        <f t="shared" si="23"/>
        <v>4166666.6666666665</v>
      </c>
      <c r="AM45" s="70">
        <f t="shared" si="23"/>
        <v>4166666.6666666665</v>
      </c>
      <c r="AN45" s="70">
        <f t="shared" si="23"/>
        <v>4166666.6666666665</v>
      </c>
      <c r="AO45" s="70">
        <f t="shared" si="23"/>
        <v>4166666.6666666665</v>
      </c>
      <c r="AP45" s="70">
        <f t="shared" si="23"/>
        <v>4166666.6666666665</v>
      </c>
      <c r="AQ45" s="70">
        <f t="shared" si="23"/>
        <v>4166666.6666666665</v>
      </c>
      <c r="AR45" s="70">
        <f t="shared" si="23"/>
        <v>4166666.6666666665</v>
      </c>
      <c r="AS45" s="70">
        <f t="shared" si="23"/>
        <v>4166666.6666666665</v>
      </c>
      <c r="AT45" s="71">
        <f t="shared" si="23"/>
        <v>4166666.6666666665</v>
      </c>
      <c r="AU45" s="71">
        <f t="shared" si="23"/>
        <v>4166666.6666666665</v>
      </c>
      <c r="AV45" s="71">
        <f t="shared" si="23"/>
        <v>4166666.6666666665</v>
      </c>
      <c r="AW45" s="71">
        <f t="shared" si="19"/>
        <v>4166666.6666666665</v>
      </c>
      <c r="AX45" s="71">
        <f t="shared" si="19"/>
        <v>4166666.6666666665</v>
      </c>
      <c r="AY45" s="71">
        <f t="shared" si="19"/>
        <v>4166666.6666666665</v>
      </c>
      <c r="AZ45" s="71">
        <f t="shared" si="19"/>
        <v>4166666.6666666665</v>
      </c>
      <c r="BA45" s="71">
        <f t="shared" si="19"/>
        <v>4166666.6666666665</v>
      </c>
      <c r="BB45" s="71">
        <f t="shared" si="19"/>
        <v>4166666.6666666665</v>
      </c>
      <c r="BC45" s="71">
        <f t="shared" si="19"/>
        <v>4166666.6666666665</v>
      </c>
      <c r="BD45" s="71">
        <f t="shared" si="19"/>
        <v>4166666.6666666665</v>
      </c>
      <c r="BE45" s="71">
        <f t="shared" si="19"/>
        <v>4166666.6666666665</v>
      </c>
      <c r="BF45" s="68">
        <f t="shared" si="7"/>
        <v>0</v>
      </c>
      <c r="BG45" s="69">
        <f t="shared" si="8"/>
        <v>16666666.666666666</v>
      </c>
      <c r="BH45" s="70">
        <f t="shared" si="9"/>
        <v>49999999.999999993</v>
      </c>
      <c r="BI45" s="71">
        <f t="shared" si="10"/>
        <v>49999999.999999993</v>
      </c>
      <c r="BJ45" s="72">
        <f>VLOOKUP(D45,Master!AD:AG,3,FALSE)</f>
        <v>7611300</v>
      </c>
      <c r="BK45" s="73" t="str">
        <f>VLOOKUP(D45,Master!AD:AG,4,FALSE)</f>
        <v>Depreciation-Machiney &amp; equipment</v>
      </c>
    </row>
    <row r="46" spans="1:63" s="74" customFormat="1" ht="15" customHeight="1">
      <c r="A46" s="64" t="s">
        <v>363</v>
      </c>
      <c r="B46" s="25" t="s">
        <v>391</v>
      </c>
      <c r="C46" s="65" t="s">
        <v>312</v>
      </c>
      <c r="D46" s="66">
        <v>2121000</v>
      </c>
      <c r="E46" s="26">
        <v>100000000</v>
      </c>
      <c r="F46" s="67">
        <v>120</v>
      </c>
      <c r="G46" s="65" t="s">
        <v>283</v>
      </c>
      <c r="H46" s="27">
        <v>1</v>
      </c>
      <c r="I46" s="28">
        <v>44531</v>
      </c>
      <c r="J46" s="65" t="s">
        <v>310</v>
      </c>
      <c r="K46" s="65" t="s">
        <v>283</v>
      </c>
      <c r="L46" s="65" t="s">
        <v>317</v>
      </c>
      <c r="M46" s="65" t="s">
        <v>472</v>
      </c>
      <c r="N46" s="51">
        <f t="shared" si="11"/>
        <v>100000000</v>
      </c>
      <c r="O46" s="51">
        <f t="shared" si="12"/>
        <v>833333.33333333337</v>
      </c>
      <c r="P46" s="28">
        <f t="shared" si="13"/>
        <v>48183</v>
      </c>
      <c r="Q46" s="68" t="str">
        <f t="shared" si="22"/>
        <v/>
      </c>
      <c r="R46" s="68" t="str">
        <f t="shared" si="22"/>
        <v/>
      </c>
      <c r="S46" s="68" t="str">
        <f t="shared" si="22"/>
        <v/>
      </c>
      <c r="T46" s="68" t="str">
        <f t="shared" si="22"/>
        <v/>
      </c>
      <c r="U46" s="68" t="str">
        <f t="shared" si="22"/>
        <v/>
      </c>
      <c r="V46" s="69" t="str">
        <f t="shared" si="22"/>
        <v/>
      </c>
      <c r="W46" s="69" t="str">
        <f t="shared" si="22"/>
        <v/>
      </c>
      <c r="X46" s="69" t="str">
        <f t="shared" si="22"/>
        <v/>
      </c>
      <c r="Y46" s="69" t="str">
        <f t="shared" si="22"/>
        <v/>
      </c>
      <c r="Z46" s="69" t="str">
        <f t="shared" si="22"/>
        <v/>
      </c>
      <c r="AA46" s="69" t="str">
        <f t="shared" si="22"/>
        <v/>
      </c>
      <c r="AB46" s="69" t="str">
        <f t="shared" si="22"/>
        <v/>
      </c>
      <c r="AC46" s="69" t="str">
        <f t="shared" si="22"/>
        <v/>
      </c>
      <c r="AD46" s="69">
        <f t="shared" si="22"/>
        <v>833333.33333333337</v>
      </c>
      <c r="AE46" s="69">
        <f t="shared" si="22"/>
        <v>833333.33333333337</v>
      </c>
      <c r="AF46" s="69">
        <f t="shared" si="22"/>
        <v>833333.33333333337</v>
      </c>
      <c r="AG46" s="69">
        <f t="shared" si="23"/>
        <v>833333.33333333337</v>
      </c>
      <c r="AH46" s="70">
        <f t="shared" si="23"/>
        <v>833333.33333333337</v>
      </c>
      <c r="AI46" s="70">
        <f t="shared" si="23"/>
        <v>833333.33333333337</v>
      </c>
      <c r="AJ46" s="70">
        <f t="shared" si="23"/>
        <v>833333.33333333337</v>
      </c>
      <c r="AK46" s="70">
        <f t="shared" si="23"/>
        <v>833333.33333333337</v>
      </c>
      <c r="AL46" s="70">
        <f t="shared" si="23"/>
        <v>833333.33333333337</v>
      </c>
      <c r="AM46" s="70">
        <f t="shared" si="23"/>
        <v>833333.33333333337</v>
      </c>
      <c r="AN46" s="70">
        <f t="shared" si="23"/>
        <v>833333.33333333337</v>
      </c>
      <c r="AO46" s="70">
        <f t="shared" si="23"/>
        <v>833333.33333333337</v>
      </c>
      <c r="AP46" s="70">
        <f t="shared" si="23"/>
        <v>833333.33333333337</v>
      </c>
      <c r="AQ46" s="70">
        <f t="shared" si="23"/>
        <v>833333.33333333337</v>
      </c>
      <c r="AR46" s="70">
        <f t="shared" si="23"/>
        <v>833333.33333333337</v>
      </c>
      <c r="AS46" s="70">
        <f t="shared" si="23"/>
        <v>833333.33333333337</v>
      </c>
      <c r="AT46" s="71">
        <f t="shared" si="23"/>
        <v>833333.33333333337</v>
      </c>
      <c r="AU46" s="71">
        <f t="shared" si="23"/>
        <v>833333.33333333337</v>
      </c>
      <c r="AV46" s="71">
        <f t="shared" si="23"/>
        <v>833333.33333333337</v>
      </c>
      <c r="AW46" s="71">
        <f t="shared" si="19"/>
        <v>833333.33333333337</v>
      </c>
      <c r="AX46" s="71">
        <f t="shared" si="19"/>
        <v>833333.33333333337</v>
      </c>
      <c r="AY46" s="71">
        <f t="shared" si="19"/>
        <v>833333.33333333337</v>
      </c>
      <c r="AZ46" s="71">
        <f t="shared" si="19"/>
        <v>833333.33333333337</v>
      </c>
      <c r="BA46" s="71">
        <f t="shared" si="19"/>
        <v>833333.33333333337</v>
      </c>
      <c r="BB46" s="71">
        <f t="shared" si="19"/>
        <v>833333.33333333337</v>
      </c>
      <c r="BC46" s="71">
        <f t="shared" si="19"/>
        <v>833333.33333333337</v>
      </c>
      <c r="BD46" s="71">
        <f t="shared" si="19"/>
        <v>833333.33333333337</v>
      </c>
      <c r="BE46" s="71">
        <f t="shared" si="19"/>
        <v>833333.33333333337</v>
      </c>
      <c r="BF46" s="68">
        <f t="shared" si="7"/>
        <v>0</v>
      </c>
      <c r="BG46" s="69">
        <f t="shared" si="8"/>
        <v>3333333.3333333335</v>
      </c>
      <c r="BH46" s="70">
        <f t="shared" si="9"/>
        <v>10000000</v>
      </c>
      <c r="BI46" s="71">
        <f t="shared" si="10"/>
        <v>10000000</v>
      </c>
      <c r="BJ46" s="72">
        <f>VLOOKUP(D46,Master!AD:AG,3,FALSE)</f>
        <v>7611300</v>
      </c>
      <c r="BK46" s="73" t="str">
        <f>VLOOKUP(D46,Master!AD:AG,4,FALSE)</f>
        <v>Depreciation-Machiney &amp; equipment</v>
      </c>
    </row>
    <row r="47" spans="1:63" s="74" customFormat="1" ht="15" customHeight="1">
      <c r="A47" s="64" t="s">
        <v>364</v>
      </c>
      <c r="B47" s="25" t="s">
        <v>392</v>
      </c>
      <c r="C47" s="65" t="s">
        <v>221</v>
      </c>
      <c r="D47" s="66">
        <v>2141000</v>
      </c>
      <c r="E47" s="26">
        <v>275000000</v>
      </c>
      <c r="F47" s="67">
        <v>60</v>
      </c>
      <c r="G47" s="65" t="s">
        <v>293</v>
      </c>
      <c r="H47" s="27">
        <v>1</v>
      </c>
      <c r="I47" s="28">
        <v>44621</v>
      </c>
      <c r="J47" s="65" t="s">
        <v>310</v>
      </c>
      <c r="K47" s="65" t="s">
        <v>283</v>
      </c>
      <c r="L47" s="65" t="s">
        <v>317</v>
      </c>
      <c r="M47" s="65" t="s">
        <v>472</v>
      </c>
      <c r="N47" s="51">
        <f t="shared" si="11"/>
        <v>275000000</v>
      </c>
      <c r="O47" s="51">
        <f t="shared" si="12"/>
        <v>4583333.333333333</v>
      </c>
      <c r="P47" s="28">
        <f t="shared" si="13"/>
        <v>46447</v>
      </c>
      <c r="Q47" s="68" t="str">
        <f t="shared" si="22"/>
        <v/>
      </c>
      <c r="R47" s="68" t="str">
        <f t="shared" si="22"/>
        <v/>
      </c>
      <c r="S47" s="68" t="str">
        <f t="shared" si="22"/>
        <v/>
      </c>
      <c r="T47" s="68" t="str">
        <f t="shared" si="22"/>
        <v/>
      </c>
      <c r="U47" s="68" t="str">
        <f t="shared" si="22"/>
        <v/>
      </c>
      <c r="V47" s="69" t="str">
        <f t="shared" si="22"/>
        <v/>
      </c>
      <c r="W47" s="69" t="str">
        <f t="shared" si="22"/>
        <v/>
      </c>
      <c r="X47" s="69" t="str">
        <f t="shared" si="22"/>
        <v/>
      </c>
      <c r="Y47" s="69" t="str">
        <f t="shared" si="22"/>
        <v/>
      </c>
      <c r="Z47" s="69" t="str">
        <f t="shared" si="22"/>
        <v/>
      </c>
      <c r="AA47" s="69" t="str">
        <f t="shared" si="22"/>
        <v/>
      </c>
      <c r="AB47" s="69" t="str">
        <f t="shared" si="22"/>
        <v/>
      </c>
      <c r="AC47" s="69" t="str">
        <f t="shared" si="22"/>
        <v/>
      </c>
      <c r="AD47" s="69" t="str">
        <f t="shared" si="22"/>
        <v/>
      </c>
      <c r="AE47" s="69" t="str">
        <f t="shared" si="22"/>
        <v/>
      </c>
      <c r="AF47" s="69" t="str">
        <f t="shared" si="22"/>
        <v/>
      </c>
      <c r="AG47" s="69">
        <f t="shared" si="23"/>
        <v>4583333.333333333</v>
      </c>
      <c r="AH47" s="70">
        <f t="shared" si="23"/>
        <v>4583333.333333333</v>
      </c>
      <c r="AI47" s="70">
        <f t="shared" si="23"/>
        <v>4583333.333333333</v>
      </c>
      <c r="AJ47" s="70">
        <f t="shared" si="23"/>
        <v>4583333.333333333</v>
      </c>
      <c r="AK47" s="70">
        <f t="shared" si="23"/>
        <v>4583333.333333333</v>
      </c>
      <c r="AL47" s="70">
        <f t="shared" si="23"/>
        <v>4583333.333333333</v>
      </c>
      <c r="AM47" s="70">
        <f t="shared" si="23"/>
        <v>4583333.333333333</v>
      </c>
      <c r="AN47" s="70">
        <f t="shared" si="23"/>
        <v>4583333.333333333</v>
      </c>
      <c r="AO47" s="70">
        <f t="shared" si="23"/>
        <v>4583333.333333333</v>
      </c>
      <c r="AP47" s="70">
        <f t="shared" si="23"/>
        <v>4583333.333333333</v>
      </c>
      <c r="AQ47" s="70">
        <f t="shared" si="23"/>
        <v>4583333.333333333</v>
      </c>
      <c r="AR47" s="70">
        <f t="shared" si="23"/>
        <v>4583333.333333333</v>
      </c>
      <c r="AS47" s="70">
        <f t="shared" si="23"/>
        <v>4583333.333333333</v>
      </c>
      <c r="AT47" s="71">
        <f t="shared" si="23"/>
        <v>4583333.333333333</v>
      </c>
      <c r="AU47" s="71">
        <f t="shared" si="23"/>
        <v>4583333.333333333</v>
      </c>
      <c r="AV47" s="71">
        <f t="shared" si="23"/>
        <v>4583333.333333333</v>
      </c>
      <c r="AW47" s="71">
        <f t="shared" si="19"/>
        <v>4583333.333333333</v>
      </c>
      <c r="AX47" s="71">
        <f t="shared" si="19"/>
        <v>4583333.333333333</v>
      </c>
      <c r="AY47" s="71">
        <f t="shared" si="19"/>
        <v>4583333.333333333</v>
      </c>
      <c r="AZ47" s="71">
        <f t="shared" si="19"/>
        <v>4583333.333333333</v>
      </c>
      <c r="BA47" s="71">
        <f t="shared" si="19"/>
        <v>4583333.333333333</v>
      </c>
      <c r="BB47" s="71">
        <f t="shared" si="19"/>
        <v>4583333.333333333</v>
      </c>
      <c r="BC47" s="71">
        <f t="shared" si="19"/>
        <v>4583333.333333333</v>
      </c>
      <c r="BD47" s="71">
        <f t="shared" si="19"/>
        <v>4583333.333333333</v>
      </c>
      <c r="BE47" s="71">
        <f t="shared" si="19"/>
        <v>4583333.333333333</v>
      </c>
      <c r="BF47" s="68">
        <f t="shared" si="7"/>
        <v>0</v>
      </c>
      <c r="BG47" s="69">
        <f t="shared" si="8"/>
        <v>4583333.333333333</v>
      </c>
      <c r="BH47" s="70">
        <f t="shared" si="9"/>
        <v>55000000.000000007</v>
      </c>
      <c r="BI47" s="71">
        <f t="shared" si="10"/>
        <v>55000000.000000007</v>
      </c>
      <c r="BJ47" s="72">
        <f>VLOOKUP(D47,Master!AD:AG,3,FALSE)</f>
        <v>7611600</v>
      </c>
      <c r="BK47" s="73" t="str">
        <f>VLOOKUP(D47,Master!AD:AG,4,FALSE)</f>
        <v>Depreciation-Tools, furniture &amp; office equipment</v>
      </c>
    </row>
    <row r="48" spans="1:63" s="74" customFormat="1" ht="15" customHeight="1">
      <c r="A48" s="64" t="s">
        <v>365</v>
      </c>
      <c r="B48" s="25" t="s">
        <v>393</v>
      </c>
      <c r="C48" s="65" t="s">
        <v>221</v>
      </c>
      <c r="D48" s="66">
        <v>2141000</v>
      </c>
      <c r="E48" s="26">
        <v>205000000</v>
      </c>
      <c r="F48" s="67">
        <v>60</v>
      </c>
      <c r="G48" s="65" t="s">
        <v>219</v>
      </c>
      <c r="H48" s="27">
        <v>1</v>
      </c>
      <c r="I48" s="28">
        <v>44621</v>
      </c>
      <c r="J48" s="65" t="s">
        <v>310</v>
      </c>
      <c r="K48" s="65" t="s">
        <v>283</v>
      </c>
      <c r="L48" s="65" t="s">
        <v>317</v>
      </c>
      <c r="M48" s="65" t="s">
        <v>472</v>
      </c>
      <c r="N48" s="51">
        <f t="shared" si="11"/>
        <v>205000000</v>
      </c>
      <c r="O48" s="51">
        <f t="shared" si="12"/>
        <v>3416666.6666666665</v>
      </c>
      <c r="P48" s="28">
        <f t="shared" si="13"/>
        <v>46447</v>
      </c>
      <c r="Q48" s="68" t="str">
        <f t="shared" si="22"/>
        <v/>
      </c>
      <c r="R48" s="68" t="str">
        <f t="shared" si="22"/>
        <v/>
      </c>
      <c r="S48" s="68" t="str">
        <f t="shared" si="22"/>
        <v/>
      </c>
      <c r="T48" s="68" t="str">
        <f t="shared" si="22"/>
        <v/>
      </c>
      <c r="U48" s="68" t="str">
        <f t="shared" si="22"/>
        <v/>
      </c>
      <c r="V48" s="69" t="str">
        <f t="shared" si="22"/>
        <v/>
      </c>
      <c r="W48" s="69" t="str">
        <f t="shared" si="22"/>
        <v/>
      </c>
      <c r="X48" s="69" t="str">
        <f t="shared" si="22"/>
        <v/>
      </c>
      <c r="Y48" s="69" t="str">
        <f t="shared" si="22"/>
        <v/>
      </c>
      <c r="Z48" s="69" t="str">
        <f t="shared" si="22"/>
        <v/>
      </c>
      <c r="AA48" s="69" t="str">
        <f t="shared" si="22"/>
        <v/>
      </c>
      <c r="AB48" s="69" t="str">
        <f t="shared" si="22"/>
        <v/>
      </c>
      <c r="AC48" s="69" t="str">
        <f t="shared" si="22"/>
        <v/>
      </c>
      <c r="AD48" s="69" t="str">
        <f t="shared" si="22"/>
        <v/>
      </c>
      <c r="AE48" s="69" t="str">
        <f t="shared" si="22"/>
        <v/>
      </c>
      <c r="AF48" s="69" t="str">
        <f t="shared" si="22"/>
        <v/>
      </c>
      <c r="AG48" s="69">
        <f t="shared" si="23"/>
        <v>3416666.6666666665</v>
      </c>
      <c r="AH48" s="70">
        <f t="shared" si="23"/>
        <v>3416666.6666666665</v>
      </c>
      <c r="AI48" s="70">
        <f t="shared" si="23"/>
        <v>3416666.6666666665</v>
      </c>
      <c r="AJ48" s="70">
        <f t="shared" si="23"/>
        <v>3416666.6666666665</v>
      </c>
      <c r="AK48" s="70">
        <f t="shared" si="23"/>
        <v>3416666.6666666665</v>
      </c>
      <c r="AL48" s="70">
        <f t="shared" si="23"/>
        <v>3416666.6666666665</v>
      </c>
      <c r="AM48" s="70">
        <f t="shared" si="23"/>
        <v>3416666.6666666665</v>
      </c>
      <c r="AN48" s="70">
        <f t="shared" si="23"/>
        <v>3416666.6666666665</v>
      </c>
      <c r="AO48" s="70">
        <f t="shared" si="23"/>
        <v>3416666.6666666665</v>
      </c>
      <c r="AP48" s="70">
        <f t="shared" si="23"/>
        <v>3416666.6666666665</v>
      </c>
      <c r="AQ48" s="70">
        <f t="shared" si="23"/>
        <v>3416666.6666666665</v>
      </c>
      <c r="AR48" s="70">
        <f t="shared" si="23"/>
        <v>3416666.6666666665</v>
      </c>
      <c r="AS48" s="70">
        <f t="shared" si="23"/>
        <v>3416666.6666666665</v>
      </c>
      <c r="AT48" s="71">
        <f t="shared" si="23"/>
        <v>3416666.6666666665</v>
      </c>
      <c r="AU48" s="71">
        <f t="shared" si="23"/>
        <v>3416666.6666666665</v>
      </c>
      <c r="AV48" s="71">
        <f t="shared" si="23"/>
        <v>3416666.6666666665</v>
      </c>
      <c r="AW48" s="71">
        <f t="shared" si="19"/>
        <v>3416666.6666666665</v>
      </c>
      <c r="AX48" s="71">
        <f t="shared" si="19"/>
        <v>3416666.6666666665</v>
      </c>
      <c r="AY48" s="71">
        <f t="shared" si="19"/>
        <v>3416666.6666666665</v>
      </c>
      <c r="AZ48" s="71">
        <f t="shared" si="19"/>
        <v>3416666.6666666665</v>
      </c>
      <c r="BA48" s="71">
        <f t="shared" si="19"/>
        <v>3416666.6666666665</v>
      </c>
      <c r="BB48" s="71">
        <f t="shared" si="19"/>
        <v>3416666.6666666665</v>
      </c>
      <c r="BC48" s="71">
        <f t="shared" si="19"/>
        <v>3416666.6666666665</v>
      </c>
      <c r="BD48" s="71">
        <f t="shared" si="19"/>
        <v>3416666.6666666665</v>
      </c>
      <c r="BE48" s="71">
        <f t="shared" si="19"/>
        <v>3416666.6666666665</v>
      </c>
      <c r="BF48" s="68">
        <f t="shared" si="7"/>
        <v>0</v>
      </c>
      <c r="BG48" s="69">
        <f t="shared" si="8"/>
        <v>3416666.6666666665</v>
      </c>
      <c r="BH48" s="70">
        <f t="shared" si="9"/>
        <v>41000000</v>
      </c>
      <c r="BI48" s="71">
        <f t="shared" si="10"/>
        <v>41000000</v>
      </c>
      <c r="BJ48" s="72">
        <f>VLOOKUP(D48,Master!AD:AG,3,FALSE)</f>
        <v>7611600</v>
      </c>
      <c r="BK48" s="73" t="str">
        <f>VLOOKUP(D48,Master!AD:AG,4,FALSE)</f>
        <v>Depreciation-Tools, furniture &amp; office equipment</v>
      </c>
    </row>
    <row r="49" spans="1:63" s="74" customFormat="1" ht="15" customHeight="1">
      <c r="A49" s="64" t="s">
        <v>366</v>
      </c>
      <c r="B49" s="25" t="s">
        <v>394</v>
      </c>
      <c r="C49" s="65" t="s">
        <v>221</v>
      </c>
      <c r="D49" s="66">
        <v>2141000</v>
      </c>
      <c r="E49" s="26">
        <v>10000000</v>
      </c>
      <c r="F49" s="67">
        <v>60</v>
      </c>
      <c r="G49" s="65" t="s">
        <v>283</v>
      </c>
      <c r="H49" s="27">
        <v>1</v>
      </c>
      <c r="I49" s="28">
        <v>44743</v>
      </c>
      <c r="J49" s="65" t="s">
        <v>310</v>
      </c>
      <c r="K49" s="65" t="s">
        <v>283</v>
      </c>
      <c r="L49" s="65" t="s">
        <v>317</v>
      </c>
      <c r="M49" s="65" t="s">
        <v>471</v>
      </c>
      <c r="N49" s="51">
        <f t="shared" si="11"/>
        <v>10000000</v>
      </c>
      <c r="O49" s="51">
        <f t="shared" si="12"/>
        <v>166666.66666666666</v>
      </c>
      <c r="P49" s="28">
        <f t="shared" si="13"/>
        <v>46569</v>
      </c>
      <c r="Q49" s="68" t="str">
        <f t="shared" si="22"/>
        <v/>
      </c>
      <c r="R49" s="68" t="str">
        <f t="shared" si="22"/>
        <v/>
      </c>
      <c r="S49" s="68" t="str">
        <f t="shared" si="22"/>
        <v/>
      </c>
      <c r="T49" s="68" t="str">
        <f t="shared" si="22"/>
        <v/>
      </c>
      <c r="U49" s="68" t="str">
        <f t="shared" si="22"/>
        <v/>
      </c>
      <c r="V49" s="69" t="str">
        <f t="shared" si="22"/>
        <v/>
      </c>
      <c r="W49" s="69" t="str">
        <f t="shared" si="22"/>
        <v/>
      </c>
      <c r="X49" s="69" t="str">
        <f t="shared" si="22"/>
        <v/>
      </c>
      <c r="Y49" s="69" t="str">
        <f t="shared" si="22"/>
        <v/>
      </c>
      <c r="Z49" s="69" t="str">
        <f t="shared" si="22"/>
        <v/>
      </c>
      <c r="AA49" s="69" t="str">
        <f t="shared" si="22"/>
        <v/>
      </c>
      <c r="AB49" s="69" t="str">
        <f t="shared" si="22"/>
        <v/>
      </c>
      <c r="AC49" s="69" t="str">
        <f t="shared" si="22"/>
        <v/>
      </c>
      <c r="AD49" s="69" t="str">
        <f t="shared" si="22"/>
        <v/>
      </c>
      <c r="AE49" s="69" t="str">
        <f t="shared" si="22"/>
        <v/>
      </c>
      <c r="AF49" s="69" t="str">
        <f t="shared" si="22"/>
        <v/>
      </c>
      <c r="AG49" s="69" t="str">
        <f t="shared" si="23"/>
        <v/>
      </c>
      <c r="AH49" s="70" t="str">
        <f t="shared" si="23"/>
        <v/>
      </c>
      <c r="AI49" s="70" t="str">
        <f t="shared" si="23"/>
        <v/>
      </c>
      <c r="AJ49" s="70" t="str">
        <f t="shared" si="23"/>
        <v/>
      </c>
      <c r="AK49" s="70">
        <f t="shared" si="23"/>
        <v>166666.66666666666</v>
      </c>
      <c r="AL49" s="70">
        <f t="shared" si="23"/>
        <v>166666.66666666666</v>
      </c>
      <c r="AM49" s="70">
        <f t="shared" si="23"/>
        <v>166666.66666666666</v>
      </c>
      <c r="AN49" s="70">
        <f t="shared" si="23"/>
        <v>166666.66666666666</v>
      </c>
      <c r="AO49" s="70">
        <f t="shared" si="23"/>
        <v>166666.66666666666</v>
      </c>
      <c r="AP49" s="70">
        <f t="shared" si="23"/>
        <v>166666.66666666666</v>
      </c>
      <c r="AQ49" s="70">
        <f t="shared" si="23"/>
        <v>166666.66666666666</v>
      </c>
      <c r="AR49" s="70">
        <f t="shared" si="23"/>
        <v>166666.66666666666</v>
      </c>
      <c r="AS49" s="70">
        <f t="shared" si="23"/>
        <v>166666.66666666666</v>
      </c>
      <c r="AT49" s="71">
        <f t="shared" si="23"/>
        <v>166666.66666666666</v>
      </c>
      <c r="AU49" s="71">
        <f t="shared" si="23"/>
        <v>166666.66666666666</v>
      </c>
      <c r="AV49" s="71">
        <f t="shared" si="23"/>
        <v>166666.66666666666</v>
      </c>
      <c r="AW49" s="71">
        <f t="shared" si="19"/>
        <v>166666.66666666666</v>
      </c>
      <c r="AX49" s="71">
        <f t="shared" si="19"/>
        <v>166666.66666666666</v>
      </c>
      <c r="AY49" s="71">
        <f t="shared" si="19"/>
        <v>166666.66666666666</v>
      </c>
      <c r="AZ49" s="71">
        <f t="shared" si="19"/>
        <v>166666.66666666666</v>
      </c>
      <c r="BA49" s="71">
        <f t="shared" si="19"/>
        <v>166666.66666666666</v>
      </c>
      <c r="BB49" s="71">
        <f t="shared" si="19"/>
        <v>166666.66666666666</v>
      </c>
      <c r="BC49" s="71">
        <f t="shared" si="19"/>
        <v>166666.66666666666</v>
      </c>
      <c r="BD49" s="71">
        <f t="shared" si="19"/>
        <v>166666.66666666666</v>
      </c>
      <c r="BE49" s="71">
        <f t="shared" si="19"/>
        <v>166666.66666666666</v>
      </c>
      <c r="BF49" s="68">
        <f t="shared" si="7"/>
        <v>0</v>
      </c>
      <c r="BG49" s="69">
        <f t="shared" si="8"/>
        <v>0</v>
      </c>
      <c r="BH49" s="70">
        <f t="shared" si="9"/>
        <v>1500000</v>
      </c>
      <c r="BI49" s="71">
        <f t="shared" si="10"/>
        <v>2000000.0000000002</v>
      </c>
      <c r="BJ49" s="72">
        <f>VLOOKUP(D49,Master!AD:AG,3,FALSE)</f>
        <v>7611600</v>
      </c>
      <c r="BK49" s="73" t="str">
        <f>VLOOKUP(D49,Master!AD:AG,4,FALSE)</f>
        <v>Depreciation-Tools, furniture &amp; office equipment</v>
      </c>
    </row>
    <row r="50" spans="1:63" s="74" customFormat="1" ht="15" customHeight="1">
      <c r="A50" s="64" t="s">
        <v>367</v>
      </c>
      <c r="B50" s="25" t="s">
        <v>395</v>
      </c>
      <c r="C50" s="65" t="s">
        <v>221</v>
      </c>
      <c r="D50" s="66">
        <v>2141000</v>
      </c>
      <c r="E50" s="26">
        <v>8000000</v>
      </c>
      <c r="F50" s="67">
        <v>60</v>
      </c>
      <c r="G50" s="65" t="s">
        <v>283</v>
      </c>
      <c r="H50" s="27">
        <v>1</v>
      </c>
      <c r="I50" s="28">
        <v>44774</v>
      </c>
      <c r="J50" s="65" t="s">
        <v>310</v>
      </c>
      <c r="K50" s="65" t="s">
        <v>283</v>
      </c>
      <c r="L50" s="65" t="s">
        <v>317</v>
      </c>
      <c r="M50" s="65" t="s">
        <v>471</v>
      </c>
      <c r="N50" s="51">
        <f t="shared" si="11"/>
        <v>8000000</v>
      </c>
      <c r="O50" s="51">
        <f t="shared" si="12"/>
        <v>133333.33333333334</v>
      </c>
      <c r="P50" s="28">
        <f t="shared" si="13"/>
        <v>46600</v>
      </c>
      <c r="Q50" s="68" t="str">
        <f t="shared" si="22"/>
        <v/>
      </c>
      <c r="R50" s="68" t="str">
        <f t="shared" si="22"/>
        <v/>
      </c>
      <c r="S50" s="68" t="str">
        <f t="shared" si="22"/>
        <v/>
      </c>
      <c r="T50" s="68" t="str">
        <f t="shared" si="22"/>
        <v/>
      </c>
      <c r="U50" s="68" t="str">
        <f t="shared" si="22"/>
        <v/>
      </c>
      <c r="V50" s="69" t="str">
        <f t="shared" si="22"/>
        <v/>
      </c>
      <c r="W50" s="69" t="str">
        <f t="shared" si="22"/>
        <v/>
      </c>
      <c r="X50" s="69" t="str">
        <f t="shared" si="22"/>
        <v/>
      </c>
      <c r="Y50" s="69" t="str">
        <f t="shared" si="22"/>
        <v/>
      </c>
      <c r="Z50" s="69" t="str">
        <f t="shared" si="22"/>
        <v/>
      </c>
      <c r="AA50" s="69" t="str">
        <f t="shared" si="22"/>
        <v/>
      </c>
      <c r="AB50" s="69" t="str">
        <f t="shared" si="22"/>
        <v/>
      </c>
      <c r="AC50" s="69" t="str">
        <f t="shared" si="22"/>
        <v/>
      </c>
      <c r="AD50" s="69" t="str">
        <f t="shared" si="22"/>
        <v/>
      </c>
      <c r="AE50" s="69" t="str">
        <f t="shared" si="22"/>
        <v/>
      </c>
      <c r="AF50" s="69" t="str">
        <f t="shared" si="22"/>
        <v/>
      </c>
      <c r="AG50" s="69" t="str">
        <f t="shared" si="23"/>
        <v/>
      </c>
      <c r="AH50" s="70" t="str">
        <f t="shared" si="23"/>
        <v/>
      </c>
      <c r="AI50" s="70" t="str">
        <f t="shared" si="23"/>
        <v/>
      </c>
      <c r="AJ50" s="70" t="str">
        <f t="shared" si="23"/>
        <v/>
      </c>
      <c r="AK50" s="70" t="str">
        <f t="shared" si="23"/>
        <v/>
      </c>
      <c r="AL50" s="70">
        <f t="shared" si="23"/>
        <v>133333.33333333334</v>
      </c>
      <c r="AM50" s="70">
        <f t="shared" si="23"/>
        <v>133333.33333333334</v>
      </c>
      <c r="AN50" s="70">
        <f t="shared" si="23"/>
        <v>133333.33333333334</v>
      </c>
      <c r="AO50" s="70">
        <f t="shared" si="23"/>
        <v>133333.33333333334</v>
      </c>
      <c r="AP50" s="70">
        <f t="shared" si="23"/>
        <v>133333.33333333334</v>
      </c>
      <c r="AQ50" s="70">
        <f t="shared" si="23"/>
        <v>133333.33333333334</v>
      </c>
      <c r="AR50" s="70">
        <f t="shared" si="23"/>
        <v>133333.33333333334</v>
      </c>
      <c r="AS50" s="70">
        <f t="shared" si="23"/>
        <v>133333.33333333334</v>
      </c>
      <c r="AT50" s="71">
        <f t="shared" si="23"/>
        <v>133333.33333333334</v>
      </c>
      <c r="AU50" s="71">
        <f t="shared" si="23"/>
        <v>133333.33333333334</v>
      </c>
      <c r="AV50" s="71">
        <f t="shared" si="23"/>
        <v>133333.33333333334</v>
      </c>
      <c r="AW50" s="71">
        <f t="shared" si="19"/>
        <v>133333.33333333334</v>
      </c>
      <c r="AX50" s="71">
        <f t="shared" si="19"/>
        <v>133333.33333333334</v>
      </c>
      <c r="AY50" s="71">
        <f t="shared" si="19"/>
        <v>133333.33333333334</v>
      </c>
      <c r="AZ50" s="71">
        <f t="shared" si="19"/>
        <v>133333.33333333334</v>
      </c>
      <c r="BA50" s="71">
        <f t="shared" si="19"/>
        <v>133333.33333333334</v>
      </c>
      <c r="BB50" s="71">
        <f t="shared" si="19"/>
        <v>133333.33333333334</v>
      </c>
      <c r="BC50" s="71">
        <f t="shared" si="19"/>
        <v>133333.33333333334</v>
      </c>
      <c r="BD50" s="71">
        <f t="shared" si="19"/>
        <v>133333.33333333334</v>
      </c>
      <c r="BE50" s="71">
        <f t="shared" si="19"/>
        <v>133333.33333333334</v>
      </c>
      <c r="BF50" s="68">
        <f t="shared" si="7"/>
        <v>0</v>
      </c>
      <c r="BG50" s="69">
        <f t="shared" si="8"/>
        <v>0</v>
      </c>
      <c r="BH50" s="70">
        <f t="shared" si="9"/>
        <v>1066666.6666666667</v>
      </c>
      <c r="BI50" s="71">
        <f t="shared" si="10"/>
        <v>1599999.9999999998</v>
      </c>
      <c r="BJ50" s="72">
        <f>VLOOKUP(D50,Master!AD:AG,3,FALSE)</f>
        <v>7611600</v>
      </c>
      <c r="BK50" s="73" t="str">
        <f>VLOOKUP(D50,Master!AD:AG,4,FALSE)</f>
        <v>Depreciation-Tools, furniture &amp; office equipment</v>
      </c>
    </row>
    <row r="51" spans="1:63" s="74" customFormat="1" ht="15" customHeight="1">
      <c r="A51" s="64" t="s">
        <v>368</v>
      </c>
      <c r="B51" s="25" t="s">
        <v>396</v>
      </c>
      <c r="C51" s="65" t="s">
        <v>212</v>
      </c>
      <c r="D51" s="66">
        <v>2111100</v>
      </c>
      <c r="E51" s="26">
        <v>100000000</v>
      </c>
      <c r="F51" s="67">
        <v>240</v>
      </c>
      <c r="G51" s="65" t="s">
        <v>225</v>
      </c>
      <c r="H51" s="27">
        <v>1</v>
      </c>
      <c r="I51" s="28">
        <v>44774</v>
      </c>
      <c r="J51" s="65" t="s">
        <v>310</v>
      </c>
      <c r="K51" s="65" t="s">
        <v>283</v>
      </c>
      <c r="L51" s="65" t="s">
        <v>320</v>
      </c>
      <c r="M51" s="65" t="s">
        <v>471</v>
      </c>
      <c r="N51" s="51">
        <f t="shared" si="11"/>
        <v>100000000</v>
      </c>
      <c r="O51" s="51">
        <f t="shared" si="12"/>
        <v>416666.66666666669</v>
      </c>
      <c r="P51" s="28">
        <f t="shared" si="13"/>
        <v>52079</v>
      </c>
      <c r="Q51" s="68" t="str">
        <f t="shared" si="22"/>
        <v/>
      </c>
      <c r="R51" s="68" t="str">
        <f t="shared" si="22"/>
        <v/>
      </c>
      <c r="S51" s="68" t="str">
        <f t="shared" si="22"/>
        <v/>
      </c>
      <c r="T51" s="68" t="str">
        <f t="shared" si="22"/>
        <v/>
      </c>
      <c r="U51" s="68" t="str">
        <f t="shared" si="22"/>
        <v/>
      </c>
      <c r="V51" s="69" t="str">
        <f t="shared" si="22"/>
        <v/>
      </c>
      <c r="W51" s="69" t="str">
        <f t="shared" si="22"/>
        <v/>
      </c>
      <c r="X51" s="69" t="str">
        <f t="shared" si="22"/>
        <v/>
      </c>
      <c r="Y51" s="69" t="str">
        <f t="shared" si="22"/>
        <v/>
      </c>
      <c r="Z51" s="69" t="str">
        <f t="shared" si="22"/>
        <v/>
      </c>
      <c r="AA51" s="69" t="str">
        <f t="shared" si="22"/>
        <v/>
      </c>
      <c r="AB51" s="69" t="str">
        <f t="shared" si="22"/>
        <v/>
      </c>
      <c r="AC51" s="69" t="str">
        <f t="shared" si="22"/>
        <v/>
      </c>
      <c r="AD51" s="69" t="str">
        <f t="shared" si="22"/>
        <v/>
      </c>
      <c r="AE51" s="69" t="str">
        <f t="shared" ref="Q51:AF68" si="24">IF(AND(LEFT(AE$1,FIND("_",AE$1)-1)&amp;RIGHT(AE$1,LEN(AE$1)-FIND("_",AE$1)) &gt;= YEAR($I51) &amp; TEXT(MONTH($I51),"00"),LEFT(AE$1,FIND("_",AE$1)-1)&amp;RIGHT(AE$1,LEN(AE$1)-FIND("_",AE$1)) &lt; YEAR($P51) &amp; TEXT(MONTH($P51),"00")),$O51,"")</f>
        <v/>
      </c>
      <c r="AF51" s="69" t="str">
        <f t="shared" si="24"/>
        <v/>
      </c>
      <c r="AG51" s="69" t="str">
        <f t="shared" si="23"/>
        <v/>
      </c>
      <c r="AH51" s="70" t="str">
        <f t="shared" si="23"/>
        <v/>
      </c>
      <c r="AI51" s="70" t="str">
        <f t="shared" si="23"/>
        <v/>
      </c>
      <c r="AJ51" s="70" t="str">
        <f t="shared" si="23"/>
        <v/>
      </c>
      <c r="AK51" s="70" t="str">
        <f t="shared" si="23"/>
        <v/>
      </c>
      <c r="AL51" s="70">
        <f t="shared" si="23"/>
        <v>416666.66666666669</v>
      </c>
      <c r="AM51" s="70">
        <f t="shared" si="23"/>
        <v>416666.66666666669</v>
      </c>
      <c r="AN51" s="70">
        <f t="shared" si="23"/>
        <v>416666.66666666669</v>
      </c>
      <c r="AO51" s="70">
        <f t="shared" si="23"/>
        <v>416666.66666666669</v>
      </c>
      <c r="AP51" s="70">
        <f t="shared" si="23"/>
        <v>416666.66666666669</v>
      </c>
      <c r="AQ51" s="70">
        <f t="shared" si="23"/>
        <v>416666.66666666669</v>
      </c>
      <c r="AR51" s="70">
        <f t="shared" si="23"/>
        <v>416666.66666666669</v>
      </c>
      <c r="AS51" s="70">
        <f t="shared" si="23"/>
        <v>416666.66666666669</v>
      </c>
      <c r="AT51" s="71">
        <f t="shared" si="23"/>
        <v>416666.66666666669</v>
      </c>
      <c r="AU51" s="71">
        <f t="shared" si="23"/>
        <v>416666.66666666669</v>
      </c>
      <c r="AV51" s="71">
        <f t="shared" si="23"/>
        <v>416666.66666666669</v>
      </c>
      <c r="AW51" s="71">
        <f t="shared" si="19"/>
        <v>416666.66666666669</v>
      </c>
      <c r="AX51" s="71">
        <f t="shared" si="19"/>
        <v>416666.66666666669</v>
      </c>
      <c r="AY51" s="71">
        <f t="shared" si="19"/>
        <v>416666.66666666669</v>
      </c>
      <c r="AZ51" s="71">
        <f t="shared" si="19"/>
        <v>416666.66666666669</v>
      </c>
      <c r="BA51" s="71">
        <f t="shared" si="19"/>
        <v>416666.66666666669</v>
      </c>
      <c r="BB51" s="71">
        <f t="shared" si="19"/>
        <v>416666.66666666669</v>
      </c>
      <c r="BC51" s="71">
        <f t="shared" si="19"/>
        <v>416666.66666666669</v>
      </c>
      <c r="BD51" s="71">
        <f t="shared" si="19"/>
        <v>416666.66666666669</v>
      </c>
      <c r="BE51" s="71">
        <f t="shared" si="19"/>
        <v>416666.66666666669</v>
      </c>
      <c r="BF51" s="68">
        <f t="shared" si="7"/>
        <v>0</v>
      </c>
      <c r="BG51" s="69">
        <f t="shared" si="8"/>
        <v>0</v>
      </c>
      <c r="BH51" s="70">
        <f t="shared" si="9"/>
        <v>3333333.333333333</v>
      </c>
      <c r="BI51" s="71">
        <f t="shared" si="10"/>
        <v>5000000</v>
      </c>
      <c r="BJ51" s="72">
        <f>VLOOKUP(D51,Master!AD:AG,3,FALSE)</f>
        <v>7611100</v>
      </c>
      <c r="BK51" s="73" t="str">
        <f>VLOOKUP(D51,Master!AD:AG,4,FALSE)</f>
        <v>Depreciation-Building</v>
      </c>
    </row>
    <row r="52" spans="1:63" s="74" customFormat="1" ht="15" customHeight="1">
      <c r="A52" s="64" t="s">
        <v>369</v>
      </c>
      <c r="B52" s="25" t="s">
        <v>397</v>
      </c>
      <c r="C52" s="65" t="s">
        <v>212</v>
      </c>
      <c r="D52" s="66">
        <v>2111100</v>
      </c>
      <c r="E52" s="26">
        <v>600000000</v>
      </c>
      <c r="F52" s="67">
        <v>240</v>
      </c>
      <c r="G52" s="65" t="s">
        <v>219</v>
      </c>
      <c r="H52" s="27">
        <v>1</v>
      </c>
      <c r="I52" s="28">
        <v>44896</v>
      </c>
      <c r="J52" s="65" t="s">
        <v>310</v>
      </c>
      <c r="K52" s="65" t="s">
        <v>283</v>
      </c>
      <c r="L52" s="65" t="s">
        <v>320</v>
      </c>
      <c r="M52" s="65" t="s">
        <v>471</v>
      </c>
      <c r="N52" s="51">
        <f t="shared" si="11"/>
        <v>600000000</v>
      </c>
      <c r="O52" s="51">
        <f t="shared" si="12"/>
        <v>2500000</v>
      </c>
      <c r="P52" s="28">
        <f t="shared" si="13"/>
        <v>52201</v>
      </c>
      <c r="Q52" s="68" t="str">
        <f t="shared" si="24"/>
        <v/>
      </c>
      <c r="R52" s="68" t="str">
        <f t="shared" si="24"/>
        <v/>
      </c>
      <c r="S52" s="68" t="str">
        <f t="shared" si="24"/>
        <v/>
      </c>
      <c r="T52" s="68" t="str">
        <f t="shared" si="24"/>
        <v/>
      </c>
      <c r="U52" s="68" t="str">
        <f t="shared" si="24"/>
        <v/>
      </c>
      <c r="V52" s="69" t="str">
        <f t="shared" si="24"/>
        <v/>
      </c>
      <c r="W52" s="69" t="str">
        <f t="shared" si="24"/>
        <v/>
      </c>
      <c r="X52" s="69" t="str">
        <f t="shared" si="24"/>
        <v/>
      </c>
      <c r="Y52" s="69" t="str">
        <f t="shared" si="24"/>
        <v/>
      </c>
      <c r="Z52" s="69" t="str">
        <f t="shared" si="24"/>
        <v/>
      </c>
      <c r="AA52" s="69" t="str">
        <f t="shared" si="24"/>
        <v/>
      </c>
      <c r="AB52" s="69" t="str">
        <f t="shared" si="24"/>
        <v/>
      </c>
      <c r="AC52" s="69" t="str">
        <f t="shared" si="24"/>
        <v/>
      </c>
      <c r="AD52" s="69" t="str">
        <f t="shared" si="24"/>
        <v/>
      </c>
      <c r="AE52" s="69" t="str">
        <f t="shared" si="24"/>
        <v/>
      </c>
      <c r="AF52" s="69" t="str">
        <f t="shared" si="24"/>
        <v/>
      </c>
      <c r="AG52" s="69" t="str">
        <f t="shared" si="23"/>
        <v/>
      </c>
      <c r="AH52" s="70" t="str">
        <f t="shared" si="23"/>
        <v/>
      </c>
      <c r="AI52" s="70" t="str">
        <f t="shared" si="23"/>
        <v/>
      </c>
      <c r="AJ52" s="70" t="str">
        <f t="shared" si="23"/>
        <v/>
      </c>
      <c r="AK52" s="70" t="str">
        <f t="shared" si="23"/>
        <v/>
      </c>
      <c r="AL52" s="70" t="str">
        <f t="shared" si="23"/>
        <v/>
      </c>
      <c r="AM52" s="70" t="str">
        <f t="shared" si="23"/>
        <v/>
      </c>
      <c r="AN52" s="70" t="str">
        <f t="shared" si="23"/>
        <v/>
      </c>
      <c r="AO52" s="70" t="str">
        <f t="shared" si="23"/>
        <v/>
      </c>
      <c r="AP52" s="70">
        <f t="shared" si="23"/>
        <v>2500000</v>
      </c>
      <c r="AQ52" s="70">
        <f t="shared" si="23"/>
        <v>2500000</v>
      </c>
      <c r="AR52" s="70">
        <f t="shared" si="23"/>
        <v>2500000</v>
      </c>
      <c r="AS52" s="70">
        <f t="shared" si="23"/>
        <v>2500000</v>
      </c>
      <c r="AT52" s="71">
        <f t="shared" si="23"/>
        <v>2500000</v>
      </c>
      <c r="AU52" s="71">
        <f t="shared" si="23"/>
        <v>2500000</v>
      </c>
      <c r="AV52" s="71">
        <f t="shared" si="23"/>
        <v>2500000</v>
      </c>
      <c r="AW52" s="71">
        <f t="shared" si="19"/>
        <v>2500000</v>
      </c>
      <c r="AX52" s="71">
        <f t="shared" si="19"/>
        <v>2500000</v>
      </c>
      <c r="AY52" s="71">
        <f t="shared" si="19"/>
        <v>2500000</v>
      </c>
      <c r="AZ52" s="71">
        <f t="shared" ref="AW52:BE81" si="25">IF(AND(LEFT(AZ$1,FIND("_",AZ$1)-1)&amp;RIGHT(AZ$1,LEN(AZ$1)-FIND("_",AZ$1)) &gt;= YEAR($I52) &amp; TEXT(MONTH($I52),"00"),LEFT(AZ$1,FIND("_",AZ$1)-1)&amp;RIGHT(AZ$1,LEN(AZ$1)-FIND("_",AZ$1)) &lt; YEAR($P52) &amp; TEXT(MONTH($P52),"00")),$O52,"")</f>
        <v>2500000</v>
      </c>
      <c r="BA52" s="71">
        <f t="shared" si="25"/>
        <v>2500000</v>
      </c>
      <c r="BB52" s="71">
        <f t="shared" si="25"/>
        <v>2500000</v>
      </c>
      <c r="BC52" s="71">
        <f t="shared" si="25"/>
        <v>2500000</v>
      </c>
      <c r="BD52" s="71">
        <f t="shared" si="25"/>
        <v>2500000</v>
      </c>
      <c r="BE52" s="71">
        <f t="shared" si="25"/>
        <v>2500000</v>
      </c>
      <c r="BF52" s="68">
        <f t="shared" si="7"/>
        <v>0</v>
      </c>
      <c r="BG52" s="69">
        <f t="shared" si="8"/>
        <v>0</v>
      </c>
      <c r="BH52" s="70">
        <f t="shared" si="9"/>
        <v>10000000</v>
      </c>
      <c r="BI52" s="71">
        <f t="shared" si="10"/>
        <v>30000000</v>
      </c>
      <c r="BJ52" s="72">
        <f>VLOOKUP(D52,Master!AD:AG,3,FALSE)</f>
        <v>7611100</v>
      </c>
      <c r="BK52" s="73" t="str">
        <f>VLOOKUP(D52,Master!AD:AG,4,FALSE)</f>
        <v>Depreciation-Building</v>
      </c>
    </row>
    <row r="53" spans="1:63" s="74" customFormat="1" ht="15" customHeight="1">
      <c r="A53" s="64" t="s">
        <v>370</v>
      </c>
      <c r="B53" s="25" t="s">
        <v>398</v>
      </c>
      <c r="C53" s="65" t="s">
        <v>212</v>
      </c>
      <c r="D53" s="66">
        <v>2111100</v>
      </c>
      <c r="E53" s="26">
        <v>723000000</v>
      </c>
      <c r="F53" s="67">
        <v>240</v>
      </c>
      <c r="G53" s="65" t="s">
        <v>219</v>
      </c>
      <c r="H53" s="27">
        <v>1</v>
      </c>
      <c r="I53" s="28">
        <v>44986</v>
      </c>
      <c r="J53" s="65" t="s">
        <v>310</v>
      </c>
      <c r="K53" s="65" t="s">
        <v>283</v>
      </c>
      <c r="L53" s="65" t="s">
        <v>317</v>
      </c>
      <c r="M53" s="65" t="s">
        <v>471</v>
      </c>
      <c r="N53" s="51">
        <f t="shared" si="11"/>
        <v>723000000</v>
      </c>
      <c r="O53" s="51">
        <f t="shared" si="12"/>
        <v>3012500</v>
      </c>
      <c r="P53" s="28">
        <f t="shared" si="13"/>
        <v>52291</v>
      </c>
      <c r="Q53" s="68" t="str">
        <f t="shared" si="24"/>
        <v/>
      </c>
      <c r="R53" s="68" t="str">
        <f t="shared" si="24"/>
        <v/>
      </c>
      <c r="S53" s="68" t="str">
        <f t="shared" si="24"/>
        <v/>
      </c>
      <c r="T53" s="68" t="str">
        <f t="shared" si="24"/>
        <v/>
      </c>
      <c r="U53" s="68" t="str">
        <f t="shared" si="24"/>
        <v/>
      </c>
      <c r="V53" s="69" t="str">
        <f t="shared" si="24"/>
        <v/>
      </c>
      <c r="W53" s="69" t="str">
        <f t="shared" si="24"/>
        <v/>
      </c>
      <c r="X53" s="69" t="str">
        <f t="shared" si="24"/>
        <v/>
      </c>
      <c r="Y53" s="69" t="str">
        <f t="shared" si="24"/>
        <v/>
      </c>
      <c r="Z53" s="69" t="str">
        <f t="shared" si="24"/>
        <v/>
      </c>
      <c r="AA53" s="69" t="str">
        <f t="shared" si="24"/>
        <v/>
      </c>
      <c r="AB53" s="69" t="str">
        <f t="shared" si="24"/>
        <v/>
      </c>
      <c r="AC53" s="69" t="str">
        <f t="shared" si="24"/>
        <v/>
      </c>
      <c r="AD53" s="69" t="str">
        <f t="shared" si="24"/>
        <v/>
      </c>
      <c r="AE53" s="69" t="str">
        <f t="shared" si="24"/>
        <v/>
      </c>
      <c r="AF53" s="69" t="str">
        <f t="shared" si="24"/>
        <v/>
      </c>
      <c r="AG53" s="69" t="str">
        <f t="shared" si="23"/>
        <v/>
      </c>
      <c r="AH53" s="70" t="str">
        <f t="shared" si="23"/>
        <v/>
      </c>
      <c r="AI53" s="70" t="str">
        <f t="shared" si="23"/>
        <v/>
      </c>
      <c r="AJ53" s="70" t="str">
        <f t="shared" si="23"/>
        <v/>
      </c>
      <c r="AK53" s="70" t="str">
        <f t="shared" si="23"/>
        <v/>
      </c>
      <c r="AL53" s="70" t="str">
        <f t="shared" si="23"/>
        <v/>
      </c>
      <c r="AM53" s="70" t="str">
        <f t="shared" si="23"/>
        <v/>
      </c>
      <c r="AN53" s="70" t="str">
        <f t="shared" si="23"/>
        <v/>
      </c>
      <c r="AO53" s="70" t="str">
        <f t="shared" si="23"/>
        <v/>
      </c>
      <c r="AP53" s="70" t="str">
        <f t="shared" si="23"/>
        <v/>
      </c>
      <c r="AQ53" s="70" t="str">
        <f t="shared" si="23"/>
        <v/>
      </c>
      <c r="AR53" s="70" t="str">
        <f t="shared" si="23"/>
        <v/>
      </c>
      <c r="AS53" s="70">
        <f t="shared" si="23"/>
        <v>3012500</v>
      </c>
      <c r="AT53" s="71">
        <f t="shared" si="23"/>
        <v>3012500</v>
      </c>
      <c r="AU53" s="71">
        <f t="shared" si="23"/>
        <v>3012500</v>
      </c>
      <c r="AV53" s="71">
        <f t="shared" si="23"/>
        <v>3012500</v>
      </c>
      <c r="AW53" s="71">
        <f t="shared" si="25"/>
        <v>3012500</v>
      </c>
      <c r="AX53" s="71">
        <f t="shared" si="25"/>
        <v>3012500</v>
      </c>
      <c r="AY53" s="71">
        <f t="shared" si="25"/>
        <v>3012500</v>
      </c>
      <c r="AZ53" s="71">
        <f t="shared" si="25"/>
        <v>3012500</v>
      </c>
      <c r="BA53" s="71">
        <f t="shared" si="25"/>
        <v>3012500</v>
      </c>
      <c r="BB53" s="71">
        <f t="shared" si="25"/>
        <v>3012500</v>
      </c>
      <c r="BC53" s="71">
        <f t="shared" si="25"/>
        <v>3012500</v>
      </c>
      <c r="BD53" s="71">
        <f t="shared" si="25"/>
        <v>3012500</v>
      </c>
      <c r="BE53" s="71">
        <f t="shared" si="25"/>
        <v>3012500</v>
      </c>
      <c r="BF53" s="68">
        <f t="shared" si="7"/>
        <v>0</v>
      </c>
      <c r="BG53" s="69">
        <f t="shared" si="8"/>
        <v>0</v>
      </c>
      <c r="BH53" s="70">
        <f t="shared" si="9"/>
        <v>3012500</v>
      </c>
      <c r="BI53" s="71">
        <f t="shared" si="10"/>
        <v>36150000</v>
      </c>
      <c r="BJ53" s="72">
        <f>VLOOKUP(D53,Master!AD:AG,3,FALSE)</f>
        <v>7611100</v>
      </c>
      <c r="BK53" s="73" t="str">
        <f>VLOOKUP(D53,Master!AD:AG,4,FALSE)</f>
        <v>Depreciation-Building</v>
      </c>
    </row>
    <row r="54" spans="1:63" s="74" customFormat="1" ht="15" customHeight="1">
      <c r="A54" s="64" t="s">
        <v>371</v>
      </c>
      <c r="B54" s="25" t="s">
        <v>399</v>
      </c>
      <c r="C54" s="65" t="s">
        <v>221</v>
      </c>
      <c r="D54" s="66">
        <v>2141000</v>
      </c>
      <c r="E54" s="26">
        <v>30000000</v>
      </c>
      <c r="F54" s="67">
        <v>60</v>
      </c>
      <c r="G54" s="65" t="s">
        <v>225</v>
      </c>
      <c r="H54" s="27">
        <v>1</v>
      </c>
      <c r="I54" s="28">
        <v>45231</v>
      </c>
      <c r="J54" s="65" t="s">
        <v>310</v>
      </c>
      <c r="K54" s="65" t="s">
        <v>283</v>
      </c>
      <c r="L54" s="65" t="s">
        <v>320</v>
      </c>
      <c r="M54" s="65" t="s">
        <v>469</v>
      </c>
      <c r="N54" s="51">
        <f t="shared" si="11"/>
        <v>30000000</v>
      </c>
      <c r="O54" s="51">
        <f t="shared" si="12"/>
        <v>500000</v>
      </c>
      <c r="P54" s="28">
        <f t="shared" si="13"/>
        <v>47058</v>
      </c>
      <c r="Q54" s="68" t="str">
        <f t="shared" si="24"/>
        <v/>
      </c>
      <c r="R54" s="68" t="str">
        <f t="shared" si="24"/>
        <v/>
      </c>
      <c r="S54" s="68" t="str">
        <f t="shared" si="24"/>
        <v/>
      </c>
      <c r="T54" s="68" t="str">
        <f t="shared" si="24"/>
        <v/>
      </c>
      <c r="U54" s="68" t="str">
        <f t="shared" si="24"/>
        <v/>
      </c>
      <c r="V54" s="69" t="str">
        <f t="shared" si="24"/>
        <v/>
      </c>
      <c r="W54" s="69" t="str">
        <f t="shared" si="24"/>
        <v/>
      </c>
      <c r="X54" s="69" t="str">
        <f t="shared" si="24"/>
        <v/>
      </c>
      <c r="Y54" s="69" t="str">
        <f t="shared" si="24"/>
        <v/>
      </c>
      <c r="Z54" s="69" t="str">
        <f t="shared" si="24"/>
        <v/>
      </c>
      <c r="AA54" s="69" t="str">
        <f t="shared" si="24"/>
        <v/>
      </c>
      <c r="AB54" s="69" t="str">
        <f t="shared" si="24"/>
        <v/>
      </c>
      <c r="AC54" s="69" t="str">
        <f t="shared" si="24"/>
        <v/>
      </c>
      <c r="AD54" s="69" t="str">
        <f t="shared" si="24"/>
        <v/>
      </c>
      <c r="AE54" s="69" t="str">
        <f t="shared" si="24"/>
        <v/>
      </c>
      <c r="AF54" s="69" t="str">
        <f t="shared" si="24"/>
        <v/>
      </c>
      <c r="AG54" s="69" t="str">
        <f t="shared" si="23"/>
        <v/>
      </c>
      <c r="AH54" s="70" t="str">
        <f t="shared" si="23"/>
        <v/>
      </c>
      <c r="AI54" s="70" t="str">
        <f t="shared" si="23"/>
        <v/>
      </c>
      <c r="AJ54" s="70" t="str">
        <f t="shared" si="23"/>
        <v/>
      </c>
      <c r="AK54" s="70" t="str">
        <f t="shared" si="23"/>
        <v/>
      </c>
      <c r="AL54" s="70" t="str">
        <f t="shared" si="23"/>
        <v/>
      </c>
      <c r="AM54" s="70" t="str">
        <f t="shared" si="23"/>
        <v/>
      </c>
      <c r="AN54" s="70" t="str">
        <f t="shared" si="23"/>
        <v/>
      </c>
      <c r="AO54" s="70" t="str">
        <f t="shared" si="23"/>
        <v/>
      </c>
      <c r="AP54" s="70" t="str">
        <f t="shared" si="23"/>
        <v/>
      </c>
      <c r="AQ54" s="70" t="str">
        <f t="shared" si="23"/>
        <v/>
      </c>
      <c r="AR54" s="70" t="str">
        <f t="shared" si="23"/>
        <v/>
      </c>
      <c r="AS54" s="70" t="str">
        <f t="shared" si="23"/>
        <v/>
      </c>
      <c r="AT54" s="71" t="str">
        <f t="shared" si="23"/>
        <v/>
      </c>
      <c r="AU54" s="71" t="str">
        <f t="shared" si="23"/>
        <v/>
      </c>
      <c r="AV54" s="71" t="str">
        <f t="shared" si="23"/>
        <v/>
      </c>
      <c r="AW54" s="71" t="str">
        <f t="shared" si="25"/>
        <v/>
      </c>
      <c r="AX54" s="71" t="str">
        <f t="shared" si="25"/>
        <v/>
      </c>
      <c r="AY54" s="71" t="str">
        <f t="shared" si="25"/>
        <v/>
      </c>
      <c r="AZ54" s="71" t="str">
        <f t="shared" si="25"/>
        <v/>
      </c>
      <c r="BA54" s="71">
        <f t="shared" si="25"/>
        <v>500000</v>
      </c>
      <c r="BB54" s="71">
        <f t="shared" si="25"/>
        <v>500000</v>
      </c>
      <c r="BC54" s="71">
        <f t="shared" si="25"/>
        <v>500000</v>
      </c>
      <c r="BD54" s="71">
        <f t="shared" si="25"/>
        <v>500000</v>
      </c>
      <c r="BE54" s="71">
        <f t="shared" si="25"/>
        <v>500000</v>
      </c>
      <c r="BF54" s="68">
        <f t="shared" si="7"/>
        <v>0</v>
      </c>
      <c r="BG54" s="69">
        <f t="shared" si="8"/>
        <v>0</v>
      </c>
      <c r="BH54" s="70">
        <f t="shared" si="9"/>
        <v>0</v>
      </c>
      <c r="BI54" s="71">
        <f t="shared" si="10"/>
        <v>2500000</v>
      </c>
      <c r="BJ54" s="72">
        <f>VLOOKUP(D54,Master!AD:AG,3,FALSE)</f>
        <v>7611600</v>
      </c>
      <c r="BK54" s="73" t="str">
        <f>VLOOKUP(D54,Master!AD:AG,4,FALSE)</f>
        <v>Depreciation-Tools, furniture &amp; office equipment</v>
      </c>
    </row>
    <row r="55" spans="1:63" s="74" customFormat="1" ht="15" customHeight="1">
      <c r="A55" s="121" t="s">
        <v>372</v>
      </c>
      <c r="B55" s="115" t="s">
        <v>570</v>
      </c>
      <c r="C55" s="115" t="s">
        <v>312</v>
      </c>
      <c r="D55" s="116">
        <v>2121000</v>
      </c>
      <c r="E55" s="117">
        <v>550000000</v>
      </c>
      <c r="F55" s="117">
        <v>120</v>
      </c>
      <c r="G55" s="115" t="s">
        <v>283</v>
      </c>
      <c r="H55" s="118">
        <v>1</v>
      </c>
      <c r="I55" s="122">
        <v>44256</v>
      </c>
      <c r="J55" s="115" t="s">
        <v>310</v>
      </c>
      <c r="K55" s="115" t="s">
        <v>283</v>
      </c>
      <c r="L55" s="115" t="s">
        <v>314</v>
      </c>
      <c r="M55" s="115" t="s">
        <v>473</v>
      </c>
      <c r="N55" s="51">
        <f t="shared" ref="N55" si="26">H55*E55</f>
        <v>550000000</v>
      </c>
      <c r="O55" s="51">
        <f t="shared" ref="O55" si="27">N55/F55</f>
        <v>4583333.333333333</v>
      </c>
      <c r="P55" s="28">
        <f t="shared" ref="P55" si="28">DATE(YEAR(I55),MONTH(I55)+F55,DAY(I55))</f>
        <v>47908</v>
      </c>
      <c r="Q55" s="68" t="str">
        <f t="shared" ref="Q55:BE55" si="29">IF(AND(LEFT(Q$1,FIND("_",Q$1)-1)&amp;RIGHT(Q$1,LEN(Q$1)-FIND("_",Q$1)) &gt;= YEAR($I55) &amp; TEXT(MONTH($I55),"00"),LEFT(Q$1,FIND("_",Q$1)-1)&amp;RIGHT(Q$1,LEN(Q$1)-FIND("_",Q$1)) &lt; YEAR($P55) &amp; TEXT(MONTH($P55),"00")),$O55,"")</f>
        <v/>
      </c>
      <c r="R55" s="68" t="str">
        <f t="shared" si="29"/>
        <v/>
      </c>
      <c r="S55" s="68" t="str">
        <f t="shared" si="29"/>
        <v/>
      </c>
      <c r="T55" s="68" t="str">
        <f t="shared" si="29"/>
        <v/>
      </c>
      <c r="U55" s="68">
        <f t="shared" si="29"/>
        <v>4583333.333333333</v>
      </c>
      <c r="V55" s="69">
        <f t="shared" si="29"/>
        <v>4583333.333333333</v>
      </c>
      <c r="W55" s="69">
        <f t="shared" si="29"/>
        <v>4583333.333333333</v>
      </c>
      <c r="X55" s="69">
        <f t="shared" si="29"/>
        <v>4583333.333333333</v>
      </c>
      <c r="Y55" s="69">
        <f t="shared" si="29"/>
        <v>4583333.333333333</v>
      </c>
      <c r="Z55" s="69">
        <f t="shared" si="29"/>
        <v>4583333.333333333</v>
      </c>
      <c r="AA55" s="69">
        <f t="shared" si="29"/>
        <v>4583333.333333333</v>
      </c>
      <c r="AB55" s="69">
        <f t="shared" si="29"/>
        <v>4583333.333333333</v>
      </c>
      <c r="AC55" s="69">
        <f t="shared" si="29"/>
        <v>4583333.333333333</v>
      </c>
      <c r="AD55" s="69">
        <f t="shared" si="29"/>
        <v>4583333.333333333</v>
      </c>
      <c r="AE55" s="69">
        <f t="shared" si="29"/>
        <v>4583333.333333333</v>
      </c>
      <c r="AF55" s="69">
        <f t="shared" si="29"/>
        <v>4583333.333333333</v>
      </c>
      <c r="AG55" s="69">
        <f t="shared" si="29"/>
        <v>4583333.333333333</v>
      </c>
      <c r="AH55" s="70">
        <f t="shared" si="29"/>
        <v>4583333.333333333</v>
      </c>
      <c r="AI55" s="70">
        <f t="shared" si="29"/>
        <v>4583333.333333333</v>
      </c>
      <c r="AJ55" s="70">
        <f t="shared" si="29"/>
        <v>4583333.333333333</v>
      </c>
      <c r="AK55" s="70">
        <f t="shared" si="29"/>
        <v>4583333.333333333</v>
      </c>
      <c r="AL55" s="70">
        <f t="shared" si="29"/>
        <v>4583333.333333333</v>
      </c>
      <c r="AM55" s="70">
        <f t="shared" si="29"/>
        <v>4583333.333333333</v>
      </c>
      <c r="AN55" s="70">
        <f t="shared" si="29"/>
        <v>4583333.333333333</v>
      </c>
      <c r="AO55" s="70">
        <f t="shared" si="29"/>
        <v>4583333.333333333</v>
      </c>
      <c r="AP55" s="70">
        <f t="shared" si="29"/>
        <v>4583333.333333333</v>
      </c>
      <c r="AQ55" s="70">
        <f t="shared" si="29"/>
        <v>4583333.333333333</v>
      </c>
      <c r="AR55" s="70">
        <f t="shared" si="29"/>
        <v>4583333.333333333</v>
      </c>
      <c r="AS55" s="70">
        <f t="shared" si="29"/>
        <v>4583333.333333333</v>
      </c>
      <c r="AT55" s="71">
        <f t="shared" si="29"/>
        <v>4583333.333333333</v>
      </c>
      <c r="AU55" s="71">
        <f t="shared" si="29"/>
        <v>4583333.333333333</v>
      </c>
      <c r="AV55" s="71">
        <f t="shared" si="29"/>
        <v>4583333.333333333</v>
      </c>
      <c r="AW55" s="71">
        <f t="shared" si="29"/>
        <v>4583333.333333333</v>
      </c>
      <c r="AX55" s="71">
        <f t="shared" si="29"/>
        <v>4583333.333333333</v>
      </c>
      <c r="AY55" s="71">
        <f t="shared" si="29"/>
        <v>4583333.333333333</v>
      </c>
      <c r="AZ55" s="71">
        <f t="shared" si="29"/>
        <v>4583333.333333333</v>
      </c>
      <c r="BA55" s="71">
        <f t="shared" si="29"/>
        <v>4583333.333333333</v>
      </c>
      <c r="BB55" s="71">
        <f t="shared" si="29"/>
        <v>4583333.333333333</v>
      </c>
      <c r="BC55" s="71">
        <f t="shared" si="29"/>
        <v>4583333.333333333</v>
      </c>
      <c r="BD55" s="71">
        <f t="shared" si="29"/>
        <v>4583333.333333333</v>
      </c>
      <c r="BE55" s="71">
        <f t="shared" si="29"/>
        <v>4583333.333333333</v>
      </c>
      <c r="BF55" s="68">
        <f t="shared" ref="BF55" si="30">SUM(Q55:U55)</f>
        <v>4583333.333333333</v>
      </c>
      <c r="BG55" s="69">
        <f t="shared" ref="BG55" si="31">SUM(V55:AG55)</f>
        <v>55000000.000000007</v>
      </c>
      <c r="BH55" s="70">
        <f t="shared" ref="BH55" si="32">SUM(AH55:AS55)</f>
        <v>55000000.000000007</v>
      </c>
      <c r="BI55" s="71">
        <f t="shared" ref="BI55" si="33">SUM(AT55:BE55)</f>
        <v>55000000.000000007</v>
      </c>
      <c r="BJ55" s="72">
        <f>VLOOKUP(D55,Master!AD:AG,3,FALSE)</f>
        <v>7611300</v>
      </c>
      <c r="BK55" s="73" t="str">
        <f>VLOOKUP(D55,Master!AD:AG,4,FALSE)</f>
        <v>Depreciation-Machiney &amp; equipment</v>
      </c>
    </row>
    <row r="56" spans="1:63" s="74" customFormat="1" ht="15" customHeight="1">
      <c r="A56" s="64" t="s">
        <v>308</v>
      </c>
      <c r="B56" s="25" t="s">
        <v>400</v>
      </c>
      <c r="C56" s="65" t="s">
        <v>221</v>
      </c>
      <c r="D56" s="66">
        <v>2141000</v>
      </c>
      <c r="E56" s="26">
        <v>14000000</v>
      </c>
      <c r="F56" s="67">
        <v>60</v>
      </c>
      <c r="G56" s="65" t="s">
        <v>281</v>
      </c>
      <c r="H56" s="27">
        <v>1</v>
      </c>
      <c r="I56" s="28">
        <v>44378</v>
      </c>
      <c r="J56" s="65" t="s">
        <v>310</v>
      </c>
      <c r="K56" s="65" t="s">
        <v>285</v>
      </c>
      <c r="L56" s="65" t="s">
        <v>317</v>
      </c>
      <c r="M56" s="65" t="s">
        <v>472</v>
      </c>
      <c r="N56" s="51">
        <f t="shared" si="11"/>
        <v>14000000</v>
      </c>
      <c r="O56" s="51">
        <f t="shared" si="12"/>
        <v>233333.33333333334</v>
      </c>
      <c r="P56" s="28">
        <f t="shared" si="13"/>
        <v>46204</v>
      </c>
      <c r="Q56" s="68" t="str">
        <f t="shared" si="24"/>
        <v/>
      </c>
      <c r="R56" s="68" t="str">
        <f t="shared" si="24"/>
        <v/>
      </c>
      <c r="S56" s="68" t="str">
        <f t="shared" si="24"/>
        <v/>
      </c>
      <c r="T56" s="68" t="str">
        <f t="shared" si="24"/>
        <v/>
      </c>
      <c r="U56" s="68" t="str">
        <f t="shared" si="24"/>
        <v/>
      </c>
      <c r="V56" s="69" t="str">
        <f t="shared" si="24"/>
        <v/>
      </c>
      <c r="W56" s="69" t="str">
        <f t="shared" si="24"/>
        <v/>
      </c>
      <c r="X56" s="69" t="str">
        <f t="shared" si="24"/>
        <v/>
      </c>
      <c r="Y56" s="69">
        <f t="shared" si="24"/>
        <v>233333.33333333334</v>
      </c>
      <c r="Z56" s="69">
        <f t="shared" si="24"/>
        <v>233333.33333333334</v>
      </c>
      <c r="AA56" s="69">
        <f t="shared" si="24"/>
        <v>233333.33333333334</v>
      </c>
      <c r="AB56" s="69">
        <f t="shared" si="24"/>
        <v>233333.33333333334</v>
      </c>
      <c r="AC56" s="69">
        <f t="shared" si="24"/>
        <v>233333.33333333334</v>
      </c>
      <c r="AD56" s="69">
        <f t="shared" si="24"/>
        <v>233333.33333333334</v>
      </c>
      <c r="AE56" s="69">
        <f t="shared" si="24"/>
        <v>233333.33333333334</v>
      </c>
      <c r="AF56" s="69">
        <f t="shared" si="24"/>
        <v>233333.33333333334</v>
      </c>
      <c r="AG56" s="69">
        <f t="shared" si="23"/>
        <v>233333.33333333334</v>
      </c>
      <c r="AH56" s="70">
        <f t="shared" si="23"/>
        <v>233333.33333333334</v>
      </c>
      <c r="AI56" s="70">
        <f t="shared" si="23"/>
        <v>233333.33333333334</v>
      </c>
      <c r="AJ56" s="70">
        <f t="shared" si="23"/>
        <v>233333.33333333334</v>
      </c>
      <c r="AK56" s="70">
        <f t="shared" si="23"/>
        <v>233333.33333333334</v>
      </c>
      <c r="AL56" s="70">
        <f t="shared" si="23"/>
        <v>233333.33333333334</v>
      </c>
      <c r="AM56" s="70">
        <f t="shared" si="23"/>
        <v>233333.33333333334</v>
      </c>
      <c r="AN56" s="70">
        <f t="shared" si="23"/>
        <v>233333.33333333334</v>
      </c>
      <c r="AO56" s="70">
        <f t="shared" si="23"/>
        <v>233333.33333333334</v>
      </c>
      <c r="AP56" s="70">
        <f t="shared" si="23"/>
        <v>233333.33333333334</v>
      </c>
      <c r="AQ56" s="70">
        <f t="shared" si="23"/>
        <v>233333.33333333334</v>
      </c>
      <c r="AR56" s="70">
        <f t="shared" si="23"/>
        <v>233333.33333333334</v>
      </c>
      <c r="AS56" s="70">
        <f t="shared" si="23"/>
        <v>233333.33333333334</v>
      </c>
      <c r="AT56" s="71">
        <f t="shared" ref="AG56:AV72" si="34">IF(AND(LEFT(AT$1,FIND("_",AT$1)-1)&amp;RIGHT(AT$1,LEN(AT$1)-FIND("_",AT$1)) &gt;= YEAR($I56) &amp; TEXT(MONTH($I56),"00"),LEFT(AT$1,FIND("_",AT$1)-1)&amp;RIGHT(AT$1,LEN(AT$1)-FIND("_",AT$1)) &lt; YEAR($P56) &amp; TEXT(MONTH($P56),"00")),$O56,"")</f>
        <v>233333.33333333334</v>
      </c>
      <c r="AU56" s="71">
        <f t="shared" si="34"/>
        <v>233333.33333333334</v>
      </c>
      <c r="AV56" s="71">
        <f t="shared" si="34"/>
        <v>233333.33333333334</v>
      </c>
      <c r="AW56" s="71">
        <f t="shared" si="25"/>
        <v>233333.33333333334</v>
      </c>
      <c r="AX56" s="71">
        <f t="shared" si="25"/>
        <v>233333.33333333334</v>
      </c>
      <c r="AY56" s="71">
        <f t="shared" si="25"/>
        <v>233333.33333333334</v>
      </c>
      <c r="AZ56" s="71">
        <f t="shared" si="25"/>
        <v>233333.33333333334</v>
      </c>
      <c r="BA56" s="71">
        <f t="shared" si="25"/>
        <v>233333.33333333334</v>
      </c>
      <c r="BB56" s="71">
        <f t="shared" si="25"/>
        <v>233333.33333333334</v>
      </c>
      <c r="BC56" s="71">
        <f t="shared" si="25"/>
        <v>233333.33333333334</v>
      </c>
      <c r="BD56" s="71">
        <f t="shared" si="25"/>
        <v>233333.33333333334</v>
      </c>
      <c r="BE56" s="71">
        <f t="shared" si="25"/>
        <v>233333.33333333334</v>
      </c>
      <c r="BF56" s="68">
        <f t="shared" si="7"/>
        <v>0</v>
      </c>
      <c r="BG56" s="69">
        <f t="shared" si="8"/>
        <v>2100000</v>
      </c>
      <c r="BH56" s="70">
        <f t="shared" si="9"/>
        <v>2800000.0000000005</v>
      </c>
      <c r="BI56" s="71">
        <f t="shared" si="10"/>
        <v>2800000.0000000005</v>
      </c>
      <c r="BJ56" s="72">
        <f>VLOOKUP(D56,Master!AD:AG,3,FALSE)</f>
        <v>7611600</v>
      </c>
      <c r="BK56" s="73" t="str">
        <f>VLOOKUP(D56,Master!AD:AG,4,FALSE)</f>
        <v>Depreciation-Tools, furniture &amp; office equipment</v>
      </c>
    </row>
    <row r="57" spans="1:63" s="74" customFormat="1" ht="15" customHeight="1">
      <c r="A57" s="64" t="s">
        <v>326</v>
      </c>
      <c r="B57" s="25" t="s">
        <v>400</v>
      </c>
      <c r="C57" s="65" t="s">
        <v>221</v>
      </c>
      <c r="D57" s="66">
        <v>2141000</v>
      </c>
      <c r="E57" s="26">
        <v>14000000</v>
      </c>
      <c r="F57" s="67">
        <v>60</v>
      </c>
      <c r="G57" s="65" t="s">
        <v>281</v>
      </c>
      <c r="H57" s="27">
        <v>1</v>
      </c>
      <c r="I57" s="28">
        <v>44378</v>
      </c>
      <c r="J57" s="65" t="s">
        <v>310</v>
      </c>
      <c r="K57" s="65" t="s">
        <v>285</v>
      </c>
      <c r="L57" s="65" t="s">
        <v>317</v>
      </c>
      <c r="M57" s="65" t="s">
        <v>472</v>
      </c>
      <c r="N57" s="51">
        <f t="shared" si="11"/>
        <v>14000000</v>
      </c>
      <c r="O57" s="51">
        <f t="shared" si="12"/>
        <v>233333.33333333334</v>
      </c>
      <c r="P57" s="28">
        <f t="shared" si="13"/>
        <v>46204</v>
      </c>
      <c r="Q57" s="68" t="str">
        <f t="shared" si="24"/>
        <v/>
      </c>
      <c r="R57" s="68" t="str">
        <f t="shared" si="24"/>
        <v/>
      </c>
      <c r="S57" s="68" t="str">
        <f t="shared" si="24"/>
        <v/>
      </c>
      <c r="T57" s="68" t="str">
        <f t="shared" si="24"/>
        <v/>
      </c>
      <c r="U57" s="68" t="str">
        <f t="shared" si="24"/>
        <v/>
      </c>
      <c r="V57" s="69" t="str">
        <f t="shared" si="24"/>
        <v/>
      </c>
      <c r="W57" s="69" t="str">
        <f t="shared" si="24"/>
        <v/>
      </c>
      <c r="X57" s="69" t="str">
        <f t="shared" si="24"/>
        <v/>
      </c>
      <c r="Y57" s="69">
        <f t="shared" si="24"/>
        <v>233333.33333333334</v>
      </c>
      <c r="Z57" s="69">
        <f t="shared" si="24"/>
        <v>233333.33333333334</v>
      </c>
      <c r="AA57" s="69">
        <f t="shared" si="24"/>
        <v>233333.33333333334</v>
      </c>
      <c r="AB57" s="69">
        <f t="shared" si="24"/>
        <v>233333.33333333334</v>
      </c>
      <c r="AC57" s="69">
        <f t="shared" si="24"/>
        <v>233333.33333333334</v>
      </c>
      <c r="AD57" s="69">
        <f t="shared" si="24"/>
        <v>233333.33333333334</v>
      </c>
      <c r="AE57" s="69">
        <f t="shared" si="24"/>
        <v>233333.33333333334</v>
      </c>
      <c r="AF57" s="69">
        <f t="shared" si="24"/>
        <v>233333.33333333334</v>
      </c>
      <c r="AG57" s="69">
        <f t="shared" si="34"/>
        <v>233333.33333333334</v>
      </c>
      <c r="AH57" s="70">
        <f t="shared" si="34"/>
        <v>233333.33333333334</v>
      </c>
      <c r="AI57" s="70">
        <f t="shared" si="34"/>
        <v>233333.33333333334</v>
      </c>
      <c r="AJ57" s="70">
        <f t="shared" si="34"/>
        <v>233333.33333333334</v>
      </c>
      <c r="AK57" s="70">
        <f t="shared" si="34"/>
        <v>233333.33333333334</v>
      </c>
      <c r="AL57" s="70">
        <f t="shared" si="34"/>
        <v>233333.33333333334</v>
      </c>
      <c r="AM57" s="70">
        <f t="shared" si="34"/>
        <v>233333.33333333334</v>
      </c>
      <c r="AN57" s="70">
        <f t="shared" si="34"/>
        <v>233333.33333333334</v>
      </c>
      <c r="AO57" s="70">
        <f t="shared" si="34"/>
        <v>233333.33333333334</v>
      </c>
      <c r="AP57" s="70">
        <f t="shared" si="34"/>
        <v>233333.33333333334</v>
      </c>
      <c r="AQ57" s="70">
        <f t="shared" si="34"/>
        <v>233333.33333333334</v>
      </c>
      <c r="AR57" s="70">
        <f t="shared" si="34"/>
        <v>233333.33333333334</v>
      </c>
      <c r="AS57" s="70">
        <f t="shared" si="34"/>
        <v>233333.33333333334</v>
      </c>
      <c r="AT57" s="71">
        <f t="shared" si="34"/>
        <v>233333.33333333334</v>
      </c>
      <c r="AU57" s="71">
        <f t="shared" si="34"/>
        <v>233333.33333333334</v>
      </c>
      <c r="AV57" s="71">
        <f t="shared" si="34"/>
        <v>233333.33333333334</v>
      </c>
      <c r="AW57" s="71">
        <f t="shared" si="25"/>
        <v>233333.33333333334</v>
      </c>
      <c r="AX57" s="71">
        <f t="shared" si="25"/>
        <v>233333.33333333334</v>
      </c>
      <c r="AY57" s="71">
        <f t="shared" si="25"/>
        <v>233333.33333333334</v>
      </c>
      <c r="AZ57" s="71">
        <f t="shared" si="25"/>
        <v>233333.33333333334</v>
      </c>
      <c r="BA57" s="71">
        <f t="shared" si="25"/>
        <v>233333.33333333334</v>
      </c>
      <c r="BB57" s="71">
        <f t="shared" si="25"/>
        <v>233333.33333333334</v>
      </c>
      <c r="BC57" s="71">
        <f t="shared" si="25"/>
        <v>233333.33333333334</v>
      </c>
      <c r="BD57" s="71">
        <f t="shared" si="25"/>
        <v>233333.33333333334</v>
      </c>
      <c r="BE57" s="71">
        <f t="shared" si="25"/>
        <v>233333.33333333334</v>
      </c>
      <c r="BF57" s="68">
        <f t="shared" si="7"/>
        <v>0</v>
      </c>
      <c r="BG57" s="69">
        <f t="shared" si="8"/>
        <v>2100000</v>
      </c>
      <c r="BH57" s="70">
        <f t="shared" si="9"/>
        <v>2800000.0000000005</v>
      </c>
      <c r="BI57" s="71">
        <f t="shared" si="10"/>
        <v>2800000.0000000005</v>
      </c>
      <c r="BJ57" s="72">
        <f>VLOOKUP(D57,Master!AD:AG,3,FALSE)</f>
        <v>7611600</v>
      </c>
      <c r="BK57" s="73" t="str">
        <f>VLOOKUP(D57,Master!AD:AG,4,FALSE)</f>
        <v>Depreciation-Tools, furniture &amp; office equipment</v>
      </c>
    </row>
    <row r="58" spans="1:63" s="74" customFormat="1" ht="15" customHeight="1">
      <c r="A58" s="64" t="s">
        <v>328</v>
      </c>
      <c r="B58" s="25" t="s">
        <v>400</v>
      </c>
      <c r="C58" s="65" t="s">
        <v>221</v>
      </c>
      <c r="D58" s="66">
        <v>2141000</v>
      </c>
      <c r="E58" s="26">
        <v>14000000</v>
      </c>
      <c r="F58" s="67">
        <v>60</v>
      </c>
      <c r="G58" s="65" t="s">
        <v>281</v>
      </c>
      <c r="H58" s="27">
        <v>1</v>
      </c>
      <c r="I58" s="28">
        <v>44378</v>
      </c>
      <c r="J58" s="65" t="s">
        <v>310</v>
      </c>
      <c r="K58" s="65" t="s">
        <v>285</v>
      </c>
      <c r="L58" s="65" t="s">
        <v>317</v>
      </c>
      <c r="M58" s="65" t="s">
        <v>472</v>
      </c>
      <c r="N58" s="51">
        <f t="shared" si="11"/>
        <v>14000000</v>
      </c>
      <c r="O58" s="51">
        <f t="shared" si="12"/>
        <v>233333.33333333334</v>
      </c>
      <c r="P58" s="28">
        <f t="shared" si="13"/>
        <v>46204</v>
      </c>
      <c r="Q58" s="68" t="str">
        <f t="shared" si="24"/>
        <v/>
      </c>
      <c r="R58" s="68" t="str">
        <f t="shared" si="24"/>
        <v/>
      </c>
      <c r="S58" s="68" t="str">
        <f t="shared" si="24"/>
        <v/>
      </c>
      <c r="T58" s="68" t="str">
        <f t="shared" si="24"/>
        <v/>
      </c>
      <c r="U58" s="68" t="str">
        <f t="shared" si="24"/>
        <v/>
      </c>
      <c r="V58" s="69" t="str">
        <f t="shared" si="24"/>
        <v/>
      </c>
      <c r="W58" s="69" t="str">
        <f t="shared" si="24"/>
        <v/>
      </c>
      <c r="X58" s="69" t="str">
        <f t="shared" si="24"/>
        <v/>
      </c>
      <c r="Y58" s="69">
        <f t="shared" si="24"/>
        <v>233333.33333333334</v>
      </c>
      <c r="Z58" s="69">
        <f t="shared" si="24"/>
        <v>233333.33333333334</v>
      </c>
      <c r="AA58" s="69">
        <f t="shared" si="24"/>
        <v>233333.33333333334</v>
      </c>
      <c r="AB58" s="69">
        <f t="shared" si="24"/>
        <v>233333.33333333334</v>
      </c>
      <c r="AC58" s="69">
        <f t="shared" si="24"/>
        <v>233333.33333333334</v>
      </c>
      <c r="AD58" s="69">
        <f t="shared" si="24"/>
        <v>233333.33333333334</v>
      </c>
      <c r="AE58" s="69">
        <f t="shared" si="24"/>
        <v>233333.33333333334</v>
      </c>
      <c r="AF58" s="69">
        <f t="shared" si="24"/>
        <v>233333.33333333334</v>
      </c>
      <c r="AG58" s="69">
        <f t="shared" si="34"/>
        <v>233333.33333333334</v>
      </c>
      <c r="AH58" s="70">
        <f t="shared" si="34"/>
        <v>233333.33333333334</v>
      </c>
      <c r="AI58" s="70">
        <f t="shared" si="34"/>
        <v>233333.33333333334</v>
      </c>
      <c r="AJ58" s="70">
        <f t="shared" si="34"/>
        <v>233333.33333333334</v>
      </c>
      <c r="AK58" s="70">
        <f t="shared" si="34"/>
        <v>233333.33333333334</v>
      </c>
      <c r="AL58" s="70">
        <f t="shared" si="34"/>
        <v>233333.33333333334</v>
      </c>
      <c r="AM58" s="70">
        <f t="shared" si="34"/>
        <v>233333.33333333334</v>
      </c>
      <c r="AN58" s="70">
        <f t="shared" si="34"/>
        <v>233333.33333333334</v>
      </c>
      <c r="AO58" s="70">
        <f t="shared" si="34"/>
        <v>233333.33333333334</v>
      </c>
      <c r="AP58" s="70">
        <f t="shared" si="34"/>
        <v>233333.33333333334</v>
      </c>
      <c r="AQ58" s="70">
        <f t="shared" si="34"/>
        <v>233333.33333333334</v>
      </c>
      <c r="AR58" s="70">
        <f t="shared" si="34"/>
        <v>233333.33333333334</v>
      </c>
      <c r="AS58" s="70">
        <f t="shared" si="34"/>
        <v>233333.33333333334</v>
      </c>
      <c r="AT58" s="71">
        <f t="shared" si="34"/>
        <v>233333.33333333334</v>
      </c>
      <c r="AU58" s="71">
        <f t="shared" si="34"/>
        <v>233333.33333333334</v>
      </c>
      <c r="AV58" s="71">
        <f t="shared" si="34"/>
        <v>233333.33333333334</v>
      </c>
      <c r="AW58" s="71">
        <f t="shared" si="25"/>
        <v>233333.33333333334</v>
      </c>
      <c r="AX58" s="71">
        <f t="shared" si="25"/>
        <v>233333.33333333334</v>
      </c>
      <c r="AY58" s="71">
        <f t="shared" si="25"/>
        <v>233333.33333333334</v>
      </c>
      <c r="AZ58" s="71">
        <f t="shared" si="25"/>
        <v>233333.33333333334</v>
      </c>
      <c r="BA58" s="71">
        <f t="shared" si="25"/>
        <v>233333.33333333334</v>
      </c>
      <c r="BB58" s="71">
        <f t="shared" si="25"/>
        <v>233333.33333333334</v>
      </c>
      <c r="BC58" s="71">
        <f t="shared" si="25"/>
        <v>233333.33333333334</v>
      </c>
      <c r="BD58" s="71">
        <f t="shared" si="25"/>
        <v>233333.33333333334</v>
      </c>
      <c r="BE58" s="71">
        <f t="shared" si="25"/>
        <v>233333.33333333334</v>
      </c>
      <c r="BF58" s="68">
        <f t="shared" si="7"/>
        <v>0</v>
      </c>
      <c r="BG58" s="69">
        <f t="shared" si="8"/>
        <v>2100000</v>
      </c>
      <c r="BH58" s="70">
        <f t="shared" si="9"/>
        <v>2800000.0000000005</v>
      </c>
      <c r="BI58" s="71">
        <f t="shared" si="10"/>
        <v>2800000.0000000005</v>
      </c>
      <c r="BJ58" s="72">
        <f>VLOOKUP(D58,Master!AD:AG,3,FALSE)</f>
        <v>7611600</v>
      </c>
      <c r="BK58" s="73" t="str">
        <f>VLOOKUP(D58,Master!AD:AG,4,FALSE)</f>
        <v>Depreciation-Tools, furniture &amp; office equipment</v>
      </c>
    </row>
    <row r="59" spans="1:63" s="74" customFormat="1" ht="15" customHeight="1">
      <c r="A59" s="64" t="s">
        <v>356</v>
      </c>
      <c r="B59" s="25" t="s">
        <v>401</v>
      </c>
      <c r="C59" s="65" t="s">
        <v>221</v>
      </c>
      <c r="D59" s="66">
        <v>2141000</v>
      </c>
      <c r="E59" s="26">
        <v>10000000</v>
      </c>
      <c r="F59" s="67">
        <v>60</v>
      </c>
      <c r="G59" s="65" t="s">
        <v>285</v>
      </c>
      <c r="H59" s="27">
        <v>1</v>
      </c>
      <c r="I59" s="28">
        <v>44409</v>
      </c>
      <c r="J59" s="65" t="s">
        <v>310</v>
      </c>
      <c r="K59" s="65" t="s">
        <v>285</v>
      </c>
      <c r="L59" s="65" t="s">
        <v>317</v>
      </c>
      <c r="M59" s="65" t="s">
        <v>472</v>
      </c>
      <c r="N59" s="51">
        <f t="shared" si="11"/>
        <v>10000000</v>
      </c>
      <c r="O59" s="51">
        <f t="shared" si="12"/>
        <v>166666.66666666666</v>
      </c>
      <c r="P59" s="28">
        <f t="shared" si="13"/>
        <v>46235</v>
      </c>
      <c r="Q59" s="68" t="str">
        <f t="shared" si="24"/>
        <v/>
      </c>
      <c r="R59" s="68" t="str">
        <f t="shared" si="24"/>
        <v/>
      </c>
      <c r="S59" s="68" t="str">
        <f t="shared" si="24"/>
        <v/>
      </c>
      <c r="T59" s="68" t="str">
        <f t="shared" si="24"/>
        <v/>
      </c>
      <c r="U59" s="68" t="str">
        <f t="shared" si="24"/>
        <v/>
      </c>
      <c r="V59" s="69" t="str">
        <f t="shared" si="24"/>
        <v/>
      </c>
      <c r="W59" s="69" t="str">
        <f t="shared" si="24"/>
        <v/>
      </c>
      <c r="X59" s="69" t="str">
        <f t="shared" si="24"/>
        <v/>
      </c>
      <c r="Y59" s="69" t="str">
        <f t="shared" si="24"/>
        <v/>
      </c>
      <c r="Z59" s="69">
        <f t="shared" si="24"/>
        <v>166666.66666666666</v>
      </c>
      <c r="AA59" s="69">
        <f t="shared" si="24"/>
        <v>166666.66666666666</v>
      </c>
      <c r="AB59" s="69">
        <f t="shared" si="24"/>
        <v>166666.66666666666</v>
      </c>
      <c r="AC59" s="69">
        <f t="shared" si="24"/>
        <v>166666.66666666666</v>
      </c>
      <c r="AD59" s="69">
        <f t="shared" si="24"/>
        <v>166666.66666666666</v>
      </c>
      <c r="AE59" s="69">
        <f t="shared" si="24"/>
        <v>166666.66666666666</v>
      </c>
      <c r="AF59" s="69">
        <f t="shared" si="24"/>
        <v>166666.66666666666</v>
      </c>
      <c r="AG59" s="69">
        <f t="shared" si="34"/>
        <v>166666.66666666666</v>
      </c>
      <c r="AH59" s="70">
        <f t="shared" si="34"/>
        <v>166666.66666666666</v>
      </c>
      <c r="AI59" s="70">
        <f t="shared" si="34"/>
        <v>166666.66666666666</v>
      </c>
      <c r="AJ59" s="70">
        <f t="shared" si="34"/>
        <v>166666.66666666666</v>
      </c>
      <c r="AK59" s="70">
        <f t="shared" si="34"/>
        <v>166666.66666666666</v>
      </c>
      <c r="AL59" s="70">
        <f t="shared" si="34"/>
        <v>166666.66666666666</v>
      </c>
      <c r="AM59" s="70">
        <f t="shared" si="34"/>
        <v>166666.66666666666</v>
      </c>
      <c r="AN59" s="70">
        <f t="shared" si="34"/>
        <v>166666.66666666666</v>
      </c>
      <c r="AO59" s="70">
        <f t="shared" si="34"/>
        <v>166666.66666666666</v>
      </c>
      <c r="AP59" s="70">
        <f t="shared" si="34"/>
        <v>166666.66666666666</v>
      </c>
      <c r="AQ59" s="70">
        <f t="shared" si="34"/>
        <v>166666.66666666666</v>
      </c>
      <c r="AR59" s="70">
        <f t="shared" si="34"/>
        <v>166666.66666666666</v>
      </c>
      <c r="AS59" s="70">
        <f t="shared" si="34"/>
        <v>166666.66666666666</v>
      </c>
      <c r="AT59" s="71">
        <f t="shared" si="34"/>
        <v>166666.66666666666</v>
      </c>
      <c r="AU59" s="71">
        <f t="shared" si="34"/>
        <v>166666.66666666666</v>
      </c>
      <c r="AV59" s="71">
        <f t="shared" si="34"/>
        <v>166666.66666666666</v>
      </c>
      <c r="AW59" s="71">
        <f t="shared" si="25"/>
        <v>166666.66666666666</v>
      </c>
      <c r="AX59" s="71">
        <f t="shared" si="25"/>
        <v>166666.66666666666</v>
      </c>
      <c r="AY59" s="71">
        <f t="shared" si="25"/>
        <v>166666.66666666666</v>
      </c>
      <c r="AZ59" s="71">
        <f t="shared" si="25"/>
        <v>166666.66666666666</v>
      </c>
      <c r="BA59" s="71">
        <f t="shared" si="25"/>
        <v>166666.66666666666</v>
      </c>
      <c r="BB59" s="71">
        <f t="shared" si="25"/>
        <v>166666.66666666666</v>
      </c>
      <c r="BC59" s="71">
        <f t="shared" si="25"/>
        <v>166666.66666666666</v>
      </c>
      <c r="BD59" s="71">
        <f t="shared" si="25"/>
        <v>166666.66666666666</v>
      </c>
      <c r="BE59" s="71">
        <f t="shared" si="25"/>
        <v>166666.66666666666</v>
      </c>
      <c r="BF59" s="68">
        <f t="shared" si="7"/>
        <v>0</v>
      </c>
      <c r="BG59" s="69">
        <f t="shared" si="8"/>
        <v>1333333.3333333333</v>
      </c>
      <c r="BH59" s="70">
        <f t="shared" si="9"/>
        <v>2000000.0000000002</v>
      </c>
      <c r="BI59" s="71">
        <f t="shared" si="10"/>
        <v>2000000.0000000002</v>
      </c>
      <c r="BJ59" s="72">
        <f>VLOOKUP(D59,Master!AD:AG,3,FALSE)</f>
        <v>7611600</v>
      </c>
      <c r="BK59" s="73" t="str">
        <f>VLOOKUP(D59,Master!AD:AG,4,FALSE)</f>
        <v>Depreciation-Tools, furniture &amp; office equipment</v>
      </c>
    </row>
    <row r="60" spans="1:63" s="74" customFormat="1" ht="15" customHeight="1">
      <c r="A60" s="64" t="s">
        <v>357</v>
      </c>
      <c r="B60" s="25" t="s">
        <v>402</v>
      </c>
      <c r="C60" s="65" t="s">
        <v>221</v>
      </c>
      <c r="D60" s="66">
        <v>2141000</v>
      </c>
      <c r="E60" s="26">
        <v>8000000</v>
      </c>
      <c r="F60" s="67">
        <v>60</v>
      </c>
      <c r="G60" s="65" t="s">
        <v>285</v>
      </c>
      <c r="H60" s="27">
        <v>1</v>
      </c>
      <c r="I60" s="28">
        <v>44409</v>
      </c>
      <c r="J60" s="65" t="s">
        <v>310</v>
      </c>
      <c r="K60" s="65" t="s">
        <v>285</v>
      </c>
      <c r="L60" s="65" t="s">
        <v>317</v>
      </c>
      <c r="M60" s="65" t="s">
        <v>472</v>
      </c>
      <c r="N60" s="51">
        <f t="shared" si="11"/>
        <v>8000000</v>
      </c>
      <c r="O60" s="51">
        <f t="shared" si="12"/>
        <v>133333.33333333334</v>
      </c>
      <c r="P60" s="28">
        <f t="shared" si="13"/>
        <v>46235</v>
      </c>
      <c r="Q60" s="68" t="str">
        <f t="shared" si="24"/>
        <v/>
      </c>
      <c r="R60" s="68" t="str">
        <f t="shared" si="24"/>
        <v/>
      </c>
      <c r="S60" s="68" t="str">
        <f t="shared" si="24"/>
        <v/>
      </c>
      <c r="T60" s="68" t="str">
        <f t="shared" si="24"/>
        <v/>
      </c>
      <c r="U60" s="68" t="str">
        <f t="shared" si="24"/>
        <v/>
      </c>
      <c r="V60" s="69" t="str">
        <f t="shared" si="24"/>
        <v/>
      </c>
      <c r="W60" s="69" t="str">
        <f t="shared" si="24"/>
        <v/>
      </c>
      <c r="X60" s="69" t="str">
        <f t="shared" si="24"/>
        <v/>
      </c>
      <c r="Y60" s="69" t="str">
        <f t="shared" si="24"/>
        <v/>
      </c>
      <c r="Z60" s="69">
        <f t="shared" si="24"/>
        <v>133333.33333333334</v>
      </c>
      <c r="AA60" s="69">
        <f t="shared" si="24"/>
        <v>133333.33333333334</v>
      </c>
      <c r="AB60" s="69">
        <f t="shared" si="24"/>
        <v>133333.33333333334</v>
      </c>
      <c r="AC60" s="69">
        <f t="shared" si="24"/>
        <v>133333.33333333334</v>
      </c>
      <c r="AD60" s="69">
        <f t="shared" si="24"/>
        <v>133333.33333333334</v>
      </c>
      <c r="AE60" s="69">
        <f t="shared" si="24"/>
        <v>133333.33333333334</v>
      </c>
      <c r="AF60" s="69">
        <f t="shared" si="24"/>
        <v>133333.33333333334</v>
      </c>
      <c r="AG60" s="69">
        <f t="shared" si="34"/>
        <v>133333.33333333334</v>
      </c>
      <c r="AH60" s="70">
        <f t="shared" si="34"/>
        <v>133333.33333333334</v>
      </c>
      <c r="AI60" s="70">
        <f t="shared" si="34"/>
        <v>133333.33333333334</v>
      </c>
      <c r="AJ60" s="70">
        <f t="shared" si="34"/>
        <v>133333.33333333334</v>
      </c>
      <c r="AK60" s="70">
        <f t="shared" si="34"/>
        <v>133333.33333333334</v>
      </c>
      <c r="AL60" s="70">
        <f t="shared" si="34"/>
        <v>133333.33333333334</v>
      </c>
      <c r="AM60" s="70">
        <f t="shared" si="34"/>
        <v>133333.33333333334</v>
      </c>
      <c r="AN60" s="70">
        <f t="shared" si="34"/>
        <v>133333.33333333334</v>
      </c>
      <c r="AO60" s="70">
        <f t="shared" si="34"/>
        <v>133333.33333333334</v>
      </c>
      <c r="AP60" s="70">
        <f t="shared" si="34"/>
        <v>133333.33333333334</v>
      </c>
      <c r="AQ60" s="70">
        <f t="shared" si="34"/>
        <v>133333.33333333334</v>
      </c>
      <c r="AR60" s="70">
        <f t="shared" si="34"/>
        <v>133333.33333333334</v>
      </c>
      <c r="AS60" s="70">
        <f t="shared" si="34"/>
        <v>133333.33333333334</v>
      </c>
      <c r="AT60" s="71">
        <f t="shared" si="34"/>
        <v>133333.33333333334</v>
      </c>
      <c r="AU60" s="71">
        <f t="shared" si="34"/>
        <v>133333.33333333334</v>
      </c>
      <c r="AV60" s="71">
        <f t="shared" si="34"/>
        <v>133333.33333333334</v>
      </c>
      <c r="AW60" s="71">
        <f t="shared" si="25"/>
        <v>133333.33333333334</v>
      </c>
      <c r="AX60" s="71">
        <f t="shared" si="25"/>
        <v>133333.33333333334</v>
      </c>
      <c r="AY60" s="71">
        <f t="shared" si="25"/>
        <v>133333.33333333334</v>
      </c>
      <c r="AZ60" s="71">
        <f t="shared" si="25"/>
        <v>133333.33333333334</v>
      </c>
      <c r="BA60" s="71">
        <f t="shared" si="25"/>
        <v>133333.33333333334</v>
      </c>
      <c r="BB60" s="71">
        <f t="shared" si="25"/>
        <v>133333.33333333334</v>
      </c>
      <c r="BC60" s="71">
        <f t="shared" si="25"/>
        <v>133333.33333333334</v>
      </c>
      <c r="BD60" s="71">
        <f t="shared" si="25"/>
        <v>133333.33333333334</v>
      </c>
      <c r="BE60" s="71">
        <f t="shared" si="25"/>
        <v>133333.33333333334</v>
      </c>
      <c r="BF60" s="68">
        <f t="shared" si="7"/>
        <v>0</v>
      </c>
      <c r="BG60" s="69">
        <f t="shared" si="8"/>
        <v>1066666.6666666667</v>
      </c>
      <c r="BH60" s="70">
        <f t="shared" si="9"/>
        <v>1599999.9999999998</v>
      </c>
      <c r="BI60" s="71">
        <f t="shared" si="10"/>
        <v>1599999.9999999998</v>
      </c>
      <c r="BJ60" s="72">
        <f>VLOOKUP(D60,Master!AD:AG,3,FALSE)</f>
        <v>7611600</v>
      </c>
      <c r="BK60" s="73" t="str">
        <f>VLOOKUP(D60,Master!AD:AG,4,FALSE)</f>
        <v>Depreciation-Tools, furniture &amp; office equipment</v>
      </c>
    </row>
    <row r="61" spans="1:63" s="74" customFormat="1" ht="15" customHeight="1">
      <c r="A61" s="64" t="s">
        <v>358</v>
      </c>
      <c r="B61" s="25" t="s">
        <v>403</v>
      </c>
      <c r="C61" s="65" t="s">
        <v>221</v>
      </c>
      <c r="D61" s="66">
        <v>2141000</v>
      </c>
      <c r="E61" s="26">
        <v>100000000</v>
      </c>
      <c r="F61" s="67">
        <v>60</v>
      </c>
      <c r="G61" s="65" t="s">
        <v>241</v>
      </c>
      <c r="H61" s="27">
        <v>1</v>
      </c>
      <c r="I61" s="28">
        <v>44470</v>
      </c>
      <c r="J61" s="65" t="s">
        <v>310</v>
      </c>
      <c r="K61" s="65" t="s">
        <v>285</v>
      </c>
      <c r="L61" s="65" t="s">
        <v>317</v>
      </c>
      <c r="M61" s="65" t="s">
        <v>472</v>
      </c>
      <c r="N61" s="51">
        <f t="shared" si="11"/>
        <v>100000000</v>
      </c>
      <c r="O61" s="51">
        <f t="shared" si="12"/>
        <v>1666666.6666666667</v>
      </c>
      <c r="P61" s="28">
        <f t="shared" si="13"/>
        <v>46296</v>
      </c>
      <c r="Q61" s="68" t="str">
        <f t="shared" si="24"/>
        <v/>
      </c>
      <c r="R61" s="68" t="str">
        <f t="shared" si="24"/>
        <v/>
      </c>
      <c r="S61" s="68" t="str">
        <f t="shared" si="24"/>
        <v/>
      </c>
      <c r="T61" s="68" t="str">
        <f t="shared" si="24"/>
        <v/>
      </c>
      <c r="U61" s="68" t="str">
        <f t="shared" si="24"/>
        <v/>
      </c>
      <c r="V61" s="69" t="str">
        <f t="shared" si="24"/>
        <v/>
      </c>
      <c r="W61" s="69" t="str">
        <f t="shared" si="24"/>
        <v/>
      </c>
      <c r="X61" s="69" t="str">
        <f t="shared" si="24"/>
        <v/>
      </c>
      <c r="Y61" s="69" t="str">
        <f t="shared" si="24"/>
        <v/>
      </c>
      <c r="Z61" s="69" t="str">
        <f t="shared" si="24"/>
        <v/>
      </c>
      <c r="AA61" s="69" t="str">
        <f t="shared" si="24"/>
        <v/>
      </c>
      <c r="AB61" s="69">
        <f t="shared" si="24"/>
        <v>1666666.6666666667</v>
      </c>
      <c r="AC61" s="69">
        <f t="shared" si="24"/>
        <v>1666666.6666666667</v>
      </c>
      <c r="AD61" s="69">
        <f t="shared" si="24"/>
        <v>1666666.6666666667</v>
      </c>
      <c r="AE61" s="69">
        <f t="shared" si="24"/>
        <v>1666666.6666666667</v>
      </c>
      <c r="AF61" s="69">
        <f t="shared" si="24"/>
        <v>1666666.6666666667</v>
      </c>
      <c r="AG61" s="69">
        <f t="shared" si="34"/>
        <v>1666666.6666666667</v>
      </c>
      <c r="AH61" s="70">
        <f t="shared" si="34"/>
        <v>1666666.6666666667</v>
      </c>
      <c r="AI61" s="70">
        <f t="shared" si="34"/>
        <v>1666666.6666666667</v>
      </c>
      <c r="AJ61" s="70">
        <f t="shared" si="34"/>
        <v>1666666.6666666667</v>
      </c>
      <c r="AK61" s="70">
        <f t="shared" si="34"/>
        <v>1666666.6666666667</v>
      </c>
      <c r="AL61" s="70">
        <f t="shared" si="34"/>
        <v>1666666.6666666667</v>
      </c>
      <c r="AM61" s="70">
        <f t="shared" si="34"/>
        <v>1666666.6666666667</v>
      </c>
      <c r="AN61" s="70">
        <f t="shared" si="34"/>
        <v>1666666.6666666667</v>
      </c>
      <c r="AO61" s="70">
        <f t="shared" si="34"/>
        <v>1666666.6666666667</v>
      </c>
      <c r="AP61" s="70">
        <f t="shared" si="34"/>
        <v>1666666.6666666667</v>
      </c>
      <c r="AQ61" s="70">
        <f t="shared" si="34"/>
        <v>1666666.6666666667</v>
      </c>
      <c r="AR61" s="70">
        <f t="shared" si="34"/>
        <v>1666666.6666666667</v>
      </c>
      <c r="AS61" s="70">
        <f t="shared" si="34"/>
        <v>1666666.6666666667</v>
      </c>
      <c r="AT61" s="71">
        <f t="shared" si="34"/>
        <v>1666666.6666666667</v>
      </c>
      <c r="AU61" s="71">
        <f t="shared" si="34"/>
        <v>1666666.6666666667</v>
      </c>
      <c r="AV61" s="71">
        <f t="shared" si="34"/>
        <v>1666666.6666666667</v>
      </c>
      <c r="AW61" s="71">
        <f t="shared" si="25"/>
        <v>1666666.6666666667</v>
      </c>
      <c r="AX61" s="71">
        <f t="shared" si="25"/>
        <v>1666666.6666666667</v>
      </c>
      <c r="AY61" s="71">
        <f t="shared" si="25"/>
        <v>1666666.6666666667</v>
      </c>
      <c r="AZ61" s="71">
        <f t="shared" si="25"/>
        <v>1666666.6666666667</v>
      </c>
      <c r="BA61" s="71">
        <f t="shared" si="25"/>
        <v>1666666.6666666667</v>
      </c>
      <c r="BB61" s="71">
        <f t="shared" si="25"/>
        <v>1666666.6666666667</v>
      </c>
      <c r="BC61" s="71">
        <f t="shared" si="25"/>
        <v>1666666.6666666667</v>
      </c>
      <c r="BD61" s="71">
        <f t="shared" si="25"/>
        <v>1666666.6666666667</v>
      </c>
      <c r="BE61" s="71">
        <f t="shared" si="25"/>
        <v>1666666.6666666667</v>
      </c>
      <c r="BF61" s="68">
        <f t="shared" si="7"/>
        <v>0</v>
      </c>
      <c r="BG61" s="69">
        <f t="shared" si="8"/>
        <v>10000000</v>
      </c>
      <c r="BH61" s="70">
        <f t="shared" si="9"/>
        <v>20000000</v>
      </c>
      <c r="BI61" s="71">
        <f t="shared" si="10"/>
        <v>20000000</v>
      </c>
      <c r="BJ61" s="72">
        <f>VLOOKUP(D61,Master!AD:AG,3,FALSE)</f>
        <v>7611600</v>
      </c>
      <c r="BK61" s="73" t="str">
        <f>VLOOKUP(D61,Master!AD:AG,4,FALSE)</f>
        <v>Depreciation-Tools, furniture &amp; office equipment</v>
      </c>
    </row>
    <row r="62" spans="1:63" s="74" customFormat="1" ht="15" customHeight="1">
      <c r="A62" s="64" t="s">
        <v>359</v>
      </c>
      <c r="B62" s="25" t="s">
        <v>404</v>
      </c>
      <c r="C62" s="65" t="s">
        <v>313</v>
      </c>
      <c r="D62" s="66">
        <v>2121000</v>
      </c>
      <c r="E62" s="26">
        <v>11167645280</v>
      </c>
      <c r="F62" s="67">
        <v>84</v>
      </c>
      <c r="G62" s="65" t="s">
        <v>244</v>
      </c>
      <c r="H62" s="27">
        <v>1</v>
      </c>
      <c r="I62" s="28">
        <v>44593</v>
      </c>
      <c r="J62" s="65" t="s">
        <v>310</v>
      </c>
      <c r="K62" s="65" t="s">
        <v>285</v>
      </c>
      <c r="L62" s="65" t="s">
        <v>314</v>
      </c>
      <c r="M62" s="65" t="s">
        <v>472</v>
      </c>
      <c r="N62" s="51">
        <f t="shared" si="11"/>
        <v>11167645280</v>
      </c>
      <c r="O62" s="51">
        <f t="shared" si="12"/>
        <v>132948158.09523809</v>
      </c>
      <c r="P62" s="28">
        <f t="shared" si="13"/>
        <v>47150</v>
      </c>
      <c r="Q62" s="68" t="str">
        <f t="shared" si="24"/>
        <v/>
      </c>
      <c r="R62" s="68" t="str">
        <f t="shared" si="24"/>
        <v/>
      </c>
      <c r="S62" s="68" t="str">
        <f t="shared" si="24"/>
        <v/>
      </c>
      <c r="T62" s="68" t="str">
        <f t="shared" si="24"/>
        <v/>
      </c>
      <c r="U62" s="68" t="str">
        <f t="shared" si="24"/>
        <v/>
      </c>
      <c r="V62" s="69" t="str">
        <f t="shared" si="24"/>
        <v/>
      </c>
      <c r="W62" s="69" t="str">
        <f t="shared" si="24"/>
        <v/>
      </c>
      <c r="X62" s="69" t="str">
        <f t="shared" si="24"/>
        <v/>
      </c>
      <c r="Y62" s="69" t="str">
        <f t="shared" si="24"/>
        <v/>
      </c>
      <c r="Z62" s="69" t="str">
        <f t="shared" si="24"/>
        <v/>
      </c>
      <c r="AA62" s="69" t="str">
        <f t="shared" si="24"/>
        <v/>
      </c>
      <c r="AB62" s="69" t="str">
        <f t="shared" si="24"/>
        <v/>
      </c>
      <c r="AC62" s="69" t="str">
        <f t="shared" si="24"/>
        <v/>
      </c>
      <c r="AD62" s="69" t="str">
        <f t="shared" si="24"/>
        <v/>
      </c>
      <c r="AE62" s="69" t="str">
        <f t="shared" si="24"/>
        <v/>
      </c>
      <c r="AF62" s="69">
        <f t="shared" si="24"/>
        <v>132948158.09523809</v>
      </c>
      <c r="AG62" s="69">
        <f t="shared" si="34"/>
        <v>132948158.09523809</v>
      </c>
      <c r="AH62" s="70">
        <f t="shared" si="34"/>
        <v>132948158.09523809</v>
      </c>
      <c r="AI62" s="70">
        <f t="shared" si="34"/>
        <v>132948158.09523809</v>
      </c>
      <c r="AJ62" s="70">
        <f t="shared" si="34"/>
        <v>132948158.09523809</v>
      </c>
      <c r="AK62" s="70">
        <f t="shared" si="34"/>
        <v>132948158.09523809</v>
      </c>
      <c r="AL62" s="70">
        <f t="shared" si="34"/>
        <v>132948158.09523809</v>
      </c>
      <c r="AM62" s="70">
        <f t="shared" si="34"/>
        <v>132948158.09523809</v>
      </c>
      <c r="AN62" s="70">
        <f t="shared" si="34"/>
        <v>132948158.09523809</v>
      </c>
      <c r="AO62" s="70">
        <f t="shared" si="34"/>
        <v>132948158.09523809</v>
      </c>
      <c r="AP62" s="70">
        <f t="shared" si="34"/>
        <v>132948158.09523809</v>
      </c>
      <c r="AQ62" s="70">
        <f t="shared" si="34"/>
        <v>132948158.09523809</v>
      </c>
      <c r="AR62" s="70">
        <f t="shared" si="34"/>
        <v>132948158.09523809</v>
      </c>
      <c r="AS62" s="70">
        <f t="shared" si="34"/>
        <v>132948158.09523809</v>
      </c>
      <c r="AT62" s="71">
        <f t="shared" si="34"/>
        <v>132948158.09523809</v>
      </c>
      <c r="AU62" s="71">
        <f t="shared" si="34"/>
        <v>132948158.09523809</v>
      </c>
      <c r="AV62" s="71">
        <f t="shared" si="34"/>
        <v>132948158.09523809</v>
      </c>
      <c r="AW62" s="71">
        <f t="shared" si="25"/>
        <v>132948158.09523809</v>
      </c>
      <c r="AX62" s="71">
        <f t="shared" si="25"/>
        <v>132948158.09523809</v>
      </c>
      <c r="AY62" s="71">
        <f t="shared" si="25"/>
        <v>132948158.09523809</v>
      </c>
      <c r="AZ62" s="71">
        <f t="shared" si="25"/>
        <v>132948158.09523809</v>
      </c>
      <c r="BA62" s="71">
        <f t="shared" si="25"/>
        <v>132948158.09523809</v>
      </c>
      <c r="BB62" s="71">
        <f t="shared" si="25"/>
        <v>132948158.09523809</v>
      </c>
      <c r="BC62" s="71">
        <f t="shared" si="25"/>
        <v>132948158.09523809</v>
      </c>
      <c r="BD62" s="71">
        <f t="shared" si="25"/>
        <v>132948158.09523809</v>
      </c>
      <c r="BE62" s="71">
        <f t="shared" si="25"/>
        <v>132948158.09523809</v>
      </c>
      <c r="BF62" s="68">
        <f t="shared" si="7"/>
        <v>0</v>
      </c>
      <c r="BG62" s="69">
        <f t="shared" si="8"/>
        <v>265896316.19047618</v>
      </c>
      <c r="BH62" s="70">
        <f t="shared" si="9"/>
        <v>1595377897.1428576</v>
      </c>
      <c r="BI62" s="71">
        <f t="shared" si="10"/>
        <v>1595377897.1428576</v>
      </c>
      <c r="BJ62" s="72">
        <f>VLOOKUP(D62,Master!AD:AG,3,FALSE)</f>
        <v>7611300</v>
      </c>
      <c r="BK62" s="73" t="str">
        <f>VLOOKUP(D62,Master!AD:AG,4,FALSE)</f>
        <v>Depreciation-Machiney &amp; equipment</v>
      </c>
    </row>
    <row r="63" spans="1:63" s="74" customFormat="1" ht="15" customHeight="1">
      <c r="A63" s="64" t="s">
        <v>360</v>
      </c>
      <c r="B63" s="25" t="s">
        <v>405</v>
      </c>
      <c r="C63" s="65" t="s">
        <v>312</v>
      </c>
      <c r="D63" s="66">
        <v>2121000</v>
      </c>
      <c r="E63" s="26">
        <v>1054411599.9999999</v>
      </c>
      <c r="F63" s="67">
        <v>120</v>
      </c>
      <c r="G63" s="65" t="s">
        <v>260</v>
      </c>
      <c r="H63" s="27">
        <v>1</v>
      </c>
      <c r="I63" s="28">
        <v>44593</v>
      </c>
      <c r="J63" s="65" t="s">
        <v>310</v>
      </c>
      <c r="K63" s="65" t="s">
        <v>285</v>
      </c>
      <c r="L63" s="65" t="s">
        <v>314</v>
      </c>
      <c r="M63" s="65" t="s">
        <v>472</v>
      </c>
      <c r="N63" s="51">
        <f t="shared" si="11"/>
        <v>1054411599.9999999</v>
      </c>
      <c r="O63" s="51">
        <f t="shared" si="12"/>
        <v>8786763.3333333321</v>
      </c>
      <c r="P63" s="28">
        <f t="shared" si="13"/>
        <v>48245</v>
      </c>
      <c r="Q63" s="68" t="str">
        <f t="shared" si="24"/>
        <v/>
      </c>
      <c r="R63" s="68" t="str">
        <f t="shared" si="24"/>
        <v/>
      </c>
      <c r="S63" s="68" t="str">
        <f t="shared" si="24"/>
        <v/>
      </c>
      <c r="T63" s="68" t="str">
        <f t="shared" si="24"/>
        <v/>
      </c>
      <c r="U63" s="68" t="str">
        <f t="shared" si="24"/>
        <v/>
      </c>
      <c r="V63" s="69" t="str">
        <f t="shared" si="24"/>
        <v/>
      </c>
      <c r="W63" s="69" t="str">
        <f t="shared" si="24"/>
        <v/>
      </c>
      <c r="X63" s="69" t="str">
        <f t="shared" si="24"/>
        <v/>
      </c>
      <c r="Y63" s="69" t="str">
        <f t="shared" si="24"/>
        <v/>
      </c>
      <c r="Z63" s="69" t="str">
        <f t="shared" si="24"/>
        <v/>
      </c>
      <c r="AA63" s="69" t="str">
        <f t="shared" si="24"/>
        <v/>
      </c>
      <c r="AB63" s="69" t="str">
        <f t="shared" si="24"/>
        <v/>
      </c>
      <c r="AC63" s="69" t="str">
        <f t="shared" si="24"/>
        <v/>
      </c>
      <c r="AD63" s="69" t="str">
        <f t="shared" si="24"/>
        <v/>
      </c>
      <c r="AE63" s="69" t="str">
        <f t="shared" si="24"/>
        <v/>
      </c>
      <c r="AF63" s="69">
        <f t="shared" si="24"/>
        <v>8786763.3333333321</v>
      </c>
      <c r="AG63" s="69">
        <f t="shared" si="34"/>
        <v>8786763.3333333321</v>
      </c>
      <c r="AH63" s="70">
        <f t="shared" si="34"/>
        <v>8786763.3333333321</v>
      </c>
      <c r="AI63" s="70">
        <f t="shared" si="34"/>
        <v>8786763.3333333321</v>
      </c>
      <c r="AJ63" s="70">
        <f t="shared" si="34"/>
        <v>8786763.3333333321</v>
      </c>
      <c r="AK63" s="70">
        <f t="shared" si="34"/>
        <v>8786763.3333333321</v>
      </c>
      <c r="AL63" s="70">
        <f t="shared" si="34"/>
        <v>8786763.3333333321</v>
      </c>
      <c r="AM63" s="70">
        <f t="shared" si="34"/>
        <v>8786763.3333333321</v>
      </c>
      <c r="AN63" s="70">
        <f t="shared" si="34"/>
        <v>8786763.3333333321</v>
      </c>
      <c r="AO63" s="70">
        <f t="shared" si="34"/>
        <v>8786763.3333333321</v>
      </c>
      <c r="AP63" s="70">
        <f t="shared" si="34"/>
        <v>8786763.3333333321</v>
      </c>
      <c r="AQ63" s="70">
        <f t="shared" si="34"/>
        <v>8786763.3333333321</v>
      </c>
      <c r="AR63" s="70">
        <f t="shared" si="34"/>
        <v>8786763.3333333321</v>
      </c>
      <c r="AS63" s="70">
        <f t="shared" si="34"/>
        <v>8786763.3333333321</v>
      </c>
      <c r="AT63" s="71">
        <f t="shared" si="34"/>
        <v>8786763.3333333321</v>
      </c>
      <c r="AU63" s="71">
        <f t="shared" si="34"/>
        <v>8786763.3333333321</v>
      </c>
      <c r="AV63" s="71">
        <f t="shared" si="34"/>
        <v>8786763.3333333321</v>
      </c>
      <c r="AW63" s="71">
        <f t="shared" si="25"/>
        <v>8786763.3333333321</v>
      </c>
      <c r="AX63" s="71">
        <f t="shared" si="25"/>
        <v>8786763.3333333321</v>
      </c>
      <c r="AY63" s="71">
        <f t="shared" si="25"/>
        <v>8786763.3333333321</v>
      </c>
      <c r="AZ63" s="71">
        <f t="shared" si="25"/>
        <v>8786763.3333333321</v>
      </c>
      <c r="BA63" s="71">
        <f t="shared" si="25"/>
        <v>8786763.3333333321</v>
      </c>
      <c r="BB63" s="71">
        <f t="shared" si="25"/>
        <v>8786763.3333333321</v>
      </c>
      <c r="BC63" s="71">
        <f t="shared" si="25"/>
        <v>8786763.3333333321</v>
      </c>
      <c r="BD63" s="71">
        <f t="shared" si="25"/>
        <v>8786763.3333333321</v>
      </c>
      <c r="BE63" s="71">
        <f t="shared" si="25"/>
        <v>8786763.3333333321</v>
      </c>
      <c r="BF63" s="68">
        <f t="shared" si="7"/>
        <v>0</v>
      </c>
      <c r="BG63" s="69">
        <f t="shared" si="8"/>
        <v>17573526.666666664</v>
      </c>
      <c r="BH63" s="70">
        <f t="shared" si="9"/>
        <v>105441159.99999996</v>
      </c>
      <c r="BI63" s="71">
        <f t="shared" si="10"/>
        <v>105441159.99999996</v>
      </c>
      <c r="BJ63" s="72">
        <f>VLOOKUP(D63,Master!AD:AG,3,FALSE)</f>
        <v>7611300</v>
      </c>
      <c r="BK63" s="73" t="str">
        <f>VLOOKUP(D63,Master!AD:AG,4,FALSE)</f>
        <v>Depreciation-Machiney &amp; equipment</v>
      </c>
    </row>
    <row r="64" spans="1:63" s="74" customFormat="1" ht="15" customHeight="1">
      <c r="A64" s="64" t="s">
        <v>361</v>
      </c>
      <c r="B64" s="25" t="s">
        <v>406</v>
      </c>
      <c r="C64" s="65" t="s">
        <v>221</v>
      </c>
      <c r="D64" s="66">
        <v>2141000</v>
      </c>
      <c r="E64" s="26">
        <v>30000000</v>
      </c>
      <c r="F64" s="67">
        <v>60</v>
      </c>
      <c r="G64" s="65" t="s">
        <v>285</v>
      </c>
      <c r="H64" s="27">
        <v>1</v>
      </c>
      <c r="I64" s="28">
        <v>44713</v>
      </c>
      <c r="J64" s="65" t="s">
        <v>310</v>
      </c>
      <c r="K64" s="65" t="s">
        <v>285</v>
      </c>
      <c r="L64" s="65" t="s">
        <v>320</v>
      </c>
      <c r="M64" s="65" t="s">
        <v>471</v>
      </c>
      <c r="N64" s="51">
        <f t="shared" si="11"/>
        <v>30000000</v>
      </c>
      <c r="O64" s="51">
        <f t="shared" si="12"/>
        <v>500000</v>
      </c>
      <c r="P64" s="28">
        <f t="shared" si="13"/>
        <v>46539</v>
      </c>
      <c r="Q64" s="68" t="str">
        <f t="shared" si="24"/>
        <v/>
      </c>
      <c r="R64" s="68" t="str">
        <f t="shared" si="24"/>
        <v/>
      </c>
      <c r="S64" s="68" t="str">
        <f t="shared" si="24"/>
        <v/>
      </c>
      <c r="T64" s="68" t="str">
        <f t="shared" si="24"/>
        <v/>
      </c>
      <c r="U64" s="68" t="str">
        <f t="shared" si="24"/>
        <v/>
      </c>
      <c r="V64" s="69" t="str">
        <f t="shared" si="24"/>
        <v/>
      </c>
      <c r="W64" s="69" t="str">
        <f t="shared" si="24"/>
        <v/>
      </c>
      <c r="X64" s="69" t="str">
        <f t="shared" si="24"/>
        <v/>
      </c>
      <c r="Y64" s="69" t="str">
        <f t="shared" si="24"/>
        <v/>
      </c>
      <c r="Z64" s="69" t="str">
        <f t="shared" si="24"/>
        <v/>
      </c>
      <c r="AA64" s="69" t="str">
        <f t="shared" si="24"/>
        <v/>
      </c>
      <c r="AB64" s="69" t="str">
        <f t="shared" si="24"/>
        <v/>
      </c>
      <c r="AC64" s="69" t="str">
        <f t="shared" si="24"/>
        <v/>
      </c>
      <c r="AD64" s="69" t="str">
        <f t="shared" si="24"/>
        <v/>
      </c>
      <c r="AE64" s="69" t="str">
        <f t="shared" si="24"/>
        <v/>
      </c>
      <c r="AF64" s="69" t="str">
        <f t="shared" si="24"/>
        <v/>
      </c>
      <c r="AG64" s="69" t="str">
        <f t="shared" si="34"/>
        <v/>
      </c>
      <c r="AH64" s="70" t="str">
        <f t="shared" si="34"/>
        <v/>
      </c>
      <c r="AI64" s="70" t="str">
        <f t="shared" si="34"/>
        <v/>
      </c>
      <c r="AJ64" s="70">
        <f t="shared" si="34"/>
        <v>500000</v>
      </c>
      <c r="AK64" s="70">
        <f t="shared" si="34"/>
        <v>500000</v>
      </c>
      <c r="AL64" s="70">
        <f t="shared" si="34"/>
        <v>500000</v>
      </c>
      <c r="AM64" s="70">
        <f t="shared" si="34"/>
        <v>500000</v>
      </c>
      <c r="AN64" s="70">
        <f t="shared" si="34"/>
        <v>500000</v>
      </c>
      <c r="AO64" s="70">
        <f t="shared" si="34"/>
        <v>500000</v>
      </c>
      <c r="AP64" s="70">
        <f t="shared" si="34"/>
        <v>500000</v>
      </c>
      <c r="AQ64" s="70">
        <f t="shared" si="34"/>
        <v>500000</v>
      </c>
      <c r="AR64" s="70">
        <f t="shared" si="34"/>
        <v>500000</v>
      </c>
      <c r="AS64" s="70">
        <f t="shared" si="34"/>
        <v>500000</v>
      </c>
      <c r="AT64" s="71">
        <f t="shared" si="34"/>
        <v>500000</v>
      </c>
      <c r="AU64" s="71">
        <f t="shared" si="34"/>
        <v>500000</v>
      </c>
      <c r="AV64" s="71">
        <f t="shared" si="34"/>
        <v>500000</v>
      </c>
      <c r="AW64" s="71">
        <f t="shared" si="25"/>
        <v>500000</v>
      </c>
      <c r="AX64" s="71">
        <f t="shared" si="25"/>
        <v>500000</v>
      </c>
      <c r="AY64" s="71">
        <f t="shared" si="25"/>
        <v>500000</v>
      </c>
      <c r="AZ64" s="71">
        <f t="shared" si="25"/>
        <v>500000</v>
      </c>
      <c r="BA64" s="71">
        <f t="shared" si="25"/>
        <v>500000</v>
      </c>
      <c r="BB64" s="71">
        <f t="shared" si="25"/>
        <v>500000</v>
      </c>
      <c r="BC64" s="71">
        <f t="shared" si="25"/>
        <v>500000</v>
      </c>
      <c r="BD64" s="71">
        <f t="shared" si="25"/>
        <v>500000</v>
      </c>
      <c r="BE64" s="71">
        <f t="shared" si="25"/>
        <v>500000</v>
      </c>
      <c r="BF64" s="68">
        <f t="shared" si="7"/>
        <v>0</v>
      </c>
      <c r="BG64" s="69">
        <f t="shared" si="8"/>
        <v>0</v>
      </c>
      <c r="BH64" s="70">
        <f t="shared" si="9"/>
        <v>5000000</v>
      </c>
      <c r="BI64" s="71">
        <f t="shared" si="10"/>
        <v>6000000</v>
      </c>
      <c r="BJ64" s="72">
        <f>VLOOKUP(D64,Master!AD:AG,3,FALSE)</f>
        <v>7611600</v>
      </c>
      <c r="BK64" s="73" t="str">
        <f>VLOOKUP(D64,Master!AD:AG,4,FALSE)</f>
        <v>Depreciation-Tools, furniture &amp; office equipment</v>
      </c>
    </row>
    <row r="65" spans="1:63" s="74" customFormat="1" ht="15" customHeight="1">
      <c r="A65" s="64" t="s">
        <v>362</v>
      </c>
      <c r="B65" s="25" t="s">
        <v>407</v>
      </c>
      <c r="C65" s="65" t="s">
        <v>313</v>
      </c>
      <c r="D65" s="66">
        <v>2121000</v>
      </c>
      <c r="E65" s="26">
        <v>1594117400</v>
      </c>
      <c r="F65" s="67">
        <v>84</v>
      </c>
      <c r="G65" s="65" t="s">
        <v>252</v>
      </c>
      <c r="H65" s="27">
        <v>1</v>
      </c>
      <c r="I65" s="28">
        <v>44774</v>
      </c>
      <c r="J65" s="65" t="s">
        <v>310</v>
      </c>
      <c r="K65" s="65" t="s">
        <v>285</v>
      </c>
      <c r="L65" s="65" t="s">
        <v>314</v>
      </c>
      <c r="M65" s="65" t="s">
        <v>471</v>
      </c>
      <c r="N65" s="51">
        <f t="shared" si="11"/>
        <v>1594117400</v>
      </c>
      <c r="O65" s="51">
        <f t="shared" si="12"/>
        <v>18977588.095238097</v>
      </c>
      <c r="P65" s="28">
        <f t="shared" si="13"/>
        <v>47331</v>
      </c>
      <c r="Q65" s="68" t="str">
        <f t="shared" si="24"/>
        <v/>
      </c>
      <c r="R65" s="68" t="str">
        <f t="shared" si="24"/>
        <v/>
      </c>
      <c r="S65" s="68" t="str">
        <f t="shared" si="24"/>
        <v/>
      </c>
      <c r="T65" s="68" t="str">
        <f t="shared" si="24"/>
        <v/>
      </c>
      <c r="U65" s="68" t="str">
        <f t="shared" si="24"/>
        <v/>
      </c>
      <c r="V65" s="69" t="str">
        <f t="shared" si="24"/>
        <v/>
      </c>
      <c r="W65" s="69" t="str">
        <f t="shared" si="24"/>
        <v/>
      </c>
      <c r="X65" s="69" t="str">
        <f t="shared" si="24"/>
        <v/>
      </c>
      <c r="Y65" s="69" t="str">
        <f t="shared" si="24"/>
        <v/>
      </c>
      <c r="Z65" s="69" t="str">
        <f t="shared" si="24"/>
        <v/>
      </c>
      <c r="AA65" s="69" t="str">
        <f t="shared" si="24"/>
        <v/>
      </c>
      <c r="AB65" s="69" t="str">
        <f t="shared" si="24"/>
        <v/>
      </c>
      <c r="AC65" s="69" t="str">
        <f t="shared" si="24"/>
        <v/>
      </c>
      <c r="AD65" s="69" t="str">
        <f t="shared" si="24"/>
        <v/>
      </c>
      <c r="AE65" s="69" t="str">
        <f t="shared" si="24"/>
        <v/>
      </c>
      <c r="AF65" s="69" t="str">
        <f t="shared" si="24"/>
        <v/>
      </c>
      <c r="AG65" s="69" t="str">
        <f t="shared" si="34"/>
        <v/>
      </c>
      <c r="AH65" s="70" t="str">
        <f t="shared" si="34"/>
        <v/>
      </c>
      <c r="AI65" s="70" t="str">
        <f t="shared" si="34"/>
        <v/>
      </c>
      <c r="AJ65" s="70" t="str">
        <f t="shared" si="34"/>
        <v/>
      </c>
      <c r="AK65" s="70" t="str">
        <f t="shared" si="34"/>
        <v/>
      </c>
      <c r="AL65" s="70">
        <f t="shared" si="34"/>
        <v>18977588.095238097</v>
      </c>
      <c r="AM65" s="70">
        <f t="shared" si="34"/>
        <v>18977588.095238097</v>
      </c>
      <c r="AN65" s="70">
        <f t="shared" si="34"/>
        <v>18977588.095238097</v>
      </c>
      <c r="AO65" s="70">
        <f t="shared" si="34"/>
        <v>18977588.095238097</v>
      </c>
      <c r="AP65" s="70">
        <f t="shared" si="34"/>
        <v>18977588.095238097</v>
      </c>
      <c r="AQ65" s="70">
        <f t="shared" si="34"/>
        <v>18977588.095238097</v>
      </c>
      <c r="AR65" s="70">
        <f t="shared" si="34"/>
        <v>18977588.095238097</v>
      </c>
      <c r="AS65" s="70">
        <f t="shared" si="34"/>
        <v>18977588.095238097</v>
      </c>
      <c r="AT65" s="71">
        <f t="shared" si="34"/>
        <v>18977588.095238097</v>
      </c>
      <c r="AU65" s="71">
        <f t="shared" si="34"/>
        <v>18977588.095238097</v>
      </c>
      <c r="AV65" s="71">
        <f t="shared" si="34"/>
        <v>18977588.095238097</v>
      </c>
      <c r="AW65" s="71">
        <f t="shared" si="25"/>
        <v>18977588.095238097</v>
      </c>
      <c r="AX65" s="71">
        <f t="shared" si="25"/>
        <v>18977588.095238097</v>
      </c>
      <c r="AY65" s="71">
        <f t="shared" si="25"/>
        <v>18977588.095238097</v>
      </c>
      <c r="AZ65" s="71">
        <f t="shared" si="25"/>
        <v>18977588.095238097</v>
      </c>
      <c r="BA65" s="71">
        <f t="shared" si="25"/>
        <v>18977588.095238097</v>
      </c>
      <c r="BB65" s="71">
        <f t="shared" si="25"/>
        <v>18977588.095238097</v>
      </c>
      <c r="BC65" s="71">
        <f t="shared" si="25"/>
        <v>18977588.095238097</v>
      </c>
      <c r="BD65" s="71">
        <f t="shared" si="25"/>
        <v>18977588.095238097</v>
      </c>
      <c r="BE65" s="71">
        <f t="shared" si="25"/>
        <v>18977588.095238097</v>
      </c>
      <c r="BF65" s="68">
        <f t="shared" si="7"/>
        <v>0</v>
      </c>
      <c r="BG65" s="69">
        <f t="shared" si="8"/>
        <v>0</v>
      </c>
      <c r="BH65" s="70">
        <f t="shared" si="9"/>
        <v>151820704.76190475</v>
      </c>
      <c r="BI65" s="71">
        <f t="shared" si="10"/>
        <v>227731057.1428571</v>
      </c>
      <c r="BJ65" s="72">
        <f>VLOOKUP(D65,Master!AD:AG,3,FALSE)</f>
        <v>7611300</v>
      </c>
      <c r="BK65" s="73" t="str">
        <f>VLOOKUP(D65,Master!AD:AG,4,FALSE)</f>
        <v>Depreciation-Machiney &amp; equipment</v>
      </c>
    </row>
    <row r="66" spans="1:63" s="74" customFormat="1" ht="15" customHeight="1">
      <c r="A66" s="64" t="s">
        <v>363</v>
      </c>
      <c r="B66" s="25" t="s">
        <v>408</v>
      </c>
      <c r="C66" s="65" t="s">
        <v>312</v>
      </c>
      <c r="D66" s="66">
        <v>2121000</v>
      </c>
      <c r="E66" s="26">
        <v>14748527060</v>
      </c>
      <c r="F66" s="67">
        <v>120</v>
      </c>
      <c r="G66" s="65" t="s">
        <v>252</v>
      </c>
      <c r="H66" s="27">
        <v>1</v>
      </c>
      <c r="I66" s="28">
        <v>44805</v>
      </c>
      <c r="J66" s="65" t="s">
        <v>310</v>
      </c>
      <c r="K66" s="65" t="s">
        <v>285</v>
      </c>
      <c r="L66" s="65" t="s">
        <v>320</v>
      </c>
      <c r="M66" s="65" t="s">
        <v>471</v>
      </c>
      <c r="N66" s="51">
        <f t="shared" si="11"/>
        <v>14748527060</v>
      </c>
      <c r="O66" s="51">
        <f t="shared" si="12"/>
        <v>122904392.16666667</v>
      </c>
      <c r="P66" s="28">
        <f t="shared" si="13"/>
        <v>48458</v>
      </c>
      <c r="Q66" s="68" t="str">
        <f t="shared" si="24"/>
        <v/>
      </c>
      <c r="R66" s="68" t="str">
        <f t="shared" si="24"/>
        <v/>
      </c>
      <c r="S66" s="68" t="str">
        <f t="shared" si="24"/>
        <v/>
      </c>
      <c r="T66" s="68" t="str">
        <f t="shared" si="24"/>
        <v/>
      </c>
      <c r="U66" s="68" t="str">
        <f t="shared" si="24"/>
        <v/>
      </c>
      <c r="V66" s="69" t="str">
        <f t="shared" si="24"/>
        <v/>
      </c>
      <c r="W66" s="69" t="str">
        <f t="shared" si="24"/>
        <v/>
      </c>
      <c r="X66" s="69" t="str">
        <f t="shared" si="24"/>
        <v/>
      </c>
      <c r="Y66" s="69" t="str">
        <f t="shared" si="24"/>
        <v/>
      </c>
      <c r="Z66" s="69" t="str">
        <f t="shared" si="24"/>
        <v/>
      </c>
      <c r="AA66" s="69" t="str">
        <f t="shared" si="24"/>
        <v/>
      </c>
      <c r="AB66" s="69" t="str">
        <f t="shared" si="24"/>
        <v/>
      </c>
      <c r="AC66" s="69" t="str">
        <f t="shared" si="24"/>
        <v/>
      </c>
      <c r="AD66" s="69" t="str">
        <f t="shared" si="24"/>
        <v/>
      </c>
      <c r="AE66" s="69" t="str">
        <f t="shared" si="24"/>
        <v/>
      </c>
      <c r="AF66" s="69" t="str">
        <f t="shared" si="24"/>
        <v/>
      </c>
      <c r="AG66" s="69" t="str">
        <f t="shared" si="34"/>
        <v/>
      </c>
      <c r="AH66" s="70" t="str">
        <f t="shared" si="34"/>
        <v/>
      </c>
      <c r="AI66" s="70" t="str">
        <f t="shared" si="34"/>
        <v/>
      </c>
      <c r="AJ66" s="70" t="str">
        <f t="shared" si="34"/>
        <v/>
      </c>
      <c r="AK66" s="70" t="str">
        <f t="shared" si="34"/>
        <v/>
      </c>
      <c r="AL66" s="70" t="str">
        <f t="shared" si="34"/>
        <v/>
      </c>
      <c r="AM66" s="70">
        <f t="shared" si="34"/>
        <v>122904392.16666667</v>
      </c>
      <c r="AN66" s="70">
        <f t="shared" si="34"/>
        <v>122904392.16666667</v>
      </c>
      <c r="AO66" s="70">
        <f t="shared" si="34"/>
        <v>122904392.16666667</v>
      </c>
      <c r="AP66" s="70">
        <f t="shared" si="34"/>
        <v>122904392.16666667</v>
      </c>
      <c r="AQ66" s="70">
        <f t="shared" si="34"/>
        <v>122904392.16666667</v>
      </c>
      <c r="AR66" s="70">
        <f t="shared" si="34"/>
        <v>122904392.16666667</v>
      </c>
      <c r="AS66" s="70">
        <f t="shared" si="34"/>
        <v>122904392.16666667</v>
      </c>
      <c r="AT66" s="71">
        <f t="shared" si="34"/>
        <v>122904392.16666667</v>
      </c>
      <c r="AU66" s="71">
        <f t="shared" si="34"/>
        <v>122904392.16666667</v>
      </c>
      <c r="AV66" s="71">
        <f t="shared" si="34"/>
        <v>122904392.16666667</v>
      </c>
      <c r="AW66" s="71">
        <f t="shared" si="25"/>
        <v>122904392.16666667</v>
      </c>
      <c r="AX66" s="71">
        <f t="shared" si="25"/>
        <v>122904392.16666667</v>
      </c>
      <c r="AY66" s="71">
        <f t="shared" si="25"/>
        <v>122904392.16666667</v>
      </c>
      <c r="AZ66" s="71">
        <f t="shared" si="25"/>
        <v>122904392.16666667</v>
      </c>
      <c r="BA66" s="71">
        <f t="shared" si="25"/>
        <v>122904392.16666667</v>
      </c>
      <c r="BB66" s="71">
        <f t="shared" si="25"/>
        <v>122904392.16666667</v>
      </c>
      <c r="BC66" s="71">
        <f t="shared" si="25"/>
        <v>122904392.16666667</v>
      </c>
      <c r="BD66" s="71">
        <f t="shared" si="25"/>
        <v>122904392.16666667</v>
      </c>
      <c r="BE66" s="71">
        <f t="shared" si="25"/>
        <v>122904392.16666667</v>
      </c>
      <c r="BF66" s="68">
        <f t="shared" si="7"/>
        <v>0</v>
      </c>
      <c r="BG66" s="69">
        <f t="shared" si="8"/>
        <v>0</v>
      </c>
      <c r="BH66" s="70">
        <f t="shared" si="9"/>
        <v>860330745.16666663</v>
      </c>
      <c r="BI66" s="71">
        <f t="shared" si="10"/>
        <v>1474852706.0000002</v>
      </c>
      <c r="BJ66" s="72">
        <f>VLOOKUP(D66,Master!AD:AG,3,FALSE)</f>
        <v>7611300</v>
      </c>
      <c r="BK66" s="73" t="str">
        <f>VLOOKUP(D66,Master!AD:AG,4,FALSE)</f>
        <v>Depreciation-Machiney &amp; equipment</v>
      </c>
    </row>
    <row r="67" spans="1:63" s="74" customFormat="1" ht="15" customHeight="1">
      <c r="A67" s="64" t="s">
        <v>364</v>
      </c>
      <c r="B67" s="25" t="s">
        <v>409</v>
      </c>
      <c r="C67" s="65" t="s">
        <v>313</v>
      </c>
      <c r="D67" s="66">
        <v>2121000</v>
      </c>
      <c r="E67" s="26">
        <v>11167645280</v>
      </c>
      <c r="F67" s="67">
        <v>84</v>
      </c>
      <c r="G67" s="65" t="s">
        <v>244</v>
      </c>
      <c r="H67" s="27">
        <v>1</v>
      </c>
      <c r="I67" s="28">
        <v>44866</v>
      </c>
      <c r="J67" s="65" t="s">
        <v>310</v>
      </c>
      <c r="K67" s="65" t="s">
        <v>285</v>
      </c>
      <c r="L67" s="65" t="s">
        <v>314</v>
      </c>
      <c r="M67" s="65" t="s">
        <v>471</v>
      </c>
      <c r="N67" s="51">
        <f t="shared" si="11"/>
        <v>11167645280</v>
      </c>
      <c r="O67" s="51">
        <f t="shared" si="12"/>
        <v>132948158.09523809</v>
      </c>
      <c r="P67" s="28">
        <f t="shared" si="13"/>
        <v>47423</v>
      </c>
      <c r="Q67" s="68" t="str">
        <f t="shared" si="24"/>
        <v/>
      </c>
      <c r="R67" s="68" t="str">
        <f t="shared" si="24"/>
        <v/>
      </c>
      <c r="S67" s="68" t="str">
        <f t="shared" si="24"/>
        <v/>
      </c>
      <c r="T67" s="68" t="str">
        <f t="shared" si="24"/>
        <v/>
      </c>
      <c r="U67" s="68" t="str">
        <f t="shared" si="24"/>
        <v/>
      </c>
      <c r="V67" s="69" t="str">
        <f t="shared" si="24"/>
        <v/>
      </c>
      <c r="W67" s="69" t="str">
        <f t="shared" si="24"/>
        <v/>
      </c>
      <c r="X67" s="69" t="str">
        <f t="shared" si="24"/>
        <v/>
      </c>
      <c r="Y67" s="69" t="str">
        <f t="shared" si="24"/>
        <v/>
      </c>
      <c r="Z67" s="69" t="str">
        <f t="shared" si="24"/>
        <v/>
      </c>
      <c r="AA67" s="69" t="str">
        <f t="shared" si="24"/>
        <v/>
      </c>
      <c r="AB67" s="69" t="str">
        <f t="shared" si="24"/>
        <v/>
      </c>
      <c r="AC67" s="69" t="str">
        <f t="shared" si="24"/>
        <v/>
      </c>
      <c r="AD67" s="69" t="str">
        <f t="shared" si="24"/>
        <v/>
      </c>
      <c r="AE67" s="69" t="str">
        <f t="shared" si="24"/>
        <v/>
      </c>
      <c r="AF67" s="69" t="str">
        <f t="shared" si="24"/>
        <v/>
      </c>
      <c r="AG67" s="69" t="str">
        <f t="shared" si="34"/>
        <v/>
      </c>
      <c r="AH67" s="70" t="str">
        <f t="shared" si="34"/>
        <v/>
      </c>
      <c r="AI67" s="70" t="str">
        <f t="shared" si="34"/>
        <v/>
      </c>
      <c r="AJ67" s="70" t="str">
        <f t="shared" si="34"/>
        <v/>
      </c>
      <c r="AK67" s="70" t="str">
        <f t="shared" si="34"/>
        <v/>
      </c>
      <c r="AL67" s="70" t="str">
        <f t="shared" si="34"/>
        <v/>
      </c>
      <c r="AM67" s="70" t="str">
        <f t="shared" si="34"/>
        <v/>
      </c>
      <c r="AN67" s="70" t="str">
        <f t="shared" si="34"/>
        <v/>
      </c>
      <c r="AO67" s="70">
        <f t="shared" si="34"/>
        <v>132948158.09523809</v>
      </c>
      <c r="AP67" s="70">
        <f t="shared" si="34"/>
        <v>132948158.09523809</v>
      </c>
      <c r="AQ67" s="70">
        <f t="shared" si="34"/>
        <v>132948158.09523809</v>
      </c>
      <c r="AR67" s="70">
        <f t="shared" si="34"/>
        <v>132948158.09523809</v>
      </c>
      <c r="AS67" s="70">
        <f t="shared" si="34"/>
        <v>132948158.09523809</v>
      </c>
      <c r="AT67" s="71">
        <f t="shared" si="34"/>
        <v>132948158.09523809</v>
      </c>
      <c r="AU67" s="71">
        <f t="shared" si="34"/>
        <v>132948158.09523809</v>
      </c>
      <c r="AV67" s="71">
        <f t="shared" si="34"/>
        <v>132948158.09523809</v>
      </c>
      <c r="AW67" s="71">
        <f t="shared" si="25"/>
        <v>132948158.09523809</v>
      </c>
      <c r="AX67" s="71">
        <f t="shared" si="25"/>
        <v>132948158.09523809</v>
      </c>
      <c r="AY67" s="71">
        <f t="shared" si="25"/>
        <v>132948158.09523809</v>
      </c>
      <c r="AZ67" s="71">
        <f t="shared" si="25"/>
        <v>132948158.09523809</v>
      </c>
      <c r="BA67" s="71">
        <f t="shared" si="25"/>
        <v>132948158.09523809</v>
      </c>
      <c r="BB67" s="71">
        <f t="shared" si="25"/>
        <v>132948158.09523809</v>
      </c>
      <c r="BC67" s="71">
        <f t="shared" si="25"/>
        <v>132948158.09523809</v>
      </c>
      <c r="BD67" s="71">
        <f t="shared" si="25"/>
        <v>132948158.09523809</v>
      </c>
      <c r="BE67" s="71">
        <f t="shared" si="25"/>
        <v>132948158.09523809</v>
      </c>
      <c r="BF67" s="68">
        <f t="shared" si="7"/>
        <v>0</v>
      </c>
      <c r="BG67" s="69">
        <f t="shared" si="8"/>
        <v>0</v>
      </c>
      <c r="BH67" s="70">
        <f t="shared" si="9"/>
        <v>664740790.47619045</v>
      </c>
      <c r="BI67" s="71">
        <f t="shared" si="10"/>
        <v>1595377897.1428576</v>
      </c>
      <c r="BJ67" s="72">
        <f>VLOOKUP(D67,Master!AD:AG,3,FALSE)</f>
        <v>7611300</v>
      </c>
      <c r="BK67" s="73" t="str">
        <f>VLOOKUP(D67,Master!AD:AG,4,FALSE)</f>
        <v>Depreciation-Machiney &amp; equipment</v>
      </c>
    </row>
    <row r="68" spans="1:63" s="74" customFormat="1" ht="15" customHeight="1">
      <c r="A68" s="64" t="s">
        <v>365</v>
      </c>
      <c r="B68" s="25" t="s">
        <v>410</v>
      </c>
      <c r="C68" s="65" t="s">
        <v>312</v>
      </c>
      <c r="D68" s="66">
        <v>2121000</v>
      </c>
      <c r="E68" s="26">
        <v>19969114460</v>
      </c>
      <c r="F68" s="67">
        <v>120</v>
      </c>
      <c r="G68" s="65" t="s">
        <v>254</v>
      </c>
      <c r="H68" s="27">
        <v>1</v>
      </c>
      <c r="I68" s="28">
        <v>44958</v>
      </c>
      <c r="J68" s="65" t="s">
        <v>310</v>
      </c>
      <c r="K68" s="65" t="s">
        <v>285</v>
      </c>
      <c r="L68" s="65" t="s">
        <v>320</v>
      </c>
      <c r="M68" s="65" t="s">
        <v>471</v>
      </c>
      <c r="N68" s="51">
        <f t="shared" si="11"/>
        <v>19969114460</v>
      </c>
      <c r="O68" s="51">
        <f t="shared" si="12"/>
        <v>166409287.16666666</v>
      </c>
      <c r="P68" s="28">
        <f t="shared" si="13"/>
        <v>48611</v>
      </c>
      <c r="Q68" s="68" t="str">
        <f t="shared" si="24"/>
        <v/>
      </c>
      <c r="R68" s="68" t="str">
        <f t="shared" si="24"/>
        <v/>
      </c>
      <c r="S68" s="68" t="str">
        <f t="shared" si="24"/>
        <v/>
      </c>
      <c r="T68" s="68" t="str">
        <f t="shared" si="24"/>
        <v/>
      </c>
      <c r="U68" s="68" t="str">
        <f t="shared" si="24"/>
        <v/>
      </c>
      <c r="V68" s="69" t="str">
        <f t="shared" si="24"/>
        <v/>
      </c>
      <c r="W68" s="69" t="str">
        <f t="shared" si="24"/>
        <v/>
      </c>
      <c r="X68" s="69" t="str">
        <f t="shared" si="24"/>
        <v/>
      </c>
      <c r="Y68" s="69" t="str">
        <f t="shared" si="24"/>
        <v/>
      </c>
      <c r="Z68" s="69" t="str">
        <f t="shared" si="24"/>
        <v/>
      </c>
      <c r="AA68" s="69" t="str">
        <f t="shared" si="24"/>
        <v/>
      </c>
      <c r="AB68" s="69" t="str">
        <f t="shared" si="24"/>
        <v/>
      </c>
      <c r="AC68" s="69" t="str">
        <f t="shared" si="24"/>
        <v/>
      </c>
      <c r="AD68" s="69" t="str">
        <f t="shared" ref="Q68:AF84" si="35">IF(AND(LEFT(AD$1,FIND("_",AD$1)-1)&amp;RIGHT(AD$1,LEN(AD$1)-FIND("_",AD$1)) &gt;= YEAR($I68) &amp; TEXT(MONTH($I68),"00"),LEFT(AD$1,FIND("_",AD$1)-1)&amp;RIGHT(AD$1,LEN(AD$1)-FIND("_",AD$1)) &lt; YEAR($P68) &amp; TEXT(MONTH($P68),"00")),$O68,"")</f>
        <v/>
      </c>
      <c r="AE68" s="69" t="str">
        <f t="shared" si="35"/>
        <v/>
      </c>
      <c r="AF68" s="69" t="str">
        <f t="shared" si="35"/>
        <v/>
      </c>
      <c r="AG68" s="69" t="str">
        <f t="shared" si="34"/>
        <v/>
      </c>
      <c r="AH68" s="70" t="str">
        <f t="shared" si="34"/>
        <v/>
      </c>
      <c r="AI68" s="70" t="str">
        <f t="shared" si="34"/>
        <v/>
      </c>
      <c r="AJ68" s="70" t="str">
        <f t="shared" si="34"/>
        <v/>
      </c>
      <c r="AK68" s="70" t="str">
        <f t="shared" si="34"/>
        <v/>
      </c>
      <c r="AL68" s="70" t="str">
        <f t="shared" si="34"/>
        <v/>
      </c>
      <c r="AM68" s="70" t="str">
        <f t="shared" si="34"/>
        <v/>
      </c>
      <c r="AN68" s="70" t="str">
        <f t="shared" si="34"/>
        <v/>
      </c>
      <c r="AO68" s="70" t="str">
        <f t="shared" si="34"/>
        <v/>
      </c>
      <c r="AP68" s="70" t="str">
        <f t="shared" si="34"/>
        <v/>
      </c>
      <c r="AQ68" s="70" t="str">
        <f t="shared" si="34"/>
        <v/>
      </c>
      <c r="AR68" s="70">
        <f t="shared" si="34"/>
        <v>166409287.16666666</v>
      </c>
      <c r="AS68" s="70">
        <f t="shared" si="34"/>
        <v>166409287.16666666</v>
      </c>
      <c r="AT68" s="71">
        <f t="shared" si="34"/>
        <v>166409287.16666666</v>
      </c>
      <c r="AU68" s="71">
        <f t="shared" si="34"/>
        <v>166409287.16666666</v>
      </c>
      <c r="AV68" s="71">
        <f t="shared" si="34"/>
        <v>166409287.16666666</v>
      </c>
      <c r="AW68" s="71">
        <f t="shared" si="25"/>
        <v>166409287.16666666</v>
      </c>
      <c r="AX68" s="71">
        <f t="shared" si="25"/>
        <v>166409287.16666666</v>
      </c>
      <c r="AY68" s="71">
        <f t="shared" si="25"/>
        <v>166409287.16666666</v>
      </c>
      <c r="AZ68" s="71">
        <f t="shared" si="25"/>
        <v>166409287.16666666</v>
      </c>
      <c r="BA68" s="71">
        <f t="shared" si="25"/>
        <v>166409287.16666666</v>
      </c>
      <c r="BB68" s="71">
        <f t="shared" si="25"/>
        <v>166409287.16666666</v>
      </c>
      <c r="BC68" s="71">
        <f t="shared" si="25"/>
        <v>166409287.16666666</v>
      </c>
      <c r="BD68" s="71">
        <f t="shared" si="25"/>
        <v>166409287.16666666</v>
      </c>
      <c r="BE68" s="71">
        <f t="shared" si="25"/>
        <v>166409287.16666666</v>
      </c>
      <c r="BF68" s="68">
        <f t="shared" ref="BF68:BF131" si="36">SUM(Q68:U68)</f>
        <v>0</v>
      </c>
      <c r="BG68" s="69">
        <f t="shared" ref="BG68:BG131" si="37">SUM(V68:AG68)</f>
        <v>0</v>
      </c>
      <c r="BH68" s="70">
        <f t="shared" ref="BH68:BH131" si="38">SUM(AH68:AS68)</f>
        <v>332818574.33333331</v>
      </c>
      <c r="BI68" s="71">
        <f t="shared" ref="BI68:BI131" si="39">SUM(AT68:BE68)</f>
        <v>1996911446.0000002</v>
      </c>
      <c r="BJ68" s="72">
        <f>VLOOKUP(D68,Master!AD:AG,3,FALSE)</f>
        <v>7611300</v>
      </c>
      <c r="BK68" s="73" t="str">
        <f>VLOOKUP(D68,Master!AD:AG,4,FALSE)</f>
        <v>Depreciation-Machiney &amp; equipment</v>
      </c>
    </row>
    <row r="69" spans="1:63" s="74" customFormat="1" ht="15" customHeight="1">
      <c r="A69" s="64" t="s">
        <v>366</v>
      </c>
      <c r="B69" s="25" t="s">
        <v>411</v>
      </c>
      <c r="C69" s="65" t="s">
        <v>221</v>
      </c>
      <c r="D69" s="66">
        <v>2141000</v>
      </c>
      <c r="E69" s="26">
        <v>15000000</v>
      </c>
      <c r="F69" s="67">
        <v>60</v>
      </c>
      <c r="G69" s="65" t="s">
        <v>285</v>
      </c>
      <c r="H69" s="27">
        <v>1</v>
      </c>
      <c r="I69" s="28">
        <v>44774</v>
      </c>
      <c r="J69" s="65" t="s">
        <v>310</v>
      </c>
      <c r="K69" s="65" t="s">
        <v>285</v>
      </c>
      <c r="L69" s="65" t="s">
        <v>317</v>
      </c>
      <c r="M69" s="65" t="s">
        <v>471</v>
      </c>
      <c r="N69" s="51">
        <f t="shared" si="11"/>
        <v>15000000</v>
      </c>
      <c r="O69" s="51">
        <f t="shared" si="12"/>
        <v>250000</v>
      </c>
      <c r="P69" s="28">
        <f t="shared" si="13"/>
        <v>46600</v>
      </c>
      <c r="Q69" s="68" t="str">
        <f t="shared" si="35"/>
        <v/>
      </c>
      <c r="R69" s="68" t="str">
        <f t="shared" si="35"/>
        <v/>
      </c>
      <c r="S69" s="68" t="str">
        <f t="shared" si="35"/>
        <v/>
      </c>
      <c r="T69" s="68" t="str">
        <f t="shared" si="35"/>
        <v/>
      </c>
      <c r="U69" s="68" t="str">
        <f t="shared" si="35"/>
        <v/>
      </c>
      <c r="V69" s="69" t="str">
        <f t="shared" si="35"/>
        <v/>
      </c>
      <c r="W69" s="69" t="str">
        <f t="shared" si="35"/>
        <v/>
      </c>
      <c r="X69" s="69" t="str">
        <f t="shared" si="35"/>
        <v/>
      </c>
      <c r="Y69" s="69" t="str">
        <f t="shared" si="35"/>
        <v/>
      </c>
      <c r="Z69" s="69" t="str">
        <f t="shared" si="35"/>
        <v/>
      </c>
      <c r="AA69" s="69" t="str">
        <f t="shared" si="35"/>
        <v/>
      </c>
      <c r="AB69" s="69" t="str">
        <f t="shared" si="35"/>
        <v/>
      </c>
      <c r="AC69" s="69" t="str">
        <f t="shared" si="35"/>
        <v/>
      </c>
      <c r="AD69" s="69" t="str">
        <f t="shared" si="35"/>
        <v/>
      </c>
      <c r="AE69" s="69" t="str">
        <f t="shared" si="35"/>
        <v/>
      </c>
      <c r="AF69" s="69" t="str">
        <f t="shared" si="35"/>
        <v/>
      </c>
      <c r="AG69" s="69" t="str">
        <f t="shared" si="34"/>
        <v/>
      </c>
      <c r="AH69" s="70" t="str">
        <f t="shared" si="34"/>
        <v/>
      </c>
      <c r="AI69" s="70" t="str">
        <f t="shared" si="34"/>
        <v/>
      </c>
      <c r="AJ69" s="70" t="str">
        <f t="shared" si="34"/>
        <v/>
      </c>
      <c r="AK69" s="70" t="str">
        <f t="shared" si="34"/>
        <v/>
      </c>
      <c r="AL69" s="70">
        <f t="shared" si="34"/>
        <v>250000</v>
      </c>
      <c r="AM69" s="70">
        <f t="shared" si="34"/>
        <v>250000</v>
      </c>
      <c r="AN69" s="70">
        <f t="shared" si="34"/>
        <v>250000</v>
      </c>
      <c r="AO69" s="70">
        <f t="shared" si="34"/>
        <v>250000</v>
      </c>
      <c r="AP69" s="70">
        <f t="shared" si="34"/>
        <v>250000</v>
      </c>
      <c r="AQ69" s="70">
        <f t="shared" si="34"/>
        <v>250000</v>
      </c>
      <c r="AR69" s="70">
        <f t="shared" si="34"/>
        <v>250000</v>
      </c>
      <c r="AS69" s="70">
        <f t="shared" si="34"/>
        <v>250000</v>
      </c>
      <c r="AT69" s="71">
        <f t="shared" si="34"/>
        <v>250000</v>
      </c>
      <c r="AU69" s="71">
        <f t="shared" si="34"/>
        <v>250000</v>
      </c>
      <c r="AV69" s="71">
        <f t="shared" si="34"/>
        <v>250000</v>
      </c>
      <c r="AW69" s="71">
        <f t="shared" si="25"/>
        <v>250000</v>
      </c>
      <c r="AX69" s="71">
        <f t="shared" si="25"/>
        <v>250000</v>
      </c>
      <c r="AY69" s="71">
        <f t="shared" si="25"/>
        <v>250000</v>
      </c>
      <c r="AZ69" s="71">
        <f t="shared" si="25"/>
        <v>250000</v>
      </c>
      <c r="BA69" s="71">
        <f t="shared" si="25"/>
        <v>250000</v>
      </c>
      <c r="BB69" s="71">
        <f t="shared" si="25"/>
        <v>250000</v>
      </c>
      <c r="BC69" s="71">
        <f t="shared" si="25"/>
        <v>250000</v>
      </c>
      <c r="BD69" s="71">
        <f t="shared" si="25"/>
        <v>250000</v>
      </c>
      <c r="BE69" s="71">
        <f t="shared" si="25"/>
        <v>250000</v>
      </c>
      <c r="BF69" s="68">
        <f t="shared" si="36"/>
        <v>0</v>
      </c>
      <c r="BG69" s="69">
        <f t="shared" si="37"/>
        <v>0</v>
      </c>
      <c r="BH69" s="70">
        <f t="shared" si="38"/>
        <v>2000000</v>
      </c>
      <c r="BI69" s="71">
        <f t="shared" si="39"/>
        <v>3000000</v>
      </c>
      <c r="BJ69" s="72">
        <f>VLOOKUP(D69,Master!AD:AG,3,FALSE)</f>
        <v>7611600</v>
      </c>
      <c r="BK69" s="73" t="str">
        <f>VLOOKUP(D69,Master!AD:AG,4,FALSE)</f>
        <v>Depreciation-Tools, furniture &amp; office equipment</v>
      </c>
    </row>
    <row r="70" spans="1:63" s="74" customFormat="1" ht="15" customHeight="1">
      <c r="A70" s="64" t="s">
        <v>367</v>
      </c>
      <c r="B70" s="25" t="s">
        <v>483</v>
      </c>
      <c r="C70" s="65" t="s">
        <v>312</v>
      </c>
      <c r="D70" s="66">
        <v>2121000</v>
      </c>
      <c r="E70" s="26">
        <v>6907351840</v>
      </c>
      <c r="F70" s="67">
        <v>120</v>
      </c>
      <c r="G70" s="65" t="s">
        <v>246</v>
      </c>
      <c r="H70" s="27">
        <v>1</v>
      </c>
      <c r="I70" s="28">
        <v>45017</v>
      </c>
      <c r="J70" s="65" t="s">
        <v>310</v>
      </c>
      <c r="K70" s="65" t="s">
        <v>285</v>
      </c>
      <c r="L70" s="65" t="s">
        <v>314</v>
      </c>
      <c r="M70" s="65" t="s">
        <v>469</v>
      </c>
      <c r="N70" s="51">
        <f t="shared" si="11"/>
        <v>6907351840</v>
      </c>
      <c r="O70" s="51">
        <f t="shared" si="12"/>
        <v>57561265.333333336</v>
      </c>
      <c r="P70" s="28">
        <f t="shared" si="13"/>
        <v>48670</v>
      </c>
      <c r="Q70" s="68" t="str">
        <f t="shared" si="35"/>
        <v/>
      </c>
      <c r="R70" s="68" t="str">
        <f t="shared" si="35"/>
        <v/>
      </c>
      <c r="S70" s="68" t="str">
        <f t="shared" si="35"/>
        <v/>
      </c>
      <c r="T70" s="68" t="str">
        <f t="shared" si="35"/>
        <v/>
      </c>
      <c r="U70" s="68" t="str">
        <f t="shared" si="35"/>
        <v/>
      </c>
      <c r="V70" s="69" t="str">
        <f t="shared" si="35"/>
        <v/>
      </c>
      <c r="W70" s="69" t="str">
        <f t="shared" si="35"/>
        <v/>
      </c>
      <c r="X70" s="69" t="str">
        <f t="shared" si="35"/>
        <v/>
      </c>
      <c r="Y70" s="69" t="str">
        <f t="shared" si="35"/>
        <v/>
      </c>
      <c r="Z70" s="69" t="str">
        <f t="shared" si="35"/>
        <v/>
      </c>
      <c r="AA70" s="69" t="str">
        <f t="shared" si="35"/>
        <v/>
      </c>
      <c r="AB70" s="69" t="str">
        <f t="shared" si="35"/>
        <v/>
      </c>
      <c r="AC70" s="69" t="str">
        <f t="shared" si="35"/>
        <v/>
      </c>
      <c r="AD70" s="69" t="str">
        <f t="shared" si="35"/>
        <v/>
      </c>
      <c r="AE70" s="69" t="str">
        <f t="shared" si="35"/>
        <v/>
      </c>
      <c r="AF70" s="69" t="str">
        <f t="shared" si="35"/>
        <v/>
      </c>
      <c r="AG70" s="69" t="str">
        <f t="shared" si="34"/>
        <v/>
      </c>
      <c r="AH70" s="70" t="str">
        <f t="shared" si="34"/>
        <v/>
      </c>
      <c r="AI70" s="70" t="str">
        <f t="shared" si="34"/>
        <v/>
      </c>
      <c r="AJ70" s="70" t="str">
        <f t="shared" si="34"/>
        <v/>
      </c>
      <c r="AK70" s="70" t="str">
        <f t="shared" si="34"/>
        <v/>
      </c>
      <c r="AL70" s="70" t="str">
        <f t="shared" si="34"/>
        <v/>
      </c>
      <c r="AM70" s="70" t="str">
        <f t="shared" si="34"/>
        <v/>
      </c>
      <c r="AN70" s="70" t="str">
        <f t="shared" si="34"/>
        <v/>
      </c>
      <c r="AO70" s="70" t="str">
        <f t="shared" si="34"/>
        <v/>
      </c>
      <c r="AP70" s="70" t="str">
        <f t="shared" si="34"/>
        <v/>
      </c>
      <c r="AQ70" s="70" t="str">
        <f t="shared" si="34"/>
        <v/>
      </c>
      <c r="AR70" s="70" t="str">
        <f t="shared" si="34"/>
        <v/>
      </c>
      <c r="AS70" s="70" t="str">
        <f t="shared" si="34"/>
        <v/>
      </c>
      <c r="AT70" s="71">
        <f t="shared" si="34"/>
        <v>57561265.333333336</v>
      </c>
      <c r="AU70" s="71">
        <f t="shared" si="34"/>
        <v>57561265.333333336</v>
      </c>
      <c r="AV70" s="71">
        <f t="shared" si="34"/>
        <v>57561265.333333336</v>
      </c>
      <c r="AW70" s="71">
        <f t="shared" si="25"/>
        <v>57561265.333333336</v>
      </c>
      <c r="AX70" s="71">
        <f t="shared" si="25"/>
        <v>57561265.333333336</v>
      </c>
      <c r="AY70" s="71">
        <f t="shared" si="25"/>
        <v>57561265.333333336</v>
      </c>
      <c r="AZ70" s="71">
        <f t="shared" si="25"/>
        <v>57561265.333333336</v>
      </c>
      <c r="BA70" s="71">
        <f t="shared" si="25"/>
        <v>57561265.333333336</v>
      </c>
      <c r="BB70" s="71">
        <f t="shared" si="25"/>
        <v>57561265.333333336</v>
      </c>
      <c r="BC70" s="71">
        <f t="shared" si="25"/>
        <v>57561265.333333336</v>
      </c>
      <c r="BD70" s="71">
        <f t="shared" si="25"/>
        <v>57561265.333333336</v>
      </c>
      <c r="BE70" s="71">
        <f t="shared" si="25"/>
        <v>57561265.333333336</v>
      </c>
      <c r="BF70" s="68">
        <f t="shared" si="36"/>
        <v>0</v>
      </c>
      <c r="BG70" s="69">
        <f t="shared" si="37"/>
        <v>0</v>
      </c>
      <c r="BH70" s="70">
        <f t="shared" si="38"/>
        <v>0</v>
      </c>
      <c r="BI70" s="71">
        <f t="shared" si="39"/>
        <v>690735184</v>
      </c>
      <c r="BJ70" s="72">
        <f>VLOOKUP(D70,Master!AD:AG,3,FALSE)</f>
        <v>7611300</v>
      </c>
      <c r="BK70" s="73" t="str">
        <f>VLOOKUP(D70,Master!AD:AG,4,FALSE)</f>
        <v>Depreciation-Machiney &amp; equipment</v>
      </c>
    </row>
    <row r="71" spans="1:63" s="74" customFormat="1" ht="15" customHeight="1">
      <c r="A71" s="64" t="s">
        <v>368</v>
      </c>
      <c r="B71" s="25" t="s">
        <v>412</v>
      </c>
      <c r="C71" s="65" t="s">
        <v>313</v>
      </c>
      <c r="D71" s="66">
        <v>2121000</v>
      </c>
      <c r="E71" s="26">
        <v>2649999580</v>
      </c>
      <c r="F71" s="67">
        <v>84</v>
      </c>
      <c r="G71" s="65" t="s">
        <v>246</v>
      </c>
      <c r="H71" s="27">
        <v>1</v>
      </c>
      <c r="I71" s="28">
        <v>45017</v>
      </c>
      <c r="J71" s="65" t="s">
        <v>310</v>
      </c>
      <c r="K71" s="65" t="s">
        <v>285</v>
      </c>
      <c r="L71" s="65" t="s">
        <v>314</v>
      </c>
      <c r="M71" s="65" t="s">
        <v>469</v>
      </c>
      <c r="N71" s="51">
        <f t="shared" ref="N71:N134" si="40">H71*E71</f>
        <v>2649999580</v>
      </c>
      <c r="O71" s="51">
        <f t="shared" ref="O71:O134" si="41">N71/F71</f>
        <v>31547614.047619049</v>
      </c>
      <c r="P71" s="28">
        <f t="shared" ref="P71:P134" si="42">DATE(YEAR(I71),MONTH(I71)+F71,DAY(I71))</f>
        <v>47574</v>
      </c>
      <c r="Q71" s="68" t="str">
        <f t="shared" si="35"/>
        <v/>
      </c>
      <c r="R71" s="68" t="str">
        <f t="shared" si="35"/>
        <v/>
      </c>
      <c r="S71" s="68" t="str">
        <f t="shared" si="35"/>
        <v/>
      </c>
      <c r="T71" s="68" t="str">
        <f t="shared" si="35"/>
        <v/>
      </c>
      <c r="U71" s="68" t="str">
        <f t="shared" si="35"/>
        <v/>
      </c>
      <c r="V71" s="69" t="str">
        <f t="shared" si="35"/>
        <v/>
      </c>
      <c r="W71" s="69" t="str">
        <f t="shared" si="35"/>
        <v/>
      </c>
      <c r="X71" s="69" t="str">
        <f t="shared" si="35"/>
        <v/>
      </c>
      <c r="Y71" s="69" t="str">
        <f t="shared" si="35"/>
        <v/>
      </c>
      <c r="Z71" s="69" t="str">
        <f t="shared" si="35"/>
        <v/>
      </c>
      <c r="AA71" s="69" t="str">
        <f t="shared" si="35"/>
        <v/>
      </c>
      <c r="AB71" s="69" t="str">
        <f t="shared" si="35"/>
        <v/>
      </c>
      <c r="AC71" s="69" t="str">
        <f t="shared" si="35"/>
        <v/>
      </c>
      <c r="AD71" s="69" t="str">
        <f t="shared" si="35"/>
        <v/>
      </c>
      <c r="AE71" s="69" t="str">
        <f t="shared" si="35"/>
        <v/>
      </c>
      <c r="AF71" s="69" t="str">
        <f t="shared" si="35"/>
        <v/>
      </c>
      <c r="AG71" s="69" t="str">
        <f t="shared" si="34"/>
        <v/>
      </c>
      <c r="AH71" s="70" t="str">
        <f t="shared" si="34"/>
        <v/>
      </c>
      <c r="AI71" s="70" t="str">
        <f t="shared" si="34"/>
        <v/>
      </c>
      <c r="AJ71" s="70" t="str">
        <f t="shared" si="34"/>
        <v/>
      </c>
      <c r="AK71" s="70" t="str">
        <f t="shared" si="34"/>
        <v/>
      </c>
      <c r="AL71" s="70" t="str">
        <f t="shared" si="34"/>
        <v/>
      </c>
      <c r="AM71" s="70" t="str">
        <f t="shared" si="34"/>
        <v/>
      </c>
      <c r="AN71" s="70" t="str">
        <f t="shared" si="34"/>
        <v/>
      </c>
      <c r="AO71" s="70" t="str">
        <f t="shared" si="34"/>
        <v/>
      </c>
      <c r="AP71" s="70" t="str">
        <f t="shared" si="34"/>
        <v/>
      </c>
      <c r="AQ71" s="70" t="str">
        <f t="shared" si="34"/>
        <v/>
      </c>
      <c r="AR71" s="70" t="str">
        <f t="shared" si="34"/>
        <v/>
      </c>
      <c r="AS71" s="70" t="str">
        <f t="shared" si="34"/>
        <v/>
      </c>
      <c r="AT71" s="71">
        <f t="shared" si="34"/>
        <v>31547614.047619049</v>
      </c>
      <c r="AU71" s="71">
        <f t="shared" si="34"/>
        <v>31547614.047619049</v>
      </c>
      <c r="AV71" s="71">
        <f t="shared" si="34"/>
        <v>31547614.047619049</v>
      </c>
      <c r="AW71" s="71">
        <f t="shared" si="25"/>
        <v>31547614.047619049</v>
      </c>
      <c r="AX71" s="71">
        <f t="shared" si="25"/>
        <v>31547614.047619049</v>
      </c>
      <c r="AY71" s="71">
        <f t="shared" si="25"/>
        <v>31547614.047619049</v>
      </c>
      <c r="AZ71" s="71">
        <f t="shared" si="25"/>
        <v>31547614.047619049</v>
      </c>
      <c r="BA71" s="71">
        <f t="shared" si="25"/>
        <v>31547614.047619049</v>
      </c>
      <c r="BB71" s="71">
        <f t="shared" si="25"/>
        <v>31547614.047619049</v>
      </c>
      <c r="BC71" s="71">
        <f t="shared" si="25"/>
        <v>31547614.047619049</v>
      </c>
      <c r="BD71" s="71">
        <f t="shared" si="25"/>
        <v>31547614.047619049</v>
      </c>
      <c r="BE71" s="71">
        <f t="shared" si="25"/>
        <v>31547614.047619049</v>
      </c>
      <c r="BF71" s="68">
        <f t="shared" si="36"/>
        <v>0</v>
      </c>
      <c r="BG71" s="69">
        <f t="shared" si="37"/>
        <v>0</v>
      </c>
      <c r="BH71" s="70">
        <f t="shared" si="38"/>
        <v>0</v>
      </c>
      <c r="BI71" s="71">
        <f t="shared" si="39"/>
        <v>378571368.5714286</v>
      </c>
      <c r="BJ71" s="72">
        <f>VLOOKUP(D71,Master!AD:AG,3,FALSE)</f>
        <v>7611300</v>
      </c>
      <c r="BK71" s="73" t="str">
        <f>VLOOKUP(D71,Master!AD:AG,4,FALSE)</f>
        <v>Depreciation-Machiney &amp; equipment</v>
      </c>
    </row>
    <row r="72" spans="1:63" s="74" customFormat="1" ht="15" customHeight="1">
      <c r="A72" s="64" t="s">
        <v>369</v>
      </c>
      <c r="B72" s="25" t="s">
        <v>413</v>
      </c>
      <c r="C72" s="65" t="s">
        <v>312</v>
      </c>
      <c r="D72" s="66">
        <v>2121000</v>
      </c>
      <c r="E72" s="26">
        <v>3123234800</v>
      </c>
      <c r="F72" s="67">
        <v>120</v>
      </c>
      <c r="G72" s="65" t="s">
        <v>254</v>
      </c>
      <c r="H72" s="27">
        <v>1</v>
      </c>
      <c r="I72" s="28">
        <v>45139</v>
      </c>
      <c r="J72" s="65" t="s">
        <v>310</v>
      </c>
      <c r="K72" s="65" t="s">
        <v>285</v>
      </c>
      <c r="L72" s="65" t="s">
        <v>314</v>
      </c>
      <c r="M72" s="65" t="s">
        <v>469</v>
      </c>
      <c r="N72" s="51">
        <f t="shared" si="40"/>
        <v>3123234800</v>
      </c>
      <c r="O72" s="51">
        <f t="shared" si="41"/>
        <v>26026956.666666668</v>
      </c>
      <c r="P72" s="28">
        <f t="shared" si="42"/>
        <v>48792</v>
      </c>
      <c r="Q72" s="68" t="str">
        <f t="shared" si="35"/>
        <v/>
      </c>
      <c r="R72" s="68" t="str">
        <f t="shared" si="35"/>
        <v/>
      </c>
      <c r="S72" s="68" t="str">
        <f t="shared" si="35"/>
        <v/>
      </c>
      <c r="T72" s="68" t="str">
        <f t="shared" si="35"/>
        <v/>
      </c>
      <c r="U72" s="68" t="str">
        <f t="shared" si="35"/>
        <v/>
      </c>
      <c r="V72" s="69" t="str">
        <f t="shared" si="35"/>
        <v/>
      </c>
      <c r="W72" s="69" t="str">
        <f t="shared" si="35"/>
        <v/>
      </c>
      <c r="X72" s="69" t="str">
        <f t="shared" si="35"/>
        <v/>
      </c>
      <c r="Y72" s="69" t="str">
        <f t="shared" si="35"/>
        <v/>
      </c>
      <c r="Z72" s="69" t="str">
        <f t="shared" si="35"/>
        <v/>
      </c>
      <c r="AA72" s="69" t="str">
        <f t="shared" si="35"/>
        <v/>
      </c>
      <c r="AB72" s="69" t="str">
        <f t="shared" si="35"/>
        <v/>
      </c>
      <c r="AC72" s="69" t="str">
        <f t="shared" si="35"/>
        <v/>
      </c>
      <c r="AD72" s="69" t="str">
        <f t="shared" si="35"/>
        <v/>
      </c>
      <c r="AE72" s="69" t="str">
        <f t="shared" si="35"/>
        <v/>
      </c>
      <c r="AF72" s="69" t="str">
        <f t="shared" si="35"/>
        <v/>
      </c>
      <c r="AG72" s="69" t="str">
        <f t="shared" si="34"/>
        <v/>
      </c>
      <c r="AH72" s="70" t="str">
        <f t="shared" si="34"/>
        <v/>
      </c>
      <c r="AI72" s="70" t="str">
        <f t="shared" si="34"/>
        <v/>
      </c>
      <c r="AJ72" s="70" t="str">
        <f t="shared" si="34"/>
        <v/>
      </c>
      <c r="AK72" s="70" t="str">
        <f t="shared" si="34"/>
        <v/>
      </c>
      <c r="AL72" s="70" t="str">
        <f t="shared" si="34"/>
        <v/>
      </c>
      <c r="AM72" s="70" t="str">
        <f t="shared" si="34"/>
        <v/>
      </c>
      <c r="AN72" s="70" t="str">
        <f t="shared" si="34"/>
        <v/>
      </c>
      <c r="AO72" s="70" t="str">
        <f t="shared" si="34"/>
        <v/>
      </c>
      <c r="AP72" s="70" t="str">
        <f t="shared" si="34"/>
        <v/>
      </c>
      <c r="AQ72" s="70" t="str">
        <f t="shared" si="34"/>
        <v/>
      </c>
      <c r="AR72" s="70" t="str">
        <f t="shared" si="34"/>
        <v/>
      </c>
      <c r="AS72" s="70" t="str">
        <f t="shared" ref="AG72:AV88" si="43">IF(AND(LEFT(AS$1,FIND("_",AS$1)-1)&amp;RIGHT(AS$1,LEN(AS$1)-FIND("_",AS$1)) &gt;= YEAR($I72) &amp; TEXT(MONTH($I72),"00"),LEFT(AS$1,FIND("_",AS$1)-1)&amp;RIGHT(AS$1,LEN(AS$1)-FIND("_",AS$1)) &lt; YEAR($P72) &amp; TEXT(MONTH($P72),"00")),$O72,"")</f>
        <v/>
      </c>
      <c r="AT72" s="71" t="str">
        <f t="shared" si="43"/>
        <v/>
      </c>
      <c r="AU72" s="71" t="str">
        <f t="shared" si="43"/>
        <v/>
      </c>
      <c r="AV72" s="71" t="str">
        <f t="shared" si="43"/>
        <v/>
      </c>
      <c r="AW72" s="71" t="str">
        <f t="shared" si="25"/>
        <v/>
      </c>
      <c r="AX72" s="71">
        <f t="shared" si="25"/>
        <v>26026956.666666668</v>
      </c>
      <c r="AY72" s="71">
        <f t="shared" si="25"/>
        <v>26026956.666666668</v>
      </c>
      <c r="AZ72" s="71">
        <f t="shared" si="25"/>
        <v>26026956.666666668</v>
      </c>
      <c r="BA72" s="71">
        <f t="shared" si="25"/>
        <v>26026956.666666668</v>
      </c>
      <c r="BB72" s="71">
        <f t="shared" si="25"/>
        <v>26026956.666666668</v>
      </c>
      <c r="BC72" s="71">
        <f t="shared" si="25"/>
        <v>26026956.666666668</v>
      </c>
      <c r="BD72" s="71">
        <f t="shared" si="25"/>
        <v>26026956.666666668</v>
      </c>
      <c r="BE72" s="71">
        <f t="shared" si="25"/>
        <v>26026956.666666668</v>
      </c>
      <c r="BF72" s="68">
        <f t="shared" si="36"/>
        <v>0</v>
      </c>
      <c r="BG72" s="69">
        <f t="shared" si="37"/>
        <v>0</v>
      </c>
      <c r="BH72" s="70">
        <f t="shared" si="38"/>
        <v>0</v>
      </c>
      <c r="BI72" s="71">
        <f t="shared" si="39"/>
        <v>208215653.33333331</v>
      </c>
      <c r="BJ72" s="72">
        <f>VLOOKUP(D72,Master!AD:AG,3,FALSE)</f>
        <v>7611300</v>
      </c>
      <c r="BK72" s="73" t="str">
        <f>VLOOKUP(D72,Master!AD:AG,4,FALSE)</f>
        <v>Depreciation-Machiney &amp; equipment</v>
      </c>
    </row>
    <row r="73" spans="1:63" s="74" customFormat="1" ht="15" customHeight="1">
      <c r="A73" s="64" t="s">
        <v>370</v>
      </c>
      <c r="B73" s="25" t="s">
        <v>414</v>
      </c>
      <c r="C73" s="65" t="s">
        <v>313</v>
      </c>
      <c r="D73" s="66">
        <v>2121000</v>
      </c>
      <c r="E73" s="26">
        <v>11167645280</v>
      </c>
      <c r="F73" s="67">
        <v>84</v>
      </c>
      <c r="G73" s="65" t="s">
        <v>244</v>
      </c>
      <c r="H73" s="27">
        <v>1</v>
      </c>
      <c r="I73" s="28">
        <v>45140</v>
      </c>
      <c r="J73" s="65" t="s">
        <v>310</v>
      </c>
      <c r="K73" s="65" t="s">
        <v>285</v>
      </c>
      <c r="L73" s="65" t="s">
        <v>314</v>
      </c>
      <c r="M73" s="65" t="s">
        <v>469</v>
      </c>
      <c r="N73" s="51">
        <f t="shared" si="40"/>
        <v>11167645280</v>
      </c>
      <c r="O73" s="51">
        <f t="shared" si="41"/>
        <v>132948158.09523809</v>
      </c>
      <c r="P73" s="28">
        <f t="shared" si="42"/>
        <v>47697</v>
      </c>
      <c r="Q73" s="68" t="str">
        <f t="shared" si="35"/>
        <v/>
      </c>
      <c r="R73" s="68" t="str">
        <f t="shared" si="35"/>
        <v/>
      </c>
      <c r="S73" s="68" t="str">
        <f t="shared" si="35"/>
        <v/>
      </c>
      <c r="T73" s="68" t="str">
        <f t="shared" si="35"/>
        <v/>
      </c>
      <c r="U73" s="68" t="str">
        <f t="shared" si="35"/>
        <v/>
      </c>
      <c r="V73" s="69" t="str">
        <f t="shared" si="35"/>
        <v/>
      </c>
      <c r="W73" s="69" t="str">
        <f t="shared" si="35"/>
        <v/>
      </c>
      <c r="X73" s="69" t="str">
        <f t="shared" si="35"/>
        <v/>
      </c>
      <c r="Y73" s="69" t="str">
        <f t="shared" si="35"/>
        <v/>
      </c>
      <c r="Z73" s="69" t="str">
        <f t="shared" si="35"/>
        <v/>
      </c>
      <c r="AA73" s="69" t="str">
        <f t="shared" si="35"/>
        <v/>
      </c>
      <c r="AB73" s="69" t="str">
        <f t="shared" si="35"/>
        <v/>
      </c>
      <c r="AC73" s="69" t="str">
        <f t="shared" si="35"/>
        <v/>
      </c>
      <c r="AD73" s="69" t="str">
        <f t="shared" si="35"/>
        <v/>
      </c>
      <c r="AE73" s="69" t="str">
        <f t="shared" si="35"/>
        <v/>
      </c>
      <c r="AF73" s="69" t="str">
        <f t="shared" si="35"/>
        <v/>
      </c>
      <c r="AG73" s="69" t="str">
        <f t="shared" si="43"/>
        <v/>
      </c>
      <c r="AH73" s="70" t="str">
        <f t="shared" si="43"/>
        <v/>
      </c>
      <c r="AI73" s="70" t="str">
        <f t="shared" si="43"/>
        <v/>
      </c>
      <c r="AJ73" s="70" t="str">
        <f t="shared" si="43"/>
        <v/>
      </c>
      <c r="AK73" s="70" t="str">
        <f t="shared" si="43"/>
        <v/>
      </c>
      <c r="AL73" s="70" t="str">
        <f t="shared" si="43"/>
        <v/>
      </c>
      <c r="AM73" s="70" t="str">
        <f t="shared" si="43"/>
        <v/>
      </c>
      <c r="AN73" s="70" t="str">
        <f t="shared" si="43"/>
        <v/>
      </c>
      <c r="AO73" s="70" t="str">
        <f t="shared" si="43"/>
        <v/>
      </c>
      <c r="AP73" s="70" t="str">
        <f t="shared" si="43"/>
        <v/>
      </c>
      <c r="AQ73" s="70" t="str">
        <f t="shared" si="43"/>
        <v/>
      </c>
      <c r="AR73" s="70" t="str">
        <f t="shared" si="43"/>
        <v/>
      </c>
      <c r="AS73" s="70" t="str">
        <f t="shared" si="43"/>
        <v/>
      </c>
      <c r="AT73" s="71" t="str">
        <f t="shared" si="43"/>
        <v/>
      </c>
      <c r="AU73" s="71" t="str">
        <f t="shared" si="43"/>
        <v/>
      </c>
      <c r="AV73" s="71" t="str">
        <f t="shared" si="43"/>
        <v/>
      </c>
      <c r="AW73" s="71" t="str">
        <f t="shared" si="25"/>
        <v/>
      </c>
      <c r="AX73" s="71">
        <f t="shared" si="25"/>
        <v>132948158.09523809</v>
      </c>
      <c r="AY73" s="71">
        <f t="shared" si="25"/>
        <v>132948158.09523809</v>
      </c>
      <c r="AZ73" s="71">
        <f t="shared" si="25"/>
        <v>132948158.09523809</v>
      </c>
      <c r="BA73" s="71">
        <f t="shared" si="25"/>
        <v>132948158.09523809</v>
      </c>
      <c r="BB73" s="71">
        <f t="shared" si="25"/>
        <v>132948158.09523809</v>
      </c>
      <c r="BC73" s="71">
        <f t="shared" si="25"/>
        <v>132948158.09523809</v>
      </c>
      <c r="BD73" s="71">
        <f t="shared" si="25"/>
        <v>132948158.09523809</v>
      </c>
      <c r="BE73" s="71">
        <f t="shared" si="25"/>
        <v>132948158.09523809</v>
      </c>
      <c r="BF73" s="68">
        <f t="shared" si="36"/>
        <v>0</v>
      </c>
      <c r="BG73" s="69">
        <f t="shared" si="37"/>
        <v>0</v>
      </c>
      <c r="BH73" s="70">
        <f t="shared" si="38"/>
        <v>0</v>
      </c>
      <c r="BI73" s="71">
        <f t="shared" si="39"/>
        <v>1063585264.7619047</v>
      </c>
      <c r="BJ73" s="72">
        <f>VLOOKUP(D73,Master!AD:AG,3,FALSE)</f>
        <v>7611300</v>
      </c>
      <c r="BK73" s="73" t="str">
        <f>VLOOKUP(D73,Master!AD:AG,4,FALSE)</f>
        <v>Depreciation-Machiney &amp; equipment</v>
      </c>
    </row>
    <row r="74" spans="1:63" s="74" customFormat="1" ht="15" customHeight="1">
      <c r="A74" s="64" t="s">
        <v>308</v>
      </c>
      <c r="B74" s="25" t="s">
        <v>417</v>
      </c>
      <c r="C74" s="65" t="s">
        <v>221</v>
      </c>
      <c r="D74" s="66">
        <v>2141000</v>
      </c>
      <c r="E74" s="26">
        <v>8000000</v>
      </c>
      <c r="F74" s="67">
        <v>60</v>
      </c>
      <c r="G74" s="65" t="s">
        <v>244</v>
      </c>
      <c r="H74" s="27">
        <v>1</v>
      </c>
      <c r="I74" s="28">
        <v>44287</v>
      </c>
      <c r="J74" s="65" t="s">
        <v>310</v>
      </c>
      <c r="K74" s="65" t="s">
        <v>244</v>
      </c>
      <c r="L74" s="65" t="s">
        <v>317</v>
      </c>
      <c r="M74" s="65" t="s">
        <v>472</v>
      </c>
      <c r="N74" s="51">
        <f t="shared" si="40"/>
        <v>8000000</v>
      </c>
      <c r="O74" s="51">
        <f t="shared" si="41"/>
        <v>133333.33333333334</v>
      </c>
      <c r="P74" s="28">
        <f t="shared" si="42"/>
        <v>46113</v>
      </c>
      <c r="Q74" s="68" t="str">
        <f t="shared" si="35"/>
        <v/>
      </c>
      <c r="R74" s="68" t="str">
        <f t="shared" si="35"/>
        <v/>
      </c>
      <c r="S74" s="68" t="str">
        <f t="shared" si="35"/>
        <v/>
      </c>
      <c r="T74" s="68" t="str">
        <f t="shared" si="35"/>
        <v/>
      </c>
      <c r="U74" s="68" t="str">
        <f t="shared" si="35"/>
        <v/>
      </c>
      <c r="V74" s="69">
        <f t="shared" si="35"/>
        <v>133333.33333333334</v>
      </c>
      <c r="W74" s="69">
        <f t="shared" si="35"/>
        <v>133333.33333333334</v>
      </c>
      <c r="X74" s="69">
        <f t="shared" si="35"/>
        <v>133333.33333333334</v>
      </c>
      <c r="Y74" s="69">
        <f t="shared" si="35"/>
        <v>133333.33333333334</v>
      </c>
      <c r="Z74" s="69">
        <f t="shared" si="35"/>
        <v>133333.33333333334</v>
      </c>
      <c r="AA74" s="69">
        <f t="shared" si="35"/>
        <v>133333.33333333334</v>
      </c>
      <c r="AB74" s="69">
        <f t="shared" si="35"/>
        <v>133333.33333333334</v>
      </c>
      <c r="AC74" s="69">
        <f t="shared" si="35"/>
        <v>133333.33333333334</v>
      </c>
      <c r="AD74" s="69">
        <f t="shared" si="35"/>
        <v>133333.33333333334</v>
      </c>
      <c r="AE74" s="69">
        <f t="shared" si="35"/>
        <v>133333.33333333334</v>
      </c>
      <c r="AF74" s="69">
        <f t="shared" si="35"/>
        <v>133333.33333333334</v>
      </c>
      <c r="AG74" s="69">
        <f t="shared" si="43"/>
        <v>133333.33333333334</v>
      </c>
      <c r="AH74" s="70">
        <f t="shared" si="43"/>
        <v>133333.33333333334</v>
      </c>
      <c r="AI74" s="70">
        <f t="shared" si="43"/>
        <v>133333.33333333334</v>
      </c>
      <c r="AJ74" s="70">
        <f t="shared" si="43"/>
        <v>133333.33333333334</v>
      </c>
      <c r="AK74" s="70">
        <f t="shared" si="43"/>
        <v>133333.33333333334</v>
      </c>
      <c r="AL74" s="70">
        <f t="shared" si="43"/>
        <v>133333.33333333334</v>
      </c>
      <c r="AM74" s="70">
        <f t="shared" si="43"/>
        <v>133333.33333333334</v>
      </c>
      <c r="AN74" s="70">
        <f t="shared" si="43"/>
        <v>133333.33333333334</v>
      </c>
      <c r="AO74" s="70">
        <f t="shared" si="43"/>
        <v>133333.33333333334</v>
      </c>
      <c r="AP74" s="70">
        <f t="shared" si="43"/>
        <v>133333.33333333334</v>
      </c>
      <c r="AQ74" s="70">
        <f t="shared" si="43"/>
        <v>133333.33333333334</v>
      </c>
      <c r="AR74" s="70">
        <f t="shared" si="43"/>
        <v>133333.33333333334</v>
      </c>
      <c r="AS74" s="70">
        <f t="shared" si="43"/>
        <v>133333.33333333334</v>
      </c>
      <c r="AT74" s="71">
        <f t="shared" si="43"/>
        <v>133333.33333333334</v>
      </c>
      <c r="AU74" s="71">
        <f t="shared" si="43"/>
        <v>133333.33333333334</v>
      </c>
      <c r="AV74" s="71">
        <f t="shared" si="43"/>
        <v>133333.33333333334</v>
      </c>
      <c r="AW74" s="71">
        <f t="shared" si="25"/>
        <v>133333.33333333334</v>
      </c>
      <c r="AX74" s="71">
        <f t="shared" si="25"/>
        <v>133333.33333333334</v>
      </c>
      <c r="AY74" s="71">
        <f t="shared" si="25"/>
        <v>133333.33333333334</v>
      </c>
      <c r="AZ74" s="71">
        <f t="shared" si="25"/>
        <v>133333.33333333334</v>
      </c>
      <c r="BA74" s="71">
        <f t="shared" si="25"/>
        <v>133333.33333333334</v>
      </c>
      <c r="BB74" s="71">
        <f t="shared" si="25"/>
        <v>133333.33333333334</v>
      </c>
      <c r="BC74" s="71">
        <f t="shared" si="25"/>
        <v>133333.33333333334</v>
      </c>
      <c r="BD74" s="71">
        <f t="shared" si="25"/>
        <v>133333.33333333334</v>
      </c>
      <c r="BE74" s="71">
        <f t="shared" si="25"/>
        <v>133333.33333333334</v>
      </c>
      <c r="BF74" s="68">
        <f t="shared" si="36"/>
        <v>0</v>
      </c>
      <c r="BG74" s="69">
        <f t="shared" si="37"/>
        <v>1599999.9999999998</v>
      </c>
      <c r="BH74" s="70">
        <f t="shared" si="38"/>
        <v>1599999.9999999998</v>
      </c>
      <c r="BI74" s="71">
        <f t="shared" si="39"/>
        <v>1599999.9999999998</v>
      </c>
      <c r="BJ74" s="72">
        <f>VLOOKUP(D74,Master!AD:AG,3,FALSE)</f>
        <v>7611600</v>
      </c>
      <c r="BK74" s="73" t="str">
        <f>VLOOKUP(D74,Master!AD:AG,4,FALSE)</f>
        <v>Depreciation-Tools, furniture &amp; office equipment</v>
      </c>
    </row>
    <row r="75" spans="1:63" s="74" customFormat="1" ht="15" customHeight="1">
      <c r="A75" s="64" t="s">
        <v>326</v>
      </c>
      <c r="B75" s="25" t="s">
        <v>418</v>
      </c>
      <c r="C75" s="65" t="s">
        <v>221</v>
      </c>
      <c r="D75" s="66">
        <v>2141000</v>
      </c>
      <c r="E75" s="26">
        <v>8000000</v>
      </c>
      <c r="F75" s="67">
        <v>60</v>
      </c>
      <c r="G75" s="65" t="s">
        <v>244</v>
      </c>
      <c r="H75" s="27">
        <v>1</v>
      </c>
      <c r="I75" s="28">
        <v>44287</v>
      </c>
      <c r="J75" s="65" t="s">
        <v>310</v>
      </c>
      <c r="K75" s="65" t="s">
        <v>244</v>
      </c>
      <c r="L75" s="65" t="s">
        <v>317</v>
      </c>
      <c r="M75" s="65" t="s">
        <v>472</v>
      </c>
      <c r="N75" s="51">
        <f t="shared" si="40"/>
        <v>8000000</v>
      </c>
      <c r="O75" s="51">
        <f t="shared" si="41"/>
        <v>133333.33333333334</v>
      </c>
      <c r="P75" s="28">
        <f t="shared" si="42"/>
        <v>46113</v>
      </c>
      <c r="Q75" s="68" t="str">
        <f t="shared" si="35"/>
        <v/>
      </c>
      <c r="R75" s="68" t="str">
        <f t="shared" si="35"/>
        <v/>
      </c>
      <c r="S75" s="68" t="str">
        <f t="shared" si="35"/>
        <v/>
      </c>
      <c r="T75" s="68" t="str">
        <f t="shared" si="35"/>
        <v/>
      </c>
      <c r="U75" s="68" t="str">
        <f t="shared" si="35"/>
        <v/>
      </c>
      <c r="V75" s="69">
        <f t="shared" si="35"/>
        <v>133333.33333333334</v>
      </c>
      <c r="W75" s="69">
        <f t="shared" si="35"/>
        <v>133333.33333333334</v>
      </c>
      <c r="X75" s="69">
        <f t="shared" si="35"/>
        <v>133333.33333333334</v>
      </c>
      <c r="Y75" s="69">
        <f t="shared" si="35"/>
        <v>133333.33333333334</v>
      </c>
      <c r="Z75" s="69">
        <f t="shared" si="35"/>
        <v>133333.33333333334</v>
      </c>
      <c r="AA75" s="69">
        <f t="shared" si="35"/>
        <v>133333.33333333334</v>
      </c>
      <c r="AB75" s="69">
        <f t="shared" si="35"/>
        <v>133333.33333333334</v>
      </c>
      <c r="AC75" s="69">
        <f t="shared" si="35"/>
        <v>133333.33333333334</v>
      </c>
      <c r="AD75" s="69">
        <f t="shared" si="35"/>
        <v>133333.33333333334</v>
      </c>
      <c r="AE75" s="69">
        <f t="shared" si="35"/>
        <v>133333.33333333334</v>
      </c>
      <c r="AF75" s="69">
        <f t="shared" si="35"/>
        <v>133333.33333333334</v>
      </c>
      <c r="AG75" s="69">
        <f t="shared" si="43"/>
        <v>133333.33333333334</v>
      </c>
      <c r="AH75" s="70">
        <f t="shared" si="43"/>
        <v>133333.33333333334</v>
      </c>
      <c r="AI75" s="70">
        <f t="shared" si="43"/>
        <v>133333.33333333334</v>
      </c>
      <c r="AJ75" s="70">
        <f t="shared" si="43"/>
        <v>133333.33333333334</v>
      </c>
      <c r="AK75" s="70">
        <f t="shared" si="43"/>
        <v>133333.33333333334</v>
      </c>
      <c r="AL75" s="70">
        <f t="shared" si="43"/>
        <v>133333.33333333334</v>
      </c>
      <c r="AM75" s="70">
        <f t="shared" si="43"/>
        <v>133333.33333333334</v>
      </c>
      <c r="AN75" s="70">
        <f t="shared" si="43"/>
        <v>133333.33333333334</v>
      </c>
      <c r="AO75" s="70">
        <f t="shared" si="43"/>
        <v>133333.33333333334</v>
      </c>
      <c r="AP75" s="70">
        <f t="shared" si="43"/>
        <v>133333.33333333334</v>
      </c>
      <c r="AQ75" s="70">
        <f t="shared" si="43"/>
        <v>133333.33333333334</v>
      </c>
      <c r="AR75" s="70">
        <f t="shared" si="43"/>
        <v>133333.33333333334</v>
      </c>
      <c r="AS75" s="70">
        <f t="shared" si="43"/>
        <v>133333.33333333334</v>
      </c>
      <c r="AT75" s="71">
        <f t="shared" si="43"/>
        <v>133333.33333333334</v>
      </c>
      <c r="AU75" s="71">
        <f t="shared" si="43"/>
        <v>133333.33333333334</v>
      </c>
      <c r="AV75" s="71">
        <f t="shared" si="43"/>
        <v>133333.33333333334</v>
      </c>
      <c r="AW75" s="71">
        <f t="shared" si="25"/>
        <v>133333.33333333334</v>
      </c>
      <c r="AX75" s="71">
        <f t="shared" si="25"/>
        <v>133333.33333333334</v>
      </c>
      <c r="AY75" s="71">
        <f t="shared" si="25"/>
        <v>133333.33333333334</v>
      </c>
      <c r="AZ75" s="71">
        <f t="shared" si="25"/>
        <v>133333.33333333334</v>
      </c>
      <c r="BA75" s="71">
        <f t="shared" si="25"/>
        <v>133333.33333333334</v>
      </c>
      <c r="BB75" s="71">
        <f t="shared" si="25"/>
        <v>133333.33333333334</v>
      </c>
      <c r="BC75" s="71">
        <f t="shared" si="25"/>
        <v>133333.33333333334</v>
      </c>
      <c r="BD75" s="71">
        <f t="shared" si="25"/>
        <v>133333.33333333334</v>
      </c>
      <c r="BE75" s="71">
        <f t="shared" si="25"/>
        <v>133333.33333333334</v>
      </c>
      <c r="BF75" s="68">
        <f t="shared" si="36"/>
        <v>0</v>
      </c>
      <c r="BG75" s="69">
        <f t="shared" si="37"/>
        <v>1599999.9999999998</v>
      </c>
      <c r="BH75" s="70">
        <f t="shared" si="38"/>
        <v>1599999.9999999998</v>
      </c>
      <c r="BI75" s="71">
        <f t="shared" si="39"/>
        <v>1599999.9999999998</v>
      </c>
      <c r="BJ75" s="72">
        <f>VLOOKUP(D75,Master!AD:AG,3,FALSE)</f>
        <v>7611600</v>
      </c>
      <c r="BK75" s="73" t="str">
        <f>VLOOKUP(D75,Master!AD:AG,4,FALSE)</f>
        <v>Depreciation-Tools, furniture &amp; office equipment</v>
      </c>
    </row>
    <row r="76" spans="1:63" s="74" customFormat="1" ht="15" customHeight="1">
      <c r="A76" s="64" t="s">
        <v>308</v>
      </c>
      <c r="B76" s="25" t="s">
        <v>419</v>
      </c>
      <c r="C76" s="65" t="s">
        <v>221</v>
      </c>
      <c r="D76" s="66">
        <v>2141000</v>
      </c>
      <c r="E76" s="26">
        <v>8000000</v>
      </c>
      <c r="F76" s="67">
        <v>60</v>
      </c>
      <c r="G76" s="65" t="s">
        <v>252</v>
      </c>
      <c r="H76" s="27">
        <v>1</v>
      </c>
      <c r="I76" s="28">
        <v>44287</v>
      </c>
      <c r="J76" s="65" t="s">
        <v>310</v>
      </c>
      <c r="K76" s="65" t="s">
        <v>252</v>
      </c>
      <c r="L76" s="65" t="s">
        <v>317</v>
      </c>
      <c r="M76" s="65" t="s">
        <v>472</v>
      </c>
      <c r="N76" s="51">
        <f t="shared" si="40"/>
        <v>8000000</v>
      </c>
      <c r="O76" s="51">
        <f t="shared" si="41"/>
        <v>133333.33333333334</v>
      </c>
      <c r="P76" s="28">
        <f t="shared" si="42"/>
        <v>46113</v>
      </c>
      <c r="Q76" s="68" t="str">
        <f t="shared" si="35"/>
        <v/>
      </c>
      <c r="R76" s="68" t="str">
        <f t="shared" si="35"/>
        <v/>
      </c>
      <c r="S76" s="68" t="str">
        <f t="shared" si="35"/>
        <v/>
      </c>
      <c r="T76" s="68" t="str">
        <f t="shared" si="35"/>
        <v/>
      </c>
      <c r="U76" s="68" t="str">
        <f t="shared" si="35"/>
        <v/>
      </c>
      <c r="V76" s="69">
        <f t="shared" si="35"/>
        <v>133333.33333333334</v>
      </c>
      <c r="W76" s="69">
        <f t="shared" si="35"/>
        <v>133333.33333333334</v>
      </c>
      <c r="X76" s="69">
        <f t="shared" si="35"/>
        <v>133333.33333333334</v>
      </c>
      <c r="Y76" s="69">
        <f t="shared" si="35"/>
        <v>133333.33333333334</v>
      </c>
      <c r="Z76" s="69">
        <f t="shared" si="35"/>
        <v>133333.33333333334</v>
      </c>
      <c r="AA76" s="69">
        <f t="shared" si="35"/>
        <v>133333.33333333334</v>
      </c>
      <c r="AB76" s="69">
        <f t="shared" si="35"/>
        <v>133333.33333333334</v>
      </c>
      <c r="AC76" s="69">
        <f t="shared" si="35"/>
        <v>133333.33333333334</v>
      </c>
      <c r="AD76" s="69">
        <f t="shared" si="35"/>
        <v>133333.33333333334</v>
      </c>
      <c r="AE76" s="69">
        <f t="shared" si="35"/>
        <v>133333.33333333334</v>
      </c>
      <c r="AF76" s="69">
        <f t="shared" si="35"/>
        <v>133333.33333333334</v>
      </c>
      <c r="AG76" s="69">
        <f t="shared" si="43"/>
        <v>133333.33333333334</v>
      </c>
      <c r="AH76" s="70">
        <f t="shared" si="43"/>
        <v>133333.33333333334</v>
      </c>
      <c r="AI76" s="70">
        <f t="shared" si="43"/>
        <v>133333.33333333334</v>
      </c>
      <c r="AJ76" s="70">
        <f t="shared" si="43"/>
        <v>133333.33333333334</v>
      </c>
      <c r="AK76" s="70">
        <f t="shared" si="43"/>
        <v>133333.33333333334</v>
      </c>
      <c r="AL76" s="70">
        <f t="shared" si="43"/>
        <v>133333.33333333334</v>
      </c>
      <c r="AM76" s="70">
        <f t="shared" si="43"/>
        <v>133333.33333333334</v>
      </c>
      <c r="AN76" s="70">
        <f t="shared" si="43"/>
        <v>133333.33333333334</v>
      </c>
      <c r="AO76" s="70">
        <f t="shared" si="43"/>
        <v>133333.33333333334</v>
      </c>
      <c r="AP76" s="70">
        <f t="shared" si="43"/>
        <v>133333.33333333334</v>
      </c>
      <c r="AQ76" s="70">
        <f t="shared" si="43"/>
        <v>133333.33333333334</v>
      </c>
      <c r="AR76" s="70">
        <f t="shared" si="43"/>
        <v>133333.33333333334</v>
      </c>
      <c r="AS76" s="70">
        <f t="shared" si="43"/>
        <v>133333.33333333334</v>
      </c>
      <c r="AT76" s="71">
        <f t="shared" si="43"/>
        <v>133333.33333333334</v>
      </c>
      <c r="AU76" s="71">
        <f t="shared" si="43"/>
        <v>133333.33333333334</v>
      </c>
      <c r="AV76" s="71">
        <f t="shared" si="43"/>
        <v>133333.33333333334</v>
      </c>
      <c r="AW76" s="71">
        <f t="shared" si="25"/>
        <v>133333.33333333334</v>
      </c>
      <c r="AX76" s="71">
        <f t="shared" si="25"/>
        <v>133333.33333333334</v>
      </c>
      <c r="AY76" s="71">
        <f t="shared" si="25"/>
        <v>133333.33333333334</v>
      </c>
      <c r="AZ76" s="71">
        <f t="shared" si="25"/>
        <v>133333.33333333334</v>
      </c>
      <c r="BA76" s="71">
        <f t="shared" si="25"/>
        <v>133333.33333333334</v>
      </c>
      <c r="BB76" s="71">
        <f t="shared" si="25"/>
        <v>133333.33333333334</v>
      </c>
      <c r="BC76" s="71">
        <f t="shared" si="25"/>
        <v>133333.33333333334</v>
      </c>
      <c r="BD76" s="71">
        <f t="shared" si="25"/>
        <v>133333.33333333334</v>
      </c>
      <c r="BE76" s="71">
        <f t="shared" si="25"/>
        <v>133333.33333333334</v>
      </c>
      <c r="BF76" s="68">
        <f t="shared" si="36"/>
        <v>0</v>
      </c>
      <c r="BG76" s="69">
        <f t="shared" si="37"/>
        <v>1599999.9999999998</v>
      </c>
      <c r="BH76" s="70">
        <f t="shared" si="38"/>
        <v>1599999.9999999998</v>
      </c>
      <c r="BI76" s="71">
        <f t="shared" si="39"/>
        <v>1599999.9999999998</v>
      </c>
      <c r="BJ76" s="72">
        <f>VLOOKUP(D76,Master!AD:AG,3,FALSE)</f>
        <v>7611600</v>
      </c>
      <c r="BK76" s="73" t="str">
        <f>VLOOKUP(D76,Master!AD:AG,4,FALSE)</f>
        <v>Depreciation-Tools, furniture &amp; office equipment</v>
      </c>
    </row>
    <row r="77" spans="1:63" s="74" customFormat="1" ht="15" customHeight="1">
      <c r="A77" s="64" t="s">
        <v>308</v>
      </c>
      <c r="B77" s="25" t="s">
        <v>420</v>
      </c>
      <c r="C77" s="65" t="s">
        <v>221</v>
      </c>
      <c r="D77" s="66">
        <v>2141000</v>
      </c>
      <c r="E77" s="26">
        <v>13000000</v>
      </c>
      <c r="F77" s="67">
        <v>60</v>
      </c>
      <c r="G77" s="65" t="s">
        <v>273</v>
      </c>
      <c r="H77" s="27">
        <v>1</v>
      </c>
      <c r="I77" s="28">
        <v>44287</v>
      </c>
      <c r="J77" s="65" t="s">
        <v>310</v>
      </c>
      <c r="K77" s="65" t="s">
        <v>273</v>
      </c>
      <c r="L77" s="65" t="s">
        <v>317</v>
      </c>
      <c r="M77" s="65" t="s">
        <v>472</v>
      </c>
      <c r="N77" s="51">
        <f t="shared" si="40"/>
        <v>13000000</v>
      </c>
      <c r="O77" s="51">
        <f t="shared" si="41"/>
        <v>216666.66666666666</v>
      </c>
      <c r="P77" s="28">
        <f t="shared" si="42"/>
        <v>46113</v>
      </c>
      <c r="Q77" s="68" t="str">
        <f t="shared" si="35"/>
        <v/>
      </c>
      <c r="R77" s="68" t="str">
        <f t="shared" si="35"/>
        <v/>
      </c>
      <c r="S77" s="68" t="str">
        <f t="shared" si="35"/>
        <v/>
      </c>
      <c r="T77" s="68" t="str">
        <f t="shared" si="35"/>
        <v/>
      </c>
      <c r="U77" s="68" t="str">
        <f t="shared" si="35"/>
        <v/>
      </c>
      <c r="V77" s="69">
        <f t="shared" si="35"/>
        <v>216666.66666666666</v>
      </c>
      <c r="W77" s="69">
        <f t="shared" si="35"/>
        <v>216666.66666666666</v>
      </c>
      <c r="X77" s="69">
        <f t="shared" si="35"/>
        <v>216666.66666666666</v>
      </c>
      <c r="Y77" s="69">
        <f t="shared" si="35"/>
        <v>216666.66666666666</v>
      </c>
      <c r="Z77" s="69">
        <f t="shared" si="35"/>
        <v>216666.66666666666</v>
      </c>
      <c r="AA77" s="69">
        <f t="shared" si="35"/>
        <v>216666.66666666666</v>
      </c>
      <c r="AB77" s="69">
        <f t="shared" si="35"/>
        <v>216666.66666666666</v>
      </c>
      <c r="AC77" s="69">
        <f t="shared" si="35"/>
        <v>216666.66666666666</v>
      </c>
      <c r="AD77" s="69">
        <f t="shared" si="35"/>
        <v>216666.66666666666</v>
      </c>
      <c r="AE77" s="69">
        <f t="shared" si="35"/>
        <v>216666.66666666666</v>
      </c>
      <c r="AF77" s="69">
        <f t="shared" si="35"/>
        <v>216666.66666666666</v>
      </c>
      <c r="AG77" s="69">
        <f t="shared" si="43"/>
        <v>216666.66666666666</v>
      </c>
      <c r="AH77" s="70">
        <f t="shared" si="43"/>
        <v>216666.66666666666</v>
      </c>
      <c r="AI77" s="70">
        <f t="shared" si="43"/>
        <v>216666.66666666666</v>
      </c>
      <c r="AJ77" s="70">
        <f t="shared" si="43"/>
        <v>216666.66666666666</v>
      </c>
      <c r="AK77" s="70">
        <f t="shared" si="43"/>
        <v>216666.66666666666</v>
      </c>
      <c r="AL77" s="70">
        <f t="shared" si="43"/>
        <v>216666.66666666666</v>
      </c>
      <c r="AM77" s="70">
        <f t="shared" si="43"/>
        <v>216666.66666666666</v>
      </c>
      <c r="AN77" s="70">
        <f t="shared" si="43"/>
        <v>216666.66666666666</v>
      </c>
      <c r="AO77" s="70">
        <f t="shared" si="43"/>
        <v>216666.66666666666</v>
      </c>
      <c r="AP77" s="70">
        <f t="shared" si="43"/>
        <v>216666.66666666666</v>
      </c>
      <c r="AQ77" s="70">
        <f t="shared" si="43"/>
        <v>216666.66666666666</v>
      </c>
      <c r="AR77" s="70">
        <f t="shared" si="43"/>
        <v>216666.66666666666</v>
      </c>
      <c r="AS77" s="70">
        <f t="shared" si="43"/>
        <v>216666.66666666666</v>
      </c>
      <c r="AT77" s="71">
        <f t="shared" si="43"/>
        <v>216666.66666666666</v>
      </c>
      <c r="AU77" s="71">
        <f t="shared" si="43"/>
        <v>216666.66666666666</v>
      </c>
      <c r="AV77" s="71">
        <f t="shared" si="43"/>
        <v>216666.66666666666</v>
      </c>
      <c r="AW77" s="71">
        <f t="shared" si="25"/>
        <v>216666.66666666666</v>
      </c>
      <c r="AX77" s="71">
        <f t="shared" si="25"/>
        <v>216666.66666666666</v>
      </c>
      <c r="AY77" s="71">
        <f t="shared" si="25"/>
        <v>216666.66666666666</v>
      </c>
      <c r="AZ77" s="71">
        <f t="shared" si="25"/>
        <v>216666.66666666666</v>
      </c>
      <c r="BA77" s="71">
        <f t="shared" si="25"/>
        <v>216666.66666666666</v>
      </c>
      <c r="BB77" s="71">
        <f t="shared" si="25"/>
        <v>216666.66666666666</v>
      </c>
      <c r="BC77" s="71">
        <f t="shared" si="25"/>
        <v>216666.66666666666</v>
      </c>
      <c r="BD77" s="71">
        <f t="shared" si="25"/>
        <v>216666.66666666666</v>
      </c>
      <c r="BE77" s="71">
        <f t="shared" si="25"/>
        <v>216666.66666666666</v>
      </c>
      <c r="BF77" s="68">
        <f t="shared" si="36"/>
        <v>0</v>
      </c>
      <c r="BG77" s="69">
        <f t="shared" si="37"/>
        <v>2600000</v>
      </c>
      <c r="BH77" s="70">
        <f t="shared" si="38"/>
        <v>2600000</v>
      </c>
      <c r="BI77" s="71">
        <f t="shared" si="39"/>
        <v>2600000</v>
      </c>
      <c r="BJ77" s="72">
        <f>VLOOKUP(D77,Master!AD:AG,3,FALSE)</f>
        <v>7611600</v>
      </c>
      <c r="BK77" s="73" t="str">
        <f>VLOOKUP(D77,Master!AD:AG,4,FALSE)</f>
        <v>Depreciation-Tools, furniture &amp; office equipment</v>
      </c>
    </row>
    <row r="78" spans="1:63" s="74" customFormat="1" ht="15" customHeight="1">
      <c r="A78" s="64" t="s">
        <v>308</v>
      </c>
      <c r="B78" s="25" t="s">
        <v>421</v>
      </c>
      <c r="C78" s="65" t="s">
        <v>221</v>
      </c>
      <c r="D78" s="66">
        <v>2141000</v>
      </c>
      <c r="E78" s="26">
        <v>8000000</v>
      </c>
      <c r="F78" s="67">
        <v>60</v>
      </c>
      <c r="G78" s="65" t="s">
        <v>248</v>
      </c>
      <c r="H78" s="27">
        <v>1</v>
      </c>
      <c r="I78" s="28">
        <v>44287</v>
      </c>
      <c r="J78" s="65" t="s">
        <v>310</v>
      </c>
      <c r="K78" s="65" t="s">
        <v>248</v>
      </c>
      <c r="L78" s="65" t="s">
        <v>317</v>
      </c>
      <c r="M78" s="65" t="s">
        <v>472</v>
      </c>
      <c r="N78" s="51">
        <f t="shared" si="40"/>
        <v>8000000</v>
      </c>
      <c r="O78" s="51">
        <f t="shared" si="41"/>
        <v>133333.33333333334</v>
      </c>
      <c r="P78" s="28">
        <f t="shared" si="42"/>
        <v>46113</v>
      </c>
      <c r="Q78" s="68" t="str">
        <f t="shared" si="35"/>
        <v/>
      </c>
      <c r="R78" s="68" t="str">
        <f t="shared" si="35"/>
        <v/>
      </c>
      <c r="S78" s="68" t="str">
        <f t="shared" si="35"/>
        <v/>
      </c>
      <c r="T78" s="68" t="str">
        <f t="shared" si="35"/>
        <v/>
      </c>
      <c r="U78" s="68" t="str">
        <f t="shared" si="35"/>
        <v/>
      </c>
      <c r="V78" s="69">
        <f t="shared" si="35"/>
        <v>133333.33333333334</v>
      </c>
      <c r="W78" s="69">
        <f t="shared" si="35"/>
        <v>133333.33333333334</v>
      </c>
      <c r="X78" s="69">
        <f t="shared" si="35"/>
        <v>133333.33333333334</v>
      </c>
      <c r="Y78" s="69">
        <f t="shared" si="35"/>
        <v>133333.33333333334</v>
      </c>
      <c r="Z78" s="69">
        <f t="shared" si="35"/>
        <v>133333.33333333334</v>
      </c>
      <c r="AA78" s="69">
        <f t="shared" si="35"/>
        <v>133333.33333333334</v>
      </c>
      <c r="AB78" s="69">
        <f t="shared" si="35"/>
        <v>133333.33333333334</v>
      </c>
      <c r="AC78" s="69">
        <f t="shared" si="35"/>
        <v>133333.33333333334</v>
      </c>
      <c r="AD78" s="69">
        <f t="shared" si="35"/>
        <v>133333.33333333334</v>
      </c>
      <c r="AE78" s="69">
        <f t="shared" si="35"/>
        <v>133333.33333333334</v>
      </c>
      <c r="AF78" s="69">
        <f t="shared" si="35"/>
        <v>133333.33333333334</v>
      </c>
      <c r="AG78" s="69">
        <f t="shared" si="43"/>
        <v>133333.33333333334</v>
      </c>
      <c r="AH78" s="70">
        <f t="shared" si="43"/>
        <v>133333.33333333334</v>
      </c>
      <c r="AI78" s="70">
        <f t="shared" si="43"/>
        <v>133333.33333333334</v>
      </c>
      <c r="AJ78" s="70">
        <f t="shared" si="43"/>
        <v>133333.33333333334</v>
      </c>
      <c r="AK78" s="70">
        <f t="shared" si="43"/>
        <v>133333.33333333334</v>
      </c>
      <c r="AL78" s="70">
        <f t="shared" si="43"/>
        <v>133333.33333333334</v>
      </c>
      <c r="AM78" s="70">
        <f t="shared" si="43"/>
        <v>133333.33333333334</v>
      </c>
      <c r="AN78" s="70">
        <f t="shared" si="43"/>
        <v>133333.33333333334</v>
      </c>
      <c r="AO78" s="70">
        <f t="shared" si="43"/>
        <v>133333.33333333334</v>
      </c>
      <c r="AP78" s="70">
        <f t="shared" si="43"/>
        <v>133333.33333333334</v>
      </c>
      <c r="AQ78" s="70">
        <f t="shared" si="43"/>
        <v>133333.33333333334</v>
      </c>
      <c r="AR78" s="70">
        <f t="shared" si="43"/>
        <v>133333.33333333334</v>
      </c>
      <c r="AS78" s="70">
        <f t="shared" si="43"/>
        <v>133333.33333333334</v>
      </c>
      <c r="AT78" s="71">
        <f t="shared" si="43"/>
        <v>133333.33333333334</v>
      </c>
      <c r="AU78" s="71">
        <f t="shared" si="43"/>
        <v>133333.33333333334</v>
      </c>
      <c r="AV78" s="71">
        <f t="shared" si="43"/>
        <v>133333.33333333334</v>
      </c>
      <c r="AW78" s="71">
        <f t="shared" si="25"/>
        <v>133333.33333333334</v>
      </c>
      <c r="AX78" s="71">
        <f t="shared" si="25"/>
        <v>133333.33333333334</v>
      </c>
      <c r="AY78" s="71">
        <f t="shared" si="25"/>
        <v>133333.33333333334</v>
      </c>
      <c r="AZ78" s="71">
        <f t="shared" si="25"/>
        <v>133333.33333333334</v>
      </c>
      <c r="BA78" s="71">
        <f t="shared" si="25"/>
        <v>133333.33333333334</v>
      </c>
      <c r="BB78" s="71">
        <f t="shared" si="25"/>
        <v>133333.33333333334</v>
      </c>
      <c r="BC78" s="71">
        <f t="shared" si="25"/>
        <v>133333.33333333334</v>
      </c>
      <c r="BD78" s="71">
        <f t="shared" si="25"/>
        <v>133333.33333333334</v>
      </c>
      <c r="BE78" s="71">
        <f t="shared" si="25"/>
        <v>133333.33333333334</v>
      </c>
      <c r="BF78" s="68">
        <f t="shared" si="36"/>
        <v>0</v>
      </c>
      <c r="BG78" s="69">
        <f t="shared" si="37"/>
        <v>1599999.9999999998</v>
      </c>
      <c r="BH78" s="70">
        <f t="shared" si="38"/>
        <v>1599999.9999999998</v>
      </c>
      <c r="BI78" s="71">
        <f t="shared" si="39"/>
        <v>1599999.9999999998</v>
      </c>
      <c r="BJ78" s="72">
        <f>VLOOKUP(D78,Master!AD:AG,3,FALSE)</f>
        <v>7611600</v>
      </c>
      <c r="BK78" s="73" t="str">
        <f>VLOOKUP(D78,Master!AD:AG,4,FALSE)</f>
        <v>Depreciation-Tools, furniture &amp; office equipment</v>
      </c>
    </row>
    <row r="79" spans="1:63" s="74" customFormat="1" ht="15" customHeight="1">
      <c r="A79" s="64" t="s">
        <v>326</v>
      </c>
      <c r="B79" s="25" t="s">
        <v>484</v>
      </c>
      <c r="C79" s="65" t="s">
        <v>221</v>
      </c>
      <c r="D79" s="66">
        <v>2141000</v>
      </c>
      <c r="E79" s="26">
        <v>13000000</v>
      </c>
      <c r="F79" s="67">
        <v>60</v>
      </c>
      <c r="G79" s="65" t="s">
        <v>248</v>
      </c>
      <c r="H79" s="27">
        <v>1</v>
      </c>
      <c r="I79" s="28">
        <v>44228</v>
      </c>
      <c r="J79" s="65" t="s">
        <v>310</v>
      </c>
      <c r="K79" s="65" t="s">
        <v>248</v>
      </c>
      <c r="L79" s="65"/>
      <c r="M79" s="65" t="s">
        <v>473</v>
      </c>
      <c r="N79" s="51">
        <f t="shared" si="40"/>
        <v>13000000</v>
      </c>
      <c r="O79" s="51">
        <f t="shared" si="41"/>
        <v>216666.66666666666</v>
      </c>
      <c r="P79" s="28">
        <f t="shared" si="42"/>
        <v>46054</v>
      </c>
      <c r="Q79" s="68" t="str">
        <f t="shared" si="35"/>
        <v/>
      </c>
      <c r="R79" s="68" t="str">
        <f t="shared" si="35"/>
        <v/>
      </c>
      <c r="S79" s="68" t="str">
        <f t="shared" si="35"/>
        <v/>
      </c>
      <c r="T79" s="68">
        <f t="shared" si="35"/>
        <v>216666.66666666666</v>
      </c>
      <c r="U79" s="68">
        <f t="shared" si="35"/>
        <v>216666.66666666666</v>
      </c>
      <c r="V79" s="69">
        <f t="shared" si="35"/>
        <v>216666.66666666666</v>
      </c>
      <c r="W79" s="69">
        <f t="shared" si="35"/>
        <v>216666.66666666666</v>
      </c>
      <c r="X79" s="69">
        <f t="shared" si="35"/>
        <v>216666.66666666666</v>
      </c>
      <c r="Y79" s="69">
        <f t="shared" si="35"/>
        <v>216666.66666666666</v>
      </c>
      <c r="Z79" s="69">
        <f t="shared" si="35"/>
        <v>216666.66666666666</v>
      </c>
      <c r="AA79" s="69">
        <f t="shared" si="35"/>
        <v>216666.66666666666</v>
      </c>
      <c r="AB79" s="69">
        <f t="shared" si="35"/>
        <v>216666.66666666666</v>
      </c>
      <c r="AC79" s="69">
        <f t="shared" si="35"/>
        <v>216666.66666666666</v>
      </c>
      <c r="AD79" s="69">
        <f t="shared" si="35"/>
        <v>216666.66666666666</v>
      </c>
      <c r="AE79" s="69">
        <f t="shared" si="35"/>
        <v>216666.66666666666</v>
      </c>
      <c r="AF79" s="69">
        <f t="shared" si="35"/>
        <v>216666.66666666666</v>
      </c>
      <c r="AG79" s="69">
        <f t="shared" si="43"/>
        <v>216666.66666666666</v>
      </c>
      <c r="AH79" s="70">
        <f t="shared" si="43"/>
        <v>216666.66666666666</v>
      </c>
      <c r="AI79" s="70">
        <f t="shared" si="43"/>
        <v>216666.66666666666</v>
      </c>
      <c r="AJ79" s="70">
        <f t="shared" si="43"/>
        <v>216666.66666666666</v>
      </c>
      <c r="AK79" s="70">
        <f t="shared" si="43"/>
        <v>216666.66666666666</v>
      </c>
      <c r="AL79" s="70">
        <f t="shared" si="43"/>
        <v>216666.66666666666</v>
      </c>
      <c r="AM79" s="70">
        <f t="shared" si="43"/>
        <v>216666.66666666666</v>
      </c>
      <c r="AN79" s="70">
        <f t="shared" si="43"/>
        <v>216666.66666666666</v>
      </c>
      <c r="AO79" s="70">
        <f t="shared" si="43"/>
        <v>216666.66666666666</v>
      </c>
      <c r="AP79" s="70">
        <f t="shared" si="43"/>
        <v>216666.66666666666</v>
      </c>
      <c r="AQ79" s="70">
        <f t="shared" si="43"/>
        <v>216666.66666666666</v>
      </c>
      <c r="AR79" s="70">
        <f t="shared" si="43"/>
        <v>216666.66666666666</v>
      </c>
      <c r="AS79" s="70">
        <f t="shared" si="43"/>
        <v>216666.66666666666</v>
      </c>
      <c r="AT79" s="71">
        <f t="shared" si="43"/>
        <v>216666.66666666666</v>
      </c>
      <c r="AU79" s="71">
        <f t="shared" si="43"/>
        <v>216666.66666666666</v>
      </c>
      <c r="AV79" s="71">
        <f t="shared" si="43"/>
        <v>216666.66666666666</v>
      </c>
      <c r="AW79" s="71">
        <f t="shared" si="25"/>
        <v>216666.66666666666</v>
      </c>
      <c r="AX79" s="71">
        <f t="shared" si="25"/>
        <v>216666.66666666666</v>
      </c>
      <c r="AY79" s="71">
        <f t="shared" si="25"/>
        <v>216666.66666666666</v>
      </c>
      <c r="AZ79" s="71">
        <f t="shared" si="25"/>
        <v>216666.66666666666</v>
      </c>
      <c r="BA79" s="71">
        <f t="shared" si="25"/>
        <v>216666.66666666666</v>
      </c>
      <c r="BB79" s="71">
        <f t="shared" si="25"/>
        <v>216666.66666666666</v>
      </c>
      <c r="BC79" s="71">
        <f t="shared" si="25"/>
        <v>216666.66666666666</v>
      </c>
      <c r="BD79" s="71">
        <f t="shared" si="25"/>
        <v>216666.66666666666</v>
      </c>
      <c r="BE79" s="71">
        <f t="shared" si="25"/>
        <v>216666.66666666666</v>
      </c>
      <c r="BF79" s="68">
        <f t="shared" si="36"/>
        <v>433333.33333333331</v>
      </c>
      <c r="BG79" s="69">
        <f t="shared" si="37"/>
        <v>2600000</v>
      </c>
      <c r="BH79" s="70">
        <f t="shared" si="38"/>
        <v>2600000</v>
      </c>
      <c r="BI79" s="71">
        <f t="shared" si="39"/>
        <v>2600000</v>
      </c>
      <c r="BJ79" s="72">
        <f>VLOOKUP(D79,Master!AD:AG,3,FALSE)</f>
        <v>7611600</v>
      </c>
      <c r="BK79" s="73" t="str">
        <f>VLOOKUP(D79,Master!AD:AG,4,FALSE)</f>
        <v>Depreciation-Tools, furniture &amp; office equipment</v>
      </c>
    </row>
    <row r="80" spans="1:63" s="74" customFormat="1" ht="15" customHeight="1">
      <c r="A80" s="64" t="s">
        <v>328</v>
      </c>
      <c r="B80" s="25" t="s">
        <v>485</v>
      </c>
      <c r="C80" s="65" t="s">
        <v>221</v>
      </c>
      <c r="D80" s="66">
        <v>2141000</v>
      </c>
      <c r="E80" s="26">
        <v>16000000</v>
      </c>
      <c r="F80" s="67">
        <v>60</v>
      </c>
      <c r="G80" s="65" t="s">
        <v>248</v>
      </c>
      <c r="H80" s="27">
        <v>1</v>
      </c>
      <c r="I80" s="28">
        <v>44256</v>
      </c>
      <c r="J80" s="65" t="s">
        <v>310</v>
      </c>
      <c r="K80" s="65" t="s">
        <v>248</v>
      </c>
      <c r="L80" s="65"/>
      <c r="M80" s="65" t="s">
        <v>473</v>
      </c>
      <c r="N80" s="51">
        <f t="shared" si="40"/>
        <v>16000000</v>
      </c>
      <c r="O80" s="51">
        <f t="shared" si="41"/>
        <v>266666.66666666669</v>
      </c>
      <c r="P80" s="28">
        <f t="shared" si="42"/>
        <v>46082</v>
      </c>
      <c r="Q80" s="68" t="str">
        <f t="shared" si="35"/>
        <v/>
      </c>
      <c r="R80" s="68" t="str">
        <f t="shared" si="35"/>
        <v/>
      </c>
      <c r="S80" s="68" t="str">
        <f t="shared" si="35"/>
        <v/>
      </c>
      <c r="T80" s="68" t="str">
        <f t="shared" si="35"/>
        <v/>
      </c>
      <c r="U80" s="68">
        <f t="shared" si="35"/>
        <v>266666.66666666669</v>
      </c>
      <c r="V80" s="69">
        <f t="shared" si="35"/>
        <v>266666.66666666669</v>
      </c>
      <c r="W80" s="69">
        <f t="shared" si="35"/>
        <v>266666.66666666669</v>
      </c>
      <c r="X80" s="69">
        <f t="shared" si="35"/>
        <v>266666.66666666669</v>
      </c>
      <c r="Y80" s="69">
        <f t="shared" si="35"/>
        <v>266666.66666666669</v>
      </c>
      <c r="Z80" s="69">
        <f t="shared" si="35"/>
        <v>266666.66666666669</v>
      </c>
      <c r="AA80" s="69">
        <f t="shared" si="35"/>
        <v>266666.66666666669</v>
      </c>
      <c r="AB80" s="69">
        <f t="shared" si="35"/>
        <v>266666.66666666669</v>
      </c>
      <c r="AC80" s="69">
        <f t="shared" si="35"/>
        <v>266666.66666666669</v>
      </c>
      <c r="AD80" s="69">
        <f t="shared" si="35"/>
        <v>266666.66666666669</v>
      </c>
      <c r="AE80" s="69">
        <f t="shared" si="35"/>
        <v>266666.66666666669</v>
      </c>
      <c r="AF80" s="69">
        <f t="shared" si="35"/>
        <v>266666.66666666669</v>
      </c>
      <c r="AG80" s="69">
        <f t="shared" si="43"/>
        <v>266666.66666666669</v>
      </c>
      <c r="AH80" s="70">
        <f t="shared" si="43"/>
        <v>266666.66666666669</v>
      </c>
      <c r="AI80" s="70">
        <f t="shared" si="43"/>
        <v>266666.66666666669</v>
      </c>
      <c r="AJ80" s="70">
        <f t="shared" si="43"/>
        <v>266666.66666666669</v>
      </c>
      <c r="AK80" s="70">
        <f t="shared" si="43"/>
        <v>266666.66666666669</v>
      </c>
      <c r="AL80" s="70">
        <f t="shared" si="43"/>
        <v>266666.66666666669</v>
      </c>
      <c r="AM80" s="70">
        <f t="shared" si="43"/>
        <v>266666.66666666669</v>
      </c>
      <c r="AN80" s="70">
        <f t="shared" si="43"/>
        <v>266666.66666666669</v>
      </c>
      <c r="AO80" s="70">
        <f t="shared" si="43"/>
        <v>266666.66666666669</v>
      </c>
      <c r="AP80" s="70">
        <f t="shared" si="43"/>
        <v>266666.66666666669</v>
      </c>
      <c r="AQ80" s="70">
        <f t="shared" si="43"/>
        <v>266666.66666666669</v>
      </c>
      <c r="AR80" s="70">
        <f t="shared" si="43"/>
        <v>266666.66666666669</v>
      </c>
      <c r="AS80" s="70">
        <f t="shared" si="43"/>
        <v>266666.66666666669</v>
      </c>
      <c r="AT80" s="71">
        <f t="shared" si="43"/>
        <v>266666.66666666669</v>
      </c>
      <c r="AU80" s="71">
        <f t="shared" si="43"/>
        <v>266666.66666666669</v>
      </c>
      <c r="AV80" s="71">
        <f t="shared" si="43"/>
        <v>266666.66666666669</v>
      </c>
      <c r="AW80" s="71">
        <f t="shared" si="25"/>
        <v>266666.66666666669</v>
      </c>
      <c r="AX80" s="71">
        <f t="shared" si="25"/>
        <v>266666.66666666669</v>
      </c>
      <c r="AY80" s="71">
        <f t="shared" si="25"/>
        <v>266666.66666666669</v>
      </c>
      <c r="AZ80" s="71">
        <f t="shared" si="25"/>
        <v>266666.66666666669</v>
      </c>
      <c r="BA80" s="71">
        <f t="shared" si="25"/>
        <v>266666.66666666669</v>
      </c>
      <c r="BB80" s="71">
        <f t="shared" si="25"/>
        <v>266666.66666666669</v>
      </c>
      <c r="BC80" s="71">
        <f t="shared" si="25"/>
        <v>266666.66666666669</v>
      </c>
      <c r="BD80" s="71">
        <f t="shared" si="25"/>
        <v>266666.66666666669</v>
      </c>
      <c r="BE80" s="71">
        <f t="shared" si="25"/>
        <v>266666.66666666669</v>
      </c>
      <c r="BF80" s="68">
        <f t="shared" si="36"/>
        <v>266666.66666666669</v>
      </c>
      <c r="BG80" s="69">
        <f t="shared" si="37"/>
        <v>3199999.9999999995</v>
      </c>
      <c r="BH80" s="70">
        <f t="shared" si="38"/>
        <v>3199999.9999999995</v>
      </c>
      <c r="BI80" s="71">
        <f t="shared" si="39"/>
        <v>3199999.9999999995</v>
      </c>
      <c r="BJ80" s="72">
        <f>VLOOKUP(D80,Master!AD:AG,3,FALSE)</f>
        <v>7611600</v>
      </c>
      <c r="BK80" s="73" t="str">
        <f>VLOOKUP(D80,Master!AD:AG,4,FALSE)</f>
        <v>Depreciation-Tools, furniture &amp; office equipment</v>
      </c>
    </row>
    <row r="81" spans="1:63" s="74" customFormat="1" ht="15" customHeight="1">
      <c r="A81" s="64" t="s">
        <v>308</v>
      </c>
      <c r="B81" s="25" t="s">
        <v>489</v>
      </c>
      <c r="C81" s="65" t="s">
        <v>221</v>
      </c>
      <c r="D81" s="66">
        <v>2141000</v>
      </c>
      <c r="E81" s="26">
        <v>10000000</v>
      </c>
      <c r="F81" s="67">
        <v>60</v>
      </c>
      <c r="G81" s="65" t="s">
        <v>264</v>
      </c>
      <c r="H81" s="27">
        <v>1</v>
      </c>
      <c r="I81" s="28">
        <v>44256</v>
      </c>
      <c r="J81" s="65" t="s">
        <v>310</v>
      </c>
      <c r="K81" s="65" t="s">
        <v>264</v>
      </c>
      <c r="L81" s="65"/>
      <c r="M81" s="65" t="s">
        <v>473</v>
      </c>
      <c r="N81" s="51">
        <f t="shared" si="40"/>
        <v>10000000</v>
      </c>
      <c r="O81" s="51">
        <f t="shared" si="41"/>
        <v>166666.66666666666</v>
      </c>
      <c r="P81" s="28">
        <f t="shared" si="42"/>
        <v>46082</v>
      </c>
      <c r="Q81" s="68" t="str">
        <f t="shared" si="35"/>
        <v/>
      </c>
      <c r="R81" s="68" t="str">
        <f t="shared" si="35"/>
        <v/>
      </c>
      <c r="S81" s="68" t="str">
        <f t="shared" si="35"/>
        <v/>
      </c>
      <c r="T81" s="68" t="str">
        <f t="shared" si="35"/>
        <v/>
      </c>
      <c r="U81" s="68">
        <f t="shared" si="35"/>
        <v>166666.66666666666</v>
      </c>
      <c r="V81" s="69">
        <f t="shared" si="35"/>
        <v>166666.66666666666</v>
      </c>
      <c r="W81" s="69">
        <f t="shared" si="35"/>
        <v>166666.66666666666</v>
      </c>
      <c r="X81" s="69">
        <f t="shared" si="35"/>
        <v>166666.66666666666</v>
      </c>
      <c r="Y81" s="69">
        <f t="shared" si="35"/>
        <v>166666.66666666666</v>
      </c>
      <c r="Z81" s="69">
        <f t="shared" si="35"/>
        <v>166666.66666666666</v>
      </c>
      <c r="AA81" s="69">
        <f t="shared" si="35"/>
        <v>166666.66666666666</v>
      </c>
      <c r="AB81" s="69">
        <f t="shared" si="35"/>
        <v>166666.66666666666</v>
      </c>
      <c r="AC81" s="69">
        <f t="shared" si="35"/>
        <v>166666.66666666666</v>
      </c>
      <c r="AD81" s="69">
        <f t="shared" si="35"/>
        <v>166666.66666666666</v>
      </c>
      <c r="AE81" s="69">
        <f t="shared" si="35"/>
        <v>166666.66666666666</v>
      </c>
      <c r="AF81" s="69">
        <f t="shared" si="35"/>
        <v>166666.66666666666</v>
      </c>
      <c r="AG81" s="69">
        <f t="shared" si="43"/>
        <v>166666.66666666666</v>
      </c>
      <c r="AH81" s="70">
        <f t="shared" si="43"/>
        <v>166666.66666666666</v>
      </c>
      <c r="AI81" s="70">
        <f t="shared" si="43"/>
        <v>166666.66666666666</v>
      </c>
      <c r="AJ81" s="70">
        <f t="shared" si="43"/>
        <v>166666.66666666666</v>
      </c>
      <c r="AK81" s="70">
        <f t="shared" si="43"/>
        <v>166666.66666666666</v>
      </c>
      <c r="AL81" s="70">
        <f t="shared" si="43"/>
        <v>166666.66666666666</v>
      </c>
      <c r="AM81" s="70">
        <f t="shared" si="43"/>
        <v>166666.66666666666</v>
      </c>
      <c r="AN81" s="70">
        <f t="shared" si="43"/>
        <v>166666.66666666666</v>
      </c>
      <c r="AO81" s="70">
        <f t="shared" si="43"/>
        <v>166666.66666666666</v>
      </c>
      <c r="AP81" s="70">
        <f t="shared" si="43"/>
        <v>166666.66666666666</v>
      </c>
      <c r="AQ81" s="70">
        <f t="shared" si="43"/>
        <v>166666.66666666666</v>
      </c>
      <c r="AR81" s="70">
        <f t="shared" si="43"/>
        <v>166666.66666666666</v>
      </c>
      <c r="AS81" s="70">
        <f t="shared" si="43"/>
        <v>166666.66666666666</v>
      </c>
      <c r="AT81" s="71">
        <f t="shared" si="43"/>
        <v>166666.66666666666</v>
      </c>
      <c r="AU81" s="71">
        <f t="shared" si="43"/>
        <v>166666.66666666666</v>
      </c>
      <c r="AV81" s="71">
        <f t="shared" si="43"/>
        <v>166666.66666666666</v>
      </c>
      <c r="AW81" s="71">
        <f t="shared" si="25"/>
        <v>166666.66666666666</v>
      </c>
      <c r="AX81" s="71">
        <f t="shared" si="25"/>
        <v>166666.66666666666</v>
      </c>
      <c r="AY81" s="71">
        <f t="shared" si="25"/>
        <v>166666.66666666666</v>
      </c>
      <c r="AZ81" s="71">
        <f t="shared" si="25"/>
        <v>166666.66666666666</v>
      </c>
      <c r="BA81" s="71">
        <f t="shared" si="25"/>
        <v>166666.66666666666</v>
      </c>
      <c r="BB81" s="71">
        <f t="shared" si="25"/>
        <v>166666.66666666666</v>
      </c>
      <c r="BC81" s="71">
        <f t="shared" ref="AW81:BE109" si="44">IF(AND(LEFT(BC$1,FIND("_",BC$1)-1)&amp;RIGHT(BC$1,LEN(BC$1)-FIND("_",BC$1)) &gt;= YEAR($I81) &amp; TEXT(MONTH($I81),"00"),LEFT(BC$1,FIND("_",BC$1)-1)&amp;RIGHT(BC$1,LEN(BC$1)-FIND("_",BC$1)) &lt; YEAR($P81) &amp; TEXT(MONTH($P81),"00")),$O81,"")</f>
        <v>166666.66666666666</v>
      </c>
      <c r="BD81" s="71">
        <f t="shared" si="44"/>
        <v>166666.66666666666</v>
      </c>
      <c r="BE81" s="71">
        <f t="shared" si="44"/>
        <v>166666.66666666666</v>
      </c>
      <c r="BF81" s="68">
        <f t="shared" si="36"/>
        <v>166666.66666666666</v>
      </c>
      <c r="BG81" s="69">
        <f t="shared" si="37"/>
        <v>2000000.0000000002</v>
      </c>
      <c r="BH81" s="70">
        <f t="shared" si="38"/>
        <v>2000000.0000000002</v>
      </c>
      <c r="BI81" s="71">
        <f t="shared" si="39"/>
        <v>2000000.0000000002</v>
      </c>
      <c r="BJ81" s="72">
        <f>VLOOKUP(D81,Master!AD:AG,3,FALSE)</f>
        <v>7611600</v>
      </c>
      <c r="BK81" s="73" t="str">
        <f>VLOOKUP(D81,Master!AD:AG,4,FALSE)</f>
        <v>Depreciation-Tools, furniture &amp; office equipment</v>
      </c>
    </row>
    <row r="82" spans="1:63" s="74" customFormat="1" ht="15" customHeight="1">
      <c r="A82" s="64" t="s">
        <v>308</v>
      </c>
      <c r="B82" s="25" t="s">
        <v>422</v>
      </c>
      <c r="C82" s="65" t="s">
        <v>312</v>
      </c>
      <c r="D82" s="66">
        <v>2121000</v>
      </c>
      <c r="E82" s="26">
        <v>10000000</v>
      </c>
      <c r="F82" s="67">
        <v>120</v>
      </c>
      <c r="G82" s="65" t="s">
        <v>266</v>
      </c>
      <c r="H82" s="27">
        <v>1</v>
      </c>
      <c r="I82" s="28">
        <v>44287</v>
      </c>
      <c r="J82" s="65" t="s">
        <v>310</v>
      </c>
      <c r="K82" s="65" t="s">
        <v>266</v>
      </c>
      <c r="L82" s="65" t="s">
        <v>317</v>
      </c>
      <c r="M82" s="65" t="s">
        <v>472</v>
      </c>
      <c r="N82" s="51">
        <f t="shared" si="40"/>
        <v>10000000</v>
      </c>
      <c r="O82" s="51">
        <f t="shared" si="41"/>
        <v>83333.333333333328</v>
      </c>
      <c r="P82" s="28">
        <f t="shared" si="42"/>
        <v>47939</v>
      </c>
      <c r="Q82" s="68" t="str">
        <f t="shared" si="35"/>
        <v/>
      </c>
      <c r="R82" s="68" t="str">
        <f t="shared" si="35"/>
        <v/>
      </c>
      <c r="S82" s="68" t="str">
        <f t="shared" si="35"/>
        <v/>
      </c>
      <c r="T82" s="68" t="str">
        <f t="shared" si="35"/>
        <v/>
      </c>
      <c r="U82" s="68" t="str">
        <f t="shared" si="35"/>
        <v/>
      </c>
      <c r="V82" s="69">
        <f t="shared" si="35"/>
        <v>83333.333333333328</v>
      </c>
      <c r="W82" s="69">
        <f t="shared" si="35"/>
        <v>83333.333333333328</v>
      </c>
      <c r="X82" s="69">
        <f t="shared" si="35"/>
        <v>83333.333333333328</v>
      </c>
      <c r="Y82" s="69">
        <f t="shared" si="35"/>
        <v>83333.333333333328</v>
      </c>
      <c r="Z82" s="69">
        <f t="shared" si="35"/>
        <v>83333.333333333328</v>
      </c>
      <c r="AA82" s="69">
        <f t="shared" si="35"/>
        <v>83333.333333333328</v>
      </c>
      <c r="AB82" s="69">
        <f t="shared" si="35"/>
        <v>83333.333333333328</v>
      </c>
      <c r="AC82" s="69">
        <f t="shared" si="35"/>
        <v>83333.333333333328</v>
      </c>
      <c r="AD82" s="69">
        <f t="shared" si="35"/>
        <v>83333.333333333328</v>
      </c>
      <c r="AE82" s="69">
        <f t="shared" si="35"/>
        <v>83333.333333333328</v>
      </c>
      <c r="AF82" s="69">
        <f t="shared" si="35"/>
        <v>83333.333333333328</v>
      </c>
      <c r="AG82" s="69">
        <f t="shared" si="43"/>
        <v>83333.333333333328</v>
      </c>
      <c r="AH82" s="70">
        <f t="shared" si="43"/>
        <v>83333.333333333328</v>
      </c>
      <c r="AI82" s="70">
        <f t="shared" si="43"/>
        <v>83333.333333333328</v>
      </c>
      <c r="AJ82" s="70">
        <f t="shared" si="43"/>
        <v>83333.333333333328</v>
      </c>
      <c r="AK82" s="70">
        <f t="shared" si="43"/>
        <v>83333.333333333328</v>
      </c>
      <c r="AL82" s="70">
        <f t="shared" si="43"/>
        <v>83333.333333333328</v>
      </c>
      <c r="AM82" s="70">
        <f t="shared" si="43"/>
        <v>83333.333333333328</v>
      </c>
      <c r="AN82" s="70">
        <f t="shared" si="43"/>
        <v>83333.333333333328</v>
      </c>
      <c r="AO82" s="70">
        <f t="shared" si="43"/>
        <v>83333.333333333328</v>
      </c>
      <c r="AP82" s="70">
        <f t="shared" si="43"/>
        <v>83333.333333333328</v>
      </c>
      <c r="AQ82" s="70">
        <f t="shared" si="43"/>
        <v>83333.333333333328</v>
      </c>
      <c r="AR82" s="70">
        <f t="shared" si="43"/>
        <v>83333.333333333328</v>
      </c>
      <c r="AS82" s="70">
        <f t="shared" si="43"/>
        <v>83333.333333333328</v>
      </c>
      <c r="AT82" s="71">
        <f t="shared" si="43"/>
        <v>83333.333333333328</v>
      </c>
      <c r="AU82" s="71">
        <f t="shared" si="43"/>
        <v>83333.333333333328</v>
      </c>
      <c r="AV82" s="71">
        <f t="shared" si="43"/>
        <v>83333.333333333328</v>
      </c>
      <c r="AW82" s="71">
        <f t="shared" si="44"/>
        <v>83333.333333333328</v>
      </c>
      <c r="AX82" s="71">
        <f t="shared" si="44"/>
        <v>83333.333333333328</v>
      </c>
      <c r="AY82" s="71">
        <f t="shared" si="44"/>
        <v>83333.333333333328</v>
      </c>
      <c r="AZ82" s="71">
        <f t="shared" si="44"/>
        <v>83333.333333333328</v>
      </c>
      <c r="BA82" s="71">
        <f t="shared" si="44"/>
        <v>83333.333333333328</v>
      </c>
      <c r="BB82" s="71">
        <f t="shared" si="44"/>
        <v>83333.333333333328</v>
      </c>
      <c r="BC82" s="71">
        <f t="shared" si="44"/>
        <v>83333.333333333328</v>
      </c>
      <c r="BD82" s="71">
        <f t="shared" si="44"/>
        <v>83333.333333333328</v>
      </c>
      <c r="BE82" s="71">
        <f t="shared" si="44"/>
        <v>83333.333333333328</v>
      </c>
      <c r="BF82" s="68">
        <f t="shared" si="36"/>
        <v>0</v>
      </c>
      <c r="BG82" s="69">
        <f t="shared" si="37"/>
        <v>1000000.0000000001</v>
      </c>
      <c r="BH82" s="70">
        <f t="shared" si="38"/>
        <v>1000000.0000000001</v>
      </c>
      <c r="BI82" s="71">
        <f t="shared" si="39"/>
        <v>1000000.0000000001</v>
      </c>
      <c r="BJ82" s="72">
        <f>VLOOKUP(D82,Master!AD:AG,3,FALSE)</f>
        <v>7611300</v>
      </c>
      <c r="BK82" s="73" t="str">
        <f>VLOOKUP(D82,Master!AD:AG,4,FALSE)</f>
        <v>Depreciation-Machiney &amp; equipment</v>
      </c>
    </row>
    <row r="83" spans="1:63" s="74" customFormat="1" ht="15" customHeight="1">
      <c r="A83" s="64" t="s">
        <v>326</v>
      </c>
      <c r="B83" s="25" t="s">
        <v>489</v>
      </c>
      <c r="C83" s="65" t="s">
        <v>221</v>
      </c>
      <c r="D83" s="66">
        <v>2141000</v>
      </c>
      <c r="E83" s="26">
        <v>10000000</v>
      </c>
      <c r="F83" s="67">
        <v>60</v>
      </c>
      <c r="G83" s="65" t="s">
        <v>266</v>
      </c>
      <c r="H83" s="27">
        <v>1</v>
      </c>
      <c r="I83" s="28">
        <v>44256</v>
      </c>
      <c r="J83" s="65" t="s">
        <v>310</v>
      </c>
      <c r="K83" s="65" t="s">
        <v>266</v>
      </c>
      <c r="L83" s="65"/>
      <c r="M83" s="65" t="s">
        <v>473</v>
      </c>
      <c r="N83" s="51">
        <f t="shared" si="40"/>
        <v>10000000</v>
      </c>
      <c r="O83" s="51">
        <f t="shared" si="41"/>
        <v>166666.66666666666</v>
      </c>
      <c r="P83" s="28">
        <f t="shared" si="42"/>
        <v>46082</v>
      </c>
      <c r="Q83" s="68" t="str">
        <f t="shared" si="35"/>
        <v/>
      </c>
      <c r="R83" s="68" t="str">
        <f t="shared" si="35"/>
        <v/>
      </c>
      <c r="S83" s="68" t="str">
        <f t="shared" si="35"/>
        <v/>
      </c>
      <c r="T83" s="68" t="str">
        <f t="shared" si="35"/>
        <v/>
      </c>
      <c r="U83" s="68">
        <f t="shared" si="35"/>
        <v>166666.66666666666</v>
      </c>
      <c r="V83" s="69">
        <f t="shared" si="35"/>
        <v>166666.66666666666</v>
      </c>
      <c r="W83" s="69">
        <f t="shared" si="35"/>
        <v>166666.66666666666</v>
      </c>
      <c r="X83" s="69">
        <f t="shared" si="35"/>
        <v>166666.66666666666</v>
      </c>
      <c r="Y83" s="69">
        <f t="shared" si="35"/>
        <v>166666.66666666666</v>
      </c>
      <c r="Z83" s="69">
        <f t="shared" si="35"/>
        <v>166666.66666666666</v>
      </c>
      <c r="AA83" s="69">
        <f t="shared" si="35"/>
        <v>166666.66666666666</v>
      </c>
      <c r="AB83" s="69">
        <f t="shared" si="35"/>
        <v>166666.66666666666</v>
      </c>
      <c r="AC83" s="69">
        <f t="shared" si="35"/>
        <v>166666.66666666666</v>
      </c>
      <c r="AD83" s="69">
        <f t="shared" si="35"/>
        <v>166666.66666666666</v>
      </c>
      <c r="AE83" s="69">
        <f t="shared" si="35"/>
        <v>166666.66666666666</v>
      </c>
      <c r="AF83" s="69">
        <f t="shared" si="35"/>
        <v>166666.66666666666</v>
      </c>
      <c r="AG83" s="69">
        <f t="shared" si="43"/>
        <v>166666.66666666666</v>
      </c>
      <c r="AH83" s="70">
        <f t="shared" si="43"/>
        <v>166666.66666666666</v>
      </c>
      <c r="AI83" s="70">
        <f t="shared" si="43"/>
        <v>166666.66666666666</v>
      </c>
      <c r="AJ83" s="70">
        <f t="shared" si="43"/>
        <v>166666.66666666666</v>
      </c>
      <c r="AK83" s="70">
        <f t="shared" si="43"/>
        <v>166666.66666666666</v>
      </c>
      <c r="AL83" s="70">
        <f t="shared" si="43"/>
        <v>166666.66666666666</v>
      </c>
      <c r="AM83" s="70">
        <f t="shared" si="43"/>
        <v>166666.66666666666</v>
      </c>
      <c r="AN83" s="70">
        <f t="shared" si="43"/>
        <v>166666.66666666666</v>
      </c>
      <c r="AO83" s="70">
        <f t="shared" si="43"/>
        <v>166666.66666666666</v>
      </c>
      <c r="AP83" s="70">
        <f t="shared" si="43"/>
        <v>166666.66666666666</v>
      </c>
      <c r="AQ83" s="70">
        <f t="shared" si="43"/>
        <v>166666.66666666666</v>
      </c>
      <c r="AR83" s="70">
        <f t="shared" si="43"/>
        <v>166666.66666666666</v>
      </c>
      <c r="AS83" s="70">
        <f t="shared" si="43"/>
        <v>166666.66666666666</v>
      </c>
      <c r="AT83" s="71">
        <f t="shared" si="43"/>
        <v>166666.66666666666</v>
      </c>
      <c r="AU83" s="71">
        <f t="shared" si="43"/>
        <v>166666.66666666666</v>
      </c>
      <c r="AV83" s="71">
        <f t="shared" si="43"/>
        <v>166666.66666666666</v>
      </c>
      <c r="AW83" s="71">
        <f t="shared" si="44"/>
        <v>166666.66666666666</v>
      </c>
      <c r="AX83" s="71">
        <f t="shared" si="44"/>
        <v>166666.66666666666</v>
      </c>
      <c r="AY83" s="71">
        <f t="shared" si="44"/>
        <v>166666.66666666666</v>
      </c>
      <c r="AZ83" s="71">
        <f t="shared" si="44"/>
        <v>166666.66666666666</v>
      </c>
      <c r="BA83" s="71">
        <f t="shared" si="44"/>
        <v>166666.66666666666</v>
      </c>
      <c r="BB83" s="71">
        <f t="shared" si="44"/>
        <v>166666.66666666666</v>
      </c>
      <c r="BC83" s="71">
        <f t="shared" si="44"/>
        <v>166666.66666666666</v>
      </c>
      <c r="BD83" s="71">
        <f t="shared" si="44"/>
        <v>166666.66666666666</v>
      </c>
      <c r="BE83" s="71">
        <f t="shared" si="44"/>
        <v>166666.66666666666</v>
      </c>
      <c r="BF83" s="68">
        <f t="shared" si="36"/>
        <v>166666.66666666666</v>
      </c>
      <c r="BG83" s="69">
        <f t="shared" si="37"/>
        <v>2000000.0000000002</v>
      </c>
      <c r="BH83" s="70">
        <f t="shared" si="38"/>
        <v>2000000.0000000002</v>
      </c>
      <c r="BI83" s="71">
        <f t="shared" si="39"/>
        <v>2000000.0000000002</v>
      </c>
      <c r="BJ83" s="72">
        <f>VLOOKUP(D83,Master!AD:AG,3,FALSE)</f>
        <v>7611600</v>
      </c>
      <c r="BK83" s="73" t="str">
        <f>VLOOKUP(D83,Master!AD:AG,4,FALSE)</f>
        <v>Depreciation-Tools, furniture &amp; office equipment</v>
      </c>
    </row>
    <row r="84" spans="1:63" s="74" customFormat="1" ht="15" customHeight="1">
      <c r="A84" s="64" t="s">
        <v>308</v>
      </c>
      <c r="B84" s="25" t="s">
        <v>423</v>
      </c>
      <c r="C84" s="65" t="s">
        <v>312</v>
      </c>
      <c r="D84" s="66">
        <v>2121000</v>
      </c>
      <c r="E84" s="26">
        <v>12000000</v>
      </c>
      <c r="F84" s="67">
        <v>120</v>
      </c>
      <c r="G84" s="65" t="s">
        <v>268</v>
      </c>
      <c r="H84" s="27">
        <v>1</v>
      </c>
      <c r="I84" s="28">
        <v>44287</v>
      </c>
      <c r="J84" s="65" t="s">
        <v>310</v>
      </c>
      <c r="K84" s="65" t="s">
        <v>268</v>
      </c>
      <c r="L84" s="65" t="s">
        <v>317</v>
      </c>
      <c r="M84" s="65" t="s">
        <v>472</v>
      </c>
      <c r="N84" s="51">
        <f t="shared" si="40"/>
        <v>12000000</v>
      </c>
      <c r="O84" s="51">
        <f t="shared" si="41"/>
        <v>100000</v>
      </c>
      <c r="P84" s="28">
        <f t="shared" si="42"/>
        <v>47939</v>
      </c>
      <c r="Q84" s="68" t="str">
        <f t="shared" si="35"/>
        <v/>
      </c>
      <c r="R84" s="68" t="str">
        <f t="shared" si="35"/>
        <v/>
      </c>
      <c r="S84" s="68" t="str">
        <f t="shared" si="35"/>
        <v/>
      </c>
      <c r="T84" s="68" t="str">
        <f t="shared" si="35"/>
        <v/>
      </c>
      <c r="U84" s="68" t="str">
        <f t="shared" si="35"/>
        <v/>
      </c>
      <c r="V84" s="69">
        <f t="shared" si="35"/>
        <v>100000</v>
      </c>
      <c r="W84" s="69">
        <f t="shared" si="35"/>
        <v>100000</v>
      </c>
      <c r="X84" s="69">
        <f t="shared" si="35"/>
        <v>100000</v>
      </c>
      <c r="Y84" s="69">
        <f t="shared" si="35"/>
        <v>100000</v>
      </c>
      <c r="Z84" s="69">
        <f t="shared" si="35"/>
        <v>100000</v>
      </c>
      <c r="AA84" s="69">
        <f t="shared" si="35"/>
        <v>100000</v>
      </c>
      <c r="AB84" s="69">
        <f t="shared" si="35"/>
        <v>100000</v>
      </c>
      <c r="AC84" s="69">
        <f t="shared" ref="Q84:AF100" si="45">IF(AND(LEFT(AC$1,FIND("_",AC$1)-1)&amp;RIGHT(AC$1,LEN(AC$1)-FIND("_",AC$1)) &gt;= YEAR($I84) &amp; TEXT(MONTH($I84),"00"),LEFT(AC$1,FIND("_",AC$1)-1)&amp;RIGHT(AC$1,LEN(AC$1)-FIND("_",AC$1)) &lt; YEAR($P84) &amp; TEXT(MONTH($P84),"00")),$O84,"")</f>
        <v>100000</v>
      </c>
      <c r="AD84" s="69">
        <f t="shared" si="45"/>
        <v>100000</v>
      </c>
      <c r="AE84" s="69">
        <f t="shared" si="45"/>
        <v>100000</v>
      </c>
      <c r="AF84" s="69">
        <f t="shared" si="45"/>
        <v>100000</v>
      </c>
      <c r="AG84" s="69">
        <f t="shared" si="43"/>
        <v>100000</v>
      </c>
      <c r="AH84" s="70">
        <f t="shared" si="43"/>
        <v>100000</v>
      </c>
      <c r="AI84" s="70">
        <f t="shared" si="43"/>
        <v>100000</v>
      </c>
      <c r="AJ84" s="70">
        <f t="shared" si="43"/>
        <v>100000</v>
      </c>
      <c r="AK84" s="70">
        <f t="shared" si="43"/>
        <v>100000</v>
      </c>
      <c r="AL84" s="70">
        <f t="shared" si="43"/>
        <v>100000</v>
      </c>
      <c r="AM84" s="70">
        <f t="shared" si="43"/>
        <v>100000</v>
      </c>
      <c r="AN84" s="70">
        <f t="shared" si="43"/>
        <v>100000</v>
      </c>
      <c r="AO84" s="70">
        <f t="shared" si="43"/>
        <v>100000</v>
      </c>
      <c r="AP84" s="70">
        <f t="shared" si="43"/>
        <v>100000</v>
      </c>
      <c r="AQ84" s="70">
        <f t="shared" si="43"/>
        <v>100000</v>
      </c>
      <c r="AR84" s="70">
        <f t="shared" si="43"/>
        <v>100000</v>
      </c>
      <c r="AS84" s="70">
        <f t="shared" si="43"/>
        <v>100000</v>
      </c>
      <c r="AT84" s="71">
        <f t="shared" si="43"/>
        <v>100000</v>
      </c>
      <c r="AU84" s="71">
        <f t="shared" si="43"/>
        <v>100000</v>
      </c>
      <c r="AV84" s="71">
        <f t="shared" si="43"/>
        <v>100000</v>
      </c>
      <c r="AW84" s="71">
        <f t="shared" si="44"/>
        <v>100000</v>
      </c>
      <c r="AX84" s="71">
        <f t="shared" si="44"/>
        <v>100000</v>
      </c>
      <c r="AY84" s="71">
        <f t="shared" si="44"/>
        <v>100000</v>
      </c>
      <c r="AZ84" s="71">
        <f t="shared" si="44"/>
        <v>100000</v>
      </c>
      <c r="BA84" s="71">
        <f t="shared" si="44"/>
        <v>100000</v>
      </c>
      <c r="BB84" s="71">
        <f t="shared" si="44"/>
        <v>100000</v>
      </c>
      <c r="BC84" s="71">
        <f t="shared" si="44"/>
        <v>100000</v>
      </c>
      <c r="BD84" s="71">
        <f t="shared" si="44"/>
        <v>100000</v>
      </c>
      <c r="BE84" s="71">
        <f t="shared" si="44"/>
        <v>100000</v>
      </c>
      <c r="BF84" s="68">
        <f t="shared" si="36"/>
        <v>0</v>
      </c>
      <c r="BG84" s="69">
        <f t="shared" si="37"/>
        <v>1200000</v>
      </c>
      <c r="BH84" s="70">
        <f t="shared" si="38"/>
        <v>1200000</v>
      </c>
      <c r="BI84" s="71">
        <f t="shared" si="39"/>
        <v>1200000</v>
      </c>
      <c r="BJ84" s="72">
        <f>VLOOKUP(D84,Master!AD:AG,3,FALSE)</f>
        <v>7611300</v>
      </c>
      <c r="BK84" s="73" t="str">
        <f>VLOOKUP(D84,Master!AD:AG,4,FALSE)</f>
        <v>Depreciation-Machiney &amp; equipment</v>
      </c>
    </row>
    <row r="85" spans="1:63" s="74" customFormat="1" ht="15" customHeight="1">
      <c r="A85" s="64" t="s">
        <v>308</v>
      </c>
      <c r="B85" s="25" t="s">
        <v>415</v>
      </c>
      <c r="C85" s="65" t="s">
        <v>221</v>
      </c>
      <c r="D85" s="66">
        <v>2141000</v>
      </c>
      <c r="E85" s="26">
        <v>8000000</v>
      </c>
      <c r="F85" s="67">
        <v>60</v>
      </c>
      <c r="G85" s="65" t="s">
        <v>254</v>
      </c>
      <c r="H85" s="27">
        <v>1</v>
      </c>
      <c r="I85" s="28">
        <v>44317</v>
      </c>
      <c r="J85" s="65" t="s">
        <v>310</v>
      </c>
      <c r="K85" s="65" t="s">
        <v>254</v>
      </c>
      <c r="L85" s="65" t="s">
        <v>317</v>
      </c>
      <c r="M85" s="65" t="s">
        <v>472</v>
      </c>
      <c r="N85" s="51">
        <f t="shared" si="40"/>
        <v>8000000</v>
      </c>
      <c r="O85" s="51">
        <f t="shared" si="41"/>
        <v>133333.33333333334</v>
      </c>
      <c r="P85" s="28">
        <f t="shared" si="42"/>
        <v>46143</v>
      </c>
      <c r="Q85" s="68" t="str">
        <f t="shared" si="45"/>
        <v/>
      </c>
      <c r="R85" s="68" t="str">
        <f t="shared" si="45"/>
        <v/>
      </c>
      <c r="S85" s="68" t="str">
        <f t="shared" si="45"/>
        <v/>
      </c>
      <c r="T85" s="68" t="str">
        <f t="shared" si="45"/>
        <v/>
      </c>
      <c r="U85" s="68" t="str">
        <f t="shared" si="45"/>
        <v/>
      </c>
      <c r="V85" s="69" t="str">
        <f t="shared" si="45"/>
        <v/>
      </c>
      <c r="W85" s="69">
        <f t="shared" si="45"/>
        <v>133333.33333333334</v>
      </c>
      <c r="X85" s="69">
        <f t="shared" si="45"/>
        <v>133333.33333333334</v>
      </c>
      <c r="Y85" s="69">
        <f t="shared" si="45"/>
        <v>133333.33333333334</v>
      </c>
      <c r="Z85" s="69">
        <f t="shared" si="45"/>
        <v>133333.33333333334</v>
      </c>
      <c r="AA85" s="69">
        <f t="shared" si="45"/>
        <v>133333.33333333334</v>
      </c>
      <c r="AB85" s="69">
        <f t="shared" si="45"/>
        <v>133333.33333333334</v>
      </c>
      <c r="AC85" s="69">
        <f t="shared" si="45"/>
        <v>133333.33333333334</v>
      </c>
      <c r="AD85" s="69">
        <f t="shared" si="45"/>
        <v>133333.33333333334</v>
      </c>
      <c r="AE85" s="69">
        <f t="shared" si="45"/>
        <v>133333.33333333334</v>
      </c>
      <c r="AF85" s="69">
        <f t="shared" si="45"/>
        <v>133333.33333333334</v>
      </c>
      <c r="AG85" s="69">
        <f t="shared" si="43"/>
        <v>133333.33333333334</v>
      </c>
      <c r="AH85" s="70">
        <f t="shared" si="43"/>
        <v>133333.33333333334</v>
      </c>
      <c r="AI85" s="70">
        <f t="shared" si="43"/>
        <v>133333.33333333334</v>
      </c>
      <c r="AJ85" s="70">
        <f t="shared" si="43"/>
        <v>133333.33333333334</v>
      </c>
      <c r="AK85" s="70">
        <f t="shared" si="43"/>
        <v>133333.33333333334</v>
      </c>
      <c r="AL85" s="70">
        <f t="shared" si="43"/>
        <v>133333.33333333334</v>
      </c>
      <c r="AM85" s="70">
        <f t="shared" si="43"/>
        <v>133333.33333333334</v>
      </c>
      <c r="AN85" s="70">
        <f t="shared" si="43"/>
        <v>133333.33333333334</v>
      </c>
      <c r="AO85" s="70">
        <f t="shared" si="43"/>
        <v>133333.33333333334</v>
      </c>
      <c r="AP85" s="70">
        <f t="shared" si="43"/>
        <v>133333.33333333334</v>
      </c>
      <c r="AQ85" s="70">
        <f t="shared" si="43"/>
        <v>133333.33333333334</v>
      </c>
      <c r="AR85" s="70">
        <f t="shared" si="43"/>
        <v>133333.33333333334</v>
      </c>
      <c r="AS85" s="70">
        <f t="shared" si="43"/>
        <v>133333.33333333334</v>
      </c>
      <c r="AT85" s="71">
        <f t="shared" si="43"/>
        <v>133333.33333333334</v>
      </c>
      <c r="AU85" s="71">
        <f t="shared" si="43"/>
        <v>133333.33333333334</v>
      </c>
      <c r="AV85" s="71">
        <f t="shared" si="43"/>
        <v>133333.33333333334</v>
      </c>
      <c r="AW85" s="71">
        <f t="shared" si="44"/>
        <v>133333.33333333334</v>
      </c>
      <c r="AX85" s="71">
        <f t="shared" si="44"/>
        <v>133333.33333333334</v>
      </c>
      <c r="AY85" s="71">
        <f t="shared" si="44"/>
        <v>133333.33333333334</v>
      </c>
      <c r="AZ85" s="71">
        <f t="shared" si="44"/>
        <v>133333.33333333334</v>
      </c>
      <c r="BA85" s="71">
        <f t="shared" si="44"/>
        <v>133333.33333333334</v>
      </c>
      <c r="BB85" s="71">
        <f t="shared" si="44"/>
        <v>133333.33333333334</v>
      </c>
      <c r="BC85" s="71">
        <f t="shared" si="44"/>
        <v>133333.33333333334</v>
      </c>
      <c r="BD85" s="71">
        <f t="shared" si="44"/>
        <v>133333.33333333334</v>
      </c>
      <c r="BE85" s="71">
        <f t="shared" si="44"/>
        <v>133333.33333333334</v>
      </c>
      <c r="BF85" s="68">
        <f t="shared" si="36"/>
        <v>0</v>
      </c>
      <c r="BG85" s="69">
        <f t="shared" si="37"/>
        <v>1466666.6666666665</v>
      </c>
      <c r="BH85" s="70">
        <f t="shared" si="38"/>
        <v>1599999.9999999998</v>
      </c>
      <c r="BI85" s="71">
        <f t="shared" si="39"/>
        <v>1599999.9999999998</v>
      </c>
      <c r="BJ85" s="72">
        <f>VLOOKUP(D85,Master!AD:AG,3,FALSE)</f>
        <v>7611600</v>
      </c>
      <c r="BK85" s="73" t="str">
        <f>VLOOKUP(D85,Master!AD:AG,4,FALSE)</f>
        <v>Depreciation-Tools, furniture &amp; office equipment</v>
      </c>
    </row>
    <row r="86" spans="1:63" s="74" customFormat="1" ht="15" customHeight="1">
      <c r="A86" s="64" t="s">
        <v>326</v>
      </c>
      <c r="B86" s="25" t="s">
        <v>416</v>
      </c>
      <c r="C86" s="65" t="s">
        <v>221</v>
      </c>
      <c r="D86" s="66">
        <v>2141000</v>
      </c>
      <c r="E86" s="26">
        <v>8000000</v>
      </c>
      <c r="F86" s="67">
        <v>60</v>
      </c>
      <c r="G86" s="65" t="s">
        <v>254</v>
      </c>
      <c r="H86" s="27">
        <v>1</v>
      </c>
      <c r="I86" s="28">
        <v>44378</v>
      </c>
      <c r="J86" s="65" t="s">
        <v>310</v>
      </c>
      <c r="K86" s="65" t="s">
        <v>254</v>
      </c>
      <c r="L86" s="65" t="s">
        <v>317</v>
      </c>
      <c r="M86" s="65" t="s">
        <v>472</v>
      </c>
      <c r="N86" s="51">
        <f t="shared" si="40"/>
        <v>8000000</v>
      </c>
      <c r="O86" s="51">
        <f t="shared" si="41"/>
        <v>133333.33333333334</v>
      </c>
      <c r="P86" s="28">
        <f t="shared" si="42"/>
        <v>46204</v>
      </c>
      <c r="Q86" s="68" t="str">
        <f t="shared" si="45"/>
        <v/>
      </c>
      <c r="R86" s="68" t="str">
        <f t="shared" si="45"/>
        <v/>
      </c>
      <c r="S86" s="68" t="str">
        <f t="shared" si="45"/>
        <v/>
      </c>
      <c r="T86" s="68" t="str">
        <f t="shared" si="45"/>
        <v/>
      </c>
      <c r="U86" s="68" t="str">
        <f t="shared" si="45"/>
        <v/>
      </c>
      <c r="V86" s="69" t="str">
        <f t="shared" si="45"/>
        <v/>
      </c>
      <c r="W86" s="69" t="str">
        <f t="shared" si="45"/>
        <v/>
      </c>
      <c r="X86" s="69" t="str">
        <f t="shared" si="45"/>
        <v/>
      </c>
      <c r="Y86" s="69">
        <f t="shared" si="45"/>
        <v>133333.33333333334</v>
      </c>
      <c r="Z86" s="69">
        <f t="shared" si="45"/>
        <v>133333.33333333334</v>
      </c>
      <c r="AA86" s="69">
        <f t="shared" si="45"/>
        <v>133333.33333333334</v>
      </c>
      <c r="AB86" s="69">
        <f t="shared" si="45"/>
        <v>133333.33333333334</v>
      </c>
      <c r="AC86" s="69">
        <f t="shared" si="45"/>
        <v>133333.33333333334</v>
      </c>
      <c r="AD86" s="69">
        <f t="shared" si="45"/>
        <v>133333.33333333334</v>
      </c>
      <c r="AE86" s="69">
        <f t="shared" si="45"/>
        <v>133333.33333333334</v>
      </c>
      <c r="AF86" s="69">
        <f t="shared" si="45"/>
        <v>133333.33333333334</v>
      </c>
      <c r="AG86" s="69">
        <f t="shared" si="43"/>
        <v>133333.33333333334</v>
      </c>
      <c r="AH86" s="70">
        <f t="shared" si="43"/>
        <v>133333.33333333334</v>
      </c>
      <c r="AI86" s="70">
        <f t="shared" si="43"/>
        <v>133333.33333333334</v>
      </c>
      <c r="AJ86" s="70">
        <f t="shared" si="43"/>
        <v>133333.33333333334</v>
      </c>
      <c r="AK86" s="70">
        <f t="shared" si="43"/>
        <v>133333.33333333334</v>
      </c>
      <c r="AL86" s="70">
        <f t="shared" si="43"/>
        <v>133333.33333333334</v>
      </c>
      <c r="AM86" s="70">
        <f t="shared" si="43"/>
        <v>133333.33333333334</v>
      </c>
      <c r="AN86" s="70">
        <f t="shared" si="43"/>
        <v>133333.33333333334</v>
      </c>
      <c r="AO86" s="70">
        <f t="shared" si="43"/>
        <v>133333.33333333334</v>
      </c>
      <c r="AP86" s="70">
        <f t="shared" si="43"/>
        <v>133333.33333333334</v>
      </c>
      <c r="AQ86" s="70">
        <f t="shared" si="43"/>
        <v>133333.33333333334</v>
      </c>
      <c r="AR86" s="70">
        <f t="shared" si="43"/>
        <v>133333.33333333334</v>
      </c>
      <c r="AS86" s="70">
        <f t="shared" si="43"/>
        <v>133333.33333333334</v>
      </c>
      <c r="AT86" s="71">
        <f t="shared" si="43"/>
        <v>133333.33333333334</v>
      </c>
      <c r="AU86" s="71">
        <f t="shared" si="43"/>
        <v>133333.33333333334</v>
      </c>
      <c r="AV86" s="71">
        <f t="shared" si="43"/>
        <v>133333.33333333334</v>
      </c>
      <c r="AW86" s="71">
        <f t="shared" si="44"/>
        <v>133333.33333333334</v>
      </c>
      <c r="AX86" s="71">
        <f t="shared" si="44"/>
        <v>133333.33333333334</v>
      </c>
      <c r="AY86" s="71">
        <f t="shared" si="44"/>
        <v>133333.33333333334</v>
      </c>
      <c r="AZ86" s="71">
        <f t="shared" si="44"/>
        <v>133333.33333333334</v>
      </c>
      <c r="BA86" s="71">
        <f t="shared" si="44"/>
        <v>133333.33333333334</v>
      </c>
      <c r="BB86" s="71">
        <f t="shared" si="44"/>
        <v>133333.33333333334</v>
      </c>
      <c r="BC86" s="71">
        <f t="shared" si="44"/>
        <v>133333.33333333334</v>
      </c>
      <c r="BD86" s="71">
        <f t="shared" si="44"/>
        <v>133333.33333333334</v>
      </c>
      <c r="BE86" s="71">
        <f t="shared" si="44"/>
        <v>133333.33333333334</v>
      </c>
      <c r="BF86" s="68">
        <f t="shared" si="36"/>
        <v>0</v>
      </c>
      <c r="BG86" s="69">
        <f t="shared" si="37"/>
        <v>1200000</v>
      </c>
      <c r="BH86" s="70">
        <f t="shared" si="38"/>
        <v>1599999.9999999998</v>
      </c>
      <c r="BI86" s="71">
        <f t="shared" si="39"/>
        <v>1599999.9999999998</v>
      </c>
      <c r="BJ86" s="72">
        <f>VLOOKUP(D86,Master!AD:AG,3,FALSE)</f>
        <v>7611600</v>
      </c>
      <c r="BK86" s="73" t="str">
        <f>VLOOKUP(D86,Master!AD:AG,4,FALSE)</f>
        <v>Depreciation-Tools, furniture &amp; office equipment</v>
      </c>
    </row>
    <row r="87" spans="1:63" s="74" customFormat="1" ht="15" customHeight="1">
      <c r="A87" s="64" t="s">
        <v>328</v>
      </c>
      <c r="B87" s="25" t="s">
        <v>488</v>
      </c>
      <c r="C87" s="65" t="s">
        <v>221</v>
      </c>
      <c r="D87" s="66">
        <v>2141000</v>
      </c>
      <c r="E87" s="26">
        <v>15000000</v>
      </c>
      <c r="F87" s="67">
        <v>60</v>
      </c>
      <c r="G87" s="65" t="s">
        <v>254</v>
      </c>
      <c r="H87" s="27">
        <v>1</v>
      </c>
      <c r="I87" s="28">
        <v>43862</v>
      </c>
      <c r="J87" s="65" t="s">
        <v>310</v>
      </c>
      <c r="K87" s="65" t="s">
        <v>254</v>
      </c>
      <c r="L87" s="65"/>
      <c r="M87" s="65" t="s">
        <v>473</v>
      </c>
      <c r="N87" s="51">
        <f t="shared" si="40"/>
        <v>15000000</v>
      </c>
      <c r="O87" s="51">
        <f t="shared" si="41"/>
        <v>250000</v>
      </c>
      <c r="P87" s="28">
        <f t="shared" si="42"/>
        <v>45689</v>
      </c>
      <c r="Q87" s="68">
        <f t="shared" si="45"/>
        <v>250000</v>
      </c>
      <c r="R87" s="68">
        <f t="shared" si="45"/>
        <v>250000</v>
      </c>
      <c r="S87" s="68">
        <f t="shared" si="45"/>
        <v>250000</v>
      </c>
      <c r="T87" s="68">
        <f t="shared" si="45"/>
        <v>250000</v>
      </c>
      <c r="U87" s="68">
        <f t="shared" si="45"/>
        <v>250000</v>
      </c>
      <c r="V87" s="69">
        <f t="shared" si="45"/>
        <v>250000</v>
      </c>
      <c r="W87" s="69">
        <f t="shared" si="45"/>
        <v>250000</v>
      </c>
      <c r="X87" s="69">
        <f t="shared" si="45"/>
        <v>250000</v>
      </c>
      <c r="Y87" s="69">
        <f t="shared" si="45"/>
        <v>250000</v>
      </c>
      <c r="Z87" s="69">
        <f t="shared" si="45"/>
        <v>250000</v>
      </c>
      <c r="AA87" s="69">
        <f t="shared" si="45"/>
        <v>250000</v>
      </c>
      <c r="AB87" s="69">
        <f t="shared" si="45"/>
        <v>250000</v>
      </c>
      <c r="AC87" s="69">
        <f t="shared" si="45"/>
        <v>250000</v>
      </c>
      <c r="AD87" s="69">
        <f t="shared" si="45"/>
        <v>250000</v>
      </c>
      <c r="AE87" s="69">
        <f t="shared" si="45"/>
        <v>250000</v>
      </c>
      <c r="AF87" s="69">
        <f t="shared" si="45"/>
        <v>250000</v>
      </c>
      <c r="AG87" s="69">
        <f t="shared" si="43"/>
        <v>250000</v>
      </c>
      <c r="AH87" s="70">
        <f t="shared" si="43"/>
        <v>250000</v>
      </c>
      <c r="AI87" s="70">
        <f t="shared" si="43"/>
        <v>250000</v>
      </c>
      <c r="AJ87" s="70">
        <f t="shared" si="43"/>
        <v>250000</v>
      </c>
      <c r="AK87" s="70">
        <f t="shared" si="43"/>
        <v>250000</v>
      </c>
      <c r="AL87" s="70">
        <f t="shared" si="43"/>
        <v>250000</v>
      </c>
      <c r="AM87" s="70">
        <f t="shared" si="43"/>
        <v>250000</v>
      </c>
      <c r="AN87" s="70">
        <f t="shared" si="43"/>
        <v>250000</v>
      </c>
      <c r="AO87" s="70">
        <f t="shared" si="43"/>
        <v>250000</v>
      </c>
      <c r="AP87" s="70">
        <f t="shared" si="43"/>
        <v>250000</v>
      </c>
      <c r="AQ87" s="70">
        <f t="shared" si="43"/>
        <v>250000</v>
      </c>
      <c r="AR87" s="70">
        <f t="shared" si="43"/>
        <v>250000</v>
      </c>
      <c r="AS87" s="70">
        <f t="shared" si="43"/>
        <v>250000</v>
      </c>
      <c r="AT87" s="71">
        <f t="shared" si="43"/>
        <v>250000</v>
      </c>
      <c r="AU87" s="71">
        <f t="shared" si="43"/>
        <v>250000</v>
      </c>
      <c r="AV87" s="71">
        <f t="shared" si="43"/>
        <v>250000</v>
      </c>
      <c r="AW87" s="71">
        <f t="shared" si="44"/>
        <v>250000</v>
      </c>
      <c r="AX87" s="71">
        <f t="shared" si="44"/>
        <v>250000</v>
      </c>
      <c r="AY87" s="71">
        <f t="shared" si="44"/>
        <v>250000</v>
      </c>
      <c r="AZ87" s="71">
        <f t="shared" si="44"/>
        <v>250000</v>
      </c>
      <c r="BA87" s="71">
        <f t="shared" si="44"/>
        <v>250000</v>
      </c>
      <c r="BB87" s="71">
        <f t="shared" si="44"/>
        <v>250000</v>
      </c>
      <c r="BC87" s="71">
        <f t="shared" si="44"/>
        <v>250000</v>
      </c>
      <c r="BD87" s="71">
        <f t="shared" si="44"/>
        <v>250000</v>
      </c>
      <c r="BE87" s="71">
        <f t="shared" si="44"/>
        <v>250000</v>
      </c>
      <c r="BF87" s="68">
        <f t="shared" si="36"/>
        <v>1250000</v>
      </c>
      <c r="BG87" s="69">
        <f t="shared" si="37"/>
        <v>3000000</v>
      </c>
      <c r="BH87" s="70">
        <f t="shared" si="38"/>
        <v>3000000</v>
      </c>
      <c r="BI87" s="71">
        <f t="shared" si="39"/>
        <v>3000000</v>
      </c>
      <c r="BJ87" s="72">
        <f>VLOOKUP(D87,Master!AD:AG,3,FALSE)</f>
        <v>7611600</v>
      </c>
      <c r="BK87" s="73" t="str">
        <f>VLOOKUP(D87,Master!AD:AG,4,FALSE)</f>
        <v>Depreciation-Tools, furniture &amp; office equipment</v>
      </c>
    </row>
    <row r="88" spans="1:63" s="74" customFormat="1" ht="15" customHeight="1">
      <c r="A88" s="64" t="s">
        <v>308</v>
      </c>
      <c r="B88" s="25" t="s">
        <v>424</v>
      </c>
      <c r="C88" s="65" t="s">
        <v>221</v>
      </c>
      <c r="D88" s="66">
        <v>2141000</v>
      </c>
      <c r="E88" s="26">
        <v>8000000</v>
      </c>
      <c r="F88" s="67">
        <v>60</v>
      </c>
      <c r="G88" s="65" t="s">
        <v>260</v>
      </c>
      <c r="H88" s="27">
        <v>1</v>
      </c>
      <c r="I88" s="28">
        <v>44409</v>
      </c>
      <c r="J88" s="65" t="s">
        <v>310</v>
      </c>
      <c r="K88" s="65" t="s">
        <v>260</v>
      </c>
      <c r="L88" s="65" t="s">
        <v>317</v>
      </c>
      <c r="M88" s="65" t="s">
        <v>472</v>
      </c>
      <c r="N88" s="51">
        <f t="shared" si="40"/>
        <v>8000000</v>
      </c>
      <c r="O88" s="51">
        <f t="shared" si="41"/>
        <v>133333.33333333334</v>
      </c>
      <c r="P88" s="28">
        <f t="shared" si="42"/>
        <v>46235</v>
      </c>
      <c r="Q88" s="68" t="str">
        <f t="shared" si="45"/>
        <v/>
      </c>
      <c r="R88" s="68" t="str">
        <f t="shared" si="45"/>
        <v/>
      </c>
      <c r="S88" s="68" t="str">
        <f t="shared" si="45"/>
        <v/>
      </c>
      <c r="T88" s="68" t="str">
        <f t="shared" si="45"/>
        <v/>
      </c>
      <c r="U88" s="68" t="str">
        <f t="shared" si="45"/>
        <v/>
      </c>
      <c r="V88" s="69" t="str">
        <f t="shared" si="45"/>
        <v/>
      </c>
      <c r="W88" s="69" t="str">
        <f t="shared" si="45"/>
        <v/>
      </c>
      <c r="X88" s="69" t="str">
        <f t="shared" si="45"/>
        <v/>
      </c>
      <c r="Y88" s="69" t="str">
        <f t="shared" si="45"/>
        <v/>
      </c>
      <c r="Z88" s="69">
        <f t="shared" si="45"/>
        <v>133333.33333333334</v>
      </c>
      <c r="AA88" s="69">
        <f t="shared" si="45"/>
        <v>133333.33333333334</v>
      </c>
      <c r="AB88" s="69">
        <f t="shared" si="45"/>
        <v>133333.33333333334</v>
      </c>
      <c r="AC88" s="69">
        <f t="shared" si="45"/>
        <v>133333.33333333334</v>
      </c>
      <c r="AD88" s="69">
        <f t="shared" si="45"/>
        <v>133333.33333333334</v>
      </c>
      <c r="AE88" s="69">
        <f t="shared" si="45"/>
        <v>133333.33333333334</v>
      </c>
      <c r="AF88" s="69">
        <f t="shared" si="45"/>
        <v>133333.33333333334</v>
      </c>
      <c r="AG88" s="69">
        <f t="shared" si="43"/>
        <v>133333.33333333334</v>
      </c>
      <c r="AH88" s="70">
        <f t="shared" si="43"/>
        <v>133333.33333333334</v>
      </c>
      <c r="AI88" s="70">
        <f t="shared" si="43"/>
        <v>133333.33333333334</v>
      </c>
      <c r="AJ88" s="70">
        <f t="shared" si="43"/>
        <v>133333.33333333334</v>
      </c>
      <c r="AK88" s="70">
        <f t="shared" si="43"/>
        <v>133333.33333333334</v>
      </c>
      <c r="AL88" s="70">
        <f t="shared" si="43"/>
        <v>133333.33333333334</v>
      </c>
      <c r="AM88" s="70">
        <f t="shared" si="43"/>
        <v>133333.33333333334</v>
      </c>
      <c r="AN88" s="70">
        <f t="shared" si="43"/>
        <v>133333.33333333334</v>
      </c>
      <c r="AO88" s="70">
        <f t="shared" si="43"/>
        <v>133333.33333333334</v>
      </c>
      <c r="AP88" s="70">
        <f t="shared" si="43"/>
        <v>133333.33333333334</v>
      </c>
      <c r="AQ88" s="70">
        <f t="shared" si="43"/>
        <v>133333.33333333334</v>
      </c>
      <c r="AR88" s="70">
        <f t="shared" ref="AG88:AV104" si="46">IF(AND(LEFT(AR$1,FIND("_",AR$1)-1)&amp;RIGHT(AR$1,LEN(AR$1)-FIND("_",AR$1)) &gt;= YEAR($I88) &amp; TEXT(MONTH($I88),"00"),LEFT(AR$1,FIND("_",AR$1)-1)&amp;RIGHT(AR$1,LEN(AR$1)-FIND("_",AR$1)) &lt; YEAR($P88) &amp; TEXT(MONTH($P88),"00")),$O88,"")</f>
        <v>133333.33333333334</v>
      </c>
      <c r="AS88" s="70">
        <f t="shared" si="46"/>
        <v>133333.33333333334</v>
      </c>
      <c r="AT88" s="71">
        <f t="shared" si="46"/>
        <v>133333.33333333334</v>
      </c>
      <c r="AU88" s="71">
        <f t="shared" si="46"/>
        <v>133333.33333333334</v>
      </c>
      <c r="AV88" s="71">
        <f t="shared" si="46"/>
        <v>133333.33333333334</v>
      </c>
      <c r="AW88" s="71">
        <f t="shared" si="44"/>
        <v>133333.33333333334</v>
      </c>
      <c r="AX88" s="71">
        <f t="shared" si="44"/>
        <v>133333.33333333334</v>
      </c>
      <c r="AY88" s="71">
        <f t="shared" si="44"/>
        <v>133333.33333333334</v>
      </c>
      <c r="AZ88" s="71">
        <f t="shared" si="44"/>
        <v>133333.33333333334</v>
      </c>
      <c r="BA88" s="71">
        <f t="shared" si="44"/>
        <v>133333.33333333334</v>
      </c>
      <c r="BB88" s="71">
        <f t="shared" si="44"/>
        <v>133333.33333333334</v>
      </c>
      <c r="BC88" s="71">
        <f t="shared" si="44"/>
        <v>133333.33333333334</v>
      </c>
      <c r="BD88" s="71">
        <f t="shared" si="44"/>
        <v>133333.33333333334</v>
      </c>
      <c r="BE88" s="71">
        <f t="shared" si="44"/>
        <v>133333.33333333334</v>
      </c>
      <c r="BF88" s="68">
        <f t="shared" si="36"/>
        <v>0</v>
      </c>
      <c r="BG88" s="69">
        <f t="shared" si="37"/>
        <v>1066666.6666666667</v>
      </c>
      <c r="BH88" s="70">
        <f t="shared" si="38"/>
        <v>1599999.9999999998</v>
      </c>
      <c r="BI88" s="71">
        <f t="shared" si="39"/>
        <v>1599999.9999999998</v>
      </c>
      <c r="BJ88" s="72">
        <f>VLOOKUP(D88,Master!AD:AG,3,FALSE)</f>
        <v>7611600</v>
      </c>
      <c r="BK88" s="73" t="str">
        <f>VLOOKUP(D88,Master!AD:AG,4,FALSE)</f>
        <v>Depreciation-Tools, furniture &amp; office equipment</v>
      </c>
    </row>
    <row r="89" spans="1:63" s="74" customFormat="1" ht="15" customHeight="1">
      <c r="A89" s="64" t="s">
        <v>326</v>
      </c>
      <c r="B89" s="25" t="s">
        <v>425</v>
      </c>
      <c r="C89" s="65" t="s">
        <v>221</v>
      </c>
      <c r="D89" s="66">
        <v>2141000</v>
      </c>
      <c r="E89" s="26">
        <v>15000000</v>
      </c>
      <c r="F89" s="67">
        <v>60</v>
      </c>
      <c r="G89" s="65" t="s">
        <v>260</v>
      </c>
      <c r="H89" s="27">
        <v>1</v>
      </c>
      <c r="I89" s="28">
        <v>44410</v>
      </c>
      <c r="J89" s="65" t="s">
        <v>310</v>
      </c>
      <c r="K89" s="65" t="s">
        <v>260</v>
      </c>
      <c r="L89" s="65" t="s">
        <v>317</v>
      </c>
      <c r="M89" s="65" t="s">
        <v>472</v>
      </c>
      <c r="N89" s="51">
        <f t="shared" si="40"/>
        <v>15000000</v>
      </c>
      <c r="O89" s="51">
        <f t="shared" si="41"/>
        <v>250000</v>
      </c>
      <c r="P89" s="28">
        <f t="shared" si="42"/>
        <v>46236</v>
      </c>
      <c r="Q89" s="68" t="str">
        <f t="shared" si="45"/>
        <v/>
      </c>
      <c r="R89" s="68" t="str">
        <f t="shared" si="45"/>
        <v/>
      </c>
      <c r="S89" s="68" t="str">
        <f t="shared" si="45"/>
        <v/>
      </c>
      <c r="T89" s="68" t="str">
        <f t="shared" si="45"/>
        <v/>
      </c>
      <c r="U89" s="68" t="str">
        <f t="shared" si="45"/>
        <v/>
      </c>
      <c r="V89" s="69" t="str">
        <f t="shared" si="45"/>
        <v/>
      </c>
      <c r="W89" s="69" t="str">
        <f t="shared" si="45"/>
        <v/>
      </c>
      <c r="X89" s="69" t="str">
        <f t="shared" si="45"/>
        <v/>
      </c>
      <c r="Y89" s="69" t="str">
        <f t="shared" si="45"/>
        <v/>
      </c>
      <c r="Z89" s="69">
        <f t="shared" si="45"/>
        <v>250000</v>
      </c>
      <c r="AA89" s="69">
        <f t="shared" si="45"/>
        <v>250000</v>
      </c>
      <c r="AB89" s="69">
        <f t="shared" si="45"/>
        <v>250000</v>
      </c>
      <c r="AC89" s="69">
        <f t="shared" si="45"/>
        <v>250000</v>
      </c>
      <c r="AD89" s="69">
        <f t="shared" si="45"/>
        <v>250000</v>
      </c>
      <c r="AE89" s="69">
        <f t="shared" si="45"/>
        <v>250000</v>
      </c>
      <c r="AF89" s="69">
        <f t="shared" si="45"/>
        <v>250000</v>
      </c>
      <c r="AG89" s="69">
        <f t="shared" si="46"/>
        <v>250000</v>
      </c>
      <c r="AH89" s="70">
        <f t="shared" si="46"/>
        <v>250000</v>
      </c>
      <c r="AI89" s="70">
        <f t="shared" si="46"/>
        <v>250000</v>
      </c>
      <c r="AJ89" s="70">
        <f t="shared" si="46"/>
        <v>250000</v>
      </c>
      <c r="AK89" s="70">
        <f t="shared" si="46"/>
        <v>250000</v>
      </c>
      <c r="AL89" s="70">
        <f t="shared" si="46"/>
        <v>250000</v>
      </c>
      <c r="AM89" s="70">
        <f t="shared" si="46"/>
        <v>250000</v>
      </c>
      <c r="AN89" s="70">
        <f t="shared" si="46"/>
        <v>250000</v>
      </c>
      <c r="AO89" s="70">
        <f t="shared" si="46"/>
        <v>250000</v>
      </c>
      <c r="AP89" s="70">
        <f t="shared" si="46"/>
        <v>250000</v>
      </c>
      <c r="AQ89" s="70">
        <f t="shared" si="46"/>
        <v>250000</v>
      </c>
      <c r="AR89" s="70">
        <f t="shared" si="46"/>
        <v>250000</v>
      </c>
      <c r="AS89" s="70">
        <f t="shared" si="46"/>
        <v>250000</v>
      </c>
      <c r="AT89" s="71">
        <f t="shared" si="46"/>
        <v>250000</v>
      </c>
      <c r="AU89" s="71">
        <f t="shared" si="46"/>
        <v>250000</v>
      </c>
      <c r="AV89" s="71">
        <f t="shared" si="46"/>
        <v>250000</v>
      </c>
      <c r="AW89" s="71">
        <f t="shared" si="44"/>
        <v>250000</v>
      </c>
      <c r="AX89" s="71">
        <f t="shared" si="44"/>
        <v>250000</v>
      </c>
      <c r="AY89" s="71">
        <f t="shared" si="44"/>
        <v>250000</v>
      </c>
      <c r="AZ89" s="71">
        <f t="shared" si="44"/>
        <v>250000</v>
      </c>
      <c r="BA89" s="71">
        <f t="shared" si="44"/>
        <v>250000</v>
      </c>
      <c r="BB89" s="71">
        <f t="shared" si="44"/>
        <v>250000</v>
      </c>
      <c r="BC89" s="71">
        <f t="shared" si="44"/>
        <v>250000</v>
      </c>
      <c r="BD89" s="71">
        <f t="shared" si="44"/>
        <v>250000</v>
      </c>
      <c r="BE89" s="71">
        <f t="shared" si="44"/>
        <v>250000</v>
      </c>
      <c r="BF89" s="68">
        <f t="shared" si="36"/>
        <v>0</v>
      </c>
      <c r="BG89" s="69">
        <f t="shared" si="37"/>
        <v>2000000</v>
      </c>
      <c r="BH89" s="70">
        <f t="shared" si="38"/>
        <v>3000000</v>
      </c>
      <c r="BI89" s="71">
        <f t="shared" si="39"/>
        <v>3000000</v>
      </c>
      <c r="BJ89" s="72">
        <f>VLOOKUP(D89,Master!AD:AG,3,FALSE)</f>
        <v>7611600</v>
      </c>
      <c r="BK89" s="73" t="str">
        <f>VLOOKUP(D89,Master!AD:AG,4,FALSE)</f>
        <v>Depreciation-Tools, furniture &amp; office equipment</v>
      </c>
    </row>
    <row r="90" spans="1:63" s="74" customFormat="1" ht="15" customHeight="1">
      <c r="A90" s="64" t="s">
        <v>328</v>
      </c>
      <c r="B90" s="25" t="s">
        <v>486</v>
      </c>
      <c r="C90" s="65" t="s">
        <v>221</v>
      </c>
      <c r="D90" s="66">
        <v>2141000</v>
      </c>
      <c r="E90" s="26">
        <v>10000000</v>
      </c>
      <c r="F90" s="67">
        <v>60</v>
      </c>
      <c r="G90" s="65" t="s">
        <v>260</v>
      </c>
      <c r="H90" s="27">
        <v>1</v>
      </c>
      <c r="I90" s="28">
        <v>44228</v>
      </c>
      <c r="J90" s="65" t="s">
        <v>310</v>
      </c>
      <c r="K90" s="65" t="s">
        <v>260</v>
      </c>
      <c r="L90" s="65"/>
      <c r="M90" s="65" t="s">
        <v>473</v>
      </c>
      <c r="N90" s="51">
        <f t="shared" si="40"/>
        <v>10000000</v>
      </c>
      <c r="O90" s="51">
        <f t="shared" si="41"/>
        <v>166666.66666666666</v>
      </c>
      <c r="P90" s="28">
        <f t="shared" si="42"/>
        <v>46054</v>
      </c>
      <c r="Q90" s="68" t="str">
        <f t="shared" si="45"/>
        <v/>
      </c>
      <c r="R90" s="68" t="str">
        <f t="shared" si="45"/>
        <v/>
      </c>
      <c r="S90" s="68" t="str">
        <f t="shared" si="45"/>
        <v/>
      </c>
      <c r="T90" s="68">
        <f t="shared" si="45"/>
        <v>166666.66666666666</v>
      </c>
      <c r="U90" s="68">
        <f t="shared" si="45"/>
        <v>166666.66666666666</v>
      </c>
      <c r="V90" s="69">
        <f t="shared" si="45"/>
        <v>166666.66666666666</v>
      </c>
      <c r="W90" s="69">
        <f t="shared" si="45"/>
        <v>166666.66666666666</v>
      </c>
      <c r="X90" s="69">
        <f t="shared" si="45"/>
        <v>166666.66666666666</v>
      </c>
      <c r="Y90" s="69">
        <f t="shared" si="45"/>
        <v>166666.66666666666</v>
      </c>
      <c r="Z90" s="69">
        <f t="shared" si="45"/>
        <v>166666.66666666666</v>
      </c>
      <c r="AA90" s="69">
        <f t="shared" si="45"/>
        <v>166666.66666666666</v>
      </c>
      <c r="AB90" s="69">
        <f t="shared" si="45"/>
        <v>166666.66666666666</v>
      </c>
      <c r="AC90" s="69">
        <f t="shared" si="45"/>
        <v>166666.66666666666</v>
      </c>
      <c r="AD90" s="69">
        <f t="shared" si="45"/>
        <v>166666.66666666666</v>
      </c>
      <c r="AE90" s="69">
        <f t="shared" si="45"/>
        <v>166666.66666666666</v>
      </c>
      <c r="AF90" s="69">
        <f t="shared" si="45"/>
        <v>166666.66666666666</v>
      </c>
      <c r="AG90" s="69">
        <f t="shared" si="46"/>
        <v>166666.66666666666</v>
      </c>
      <c r="AH90" s="70">
        <f t="shared" si="46"/>
        <v>166666.66666666666</v>
      </c>
      <c r="AI90" s="70">
        <f t="shared" si="46"/>
        <v>166666.66666666666</v>
      </c>
      <c r="AJ90" s="70">
        <f t="shared" si="46"/>
        <v>166666.66666666666</v>
      </c>
      <c r="AK90" s="70">
        <f t="shared" si="46"/>
        <v>166666.66666666666</v>
      </c>
      <c r="AL90" s="70">
        <f t="shared" si="46"/>
        <v>166666.66666666666</v>
      </c>
      <c r="AM90" s="70">
        <f t="shared" si="46"/>
        <v>166666.66666666666</v>
      </c>
      <c r="AN90" s="70">
        <f t="shared" si="46"/>
        <v>166666.66666666666</v>
      </c>
      <c r="AO90" s="70">
        <f t="shared" si="46"/>
        <v>166666.66666666666</v>
      </c>
      <c r="AP90" s="70">
        <f t="shared" si="46"/>
        <v>166666.66666666666</v>
      </c>
      <c r="AQ90" s="70">
        <f t="shared" si="46"/>
        <v>166666.66666666666</v>
      </c>
      <c r="AR90" s="70">
        <f t="shared" si="46"/>
        <v>166666.66666666666</v>
      </c>
      <c r="AS90" s="70">
        <f t="shared" si="46"/>
        <v>166666.66666666666</v>
      </c>
      <c r="AT90" s="71">
        <f t="shared" si="46"/>
        <v>166666.66666666666</v>
      </c>
      <c r="AU90" s="71">
        <f t="shared" si="46"/>
        <v>166666.66666666666</v>
      </c>
      <c r="AV90" s="71">
        <f t="shared" si="46"/>
        <v>166666.66666666666</v>
      </c>
      <c r="AW90" s="71">
        <f t="shared" si="44"/>
        <v>166666.66666666666</v>
      </c>
      <c r="AX90" s="71">
        <f t="shared" si="44"/>
        <v>166666.66666666666</v>
      </c>
      <c r="AY90" s="71">
        <f t="shared" si="44"/>
        <v>166666.66666666666</v>
      </c>
      <c r="AZ90" s="71">
        <f t="shared" si="44"/>
        <v>166666.66666666666</v>
      </c>
      <c r="BA90" s="71">
        <f t="shared" si="44"/>
        <v>166666.66666666666</v>
      </c>
      <c r="BB90" s="71">
        <f t="shared" si="44"/>
        <v>166666.66666666666</v>
      </c>
      <c r="BC90" s="71">
        <f t="shared" si="44"/>
        <v>166666.66666666666</v>
      </c>
      <c r="BD90" s="71">
        <f t="shared" si="44"/>
        <v>166666.66666666666</v>
      </c>
      <c r="BE90" s="71">
        <f t="shared" si="44"/>
        <v>166666.66666666666</v>
      </c>
      <c r="BF90" s="68">
        <f t="shared" si="36"/>
        <v>333333.33333333331</v>
      </c>
      <c r="BG90" s="69">
        <f t="shared" si="37"/>
        <v>2000000.0000000002</v>
      </c>
      <c r="BH90" s="70">
        <f t="shared" si="38"/>
        <v>2000000.0000000002</v>
      </c>
      <c r="BI90" s="71">
        <f t="shared" si="39"/>
        <v>2000000.0000000002</v>
      </c>
      <c r="BJ90" s="72">
        <f>VLOOKUP(D90,Master!AD:AG,3,FALSE)</f>
        <v>7611600</v>
      </c>
      <c r="BK90" s="73" t="str">
        <f>VLOOKUP(D90,Master!AD:AG,4,FALSE)</f>
        <v>Depreciation-Tools, furniture &amp; office equipment</v>
      </c>
    </row>
    <row r="91" spans="1:63" s="74" customFormat="1" ht="15" customHeight="1">
      <c r="A91" s="64" t="s">
        <v>356</v>
      </c>
      <c r="B91" s="25" t="s">
        <v>487</v>
      </c>
      <c r="C91" s="65" t="s">
        <v>221</v>
      </c>
      <c r="D91" s="66">
        <v>2141000</v>
      </c>
      <c r="E91" s="26">
        <v>6000000</v>
      </c>
      <c r="F91" s="67">
        <v>60</v>
      </c>
      <c r="G91" s="65" t="s">
        <v>260</v>
      </c>
      <c r="H91" s="27">
        <v>1</v>
      </c>
      <c r="I91" s="28">
        <v>44228</v>
      </c>
      <c r="J91" s="65" t="s">
        <v>310</v>
      </c>
      <c r="K91" s="65" t="s">
        <v>260</v>
      </c>
      <c r="L91" s="65"/>
      <c r="M91" s="65" t="s">
        <v>473</v>
      </c>
      <c r="N91" s="51">
        <f t="shared" si="40"/>
        <v>6000000</v>
      </c>
      <c r="O91" s="51">
        <f t="shared" si="41"/>
        <v>100000</v>
      </c>
      <c r="P91" s="28">
        <f t="shared" si="42"/>
        <v>46054</v>
      </c>
      <c r="Q91" s="68" t="str">
        <f t="shared" si="45"/>
        <v/>
      </c>
      <c r="R91" s="68" t="str">
        <f t="shared" si="45"/>
        <v/>
      </c>
      <c r="S91" s="68" t="str">
        <f t="shared" si="45"/>
        <v/>
      </c>
      <c r="T91" s="68">
        <f t="shared" si="45"/>
        <v>100000</v>
      </c>
      <c r="U91" s="68">
        <f t="shared" si="45"/>
        <v>100000</v>
      </c>
      <c r="V91" s="69">
        <f t="shared" si="45"/>
        <v>100000</v>
      </c>
      <c r="W91" s="69">
        <f t="shared" si="45"/>
        <v>100000</v>
      </c>
      <c r="X91" s="69">
        <f t="shared" si="45"/>
        <v>100000</v>
      </c>
      <c r="Y91" s="69">
        <f t="shared" si="45"/>
        <v>100000</v>
      </c>
      <c r="Z91" s="69">
        <f t="shared" si="45"/>
        <v>100000</v>
      </c>
      <c r="AA91" s="69">
        <f t="shared" si="45"/>
        <v>100000</v>
      </c>
      <c r="AB91" s="69">
        <f t="shared" si="45"/>
        <v>100000</v>
      </c>
      <c r="AC91" s="69">
        <f t="shared" si="45"/>
        <v>100000</v>
      </c>
      <c r="AD91" s="69">
        <f t="shared" si="45"/>
        <v>100000</v>
      </c>
      <c r="AE91" s="69">
        <f t="shared" si="45"/>
        <v>100000</v>
      </c>
      <c r="AF91" s="69">
        <f t="shared" si="45"/>
        <v>100000</v>
      </c>
      <c r="AG91" s="69">
        <f t="shared" si="46"/>
        <v>100000</v>
      </c>
      <c r="AH91" s="70">
        <f t="shared" si="46"/>
        <v>100000</v>
      </c>
      <c r="AI91" s="70">
        <f t="shared" si="46"/>
        <v>100000</v>
      </c>
      <c r="AJ91" s="70">
        <f t="shared" si="46"/>
        <v>100000</v>
      </c>
      <c r="AK91" s="70">
        <f t="shared" si="46"/>
        <v>100000</v>
      </c>
      <c r="AL91" s="70">
        <f t="shared" si="46"/>
        <v>100000</v>
      </c>
      <c r="AM91" s="70">
        <f t="shared" si="46"/>
        <v>100000</v>
      </c>
      <c r="AN91" s="70">
        <f t="shared" si="46"/>
        <v>100000</v>
      </c>
      <c r="AO91" s="70">
        <f t="shared" si="46"/>
        <v>100000</v>
      </c>
      <c r="AP91" s="70">
        <f t="shared" si="46"/>
        <v>100000</v>
      </c>
      <c r="AQ91" s="70">
        <f t="shared" si="46"/>
        <v>100000</v>
      </c>
      <c r="AR91" s="70">
        <f t="shared" si="46"/>
        <v>100000</v>
      </c>
      <c r="AS91" s="70">
        <f t="shared" si="46"/>
        <v>100000</v>
      </c>
      <c r="AT91" s="71">
        <f t="shared" si="46"/>
        <v>100000</v>
      </c>
      <c r="AU91" s="71">
        <f t="shared" si="46"/>
        <v>100000</v>
      </c>
      <c r="AV91" s="71">
        <f t="shared" si="46"/>
        <v>100000</v>
      </c>
      <c r="AW91" s="71">
        <f t="shared" si="44"/>
        <v>100000</v>
      </c>
      <c r="AX91" s="71">
        <f t="shared" si="44"/>
        <v>100000</v>
      </c>
      <c r="AY91" s="71">
        <f t="shared" si="44"/>
        <v>100000</v>
      </c>
      <c r="AZ91" s="71">
        <f t="shared" si="44"/>
        <v>100000</v>
      </c>
      <c r="BA91" s="71">
        <f t="shared" si="44"/>
        <v>100000</v>
      </c>
      <c r="BB91" s="71">
        <f t="shared" si="44"/>
        <v>100000</v>
      </c>
      <c r="BC91" s="71">
        <f t="shared" si="44"/>
        <v>100000</v>
      </c>
      <c r="BD91" s="71">
        <f t="shared" si="44"/>
        <v>100000</v>
      </c>
      <c r="BE91" s="71">
        <f t="shared" si="44"/>
        <v>100000</v>
      </c>
      <c r="BF91" s="68">
        <f t="shared" si="36"/>
        <v>200000</v>
      </c>
      <c r="BG91" s="69">
        <f t="shared" si="37"/>
        <v>1200000</v>
      </c>
      <c r="BH91" s="70">
        <f t="shared" si="38"/>
        <v>1200000</v>
      </c>
      <c r="BI91" s="71">
        <f t="shared" si="39"/>
        <v>1200000</v>
      </c>
      <c r="BJ91" s="72">
        <f>VLOOKUP(D91,Master!AD:AG,3,FALSE)</f>
        <v>7611600</v>
      </c>
      <c r="BK91" s="73" t="str">
        <f>VLOOKUP(D91,Master!AD:AG,4,FALSE)</f>
        <v>Depreciation-Tools, furniture &amp; office equipment</v>
      </c>
    </row>
    <row r="92" spans="1:63" s="74" customFormat="1" ht="15" customHeight="1">
      <c r="A92" s="64" t="s">
        <v>308</v>
      </c>
      <c r="B92" s="25" t="s">
        <v>426</v>
      </c>
      <c r="C92" s="65" t="s">
        <v>221</v>
      </c>
      <c r="D92" s="66">
        <v>2141000</v>
      </c>
      <c r="E92" s="26">
        <v>8000000</v>
      </c>
      <c r="F92" s="67">
        <v>60</v>
      </c>
      <c r="G92" s="65" t="s">
        <v>262</v>
      </c>
      <c r="H92" s="27">
        <v>1</v>
      </c>
      <c r="I92" s="28">
        <v>44378</v>
      </c>
      <c r="J92" s="65" t="s">
        <v>310</v>
      </c>
      <c r="K92" s="65" t="s">
        <v>262</v>
      </c>
      <c r="L92" s="65" t="s">
        <v>317</v>
      </c>
      <c r="M92" s="65" t="s">
        <v>472</v>
      </c>
      <c r="N92" s="51">
        <f t="shared" si="40"/>
        <v>8000000</v>
      </c>
      <c r="O92" s="51">
        <f t="shared" si="41"/>
        <v>133333.33333333334</v>
      </c>
      <c r="P92" s="28">
        <f t="shared" si="42"/>
        <v>46204</v>
      </c>
      <c r="Q92" s="68" t="str">
        <f t="shared" si="45"/>
        <v/>
      </c>
      <c r="R92" s="68" t="str">
        <f t="shared" si="45"/>
        <v/>
      </c>
      <c r="S92" s="68" t="str">
        <f t="shared" si="45"/>
        <v/>
      </c>
      <c r="T92" s="68" t="str">
        <f t="shared" si="45"/>
        <v/>
      </c>
      <c r="U92" s="68" t="str">
        <f t="shared" si="45"/>
        <v/>
      </c>
      <c r="V92" s="69" t="str">
        <f t="shared" si="45"/>
        <v/>
      </c>
      <c r="W92" s="69" t="str">
        <f t="shared" si="45"/>
        <v/>
      </c>
      <c r="X92" s="69" t="str">
        <f t="shared" si="45"/>
        <v/>
      </c>
      <c r="Y92" s="69">
        <f t="shared" si="45"/>
        <v>133333.33333333334</v>
      </c>
      <c r="Z92" s="69">
        <f t="shared" si="45"/>
        <v>133333.33333333334</v>
      </c>
      <c r="AA92" s="69">
        <f t="shared" si="45"/>
        <v>133333.33333333334</v>
      </c>
      <c r="AB92" s="69">
        <f t="shared" si="45"/>
        <v>133333.33333333334</v>
      </c>
      <c r="AC92" s="69">
        <f t="shared" si="45"/>
        <v>133333.33333333334</v>
      </c>
      <c r="AD92" s="69">
        <f t="shared" si="45"/>
        <v>133333.33333333334</v>
      </c>
      <c r="AE92" s="69">
        <f t="shared" si="45"/>
        <v>133333.33333333334</v>
      </c>
      <c r="AF92" s="69">
        <f t="shared" si="45"/>
        <v>133333.33333333334</v>
      </c>
      <c r="AG92" s="69">
        <f t="shared" si="46"/>
        <v>133333.33333333334</v>
      </c>
      <c r="AH92" s="70">
        <f t="shared" si="46"/>
        <v>133333.33333333334</v>
      </c>
      <c r="AI92" s="70">
        <f t="shared" si="46"/>
        <v>133333.33333333334</v>
      </c>
      <c r="AJ92" s="70">
        <f t="shared" si="46"/>
        <v>133333.33333333334</v>
      </c>
      <c r="AK92" s="70">
        <f t="shared" si="46"/>
        <v>133333.33333333334</v>
      </c>
      <c r="AL92" s="70">
        <f t="shared" si="46"/>
        <v>133333.33333333334</v>
      </c>
      <c r="AM92" s="70">
        <f t="shared" si="46"/>
        <v>133333.33333333334</v>
      </c>
      <c r="AN92" s="70">
        <f t="shared" si="46"/>
        <v>133333.33333333334</v>
      </c>
      <c r="AO92" s="70">
        <f t="shared" si="46"/>
        <v>133333.33333333334</v>
      </c>
      <c r="AP92" s="70">
        <f t="shared" si="46"/>
        <v>133333.33333333334</v>
      </c>
      <c r="AQ92" s="70">
        <f t="shared" si="46"/>
        <v>133333.33333333334</v>
      </c>
      <c r="AR92" s="70">
        <f t="shared" si="46"/>
        <v>133333.33333333334</v>
      </c>
      <c r="AS92" s="70">
        <f t="shared" si="46"/>
        <v>133333.33333333334</v>
      </c>
      <c r="AT92" s="71">
        <f t="shared" si="46"/>
        <v>133333.33333333334</v>
      </c>
      <c r="AU92" s="71">
        <f t="shared" si="46"/>
        <v>133333.33333333334</v>
      </c>
      <c r="AV92" s="71">
        <f t="shared" si="46"/>
        <v>133333.33333333334</v>
      </c>
      <c r="AW92" s="71">
        <f t="shared" si="44"/>
        <v>133333.33333333334</v>
      </c>
      <c r="AX92" s="71">
        <f t="shared" si="44"/>
        <v>133333.33333333334</v>
      </c>
      <c r="AY92" s="71">
        <f t="shared" si="44"/>
        <v>133333.33333333334</v>
      </c>
      <c r="AZ92" s="71">
        <f t="shared" si="44"/>
        <v>133333.33333333334</v>
      </c>
      <c r="BA92" s="71">
        <f t="shared" si="44"/>
        <v>133333.33333333334</v>
      </c>
      <c r="BB92" s="71">
        <f t="shared" si="44"/>
        <v>133333.33333333334</v>
      </c>
      <c r="BC92" s="71">
        <f t="shared" si="44"/>
        <v>133333.33333333334</v>
      </c>
      <c r="BD92" s="71">
        <f t="shared" si="44"/>
        <v>133333.33333333334</v>
      </c>
      <c r="BE92" s="71">
        <f t="shared" si="44"/>
        <v>133333.33333333334</v>
      </c>
      <c r="BF92" s="68">
        <f t="shared" si="36"/>
        <v>0</v>
      </c>
      <c r="BG92" s="69">
        <f t="shared" si="37"/>
        <v>1200000</v>
      </c>
      <c r="BH92" s="70">
        <f t="shared" si="38"/>
        <v>1599999.9999999998</v>
      </c>
      <c r="BI92" s="71">
        <f t="shared" si="39"/>
        <v>1599999.9999999998</v>
      </c>
      <c r="BJ92" s="72">
        <f>VLOOKUP(D92,Master!AD:AG,3,FALSE)</f>
        <v>7611600</v>
      </c>
      <c r="BK92" s="73" t="str">
        <f>VLOOKUP(D92,Master!AD:AG,4,FALSE)</f>
        <v>Depreciation-Tools, furniture &amp; office equipment</v>
      </c>
    </row>
    <row r="93" spans="1:63" s="74" customFormat="1" ht="15" customHeight="1">
      <c r="A93" s="64" t="s">
        <v>308</v>
      </c>
      <c r="B93" s="25" t="s">
        <v>427</v>
      </c>
      <c r="C93" s="65" t="s">
        <v>221</v>
      </c>
      <c r="D93" s="66">
        <v>2141000</v>
      </c>
      <c r="E93" s="26">
        <v>10000000</v>
      </c>
      <c r="F93" s="67">
        <v>60</v>
      </c>
      <c r="G93" s="65" t="s">
        <v>246</v>
      </c>
      <c r="H93" s="27">
        <v>1</v>
      </c>
      <c r="I93" s="28">
        <v>44287</v>
      </c>
      <c r="J93" s="65" t="s">
        <v>310</v>
      </c>
      <c r="K93" s="65" t="s">
        <v>246</v>
      </c>
      <c r="L93" s="65" t="s">
        <v>317</v>
      </c>
      <c r="M93" s="65" t="s">
        <v>472</v>
      </c>
      <c r="N93" s="51">
        <f t="shared" si="40"/>
        <v>10000000</v>
      </c>
      <c r="O93" s="51">
        <f t="shared" si="41"/>
        <v>166666.66666666666</v>
      </c>
      <c r="P93" s="28">
        <f t="shared" si="42"/>
        <v>46113</v>
      </c>
      <c r="Q93" s="68" t="str">
        <f t="shared" si="45"/>
        <v/>
      </c>
      <c r="R93" s="68" t="str">
        <f t="shared" si="45"/>
        <v/>
      </c>
      <c r="S93" s="68" t="str">
        <f t="shared" si="45"/>
        <v/>
      </c>
      <c r="T93" s="68" t="str">
        <f t="shared" si="45"/>
        <v/>
      </c>
      <c r="U93" s="68" t="str">
        <f t="shared" si="45"/>
        <v/>
      </c>
      <c r="V93" s="69">
        <f t="shared" si="45"/>
        <v>166666.66666666666</v>
      </c>
      <c r="W93" s="69">
        <f t="shared" si="45"/>
        <v>166666.66666666666</v>
      </c>
      <c r="X93" s="69">
        <f t="shared" si="45"/>
        <v>166666.66666666666</v>
      </c>
      <c r="Y93" s="69">
        <f t="shared" si="45"/>
        <v>166666.66666666666</v>
      </c>
      <c r="Z93" s="69">
        <f t="shared" si="45"/>
        <v>166666.66666666666</v>
      </c>
      <c r="AA93" s="69">
        <f t="shared" si="45"/>
        <v>166666.66666666666</v>
      </c>
      <c r="AB93" s="69">
        <f t="shared" si="45"/>
        <v>166666.66666666666</v>
      </c>
      <c r="AC93" s="69">
        <f t="shared" si="45"/>
        <v>166666.66666666666</v>
      </c>
      <c r="AD93" s="69">
        <f t="shared" si="45"/>
        <v>166666.66666666666</v>
      </c>
      <c r="AE93" s="69">
        <f t="shared" si="45"/>
        <v>166666.66666666666</v>
      </c>
      <c r="AF93" s="69">
        <f t="shared" si="45"/>
        <v>166666.66666666666</v>
      </c>
      <c r="AG93" s="69">
        <f t="shared" si="46"/>
        <v>166666.66666666666</v>
      </c>
      <c r="AH93" s="70">
        <f t="shared" si="46"/>
        <v>166666.66666666666</v>
      </c>
      <c r="AI93" s="70">
        <f t="shared" si="46"/>
        <v>166666.66666666666</v>
      </c>
      <c r="AJ93" s="70">
        <f t="shared" si="46"/>
        <v>166666.66666666666</v>
      </c>
      <c r="AK93" s="70">
        <f t="shared" si="46"/>
        <v>166666.66666666666</v>
      </c>
      <c r="AL93" s="70">
        <f t="shared" si="46"/>
        <v>166666.66666666666</v>
      </c>
      <c r="AM93" s="70">
        <f t="shared" si="46"/>
        <v>166666.66666666666</v>
      </c>
      <c r="AN93" s="70">
        <f t="shared" si="46"/>
        <v>166666.66666666666</v>
      </c>
      <c r="AO93" s="70">
        <f t="shared" si="46"/>
        <v>166666.66666666666</v>
      </c>
      <c r="AP93" s="70">
        <f t="shared" si="46"/>
        <v>166666.66666666666</v>
      </c>
      <c r="AQ93" s="70">
        <f t="shared" si="46"/>
        <v>166666.66666666666</v>
      </c>
      <c r="AR93" s="70">
        <f t="shared" si="46"/>
        <v>166666.66666666666</v>
      </c>
      <c r="AS93" s="70">
        <f t="shared" si="46"/>
        <v>166666.66666666666</v>
      </c>
      <c r="AT93" s="71">
        <f t="shared" si="46"/>
        <v>166666.66666666666</v>
      </c>
      <c r="AU93" s="71">
        <f t="shared" si="46"/>
        <v>166666.66666666666</v>
      </c>
      <c r="AV93" s="71">
        <f t="shared" si="46"/>
        <v>166666.66666666666</v>
      </c>
      <c r="AW93" s="71">
        <f t="shared" si="44"/>
        <v>166666.66666666666</v>
      </c>
      <c r="AX93" s="71">
        <f t="shared" si="44"/>
        <v>166666.66666666666</v>
      </c>
      <c r="AY93" s="71">
        <f t="shared" si="44"/>
        <v>166666.66666666666</v>
      </c>
      <c r="AZ93" s="71">
        <f t="shared" si="44"/>
        <v>166666.66666666666</v>
      </c>
      <c r="BA93" s="71">
        <f t="shared" si="44"/>
        <v>166666.66666666666</v>
      </c>
      <c r="BB93" s="71">
        <f t="shared" si="44"/>
        <v>166666.66666666666</v>
      </c>
      <c r="BC93" s="71">
        <f t="shared" si="44"/>
        <v>166666.66666666666</v>
      </c>
      <c r="BD93" s="71">
        <f t="shared" si="44"/>
        <v>166666.66666666666</v>
      </c>
      <c r="BE93" s="71">
        <f t="shared" si="44"/>
        <v>166666.66666666666</v>
      </c>
      <c r="BF93" s="68">
        <f t="shared" si="36"/>
        <v>0</v>
      </c>
      <c r="BG93" s="69">
        <f t="shared" si="37"/>
        <v>2000000.0000000002</v>
      </c>
      <c r="BH93" s="70">
        <f t="shared" si="38"/>
        <v>2000000.0000000002</v>
      </c>
      <c r="BI93" s="71">
        <f t="shared" si="39"/>
        <v>2000000.0000000002</v>
      </c>
      <c r="BJ93" s="72">
        <f>VLOOKUP(D93,Master!AD:AG,3,FALSE)</f>
        <v>7611600</v>
      </c>
      <c r="BK93" s="73" t="str">
        <f>VLOOKUP(D93,Master!AD:AG,4,FALSE)</f>
        <v>Depreciation-Tools, furniture &amp; office equipment</v>
      </c>
    </row>
    <row r="94" spans="1:63" s="74" customFormat="1" ht="15" customHeight="1">
      <c r="A94" s="64" t="s">
        <v>308</v>
      </c>
      <c r="B94" s="25" t="s">
        <v>428</v>
      </c>
      <c r="C94" s="65" t="s">
        <v>221</v>
      </c>
      <c r="D94" s="66">
        <v>2141000</v>
      </c>
      <c r="E94" s="26">
        <v>13000000</v>
      </c>
      <c r="F94" s="67">
        <v>60</v>
      </c>
      <c r="G94" s="65" t="s">
        <v>279</v>
      </c>
      <c r="H94" s="27">
        <v>1</v>
      </c>
      <c r="I94" s="28">
        <v>44317</v>
      </c>
      <c r="J94" s="65" t="s">
        <v>310</v>
      </c>
      <c r="K94" s="65" t="s">
        <v>279</v>
      </c>
      <c r="L94" s="65" t="s">
        <v>314</v>
      </c>
      <c r="M94" s="65" t="s">
        <v>472</v>
      </c>
      <c r="N94" s="51">
        <f t="shared" si="40"/>
        <v>13000000</v>
      </c>
      <c r="O94" s="51">
        <f t="shared" si="41"/>
        <v>216666.66666666666</v>
      </c>
      <c r="P94" s="28">
        <f t="shared" si="42"/>
        <v>46143</v>
      </c>
      <c r="Q94" s="68" t="str">
        <f t="shared" si="45"/>
        <v/>
      </c>
      <c r="R94" s="68" t="str">
        <f t="shared" si="45"/>
        <v/>
      </c>
      <c r="S94" s="68" t="str">
        <f t="shared" si="45"/>
        <v/>
      </c>
      <c r="T94" s="68" t="str">
        <f t="shared" si="45"/>
        <v/>
      </c>
      <c r="U94" s="68" t="str">
        <f t="shared" si="45"/>
        <v/>
      </c>
      <c r="V94" s="69" t="str">
        <f t="shared" si="45"/>
        <v/>
      </c>
      <c r="W94" s="69">
        <f t="shared" si="45"/>
        <v>216666.66666666666</v>
      </c>
      <c r="X94" s="69">
        <f t="shared" si="45"/>
        <v>216666.66666666666</v>
      </c>
      <c r="Y94" s="69">
        <f t="shared" si="45"/>
        <v>216666.66666666666</v>
      </c>
      <c r="Z94" s="69">
        <f t="shared" si="45"/>
        <v>216666.66666666666</v>
      </c>
      <c r="AA94" s="69">
        <f t="shared" si="45"/>
        <v>216666.66666666666</v>
      </c>
      <c r="AB94" s="69">
        <f t="shared" si="45"/>
        <v>216666.66666666666</v>
      </c>
      <c r="AC94" s="69">
        <f t="shared" si="45"/>
        <v>216666.66666666666</v>
      </c>
      <c r="AD94" s="69">
        <f t="shared" si="45"/>
        <v>216666.66666666666</v>
      </c>
      <c r="AE94" s="69">
        <f t="shared" si="45"/>
        <v>216666.66666666666</v>
      </c>
      <c r="AF94" s="69">
        <f t="shared" si="45"/>
        <v>216666.66666666666</v>
      </c>
      <c r="AG94" s="69">
        <f t="shared" si="46"/>
        <v>216666.66666666666</v>
      </c>
      <c r="AH94" s="70">
        <f t="shared" si="46"/>
        <v>216666.66666666666</v>
      </c>
      <c r="AI94" s="70">
        <f t="shared" si="46"/>
        <v>216666.66666666666</v>
      </c>
      <c r="AJ94" s="70">
        <f t="shared" si="46"/>
        <v>216666.66666666666</v>
      </c>
      <c r="AK94" s="70">
        <f t="shared" si="46"/>
        <v>216666.66666666666</v>
      </c>
      <c r="AL94" s="70">
        <f t="shared" si="46"/>
        <v>216666.66666666666</v>
      </c>
      <c r="AM94" s="70">
        <f t="shared" si="46"/>
        <v>216666.66666666666</v>
      </c>
      <c r="AN94" s="70">
        <f t="shared" si="46"/>
        <v>216666.66666666666</v>
      </c>
      <c r="AO94" s="70">
        <f t="shared" si="46"/>
        <v>216666.66666666666</v>
      </c>
      <c r="AP94" s="70">
        <f t="shared" si="46"/>
        <v>216666.66666666666</v>
      </c>
      <c r="AQ94" s="70">
        <f t="shared" si="46"/>
        <v>216666.66666666666</v>
      </c>
      <c r="AR94" s="70">
        <f t="shared" si="46"/>
        <v>216666.66666666666</v>
      </c>
      <c r="AS94" s="70">
        <f t="shared" si="46"/>
        <v>216666.66666666666</v>
      </c>
      <c r="AT94" s="71">
        <f t="shared" si="46"/>
        <v>216666.66666666666</v>
      </c>
      <c r="AU94" s="71">
        <f t="shared" si="46"/>
        <v>216666.66666666666</v>
      </c>
      <c r="AV94" s="71">
        <f t="shared" si="46"/>
        <v>216666.66666666666</v>
      </c>
      <c r="AW94" s="71">
        <f t="shared" si="44"/>
        <v>216666.66666666666</v>
      </c>
      <c r="AX94" s="71">
        <f t="shared" si="44"/>
        <v>216666.66666666666</v>
      </c>
      <c r="AY94" s="71">
        <f t="shared" si="44"/>
        <v>216666.66666666666</v>
      </c>
      <c r="AZ94" s="71">
        <f t="shared" si="44"/>
        <v>216666.66666666666</v>
      </c>
      <c r="BA94" s="71">
        <f t="shared" si="44"/>
        <v>216666.66666666666</v>
      </c>
      <c r="BB94" s="71">
        <f t="shared" si="44"/>
        <v>216666.66666666666</v>
      </c>
      <c r="BC94" s="71">
        <f t="shared" si="44"/>
        <v>216666.66666666666</v>
      </c>
      <c r="BD94" s="71">
        <f t="shared" si="44"/>
        <v>216666.66666666666</v>
      </c>
      <c r="BE94" s="71">
        <f t="shared" si="44"/>
        <v>216666.66666666666</v>
      </c>
      <c r="BF94" s="68">
        <f t="shared" si="36"/>
        <v>0</v>
      </c>
      <c r="BG94" s="69">
        <f t="shared" si="37"/>
        <v>2383333.3333333335</v>
      </c>
      <c r="BH94" s="70">
        <f t="shared" si="38"/>
        <v>2600000</v>
      </c>
      <c r="BI94" s="71">
        <f t="shared" si="39"/>
        <v>2600000</v>
      </c>
      <c r="BJ94" s="72">
        <f>VLOOKUP(D94,Master!AD:AG,3,FALSE)</f>
        <v>7611600</v>
      </c>
      <c r="BK94" s="73" t="str">
        <f>VLOOKUP(D94,Master!AD:AG,4,FALSE)</f>
        <v>Depreciation-Tools, furniture &amp; office equipment</v>
      </c>
    </row>
    <row r="95" spans="1:63" s="74" customFormat="1" ht="15" customHeight="1">
      <c r="A95" s="64" t="s">
        <v>326</v>
      </c>
      <c r="B95" s="25" t="s">
        <v>428</v>
      </c>
      <c r="C95" s="65" t="s">
        <v>221</v>
      </c>
      <c r="D95" s="66">
        <v>2141000</v>
      </c>
      <c r="E95" s="26">
        <v>10000000</v>
      </c>
      <c r="F95" s="67">
        <v>60</v>
      </c>
      <c r="G95" s="65" t="s">
        <v>279</v>
      </c>
      <c r="H95" s="27">
        <v>1</v>
      </c>
      <c r="I95" s="28">
        <v>44317</v>
      </c>
      <c r="J95" s="65" t="s">
        <v>310</v>
      </c>
      <c r="K95" s="65" t="s">
        <v>279</v>
      </c>
      <c r="L95" s="65" t="s">
        <v>314</v>
      </c>
      <c r="M95" s="65" t="s">
        <v>472</v>
      </c>
      <c r="N95" s="51">
        <f t="shared" si="40"/>
        <v>10000000</v>
      </c>
      <c r="O95" s="51">
        <f t="shared" si="41"/>
        <v>166666.66666666666</v>
      </c>
      <c r="P95" s="28">
        <f t="shared" si="42"/>
        <v>46143</v>
      </c>
      <c r="Q95" s="68" t="str">
        <f t="shared" si="45"/>
        <v/>
      </c>
      <c r="R95" s="68" t="str">
        <f t="shared" si="45"/>
        <v/>
      </c>
      <c r="S95" s="68" t="str">
        <f t="shared" si="45"/>
        <v/>
      </c>
      <c r="T95" s="68" t="str">
        <f t="shared" si="45"/>
        <v/>
      </c>
      <c r="U95" s="68" t="str">
        <f t="shared" si="45"/>
        <v/>
      </c>
      <c r="V95" s="69" t="str">
        <f t="shared" si="45"/>
        <v/>
      </c>
      <c r="W95" s="69">
        <f t="shared" si="45"/>
        <v>166666.66666666666</v>
      </c>
      <c r="X95" s="69">
        <f t="shared" si="45"/>
        <v>166666.66666666666</v>
      </c>
      <c r="Y95" s="69">
        <f t="shared" si="45"/>
        <v>166666.66666666666</v>
      </c>
      <c r="Z95" s="69">
        <f t="shared" si="45"/>
        <v>166666.66666666666</v>
      </c>
      <c r="AA95" s="69">
        <f t="shared" si="45"/>
        <v>166666.66666666666</v>
      </c>
      <c r="AB95" s="69">
        <f t="shared" si="45"/>
        <v>166666.66666666666</v>
      </c>
      <c r="AC95" s="69">
        <f t="shared" si="45"/>
        <v>166666.66666666666</v>
      </c>
      <c r="AD95" s="69">
        <f t="shared" si="45"/>
        <v>166666.66666666666</v>
      </c>
      <c r="AE95" s="69">
        <f t="shared" si="45"/>
        <v>166666.66666666666</v>
      </c>
      <c r="AF95" s="69">
        <f t="shared" si="45"/>
        <v>166666.66666666666</v>
      </c>
      <c r="AG95" s="69">
        <f t="shared" si="46"/>
        <v>166666.66666666666</v>
      </c>
      <c r="AH95" s="70">
        <f t="shared" si="46"/>
        <v>166666.66666666666</v>
      </c>
      <c r="AI95" s="70">
        <f t="shared" si="46"/>
        <v>166666.66666666666</v>
      </c>
      <c r="AJ95" s="70">
        <f t="shared" si="46"/>
        <v>166666.66666666666</v>
      </c>
      <c r="AK95" s="70">
        <f t="shared" si="46"/>
        <v>166666.66666666666</v>
      </c>
      <c r="AL95" s="70">
        <f t="shared" si="46"/>
        <v>166666.66666666666</v>
      </c>
      <c r="AM95" s="70">
        <f t="shared" si="46"/>
        <v>166666.66666666666</v>
      </c>
      <c r="AN95" s="70">
        <f t="shared" si="46"/>
        <v>166666.66666666666</v>
      </c>
      <c r="AO95" s="70">
        <f t="shared" si="46"/>
        <v>166666.66666666666</v>
      </c>
      <c r="AP95" s="70">
        <f t="shared" si="46"/>
        <v>166666.66666666666</v>
      </c>
      <c r="AQ95" s="70">
        <f t="shared" si="46"/>
        <v>166666.66666666666</v>
      </c>
      <c r="AR95" s="70">
        <f t="shared" si="46"/>
        <v>166666.66666666666</v>
      </c>
      <c r="AS95" s="70">
        <f t="shared" si="46"/>
        <v>166666.66666666666</v>
      </c>
      <c r="AT95" s="71">
        <f t="shared" si="46"/>
        <v>166666.66666666666</v>
      </c>
      <c r="AU95" s="71">
        <f t="shared" si="46"/>
        <v>166666.66666666666</v>
      </c>
      <c r="AV95" s="71">
        <f t="shared" si="46"/>
        <v>166666.66666666666</v>
      </c>
      <c r="AW95" s="71">
        <f t="shared" si="44"/>
        <v>166666.66666666666</v>
      </c>
      <c r="AX95" s="71">
        <f t="shared" si="44"/>
        <v>166666.66666666666</v>
      </c>
      <c r="AY95" s="71">
        <f t="shared" si="44"/>
        <v>166666.66666666666</v>
      </c>
      <c r="AZ95" s="71">
        <f t="shared" si="44"/>
        <v>166666.66666666666</v>
      </c>
      <c r="BA95" s="71">
        <f t="shared" si="44"/>
        <v>166666.66666666666</v>
      </c>
      <c r="BB95" s="71">
        <f t="shared" si="44"/>
        <v>166666.66666666666</v>
      </c>
      <c r="BC95" s="71">
        <f t="shared" si="44"/>
        <v>166666.66666666666</v>
      </c>
      <c r="BD95" s="71">
        <f t="shared" si="44"/>
        <v>166666.66666666666</v>
      </c>
      <c r="BE95" s="71">
        <f t="shared" si="44"/>
        <v>166666.66666666666</v>
      </c>
      <c r="BF95" s="68">
        <f t="shared" si="36"/>
        <v>0</v>
      </c>
      <c r="BG95" s="69">
        <f t="shared" si="37"/>
        <v>1833333.3333333335</v>
      </c>
      <c r="BH95" s="70">
        <f t="shared" si="38"/>
        <v>2000000.0000000002</v>
      </c>
      <c r="BI95" s="71">
        <f t="shared" si="39"/>
        <v>2000000.0000000002</v>
      </c>
      <c r="BJ95" s="72">
        <f>VLOOKUP(D95,Master!AD:AG,3,FALSE)</f>
        <v>7611600</v>
      </c>
      <c r="BK95" s="73" t="str">
        <f>VLOOKUP(D95,Master!AD:AG,4,FALSE)</f>
        <v>Depreciation-Tools, furniture &amp; office equipment</v>
      </c>
    </row>
    <row r="96" spans="1:63" s="74" customFormat="1" ht="15" customHeight="1">
      <c r="A96" s="64" t="s">
        <v>308</v>
      </c>
      <c r="B96" s="25" t="s">
        <v>429</v>
      </c>
      <c r="C96" s="65" t="s">
        <v>221</v>
      </c>
      <c r="D96" s="66">
        <v>2141000</v>
      </c>
      <c r="E96" s="26">
        <v>13000000</v>
      </c>
      <c r="F96" s="67">
        <v>60</v>
      </c>
      <c r="G96" s="65" t="s">
        <v>233</v>
      </c>
      <c r="H96" s="27">
        <v>1</v>
      </c>
      <c r="I96" s="28">
        <v>44317</v>
      </c>
      <c r="J96" s="65" t="s">
        <v>310</v>
      </c>
      <c r="K96" s="65" t="s">
        <v>233</v>
      </c>
      <c r="L96" s="65" t="s">
        <v>314</v>
      </c>
      <c r="M96" s="65" t="s">
        <v>472</v>
      </c>
      <c r="N96" s="51">
        <f t="shared" si="40"/>
        <v>13000000</v>
      </c>
      <c r="O96" s="51">
        <f t="shared" si="41"/>
        <v>216666.66666666666</v>
      </c>
      <c r="P96" s="28">
        <f t="shared" si="42"/>
        <v>46143</v>
      </c>
      <c r="Q96" s="68" t="str">
        <f t="shared" si="45"/>
        <v/>
      </c>
      <c r="R96" s="68" t="str">
        <f t="shared" si="45"/>
        <v/>
      </c>
      <c r="S96" s="68" t="str">
        <f t="shared" si="45"/>
        <v/>
      </c>
      <c r="T96" s="68" t="str">
        <f t="shared" si="45"/>
        <v/>
      </c>
      <c r="U96" s="68" t="str">
        <f t="shared" si="45"/>
        <v/>
      </c>
      <c r="V96" s="69" t="str">
        <f t="shared" si="45"/>
        <v/>
      </c>
      <c r="W96" s="69">
        <f t="shared" si="45"/>
        <v>216666.66666666666</v>
      </c>
      <c r="X96" s="69">
        <f t="shared" si="45"/>
        <v>216666.66666666666</v>
      </c>
      <c r="Y96" s="69">
        <f t="shared" si="45"/>
        <v>216666.66666666666</v>
      </c>
      <c r="Z96" s="69">
        <f t="shared" si="45"/>
        <v>216666.66666666666</v>
      </c>
      <c r="AA96" s="69">
        <f t="shared" si="45"/>
        <v>216666.66666666666</v>
      </c>
      <c r="AB96" s="69">
        <f t="shared" si="45"/>
        <v>216666.66666666666</v>
      </c>
      <c r="AC96" s="69">
        <f t="shared" si="45"/>
        <v>216666.66666666666</v>
      </c>
      <c r="AD96" s="69">
        <f t="shared" si="45"/>
        <v>216666.66666666666</v>
      </c>
      <c r="AE96" s="69">
        <f t="shared" si="45"/>
        <v>216666.66666666666</v>
      </c>
      <c r="AF96" s="69">
        <f t="shared" si="45"/>
        <v>216666.66666666666</v>
      </c>
      <c r="AG96" s="69">
        <f t="shared" si="46"/>
        <v>216666.66666666666</v>
      </c>
      <c r="AH96" s="70">
        <f t="shared" si="46"/>
        <v>216666.66666666666</v>
      </c>
      <c r="AI96" s="70">
        <f t="shared" si="46"/>
        <v>216666.66666666666</v>
      </c>
      <c r="AJ96" s="70">
        <f t="shared" si="46"/>
        <v>216666.66666666666</v>
      </c>
      <c r="AK96" s="70">
        <f t="shared" si="46"/>
        <v>216666.66666666666</v>
      </c>
      <c r="AL96" s="70">
        <f t="shared" si="46"/>
        <v>216666.66666666666</v>
      </c>
      <c r="AM96" s="70">
        <f t="shared" si="46"/>
        <v>216666.66666666666</v>
      </c>
      <c r="AN96" s="70">
        <f t="shared" si="46"/>
        <v>216666.66666666666</v>
      </c>
      <c r="AO96" s="70">
        <f t="shared" si="46"/>
        <v>216666.66666666666</v>
      </c>
      <c r="AP96" s="70">
        <f t="shared" si="46"/>
        <v>216666.66666666666</v>
      </c>
      <c r="AQ96" s="70">
        <f t="shared" si="46"/>
        <v>216666.66666666666</v>
      </c>
      <c r="AR96" s="70">
        <f t="shared" si="46"/>
        <v>216666.66666666666</v>
      </c>
      <c r="AS96" s="70">
        <f t="shared" si="46"/>
        <v>216666.66666666666</v>
      </c>
      <c r="AT96" s="71">
        <f t="shared" si="46"/>
        <v>216666.66666666666</v>
      </c>
      <c r="AU96" s="71">
        <f t="shared" si="46"/>
        <v>216666.66666666666</v>
      </c>
      <c r="AV96" s="71">
        <f t="shared" si="46"/>
        <v>216666.66666666666</v>
      </c>
      <c r="AW96" s="71">
        <f t="shared" si="44"/>
        <v>216666.66666666666</v>
      </c>
      <c r="AX96" s="71">
        <f t="shared" si="44"/>
        <v>216666.66666666666</v>
      </c>
      <c r="AY96" s="71">
        <f t="shared" si="44"/>
        <v>216666.66666666666</v>
      </c>
      <c r="AZ96" s="71">
        <f t="shared" si="44"/>
        <v>216666.66666666666</v>
      </c>
      <c r="BA96" s="71">
        <f t="shared" si="44"/>
        <v>216666.66666666666</v>
      </c>
      <c r="BB96" s="71">
        <f t="shared" si="44"/>
        <v>216666.66666666666</v>
      </c>
      <c r="BC96" s="71">
        <f t="shared" si="44"/>
        <v>216666.66666666666</v>
      </c>
      <c r="BD96" s="71">
        <f t="shared" si="44"/>
        <v>216666.66666666666</v>
      </c>
      <c r="BE96" s="71">
        <f t="shared" si="44"/>
        <v>216666.66666666666</v>
      </c>
      <c r="BF96" s="68">
        <f t="shared" si="36"/>
        <v>0</v>
      </c>
      <c r="BG96" s="69">
        <f t="shared" si="37"/>
        <v>2383333.3333333335</v>
      </c>
      <c r="BH96" s="70">
        <f t="shared" si="38"/>
        <v>2600000</v>
      </c>
      <c r="BI96" s="71">
        <f t="shared" si="39"/>
        <v>2600000</v>
      </c>
      <c r="BJ96" s="72">
        <f>VLOOKUP(D96,Master!AD:AG,3,FALSE)</f>
        <v>7611600</v>
      </c>
      <c r="BK96" s="73" t="str">
        <f>VLOOKUP(D96,Master!AD:AG,4,FALSE)</f>
        <v>Depreciation-Tools, furniture &amp; office equipment</v>
      </c>
    </row>
    <row r="97" spans="1:63" s="74" customFormat="1" ht="15" customHeight="1">
      <c r="A97" s="64" t="s">
        <v>326</v>
      </c>
      <c r="B97" s="25" t="s">
        <v>431</v>
      </c>
      <c r="C97" s="65" t="s">
        <v>221</v>
      </c>
      <c r="D97" s="66">
        <v>2141000</v>
      </c>
      <c r="E97" s="26">
        <v>13000000</v>
      </c>
      <c r="F97" s="67">
        <v>60</v>
      </c>
      <c r="G97" s="65" t="s">
        <v>233</v>
      </c>
      <c r="H97" s="27">
        <v>1</v>
      </c>
      <c r="I97" s="28">
        <v>45261</v>
      </c>
      <c r="J97" s="65" t="s">
        <v>310</v>
      </c>
      <c r="K97" s="65" t="s">
        <v>233</v>
      </c>
      <c r="L97" s="65"/>
      <c r="M97" s="65" t="s">
        <v>469</v>
      </c>
      <c r="N97" s="51">
        <f t="shared" si="40"/>
        <v>13000000</v>
      </c>
      <c r="O97" s="51">
        <f t="shared" si="41"/>
        <v>216666.66666666666</v>
      </c>
      <c r="P97" s="28">
        <f t="shared" si="42"/>
        <v>47088</v>
      </c>
      <c r="Q97" s="68" t="str">
        <f t="shared" si="45"/>
        <v/>
      </c>
      <c r="R97" s="68" t="str">
        <f t="shared" si="45"/>
        <v/>
      </c>
      <c r="S97" s="68" t="str">
        <f t="shared" si="45"/>
        <v/>
      </c>
      <c r="T97" s="68" t="str">
        <f t="shared" si="45"/>
        <v/>
      </c>
      <c r="U97" s="68" t="str">
        <f t="shared" si="45"/>
        <v/>
      </c>
      <c r="V97" s="69" t="str">
        <f t="shared" si="45"/>
        <v/>
      </c>
      <c r="W97" s="69" t="str">
        <f t="shared" si="45"/>
        <v/>
      </c>
      <c r="X97" s="69" t="str">
        <f t="shared" si="45"/>
        <v/>
      </c>
      <c r="Y97" s="69" t="str">
        <f t="shared" si="45"/>
        <v/>
      </c>
      <c r="Z97" s="69" t="str">
        <f t="shared" si="45"/>
        <v/>
      </c>
      <c r="AA97" s="69" t="str">
        <f t="shared" si="45"/>
        <v/>
      </c>
      <c r="AB97" s="69" t="str">
        <f t="shared" si="45"/>
        <v/>
      </c>
      <c r="AC97" s="69" t="str">
        <f t="shared" si="45"/>
        <v/>
      </c>
      <c r="AD97" s="69" t="str">
        <f t="shared" si="45"/>
        <v/>
      </c>
      <c r="AE97" s="69" t="str">
        <f t="shared" si="45"/>
        <v/>
      </c>
      <c r="AF97" s="69" t="str">
        <f t="shared" si="45"/>
        <v/>
      </c>
      <c r="AG97" s="69" t="str">
        <f t="shared" si="46"/>
        <v/>
      </c>
      <c r="AH97" s="70" t="str">
        <f t="shared" si="46"/>
        <v/>
      </c>
      <c r="AI97" s="70" t="str">
        <f t="shared" si="46"/>
        <v/>
      </c>
      <c r="AJ97" s="70" t="str">
        <f t="shared" si="46"/>
        <v/>
      </c>
      <c r="AK97" s="70" t="str">
        <f t="shared" si="46"/>
        <v/>
      </c>
      <c r="AL97" s="70" t="str">
        <f t="shared" si="46"/>
        <v/>
      </c>
      <c r="AM97" s="70" t="str">
        <f t="shared" si="46"/>
        <v/>
      </c>
      <c r="AN97" s="70" t="str">
        <f t="shared" si="46"/>
        <v/>
      </c>
      <c r="AO97" s="70" t="str">
        <f t="shared" si="46"/>
        <v/>
      </c>
      <c r="AP97" s="70" t="str">
        <f t="shared" si="46"/>
        <v/>
      </c>
      <c r="AQ97" s="70" t="str">
        <f t="shared" si="46"/>
        <v/>
      </c>
      <c r="AR97" s="70" t="str">
        <f t="shared" si="46"/>
        <v/>
      </c>
      <c r="AS97" s="70" t="str">
        <f t="shared" si="46"/>
        <v/>
      </c>
      <c r="AT97" s="71" t="str">
        <f t="shared" si="46"/>
        <v/>
      </c>
      <c r="AU97" s="71" t="str">
        <f t="shared" si="46"/>
        <v/>
      </c>
      <c r="AV97" s="71" t="str">
        <f t="shared" si="46"/>
        <v/>
      </c>
      <c r="AW97" s="71" t="str">
        <f t="shared" si="44"/>
        <v/>
      </c>
      <c r="AX97" s="71" t="str">
        <f t="shared" si="44"/>
        <v/>
      </c>
      <c r="AY97" s="71" t="str">
        <f t="shared" si="44"/>
        <v/>
      </c>
      <c r="AZ97" s="71" t="str">
        <f t="shared" si="44"/>
        <v/>
      </c>
      <c r="BA97" s="71" t="str">
        <f t="shared" si="44"/>
        <v/>
      </c>
      <c r="BB97" s="71">
        <f t="shared" si="44"/>
        <v>216666.66666666666</v>
      </c>
      <c r="BC97" s="71">
        <f t="shared" si="44"/>
        <v>216666.66666666666</v>
      </c>
      <c r="BD97" s="71">
        <f t="shared" si="44"/>
        <v>216666.66666666666</v>
      </c>
      <c r="BE97" s="71">
        <f t="shared" si="44"/>
        <v>216666.66666666666</v>
      </c>
      <c r="BF97" s="68">
        <f t="shared" si="36"/>
        <v>0</v>
      </c>
      <c r="BG97" s="69">
        <f t="shared" si="37"/>
        <v>0</v>
      </c>
      <c r="BH97" s="70">
        <f t="shared" si="38"/>
        <v>0</v>
      </c>
      <c r="BI97" s="71">
        <f t="shared" si="39"/>
        <v>866666.66666666663</v>
      </c>
      <c r="BJ97" s="72">
        <f>VLOOKUP(D97,Master!AD:AG,3,FALSE)</f>
        <v>7611600</v>
      </c>
      <c r="BK97" s="73" t="str">
        <f>VLOOKUP(D97,Master!AD:AG,4,FALSE)</f>
        <v>Depreciation-Tools, furniture &amp; office equipment</v>
      </c>
    </row>
    <row r="98" spans="1:63" s="74" customFormat="1" ht="15" customHeight="1">
      <c r="A98" s="64" t="s">
        <v>328</v>
      </c>
      <c r="B98" s="25" t="s">
        <v>432</v>
      </c>
      <c r="C98" s="65" t="s">
        <v>221</v>
      </c>
      <c r="D98" s="66">
        <v>2141000</v>
      </c>
      <c r="E98" s="26">
        <v>13000000</v>
      </c>
      <c r="F98" s="67">
        <v>60</v>
      </c>
      <c r="G98" s="65" t="s">
        <v>233</v>
      </c>
      <c r="H98" s="27">
        <v>1</v>
      </c>
      <c r="I98" s="28">
        <v>45078</v>
      </c>
      <c r="J98" s="65" t="s">
        <v>310</v>
      </c>
      <c r="K98" s="65" t="s">
        <v>233</v>
      </c>
      <c r="L98" s="65"/>
      <c r="M98" s="65" t="s">
        <v>469</v>
      </c>
      <c r="N98" s="51">
        <f t="shared" si="40"/>
        <v>13000000</v>
      </c>
      <c r="O98" s="51">
        <f t="shared" si="41"/>
        <v>216666.66666666666</v>
      </c>
      <c r="P98" s="28">
        <f t="shared" si="42"/>
        <v>46905</v>
      </c>
      <c r="Q98" s="68" t="str">
        <f t="shared" si="45"/>
        <v/>
      </c>
      <c r="R98" s="68" t="str">
        <f t="shared" si="45"/>
        <v/>
      </c>
      <c r="S98" s="68" t="str">
        <f t="shared" si="45"/>
        <v/>
      </c>
      <c r="T98" s="68" t="str">
        <f t="shared" si="45"/>
        <v/>
      </c>
      <c r="U98" s="68" t="str">
        <f t="shared" si="45"/>
        <v/>
      </c>
      <c r="V98" s="69" t="str">
        <f t="shared" si="45"/>
        <v/>
      </c>
      <c r="W98" s="69" t="str">
        <f t="shared" si="45"/>
        <v/>
      </c>
      <c r="X98" s="69" t="str">
        <f t="shared" si="45"/>
        <v/>
      </c>
      <c r="Y98" s="69" t="str">
        <f t="shared" si="45"/>
        <v/>
      </c>
      <c r="Z98" s="69" t="str">
        <f t="shared" si="45"/>
        <v/>
      </c>
      <c r="AA98" s="69" t="str">
        <f t="shared" si="45"/>
        <v/>
      </c>
      <c r="AB98" s="69" t="str">
        <f t="shared" si="45"/>
        <v/>
      </c>
      <c r="AC98" s="69" t="str">
        <f t="shared" si="45"/>
        <v/>
      </c>
      <c r="AD98" s="69" t="str">
        <f t="shared" si="45"/>
        <v/>
      </c>
      <c r="AE98" s="69" t="str">
        <f t="shared" si="45"/>
        <v/>
      </c>
      <c r="AF98" s="69" t="str">
        <f t="shared" si="45"/>
        <v/>
      </c>
      <c r="AG98" s="69" t="str">
        <f t="shared" si="46"/>
        <v/>
      </c>
      <c r="AH98" s="70" t="str">
        <f t="shared" si="46"/>
        <v/>
      </c>
      <c r="AI98" s="70" t="str">
        <f t="shared" si="46"/>
        <v/>
      </c>
      <c r="AJ98" s="70" t="str">
        <f t="shared" si="46"/>
        <v/>
      </c>
      <c r="AK98" s="70" t="str">
        <f t="shared" si="46"/>
        <v/>
      </c>
      <c r="AL98" s="70" t="str">
        <f t="shared" si="46"/>
        <v/>
      </c>
      <c r="AM98" s="70" t="str">
        <f t="shared" si="46"/>
        <v/>
      </c>
      <c r="AN98" s="70" t="str">
        <f t="shared" si="46"/>
        <v/>
      </c>
      <c r="AO98" s="70" t="str">
        <f t="shared" si="46"/>
        <v/>
      </c>
      <c r="AP98" s="70" t="str">
        <f t="shared" si="46"/>
        <v/>
      </c>
      <c r="AQ98" s="70" t="str">
        <f t="shared" si="46"/>
        <v/>
      </c>
      <c r="AR98" s="70" t="str">
        <f t="shared" si="46"/>
        <v/>
      </c>
      <c r="AS98" s="70" t="str">
        <f t="shared" si="46"/>
        <v/>
      </c>
      <c r="AT98" s="71" t="str">
        <f t="shared" si="46"/>
        <v/>
      </c>
      <c r="AU98" s="71" t="str">
        <f t="shared" si="46"/>
        <v/>
      </c>
      <c r="AV98" s="71">
        <f t="shared" si="46"/>
        <v>216666.66666666666</v>
      </c>
      <c r="AW98" s="71">
        <f t="shared" si="44"/>
        <v>216666.66666666666</v>
      </c>
      <c r="AX98" s="71">
        <f t="shared" si="44"/>
        <v>216666.66666666666</v>
      </c>
      <c r="AY98" s="71">
        <f t="shared" si="44"/>
        <v>216666.66666666666</v>
      </c>
      <c r="AZ98" s="71">
        <f t="shared" si="44"/>
        <v>216666.66666666666</v>
      </c>
      <c r="BA98" s="71">
        <f t="shared" si="44"/>
        <v>216666.66666666666</v>
      </c>
      <c r="BB98" s="71">
        <f t="shared" si="44"/>
        <v>216666.66666666666</v>
      </c>
      <c r="BC98" s="71">
        <f t="shared" si="44"/>
        <v>216666.66666666666</v>
      </c>
      <c r="BD98" s="71">
        <f t="shared" si="44"/>
        <v>216666.66666666666</v>
      </c>
      <c r="BE98" s="71">
        <f t="shared" si="44"/>
        <v>216666.66666666666</v>
      </c>
      <c r="BF98" s="68">
        <f t="shared" si="36"/>
        <v>0</v>
      </c>
      <c r="BG98" s="69">
        <f t="shared" si="37"/>
        <v>0</v>
      </c>
      <c r="BH98" s="70">
        <f t="shared" si="38"/>
        <v>0</v>
      </c>
      <c r="BI98" s="71">
        <f t="shared" si="39"/>
        <v>2166666.666666667</v>
      </c>
      <c r="BJ98" s="72">
        <f>VLOOKUP(D98,Master!AD:AG,3,FALSE)</f>
        <v>7611600</v>
      </c>
      <c r="BK98" s="73" t="str">
        <f>VLOOKUP(D98,Master!AD:AG,4,FALSE)</f>
        <v>Depreciation-Tools, furniture &amp; office equipment</v>
      </c>
    </row>
    <row r="99" spans="1:63" s="74" customFormat="1" ht="15" customHeight="1">
      <c r="A99" s="64" t="s">
        <v>356</v>
      </c>
      <c r="B99" s="25" t="s">
        <v>433</v>
      </c>
      <c r="C99" s="65" t="s">
        <v>221</v>
      </c>
      <c r="D99" s="66">
        <v>2141000</v>
      </c>
      <c r="E99" s="26">
        <v>13000000</v>
      </c>
      <c r="F99" s="67">
        <v>60</v>
      </c>
      <c r="G99" s="65" t="s">
        <v>233</v>
      </c>
      <c r="H99" s="27">
        <v>1</v>
      </c>
      <c r="I99" s="28">
        <v>45231</v>
      </c>
      <c r="J99" s="65" t="s">
        <v>310</v>
      </c>
      <c r="K99" s="65" t="s">
        <v>233</v>
      </c>
      <c r="L99" s="65"/>
      <c r="M99" s="65" t="s">
        <v>469</v>
      </c>
      <c r="N99" s="51">
        <f t="shared" si="40"/>
        <v>13000000</v>
      </c>
      <c r="O99" s="51">
        <f t="shared" si="41"/>
        <v>216666.66666666666</v>
      </c>
      <c r="P99" s="28">
        <f t="shared" si="42"/>
        <v>47058</v>
      </c>
      <c r="Q99" s="68" t="str">
        <f t="shared" si="45"/>
        <v/>
      </c>
      <c r="R99" s="68" t="str">
        <f t="shared" si="45"/>
        <v/>
      </c>
      <c r="S99" s="68" t="str">
        <f t="shared" si="45"/>
        <v/>
      </c>
      <c r="T99" s="68" t="str">
        <f t="shared" si="45"/>
        <v/>
      </c>
      <c r="U99" s="68" t="str">
        <f t="shared" si="45"/>
        <v/>
      </c>
      <c r="V99" s="69" t="str">
        <f t="shared" si="45"/>
        <v/>
      </c>
      <c r="W99" s="69" t="str">
        <f t="shared" si="45"/>
        <v/>
      </c>
      <c r="X99" s="69" t="str">
        <f t="shared" si="45"/>
        <v/>
      </c>
      <c r="Y99" s="69" t="str">
        <f t="shared" si="45"/>
        <v/>
      </c>
      <c r="Z99" s="69" t="str">
        <f t="shared" si="45"/>
        <v/>
      </c>
      <c r="AA99" s="69" t="str">
        <f t="shared" si="45"/>
        <v/>
      </c>
      <c r="AB99" s="69" t="str">
        <f t="shared" si="45"/>
        <v/>
      </c>
      <c r="AC99" s="69" t="str">
        <f t="shared" si="45"/>
        <v/>
      </c>
      <c r="AD99" s="69" t="str">
        <f t="shared" si="45"/>
        <v/>
      </c>
      <c r="AE99" s="69" t="str">
        <f t="shared" si="45"/>
        <v/>
      </c>
      <c r="AF99" s="69" t="str">
        <f t="shared" si="45"/>
        <v/>
      </c>
      <c r="AG99" s="69" t="str">
        <f t="shared" si="46"/>
        <v/>
      </c>
      <c r="AH99" s="70" t="str">
        <f t="shared" si="46"/>
        <v/>
      </c>
      <c r="AI99" s="70" t="str">
        <f t="shared" si="46"/>
        <v/>
      </c>
      <c r="AJ99" s="70" t="str">
        <f t="shared" si="46"/>
        <v/>
      </c>
      <c r="AK99" s="70" t="str">
        <f t="shared" si="46"/>
        <v/>
      </c>
      <c r="AL99" s="70" t="str">
        <f t="shared" si="46"/>
        <v/>
      </c>
      <c r="AM99" s="70" t="str">
        <f t="shared" si="46"/>
        <v/>
      </c>
      <c r="AN99" s="70" t="str">
        <f t="shared" si="46"/>
        <v/>
      </c>
      <c r="AO99" s="70" t="str">
        <f t="shared" si="46"/>
        <v/>
      </c>
      <c r="AP99" s="70" t="str">
        <f t="shared" si="46"/>
        <v/>
      </c>
      <c r="AQ99" s="70" t="str">
        <f t="shared" si="46"/>
        <v/>
      </c>
      <c r="AR99" s="70" t="str">
        <f t="shared" si="46"/>
        <v/>
      </c>
      <c r="AS99" s="70" t="str">
        <f t="shared" si="46"/>
        <v/>
      </c>
      <c r="AT99" s="71" t="str">
        <f t="shared" si="46"/>
        <v/>
      </c>
      <c r="AU99" s="71" t="str">
        <f t="shared" si="46"/>
        <v/>
      </c>
      <c r="AV99" s="71" t="str">
        <f t="shared" si="46"/>
        <v/>
      </c>
      <c r="AW99" s="71" t="str">
        <f t="shared" si="44"/>
        <v/>
      </c>
      <c r="AX99" s="71" t="str">
        <f t="shared" si="44"/>
        <v/>
      </c>
      <c r="AY99" s="71" t="str">
        <f t="shared" si="44"/>
        <v/>
      </c>
      <c r="AZ99" s="71" t="str">
        <f t="shared" si="44"/>
        <v/>
      </c>
      <c r="BA99" s="71">
        <f t="shared" si="44"/>
        <v>216666.66666666666</v>
      </c>
      <c r="BB99" s="71">
        <f t="shared" si="44"/>
        <v>216666.66666666666</v>
      </c>
      <c r="BC99" s="71">
        <f t="shared" si="44"/>
        <v>216666.66666666666</v>
      </c>
      <c r="BD99" s="71">
        <f t="shared" si="44"/>
        <v>216666.66666666666</v>
      </c>
      <c r="BE99" s="71">
        <f t="shared" si="44"/>
        <v>216666.66666666666</v>
      </c>
      <c r="BF99" s="68">
        <f t="shared" si="36"/>
        <v>0</v>
      </c>
      <c r="BG99" s="69">
        <f t="shared" si="37"/>
        <v>0</v>
      </c>
      <c r="BH99" s="70">
        <f t="shared" si="38"/>
        <v>0</v>
      </c>
      <c r="BI99" s="71">
        <f t="shared" si="39"/>
        <v>1083333.3333333333</v>
      </c>
      <c r="BJ99" s="72">
        <f>VLOOKUP(D99,Master!AD:AG,3,FALSE)</f>
        <v>7611600</v>
      </c>
      <c r="BK99" s="73" t="str">
        <f>VLOOKUP(D99,Master!AD:AG,4,FALSE)</f>
        <v>Depreciation-Tools, furniture &amp; office equipment</v>
      </c>
    </row>
    <row r="100" spans="1:63" s="74" customFormat="1" ht="15" customHeight="1">
      <c r="A100" s="64" t="s">
        <v>357</v>
      </c>
      <c r="B100" s="25" t="s">
        <v>441</v>
      </c>
      <c r="C100" s="65" t="s">
        <v>221</v>
      </c>
      <c r="D100" s="66">
        <v>2141000</v>
      </c>
      <c r="E100" s="26">
        <v>10000000</v>
      </c>
      <c r="F100" s="67">
        <v>60</v>
      </c>
      <c r="G100" s="65" t="s">
        <v>233</v>
      </c>
      <c r="H100" s="27">
        <v>1</v>
      </c>
      <c r="I100" s="28">
        <v>44866</v>
      </c>
      <c r="J100" s="65" t="s">
        <v>310</v>
      </c>
      <c r="K100" s="65" t="s">
        <v>233</v>
      </c>
      <c r="L100" s="65" t="s">
        <v>317</v>
      </c>
      <c r="M100" s="65" t="s">
        <v>471</v>
      </c>
      <c r="N100" s="51">
        <f t="shared" si="40"/>
        <v>10000000</v>
      </c>
      <c r="O100" s="51">
        <f t="shared" si="41"/>
        <v>166666.66666666666</v>
      </c>
      <c r="P100" s="28">
        <f t="shared" si="42"/>
        <v>46692</v>
      </c>
      <c r="Q100" s="68" t="str">
        <f t="shared" si="45"/>
        <v/>
      </c>
      <c r="R100" s="68" t="str">
        <f t="shared" si="45"/>
        <v/>
      </c>
      <c r="S100" s="68" t="str">
        <f t="shared" si="45"/>
        <v/>
      </c>
      <c r="T100" s="68" t="str">
        <f t="shared" si="45"/>
        <v/>
      </c>
      <c r="U100" s="68" t="str">
        <f t="shared" si="45"/>
        <v/>
      </c>
      <c r="V100" s="69" t="str">
        <f t="shared" si="45"/>
        <v/>
      </c>
      <c r="W100" s="69" t="str">
        <f t="shared" si="45"/>
        <v/>
      </c>
      <c r="X100" s="69" t="str">
        <f t="shared" si="45"/>
        <v/>
      </c>
      <c r="Y100" s="69" t="str">
        <f t="shared" si="45"/>
        <v/>
      </c>
      <c r="Z100" s="69" t="str">
        <f t="shared" si="45"/>
        <v/>
      </c>
      <c r="AA100" s="69" t="str">
        <f t="shared" si="45"/>
        <v/>
      </c>
      <c r="AB100" s="69" t="str">
        <f t="shared" ref="Q100:AF116" si="47">IF(AND(LEFT(AB$1,FIND("_",AB$1)-1)&amp;RIGHT(AB$1,LEN(AB$1)-FIND("_",AB$1)) &gt;= YEAR($I100) &amp; TEXT(MONTH($I100),"00"),LEFT(AB$1,FIND("_",AB$1)-1)&amp;RIGHT(AB$1,LEN(AB$1)-FIND("_",AB$1)) &lt; YEAR($P100) &amp; TEXT(MONTH($P100),"00")),$O100,"")</f>
        <v/>
      </c>
      <c r="AC100" s="69" t="str">
        <f t="shared" si="47"/>
        <v/>
      </c>
      <c r="AD100" s="69" t="str">
        <f t="shared" si="47"/>
        <v/>
      </c>
      <c r="AE100" s="69" t="str">
        <f t="shared" si="47"/>
        <v/>
      </c>
      <c r="AF100" s="69" t="str">
        <f t="shared" si="47"/>
        <v/>
      </c>
      <c r="AG100" s="69" t="str">
        <f t="shared" si="46"/>
        <v/>
      </c>
      <c r="AH100" s="70" t="str">
        <f t="shared" si="46"/>
        <v/>
      </c>
      <c r="AI100" s="70" t="str">
        <f t="shared" si="46"/>
        <v/>
      </c>
      <c r="AJ100" s="70" t="str">
        <f t="shared" si="46"/>
        <v/>
      </c>
      <c r="AK100" s="70" t="str">
        <f t="shared" si="46"/>
        <v/>
      </c>
      <c r="AL100" s="70" t="str">
        <f t="shared" si="46"/>
        <v/>
      </c>
      <c r="AM100" s="70" t="str">
        <f t="shared" si="46"/>
        <v/>
      </c>
      <c r="AN100" s="70" t="str">
        <f t="shared" si="46"/>
        <v/>
      </c>
      <c r="AO100" s="70">
        <f t="shared" si="46"/>
        <v>166666.66666666666</v>
      </c>
      <c r="AP100" s="70">
        <f t="shared" si="46"/>
        <v>166666.66666666666</v>
      </c>
      <c r="AQ100" s="70">
        <f t="shared" si="46"/>
        <v>166666.66666666666</v>
      </c>
      <c r="AR100" s="70">
        <f t="shared" si="46"/>
        <v>166666.66666666666</v>
      </c>
      <c r="AS100" s="70">
        <f t="shared" si="46"/>
        <v>166666.66666666666</v>
      </c>
      <c r="AT100" s="71">
        <f t="shared" si="46"/>
        <v>166666.66666666666</v>
      </c>
      <c r="AU100" s="71">
        <f t="shared" si="46"/>
        <v>166666.66666666666</v>
      </c>
      <c r="AV100" s="71">
        <f t="shared" si="46"/>
        <v>166666.66666666666</v>
      </c>
      <c r="AW100" s="71">
        <f t="shared" si="44"/>
        <v>166666.66666666666</v>
      </c>
      <c r="AX100" s="71">
        <f t="shared" si="44"/>
        <v>166666.66666666666</v>
      </c>
      <c r="AY100" s="71">
        <f t="shared" si="44"/>
        <v>166666.66666666666</v>
      </c>
      <c r="AZ100" s="71">
        <f t="shared" si="44"/>
        <v>166666.66666666666</v>
      </c>
      <c r="BA100" s="71">
        <f t="shared" si="44"/>
        <v>166666.66666666666</v>
      </c>
      <c r="BB100" s="71">
        <f t="shared" si="44"/>
        <v>166666.66666666666</v>
      </c>
      <c r="BC100" s="71">
        <f t="shared" si="44"/>
        <v>166666.66666666666</v>
      </c>
      <c r="BD100" s="71">
        <f t="shared" si="44"/>
        <v>166666.66666666666</v>
      </c>
      <c r="BE100" s="71">
        <f t="shared" si="44"/>
        <v>166666.66666666666</v>
      </c>
      <c r="BF100" s="68">
        <f t="shared" si="36"/>
        <v>0</v>
      </c>
      <c r="BG100" s="69">
        <f t="shared" si="37"/>
        <v>0</v>
      </c>
      <c r="BH100" s="70">
        <f t="shared" si="38"/>
        <v>833333.33333333326</v>
      </c>
      <c r="BI100" s="71">
        <f t="shared" si="39"/>
        <v>2000000.0000000002</v>
      </c>
      <c r="BJ100" s="72">
        <f>VLOOKUP(D100,Master!AD:AG,3,FALSE)</f>
        <v>7611600</v>
      </c>
      <c r="BK100" s="73" t="str">
        <f>VLOOKUP(D100,Master!AD:AG,4,FALSE)</f>
        <v>Depreciation-Tools, furniture &amp; office equipment</v>
      </c>
    </row>
    <row r="101" spans="1:63" s="74" customFormat="1" ht="15" customHeight="1">
      <c r="A101" s="64" t="s">
        <v>308</v>
      </c>
      <c r="B101" s="25" t="s">
        <v>430</v>
      </c>
      <c r="C101" s="65" t="s">
        <v>221</v>
      </c>
      <c r="D101" s="66">
        <v>2141000</v>
      </c>
      <c r="E101" s="26">
        <v>13000000</v>
      </c>
      <c r="F101" s="67">
        <v>60</v>
      </c>
      <c r="G101" s="65" t="s">
        <v>239</v>
      </c>
      <c r="H101" s="27">
        <v>1</v>
      </c>
      <c r="I101" s="28">
        <v>45047</v>
      </c>
      <c r="J101" s="65" t="s">
        <v>310</v>
      </c>
      <c r="K101" s="65" t="s">
        <v>239</v>
      </c>
      <c r="L101" s="65" t="s">
        <v>317</v>
      </c>
      <c r="M101" s="65" t="s">
        <v>469</v>
      </c>
      <c r="N101" s="51">
        <f t="shared" si="40"/>
        <v>13000000</v>
      </c>
      <c r="O101" s="51">
        <f t="shared" si="41"/>
        <v>216666.66666666666</v>
      </c>
      <c r="P101" s="28">
        <f t="shared" si="42"/>
        <v>46874</v>
      </c>
      <c r="Q101" s="68" t="str">
        <f t="shared" si="47"/>
        <v/>
      </c>
      <c r="R101" s="68" t="str">
        <f t="shared" si="47"/>
        <v/>
      </c>
      <c r="S101" s="68" t="str">
        <f t="shared" si="47"/>
        <v/>
      </c>
      <c r="T101" s="68" t="str">
        <f t="shared" si="47"/>
        <v/>
      </c>
      <c r="U101" s="68" t="str">
        <f t="shared" si="47"/>
        <v/>
      </c>
      <c r="V101" s="69" t="str">
        <f t="shared" si="47"/>
        <v/>
      </c>
      <c r="W101" s="69" t="str">
        <f t="shared" si="47"/>
        <v/>
      </c>
      <c r="X101" s="69" t="str">
        <f t="shared" si="47"/>
        <v/>
      </c>
      <c r="Y101" s="69" t="str">
        <f t="shared" si="47"/>
        <v/>
      </c>
      <c r="Z101" s="69" t="str">
        <f t="shared" si="47"/>
        <v/>
      </c>
      <c r="AA101" s="69" t="str">
        <f t="shared" si="47"/>
        <v/>
      </c>
      <c r="AB101" s="69" t="str">
        <f t="shared" si="47"/>
        <v/>
      </c>
      <c r="AC101" s="69" t="str">
        <f t="shared" si="47"/>
        <v/>
      </c>
      <c r="AD101" s="69" t="str">
        <f t="shared" si="47"/>
        <v/>
      </c>
      <c r="AE101" s="69" t="str">
        <f t="shared" si="47"/>
        <v/>
      </c>
      <c r="AF101" s="69" t="str">
        <f t="shared" si="47"/>
        <v/>
      </c>
      <c r="AG101" s="69" t="str">
        <f t="shared" si="46"/>
        <v/>
      </c>
      <c r="AH101" s="70" t="str">
        <f t="shared" si="46"/>
        <v/>
      </c>
      <c r="AI101" s="70" t="str">
        <f t="shared" si="46"/>
        <v/>
      </c>
      <c r="AJ101" s="70" t="str">
        <f t="shared" si="46"/>
        <v/>
      </c>
      <c r="AK101" s="70" t="str">
        <f t="shared" si="46"/>
        <v/>
      </c>
      <c r="AL101" s="70" t="str">
        <f t="shared" si="46"/>
        <v/>
      </c>
      <c r="AM101" s="70" t="str">
        <f t="shared" si="46"/>
        <v/>
      </c>
      <c r="AN101" s="70" t="str">
        <f t="shared" si="46"/>
        <v/>
      </c>
      <c r="AO101" s="70" t="str">
        <f t="shared" si="46"/>
        <v/>
      </c>
      <c r="AP101" s="70" t="str">
        <f t="shared" si="46"/>
        <v/>
      </c>
      <c r="AQ101" s="70" t="str">
        <f t="shared" si="46"/>
        <v/>
      </c>
      <c r="AR101" s="70" t="str">
        <f t="shared" si="46"/>
        <v/>
      </c>
      <c r="AS101" s="70" t="str">
        <f t="shared" si="46"/>
        <v/>
      </c>
      <c r="AT101" s="71" t="str">
        <f t="shared" si="46"/>
        <v/>
      </c>
      <c r="AU101" s="71">
        <f t="shared" si="46"/>
        <v>216666.66666666666</v>
      </c>
      <c r="AV101" s="71">
        <f t="shared" si="46"/>
        <v>216666.66666666666</v>
      </c>
      <c r="AW101" s="71">
        <f t="shared" si="44"/>
        <v>216666.66666666666</v>
      </c>
      <c r="AX101" s="71">
        <f t="shared" si="44"/>
        <v>216666.66666666666</v>
      </c>
      <c r="AY101" s="71">
        <f t="shared" si="44"/>
        <v>216666.66666666666</v>
      </c>
      <c r="AZ101" s="71">
        <f t="shared" si="44"/>
        <v>216666.66666666666</v>
      </c>
      <c r="BA101" s="71">
        <f t="shared" si="44"/>
        <v>216666.66666666666</v>
      </c>
      <c r="BB101" s="71">
        <f t="shared" si="44"/>
        <v>216666.66666666666</v>
      </c>
      <c r="BC101" s="71">
        <f t="shared" si="44"/>
        <v>216666.66666666666</v>
      </c>
      <c r="BD101" s="71">
        <f t="shared" si="44"/>
        <v>216666.66666666666</v>
      </c>
      <c r="BE101" s="71">
        <f t="shared" si="44"/>
        <v>216666.66666666666</v>
      </c>
      <c r="BF101" s="68">
        <f t="shared" si="36"/>
        <v>0</v>
      </c>
      <c r="BG101" s="69">
        <f t="shared" si="37"/>
        <v>0</v>
      </c>
      <c r="BH101" s="70">
        <f t="shared" si="38"/>
        <v>0</v>
      </c>
      <c r="BI101" s="71">
        <f t="shared" si="39"/>
        <v>2383333.3333333335</v>
      </c>
      <c r="BJ101" s="72">
        <f>VLOOKUP(D101,Master!AD:AG,3,FALSE)</f>
        <v>7611600</v>
      </c>
      <c r="BK101" s="73" t="str">
        <f>VLOOKUP(D101,Master!AD:AG,4,FALSE)</f>
        <v>Depreciation-Tools, furniture &amp; office equipment</v>
      </c>
    </row>
    <row r="102" spans="1:63" s="74" customFormat="1" ht="15" customHeight="1">
      <c r="A102" s="64" t="s">
        <v>326</v>
      </c>
      <c r="B102" s="25" t="s">
        <v>435</v>
      </c>
      <c r="C102" s="65" t="s">
        <v>221</v>
      </c>
      <c r="D102" s="66">
        <v>2141000</v>
      </c>
      <c r="E102" s="26">
        <v>8000000</v>
      </c>
      <c r="F102" s="67">
        <v>60</v>
      </c>
      <c r="G102" s="65" t="s">
        <v>239</v>
      </c>
      <c r="H102" s="27">
        <v>1</v>
      </c>
      <c r="I102" s="28">
        <v>44287</v>
      </c>
      <c r="J102" s="65" t="s">
        <v>310</v>
      </c>
      <c r="K102" s="65" t="s">
        <v>239</v>
      </c>
      <c r="L102" s="65" t="s">
        <v>314</v>
      </c>
      <c r="M102" s="65" t="s">
        <v>472</v>
      </c>
      <c r="N102" s="51">
        <f t="shared" si="40"/>
        <v>8000000</v>
      </c>
      <c r="O102" s="51">
        <f t="shared" si="41"/>
        <v>133333.33333333334</v>
      </c>
      <c r="P102" s="28">
        <f t="shared" si="42"/>
        <v>46113</v>
      </c>
      <c r="Q102" s="68" t="str">
        <f t="shared" si="47"/>
        <v/>
      </c>
      <c r="R102" s="68" t="str">
        <f t="shared" si="47"/>
        <v/>
      </c>
      <c r="S102" s="68" t="str">
        <f t="shared" si="47"/>
        <v/>
      </c>
      <c r="T102" s="68" t="str">
        <f t="shared" si="47"/>
        <v/>
      </c>
      <c r="U102" s="68" t="str">
        <f t="shared" si="47"/>
        <v/>
      </c>
      <c r="V102" s="69">
        <f t="shared" si="47"/>
        <v>133333.33333333334</v>
      </c>
      <c r="W102" s="69">
        <f t="shared" si="47"/>
        <v>133333.33333333334</v>
      </c>
      <c r="X102" s="69">
        <f t="shared" si="47"/>
        <v>133333.33333333334</v>
      </c>
      <c r="Y102" s="69">
        <f t="shared" si="47"/>
        <v>133333.33333333334</v>
      </c>
      <c r="Z102" s="69">
        <f t="shared" si="47"/>
        <v>133333.33333333334</v>
      </c>
      <c r="AA102" s="69">
        <f t="shared" si="47"/>
        <v>133333.33333333334</v>
      </c>
      <c r="AB102" s="69">
        <f t="shared" si="47"/>
        <v>133333.33333333334</v>
      </c>
      <c r="AC102" s="69">
        <f t="shared" si="47"/>
        <v>133333.33333333334</v>
      </c>
      <c r="AD102" s="69">
        <f t="shared" si="47"/>
        <v>133333.33333333334</v>
      </c>
      <c r="AE102" s="69">
        <f t="shared" si="47"/>
        <v>133333.33333333334</v>
      </c>
      <c r="AF102" s="69">
        <f t="shared" si="47"/>
        <v>133333.33333333334</v>
      </c>
      <c r="AG102" s="69">
        <f t="shared" si="46"/>
        <v>133333.33333333334</v>
      </c>
      <c r="AH102" s="70">
        <f t="shared" si="46"/>
        <v>133333.33333333334</v>
      </c>
      <c r="AI102" s="70">
        <f t="shared" si="46"/>
        <v>133333.33333333334</v>
      </c>
      <c r="AJ102" s="70">
        <f t="shared" si="46"/>
        <v>133333.33333333334</v>
      </c>
      <c r="AK102" s="70">
        <f t="shared" si="46"/>
        <v>133333.33333333334</v>
      </c>
      <c r="AL102" s="70">
        <f t="shared" si="46"/>
        <v>133333.33333333334</v>
      </c>
      <c r="AM102" s="70">
        <f t="shared" si="46"/>
        <v>133333.33333333334</v>
      </c>
      <c r="AN102" s="70">
        <f t="shared" si="46"/>
        <v>133333.33333333334</v>
      </c>
      <c r="AO102" s="70">
        <f t="shared" si="46"/>
        <v>133333.33333333334</v>
      </c>
      <c r="AP102" s="70">
        <f t="shared" si="46"/>
        <v>133333.33333333334</v>
      </c>
      <c r="AQ102" s="70">
        <f t="shared" si="46"/>
        <v>133333.33333333334</v>
      </c>
      <c r="AR102" s="70">
        <f t="shared" si="46"/>
        <v>133333.33333333334</v>
      </c>
      <c r="AS102" s="70">
        <f t="shared" si="46"/>
        <v>133333.33333333334</v>
      </c>
      <c r="AT102" s="71">
        <f t="shared" si="46"/>
        <v>133333.33333333334</v>
      </c>
      <c r="AU102" s="71">
        <f t="shared" si="46"/>
        <v>133333.33333333334</v>
      </c>
      <c r="AV102" s="71">
        <f t="shared" si="46"/>
        <v>133333.33333333334</v>
      </c>
      <c r="AW102" s="71">
        <f t="shared" si="44"/>
        <v>133333.33333333334</v>
      </c>
      <c r="AX102" s="71">
        <f t="shared" si="44"/>
        <v>133333.33333333334</v>
      </c>
      <c r="AY102" s="71">
        <f t="shared" si="44"/>
        <v>133333.33333333334</v>
      </c>
      <c r="AZ102" s="71">
        <f t="shared" si="44"/>
        <v>133333.33333333334</v>
      </c>
      <c r="BA102" s="71">
        <f t="shared" si="44"/>
        <v>133333.33333333334</v>
      </c>
      <c r="BB102" s="71">
        <f t="shared" si="44"/>
        <v>133333.33333333334</v>
      </c>
      <c r="BC102" s="71">
        <f t="shared" si="44"/>
        <v>133333.33333333334</v>
      </c>
      <c r="BD102" s="71">
        <f t="shared" si="44"/>
        <v>133333.33333333334</v>
      </c>
      <c r="BE102" s="71">
        <f t="shared" si="44"/>
        <v>133333.33333333334</v>
      </c>
      <c r="BF102" s="68">
        <f t="shared" si="36"/>
        <v>0</v>
      </c>
      <c r="BG102" s="69">
        <f t="shared" si="37"/>
        <v>1599999.9999999998</v>
      </c>
      <c r="BH102" s="70">
        <f t="shared" si="38"/>
        <v>1599999.9999999998</v>
      </c>
      <c r="BI102" s="71">
        <f t="shared" si="39"/>
        <v>1599999.9999999998</v>
      </c>
      <c r="BJ102" s="72">
        <f>VLOOKUP(D102,Master!AD:AG,3,FALSE)</f>
        <v>7611600</v>
      </c>
      <c r="BK102" s="73" t="str">
        <f>VLOOKUP(D102,Master!AD:AG,4,FALSE)</f>
        <v>Depreciation-Tools, furniture &amp; office equipment</v>
      </c>
    </row>
    <row r="103" spans="1:63" s="74" customFormat="1" ht="15" customHeight="1">
      <c r="A103" s="64" t="s">
        <v>328</v>
      </c>
      <c r="B103" s="25" t="s">
        <v>436</v>
      </c>
      <c r="C103" s="65" t="s">
        <v>221</v>
      </c>
      <c r="D103" s="66">
        <v>2141000</v>
      </c>
      <c r="E103" s="26">
        <v>8000000</v>
      </c>
      <c r="F103" s="67">
        <v>60</v>
      </c>
      <c r="G103" s="65" t="s">
        <v>239</v>
      </c>
      <c r="H103" s="27">
        <v>1</v>
      </c>
      <c r="I103" s="28">
        <v>44287</v>
      </c>
      <c r="J103" s="65" t="s">
        <v>310</v>
      </c>
      <c r="K103" s="65" t="s">
        <v>239</v>
      </c>
      <c r="L103" s="65" t="s">
        <v>314</v>
      </c>
      <c r="M103" s="65" t="s">
        <v>472</v>
      </c>
      <c r="N103" s="51">
        <f t="shared" si="40"/>
        <v>8000000</v>
      </c>
      <c r="O103" s="51">
        <f t="shared" si="41"/>
        <v>133333.33333333334</v>
      </c>
      <c r="P103" s="28">
        <f t="shared" si="42"/>
        <v>46113</v>
      </c>
      <c r="Q103" s="68" t="str">
        <f t="shared" si="47"/>
        <v/>
      </c>
      <c r="R103" s="68" t="str">
        <f t="shared" si="47"/>
        <v/>
      </c>
      <c r="S103" s="68" t="str">
        <f t="shared" si="47"/>
        <v/>
      </c>
      <c r="T103" s="68" t="str">
        <f t="shared" si="47"/>
        <v/>
      </c>
      <c r="U103" s="68" t="str">
        <f t="shared" si="47"/>
        <v/>
      </c>
      <c r="V103" s="69">
        <f t="shared" si="47"/>
        <v>133333.33333333334</v>
      </c>
      <c r="W103" s="69">
        <f t="shared" si="47"/>
        <v>133333.33333333334</v>
      </c>
      <c r="X103" s="69">
        <f t="shared" si="47"/>
        <v>133333.33333333334</v>
      </c>
      <c r="Y103" s="69">
        <f t="shared" si="47"/>
        <v>133333.33333333334</v>
      </c>
      <c r="Z103" s="69">
        <f t="shared" si="47"/>
        <v>133333.33333333334</v>
      </c>
      <c r="AA103" s="69">
        <f t="shared" si="47"/>
        <v>133333.33333333334</v>
      </c>
      <c r="AB103" s="69">
        <f t="shared" si="47"/>
        <v>133333.33333333334</v>
      </c>
      <c r="AC103" s="69">
        <f t="shared" si="47"/>
        <v>133333.33333333334</v>
      </c>
      <c r="AD103" s="69">
        <f t="shared" si="47"/>
        <v>133333.33333333334</v>
      </c>
      <c r="AE103" s="69">
        <f t="shared" si="47"/>
        <v>133333.33333333334</v>
      </c>
      <c r="AF103" s="69">
        <f t="shared" si="47"/>
        <v>133333.33333333334</v>
      </c>
      <c r="AG103" s="69">
        <f t="shared" si="46"/>
        <v>133333.33333333334</v>
      </c>
      <c r="AH103" s="70">
        <f t="shared" si="46"/>
        <v>133333.33333333334</v>
      </c>
      <c r="AI103" s="70">
        <f t="shared" si="46"/>
        <v>133333.33333333334</v>
      </c>
      <c r="AJ103" s="70">
        <f t="shared" si="46"/>
        <v>133333.33333333334</v>
      </c>
      <c r="AK103" s="70">
        <f t="shared" si="46"/>
        <v>133333.33333333334</v>
      </c>
      <c r="AL103" s="70">
        <f t="shared" si="46"/>
        <v>133333.33333333334</v>
      </c>
      <c r="AM103" s="70">
        <f t="shared" si="46"/>
        <v>133333.33333333334</v>
      </c>
      <c r="AN103" s="70">
        <f t="shared" si="46"/>
        <v>133333.33333333334</v>
      </c>
      <c r="AO103" s="70">
        <f t="shared" si="46"/>
        <v>133333.33333333334</v>
      </c>
      <c r="AP103" s="70">
        <f t="shared" si="46"/>
        <v>133333.33333333334</v>
      </c>
      <c r="AQ103" s="70">
        <f t="shared" si="46"/>
        <v>133333.33333333334</v>
      </c>
      <c r="AR103" s="70">
        <f t="shared" si="46"/>
        <v>133333.33333333334</v>
      </c>
      <c r="AS103" s="70">
        <f t="shared" si="46"/>
        <v>133333.33333333334</v>
      </c>
      <c r="AT103" s="71">
        <f t="shared" si="46"/>
        <v>133333.33333333334</v>
      </c>
      <c r="AU103" s="71">
        <f t="shared" si="46"/>
        <v>133333.33333333334</v>
      </c>
      <c r="AV103" s="71">
        <f t="shared" si="46"/>
        <v>133333.33333333334</v>
      </c>
      <c r="AW103" s="71">
        <f t="shared" si="44"/>
        <v>133333.33333333334</v>
      </c>
      <c r="AX103" s="71">
        <f t="shared" si="44"/>
        <v>133333.33333333334</v>
      </c>
      <c r="AY103" s="71">
        <f t="shared" si="44"/>
        <v>133333.33333333334</v>
      </c>
      <c r="AZ103" s="71">
        <f t="shared" si="44"/>
        <v>133333.33333333334</v>
      </c>
      <c r="BA103" s="71">
        <f t="shared" si="44"/>
        <v>133333.33333333334</v>
      </c>
      <c r="BB103" s="71">
        <f t="shared" si="44"/>
        <v>133333.33333333334</v>
      </c>
      <c r="BC103" s="71">
        <f t="shared" si="44"/>
        <v>133333.33333333334</v>
      </c>
      <c r="BD103" s="71">
        <f t="shared" si="44"/>
        <v>133333.33333333334</v>
      </c>
      <c r="BE103" s="71">
        <f t="shared" si="44"/>
        <v>133333.33333333334</v>
      </c>
      <c r="BF103" s="68">
        <f t="shared" si="36"/>
        <v>0</v>
      </c>
      <c r="BG103" s="69">
        <f t="shared" si="37"/>
        <v>1599999.9999999998</v>
      </c>
      <c r="BH103" s="70">
        <f t="shared" si="38"/>
        <v>1599999.9999999998</v>
      </c>
      <c r="BI103" s="71">
        <f t="shared" si="39"/>
        <v>1599999.9999999998</v>
      </c>
      <c r="BJ103" s="72">
        <f>VLOOKUP(D103,Master!AD:AG,3,FALSE)</f>
        <v>7611600</v>
      </c>
      <c r="BK103" s="73" t="str">
        <f>VLOOKUP(D103,Master!AD:AG,4,FALSE)</f>
        <v>Depreciation-Tools, furniture &amp; office equipment</v>
      </c>
    </row>
    <row r="104" spans="1:63" s="74" customFormat="1" ht="15" customHeight="1">
      <c r="A104" s="64" t="s">
        <v>356</v>
      </c>
      <c r="B104" s="25" t="s">
        <v>437</v>
      </c>
      <c r="C104" s="65" t="s">
        <v>221</v>
      </c>
      <c r="D104" s="66">
        <v>2141000</v>
      </c>
      <c r="E104" s="26">
        <v>15000000</v>
      </c>
      <c r="F104" s="67">
        <v>60</v>
      </c>
      <c r="G104" s="65" t="s">
        <v>239</v>
      </c>
      <c r="H104" s="27">
        <v>1</v>
      </c>
      <c r="I104" s="28">
        <v>44287</v>
      </c>
      <c r="J104" s="65" t="s">
        <v>310</v>
      </c>
      <c r="K104" s="65" t="s">
        <v>239</v>
      </c>
      <c r="L104" s="65" t="s">
        <v>317</v>
      </c>
      <c r="M104" s="65" t="s">
        <v>472</v>
      </c>
      <c r="N104" s="51">
        <f t="shared" si="40"/>
        <v>15000000</v>
      </c>
      <c r="O104" s="51">
        <f t="shared" si="41"/>
        <v>250000</v>
      </c>
      <c r="P104" s="28">
        <f t="shared" si="42"/>
        <v>46113</v>
      </c>
      <c r="Q104" s="68" t="str">
        <f t="shared" si="47"/>
        <v/>
      </c>
      <c r="R104" s="68" t="str">
        <f t="shared" si="47"/>
        <v/>
      </c>
      <c r="S104" s="68" t="str">
        <f t="shared" si="47"/>
        <v/>
      </c>
      <c r="T104" s="68" t="str">
        <f t="shared" si="47"/>
        <v/>
      </c>
      <c r="U104" s="68" t="str">
        <f t="shared" si="47"/>
        <v/>
      </c>
      <c r="V104" s="69">
        <f t="shared" si="47"/>
        <v>250000</v>
      </c>
      <c r="W104" s="69">
        <f t="shared" si="47"/>
        <v>250000</v>
      </c>
      <c r="X104" s="69">
        <f t="shared" si="47"/>
        <v>250000</v>
      </c>
      <c r="Y104" s="69">
        <f t="shared" si="47"/>
        <v>250000</v>
      </c>
      <c r="Z104" s="69">
        <f t="shared" si="47"/>
        <v>250000</v>
      </c>
      <c r="AA104" s="69">
        <f t="shared" si="47"/>
        <v>250000</v>
      </c>
      <c r="AB104" s="69">
        <f t="shared" si="47"/>
        <v>250000</v>
      </c>
      <c r="AC104" s="69">
        <f t="shared" si="47"/>
        <v>250000</v>
      </c>
      <c r="AD104" s="69">
        <f t="shared" si="47"/>
        <v>250000</v>
      </c>
      <c r="AE104" s="69">
        <f t="shared" si="47"/>
        <v>250000</v>
      </c>
      <c r="AF104" s="69">
        <f t="shared" si="47"/>
        <v>250000</v>
      </c>
      <c r="AG104" s="69">
        <f t="shared" si="46"/>
        <v>250000</v>
      </c>
      <c r="AH104" s="70">
        <f t="shared" si="46"/>
        <v>250000</v>
      </c>
      <c r="AI104" s="70">
        <f t="shared" si="46"/>
        <v>250000</v>
      </c>
      <c r="AJ104" s="70">
        <f t="shared" si="46"/>
        <v>250000</v>
      </c>
      <c r="AK104" s="70">
        <f t="shared" si="46"/>
        <v>250000</v>
      </c>
      <c r="AL104" s="70">
        <f t="shared" si="46"/>
        <v>250000</v>
      </c>
      <c r="AM104" s="70">
        <f t="shared" si="46"/>
        <v>250000</v>
      </c>
      <c r="AN104" s="70">
        <f t="shared" si="46"/>
        <v>250000</v>
      </c>
      <c r="AO104" s="70">
        <f t="shared" si="46"/>
        <v>250000</v>
      </c>
      <c r="AP104" s="70">
        <f t="shared" si="46"/>
        <v>250000</v>
      </c>
      <c r="AQ104" s="70">
        <f t="shared" ref="AG104:AV120" si="48">IF(AND(LEFT(AQ$1,FIND("_",AQ$1)-1)&amp;RIGHT(AQ$1,LEN(AQ$1)-FIND("_",AQ$1)) &gt;= YEAR($I104) &amp; TEXT(MONTH($I104),"00"),LEFT(AQ$1,FIND("_",AQ$1)-1)&amp;RIGHT(AQ$1,LEN(AQ$1)-FIND("_",AQ$1)) &lt; YEAR($P104) &amp; TEXT(MONTH($P104),"00")),$O104,"")</f>
        <v>250000</v>
      </c>
      <c r="AR104" s="70">
        <f t="shared" si="48"/>
        <v>250000</v>
      </c>
      <c r="AS104" s="70">
        <f t="shared" si="48"/>
        <v>250000</v>
      </c>
      <c r="AT104" s="71">
        <f t="shared" si="48"/>
        <v>250000</v>
      </c>
      <c r="AU104" s="71">
        <f t="shared" si="48"/>
        <v>250000</v>
      </c>
      <c r="AV104" s="71">
        <f t="shared" si="48"/>
        <v>250000</v>
      </c>
      <c r="AW104" s="71">
        <f t="shared" si="44"/>
        <v>250000</v>
      </c>
      <c r="AX104" s="71">
        <f t="shared" si="44"/>
        <v>250000</v>
      </c>
      <c r="AY104" s="71">
        <f t="shared" si="44"/>
        <v>250000</v>
      </c>
      <c r="AZ104" s="71">
        <f t="shared" si="44"/>
        <v>250000</v>
      </c>
      <c r="BA104" s="71">
        <f t="shared" si="44"/>
        <v>250000</v>
      </c>
      <c r="BB104" s="71">
        <f t="shared" si="44"/>
        <v>250000</v>
      </c>
      <c r="BC104" s="71">
        <f t="shared" si="44"/>
        <v>250000</v>
      </c>
      <c r="BD104" s="71">
        <f t="shared" si="44"/>
        <v>250000</v>
      </c>
      <c r="BE104" s="71">
        <f t="shared" si="44"/>
        <v>250000</v>
      </c>
      <c r="BF104" s="68">
        <f t="shared" si="36"/>
        <v>0</v>
      </c>
      <c r="BG104" s="69">
        <f t="shared" si="37"/>
        <v>3000000</v>
      </c>
      <c r="BH104" s="70">
        <f t="shared" si="38"/>
        <v>3000000</v>
      </c>
      <c r="BI104" s="71">
        <f t="shared" si="39"/>
        <v>3000000</v>
      </c>
      <c r="BJ104" s="72">
        <f>VLOOKUP(D104,Master!AD:AG,3,FALSE)</f>
        <v>7611600</v>
      </c>
      <c r="BK104" s="73" t="str">
        <f>VLOOKUP(D104,Master!AD:AG,4,FALSE)</f>
        <v>Depreciation-Tools, furniture &amp; office equipment</v>
      </c>
    </row>
    <row r="105" spans="1:63" s="74" customFormat="1" ht="15" customHeight="1">
      <c r="A105" s="64" t="s">
        <v>357</v>
      </c>
      <c r="B105" s="25" t="s">
        <v>438</v>
      </c>
      <c r="C105" s="65" t="s">
        <v>221</v>
      </c>
      <c r="D105" s="66">
        <v>2141000</v>
      </c>
      <c r="E105" s="26">
        <v>15000000</v>
      </c>
      <c r="F105" s="67">
        <v>60</v>
      </c>
      <c r="G105" s="65" t="s">
        <v>239</v>
      </c>
      <c r="H105" s="27">
        <v>1</v>
      </c>
      <c r="I105" s="28">
        <v>44197</v>
      </c>
      <c r="J105" s="65" t="s">
        <v>310</v>
      </c>
      <c r="K105" s="65" t="s">
        <v>239</v>
      </c>
      <c r="L105" s="65" t="s">
        <v>317</v>
      </c>
      <c r="M105" s="65" t="s">
        <v>473</v>
      </c>
      <c r="N105" s="51">
        <f t="shared" si="40"/>
        <v>15000000</v>
      </c>
      <c r="O105" s="51">
        <f t="shared" si="41"/>
        <v>250000</v>
      </c>
      <c r="P105" s="28">
        <f t="shared" si="42"/>
        <v>46023</v>
      </c>
      <c r="Q105" s="68" t="str">
        <f t="shared" si="47"/>
        <v/>
      </c>
      <c r="R105" s="68" t="str">
        <f t="shared" si="47"/>
        <v/>
      </c>
      <c r="S105" s="68">
        <f t="shared" si="47"/>
        <v>250000</v>
      </c>
      <c r="T105" s="68">
        <f t="shared" si="47"/>
        <v>250000</v>
      </c>
      <c r="U105" s="68">
        <f t="shared" si="47"/>
        <v>250000</v>
      </c>
      <c r="V105" s="69">
        <f t="shared" si="47"/>
        <v>250000</v>
      </c>
      <c r="W105" s="69">
        <f t="shared" si="47"/>
        <v>250000</v>
      </c>
      <c r="X105" s="69">
        <f t="shared" si="47"/>
        <v>250000</v>
      </c>
      <c r="Y105" s="69">
        <f t="shared" si="47"/>
        <v>250000</v>
      </c>
      <c r="Z105" s="69">
        <f t="shared" si="47"/>
        <v>250000</v>
      </c>
      <c r="AA105" s="69">
        <f t="shared" si="47"/>
        <v>250000</v>
      </c>
      <c r="AB105" s="69">
        <f t="shared" si="47"/>
        <v>250000</v>
      </c>
      <c r="AC105" s="69">
        <f t="shared" si="47"/>
        <v>250000</v>
      </c>
      <c r="AD105" s="69">
        <f t="shared" si="47"/>
        <v>250000</v>
      </c>
      <c r="AE105" s="69">
        <f t="shared" si="47"/>
        <v>250000</v>
      </c>
      <c r="AF105" s="69">
        <f t="shared" si="47"/>
        <v>250000</v>
      </c>
      <c r="AG105" s="69">
        <f t="shared" si="48"/>
        <v>250000</v>
      </c>
      <c r="AH105" s="70">
        <f t="shared" si="48"/>
        <v>250000</v>
      </c>
      <c r="AI105" s="70">
        <f t="shared" si="48"/>
        <v>250000</v>
      </c>
      <c r="AJ105" s="70">
        <f t="shared" si="48"/>
        <v>250000</v>
      </c>
      <c r="AK105" s="70">
        <f t="shared" si="48"/>
        <v>250000</v>
      </c>
      <c r="AL105" s="70">
        <f t="shared" si="48"/>
        <v>250000</v>
      </c>
      <c r="AM105" s="70">
        <f t="shared" si="48"/>
        <v>250000</v>
      </c>
      <c r="AN105" s="70">
        <f t="shared" si="48"/>
        <v>250000</v>
      </c>
      <c r="AO105" s="70">
        <f t="shared" si="48"/>
        <v>250000</v>
      </c>
      <c r="AP105" s="70">
        <f t="shared" si="48"/>
        <v>250000</v>
      </c>
      <c r="AQ105" s="70">
        <f t="shared" si="48"/>
        <v>250000</v>
      </c>
      <c r="AR105" s="70">
        <f t="shared" si="48"/>
        <v>250000</v>
      </c>
      <c r="AS105" s="70">
        <f t="shared" si="48"/>
        <v>250000</v>
      </c>
      <c r="AT105" s="71">
        <f t="shared" si="48"/>
        <v>250000</v>
      </c>
      <c r="AU105" s="71">
        <f t="shared" si="48"/>
        <v>250000</v>
      </c>
      <c r="AV105" s="71">
        <f t="shared" si="48"/>
        <v>250000</v>
      </c>
      <c r="AW105" s="71">
        <f t="shared" si="44"/>
        <v>250000</v>
      </c>
      <c r="AX105" s="71">
        <f t="shared" si="44"/>
        <v>250000</v>
      </c>
      <c r="AY105" s="71">
        <f t="shared" si="44"/>
        <v>250000</v>
      </c>
      <c r="AZ105" s="71">
        <f t="shared" si="44"/>
        <v>250000</v>
      </c>
      <c r="BA105" s="71">
        <f t="shared" si="44"/>
        <v>250000</v>
      </c>
      <c r="BB105" s="71">
        <f t="shared" si="44"/>
        <v>250000</v>
      </c>
      <c r="BC105" s="71">
        <f t="shared" si="44"/>
        <v>250000</v>
      </c>
      <c r="BD105" s="71">
        <f t="shared" si="44"/>
        <v>250000</v>
      </c>
      <c r="BE105" s="71">
        <f t="shared" si="44"/>
        <v>250000</v>
      </c>
      <c r="BF105" s="68">
        <f t="shared" si="36"/>
        <v>750000</v>
      </c>
      <c r="BG105" s="69">
        <f t="shared" si="37"/>
        <v>3000000</v>
      </c>
      <c r="BH105" s="70">
        <f t="shared" si="38"/>
        <v>3000000</v>
      </c>
      <c r="BI105" s="71">
        <f t="shared" si="39"/>
        <v>3000000</v>
      </c>
      <c r="BJ105" s="72">
        <f>VLOOKUP(D105,Master!AD:AG,3,FALSE)</f>
        <v>7611600</v>
      </c>
      <c r="BK105" s="73" t="str">
        <f>VLOOKUP(D105,Master!AD:AG,4,FALSE)</f>
        <v>Depreciation-Tools, furniture &amp; office equipment</v>
      </c>
    </row>
    <row r="106" spans="1:63" s="74" customFormat="1" ht="15" customHeight="1">
      <c r="A106" s="64" t="s">
        <v>358</v>
      </c>
      <c r="B106" s="25" t="s">
        <v>439</v>
      </c>
      <c r="C106" s="65" t="s">
        <v>221</v>
      </c>
      <c r="D106" s="66">
        <v>2141000</v>
      </c>
      <c r="E106" s="26">
        <v>10000000</v>
      </c>
      <c r="F106" s="67">
        <v>60</v>
      </c>
      <c r="G106" s="65" t="s">
        <v>239</v>
      </c>
      <c r="H106" s="27">
        <v>1</v>
      </c>
      <c r="I106" s="28">
        <v>44866</v>
      </c>
      <c r="J106" s="65" t="s">
        <v>310</v>
      </c>
      <c r="K106" s="65" t="s">
        <v>239</v>
      </c>
      <c r="L106" s="65" t="s">
        <v>317</v>
      </c>
      <c r="M106" s="65" t="s">
        <v>471</v>
      </c>
      <c r="N106" s="51">
        <f t="shared" si="40"/>
        <v>10000000</v>
      </c>
      <c r="O106" s="51">
        <f t="shared" si="41"/>
        <v>166666.66666666666</v>
      </c>
      <c r="P106" s="28">
        <f t="shared" si="42"/>
        <v>46692</v>
      </c>
      <c r="Q106" s="68" t="str">
        <f t="shared" si="47"/>
        <v/>
      </c>
      <c r="R106" s="68" t="str">
        <f t="shared" si="47"/>
        <v/>
      </c>
      <c r="S106" s="68" t="str">
        <f t="shared" si="47"/>
        <v/>
      </c>
      <c r="T106" s="68" t="str">
        <f t="shared" si="47"/>
        <v/>
      </c>
      <c r="U106" s="68" t="str">
        <f t="shared" si="47"/>
        <v/>
      </c>
      <c r="V106" s="69" t="str">
        <f t="shared" si="47"/>
        <v/>
      </c>
      <c r="W106" s="69" t="str">
        <f t="shared" si="47"/>
        <v/>
      </c>
      <c r="X106" s="69" t="str">
        <f t="shared" si="47"/>
        <v/>
      </c>
      <c r="Y106" s="69" t="str">
        <f t="shared" si="47"/>
        <v/>
      </c>
      <c r="Z106" s="69" t="str">
        <f t="shared" si="47"/>
        <v/>
      </c>
      <c r="AA106" s="69" t="str">
        <f t="shared" si="47"/>
        <v/>
      </c>
      <c r="AB106" s="69" t="str">
        <f t="shared" si="47"/>
        <v/>
      </c>
      <c r="AC106" s="69" t="str">
        <f t="shared" si="47"/>
        <v/>
      </c>
      <c r="AD106" s="69" t="str">
        <f t="shared" si="47"/>
        <v/>
      </c>
      <c r="AE106" s="69" t="str">
        <f t="shared" si="47"/>
        <v/>
      </c>
      <c r="AF106" s="69" t="str">
        <f t="shared" si="47"/>
        <v/>
      </c>
      <c r="AG106" s="69" t="str">
        <f t="shared" si="48"/>
        <v/>
      </c>
      <c r="AH106" s="70" t="str">
        <f t="shared" si="48"/>
        <v/>
      </c>
      <c r="AI106" s="70" t="str">
        <f t="shared" si="48"/>
        <v/>
      </c>
      <c r="AJ106" s="70" t="str">
        <f t="shared" si="48"/>
        <v/>
      </c>
      <c r="AK106" s="70" t="str">
        <f t="shared" si="48"/>
        <v/>
      </c>
      <c r="AL106" s="70" t="str">
        <f t="shared" si="48"/>
        <v/>
      </c>
      <c r="AM106" s="70" t="str">
        <f t="shared" si="48"/>
        <v/>
      </c>
      <c r="AN106" s="70" t="str">
        <f t="shared" si="48"/>
        <v/>
      </c>
      <c r="AO106" s="70">
        <f t="shared" si="48"/>
        <v>166666.66666666666</v>
      </c>
      <c r="AP106" s="70">
        <f t="shared" si="48"/>
        <v>166666.66666666666</v>
      </c>
      <c r="AQ106" s="70">
        <f t="shared" si="48"/>
        <v>166666.66666666666</v>
      </c>
      <c r="AR106" s="70">
        <f t="shared" si="48"/>
        <v>166666.66666666666</v>
      </c>
      <c r="AS106" s="70">
        <f t="shared" si="48"/>
        <v>166666.66666666666</v>
      </c>
      <c r="AT106" s="71">
        <f t="shared" si="48"/>
        <v>166666.66666666666</v>
      </c>
      <c r="AU106" s="71">
        <f t="shared" si="48"/>
        <v>166666.66666666666</v>
      </c>
      <c r="AV106" s="71">
        <f t="shared" si="48"/>
        <v>166666.66666666666</v>
      </c>
      <c r="AW106" s="71">
        <f t="shared" si="44"/>
        <v>166666.66666666666</v>
      </c>
      <c r="AX106" s="71">
        <f t="shared" si="44"/>
        <v>166666.66666666666</v>
      </c>
      <c r="AY106" s="71">
        <f t="shared" si="44"/>
        <v>166666.66666666666</v>
      </c>
      <c r="AZ106" s="71">
        <f t="shared" si="44"/>
        <v>166666.66666666666</v>
      </c>
      <c r="BA106" s="71">
        <f t="shared" si="44"/>
        <v>166666.66666666666</v>
      </c>
      <c r="BB106" s="71">
        <f t="shared" si="44"/>
        <v>166666.66666666666</v>
      </c>
      <c r="BC106" s="71">
        <f t="shared" si="44"/>
        <v>166666.66666666666</v>
      </c>
      <c r="BD106" s="71">
        <f t="shared" si="44"/>
        <v>166666.66666666666</v>
      </c>
      <c r="BE106" s="71">
        <f t="shared" si="44"/>
        <v>166666.66666666666</v>
      </c>
      <c r="BF106" s="68">
        <f t="shared" si="36"/>
        <v>0</v>
      </c>
      <c r="BG106" s="69">
        <f t="shared" si="37"/>
        <v>0</v>
      </c>
      <c r="BH106" s="70">
        <f t="shared" si="38"/>
        <v>833333.33333333326</v>
      </c>
      <c r="BI106" s="71">
        <f t="shared" si="39"/>
        <v>2000000.0000000002</v>
      </c>
      <c r="BJ106" s="72">
        <f>VLOOKUP(D106,Master!AD:AG,3,FALSE)</f>
        <v>7611600</v>
      </c>
      <c r="BK106" s="73" t="str">
        <f>VLOOKUP(D106,Master!AD:AG,4,FALSE)</f>
        <v>Depreciation-Tools, furniture &amp; office equipment</v>
      </c>
    </row>
    <row r="107" spans="1:63" s="74" customFormat="1" ht="15" customHeight="1">
      <c r="A107" s="64" t="s">
        <v>359</v>
      </c>
      <c r="B107" s="25" t="s">
        <v>440</v>
      </c>
      <c r="C107" s="65" t="s">
        <v>221</v>
      </c>
      <c r="D107" s="66">
        <v>2141000</v>
      </c>
      <c r="E107" s="26">
        <v>10000000</v>
      </c>
      <c r="F107" s="67">
        <v>60</v>
      </c>
      <c r="G107" s="65" t="s">
        <v>239</v>
      </c>
      <c r="H107" s="27">
        <v>1</v>
      </c>
      <c r="I107" s="28">
        <v>44866</v>
      </c>
      <c r="J107" s="65" t="s">
        <v>310</v>
      </c>
      <c r="K107" s="65" t="s">
        <v>239</v>
      </c>
      <c r="L107" s="65" t="s">
        <v>317</v>
      </c>
      <c r="M107" s="65" t="s">
        <v>471</v>
      </c>
      <c r="N107" s="51">
        <f t="shared" si="40"/>
        <v>10000000</v>
      </c>
      <c r="O107" s="51">
        <f t="shared" si="41"/>
        <v>166666.66666666666</v>
      </c>
      <c r="P107" s="28">
        <f t="shared" si="42"/>
        <v>46692</v>
      </c>
      <c r="Q107" s="68" t="str">
        <f t="shared" si="47"/>
        <v/>
      </c>
      <c r="R107" s="68" t="str">
        <f t="shared" si="47"/>
        <v/>
      </c>
      <c r="S107" s="68" t="str">
        <f t="shared" si="47"/>
        <v/>
      </c>
      <c r="T107" s="68" t="str">
        <f t="shared" si="47"/>
        <v/>
      </c>
      <c r="U107" s="68" t="str">
        <f t="shared" si="47"/>
        <v/>
      </c>
      <c r="V107" s="69" t="str">
        <f t="shared" si="47"/>
        <v/>
      </c>
      <c r="W107" s="69" t="str">
        <f t="shared" si="47"/>
        <v/>
      </c>
      <c r="X107" s="69" t="str">
        <f t="shared" si="47"/>
        <v/>
      </c>
      <c r="Y107" s="69" t="str">
        <f t="shared" si="47"/>
        <v/>
      </c>
      <c r="Z107" s="69" t="str">
        <f t="shared" si="47"/>
        <v/>
      </c>
      <c r="AA107" s="69" t="str">
        <f t="shared" si="47"/>
        <v/>
      </c>
      <c r="AB107" s="69" t="str">
        <f t="shared" si="47"/>
        <v/>
      </c>
      <c r="AC107" s="69" t="str">
        <f t="shared" si="47"/>
        <v/>
      </c>
      <c r="AD107" s="69" t="str">
        <f t="shared" si="47"/>
        <v/>
      </c>
      <c r="AE107" s="69" t="str">
        <f t="shared" si="47"/>
        <v/>
      </c>
      <c r="AF107" s="69" t="str">
        <f t="shared" si="47"/>
        <v/>
      </c>
      <c r="AG107" s="69" t="str">
        <f t="shared" si="48"/>
        <v/>
      </c>
      <c r="AH107" s="70" t="str">
        <f t="shared" si="48"/>
        <v/>
      </c>
      <c r="AI107" s="70" t="str">
        <f t="shared" si="48"/>
        <v/>
      </c>
      <c r="AJ107" s="70" t="str">
        <f t="shared" si="48"/>
        <v/>
      </c>
      <c r="AK107" s="70" t="str">
        <f t="shared" si="48"/>
        <v/>
      </c>
      <c r="AL107" s="70" t="str">
        <f t="shared" si="48"/>
        <v/>
      </c>
      <c r="AM107" s="70" t="str">
        <f t="shared" si="48"/>
        <v/>
      </c>
      <c r="AN107" s="70" t="str">
        <f t="shared" si="48"/>
        <v/>
      </c>
      <c r="AO107" s="70">
        <f t="shared" si="48"/>
        <v>166666.66666666666</v>
      </c>
      <c r="AP107" s="70">
        <f t="shared" si="48"/>
        <v>166666.66666666666</v>
      </c>
      <c r="AQ107" s="70">
        <f t="shared" si="48"/>
        <v>166666.66666666666</v>
      </c>
      <c r="AR107" s="70">
        <f t="shared" si="48"/>
        <v>166666.66666666666</v>
      </c>
      <c r="AS107" s="70">
        <f t="shared" si="48"/>
        <v>166666.66666666666</v>
      </c>
      <c r="AT107" s="71">
        <f t="shared" si="48"/>
        <v>166666.66666666666</v>
      </c>
      <c r="AU107" s="71">
        <f t="shared" si="48"/>
        <v>166666.66666666666</v>
      </c>
      <c r="AV107" s="71">
        <f t="shared" si="48"/>
        <v>166666.66666666666</v>
      </c>
      <c r="AW107" s="71">
        <f t="shared" si="44"/>
        <v>166666.66666666666</v>
      </c>
      <c r="AX107" s="71">
        <f t="shared" si="44"/>
        <v>166666.66666666666</v>
      </c>
      <c r="AY107" s="71">
        <f t="shared" si="44"/>
        <v>166666.66666666666</v>
      </c>
      <c r="AZ107" s="71">
        <f t="shared" si="44"/>
        <v>166666.66666666666</v>
      </c>
      <c r="BA107" s="71">
        <f t="shared" si="44"/>
        <v>166666.66666666666</v>
      </c>
      <c r="BB107" s="71">
        <f t="shared" si="44"/>
        <v>166666.66666666666</v>
      </c>
      <c r="BC107" s="71">
        <f t="shared" si="44"/>
        <v>166666.66666666666</v>
      </c>
      <c r="BD107" s="71">
        <f t="shared" si="44"/>
        <v>166666.66666666666</v>
      </c>
      <c r="BE107" s="71">
        <f t="shared" si="44"/>
        <v>166666.66666666666</v>
      </c>
      <c r="BF107" s="68">
        <f t="shared" si="36"/>
        <v>0</v>
      </c>
      <c r="BG107" s="69">
        <f t="shared" si="37"/>
        <v>0</v>
      </c>
      <c r="BH107" s="70">
        <f t="shared" si="38"/>
        <v>833333.33333333326</v>
      </c>
      <c r="BI107" s="71">
        <f t="shared" si="39"/>
        <v>2000000.0000000002</v>
      </c>
      <c r="BJ107" s="72">
        <f>VLOOKUP(D107,Master!AD:AG,3,FALSE)</f>
        <v>7611600</v>
      </c>
      <c r="BK107" s="73" t="str">
        <f>VLOOKUP(D107,Master!AD:AG,4,FALSE)</f>
        <v>Depreciation-Tools, furniture &amp; office equipment</v>
      </c>
    </row>
    <row r="108" spans="1:63" s="74" customFormat="1" ht="15" customHeight="1">
      <c r="A108" s="64" t="s">
        <v>360</v>
      </c>
      <c r="B108" s="25" t="s">
        <v>443</v>
      </c>
      <c r="C108" s="65" t="s">
        <v>221</v>
      </c>
      <c r="D108" s="66">
        <v>2141000</v>
      </c>
      <c r="E108" s="26">
        <v>10000000</v>
      </c>
      <c r="F108" s="67">
        <v>60</v>
      </c>
      <c r="G108" s="65" t="s">
        <v>239</v>
      </c>
      <c r="H108" s="27">
        <v>1</v>
      </c>
      <c r="I108" s="28">
        <v>44866</v>
      </c>
      <c r="J108" s="65" t="s">
        <v>310</v>
      </c>
      <c r="K108" s="65" t="s">
        <v>239</v>
      </c>
      <c r="L108" s="65" t="s">
        <v>317</v>
      </c>
      <c r="M108" s="65" t="s">
        <v>471</v>
      </c>
      <c r="N108" s="51">
        <f t="shared" si="40"/>
        <v>10000000</v>
      </c>
      <c r="O108" s="51">
        <f t="shared" si="41"/>
        <v>166666.66666666666</v>
      </c>
      <c r="P108" s="28">
        <f t="shared" si="42"/>
        <v>46692</v>
      </c>
      <c r="Q108" s="68" t="str">
        <f t="shared" si="47"/>
        <v/>
      </c>
      <c r="R108" s="68" t="str">
        <f t="shared" si="47"/>
        <v/>
      </c>
      <c r="S108" s="68" t="str">
        <f t="shared" si="47"/>
        <v/>
      </c>
      <c r="T108" s="68" t="str">
        <f t="shared" si="47"/>
        <v/>
      </c>
      <c r="U108" s="68" t="str">
        <f t="shared" si="47"/>
        <v/>
      </c>
      <c r="V108" s="69" t="str">
        <f t="shared" si="47"/>
        <v/>
      </c>
      <c r="W108" s="69" t="str">
        <f t="shared" si="47"/>
        <v/>
      </c>
      <c r="X108" s="69" t="str">
        <f t="shared" si="47"/>
        <v/>
      </c>
      <c r="Y108" s="69" t="str">
        <f t="shared" si="47"/>
        <v/>
      </c>
      <c r="Z108" s="69" t="str">
        <f t="shared" si="47"/>
        <v/>
      </c>
      <c r="AA108" s="69" t="str">
        <f t="shared" si="47"/>
        <v/>
      </c>
      <c r="AB108" s="69" t="str">
        <f t="shared" si="47"/>
        <v/>
      </c>
      <c r="AC108" s="69" t="str">
        <f t="shared" si="47"/>
        <v/>
      </c>
      <c r="AD108" s="69" t="str">
        <f t="shared" si="47"/>
        <v/>
      </c>
      <c r="AE108" s="69" t="str">
        <f t="shared" si="47"/>
        <v/>
      </c>
      <c r="AF108" s="69" t="str">
        <f t="shared" si="47"/>
        <v/>
      </c>
      <c r="AG108" s="69" t="str">
        <f t="shared" si="48"/>
        <v/>
      </c>
      <c r="AH108" s="70" t="str">
        <f t="shared" si="48"/>
        <v/>
      </c>
      <c r="AI108" s="70" t="str">
        <f t="shared" si="48"/>
        <v/>
      </c>
      <c r="AJ108" s="70" t="str">
        <f t="shared" si="48"/>
        <v/>
      </c>
      <c r="AK108" s="70" t="str">
        <f t="shared" si="48"/>
        <v/>
      </c>
      <c r="AL108" s="70" t="str">
        <f t="shared" si="48"/>
        <v/>
      </c>
      <c r="AM108" s="70" t="str">
        <f t="shared" si="48"/>
        <v/>
      </c>
      <c r="AN108" s="70" t="str">
        <f t="shared" si="48"/>
        <v/>
      </c>
      <c r="AO108" s="70">
        <f t="shared" si="48"/>
        <v>166666.66666666666</v>
      </c>
      <c r="AP108" s="70">
        <f t="shared" si="48"/>
        <v>166666.66666666666</v>
      </c>
      <c r="AQ108" s="70">
        <f t="shared" si="48"/>
        <v>166666.66666666666</v>
      </c>
      <c r="AR108" s="70">
        <f t="shared" si="48"/>
        <v>166666.66666666666</v>
      </c>
      <c r="AS108" s="70">
        <f t="shared" si="48"/>
        <v>166666.66666666666</v>
      </c>
      <c r="AT108" s="71">
        <f t="shared" si="48"/>
        <v>166666.66666666666</v>
      </c>
      <c r="AU108" s="71">
        <f t="shared" si="48"/>
        <v>166666.66666666666</v>
      </c>
      <c r="AV108" s="71">
        <f t="shared" si="48"/>
        <v>166666.66666666666</v>
      </c>
      <c r="AW108" s="71">
        <f t="shared" si="44"/>
        <v>166666.66666666666</v>
      </c>
      <c r="AX108" s="71">
        <f t="shared" si="44"/>
        <v>166666.66666666666</v>
      </c>
      <c r="AY108" s="71">
        <f t="shared" si="44"/>
        <v>166666.66666666666</v>
      </c>
      <c r="AZ108" s="71">
        <f t="shared" si="44"/>
        <v>166666.66666666666</v>
      </c>
      <c r="BA108" s="71">
        <f t="shared" si="44"/>
        <v>166666.66666666666</v>
      </c>
      <c r="BB108" s="71">
        <f t="shared" si="44"/>
        <v>166666.66666666666</v>
      </c>
      <c r="BC108" s="71">
        <f t="shared" si="44"/>
        <v>166666.66666666666</v>
      </c>
      <c r="BD108" s="71">
        <f t="shared" si="44"/>
        <v>166666.66666666666</v>
      </c>
      <c r="BE108" s="71">
        <f t="shared" si="44"/>
        <v>166666.66666666666</v>
      </c>
      <c r="BF108" s="68">
        <f t="shared" si="36"/>
        <v>0</v>
      </c>
      <c r="BG108" s="69">
        <f t="shared" si="37"/>
        <v>0</v>
      </c>
      <c r="BH108" s="70">
        <f t="shared" si="38"/>
        <v>833333.33333333326</v>
      </c>
      <c r="BI108" s="71">
        <f t="shared" si="39"/>
        <v>2000000.0000000002</v>
      </c>
      <c r="BJ108" s="72">
        <f>VLOOKUP(D108,Master!AD:AG,3,FALSE)</f>
        <v>7611600</v>
      </c>
      <c r="BK108" s="73" t="str">
        <f>VLOOKUP(D108,Master!AD:AG,4,FALSE)</f>
        <v>Depreciation-Tools, furniture &amp; office equipment</v>
      </c>
    </row>
    <row r="109" spans="1:63" s="74" customFormat="1" ht="15" customHeight="1">
      <c r="A109" s="64" t="s">
        <v>361</v>
      </c>
      <c r="B109" s="25" t="s">
        <v>444</v>
      </c>
      <c r="C109" s="65" t="s">
        <v>221</v>
      </c>
      <c r="D109" s="66">
        <v>2141000</v>
      </c>
      <c r="E109" s="26">
        <v>10000000</v>
      </c>
      <c r="F109" s="67">
        <v>60</v>
      </c>
      <c r="G109" s="65" t="s">
        <v>239</v>
      </c>
      <c r="H109" s="27">
        <v>1</v>
      </c>
      <c r="I109" s="28">
        <v>45047</v>
      </c>
      <c r="J109" s="65" t="s">
        <v>310</v>
      </c>
      <c r="K109" s="65" t="s">
        <v>239</v>
      </c>
      <c r="L109" s="65" t="s">
        <v>317</v>
      </c>
      <c r="M109" s="65" t="s">
        <v>469</v>
      </c>
      <c r="N109" s="51">
        <f t="shared" si="40"/>
        <v>10000000</v>
      </c>
      <c r="O109" s="51">
        <f t="shared" si="41"/>
        <v>166666.66666666666</v>
      </c>
      <c r="P109" s="28">
        <f t="shared" si="42"/>
        <v>46874</v>
      </c>
      <c r="Q109" s="68" t="str">
        <f t="shared" si="47"/>
        <v/>
      </c>
      <c r="R109" s="68" t="str">
        <f t="shared" si="47"/>
        <v/>
      </c>
      <c r="S109" s="68" t="str">
        <f t="shared" si="47"/>
        <v/>
      </c>
      <c r="T109" s="68" t="str">
        <f t="shared" si="47"/>
        <v/>
      </c>
      <c r="U109" s="68" t="str">
        <f t="shared" si="47"/>
        <v/>
      </c>
      <c r="V109" s="69" t="str">
        <f t="shared" si="47"/>
        <v/>
      </c>
      <c r="W109" s="69" t="str">
        <f t="shared" si="47"/>
        <v/>
      </c>
      <c r="X109" s="69" t="str">
        <f t="shared" si="47"/>
        <v/>
      </c>
      <c r="Y109" s="69" t="str">
        <f t="shared" si="47"/>
        <v/>
      </c>
      <c r="Z109" s="69" t="str">
        <f t="shared" si="47"/>
        <v/>
      </c>
      <c r="AA109" s="69" t="str">
        <f t="shared" si="47"/>
        <v/>
      </c>
      <c r="AB109" s="69" t="str">
        <f t="shared" si="47"/>
        <v/>
      </c>
      <c r="AC109" s="69" t="str">
        <f t="shared" si="47"/>
        <v/>
      </c>
      <c r="AD109" s="69" t="str">
        <f t="shared" si="47"/>
        <v/>
      </c>
      <c r="AE109" s="69" t="str">
        <f t="shared" si="47"/>
        <v/>
      </c>
      <c r="AF109" s="69" t="str">
        <f t="shared" si="47"/>
        <v/>
      </c>
      <c r="AG109" s="69" t="str">
        <f t="shared" si="48"/>
        <v/>
      </c>
      <c r="AH109" s="70" t="str">
        <f t="shared" si="48"/>
        <v/>
      </c>
      <c r="AI109" s="70" t="str">
        <f t="shared" si="48"/>
        <v/>
      </c>
      <c r="AJ109" s="70" t="str">
        <f t="shared" si="48"/>
        <v/>
      </c>
      <c r="AK109" s="70" t="str">
        <f t="shared" si="48"/>
        <v/>
      </c>
      <c r="AL109" s="70" t="str">
        <f t="shared" si="48"/>
        <v/>
      </c>
      <c r="AM109" s="70" t="str">
        <f t="shared" si="48"/>
        <v/>
      </c>
      <c r="AN109" s="70" t="str">
        <f t="shared" si="48"/>
        <v/>
      </c>
      <c r="AO109" s="70" t="str">
        <f t="shared" si="48"/>
        <v/>
      </c>
      <c r="AP109" s="70" t="str">
        <f t="shared" si="48"/>
        <v/>
      </c>
      <c r="AQ109" s="70" t="str">
        <f t="shared" si="48"/>
        <v/>
      </c>
      <c r="AR109" s="70" t="str">
        <f t="shared" si="48"/>
        <v/>
      </c>
      <c r="AS109" s="70" t="str">
        <f t="shared" si="48"/>
        <v/>
      </c>
      <c r="AT109" s="71" t="str">
        <f t="shared" si="48"/>
        <v/>
      </c>
      <c r="AU109" s="71">
        <f t="shared" si="48"/>
        <v>166666.66666666666</v>
      </c>
      <c r="AV109" s="71">
        <f t="shared" si="48"/>
        <v>166666.66666666666</v>
      </c>
      <c r="AW109" s="71">
        <f t="shared" si="44"/>
        <v>166666.66666666666</v>
      </c>
      <c r="AX109" s="71">
        <f t="shared" si="44"/>
        <v>166666.66666666666</v>
      </c>
      <c r="AY109" s="71">
        <f t="shared" si="44"/>
        <v>166666.66666666666</v>
      </c>
      <c r="AZ109" s="71">
        <f t="shared" si="44"/>
        <v>166666.66666666666</v>
      </c>
      <c r="BA109" s="71">
        <f t="shared" si="44"/>
        <v>166666.66666666666</v>
      </c>
      <c r="BB109" s="71">
        <f t="shared" si="44"/>
        <v>166666.66666666666</v>
      </c>
      <c r="BC109" s="71">
        <f t="shared" si="44"/>
        <v>166666.66666666666</v>
      </c>
      <c r="BD109" s="71">
        <f t="shared" si="44"/>
        <v>166666.66666666666</v>
      </c>
      <c r="BE109" s="71">
        <f t="shared" si="44"/>
        <v>166666.66666666666</v>
      </c>
      <c r="BF109" s="68">
        <f t="shared" si="36"/>
        <v>0</v>
      </c>
      <c r="BG109" s="69">
        <f t="shared" si="37"/>
        <v>0</v>
      </c>
      <c r="BH109" s="70">
        <f t="shared" si="38"/>
        <v>0</v>
      </c>
      <c r="BI109" s="71">
        <f t="shared" si="39"/>
        <v>1833333.3333333335</v>
      </c>
      <c r="BJ109" s="72">
        <f>VLOOKUP(D109,Master!AD:AG,3,FALSE)</f>
        <v>7611600</v>
      </c>
      <c r="BK109" s="73" t="str">
        <f>VLOOKUP(D109,Master!AD:AG,4,FALSE)</f>
        <v>Depreciation-Tools, furniture &amp; office equipment</v>
      </c>
    </row>
    <row r="110" spans="1:63" s="74" customFormat="1" ht="15" customHeight="1">
      <c r="A110" s="64" t="s">
        <v>362</v>
      </c>
      <c r="B110" s="25" t="s">
        <v>445</v>
      </c>
      <c r="C110" s="65" t="s">
        <v>221</v>
      </c>
      <c r="D110" s="66">
        <v>2141000</v>
      </c>
      <c r="E110" s="26">
        <v>10000000</v>
      </c>
      <c r="F110" s="67">
        <v>60</v>
      </c>
      <c r="G110" s="65" t="s">
        <v>239</v>
      </c>
      <c r="H110" s="27">
        <v>1</v>
      </c>
      <c r="I110" s="28">
        <v>45047</v>
      </c>
      <c r="J110" s="65" t="s">
        <v>310</v>
      </c>
      <c r="K110" s="65" t="s">
        <v>239</v>
      </c>
      <c r="L110" s="65" t="s">
        <v>317</v>
      </c>
      <c r="M110" s="65" t="s">
        <v>469</v>
      </c>
      <c r="N110" s="51">
        <f t="shared" si="40"/>
        <v>10000000</v>
      </c>
      <c r="O110" s="51">
        <f t="shared" si="41"/>
        <v>166666.66666666666</v>
      </c>
      <c r="P110" s="28">
        <f t="shared" si="42"/>
        <v>46874</v>
      </c>
      <c r="Q110" s="68" t="str">
        <f t="shared" si="47"/>
        <v/>
      </c>
      <c r="R110" s="68" t="str">
        <f t="shared" si="47"/>
        <v/>
      </c>
      <c r="S110" s="68" t="str">
        <f t="shared" si="47"/>
        <v/>
      </c>
      <c r="T110" s="68" t="str">
        <f t="shared" si="47"/>
        <v/>
      </c>
      <c r="U110" s="68" t="str">
        <f t="shared" si="47"/>
        <v/>
      </c>
      <c r="V110" s="69" t="str">
        <f t="shared" si="47"/>
        <v/>
      </c>
      <c r="W110" s="69" t="str">
        <f t="shared" si="47"/>
        <v/>
      </c>
      <c r="X110" s="69" t="str">
        <f t="shared" si="47"/>
        <v/>
      </c>
      <c r="Y110" s="69" t="str">
        <f t="shared" si="47"/>
        <v/>
      </c>
      <c r="Z110" s="69" t="str">
        <f t="shared" si="47"/>
        <v/>
      </c>
      <c r="AA110" s="69" t="str">
        <f t="shared" si="47"/>
        <v/>
      </c>
      <c r="AB110" s="69" t="str">
        <f t="shared" si="47"/>
        <v/>
      </c>
      <c r="AC110" s="69" t="str">
        <f t="shared" si="47"/>
        <v/>
      </c>
      <c r="AD110" s="69" t="str">
        <f t="shared" si="47"/>
        <v/>
      </c>
      <c r="AE110" s="69" t="str">
        <f t="shared" si="47"/>
        <v/>
      </c>
      <c r="AF110" s="69" t="str">
        <f t="shared" si="47"/>
        <v/>
      </c>
      <c r="AG110" s="69" t="str">
        <f t="shared" si="48"/>
        <v/>
      </c>
      <c r="AH110" s="70" t="str">
        <f t="shared" si="48"/>
        <v/>
      </c>
      <c r="AI110" s="70" t="str">
        <f t="shared" si="48"/>
        <v/>
      </c>
      <c r="AJ110" s="70" t="str">
        <f t="shared" si="48"/>
        <v/>
      </c>
      <c r="AK110" s="70" t="str">
        <f t="shared" si="48"/>
        <v/>
      </c>
      <c r="AL110" s="70" t="str">
        <f t="shared" si="48"/>
        <v/>
      </c>
      <c r="AM110" s="70" t="str">
        <f t="shared" si="48"/>
        <v/>
      </c>
      <c r="AN110" s="70" t="str">
        <f t="shared" si="48"/>
        <v/>
      </c>
      <c r="AO110" s="70" t="str">
        <f t="shared" si="48"/>
        <v/>
      </c>
      <c r="AP110" s="70" t="str">
        <f t="shared" si="48"/>
        <v/>
      </c>
      <c r="AQ110" s="70" t="str">
        <f t="shared" si="48"/>
        <v/>
      </c>
      <c r="AR110" s="70" t="str">
        <f t="shared" si="48"/>
        <v/>
      </c>
      <c r="AS110" s="70" t="str">
        <f t="shared" si="48"/>
        <v/>
      </c>
      <c r="AT110" s="71" t="str">
        <f t="shared" si="48"/>
        <v/>
      </c>
      <c r="AU110" s="71">
        <f t="shared" si="48"/>
        <v>166666.66666666666</v>
      </c>
      <c r="AV110" s="71">
        <f t="shared" si="48"/>
        <v>166666.66666666666</v>
      </c>
      <c r="AW110" s="71">
        <f t="shared" ref="AW110:BE138" si="49">IF(AND(LEFT(AW$1,FIND("_",AW$1)-1)&amp;RIGHT(AW$1,LEN(AW$1)-FIND("_",AW$1)) &gt;= YEAR($I110) &amp; TEXT(MONTH($I110),"00"),LEFT(AW$1,FIND("_",AW$1)-1)&amp;RIGHT(AW$1,LEN(AW$1)-FIND("_",AW$1)) &lt; YEAR($P110) &amp; TEXT(MONTH($P110),"00")),$O110,"")</f>
        <v>166666.66666666666</v>
      </c>
      <c r="AX110" s="71">
        <f t="shared" si="49"/>
        <v>166666.66666666666</v>
      </c>
      <c r="AY110" s="71">
        <f t="shared" si="49"/>
        <v>166666.66666666666</v>
      </c>
      <c r="AZ110" s="71">
        <f t="shared" si="49"/>
        <v>166666.66666666666</v>
      </c>
      <c r="BA110" s="71">
        <f t="shared" si="49"/>
        <v>166666.66666666666</v>
      </c>
      <c r="BB110" s="71">
        <f t="shared" si="49"/>
        <v>166666.66666666666</v>
      </c>
      <c r="BC110" s="71">
        <f t="shared" si="49"/>
        <v>166666.66666666666</v>
      </c>
      <c r="BD110" s="71">
        <f t="shared" si="49"/>
        <v>166666.66666666666</v>
      </c>
      <c r="BE110" s="71">
        <f t="shared" si="49"/>
        <v>166666.66666666666</v>
      </c>
      <c r="BF110" s="68">
        <f t="shared" si="36"/>
        <v>0</v>
      </c>
      <c r="BG110" s="69">
        <f t="shared" si="37"/>
        <v>0</v>
      </c>
      <c r="BH110" s="70">
        <f t="shared" si="38"/>
        <v>0</v>
      </c>
      <c r="BI110" s="71">
        <f t="shared" si="39"/>
        <v>1833333.3333333335</v>
      </c>
      <c r="BJ110" s="72">
        <f>VLOOKUP(D110,Master!AD:AG,3,FALSE)</f>
        <v>7611600</v>
      </c>
      <c r="BK110" s="73" t="str">
        <f>VLOOKUP(D110,Master!AD:AG,4,FALSE)</f>
        <v>Depreciation-Tools, furniture &amp; office equipment</v>
      </c>
    </row>
    <row r="111" spans="1:63" s="74" customFormat="1" ht="15" customHeight="1">
      <c r="A111" s="64" t="s">
        <v>363</v>
      </c>
      <c r="B111" s="25" t="s">
        <v>446</v>
      </c>
      <c r="C111" s="65" t="s">
        <v>221</v>
      </c>
      <c r="D111" s="66">
        <v>2141000</v>
      </c>
      <c r="E111" s="26">
        <v>10000000</v>
      </c>
      <c r="F111" s="67">
        <v>60</v>
      </c>
      <c r="G111" s="65" t="s">
        <v>239</v>
      </c>
      <c r="H111" s="27">
        <v>1</v>
      </c>
      <c r="I111" s="28">
        <v>45047</v>
      </c>
      <c r="J111" s="65" t="s">
        <v>310</v>
      </c>
      <c r="K111" s="65" t="s">
        <v>239</v>
      </c>
      <c r="L111" s="65" t="s">
        <v>317</v>
      </c>
      <c r="M111" s="65" t="s">
        <v>469</v>
      </c>
      <c r="N111" s="51">
        <f t="shared" si="40"/>
        <v>10000000</v>
      </c>
      <c r="O111" s="51">
        <f t="shared" si="41"/>
        <v>166666.66666666666</v>
      </c>
      <c r="P111" s="28">
        <f t="shared" si="42"/>
        <v>46874</v>
      </c>
      <c r="Q111" s="68" t="str">
        <f t="shared" si="47"/>
        <v/>
      </c>
      <c r="R111" s="68" t="str">
        <f t="shared" si="47"/>
        <v/>
      </c>
      <c r="S111" s="68" t="str">
        <f t="shared" si="47"/>
        <v/>
      </c>
      <c r="T111" s="68" t="str">
        <f t="shared" si="47"/>
        <v/>
      </c>
      <c r="U111" s="68" t="str">
        <f t="shared" si="47"/>
        <v/>
      </c>
      <c r="V111" s="69" t="str">
        <f t="shared" si="47"/>
        <v/>
      </c>
      <c r="W111" s="69" t="str">
        <f t="shared" si="47"/>
        <v/>
      </c>
      <c r="X111" s="69" t="str">
        <f t="shared" si="47"/>
        <v/>
      </c>
      <c r="Y111" s="69" t="str">
        <f t="shared" si="47"/>
        <v/>
      </c>
      <c r="Z111" s="69" t="str">
        <f t="shared" si="47"/>
        <v/>
      </c>
      <c r="AA111" s="69" t="str">
        <f t="shared" si="47"/>
        <v/>
      </c>
      <c r="AB111" s="69" t="str">
        <f t="shared" si="47"/>
        <v/>
      </c>
      <c r="AC111" s="69" t="str">
        <f t="shared" si="47"/>
        <v/>
      </c>
      <c r="AD111" s="69" t="str">
        <f t="shared" si="47"/>
        <v/>
      </c>
      <c r="AE111" s="69" t="str">
        <f t="shared" si="47"/>
        <v/>
      </c>
      <c r="AF111" s="69" t="str">
        <f t="shared" si="47"/>
        <v/>
      </c>
      <c r="AG111" s="69" t="str">
        <f t="shared" si="48"/>
        <v/>
      </c>
      <c r="AH111" s="70" t="str">
        <f t="shared" si="48"/>
        <v/>
      </c>
      <c r="AI111" s="70" t="str">
        <f t="shared" si="48"/>
        <v/>
      </c>
      <c r="AJ111" s="70" t="str">
        <f t="shared" si="48"/>
        <v/>
      </c>
      <c r="AK111" s="70" t="str">
        <f t="shared" si="48"/>
        <v/>
      </c>
      <c r="AL111" s="70" t="str">
        <f t="shared" si="48"/>
        <v/>
      </c>
      <c r="AM111" s="70" t="str">
        <f t="shared" si="48"/>
        <v/>
      </c>
      <c r="AN111" s="70" t="str">
        <f t="shared" si="48"/>
        <v/>
      </c>
      <c r="AO111" s="70" t="str">
        <f t="shared" si="48"/>
        <v/>
      </c>
      <c r="AP111" s="70" t="str">
        <f t="shared" si="48"/>
        <v/>
      </c>
      <c r="AQ111" s="70" t="str">
        <f t="shared" si="48"/>
        <v/>
      </c>
      <c r="AR111" s="70" t="str">
        <f t="shared" si="48"/>
        <v/>
      </c>
      <c r="AS111" s="70" t="str">
        <f t="shared" si="48"/>
        <v/>
      </c>
      <c r="AT111" s="71" t="str">
        <f t="shared" si="48"/>
        <v/>
      </c>
      <c r="AU111" s="71">
        <f t="shared" si="48"/>
        <v>166666.66666666666</v>
      </c>
      <c r="AV111" s="71">
        <f t="shared" si="48"/>
        <v>166666.66666666666</v>
      </c>
      <c r="AW111" s="71">
        <f t="shared" si="49"/>
        <v>166666.66666666666</v>
      </c>
      <c r="AX111" s="71">
        <f t="shared" si="49"/>
        <v>166666.66666666666</v>
      </c>
      <c r="AY111" s="71">
        <f t="shared" si="49"/>
        <v>166666.66666666666</v>
      </c>
      <c r="AZ111" s="71">
        <f t="shared" si="49"/>
        <v>166666.66666666666</v>
      </c>
      <c r="BA111" s="71">
        <f t="shared" si="49"/>
        <v>166666.66666666666</v>
      </c>
      <c r="BB111" s="71">
        <f t="shared" si="49"/>
        <v>166666.66666666666</v>
      </c>
      <c r="BC111" s="71">
        <f t="shared" si="49"/>
        <v>166666.66666666666</v>
      </c>
      <c r="BD111" s="71">
        <f t="shared" si="49"/>
        <v>166666.66666666666</v>
      </c>
      <c r="BE111" s="71">
        <f t="shared" si="49"/>
        <v>166666.66666666666</v>
      </c>
      <c r="BF111" s="68">
        <f t="shared" si="36"/>
        <v>0</v>
      </c>
      <c r="BG111" s="69">
        <f t="shared" si="37"/>
        <v>0</v>
      </c>
      <c r="BH111" s="70">
        <f t="shared" si="38"/>
        <v>0</v>
      </c>
      <c r="BI111" s="71">
        <f t="shared" si="39"/>
        <v>1833333.3333333335</v>
      </c>
      <c r="BJ111" s="72">
        <f>VLOOKUP(D111,Master!AD:AG,3,FALSE)</f>
        <v>7611600</v>
      </c>
      <c r="BK111" s="73" t="str">
        <f>VLOOKUP(D111,Master!AD:AG,4,FALSE)</f>
        <v>Depreciation-Tools, furniture &amp; office equipment</v>
      </c>
    </row>
    <row r="112" spans="1:63" s="74" customFormat="1" ht="15" customHeight="1">
      <c r="A112" s="64" t="s">
        <v>364</v>
      </c>
      <c r="B112" s="25" t="s">
        <v>447</v>
      </c>
      <c r="C112" s="65" t="s">
        <v>221</v>
      </c>
      <c r="D112" s="66">
        <v>2141000</v>
      </c>
      <c r="E112" s="26">
        <v>10000000</v>
      </c>
      <c r="F112" s="67">
        <v>60</v>
      </c>
      <c r="G112" s="65" t="s">
        <v>239</v>
      </c>
      <c r="H112" s="27">
        <v>1</v>
      </c>
      <c r="I112" s="28">
        <v>45047</v>
      </c>
      <c r="J112" s="65" t="s">
        <v>310</v>
      </c>
      <c r="K112" s="65" t="s">
        <v>239</v>
      </c>
      <c r="L112" s="65" t="s">
        <v>317</v>
      </c>
      <c r="M112" s="65" t="s">
        <v>469</v>
      </c>
      <c r="N112" s="51">
        <f t="shared" si="40"/>
        <v>10000000</v>
      </c>
      <c r="O112" s="51">
        <f t="shared" si="41"/>
        <v>166666.66666666666</v>
      </c>
      <c r="P112" s="28">
        <f t="shared" si="42"/>
        <v>46874</v>
      </c>
      <c r="Q112" s="68" t="str">
        <f t="shared" si="47"/>
        <v/>
      </c>
      <c r="R112" s="68" t="str">
        <f t="shared" si="47"/>
        <v/>
      </c>
      <c r="S112" s="68" t="str">
        <f t="shared" si="47"/>
        <v/>
      </c>
      <c r="T112" s="68" t="str">
        <f t="shared" si="47"/>
        <v/>
      </c>
      <c r="U112" s="68" t="str">
        <f t="shared" si="47"/>
        <v/>
      </c>
      <c r="V112" s="69" t="str">
        <f t="shared" si="47"/>
        <v/>
      </c>
      <c r="W112" s="69" t="str">
        <f t="shared" si="47"/>
        <v/>
      </c>
      <c r="X112" s="69" t="str">
        <f t="shared" si="47"/>
        <v/>
      </c>
      <c r="Y112" s="69" t="str">
        <f t="shared" si="47"/>
        <v/>
      </c>
      <c r="Z112" s="69" t="str">
        <f t="shared" si="47"/>
        <v/>
      </c>
      <c r="AA112" s="69" t="str">
        <f t="shared" si="47"/>
        <v/>
      </c>
      <c r="AB112" s="69" t="str">
        <f t="shared" si="47"/>
        <v/>
      </c>
      <c r="AC112" s="69" t="str">
        <f t="shared" si="47"/>
        <v/>
      </c>
      <c r="AD112" s="69" t="str">
        <f t="shared" si="47"/>
        <v/>
      </c>
      <c r="AE112" s="69" t="str">
        <f t="shared" si="47"/>
        <v/>
      </c>
      <c r="AF112" s="69" t="str">
        <f t="shared" si="47"/>
        <v/>
      </c>
      <c r="AG112" s="69" t="str">
        <f t="shared" si="48"/>
        <v/>
      </c>
      <c r="AH112" s="70" t="str">
        <f t="shared" si="48"/>
        <v/>
      </c>
      <c r="AI112" s="70" t="str">
        <f t="shared" si="48"/>
        <v/>
      </c>
      <c r="AJ112" s="70" t="str">
        <f t="shared" si="48"/>
        <v/>
      </c>
      <c r="AK112" s="70" t="str">
        <f t="shared" si="48"/>
        <v/>
      </c>
      <c r="AL112" s="70" t="str">
        <f t="shared" si="48"/>
        <v/>
      </c>
      <c r="AM112" s="70" t="str">
        <f t="shared" si="48"/>
        <v/>
      </c>
      <c r="AN112" s="70" t="str">
        <f t="shared" si="48"/>
        <v/>
      </c>
      <c r="AO112" s="70" t="str">
        <f t="shared" si="48"/>
        <v/>
      </c>
      <c r="AP112" s="70" t="str">
        <f t="shared" si="48"/>
        <v/>
      </c>
      <c r="AQ112" s="70" t="str">
        <f t="shared" si="48"/>
        <v/>
      </c>
      <c r="AR112" s="70" t="str">
        <f t="shared" si="48"/>
        <v/>
      </c>
      <c r="AS112" s="70" t="str">
        <f t="shared" si="48"/>
        <v/>
      </c>
      <c r="AT112" s="71" t="str">
        <f t="shared" si="48"/>
        <v/>
      </c>
      <c r="AU112" s="71">
        <f t="shared" si="48"/>
        <v>166666.66666666666</v>
      </c>
      <c r="AV112" s="71">
        <f t="shared" si="48"/>
        <v>166666.66666666666</v>
      </c>
      <c r="AW112" s="71">
        <f t="shared" si="49"/>
        <v>166666.66666666666</v>
      </c>
      <c r="AX112" s="71">
        <f t="shared" si="49"/>
        <v>166666.66666666666</v>
      </c>
      <c r="AY112" s="71">
        <f t="shared" si="49"/>
        <v>166666.66666666666</v>
      </c>
      <c r="AZ112" s="71">
        <f t="shared" si="49"/>
        <v>166666.66666666666</v>
      </c>
      <c r="BA112" s="71">
        <f t="shared" si="49"/>
        <v>166666.66666666666</v>
      </c>
      <c r="BB112" s="71">
        <f t="shared" si="49"/>
        <v>166666.66666666666</v>
      </c>
      <c r="BC112" s="71">
        <f t="shared" si="49"/>
        <v>166666.66666666666</v>
      </c>
      <c r="BD112" s="71">
        <f t="shared" si="49"/>
        <v>166666.66666666666</v>
      </c>
      <c r="BE112" s="71">
        <f t="shared" si="49"/>
        <v>166666.66666666666</v>
      </c>
      <c r="BF112" s="68">
        <f t="shared" si="36"/>
        <v>0</v>
      </c>
      <c r="BG112" s="69">
        <f t="shared" si="37"/>
        <v>0</v>
      </c>
      <c r="BH112" s="70">
        <f t="shared" si="38"/>
        <v>0</v>
      </c>
      <c r="BI112" s="71">
        <f t="shared" si="39"/>
        <v>1833333.3333333335</v>
      </c>
      <c r="BJ112" s="72">
        <f>VLOOKUP(D112,Master!AD:AG,3,FALSE)</f>
        <v>7611600</v>
      </c>
      <c r="BK112" s="73" t="str">
        <f>VLOOKUP(D112,Master!AD:AG,4,FALSE)</f>
        <v>Depreciation-Tools, furniture &amp; office equipment</v>
      </c>
    </row>
    <row r="113" spans="1:63" s="74" customFormat="1" ht="15" customHeight="1">
      <c r="A113" s="64" t="s">
        <v>308</v>
      </c>
      <c r="B113" s="25" t="s">
        <v>434</v>
      </c>
      <c r="C113" s="65" t="s">
        <v>221</v>
      </c>
      <c r="D113" s="66">
        <v>2141000</v>
      </c>
      <c r="E113" s="26">
        <v>13000000</v>
      </c>
      <c r="F113" s="67">
        <v>60</v>
      </c>
      <c r="G113" s="65" t="s">
        <v>237</v>
      </c>
      <c r="H113" s="27">
        <v>1</v>
      </c>
      <c r="I113" s="28">
        <v>44866</v>
      </c>
      <c r="J113" s="65" t="s">
        <v>310</v>
      </c>
      <c r="K113" s="65" t="s">
        <v>237</v>
      </c>
      <c r="L113" s="65"/>
      <c r="M113" s="65" t="s">
        <v>471</v>
      </c>
      <c r="N113" s="51">
        <f t="shared" si="40"/>
        <v>13000000</v>
      </c>
      <c r="O113" s="51">
        <f t="shared" si="41"/>
        <v>216666.66666666666</v>
      </c>
      <c r="P113" s="28">
        <f t="shared" si="42"/>
        <v>46692</v>
      </c>
      <c r="Q113" s="68" t="str">
        <f t="shared" si="47"/>
        <v/>
      </c>
      <c r="R113" s="68" t="str">
        <f t="shared" si="47"/>
        <v/>
      </c>
      <c r="S113" s="68" t="str">
        <f t="shared" si="47"/>
        <v/>
      </c>
      <c r="T113" s="68" t="str">
        <f t="shared" si="47"/>
        <v/>
      </c>
      <c r="U113" s="68" t="str">
        <f t="shared" si="47"/>
        <v/>
      </c>
      <c r="V113" s="69" t="str">
        <f t="shared" si="47"/>
        <v/>
      </c>
      <c r="W113" s="69" t="str">
        <f t="shared" si="47"/>
        <v/>
      </c>
      <c r="X113" s="69" t="str">
        <f t="shared" si="47"/>
        <v/>
      </c>
      <c r="Y113" s="69" t="str">
        <f t="shared" si="47"/>
        <v/>
      </c>
      <c r="Z113" s="69" t="str">
        <f t="shared" si="47"/>
        <v/>
      </c>
      <c r="AA113" s="69" t="str">
        <f t="shared" si="47"/>
        <v/>
      </c>
      <c r="AB113" s="69" t="str">
        <f t="shared" si="47"/>
        <v/>
      </c>
      <c r="AC113" s="69" t="str">
        <f t="shared" si="47"/>
        <v/>
      </c>
      <c r="AD113" s="69" t="str">
        <f t="shared" si="47"/>
        <v/>
      </c>
      <c r="AE113" s="69" t="str">
        <f t="shared" si="47"/>
        <v/>
      </c>
      <c r="AF113" s="69" t="str">
        <f t="shared" si="47"/>
        <v/>
      </c>
      <c r="AG113" s="69" t="str">
        <f t="shared" si="48"/>
        <v/>
      </c>
      <c r="AH113" s="70" t="str">
        <f t="shared" si="48"/>
        <v/>
      </c>
      <c r="AI113" s="70" t="str">
        <f t="shared" si="48"/>
        <v/>
      </c>
      <c r="AJ113" s="70" t="str">
        <f t="shared" si="48"/>
        <v/>
      </c>
      <c r="AK113" s="70" t="str">
        <f t="shared" si="48"/>
        <v/>
      </c>
      <c r="AL113" s="70" t="str">
        <f t="shared" si="48"/>
        <v/>
      </c>
      <c r="AM113" s="70" t="str">
        <f t="shared" si="48"/>
        <v/>
      </c>
      <c r="AN113" s="70" t="str">
        <f t="shared" si="48"/>
        <v/>
      </c>
      <c r="AO113" s="70">
        <f t="shared" si="48"/>
        <v>216666.66666666666</v>
      </c>
      <c r="AP113" s="70">
        <f t="shared" si="48"/>
        <v>216666.66666666666</v>
      </c>
      <c r="AQ113" s="70">
        <f t="shared" si="48"/>
        <v>216666.66666666666</v>
      </c>
      <c r="AR113" s="70">
        <f t="shared" si="48"/>
        <v>216666.66666666666</v>
      </c>
      <c r="AS113" s="70">
        <f t="shared" si="48"/>
        <v>216666.66666666666</v>
      </c>
      <c r="AT113" s="71">
        <f t="shared" si="48"/>
        <v>216666.66666666666</v>
      </c>
      <c r="AU113" s="71">
        <f t="shared" si="48"/>
        <v>216666.66666666666</v>
      </c>
      <c r="AV113" s="71">
        <f t="shared" si="48"/>
        <v>216666.66666666666</v>
      </c>
      <c r="AW113" s="71">
        <f t="shared" si="49"/>
        <v>216666.66666666666</v>
      </c>
      <c r="AX113" s="71">
        <f t="shared" si="49"/>
        <v>216666.66666666666</v>
      </c>
      <c r="AY113" s="71">
        <f t="shared" si="49"/>
        <v>216666.66666666666</v>
      </c>
      <c r="AZ113" s="71">
        <f t="shared" si="49"/>
        <v>216666.66666666666</v>
      </c>
      <c r="BA113" s="71">
        <f t="shared" si="49"/>
        <v>216666.66666666666</v>
      </c>
      <c r="BB113" s="71">
        <f t="shared" si="49"/>
        <v>216666.66666666666</v>
      </c>
      <c r="BC113" s="71">
        <f t="shared" si="49"/>
        <v>216666.66666666666</v>
      </c>
      <c r="BD113" s="71">
        <f t="shared" si="49"/>
        <v>216666.66666666666</v>
      </c>
      <c r="BE113" s="71">
        <f t="shared" si="49"/>
        <v>216666.66666666666</v>
      </c>
      <c r="BF113" s="68">
        <f t="shared" si="36"/>
        <v>0</v>
      </c>
      <c r="BG113" s="69">
        <f t="shared" si="37"/>
        <v>0</v>
      </c>
      <c r="BH113" s="70">
        <f t="shared" si="38"/>
        <v>1083333.3333333333</v>
      </c>
      <c r="BI113" s="71">
        <f t="shared" si="39"/>
        <v>2600000</v>
      </c>
      <c r="BJ113" s="72">
        <f>VLOOKUP(D113,Master!AD:AG,3,FALSE)</f>
        <v>7611600</v>
      </c>
      <c r="BK113" s="73" t="str">
        <f>VLOOKUP(D113,Master!AD:AG,4,FALSE)</f>
        <v>Depreciation-Tools, furniture &amp; office equipment</v>
      </c>
    </row>
    <row r="114" spans="1:63" s="74" customFormat="1" ht="15" customHeight="1">
      <c r="A114" s="64" t="s">
        <v>326</v>
      </c>
      <c r="B114" s="25" t="s">
        <v>442</v>
      </c>
      <c r="C114" s="65" t="s">
        <v>221</v>
      </c>
      <c r="D114" s="66">
        <v>2141000</v>
      </c>
      <c r="E114" s="26">
        <v>10000000</v>
      </c>
      <c r="F114" s="67">
        <v>60</v>
      </c>
      <c r="G114" s="65" t="s">
        <v>237</v>
      </c>
      <c r="H114" s="27">
        <v>1</v>
      </c>
      <c r="I114" s="28">
        <v>44866</v>
      </c>
      <c r="J114" s="65" t="s">
        <v>310</v>
      </c>
      <c r="K114" s="65" t="s">
        <v>237</v>
      </c>
      <c r="L114" s="65" t="s">
        <v>317</v>
      </c>
      <c r="M114" s="65" t="s">
        <v>471</v>
      </c>
      <c r="N114" s="51">
        <f t="shared" si="40"/>
        <v>10000000</v>
      </c>
      <c r="O114" s="51">
        <f t="shared" si="41"/>
        <v>166666.66666666666</v>
      </c>
      <c r="P114" s="28">
        <f t="shared" si="42"/>
        <v>46692</v>
      </c>
      <c r="Q114" s="68" t="str">
        <f t="shared" si="47"/>
        <v/>
      </c>
      <c r="R114" s="68" t="str">
        <f t="shared" si="47"/>
        <v/>
      </c>
      <c r="S114" s="68" t="str">
        <f t="shared" si="47"/>
        <v/>
      </c>
      <c r="T114" s="68" t="str">
        <f t="shared" si="47"/>
        <v/>
      </c>
      <c r="U114" s="68" t="str">
        <f t="shared" si="47"/>
        <v/>
      </c>
      <c r="V114" s="69" t="str">
        <f t="shared" si="47"/>
        <v/>
      </c>
      <c r="W114" s="69" t="str">
        <f t="shared" si="47"/>
        <v/>
      </c>
      <c r="X114" s="69" t="str">
        <f t="shared" si="47"/>
        <v/>
      </c>
      <c r="Y114" s="69" t="str">
        <f t="shared" si="47"/>
        <v/>
      </c>
      <c r="Z114" s="69" t="str">
        <f t="shared" si="47"/>
        <v/>
      </c>
      <c r="AA114" s="69" t="str">
        <f t="shared" si="47"/>
        <v/>
      </c>
      <c r="AB114" s="69" t="str">
        <f t="shared" si="47"/>
        <v/>
      </c>
      <c r="AC114" s="69" t="str">
        <f t="shared" si="47"/>
        <v/>
      </c>
      <c r="AD114" s="69" t="str">
        <f t="shared" si="47"/>
        <v/>
      </c>
      <c r="AE114" s="69" t="str">
        <f t="shared" si="47"/>
        <v/>
      </c>
      <c r="AF114" s="69" t="str">
        <f t="shared" si="47"/>
        <v/>
      </c>
      <c r="AG114" s="69" t="str">
        <f t="shared" si="48"/>
        <v/>
      </c>
      <c r="AH114" s="70" t="str">
        <f t="shared" si="48"/>
        <v/>
      </c>
      <c r="AI114" s="70" t="str">
        <f t="shared" si="48"/>
        <v/>
      </c>
      <c r="AJ114" s="70" t="str">
        <f t="shared" si="48"/>
        <v/>
      </c>
      <c r="AK114" s="70" t="str">
        <f t="shared" si="48"/>
        <v/>
      </c>
      <c r="AL114" s="70" t="str">
        <f t="shared" si="48"/>
        <v/>
      </c>
      <c r="AM114" s="70" t="str">
        <f t="shared" si="48"/>
        <v/>
      </c>
      <c r="AN114" s="70" t="str">
        <f t="shared" si="48"/>
        <v/>
      </c>
      <c r="AO114" s="70">
        <f t="shared" si="48"/>
        <v>166666.66666666666</v>
      </c>
      <c r="AP114" s="70">
        <f t="shared" si="48"/>
        <v>166666.66666666666</v>
      </c>
      <c r="AQ114" s="70">
        <f t="shared" si="48"/>
        <v>166666.66666666666</v>
      </c>
      <c r="AR114" s="70">
        <f t="shared" si="48"/>
        <v>166666.66666666666</v>
      </c>
      <c r="AS114" s="70">
        <f t="shared" si="48"/>
        <v>166666.66666666666</v>
      </c>
      <c r="AT114" s="71">
        <f t="shared" si="48"/>
        <v>166666.66666666666</v>
      </c>
      <c r="AU114" s="71">
        <f t="shared" si="48"/>
        <v>166666.66666666666</v>
      </c>
      <c r="AV114" s="71">
        <f t="shared" si="48"/>
        <v>166666.66666666666</v>
      </c>
      <c r="AW114" s="71">
        <f t="shared" si="49"/>
        <v>166666.66666666666</v>
      </c>
      <c r="AX114" s="71">
        <f t="shared" si="49"/>
        <v>166666.66666666666</v>
      </c>
      <c r="AY114" s="71">
        <f t="shared" si="49"/>
        <v>166666.66666666666</v>
      </c>
      <c r="AZ114" s="71">
        <f t="shared" si="49"/>
        <v>166666.66666666666</v>
      </c>
      <c r="BA114" s="71">
        <f t="shared" si="49"/>
        <v>166666.66666666666</v>
      </c>
      <c r="BB114" s="71">
        <f t="shared" si="49"/>
        <v>166666.66666666666</v>
      </c>
      <c r="BC114" s="71">
        <f t="shared" si="49"/>
        <v>166666.66666666666</v>
      </c>
      <c r="BD114" s="71">
        <f t="shared" si="49"/>
        <v>166666.66666666666</v>
      </c>
      <c r="BE114" s="71">
        <f t="shared" si="49"/>
        <v>166666.66666666666</v>
      </c>
      <c r="BF114" s="68">
        <f t="shared" si="36"/>
        <v>0</v>
      </c>
      <c r="BG114" s="69">
        <f t="shared" si="37"/>
        <v>0</v>
      </c>
      <c r="BH114" s="70">
        <f t="shared" si="38"/>
        <v>833333.33333333326</v>
      </c>
      <c r="BI114" s="71">
        <f t="shared" si="39"/>
        <v>2000000.0000000002</v>
      </c>
      <c r="BJ114" s="72">
        <f>VLOOKUP(D114,Master!AD:AG,3,FALSE)</f>
        <v>7611600</v>
      </c>
      <c r="BK114" s="73" t="str">
        <f>VLOOKUP(D114,Master!AD:AG,4,FALSE)</f>
        <v>Depreciation-Tools, furniture &amp; office equipment</v>
      </c>
    </row>
    <row r="115" spans="1:63" s="74" customFormat="1" ht="15" customHeight="1">
      <c r="A115" s="64" t="s">
        <v>308</v>
      </c>
      <c r="B115" s="25" t="s">
        <v>448</v>
      </c>
      <c r="C115" s="65" t="s">
        <v>221</v>
      </c>
      <c r="D115" s="66">
        <v>2141000</v>
      </c>
      <c r="E115" s="26">
        <v>10000000</v>
      </c>
      <c r="F115" s="67">
        <v>60</v>
      </c>
      <c r="G115" s="65" t="s">
        <v>235</v>
      </c>
      <c r="H115" s="27">
        <v>1</v>
      </c>
      <c r="I115" s="28">
        <v>44287</v>
      </c>
      <c r="J115" s="65" t="s">
        <v>310</v>
      </c>
      <c r="K115" s="65" t="s">
        <v>235</v>
      </c>
      <c r="L115" s="65" t="s">
        <v>317</v>
      </c>
      <c r="M115" s="65" t="s">
        <v>472</v>
      </c>
      <c r="N115" s="51">
        <f t="shared" si="40"/>
        <v>10000000</v>
      </c>
      <c r="O115" s="51">
        <f t="shared" si="41"/>
        <v>166666.66666666666</v>
      </c>
      <c r="P115" s="28">
        <f t="shared" si="42"/>
        <v>46113</v>
      </c>
      <c r="Q115" s="68" t="str">
        <f t="shared" si="47"/>
        <v/>
      </c>
      <c r="R115" s="68" t="str">
        <f t="shared" si="47"/>
        <v/>
      </c>
      <c r="S115" s="68" t="str">
        <f t="shared" si="47"/>
        <v/>
      </c>
      <c r="T115" s="68" t="str">
        <f t="shared" si="47"/>
        <v/>
      </c>
      <c r="U115" s="68" t="str">
        <f t="shared" si="47"/>
        <v/>
      </c>
      <c r="V115" s="69">
        <f t="shared" si="47"/>
        <v>166666.66666666666</v>
      </c>
      <c r="W115" s="69">
        <f t="shared" si="47"/>
        <v>166666.66666666666</v>
      </c>
      <c r="X115" s="69">
        <f t="shared" si="47"/>
        <v>166666.66666666666</v>
      </c>
      <c r="Y115" s="69">
        <f t="shared" si="47"/>
        <v>166666.66666666666</v>
      </c>
      <c r="Z115" s="69">
        <f t="shared" si="47"/>
        <v>166666.66666666666</v>
      </c>
      <c r="AA115" s="69">
        <f t="shared" si="47"/>
        <v>166666.66666666666</v>
      </c>
      <c r="AB115" s="69">
        <f t="shared" si="47"/>
        <v>166666.66666666666</v>
      </c>
      <c r="AC115" s="69">
        <f t="shared" si="47"/>
        <v>166666.66666666666</v>
      </c>
      <c r="AD115" s="69">
        <f t="shared" si="47"/>
        <v>166666.66666666666</v>
      </c>
      <c r="AE115" s="69">
        <f t="shared" si="47"/>
        <v>166666.66666666666</v>
      </c>
      <c r="AF115" s="69">
        <f t="shared" si="47"/>
        <v>166666.66666666666</v>
      </c>
      <c r="AG115" s="69">
        <f t="shared" si="48"/>
        <v>166666.66666666666</v>
      </c>
      <c r="AH115" s="70">
        <f t="shared" si="48"/>
        <v>166666.66666666666</v>
      </c>
      <c r="AI115" s="70">
        <f t="shared" si="48"/>
        <v>166666.66666666666</v>
      </c>
      <c r="AJ115" s="70">
        <f t="shared" si="48"/>
        <v>166666.66666666666</v>
      </c>
      <c r="AK115" s="70">
        <f t="shared" si="48"/>
        <v>166666.66666666666</v>
      </c>
      <c r="AL115" s="70">
        <f t="shared" si="48"/>
        <v>166666.66666666666</v>
      </c>
      <c r="AM115" s="70">
        <f t="shared" si="48"/>
        <v>166666.66666666666</v>
      </c>
      <c r="AN115" s="70">
        <f t="shared" si="48"/>
        <v>166666.66666666666</v>
      </c>
      <c r="AO115" s="70">
        <f t="shared" si="48"/>
        <v>166666.66666666666</v>
      </c>
      <c r="AP115" s="70">
        <f t="shared" si="48"/>
        <v>166666.66666666666</v>
      </c>
      <c r="AQ115" s="70">
        <f t="shared" si="48"/>
        <v>166666.66666666666</v>
      </c>
      <c r="AR115" s="70">
        <f t="shared" si="48"/>
        <v>166666.66666666666</v>
      </c>
      <c r="AS115" s="70">
        <f t="shared" si="48"/>
        <v>166666.66666666666</v>
      </c>
      <c r="AT115" s="71">
        <f t="shared" si="48"/>
        <v>166666.66666666666</v>
      </c>
      <c r="AU115" s="71">
        <f t="shared" si="48"/>
        <v>166666.66666666666</v>
      </c>
      <c r="AV115" s="71">
        <f t="shared" si="48"/>
        <v>166666.66666666666</v>
      </c>
      <c r="AW115" s="71">
        <f t="shared" si="49"/>
        <v>166666.66666666666</v>
      </c>
      <c r="AX115" s="71">
        <f t="shared" si="49"/>
        <v>166666.66666666666</v>
      </c>
      <c r="AY115" s="71">
        <f t="shared" si="49"/>
        <v>166666.66666666666</v>
      </c>
      <c r="AZ115" s="71">
        <f t="shared" si="49"/>
        <v>166666.66666666666</v>
      </c>
      <c r="BA115" s="71">
        <f t="shared" si="49"/>
        <v>166666.66666666666</v>
      </c>
      <c r="BB115" s="71">
        <f t="shared" si="49"/>
        <v>166666.66666666666</v>
      </c>
      <c r="BC115" s="71">
        <f t="shared" si="49"/>
        <v>166666.66666666666</v>
      </c>
      <c r="BD115" s="71">
        <f t="shared" si="49"/>
        <v>166666.66666666666</v>
      </c>
      <c r="BE115" s="71">
        <f t="shared" si="49"/>
        <v>166666.66666666666</v>
      </c>
      <c r="BF115" s="68">
        <f t="shared" si="36"/>
        <v>0</v>
      </c>
      <c r="BG115" s="69">
        <f t="shared" si="37"/>
        <v>2000000.0000000002</v>
      </c>
      <c r="BH115" s="70">
        <f t="shared" si="38"/>
        <v>2000000.0000000002</v>
      </c>
      <c r="BI115" s="71">
        <f t="shared" si="39"/>
        <v>2000000.0000000002</v>
      </c>
      <c r="BJ115" s="72">
        <f>VLOOKUP(D115,Master!AD:AG,3,FALSE)</f>
        <v>7611600</v>
      </c>
      <c r="BK115" s="73" t="str">
        <f>VLOOKUP(D115,Master!AD:AG,4,FALSE)</f>
        <v>Depreciation-Tools, furniture &amp; office equipment</v>
      </c>
    </row>
    <row r="116" spans="1:63" s="74" customFormat="1" ht="15" customHeight="1">
      <c r="A116" s="64" t="s">
        <v>326</v>
      </c>
      <c r="B116" s="25" t="s">
        <v>449</v>
      </c>
      <c r="C116" s="65" t="s">
        <v>221</v>
      </c>
      <c r="D116" s="66">
        <v>2141000</v>
      </c>
      <c r="E116" s="26">
        <v>10000000</v>
      </c>
      <c r="F116" s="67">
        <v>60</v>
      </c>
      <c r="G116" s="65" t="s">
        <v>235</v>
      </c>
      <c r="H116" s="27">
        <v>1</v>
      </c>
      <c r="I116" s="28">
        <v>44652</v>
      </c>
      <c r="J116" s="65" t="s">
        <v>310</v>
      </c>
      <c r="K116" s="65" t="s">
        <v>235</v>
      </c>
      <c r="L116" s="65" t="s">
        <v>317</v>
      </c>
      <c r="M116" s="65" t="s">
        <v>471</v>
      </c>
      <c r="N116" s="51">
        <f t="shared" si="40"/>
        <v>10000000</v>
      </c>
      <c r="O116" s="51">
        <f t="shared" si="41"/>
        <v>166666.66666666666</v>
      </c>
      <c r="P116" s="28">
        <f t="shared" si="42"/>
        <v>46478</v>
      </c>
      <c r="Q116" s="68" t="str">
        <f t="shared" si="47"/>
        <v/>
      </c>
      <c r="R116" s="68" t="str">
        <f t="shared" si="47"/>
        <v/>
      </c>
      <c r="S116" s="68" t="str">
        <f t="shared" si="47"/>
        <v/>
      </c>
      <c r="T116" s="68" t="str">
        <f t="shared" si="47"/>
        <v/>
      </c>
      <c r="U116" s="68" t="str">
        <f t="shared" si="47"/>
        <v/>
      </c>
      <c r="V116" s="69" t="str">
        <f t="shared" si="47"/>
        <v/>
      </c>
      <c r="W116" s="69" t="str">
        <f t="shared" si="47"/>
        <v/>
      </c>
      <c r="X116" s="69" t="str">
        <f t="shared" si="47"/>
        <v/>
      </c>
      <c r="Y116" s="69" t="str">
        <f t="shared" si="47"/>
        <v/>
      </c>
      <c r="Z116" s="69" t="str">
        <f t="shared" si="47"/>
        <v/>
      </c>
      <c r="AA116" s="69" t="str">
        <f t="shared" ref="Q116:AF132" si="50">IF(AND(LEFT(AA$1,FIND("_",AA$1)-1)&amp;RIGHT(AA$1,LEN(AA$1)-FIND("_",AA$1)) &gt;= YEAR($I116) &amp; TEXT(MONTH($I116),"00"),LEFT(AA$1,FIND("_",AA$1)-1)&amp;RIGHT(AA$1,LEN(AA$1)-FIND("_",AA$1)) &lt; YEAR($P116) &amp; TEXT(MONTH($P116),"00")),$O116,"")</f>
        <v/>
      </c>
      <c r="AB116" s="69" t="str">
        <f t="shared" si="50"/>
        <v/>
      </c>
      <c r="AC116" s="69" t="str">
        <f t="shared" si="50"/>
        <v/>
      </c>
      <c r="AD116" s="69" t="str">
        <f t="shared" si="50"/>
        <v/>
      </c>
      <c r="AE116" s="69" t="str">
        <f t="shared" si="50"/>
        <v/>
      </c>
      <c r="AF116" s="69" t="str">
        <f t="shared" si="50"/>
        <v/>
      </c>
      <c r="AG116" s="69" t="str">
        <f t="shared" si="48"/>
        <v/>
      </c>
      <c r="AH116" s="70">
        <f t="shared" si="48"/>
        <v>166666.66666666666</v>
      </c>
      <c r="AI116" s="70">
        <f t="shared" si="48"/>
        <v>166666.66666666666</v>
      </c>
      <c r="AJ116" s="70">
        <f t="shared" si="48"/>
        <v>166666.66666666666</v>
      </c>
      <c r="AK116" s="70">
        <f t="shared" si="48"/>
        <v>166666.66666666666</v>
      </c>
      <c r="AL116" s="70">
        <f t="shared" si="48"/>
        <v>166666.66666666666</v>
      </c>
      <c r="AM116" s="70">
        <f t="shared" si="48"/>
        <v>166666.66666666666</v>
      </c>
      <c r="AN116" s="70">
        <f t="shared" si="48"/>
        <v>166666.66666666666</v>
      </c>
      <c r="AO116" s="70">
        <f t="shared" si="48"/>
        <v>166666.66666666666</v>
      </c>
      <c r="AP116" s="70">
        <f t="shared" si="48"/>
        <v>166666.66666666666</v>
      </c>
      <c r="AQ116" s="70">
        <f t="shared" si="48"/>
        <v>166666.66666666666</v>
      </c>
      <c r="AR116" s="70">
        <f t="shared" si="48"/>
        <v>166666.66666666666</v>
      </c>
      <c r="AS116" s="70">
        <f t="shared" si="48"/>
        <v>166666.66666666666</v>
      </c>
      <c r="AT116" s="71">
        <f t="shared" si="48"/>
        <v>166666.66666666666</v>
      </c>
      <c r="AU116" s="71">
        <f t="shared" si="48"/>
        <v>166666.66666666666</v>
      </c>
      <c r="AV116" s="71">
        <f t="shared" si="48"/>
        <v>166666.66666666666</v>
      </c>
      <c r="AW116" s="71">
        <f t="shared" si="49"/>
        <v>166666.66666666666</v>
      </c>
      <c r="AX116" s="71">
        <f t="shared" si="49"/>
        <v>166666.66666666666</v>
      </c>
      <c r="AY116" s="71">
        <f t="shared" si="49"/>
        <v>166666.66666666666</v>
      </c>
      <c r="AZ116" s="71">
        <f t="shared" si="49"/>
        <v>166666.66666666666</v>
      </c>
      <c r="BA116" s="71">
        <f t="shared" si="49"/>
        <v>166666.66666666666</v>
      </c>
      <c r="BB116" s="71">
        <f t="shared" si="49"/>
        <v>166666.66666666666</v>
      </c>
      <c r="BC116" s="71">
        <f t="shared" si="49"/>
        <v>166666.66666666666</v>
      </c>
      <c r="BD116" s="71">
        <f t="shared" si="49"/>
        <v>166666.66666666666</v>
      </c>
      <c r="BE116" s="71">
        <f t="shared" si="49"/>
        <v>166666.66666666666</v>
      </c>
      <c r="BF116" s="68">
        <f t="shared" si="36"/>
        <v>0</v>
      </c>
      <c r="BG116" s="69">
        <f t="shared" si="37"/>
        <v>0</v>
      </c>
      <c r="BH116" s="70">
        <f t="shared" si="38"/>
        <v>2000000.0000000002</v>
      </c>
      <c r="BI116" s="71">
        <f t="shared" si="39"/>
        <v>2000000.0000000002</v>
      </c>
      <c r="BJ116" s="72">
        <f>VLOOKUP(D116,Master!AD:AG,3,FALSE)</f>
        <v>7611600</v>
      </c>
      <c r="BK116" s="73" t="str">
        <f>VLOOKUP(D116,Master!AD:AG,4,FALSE)</f>
        <v>Depreciation-Tools, furniture &amp; office equipment</v>
      </c>
    </row>
    <row r="117" spans="1:63" s="74" customFormat="1" ht="15" customHeight="1">
      <c r="A117" s="64" t="s">
        <v>328</v>
      </c>
      <c r="B117" s="25" t="s">
        <v>450</v>
      </c>
      <c r="C117" s="65" t="s">
        <v>221</v>
      </c>
      <c r="D117" s="66">
        <v>2141000</v>
      </c>
      <c r="E117" s="26">
        <v>10000000</v>
      </c>
      <c r="F117" s="67">
        <v>60</v>
      </c>
      <c r="G117" s="65" t="s">
        <v>235</v>
      </c>
      <c r="H117" s="27">
        <v>1</v>
      </c>
      <c r="I117" s="28">
        <v>44197</v>
      </c>
      <c r="J117" s="65" t="s">
        <v>310</v>
      </c>
      <c r="K117" s="65" t="s">
        <v>235</v>
      </c>
      <c r="L117" s="65" t="s">
        <v>317</v>
      </c>
      <c r="M117" s="65" t="s">
        <v>473</v>
      </c>
      <c r="N117" s="51">
        <f t="shared" si="40"/>
        <v>10000000</v>
      </c>
      <c r="O117" s="51">
        <f t="shared" si="41"/>
        <v>166666.66666666666</v>
      </c>
      <c r="P117" s="28">
        <f t="shared" si="42"/>
        <v>46023</v>
      </c>
      <c r="Q117" s="68" t="str">
        <f t="shared" si="50"/>
        <v/>
      </c>
      <c r="R117" s="68" t="str">
        <f t="shared" si="50"/>
        <v/>
      </c>
      <c r="S117" s="68">
        <f t="shared" si="50"/>
        <v>166666.66666666666</v>
      </c>
      <c r="T117" s="68">
        <f t="shared" si="50"/>
        <v>166666.66666666666</v>
      </c>
      <c r="U117" s="68">
        <f t="shared" si="50"/>
        <v>166666.66666666666</v>
      </c>
      <c r="V117" s="69">
        <f t="shared" si="50"/>
        <v>166666.66666666666</v>
      </c>
      <c r="W117" s="69">
        <f t="shared" si="50"/>
        <v>166666.66666666666</v>
      </c>
      <c r="X117" s="69">
        <f t="shared" si="50"/>
        <v>166666.66666666666</v>
      </c>
      <c r="Y117" s="69">
        <f t="shared" si="50"/>
        <v>166666.66666666666</v>
      </c>
      <c r="Z117" s="69">
        <f t="shared" si="50"/>
        <v>166666.66666666666</v>
      </c>
      <c r="AA117" s="69">
        <f t="shared" si="50"/>
        <v>166666.66666666666</v>
      </c>
      <c r="AB117" s="69">
        <f t="shared" si="50"/>
        <v>166666.66666666666</v>
      </c>
      <c r="AC117" s="69">
        <f t="shared" si="50"/>
        <v>166666.66666666666</v>
      </c>
      <c r="AD117" s="69">
        <f t="shared" si="50"/>
        <v>166666.66666666666</v>
      </c>
      <c r="AE117" s="69">
        <f t="shared" si="50"/>
        <v>166666.66666666666</v>
      </c>
      <c r="AF117" s="69">
        <f t="shared" si="50"/>
        <v>166666.66666666666</v>
      </c>
      <c r="AG117" s="69">
        <f t="shared" si="48"/>
        <v>166666.66666666666</v>
      </c>
      <c r="AH117" s="70">
        <f t="shared" si="48"/>
        <v>166666.66666666666</v>
      </c>
      <c r="AI117" s="70">
        <f t="shared" si="48"/>
        <v>166666.66666666666</v>
      </c>
      <c r="AJ117" s="70">
        <f t="shared" si="48"/>
        <v>166666.66666666666</v>
      </c>
      <c r="AK117" s="70">
        <f t="shared" si="48"/>
        <v>166666.66666666666</v>
      </c>
      <c r="AL117" s="70">
        <f t="shared" si="48"/>
        <v>166666.66666666666</v>
      </c>
      <c r="AM117" s="70">
        <f t="shared" si="48"/>
        <v>166666.66666666666</v>
      </c>
      <c r="AN117" s="70">
        <f t="shared" si="48"/>
        <v>166666.66666666666</v>
      </c>
      <c r="AO117" s="70">
        <f t="shared" si="48"/>
        <v>166666.66666666666</v>
      </c>
      <c r="AP117" s="70">
        <f t="shared" si="48"/>
        <v>166666.66666666666</v>
      </c>
      <c r="AQ117" s="70">
        <f t="shared" si="48"/>
        <v>166666.66666666666</v>
      </c>
      <c r="AR117" s="70">
        <f t="shared" si="48"/>
        <v>166666.66666666666</v>
      </c>
      <c r="AS117" s="70">
        <f t="shared" si="48"/>
        <v>166666.66666666666</v>
      </c>
      <c r="AT117" s="71">
        <f t="shared" si="48"/>
        <v>166666.66666666666</v>
      </c>
      <c r="AU117" s="71">
        <f t="shared" si="48"/>
        <v>166666.66666666666</v>
      </c>
      <c r="AV117" s="71">
        <f t="shared" si="48"/>
        <v>166666.66666666666</v>
      </c>
      <c r="AW117" s="71">
        <f t="shared" si="49"/>
        <v>166666.66666666666</v>
      </c>
      <c r="AX117" s="71">
        <f t="shared" si="49"/>
        <v>166666.66666666666</v>
      </c>
      <c r="AY117" s="71">
        <f t="shared" si="49"/>
        <v>166666.66666666666</v>
      </c>
      <c r="AZ117" s="71">
        <f t="shared" si="49"/>
        <v>166666.66666666666</v>
      </c>
      <c r="BA117" s="71">
        <f t="shared" si="49"/>
        <v>166666.66666666666</v>
      </c>
      <c r="BB117" s="71">
        <f t="shared" si="49"/>
        <v>166666.66666666666</v>
      </c>
      <c r="BC117" s="71">
        <f t="shared" si="49"/>
        <v>166666.66666666666</v>
      </c>
      <c r="BD117" s="71">
        <f t="shared" si="49"/>
        <v>166666.66666666666</v>
      </c>
      <c r="BE117" s="71">
        <f t="shared" si="49"/>
        <v>166666.66666666666</v>
      </c>
      <c r="BF117" s="68">
        <f t="shared" si="36"/>
        <v>500000</v>
      </c>
      <c r="BG117" s="69">
        <f t="shared" si="37"/>
        <v>2000000.0000000002</v>
      </c>
      <c r="BH117" s="70">
        <f t="shared" si="38"/>
        <v>2000000.0000000002</v>
      </c>
      <c r="BI117" s="71">
        <f t="shared" si="39"/>
        <v>2000000.0000000002</v>
      </c>
      <c r="BJ117" s="72">
        <f>VLOOKUP(D117,Master!AD:AG,3,FALSE)</f>
        <v>7611600</v>
      </c>
      <c r="BK117" s="73" t="str">
        <f>VLOOKUP(D117,Master!AD:AG,4,FALSE)</f>
        <v>Depreciation-Tools, furniture &amp; office equipment</v>
      </c>
    </row>
    <row r="118" spans="1:63" s="74" customFormat="1" ht="15" customHeight="1">
      <c r="A118" s="64" t="s">
        <v>356</v>
      </c>
      <c r="B118" s="25" t="s">
        <v>451</v>
      </c>
      <c r="C118" s="65" t="s">
        <v>221</v>
      </c>
      <c r="D118" s="66">
        <v>2141000</v>
      </c>
      <c r="E118" s="26">
        <v>10000000</v>
      </c>
      <c r="F118" s="67">
        <v>60</v>
      </c>
      <c r="G118" s="65" t="s">
        <v>235</v>
      </c>
      <c r="H118" s="27">
        <v>1</v>
      </c>
      <c r="I118" s="28">
        <v>44652</v>
      </c>
      <c r="J118" s="65" t="s">
        <v>310</v>
      </c>
      <c r="K118" s="65" t="s">
        <v>235</v>
      </c>
      <c r="L118" s="65" t="s">
        <v>317</v>
      </c>
      <c r="M118" s="65" t="s">
        <v>471</v>
      </c>
      <c r="N118" s="51">
        <f t="shared" si="40"/>
        <v>10000000</v>
      </c>
      <c r="O118" s="51">
        <f t="shared" si="41"/>
        <v>166666.66666666666</v>
      </c>
      <c r="P118" s="28">
        <f t="shared" si="42"/>
        <v>46478</v>
      </c>
      <c r="Q118" s="68" t="str">
        <f t="shared" si="50"/>
        <v/>
      </c>
      <c r="R118" s="68" t="str">
        <f t="shared" si="50"/>
        <v/>
      </c>
      <c r="S118" s="68" t="str">
        <f t="shared" si="50"/>
        <v/>
      </c>
      <c r="T118" s="68" t="str">
        <f t="shared" si="50"/>
        <v/>
      </c>
      <c r="U118" s="68" t="str">
        <f t="shared" si="50"/>
        <v/>
      </c>
      <c r="V118" s="69" t="str">
        <f t="shared" si="50"/>
        <v/>
      </c>
      <c r="W118" s="69" t="str">
        <f t="shared" si="50"/>
        <v/>
      </c>
      <c r="X118" s="69" t="str">
        <f t="shared" si="50"/>
        <v/>
      </c>
      <c r="Y118" s="69" t="str">
        <f t="shared" si="50"/>
        <v/>
      </c>
      <c r="Z118" s="69" t="str">
        <f t="shared" si="50"/>
        <v/>
      </c>
      <c r="AA118" s="69" t="str">
        <f t="shared" si="50"/>
        <v/>
      </c>
      <c r="AB118" s="69" t="str">
        <f t="shared" si="50"/>
        <v/>
      </c>
      <c r="AC118" s="69" t="str">
        <f t="shared" si="50"/>
        <v/>
      </c>
      <c r="AD118" s="69" t="str">
        <f t="shared" si="50"/>
        <v/>
      </c>
      <c r="AE118" s="69" t="str">
        <f t="shared" si="50"/>
        <v/>
      </c>
      <c r="AF118" s="69" t="str">
        <f t="shared" si="50"/>
        <v/>
      </c>
      <c r="AG118" s="69" t="str">
        <f t="shared" si="48"/>
        <v/>
      </c>
      <c r="AH118" s="70">
        <f t="shared" si="48"/>
        <v>166666.66666666666</v>
      </c>
      <c r="AI118" s="70">
        <f t="shared" si="48"/>
        <v>166666.66666666666</v>
      </c>
      <c r="AJ118" s="70">
        <f t="shared" si="48"/>
        <v>166666.66666666666</v>
      </c>
      <c r="AK118" s="70">
        <f t="shared" si="48"/>
        <v>166666.66666666666</v>
      </c>
      <c r="AL118" s="70">
        <f t="shared" si="48"/>
        <v>166666.66666666666</v>
      </c>
      <c r="AM118" s="70">
        <f t="shared" si="48"/>
        <v>166666.66666666666</v>
      </c>
      <c r="AN118" s="70">
        <f t="shared" si="48"/>
        <v>166666.66666666666</v>
      </c>
      <c r="AO118" s="70">
        <f t="shared" si="48"/>
        <v>166666.66666666666</v>
      </c>
      <c r="AP118" s="70">
        <f t="shared" si="48"/>
        <v>166666.66666666666</v>
      </c>
      <c r="AQ118" s="70">
        <f t="shared" si="48"/>
        <v>166666.66666666666</v>
      </c>
      <c r="AR118" s="70">
        <f t="shared" si="48"/>
        <v>166666.66666666666</v>
      </c>
      <c r="AS118" s="70">
        <f t="shared" si="48"/>
        <v>166666.66666666666</v>
      </c>
      <c r="AT118" s="71">
        <f t="shared" si="48"/>
        <v>166666.66666666666</v>
      </c>
      <c r="AU118" s="71">
        <f t="shared" si="48"/>
        <v>166666.66666666666</v>
      </c>
      <c r="AV118" s="71">
        <f t="shared" si="48"/>
        <v>166666.66666666666</v>
      </c>
      <c r="AW118" s="71">
        <f t="shared" si="49"/>
        <v>166666.66666666666</v>
      </c>
      <c r="AX118" s="71">
        <f t="shared" si="49"/>
        <v>166666.66666666666</v>
      </c>
      <c r="AY118" s="71">
        <f t="shared" si="49"/>
        <v>166666.66666666666</v>
      </c>
      <c r="AZ118" s="71">
        <f t="shared" si="49"/>
        <v>166666.66666666666</v>
      </c>
      <c r="BA118" s="71">
        <f t="shared" si="49"/>
        <v>166666.66666666666</v>
      </c>
      <c r="BB118" s="71">
        <f t="shared" si="49"/>
        <v>166666.66666666666</v>
      </c>
      <c r="BC118" s="71">
        <f t="shared" si="49"/>
        <v>166666.66666666666</v>
      </c>
      <c r="BD118" s="71">
        <f t="shared" si="49"/>
        <v>166666.66666666666</v>
      </c>
      <c r="BE118" s="71">
        <f t="shared" si="49"/>
        <v>166666.66666666666</v>
      </c>
      <c r="BF118" s="68">
        <f t="shared" si="36"/>
        <v>0</v>
      </c>
      <c r="BG118" s="69">
        <f t="shared" si="37"/>
        <v>0</v>
      </c>
      <c r="BH118" s="70">
        <f t="shared" si="38"/>
        <v>2000000.0000000002</v>
      </c>
      <c r="BI118" s="71">
        <f t="shared" si="39"/>
        <v>2000000.0000000002</v>
      </c>
      <c r="BJ118" s="72">
        <f>VLOOKUP(D118,Master!AD:AG,3,FALSE)</f>
        <v>7611600</v>
      </c>
      <c r="BK118" s="73" t="str">
        <f>VLOOKUP(D118,Master!AD:AG,4,FALSE)</f>
        <v>Depreciation-Tools, furniture &amp; office equipment</v>
      </c>
    </row>
    <row r="119" spans="1:63" s="74" customFormat="1" ht="15" customHeight="1">
      <c r="A119" s="64" t="s">
        <v>357</v>
      </c>
      <c r="B119" s="25" t="s">
        <v>452</v>
      </c>
      <c r="C119" s="65" t="s">
        <v>221</v>
      </c>
      <c r="D119" s="66">
        <v>2141000</v>
      </c>
      <c r="E119" s="26">
        <v>10000000</v>
      </c>
      <c r="F119" s="67">
        <v>60</v>
      </c>
      <c r="G119" s="65" t="s">
        <v>235</v>
      </c>
      <c r="H119" s="27">
        <v>1</v>
      </c>
      <c r="I119" s="28">
        <v>45292</v>
      </c>
      <c r="J119" s="65" t="s">
        <v>310</v>
      </c>
      <c r="K119" s="65" t="s">
        <v>235</v>
      </c>
      <c r="L119" s="65" t="s">
        <v>317</v>
      </c>
      <c r="M119" s="65" t="s">
        <v>469</v>
      </c>
      <c r="N119" s="51">
        <f t="shared" si="40"/>
        <v>10000000</v>
      </c>
      <c r="O119" s="51">
        <f t="shared" si="41"/>
        <v>166666.66666666666</v>
      </c>
      <c r="P119" s="28">
        <f t="shared" si="42"/>
        <v>47119</v>
      </c>
      <c r="Q119" s="68" t="str">
        <f t="shared" si="50"/>
        <v/>
      </c>
      <c r="R119" s="68" t="str">
        <f t="shared" si="50"/>
        <v/>
      </c>
      <c r="S119" s="68" t="str">
        <f t="shared" si="50"/>
        <v/>
      </c>
      <c r="T119" s="68" t="str">
        <f t="shared" si="50"/>
        <v/>
      </c>
      <c r="U119" s="68" t="str">
        <f t="shared" si="50"/>
        <v/>
      </c>
      <c r="V119" s="69" t="str">
        <f t="shared" si="50"/>
        <v/>
      </c>
      <c r="W119" s="69" t="str">
        <f t="shared" si="50"/>
        <v/>
      </c>
      <c r="X119" s="69" t="str">
        <f t="shared" si="50"/>
        <v/>
      </c>
      <c r="Y119" s="69" t="str">
        <f t="shared" si="50"/>
        <v/>
      </c>
      <c r="Z119" s="69" t="str">
        <f t="shared" si="50"/>
        <v/>
      </c>
      <c r="AA119" s="69" t="str">
        <f t="shared" si="50"/>
        <v/>
      </c>
      <c r="AB119" s="69" t="str">
        <f t="shared" si="50"/>
        <v/>
      </c>
      <c r="AC119" s="69" t="str">
        <f t="shared" si="50"/>
        <v/>
      </c>
      <c r="AD119" s="69" t="str">
        <f t="shared" si="50"/>
        <v/>
      </c>
      <c r="AE119" s="69" t="str">
        <f t="shared" si="50"/>
        <v/>
      </c>
      <c r="AF119" s="69" t="str">
        <f t="shared" si="50"/>
        <v/>
      </c>
      <c r="AG119" s="69" t="str">
        <f t="shared" si="48"/>
        <v/>
      </c>
      <c r="AH119" s="70" t="str">
        <f t="shared" si="48"/>
        <v/>
      </c>
      <c r="AI119" s="70" t="str">
        <f t="shared" si="48"/>
        <v/>
      </c>
      <c r="AJ119" s="70" t="str">
        <f t="shared" si="48"/>
        <v/>
      </c>
      <c r="AK119" s="70" t="str">
        <f t="shared" si="48"/>
        <v/>
      </c>
      <c r="AL119" s="70" t="str">
        <f t="shared" si="48"/>
        <v/>
      </c>
      <c r="AM119" s="70" t="str">
        <f t="shared" si="48"/>
        <v/>
      </c>
      <c r="AN119" s="70" t="str">
        <f t="shared" si="48"/>
        <v/>
      </c>
      <c r="AO119" s="70" t="str">
        <f t="shared" si="48"/>
        <v/>
      </c>
      <c r="AP119" s="70" t="str">
        <f t="shared" si="48"/>
        <v/>
      </c>
      <c r="AQ119" s="70" t="str">
        <f t="shared" si="48"/>
        <v/>
      </c>
      <c r="AR119" s="70" t="str">
        <f t="shared" si="48"/>
        <v/>
      </c>
      <c r="AS119" s="70" t="str">
        <f t="shared" si="48"/>
        <v/>
      </c>
      <c r="AT119" s="71" t="str">
        <f t="shared" si="48"/>
        <v/>
      </c>
      <c r="AU119" s="71" t="str">
        <f t="shared" si="48"/>
        <v/>
      </c>
      <c r="AV119" s="71" t="str">
        <f t="shared" si="48"/>
        <v/>
      </c>
      <c r="AW119" s="71" t="str">
        <f t="shared" si="49"/>
        <v/>
      </c>
      <c r="AX119" s="71" t="str">
        <f t="shared" si="49"/>
        <v/>
      </c>
      <c r="AY119" s="71" t="str">
        <f t="shared" si="49"/>
        <v/>
      </c>
      <c r="AZ119" s="71" t="str">
        <f t="shared" si="49"/>
        <v/>
      </c>
      <c r="BA119" s="71" t="str">
        <f t="shared" si="49"/>
        <v/>
      </c>
      <c r="BB119" s="71" t="str">
        <f t="shared" si="49"/>
        <v/>
      </c>
      <c r="BC119" s="71">
        <f t="shared" si="49"/>
        <v>166666.66666666666</v>
      </c>
      <c r="BD119" s="71">
        <f t="shared" si="49"/>
        <v>166666.66666666666</v>
      </c>
      <c r="BE119" s="71">
        <f t="shared" si="49"/>
        <v>166666.66666666666</v>
      </c>
      <c r="BF119" s="68">
        <f t="shared" si="36"/>
        <v>0</v>
      </c>
      <c r="BG119" s="69">
        <f t="shared" si="37"/>
        <v>0</v>
      </c>
      <c r="BH119" s="70">
        <f t="shared" si="38"/>
        <v>0</v>
      </c>
      <c r="BI119" s="71">
        <f t="shared" si="39"/>
        <v>500000</v>
      </c>
      <c r="BJ119" s="72">
        <f>VLOOKUP(D119,Master!AD:AG,3,FALSE)</f>
        <v>7611600</v>
      </c>
      <c r="BK119" s="73" t="str">
        <f>VLOOKUP(D119,Master!AD:AG,4,FALSE)</f>
        <v>Depreciation-Tools, furniture &amp; office equipment</v>
      </c>
    </row>
    <row r="120" spans="1:63" s="74" customFormat="1" ht="15" customHeight="1">
      <c r="A120" s="64" t="s">
        <v>358</v>
      </c>
      <c r="B120" s="25" t="s">
        <v>453</v>
      </c>
      <c r="C120" s="65" t="s">
        <v>221</v>
      </c>
      <c r="D120" s="66">
        <v>2141000</v>
      </c>
      <c r="E120" s="26">
        <v>15000000</v>
      </c>
      <c r="F120" s="67">
        <v>60</v>
      </c>
      <c r="G120" s="65" t="s">
        <v>235</v>
      </c>
      <c r="H120" s="27">
        <v>1</v>
      </c>
      <c r="I120" s="28">
        <v>44228</v>
      </c>
      <c r="J120" s="65" t="s">
        <v>310</v>
      </c>
      <c r="K120" s="65" t="s">
        <v>235</v>
      </c>
      <c r="L120" s="65" t="s">
        <v>317</v>
      </c>
      <c r="M120" s="65" t="s">
        <v>473</v>
      </c>
      <c r="N120" s="51">
        <f t="shared" si="40"/>
        <v>15000000</v>
      </c>
      <c r="O120" s="51">
        <f t="shared" si="41"/>
        <v>250000</v>
      </c>
      <c r="P120" s="28">
        <f t="shared" si="42"/>
        <v>46054</v>
      </c>
      <c r="Q120" s="68" t="str">
        <f t="shared" si="50"/>
        <v/>
      </c>
      <c r="R120" s="68" t="str">
        <f t="shared" si="50"/>
        <v/>
      </c>
      <c r="S120" s="68" t="str">
        <f t="shared" si="50"/>
        <v/>
      </c>
      <c r="T120" s="68">
        <f t="shared" si="50"/>
        <v>250000</v>
      </c>
      <c r="U120" s="68">
        <f t="shared" si="50"/>
        <v>250000</v>
      </c>
      <c r="V120" s="69">
        <f t="shared" si="50"/>
        <v>250000</v>
      </c>
      <c r="W120" s="69">
        <f t="shared" si="50"/>
        <v>250000</v>
      </c>
      <c r="X120" s="69">
        <f t="shared" si="50"/>
        <v>250000</v>
      </c>
      <c r="Y120" s="69">
        <f t="shared" si="50"/>
        <v>250000</v>
      </c>
      <c r="Z120" s="69">
        <f t="shared" si="50"/>
        <v>250000</v>
      </c>
      <c r="AA120" s="69">
        <f t="shared" si="50"/>
        <v>250000</v>
      </c>
      <c r="AB120" s="69">
        <f t="shared" si="50"/>
        <v>250000</v>
      </c>
      <c r="AC120" s="69">
        <f t="shared" si="50"/>
        <v>250000</v>
      </c>
      <c r="AD120" s="69">
        <f t="shared" si="50"/>
        <v>250000</v>
      </c>
      <c r="AE120" s="69">
        <f t="shared" si="50"/>
        <v>250000</v>
      </c>
      <c r="AF120" s="69">
        <f t="shared" si="50"/>
        <v>250000</v>
      </c>
      <c r="AG120" s="69">
        <f t="shared" si="48"/>
        <v>250000</v>
      </c>
      <c r="AH120" s="70">
        <f t="shared" si="48"/>
        <v>250000</v>
      </c>
      <c r="AI120" s="70">
        <f t="shared" si="48"/>
        <v>250000</v>
      </c>
      <c r="AJ120" s="70">
        <f t="shared" si="48"/>
        <v>250000</v>
      </c>
      <c r="AK120" s="70">
        <f t="shared" si="48"/>
        <v>250000</v>
      </c>
      <c r="AL120" s="70">
        <f t="shared" si="48"/>
        <v>250000</v>
      </c>
      <c r="AM120" s="70">
        <f t="shared" si="48"/>
        <v>250000</v>
      </c>
      <c r="AN120" s="70">
        <f t="shared" si="48"/>
        <v>250000</v>
      </c>
      <c r="AO120" s="70">
        <f t="shared" si="48"/>
        <v>250000</v>
      </c>
      <c r="AP120" s="70">
        <f t="shared" ref="AG120:AV136" si="51">IF(AND(LEFT(AP$1,FIND("_",AP$1)-1)&amp;RIGHT(AP$1,LEN(AP$1)-FIND("_",AP$1)) &gt;= YEAR($I120) &amp; TEXT(MONTH($I120),"00"),LEFT(AP$1,FIND("_",AP$1)-1)&amp;RIGHT(AP$1,LEN(AP$1)-FIND("_",AP$1)) &lt; YEAR($P120) &amp; TEXT(MONTH($P120),"00")),$O120,"")</f>
        <v>250000</v>
      </c>
      <c r="AQ120" s="70">
        <f t="shared" si="51"/>
        <v>250000</v>
      </c>
      <c r="AR120" s="70">
        <f t="shared" si="51"/>
        <v>250000</v>
      </c>
      <c r="AS120" s="70">
        <f t="shared" si="51"/>
        <v>250000</v>
      </c>
      <c r="AT120" s="71">
        <f t="shared" si="51"/>
        <v>250000</v>
      </c>
      <c r="AU120" s="71">
        <f t="shared" si="51"/>
        <v>250000</v>
      </c>
      <c r="AV120" s="71">
        <f t="shared" si="51"/>
        <v>250000</v>
      </c>
      <c r="AW120" s="71">
        <f t="shared" si="49"/>
        <v>250000</v>
      </c>
      <c r="AX120" s="71">
        <f t="shared" si="49"/>
        <v>250000</v>
      </c>
      <c r="AY120" s="71">
        <f t="shared" si="49"/>
        <v>250000</v>
      </c>
      <c r="AZ120" s="71">
        <f t="shared" si="49"/>
        <v>250000</v>
      </c>
      <c r="BA120" s="71">
        <f t="shared" si="49"/>
        <v>250000</v>
      </c>
      <c r="BB120" s="71">
        <f t="shared" si="49"/>
        <v>250000</v>
      </c>
      <c r="BC120" s="71">
        <f t="shared" si="49"/>
        <v>250000</v>
      </c>
      <c r="BD120" s="71">
        <f t="shared" si="49"/>
        <v>250000</v>
      </c>
      <c r="BE120" s="71">
        <f t="shared" si="49"/>
        <v>250000</v>
      </c>
      <c r="BF120" s="68">
        <f t="shared" si="36"/>
        <v>500000</v>
      </c>
      <c r="BG120" s="69">
        <f t="shared" si="37"/>
        <v>3000000</v>
      </c>
      <c r="BH120" s="70">
        <f t="shared" si="38"/>
        <v>3000000</v>
      </c>
      <c r="BI120" s="71">
        <f t="shared" si="39"/>
        <v>3000000</v>
      </c>
      <c r="BJ120" s="72">
        <f>VLOOKUP(D120,Master!AD:AG,3,FALSE)</f>
        <v>7611600</v>
      </c>
      <c r="BK120" s="73" t="str">
        <f>VLOOKUP(D120,Master!AD:AG,4,FALSE)</f>
        <v>Depreciation-Tools, furniture &amp; office equipment</v>
      </c>
    </row>
    <row r="121" spans="1:63" s="74" customFormat="1" ht="15" customHeight="1">
      <c r="A121" s="64" t="s">
        <v>454</v>
      </c>
      <c r="B121" s="25" t="s">
        <v>455</v>
      </c>
      <c r="C121" s="65" t="s">
        <v>221</v>
      </c>
      <c r="D121" s="66">
        <v>2141000</v>
      </c>
      <c r="E121" s="26">
        <v>10000000</v>
      </c>
      <c r="F121" s="67">
        <v>60</v>
      </c>
      <c r="G121" s="65" t="s">
        <v>287</v>
      </c>
      <c r="H121" s="27">
        <v>1</v>
      </c>
      <c r="I121" s="28">
        <v>44287</v>
      </c>
      <c r="J121" s="65" t="s">
        <v>310</v>
      </c>
      <c r="K121" s="65" t="s">
        <v>287</v>
      </c>
      <c r="L121" s="65" t="s">
        <v>314</v>
      </c>
      <c r="M121" s="65" t="s">
        <v>472</v>
      </c>
      <c r="N121" s="51">
        <f t="shared" si="40"/>
        <v>10000000</v>
      </c>
      <c r="O121" s="51">
        <f t="shared" si="41"/>
        <v>166666.66666666666</v>
      </c>
      <c r="P121" s="28">
        <f t="shared" si="42"/>
        <v>46113</v>
      </c>
      <c r="Q121" s="68" t="str">
        <f t="shared" si="50"/>
        <v/>
      </c>
      <c r="R121" s="68" t="str">
        <f t="shared" si="50"/>
        <v/>
      </c>
      <c r="S121" s="68" t="str">
        <f t="shared" si="50"/>
        <v/>
      </c>
      <c r="T121" s="68" t="str">
        <f t="shared" si="50"/>
        <v/>
      </c>
      <c r="U121" s="68" t="str">
        <f t="shared" si="50"/>
        <v/>
      </c>
      <c r="V121" s="69">
        <f t="shared" si="50"/>
        <v>166666.66666666666</v>
      </c>
      <c r="W121" s="69">
        <f t="shared" si="50"/>
        <v>166666.66666666666</v>
      </c>
      <c r="X121" s="69">
        <f t="shared" si="50"/>
        <v>166666.66666666666</v>
      </c>
      <c r="Y121" s="69">
        <f t="shared" si="50"/>
        <v>166666.66666666666</v>
      </c>
      <c r="Z121" s="69">
        <f t="shared" si="50"/>
        <v>166666.66666666666</v>
      </c>
      <c r="AA121" s="69">
        <f t="shared" si="50"/>
        <v>166666.66666666666</v>
      </c>
      <c r="AB121" s="69">
        <f t="shared" si="50"/>
        <v>166666.66666666666</v>
      </c>
      <c r="AC121" s="69">
        <f t="shared" si="50"/>
        <v>166666.66666666666</v>
      </c>
      <c r="AD121" s="69">
        <f t="shared" si="50"/>
        <v>166666.66666666666</v>
      </c>
      <c r="AE121" s="69">
        <f t="shared" si="50"/>
        <v>166666.66666666666</v>
      </c>
      <c r="AF121" s="69">
        <f t="shared" si="50"/>
        <v>166666.66666666666</v>
      </c>
      <c r="AG121" s="69">
        <f t="shared" si="51"/>
        <v>166666.66666666666</v>
      </c>
      <c r="AH121" s="70">
        <f t="shared" si="51"/>
        <v>166666.66666666666</v>
      </c>
      <c r="AI121" s="70">
        <f t="shared" si="51"/>
        <v>166666.66666666666</v>
      </c>
      <c r="AJ121" s="70">
        <f t="shared" si="51"/>
        <v>166666.66666666666</v>
      </c>
      <c r="AK121" s="70">
        <f t="shared" si="51"/>
        <v>166666.66666666666</v>
      </c>
      <c r="AL121" s="70">
        <f t="shared" si="51"/>
        <v>166666.66666666666</v>
      </c>
      <c r="AM121" s="70">
        <f t="shared" si="51"/>
        <v>166666.66666666666</v>
      </c>
      <c r="AN121" s="70">
        <f t="shared" si="51"/>
        <v>166666.66666666666</v>
      </c>
      <c r="AO121" s="70">
        <f t="shared" si="51"/>
        <v>166666.66666666666</v>
      </c>
      <c r="AP121" s="70">
        <f t="shared" si="51"/>
        <v>166666.66666666666</v>
      </c>
      <c r="AQ121" s="70">
        <f t="shared" si="51"/>
        <v>166666.66666666666</v>
      </c>
      <c r="AR121" s="70">
        <f t="shared" si="51"/>
        <v>166666.66666666666</v>
      </c>
      <c r="AS121" s="70">
        <f t="shared" si="51"/>
        <v>166666.66666666666</v>
      </c>
      <c r="AT121" s="71">
        <f t="shared" si="51"/>
        <v>166666.66666666666</v>
      </c>
      <c r="AU121" s="71">
        <f t="shared" si="51"/>
        <v>166666.66666666666</v>
      </c>
      <c r="AV121" s="71">
        <f t="shared" si="51"/>
        <v>166666.66666666666</v>
      </c>
      <c r="AW121" s="71">
        <f t="shared" si="49"/>
        <v>166666.66666666666</v>
      </c>
      <c r="AX121" s="71">
        <f t="shared" si="49"/>
        <v>166666.66666666666</v>
      </c>
      <c r="AY121" s="71">
        <f t="shared" si="49"/>
        <v>166666.66666666666</v>
      </c>
      <c r="AZ121" s="71">
        <f t="shared" si="49"/>
        <v>166666.66666666666</v>
      </c>
      <c r="BA121" s="71">
        <f t="shared" si="49"/>
        <v>166666.66666666666</v>
      </c>
      <c r="BB121" s="71">
        <f t="shared" si="49"/>
        <v>166666.66666666666</v>
      </c>
      <c r="BC121" s="71">
        <f t="shared" si="49"/>
        <v>166666.66666666666</v>
      </c>
      <c r="BD121" s="71">
        <f t="shared" si="49"/>
        <v>166666.66666666666</v>
      </c>
      <c r="BE121" s="71">
        <f t="shared" si="49"/>
        <v>166666.66666666666</v>
      </c>
      <c r="BF121" s="68">
        <f t="shared" si="36"/>
        <v>0</v>
      </c>
      <c r="BG121" s="69">
        <f t="shared" si="37"/>
        <v>2000000.0000000002</v>
      </c>
      <c r="BH121" s="70">
        <f t="shared" si="38"/>
        <v>2000000.0000000002</v>
      </c>
      <c r="BI121" s="71">
        <f t="shared" si="39"/>
        <v>2000000.0000000002</v>
      </c>
      <c r="BJ121" s="72">
        <f>VLOOKUP(D121,Master!AD:AG,3,FALSE)</f>
        <v>7611600</v>
      </c>
      <c r="BK121" s="73" t="str">
        <f>VLOOKUP(D121,Master!AD:AG,4,FALSE)</f>
        <v>Depreciation-Tools, furniture &amp; office equipment</v>
      </c>
    </row>
    <row r="122" spans="1:63" s="74" customFormat="1" ht="15" customHeight="1">
      <c r="A122" s="64" t="s">
        <v>326</v>
      </c>
      <c r="B122" s="25" t="s">
        <v>456</v>
      </c>
      <c r="C122" s="65" t="s">
        <v>221</v>
      </c>
      <c r="D122" s="66">
        <v>2141000</v>
      </c>
      <c r="E122" s="26">
        <v>10000000</v>
      </c>
      <c r="F122" s="67">
        <v>60</v>
      </c>
      <c r="G122" s="65" t="s">
        <v>287</v>
      </c>
      <c r="H122" s="27">
        <v>1</v>
      </c>
      <c r="I122" s="28">
        <v>44287</v>
      </c>
      <c r="J122" s="65" t="s">
        <v>310</v>
      </c>
      <c r="K122" s="65" t="s">
        <v>287</v>
      </c>
      <c r="L122" s="65" t="s">
        <v>314</v>
      </c>
      <c r="M122" s="65" t="s">
        <v>472</v>
      </c>
      <c r="N122" s="51">
        <f t="shared" si="40"/>
        <v>10000000</v>
      </c>
      <c r="O122" s="51">
        <f t="shared" si="41"/>
        <v>166666.66666666666</v>
      </c>
      <c r="P122" s="28">
        <f t="shared" si="42"/>
        <v>46113</v>
      </c>
      <c r="Q122" s="68" t="str">
        <f t="shared" si="50"/>
        <v/>
      </c>
      <c r="R122" s="68" t="str">
        <f t="shared" si="50"/>
        <v/>
      </c>
      <c r="S122" s="68" t="str">
        <f t="shared" si="50"/>
        <v/>
      </c>
      <c r="T122" s="68" t="str">
        <f t="shared" si="50"/>
        <v/>
      </c>
      <c r="U122" s="68" t="str">
        <f t="shared" si="50"/>
        <v/>
      </c>
      <c r="V122" s="69">
        <f t="shared" si="50"/>
        <v>166666.66666666666</v>
      </c>
      <c r="W122" s="69">
        <f t="shared" si="50"/>
        <v>166666.66666666666</v>
      </c>
      <c r="X122" s="69">
        <f t="shared" si="50"/>
        <v>166666.66666666666</v>
      </c>
      <c r="Y122" s="69">
        <f t="shared" si="50"/>
        <v>166666.66666666666</v>
      </c>
      <c r="Z122" s="69">
        <f t="shared" si="50"/>
        <v>166666.66666666666</v>
      </c>
      <c r="AA122" s="69">
        <f t="shared" si="50"/>
        <v>166666.66666666666</v>
      </c>
      <c r="AB122" s="69">
        <f t="shared" si="50"/>
        <v>166666.66666666666</v>
      </c>
      <c r="AC122" s="69">
        <f t="shared" si="50"/>
        <v>166666.66666666666</v>
      </c>
      <c r="AD122" s="69">
        <f t="shared" si="50"/>
        <v>166666.66666666666</v>
      </c>
      <c r="AE122" s="69">
        <f t="shared" si="50"/>
        <v>166666.66666666666</v>
      </c>
      <c r="AF122" s="69">
        <f t="shared" si="50"/>
        <v>166666.66666666666</v>
      </c>
      <c r="AG122" s="69">
        <f t="shared" si="51"/>
        <v>166666.66666666666</v>
      </c>
      <c r="AH122" s="70">
        <f t="shared" si="51"/>
        <v>166666.66666666666</v>
      </c>
      <c r="AI122" s="70">
        <f t="shared" si="51"/>
        <v>166666.66666666666</v>
      </c>
      <c r="AJ122" s="70">
        <f t="shared" si="51"/>
        <v>166666.66666666666</v>
      </c>
      <c r="AK122" s="70">
        <f t="shared" si="51"/>
        <v>166666.66666666666</v>
      </c>
      <c r="AL122" s="70">
        <f t="shared" si="51"/>
        <v>166666.66666666666</v>
      </c>
      <c r="AM122" s="70">
        <f t="shared" si="51"/>
        <v>166666.66666666666</v>
      </c>
      <c r="AN122" s="70">
        <f t="shared" si="51"/>
        <v>166666.66666666666</v>
      </c>
      <c r="AO122" s="70">
        <f t="shared" si="51"/>
        <v>166666.66666666666</v>
      </c>
      <c r="AP122" s="70">
        <f t="shared" si="51"/>
        <v>166666.66666666666</v>
      </c>
      <c r="AQ122" s="70">
        <f t="shared" si="51"/>
        <v>166666.66666666666</v>
      </c>
      <c r="AR122" s="70">
        <f t="shared" si="51"/>
        <v>166666.66666666666</v>
      </c>
      <c r="AS122" s="70">
        <f t="shared" si="51"/>
        <v>166666.66666666666</v>
      </c>
      <c r="AT122" s="71">
        <f t="shared" si="51"/>
        <v>166666.66666666666</v>
      </c>
      <c r="AU122" s="71">
        <f t="shared" si="51"/>
        <v>166666.66666666666</v>
      </c>
      <c r="AV122" s="71">
        <f t="shared" si="51"/>
        <v>166666.66666666666</v>
      </c>
      <c r="AW122" s="71">
        <f t="shared" si="49"/>
        <v>166666.66666666666</v>
      </c>
      <c r="AX122" s="71">
        <f t="shared" si="49"/>
        <v>166666.66666666666</v>
      </c>
      <c r="AY122" s="71">
        <f t="shared" si="49"/>
        <v>166666.66666666666</v>
      </c>
      <c r="AZ122" s="71">
        <f t="shared" si="49"/>
        <v>166666.66666666666</v>
      </c>
      <c r="BA122" s="71">
        <f t="shared" si="49"/>
        <v>166666.66666666666</v>
      </c>
      <c r="BB122" s="71">
        <f t="shared" si="49"/>
        <v>166666.66666666666</v>
      </c>
      <c r="BC122" s="71">
        <f t="shared" si="49"/>
        <v>166666.66666666666</v>
      </c>
      <c r="BD122" s="71">
        <f t="shared" si="49"/>
        <v>166666.66666666666</v>
      </c>
      <c r="BE122" s="71">
        <f t="shared" si="49"/>
        <v>166666.66666666666</v>
      </c>
      <c r="BF122" s="68">
        <f t="shared" si="36"/>
        <v>0</v>
      </c>
      <c r="BG122" s="69">
        <f t="shared" si="37"/>
        <v>2000000.0000000002</v>
      </c>
      <c r="BH122" s="70">
        <f t="shared" si="38"/>
        <v>2000000.0000000002</v>
      </c>
      <c r="BI122" s="71">
        <f t="shared" si="39"/>
        <v>2000000.0000000002</v>
      </c>
      <c r="BJ122" s="72">
        <f>VLOOKUP(D122,Master!AD:AG,3,FALSE)</f>
        <v>7611600</v>
      </c>
      <c r="BK122" s="73" t="str">
        <f>VLOOKUP(D122,Master!AD:AG,4,FALSE)</f>
        <v>Depreciation-Tools, furniture &amp; office equipment</v>
      </c>
    </row>
    <row r="123" spans="1:63" s="74" customFormat="1" ht="15" customHeight="1">
      <c r="A123" s="64" t="s">
        <v>328</v>
      </c>
      <c r="B123" s="25" t="s">
        <v>457</v>
      </c>
      <c r="C123" s="65" t="s">
        <v>221</v>
      </c>
      <c r="D123" s="66">
        <v>2141000</v>
      </c>
      <c r="E123" s="26">
        <v>10000000</v>
      </c>
      <c r="F123" s="67">
        <v>60</v>
      </c>
      <c r="G123" s="65" t="s">
        <v>287</v>
      </c>
      <c r="H123" s="27">
        <v>1</v>
      </c>
      <c r="I123" s="28">
        <v>44287</v>
      </c>
      <c r="J123" s="65" t="s">
        <v>310</v>
      </c>
      <c r="K123" s="65" t="s">
        <v>287</v>
      </c>
      <c r="L123" s="65" t="s">
        <v>314</v>
      </c>
      <c r="M123" s="65" t="s">
        <v>472</v>
      </c>
      <c r="N123" s="51">
        <f t="shared" si="40"/>
        <v>10000000</v>
      </c>
      <c r="O123" s="51">
        <f t="shared" si="41"/>
        <v>166666.66666666666</v>
      </c>
      <c r="P123" s="28">
        <f t="shared" si="42"/>
        <v>46113</v>
      </c>
      <c r="Q123" s="68" t="str">
        <f t="shared" si="50"/>
        <v/>
      </c>
      <c r="R123" s="68" t="str">
        <f t="shared" si="50"/>
        <v/>
      </c>
      <c r="S123" s="68" t="str">
        <f t="shared" si="50"/>
        <v/>
      </c>
      <c r="T123" s="68" t="str">
        <f t="shared" si="50"/>
        <v/>
      </c>
      <c r="U123" s="68" t="str">
        <f t="shared" si="50"/>
        <v/>
      </c>
      <c r="V123" s="69">
        <f t="shared" si="50"/>
        <v>166666.66666666666</v>
      </c>
      <c r="W123" s="69">
        <f t="shared" si="50"/>
        <v>166666.66666666666</v>
      </c>
      <c r="X123" s="69">
        <f t="shared" si="50"/>
        <v>166666.66666666666</v>
      </c>
      <c r="Y123" s="69">
        <f t="shared" si="50"/>
        <v>166666.66666666666</v>
      </c>
      <c r="Z123" s="69">
        <f t="shared" si="50"/>
        <v>166666.66666666666</v>
      </c>
      <c r="AA123" s="69">
        <f t="shared" si="50"/>
        <v>166666.66666666666</v>
      </c>
      <c r="AB123" s="69">
        <f t="shared" si="50"/>
        <v>166666.66666666666</v>
      </c>
      <c r="AC123" s="69">
        <f t="shared" si="50"/>
        <v>166666.66666666666</v>
      </c>
      <c r="AD123" s="69">
        <f t="shared" si="50"/>
        <v>166666.66666666666</v>
      </c>
      <c r="AE123" s="69">
        <f t="shared" si="50"/>
        <v>166666.66666666666</v>
      </c>
      <c r="AF123" s="69">
        <f t="shared" si="50"/>
        <v>166666.66666666666</v>
      </c>
      <c r="AG123" s="69">
        <f t="shared" si="51"/>
        <v>166666.66666666666</v>
      </c>
      <c r="AH123" s="70">
        <f t="shared" si="51"/>
        <v>166666.66666666666</v>
      </c>
      <c r="AI123" s="70">
        <f t="shared" si="51"/>
        <v>166666.66666666666</v>
      </c>
      <c r="AJ123" s="70">
        <f t="shared" si="51"/>
        <v>166666.66666666666</v>
      </c>
      <c r="AK123" s="70">
        <f t="shared" si="51"/>
        <v>166666.66666666666</v>
      </c>
      <c r="AL123" s="70">
        <f t="shared" si="51"/>
        <v>166666.66666666666</v>
      </c>
      <c r="AM123" s="70">
        <f t="shared" si="51"/>
        <v>166666.66666666666</v>
      </c>
      <c r="AN123" s="70">
        <f t="shared" si="51"/>
        <v>166666.66666666666</v>
      </c>
      <c r="AO123" s="70">
        <f t="shared" si="51"/>
        <v>166666.66666666666</v>
      </c>
      <c r="AP123" s="70">
        <f t="shared" si="51"/>
        <v>166666.66666666666</v>
      </c>
      <c r="AQ123" s="70">
        <f t="shared" si="51"/>
        <v>166666.66666666666</v>
      </c>
      <c r="AR123" s="70">
        <f t="shared" si="51"/>
        <v>166666.66666666666</v>
      </c>
      <c r="AS123" s="70">
        <f t="shared" si="51"/>
        <v>166666.66666666666</v>
      </c>
      <c r="AT123" s="71">
        <f t="shared" si="51"/>
        <v>166666.66666666666</v>
      </c>
      <c r="AU123" s="71">
        <f t="shared" si="51"/>
        <v>166666.66666666666</v>
      </c>
      <c r="AV123" s="71">
        <f t="shared" si="51"/>
        <v>166666.66666666666</v>
      </c>
      <c r="AW123" s="71">
        <f t="shared" si="49"/>
        <v>166666.66666666666</v>
      </c>
      <c r="AX123" s="71">
        <f t="shared" si="49"/>
        <v>166666.66666666666</v>
      </c>
      <c r="AY123" s="71">
        <f t="shared" si="49"/>
        <v>166666.66666666666</v>
      </c>
      <c r="AZ123" s="71">
        <f t="shared" si="49"/>
        <v>166666.66666666666</v>
      </c>
      <c r="BA123" s="71">
        <f t="shared" si="49"/>
        <v>166666.66666666666</v>
      </c>
      <c r="BB123" s="71">
        <f t="shared" si="49"/>
        <v>166666.66666666666</v>
      </c>
      <c r="BC123" s="71">
        <f t="shared" si="49"/>
        <v>166666.66666666666</v>
      </c>
      <c r="BD123" s="71">
        <f t="shared" si="49"/>
        <v>166666.66666666666</v>
      </c>
      <c r="BE123" s="71">
        <f t="shared" si="49"/>
        <v>166666.66666666666</v>
      </c>
      <c r="BF123" s="68">
        <f t="shared" si="36"/>
        <v>0</v>
      </c>
      <c r="BG123" s="69">
        <f t="shared" si="37"/>
        <v>2000000.0000000002</v>
      </c>
      <c r="BH123" s="70">
        <f t="shared" si="38"/>
        <v>2000000.0000000002</v>
      </c>
      <c r="BI123" s="71">
        <f t="shared" si="39"/>
        <v>2000000.0000000002</v>
      </c>
      <c r="BJ123" s="72">
        <f>VLOOKUP(D123,Master!AD:AG,3,FALSE)</f>
        <v>7611600</v>
      </c>
      <c r="BK123" s="73" t="str">
        <f>VLOOKUP(D123,Master!AD:AG,4,FALSE)</f>
        <v>Depreciation-Tools, furniture &amp; office equipment</v>
      </c>
    </row>
    <row r="124" spans="1:63" s="74" customFormat="1" ht="15" customHeight="1">
      <c r="A124" s="64" t="s">
        <v>356</v>
      </c>
      <c r="B124" s="25" t="s">
        <v>458</v>
      </c>
      <c r="C124" s="65" t="s">
        <v>221</v>
      </c>
      <c r="D124" s="66">
        <v>2141000</v>
      </c>
      <c r="E124" s="26">
        <v>8000000</v>
      </c>
      <c r="F124" s="67">
        <v>60</v>
      </c>
      <c r="G124" s="65" t="s">
        <v>287</v>
      </c>
      <c r="H124" s="27">
        <v>1</v>
      </c>
      <c r="I124" s="28">
        <v>44287</v>
      </c>
      <c r="J124" s="65" t="s">
        <v>310</v>
      </c>
      <c r="K124" s="65" t="s">
        <v>287</v>
      </c>
      <c r="L124" s="65" t="s">
        <v>317</v>
      </c>
      <c r="M124" s="65" t="s">
        <v>472</v>
      </c>
      <c r="N124" s="51">
        <f t="shared" si="40"/>
        <v>8000000</v>
      </c>
      <c r="O124" s="51">
        <f t="shared" si="41"/>
        <v>133333.33333333334</v>
      </c>
      <c r="P124" s="28">
        <f t="shared" si="42"/>
        <v>46113</v>
      </c>
      <c r="Q124" s="68" t="str">
        <f t="shared" si="50"/>
        <v/>
      </c>
      <c r="R124" s="68" t="str">
        <f t="shared" si="50"/>
        <v/>
      </c>
      <c r="S124" s="68" t="str">
        <f t="shared" si="50"/>
        <v/>
      </c>
      <c r="T124" s="68" t="str">
        <f t="shared" si="50"/>
        <v/>
      </c>
      <c r="U124" s="68" t="str">
        <f t="shared" si="50"/>
        <v/>
      </c>
      <c r="V124" s="69">
        <f t="shared" si="50"/>
        <v>133333.33333333334</v>
      </c>
      <c r="W124" s="69">
        <f t="shared" si="50"/>
        <v>133333.33333333334</v>
      </c>
      <c r="X124" s="69">
        <f t="shared" si="50"/>
        <v>133333.33333333334</v>
      </c>
      <c r="Y124" s="69">
        <f t="shared" si="50"/>
        <v>133333.33333333334</v>
      </c>
      <c r="Z124" s="69">
        <f t="shared" si="50"/>
        <v>133333.33333333334</v>
      </c>
      <c r="AA124" s="69">
        <f t="shared" si="50"/>
        <v>133333.33333333334</v>
      </c>
      <c r="AB124" s="69">
        <f t="shared" si="50"/>
        <v>133333.33333333334</v>
      </c>
      <c r="AC124" s="69">
        <f t="shared" si="50"/>
        <v>133333.33333333334</v>
      </c>
      <c r="AD124" s="69">
        <f t="shared" si="50"/>
        <v>133333.33333333334</v>
      </c>
      <c r="AE124" s="69">
        <f t="shared" si="50"/>
        <v>133333.33333333334</v>
      </c>
      <c r="AF124" s="69">
        <f t="shared" si="50"/>
        <v>133333.33333333334</v>
      </c>
      <c r="AG124" s="69">
        <f t="shared" si="51"/>
        <v>133333.33333333334</v>
      </c>
      <c r="AH124" s="70">
        <f t="shared" si="51"/>
        <v>133333.33333333334</v>
      </c>
      <c r="AI124" s="70">
        <f t="shared" si="51"/>
        <v>133333.33333333334</v>
      </c>
      <c r="AJ124" s="70">
        <f t="shared" si="51"/>
        <v>133333.33333333334</v>
      </c>
      <c r="AK124" s="70">
        <f t="shared" si="51"/>
        <v>133333.33333333334</v>
      </c>
      <c r="AL124" s="70">
        <f t="shared" si="51"/>
        <v>133333.33333333334</v>
      </c>
      <c r="AM124" s="70">
        <f t="shared" si="51"/>
        <v>133333.33333333334</v>
      </c>
      <c r="AN124" s="70">
        <f t="shared" si="51"/>
        <v>133333.33333333334</v>
      </c>
      <c r="AO124" s="70">
        <f t="shared" si="51"/>
        <v>133333.33333333334</v>
      </c>
      <c r="AP124" s="70">
        <f t="shared" si="51"/>
        <v>133333.33333333334</v>
      </c>
      <c r="AQ124" s="70">
        <f t="shared" si="51"/>
        <v>133333.33333333334</v>
      </c>
      <c r="AR124" s="70">
        <f t="shared" si="51"/>
        <v>133333.33333333334</v>
      </c>
      <c r="AS124" s="70">
        <f t="shared" si="51"/>
        <v>133333.33333333334</v>
      </c>
      <c r="AT124" s="71">
        <f t="shared" si="51"/>
        <v>133333.33333333334</v>
      </c>
      <c r="AU124" s="71">
        <f t="shared" si="51"/>
        <v>133333.33333333334</v>
      </c>
      <c r="AV124" s="71">
        <f t="shared" si="51"/>
        <v>133333.33333333334</v>
      </c>
      <c r="AW124" s="71">
        <f t="shared" si="49"/>
        <v>133333.33333333334</v>
      </c>
      <c r="AX124" s="71">
        <f t="shared" si="49"/>
        <v>133333.33333333334</v>
      </c>
      <c r="AY124" s="71">
        <f t="shared" si="49"/>
        <v>133333.33333333334</v>
      </c>
      <c r="AZ124" s="71">
        <f t="shared" si="49"/>
        <v>133333.33333333334</v>
      </c>
      <c r="BA124" s="71">
        <f t="shared" si="49"/>
        <v>133333.33333333334</v>
      </c>
      <c r="BB124" s="71">
        <f t="shared" si="49"/>
        <v>133333.33333333334</v>
      </c>
      <c r="BC124" s="71">
        <f t="shared" si="49"/>
        <v>133333.33333333334</v>
      </c>
      <c r="BD124" s="71">
        <f t="shared" si="49"/>
        <v>133333.33333333334</v>
      </c>
      <c r="BE124" s="71">
        <f t="shared" si="49"/>
        <v>133333.33333333334</v>
      </c>
      <c r="BF124" s="68">
        <f t="shared" si="36"/>
        <v>0</v>
      </c>
      <c r="BG124" s="69">
        <f t="shared" si="37"/>
        <v>1599999.9999999998</v>
      </c>
      <c r="BH124" s="70">
        <f t="shared" si="38"/>
        <v>1599999.9999999998</v>
      </c>
      <c r="BI124" s="71">
        <f t="shared" si="39"/>
        <v>1599999.9999999998</v>
      </c>
      <c r="BJ124" s="72">
        <f>VLOOKUP(D124,Master!AD:AG,3,FALSE)</f>
        <v>7611600</v>
      </c>
      <c r="BK124" s="73" t="str">
        <f>VLOOKUP(D124,Master!AD:AG,4,FALSE)</f>
        <v>Depreciation-Tools, furniture &amp; office equipment</v>
      </c>
    </row>
    <row r="125" spans="1:63" s="74" customFormat="1" ht="15" customHeight="1">
      <c r="A125" s="64" t="s">
        <v>357</v>
      </c>
      <c r="B125" s="25" t="s">
        <v>459</v>
      </c>
      <c r="C125" s="65" t="s">
        <v>221</v>
      </c>
      <c r="D125" s="66">
        <v>2141000</v>
      </c>
      <c r="E125" s="26">
        <v>75000000</v>
      </c>
      <c r="F125" s="67">
        <v>60</v>
      </c>
      <c r="G125" s="65" t="s">
        <v>287</v>
      </c>
      <c r="H125" s="27">
        <v>1</v>
      </c>
      <c r="I125" s="28">
        <v>44287</v>
      </c>
      <c r="J125" s="65" t="s">
        <v>310</v>
      </c>
      <c r="K125" s="65" t="s">
        <v>287</v>
      </c>
      <c r="L125" s="65" t="s">
        <v>317</v>
      </c>
      <c r="M125" s="65" t="s">
        <v>472</v>
      </c>
      <c r="N125" s="51">
        <f t="shared" si="40"/>
        <v>75000000</v>
      </c>
      <c r="O125" s="51">
        <f t="shared" si="41"/>
        <v>1250000</v>
      </c>
      <c r="P125" s="28">
        <f t="shared" si="42"/>
        <v>46113</v>
      </c>
      <c r="Q125" s="68" t="str">
        <f t="shared" si="50"/>
        <v/>
      </c>
      <c r="R125" s="68" t="str">
        <f t="shared" si="50"/>
        <v/>
      </c>
      <c r="S125" s="68" t="str">
        <f t="shared" si="50"/>
        <v/>
      </c>
      <c r="T125" s="68" t="str">
        <f t="shared" si="50"/>
        <v/>
      </c>
      <c r="U125" s="68" t="str">
        <f t="shared" si="50"/>
        <v/>
      </c>
      <c r="V125" s="69">
        <f t="shared" si="50"/>
        <v>1250000</v>
      </c>
      <c r="W125" s="69">
        <f t="shared" si="50"/>
        <v>1250000</v>
      </c>
      <c r="X125" s="69">
        <f t="shared" si="50"/>
        <v>1250000</v>
      </c>
      <c r="Y125" s="69">
        <f t="shared" si="50"/>
        <v>1250000</v>
      </c>
      <c r="Z125" s="69">
        <f t="shared" si="50"/>
        <v>1250000</v>
      </c>
      <c r="AA125" s="69">
        <f t="shared" si="50"/>
        <v>1250000</v>
      </c>
      <c r="AB125" s="69">
        <f t="shared" si="50"/>
        <v>1250000</v>
      </c>
      <c r="AC125" s="69">
        <f t="shared" si="50"/>
        <v>1250000</v>
      </c>
      <c r="AD125" s="69">
        <f t="shared" si="50"/>
        <v>1250000</v>
      </c>
      <c r="AE125" s="69">
        <f t="shared" si="50"/>
        <v>1250000</v>
      </c>
      <c r="AF125" s="69">
        <f t="shared" si="50"/>
        <v>1250000</v>
      </c>
      <c r="AG125" s="69">
        <f t="shared" si="51"/>
        <v>1250000</v>
      </c>
      <c r="AH125" s="70">
        <f t="shared" si="51"/>
        <v>1250000</v>
      </c>
      <c r="AI125" s="70">
        <f t="shared" si="51"/>
        <v>1250000</v>
      </c>
      <c r="AJ125" s="70">
        <f t="shared" si="51"/>
        <v>1250000</v>
      </c>
      <c r="AK125" s="70">
        <f t="shared" si="51"/>
        <v>1250000</v>
      </c>
      <c r="AL125" s="70">
        <f t="shared" si="51"/>
        <v>1250000</v>
      </c>
      <c r="AM125" s="70">
        <f t="shared" si="51"/>
        <v>1250000</v>
      </c>
      <c r="AN125" s="70">
        <f t="shared" si="51"/>
        <v>1250000</v>
      </c>
      <c r="AO125" s="70">
        <f t="shared" si="51"/>
        <v>1250000</v>
      </c>
      <c r="AP125" s="70">
        <f t="shared" si="51"/>
        <v>1250000</v>
      </c>
      <c r="AQ125" s="70">
        <f t="shared" si="51"/>
        <v>1250000</v>
      </c>
      <c r="AR125" s="70">
        <f t="shared" si="51"/>
        <v>1250000</v>
      </c>
      <c r="AS125" s="70">
        <f t="shared" si="51"/>
        <v>1250000</v>
      </c>
      <c r="AT125" s="71">
        <f t="shared" si="51"/>
        <v>1250000</v>
      </c>
      <c r="AU125" s="71">
        <f t="shared" si="51"/>
        <v>1250000</v>
      </c>
      <c r="AV125" s="71">
        <f t="shared" si="51"/>
        <v>1250000</v>
      </c>
      <c r="AW125" s="71">
        <f t="shared" si="49"/>
        <v>1250000</v>
      </c>
      <c r="AX125" s="71">
        <f t="shared" si="49"/>
        <v>1250000</v>
      </c>
      <c r="AY125" s="71">
        <f t="shared" si="49"/>
        <v>1250000</v>
      </c>
      <c r="AZ125" s="71">
        <f t="shared" si="49"/>
        <v>1250000</v>
      </c>
      <c r="BA125" s="71">
        <f t="shared" si="49"/>
        <v>1250000</v>
      </c>
      <c r="BB125" s="71">
        <f t="shared" si="49"/>
        <v>1250000</v>
      </c>
      <c r="BC125" s="71">
        <f t="shared" si="49"/>
        <v>1250000</v>
      </c>
      <c r="BD125" s="71">
        <f t="shared" si="49"/>
        <v>1250000</v>
      </c>
      <c r="BE125" s="71">
        <f t="shared" si="49"/>
        <v>1250000</v>
      </c>
      <c r="BF125" s="68">
        <f t="shared" si="36"/>
        <v>0</v>
      </c>
      <c r="BG125" s="69">
        <f t="shared" si="37"/>
        <v>15000000</v>
      </c>
      <c r="BH125" s="70">
        <f t="shared" si="38"/>
        <v>15000000</v>
      </c>
      <c r="BI125" s="71">
        <f t="shared" si="39"/>
        <v>15000000</v>
      </c>
      <c r="BJ125" s="72">
        <f>VLOOKUP(D125,Master!AD:AG,3,FALSE)</f>
        <v>7611600</v>
      </c>
      <c r="BK125" s="73" t="str">
        <f>VLOOKUP(D125,Master!AD:AG,4,FALSE)</f>
        <v>Depreciation-Tools, furniture &amp; office equipment</v>
      </c>
    </row>
    <row r="126" spans="1:63" s="74" customFormat="1" ht="15" customHeight="1">
      <c r="A126" s="64" t="s">
        <v>308</v>
      </c>
      <c r="B126" s="25" t="s">
        <v>460</v>
      </c>
      <c r="C126" s="65" t="s">
        <v>221</v>
      </c>
      <c r="D126" s="66">
        <v>2141000</v>
      </c>
      <c r="E126" s="26">
        <v>10000000</v>
      </c>
      <c r="F126" s="67">
        <v>60</v>
      </c>
      <c r="G126" s="65" t="s">
        <v>289</v>
      </c>
      <c r="H126" s="27">
        <v>1</v>
      </c>
      <c r="I126" s="28">
        <v>44287</v>
      </c>
      <c r="J126" s="65" t="s">
        <v>310</v>
      </c>
      <c r="K126" s="65" t="s">
        <v>289</v>
      </c>
      <c r="L126" s="65" t="s">
        <v>314</v>
      </c>
      <c r="M126" s="65" t="s">
        <v>472</v>
      </c>
      <c r="N126" s="51">
        <f t="shared" si="40"/>
        <v>10000000</v>
      </c>
      <c r="O126" s="51">
        <f t="shared" si="41"/>
        <v>166666.66666666666</v>
      </c>
      <c r="P126" s="28">
        <f t="shared" si="42"/>
        <v>46113</v>
      </c>
      <c r="Q126" s="68" t="str">
        <f t="shared" si="50"/>
        <v/>
      </c>
      <c r="R126" s="68" t="str">
        <f t="shared" si="50"/>
        <v/>
      </c>
      <c r="S126" s="68" t="str">
        <f t="shared" si="50"/>
        <v/>
      </c>
      <c r="T126" s="68" t="str">
        <f t="shared" si="50"/>
        <v/>
      </c>
      <c r="U126" s="68" t="str">
        <f t="shared" si="50"/>
        <v/>
      </c>
      <c r="V126" s="69">
        <f t="shared" si="50"/>
        <v>166666.66666666666</v>
      </c>
      <c r="W126" s="69">
        <f t="shared" si="50"/>
        <v>166666.66666666666</v>
      </c>
      <c r="X126" s="69">
        <f t="shared" si="50"/>
        <v>166666.66666666666</v>
      </c>
      <c r="Y126" s="69">
        <f t="shared" si="50"/>
        <v>166666.66666666666</v>
      </c>
      <c r="Z126" s="69">
        <f t="shared" si="50"/>
        <v>166666.66666666666</v>
      </c>
      <c r="AA126" s="69">
        <f t="shared" si="50"/>
        <v>166666.66666666666</v>
      </c>
      <c r="AB126" s="69">
        <f t="shared" si="50"/>
        <v>166666.66666666666</v>
      </c>
      <c r="AC126" s="69">
        <f t="shared" si="50"/>
        <v>166666.66666666666</v>
      </c>
      <c r="AD126" s="69">
        <f t="shared" si="50"/>
        <v>166666.66666666666</v>
      </c>
      <c r="AE126" s="69">
        <f t="shared" si="50"/>
        <v>166666.66666666666</v>
      </c>
      <c r="AF126" s="69">
        <f t="shared" si="50"/>
        <v>166666.66666666666</v>
      </c>
      <c r="AG126" s="69">
        <f t="shared" si="51"/>
        <v>166666.66666666666</v>
      </c>
      <c r="AH126" s="70">
        <f t="shared" si="51"/>
        <v>166666.66666666666</v>
      </c>
      <c r="AI126" s="70">
        <f t="shared" si="51"/>
        <v>166666.66666666666</v>
      </c>
      <c r="AJ126" s="70">
        <f t="shared" si="51"/>
        <v>166666.66666666666</v>
      </c>
      <c r="AK126" s="70">
        <f t="shared" si="51"/>
        <v>166666.66666666666</v>
      </c>
      <c r="AL126" s="70">
        <f t="shared" si="51"/>
        <v>166666.66666666666</v>
      </c>
      <c r="AM126" s="70">
        <f t="shared" si="51"/>
        <v>166666.66666666666</v>
      </c>
      <c r="AN126" s="70">
        <f t="shared" si="51"/>
        <v>166666.66666666666</v>
      </c>
      <c r="AO126" s="70">
        <f t="shared" si="51"/>
        <v>166666.66666666666</v>
      </c>
      <c r="AP126" s="70">
        <f t="shared" si="51"/>
        <v>166666.66666666666</v>
      </c>
      <c r="AQ126" s="70">
        <f t="shared" si="51"/>
        <v>166666.66666666666</v>
      </c>
      <c r="AR126" s="70">
        <f t="shared" si="51"/>
        <v>166666.66666666666</v>
      </c>
      <c r="AS126" s="70">
        <f t="shared" si="51"/>
        <v>166666.66666666666</v>
      </c>
      <c r="AT126" s="71">
        <f t="shared" si="51"/>
        <v>166666.66666666666</v>
      </c>
      <c r="AU126" s="71">
        <f t="shared" si="51"/>
        <v>166666.66666666666</v>
      </c>
      <c r="AV126" s="71">
        <f t="shared" si="51"/>
        <v>166666.66666666666</v>
      </c>
      <c r="AW126" s="71">
        <f t="shared" si="49"/>
        <v>166666.66666666666</v>
      </c>
      <c r="AX126" s="71">
        <f t="shared" si="49"/>
        <v>166666.66666666666</v>
      </c>
      <c r="AY126" s="71">
        <f t="shared" si="49"/>
        <v>166666.66666666666</v>
      </c>
      <c r="AZ126" s="71">
        <f t="shared" si="49"/>
        <v>166666.66666666666</v>
      </c>
      <c r="BA126" s="71">
        <f t="shared" si="49"/>
        <v>166666.66666666666</v>
      </c>
      <c r="BB126" s="71">
        <f t="shared" si="49"/>
        <v>166666.66666666666</v>
      </c>
      <c r="BC126" s="71">
        <f t="shared" si="49"/>
        <v>166666.66666666666</v>
      </c>
      <c r="BD126" s="71">
        <f t="shared" si="49"/>
        <v>166666.66666666666</v>
      </c>
      <c r="BE126" s="71">
        <f t="shared" si="49"/>
        <v>166666.66666666666</v>
      </c>
      <c r="BF126" s="68">
        <f t="shared" si="36"/>
        <v>0</v>
      </c>
      <c r="BG126" s="69">
        <f t="shared" si="37"/>
        <v>2000000.0000000002</v>
      </c>
      <c r="BH126" s="70">
        <f t="shared" si="38"/>
        <v>2000000.0000000002</v>
      </c>
      <c r="BI126" s="71">
        <f t="shared" si="39"/>
        <v>2000000.0000000002</v>
      </c>
      <c r="BJ126" s="72">
        <f>VLOOKUP(D126,Master!AD:AG,3,FALSE)</f>
        <v>7611600</v>
      </c>
      <c r="BK126" s="73" t="str">
        <f>VLOOKUP(D126,Master!AD:AG,4,FALSE)</f>
        <v>Depreciation-Tools, furniture &amp; office equipment</v>
      </c>
    </row>
    <row r="127" spans="1:63" s="74" customFormat="1" ht="15" customHeight="1">
      <c r="A127" s="64" t="s">
        <v>326</v>
      </c>
      <c r="B127" s="25" t="s">
        <v>461</v>
      </c>
      <c r="C127" s="65" t="s">
        <v>221</v>
      </c>
      <c r="D127" s="66">
        <v>2141000</v>
      </c>
      <c r="E127" s="26">
        <v>10000000</v>
      </c>
      <c r="F127" s="67">
        <v>60</v>
      </c>
      <c r="G127" s="65" t="s">
        <v>289</v>
      </c>
      <c r="H127" s="27">
        <v>1</v>
      </c>
      <c r="I127" s="28">
        <v>44287</v>
      </c>
      <c r="J127" s="65" t="s">
        <v>310</v>
      </c>
      <c r="K127" s="65" t="s">
        <v>289</v>
      </c>
      <c r="L127" s="65" t="s">
        <v>314</v>
      </c>
      <c r="M127" s="65" t="s">
        <v>472</v>
      </c>
      <c r="N127" s="51">
        <f t="shared" si="40"/>
        <v>10000000</v>
      </c>
      <c r="O127" s="51">
        <f t="shared" si="41"/>
        <v>166666.66666666666</v>
      </c>
      <c r="P127" s="28">
        <f t="shared" si="42"/>
        <v>46113</v>
      </c>
      <c r="Q127" s="68" t="str">
        <f t="shared" si="50"/>
        <v/>
      </c>
      <c r="R127" s="68" t="str">
        <f t="shared" si="50"/>
        <v/>
      </c>
      <c r="S127" s="68" t="str">
        <f t="shared" si="50"/>
        <v/>
      </c>
      <c r="T127" s="68" t="str">
        <f t="shared" si="50"/>
        <v/>
      </c>
      <c r="U127" s="68" t="str">
        <f t="shared" si="50"/>
        <v/>
      </c>
      <c r="V127" s="69">
        <f t="shared" si="50"/>
        <v>166666.66666666666</v>
      </c>
      <c r="W127" s="69">
        <f t="shared" si="50"/>
        <v>166666.66666666666</v>
      </c>
      <c r="X127" s="69">
        <f t="shared" si="50"/>
        <v>166666.66666666666</v>
      </c>
      <c r="Y127" s="69">
        <f t="shared" si="50"/>
        <v>166666.66666666666</v>
      </c>
      <c r="Z127" s="69">
        <f t="shared" si="50"/>
        <v>166666.66666666666</v>
      </c>
      <c r="AA127" s="69">
        <f t="shared" si="50"/>
        <v>166666.66666666666</v>
      </c>
      <c r="AB127" s="69">
        <f t="shared" si="50"/>
        <v>166666.66666666666</v>
      </c>
      <c r="AC127" s="69">
        <f t="shared" si="50"/>
        <v>166666.66666666666</v>
      </c>
      <c r="AD127" s="69">
        <f t="shared" si="50"/>
        <v>166666.66666666666</v>
      </c>
      <c r="AE127" s="69">
        <f t="shared" si="50"/>
        <v>166666.66666666666</v>
      </c>
      <c r="AF127" s="69">
        <f t="shared" si="50"/>
        <v>166666.66666666666</v>
      </c>
      <c r="AG127" s="69">
        <f t="shared" si="51"/>
        <v>166666.66666666666</v>
      </c>
      <c r="AH127" s="70">
        <f t="shared" si="51"/>
        <v>166666.66666666666</v>
      </c>
      <c r="AI127" s="70">
        <f t="shared" si="51"/>
        <v>166666.66666666666</v>
      </c>
      <c r="AJ127" s="70">
        <f t="shared" si="51"/>
        <v>166666.66666666666</v>
      </c>
      <c r="AK127" s="70">
        <f t="shared" si="51"/>
        <v>166666.66666666666</v>
      </c>
      <c r="AL127" s="70">
        <f t="shared" si="51"/>
        <v>166666.66666666666</v>
      </c>
      <c r="AM127" s="70">
        <f t="shared" si="51"/>
        <v>166666.66666666666</v>
      </c>
      <c r="AN127" s="70">
        <f t="shared" si="51"/>
        <v>166666.66666666666</v>
      </c>
      <c r="AO127" s="70">
        <f t="shared" si="51"/>
        <v>166666.66666666666</v>
      </c>
      <c r="AP127" s="70">
        <f t="shared" si="51"/>
        <v>166666.66666666666</v>
      </c>
      <c r="AQ127" s="70">
        <f t="shared" si="51"/>
        <v>166666.66666666666</v>
      </c>
      <c r="AR127" s="70">
        <f t="shared" si="51"/>
        <v>166666.66666666666</v>
      </c>
      <c r="AS127" s="70">
        <f t="shared" si="51"/>
        <v>166666.66666666666</v>
      </c>
      <c r="AT127" s="71">
        <f t="shared" si="51"/>
        <v>166666.66666666666</v>
      </c>
      <c r="AU127" s="71">
        <f t="shared" si="51"/>
        <v>166666.66666666666</v>
      </c>
      <c r="AV127" s="71">
        <f t="shared" si="51"/>
        <v>166666.66666666666</v>
      </c>
      <c r="AW127" s="71">
        <f t="shared" si="49"/>
        <v>166666.66666666666</v>
      </c>
      <c r="AX127" s="71">
        <f t="shared" si="49"/>
        <v>166666.66666666666</v>
      </c>
      <c r="AY127" s="71">
        <f t="shared" si="49"/>
        <v>166666.66666666666</v>
      </c>
      <c r="AZ127" s="71">
        <f t="shared" si="49"/>
        <v>166666.66666666666</v>
      </c>
      <c r="BA127" s="71">
        <f t="shared" si="49"/>
        <v>166666.66666666666</v>
      </c>
      <c r="BB127" s="71">
        <f t="shared" si="49"/>
        <v>166666.66666666666</v>
      </c>
      <c r="BC127" s="71">
        <f t="shared" si="49"/>
        <v>166666.66666666666</v>
      </c>
      <c r="BD127" s="71">
        <f t="shared" si="49"/>
        <v>166666.66666666666</v>
      </c>
      <c r="BE127" s="71">
        <f t="shared" si="49"/>
        <v>166666.66666666666</v>
      </c>
      <c r="BF127" s="68">
        <f t="shared" si="36"/>
        <v>0</v>
      </c>
      <c r="BG127" s="69">
        <f t="shared" si="37"/>
        <v>2000000.0000000002</v>
      </c>
      <c r="BH127" s="70">
        <f t="shared" si="38"/>
        <v>2000000.0000000002</v>
      </c>
      <c r="BI127" s="71">
        <f t="shared" si="39"/>
        <v>2000000.0000000002</v>
      </c>
      <c r="BJ127" s="72">
        <f>VLOOKUP(D127,Master!AD:AG,3,FALSE)</f>
        <v>7611600</v>
      </c>
      <c r="BK127" s="73" t="str">
        <f>VLOOKUP(D127,Master!AD:AG,4,FALSE)</f>
        <v>Depreciation-Tools, furniture &amp; office equipment</v>
      </c>
    </row>
    <row r="128" spans="1:63" s="74" customFormat="1" ht="15" customHeight="1">
      <c r="A128" s="64" t="s">
        <v>308</v>
      </c>
      <c r="B128" s="25" t="s">
        <v>462</v>
      </c>
      <c r="C128" s="65" t="s">
        <v>221</v>
      </c>
      <c r="D128" s="66">
        <v>2141000</v>
      </c>
      <c r="E128" s="26">
        <v>6000000</v>
      </c>
      <c r="F128" s="67">
        <v>60</v>
      </c>
      <c r="G128" s="65" t="s">
        <v>291</v>
      </c>
      <c r="H128" s="27">
        <v>1</v>
      </c>
      <c r="I128" s="28">
        <v>44287</v>
      </c>
      <c r="J128" s="65" t="s">
        <v>310</v>
      </c>
      <c r="K128" s="65" t="s">
        <v>291</v>
      </c>
      <c r="L128" s="65" t="s">
        <v>317</v>
      </c>
      <c r="M128" s="65" t="s">
        <v>472</v>
      </c>
      <c r="N128" s="51">
        <f t="shared" si="40"/>
        <v>6000000</v>
      </c>
      <c r="O128" s="51">
        <f t="shared" si="41"/>
        <v>100000</v>
      </c>
      <c r="P128" s="28">
        <f t="shared" si="42"/>
        <v>46113</v>
      </c>
      <c r="Q128" s="68" t="str">
        <f t="shared" si="50"/>
        <v/>
      </c>
      <c r="R128" s="68" t="str">
        <f t="shared" si="50"/>
        <v/>
      </c>
      <c r="S128" s="68" t="str">
        <f t="shared" si="50"/>
        <v/>
      </c>
      <c r="T128" s="68" t="str">
        <f t="shared" si="50"/>
        <v/>
      </c>
      <c r="U128" s="68" t="str">
        <f t="shared" si="50"/>
        <v/>
      </c>
      <c r="V128" s="69">
        <f t="shared" si="50"/>
        <v>100000</v>
      </c>
      <c r="W128" s="69">
        <f t="shared" si="50"/>
        <v>100000</v>
      </c>
      <c r="X128" s="69">
        <f t="shared" si="50"/>
        <v>100000</v>
      </c>
      <c r="Y128" s="69">
        <f t="shared" si="50"/>
        <v>100000</v>
      </c>
      <c r="Z128" s="69">
        <f t="shared" si="50"/>
        <v>100000</v>
      </c>
      <c r="AA128" s="69">
        <f t="shared" si="50"/>
        <v>100000</v>
      </c>
      <c r="AB128" s="69">
        <f t="shared" si="50"/>
        <v>100000</v>
      </c>
      <c r="AC128" s="69">
        <f t="shared" si="50"/>
        <v>100000</v>
      </c>
      <c r="AD128" s="69">
        <f t="shared" si="50"/>
        <v>100000</v>
      </c>
      <c r="AE128" s="69">
        <f t="shared" si="50"/>
        <v>100000</v>
      </c>
      <c r="AF128" s="69">
        <f t="shared" si="50"/>
        <v>100000</v>
      </c>
      <c r="AG128" s="69">
        <f t="shared" si="51"/>
        <v>100000</v>
      </c>
      <c r="AH128" s="70">
        <f t="shared" si="51"/>
        <v>100000</v>
      </c>
      <c r="AI128" s="70">
        <f t="shared" si="51"/>
        <v>100000</v>
      </c>
      <c r="AJ128" s="70">
        <f t="shared" si="51"/>
        <v>100000</v>
      </c>
      <c r="AK128" s="70">
        <f t="shared" si="51"/>
        <v>100000</v>
      </c>
      <c r="AL128" s="70">
        <f t="shared" si="51"/>
        <v>100000</v>
      </c>
      <c r="AM128" s="70">
        <f t="shared" si="51"/>
        <v>100000</v>
      </c>
      <c r="AN128" s="70">
        <f t="shared" si="51"/>
        <v>100000</v>
      </c>
      <c r="AO128" s="70">
        <f t="shared" si="51"/>
        <v>100000</v>
      </c>
      <c r="AP128" s="70">
        <f t="shared" si="51"/>
        <v>100000</v>
      </c>
      <c r="AQ128" s="70">
        <f t="shared" si="51"/>
        <v>100000</v>
      </c>
      <c r="AR128" s="70">
        <f t="shared" si="51"/>
        <v>100000</v>
      </c>
      <c r="AS128" s="70">
        <f t="shared" si="51"/>
        <v>100000</v>
      </c>
      <c r="AT128" s="71">
        <f t="shared" si="51"/>
        <v>100000</v>
      </c>
      <c r="AU128" s="71">
        <f t="shared" si="51"/>
        <v>100000</v>
      </c>
      <c r="AV128" s="71">
        <f t="shared" si="51"/>
        <v>100000</v>
      </c>
      <c r="AW128" s="71">
        <f t="shared" si="49"/>
        <v>100000</v>
      </c>
      <c r="AX128" s="71">
        <f t="shared" si="49"/>
        <v>100000</v>
      </c>
      <c r="AY128" s="71">
        <f t="shared" si="49"/>
        <v>100000</v>
      </c>
      <c r="AZ128" s="71">
        <f t="shared" si="49"/>
        <v>100000</v>
      </c>
      <c r="BA128" s="71">
        <f t="shared" si="49"/>
        <v>100000</v>
      </c>
      <c r="BB128" s="71">
        <f t="shared" si="49"/>
        <v>100000</v>
      </c>
      <c r="BC128" s="71">
        <f t="shared" si="49"/>
        <v>100000</v>
      </c>
      <c r="BD128" s="71">
        <f t="shared" si="49"/>
        <v>100000</v>
      </c>
      <c r="BE128" s="71">
        <f t="shared" si="49"/>
        <v>100000</v>
      </c>
      <c r="BF128" s="68">
        <f t="shared" si="36"/>
        <v>0</v>
      </c>
      <c r="BG128" s="69">
        <f t="shared" si="37"/>
        <v>1200000</v>
      </c>
      <c r="BH128" s="70">
        <f t="shared" si="38"/>
        <v>1200000</v>
      </c>
      <c r="BI128" s="71">
        <f t="shared" si="39"/>
        <v>1200000</v>
      </c>
      <c r="BJ128" s="72">
        <f>VLOOKUP(D128,Master!AD:AG,3,FALSE)</f>
        <v>7611600</v>
      </c>
      <c r="BK128" s="73" t="str">
        <f>VLOOKUP(D128,Master!AD:AG,4,FALSE)</f>
        <v>Depreciation-Tools, furniture &amp; office equipment</v>
      </c>
    </row>
    <row r="129" spans="1:63" s="74" customFormat="1" ht="15" customHeight="1">
      <c r="A129" s="64" t="s">
        <v>326</v>
      </c>
      <c r="B129" s="25" t="s">
        <v>463</v>
      </c>
      <c r="C129" s="65" t="s">
        <v>312</v>
      </c>
      <c r="D129" s="66">
        <v>2121000</v>
      </c>
      <c r="E129" s="26">
        <v>50000000</v>
      </c>
      <c r="F129" s="67">
        <v>120</v>
      </c>
      <c r="G129" s="65" t="s">
        <v>291</v>
      </c>
      <c r="H129" s="27">
        <v>1</v>
      </c>
      <c r="I129" s="28">
        <v>44287</v>
      </c>
      <c r="J129" s="65" t="s">
        <v>310</v>
      </c>
      <c r="K129" s="65" t="s">
        <v>291</v>
      </c>
      <c r="L129" s="65" t="s">
        <v>314</v>
      </c>
      <c r="M129" s="65" t="s">
        <v>472</v>
      </c>
      <c r="N129" s="51">
        <f t="shared" si="40"/>
        <v>50000000</v>
      </c>
      <c r="O129" s="51">
        <f t="shared" si="41"/>
        <v>416666.66666666669</v>
      </c>
      <c r="P129" s="28">
        <f t="shared" si="42"/>
        <v>47939</v>
      </c>
      <c r="Q129" s="68" t="str">
        <f t="shared" si="50"/>
        <v/>
      </c>
      <c r="R129" s="68" t="str">
        <f t="shared" si="50"/>
        <v/>
      </c>
      <c r="S129" s="68" t="str">
        <f t="shared" si="50"/>
        <v/>
      </c>
      <c r="T129" s="68" t="str">
        <f t="shared" si="50"/>
        <v/>
      </c>
      <c r="U129" s="68" t="str">
        <f t="shared" si="50"/>
        <v/>
      </c>
      <c r="V129" s="69">
        <f t="shared" si="50"/>
        <v>416666.66666666669</v>
      </c>
      <c r="W129" s="69">
        <f t="shared" si="50"/>
        <v>416666.66666666669</v>
      </c>
      <c r="X129" s="69">
        <f t="shared" si="50"/>
        <v>416666.66666666669</v>
      </c>
      <c r="Y129" s="69">
        <f t="shared" si="50"/>
        <v>416666.66666666669</v>
      </c>
      <c r="Z129" s="69">
        <f t="shared" si="50"/>
        <v>416666.66666666669</v>
      </c>
      <c r="AA129" s="69">
        <f t="shared" si="50"/>
        <v>416666.66666666669</v>
      </c>
      <c r="AB129" s="69">
        <f t="shared" si="50"/>
        <v>416666.66666666669</v>
      </c>
      <c r="AC129" s="69">
        <f t="shared" si="50"/>
        <v>416666.66666666669</v>
      </c>
      <c r="AD129" s="69">
        <f t="shared" si="50"/>
        <v>416666.66666666669</v>
      </c>
      <c r="AE129" s="69">
        <f t="shared" si="50"/>
        <v>416666.66666666669</v>
      </c>
      <c r="AF129" s="69">
        <f t="shared" si="50"/>
        <v>416666.66666666669</v>
      </c>
      <c r="AG129" s="69">
        <f t="shared" si="51"/>
        <v>416666.66666666669</v>
      </c>
      <c r="AH129" s="70">
        <f t="shared" si="51"/>
        <v>416666.66666666669</v>
      </c>
      <c r="AI129" s="70">
        <f t="shared" si="51"/>
        <v>416666.66666666669</v>
      </c>
      <c r="AJ129" s="70">
        <f t="shared" si="51"/>
        <v>416666.66666666669</v>
      </c>
      <c r="AK129" s="70">
        <f t="shared" si="51"/>
        <v>416666.66666666669</v>
      </c>
      <c r="AL129" s="70">
        <f t="shared" si="51"/>
        <v>416666.66666666669</v>
      </c>
      <c r="AM129" s="70">
        <f t="shared" si="51"/>
        <v>416666.66666666669</v>
      </c>
      <c r="AN129" s="70">
        <f t="shared" si="51"/>
        <v>416666.66666666669</v>
      </c>
      <c r="AO129" s="70">
        <f t="shared" si="51"/>
        <v>416666.66666666669</v>
      </c>
      <c r="AP129" s="70">
        <f t="shared" si="51"/>
        <v>416666.66666666669</v>
      </c>
      <c r="AQ129" s="70">
        <f t="shared" si="51"/>
        <v>416666.66666666669</v>
      </c>
      <c r="AR129" s="70">
        <f t="shared" si="51"/>
        <v>416666.66666666669</v>
      </c>
      <c r="AS129" s="70">
        <f t="shared" si="51"/>
        <v>416666.66666666669</v>
      </c>
      <c r="AT129" s="71">
        <f t="shared" si="51"/>
        <v>416666.66666666669</v>
      </c>
      <c r="AU129" s="71">
        <f t="shared" si="51"/>
        <v>416666.66666666669</v>
      </c>
      <c r="AV129" s="71">
        <f t="shared" si="51"/>
        <v>416666.66666666669</v>
      </c>
      <c r="AW129" s="71">
        <f t="shared" si="49"/>
        <v>416666.66666666669</v>
      </c>
      <c r="AX129" s="71">
        <f t="shared" si="49"/>
        <v>416666.66666666669</v>
      </c>
      <c r="AY129" s="71">
        <f t="shared" si="49"/>
        <v>416666.66666666669</v>
      </c>
      <c r="AZ129" s="71">
        <f t="shared" si="49"/>
        <v>416666.66666666669</v>
      </c>
      <c r="BA129" s="71">
        <f t="shared" si="49"/>
        <v>416666.66666666669</v>
      </c>
      <c r="BB129" s="71">
        <f t="shared" si="49"/>
        <v>416666.66666666669</v>
      </c>
      <c r="BC129" s="71">
        <f t="shared" si="49"/>
        <v>416666.66666666669</v>
      </c>
      <c r="BD129" s="71">
        <f t="shared" si="49"/>
        <v>416666.66666666669</v>
      </c>
      <c r="BE129" s="71">
        <f t="shared" si="49"/>
        <v>416666.66666666669</v>
      </c>
      <c r="BF129" s="68">
        <f t="shared" si="36"/>
        <v>0</v>
      </c>
      <c r="BG129" s="69">
        <f t="shared" si="37"/>
        <v>5000000</v>
      </c>
      <c r="BH129" s="70">
        <f t="shared" si="38"/>
        <v>5000000</v>
      </c>
      <c r="BI129" s="71">
        <f t="shared" si="39"/>
        <v>5000000</v>
      </c>
      <c r="BJ129" s="72">
        <f>VLOOKUP(D129,Master!AD:AG,3,FALSE)</f>
        <v>7611300</v>
      </c>
      <c r="BK129" s="73" t="str">
        <f>VLOOKUP(D129,Master!AD:AG,4,FALSE)</f>
        <v>Depreciation-Machiney &amp; equipment</v>
      </c>
    </row>
    <row r="130" spans="1:63" s="74" customFormat="1" ht="15" customHeight="1">
      <c r="A130" s="64" t="s">
        <v>308</v>
      </c>
      <c r="B130" s="25" t="s">
        <v>464</v>
      </c>
      <c r="C130" s="65" t="s">
        <v>221</v>
      </c>
      <c r="D130" s="66">
        <v>2141000</v>
      </c>
      <c r="E130" s="26">
        <v>9000000</v>
      </c>
      <c r="F130" s="67">
        <v>60</v>
      </c>
      <c r="G130" s="65" t="s">
        <v>293</v>
      </c>
      <c r="H130" s="27">
        <v>1</v>
      </c>
      <c r="I130" s="28">
        <v>44348</v>
      </c>
      <c r="J130" s="65" t="s">
        <v>310</v>
      </c>
      <c r="K130" s="65" t="s">
        <v>229</v>
      </c>
      <c r="L130" s="65" t="s">
        <v>317</v>
      </c>
      <c r="M130" s="65" t="s">
        <v>472</v>
      </c>
      <c r="N130" s="51">
        <f t="shared" si="40"/>
        <v>9000000</v>
      </c>
      <c r="O130" s="51">
        <f t="shared" si="41"/>
        <v>150000</v>
      </c>
      <c r="P130" s="28">
        <f t="shared" si="42"/>
        <v>46174</v>
      </c>
      <c r="Q130" s="68" t="str">
        <f t="shared" si="50"/>
        <v/>
      </c>
      <c r="R130" s="68" t="str">
        <f t="shared" si="50"/>
        <v/>
      </c>
      <c r="S130" s="68" t="str">
        <f t="shared" si="50"/>
        <v/>
      </c>
      <c r="T130" s="68" t="str">
        <f t="shared" si="50"/>
        <v/>
      </c>
      <c r="U130" s="68" t="str">
        <f t="shared" si="50"/>
        <v/>
      </c>
      <c r="V130" s="69" t="str">
        <f t="shared" si="50"/>
        <v/>
      </c>
      <c r="W130" s="69" t="str">
        <f t="shared" si="50"/>
        <v/>
      </c>
      <c r="X130" s="69">
        <f t="shared" si="50"/>
        <v>150000</v>
      </c>
      <c r="Y130" s="69">
        <f t="shared" si="50"/>
        <v>150000</v>
      </c>
      <c r="Z130" s="69">
        <f t="shared" si="50"/>
        <v>150000</v>
      </c>
      <c r="AA130" s="69">
        <f t="shared" si="50"/>
        <v>150000</v>
      </c>
      <c r="AB130" s="69">
        <f t="shared" si="50"/>
        <v>150000</v>
      </c>
      <c r="AC130" s="69">
        <f t="shared" si="50"/>
        <v>150000</v>
      </c>
      <c r="AD130" s="69">
        <f t="shared" si="50"/>
        <v>150000</v>
      </c>
      <c r="AE130" s="69">
        <f t="shared" si="50"/>
        <v>150000</v>
      </c>
      <c r="AF130" s="69">
        <f t="shared" si="50"/>
        <v>150000</v>
      </c>
      <c r="AG130" s="69">
        <f t="shared" si="51"/>
        <v>150000</v>
      </c>
      <c r="AH130" s="70">
        <f t="shared" si="51"/>
        <v>150000</v>
      </c>
      <c r="AI130" s="70">
        <f t="shared" si="51"/>
        <v>150000</v>
      </c>
      <c r="AJ130" s="70">
        <f t="shared" si="51"/>
        <v>150000</v>
      </c>
      <c r="AK130" s="70">
        <f t="shared" si="51"/>
        <v>150000</v>
      </c>
      <c r="AL130" s="70">
        <f t="shared" si="51"/>
        <v>150000</v>
      </c>
      <c r="AM130" s="70">
        <f t="shared" si="51"/>
        <v>150000</v>
      </c>
      <c r="AN130" s="70">
        <f t="shared" si="51"/>
        <v>150000</v>
      </c>
      <c r="AO130" s="70">
        <f t="shared" si="51"/>
        <v>150000</v>
      </c>
      <c r="AP130" s="70">
        <f t="shared" si="51"/>
        <v>150000</v>
      </c>
      <c r="AQ130" s="70">
        <f t="shared" si="51"/>
        <v>150000</v>
      </c>
      <c r="AR130" s="70">
        <f t="shared" si="51"/>
        <v>150000</v>
      </c>
      <c r="AS130" s="70">
        <f t="shared" si="51"/>
        <v>150000</v>
      </c>
      <c r="AT130" s="71">
        <f t="shared" si="51"/>
        <v>150000</v>
      </c>
      <c r="AU130" s="71">
        <f t="shared" si="51"/>
        <v>150000</v>
      </c>
      <c r="AV130" s="71">
        <f t="shared" si="51"/>
        <v>150000</v>
      </c>
      <c r="AW130" s="71">
        <f t="shared" si="49"/>
        <v>150000</v>
      </c>
      <c r="AX130" s="71">
        <f t="shared" si="49"/>
        <v>150000</v>
      </c>
      <c r="AY130" s="71">
        <f t="shared" si="49"/>
        <v>150000</v>
      </c>
      <c r="AZ130" s="71">
        <f t="shared" si="49"/>
        <v>150000</v>
      </c>
      <c r="BA130" s="71">
        <f t="shared" si="49"/>
        <v>150000</v>
      </c>
      <c r="BB130" s="71">
        <f t="shared" si="49"/>
        <v>150000</v>
      </c>
      <c r="BC130" s="71">
        <f t="shared" si="49"/>
        <v>150000</v>
      </c>
      <c r="BD130" s="71">
        <f t="shared" si="49"/>
        <v>150000</v>
      </c>
      <c r="BE130" s="71">
        <f t="shared" si="49"/>
        <v>150000</v>
      </c>
      <c r="BF130" s="68">
        <f t="shared" si="36"/>
        <v>0</v>
      </c>
      <c r="BG130" s="69">
        <f t="shared" si="37"/>
        <v>1500000</v>
      </c>
      <c r="BH130" s="70">
        <f t="shared" si="38"/>
        <v>1800000</v>
      </c>
      <c r="BI130" s="71">
        <f t="shared" si="39"/>
        <v>1800000</v>
      </c>
      <c r="BJ130" s="72">
        <f>VLOOKUP(D130,Master!AD:AG,3,FALSE)</f>
        <v>7611600</v>
      </c>
      <c r="BK130" s="73" t="str">
        <f>VLOOKUP(D130,Master!AD:AG,4,FALSE)</f>
        <v>Depreciation-Tools, furniture &amp; office equipment</v>
      </c>
    </row>
    <row r="131" spans="1:63" s="74" customFormat="1" ht="15" customHeight="1">
      <c r="A131" s="64" t="s">
        <v>326</v>
      </c>
      <c r="B131" s="25" t="s">
        <v>465</v>
      </c>
      <c r="C131" s="65" t="s">
        <v>221</v>
      </c>
      <c r="D131" s="66">
        <v>2141000</v>
      </c>
      <c r="E131" s="26">
        <v>10000000</v>
      </c>
      <c r="F131" s="67">
        <v>60</v>
      </c>
      <c r="G131" s="65" t="s">
        <v>293</v>
      </c>
      <c r="H131" s="27">
        <v>1</v>
      </c>
      <c r="I131" s="28">
        <v>44317</v>
      </c>
      <c r="J131" s="65" t="s">
        <v>310</v>
      </c>
      <c r="K131" s="65" t="s">
        <v>229</v>
      </c>
      <c r="L131" s="65" t="s">
        <v>317</v>
      </c>
      <c r="M131" s="65" t="s">
        <v>472</v>
      </c>
      <c r="N131" s="51">
        <f t="shared" si="40"/>
        <v>10000000</v>
      </c>
      <c r="O131" s="51">
        <f t="shared" si="41"/>
        <v>166666.66666666666</v>
      </c>
      <c r="P131" s="28">
        <f t="shared" si="42"/>
        <v>46143</v>
      </c>
      <c r="Q131" s="68" t="str">
        <f t="shared" si="50"/>
        <v/>
      </c>
      <c r="R131" s="68" t="str">
        <f t="shared" si="50"/>
        <v/>
      </c>
      <c r="S131" s="68" t="str">
        <f t="shared" si="50"/>
        <v/>
      </c>
      <c r="T131" s="68" t="str">
        <f t="shared" si="50"/>
        <v/>
      </c>
      <c r="U131" s="68" t="str">
        <f t="shared" si="50"/>
        <v/>
      </c>
      <c r="V131" s="69" t="str">
        <f t="shared" si="50"/>
        <v/>
      </c>
      <c r="W131" s="69">
        <f t="shared" si="50"/>
        <v>166666.66666666666</v>
      </c>
      <c r="X131" s="69">
        <f t="shared" si="50"/>
        <v>166666.66666666666</v>
      </c>
      <c r="Y131" s="69">
        <f t="shared" si="50"/>
        <v>166666.66666666666</v>
      </c>
      <c r="Z131" s="69">
        <f t="shared" si="50"/>
        <v>166666.66666666666</v>
      </c>
      <c r="AA131" s="69">
        <f t="shared" si="50"/>
        <v>166666.66666666666</v>
      </c>
      <c r="AB131" s="69">
        <f t="shared" si="50"/>
        <v>166666.66666666666</v>
      </c>
      <c r="AC131" s="69">
        <f t="shared" si="50"/>
        <v>166666.66666666666</v>
      </c>
      <c r="AD131" s="69">
        <f t="shared" si="50"/>
        <v>166666.66666666666</v>
      </c>
      <c r="AE131" s="69">
        <f t="shared" si="50"/>
        <v>166666.66666666666</v>
      </c>
      <c r="AF131" s="69">
        <f t="shared" si="50"/>
        <v>166666.66666666666</v>
      </c>
      <c r="AG131" s="69">
        <f t="shared" si="51"/>
        <v>166666.66666666666</v>
      </c>
      <c r="AH131" s="70">
        <f t="shared" si="51"/>
        <v>166666.66666666666</v>
      </c>
      <c r="AI131" s="70">
        <f t="shared" si="51"/>
        <v>166666.66666666666</v>
      </c>
      <c r="AJ131" s="70">
        <f t="shared" si="51"/>
        <v>166666.66666666666</v>
      </c>
      <c r="AK131" s="70">
        <f t="shared" si="51"/>
        <v>166666.66666666666</v>
      </c>
      <c r="AL131" s="70">
        <f t="shared" si="51"/>
        <v>166666.66666666666</v>
      </c>
      <c r="AM131" s="70">
        <f t="shared" si="51"/>
        <v>166666.66666666666</v>
      </c>
      <c r="AN131" s="70">
        <f t="shared" si="51"/>
        <v>166666.66666666666</v>
      </c>
      <c r="AO131" s="70">
        <f t="shared" si="51"/>
        <v>166666.66666666666</v>
      </c>
      <c r="AP131" s="70">
        <f t="shared" si="51"/>
        <v>166666.66666666666</v>
      </c>
      <c r="AQ131" s="70">
        <f t="shared" si="51"/>
        <v>166666.66666666666</v>
      </c>
      <c r="AR131" s="70">
        <f t="shared" si="51"/>
        <v>166666.66666666666</v>
      </c>
      <c r="AS131" s="70">
        <f t="shared" si="51"/>
        <v>166666.66666666666</v>
      </c>
      <c r="AT131" s="71">
        <f t="shared" si="51"/>
        <v>166666.66666666666</v>
      </c>
      <c r="AU131" s="71">
        <f t="shared" si="51"/>
        <v>166666.66666666666</v>
      </c>
      <c r="AV131" s="71">
        <f t="shared" si="51"/>
        <v>166666.66666666666</v>
      </c>
      <c r="AW131" s="71">
        <f t="shared" si="49"/>
        <v>166666.66666666666</v>
      </c>
      <c r="AX131" s="71">
        <f t="shared" si="49"/>
        <v>166666.66666666666</v>
      </c>
      <c r="AY131" s="71">
        <f t="shared" si="49"/>
        <v>166666.66666666666</v>
      </c>
      <c r="AZ131" s="71">
        <f t="shared" si="49"/>
        <v>166666.66666666666</v>
      </c>
      <c r="BA131" s="71">
        <f t="shared" si="49"/>
        <v>166666.66666666666</v>
      </c>
      <c r="BB131" s="71">
        <f t="shared" si="49"/>
        <v>166666.66666666666</v>
      </c>
      <c r="BC131" s="71">
        <f t="shared" si="49"/>
        <v>166666.66666666666</v>
      </c>
      <c r="BD131" s="71">
        <f t="shared" si="49"/>
        <v>166666.66666666666</v>
      </c>
      <c r="BE131" s="71">
        <f t="shared" si="49"/>
        <v>166666.66666666666</v>
      </c>
      <c r="BF131" s="68">
        <f t="shared" si="36"/>
        <v>0</v>
      </c>
      <c r="BG131" s="69">
        <f t="shared" si="37"/>
        <v>1833333.3333333335</v>
      </c>
      <c r="BH131" s="70">
        <f t="shared" si="38"/>
        <v>2000000.0000000002</v>
      </c>
      <c r="BI131" s="71">
        <f t="shared" si="39"/>
        <v>2000000.0000000002</v>
      </c>
      <c r="BJ131" s="72">
        <f>VLOOKUP(D131,Master!AD:AG,3,FALSE)</f>
        <v>7611600</v>
      </c>
      <c r="BK131" s="73" t="str">
        <f>VLOOKUP(D131,Master!AD:AG,4,FALSE)</f>
        <v>Depreciation-Tools, furniture &amp; office equipment</v>
      </c>
    </row>
    <row r="132" spans="1:63" s="74" customFormat="1" ht="15" customHeight="1">
      <c r="A132" s="64" t="s">
        <v>328</v>
      </c>
      <c r="B132" s="25" t="s">
        <v>466</v>
      </c>
      <c r="C132" s="65" t="s">
        <v>221</v>
      </c>
      <c r="D132" s="66">
        <v>2141000</v>
      </c>
      <c r="E132" s="26">
        <v>10000000</v>
      </c>
      <c r="F132" s="67">
        <v>60</v>
      </c>
      <c r="G132" s="65" t="s">
        <v>293</v>
      </c>
      <c r="H132" s="27">
        <v>1</v>
      </c>
      <c r="I132" s="28">
        <v>44317</v>
      </c>
      <c r="J132" s="65" t="s">
        <v>310</v>
      </c>
      <c r="K132" s="65" t="s">
        <v>229</v>
      </c>
      <c r="L132" s="65" t="s">
        <v>317</v>
      </c>
      <c r="M132" s="65" t="s">
        <v>472</v>
      </c>
      <c r="N132" s="51">
        <f t="shared" si="40"/>
        <v>10000000</v>
      </c>
      <c r="O132" s="51">
        <f t="shared" si="41"/>
        <v>166666.66666666666</v>
      </c>
      <c r="P132" s="28">
        <f t="shared" si="42"/>
        <v>46143</v>
      </c>
      <c r="Q132" s="68" t="str">
        <f t="shared" si="50"/>
        <v/>
      </c>
      <c r="R132" s="68" t="str">
        <f t="shared" si="50"/>
        <v/>
      </c>
      <c r="S132" s="68" t="str">
        <f t="shared" si="50"/>
        <v/>
      </c>
      <c r="T132" s="68" t="str">
        <f t="shared" si="50"/>
        <v/>
      </c>
      <c r="U132" s="68" t="str">
        <f t="shared" si="50"/>
        <v/>
      </c>
      <c r="V132" s="69" t="str">
        <f t="shared" si="50"/>
        <v/>
      </c>
      <c r="W132" s="69">
        <f t="shared" si="50"/>
        <v>166666.66666666666</v>
      </c>
      <c r="X132" s="69">
        <f t="shared" si="50"/>
        <v>166666.66666666666</v>
      </c>
      <c r="Y132" s="69">
        <f t="shared" si="50"/>
        <v>166666.66666666666</v>
      </c>
      <c r="Z132" s="69">
        <f t="shared" ref="Z132:AF148" si="52">IF(AND(LEFT(Z$1,FIND("_",Z$1)-1)&amp;RIGHT(Z$1,LEN(Z$1)-FIND("_",Z$1)) &gt;= YEAR($I132) &amp; TEXT(MONTH($I132),"00"),LEFT(Z$1,FIND("_",Z$1)-1)&amp;RIGHT(Z$1,LEN(Z$1)-FIND("_",Z$1)) &lt; YEAR($P132) &amp; TEXT(MONTH($P132),"00")),$O132,"")</f>
        <v>166666.66666666666</v>
      </c>
      <c r="AA132" s="69">
        <f t="shared" si="52"/>
        <v>166666.66666666666</v>
      </c>
      <c r="AB132" s="69">
        <f t="shared" si="52"/>
        <v>166666.66666666666</v>
      </c>
      <c r="AC132" s="69">
        <f t="shared" si="52"/>
        <v>166666.66666666666</v>
      </c>
      <c r="AD132" s="69">
        <f t="shared" si="52"/>
        <v>166666.66666666666</v>
      </c>
      <c r="AE132" s="69">
        <f t="shared" si="52"/>
        <v>166666.66666666666</v>
      </c>
      <c r="AF132" s="69">
        <f t="shared" si="52"/>
        <v>166666.66666666666</v>
      </c>
      <c r="AG132" s="69">
        <f t="shared" si="51"/>
        <v>166666.66666666666</v>
      </c>
      <c r="AH132" s="70">
        <f t="shared" si="51"/>
        <v>166666.66666666666</v>
      </c>
      <c r="AI132" s="70">
        <f t="shared" si="51"/>
        <v>166666.66666666666</v>
      </c>
      <c r="AJ132" s="70">
        <f t="shared" si="51"/>
        <v>166666.66666666666</v>
      </c>
      <c r="AK132" s="70">
        <f t="shared" si="51"/>
        <v>166666.66666666666</v>
      </c>
      <c r="AL132" s="70">
        <f t="shared" si="51"/>
        <v>166666.66666666666</v>
      </c>
      <c r="AM132" s="70">
        <f t="shared" si="51"/>
        <v>166666.66666666666</v>
      </c>
      <c r="AN132" s="70">
        <f t="shared" si="51"/>
        <v>166666.66666666666</v>
      </c>
      <c r="AO132" s="70">
        <f t="shared" si="51"/>
        <v>166666.66666666666</v>
      </c>
      <c r="AP132" s="70">
        <f t="shared" si="51"/>
        <v>166666.66666666666</v>
      </c>
      <c r="AQ132" s="70">
        <f t="shared" si="51"/>
        <v>166666.66666666666</v>
      </c>
      <c r="AR132" s="70">
        <f t="shared" si="51"/>
        <v>166666.66666666666</v>
      </c>
      <c r="AS132" s="70">
        <f t="shared" si="51"/>
        <v>166666.66666666666</v>
      </c>
      <c r="AT132" s="71">
        <f t="shared" si="51"/>
        <v>166666.66666666666</v>
      </c>
      <c r="AU132" s="71">
        <f t="shared" si="51"/>
        <v>166666.66666666666</v>
      </c>
      <c r="AV132" s="71">
        <f t="shared" si="51"/>
        <v>166666.66666666666</v>
      </c>
      <c r="AW132" s="71">
        <f t="shared" si="49"/>
        <v>166666.66666666666</v>
      </c>
      <c r="AX132" s="71">
        <f t="shared" si="49"/>
        <v>166666.66666666666</v>
      </c>
      <c r="AY132" s="71">
        <f t="shared" si="49"/>
        <v>166666.66666666666</v>
      </c>
      <c r="AZ132" s="71">
        <f t="shared" si="49"/>
        <v>166666.66666666666</v>
      </c>
      <c r="BA132" s="71">
        <f t="shared" si="49"/>
        <v>166666.66666666666</v>
      </c>
      <c r="BB132" s="71">
        <f t="shared" si="49"/>
        <v>166666.66666666666</v>
      </c>
      <c r="BC132" s="71">
        <f t="shared" si="49"/>
        <v>166666.66666666666</v>
      </c>
      <c r="BD132" s="71">
        <f t="shared" si="49"/>
        <v>166666.66666666666</v>
      </c>
      <c r="BE132" s="71">
        <f t="shared" si="49"/>
        <v>166666.66666666666</v>
      </c>
      <c r="BF132" s="68">
        <f t="shared" ref="BF132:BF141" si="53">SUM(Q132:U132)</f>
        <v>0</v>
      </c>
      <c r="BG132" s="69">
        <f t="shared" ref="BG132:BG141" si="54">SUM(V132:AG132)</f>
        <v>1833333.3333333335</v>
      </c>
      <c r="BH132" s="70">
        <f t="shared" ref="BH132:BH141" si="55">SUM(AH132:AS132)</f>
        <v>2000000.0000000002</v>
      </c>
      <c r="BI132" s="71">
        <f t="shared" ref="BI132:BI141" si="56">SUM(AT132:BE132)</f>
        <v>2000000.0000000002</v>
      </c>
      <c r="BJ132" s="72">
        <f>VLOOKUP(D132,Master!AD:AG,3,FALSE)</f>
        <v>7611600</v>
      </c>
      <c r="BK132" s="73" t="str">
        <f>VLOOKUP(D132,Master!AD:AG,4,FALSE)</f>
        <v>Depreciation-Tools, furniture &amp; office equipment</v>
      </c>
    </row>
    <row r="133" spans="1:63" s="74" customFormat="1" ht="15" customHeight="1">
      <c r="A133" s="64" t="s">
        <v>356</v>
      </c>
      <c r="B133" s="25" t="s">
        <v>467</v>
      </c>
      <c r="C133" s="65" t="s">
        <v>221</v>
      </c>
      <c r="D133" s="66">
        <v>2141000</v>
      </c>
      <c r="E133" s="26">
        <v>7000000</v>
      </c>
      <c r="F133" s="67">
        <v>60</v>
      </c>
      <c r="G133" s="65" t="s">
        <v>293</v>
      </c>
      <c r="H133" s="27">
        <v>1</v>
      </c>
      <c r="I133" s="28">
        <v>44287</v>
      </c>
      <c r="J133" s="65" t="s">
        <v>310</v>
      </c>
      <c r="K133" s="65" t="s">
        <v>229</v>
      </c>
      <c r="L133" s="65" t="s">
        <v>314</v>
      </c>
      <c r="M133" s="65" t="s">
        <v>472</v>
      </c>
      <c r="N133" s="51">
        <f t="shared" si="40"/>
        <v>7000000</v>
      </c>
      <c r="O133" s="51">
        <f t="shared" si="41"/>
        <v>116666.66666666667</v>
      </c>
      <c r="P133" s="28">
        <f t="shared" si="42"/>
        <v>46113</v>
      </c>
      <c r="Q133" s="68" t="str">
        <f t="shared" ref="Q133:Y148" si="57">IF(AND(LEFT(Q$1,FIND("_",Q$1)-1)&amp;RIGHT(Q$1,LEN(Q$1)-FIND("_",Q$1)) &gt;= YEAR($I133) &amp; TEXT(MONTH($I133),"00"),LEFT(Q$1,FIND("_",Q$1)-1)&amp;RIGHT(Q$1,LEN(Q$1)-FIND("_",Q$1)) &lt; YEAR($P133) &amp; TEXT(MONTH($P133),"00")),$O133,"")</f>
        <v/>
      </c>
      <c r="R133" s="68" t="str">
        <f t="shared" si="57"/>
        <v/>
      </c>
      <c r="S133" s="68" t="str">
        <f t="shared" si="57"/>
        <v/>
      </c>
      <c r="T133" s="68" t="str">
        <f t="shared" si="57"/>
        <v/>
      </c>
      <c r="U133" s="68" t="str">
        <f t="shared" si="57"/>
        <v/>
      </c>
      <c r="V133" s="69">
        <f t="shared" si="57"/>
        <v>116666.66666666667</v>
      </c>
      <c r="W133" s="69">
        <f t="shared" si="57"/>
        <v>116666.66666666667</v>
      </c>
      <c r="X133" s="69">
        <f t="shared" si="57"/>
        <v>116666.66666666667</v>
      </c>
      <c r="Y133" s="69">
        <f t="shared" si="57"/>
        <v>116666.66666666667</v>
      </c>
      <c r="Z133" s="69">
        <f t="shared" si="52"/>
        <v>116666.66666666667</v>
      </c>
      <c r="AA133" s="69">
        <f t="shared" si="52"/>
        <v>116666.66666666667</v>
      </c>
      <c r="AB133" s="69">
        <f t="shared" si="52"/>
        <v>116666.66666666667</v>
      </c>
      <c r="AC133" s="69">
        <f t="shared" si="52"/>
        <v>116666.66666666667</v>
      </c>
      <c r="AD133" s="69">
        <f t="shared" si="52"/>
        <v>116666.66666666667</v>
      </c>
      <c r="AE133" s="69">
        <f t="shared" si="52"/>
        <v>116666.66666666667</v>
      </c>
      <c r="AF133" s="69">
        <f t="shared" si="52"/>
        <v>116666.66666666667</v>
      </c>
      <c r="AG133" s="69">
        <f t="shared" si="51"/>
        <v>116666.66666666667</v>
      </c>
      <c r="AH133" s="70">
        <f t="shared" si="51"/>
        <v>116666.66666666667</v>
      </c>
      <c r="AI133" s="70">
        <f t="shared" si="51"/>
        <v>116666.66666666667</v>
      </c>
      <c r="AJ133" s="70">
        <f t="shared" si="51"/>
        <v>116666.66666666667</v>
      </c>
      <c r="AK133" s="70">
        <f t="shared" si="51"/>
        <v>116666.66666666667</v>
      </c>
      <c r="AL133" s="70">
        <f t="shared" si="51"/>
        <v>116666.66666666667</v>
      </c>
      <c r="AM133" s="70">
        <f t="shared" si="51"/>
        <v>116666.66666666667</v>
      </c>
      <c r="AN133" s="70">
        <f t="shared" si="51"/>
        <v>116666.66666666667</v>
      </c>
      <c r="AO133" s="70">
        <f t="shared" si="51"/>
        <v>116666.66666666667</v>
      </c>
      <c r="AP133" s="70">
        <f t="shared" si="51"/>
        <v>116666.66666666667</v>
      </c>
      <c r="AQ133" s="70">
        <f t="shared" si="51"/>
        <v>116666.66666666667</v>
      </c>
      <c r="AR133" s="70">
        <f t="shared" si="51"/>
        <v>116666.66666666667</v>
      </c>
      <c r="AS133" s="70">
        <f t="shared" si="51"/>
        <v>116666.66666666667</v>
      </c>
      <c r="AT133" s="71">
        <f t="shared" si="51"/>
        <v>116666.66666666667</v>
      </c>
      <c r="AU133" s="71">
        <f t="shared" si="51"/>
        <v>116666.66666666667</v>
      </c>
      <c r="AV133" s="71">
        <f t="shared" si="51"/>
        <v>116666.66666666667</v>
      </c>
      <c r="AW133" s="71">
        <f t="shared" si="49"/>
        <v>116666.66666666667</v>
      </c>
      <c r="AX133" s="71">
        <f t="shared" si="49"/>
        <v>116666.66666666667</v>
      </c>
      <c r="AY133" s="71">
        <f t="shared" si="49"/>
        <v>116666.66666666667</v>
      </c>
      <c r="AZ133" s="71">
        <f t="shared" si="49"/>
        <v>116666.66666666667</v>
      </c>
      <c r="BA133" s="71">
        <f t="shared" si="49"/>
        <v>116666.66666666667</v>
      </c>
      <c r="BB133" s="71">
        <f t="shared" si="49"/>
        <v>116666.66666666667</v>
      </c>
      <c r="BC133" s="71">
        <f t="shared" si="49"/>
        <v>116666.66666666667</v>
      </c>
      <c r="BD133" s="71">
        <f t="shared" si="49"/>
        <v>116666.66666666667</v>
      </c>
      <c r="BE133" s="71">
        <f t="shared" si="49"/>
        <v>116666.66666666667</v>
      </c>
      <c r="BF133" s="68">
        <f t="shared" si="53"/>
        <v>0</v>
      </c>
      <c r="BG133" s="69">
        <f t="shared" si="54"/>
        <v>1400000.0000000002</v>
      </c>
      <c r="BH133" s="70">
        <f t="shared" si="55"/>
        <v>1400000.0000000002</v>
      </c>
      <c r="BI133" s="71">
        <f t="shared" si="56"/>
        <v>1400000.0000000002</v>
      </c>
      <c r="BJ133" s="72">
        <f>VLOOKUP(D133,Master!AD:AG,3,FALSE)</f>
        <v>7611600</v>
      </c>
      <c r="BK133" s="73" t="str">
        <f>VLOOKUP(D133,Master!AD:AG,4,FALSE)</f>
        <v>Depreciation-Tools, furniture &amp; office equipment</v>
      </c>
    </row>
    <row r="134" spans="1:63" s="74" customFormat="1" ht="15" customHeight="1">
      <c r="A134" s="64" t="s">
        <v>308</v>
      </c>
      <c r="B134" s="25" t="s">
        <v>468</v>
      </c>
      <c r="C134" s="65" t="s">
        <v>221</v>
      </c>
      <c r="D134" s="66">
        <v>2141000</v>
      </c>
      <c r="E134" s="26">
        <v>25000000</v>
      </c>
      <c r="F134" s="67">
        <v>60</v>
      </c>
      <c r="G134" s="65" t="s">
        <v>293</v>
      </c>
      <c r="H134" s="27">
        <v>1</v>
      </c>
      <c r="I134" s="28">
        <v>44378</v>
      </c>
      <c r="J134" s="65" t="s">
        <v>310</v>
      </c>
      <c r="K134" s="65" t="s">
        <v>293</v>
      </c>
      <c r="L134" s="65" t="s">
        <v>320</v>
      </c>
      <c r="M134" s="65" t="s">
        <v>472</v>
      </c>
      <c r="N134" s="51">
        <f t="shared" si="40"/>
        <v>25000000</v>
      </c>
      <c r="O134" s="51">
        <f t="shared" si="41"/>
        <v>416666.66666666669</v>
      </c>
      <c r="P134" s="28">
        <f t="shared" si="42"/>
        <v>46204</v>
      </c>
      <c r="Q134" s="68" t="str">
        <f t="shared" si="57"/>
        <v/>
      </c>
      <c r="R134" s="68" t="str">
        <f t="shared" si="57"/>
        <v/>
      </c>
      <c r="S134" s="68" t="str">
        <f t="shared" si="57"/>
        <v/>
      </c>
      <c r="T134" s="68" t="str">
        <f t="shared" si="57"/>
        <v/>
      </c>
      <c r="U134" s="68" t="str">
        <f t="shared" si="57"/>
        <v/>
      </c>
      <c r="V134" s="69" t="str">
        <f t="shared" si="57"/>
        <v/>
      </c>
      <c r="W134" s="69" t="str">
        <f t="shared" si="57"/>
        <v/>
      </c>
      <c r="X134" s="69" t="str">
        <f t="shared" si="57"/>
        <v/>
      </c>
      <c r="Y134" s="69">
        <f t="shared" si="57"/>
        <v>416666.66666666669</v>
      </c>
      <c r="Z134" s="69">
        <f t="shared" si="52"/>
        <v>416666.66666666669</v>
      </c>
      <c r="AA134" s="69">
        <f t="shared" si="52"/>
        <v>416666.66666666669</v>
      </c>
      <c r="AB134" s="69">
        <f t="shared" si="52"/>
        <v>416666.66666666669</v>
      </c>
      <c r="AC134" s="69">
        <f t="shared" si="52"/>
        <v>416666.66666666669</v>
      </c>
      <c r="AD134" s="69">
        <f t="shared" si="52"/>
        <v>416666.66666666669</v>
      </c>
      <c r="AE134" s="69">
        <f t="shared" si="52"/>
        <v>416666.66666666669</v>
      </c>
      <c r="AF134" s="69">
        <f t="shared" si="52"/>
        <v>416666.66666666669</v>
      </c>
      <c r="AG134" s="69">
        <f t="shared" si="51"/>
        <v>416666.66666666669</v>
      </c>
      <c r="AH134" s="70">
        <f t="shared" si="51"/>
        <v>416666.66666666669</v>
      </c>
      <c r="AI134" s="70">
        <f t="shared" si="51"/>
        <v>416666.66666666669</v>
      </c>
      <c r="AJ134" s="70">
        <f t="shared" si="51"/>
        <v>416666.66666666669</v>
      </c>
      <c r="AK134" s="70">
        <f t="shared" si="51"/>
        <v>416666.66666666669</v>
      </c>
      <c r="AL134" s="70">
        <f t="shared" si="51"/>
        <v>416666.66666666669</v>
      </c>
      <c r="AM134" s="70">
        <f t="shared" si="51"/>
        <v>416666.66666666669</v>
      </c>
      <c r="AN134" s="70">
        <f t="shared" si="51"/>
        <v>416666.66666666669</v>
      </c>
      <c r="AO134" s="70">
        <f t="shared" si="51"/>
        <v>416666.66666666669</v>
      </c>
      <c r="AP134" s="70">
        <f t="shared" si="51"/>
        <v>416666.66666666669</v>
      </c>
      <c r="AQ134" s="70">
        <f t="shared" si="51"/>
        <v>416666.66666666669</v>
      </c>
      <c r="AR134" s="70">
        <f t="shared" si="51"/>
        <v>416666.66666666669</v>
      </c>
      <c r="AS134" s="70">
        <f t="shared" si="51"/>
        <v>416666.66666666669</v>
      </c>
      <c r="AT134" s="71">
        <f t="shared" si="51"/>
        <v>416666.66666666669</v>
      </c>
      <c r="AU134" s="71">
        <f t="shared" si="51"/>
        <v>416666.66666666669</v>
      </c>
      <c r="AV134" s="71">
        <f t="shared" si="51"/>
        <v>416666.66666666669</v>
      </c>
      <c r="AW134" s="71">
        <f t="shared" si="49"/>
        <v>416666.66666666669</v>
      </c>
      <c r="AX134" s="71">
        <f t="shared" si="49"/>
        <v>416666.66666666669</v>
      </c>
      <c r="AY134" s="71">
        <f t="shared" si="49"/>
        <v>416666.66666666669</v>
      </c>
      <c r="AZ134" s="71">
        <f t="shared" si="49"/>
        <v>416666.66666666669</v>
      </c>
      <c r="BA134" s="71">
        <f t="shared" si="49"/>
        <v>416666.66666666669</v>
      </c>
      <c r="BB134" s="71">
        <f t="shared" si="49"/>
        <v>416666.66666666669</v>
      </c>
      <c r="BC134" s="71">
        <f t="shared" si="49"/>
        <v>416666.66666666669</v>
      </c>
      <c r="BD134" s="71">
        <f t="shared" si="49"/>
        <v>416666.66666666669</v>
      </c>
      <c r="BE134" s="71">
        <f t="shared" si="49"/>
        <v>416666.66666666669</v>
      </c>
      <c r="BF134" s="68">
        <f t="shared" si="53"/>
        <v>0</v>
      </c>
      <c r="BG134" s="69">
        <f t="shared" si="54"/>
        <v>3749999.9999999995</v>
      </c>
      <c r="BH134" s="70">
        <f t="shared" si="55"/>
        <v>5000000</v>
      </c>
      <c r="BI134" s="71">
        <f t="shared" si="56"/>
        <v>5000000</v>
      </c>
      <c r="BJ134" s="72">
        <f>VLOOKUP(D134,Master!AD:AG,3,FALSE)</f>
        <v>7611600</v>
      </c>
      <c r="BK134" s="73" t="str">
        <f>VLOOKUP(D134,Master!AD:AG,4,FALSE)</f>
        <v>Depreciation-Tools, furniture &amp; office equipment</v>
      </c>
    </row>
    <row r="135" spans="1:63" s="74" customFormat="1" ht="15" customHeight="1">
      <c r="A135" s="64" t="s">
        <v>308</v>
      </c>
      <c r="B135" s="25" t="s">
        <v>474</v>
      </c>
      <c r="C135" s="65" t="s">
        <v>221</v>
      </c>
      <c r="D135" s="66">
        <v>2141000</v>
      </c>
      <c r="E135" s="26">
        <v>8000000</v>
      </c>
      <c r="F135" s="67">
        <v>60</v>
      </c>
      <c r="G135" s="65" t="s">
        <v>227</v>
      </c>
      <c r="H135" s="27">
        <v>1</v>
      </c>
      <c r="I135" s="28">
        <v>44470</v>
      </c>
      <c r="J135" s="65" t="s">
        <v>310</v>
      </c>
      <c r="K135" s="65" t="s">
        <v>227</v>
      </c>
      <c r="L135" s="65" t="s">
        <v>317</v>
      </c>
      <c r="M135" s="65" t="s">
        <v>472</v>
      </c>
      <c r="N135" s="51">
        <f t="shared" ref="N135:N141" si="58">H135*E135</f>
        <v>8000000</v>
      </c>
      <c r="O135" s="51">
        <f t="shared" ref="O135:O141" si="59">N135/F135</f>
        <v>133333.33333333334</v>
      </c>
      <c r="P135" s="28">
        <f t="shared" ref="P135:P141" si="60">DATE(YEAR(I135),MONTH(I135)+F135,DAY(I135))</f>
        <v>46296</v>
      </c>
      <c r="Q135" s="68" t="str">
        <f t="shared" si="57"/>
        <v/>
      </c>
      <c r="R135" s="68" t="str">
        <f t="shared" si="57"/>
        <v/>
      </c>
      <c r="S135" s="68" t="str">
        <f t="shared" si="57"/>
        <v/>
      </c>
      <c r="T135" s="68" t="str">
        <f t="shared" si="57"/>
        <v/>
      </c>
      <c r="U135" s="68" t="str">
        <f t="shared" si="57"/>
        <v/>
      </c>
      <c r="V135" s="69" t="str">
        <f t="shared" si="57"/>
        <v/>
      </c>
      <c r="W135" s="69" t="str">
        <f t="shared" si="57"/>
        <v/>
      </c>
      <c r="X135" s="69" t="str">
        <f t="shared" si="57"/>
        <v/>
      </c>
      <c r="Y135" s="69" t="str">
        <f t="shared" si="57"/>
        <v/>
      </c>
      <c r="Z135" s="69" t="str">
        <f t="shared" si="52"/>
        <v/>
      </c>
      <c r="AA135" s="69" t="str">
        <f t="shared" si="52"/>
        <v/>
      </c>
      <c r="AB135" s="69">
        <f t="shared" si="52"/>
        <v>133333.33333333334</v>
      </c>
      <c r="AC135" s="69">
        <f t="shared" si="52"/>
        <v>133333.33333333334</v>
      </c>
      <c r="AD135" s="69">
        <f t="shared" si="52"/>
        <v>133333.33333333334</v>
      </c>
      <c r="AE135" s="69">
        <f t="shared" si="52"/>
        <v>133333.33333333334</v>
      </c>
      <c r="AF135" s="69">
        <f t="shared" si="52"/>
        <v>133333.33333333334</v>
      </c>
      <c r="AG135" s="69">
        <f t="shared" si="51"/>
        <v>133333.33333333334</v>
      </c>
      <c r="AH135" s="70">
        <f t="shared" si="51"/>
        <v>133333.33333333334</v>
      </c>
      <c r="AI135" s="70">
        <f t="shared" si="51"/>
        <v>133333.33333333334</v>
      </c>
      <c r="AJ135" s="70">
        <f t="shared" si="51"/>
        <v>133333.33333333334</v>
      </c>
      <c r="AK135" s="70">
        <f t="shared" si="51"/>
        <v>133333.33333333334</v>
      </c>
      <c r="AL135" s="70">
        <f t="shared" si="51"/>
        <v>133333.33333333334</v>
      </c>
      <c r="AM135" s="70">
        <f t="shared" si="51"/>
        <v>133333.33333333334</v>
      </c>
      <c r="AN135" s="70">
        <f t="shared" si="51"/>
        <v>133333.33333333334</v>
      </c>
      <c r="AO135" s="70">
        <f t="shared" si="51"/>
        <v>133333.33333333334</v>
      </c>
      <c r="AP135" s="70">
        <f t="shared" si="51"/>
        <v>133333.33333333334</v>
      </c>
      <c r="AQ135" s="70">
        <f t="shared" si="51"/>
        <v>133333.33333333334</v>
      </c>
      <c r="AR135" s="70">
        <f t="shared" si="51"/>
        <v>133333.33333333334</v>
      </c>
      <c r="AS135" s="70">
        <f t="shared" si="51"/>
        <v>133333.33333333334</v>
      </c>
      <c r="AT135" s="71">
        <f t="shared" si="51"/>
        <v>133333.33333333334</v>
      </c>
      <c r="AU135" s="71">
        <f t="shared" si="51"/>
        <v>133333.33333333334</v>
      </c>
      <c r="AV135" s="71">
        <f t="shared" si="51"/>
        <v>133333.33333333334</v>
      </c>
      <c r="AW135" s="71">
        <f t="shared" si="49"/>
        <v>133333.33333333334</v>
      </c>
      <c r="AX135" s="71">
        <f t="shared" si="49"/>
        <v>133333.33333333334</v>
      </c>
      <c r="AY135" s="71">
        <f t="shared" si="49"/>
        <v>133333.33333333334</v>
      </c>
      <c r="AZ135" s="71">
        <f t="shared" si="49"/>
        <v>133333.33333333334</v>
      </c>
      <c r="BA135" s="71">
        <f t="shared" si="49"/>
        <v>133333.33333333334</v>
      </c>
      <c r="BB135" s="71">
        <f t="shared" si="49"/>
        <v>133333.33333333334</v>
      </c>
      <c r="BC135" s="71">
        <f t="shared" si="49"/>
        <v>133333.33333333334</v>
      </c>
      <c r="BD135" s="71">
        <f t="shared" si="49"/>
        <v>133333.33333333334</v>
      </c>
      <c r="BE135" s="71">
        <f t="shared" si="49"/>
        <v>133333.33333333334</v>
      </c>
      <c r="BF135" s="68">
        <f t="shared" si="53"/>
        <v>0</v>
      </c>
      <c r="BG135" s="69">
        <f t="shared" si="54"/>
        <v>800000.00000000012</v>
      </c>
      <c r="BH135" s="70">
        <f t="shared" si="55"/>
        <v>1599999.9999999998</v>
      </c>
      <c r="BI135" s="71">
        <f t="shared" si="56"/>
        <v>1599999.9999999998</v>
      </c>
      <c r="BJ135" s="72">
        <f>VLOOKUP(D135,Master!AD:AG,3,FALSE)</f>
        <v>7611600</v>
      </c>
      <c r="BK135" s="73" t="str">
        <f>VLOOKUP(D135,Master!AD:AG,4,FALSE)</f>
        <v>Depreciation-Tools, furniture &amp; office equipment</v>
      </c>
    </row>
    <row r="136" spans="1:63" s="74" customFormat="1" ht="15" customHeight="1">
      <c r="A136" s="64" t="s">
        <v>326</v>
      </c>
      <c r="B136" s="25" t="s">
        <v>475</v>
      </c>
      <c r="C136" s="65" t="s">
        <v>221</v>
      </c>
      <c r="D136" s="66">
        <v>2141000</v>
      </c>
      <c r="E136" s="26">
        <v>15000000</v>
      </c>
      <c r="F136" s="67">
        <v>60</v>
      </c>
      <c r="G136" s="65" t="s">
        <v>227</v>
      </c>
      <c r="H136" s="27">
        <v>1</v>
      </c>
      <c r="I136" s="28">
        <v>44743</v>
      </c>
      <c r="J136" s="65" t="s">
        <v>310</v>
      </c>
      <c r="K136" s="65" t="s">
        <v>227</v>
      </c>
      <c r="L136" s="65" t="s">
        <v>317</v>
      </c>
      <c r="M136" s="65" t="s">
        <v>471</v>
      </c>
      <c r="N136" s="51">
        <f t="shared" si="58"/>
        <v>15000000</v>
      </c>
      <c r="O136" s="51">
        <f t="shared" si="59"/>
        <v>250000</v>
      </c>
      <c r="P136" s="28">
        <f t="shared" si="60"/>
        <v>46569</v>
      </c>
      <c r="Q136" s="68" t="str">
        <f t="shared" si="57"/>
        <v/>
      </c>
      <c r="R136" s="68" t="str">
        <f t="shared" si="57"/>
        <v/>
      </c>
      <c r="S136" s="68" t="str">
        <f t="shared" si="57"/>
        <v/>
      </c>
      <c r="T136" s="68" t="str">
        <f t="shared" si="57"/>
        <v/>
      </c>
      <c r="U136" s="68" t="str">
        <f t="shared" si="57"/>
        <v/>
      </c>
      <c r="V136" s="69" t="str">
        <f t="shared" si="57"/>
        <v/>
      </c>
      <c r="W136" s="69" t="str">
        <f t="shared" si="57"/>
        <v/>
      </c>
      <c r="X136" s="69" t="str">
        <f t="shared" si="57"/>
        <v/>
      </c>
      <c r="Y136" s="69" t="str">
        <f t="shared" si="57"/>
        <v/>
      </c>
      <c r="Z136" s="69" t="str">
        <f t="shared" si="52"/>
        <v/>
      </c>
      <c r="AA136" s="69" t="str">
        <f t="shared" si="52"/>
        <v/>
      </c>
      <c r="AB136" s="69" t="str">
        <f t="shared" si="52"/>
        <v/>
      </c>
      <c r="AC136" s="69" t="str">
        <f t="shared" si="52"/>
        <v/>
      </c>
      <c r="AD136" s="69" t="str">
        <f t="shared" si="52"/>
        <v/>
      </c>
      <c r="AE136" s="69" t="str">
        <f t="shared" si="52"/>
        <v/>
      </c>
      <c r="AF136" s="69" t="str">
        <f t="shared" si="52"/>
        <v/>
      </c>
      <c r="AG136" s="69" t="str">
        <f t="shared" si="51"/>
        <v/>
      </c>
      <c r="AH136" s="70" t="str">
        <f t="shared" si="51"/>
        <v/>
      </c>
      <c r="AI136" s="70" t="str">
        <f t="shared" si="51"/>
        <v/>
      </c>
      <c r="AJ136" s="70" t="str">
        <f t="shared" si="51"/>
        <v/>
      </c>
      <c r="AK136" s="70">
        <f t="shared" si="51"/>
        <v>250000</v>
      </c>
      <c r="AL136" s="70">
        <f t="shared" si="51"/>
        <v>250000</v>
      </c>
      <c r="AM136" s="70">
        <f t="shared" si="51"/>
        <v>250000</v>
      </c>
      <c r="AN136" s="70">
        <f t="shared" si="51"/>
        <v>250000</v>
      </c>
      <c r="AO136" s="70">
        <f t="shared" ref="AO136:AV151" si="61">IF(AND(LEFT(AO$1,FIND("_",AO$1)-1)&amp;RIGHT(AO$1,LEN(AO$1)-FIND("_",AO$1)) &gt;= YEAR($I136) &amp; TEXT(MONTH($I136),"00"),LEFT(AO$1,FIND("_",AO$1)-1)&amp;RIGHT(AO$1,LEN(AO$1)-FIND("_",AO$1)) &lt; YEAR($P136) &amp; TEXT(MONTH($P136),"00")),$O136,"")</f>
        <v>250000</v>
      </c>
      <c r="AP136" s="70">
        <f t="shared" si="61"/>
        <v>250000</v>
      </c>
      <c r="AQ136" s="70">
        <f t="shared" si="61"/>
        <v>250000</v>
      </c>
      <c r="AR136" s="70">
        <f t="shared" si="61"/>
        <v>250000</v>
      </c>
      <c r="AS136" s="70">
        <f t="shared" si="61"/>
        <v>250000</v>
      </c>
      <c r="AT136" s="71">
        <f t="shared" si="61"/>
        <v>250000</v>
      </c>
      <c r="AU136" s="71">
        <f t="shared" si="61"/>
        <v>250000</v>
      </c>
      <c r="AV136" s="71">
        <f t="shared" si="61"/>
        <v>250000</v>
      </c>
      <c r="AW136" s="71">
        <f t="shared" si="49"/>
        <v>250000</v>
      </c>
      <c r="AX136" s="71">
        <f t="shared" si="49"/>
        <v>250000</v>
      </c>
      <c r="AY136" s="71">
        <f t="shared" si="49"/>
        <v>250000</v>
      </c>
      <c r="AZ136" s="71">
        <f t="shared" si="49"/>
        <v>250000</v>
      </c>
      <c r="BA136" s="71">
        <f t="shared" si="49"/>
        <v>250000</v>
      </c>
      <c r="BB136" s="71">
        <f t="shared" si="49"/>
        <v>250000</v>
      </c>
      <c r="BC136" s="71">
        <f t="shared" si="49"/>
        <v>250000</v>
      </c>
      <c r="BD136" s="71">
        <f t="shared" si="49"/>
        <v>250000</v>
      </c>
      <c r="BE136" s="71">
        <f t="shared" si="49"/>
        <v>250000</v>
      </c>
      <c r="BF136" s="68">
        <f t="shared" si="53"/>
        <v>0</v>
      </c>
      <c r="BG136" s="69">
        <f t="shared" si="54"/>
        <v>0</v>
      </c>
      <c r="BH136" s="70">
        <f t="shared" si="55"/>
        <v>2250000</v>
      </c>
      <c r="BI136" s="71">
        <f t="shared" si="56"/>
        <v>3000000</v>
      </c>
      <c r="BJ136" s="72">
        <f>VLOOKUP(D136,Master!AD:AG,3,FALSE)</f>
        <v>7611600</v>
      </c>
      <c r="BK136" s="73" t="str">
        <f>VLOOKUP(D136,Master!AD:AG,4,FALSE)</f>
        <v>Depreciation-Tools, furniture &amp; office equipment</v>
      </c>
    </row>
    <row r="137" spans="1:63" s="74" customFormat="1" ht="15" customHeight="1">
      <c r="A137" s="64" t="s">
        <v>328</v>
      </c>
      <c r="B137" s="25" t="s">
        <v>476</v>
      </c>
      <c r="C137" s="65" t="s">
        <v>221</v>
      </c>
      <c r="D137" s="66">
        <v>2141000</v>
      </c>
      <c r="E137" s="26">
        <v>10000000</v>
      </c>
      <c r="F137" s="67">
        <v>60</v>
      </c>
      <c r="G137" s="65" t="s">
        <v>227</v>
      </c>
      <c r="H137" s="27">
        <v>1</v>
      </c>
      <c r="I137" s="28">
        <v>45261</v>
      </c>
      <c r="J137" s="65" t="s">
        <v>310</v>
      </c>
      <c r="K137" s="65" t="s">
        <v>227</v>
      </c>
      <c r="L137" s="65" t="s">
        <v>317</v>
      </c>
      <c r="M137" s="65" t="s">
        <v>469</v>
      </c>
      <c r="N137" s="51">
        <f t="shared" si="58"/>
        <v>10000000</v>
      </c>
      <c r="O137" s="51">
        <f t="shared" si="59"/>
        <v>166666.66666666666</v>
      </c>
      <c r="P137" s="28">
        <f t="shared" si="60"/>
        <v>47088</v>
      </c>
      <c r="Q137" s="68" t="str">
        <f t="shared" si="57"/>
        <v/>
      </c>
      <c r="R137" s="68" t="str">
        <f t="shared" si="57"/>
        <v/>
      </c>
      <c r="S137" s="68" t="str">
        <f t="shared" si="57"/>
        <v/>
      </c>
      <c r="T137" s="68" t="str">
        <f t="shared" si="57"/>
        <v/>
      </c>
      <c r="U137" s="68" t="str">
        <f t="shared" si="57"/>
        <v/>
      </c>
      <c r="V137" s="69" t="str">
        <f t="shared" si="57"/>
        <v/>
      </c>
      <c r="W137" s="69" t="str">
        <f t="shared" si="57"/>
        <v/>
      </c>
      <c r="X137" s="69" t="str">
        <f t="shared" si="57"/>
        <v/>
      </c>
      <c r="Y137" s="69" t="str">
        <f t="shared" si="57"/>
        <v/>
      </c>
      <c r="Z137" s="69" t="str">
        <f t="shared" si="52"/>
        <v/>
      </c>
      <c r="AA137" s="69" t="str">
        <f t="shared" si="52"/>
        <v/>
      </c>
      <c r="AB137" s="69" t="str">
        <f t="shared" si="52"/>
        <v/>
      </c>
      <c r="AC137" s="69" t="str">
        <f t="shared" si="52"/>
        <v/>
      </c>
      <c r="AD137" s="69" t="str">
        <f t="shared" si="52"/>
        <v/>
      </c>
      <c r="AE137" s="69" t="str">
        <f t="shared" si="52"/>
        <v/>
      </c>
      <c r="AF137" s="69" t="str">
        <f t="shared" si="52"/>
        <v/>
      </c>
      <c r="AG137" s="69" t="str">
        <f t="shared" ref="AG137:AN151" si="62">IF(AND(LEFT(AG$1,FIND("_",AG$1)-1)&amp;RIGHT(AG$1,LEN(AG$1)-FIND("_",AG$1)) &gt;= YEAR($I137) &amp; TEXT(MONTH($I137),"00"),LEFT(AG$1,FIND("_",AG$1)-1)&amp;RIGHT(AG$1,LEN(AG$1)-FIND("_",AG$1)) &lt; YEAR($P137) &amp; TEXT(MONTH($P137),"00")),$O137,"")</f>
        <v/>
      </c>
      <c r="AH137" s="70" t="str">
        <f t="shared" si="62"/>
        <v/>
      </c>
      <c r="AI137" s="70" t="str">
        <f t="shared" si="62"/>
        <v/>
      </c>
      <c r="AJ137" s="70" t="str">
        <f t="shared" si="62"/>
        <v/>
      </c>
      <c r="AK137" s="70" t="str">
        <f t="shared" si="62"/>
        <v/>
      </c>
      <c r="AL137" s="70" t="str">
        <f t="shared" si="62"/>
        <v/>
      </c>
      <c r="AM137" s="70" t="str">
        <f t="shared" si="62"/>
        <v/>
      </c>
      <c r="AN137" s="70" t="str">
        <f t="shared" si="62"/>
        <v/>
      </c>
      <c r="AO137" s="70" t="str">
        <f t="shared" si="61"/>
        <v/>
      </c>
      <c r="AP137" s="70" t="str">
        <f t="shared" si="61"/>
        <v/>
      </c>
      <c r="AQ137" s="70" t="str">
        <f t="shared" si="61"/>
        <v/>
      </c>
      <c r="AR137" s="70" t="str">
        <f t="shared" si="61"/>
        <v/>
      </c>
      <c r="AS137" s="70" t="str">
        <f t="shared" si="61"/>
        <v/>
      </c>
      <c r="AT137" s="71" t="str">
        <f t="shared" si="61"/>
        <v/>
      </c>
      <c r="AU137" s="71" t="str">
        <f t="shared" si="61"/>
        <v/>
      </c>
      <c r="AV137" s="71" t="str">
        <f t="shared" si="61"/>
        <v/>
      </c>
      <c r="AW137" s="71" t="str">
        <f t="shared" si="49"/>
        <v/>
      </c>
      <c r="AX137" s="71" t="str">
        <f t="shared" si="49"/>
        <v/>
      </c>
      <c r="AY137" s="71" t="str">
        <f t="shared" si="49"/>
        <v/>
      </c>
      <c r="AZ137" s="71" t="str">
        <f t="shared" si="49"/>
        <v/>
      </c>
      <c r="BA137" s="71" t="str">
        <f t="shared" si="49"/>
        <v/>
      </c>
      <c r="BB137" s="71">
        <f t="shared" si="49"/>
        <v>166666.66666666666</v>
      </c>
      <c r="BC137" s="71">
        <f t="shared" si="49"/>
        <v>166666.66666666666</v>
      </c>
      <c r="BD137" s="71">
        <f t="shared" si="49"/>
        <v>166666.66666666666</v>
      </c>
      <c r="BE137" s="71">
        <f t="shared" si="49"/>
        <v>166666.66666666666</v>
      </c>
      <c r="BF137" s="68">
        <f t="shared" si="53"/>
        <v>0</v>
      </c>
      <c r="BG137" s="69">
        <f t="shared" si="54"/>
        <v>0</v>
      </c>
      <c r="BH137" s="70">
        <f t="shared" si="55"/>
        <v>0</v>
      </c>
      <c r="BI137" s="71">
        <f t="shared" si="56"/>
        <v>666666.66666666663</v>
      </c>
      <c r="BJ137" s="72">
        <f>VLOOKUP(D137,Master!AD:AG,3,FALSE)</f>
        <v>7611600</v>
      </c>
      <c r="BK137" s="73" t="str">
        <f>VLOOKUP(D137,Master!AD:AG,4,FALSE)</f>
        <v>Depreciation-Tools, furniture &amp; office equipment</v>
      </c>
    </row>
    <row r="138" spans="1:63" s="74" customFormat="1" ht="15" customHeight="1">
      <c r="A138" s="64" t="s">
        <v>356</v>
      </c>
      <c r="B138" s="25" t="s">
        <v>477</v>
      </c>
      <c r="C138" s="65" t="s">
        <v>221</v>
      </c>
      <c r="D138" s="66">
        <v>2141000</v>
      </c>
      <c r="E138" s="26">
        <v>10000000</v>
      </c>
      <c r="F138" s="67">
        <v>60</v>
      </c>
      <c r="G138" s="65" t="s">
        <v>227</v>
      </c>
      <c r="H138" s="27">
        <v>1</v>
      </c>
      <c r="I138" s="28">
        <v>45352</v>
      </c>
      <c r="J138" s="65" t="s">
        <v>310</v>
      </c>
      <c r="K138" s="65" t="s">
        <v>227</v>
      </c>
      <c r="L138" s="65" t="s">
        <v>317</v>
      </c>
      <c r="M138" s="65" t="s">
        <v>469</v>
      </c>
      <c r="N138" s="51">
        <f t="shared" si="58"/>
        <v>10000000</v>
      </c>
      <c r="O138" s="51">
        <f t="shared" si="59"/>
        <v>166666.66666666666</v>
      </c>
      <c r="P138" s="28">
        <f t="shared" si="60"/>
        <v>47178</v>
      </c>
      <c r="Q138" s="68" t="str">
        <f t="shared" si="57"/>
        <v/>
      </c>
      <c r="R138" s="68" t="str">
        <f t="shared" si="57"/>
        <v/>
      </c>
      <c r="S138" s="68" t="str">
        <f t="shared" si="57"/>
        <v/>
      </c>
      <c r="T138" s="68" t="str">
        <f t="shared" si="57"/>
        <v/>
      </c>
      <c r="U138" s="68" t="str">
        <f t="shared" si="57"/>
        <v/>
      </c>
      <c r="V138" s="69" t="str">
        <f t="shared" si="57"/>
        <v/>
      </c>
      <c r="W138" s="69" t="str">
        <f t="shared" si="57"/>
        <v/>
      </c>
      <c r="X138" s="69" t="str">
        <f t="shared" si="57"/>
        <v/>
      </c>
      <c r="Y138" s="69" t="str">
        <f t="shared" si="57"/>
        <v/>
      </c>
      <c r="Z138" s="69" t="str">
        <f t="shared" si="52"/>
        <v/>
      </c>
      <c r="AA138" s="69" t="str">
        <f t="shared" si="52"/>
        <v/>
      </c>
      <c r="AB138" s="69" t="str">
        <f t="shared" si="52"/>
        <v/>
      </c>
      <c r="AC138" s="69" t="str">
        <f t="shared" si="52"/>
        <v/>
      </c>
      <c r="AD138" s="69" t="str">
        <f t="shared" si="52"/>
        <v/>
      </c>
      <c r="AE138" s="69" t="str">
        <f t="shared" si="52"/>
        <v/>
      </c>
      <c r="AF138" s="69" t="str">
        <f t="shared" si="52"/>
        <v/>
      </c>
      <c r="AG138" s="69" t="str">
        <f t="shared" si="62"/>
        <v/>
      </c>
      <c r="AH138" s="70" t="str">
        <f t="shared" si="62"/>
        <v/>
      </c>
      <c r="AI138" s="70" t="str">
        <f t="shared" si="62"/>
        <v/>
      </c>
      <c r="AJ138" s="70" t="str">
        <f t="shared" si="62"/>
        <v/>
      </c>
      <c r="AK138" s="70" t="str">
        <f t="shared" si="62"/>
        <v/>
      </c>
      <c r="AL138" s="70" t="str">
        <f t="shared" si="62"/>
        <v/>
      </c>
      <c r="AM138" s="70" t="str">
        <f t="shared" si="62"/>
        <v/>
      </c>
      <c r="AN138" s="70" t="str">
        <f t="shared" si="62"/>
        <v/>
      </c>
      <c r="AO138" s="70" t="str">
        <f t="shared" si="61"/>
        <v/>
      </c>
      <c r="AP138" s="70" t="str">
        <f t="shared" si="61"/>
        <v/>
      </c>
      <c r="AQ138" s="70" t="str">
        <f t="shared" si="61"/>
        <v/>
      </c>
      <c r="AR138" s="70" t="str">
        <f t="shared" si="61"/>
        <v/>
      </c>
      <c r="AS138" s="70" t="str">
        <f t="shared" si="61"/>
        <v/>
      </c>
      <c r="AT138" s="71" t="str">
        <f t="shared" si="61"/>
        <v/>
      </c>
      <c r="AU138" s="71" t="str">
        <f t="shared" si="61"/>
        <v/>
      </c>
      <c r="AV138" s="71" t="str">
        <f t="shared" si="61"/>
        <v/>
      </c>
      <c r="AW138" s="71" t="str">
        <f t="shared" si="49"/>
        <v/>
      </c>
      <c r="AX138" s="71" t="str">
        <f t="shared" si="49"/>
        <v/>
      </c>
      <c r="AY138" s="71" t="str">
        <f t="shared" si="49"/>
        <v/>
      </c>
      <c r="AZ138" s="71" t="str">
        <f t="shared" ref="AZ138:BE151" si="63">IF(AND(LEFT(AZ$1,FIND("_",AZ$1)-1)&amp;RIGHT(AZ$1,LEN(AZ$1)-FIND("_",AZ$1)) &gt;= YEAR($I138) &amp; TEXT(MONTH($I138),"00"),LEFT(AZ$1,FIND("_",AZ$1)-1)&amp;RIGHT(AZ$1,LEN(AZ$1)-FIND("_",AZ$1)) &lt; YEAR($P138) &amp; TEXT(MONTH($P138),"00")),$O138,"")</f>
        <v/>
      </c>
      <c r="BA138" s="71" t="str">
        <f t="shared" si="63"/>
        <v/>
      </c>
      <c r="BB138" s="71" t="str">
        <f t="shared" si="63"/>
        <v/>
      </c>
      <c r="BC138" s="71" t="str">
        <f t="shared" si="63"/>
        <v/>
      </c>
      <c r="BD138" s="71" t="str">
        <f t="shared" si="63"/>
        <v/>
      </c>
      <c r="BE138" s="71">
        <f t="shared" si="63"/>
        <v>166666.66666666666</v>
      </c>
      <c r="BF138" s="68">
        <f t="shared" si="53"/>
        <v>0</v>
      </c>
      <c r="BG138" s="69">
        <f t="shared" si="54"/>
        <v>0</v>
      </c>
      <c r="BH138" s="70">
        <f t="shared" si="55"/>
        <v>0</v>
      </c>
      <c r="BI138" s="71">
        <f t="shared" si="56"/>
        <v>166666.66666666666</v>
      </c>
      <c r="BJ138" s="72">
        <f>VLOOKUP(D138,Master!AD:AG,3,FALSE)</f>
        <v>7611600</v>
      </c>
      <c r="BK138" s="73" t="str">
        <f>VLOOKUP(D138,Master!AD:AG,4,FALSE)</f>
        <v>Depreciation-Tools, furniture &amp; office equipment</v>
      </c>
    </row>
    <row r="139" spans="1:63" s="74" customFormat="1" ht="15" customHeight="1">
      <c r="A139" s="64" t="s">
        <v>357</v>
      </c>
      <c r="B139" s="25" t="s">
        <v>477</v>
      </c>
      <c r="C139" s="65" t="s">
        <v>221</v>
      </c>
      <c r="D139" s="66">
        <v>2141000</v>
      </c>
      <c r="E139" s="26">
        <v>10000000</v>
      </c>
      <c r="F139" s="67">
        <v>60</v>
      </c>
      <c r="G139" s="65" t="s">
        <v>227</v>
      </c>
      <c r="H139" s="27">
        <v>1</v>
      </c>
      <c r="I139" s="28">
        <v>45352</v>
      </c>
      <c r="J139" s="65" t="s">
        <v>310</v>
      </c>
      <c r="K139" s="65" t="s">
        <v>227</v>
      </c>
      <c r="L139" s="65" t="s">
        <v>317</v>
      </c>
      <c r="M139" s="65" t="s">
        <v>469</v>
      </c>
      <c r="N139" s="51">
        <f t="shared" si="58"/>
        <v>10000000</v>
      </c>
      <c r="O139" s="51">
        <f t="shared" si="59"/>
        <v>166666.66666666666</v>
      </c>
      <c r="P139" s="28">
        <f t="shared" si="60"/>
        <v>47178</v>
      </c>
      <c r="Q139" s="68" t="str">
        <f t="shared" si="57"/>
        <v/>
      </c>
      <c r="R139" s="68" t="str">
        <f t="shared" si="57"/>
        <v/>
      </c>
      <c r="S139" s="68" t="str">
        <f t="shared" si="57"/>
        <v/>
      </c>
      <c r="T139" s="68" t="str">
        <f t="shared" si="57"/>
        <v/>
      </c>
      <c r="U139" s="68" t="str">
        <f t="shared" si="57"/>
        <v/>
      </c>
      <c r="V139" s="69" t="str">
        <f t="shared" si="57"/>
        <v/>
      </c>
      <c r="W139" s="69" t="str">
        <f t="shared" si="57"/>
        <v/>
      </c>
      <c r="X139" s="69" t="str">
        <f t="shared" si="57"/>
        <v/>
      </c>
      <c r="Y139" s="69" t="str">
        <f t="shared" si="57"/>
        <v/>
      </c>
      <c r="Z139" s="69" t="str">
        <f t="shared" si="52"/>
        <v/>
      </c>
      <c r="AA139" s="69" t="str">
        <f t="shared" si="52"/>
        <v/>
      </c>
      <c r="AB139" s="69" t="str">
        <f t="shared" si="52"/>
        <v/>
      </c>
      <c r="AC139" s="69" t="str">
        <f t="shared" si="52"/>
        <v/>
      </c>
      <c r="AD139" s="69" t="str">
        <f t="shared" si="52"/>
        <v/>
      </c>
      <c r="AE139" s="69" t="str">
        <f t="shared" si="52"/>
        <v/>
      </c>
      <c r="AF139" s="69" t="str">
        <f t="shared" si="52"/>
        <v/>
      </c>
      <c r="AG139" s="69" t="str">
        <f t="shared" si="62"/>
        <v/>
      </c>
      <c r="AH139" s="70" t="str">
        <f t="shared" si="62"/>
        <v/>
      </c>
      <c r="AI139" s="70" t="str">
        <f t="shared" si="62"/>
        <v/>
      </c>
      <c r="AJ139" s="70" t="str">
        <f t="shared" si="62"/>
        <v/>
      </c>
      <c r="AK139" s="70" t="str">
        <f t="shared" si="62"/>
        <v/>
      </c>
      <c r="AL139" s="70" t="str">
        <f t="shared" si="62"/>
        <v/>
      </c>
      <c r="AM139" s="70" t="str">
        <f t="shared" si="62"/>
        <v/>
      </c>
      <c r="AN139" s="70" t="str">
        <f t="shared" si="62"/>
        <v/>
      </c>
      <c r="AO139" s="70" t="str">
        <f t="shared" si="61"/>
        <v/>
      </c>
      <c r="AP139" s="70" t="str">
        <f t="shared" si="61"/>
        <v/>
      </c>
      <c r="AQ139" s="70" t="str">
        <f t="shared" si="61"/>
        <v/>
      </c>
      <c r="AR139" s="70" t="str">
        <f t="shared" si="61"/>
        <v/>
      </c>
      <c r="AS139" s="70" t="str">
        <f t="shared" si="61"/>
        <v/>
      </c>
      <c r="AT139" s="71" t="str">
        <f t="shared" si="61"/>
        <v/>
      </c>
      <c r="AU139" s="71" t="str">
        <f t="shared" si="61"/>
        <v/>
      </c>
      <c r="AV139" s="71" t="str">
        <f t="shared" si="61"/>
        <v/>
      </c>
      <c r="AW139" s="71" t="str">
        <f t="shared" ref="AW139:AY151" si="64">IF(AND(LEFT(AW$1,FIND("_",AW$1)-1)&amp;RIGHT(AW$1,LEN(AW$1)-FIND("_",AW$1)) &gt;= YEAR($I139) &amp; TEXT(MONTH($I139),"00"),LEFT(AW$1,FIND("_",AW$1)-1)&amp;RIGHT(AW$1,LEN(AW$1)-FIND("_",AW$1)) &lt; YEAR($P139) &amp; TEXT(MONTH($P139),"00")),$O139,"")</f>
        <v/>
      </c>
      <c r="AX139" s="71" t="str">
        <f t="shared" si="64"/>
        <v/>
      </c>
      <c r="AY139" s="71" t="str">
        <f t="shared" si="64"/>
        <v/>
      </c>
      <c r="AZ139" s="71" t="str">
        <f t="shared" si="63"/>
        <v/>
      </c>
      <c r="BA139" s="71" t="str">
        <f t="shared" si="63"/>
        <v/>
      </c>
      <c r="BB139" s="71" t="str">
        <f t="shared" si="63"/>
        <v/>
      </c>
      <c r="BC139" s="71" t="str">
        <f t="shared" si="63"/>
        <v/>
      </c>
      <c r="BD139" s="71" t="str">
        <f t="shared" si="63"/>
        <v/>
      </c>
      <c r="BE139" s="71">
        <f t="shared" si="63"/>
        <v>166666.66666666666</v>
      </c>
      <c r="BF139" s="68">
        <f t="shared" si="53"/>
        <v>0</v>
      </c>
      <c r="BG139" s="69">
        <f t="shared" si="54"/>
        <v>0</v>
      </c>
      <c r="BH139" s="70">
        <f t="shared" si="55"/>
        <v>0</v>
      </c>
      <c r="BI139" s="71">
        <f t="shared" si="56"/>
        <v>166666.66666666666</v>
      </c>
      <c r="BJ139" s="72">
        <f>VLOOKUP(D139,Master!AD:AG,3,FALSE)</f>
        <v>7611600</v>
      </c>
      <c r="BK139" s="73" t="str">
        <f>VLOOKUP(D139,Master!AD:AG,4,FALSE)</f>
        <v>Depreciation-Tools, furniture &amp; office equipment</v>
      </c>
    </row>
    <row r="140" spans="1:63" s="74" customFormat="1" ht="15" customHeight="1">
      <c r="A140" s="64" t="s">
        <v>358</v>
      </c>
      <c r="B140" s="25" t="s">
        <v>478</v>
      </c>
      <c r="C140" s="65" t="s">
        <v>221</v>
      </c>
      <c r="D140" s="66">
        <v>2141000</v>
      </c>
      <c r="E140" s="26">
        <v>10000000</v>
      </c>
      <c r="F140" s="67">
        <v>60</v>
      </c>
      <c r="G140" s="65" t="s">
        <v>227</v>
      </c>
      <c r="H140" s="27">
        <v>1</v>
      </c>
      <c r="I140" s="28">
        <v>45352</v>
      </c>
      <c r="J140" s="65" t="s">
        <v>310</v>
      </c>
      <c r="K140" s="65" t="s">
        <v>227</v>
      </c>
      <c r="L140" s="65" t="s">
        <v>317</v>
      </c>
      <c r="M140" s="65" t="s">
        <v>469</v>
      </c>
      <c r="N140" s="51">
        <f t="shared" si="58"/>
        <v>10000000</v>
      </c>
      <c r="O140" s="51">
        <f t="shared" si="59"/>
        <v>166666.66666666666</v>
      </c>
      <c r="P140" s="28">
        <f t="shared" si="60"/>
        <v>47178</v>
      </c>
      <c r="Q140" s="68" t="str">
        <f t="shared" si="57"/>
        <v/>
      </c>
      <c r="R140" s="68" t="str">
        <f t="shared" si="57"/>
        <v/>
      </c>
      <c r="S140" s="68" t="str">
        <f t="shared" si="57"/>
        <v/>
      </c>
      <c r="T140" s="68" t="str">
        <f t="shared" si="57"/>
        <v/>
      </c>
      <c r="U140" s="68" t="str">
        <f t="shared" si="57"/>
        <v/>
      </c>
      <c r="V140" s="69" t="str">
        <f t="shared" si="57"/>
        <v/>
      </c>
      <c r="W140" s="69" t="str">
        <f t="shared" si="57"/>
        <v/>
      </c>
      <c r="X140" s="69" t="str">
        <f t="shared" si="57"/>
        <v/>
      </c>
      <c r="Y140" s="69" t="str">
        <f t="shared" si="57"/>
        <v/>
      </c>
      <c r="Z140" s="69" t="str">
        <f t="shared" si="52"/>
        <v/>
      </c>
      <c r="AA140" s="69" t="str">
        <f t="shared" si="52"/>
        <v/>
      </c>
      <c r="AB140" s="69" t="str">
        <f t="shared" si="52"/>
        <v/>
      </c>
      <c r="AC140" s="69" t="str">
        <f t="shared" si="52"/>
        <v/>
      </c>
      <c r="AD140" s="69" t="str">
        <f t="shared" si="52"/>
        <v/>
      </c>
      <c r="AE140" s="69" t="str">
        <f t="shared" si="52"/>
        <v/>
      </c>
      <c r="AF140" s="69" t="str">
        <f t="shared" si="52"/>
        <v/>
      </c>
      <c r="AG140" s="69" t="str">
        <f t="shared" si="62"/>
        <v/>
      </c>
      <c r="AH140" s="70" t="str">
        <f t="shared" si="62"/>
        <v/>
      </c>
      <c r="AI140" s="70" t="str">
        <f t="shared" si="62"/>
        <v/>
      </c>
      <c r="AJ140" s="70" t="str">
        <f t="shared" si="62"/>
        <v/>
      </c>
      <c r="AK140" s="70" t="str">
        <f t="shared" si="62"/>
        <v/>
      </c>
      <c r="AL140" s="70" t="str">
        <f t="shared" si="62"/>
        <v/>
      </c>
      <c r="AM140" s="70" t="str">
        <f t="shared" si="62"/>
        <v/>
      </c>
      <c r="AN140" s="70" t="str">
        <f t="shared" si="62"/>
        <v/>
      </c>
      <c r="AO140" s="70" t="str">
        <f t="shared" si="61"/>
        <v/>
      </c>
      <c r="AP140" s="70" t="str">
        <f t="shared" si="61"/>
        <v/>
      </c>
      <c r="AQ140" s="70" t="str">
        <f t="shared" si="61"/>
        <v/>
      </c>
      <c r="AR140" s="70" t="str">
        <f t="shared" si="61"/>
        <v/>
      </c>
      <c r="AS140" s="70" t="str">
        <f t="shared" si="61"/>
        <v/>
      </c>
      <c r="AT140" s="71" t="str">
        <f t="shared" si="61"/>
        <v/>
      </c>
      <c r="AU140" s="71" t="str">
        <f t="shared" si="61"/>
        <v/>
      </c>
      <c r="AV140" s="71" t="str">
        <f t="shared" si="61"/>
        <v/>
      </c>
      <c r="AW140" s="71" t="str">
        <f t="shared" si="64"/>
        <v/>
      </c>
      <c r="AX140" s="71" t="str">
        <f t="shared" si="64"/>
        <v/>
      </c>
      <c r="AY140" s="71" t="str">
        <f t="shared" si="64"/>
        <v/>
      </c>
      <c r="AZ140" s="71" t="str">
        <f t="shared" si="63"/>
        <v/>
      </c>
      <c r="BA140" s="71" t="str">
        <f t="shared" si="63"/>
        <v/>
      </c>
      <c r="BB140" s="71" t="str">
        <f t="shared" si="63"/>
        <v/>
      </c>
      <c r="BC140" s="71" t="str">
        <f t="shared" si="63"/>
        <v/>
      </c>
      <c r="BD140" s="71" t="str">
        <f t="shared" si="63"/>
        <v/>
      </c>
      <c r="BE140" s="71">
        <f t="shared" si="63"/>
        <v>166666.66666666666</v>
      </c>
      <c r="BF140" s="68">
        <f t="shared" si="53"/>
        <v>0</v>
      </c>
      <c r="BG140" s="69">
        <f t="shared" si="54"/>
        <v>0</v>
      </c>
      <c r="BH140" s="70">
        <f t="shared" si="55"/>
        <v>0</v>
      </c>
      <c r="BI140" s="71">
        <f t="shared" si="56"/>
        <v>166666.66666666666</v>
      </c>
      <c r="BJ140" s="72">
        <f>VLOOKUP(D140,Master!AD:AG,3,FALSE)</f>
        <v>7611600</v>
      </c>
      <c r="BK140" s="73" t="str">
        <f>VLOOKUP(D140,Master!AD:AG,4,FALSE)</f>
        <v>Depreciation-Tools, furniture &amp; office equipment</v>
      </c>
    </row>
    <row r="141" spans="1:63" s="74" customFormat="1" ht="15" customHeight="1">
      <c r="A141" s="64" t="s">
        <v>359</v>
      </c>
      <c r="B141" s="25" t="s">
        <v>479</v>
      </c>
      <c r="C141" s="65" t="s">
        <v>221</v>
      </c>
      <c r="D141" s="66">
        <v>2141000</v>
      </c>
      <c r="E141" s="26">
        <v>10000000</v>
      </c>
      <c r="F141" s="67">
        <v>60</v>
      </c>
      <c r="G141" s="65" t="s">
        <v>227</v>
      </c>
      <c r="H141" s="27">
        <v>1</v>
      </c>
      <c r="I141" s="28">
        <v>45352</v>
      </c>
      <c r="J141" s="65" t="s">
        <v>310</v>
      </c>
      <c r="K141" s="65" t="s">
        <v>227</v>
      </c>
      <c r="L141" s="65" t="s">
        <v>317</v>
      </c>
      <c r="M141" s="65" t="s">
        <v>469</v>
      </c>
      <c r="N141" s="51">
        <f t="shared" si="58"/>
        <v>10000000</v>
      </c>
      <c r="O141" s="51">
        <f t="shared" si="59"/>
        <v>166666.66666666666</v>
      </c>
      <c r="P141" s="28">
        <f t="shared" si="60"/>
        <v>47178</v>
      </c>
      <c r="Q141" s="68" t="str">
        <f t="shared" si="57"/>
        <v/>
      </c>
      <c r="R141" s="68" t="str">
        <f t="shared" si="57"/>
        <v/>
      </c>
      <c r="S141" s="68" t="str">
        <f t="shared" si="57"/>
        <v/>
      </c>
      <c r="T141" s="68" t="str">
        <f t="shared" si="57"/>
        <v/>
      </c>
      <c r="U141" s="68" t="str">
        <f t="shared" si="57"/>
        <v/>
      </c>
      <c r="V141" s="69" t="str">
        <f t="shared" si="57"/>
        <v/>
      </c>
      <c r="W141" s="69" t="str">
        <f t="shared" si="57"/>
        <v/>
      </c>
      <c r="X141" s="69" t="str">
        <f t="shared" si="57"/>
        <v/>
      </c>
      <c r="Y141" s="69" t="str">
        <f t="shared" si="57"/>
        <v/>
      </c>
      <c r="Z141" s="69" t="str">
        <f t="shared" si="52"/>
        <v/>
      </c>
      <c r="AA141" s="69" t="str">
        <f t="shared" si="52"/>
        <v/>
      </c>
      <c r="AB141" s="69" t="str">
        <f t="shared" si="52"/>
        <v/>
      </c>
      <c r="AC141" s="69" t="str">
        <f t="shared" si="52"/>
        <v/>
      </c>
      <c r="AD141" s="69" t="str">
        <f t="shared" si="52"/>
        <v/>
      </c>
      <c r="AE141" s="69" t="str">
        <f t="shared" si="52"/>
        <v/>
      </c>
      <c r="AF141" s="69" t="str">
        <f t="shared" si="52"/>
        <v/>
      </c>
      <c r="AG141" s="69" t="str">
        <f t="shared" si="62"/>
        <v/>
      </c>
      <c r="AH141" s="70" t="str">
        <f t="shared" si="62"/>
        <v/>
      </c>
      <c r="AI141" s="70" t="str">
        <f t="shared" si="62"/>
        <v/>
      </c>
      <c r="AJ141" s="70" t="str">
        <f t="shared" si="62"/>
        <v/>
      </c>
      <c r="AK141" s="70" t="str">
        <f t="shared" si="62"/>
        <v/>
      </c>
      <c r="AL141" s="70" t="str">
        <f t="shared" si="62"/>
        <v/>
      </c>
      <c r="AM141" s="70" t="str">
        <f t="shared" si="62"/>
        <v/>
      </c>
      <c r="AN141" s="70" t="str">
        <f t="shared" si="62"/>
        <v/>
      </c>
      <c r="AO141" s="70" t="str">
        <f t="shared" si="61"/>
        <v/>
      </c>
      <c r="AP141" s="70" t="str">
        <f t="shared" si="61"/>
        <v/>
      </c>
      <c r="AQ141" s="70" t="str">
        <f t="shared" si="61"/>
        <v/>
      </c>
      <c r="AR141" s="70" t="str">
        <f t="shared" si="61"/>
        <v/>
      </c>
      <c r="AS141" s="70" t="str">
        <f t="shared" si="61"/>
        <v/>
      </c>
      <c r="AT141" s="71" t="str">
        <f t="shared" si="61"/>
        <v/>
      </c>
      <c r="AU141" s="71" t="str">
        <f t="shared" si="61"/>
        <v/>
      </c>
      <c r="AV141" s="71" t="str">
        <f t="shared" si="61"/>
        <v/>
      </c>
      <c r="AW141" s="71" t="str">
        <f t="shared" si="64"/>
        <v/>
      </c>
      <c r="AX141" s="71" t="str">
        <f t="shared" si="64"/>
        <v/>
      </c>
      <c r="AY141" s="71" t="str">
        <f t="shared" si="64"/>
        <v/>
      </c>
      <c r="AZ141" s="71" t="str">
        <f t="shared" si="63"/>
        <v/>
      </c>
      <c r="BA141" s="71" t="str">
        <f t="shared" si="63"/>
        <v/>
      </c>
      <c r="BB141" s="71" t="str">
        <f t="shared" si="63"/>
        <v/>
      </c>
      <c r="BC141" s="71" t="str">
        <f t="shared" si="63"/>
        <v/>
      </c>
      <c r="BD141" s="71" t="str">
        <f t="shared" si="63"/>
        <v/>
      </c>
      <c r="BE141" s="71">
        <f t="shared" si="63"/>
        <v>166666.66666666666</v>
      </c>
      <c r="BF141" s="68">
        <f t="shared" si="53"/>
        <v>0</v>
      </c>
      <c r="BG141" s="69">
        <f t="shared" si="54"/>
        <v>0</v>
      </c>
      <c r="BH141" s="70">
        <f t="shared" si="55"/>
        <v>0</v>
      </c>
      <c r="BI141" s="71">
        <f t="shared" si="56"/>
        <v>166666.66666666666</v>
      </c>
      <c r="BJ141" s="72">
        <f>VLOOKUP(D141,Master!AD:AG,3,FALSE)</f>
        <v>7611600</v>
      </c>
      <c r="BK141" s="73" t="str">
        <f>VLOOKUP(D141,Master!AD:AG,4,FALSE)</f>
        <v>Depreciation-Tools, furniture &amp; office equipment</v>
      </c>
    </row>
    <row r="142" spans="1:63" s="74" customFormat="1" ht="15" customHeight="1">
      <c r="A142" s="64" t="s">
        <v>360</v>
      </c>
      <c r="B142" s="25" t="s">
        <v>480</v>
      </c>
      <c r="C142" s="65" t="s">
        <v>221</v>
      </c>
      <c r="D142" s="66">
        <v>2141000</v>
      </c>
      <c r="E142" s="26">
        <v>17000000</v>
      </c>
      <c r="F142" s="67">
        <v>60</v>
      </c>
      <c r="G142" s="65" t="s">
        <v>227</v>
      </c>
      <c r="H142" s="27">
        <v>1</v>
      </c>
      <c r="I142" s="28">
        <v>45352</v>
      </c>
      <c r="J142" s="65" t="s">
        <v>310</v>
      </c>
      <c r="K142" s="65" t="s">
        <v>227</v>
      </c>
      <c r="L142" s="65" t="s">
        <v>317</v>
      </c>
      <c r="M142" s="65" t="s">
        <v>469</v>
      </c>
      <c r="N142" s="51">
        <v>6650000</v>
      </c>
      <c r="O142" s="51">
        <f t="shared" ref="O142" si="65">N142/F142</f>
        <v>110833.33333333333</v>
      </c>
      <c r="P142" s="28">
        <f t="shared" ref="P142" si="66">DATE(YEAR(I142),MONTH(I142)+F142,DAY(I142))</f>
        <v>47178</v>
      </c>
      <c r="Q142" s="68" t="str">
        <f t="shared" si="57"/>
        <v/>
      </c>
      <c r="R142" s="68" t="str">
        <f t="shared" si="57"/>
        <v/>
      </c>
      <c r="S142" s="68" t="str">
        <f t="shared" si="57"/>
        <v/>
      </c>
      <c r="T142" s="68" t="str">
        <f t="shared" si="57"/>
        <v/>
      </c>
      <c r="U142" s="68" t="str">
        <f t="shared" si="57"/>
        <v/>
      </c>
      <c r="V142" s="69" t="str">
        <f t="shared" si="57"/>
        <v/>
      </c>
      <c r="W142" s="69" t="str">
        <f t="shared" si="57"/>
        <v/>
      </c>
      <c r="X142" s="69" t="str">
        <f t="shared" si="57"/>
        <v/>
      </c>
      <c r="Y142" s="69" t="str">
        <f t="shared" si="57"/>
        <v/>
      </c>
      <c r="Z142" s="69" t="str">
        <f t="shared" si="52"/>
        <v/>
      </c>
      <c r="AA142" s="69" t="str">
        <f t="shared" si="52"/>
        <v/>
      </c>
      <c r="AB142" s="69" t="str">
        <f t="shared" si="52"/>
        <v/>
      </c>
      <c r="AC142" s="69" t="str">
        <f t="shared" si="52"/>
        <v/>
      </c>
      <c r="AD142" s="69" t="str">
        <f t="shared" si="52"/>
        <v/>
      </c>
      <c r="AE142" s="69" t="str">
        <f t="shared" si="52"/>
        <v/>
      </c>
      <c r="AF142" s="69" t="str">
        <f t="shared" si="52"/>
        <v/>
      </c>
      <c r="AG142" s="69" t="str">
        <f t="shared" si="62"/>
        <v/>
      </c>
      <c r="AH142" s="70" t="str">
        <f t="shared" si="62"/>
        <v/>
      </c>
      <c r="AI142" s="70" t="str">
        <f t="shared" si="62"/>
        <v/>
      </c>
      <c r="AJ142" s="70" t="str">
        <f t="shared" si="62"/>
        <v/>
      </c>
      <c r="AK142" s="70" t="str">
        <f t="shared" si="62"/>
        <v/>
      </c>
      <c r="AL142" s="70" t="str">
        <f t="shared" si="62"/>
        <v/>
      </c>
      <c r="AM142" s="70" t="str">
        <f t="shared" si="62"/>
        <v/>
      </c>
      <c r="AN142" s="70" t="str">
        <f t="shared" si="62"/>
        <v/>
      </c>
      <c r="AO142" s="70" t="str">
        <f t="shared" si="61"/>
        <v/>
      </c>
      <c r="AP142" s="70" t="str">
        <f t="shared" si="61"/>
        <v/>
      </c>
      <c r="AQ142" s="70" t="str">
        <f t="shared" si="61"/>
        <v/>
      </c>
      <c r="AR142" s="70" t="str">
        <f t="shared" si="61"/>
        <v/>
      </c>
      <c r="AS142" s="70" t="str">
        <f t="shared" si="61"/>
        <v/>
      </c>
      <c r="AT142" s="71" t="str">
        <f t="shared" si="61"/>
        <v/>
      </c>
      <c r="AU142" s="71" t="str">
        <f t="shared" si="61"/>
        <v/>
      </c>
      <c r="AV142" s="71" t="str">
        <f t="shared" si="61"/>
        <v/>
      </c>
      <c r="AW142" s="71" t="str">
        <f t="shared" si="64"/>
        <v/>
      </c>
      <c r="AX142" s="71" t="str">
        <f t="shared" si="64"/>
        <v/>
      </c>
      <c r="AY142" s="71" t="str">
        <f t="shared" si="64"/>
        <v/>
      </c>
      <c r="AZ142" s="71" t="str">
        <f t="shared" si="63"/>
        <v/>
      </c>
      <c r="BA142" s="71" t="str">
        <f t="shared" si="63"/>
        <v/>
      </c>
      <c r="BB142" s="71" t="str">
        <f t="shared" si="63"/>
        <v/>
      </c>
      <c r="BC142" s="71" t="str">
        <f t="shared" si="63"/>
        <v/>
      </c>
      <c r="BD142" s="71" t="str">
        <f t="shared" si="63"/>
        <v/>
      </c>
      <c r="BE142" s="71">
        <f t="shared" si="63"/>
        <v>110833.33333333333</v>
      </c>
      <c r="BF142" s="68">
        <f t="shared" ref="BF142" si="67">SUM(Q142:U142)</f>
        <v>0</v>
      </c>
      <c r="BG142" s="69">
        <f t="shared" ref="BG142" si="68">SUM(V142:AG142)</f>
        <v>0</v>
      </c>
      <c r="BH142" s="70">
        <f t="shared" ref="BH142" si="69">SUM(AH142:AS142)</f>
        <v>0</v>
      </c>
      <c r="BI142" s="71">
        <f t="shared" ref="BI142" si="70">SUM(AT142:BE142)</f>
        <v>110833.33333333333</v>
      </c>
      <c r="BJ142" s="72">
        <f>VLOOKUP(D142,Master!AD:AG,3,FALSE)</f>
        <v>7611600</v>
      </c>
      <c r="BK142" s="73" t="str">
        <f>VLOOKUP(D142,Master!AD:AG,4,FALSE)</f>
        <v>Depreciation-Tools, furniture &amp; office equipment</v>
      </c>
    </row>
    <row r="143" spans="1:63" s="74" customFormat="1" ht="15" customHeight="1">
      <c r="A143" s="64" t="s">
        <v>308</v>
      </c>
      <c r="B143" s="25" t="s">
        <v>562</v>
      </c>
      <c r="C143" s="65" t="s">
        <v>221</v>
      </c>
      <c r="D143" s="66">
        <v>2141000</v>
      </c>
      <c r="E143" s="26">
        <v>6650000</v>
      </c>
      <c r="F143" s="67">
        <v>60</v>
      </c>
      <c r="G143" s="65" t="s">
        <v>270</v>
      </c>
      <c r="H143" s="27">
        <v>1</v>
      </c>
      <c r="I143" s="28">
        <v>44348</v>
      </c>
      <c r="J143" s="65" t="s">
        <v>310</v>
      </c>
      <c r="K143" s="65" t="s">
        <v>270</v>
      </c>
      <c r="L143" s="65"/>
      <c r="M143" s="65" t="s">
        <v>472</v>
      </c>
      <c r="N143" s="51">
        <v>15000000</v>
      </c>
      <c r="O143" s="51">
        <f t="shared" ref="O143:O147" si="71">N143/F143</f>
        <v>250000</v>
      </c>
      <c r="P143" s="28">
        <f t="shared" ref="P143:P147" si="72">DATE(YEAR(I143),MONTH(I143)+F143,DAY(I143))</f>
        <v>46174</v>
      </c>
      <c r="Q143" s="68" t="str">
        <f t="shared" si="57"/>
        <v/>
      </c>
      <c r="R143" s="68" t="str">
        <f t="shared" si="57"/>
        <v/>
      </c>
      <c r="S143" s="68" t="str">
        <f t="shared" si="57"/>
        <v/>
      </c>
      <c r="T143" s="68" t="str">
        <f t="shared" si="57"/>
        <v/>
      </c>
      <c r="U143" s="68" t="str">
        <f t="shared" si="57"/>
        <v/>
      </c>
      <c r="V143" s="69" t="str">
        <f t="shared" si="57"/>
        <v/>
      </c>
      <c r="W143" s="69" t="str">
        <f t="shared" si="57"/>
        <v/>
      </c>
      <c r="X143" s="69">
        <f t="shared" si="57"/>
        <v>250000</v>
      </c>
      <c r="Y143" s="69">
        <f t="shared" si="57"/>
        <v>250000</v>
      </c>
      <c r="Z143" s="69">
        <f t="shared" si="52"/>
        <v>250000</v>
      </c>
      <c r="AA143" s="69">
        <f t="shared" si="52"/>
        <v>250000</v>
      </c>
      <c r="AB143" s="69">
        <f t="shared" si="52"/>
        <v>250000</v>
      </c>
      <c r="AC143" s="69">
        <f t="shared" si="52"/>
        <v>250000</v>
      </c>
      <c r="AD143" s="69">
        <f t="shared" si="52"/>
        <v>250000</v>
      </c>
      <c r="AE143" s="69">
        <f t="shared" si="52"/>
        <v>250000</v>
      </c>
      <c r="AF143" s="69">
        <f t="shared" si="52"/>
        <v>250000</v>
      </c>
      <c r="AG143" s="69">
        <f t="shared" si="62"/>
        <v>250000</v>
      </c>
      <c r="AH143" s="70">
        <f t="shared" si="62"/>
        <v>250000</v>
      </c>
      <c r="AI143" s="70">
        <f t="shared" si="62"/>
        <v>250000</v>
      </c>
      <c r="AJ143" s="70">
        <f t="shared" si="62"/>
        <v>250000</v>
      </c>
      <c r="AK143" s="70">
        <f t="shared" si="62"/>
        <v>250000</v>
      </c>
      <c r="AL143" s="70">
        <f t="shared" si="62"/>
        <v>250000</v>
      </c>
      <c r="AM143" s="70">
        <f t="shared" si="62"/>
        <v>250000</v>
      </c>
      <c r="AN143" s="70">
        <f t="shared" si="62"/>
        <v>250000</v>
      </c>
      <c r="AO143" s="70">
        <f t="shared" si="61"/>
        <v>250000</v>
      </c>
      <c r="AP143" s="70">
        <f t="shared" si="61"/>
        <v>250000</v>
      </c>
      <c r="AQ143" s="70">
        <f t="shared" si="61"/>
        <v>250000</v>
      </c>
      <c r="AR143" s="70">
        <f t="shared" si="61"/>
        <v>250000</v>
      </c>
      <c r="AS143" s="70">
        <f t="shared" si="61"/>
        <v>250000</v>
      </c>
      <c r="AT143" s="71">
        <f t="shared" si="61"/>
        <v>250000</v>
      </c>
      <c r="AU143" s="71">
        <f t="shared" si="61"/>
        <v>250000</v>
      </c>
      <c r="AV143" s="71">
        <f t="shared" si="61"/>
        <v>250000</v>
      </c>
      <c r="AW143" s="71">
        <f t="shared" si="64"/>
        <v>250000</v>
      </c>
      <c r="AX143" s="71">
        <f t="shared" si="64"/>
        <v>250000</v>
      </c>
      <c r="AY143" s="71">
        <f t="shared" si="64"/>
        <v>250000</v>
      </c>
      <c r="AZ143" s="71">
        <f t="shared" si="63"/>
        <v>250000</v>
      </c>
      <c r="BA143" s="71">
        <f t="shared" si="63"/>
        <v>250000</v>
      </c>
      <c r="BB143" s="71">
        <f t="shared" si="63"/>
        <v>250000</v>
      </c>
      <c r="BC143" s="71">
        <f t="shared" si="63"/>
        <v>250000</v>
      </c>
      <c r="BD143" s="71">
        <f t="shared" si="63"/>
        <v>250000</v>
      </c>
      <c r="BE143" s="71">
        <f t="shared" si="63"/>
        <v>250000</v>
      </c>
      <c r="BF143" s="68">
        <f t="shared" ref="BF143:BF147" si="73">SUM(Q143:U143)</f>
        <v>0</v>
      </c>
      <c r="BG143" s="69">
        <f t="shared" ref="BG143:BG147" si="74">SUM(V143:AG143)</f>
        <v>2500000</v>
      </c>
      <c r="BH143" s="70">
        <f t="shared" ref="BH143:BH147" si="75">SUM(AH143:AS143)</f>
        <v>3000000</v>
      </c>
      <c r="BI143" s="71">
        <f t="shared" ref="BI143:BI147" si="76">SUM(AT143:BE143)</f>
        <v>3000000</v>
      </c>
      <c r="BJ143" s="72">
        <f>VLOOKUP(D143,Master!AD:AG,3,FALSE)</f>
        <v>7611600</v>
      </c>
      <c r="BK143" s="73" t="str">
        <f>VLOOKUP(D143,Master!AD:AG,4,FALSE)</f>
        <v>Depreciation-Tools, furniture &amp; office equipment</v>
      </c>
    </row>
    <row r="144" spans="1:63" s="74" customFormat="1" ht="15" customHeight="1">
      <c r="A144" s="64" t="s">
        <v>326</v>
      </c>
      <c r="B144" s="25" t="s">
        <v>563</v>
      </c>
      <c r="C144" s="65" t="s">
        <v>221</v>
      </c>
      <c r="D144" s="66">
        <v>2141000</v>
      </c>
      <c r="E144" s="26">
        <v>15000000</v>
      </c>
      <c r="F144" s="67">
        <v>60</v>
      </c>
      <c r="G144" s="65" t="s">
        <v>270</v>
      </c>
      <c r="H144" s="27">
        <v>1</v>
      </c>
      <c r="I144" s="28">
        <v>44621</v>
      </c>
      <c r="J144" s="65" t="s">
        <v>310</v>
      </c>
      <c r="K144" s="65" t="s">
        <v>270</v>
      </c>
      <c r="L144" s="65"/>
      <c r="M144" s="65" t="s">
        <v>472</v>
      </c>
      <c r="N144" s="51">
        <v>15000000</v>
      </c>
      <c r="O144" s="51">
        <f t="shared" si="71"/>
        <v>250000</v>
      </c>
      <c r="P144" s="28">
        <f t="shared" si="72"/>
        <v>46447</v>
      </c>
      <c r="Q144" s="68" t="str">
        <f t="shared" si="57"/>
        <v/>
      </c>
      <c r="R144" s="68" t="str">
        <f t="shared" si="57"/>
        <v/>
      </c>
      <c r="S144" s="68" t="str">
        <f t="shared" si="57"/>
        <v/>
      </c>
      <c r="T144" s="68" t="str">
        <f t="shared" si="57"/>
        <v/>
      </c>
      <c r="U144" s="68" t="str">
        <f t="shared" si="57"/>
        <v/>
      </c>
      <c r="V144" s="69" t="str">
        <f t="shared" si="57"/>
        <v/>
      </c>
      <c r="W144" s="69" t="str">
        <f t="shared" si="57"/>
        <v/>
      </c>
      <c r="X144" s="69" t="str">
        <f t="shared" si="57"/>
        <v/>
      </c>
      <c r="Y144" s="69" t="str">
        <f t="shared" si="57"/>
        <v/>
      </c>
      <c r="Z144" s="69" t="str">
        <f t="shared" si="52"/>
        <v/>
      </c>
      <c r="AA144" s="69" t="str">
        <f t="shared" si="52"/>
        <v/>
      </c>
      <c r="AB144" s="69" t="str">
        <f t="shared" si="52"/>
        <v/>
      </c>
      <c r="AC144" s="69" t="str">
        <f t="shared" si="52"/>
        <v/>
      </c>
      <c r="AD144" s="69" t="str">
        <f t="shared" si="52"/>
        <v/>
      </c>
      <c r="AE144" s="69" t="str">
        <f t="shared" si="52"/>
        <v/>
      </c>
      <c r="AF144" s="69" t="str">
        <f t="shared" si="52"/>
        <v/>
      </c>
      <c r="AG144" s="69">
        <f t="shared" si="62"/>
        <v>250000</v>
      </c>
      <c r="AH144" s="70">
        <f t="shared" si="62"/>
        <v>250000</v>
      </c>
      <c r="AI144" s="70">
        <f t="shared" si="62"/>
        <v>250000</v>
      </c>
      <c r="AJ144" s="70">
        <f t="shared" si="62"/>
        <v>250000</v>
      </c>
      <c r="AK144" s="70">
        <f t="shared" si="62"/>
        <v>250000</v>
      </c>
      <c r="AL144" s="70">
        <f t="shared" si="62"/>
        <v>250000</v>
      </c>
      <c r="AM144" s="70">
        <f t="shared" si="62"/>
        <v>250000</v>
      </c>
      <c r="AN144" s="70">
        <f t="shared" si="62"/>
        <v>250000</v>
      </c>
      <c r="AO144" s="70">
        <f t="shared" si="61"/>
        <v>250000</v>
      </c>
      <c r="AP144" s="70">
        <f t="shared" si="61"/>
        <v>250000</v>
      </c>
      <c r="AQ144" s="70">
        <f t="shared" si="61"/>
        <v>250000</v>
      </c>
      <c r="AR144" s="70">
        <f t="shared" si="61"/>
        <v>250000</v>
      </c>
      <c r="AS144" s="70">
        <f t="shared" si="61"/>
        <v>250000</v>
      </c>
      <c r="AT144" s="71">
        <f t="shared" si="61"/>
        <v>250000</v>
      </c>
      <c r="AU144" s="71">
        <f t="shared" si="61"/>
        <v>250000</v>
      </c>
      <c r="AV144" s="71">
        <f t="shared" si="61"/>
        <v>250000</v>
      </c>
      <c r="AW144" s="71">
        <f t="shared" si="64"/>
        <v>250000</v>
      </c>
      <c r="AX144" s="71">
        <f t="shared" si="64"/>
        <v>250000</v>
      </c>
      <c r="AY144" s="71">
        <f t="shared" si="64"/>
        <v>250000</v>
      </c>
      <c r="AZ144" s="71">
        <f t="shared" si="63"/>
        <v>250000</v>
      </c>
      <c r="BA144" s="71">
        <f t="shared" si="63"/>
        <v>250000</v>
      </c>
      <c r="BB144" s="71">
        <f t="shared" si="63"/>
        <v>250000</v>
      </c>
      <c r="BC144" s="71">
        <f t="shared" si="63"/>
        <v>250000</v>
      </c>
      <c r="BD144" s="71">
        <f t="shared" si="63"/>
        <v>250000</v>
      </c>
      <c r="BE144" s="71">
        <f t="shared" si="63"/>
        <v>250000</v>
      </c>
      <c r="BF144" s="68">
        <f t="shared" si="73"/>
        <v>0</v>
      </c>
      <c r="BG144" s="69">
        <f t="shared" si="74"/>
        <v>250000</v>
      </c>
      <c r="BH144" s="70">
        <f t="shared" si="75"/>
        <v>3000000</v>
      </c>
      <c r="BI144" s="71">
        <f t="shared" si="76"/>
        <v>3000000</v>
      </c>
      <c r="BJ144" s="72">
        <f>VLOOKUP(D144,Master!AD:AG,3,FALSE)</f>
        <v>7611600</v>
      </c>
      <c r="BK144" s="73" t="str">
        <f>VLOOKUP(D144,Master!AD:AG,4,FALSE)</f>
        <v>Depreciation-Tools, furniture &amp; office equipment</v>
      </c>
    </row>
    <row r="145" spans="1:63" s="74" customFormat="1" ht="15" customHeight="1">
      <c r="A145" s="64" t="s">
        <v>328</v>
      </c>
      <c r="B145" s="25" t="s">
        <v>564</v>
      </c>
      <c r="C145" s="65" t="s">
        <v>221</v>
      </c>
      <c r="D145" s="66">
        <v>2141000</v>
      </c>
      <c r="E145" s="26">
        <v>15000000</v>
      </c>
      <c r="F145" s="67">
        <v>60</v>
      </c>
      <c r="G145" s="65" t="s">
        <v>270</v>
      </c>
      <c r="H145" s="27">
        <v>1</v>
      </c>
      <c r="I145" s="28">
        <v>44713</v>
      </c>
      <c r="J145" s="65" t="s">
        <v>310</v>
      </c>
      <c r="K145" s="65" t="s">
        <v>270</v>
      </c>
      <c r="L145" s="65"/>
      <c r="M145" s="65" t="s">
        <v>471</v>
      </c>
      <c r="N145" s="51">
        <v>15000000</v>
      </c>
      <c r="O145" s="51">
        <f t="shared" si="71"/>
        <v>250000</v>
      </c>
      <c r="P145" s="28">
        <f t="shared" si="72"/>
        <v>46539</v>
      </c>
      <c r="Q145" s="68" t="str">
        <f t="shared" si="57"/>
        <v/>
      </c>
      <c r="R145" s="68" t="str">
        <f t="shared" si="57"/>
        <v/>
      </c>
      <c r="S145" s="68" t="str">
        <f t="shared" si="57"/>
        <v/>
      </c>
      <c r="T145" s="68" t="str">
        <f t="shared" si="57"/>
        <v/>
      </c>
      <c r="U145" s="68" t="str">
        <f t="shared" si="57"/>
        <v/>
      </c>
      <c r="V145" s="69" t="str">
        <f t="shared" si="57"/>
        <v/>
      </c>
      <c r="W145" s="69" t="str">
        <f t="shared" si="57"/>
        <v/>
      </c>
      <c r="X145" s="69" t="str">
        <f t="shared" si="57"/>
        <v/>
      </c>
      <c r="Y145" s="69" t="str">
        <f t="shared" si="57"/>
        <v/>
      </c>
      <c r="Z145" s="69" t="str">
        <f t="shared" si="52"/>
        <v/>
      </c>
      <c r="AA145" s="69" t="str">
        <f t="shared" si="52"/>
        <v/>
      </c>
      <c r="AB145" s="69" t="str">
        <f t="shared" si="52"/>
        <v/>
      </c>
      <c r="AC145" s="69" t="str">
        <f t="shared" si="52"/>
        <v/>
      </c>
      <c r="AD145" s="69" t="str">
        <f t="shared" si="52"/>
        <v/>
      </c>
      <c r="AE145" s="69" t="str">
        <f t="shared" si="52"/>
        <v/>
      </c>
      <c r="AF145" s="69" t="str">
        <f t="shared" si="52"/>
        <v/>
      </c>
      <c r="AG145" s="69" t="str">
        <f t="shared" si="62"/>
        <v/>
      </c>
      <c r="AH145" s="70" t="str">
        <f t="shared" si="62"/>
        <v/>
      </c>
      <c r="AI145" s="70" t="str">
        <f t="shared" si="62"/>
        <v/>
      </c>
      <c r="AJ145" s="70">
        <f t="shared" si="62"/>
        <v>250000</v>
      </c>
      <c r="AK145" s="70">
        <f t="shared" si="62"/>
        <v>250000</v>
      </c>
      <c r="AL145" s="70">
        <f t="shared" si="62"/>
        <v>250000</v>
      </c>
      <c r="AM145" s="70">
        <f t="shared" si="62"/>
        <v>250000</v>
      </c>
      <c r="AN145" s="70">
        <f t="shared" si="62"/>
        <v>250000</v>
      </c>
      <c r="AO145" s="70">
        <f t="shared" si="61"/>
        <v>250000</v>
      </c>
      <c r="AP145" s="70">
        <f t="shared" si="61"/>
        <v>250000</v>
      </c>
      <c r="AQ145" s="70">
        <f t="shared" si="61"/>
        <v>250000</v>
      </c>
      <c r="AR145" s="70">
        <f t="shared" si="61"/>
        <v>250000</v>
      </c>
      <c r="AS145" s="70">
        <f t="shared" si="61"/>
        <v>250000</v>
      </c>
      <c r="AT145" s="71">
        <f t="shared" si="61"/>
        <v>250000</v>
      </c>
      <c r="AU145" s="71">
        <f t="shared" si="61"/>
        <v>250000</v>
      </c>
      <c r="AV145" s="71">
        <f t="shared" si="61"/>
        <v>250000</v>
      </c>
      <c r="AW145" s="71">
        <f t="shared" si="64"/>
        <v>250000</v>
      </c>
      <c r="AX145" s="71">
        <f t="shared" si="64"/>
        <v>250000</v>
      </c>
      <c r="AY145" s="71">
        <f t="shared" si="64"/>
        <v>250000</v>
      </c>
      <c r="AZ145" s="71">
        <f t="shared" si="63"/>
        <v>250000</v>
      </c>
      <c r="BA145" s="71">
        <f t="shared" si="63"/>
        <v>250000</v>
      </c>
      <c r="BB145" s="71">
        <f t="shared" si="63"/>
        <v>250000</v>
      </c>
      <c r="BC145" s="71">
        <f t="shared" si="63"/>
        <v>250000</v>
      </c>
      <c r="BD145" s="71">
        <f t="shared" si="63"/>
        <v>250000</v>
      </c>
      <c r="BE145" s="71">
        <f t="shared" si="63"/>
        <v>250000</v>
      </c>
      <c r="BF145" s="68">
        <f t="shared" si="73"/>
        <v>0</v>
      </c>
      <c r="BG145" s="69">
        <f t="shared" si="74"/>
        <v>0</v>
      </c>
      <c r="BH145" s="70">
        <f t="shared" si="75"/>
        <v>2500000</v>
      </c>
      <c r="BI145" s="71">
        <f t="shared" si="76"/>
        <v>3000000</v>
      </c>
      <c r="BJ145" s="72">
        <f>VLOOKUP(D145,Master!AD:AG,3,FALSE)</f>
        <v>7611600</v>
      </c>
      <c r="BK145" s="73" t="str">
        <f>VLOOKUP(D145,Master!AD:AG,4,FALSE)</f>
        <v>Depreciation-Tools, furniture &amp; office equipment</v>
      </c>
    </row>
    <row r="146" spans="1:63" s="74" customFormat="1" ht="15" customHeight="1">
      <c r="A146" s="64" t="s">
        <v>356</v>
      </c>
      <c r="B146" s="25" t="s">
        <v>565</v>
      </c>
      <c r="C146" s="65" t="s">
        <v>221</v>
      </c>
      <c r="D146" s="66">
        <v>2141000</v>
      </c>
      <c r="E146" s="26">
        <v>15000000</v>
      </c>
      <c r="F146" s="67">
        <v>60</v>
      </c>
      <c r="G146" s="65" t="s">
        <v>270</v>
      </c>
      <c r="H146" s="27">
        <v>1</v>
      </c>
      <c r="I146" s="28">
        <v>44958</v>
      </c>
      <c r="J146" s="65" t="s">
        <v>310</v>
      </c>
      <c r="K146" s="65" t="s">
        <v>270</v>
      </c>
      <c r="L146" s="65"/>
      <c r="M146" s="65" t="s">
        <v>471</v>
      </c>
      <c r="N146" s="51">
        <f t="shared" ref="N146:N147" si="77">H146*E146</f>
        <v>15000000</v>
      </c>
      <c r="O146" s="51">
        <f t="shared" si="71"/>
        <v>250000</v>
      </c>
      <c r="P146" s="28">
        <f t="shared" si="72"/>
        <v>46784</v>
      </c>
      <c r="Q146" s="68" t="str">
        <f t="shared" si="57"/>
        <v/>
      </c>
      <c r="R146" s="68" t="str">
        <f t="shared" si="57"/>
        <v/>
      </c>
      <c r="S146" s="68" t="str">
        <f t="shared" si="57"/>
        <v/>
      </c>
      <c r="T146" s="68" t="str">
        <f t="shared" si="57"/>
        <v/>
      </c>
      <c r="U146" s="68" t="str">
        <f t="shared" si="57"/>
        <v/>
      </c>
      <c r="V146" s="69" t="str">
        <f t="shared" si="57"/>
        <v/>
      </c>
      <c r="W146" s="69" t="str">
        <f t="shared" si="57"/>
        <v/>
      </c>
      <c r="X146" s="69" t="str">
        <f t="shared" si="57"/>
        <v/>
      </c>
      <c r="Y146" s="69" t="str">
        <f t="shared" si="57"/>
        <v/>
      </c>
      <c r="Z146" s="69" t="str">
        <f t="shared" si="52"/>
        <v/>
      </c>
      <c r="AA146" s="69" t="str">
        <f t="shared" si="52"/>
        <v/>
      </c>
      <c r="AB146" s="69" t="str">
        <f t="shared" si="52"/>
        <v/>
      </c>
      <c r="AC146" s="69" t="str">
        <f t="shared" si="52"/>
        <v/>
      </c>
      <c r="AD146" s="69" t="str">
        <f t="shared" si="52"/>
        <v/>
      </c>
      <c r="AE146" s="69" t="str">
        <f t="shared" si="52"/>
        <v/>
      </c>
      <c r="AF146" s="69" t="str">
        <f t="shared" si="52"/>
        <v/>
      </c>
      <c r="AG146" s="69" t="str">
        <f t="shared" si="62"/>
        <v/>
      </c>
      <c r="AH146" s="70" t="str">
        <f t="shared" si="62"/>
        <v/>
      </c>
      <c r="AI146" s="70" t="str">
        <f t="shared" si="62"/>
        <v/>
      </c>
      <c r="AJ146" s="70" t="str">
        <f t="shared" si="62"/>
        <v/>
      </c>
      <c r="AK146" s="70" t="str">
        <f t="shared" si="62"/>
        <v/>
      </c>
      <c r="AL146" s="70" t="str">
        <f t="shared" si="62"/>
        <v/>
      </c>
      <c r="AM146" s="70" t="str">
        <f t="shared" si="62"/>
        <v/>
      </c>
      <c r="AN146" s="70" t="str">
        <f t="shared" si="62"/>
        <v/>
      </c>
      <c r="AO146" s="70" t="str">
        <f t="shared" si="61"/>
        <v/>
      </c>
      <c r="AP146" s="70" t="str">
        <f t="shared" si="61"/>
        <v/>
      </c>
      <c r="AQ146" s="70" t="str">
        <f t="shared" si="61"/>
        <v/>
      </c>
      <c r="AR146" s="70">
        <f t="shared" si="61"/>
        <v>250000</v>
      </c>
      <c r="AS146" s="70">
        <f t="shared" si="61"/>
        <v>250000</v>
      </c>
      <c r="AT146" s="71">
        <f t="shared" si="61"/>
        <v>250000</v>
      </c>
      <c r="AU146" s="71">
        <f t="shared" si="61"/>
        <v>250000</v>
      </c>
      <c r="AV146" s="71">
        <f t="shared" si="61"/>
        <v>250000</v>
      </c>
      <c r="AW146" s="71">
        <f t="shared" si="64"/>
        <v>250000</v>
      </c>
      <c r="AX146" s="71">
        <f t="shared" si="64"/>
        <v>250000</v>
      </c>
      <c r="AY146" s="71">
        <f t="shared" si="64"/>
        <v>250000</v>
      </c>
      <c r="AZ146" s="71">
        <f t="shared" si="63"/>
        <v>250000</v>
      </c>
      <c r="BA146" s="71">
        <f t="shared" si="63"/>
        <v>250000</v>
      </c>
      <c r="BB146" s="71">
        <f t="shared" si="63"/>
        <v>250000</v>
      </c>
      <c r="BC146" s="71">
        <f t="shared" si="63"/>
        <v>250000</v>
      </c>
      <c r="BD146" s="71">
        <f t="shared" si="63"/>
        <v>250000</v>
      </c>
      <c r="BE146" s="71">
        <f t="shared" si="63"/>
        <v>250000</v>
      </c>
      <c r="BF146" s="68">
        <f t="shared" si="73"/>
        <v>0</v>
      </c>
      <c r="BG146" s="69">
        <f t="shared" si="74"/>
        <v>0</v>
      </c>
      <c r="BH146" s="70">
        <f t="shared" si="75"/>
        <v>500000</v>
      </c>
      <c r="BI146" s="71">
        <f t="shared" si="76"/>
        <v>3000000</v>
      </c>
      <c r="BJ146" s="72">
        <f>VLOOKUP(D146,Master!AD:AG,3,FALSE)</f>
        <v>7611600</v>
      </c>
      <c r="BK146" s="73" t="str">
        <f>VLOOKUP(D146,Master!AD:AG,4,FALSE)</f>
        <v>Depreciation-Tools, furniture &amp; office equipment</v>
      </c>
    </row>
    <row r="147" spans="1:63" s="74" customFormat="1" ht="15" customHeight="1">
      <c r="A147" s="64" t="s">
        <v>357</v>
      </c>
      <c r="B147" s="25" t="s">
        <v>568</v>
      </c>
      <c r="C147" s="65" t="s">
        <v>221</v>
      </c>
      <c r="D147" s="66">
        <v>2141000</v>
      </c>
      <c r="E147" s="26">
        <v>10000000</v>
      </c>
      <c r="F147" s="67">
        <v>60</v>
      </c>
      <c r="G147" s="65" t="s">
        <v>270</v>
      </c>
      <c r="H147" s="27">
        <v>1</v>
      </c>
      <c r="I147" s="28">
        <v>44621</v>
      </c>
      <c r="J147" s="65" t="s">
        <v>310</v>
      </c>
      <c r="K147" s="65" t="s">
        <v>270</v>
      </c>
      <c r="L147" s="65"/>
      <c r="M147" s="65" t="s">
        <v>472</v>
      </c>
      <c r="N147" s="51">
        <f t="shared" si="77"/>
        <v>10000000</v>
      </c>
      <c r="O147" s="51">
        <f t="shared" si="71"/>
        <v>166666.66666666666</v>
      </c>
      <c r="P147" s="28">
        <f t="shared" si="72"/>
        <v>46447</v>
      </c>
      <c r="Q147" s="68" t="str">
        <f t="shared" si="57"/>
        <v/>
      </c>
      <c r="R147" s="68" t="str">
        <f t="shared" si="57"/>
        <v/>
      </c>
      <c r="S147" s="68" t="str">
        <f t="shared" si="57"/>
        <v/>
      </c>
      <c r="T147" s="68" t="str">
        <f t="shared" si="57"/>
        <v/>
      </c>
      <c r="U147" s="68" t="str">
        <f t="shared" si="57"/>
        <v/>
      </c>
      <c r="V147" s="69" t="str">
        <f t="shared" si="57"/>
        <v/>
      </c>
      <c r="W147" s="69" t="str">
        <f t="shared" si="57"/>
        <v/>
      </c>
      <c r="X147" s="69" t="str">
        <f t="shared" si="57"/>
        <v/>
      </c>
      <c r="Y147" s="69" t="str">
        <f t="shared" si="57"/>
        <v/>
      </c>
      <c r="Z147" s="69" t="str">
        <f t="shared" si="52"/>
        <v/>
      </c>
      <c r="AA147" s="69" t="str">
        <f t="shared" si="52"/>
        <v/>
      </c>
      <c r="AB147" s="69" t="str">
        <f t="shared" si="52"/>
        <v/>
      </c>
      <c r="AC147" s="69" t="str">
        <f t="shared" si="52"/>
        <v/>
      </c>
      <c r="AD147" s="69" t="str">
        <f t="shared" si="52"/>
        <v/>
      </c>
      <c r="AE147" s="69" t="str">
        <f t="shared" si="52"/>
        <v/>
      </c>
      <c r="AF147" s="69" t="str">
        <f t="shared" si="52"/>
        <v/>
      </c>
      <c r="AG147" s="69">
        <f t="shared" si="62"/>
        <v>166666.66666666666</v>
      </c>
      <c r="AH147" s="70">
        <f t="shared" si="62"/>
        <v>166666.66666666666</v>
      </c>
      <c r="AI147" s="70">
        <f t="shared" si="62"/>
        <v>166666.66666666666</v>
      </c>
      <c r="AJ147" s="70">
        <f t="shared" si="62"/>
        <v>166666.66666666666</v>
      </c>
      <c r="AK147" s="70">
        <f t="shared" si="62"/>
        <v>166666.66666666666</v>
      </c>
      <c r="AL147" s="70">
        <f t="shared" si="62"/>
        <v>166666.66666666666</v>
      </c>
      <c r="AM147" s="70">
        <f t="shared" si="62"/>
        <v>166666.66666666666</v>
      </c>
      <c r="AN147" s="70">
        <f t="shared" si="62"/>
        <v>166666.66666666666</v>
      </c>
      <c r="AO147" s="70">
        <f t="shared" si="61"/>
        <v>166666.66666666666</v>
      </c>
      <c r="AP147" s="70">
        <f t="shared" si="61"/>
        <v>166666.66666666666</v>
      </c>
      <c r="AQ147" s="70">
        <f t="shared" si="61"/>
        <v>166666.66666666666</v>
      </c>
      <c r="AR147" s="70">
        <f t="shared" si="61"/>
        <v>166666.66666666666</v>
      </c>
      <c r="AS147" s="70">
        <f t="shared" si="61"/>
        <v>166666.66666666666</v>
      </c>
      <c r="AT147" s="71">
        <f t="shared" si="61"/>
        <v>166666.66666666666</v>
      </c>
      <c r="AU147" s="71">
        <f t="shared" si="61"/>
        <v>166666.66666666666</v>
      </c>
      <c r="AV147" s="71">
        <f t="shared" si="61"/>
        <v>166666.66666666666</v>
      </c>
      <c r="AW147" s="71">
        <f t="shared" si="64"/>
        <v>166666.66666666666</v>
      </c>
      <c r="AX147" s="71">
        <f t="shared" si="64"/>
        <v>166666.66666666666</v>
      </c>
      <c r="AY147" s="71">
        <f t="shared" si="64"/>
        <v>166666.66666666666</v>
      </c>
      <c r="AZ147" s="71">
        <f t="shared" si="63"/>
        <v>166666.66666666666</v>
      </c>
      <c r="BA147" s="71">
        <f t="shared" si="63"/>
        <v>166666.66666666666</v>
      </c>
      <c r="BB147" s="71">
        <f t="shared" si="63"/>
        <v>166666.66666666666</v>
      </c>
      <c r="BC147" s="71">
        <f t="shared" si="63"/>
        <v>166666.66666666666</v>
      </c>
      <c r="BD147" s="71">
        <f t="shared" si="63"/>
        <v>166666.66666666666</v>
      </c>
      <c r="BE147" s="71">
        <f t="shared" si="63"/>
        <v>166666.66666666666</v>
      </c>
      <c r="BF147" s="68">
        <f t="shared" si="73"/>
        <v>0</v>
      </c>
      <c r="BG147" s="69">
        <f t="shared" si="74"/>
        <v>166666.66666666666</v>
      </c>
      <c r="BH147" s="70">
        <f t="shared" si="75"/>
        <v>2000000.0000000002</v>
      </c>
      <c r="BI147" s="71">
        <f t="shared" si="76"/>
        <v>2000000.0000000002</v>
      </c>
      <c r="BJ147" s="72">
        <f>VLOOKUP(D147,Master!AD:AG,3,FALSE)</f>
        <v>7611600</v>
      </c>
      <c r="BK147" s="73" t="str">
        <f>VLOOKUP(D147,Master!AD:AG,4,FALSE)</f>
        <v>Depreciation-Tools, furniture &amp; office equipment</v>
      </c>
    </row>
    <row r="148" spans="1:63" s="74" customFormat="1" ht="15" customHeight="1">
      <c r="A148" s="64"/>
      <c r="B148" s="25"/>
      <c r="C148" s="65"/>
      <c r="D148" s="66"/>
      <c r="E148" s="26"/>
      <c r="F148" s="67"/>
      <c r="G148" s="65"/>
      <c r="H148" s="27"/>
      <c r="I148" s="28"/>
      <c r="J148" s="65"/>
      <c r="K148" s="65"/>
      <c r="L148" s="65"/>
      <c r="M148" s="65"/>
      <c r="N148" s="51">
        <f t="shared" ref="N148:N151" si="78">H148*E148</f>
        <v>0</v>
      </c>
      <c r="O148" s="51" t="e">
        <f t="shared" ref="O148:O151" si="79">N148/F148</f>
        <v>#DIV/0!</v>
      </c>
      <c r="P148" s="28">
        <f t="shared" ref="P148:P151" si="80">DATE(YEAR(I148),MONTH(I148)+F148,DAY(I148))</f>
        <v>0</v>
      </c>
      <c r="Q148" s="68" t="str">
        <f t="shared" si="57"/>
        <v/>
      </c>
      <c r="R148" s="68" t="str">
        <f t="shared" si="57"/>
        <v/>
      </c>
      <c r="S148" s="68" t="str">
        <f t="shared" si="57"/>
        <v/>
      </c>
      <c r="T148" s="68" t="str">
        <f t="shared" si="57"/>
        <v/>
      </c>
      <c r="U148" s="68" t="str">
        <f t="shared" si="57"/>
        <v/>
      </c>
      <c r="V148" s="69" t="str">
        <f t="shared" si="57"/>
        <v/>
      </c>
      <c r="W148" s="69" t="str">
        <f t="shared" si="57"/>
        <v/>
      </c>
      <c r="X148" s="69" t="str">
        <f t="shared" si="57"/>
        <v/>
      </c>
      <c r="Y148" s="69" t="str">
        <f t="shared" si="57"/>
        <v/>
      </c>
      <c r="Z148" s="69" t="str">
        <f t="shared" si="52"/>
        <v/>
      </c>
      <c r="AA148" s="69" t="str">
        <f t="shared" si="52"/>
        <v/>
      </c>
      <c r="AB148" s="69" t="str">
        <f t="shared" si="52"/>
        <v/>
      </c>
      <c r="AC148" s="69" t="str">
        <f t="shared" si="52"/>
        <v/>
      </c>
      <c r="AD148" s="69" t="str">
        <f t="shared" si="52"/>
        <v/>
      </c>
      <c r="AE148" s="69" t="str">
        <f t="shared" si="52"/>
        <v/>
      </c>
      <c r="AF148" s="69" t="str">
        <f t="shared" si="52"/>
        <v/>
      </c>
      <c r="AG148" s="69" t="str">
        <f t="shared" si="62"/>
        <v/>
      </c>
      <c r="AH148" s="70" t="str">
        <f t="shared" si="62"/>
        <v/>
      </c>
      <c r="AI148" s="70" t="str">
        <f t="shared" si="62"/>
        <v/>
      </c>
      <c r="AJ148" s="70" t="str">
        <f t="shared" si="62"/>
        <v/>
      </c>
      <c r="AK148" s="70" t="str">
        <f t="shared" si="62"/>
        <v/>
      </c>
      <c r="AL148" s="70" t="str">
        <f t="shared" si="62"/>
        <v/>
      </c>
      <c r="AM148" s="70" t="str">
        <f t="shared" si="62"/>
        <v/>
      </c>
      <c r="AN148" s="70" t="str">
        <f t="shared" si="62"/>
        <v/>
      </c>
      <c r="AO148" s="70" t="str">
        <f t="shared" si="61"/>
        <v/>
      </c>
      <c r="AP148" s="70" t="str">
        <f t="shared" si="61"/>
        <v/>
      </c>
      <c r="AQ148" s="70" t="str">
        <f t="shared" si="61"/>
        <v/>
      </c>
      <c r="AR148" s="70" t="str">
        <f t="shared" si="61"/>
        <v/>
      </c>
      <c r="AS148" s="70" t="str">
        <f t="shared" si="61"/>
        <v/>
      </c>
      <c r="AT148" s="71" t="str">
        <f t="shared" si="61"/>
        <v/>
      </c>
      <c r="AU148" s="71" t="str">
        <f t="shared" si="61"/>
        <v/>
      </c>
      <c r="AV148" s="71" t="str">
        <f t="shared" si="61"/>
        <v/>
      </c>
      <c r="AW148" s="71" t="str">
        <f t="shared" si="64"/>
        <v/>
      </c>
      <c r="AX148" s="71" t="str">
        <f t="shared" si="64"/>
        <v/>
      </c>
      <c r="AY148" s="71" t="str">
        <f t="shared" si="64"/>
        <v/>
      </c>
      <c r="AZ148" s="71" t="str">
        <f t="shared" si="63"/>
        <v/>
      </c>
      <c r="BA148" s="71" t="str">
        <f t="shared" si="63"/>
        <v/>
      </c>
      <c r="BB148" s="71" t="str">
        <f t="shared" si="63"/>
        <v/>
      </c>
      <c r="BC148" s="71" t="str">
        <f t="shared" si="63"/>
        <v/>
      </c>
      <c r="BD148" s="71" t="str">
        <f t="shared" si="63"/>
        <v/>
      </c>
      <c r="BE148" s="71" t="str">
        <f t="shared" si="63"/>
        <v/>
      </c>
      <c r="BF148" s="68">
        <f t="shared" ref="BF148:BF151" si="81">SUM(Q148:U148)</f>
        <v>0</v>
      </c>
      <c r="BG148" s="69">
        <f t="shared" ref="BG148:BG151" si="82">SUM(V148:AG148)</f>
        <v>0</v>
      </c>
      <c r="BH148" s="70">
        <f t="shared" ref="BH148:BH151" si="83">SUM(AH148:AS148)</f>
        <v>0</v>
      </c>
      <c r="BI148" s="71">
        <f t="shared" ref="BI148:BI151" si="84">SUM(AT148:BE148)</f>
        <v>0</v>
      </c>
      <c r="BJ148" s="72" t="e">
        <f>VLOOKUP(D148,Master!AD:AG,3,FALSE)</f>
        <v>#N/A</v>
      </c>
      <c r="BK148" s="73" t="e">
        <f>VLOOKUP(D148,Master!AD:AG,4,FALSE)</f>
        <v>#N/A</v>
      </c>
    </row>
    <row r="149" spans="1:63" s="74" customFormat="1" ht="15" customHeight="1">
      <c r="A149" s="64"/>
      <c r="B149" s="25"/>
      <c r="C149" s="65"/>
      <c r="D149" s="66"/>
      <c r="E149" s="26"/>
      <c r="F149" s="67"/>
      <c r="G149" s="65"/>
      <c r="H149" s="27"/>
      <c r="I149" s="28"/>
      <c r="J149" s="65"/>
      <c r="K149" s="65"/>
      <c r="L149" s="65"/>
      <c r="M149" s="65"/>
      <c r="N149" s="51">
        <f t="shared" si="78"/>
        <v>0</v>
      </c>
      <c r="O149" s="51" t="e">
        <f t="shared" si="79"/>
        <v>#DIV/0!</v>
      </c>
      <c r="P149" s="28">
        <f t="shared" si="80"/>
        <v>0</v>
      </c>
      <c r="Q149" s="68" t="str">
        <f t="shared" ref="Q149:AF151" si="85">IF(AND(LEFT(Q$1,FIND("_",Q$1)-1)&amp;RIGHT(Q$1,LEN(Q$1)-FIND("_",Q$1)) &gt;= YEAR($I149) &amp; TEXT(MONTH($I149),"00"),LEFT(Q$1,FIND("_",Q$1)-1)&amp;RIGHT(Q$1,LEN(Q$1)-FIND("_",Q$1)) &lt; YEAR($P149) &amp; TEXT(MONTH($P149),"00")),$O149,"")</f>
        <v/>
      </c>
      <c r="R149" s="68" t="str">
        <f t="shared" si="85"/>
        <v/>
      </c>
      <c r="S149" s="68" t="str">
        <f t="shared" si="85"/>
        <v/>
      </c>
      <c r="T149" s="68" t="str">
        <f t="shared" si="85"/>
        <v/>
      </c>
      <c r="U149" s="68" t="str">
        <f t="shared" si="85"/>
        <v/>
      </c>
      <c r="V149" s="69" t="str">
        <f t="shared" si="85"/>
        <v/>
      </c>
      <c r="W149" s="69" t="str">
        <f t="shared" si="85"/>
        <v/>
      </c>
      <c r="X149" s="69" t="str">
        <f t="shared" si="85"/>
        <v/>
      </c>
      <c r="Y149" s="69" t="str">
        <f t="shared" si="85"/>
        <v/>
      </c>
      <c r="Z149" s="69" t="str">
        <f t="shared" si="85"/>
        <v/>
      </c>
      <c r="AA149" s="69" t="str">
        <f t="shared" si="85"/>
        <v/>
      </c>
      <c r="AB149" s="69" t="str">
        <f t="shared" si="85"/>
        <v/>
      </c>
      <c r="AC149" s="69" t="str">
        <f t="shared" si="85"/>
        <v/>
      </c>
      <c r="AD149" s="69" t="str">
        <f t="shared" si="85"/>
        <v/>
      </c>
      <c r="AE149" s="69" t="str">
        <f t="shared" si="85"/>
        <v/>
      </c>
      <c r="AF149" s="69" t="str">
        <f t="shared" si="85"/>
        <v/>
      </c>
      <c r="AG149" s="69" t="str">
        <f t="shared" si="62"/>
        <v/>
      </c>
      <c r="AH149" s="70" t="str">
        <f t="shared" si="62"/>
        <v/>
      </c>
      <c r="AI149" s="70" t="str">
        <f t="shared" si="62"/>
        <v/>
      </c>
      <c r="AJ149" s="70" t="str">
        <f t="shared" si="62"/>
        <v/>
      </c>
      <c r="AK149" s="70" t="str">
        <f t="shared" si="62"/>
        <v/>
      </c>
      <c r="AL149" s="70" t="str">
        <f t="shared" si="62"/>
        <v/>
      </c>
      <c r="AM149" s="70" t="str">
        <f t="shared" si="62"/>
        <v/>
      </c>
      <c r="AN149" s="70" t="str">
        <f t="shared" si="62"/>
        <v/>
      </c>
      <c r="AO149" s="70" t="str">
        <f t="shared" si="61"/>
        <v/>
      </c>
      <c r="AP149" s="70" t="str">
        <f t="shared" si="61"/>
        <v/>
      </c>
      <c r="AQ149" s="70" t="str">
        <f t="shared" si="61"/>
        <v/>
      </c>
      <c r="AR149" s="70" t="str">
        <f t="shared" si="61"/>
        <v/>
      </c>
      <c r="AS149" s="70" t="str">
        <f t="shared" si="61"/>
        <v/>
      </c>
      <c r="AT149" s="71" t="str">
        <f t="shared" si="61"/>
        <v/>
      </c>
      <c r="AU149" s="71" t="str">
        <f t="shared" si="61"/>
        <v/>
      </c>
      <c r="AV149" s="71" t="str">
        <f t="shared" si="61"/>
        <v/>
      </c>
      <c r="AW149" s="71" t="str">
        <f t="shared" si="64"/>
        <v/>
      </c>
      <c r="AX149" s="71" t="str">
        <f t="shared" si="64"/>
        <v/>
      </c>
      <c r="AY149" s="71" t="str">
        <f t="shared" si="64"/>
        <v/>
      </c>
      <c r="AZ149" s="71" t="str">
        <f t="shared" si="63"/>
        <v/>
      </c>
      <c r="BA149" s="71" t="str">
        <f t="shared" si="63"/>
        <v/>
      </c>
      <c r="BB149" s="71" t="str">
        <f t="shared" si="63"/>
        <v/>
      </c>
      <c r="BC149" s="71" t="str">
        <f t="shared" si="63"/>
        <v/>
      </c>
      <c r="BD149" s="71" t="str">
        <f t="shared" si="63"/>
        <v/>
      </c>
      <c r="BE149" s="71" t="str">
        <f t="shared" si="63"/>
        <v/>
      </c>
      <c r="BF149" s="68">
        <f t="shared" si="81"/>
        <v>0</v>
      </c>
      <c r="BG149" s="69">
        <f t="shared" si="82"/>
        <v>0</v>
      </c>
      <c r="BH149" s="70">
        <f t="shared" si="83"/>
        <v>0</v>
      </c>
      <c r="BI149" s="71">
        <f t="shared" si="84"/>
        <v>0</v>
      </c>
      <c r="BJ149" s="72" t="e">
        <f>VLOOKUP(D149,Master!AD:AG,3,FALSE)</f>
        <v>#N/A</v>
      </c>
      <c r="BK149" s="73" t="e">
        <f>VLOOKUP(D149,Master!AD:AG,4,FALSE)</f>
        <v>#N/A</v>
      </c>
    </row>
    <row r="150" spans="1:63" s="74" customFormat="1" ht="15" customHeight="1">
      <c r="A150" s="64"/>
      <c r="B150" s="25"/>
      <c r="C150" s="65"/>
      <c r="D150" s="66"/>
      <c r="E150" s="26"/>
      <c r="F150" s="67"/>
      <c r="G150" s="65"/>
      <c r="H150" s="27"/>
      <c r="I150" s="28"/>
      <c r="J150" s="65"/>
      <c r="K150" s="65"/>
      <c r="L150" s="65"/>
      <c r="M150" s="65"/>
      <c r="N150" s="51">
        <f t="shared" si="78"/>
        <v>0</v>
      </c>
      <c r="O150" s="51" t="e">
        <f t="shared" si="79"/>
        <v>#DIV/0!</v>
      </c>
      <c r="P150" s="28">
        <f t="shared" si="80"/>
        <v>0</v>
      </c>
      <c r="Q150" s="68" t="str">
        <f t="shared" si="85"/>
        <v/>
      </c>
      <c r="R150" s="68" t="str">
        <f t="shared" si="85"/>
        <v/>
      </c>
      <c r="S150" s="68" t="str">
        <f t="shared" si="85"/>
        <v/>
      </c>
      <c r="T150" s="68" t="str">
        <f t="shared" si="85"/>
        <v/>
      </c>
      <c r="U150" s="68" t="str">
        <f t="shared" si="85"/>
        <v/>
      </c>
      <c r="V150" s="69" t="str">
        <f t="shared" si="85"/>
        <v/>
      </c>
      <c r="W150" s="69" t="str">
        <f t="shared" si="85"/>
        <v/>
      </c>
      <c r="X150" s="69" t="str">
        <f t="shared" si="85"/>
        <v/>
      </c>
      <c r="Y150" s="69" t="str">
        <f t="shared" si="85"/>
        <v/>
      </c>
      <c r="Z150" s="69" t="str">
        <f t="shared" si="85"/>
        <v/>
      </c>
      <c r="AA150" s="69" t="str">
        <f t="shared" si="85"/>
        <v/>
      </c>
      <c r="AB150" s="69" t="str">
        <f t="shared" si="85"/>
        <v/>
      </c>
      <c r="AC150" s="69" t="str">
        <f t="shared" si="85"/>
        <v/>
      </c>
      <c r="AD150" s="69" t="str">
        <f t="shared" si="85"/>
        <v/>
      </c>
      <c r="AE150" s="69" t="str">
        <f t="shared" si="85"/>
        <v/>
      </c>
      <c r="AF150" s="69" t="str">
        <f t="shared" si="85"/>
        <v/>
      </c>
      <c r="AG150" s="69" t="str">
        <f t="shared" si="62"/>
        <v/>
      </c>
      <c r="AH150" s="70" t="str">
        <f t="shared" si="62"/>
        <v/>
      </c>
      <c r="AI150" s="70" t="str">
        <f t="shared" si="62"/>
        <v/>
      </c>
      <c r="AJ150" s="70" t="str">
        <f t="shared" si="62"/>
        <v/>
      </c>
      <c r="AK150" s="70" t="str">
        <f t="shared" si="62"/>
        <v/>
      </c>
      <c r="AL150" s="70" t="str">
        <f t="shared" si="62"/>
        <v/>
      </c>
      <c r="AM150" s="70" t="str">
        <f t="shared" si="62"/>
        <v/>
      </c>
      <c r="AN150" s="70" t="str">
        <f t="shared" si="62"/>
        <v/>
      </c>
      <c r="AO150" s="70" t="str">
        <f t="shared" si="61"/>
        <v/>
      </c>
      <c r="AP150" s="70" t="str">
        <f t="shared" si="61"/>
        <v/>
      </c>
      <c r="AQ150" s="70" t="str">
        <f t="shared" si="61"/>
        <v/>
      </c>
      <c r="AR150" s="70" t="str">
        <f t="shared" si="61"/>
        <v/>
      </c>
      <c r="AS150" s="70" t="str">
        <f t="shared" si="61"/>
        <v/>
      </c>
      <c r="AT150" s="71" t="str">
        <f t="shared" si="61"/>
        <v/>
      </c>
      <c r="AU150" s="71" t="str">
        <f t="shared" si="61"/>
        <v/>
      </c>
      <c r="AV150" s="71" t="str">
        <f t="shared" si="61"/>
        <v/>
      </c>
      <c r="AW150" s="71" t="str">
        <f t="shared" si="64"/>
        <v/>
      </c>
      <c r="AX150" s="71" t="str">
        <f t="shared" si="64"/>
        <v/>
      </c>
      <c r="AY150" s="71" t="str">
        <f t="shared" si="64"/>
        <v/>
      </c>
      <c r="AZ150" s="71" t="str">
        <f t="shared" si="63"/>
        <v/>
      </c>
      <c r="BA150" s="71" t="str">
        <f t="shared" si="63"/>
        <v/>
      </c>
      <c r="BB150" s="71" t="str">
        <f t="shared" si="63"/>
        <v/>
      </c>
      <c r="BC150" s="71" t="str">
        <f t="shared" si="63"/>
        <v/>
      </c>
      <c r="BD150" s="71" t="str">
        <f t="shared" si="63"/>
        <v/>
      </c>
      <c r="BE150" s="71" t="str">
        <f t="shared" si="63"/>
        <v/>
      </c>
      <c r="BF150" s="68">
        <f t="shared" si="81"/>
        <v>0</v>
      </c>
      <c r="BG150" s="69">
        <f t="shared" si="82"/>
        <v>0</v>
      </c>
      <c r="BH150" s="70">
        <f t="shared" si="83"/>
        <v>0</v>
      </c>
      <c r="BI150" s="71">
        <f t="shared" si="84"/>
        <v>0</v>
      </c>
      <c r="BJ150" s="72" t="e">
        <f>VLOOKUP(D150,Master!AD:AG,3,FALSE)</f>
        <v>#N/A</v>
      </c>
      <c r="BK150" s="73" t="e">
        <f>VLOOKUP(D150,Master!AD:AG,4,FALSE)</f>
        <v>#N/A</v>
      </c>
    </row>
    <row r="151" spans="1:63" s="74" customFormat="1" ht="15" customHeight="1">
      <c r="A151" s="64"/>
      <c r="B151" s="25"/>
      <c r="C151" s="65"/>
      <c r="D151" s="66"/>
      <c r="E151" s="26"/>
      <c r="F151" s="67"/>
      <c r="G151" s="65"/>
      <c r="H151" s="27"/>
      <c r="I151" s="28"/>
      <c r="J151" s="65"/>
      <c r="K151" s="65"/>
      <c r="L151" s="65"/>
      <c r="M151" s="65"/>
      <c r="N151" s="51">
        <f t="shared" si="78"/>
        <v>0</v>
      </c>
      <c r="O151" s="51" t="e">
        <f t="shared" si="79"/>
        <v>#DIV/0!</v>
      </c>
      <c r="P151" s="28">
        <f t="shared" si="80"/>
        <v>0</v>
      </c>
      <c r="Q151" s="68" t="str">
        <f t="shared" si="85"/>
        <v/>
      </c>
      <c r="R151" s="68" t="str">
        <f t="shared" si="85"/>
        <v/>
      </c>
      <c r="S151" s="68" t="str">
        <f t="shared" si="85"/>
        <v/>
      </c>
      <c r="T151" s="68" t="str">
        <f t="shared" si="85"/>
        <v/>
      </c>
      <c r="U151" s="68" t="str">
        <f t="shared" si="85"/>
        <v/>
      </c>
      <c r="V151" s="69" t="str">
        <f t="shared" si="85"/>
        <v/>
      </c>
      <c r="W151" s="69" t="str">
        <f t="shared" si="85"/>
        <v/>
      </c>
      <c r="X151" s="69" t="str">
        <f t="shared" si="85"/>
        <v/>
      </c>
      <c r="Y151" s="69" t="str">
        <f t="shared" si="85"/>
        <v/>
      </c>
      <c r="Z151" s="69" t="str">
        <f t="shared" si="85"/>
        <v/>
      </c>
      <c r="AA151" s="69" t="str">
        <f t="shared" si="85"/>
        <v/>
      </c>
      <c r="AB151" s="69" t="str">
        <f t="shared" si="85"/>
        <v/>
      </c>
      <c r="AC151" s="69" t="str">
        <f t="shared" si="85"/>
        <v/>
      </c>
      <c r="AD151" s="69" t="str">
        <f t="shared" si="85"/>
        <v/>
      </c>
      <c r="AE151" s="69" t="str">
        <f t="shared" si="85"/>
        <v/>
      </c>
      <c r="AF151" s="69" t="str">
        <f t="shared" si="85"/>
        <v/>
      </c>
      <c r="AG151" s="69" t="str">
        <f t="shared" si="62"/>
        <v/>
      </c>
      <c r="AH151" s="70" t="str">
        <f t="shared" si="62"/>
        <v/>
      </c>
      <c r="AI151" s="70" t="str">
        <f t="shared" si="62"/>
        <v/>
      </c>
      <c r="AJ151" s="70" t="str">
        <f t="shared" si="62"/>
        <v/>
      </c>
      <c r="AK151" s="70" t="str">
        <f t="shared" si="62"/>
        <v/>
      </c>
      <c r="AL151" s="70" t="str">
        <f t="shared" si="62"/>
        <v/>
      </c>
      <c r="AM151" s="70" t="str">
        <f t="shared" si="62"/>
        <v/>
      </c>
      <c r="AN151" s="70" t="str">
        <f t="shared" si="62"/>
        <v/>
      </c>
      <c r="AO151" s="70" t="str">
        <f t="shared" si="61"/>
        <v/>
      </c>
      <c r="AP151" s="70" t="str">
        <f t="shared" si="61"/>
        <v/>
      </c>
      <c r="AQ151" s="70" t="str">
        <f t="shared" si="61"/>
        <v/>
      </c>
      <c r="AR151" s="70" t="str">
        <f t="shared" si="61"/>
        <v/>
      </c>
      <c r="AS151" s="70" t="str">
        <f t="shared" si="61"/>
        <v/>
      </c>
      <c r="AT151" s="71" t="str">
        <f t="shared" si="61"/>
        <v/>
      </c>
      <c r="AU151" s="71" t="str">
        <f t="shared" si="61"/>
        <v/>
      </c>
      <c r="AV151" s="71" t="str">
        <f t="shared" si="61"/>
        <v/>
      </c>
      <c r="AW151" s="71" t="str">
        <f t="shared" si="64"/>
        <v/>
      </c>
      <c r="AX151" s="71" t="str">
        <f t="shared" si="64"/>
        <v/>
      </c>
      <c r="AY151" s="71" t="str">
        <f t="shared" si="64"/>
        <v/>
      </c>
      <c r="AZ151" s="71" t="str">
        <f t="shared" si="63"/>
        <v/>
      </c>
      <c r="BA151" s="71" t="str">
        <f t="shared" si="63"/>
        <v/>
      </c>
      <c r="BB151" s="71" t="str">
        <f t="shared" si="63"/>
        <v/>
      </c>
      <c r="BC151" s="71" t="str">
        <f t="shared" si="63"/>
        <v/>
      </c>
      <c r="BD151" s="71" t="str">
        <f t="shared" si="63"/>
        <v/>
      </c>
      <c r="BE151" s="71" t="str">
        <f t="shared" si="63"/>
        <v/>
      </c>
      <c r="BF151" s="68">
        <f t="shared" si="81"/>
        <v>0</v>
      </c>
      <c r="BG151" s="69">
        <f t="shared" si="82"/>
        <v>0</v>
      </c>
      <c r="BH151" s="70">
        <f t="shared" si="83"/>
        <v>0</v>
      </c>
      <c r="BI151" s="71">
        <f t="shared" si="84"/>
        <v>0</v>
      </c>
      <c r="BJ151" s="72" t="e">
        <f>VLOOKUP(D151,Master!AD:AG,3,FALSE)</f>
        <v>#N/A</v>
      </c>
      <c r="BK151" s="73" t="e">
        <f>VLOOKUP(D151,Master!AD:AG,4,FALSE)</f>
        <v>#N/A</v>
      </c>
    </row>
  </sheetData>
  <autoFilter ref="A1:BK147" xr:uid="{319605FD-776D-4366-8E7F-8378EAFAB5FF}"/>
  <phoneticPr fontId="22" type="noConversion"/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8B9B5-7EEF-4850-AC8E-EE58D5AB155A}">
  <sheetPr>
    <tabColor theme="7" tint="-0.249977111117893"/>
  </sheetPr>
  <dimension ref="A1:AJ147"/>
  <sheetViews>
    <sheetView zoomScale="70" zoomScaleNormal="70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H24" sqref="H24"/>
    </sheetView>
  </sheetViews>
  <sheetFormatPr defaultColWidth="8.5703125" defaultRowHeight="15" customHeight="1"/>
  <cols>
    <col min="1" max="1" width="8.5703125" style="30"/>
    <col min="2" max="2" width="8" style="29" bestFit="1" customWidth="1"/>
    <col min="3" max="3" width="8" style="109" customWidth="1"/>
    <col min="4" max="4" width="18.42578125" style="106" bestFit="1" customWidth="1"/>
    <col min="5" max="5" width="6" style="106" bestFit="1" customWidth="1"/>
    <col min="6" max="6" width="21.42578125" style="106" bestFit="1" customWidth="1"/>
    <col min="7" max="7" width="9.7109375" style="74" bestFit="1" customWidth="1"/>
    <col min="8" max="8" width="56.42578125" style="51" customWidth="1"/>
    <col min="9" max="9" width="80" style="25" bestFit="1" customWidth="1"/>
    <col min="10" max="10" width="14.28515625" style="25" bestFit="1" customWidth="1"/>
    <col min="11" max="11" width="12" style="25" bestFit="1" customWidth="1"/>
    <col min="12" max="12" width="8.42578125" style="25" bestFit="1" customWidth="1"/>
    <col min="13" max="13" width="11.42578125" style="51" bestFit="1" customWidth="1"/>
    <col min="14" max="20" width="10" style="51" bestFit="1" customWidth="1"/>
    <col min="21" max="27" width="11" style="51" bestFit="1" customWidth="1"/>
    <col min="28" max="29" width="12" style="51" bestFit="1" customWidth="1"/>
    <col min="30" max="30" width="11" style="51" bestFit="1" customWidth="1"/>
    <col min="31" max="31" width="12" style="51" bestFit="1" customWidth="1"/>
    <col min="32" max="33" width="13.42578125" style="51" bestFit="1" customWidth="1"/>
    <col min="34" max="36" width="8.5703125" style="106"/>
    <col min="37" max="16384" width="8.5703125" style="25"/>
  </cols>
  <sheetData>
    <row r="1" spans="1:36" s="24" customFormat="1" ht="38.450000000000003" customHeight="1">
      <c r="A1" s="75" t="s">
        <v>306</v>
      </c>
      <c r="B1" s="53" t="s">
        <v>297</v>
      </c>
      <c r="C1" s="107"/>
      <c r="D1" s="107" t="s">
        <v>307</v>
      </c>
      <c r="E1" s="107"/>
      <c r="F1" s="107" t="s">
        <v>303</v>
      </c>
      <c r="G1" s="63" t="s">
        <v>206</v>
      </c>
      <c r="H1" s="52" t="s">
        <v>526</v>
      </c>
      <c r="I1" s="54" t="s">
        <v>298</v>
      </c>
      <c r="J1" s="54" t="s">
        <v>202</v>
      </c>
      <c r="K1" s="54" t="s">
        <v>201</v>
      </c>
      <c r="L1" s="54" t="s">
        <v>493</v>
      </c>
      <c r="M1" s="59" t="s">
        <v>494</v>
      </c>
      <c r="N1" s="59" t="s">
        <v>495</v>
      </c>
      <c r="O1" s="59" t="s">
        <v>496</v>
      </c>
      <c r="P1" s="59" t="s">
        <v>497</v>
      </c>
      <c r="Q1" s="59" t="s">
        <v>498</v>
      </c>
      <c r="R1" s="60" t="s">
        <v>499</v>
      </c>
      <c r="S1" s="60" t="s">
        <v>500</v>
      </c>
      <c r="T1" s="60" t="s">
        <v>501</v>
      </c>
      <c r="U1" s="60" t="s">
        <v>502</v>
      </c>
      <c r="V1" s="60" t="s">
        <v>503</v>
      </c>
      <c r="W1" s="60" t="s">
        <v>504</v>
      </c>
      <c r="X1" s="60" t="s">
        <v>505</v>
      </c>
      <c r="Y1" s="60" t="s">
        <v>506</v>
      </c>
      <c r="Z1" s="60" t="s">
        <v>507</v>
      </c>
      <c r="AA1" s="60" t="s">
        <v>508</v>
      </c>
      <c r="AB1" s="60" t="s">
        <v>509</v>
      </c>
      <c r="AC1" s="60" t="s">
        <v>510</v>
      </c>
      <c r="AD1" s="59" t="s">
        <v>523</v>
      </c>
      <c r="AE1" s="60" t="s">
        <v>524</v>
      </c>
      <c r="AF1" s="61" t="s">
        <v>525</v>
      </c>
      <c r="AG1" s="62" t="s">
        <v>539</v>
      </c>
      <c r="AH1" s="105"/>
      <c r="AI1" s="105"/>
      <c r="AJ1" s="105"/>
    </row>
    <row r="2" spans="1:36" ht="15" customHeight="1">
      <c r="A2" s="47" t="s">
        <v>310</v>
      </c>
      <c r="B2" s="45" t="s">
        <v>308</v>
      </c>
      <c r="C2" s="110" t="str">
        <f>AH2</f>
        <v>B2400</v>
      </c>
      <c r="D2" s="111" t="s">
        <v>229</v>
      </c>
      <c r="E2" s="111" t="str">
        <f>AJ2</f>
        <v>B2400</v>
      </c>
      <c r="F2" s="111" t="s">
        <v>229</v>
      </c>
      <c r="G2" s="112">
        <v>7611600</v>
      </c>
      <c r="H2" s="113" t="s">
        <v>73</v>
      </c>
      <c r="I2" s="46" t="s">
        <v>325</v>
      </c>
      <c r="J2" s="46" t="str">
        <f>VLOOKUP(E2,Sheet3!I:K,3,FALSE)</f>
        <v>ADM</v>
      </c>
      <c r="K2" s="46" t="str">
        <f>VLOOKUP(E2,Sheet3!I:K,2,FALSE)</f>
        <v>SGA</v>
      </c>
      <c r="L2" s="46"/>
      <c r="M2" s="50">
        <v>2133180</v>
      </c>
      <c r="N2" s="50">
        <v>2133180</v>
      </c>
      <c r="O2" s="50">
        <v>2133180</v>
      </c>
      <c r="P2" s="50">
        <v>2133180</v>
      </c>
      <c r="Q2" s="50">
        <v>2133180</v>
      </c>
      <c r="R2" s="50">
        <v>2133180</v>
      </c>
      <c r="S2" s="50">
        <v>2133180</v>
      </c>
      <c r="T2" s="50">
        <v>2133180</v>
      </c>
      <c r="U2" s="50">
        <v>2133180</v>
      </c>
      <c r="V2" s="50">
        <v>2133180</v>
      </c>
      <c r="W2" s="50">
        <v>2133180</v>
      </c>
      <c r="X2" s="50">
        <v>2133180</v>
      </c>
      <c r="Y2" s="50">
        <v>2133180</v>
      </c>
      <c r="Z2" s="50">
        <v>2133180</v>
      </c>
      <c r="AA2" s="50">
        <v>2133180</v>
      </c>
      <c r="AB2" s="50">
        <v>2133180</v>
      </c>
      <c r="AC2" s="50">
        <v>2133180</v>
      </c>
      <c r="AD2" s="68">
        <f>SUM(L2:Q2)</f>
        <v>10665900</v>
      </c>
      <c r="AE2" s="69">
        <f>SUM(R2:AC2)</f>
        <v>25598160</v>
      </c>
      <c r="AF2" s="70">
        <v>25598160</v>
      </c>
      <c r="AG2" s="71">
        <v>25598160</v>
      </c>
      <c r="AH2" s="106" t="str">
        <f>VLOOKUP(D2,Sheet3!H:I,2,FALSE)</f>
        <v>B2400</v>
      </c>
      <c r="AJ2" s="106" t="str">
        <f>VLOOKUP(F2,Sheet3!H:I,2,FALSE)</f>
        <v>B2400</v>
      </c>
    </row>
    <row r="3" spans="1:36" ht="15" customHeight="1">
      <c r="A3" s="47" t="s">
        <v>310</v>
      </c>
      <c r="B3" s="45" t="s">
        <v>326</v>
      </c>
      <c r="C3" s="110" t="str">
        <f t="shared" ref="C3:C67" si="0">AH3</f>
        <v>B2400</v>
      </c>
      <c r="D3" s="111" t="s">
        <v>229</v>
      </c>
      <c r="E3" s="111" t="str">
        <f t="shared" ref="E3:E67" si="1">AJ3</f>
        <v>B2400</v>
      </c>
      <c r="F3" s="111" t="s">
        <v>229</v>
      </c>
      <c r="G3" s="112">
        <v>7611600</v>
      </c>
      <c r="H3" s="113" t="s">
        <v>73</v>
      </c>
      <c r="I3" s="46" t="s">
        <v>327</v>
      </c>
      <c r="J3" s="46" t="str">
        <f>VLOOKUP(E3,Sheet3!I:K,3,FALSE)</f>
        <v>ADM</v>
      </c>
      <c r="K3" s="46" t="str">
        <f>VLOOKUP(E3,Sheet3!I:K,2,FALSE)</f>
        <v>SGA</v>
      </c>
      <c r="L3" s="46"/>
      <c r="M3" s="50">
        <v>1481760</v>
      </c>
      <c r="N3" s="50">
        <v>1481760</v>
      </c>
      <c r="O3" s="50">
        <v>1481760</v>
      </c>
      <c r="P3" s="50">
        <v>1481760</v>
      </c>
      <c r="Q3" s="50">
        <v>1481760</v>
      </c>
      <c r="R3" s="50">
        <v>1481760</v>
      </c>
      <c r="S3" s="50">
        <v>1481760</v>
      </c>
      <c r="T3" s="50">
        <v>1481760</v>
      </c>
      <c r="U3" s="50">
        <v>1481760</v>
      </c>
      <c r="V3" s="50">
        <v>1481760</v>
      </c>
      <c r="W3" s="50">
        <v>1481760</v>
      </c>
      <c r="X3" s="50">
        <v>1481760</v>
      </c>
      <c r="Y3" s="50">
        <v>1481760</v>
      </c>
      <c r="Z3" s="50">
        <v>1481760</v>
      </c>
      <c r="AA3" s="50">
        <v>1481760</v>
      </c>
      <c r="AB3" s="50">
        <v>1481760</v>
      </c>
      <c r="AC3" s="50">
        <v>1481760</v>
      </c>
      <c r="AD3" s="68">
        <f t="shared" ref="AD3:AD67" si="2">SUM(L3:Q3)</f>
        <v>7408800</v>
      </c>
      <c r="AE3" s="69">
        <f t="shared" ref="AE3:AE67" si="3">SUM(R3:AC3)</f>
        <v>17781120</v>
      </c>
      <c r="AF3" s="70">
        <v>17781120</v>
      </c>
      <c r="AG3" s="71">
        <v>17781120</v>
      </c>
      <c r="AH3" s="106" t="str">
        <f>VLOOKUP(D3,Sheet3!H:I,2,FALSE)</f>
        <v>B2400</v>
      </c>
      <c r="AJ3" s="106" t="str">
        <f>VLOOKUP(F3,Sheet3!H:I,2,FALSE)</f>
        <v>B2400</v>
      </c>
    </row>
    <row r="4" spans="1:36" ht="15" customHeight="1">
      <c r="A4" s="47" t="s">
        <v>310</v>
      </c>
      <c r="B4" s="45" t="s">
        <v>328</v>
      </c>
      <c r="C4" s="110" t="str">
        <f t="shared" si="0"/>
        <v>B2400</v>
      </c>
      <c r="D4" s="111" t="s">
        <v>229</v>
      </c>
      <c r="E4" s="111" t="str">
        <f t="shared" si="1"/>
        <v>B2400</v>
      </c>
      <c r="F4" s="111" t="s">
        <v>229</v>
      </c>
      <c r="G4" s="112">
        <v>7611600</v>
      </c>
      <c r="H4" s="113" t="s">
        <v>73</v>
      </c>
      <c r="I4" s="46" t="s">
        <v>329</v>
      </c>
      <c r="J4" s="46" t="str">
        <f>VLOOKUP(E4,Sheet3!I:K,3,FALSE)</f>
        <v>ADM</v>
      </c>
      <c r="K4" s="46" t="str">
        <f>VLOOKUP(E4,Sheet3!I:K,2,FALSE)</f>
        <v>SGA</v>
      </c>
      <c r="L4" s="46"/>
      <c r="M4" s="50">
        <v>250000</v>
      </c>
      <c r="N4" s="50">
        <v>250000</v>
      </c>
      <c r="O4" s="50">
        <v>250000</v>
      </c>
      <c r="P4" s="50">
        <v>250000</v>
      </c>
      <c r="Q4" s="50">
        <v>250000</v>
      </c>
      <c r="R4" s="50">
        <v>250000</v>
      </c>
      <c r="S4" s="50">
        <v>250000</v>
      </c>
      <c r="T4" s="50">
        <v>250000</v>
      </c>
      <c r="U4" s="50">
        <v>250000</v>
      </c>
      <c r="V4" s="50">
        <v>250000</v>
      </c>
      <c r="W4" s="50">
        <v>250000</v>
      </c>
      <c r="X4" s="50">
        <v>250000</v>
      </c>
      <c r="Y4" s="50">
        <v>250000</v>
      </c>
      <c r="Z4" s="50">
        <v>250000</v>
      </c>
      <c r="AA4" s="50">
        <v>250000</v>
      </c>
      <c r="AB4" s="50">
        <v>250000</v>
      </c>
      <c r="AC4" s="50">
        <v>250000</v>
      </c>
      <c r="AD4" s="68">
        <f t="shared" si="2"/>
        <v>1250000</v>
      </c>
      <c r="AE4" s="69">
        <f t="shared" si="3"/>
        <v>3000000</v>
      </c>
      <c r="AF4" s="70">
        <v>3000000</v>
      </c>
      <c r="AG4" s="71">
        <v>3000000</v>
      </c>
      <c r="AH4" s="106" t="str">
        <f>VLOOKUP(D4,Sheet3!H:I,2,FALSE)</f>
        <v>B2400</v>
      </c>
      <c r="AJ4" s="106" t="str">
        <f>VLOOKUP(F4,Sheet3!H:I,2,FALSE)</f>
        <v>B2400</v>
      </c>
    </row>
    <row r="5" spans="1:36" ht="15" customHeight="1">
      <c r="A5" s="47" t="s">
        <v>310</v>
      </c>
      <c r="B5" s="45" t="s">
        <v>308</v>
      </c>
      <c r="C5" s="110" t="str">
        <f t="shared" si="0"/>
        <v>B2210</v>
      </c>
      <c r="D5" s="111" t="s">
        <v>331</v>
      </c>
      <c r="E5" s="111" t="str">
        <f t="shared" si="1"/>
        <v>B2210</v>
      </c>
      <c r="F5" s="111" t="s">
        <v>331</v>
      </c>
      <c r="G5" s="112">
        <v>7611600</v>
      </c>
      <c r="H5" s="113" t="s">
        <v>73</v>
      </c>
      <c r="I5" s="46" t="s">
        <v>330</v>
      </c>
      <c r="J5" s="46" t="str">
        <f>VLOOKUP(E5,Sheet3!I:K,3,FALSE)</f>
        <v>ADM</v>
      </c>
      <c r="K5" s="46" t="str">
        <f>VLOOKUP(E5,Sheet3!I:K,2,FALSE)</f>
        <v>SGA</v>
      </c>
      <c r="L5" s="46"/>
      <c r="M5" s="50" t="s">
        <v>540</v>
      </c>
      <c r="N5" s="50" t="s">
        <v>540</v>
      </c>
      <c r="O5" s="50">
        <v>666666.66666666663</v>
      </c>
      <c r="P5" s="50">
        <v>666666.66666666663</v>
      </c>
      <c r="Q5" s="50">
        <v>666666.66666666663</v>
      </c>
      <c r="R5" s="50">
        <v>666666.66666666663</v>
      </c>
      <c r="S5" s="50">
        <v>666666.66666666663</v>
      </c>
      <c r="T5" s="50">
        <v>666666.66666666663</v>
      </c>
      <c r="U5" s="50">
        <v>666666.66666666663</v>
      </c>
      <c r="V5" s="50">
        <v>666666.66666666663</v>
      </c>
      <c r="W5" s="50">
        <v>666666.66666666663</v>
      </c>
      <c r="X5" s="50">
        <v>666666.66666666663</v>
      </c>
      <c r="Y5" s="50">
        <v>666666.66666666663</v>
      </c>
      <c r="Z5" s="50">
        <v>666666.66666666663</v>
      </c>
      <c r="AA5" s="50">
        <v>666666.66666666663</v>
      </c>
      <c r="AB5" s="50">
        <v>666666.66666666663</v>
      </c>
      <c r="AC5" s="50">
        <v>666666.66666666663</v>
      </c>
      <c r="AD5" s="68">
        <f t="shared" si="2"/>
        <v>2000000</v>
      </c>
      <c r="AE5" s="69">
        <f t="shared" si="3"/>
        <v>8000000.0000000009</v>
      </c>
      <c r="AF5" s="70">
        <v>8000000.0000000009</v>
      </c>
      <c r="AG5" s="71">
        <v>8000000.0000000009</v>
      </c>
      <c r="AH5" s="106" t="str">
        <f>VLOOKUP(D5,Sheet3!H:I,2,FALSE)</f>
        <v>B2210</v>
      </c>
      <c r="AJ5" s="106" t="str">
        <f>VLOOKUP(F5,Sheet3!H:I,2,FALSE)</f>
        <v>B2210</v>
      </c>
    </row>
    <row r="6" spans="1:36" ht="15" customHeight="1">
      <c r="A6" s="47" t="s">
        <v>310</v>
      </c>
      <c r="B6" s="45" t="s">
        <v>326</v>
      </c>
      <c r="C6" s="110" t="str">
        <f t="shared" si="0"/>
        <v>B2210</v>
      </c>
      <c r="D6" s="111" t="s">
        <v>331</v>
      </c>
      <c r="E6" s="111" t="str">
        <f t="shared" si="1"/>
        <v>B2210</v>
      </c>
      <c r="F6" s="111" t="s">
        <v>331</v>
      </c>
      <c r="G6" s="112">
        <v>7611600</v>
      </c>
      <c r="H6" s="113" t="s">
        <v>73</v>
      </c>
      <c r="I6" s="46" t="s">
        <v>332</v>
      </c>
      <c r="J6" s="46" t="str">
        <f>VLOOKUP(E6,Sheet3!I:K,3,FALSE)</f>
        <v>ADM</v>
      </c>
      <c r="K6" s="46" t="str">
        <f>VLOOKUP(E6,Sheet3!I:K,2,FALSE)</f>
        <v>SGA</v>
      </c>
      <c r="L6" s="46"/>
      <c r="M6" s="50" t="s">
        <v>540</v>
      </c>
      <c r="N6" s="50" t="s">
        <v>540</v>
      </c>
      <c r="O6" s="50">
        <v>666666.66666666663</v>
      </c>
      <c r="P6" s="50">
        <v>666666.66666666663</v>
      </c>
      <c r="Q6" s="50">
        <v>666666.66666666663</v>
      </c>
      <c r="R6" s="50">
        <v>666666.66666666663</v>
      </c>
      <c r="S6" s="50">
        <v>666666.66666666663</v>
      </c>
      <c r="T6" s="50">
        <v>666666.66666666663</v>
      </c>
      <c r="U6" s="50">
        <v>666666.66666666663</v>
      </c>
      <c r="V6" s="50">
        <v>666666.66666666663</v>
      </c>
      <c r="W6" s="50">
        <v>666666.66666666663</v>
      </c>
      <c r="X6" s="50">
        <v>666666.66666666663</v>
      </c>
      <c r="Y6" s="50">
        <v>666666.66666666663</v>
      </c>
      <c r="Z6" s="50">
        <v>666666.66666666663</v>
      </c>
      <c r="AA6" s="50">
        <v>666666.66666666663</v>
      </c>
      <c r="AB6" s="50">
        <v>666666.66666666663</v>
      </c>
      <c r="AC6" s="50">
        <v>666666.66666666663</v>
      </c>
      <c r="AD6" s="68">
        <f t="shared" si="2"/>
        <v>2000000</v>
      </c>
      <c r="AE6" s="69">
        <f t="shared" si="3"/>
        <v>8000000.0000000009</v>
      </c>
      <c r="AF6" s="70">
        <v>8000000.0000000009</v>
      </c>
      <c r="AG6" s="71">
        <v>8000000.0000000009</v>
      </c>
      <c r="AH6" s="106" t="str">
        <f>VLOOKUP(D6,Sheet3!H:I,2,FALSE)</f>
        <v>B2210</v>
      </c>
      <c r="AJ6" s="106" t="str">
        <f>VLOOKUP(F6,Sheet3!H:I,2,FALSE)</f>
        <v>B2210</v>
      </c>
    </row>
    <row r="7" spans="1:36" ht="15" customHeight="1">
      <c r="A7" s="47" t="s">
        <v>310</v>
      </c>
      <c r="B7" s="45" t="s">
        <v>328</v>
      </c>
      <c r="C7" s="110" t="str">
        <f t="shared" si="0"/>
        <v>B2210</v>
      </c>
      <c r="D7" s="111" t="s">
        <v>331</v>
      </c>
      <c r="E7" s="111" t="str">
        <f t="shared" si="1"/>
        <v>B2220</v>
      </c>
      <c r="F7" s="111" t="s">
        <v>309</v>
      </c>
      <c r="G7" s="112">
        <v>7611600</v>
      </c>
      <c r="H7" s="113" t="s">
        <v>73</v>
      </c>
      <c r="I7" s="46" t="s">
        <v>333</v>
      </c>
      <c r="J7" s="46" t="str">
        <f>VLOOKUP(E7,Sheet3!I:K,3,FALSE)</f>
        <v>ADM</v>
      </c>
      <c r="K7" s="46" t="str">
        <f>VLOOKUP(E7,Sheet3!I:K,2,FALSE)</f>
        <v>SGA</v>
      </c>
      <c r="L7" s="46"/>
      <c r="M7" s="50" t="s">
        <v>540</v>
      </c>
      <c r="N7" s="50" t="s">
        <v>540</v>
      </c>
      <c r="O7" s="50" t="s">
        <v>540</v>
      </c>
      <c r="P7" s="50" t="s">
        <v>540</v>
      </c>
      <c r="Q7" s="50" t="s">
        <v>540</v>
      </c>
      <c r="R7" s="50">
        <v>133333.33333333334</v>
      </c>
      <c r="S7" s="50">
        <v>133333.33333333334</v>
      </c>
      <c r="T7" s="50">
        <v>133333.33333333334</v>
      </c>
      <c r="U7" s="50">
        <v>133333.33333333334</v>
      </c>
      <c r="V7" s="50">
        <v>133333.33333333334</v>
      </c>
      <c r="W7" s="50">
        <v>133333.33333333334</v>
      </c>
      <c r="X7" s="50">
        <v>133333.33333333334</v>
      </c>
      <c r="Y7" s="50">
        <v>133333.33333333334</v>
      </c>
      <c r="Z7" s="50">
        <v>133333.33333333334</v>
      </c>
      <c r="AA7" s="50">
        <v>133333.33333333334</v>
      </c>
      <c r="AB7" s="50">
        <v>133333.33333333334</v>
      </c>
      <c r="AC7" s="50">
        <v>133333.33333333334</v>
      </c>
      <c r="AD7" s="68">
        <f t="shared" si="2"/>
        <v>0</v>
      </c>
      <c r="AE7" s="69">
        <f t="shared" si="3"/>
        <v>1599999.9999999998</v>
      </c>
      <c r="AF7" s="70">
        <v>1599999.9999999998</v>
      </c>
      <c r="AG7" s="71">
        <v>1599999.9999999998</v>
      </c>
      <c r="AH7" s="106" t="str">
        <f>VLOOKUP(D7,Sheet3!H:I,2,FALSE)</f>
        <v>B2210</v>
      </c>
      <c r="AJ7" s="106" t="str">
        <f>VLOOKUP(F7,Sheet3!H:I,2,FALSE)</f>
        <v>B2220</v>
      </c>
    </row>
    <row r="8" spans="1:36" ht="15" customHeight="1">
      <c r="A8" s="47" t="s">
        <v>310</v>
      </c>
      <c r="B8" s="45" t="s">
        <v>356</v>
      </c>
      <c r="C8" s="110" t="str">
        <f t="shared" si="0"/>
        <v>B2210</v>
      </c>
      <c r="D8" s="111" t="s">
        <v>331</v>
      </c>
      <c r="E8" s="111" t="str">
        <f t="shared" si="1"/>
        <v>B2210</v>
      </c>
      <c r="F8" s="111" t="s">
        <v>331</v>
      </c>
      <c r="G8" s="112">
        <v>7611600</v>
      </c>
      <c r="H8" s="113" t="s">
        <v>73</v>
      </c>
      <c r="I8" s="46" t="s">
        <v>334</v>
      </c>
      <c r="J8" s="46" t="str">
        <f>VLOOKUP(E8,Sheet3!I:K,3,FALSE)</f>
        <v>ADM</v>
      </c>
      <c r="K8" s="46" t="str">
        <f>VLOOKUP(E8,Sheet3!I:K,2,FALSE)</f>
        <v>SGA</v>
      </c>
      <c r="L8" s="46"/>
      <c r="M8" s="50" t="s">
        <v>540</v>
      </c>
      <c r="N8" s="50" t="s">
        <v>540</v>
      </c>
      <c r="O8" s="50" t="s">
        <v>540</v>
      </c>
      <c r="P8" s="50" t="s">
        <v>540</v>
      </c>
      <c r="Q8" s="50" t="s">
        <v>540</v>
      </c>
      <c r="R8" s="50">
        <v>133333.33333333334</v>
      </c>
      <c r="S8" s="50">
        <v>133333.33333333334</v>
      </c>
      <c r="T8" s="50">
        <v>133333.33333333334</v>
      </c>
      <c r="U8" s="50">
        <v>133333.33333333334</v>
      </c>
      <c r="V8" s="50">
        <v>133333.33333333334</v>
      </c>
      <c r="W8" s="50">
        <v>133333.33333333334</v>
      </c>
      <c r="X8" s="50">
        <v>133333.33333333334</v>
      </c>
      <c r="Y8" s="50">
        <v>133333.33333333334</v>
      </c>
      <c r="Z8" s="50">
        <v>133333.33333333334</v>
      </c>
      <c r="AA8" s="50">
        <v>133333.33333333334</v>
      </c>
      <c r="AB8" s="50">
        <v>133333.33333333334</v>
      </c>
      <c r="AC8" s="50">
        <v>133333.33333333334</v>
      </c>
      <c r="AD8" s="68">
        <f t="shared" si="2"/>
        <v>0</v>
      </c>
      <c r="AE8" s="69">
        <f t="shared" si="3"/>
        <v>1599999.9999999998</v>
      </c>
      <c r="AF8" s="70">
        <v>1599999.9999999998</v>
      </c>
      <c r="AG8" s="71">
        <v>1599999.9999999998</v>
      </c>
      <c r="AH8" s="106" t="str">
        <f>VLOOKUP(D8,Sheet3!H:I,2,FALSE)</f>
        <v>B2210</v>
      </c>
      <c r="AJ8" s="106" t="str">
        <f>VLOOKUP(F8,Sheet3!H:I,2,FALSE)</f>
        <v>B2210</v>
      </c>
    </row>
    <row r="9" spans="1:36" ht="15" customHeight="1">
      <c r="A9" s="47" t="s">
        <v>310</v>
      </c>
      <c r="B9" s="45" t="s">
        <v>357</v>
      </c>
      <c r="C9" s="110" t="str">
        <f t="shared" si="0"/>
        <v>B2210</v>
      </c>
      <c r="D9" s="111" t="s">
        <v>331</v>
      </c>
      <c r="E9" s="111" t="str">
        <f t="shared" si="1"/>
        <v>B2220</v>
      </c>
      <c r="F9" s="111" t="s">
        <v>309</v>
      </c>
      <c r="G9" s="112">
        <v>7611600</v>
      </c>
      <c r="H9" s="113" t="s">
        <v>73</v>
      </c>
      <c r="I9" s="46" t="s">
        <v>335</v>
      </c>
      <c r="J9" s="46" t="str">
        <f>VLOOKUP(E9,Sheet3!I:K,3,FALSE)</f>
        <v>ADM</v>
      </c>
      <c r="K9" s="46" t="str">
        <f>VLOOKUP(E9,Sheet3!I:K,2,FALSE)</f>
        <v>SGA</v>
      </c>
      <c r="L9" s="46"/>
      <c r="M9" s="50" t="s">
        <v>540</v>
      </c>
      <c r="N9" s="50" t="s">
        <v>540</v>
      </c>
      <c r="O9" s="50" t="s">
        <v>540</v>
      </c>
      <c r="P9" s="50" t="s">
        <v>540</v>
      </c>
      <c r="Q9" s="50" t="s">
        <v>540</v>
      </c>
      <c r="R9" s="50">
        <v>166666.66666666666</v>
      </c>
      <c r="S9" s="50">
        <v>166666.66666666666</v>
      </c>
      <c r="T9" s="50">
        <v>166666.66666666666</v>
      </c>
      <c r="U9" s="50">
        <v>166666.66666666666</v>
      </c>
      <c r="V9" s="50">
        <v>166666.66666666666</v>
      </c>
      <c r="W9" s="50">
        <v>166666.66666666666</v>
      </c>
      <c r="X9" s="50">
        <v>166666.66666666666</v>
      </c>
      <c r="Y9" s="50">
        <v>166666.66666666666</v>
      </c>
      <c r="Z9" s="50">
        <v>166666.66666666666</v>
      </c>
      <c r="AA9" s="50">
        <v>166666.66666666666</v>
      </c>
      <c r="AB9" s="50">
        <v>166666.66666666666</v>
      </c>
      <c r="AC9" s="50">
        <v>166666.66666666666</v>
      </c>
      <c r="AD9" s="68">
        <f t="shared" si="2"/>
        <v>0</v>
      </c>
      <c r="AE9" s="69">
        <f t="shared" si="3"/>
        <v>2000000.0000000002</v>
      </c>
      <c r="AF9" s="70">
        <v>2000000.0000000002</v>
      </c>
      <c r="AG9" s="71">
        <v>2000000.0000000002</v>
      </c>
      <c r="AH9" s="106" t="str">
        <f>VLOOKUP(D9,Sheet3!H:I,2,FALSE)</f>
        <v>B2210</v>
      </c>
      <c r="AJ9" s="106" t="str">
        <f>VLOOKUP(F9,Sheet3!H:I,2,FALSE)</f>
        <v>B2220</v>
      </c>
    </row>
    <row r="10" spans="1:36" ht="15" customHeight="1">
      <c r="A10" s="47" t="s">
        <v>310</v>
      </c>
      <c r="B10" s="45" t="s">
        <v>358</v>
      </c>
      <c r="C10" s="110" t="str">
        <f t="shared" si="0"/>
        <v>B2210</v>
      </c>
      <c r="D10" s="111" t="s">
        <v>331</v>
      </c>
      <c r="E10" s="111" t="str">
        <f t="shared" si="1"/>
        <v>B2210</v>
      </c>
      <c r="F10" s="111" t="s">
        <v>331</v>
      </c>
      <c r="G10" s="112">
        <v>7611600</v>
      </c>
      <c r="H10" s="113" t="s">
        <v>73</v>
      </c>
      <c r="I10" s="46" t="s">
        <v>336</v>
      </c>
      <c r="J10" s="46" t="str">
        <f>VLOOKUP(E10,Sheet3!I:K,3,FALSE)</f>
        <v>ADM</v>
      </c>
      <c r="K10" s="46" t="str">
        <f>VLOOKUP(E10,Sheet3!I:K,2,FALSE)</f>
        <v>SGA</v>
      </c>
      <c r="L10" s="46"/>
      <c r="M10" s="50" t="s">
        <v>540</v>
      </c>
      <c r="N10" s="50" t="s">
        <v>540</v>
      </c>
      <c r="O10" s="50" t="s">
        <v>540</v>
      </c>
      <c r="P10" s="50" t="s">
        <v>540</v>
      </c>
      <c r="Q10" s="50" t="s">
        <v>540</v>
      </c>
      <c r="R10" s="50">
        <v>166666.66666666666</v>
      </c>
      <c r="S10" s="50">
        <v>166666.66666666666</v>
      </c>
      <c r="T10" s="50">
        <v>166666.66666666666</v>
      </c>
      <c r="U10" s="50">
        <v>166666.66666666666</v>
      </c>
      <c r="V10" s="50">
        <v>166666.66666666666</v>
      </c>
      <c r="W10" s="50">
        <v>166666.66666666666</v>
      </c>
      <c r="X10" s="50">
        <v>166666.66666666666</v>
      </c>
      <c r="Y10" s="50">
        <v>166666.66666666666</v>
      </c>
      <c r="Z10" s="50">
        <v>166666.66666666666</v>
      </c>
      <c r="AA10" s="50">
        <v>166666.66666666666</v>
      </c>
      <c r="AB10" s="50">
        <v>166666.66666666666</v>
      </c>
      <c r="AC10" s="50">
        <v>166666.66666666666</v>
      </c>
      <c r="AD10" s="68">
        <f t="shared" si="2"/>
        <v>0</v>
      </c>
      <c r="AE10" s="69">
        <f t="shared" si="3"/>
        <v>2000000.0000000002</v>
      </c>
      <c r="AF10" s="70">
        <v>2000000.0000000002</v>
      </c>
      <c r="AG10" s="71">
        <v>2000000.0000000002</v>
      </c>
      <c r="AH10" s="106" t="str">
        <f>VLOOKUP(D10,Sheet3!H:I,2,FALSE)</f>
        <v>B2210</v>
      </c>
      <c r="AJ10" s="106" t="str">
        <f>VLOOKUP(F10,Sheet3!H:I,2,FALSE)</f>
        <v>B2210</v>
      </c>
    </row>
    <row r="11" spans="1:36" ht="15" customHeight="1">
      <c r="A11" s="47" t="s">
        <v>310</v>
      </c>
      <c r="B11" s="45" t="s">
        <v>359</v>
      </c>
      <c r="C11" s="110" t="str">
        <f t="shared" si="0"/>
        <v>B2210</v>
      </c>
      <c r="D11" s="111" t="s">
        <v>331</v>
      </c>
      <c r="E11" s="111" t="str">
        <f t="shared" si="1"/>
        <v>B2210</v>
      </c>
      <c r="F11" s="111" t="s">
        <v>331</v>
      </c>
      <c r="G11" s="112">
        <v>7611600</v>
      </c>
      <c r="H11" s="113" t="s">
        <v>73</v>
      </c>
      <c r="I11" s="46" t="s">
        <v>337</v>
      </c>
      <c r="J11" s="46" t="str">
        <f>VLOOKUP(E11,Sheet3!I:K,3,FALSE)</f>
        <v>ADM</v>
      </c>
      <c r="K11" s="46" t="str">
        <f>VLOOKUP(E11,Sheet3!I:K,2,FALSE)</f>
        <v>SGA</v>
      </c>
      <c r="L11" s="46"/>
      <c r="M11" s="50" t="s">
        <v>540</v>
      </c>
      <c r="N11" s="50" t="s">
        <v>540</v>
      </c>
      <c r="O11" s="50" t="s">
        <v>540</v>
      </c>
      <c r="P11" s="50" t="s">
        <v>540</v>
      </c>
      <c r="Q11" s="50" t="s">
        <v>540</v>
      </c>
      <c r="R11" s="50" t="s">
        <v>540</v>
      </c>
      <c r="S11" s="50" t="s">
        <v>540</v>
      </c>
      <c r="T11" s="50">
        <v>133333.33333333334</v>
      </c>
      <c r="U11" s="50">
        <v>133333.33333333334</v>
      </c>
      <c r="V11" s="50">
        <v>133333.33333333334</v>
      </c>
      <c r="W11" s="50">
        <v>133333.33333333334</v>
      </c>
      <c r="X11" s="50">
        <v>133333.33333333334</v>
      </c>
      <c r="Y11" s="50">
        <v>133333.33333333334</v>
      </c>
      <c r="Z11" s="50">
        <v>133333.33333333334</v>
      </c>
      <c r="AA11" s="50">
        <v>133333.33333333334</v>
      </c>
      <c r="AB11" s="50">
        <v>133333.33333333334</v>
      </c>
      <c r="AC11" s="50">
        <v>133333.33333333334</v>
      </c>
      <c r="AD11" s="68">
        <f t="shared" si="2"/>
        <v>0</v>
      </c>
      <c r="AE11" s="69">
        <f t="shared" si="3"/>
        <v>1333333.3333333333</v>
      </c>
      <c r="AF11" s="70">
        <v>1599999.9999999998</v>
      </c>
      <c r="AG11" s="71">
        <v>1599999.9999999998</v>
      </c>
      <c r="AH11" s="106" t="str">
        <f>VLOOKUP(D11,Sheet3!H:I,2,FALSE)</f>
        <v>B2210</v>
      </c>
      <c r="AJ11" s="106" t="str">
        <f>VLOOKUP(F11,Sheet3!H:I,2,FALSE)</f>
        <v>B2210</v>
      </c>
    </row>
    <row r="12" spans="1:36" ht="15" customHeight="1">
      <c r="A12" s="47" t="s">
        <v>310</v>
      </c>
      <c r="B12" s="45" t="s">
        <v>360</v>
      </c>
      <c r="C12" s="110" t="str">
        <f t="shared" si="0"/>
        <v>B2210</v>
      </c>
      <c r="D12" s="111" t="s">
        <v>331</v>
      </c>
      <c r="E12" s="111" t="str">
        <f t="shared" si="1"/>
        <v>B2210</v>
      </c>
      <c r="F12" s="111" t="s">
        <v>331</v>
      </c>
      <c r="G12" s="112">
        <v>7611600</v>
      </c>
      <c r="H12" s="113" t="s">
        <v>73</v>
      </c>
      <c r="I12" s="46" t="s">
        <v>338</v>
      </c>
      <c r="J12" s="46" t="str">
        <f>VLOOKUP(E12,Sheet3!I:K,3,FALSE)</f>
        <v>ADM</v>
      </c>
      <c r="K12" s="46" t="str">
        <f>VLOOKUP(E12,Sheet3!I:K,2,FALSE)</f>
        <v>SGA</v>
      </c>
      <c r="L12" s="46"/>
      <c r="M12" s="50" t="s">
        <v>540</v>
      </c>
      <c r="N12" s="50" t="s">
        <v>540</v>
      </c>
      <c r="O12" s="50" t="s">
        <v>540</v>
      </c>
      <c r="P12" s="50" t="s">
        <v>540</v>
      </c>
      <c r="Q12" s="50" t="s">
        <v>540</v>
      </c>
      <c r="R12" s="50" t="s">
        <v>540</v>
      </c>
      <c r="S12" s="50" t="s">
        <v>540</v>
      </c>
      <c r="T12" s="50">
        <v>133333.33333333334</v>
      </c>
      <c r="U12" s="50">
        <v>133333.33333333334</v>
      </c>
      <c r="V12" s="50">
        <v>133333.33333333334</v>
      </c>
      <c r="W12" s="50">
        <v>133333.33333333334</v>
      </c>
      <c r="X12" s="50">
        <v>133333.33333333334</v>
      </c>
      <c r="Y12" s="50">
        <v>133333.33333333334</v>
      </c>
      <c r="Z12" s="50">
        <v>133333.33333333334</v>
      </c>
      <c r="AA12" s="50">
        <v>133333.33333333334</v>
      </c>
      <c r="AB12" s="50">
        <v>133333.33333333334</v>
      </c>
      <c r="AC12" s="50">
        <v>133333.33333333334</v>
      </c>
      <c r="AD12" s="68">
        <f t="shared" si="2"/>
        <v>0</v>
      </c>
      <c r="AE12" s="69">
        <f t="shared" si="3"/>
        <v>1333333.3333333333</v>
      </c>
      <c r="AF12" s="70">
        <v>1599999.9999999998</v>
      </c>
      <c r="AG12" s="71">
        <v>1599999.9999999998</v>
      </c>
      <c r="AH12" s="106" t="str">
        <f>VLOOKUP(D12,Sheet3!H:I,2,FALSE)</f>
        <v>B2210</v>
      </c>
      <c r="AJ12" s="106" t="str">
        <f>VLOOKUP(F12,Sheet3!H:I,2,FALSE)</f>
        <v>B2210</v>
      </c>
    </row>
    <row r="13" spans="1:36" ht="15" customHeight="1">
      <c r="A13" s="47" t="s">
        <v>310</v>
      </c>
      <c r="B13" s="45" t="s">
        <v>361</v>
      </c>
      <c r="C13" s="110" t="str">
        <f t="shared" si="0"/>
        <v>B2210</v>
      </c>
      <c r="D13" s="111" t="s">
        <v>331</v>
      </c>
      <c r="E13" s="111" t="str">
        <f t="shared" si="1"/>
        <v>B2210</v>
      </c>
      <c r="F13" s="111" t="s">
        <v>331</v>
      </c>
      <c r="G13" s="112">
        <v>7611600</v>
      </c>
      <c r="H13" s="113" t="s">
        <v>73</v>
      </c>
      <c r="I13" s="46" t="s">
        <v>339</v>
      </c>
      <c r="J13" s="46" t="str">
        <f>VLOOKUP(E13,Sheet3!I:K,3,FALSE)</f>
        <v>ADM</v>
      </c>
      <c r="K13" s="46" t="str">
        <f>VLOOKUP(E13,Sheet3!I:K,2,FALSE)</f>
        <v>SGA</v>
      </c>
      <c r="L13" s="46"/>
      <c r="M13" s="50" t="s">
        <v>540</v>
      </c>
      <c r="N13" s="50" t="s">
        <v>540</v>
      </c>
      <c r="O13" s="50" t="s">
        <v>540</v>
      </c>
      <c r="P13" s="50" t="s">
        <v>540</v>
      </c>
      <c r="Q13" s="50" t="s">
        <v>540</v>
      </c>
      <c r="R13" s="50" t="s">
        <v>540</v>
      </c>
      <c r="S13" s="50" t="s">
        <v>540</v>
      </c>
      <c r="T13" s="50">
        <v>133333.33333333334</v>
      </c>
      <c r="U13" s="50">
        <v>133333.33333333334</v>
      </c>
      <c r="V13" s="50">
        <v>133333.33333333334</v>
      </c>
      <c r="W13" s="50">
        <v>133333.33333333334</v>
      </c>
      <c r="X13" s="50">
        <v>133333.33333333334</v>
      </c>
      <c r="Y13" s="50">
        <v>133333.33333333334</v>
      </c>
      <c r="Z13" s="50">
        <v>133333.33333333334</v>
      </c>
      <c r="AA13" s="50">
        <v>133333.33333333334</v>
      </c>
      <c r="AB13" s="50">
        <v>133333.33333333334</v>
      </c>
      <c r="AC13" s="50">
        <v>133333.33333333334</v>
      </c>
      <c r="AD13" s="68">
        <f t="shared" si="2"/>
        <v>0</v>
      </c>
      <c r="AE13" s="69">
        <f t="shared" si="3"/>
        <v>1333333.3333333333</v>
      </c>
      <c r="AF13" s="70">
        <v>1599999.9999999998</v>
      </c>
      <c r="AG13" s="71">
        <v>1599999.9999999998</v>
      </c>
      <c r="AH13" s="106" t="str">
        <f>VLOOKUP(D13,Sheet3!H:I,2,FALSE)</f>
        <v>B2210</v>
      </c>
      <c r="AJ13" s="106" t="str">
        <f>VLOOKUP(F13,Sheet3!H:I,2,FALSE)</f>
        <v>B2210</v>
      </c>
    </row>
    <row r="14" spans="1:36" ht="15" customHeight="1">
      <c r="A14" s="47" t="s">
        <v>310</v>
      </c>
      <c r="B14" s="45" t="s">
        <v>362</v>
      </c>
      <c r="C14" s="110" t="str">
        <f t="shared" si="0"/>
        <v>B2210</v>
      </c>
      <c r="D14" s="111" t="s">
        <v>331</v>
      </c>
      <c r="E14" s="111" t="str">
        <f t="shared" si="1"/>
        <v>B2210</v>
      </c>
      <c r="F14" s="111" t="s">
        <v>331</v>
      </c>
      <c r="G14" s="112">
        <v>7611600</v>
      </c>
      <c r="H14" s="113" t="s">
        <v>73</v>
      </c>
      <c r="I14" s="46" t="s">
        <v>340</v>
      </c>
      <c r="J14" s="46" t="str">
        <f>VLOOKUP(E14,Sheet3!I:K,3,FALSE)</f>
        <v>ADM</v>
      </c>
      <c r="K14" s="46" t="str">
        <f>VLOOKUP(E14,Sheet3!I:K,2,FALSE)</f>
        <v>SGA</v>
      </c>
      <c r="L14" s="46"/>
      <c r="M14" s="50" t="s">
        <v>540</v>
      </c>
      <c r="N14" s="50" t="s">
        <v>540</v>
      </c>
      <c r="O14" s="50" t="s">
        <v>540</v>
      </c>
      <c r="P14" s="50" t="s">
        <v>540</v>
      </c>
      <c r="Q14" s="50" t="s">
        <v>540</v>
      </c>
      <c r="R14" s="50" t="s">
        <v>540</v>
      </c>
      <c r="S14" s="50" t="s">
        <v>540</v>
      </c>
      <c r="T14" s="50">
        <v>166666.66666666666</v>
      </c>
      <c r="U14" s="50">
        <v>166666.66666666666</v>
      </c>
      <c r="V14" s="50">
        <v>166666.66666666666</v>
      </c>
      <c r="W14" s="50">
        <v>166666.66666666666</v>
      </c>
      <c r="X14" s="50">
        <v>166666.66666666666</v>
      </c>
      <c r="Y14" s="50">
        <v>166666.66666666666</v>
      </c>
      <c r="Z14" s="50">
        <v>166666.66666666666</v>
      </c>
      <c r="AA14" s="50">
        <v>166666.66666666666</v>
      </c>
      <c r="AB14" s="50">
        <v>166666.66666666666</v>
      </c>
      <c r="AC14" s="50">
        <v>166666.66666666666</v>
      </c>
      <c r="AD14" s="68">
        <f t="shared" si="2"/>
        <v>0</v>
      </c>
      <c r="AE14" s="69">
        <f t="shared" si="3"/>
        <v>1666666.6666666667</v>
      </c>
      <c r="AF14" s="70">
        <v>2000000.0000000002</v>
      </c>
      <c r="AG14" s="71">
        <v>2000000.0000000002</v>
      </c>
      <c r="AH14" s="106" t="str">
        <f>VLOOKUP(D14,Sheet3!H:I,2,FALSE)</f>
        <v>B2210</v>
      </c>
      <c r="AJ14" s="106" t="str">
        <f>VLOOKUP(F14,Sheet3!H:I,2,FALSE)</f>
        <v>B2210</v>
      </c>
    </row>
    <row r="15" spans="1:36" ht="15" customHeight="1">
      <c r="A15" s="47" t="s">
        <v>310</v>
      </c>
      <c r="B15" s="45" t="s">
        <v>363</v>
      </c>
      <c r="C15" s="110" t="str">
        <f t="shared" si="0"/>
        <v>B2210</v>
      </c>
      <c r="D15" s="111" t="s">
        <v>331</v>
      </c>
      <c r="E15" s="111" t="str">
        <f t="shared" si="1"/>
        <v>B2210</v>
      </c>
      <c r="F15" s="111" t="s">
        <v>331</v>
      </c>
      <c r="G15" s="112">
        <v>7611600</v>
      </c>
      <c r="H15" s="113" t="s">
        <v>73</v>
      </c>
      <c r="I15" s="46" t="s">
        <v>341</v>
      </c>
      <c r="J15" s="46" t="str">
        <f>VLOOKUP(E15,Sheet3!I:K,3,FALSE)</f>
        <v>ADM</v>
      </c>
      <c r="K15" s="46" t="str">
        <f>VLOOKUP(E15,Sheet3!I:K,2,FALSE)</f>
        <v>SGA</v>
      </c>
      <c r="L15" s="46"/>
      <c r="M15" s="50" t="s">
        <v>540</v>
      </c>
      <c r="N15" s="50" t="s">
        <v>540</v>
      </c>
      <c r="O15" s="50" t="s">
        <v>540</v>
      </c>
      <c r="P15" s="50" t="s">
        <v>540</v>
      </c>
      <c r="Q15" s="50" t="s">
        <v>540</v>
      </c>
      <c r="R15" s="50" t="s">
        <v>540</v>
      </c>
      <c r="S15" s="50" t="s">
        <v>540</v>
      </c>
      <c r="T15" s="50">
        <v>166666.66666666666</v>
      </c>
      <c r="U15" s="50">
        <v>166666.66666666666</v>
      </c>
      <c r="V15" s="50">
        <v>166666.66666666666</v>
      </c>
      <c r="W15" s="50">
        <v>166666.66666666666</v>
      </c>
      <c r="X15" s="50">
        <v>166666.66666666666</v>
      </c>
      <c r="Y15" s="50">
        <v>166666.66666666666</v>
      </c>
      <c r="Z15" s="50">
        <v>166666.66666666666</v>
      </c>
      <c r="AA15" s="50">
        <v>166666.66666666666</v>
      </c>
      <c r="AB15" s="50">
        <v>166666.66666666666</v>
      </c>
      <c r="AC15" s="50">
        <v>166666.66666666666</v>
      </c>
      <c r="AD15" s="68">
        <f t="shared" si="2"/>
        <v>0</v>
      </c>
      <c r="AE15" s="69">
        <f t="shared" si="3"/>
        <v>1666666.6666666667</v>
      </c>
      <c r="AF15" s="70">
        <v>2000000.0000000002</v>
      </c>
      <c r="AG15" s="71">
        <v>2000000.0000000002</v>
      </c>
      <c r="AH15" s="106" t="str">
        <f>VLOOKUP(D15,Sheet3!H:I,2,FALSE)</f>
        <v>B2210</v>
      </c>
      <c r="AJ15" s="106" t="str">
        <f>VLOOKUP(F15,Sheet3!H:I,2,FALSE)</f>
        <v>B2210</v>
      </c>
    </row>
    <row r="16" spans="1:36" ht="15" customHeight="1">
      <c r="A16" s="47" t="s">
        <v>310</v>
      </c>
      <c r="B16" s="45" t="s">
        <v>364</v>
      </c>
      <c r="C16" s="110" t="str">
        <f t="shared" si="0"/>
        <v>B2210</v>
      </c>
      <c r="D16" s="111" t="s">
        <v>331</v>
      </c>
      <c r="E16" s="111" t="str">
        <f t="shared" si="1"/>
        <v>B2210</v>
      </c>
      <c r="F16" s="111" t="s">
        <v>331</v>
      </c>
      <c r="G16" s="112">
        <v>7611600</v>
      </c>
      <c r="H16" s="113" t="s">
        <v>73</v>
      </c>
      <c r="I16" s="46" t="s">
        <v>342</v>
      </c>
      <c r="J16" s="46" t="str">
        <f>VLOOKUP(E16,Sheet3!I:K,3,FALSE)</f>
        <v>ADM</v>
      </c>
      <c r="K16" s="46" t="str">
        <f>VLOOKUP(E16,Sheet3!I:K,2,FALSE)</f>
        <v>SGA</v>
      </c>
      <c r="L16" s="46"/>
      <c r="M16" s="50" t="s">
        <v>540</v>
      </c>
      <c r="N16" s="50" t="s">
        <v>540</v>
      </c>
      <c r="O16" s="50" t="s">
        <v>540</v>
      </c>
      <c r="P16" s="50" t="s">
        <v>540</v>
      </c>
      <c r="Q16" s="50" t="s">
        <v>540</v>
      </c>
      <c r="R16" s="50" t="s">
        <v>540</v>
      </c>
      <c r="S16" s="50" t="s">
        <v>540</v>
      </c>
      <c r="T16" s="50">
        <v>166666.66666666666</v>
      </c>
      <c r="U16" s="50">
        <v>166666.66666666666</v>
      </c>
      <c r="V16" s="50">
        <v>166666.66666666666</v>
      </c>
      <c r="W16" s="50">
        <v>166666.66666666666</v>
      </c>
      <c r="X16" s="50">
        <v>166666.66666666666</v>
      </c>
      <c r="Y16" s="50">
        <v>166666.66666666666</v>
      </c>
      <c r="Z16" s="50">
        <v>166666.66666666666</v>
      </c>
      <c r="AA16" s="50">
        <v>166666.66666666666</v>
      </c>
      <c r="AB16" s="50">
        <v>166666.66666666666</v>
      </c>
      <c r="AC16" s="50">
        <v>166666.66666666666</v>
      </c>
      <c r="AD16" s="68">
        <f t="shared" si="2"/>
        <v>0</v>
      </c>
      <c r="AE16" s="69">
        <f t="shared" si="3"/>
        <v>1666666.6666666667</v>
      </c>
      <c r="AF16" s="70">
        <v>2000000.0000000002</v>
      </c>
      <c r="AG16" s="71">
        <v>2000000.0000000002</v>
      </c>
      <c r="AH16" s="106" t="str">
        <f>VLOOKUP(D16,Sheet3!H:I,2,FALSE)</f>
        <v>B2210</v>
      </c>
      <c r="AJ16" s="106" t="str">
        <f>VLOOKUP(F16,Sheet3!H:I,2,FALSE)</f>
        <v>B2210</v>
      </c>
    </row>
    <row r="17" spans="1:36" s="74" customFormat="1" ht="15" customHeight="1">
      <c r="A17" s="112" t="s">
        <v>310</v>
      </c>
      <c r="B17" s="45" t="s">
        <v>365</v>
      </c>
      <c r="C17" s="110" t="str">
        <f t="shared" si="0"/>
        <v>B2210</v>
      </c>
      <c r="D17" s="111" t="s">
        <v>331</v>
      </c>
      <c r="E17" s="111" t="str">
        <f t="shared" si="1"/>
        <v>B2210</v>
      </c>
      <c r="F17" s="111" t="s">
        <v>331</v>
      </c>
      <c r="G17" s="112">
        <v>7611600</v>
      </c>
      <c r="H17" s="113" t="s">
        <v>73</v>
      </c>
      <c r="I17" s="46" t="s">
        <v>343</v>
      </c>
      <c r="J17" s="46" t="str">
        <f>VLOOKUP(E17,Sheet3!I:K,3,FALSE)</f>
        <v>ADM</v>
      </c>
      <c r="K17" s="46" t="str">
        <f>VLOOKUP(E17,Sheet3!I:K,2,FALSE)</f>
        <v>SGA</v>
      </c>
      <c r="L17" s="46"/>
      <c r="M17" s="50" t="s">
        <v>540</v>
      </c>
      <c r="N17" s="50" t="s">
        <v>540</v>
      </c>
      <c r="O17" s="50" t="s">
        <v>540</v>
      </c>
      <c r="P17" s="50" t="s">
        <v>540</v>
      </c>
      <c r="Q17" s="50" t="s">
        <v>540</v>
      </c>
      <c r="R17" s="50" t="s">
        <v>540</v>
      </c>
      <c r="S17" s="50" t="s">
        <v>540</v>
      </c>
      <c r="T17" s="50" t="s">
        <v>540</v>
      </c>
      <c r="U17" s="50" t="s">
        <v>540</v>
      </c>
      <c r="V17" s="50" t="s">
        <v>540</v>
      </c>
      <c r="W17" s="50" t="s">
        <v>540</v>
      </c>
      <c r="X17" s="50">
        <v>1500000</v>
      </c>
      <c r="Y17" s="50">
        <v>1500000</v>
      </c>
      <c r="Z17" s="50">
        <v>1500000</v>
      </c>
      <c r="AA17" s="50">
        <v>1500000</v>
      </c>
      <c r="AB17" s="50">
        <v>1500000</v>
      </c>
      <c r="AC17" s="50">
        <v>1500000</v>
      </c>
      <c r="AD17" s="68">
        <f t="shared" si="2"/>
        <v>0</v>
      </c>
      <c r="AE17" s="69">
        <f t="shared" si="3"/>
        <v>9000000</v>
      </c>
      <c r="AF17" s="70">
        <v>18000000</v>
      </c>
      <c r="AG17" s="71">
        <v>18000000</v>
      </c>
      <c r="AH17" s="106" t="str">
        <f>VLOOKUP(D17,Sheet3!H:I,2,FALSE)</f>
        <v>B2210</v>
      </c>
      <c r="AI17" s="106"/>
      <c r="AJ17" s="106" t="str">
        <f>VLOOKUP(F17,Sheet3!H:I,2,FALSE)</f>
        <v>B2210</v>
      </c>
    </row>
    <row r="18" spans="1:36" s="74" customFormat="1" ht="15" customHeight="1">
      <c r="A18" s="112" t="s">
        <v>310</v>
      </c>
      <c r="B18" s="45" t="s">
        <v>366</v>
      </c>
      <c r="C18" s="110" t="str">
        <f t="shared" si="0"/>
        <v>B2210</v>
      </c>
      <c r="D18" s="111" t="s">
        <v>331</v>
      </c>
      <c r="E18" s="111" t="str">
        <f t="shared" si="1"/>
        <v>B3130</v>
      </c>
      <c r="F18" s="111" t="s">
        <v>239</v>
      </c>
      <c r="G18" s="112">
        <v>7611500</v>
      </c>
      <c r="H18" s="113" t="s">
        <v>71</v>
      </c>
      <c r="I18" s="46" t="s">
        <v>344</v>
      </c>
      <c r="J18" s="46" t="str">
        <f>VLOOKUP(E18,Sheet3!I:K,3,FALSE)</f>
        <v>ADM</v>
      </c>
      <c r="K18" s="46" t="str">
        <f>VLOOKUP(E18,Sheet3!I:K,2,FALSE)</f>
        <v>SGA</v>
      </c>
      <c r="L18" s="46"/>
      <c r="M18" s="50" t="s">
        <v>540</v>
      </c>
      <c r="N18" s="50" t="s">
        <v>540</v>
      </c>
      <c r="O18" s="50" t="s">
        <v>540</v>
      </c>
      <c r="P18" s="50" t="s">
        <v>540</v>
      </c>
      <c r="Q18" s="50">
        <v>7791666.666666667</v>
      </c>
      <c r="R18" s="50">
        <v>7791666.666666667</v>
      </c>
      <c r="S18" s="50">
        <v>7791666.666666667</v>
      </c>
      <c r="T18" s="50">
        <v>7791666.666666667</v>
      </c>
      <c r="U18" s="50">
        <v>7791666.666666667</v>
      </c>
      <c r="V18" s="50">
        <v>7791666.666666667</v>
      </c>
      <c r="W18" s="50">
        <v>7791666.666666667</v>
      </c>
      <c r="X18" s="50">
        <v>7791666.666666667</v>
      </c>
      <c r="Y18" s="50">
        <v>7791666.666666667</v>
      </c>
      <c r="Z18" s="50">
        <v>7791666.666666667</v>
      </c>
      <c r="AA18" s="50">
        <v>7791666.666666667</v>
      </c>
      <c r="AB18" s="50">
        <v>7791666.666666667</v>
      </c>
      <c r="AC18" s="50">
        <v>7791666.666666667</v>
      </c>
      <c r="AD18" s="68">
        <f t="shared" si="2"/>
        <v>7791666.666666667</v>
      </c>
      <c r="AE18" s="69">
        <f t="shared" si="3"/>
        <v>93500000.000000015</v>
      </c>
      <c r="AF18" s="70">
        <v>93500000.000000015</v>
      </c>
      <c r="AG18" s="71">
        <v>93500000.000000015</v>
      </c>
      <c r="AH18" s="106" t="str">
        <f>VLOOKUP(D18,Sheet3!H:I,2,FALSE)</f>
        <v>B2210</v>
      </c>
      <c r="AI18" s="106"/>
      <c r="AJ18" s="106" t="str">
        <f>VLOOKUP(F18,Sheet3!H:I,2,FALSE)</f>
        <v>B3130</v>
      </c>
    </row>
    <row r="19" spans="1:36" s="74" customFormat="1" ht="15" customHeight="1">
      <c r="A19" s="112" t="s">
        <v>310</v>
      </c>
      <c r="B19" s="45" t="s">
        <v>367</v>
      </c>
      <c r="C19" s="110" t="str">
        <f t="shared" si="0"/>
        <v>B2210</v>
      </c>
      <c r="D19" s="111" t="s">
        <v>331</v>
      </c>
      <c r="E19" s="111" t="str">
        <f t="shared" si="1"/>
        <v>B2210</v>
      </c>
      <c r="F19" s="111" t="s">
        <v>331</v>
      </c>
      <c r="G19" s="112">
        <v>7611500</v>
      </c>
      <c r="H19" s="113" t="s">
        <v>71</v>
      </c>
      <c r="I19" s="46" t="s">
        <v>346</v>
      </c>
      <c r="J19" s="46" t="str">
        <f>VLOOKUP(E19,Sheet3!I:K,3,FALSE)</f>
        <v>ADM</v>
      </c>
      <c r="K19" s="46" t="str">
        <f>VLOOKUP(E19,Sheet3!I:K,2,FALSE)</f>
        <v>SGA</v>
      </c>
      <c r="L19" s="46"/>
      <c r="M19" s="50" t="s">
        <v>540</v>
      </c>
      <c r="N19" s="50" t="s">
        <v>540</v>
      </c>
      <c r="O19" s="50" t="s">
        <v>540</v>
      </c>
      <c r="P19" s="50" t="s">
        <v>540</v>
      </c>
      <c r="Q19" s="50" t="s">
        <v>540</v>
      </c>
      <c r="R19" s="50">
        <v>3666666.6666666665</v>
      </c>
      <c r="S19" s="50">
        <v>3666666.6666666665</v>
      </c>
      <c r="T19" s="50">
        <v>3666666.6666666665</v>
      </c>
      <c r="U19" s="50">
        <v>3666666.6666666665</v>
      </c>
      <c r="V19" s="50">
        <v>3666666.6666666665</v>
      </c>
      <c r="W19" s="50">
        <v>3666666.6666666665</v>
      </c>
      <c r="X19" s="50">
        <v>3666666.6666666665</v>
      </c>
      <c r="Y19" s="50">
        <v>3666666.6666666665</v>
      </c>
      <c r="Z19" s="50">
        <v>3666666.6666666665</v>
      </c>
      <c r="AA19" s="50">
        <v>3666666.6666666665</v>
      </c>
      <c r="AB19" s="50">
        <v>3666666.6666666665</v>
      </c>
      <c r="AC19" s="50">
        <v>3666666.6666666665</v>
      </c>
      <c r="AD19" s="68">
        <f t="shared" si="2"/>
        <v>0</v>
      </c>
      <c r="AE19" s="69">
        <f t="shared" si="3"/>
        <v>44000000</v>
      </c>
      <c r="AF19" s="70">
        <v>44000000</v>
      </c>
      <c r="AG19" s="71">
        <v>44000000</v>
      </c>
      <c r="AH19" s="106" t="str">
        <f>VLOOKUP(D19,Sheet3!H:I,2,FALSE)</f>
        <v>B2210</v>
      </c>
      <c r="AI19" s="106"/>
      <c r="AJ19" s="106" t="str">
        <f>VLOOKUP(F19,Sheet3!H:I,2,FALSE)</f>
        <v>B2210</v>
      </c>
    </row>
    <row r="20" spans="1:36" s="74" customFormat="1" ht="15" customHeight="1">
      <c r="A20" s="112" t="s">
        <v>310</v>
      </c>
      <c r="B20" s="45" t="s">
        <v>368</v>
      </c>
      <c r="C20" s="110" t="str">
        <f t="shared" si="0"/>
        <v>B2210</v>
      </c>
      <c r="D20" s="111" t="s">
        <v>331</v>
      </c>
      <c r="E20" s="111" t="str">
        <f t="shared" si="1"/>
        <v>B2210</v>
      </c>
      <c r="F20" s="111" t="s">
        <v>331</v>
      </c>
      <c r="G20" s="112">
        <v>7611500</v>
      </c>
      <c r="H20" s="113" t="s">
        <v>71</v>
      </c>
      <c r="I20" s="46" t="s">
        <v>346</v>
      </c>
      <c r="J20" s="46" t="str">
        <f>VLOOKUP(E20,Sheet3!I:K,3,FALSE)</f>
        <v>ADM</v>
      </c>
      <c r="K20" s="46" t="str">
        <f>VLOOKUP(E20,Sheet3!I:K,2,FALSE)</f>
        <v>SGA</v>
      </c>
      <c r="L20" s="46"/>
      <c r="M20" s="50" t="s">
        <v>540</v>
      </c>
      <c r="N20" s="50" t="s">
        <v>540</v>
      </c>
      <c r="O20" s="50" t="s">
        <v>540</v>
      </c>
      <c r="P20" s="50" t="s">
        <v>540</v>
      </c>
      <c r="Q20" s="50" t="s">
        <v>540</v>
      </c>
      <c r="R20" s="50" t="s">
        <v>540</v>
      </c>
      <c r="S20" s="50" t="s">
        <v>540</v>
      </c>
      <c r="T20" s="50" t="s">
        <v>540</v>
      </c>
      <c r="U20" s="50">
        <v>3666666.6666666665</v>
      </c>
      <c r="V20" s="50">
        <v>3666666.6666666665</v>
      </c>
      <c r="W20" s="50">
        <v>3666666.6666666665</v>
      </c>
      <c r="X20" s="50">
        <v>3666666.6666666665</v>
      </c>
      <c r="Y20" s="50">
        <v>3666666.6666666665</v>
      </c>
      <c r="Z20" s="50">
        <v>3666666.6666666665</v>
      </c>
      <c r="AA20" s="50">
        <v>3666666.6666666665</v>
      </c>
      <c r="AB20" s="50">
        <v>3666666.6666666665</v>
      </c>
      <c r="AC20" s="50">
        <v>3666666.6666666665</v>
      </c>
      <c r="AD20" s="68">
        <f t="shared" si="2"/>
        <v>0</v>
      </c>
      <c r="AE20" s="69">
        <f t="shared" si="3"/>
        <v>33000000.000000004</v>
      </c>
      <c r="AF20" s="70">
        <v>44000000</v>
      </c>
      <c r="AG20" s="71">
        <v>44000000</v>
      </c>
      <c r="AH20" s="106" t="str">
        <f>VLOOKUP(D20,Sheet3!H:I,2,FALSE)</f>
        <v>B2210</v>
      </c>
      <c r="AI20" s="106"/>
      <c r="AJ20" s="106" t="str">
        <f>VLOOKUP(F20,Sheet3!H:I,2,FALSE)</f>
        <v>B2210</v>
      </c>
    </row>
    <row r="21" spans="1:36" s="74" customFormat="1" ht="15" customHeight="1">
      <c r="A21" s="112" t="s">
        <v>310</v>
      </c>
      <c r="B21" s="45" t="s">
        <v>369</v>
      </c>
      <c r="C21" s="110" t="str">
        <f t="shared" si="0"/>
        <v>B2210</v>
      </c>
      <c r="D21" s="111" t="s">
        <v>331</v>
      </c>
      <c r="E21" s="111" t="str">
        <f t="shared" si="1"/>
        <v>B2210</v>
      </c>
      <c r="F21" s="111" t="s">
        <v>331</v>
      </c>
      <c r="G21" s="112">
        <v>7611500</v>
      </c>
      <c r="H21" s="113" t="s">
        <v>71</v>
      </c>
      <c r="I21" s="46" t="s">
        <v>346</v>
      </c>
      <c r="J21" s="46" t="str">
        <f>VLOOKUP(E21,Sheet3!I:K,3,FALSE)</f>
        <v>ADM</v>
      </c>
      <c r="K21" s="46" t="str">
        <f>VLOOKUP(E21,Sheet3!I:K,2,FALSE)</f>
        <v>SGA</v>
      </c>
      <c r="L21" s="46"/>
      <c r="M21" s="50" t="s">
        <v>540</v>
      </c>
      <c r="N21" s="50" t="s">
        <v>540</v>
      </c>
      <c r="O21" s="50" t="s">
        <v>540</v>
      </c>
      <c r="P21" s="50" t="s">
        <v>540</v>
      </c>
      <c r="Q21" s="50" t="s">
        <v>540</v>
      </c>
      <c r="R21" s="50" t="s">
        <v>540</v>
      </c>
      <c r="S21" s="50" t="s">
        <v>540</v>
      </c>
      <c r="T21" s="50" t="s">
        <v>540</v>
      </c>
      <c r="U21" s="50" t="s">
        <v>540</v>
      </c>
      <c r="V21" s="50" t="s">
        <v>540</v>
      </c>
      <c r="W21" s="50">
        <v>3666666.6666666665</v>
      </c>
      <c r="X21" s="50">
        <v>3666666.6666666665</v>
      </c>
      <c r="Y21" s="50">
        <v>3666666.6666666665</v>
      </c>
      <c r="Z21" s="50">
        <v>3666666.6666666665</v>
      </c>
      <c r="AA21" s="50">
        <v>3666666.6666666665</v>
      </c>
      <c r="AB21" s="50">
        <v>3666666.6666666665</v>
      </c>
      <c r="AC21" s="50">
        <v>3666666.6666666665</v>
      </c>
      <c r="AD21" s="68">
        <f t="shared" si="2"/>
        <v>0</v>
      </c>
      <c r="AE21" s="69">
        <f t="shared" si="3"/>
        <v>25666666.666666668</v>
      </c>
      <c r="AF21" s="70">
        <v>44000000</v>
      </c>
      <c r="AG21" s="71">
        <v>44000000</v>
      </c>
      <c r="AH21" s="106" t="str">
        <f>VLOOKUP(D21,Sheet3!H:I,2,FALSE)</f>
        <v>B2210</v>
      </c>
      <c r="AI21" s="106"/>
      <c r="AJ21" s="106" t="str">
        <f>VLOOKUP(F21,Sheet3!H:I,2,FALSE)</f>
        <v>B2210</v>
      </c>
    </row>
    <row r="22" spans="1:36" s="74" customFormat="1" ht="15" customHeight="1">
      <c r="A22" s="112" t="s">
        <v>310</v>
      </c>
      <c r="B22" s="45" t="s">
        <v>370</v>
      </c>
      <c r="C22" s="110" t="str">
        <f t="shared" si="0"/>
        <v>B2210</v>
      </c>
      <c r="D22" s="111" t="s">
        <v>331</v>
      </c>
      <c r="E22" s="111" t="str">
        <f t="shared" si="1"/>
        <v>B1000</v>
      </c>
      <c r="F22" s="111" t="s">
        <v>208</v>
      </c>
      <c r="G22" s="112">
        <v>7611500</v>
      </c>
      <c r="H22" s="113" t="s">
        <v>71</v>
      </c>
      <c r="I22" s="46" t="s">
        <v>347</v>
      </c>
      <c r="J22" s="46" t="str">
        <f>VLOOKUP(E22,Sheet3!I:K,3,FALSE)</f>
        <v>ADM</v>
      </c>
      <c r="K22" s="46" t="str">
        <f>VLOOKUP(E22,Sheet3!I:K,2,FALSE)</f>
        <v>SGA</v>
      </c>
      <c r="L22" s="46"/>
      <c r="M22" s="50" t="s">
        <v>540</v>
      </c>
      <c r="N22" s="50" t="s">
        <v>540</v>
      </c>
      <c r="O22" s="50" t="s">
        <v>540</v>
      </c>
      <c r="P22" s="50" t="s">
        <v>540</v>
      </c>
      <c r="Q22" s="50" t="s">
        <v>540</v>
      </c>
      <c r="R22" s="50" t="s">
        <v>540</v>
      </c>
      <c r="S22" s="50" t="s">
        <v>540</v>
      </c>
      <c r="T22" s="50" t="s">
        <v>540</v>
      </c>
      <c r="U22" s="50" t="s">
        <v>540</v>
      </c>
      <c r="V22" s="50" t="s">
        <v>540</v>
      </c>
      <c r="W22" s="50" t="s">
        <v>540</v>
      </c>
      <c r="X22" s="50" t="s">
        <v>540</v>
      </c>
      <c r="Y22" s="50" t="s">
        <v>540</v>
      </c>
      <c r="Z22" s="50">
        <v>12233333.333333334</v>
      </c>
      <c r="AA22" s="50">
        <v>12233333.333333334</v>
      </c>
      <c r="AB22" s="50">
        <v>12233333.333333334</v>
      </c>
      <c r="AC22" s="50">
        <v>12233333.333333334</v>
      </c>
      <c r="AD22" s="68">
        <f t="shared" si="2"/>
        <v>0</v>
      </c>
      <c r="AE22" s="69">
        <f t="shared" si="3"/>
        <v>48933333.333333336</v>
      </c>
      <c r="AF22" s="70">
        <v>146800000</v>
      </c>
      <c r="AG22" s="71">
        <v>146800000</v>
      </c>
      <c r="AH22" s="106" t="str">
        <f>VLOOKUP(D22,Sheet3!H:I,2,FALSE)</f>
        <v>B2210</v>
      </c>
      <c r="AI22" s="106"/>
      <c r="AJ22" s="106" t="str">
        <f>VLOOKUP(F22,Sheet3!H:I,2,FALSE)</f>
        <v>B1000</v>
      </c>
    </row>
    <row r="23" spans="1:36" s="74" customFormat="1" ht="15" customHeight="1">
      <c r="A23" s="112" t="s">
        <v>310</v>
      </c>
      <c r="B23" s="45" t="s">
        <v>371</v>
      </c>
      <c r="C23" s="110" t="str">
        <f t="shared" si="0"/>
        <v>B2210</v>
      </c>
      <c r="D23" s="111" t="s">
        <v>331</v>
      </c>
      <c r="E23" s="111" t="str">
        <f t="shared" si="1"/>
        <v>B1000</v>
      </c>
      <c r="F23" s="111" t="s">
        <v>208</v>
      </c>
      <c r="G23" s="112">
        <v>7611500</v>
      </c>
      <c r="H23" s="113" t="s">
        <v>71</v>
      </c>
      <c r="I23" s="46" t="s">
        <v>349</v>
      </c>
      <c r="J23" s="46" t="str">
        <f>VLOOKUP(E23,Sheet3!I:K,3,FALSE)</f>
        <v>ADM</v>
      </c>
      <c r="K23" s="46" t="str">
        <f>VLOOKUP(E23,Sheet3!I:K,2,FALSE)</f>
        <v>SGA</v>
      </c>
      <c r="L23" s="46"/>
      <c r="M23" s="50" t="s">
        <v>540</v>
      </c>
      <c r="N23" s="50" t="s">
        <v>540</v>
      </c>
      <c r="O23" s="50" t="s">
        <v>540</v>
      </c>
      <c r="P23" s="50" t="s">
        <v>540</v>
      </c>
      <c r="Q23" s="50" t="s">
        <v>540</v>
      </c>
      <c r="R23" s="50" t="s">
        <v>540</v>
      </c>
      <c r="S23" s="50" t="s">
        <v>540</v>
      </c>
      <c r="T23" s="50" t="s">
        <v>540</v>
      </c>
      <c r="U23" s="50" t="s">
        <v>540</v>
      </c>
      <c r="V23" s="50" t="s">
        <v>540</v>
      </c>
      <c r="W23" s="50" t="s">
        <v>540</v>
      </c>
      <c r="X23" s="50" t="s">
        <v>540</v>
      </c>
      <c r="Y23" s="50" t="s">
        <v>540</v>
      </c>
      <c r="Z23" s="50" t="s">
        <v>540</v>
      </c>
      <c r="AA23" s="50" t="s">
        <v>540</v>
      </c>
      <c r="AB23" s="50">
        <v>8333333.333333333</v>
      </c>
      <c r="AC23" s="50">
        <v>8333333.333333333</v>
      </c>
      <c r="AD23" s="68">
        <f t="shared" si="2"/>
        <v>0</v>
      </c>
      <c r="AE23" s="69">
        <f t="shared" si="3"/>
        <v>16666666.666666666</v>
      </c>
      <c r="AF23" s="70">
        <v>99999999.999999985</v>
      </c>
      <c r="AG23" s="71">
        <v>99999999.999999985</v>
      </c>
      <c r="AH23" s="106" t="str">
        <f>VLOOKUP(D23,Sheet3!H:I,2,FALSE)</f>
        <v>B2210</v>
      </c>
      <c r="AI23" s="106"/>
      <c r="AJ23" s="106" t="str">
        <f>VLOOKUP(F23,Sheet3!H:I,2,FALSE)</f>
        <v>B1000</v>
      </c>
    </row>
    <row r="24" spans="1:36" s="74" customFormat="1" ht="15" customHeight="1">
      <c r="A24" s="112" t="s">
        <v>310</v>
      </c>
      <c r="B24" s="45" t="s">
        <v>372</v>
      </c>
      <c r="C24" s="110" t="str">
        <f t="shared" si="0"/>
        <v>B2210</v>
      </c>
      <c r="D24" s="111" t="s">
        <v>331</v>
      </c>
      <c r="E24" s="111" t="str">
        <f t="shared" si="1"/>
        <v>B2210</v>
      </c>
      <c r="F24" s="111" t="s">
        <v>331</v>
      </c>
      <c r="G24" s="112">
        <v>7611500</v>
      </c>
      <c r="H24" s="113" t="s">
        <v>71</v>
      </c>
      <c r="I24" s="46" t="s">
        <v>350</v>
      </c>
      <c r="J24" s="46" t="str">
        <f>VLOOKUP(E24,Sheet3!I:K,3,FALSE)</f>
        <v>ADM</v>
      </c>
      <c r="K24" s="46" t="str">
        <f>VLOOKUP(E24,Sheet3!I:K,2,FALSE)</f>
        <v>SGA</v>
      </c>
      <c r="L24" s="46"/>
      <c r="M24" s="50" t="s">
        <v>540</v>
      </c>
      <c r="N24" s="50" t="s">
        <v>540</v>
      </c>
      <c r="O24" s="50" t="s">
        <v>540</v>
      </c>
      <c r="P24" s="50" t="s">
        <v>540</v>
      </c>
      <c r="Q24" s="50" t="s">
        <v>540</v>
      </c>
      <c r="R24" s="50" t="s">
        <v>540</v>
      </c>
      <c r="S24" s="50" t="s">
        <v>540</v>
      </c>
      <c r="T24" s="50" t="s">
        <v>540</v>
      </c>
      <c r="U24" s="50" t="s">
        <v>540</v>
      </c>
      <c r="V24" s="50" t="s">
        <v>540</v>
      </c>
      <c r="W24" s="50" t="s">
        <v>540</v>
      </c>
      <c r="X24" s="50" t="s">
        <v>540</v>
      </c>
      <c r="Y24" s="50" t="s">
        <v>540</v>
      </c>
      <c r="Z24" s="50" t="s">
        <v>540</v>
      </c>
      <c r="AA24" s="50" t="s">
        <v>540</v>
      </c>
      <c r="AB24" s="50" t="s">
        <v>540</v>
      </c>
      <c r="AC24" s="50" t="s">
        <v>540</v>
      </c>
      <c r="AD24" s="68">
        <f t="shared" si="2"/>
        <v>0</v>
      </c>
      <c r="AE24" s="69">
        <f t="shared" si="3"/>
        <v>0</v>
      </c>
      <c r="AF24" s="70">
        <v>27416666.666666668</v>
      </c>
      <c r="AG24" s="71">
        <v>46999999.999999993</v>
      </c>
      <c r="AH24" s="106" t="str">
        <f>VLOOKUP(D24,Sheet3!H:I,2,FALSE)</f>
        <v>B2210</v>
      </c>
      <c r="AI24" s="106"/>
      <c r="AJ24" s="106" t="str">
        <f>VLOOKUP(F24,Sheet3!H:I,2,FALSE)</f>
        <v>B2210</v>
      </c>
    </row>
    <row r="25" spans="1:36" s="74" customFormat="1" ht="15" customHeight="1">
      <c r="A25" s="112" t="s">
        <v>310</v>
      </c>
      <c r="B25" s="45" t="s">
        <v>373</v>
      </c>
      <c r="C25" s="110" t="str">
        <f t="shared" si="0"/>
        <v>B2210</v>
      </c>
      <c r="D25" s="111" t="s">
        <v>331</v>
      </c>
      <c r="E25" s="111" t="str">
        <f t="shared" si="1"/>
        <v>B5000</v>
      </c>
      <c r="F25" s="111" t="s">
        <v>270</v>
      </c>
      <c r="G25" s="112">
        <v>7611500</v>
      </c>
      <c r="H25" s="113" t="s">
        <v>71</v>
      </c>
      <c r="I25" s="46" t="s">
        <v>351</v>
      </c>
      <c r="J25" s="46" t="str">
        <f>VLOOKUP(E25,Sheet3!I:K,3,FALSE)</f>
        <v>IND</v>
      </c>
      <c r="K25" s="46" t="str">
        <f>VLOOKUP(E25,Sheet3!I:K,2,FALSE)</f>
        <v>MFG</v>
      </c>
      <c r="L25" s="46"/>
      <c r="M25" s="50" t="s">
        <v>540</v>
      </c>
      <c r="N25" s="50" t="s">
        <v>540</v>
      </c>
      <c r="O25" s="50" t="s">
        <v>540</v>
      </c>
      <c r="P25" s="50" t="s">
        <v>540</v>
      </c>
      <c r="Q25" s="50" t="s">
        <v>540</v>
      </c>
      <c r="R25" s="50" t="s">
        <v>540</v>
      </c>
      <c r="S25" s="50" t="s">
        <v>540</v>
      </c>
      <c r="T25" s="50" t="s">
        <v>540</v>
      </c>
      <c r="U25" s="50" t="s">
        <v>540</v>
      </c>
      <c r="V25" s="50" t="s">
        <v>540</v>
      </c>
      <c r="W25" s="50" t="s">
        <v>540</v>
      </c>
      <c r="X25" s="50" t="s">
        <v>540</v>
      </c>
      <c r="Y25" s="50" t="s">
        <v>540</v>
      </c>
      <c r="Z25" s="50" t="s">
        <v>540</v>
      </c>
      <c r="AA25" s="50" t="s">
        <v>540</v>
      </c>
      <c r="AB25" s="50" t="s">
        <v>540</v>
      </c>
      <c r="AC25" s="50" t="s">
        <v>540</v>
      </c>
      <c r="AD25" s="68">
        <f t="shared" si="2"/>
        <v>0</v>
      </c>
      <c r="AE25" s="69">
        <f t="shared" si="3"/>
        <v>0</v>
      </c>
      <c r="AF25" s="70">
        <v>9000000</v>
      </c>
      <c r="AG25" s="71">
        <v>54000000</v>
      </c>
      <c r="AH25" s="106" t="str">
        <f>VLOOKUP(D25,Sheet3!H:I,2,FALSE)</f>
        <v>B2210</v>
      </c>
      <c r="AI25" s="106"/>
      <c r="AJ25" s="106" t="str">
        <f>VLOOKUP(F25,Sheet3!H:I,2,FALSE)</f>
        <v>B5000</v>
      </c>
    </row>
    <row r="26" spans="1:36" s="74" customFormat="1" ht="15" customHeight="1">
      <c r="A26" s="112" t="s">
        <v>310</v>
      </c>
      <c r="B26" s="45" t="s">
        <v>374</v>
      </c>
      <c r="C26" s="110" t="str">
        <f t="shared" si="0"/>
        <v>B2210</v>
      </c>
      <c r="D26" s="111" t="s">
        <v>331</v>
      </c>
      <c r="E26" s="111" t="str">
        <f t="shared" si="1"/>
        <v>B2210</v>
      </c>
      <c r="F26" s="111" t="s">
        <v>331</v>
      </c>
      <c r="G26" s="112">
        <v>7611500</v>
      </c>
      <c r="H26" s="113" t="s">
        <v>71</v>
      </c>
      <c r="I26" s="46" t="s">
        <v>350</v>
      </c>
      <c r="J26" s="46" t="str">
        <f>VLOOKUP(E26,Sheet3!I:K,3,FALSE)</f>
        <v>ADM</v>
      </c>
      <c r="K26" s="46" t="str">
        <f>VLOOKUP(E26,Sheet3!I:K,2,FALSE)</f>
        <v>SGA</v>
      </c>
      <c r="L26" s="46"/>
      <c r="M26" s="50" t="s">
        <v>540</v>
      </c>
      <c r="N26" s="50" t="s">
        <v>540</v>
      </c>
      <c r="O26" s="50" t="s">
        <v>540</v>
      </c>
      <c r="P26" s="50" t="s">
        <v>540</v>
      </c>
      <c r="Q26" s="50" t="s">
        <v>540</v>
      </c>
      <c r="R26" s="50" t="s">
        <v>540</v>
      </c>
      <c r="S26" s="50" t="s">
        <v>540</v>
      </c>
      <c r="T26" s="50" t="s">
        <v>540</v>
      </c>
      <c r="U26" s="50" t="s">
        <v>540</v>
      </c>
      <c r="V26" s="50" t="s">
        <v>540</v>
      </c>
      <c r="W26" s="50" t="s">
        <v>540</v>
      </c>
      <c r="X26" s="50" t="s">
        <v>540</v>
      </c>
      <c r="Y26" s="50" t="s">
        <v>540</v>
      </c>
      <c r="Z26" s="50" t="s">
        <v>540</v>
      </c>
      <c r="AA26" s="50" t="s">
        <v>540</v>
      </c>
      <c r="AB26" s="50" t="s">
        <v>540</v>
      </c>
      <c r="AC26" s="50" t="s">
        <v>540</v>
      </c>
      <c r="AD26" s="68">
        <f t="shared" si="2"/>
        <v>0</v>
      </c>
      <c r="AE26" s="69">
        <f t="shared" si="3"/>
        <v>0</v>
      </c>
      <c r="AF26" s="70">
        <v>3916666.6666666665</v>
      </c>
      <c r="AG26" s="71">
        <v>46999999.999999993</v>
      </c>
      <c r="AH26" s="106" t="str">
        <f>VLOOKUP(D26,Sheet3!H:I,2,FALSE)</f>
        <v>B2210</v>
      </c>
      <c r="AI26" s="106"/>
      <c r="AJ26" s="106" t="str">
        <f>VLOOKUP(F26,Sheet3!H:I,2,FALSE)</f>
        <v>B2210</v>
      </c>
    </row>
    <row r="27" spans="1:36" s="74" customFormat="1" ht="15" customHeight="1">
      <c r="A27" s="112" t="s">
        <v>310</v>
      </c>
      <c r="B27" s="45" t="s">
        <v>375</v>
      </c>
      <c r="C27" s="110" t="str">
        <f t="shared" si="0"/>
        <v>B2210</v>
      </c>
      <c r="D27" s="111" t="s">
        <v>331</v>
      </c>
      <c r="E27" s="111" t="str">
        <f t="shared" si="1"/>
        <v>B2210</v>
      </c>
      <c r="F27" s="111" t="s">
        <v>331</v>
      </c>
      <c r="G27" s="112">
        <v>7611500</v>
      </c>
      <c r="H27" s="113" t="s">
        <v>71</v>
      </c>
      <c r="I27" s="46" t="s">
        <v>350</v>
      </c>
      <c r="J27" s="46" t="str">
        <f>VLOOKUP(E27,Sheet3!I:K,3,FALSE)</f>
        <v>ADM</v>
      </c>
      <c r="K27" s="46" t="str">
        <f>VLOOKUP(E27,Sheet3!I:K,2,FALSE)</f>
        <v>SGA</v>
      </c>
      <c r="L27" s="46"/>
      <c r="M27" s="50" t="s">
        <v>540</v>
      </c>
      <c r="N27" s="50" t="s">
        <v>540</v>
      </c>
      <c r="O27" s="50" t="s">
        <v>540</v>
      </c>
      <c r="P27" s="50" t="s">
        <v>540</v>
      </c>
      <c r="Q27" s="50" t="s">
        <v>540</v>
      </c>
      <c r="R27" s="50" t="s">
        <v>540</v>
      </c>
      <c r="S27" s="50" t="s">
        <v>540</v>
      </c>
      <c r="T27" s="50" t="s">
        <v>540</v>
      </c>
      <c r="U27" s="50" t="s">
        <v>540</v>
      </c>
      <c r="V27" s="50" t="s">
        <v>540</v>
      </c>
      <c r="W27" s="50" t="s">
        <v>540</v>
      </c>
      <c r="X27" s="50" t="s">
        <v>540</v>
      </c>
      <c r="Y27" s="50" t="s">
        <v>540</v>
      </c>
      <c r="Z27" s="50" t="s">
        <v>540</v>
      </c>
      <c r="AA27" s="50" t="s">
        <v>540</v>
      </c>
      <c r="AB27" s="50" t="s">
        <v>540</v>
      </c>
      <c r="AC27" s="50" t="s">
        <v>540</v>
      </c>
      <c r="AD27" s="68">
        <f t="shared" si="2"/>
        <v>0</v>
      </c>
      <c r="AE27" s="69">
        <f t="shared" si="3"/>
        <v>0</v>
      </c>
      <c r="AF27" s="70">
        <v>0</v>
      </c>
      <c r="AG27" s="71">
        <v>43083333.333333328</v>
      </c>
      <c r="AH27" s="106" t="str">
        <f>VLOOKUP(D27,Sheet3!H:I,2,FALSE)</f>
        <v>B2210</v>
      </c>
      <c r="AI27" s="106"/>
      <c r="AJ27" s="106" t="str">
        <f>VLOOKUP(F27,Sheet3!H:I,2,FALSE)</f>
        <v>B2210</v>
      </c>
    </row>
    <row r="28" spans="1:36" s="74" customFormat="1" ht="15" customHeight="1">
      <c r="A28" s="112" t="s">
        <v>310</v>
      </c>
      <c r="B28" s="45" t="s">
        <v>376</v>
      </c>
      <c r="C28" s="110" t="str">
        <f t="shared" si="0"/>
        <v>B2210</v>
      </c>
      <c r="D28" s="111" t="s">
        <v>331</v>
      </c>
      <c r="E28" s="111" t="str">
        <f t="shared" si="1"/>
        <v>B5000</v>
      </c>
      <c r="F28" s="111" t="s">
        <v>270</v>
      </c>
      <c r="G28" s="112">
        <v>7611500</v>
      </c>
      <c r="H28" s="113" t="s">
        <v>71</v>
      </c>
      <c r="I28" s="46" t="s">
        <v>353</v>
      </c>
      <c r="J28" s="46" t="str">
        <f>VLOOKUP(E28,Sheet3!I:K,3,FALSE)</f>
        <v>IND</v>
      </c>
      <c r="K28" s="46" t="str">
        <f>VLOOKUP(E28,Sheet3!I:K,2,FALSE)</f>
        <v>MFG</v>
      </c>
      <c r="L28" s="46"/>
      <c r="M28" s="50" t="s">
        <v>540</v>
      </c>
      <c r="N28" s="50" t="s">
        <v>540</v>
      </c>
      <c r="O28" s="50" t="s">
        <v>540</v>
      </c>
      <c r="P28" s="50" t="s">
        <v>540</v>
      </c>
      <c r="Q28" s="50" t="s">
        <v>540</v>
      </c>
      <c r="R28" s="50" t="s">
        <v>540</v>
      </c>
      <c r="S28" s="50" t="s">
        <v>540</v>
      </c>
      <c r="T28" s="50" t="s">
        <v>540</v>
      </c>
      <c r="U28" s="50" t="s">
        <v>540</v>
      </c>
      <c r="V28" s="50" t="s">
        <v>540</v>
      </c>
      <c r="W28" s="50" t="s">
        <v>540</v>
      </c>
      <c r="X28" s="50" t="s">
        <v>540</v>
      </c>
      <c r="Y28" s="50" t="s">
        <v>540</v>
      </c>
      <c r="Z28" s="50" t="s">
        <v>540</v>
      </c>
      <c r="AA28" s="50" t="s">
        <v>540</v>
      </c>
      <c r="AB28" s="50" t="s">
        <v>540</v>
      </c>
      <c r="AC28" s="50" t="s">
        <v>540</v>
      </c>
      <c r="AD28" s="68">
        <f t="shared" si="2"/>
        <v>0</v>
      </c>
      <c r="AE28" s="69">
        <f t="shared" si="3"/>
        <v>0</v>
      </c>
      <c r="AF28" s="70">
        <v>0</v>
      </c>
      <c r="AG28" s="71">
        <v>15583333.333333334</v>
      </c>
      <c r="AH28" s="106" t="str">
        <f>VLOOKUP(D28,Sheet3!H:I,2,FALSE)</f>
        <v>B2210</v>
      </c>
      <c r="AI28" s="106"/>
      <c r="AJ28" s="106" t="str">
        <f>VLOOKUP(F28,Sheet3!H:I,2,FALSE)</f>
        <v>B5000</v>
      </c>
    </row>
    <row r="29" spans="1:36" s="74" customFormat="1" ht="15" customHeight="1">
      <c r="A29" s="112" t="s">
        <v>310</v>
      </c>
      <c r="B29" s="45" t="s">
        <v>377</v>
      </c>
      <c r="C29" s="110" t="str">
        <f t="shared" si="0"/>
        <v>B2210</v>
      </c>
      <c r="D29" s="111" t="s">
        <v>331</v>
      </c>
      <c r="E29" s="111" t="str">
        <f t="shared" si="1"/>
        <v>B2210</v>
      </c>
      <c r="F29" s="111" t="s">
        <v>331</v>
      </c>
      <c r="G29" s="112">
        <v>7611500</v>
      </c>
      <c r="H29" s="113" t="s">
        <v>71</v>
      </c>
      <c r="I29" s="46" t="s">
        <v>346</v>
      </c>
      <c r="J29" s="46" t="str">
        <f>VLOOKUP(E29,Sheet3!I:K,3,FALSE)</f>
        <v>ADM</v>
      </c>
      <c r="K29" s="46" t="str">
        <f>VLOOKUP(E29,Sheet3!I:K,2,FALSE)</f>
        <v>SGA</v>
      </c>
      <c r="L29" s="46"/>
      <c r="M29" s="50" t="s">
        <v>540</v>
      </c>
      <c r="N29" s="50" t="s">
        <v>540</v>
      </c>
      <c r="O29" s="50" t="s">
        <v>540</v>
      </c>
      <c r="P29" s="50" t="s">
        <v>540</v>
      </c>
      <c r="Q29" s="50" t="s">
        <v>540</v>
      </c>
      <c r="R29" s="50" t="s">
        <v>540</v>
      </c>
      <c r="S29" s="50" t="s">
        <v>540</v>
      </c>
      <c r="T29" s="50" t="s">
        <v>540</v>
      </c>
      <c r="U29" s="50" t="s">
        <v>540</v>
      </c>
      <c r="V29" s="50" t="s">
        <v>540</v>
      </c>
      <c r="W29" s="50" t="s">
        <v>540</v>
      </c>
      <c r="X29" s="50" t="s">
        <v>540</v>
      </c>
      <c r="Y29" s="50" t="s">
        <v>540</v>
      </c>
      <c r="Z29" s="50" t="s">
        <v>540</v>
      </c>
      <c r="AA29" s="50" t="s">
        <v>540</v>
      </c>
      <c r="AB29" s="50" t="s">
        <v>540</v>
      </c>
      <c r="AC29" s="50" t="s">
        <v>540</v>
      </c>
      <c r="AD29" s="68">
        <f t="shared" si="2"/>
        <v>0</v>
      </c>
      <c r="AE29" s="69">
        <f t="shared" si="3"/>
        <v>0</v>
      </c>
      <c r="AF29" s="70">
        <v>0</v>
      </c>
      <c r="AG29" s="71">
        <v>0</v>
      </c>
      <c r="AH29" s="106" t="str">
        <f>VLOOKUP(D29,Sheet3!H:I,2,FALSE)</f>
        <v>B2210</v>
      </c>
      <c r="AI29" s="106"/>
      <c r="AJ29" s="106" t="str">
        <f>VLOOKUP(F29,Sheet3!H:I,2,FALSE)</f>
        <v>B2210</v>
      </c>
    </row>
    <row r="30" spans="1:36" s="74" customFormat="1" ht="15" customHeight="1">
      <c r="A30" s="112" t="s">
        <v>310</v>
      </c>
      <c r="B30" s="45" t="s">
        <v>378</v>
      </c>
      <c r="C30" s="110" t="str">
        <f t="shared" si="0"/>
        <v>B2210</v>
      </c>
      <c r="D30" s="111" t="s">
        <v>331</v>
      </c>
      <c r="E30" s="111" t="str">
        <f t="shared" si="1"/>
        <v>B2300</v>
      </c>
      <c r="F30" s="111" t="s">
        <v>227</v>
      </c>
      <c r="G30" s="112">
        <v>7611500</v>
      </c>
      <c r="H30" s="113" t="s">
        <v>71</v>
      </c>
      <c r="I30" s="46" t="s">
        <v>354</v>
      </c>
      <c r="J30" s="46" t="str">
        <f>VLOOKUP(E30,Sheet3!I:K,3,FALSE)</f>
        <v>ADM</v>
      </c>
      <c r="K30" s="46" t="str">
        <f>VLOOKUP(E30,Sheet3!I:K,2,FALSE)</f>
        <v>SGA</v>
      </c>
      <c r="L30" s="46"/>
      <c r="M30" s="50" t="s">
        <v>540</v>
      </c>
      <c r="N30" s="50" t="s">
        <v>540</v>
      </c>
      <c r="O30" s="50" t="s">
        <v>540</v>
      </c>
      <c r="P30" s="50" t="s">
        <v>540</v>
      </c>
      <c r="Q30" s="50" t="s">
        <v>540</v>
      </c>
      <c r="R30" s="50" t="s">
        <v>540</v>
      </c>
      <c r="S30" s="50" t="s">
        <v>540</v>
      </c>
      <c r="T30" s="50" t="s">
        <v>540</v>
      </c>
      <c r="U30" s="50" t="s">
        <v>540</v>
      </c>
      <c r="V30" s="50" t="s">
        <v>540</v>
      </c>
      <c r="W30" s="50" t="s">
        <v>540</v>
      </c>
      <c r="X30" s="50" t="s">
        <v>540</v>
      </c>
      <c r="Y30" s="50" t="s">
        <v>540</v>
      </c>
      <c r="Z30" s="50" t="s">
        <v>540</v>
      </c>
      <c r="AA30" s="50" t="s">
        <v>540</v>
      </c>
      <c r="AB30" s="50" t="s">
        <v>540</v>
      </c>
      <c r="AC30" s="50" t="s">
        <v>540</v>
      </c>
      <c r="AD30" s="68">
        <f t="shared" si="2"/>
        <v>0</v>
      </c>
      <c r="AE30" s="69">
        <f t="shared" si="3"/>
        <v>0</v>
      </c>
      <c r="AF30" s="70">
        <v>0</v>
      </c>
      <c r="AG30" s="71">
        <v>0</v>
      </c>
      <c r="AH30" s="106" t="str">
        <f>VLOOKUP(D30,Sheet3!H:I,2,FALSE)</f>
        <v>B2210</v>
      </c>
      <c r="AI30" s="106"/>
      <c r="AJ30" s="106" t="str">
        <f>VLOOKUP(F30,Sheet3!H:I,2,FALSE)</f>
        <v>B2300</v>
      </c>
    </row>
    <row r="31" spans="1:36" s="74" customFormat="1" ht="15" customHeight="1">
      <c r="A31" s="112" t="s">
        <v>310</v>
      </c>
      <c r="B31" s="45" t="s">
        <v>308</v>
      </c>
      <c r="C31" s="110" t="str">
        <f t="shared" si="0"/>
        <v>B2230</v>
      </c>
      <c r="D31" s="111" t="s">
        <v>225</v>
      </c>
      <c r="E31" s="111" t="str">
        <f t="shared" si="1"/>
        <v>B2230</v>
      </c>
      <c r="F31" s="111" t="s">
        <v>225</v>
      </c>
      <c r="G31" s="112">
        <v>7611600</v>
      </c>
      <c r="H31" s="113" t="s">
        <v>73</v>
      </c>
      <c r="I31" s="46" t="s">
        <v>379</v>
      </c>
      <c r="J31" s="46" t="str">
        <f>VLOOKUP(E31,Sheet3!I:K,3,FALSE)</f>
        <v>ADM</v>
      </c>
      <c r="K31" s="46" t="str">
        <f>VLOOKUP(E31,Sheet3!I:K,2,FALSE)</f>
        <v>SGA</v>
      </c>
      <c r="L31" s="46"/>
      <c r="M31" s="50" t="s">
        <v>540</v>
      </c>
      <c r="N31" s="50" t="s">
        <v>540</v>
      </c>
      <c r="O31" s="50">
        <v>166666.66666666666</v>
      </c>
      <c r="P31" s="50">
        <v>166666.66666666666</v>
      </c>
      <c r="Q31" s="50">
        <v>166666.66666666666</v>
      </c>
      <c r="R31" s="50">
        <v>166666.66666666666</v>
      </c>
      <c r="S31" s="50">
        <v>166666.66666666666</v>
      </c>
      <c r="T31" s="50">
        <v>166666.66666666666</v>
      </c>
      <c r="U31" s="50">
        <v>166666.66666666666</v>
      </c>
      <c r="V31" s="50">
        <v>166666.66666666666</v>
      </c>
      <c r="W31" s="50">
        <v>166666.66666666666</v>
      </c>
      <c r="X31" s="50">
        <v>166666.66666666666</v>
      </c>
      <c r="Y31" s="50">
        <v>166666.66666666666</v>
      </c>
      <c r="Z31" s="50">
        <v>166666.66666666666</v>
      </c>
      <c r="AA31" s="50">
        <v>166666.66666666666</v>
      </c>
      <c r="AB31" s="50">
        <v>166666.66666666666</v>
      </c>
      <c r="AC31" s="50">
        <v>166666.66666666666</v>
      </c>
      <c r="AD31" s="68">
        <f t="shared" si="2"/>
        <v>500000</v>
      </c>
      <c r="AE31" s="69">
        <f t="shared" si="3"/>
        <v>2000000.0000000002</v>
      </c>
      <c r="AF31" s="70">
        <v>2000000.0000000002</v>
      </c>
      <c r="AG31" s="71">
        <v>2000000.0000000002</v>
      </c>
      <c r="AH31" s="106" t="str">
        <f>VLOOKUP(D31,Sheet3!H:I,2,FALSE)</f>
        <v>B2230</v>
      </c>
      <c r="AI31" s="106"/>
      <c r="AJ31" s="106" t="str">
        <f>VLOOKUP(F31,Sheet3!H:I,2,FALSE)</f>
        <v>B2230</v>
      </c>
    </row>
    <row r="32" spans="1:36" s="74" customFormat="1" ht="15" customHeight="1">
      <c r="A32" s="112" t="s">
        <v>310</v>
      </c>
      <c r="B32" s="45" t="s">
        <v>326</v>
      </c>
      <c r="C32" s="110" t="str">
        <f t="shared" si="0"/>
        <v>B2230</v>
      </c>
      <c r="D32" s="111" t="s">
        <v>225</v>
      </c>
      <c r="E32" s="111" t="str">
        <f t="shared" si="1"/>
        <v>B2230</v>
      </c>
      <c r="F32" s="111" t="s">
        <v>225</v>
      </c>
      <c r="G32" s="112">
        <v>7611600</v>
      </c>
      <c r="H32" s="113" t="s">
        <v>73</v>
      </c>
      <c r="I32" s="46" t="s">
        <v>380</v>
      </c>
      <c r="J32" s="46" t="str">
        <f>VLOOKUP(E32,Sheet3!I:K,3,FALSE)</f>
        <v>ADM</v>
      </c>
      <c r="K32" s="46" t="str">
        <f>VLOOKUP(E32,Sheet3!I:K,2,FALSE)</f>
        <v>SGA</v>
      </c>
      <c r="L32" s="46"/>
      <c r="M32" s="50" t="s">
        <v>540</v>
      </c>
      <c r="N32" s="50" t="s">
        <v>540</v>
      </c>
      <c r="O32" s="50">
        <v>166666.66666666666</v>
      </c>
      <c r="P32" s="50">
        <v>166666.66666666666</v>
      </c>
      <c r="Q32" s="50">
        <v>166666.66666666666</v>
      </c>
      <c r="R32" s="50">
        <v>166666.66666666666</v>
      </c>
      <c r="S32" s="50">
        <v>166666.66666666666</v>
      </c>
      <c r="T32" s="50">
        <v>166666.66666666666</v>
      </c>
      <c r="U32" s="50">
        <v>166666.66666666666</v>
      </c>
      <c r="V32" s="50">
        <v>166666.66666666666</v>
      </c>
      <c r="W32" s="50">
        <v>166666.66666666666</v>
      </c>
      <c r="X32" s="50">
        <v>166666.66666666666</v>
      </c>
      <c r="Y32" s="50">
        <v>166666.66666666666</v>
      </c>
      <c r="Z32" s="50">
        <v>166666.66666666666</v>
      </c>
      <c r="AA32" s="50">
        <v>166666.66666666666</v>
      </c>
      <c r="AB32" s="50">
        <v>166666.66666666666</v>
      </c>
      <c r="AC32" s="50">
        <v>166666.66666666666</v>
      </c>
      <c r="AD32" s="68">
        <f t="shared" si="2"/>
        <v>500000</v>
      </c>
      <c r="AE32" s="69">
        <f t="shared" si="3"/>
        <v>2000000.0000000002</v>
      </c>
      <c r="AF32" s="70">
        <v>2000000.0000000002</v>
      </c>
      <c r="AG32" s="71">
        <v>2000000.0000000002</v>
      </c>
      <c r="AH32" s="106" t="str">
        <f>VLOOKUP(D32,Sheet3!H:I,2,FALSE)</f>
        <v>B2230</v>
      </c>
      <c r="AI32" s="106"/>
      <c r="AJ32" s="106" t="str">
        <f>VLOOKUP(F32,Sheet3!H:I,2,FALSE)</f>
        <v>B2230</v>
      </c>
    </row>
    <row r="33" spans="1:36" s="74" customFormat="1" ht="15" customHeight="1">
      <c r="A33" s="112" t="s">
        <v>310</v>
      </c>
      <c r="B33" s="45" t="s">
        <v>328</v>
      </c>
      <c r="C33" s="110" t="str">
        <f t="shared" si="0"/>
        <v>B2230</v>
      </c>
      <c r="D33" s="111" t="s">
        <v>225</v>
      </c>
      <c r="E33" s="111" t="str">
        <f t="shared" si="1"/>
        <v>B2230</v>
      </c>
      <c r="F33" s="111" t="s">
        <v>225</v>
      </c>
      <c r="G33" s="112">
        <v>7611600</v>
      </c>
      <c r="H33" s="113" t="s">
        <v>73</v>
      </c>
      <c r="I33" s="46" t="s">
        <v>381</v>
      </c>
      <c r="J33" s="46" t="str">
        <f>VLOOKUP(E33,Sheet3!I:K,3,FALSE)</f>
        <v>ADM</v>
      </c>
      <c r="K33" s="46" t="str">
        <f>VLOOKUP(E33,Sheet3!I:K,2,FALSE)</f>
        <v>SGA</v>
      </c>
      <c r="L33" s="46"/>
      <c r="M33" s="50" t="s">
        <v>540</v>
      </c>
      <c r="N33" s="50" t="s">
        <v>540</v>
      </c>
      <c r="O33" s="50" t="s">
        <v>540</v>
      </c>
      <c r="P33" s="50" t="s">
        <v>540</v>
      </c>
      <c r="Q33" s="50" t="s">
        <v>540</v>
      </c>
      <c r="R33" s="50" t="s">
        <v>540</v>
      </c>
      <c r="S33" s="50" t="s">
        <v>540</v>
      </c>
      <c r="T33" s="50" t="s">
        <v>540</v>
      </c>
      <c r="U33" s="50">
        <v>166666.66666666666</v>
      </c>
      <c r="V33" s="50">
        <v>166666.66666666666</v>
      </c>
      <c r="W33" s="50">
        <v>166666.66666666666</v>
      </c>
      <c r="X33" s="50">
        <v>166666.66666666666</v>
      </c>
      <c r="Y33" s="50">
        <v>166666.66666666666</v>
      </c>
      <c r="Z33" s="50">
        <v>166666.66666666666</v>
      </c>
      <c r="AA33" s="50">
        <v>166666.66666666666</v>
      </c>
      <c r="AB33" s="50">
        <v>166666.66666666666</v>
      </c>
      <c r="AC33" s="50">
        <v>166666.66666666666</v>
      </c>
      <c r="AD33" s="68">
        <f t="shared" si="2"/>
        <v>0</v>
      </c>
      <c r="AE33" s="69">
        <f t="shared" si="3"/>
        <v>1500000</v>
      </c>
      <c r="AF33" s="70">
        <v>2000000.0000000002</v>
      </c>
      <c r="AG33" s="71">
        <v>2000000.0000000002</v>
      </c>
      <c r="AH33" s="106" t="str">
        <f>VLOOKUP(D33,Sheet3!H:I,2,FALSE)</f>
        <v>B2230</v>
      </c>
      <c r="AI33" s="106"/>
      <c r="AJ33" s="106" t="str">
        <f>VLOOKUP(F33,Sheet3!H:I,2,FALSE)</f>
        <v>B2230</v>
      </c>
    </row>
    <row r="34" spans="1:36" s="74" customFormat="1" ht="15" customHeight="1">
      <c r="A34" s="112" t="s">
        <v>310</v>
      </c>
      <c r="B34" s="45" t="s">
        <v>356</v>
      </c>
      <c r="C34" s="110" t="str">
        <f t="shared" si="0"/>
        <v>B2230</v>
      </c>
      <c r="D34" s="111" t="s">
        <v>225</v>
      </c>
      <c r="E34" s="111" t="str">
        <f t="shared" si="1"/>
        <v>B2230</v>
      </c>
      <c r="F34" s="111" t="s">
        <v>225</v>
      </c>
      <c r="G34" s="112">
        <v>7611600</v>
      </c>
      <c r="H34" s="113" t="s">
        <v>73</v>
      </c>
      <c r="I34" s="46" t="s">
        <v>382</v>
      </c>
      <c r="J34" s="46" t="str">
        <f>VLOOKUP(E34,Sheet3!I:K,3,FALSE)</f>
        <v>ADM</v>
      </c>
      <c r="K34" s="46" t="str">
        <f>VLOOKUP(E34,Sheet3!I:K,2,FALSE)</f>
        <v>SGA</v>
      </c>
      <c r="L34" s="46"/>
      <c r="M34" s="50" t="s">
        <v>540</v>
      </c>
      <c r="N34" s="50" t="s">
        <v>540</v>
      </c>
      <c r="O34" s="50" t="s">
        <v>540</v>
      </c>
      <c r="P34" s="50" t="s">
        <v>540</v>
      </c>
      <c r="Q34" s="50" t="s">
        <v>540</v>
      </c>
      <c r="R34" s="50" t="s">
        <v>540</v>
      </c>
      <c r="S34" s="50" t="s">
        <v>540</v>
      </c>
      <c r="T34" s="50" t="s">
        <v>540</v>
      </c>
      <c r="U34" s="50">
        <v>166666.66666666666</v>
      </c>
      <c r="V34" s="50">
        <v>166666.66666666666</v>
      </c>
      <c r="W34" s="50">
        <v>166666.66666666666</v>
      </c>
      <c r="X34" s="50">
        <v>166666.66666666666</v>
      </c>
      <c r="Y34" s="50">
        <v>166666.66666666666</v>
      </c>
      <c r="Z34" s="50">
        <v>166666.66666666666</v>
      </c>
      <c r="AA34" s="50">
        <v>166666.66666666666</v>
      </c>
      <c r="AB34" s="50">
        <v>166666.66666666666</v>
      </c>
      <c r="AC34" s="50">
        <v>166666.66666666666</v>
      </c>
      <c r="AD34" s="68">
        <f t="shared" si="2"/>
        <v>0</v>
      </c>
      <c r="AE34" s="69">
        <f t="shared" si="3"/>
        <v>1500000</v>
      </c>
      <c r="AF34" s="70">
        <v>2000000.0000000002</v>
      </c>
      <c r="AG34" s="71">
        <v>2000000.0000000002</v>
      </c>
      <c r="AH34" s="106" t="str">
        <f>VLOOKUP(D34,Sheet3!H:I,2,FALSE)</f>
        <v>B2230</v>
      </c>
      <c r="AI34" s="106"/>
      <c r="AJ34" s="106" t="str">
        <f>VLOOKUP(F34,Sheet3!H:I,2,FALSE)</f>
        <v>B2230</v>
      </c>
    </row>
    <row r="35" spans="1:36" s="74" customFormat="1" ht="15" customHeight="1">
      <c r="A35" s="112" t="s">
        <v>310</v>
      </c>
      <c r="B35" s="45" t="s">
        <v>308</v>
      </c>
      <c r="C35" s="110" t="str">
        <f t="shared" si="0"/>
        <v>B5500</v>
      </c>
      <c r="D35" s="111" t="s">
        <v>283</v>
      </c>
      <c r="E35" s="111" t="str">
        <f t="shared" si="1"/>
        <v>B5500</v>
      </c>
      <c r="F35" s="111" t="s">
        <v>283</v>
      </c>
      <c r="G35" s="112">
        <v>7611600</v>
      </c>
      <c r="H35" s="113" t="s">
        <v>73</v>
      </c>
      <c r="I35" s="46" t="s">
        <v>383</v>
      </c>
      <c r="J35" s="46" t="str">
        <f>VLOOKUP(E35,Sheet3!I:K,3,FALSE)</f>
        <v>IND</v>
      </c>
      <c r="K35" s="46" t="str">
        <f>VLOOKUP(E35,Sheet3!I:K,2,FALSE)</f>
        <v>MFG</v>
      </c>
      <c r="L35" s="46"/>
      <c r="M35" s="50" t="s">
        <v>540</v>
      </c>
      <c r="N35" s="50" t="s">
        <v>540</v>
      </c>
      <c r="O35" s="50" t="s">
        <v>540</v>
      </c>
      <c r="P35" s="50" t="s">
        <v>540</v>
      </c>
      <c r="Q35" s="50" t="s">
        <v>540</v>
      </c>
      <c r="R35" s="50" t="s">
        <v>540</v>
      </c>
      <c r="S35" s="50" t="s">
        <v>540</v>
      </c>
      <c r="T35" s="50">
        <v>133333.33333333334</v>
      </c>
      <c r="U35" s="50">
        <v>133333.33333333334</v>
      </c>
      <c r="V35" s="50">
        <v>133333.33333333334</v>
      </c>
      <c r="W35" s="50">
        <v>133333.33333333334</v>
      </c>
      <c r="X35" s="50">
        <v>133333.33333333334</v>
      </c>
      <c r="Y35" s="50">
        <v>133333.33333333334</v>
      </c>
      <c r="Z35" s="50">
        <v>133333.33333333334</v>
      </c>
      <c r="AA35" s="50">
        <v>133333.33333333334</v>
      </c>
      <c r="AB35" s="50">
        <v>133333.33333333334</v>
      </c>
      <c r="AC35" s="50">
        <v>133333.33333333334</v>
      </c>
      <c r="AD35" s="68">
        <f t="shared" si="2"/>
        <v>0</v>
      </c>
      <c r="AE35" s="69">
        <f t="shared" si="3"/>
        <v>1333333.3333333333</v>
      </c>
      <c r="AF35" s="70">
        <v>1599999.9999999998</v>
      </c>
      <c r="AG35" s="71">
        <v>1599999.9999999998</v>
      </c>
      <c r="AH35" s="106" t="str">
        <f>VLOOKUP(D35,Sheet3!H:I,2,FALSE)</f>
        <v>B5500</v>
      </c>
      <c r="AI35" s="106"/>
      <c r="AJ35" s="106" t="str">
        <f>VLOOKUP(F35,Sheet3!H:I,2,FALSE)</f>
        <v>B5500</v>
      </c>
    </row>
    <row r="36" spans="1:36" s="74" customFormat="1" ht="15" customHeight="1">
      <c r="A36" s="112" t="s">
        <v>310</v>
      </c>
      <c r="B36" s="45" t="s">
        <v>326</v>
      </c>
      <c r="C36" s="110" t="str">
        <f t="shared" si="0"/>
        <v>B5500</v>
      </c>
      <c r="D36" s="111" t="s">
        <v>283</v>
      </c>
      <c r="E36" s="111" t="str">
        <f t="shared" si="1"/>
        <v>B2210</v>
      </c>
      <c r="F36" s="111" t="s">
        <v>219</v>
      </c>
      <c r="G36" s="112">
        <v>7611600</v>
      </c>
      <c r="H36" s="113" t="s">
        <v>73</v>
      </c>
      <c r="I36" s="46" t="s">
        <v>384</v>
      </c>
      <c r="J36" s="46" t="str">
        <f>VLOOKUP(E36,Sheet3!I:K,3,FALSE)</f>
        <v>ADM</v>
      </c>
      <c r="K36" s="46" t="str">
        <f>VLOOKUP(E36,Sheet3!I:K,2,FALSE)</f>
        <v>SGA</v>
      </c>
      <c r="L36" s="46"/>
      <c r="M36" s="50" t="s">
        <v>540</v>
      </c>
      <c r="N36" s="50" t="s">
        <v>540</v>
      </c>
      <c r="O36" s="50" t="s">
        <v>540</v>
      </c>
      <c r="P36" s="50" t="s">
        <v>540</v>
      </c>
      <c r="Q36" s="50" t="s">
        <v>540</v>
      </c>
      <c r="R36" s="50" t="s">
        <v>540</v>
      </c>
      <c r="S36" s="50" t="s">
        <v>540</v>
      </c>
      <c r="T36" s="50" t="s">
        <v>540</v>
      </c>
      <c r="U36" s="50">
        <v>1333333.3333333333</v>
      </c>
      <c r="V36" s="50">
        <v>1333333.3333333333</v>
      </c>
      <c r="W36" s="50">
        <v>1333333.3333333333</v>
      </c>
      <c r="X36" s="50">
        <v>1333333.3333333333</v>
      </c>
      <c r="Y36" s="50">
        <v>1333333.3333333333</v>
      </c>
      <c r="Z36" s="50">
        <v>1333333.3333333333</v>
      </c>
      <c r="AA36" s="50">
        <v>1333333.3333333333</v>
      </c>
      <c r="AB36" s="50">
        <v>1333333.3333333333</v>
      </c>
      <c r="AC36" s="50">
        <v>1333333.3333333333</v>
      </c>
      <c r="AD36" s="68">
        <f t="shared" si="2"/>
        <v>0</v>
      </c>
      <c r="AE36" s="69">
        <f t="shared" si="3"/>
        <v>12000000</v>
      </c>
      <c r="AF36" s="70">
        <v>16000000.000000002</v>
      </c>
      <c r="AG36" s="71">
        <v>16000000.000000002</v>
      </c>
      <c r="AH36" s="106" t="str">
        <f>VLOOKUP(D36,Sheet3!H:I,2,FALSE)</f>
        <v>B5500</v>
      </c>
      <c r="AI36" s="106"/>
      <c r="AJ36" s="106" t="str">
        <f>VLOOKUP(F36,Sheet3!H:I,2,FALSE)</f>
        <v>B2210</v>
      </c>
    </row>
    <row r="37" spans="1:36" s="74" customFormat="1" ht="15" customHeight="1">
      <c r="A37" s="112" t="s">
        <v>310</v>
      </c>
      <c r="B37" s="45" t="s">
        <v>328</v>
      </c>
      <c r="C37" s="110" t="str">
        <f t="shared" si="0"/>
        <v>B5500</v>
      </c>
      <c r="D37" s="111" t="s">
        <v>283</v>
      </c>
      <c r="E37" s="111" t="str">
        <f t="shared" si="1"/>
        <v>B5500</v>
      </c>
      <c r="F37" s="111" t="s">
        <v>283</v>
      </c>
      <c r="G37" s="112">
        <v>7611600</v>
      </c>
      <c r="H37" s="113" t="s">
        <v>73</v>
      </c>
      <c r="I37" s="46" t="s">
        <v>385</v>
      </c>
      <c r="J37" s="46" t="str">
        <f>VLOOKUP(E37,Sheet3!I:K,3,FALSE)</f>
        <v>IND</v>
      </c>
      <c r="K37" s="46" t="str">
        <f>VLOOKUP(E37,Sheet3!I:K,2,FALSE)</f>
        <v>MFG</v>
      </c>
      <c r="L37" s="46"/>
      <c r="M37" s="50" t="s">
        <v>540</v>
      </c>
      <c r="N37" s="50" t="s">
        <v>540</v>
      </c>
      <c r="O37" s="50" t="s">
        <v>540</v>
      </c>
      <c r="P37" s="50" t="s">
        <v>540</v>
      </c>
      <c r="Q37" s="50" t="s">
        <v>540</v>
      </c>
      <c r="R37" s="50" t="s">
        <v>540</v>
      </c>
      <c r="S37" s="50" t="s">
        <v>540</v>
      </c>
      <c r="T37" s="50" t="s">
        <v>540</v>
      </c>
      <c r="U37" s="50">
        <v>250000</v>
      </c>
      <c r="V37" s="50">
        <v>250000</v>
      </c>
      <c r="W37" s="50">
        <v>250000</v>
      </c>
      <c r="X37" s="50">
        <v>250000</v>
      </c>
      <c r="Y37" s="50">
        <v>250000</v>
      </c>
      <c r="Z37" s="50">
        <v>250000</v>
      </c>
      <c r="AA37" s="50">
        <v>250000</v>
      </c>
      <c r="AB37" s="50">
        <v>250000</v>
      </c>
      <c r="AC37" s="50">
        <v>250000</v>
      </c>
      <c r="AD37" s="68">
        <f t="shared" si="2"/>
        <v>0</v>
      </c>
      <c r="AE37" s="69">
        <f t="shared" si="3"/>
        <v>2250000</v>
      </c>
      <c r="AF37" s="70">
        <v>3000000</v>
      </c>
      <c r="AG37" s="71">
        <v>3000000</v>
      </c>
      <c r="AH37" s="106" t="str">
        <f>VLOOKUP(D37,Sheet3!H:I,2,FALSE)</f>
        <v>B5500</v>
      </c>
      <c r="AI37" s="106"/>
      <c r="AJ37" s="106" t="str">
        <f>VLOOKUP(F37,Sheet3!H:I,2,FALSE)</f>
        <v>B5500</v>
      </c>
    </row>
    <row r="38" spans="1:36" s="74" customFormat="1" ht="15" customHeight="1">
      <c r="A38" s="112" t="s">
        <v>311</v>
      </c>
      <c r="B38" s="45" t="s">
        <v>356</v>
      </c>
      <c r="C38" s="110" t="str">
        <f t="shared" si="0"/>
        <v>B5500</v>
      </c>
      <c r="D38" s="111" t="s">
        <v>283</v>
      </c>
      <c r="E38" s="111" t="str">
        <f t="shared" si="1"/>
        <v>B5500</v>
      </c>
      <c r="F38" s="111" t="s">
        <v>283</v>
      </c>
      <c r="G38" s="112">
        <v>7611300</v>
      </c>
      <c r="H38" s="113" t="s">
        <v>69</v>
      </c>
      <c r="I38" s="46" t="s">
        <v>386</v>
      </c>
      <c r="J38" s="46" t="str">
        <f>VLOOKUP(E38,Sheet3!I:K,3,FALSE)</f>
        <v>IND</v>
      </c>
      <c r="K38" s="46" t="str">
        <f>VLOOKUP(E38,Sheet3!I:K,2,FALSE)</f>
        <v>MFG</v>
      </c>
      <c r="L38" s="46"/>
      <c r="M38" s="50" t="s">
        <v>540</v>
      </c>
      <c r="N38" s="50" t="s">
        <v>540</v>
      </c>
      <c r="O38" s="50" t="s">
        <v>540</v>
      </c>
      <c r="P38" s="50" t="s">
        <v>540</v>
      </c>
      <c r="Q38" s="50" t="s">
        <v>540</v>
      </c>
      <c r="R38" s="50" t="s">
        <v>540</v>
      </c>
      <c r="S38" s="50" t="s">
        <v>540</v>
      </c>
      <c r="T38" s="50" t="s">
        <v>540</v>
      </c>
      <c r="U38" s="50">
        <v>4166666.6666666665</v>
      </c>
      <c r="V38" s="50">
        <v>4166666.6666666665</v>
      </c>
      <c r="W38" s="50">
        <v>4166666.6666666665</v>
      </c>
      <c r="X38" s="50">
        <v>4166666.6666666665</v>
      </c>
      <c r="Y38" s="50">
        <v>4166666.6666666665</v>
      </c>
      <c r="Z38" s="50">
        <v>4166666.6666666665</v>
      </c>
      <c r="AA38" s="50">
        <v>4166666.6666666665</v>
      </c>
      <c r="AB38" s="50">
        <v>4166666.6666666665</v>
      </c>
      <c r="AC38" s="50">
        <v>4166666.6666666665</v>
      </c>
      <c r="AD38" s="68">
        <f t="shared" si="2"/>
        <v>0</v>
      </c>
      <c r="AE38" s="69">
        <f t="shared" si="3"/>
        <v>37500000</v>
      </c>
      <c r="AF38" s="70">
        <v>49999999.999999993</v>
      </c>
      <c r="AG38" s="71">
        <v>49999999.999999993</v>
      </c>
      <c r="AH38" s="106" t="str">
        <f>VLOOKUP(D38,Sheet3!H:I,2,FALSE)</f>
        <v>B5500</v>
      </c>
      <c r="AI38" s="106"/>
      <c r="AJ38" s="106" t="str">
        <f>VLOOKUP(F38,Sheet3!H:I,2,FALSE)</f>
        <v>B5500</v>
      </c>
    </row>
    <row r="39" spans="1:36" s="74" customFormat="1" ht="15" customHeight="1">
      <c r="A39" s="112" t="s">
        <v>311</v>
      </c>
      <c r="B39" s="45" t="s">
        <v>357</v>
      </c>
      <c r="C39" s="110" t="str">
        <f t="shared" si="0"/>
        <v>B5500</v>
      </c>
      <c r="D39" s="111" t="s">
        <v>283</v>
      </c>
      <c r="E39" s="111" t="str">
        <f t="shared" si="1"/>
        <v>B5500</v>
      </c>
      <c r="F39" s="111" t="s">
        <v>283</v>
      </c>
      <c r="G39" s="112">
        <v>7611300</v>
      </c>
      <c r="H39" s="113" t="s">
        <v>69</v>
      </c>
      <c r="I39" s="46" t="s">
        <v>387</v>
      </c>
      <c r="J39" s="46" t="str">
        <f>VLOOKUP(E39,Sheet3!I:K,3,FALSE)</f>
        <v>IND</v>
      </c>
      <c r="K39" s="46" t="str">
        <f>VLOOKUP(E39,Sheet3!I:K,2,FALSE)</f>
        <v>MFG</v>
      </c>
      <c r="L39" s="46"/>
      <c r="M39" s="50" t="s">
        <v>540</v>
      </c>
      <c r="N39" s="50" t="s">
        <v>540</v>
      </c>
      <c r="O39" s="50" t="s">
        <v>540</v>
      </c>
      <c r="P39" s="50" t="s">
        <v>540</v>
      </c>
      <c r="Q39" s="50" t="s">
        <v>540</v>
      </c>
      <c r="R39" s="50" t="s">
        <v>540</v>
      </c>
      <c r="S39" s="50" t="s">
        <v>540</v>
      </c>
      <c r="T39" s="50" t="s">
        <v>540</v>
      </c>
      <c r="U39" s="50">
        <v>833333.33333333337</v>
      </c>
      <c r="V39" s="50">
        <v>833333.33333333337</v>
      </c>
      <c r="W39" s="50">
        <v>833333.33333333337</v>
      </c>
      <c r="X39" s="50">
        <v>833333.33333333337</v>
      </c>
      <c r="Y39" s="50">
        <v>833333.33333333337</v>
      </c>
      <c r="Z39" s="50">
        <v>833333.33333333337</v>
      </c>
      <c r="AA39" s="50">
        <v>833333.33333333337</v>
      </c>
      <c r="AB39" s="50">
        <v>833333.33333333337</v>
      </c>
      <c r="AC39" s="50">
        <v>833333.33333333337</v>
      </c>
      <c r="AD39" s="68">
        <f t="shared" si="2"/>
        <v>0</v>
      </c>
      <c r="AE39" s="69">
        <f t="shared" si="3"/>
        <v>7499999.9999999991</v>
      </c>
      <c r="AF39" s="70">
        <v>10000000</v>
      </c>
      <c r="AG39" s="71">
        <v>10000000</v>
      </c>
      <c r="AH39" s="106" t="str">
        <f>VLOOKUP(D39,Sheet3!H:I,2,FALSE)</f>
        <v>B5500</v>
      </c>
      <c r="AI39" s="106"/>
      <c r="AJ39" s="106" t="str">
        <f>VLOOKUP(F39,Sheet3!H:I,2,FALSE)</f>
        <v>B5500</v>
      </c>
    </row>
    <row r="40" spans="1:36" s="74" customFormat="1" ht="15" customHeight="1">
      <c r="A40" s="112" t="s">
        <v>311</v>
      </c>
      <c r="B40" s="45" t="s">
        <v>358</v>
      </c>
      <c r="C40" s="110" t="str">
        <f t="shared" si="0"/>
        <v>B5500</v>
      </c>
      <c r="D40" s="111" t="s">
        <v>283</v>
      </c>
      <c r="E40" s="111" t="str">
        <f t="shared" si="1"/>
        <v>B2230</v>
      </c>
      <c r="F40" s="111" t="s">
        <v>225</v>
      </c>
      <c r="G40" s="112">
        <v>7611300</v>
      </c>
      <c r="H40" s="113" t="s">
        <v>69</v>
      </c>
      <c r="I40" s="46" t="s">
        <v>388</v>
      </c>
      <c r="J40" s="46" t="str">
        <f>VLOOKUP(E40,Sheet3!I:K,3,FALSE)</f>
        <v>ADM</v>
      </c>
      <c r="K40" s="46" t="str">
        <f>VLOOKUP(E40,Sheet3!I:K,2,FALSE)</f>
        <v>SGA</v>
      </c>
      <c r="L40" s="46"/>
      <c r="M40" s="50" t="s">
        <v>540</v>
      </c>
      <c r="N40" s="50" t="s">
        <v>540</v>
      </c>
      <c r="O40" s="50" t="s">
        <v>540</v>
      </c>
      <c r="P40" s="50" t="s">
        <v>540</v>
      </c>
      <c r="Q40" s="50" t="s">
        <v>540</v>
      </c>
      <c r="R40" s="50" t="s">
        <v>540</v>
      </c>
      <c r="S40" s="50" t="s">
        <v>540</v>
      </c>
      <c r="T40" s="50" t="s">
        <v>540</v>
      </c>
      <c r="U40" s="50">
        <v>13333333.333333334</v>
      </c>
      <c r="V40" s="50">
        <v>13333333.333333334</v>
      </c>
      <c r="W40" s="50">
        <v>13333333.333333334</v>
      </c>
      <c r="X40" s="50">
        <v>13333333.333333334</v>
      </c>
      <c r="Y40" s="50">
        <v>13333333.333333334</v>
      </c>
      <c r="Z40" s="50">
        <v>13333333.333333334</v>
      </c>
      <c r="AA40" s="50">
        <v>13333333.333333334</v>
      </c>
      <c r="AB40" s="50">
        <v>13333333.333333334</v>
      </c>
      <c r="AC40" s="50">
        <v>13333333.333333334</v>
      </c>
      <c r="AD40" s="68">
        <f t="shared" si="2"/>
        <v>0</v>
      </c>
      <c r="AE40" s="69">
        <f t="shared" si="3"/>
        <v>119999999.99999999</v>
      </c>
      <c r="AF40" s="70">
        <v>160000000</v>
      </c>
      <c r="AG40" s="71">
        <v>160000000</v>
      </c>
      <c r="AH40" s="106" t="str">
        <f>VLOOKUP(D40,Sheet3!H:I,2,FALSE)</f>
        <v>B5500</v>
      </c>
      <c r="AI40" s="106"/>
      <c r="AJ40" s="106" t="str">
        <f>VLOOKUP(F40,Sheet3!H:I,2,FALSE)</f>
        <v>B2230</v>
      </c>
    </row>
    <row r="41" spans="1:36" s="74" customFormat="1" ht="15" customHeight="1">
      <c r="A41" s="112" t="s">
        <v>311</v>
      </c>
      <c r="B41" s="45" t="s">
        <v>359</v>
      </c>
      <c r="C41" s="110" t="str">
        <f t="shared" si="0"/>
        <v>B5500</v>
      </c>
      <c r="D41" s="111" t="s">
        <v>283</v>
      </c>
      <c r="E41" s="111" t="str">
        <f t="shared" si="1"/>
        <v>B2230</v>
      </c>
      <c r="F41" s="111" t="s">
        <v>225</v>
      </c>
      <c r="G41" s="112">
        <v>7611300</v>
      </c>
      <c r="H41" s="113" t="s">
        <v>69</v>
      </c>
      <c r="I41" s="46" t="s">
        <v>566</v>
      </c>
      <c r="J41" s="46" t="str">
        <f>VLOOKUP(E41,Sheet3!I:K,3,FALSE)</f>
        <v>ADM</v>
      </c>
      <c r="K41" s="46" t="str">
        <f>VLOOKUP(E41,Sheet3!I:K,2,FALSE)</f>
        <v>SGA</v>
      </c>
      <c r="L41" s="46"/>
      <c r="M41" s="50" t="s">
        <v>540</v>
      </c>
      <c r="N41" s="50" t="s">
        <v>540</v>
      </c>
      <c r="O41" s="50" t="s">
        <v>540</v>
      </c>
      <c r="P41" s="50" t="s">
        <v>540</v>
      </c>
      <c r="Q41" s="50" t="s">
        <v>540</v>
      </c>
      <c r="R41" s="50" t="s">
        <v>540</v>
      </c>
      <c r="S41" s="50" t="s">
        <v>540</v>
      </c>
      <c r="T41" s="50" t="s">
        <v>540</v>
      </c>
      <c r="U41" s="50">
        <v>44166666.666666664</v>
      </c>
      <c r="V41" s="50">
        <v>44166666.666666664</v>
      </c>
      <c r="W41" s="50">
        <v>44166666.666666664</v>
      </c>
      <c r="X41" s="50">
        <v>44166666.666666664</v>
      </c>
      <c r="Y41" s="50">
        <v>44166666.666666664</v>
      </c>
      <c r="Z41" s="50">
        <v>44166666.666666664</v>
      </c>
      <c r="AA41" s="50">
        <v>44166666.666666664</v>
      </c>
      <c r="AB41" s="50">
        <v>44166666.666666664</v>
      </c>
      <c r="AC41" s="50">
        <v>44166666.666666664</v>
      </c>
      <c r="AD41" s="68">
        <f t="shared" si="2"/>
        <v>0</v>
      </c>
      <c r="AE41" s="69">
        <f t="shared" si="3"/>
        <v>397500000</v>
      </c>
      <c r="AF41" s="70">
        <v>530000000.00000006</v>
      </c>
      <c r="AG41" s="71">
        <v>530000000.00000006</v>
      </c>
      <c r="AH41" s="106" t="str">
        <f>VLOOKUP(D41,Sheet3!H:I,2,FALSE)</f>
        <v>B5500</v>
      </c>
      <c r="AI41" s="106"/>
      <c r="AJ41" s="106" t="str">
        <f>VLOOKUP(F41,Sheet3!H:I,2,FALSE)</f>
        <v>B2230</v>
      </c>
    </row>
    <row r="42" spans="1:36" s="74" customFormat="1" ht="15" customHeight="1">
      <c r="A42" s="112" t="s">
        <v>310</v>
      </c>
      <c r="B42" s="45" t="s">
        <v>360</v>
      </c>
      <c r="C42" s="110" t="str">
        <f t="shared" si="0"/>
        <v>B5500</v>
      </c>
      <c r="D42" s="111" t="s">
        <v>283</v>
      </c>
      <c r="E42" s="111" t="str">
        <f t="shared" si="1"/>
        <v>B2230</v>
      </c>
      <c r="F42" s="111" t="s">
        <v>225</v>
      </c>
      <c r="G42" s="112">
        <v>7611300</v>
      </c>
      <c r="H42" s="113" t="s">
        <v>69</v>
      </c>
      <c r="I42" s="46" t="s">
        <v>567</v>
      </c>
      <c r="J42" s="46" t="str">
        <f>VLOOKUP(E42,Sheet3!I:K,3,FALSE)</f>
        <v>ADM</v>
      </c>
      <c r="K42" s="46" t="str">
        <f>VLOOKUP(E42,Sheet3!I:K,2,FALSE)</f>
        <v>SGA</v>
      </c>
      <c r="L42" s="46"/>
      <c r="M42" s="50" t="s">
        <v>540</v>
      </c>
      <c r="N42" s="50" t="s">
        <v>540</v>
      </c>
      <c r="O42" s="50" t="s">
        <v>540</v>
      </c>
      <c r="P42" s="50" t="s">
        <v>540</v>
      </c>
      <c r="Q42" s="50" t="s">
        <v>540</v>
      </c>
      <c r="R42" s="50" t="s">
        <v>540</v>
      </c>
      <c r="S42" s="50" t="s">
        <v>540</v>
      </c>
      <c r="T42" s="50" t="s">
        <v>540</v>
      </c>
      <c r="U42" s="50" t="s">
        <v>540</v>
      </c>
      <c r="V42" s="50" t="s">
        <v>540</v>
      </c>
      <c r="W42" s="50" t="s">
        <v>540</v>
      </c>
      <c r="X42" s="50">
        <v>5027500</v>
      </c>
      <c r="Y42" s="50">
        <v>5027500</v>
      </c>
      <c r="Z42" s="50">
        <v>5027500</v>
      </c>
      <c r="AA42" s="50">
        <v>5027500</v>
      </c>
      <c r="AB42" s="50">
        <v>5027500</v>
      </c>
      <c r="AC42" s="50">
        <v>5027500</v>
      </c>
      <c r="AD42" s="68">
        <f t="shared" si="2"/>
        <v>0</v>
      </c>
      <c r="AE42" s="69">
        <f t="shared" si="3"/>
        <v>30165000</v>
      </c>
      <c r="AF42" s="70">
        <v>60330000</v>
      </c>
      <c r="AG42" s="71">
        <v>60330000</v>
      </c>
      <c r="AH42" s="106" t="str">
        <f>VLOOKUP(D42,Sheet3!H:I,2,FALSE)</f>
        <v>B5500</v>
      </c>
      <c r="AI42" s="106"/>
      <c r="AJ42" s="106" t="str">
        <f>VLOOKUP(F42,Sheet3!H:I,2,FALSE)</f>
        <v>B2230</v>
      </c>
    </row>
    <row r="43" spans="1:36" s="74" customFormat="1" ht="15" customHeight="1">
      <c r="A43" s="112" t="s">
        <v>310</v>
      </c>
      <c r="B43" s="45" t="s">
        <v>361</v>
      </c>
      <c r="C43" s="110" t="str">
        <f t="shared" si="0"/>
        <v>B5500</v>
      </c>
      <c r="D43" s="111" t="s">
        <v>283</v>
      </c>
      <c r="E43" s="111" t="str">
        <f t="shared" si="1"/>
        <v>B5710</v>
      </c>
      <c r="F43" s="111" t="s">
        <v>291</v>
      </c>
      <c r="G43" s="112">
        <v>7611100</v>
      </c>
      <c r="H43" s="113" t="s">
        <v>66</v>
      </c>
      <c r="I43" s="46" t="s">
        <v>389</v>
      </c>
      <c r="J43" s="46" t="str">
        <f>VLOOKUP(E43,Sheet3!I:K,3,FALSE)</f>
        <v>IND</v>
      </c>
      <c r="K43" s="46" t="str">
        <f>VLOOKUP(E43,Sheet3!I:K,2,FALSE)</f>
        <v>MFG</v>
      </c>
      <c r="L43" s="46"/>
      <c r="M43" s="50" t="s">
        <v>540</v>
      </c>
      <c r="N43" s="50" t="s">
        <v>540</v>
      </c>
      <c r="O43" s="50" t="s">
        <v>540</v>
      </c>
      <c r="P43" s="50" t="s">
        <v>540</v>
      </c>
      <c r="Q43" s="50" t="s">
        <v>540</v>
      </c>
      <c r="R43" s="50" t="s">
        <v>540</v>
      </c>
      <c r="S43" s="50" t="s">
        <v>540</v>
      </c>
      <c r="T43" s="50" t="s">
        <v>540</v>
      </c>
      <c r="U43" s="50" t="s">
        <v>540</v>
      </c>
      <c r="V43" s="50" t="s">
        <v>540</v>
      </c>
      <c r="W43" s="50" t="s">
        <v>540</v>
      </c>
      <c r="X43" s="50">
        <v>1041666.6666666666</v>
      </c>
      <c r="Y43" s="50">
        <v>1041666.6666666666</v>
      </c>
      <c r="Z43" s="50">
        <v>1041666.6666666666</v>
      </c>
      <c r="AA43" s="50">
        <v>1041666.6666666666</v>
      </c>
      <c r="AB43" s="50">
        <v>1041666.6666666666</v>
      </c>
      <c r="AC43" s="50">
        <v>1041666.6666666666</v>
      </c>
      <c r="AD43" s="68">
        <f t="shared" si="2"/>
        <v>0</v>
      </c>
      <c r="AE43" s="69">
        <f t="shared" si="3"/>
        <v>6250000</v>
      </c>
      <c r="AF43" s="70">
        <v>12499999.999999998</v>
      </c>
      <c r="AG43" s="71">
        <v>12499999.999999998</v>
      </c>
      <c r="AH43" s="106" t="str">
        <f>VLOOKUP(D43,Sheet3!H:I,2,FALSE)</f>
        <v>B5500</v>
      </c>
      <c r="AI43" s="106"/>
      <c r="AJ43" s="106" t="str">
        <f>VLOOKUP(F43,Sheet3!H:I,2,FALSE)</f>
        <v>B5710</v>
      </c>
    </row>
    <row r="44" spans="1:36" s="74" customFormat="1" ht="15" customHeight="1">
      <c r="A44" s="112" t="s">
        <v>310</v>
      </c>
      <c r="B44" s="45" t="s">
        <v>361</v>
      </c>
      <c r="C44" s="110" t="str">
        <f t="shared" si="0"/>
        <v>B5500</v>
      </c>
      <c r="D44" s="111" t="s">
        <v>283</v>
      </c>
      <c r="E44" s="111" t="str">
        <f t="shared" si="1"/>
        <v>B4105</v>
      </c>
      <c r="F44" s="111" t="s">
        <v>248</v>
      </c>
      <c r="G44" s="112">
        <v>7611100</v>
      </c>
      <c r="H44" s="113" t="s">
        <v>66</v>
      </c>
      <c r="I44" s="46" t="s">
        <v>389</v>
      </c>
      <c r="J44" s="46" t="str">
        <f>VLOOKUP(E44,Sheet3!I:K,3,FALSE)</f>
        <v>DIR</v>
      </c>
      <c r="K44" s="46" t="str">
        <f>VLOOKUP(E44,Sheet3!I:K,2,FALSE)</f>
        <v>MFG</v>
      </c>
      <c r="L44" s="46"/>
      <c r="M44" s="50" t="s">
        <v>540</v>
      </c>
      <c r="N44" s="50" t="s">
        <v>540</v>
      </c>
      <c r="O44" s="50" t="s">
        <v>540</v>
      </c>
      <c r="P44" s="50" t="s">
        <v>540</v>
      </c>
      <c r="Q44" s="50" t="s">
        <v>540</v>
      </c>
      <c r="R44" s="50" t="s">
        <v>540</v>
      </c>
      <c r="S44" s="50" t="s">
        <v>540</v>
      </c>
      <c r="T44" s="50" t="s">
        <v>540</v>
      </c>
      <c r="U44" s="50" t="s">
        <v>540</v>
      </c>
      <c r="V44" s="50" t="s">
        <v>540</v>
      </c>
      <c r="W44" s="50" t="s">
        <v>540</v>
      </c>
      <c r="X44" s="50">
        <v>1041666.6666666666</v>
      </c>
      <c r="Y44" s="50">
        <v>1041666.6666666666</v>
      </c>
      <c r="Z44" s="50">
        <v>1041666.6666666666</v>
      </c>
      <c r="AA44" s="50">
        <v>1041666.6666666666</v>
      </c>
      <c r="AB44" s="50">
        <v>1041666.6666666666</v>
      </c>
      <c r="AC44" s="50">
        <v>1041666.6666666666</v>
      </c>
      <c r="AD44" s="68">
        <f t="shared" si="2"/>
        <v>0</v>
      </c>
      <c r="AE44" s="69">
        <f t="shared" si="3"/>
        <v>6250000</v>
      </c>
      <c r="AF44" s="70">
        <v>12499999.999999998</v>
      </c>
      <c r="AG44" s="71">
        <v>12499999.999999998</v>
      </c>
      <c r="AH44" s="106" t="str">
        <f>VLOOKUP(D44,Sheet3!H:I,2,FALSE)</f>
        <v>B5500</v>
      </c>
      <c r="AI44" s="106"/>
      <c r="AJ44" s="106" t="str">
        <f>VLOOKUP(F44,Sheet3!H:I,2,FALSE)</f>
        <v>B4105</v>
      </c>
    </row>
    <row r="45" spans="1:36" s="74" customFormat="1" ht="15" customHeight="1">
      <c r="A45" s="112" t="s">
        <v>310</v>
      </c>
      <c r="B45" s="45" t="s">
        <v>362</v>
      </c>
      <c r="C45" s="110" t="str">
        <f t="shared" si="0"/>
        <v>B5500</v>
      </c>
      <c r="D45" s="111" t="s">
        <v>283</v>
      </c>
      <c r="E45" s="111" t="str">
        <f t="shared" si="1"/>
        <v>B5500</v>
      </c>
      <c r="F45" s="111" t="s">
        <v>283</v>
      </c>
      <c r="G45" s="112">
        <v>7611300</v>
      </c>
      <c r="H45" s="113" t="s">
        <v>69</v>
      </c>
      <c r="I45" s="46" t="s">
        <v>390</v>
      </c>
      <c r="J45" s="46" t="str">
        <f>VLOOKUP(E45,Sheet3!I:K,3,FALSE)</f>
        <v>IND</v>
      </c>
      <c r="K45" s="46" t="str">
        <f>VLOOKUP(E45,Sheet3!I:K,2,FALSE)</f>
        <v>MFG</v>
      </c>
      <c r="L45" s="46"/>
      <c r="M45" s="50" t="s">
        <v>540</v>
      </c>
      <c r="N45" s="50" t="s">
        <v>540</v>
      </c>
      <c r="O45" s="50" t="s">
        <v>540</v>
      </c>
      <c r="P45" s="50" t="s">
        <v>540</v>
      </c>
      <c r="Q45" s="50" t="s">
        <v>540</v>
      </c>
      <c r="R45" s="50" t="s">
        <v>540</v>
      </c>
      <c r="S45" s="50" t="s">
        <v>540</v>
      </c>
      <c r="T45" s="50" t="s">
        <v>540</v>
      </c>
      <c r="U45" s="50" t="s">
        <v>540</v>
      </c>
      <c r="V45" s="50" t="s">
        <v>540</v>
      </c>
      <c r="W45" s="50" t="s">
        <v>540</v>
      </c>
      <c r="X45" s="50" t="s">
        <v>540</v>
      </c>
      <c r="Y45" s="50" t="s">
        <v>540</v>
      </c>
      <c r="Z45" s="50">
        <v>4166666.6666666665</v>
      </c>
      <c r="AA45" s="50">
        <v>4166666.6666666665</v>
      </c>
      <c r="AB45" s="50">
        <v>4166666.6666666665</v>
      </c>
      <c r="AC45" s="50">
        <v>4166666.6666666665</v>
      </c>
      <c r="AD45" s="68">
        <f t="shared" si="2"/>
        <v>0</v>
      </c>
      <c r="AE45" s="69">
        <f t="shared" si="3"/>
        <v>16666666.666666666</v>
      </c>
      <c r="AF45" s="70">
        <v>49999999.999999993</v>
      </c>
      <c r="AG45" s="71">
        <v>49999999.999999993</v>
      </c>
      <c r="AH45" s="106" t="str">
        <f>VLOOKUP(D45,Sheet3!H:I,2,FALSE)</f>
        <v>B5500</v>
      </c>
      <c r="AI45" s="106"/>
      <c r="AJ45" s="106" t="str">
        <f>VLOOKUP(F45,Sheet3!H:I,2,FALSE)</f>
        <v>B5500</v>
      </c>
    </row>
    <row r="46" spans="1:36" s="74" customFormat="1" ht="15" customHeight="1">
      <c r="A46" s="112" t="s">
        <v>310</v>
      </c>
      <c r="B46" s="45" t="s">
        <v>363</v>
      </c>
      <c r="C46" s="110" t="str">
        <f t="shared" si="0"/>
        <v>B5500</v>
      </c>
      <c r="D46" s="111" t="s">
        <v>283</v>
      </c>
      <c r="E46" s="111" t="str">
        <f t="shared" si="1"/>
        <v>B5500</v>
      </c>
      <c r="F46" s="111" t="s">
        <v>283</v>
      </c>
      <c r="G46" s="112">
        <v>7611300</v>
      </c>
      <c r="H46" s="113" t="s">
        <v>69</v>
      </c>
      <c r="I46" s="46" t="s">
        <v>391</v>
      </c>
      <c r="J46" s="46" t="str">
        <f>VLOOKUP(E46,Sheet3!I:K,3,FALSE)</f>
        <v>IND</v>
      </c>
      <c r="K46" s="46" t="str">
        <f>VLOOKUP(E46,Sheet3!I:K,2,FALSE)</f>
        <v>MFG</v>
      </c>
      <c r="L46" s="46"/>
      <c r="M46" s="50" t="s">
        <v>540</v>
      </c>
      <c r="N46" s="50" t="s">
        <v>540</v>
      </c>
      <c r="O46" s="50" t="s">
        <v>540</v>
      </c>
      <c r="P46" s="50" t="s">
        <v>540</v>
      </c>
      <c r="Q46" s="50" t="s">
        <v>540</v>
      </c>
      <c r="R46" s="50" t="s">
        <v>540</v>
      </c>
      <c r="S46" s="50" t="s">
        <v>540</v>
      </c>
      <c r="T46" s="50" t="s">
        <v>540</v>
      </c>
      <c r="U46" s="50" t="s">
        <v>540</v>
      </c>
      <c r="V46" s="50" t="s">
        <v>540</v>
      </c>
      <c r="W46" s="50" t="s">
        <v>540</v>
      </c>
      <c r="X46" s="50" t="s">
        <v>540</v>
      </c>
      <c r="Y46" s="50" t="s">
        <v>540</v>
      </c>
      <c r="Z46" s="50">
        <v>833333.33333333337</v>
      </c>
      <c r="AA46" s="50">
        <v>833333.33333333337</v>
      </c>
      <c r="AB46" s="50">
        <v>833333.33333333337</v>
      </c>
      <c r="AC46" s="50">
        <v>833333.33333333337</v>
      </c>
      <c r="AD46" s="68">
        <f t="shared" si="2"/>
        <v>0</v>
      </c>
      <c r="AE46" s="69">
        <f t="shared" si="3"/>
        <v>3333333.3333333335</v>
      </c>
      <c r="AF46" s="70">
        <v>10000000</v>
      </c>
      <c r="AG46" s="71">
        <v>10000000</v>
      </c>
      <c r="AH46" s="106" t="str">
        <f>VLOOKUP(D46,Sheet3!H:I,2,FALSE)</f>
        <v>B5500</v>
      </c>
      <c r="AI46" s="106"/>
      <c r="AJ46" s="106" t="str">
        <f>VLOOKUP(F46,Sheet3!H:I,2,FALSE)</f>
        <v>B5500</v>
      </c>
    </row>
    <row r="47" spans="1:36" s="74" customFormat="1" ht="15" customHeight="1">
      <c r="A47" s="112" t="s">
        <v>310</v>
      </c>
      <c r="B47" s="45" t="s">
        <v>364</v>
      </c>
      <c r="C47" s="110" t="str">
        <f t="shared" si="0"/>
        <v>B5500</v>
      </c>
      <c r="D47" s="111" t="s">
        <v>283</v>
      </c>
      <c r="E47" s="111" t="str">
        <f t="shared" si="1"/>
        <v>B3150</v>
      </c>
      <c r="F47" s="111" t="s">
        <v>293</v>
      </c>
      <c r="G47" s="112">
        <v>7611600</v>
      </c>
      <c r="H47" s="113" t="s">
        <v>73</v>
      </c>
      <c r="I47" s="46" t="s">
        <v>392</v>
      </c>
      <c r="J47" s="46" t="str">
        <f>VLOOKUP(E47,Sheet3!I:K,3,FALSE)</f>
        <v>ADM</v>
      </c>
      <c r="K47" s="46" t="str">
        <f>VLOOKUP(E47,Sheet3!I:K,2,FALSE)</f>
        <v>SGA</v>
      </c>
      <c r="L47" s="46"/>
      <c r="M47" s="50" t="s">
        <v>540</v>
      </c>
      <c r="N47" s="50" t="s">
        <v>540</v>
      </c>
      <c r="O47" s="50" t="s">
        <v>540</v>
      </c>
      <c r="P47" s="50" t="s">
        <v>540</v>
      </c>
      <c r="Q47" s="50" t="s">
        <v>540</v>
      </c>
      <c r="R47" s="50" t="s">
        <v>540</v>
      </c>
      <c r="S47" s="50" t="s">
        <v>540</v>
      </c>
      <c r="T47" s="50" t="s">
        <v>540</v>
      </c>
      <c r="U47" s="50" t="s">
        <v>540</v>
      </c>
      <c r="V47" s="50" t="s">
        <v>540</v>
      </c>
      <c r="W47" s="50" t="s">
        <v>540</v>
      </c>
      <c r="X47" s="50" t="s">
        <v>540</v>
      </c>
      <c r="Y47" s="50" t="s">
        <v>540</v>
      </c>
      <c r="Z47" s="50" t="s">
        <v>540</v>
      </c>
      <c r="AA47" s="50" t="s">
        <v>540</v>
      </c>
      <c r="AB47" s="50" t="s">
        <v>540</v>
      </c>
      <c r="AC47" s="50">
        <v>4583333.333333333</v>
      </c>
      <c r="AD47" s="68">
        <f t="shared" si="2"/>
        <v>0</v>
      </c>
      <c r="AE47" s="69">
        <f t="shared" si="3"/>
        <v>4583333.333333333</v>
      </c>
      <c r="AF47" s="70">
        <v>55000000.000000007</v>
      </c>
      <c r="AG47" s="71">
        <v>55000000.000000007</v>
      </c>
      <c r="AH47" s="106" t="str">
        <f>VLOOKUP(D47,Sheet3!H:I,2,FALSE)</f>
        <v>B5500</v>
      </c>
      <c r="AI47" s="106"/>
      <c r="AJ47" s="106" t="str">
        <f>VLOOKUP(F47,Sheet3!H:I,2,FALSE)</f>
        <v>B3150</v>
      </c>
    </row>
    <row r="48" spans="1:36" s="74" customFormat="1" ht="15" customHeight="1">
      <c r="A48" s="112" t="s">
        <v>310</v>
      </c>
      <c r="B48" s="45" t="s">
        <v>365</v>
      </c>
      <c r="C48" s="110" t="str">
        <f t="shared" si="0"/>
        <v>B5500</v>
      </c>
      <c r="D48" s="111" t="s">
        <v>283</v>
      </c>
      <c r="E48" s="111" t="str">
        <f t="shared" si="1"/>
        <v>B2210</v>
      </c>
      <c r="F48" s="111" t="s">
        <v>219</v>
      </c>
      <c r="G48" s="112">
        <v>7611600</v>
      </c>
      <c r="H48" s="113" t="s">
        <v>73</v>
      </c>
      <c r="I48" s="46" t="s">
        <v>393</v>
      </c>
      <c r="J48" s="46" t="str">
        <f>VLOOKUP(E48,Sheet3!I:K,3,FALSE)</f>
        <v>ADM</v>
      </c>
      <c r="K48" s="46" t="str">
        <f>VLOOKUP(E48,Sheet3!I:K,2,FALSE)</f>
        <v>SGA</v>
      </c>
      <c r="L48" s="46"/>
      <c r="M48" s="50" t="s">
        <v>540</v>
      </c>
      <c r="N48" s="50" t="s">
        <v>540</v>
      </c>
      <c r="O48" s="50" t="s">
        <v>540</v>
      </c>
      <c r="P48" s="50" t="s">
        <v>540</v>
      </c>
      <c r="Q48" s="50" t="s">
        <v>540</v>
      </c>
      <c r="R48" s="50" t="s">
        <v>540</v>
      </c>
      <c r="S48" s="50" t="s">
        <v>540</v>
      </c>
      <c r="T48" s="50" t="s">
        <v>540</v>
      </c>
      <c r="U48" s="50" t="s">
        <v>540</v>
      </c>
      <c r="V48" s="50" t="s">
        <v>540</v>
      </c>
      <c r="W48" s="50" t="s">
        <v>540</v>
      </c>
      <c r="X48" s="50" t="s">
        <v>540</v>
      </c>
      <c r="Y48" s="50" t="s">
        <v>540</v>
      </c>
      <c r="Z48" s="50" t="s">
        <v>540</v>
      </c>
      <c r="AA48" s="50" t="s">
        <v>540</v>
      </c>
      <c r="AB48" s="50" t="s">
        <v>540</v>
      </c>
      <c r="AC48" s="50">
        <v>3416666.6666666665</v>
      </c>
      <c r="AD48" s="68">
        <f t="shared" si="2"/>
        <v>0</v>
      </c>
      <c r="AE48" s="69">
        <f t="shared" si="3"/>
        <v>3416666.6666666665</v>
      </c>
      <c r="AF48" s="70">
        <v>41000000</v>
      </c>
      <c r="AG48" s="71">
        <v>41000000</v>
      </c>
      <c r="AH48" s="106" t="str">
        <f>VLOOKUP(D48,Sheet3!H:I,2,FALSE)</f>
        <v>B5500</v>
      </c>
      <c r="AI48" s="106"/>
      <c r="AJ48" s="106" t="str">
        <f>VLOOKUP(F48,Sheet3!H:I,2,FALSE)</f>
        <v>B2210</v>
      </c>
    </row>
    <row r="49" spans="1:36" s="74" customFormat="1" ht="15" customHeight="1">
      <c r="A49" s="112" t="s">
        <v>310</v>
      </c>
      <c r="B49" s="45" t="s">
        <v>366</v>
      </c>
      <c r="C49" s="110" t="str">
        <f t="shared" si="0"/>
        <v>B5500</v>
      </c>
      <c r="D49" s="111" t="s">
        <v>283</v>
      </c>
      <c r="E49" s="111" t="str">
        <f t="shared" si="1"/>
        <v>B5500</v>
      </c>
      <c r="F49" s="111" t="s">
        <v>283</v>
      </c>
      <c r="G49" s="112">
        <v>7611600</v>
      </c>
      <c r="H49" s="113" t="s">
        <v>73</v>
      </c>
      <c r="I49" s="46" t="s">
        <v>394</v>
      </c>
      <c r="J49" s="46" t="str">
        <f>VLOOKUP(E49,Sheet3!I:K,3,FALSE)</f>
        <v>IND</v>
      </c>
      <c r="K49" s="46" t="str">
        <f>VLOOKUP(E49,Sheet3!I:K,2,FALSE)</f>
        <v>MFG</v>
      </c>
      <c r="L49" s="46"/>
      <c r="M49" s="50" t="s">
        <v>540</v>
      </c>
      <c r="N49" s="50" t="s">
        <v>540</v>
      </c>
      <c r="O49" s="50" t="s">
        <v>540</v>
      </c>
      <c r="P49" s="50" t="s">
        <v>540</v>
      </c>
      <c r="Q49" s="50" t="s">
        <v>540</v>
      </c>
      <c r="R49" s="50" t="s">
        <v>540</v>
      </c>
      <c r="S49" s="50" t="s">
        <v>540</v>
      </c>
      <c r="T49" s="50" t="s">
        <v>540</v>
      </c>
      <c r="U49" s="50" t="s">
        <v>540</v>
      </c>
      <c r="V49" s="50" t="s">
        <v>540</v>
      </c>
      <c r="W49" s="50" t="s">
        <v>540</v>
      </c>
      <c r="X49" s="50" t="s">
        <v>540</v>
      </c>
      <c r="Y49" s="50" t="s">
        <v>540</v>
      </c>
      <c r="Z49" s="50" t="s">
        <v>540</v>
      </c>
      <c r="AA49" s="50" t="s">
        <v>540</v>
      </c>
      <c r="AB49" s="50" t="s">
        <v>540</v>
      </c>
      <c r="AC49" s="50" t="s">
        <v>540</v>
      </c>
      <c r="AD49" s="68">
        <f t="shared" si="2"/>
        <v>0</v>
      </c>
      <c r="AE49" s="69">
        <f t="shared" si="3"/>
        <v>0</v>
      </c>
      <c r="AF49" s="70">
        <v>1500000</v>
      </c>
      <c r="AG49" s="71">
        <v>2000000.0000000002</v>
      </c>
      <c r="AH49" s="106" t="str">
        <f>VLOOKUP(D49,Sheet3!H:I,2,FALSE)</f>
        <v>B5500</v>
      </c>
      <c r="AI49" s="106"/>
      <c r="AJ49" s="106" t="str">
        <f>VLOOKUP(F49,Sheet3!H:I,2,FALSE)</f>
        <v>B5500</v>
      </c>
    </row>
    <row r="50" spans="1:36" s="74" customFormat="1" ht="15" customHeight="1">
      <c r="A50" s="112" t="s">
        <v>310</v>
      </c>
      <c r="B50" s="45" t="s">
        <v>367</v>
      </c>
      <c r="C50" s="110" t="str">
        <f t="shared" si="0"/>
        <v>B5500</v>
      </c>
      <c r="D50" s="111" t="s">
        <v>283</v>
      </c>
      <c r="E50" s="111" t="str">
        <f t="shared" si="1"/>
        <v>B5500</v>
      </c>
      <c r="F50" s="111" t="s">
        <v>283</v>
      </c>
      <c r="G50" s="112">
        <v>7611600</v>
      </c>
      <c r="H50" s="113" t="s">
        <v>73</v>
      </c>
      <c r="I50" s="46" t="s">
        <v>395</v>
      </c>
      <c r="J50" s="46" t="str">
        <f>VLOOKUP(E50,Sheet3!I:K,3,FALSE)</f>
        <v>IND</v>
      </c>
      <c r="K50" s="46" t="str">
        <f>VLOOKUP(E50,Sheet3!I:K,2,FALSE)</f>
        <v>MFG</v>
      </c>
      <c r="L50" s="46"/>
      <c r="M50" s="50" t="s">
        <v>540</v>
      </c>
      <c r="N50" s="50" t="s">
        <v>540</v>
      </c>
      <c r="O50" s="50" t="s">
        <v>540</v>
      </c>
      <c r="P50" s="50" t="s">
        <v>540</v>
      </c>
      <c r="Q50" s="50" t="s">
        <v>540</v>
      </c>
      <c r="R50" s="50" t="s">
        <v>540</v>
      </c>
      <c r="S50" s="50" t="s">
        <v>540</v>
      </c>
      <c r="T50" s="50" t="s">
        <v>540</v>
      </c>
      <c r="U50" s="50" t="s">
        <v>540</v>
      </c>
      <c r="V50" s="50" t="s">
        <v>540</v>
      </c>
      <c r="W50" s="50" t="s">
        <v>540</v>
      </c>
      <c r="X50" s="50" t="s">
        <v>540</v>
      </c>
      <c r="Y50" s="50" t="s">
        <v>540</v>
      </c>
      <c r="Z50" s="50" t="s">
        <v>540</v>
      </c>
      <c r="AA50" s="50" t="s">
        <v>540</v>
      </c>
      <c r="AB50" s="50" t="s">
        <v>540</v>
      </c>
      <c r="AC50" s="50" t="s">
        <v>540</v>
      </c>
      <c r="AD50" s="68">
        <f t="shared" si="2"/>
        <v>0</v>
      </c>
      <c r="AE50" s="69">
        <f t="shared" si="3"/>
        <v>0</v>
      </c>
      <c r="AF50" s="70">
        <v>1066666.6666666667</v>
      </c>
      <c r="AG50" s="71">
        <v>1599999.9999999998</v>
      </c>
      <c r="AH50" s="106" t="str">
        <f>VLOOKUP(D50,Sheet3!H:I,2,FALSE)</f>
        <v>B5500</v>
      </c>
      <c r="AI50" s="106"/>
      <c r="AJ50" s="106" t="str">
        <f>VLOOKUP(F50,Sheet3!H:I,2,FALSE)</f>
        <v>B5500</v>
      </c>
    </row>
    <row r="51" spans="1:36" s="74" customFormat="1" ht="15" customHeight="1">
      <c r="A51" s="112" t="s">
        <v>310</v>
      </c>
      <c r="B51" s="45" t="s">
        <v>368</v>
      </c>
      <c r="C51" s="110" t="str">
        <f t="shared" si="0"/>
        <v>B5500</v>
      </c>
      <c r="D51" s="111" t="s">
        <v>283</v>
      </c>
      <c r="E51" s="111" t="str">
        <f t="shared" si="1"/>
        <v>B2230</v>
      </c>
      <c r="F51" s="111" t="s">
        <v>225</v>
      </c>
      <c r="G51" s="112">
        <v>7611100</v>
      </c>
      <c r="H51" s="113" t="s">
        <v>66</v>
      </c>
      <c r="I51" s="46" t="s">
        <v>396</v>
      </c>
      <c r="J51" s="46" t="str">
        <f>VLOOKUP(E51,Sheet3!I:K,3,FALSE)</f>
        <v>ADM</v>
      </c>
      <c r="K51" s="46" t="str">
        <f>VLOOKUP(E51,Sheet3!I:K,2,FALSE)</f>
        <v>SGA</v>
      </c>
      <c r="L51" s="46"/>
      <c r="M51" s="50" t="s">
        <v>540</v>
      </c>
      <c r="N51" s="50" t="s">
        <v>540</v>
      </c>
      <c r="O51" s="50" t="s">
        <v>540</v>
      </c>
      <c r="P51" s="50" t="s">
        <v>540</v>
      </c>
      <c r="Q51" s="50" t="s">
        <v>540</v>
      </c>
      <c r="R51" s="50" t="s">
        <v>540</v>
      </c>
      <c r="S51" s="50" t="s">
        <v>540</v>
      </c>
      <c r="T51" s="50" t="s">
        <v>540</v>
      </c>
      <c r="U51" s="50" t="s">
        <v>540</v>
      </c>
      <c r="V51" s="50" t="s">
        <v>540</v>
      </c>
      <c r="W51" s="50" t="s">
        <v>540</v>
      </c>
      <c r="X51" s="50" t="s">
        <v>540</v>
      </c>
      <c r="Y51" s="50" t="s">
        <v>540</v>
      </c>
      <c r="Z51" s="50" t="s">
        <v>540</v>
      </c>
      <c r="AA51" s="50" t="s">
        <v>540</v>
      </c>
      <c r="AB51" s="50" t="s">
        <v>540</v>
      </c>
      <c r="AC51" s="50" t="s">
        <v>540</v>
      </c>
      <c r="AD51" s="68">
        <f t="shared" si="2"/>
        <v>0</v>
      </c>
      <c r="AE51" s="69">
        <f t="shared" si="3"/>
        <v>0</v>
      </c>
      <c r="AF51" s="70">
        <v>3333333.333333333</v>
      </c>
      <c r="AG51" s="71">
        <v>5000000</v>
      </c>
      <c r="AH51" s="106" t="str">
        <f>VLOOKUP(D51,Sheet3!H:I,2,FALSE)</f>
        <v>B5500</v>
      </c>
      <c r="AI51" s="106"/>
      <c r="AJ51" s="106" t="str">
        <f>VLOOKUP(F51,Sheet3!H:I,2,FALSE)</f>
        <v>B2230</v>
      </c>
    </row>
    <row r="52" spans="1:36" s="74" customFormat="1" ht="15" customHeight="1">
      <c r="A52" s="112" t="s">
        <v>310</v>
      </c>
      <c r="B52" s="45" t="s">
        <v>369</v>
      </c>
      <c r="C52" s="110" t="str">
        <f t="shared" si="0"/>
        <v>B5500</v>
      </c>
      <c r="D52" s="111" t="s">
        <v>283</v>
      </c>
      <c r="E52" s="111" t="str">
        <f t="shared" si="1"/>
        <v>B2210</v>
      </c>
      <c r="F52" s="111" t="s">
        <v>219</v>
      </c>
      <c r="G52" s="112">
        <v>7611100</v>
      </c>
      <c r="H52" s="113" t="s">
        <v>66</v>
      </c>
      <c r="I52" s="46" t="s">
        <v>397</v>
      </c>
      <c r="J52" s="46" t="str">
        <f>VLOOKUP(E52,Sheet3!I:K,3,FALSE)</f>
        <v>ADM</v>
      </c>
      <c r="K52" s="46" t="str">
        <f>VLOOKUP(E52,Sheet3!I:K,2,FALSE)</f>
        <v>SGA</v>
      </c>
      <c r="L52" s="46"/>
      <c r="M52" s="50" t="s">
        <v>540</v>
      </c>
      <c r="N52" s="50" t="s">
        <v>540</v>
      </c>
      <c r="O52" s="50" t="s">
        <v>540</v>
      </c>
      <c r="P52" s="50" t="s">
        <v>540</v>
      </c>
      <c r="Q52" s="50" t="s">
        <v>540</v>
      </c>
      <c r="R52" s="50" t="s">
        <v>540</v>
      </c>
      <c r="S52" s="50" t="s">
        <v>540</v>
      </c>
      <c r="T52" s="50" t="s">
        <v>540</v>
      </c>
      <c r="U52" s="50" t="s">
        <v>540</v>
      </c>
      <c r="V52" s="50" t="s">
        <v>540</v>
      </c>
      <c r="W52" s="50" t="s">
        <v>540</v>
      </c>
      <c r="X52" s="50" t="s">
        <v>540</v>
      </c>
      <c r="Y52" s="50" t="s">
        <v>540</v>
      </c>
      <c r="Z52" s="50" t="s">
        <v>540</v>
      </c>
      <c r="AA52" s="50" t="s">
        <v>540</v>
      </c>
      <c r="AB52" s="50" t="s">
        <v>540</v>
      </c>
      <c r="AC52" s="50" t="s">
        <v>540</v>
      </c>
      <c r="AD52" s="68">
        <f t="shared" si="2"/>
        <v>0</v>
      </c>
      <c r="AE52" s="69">
        <f t="shared" si="3"/>
        <v>0</v>
      </c>
      <c r="AF52" s="70">
        <v>10000000</v>
      </c>
      <c r="AG52" s="71">
        <v>30000000</v>
      </c>
      <c r="AH52" s="106" t="str">
        <f>VLOOKUP(D52,Sheet3!H:I,2,FALSE)</f>
        <v>B5500</v>
      </c>
      <c r="AI52" s="106"/>
      <c r="AJ52" s="106" t="str">
        <f>VLOOKUP(F52,Sheet3!H:I,2,FALSE)</f>
        <v>B2210</v>
      </c>
    </row>
    <row r="53" spans="1:36" s="74" customFormat="1" ht="15" customHeight="1">
      <c r="A53" s="112" t="s">
        <v>310</v>
      </c>
      <c r="B53" s="45" t="s">
        <v>370</v>
      </c>
      <c r="C53" s="110" t="str">
        <f t="shared" si="0"/>
        <v>B5500</v>
      </c>
      <c r="D53" s="111" t="s">
        <v>283</v>
      </c>
      <c r="E53" s="111" t="str">
        <f t="shared" si="1"/>
        <v>B2210</v>
      </c>
      <c r="F53" s="111" t="s">
        <v>219</v>
      </c>
      <c r="G53" s="112">
        <v>7611100</v>
      </c>
      <c r="H53" s="113" t="s">
        <v>66</v>
      </c>
      <c r="I53" s="46" t="s">
        <v>398</v>
      </c>
      <c r="J53" s="46" t="str">
        <f>VLOOKUP(E53,Sheet3!I:K,3,FALSE)</f>
        <v>ADM</v>
      </c>
      <c r="K53" s="46" t="str">
        <f>VLOOKUP(E53,Sheet3!I:K,2,FALSE)</f>
        <v>SGA</v>
      </c>
      <c r="L53" s="46"/>
      <c r="M53" s="50" t="s">
        <v>540</v>
      </c>
      <c r="N53" s="50" t="s">
        <v>540</v>
      </c>
      <c r="O53" s="50" t="s">
        <v>540</v>
      </c>
      <c r="P53" s="50" t="s">
        <v>540</v>
      </c>
      <c r="Q53" s="50" t="s">
        <v>540</v>
      </c>
      <c r="R53" s="50" t="s">
        <v>540</v>
      </c>
      <c r="S53" s="50" t="s">
        <v>540</v>
      </c>
      <c r="T53" s="50" t="s">
        <v>540</v>
      </c>
      <c r="U53" s="50" t="s">
        <v>540</v>
      </c>
      <c r="V53" s="50" t="s">
        <v>540</v>
      </c>
      <c r="W53" s="50" t="s">
        <v>540</v>
      </c>
      <c r="X53" s="50" t="s">
        <v>540</v>
      </c>
      <c r="Y53" s="50" t="s">
        <v>540</v>
      </c>
      <c r="Z53" s="50" t="s">
        <v>540</v>
      </c>
      <c r="AA53" s="50" t="s">
        <v>540</v>
      </c>
      <c r="AB53" s="50" t="s">
        <v>540</v>
      </c>
      <c r="AC53" s="50" t="s">
        <v>540</v>
      </c>
      <c r="AD53" s="68">
        <f t="shared" si="2"/>
        <v>0</v>
      </c>
      <c r="AE53" s="69">
        <f t="shared" si="3"/>
        <v>0</v>
      </c>
      <c r="AF53" s="70">
        <v>3012500</v>
      </c>
      <c r="AG53" s="71">
        <v>36150000</v>
      </c>
      <c r="AH53" s="106" t="str">
        <f>VLOOKUP(D53,Sheet3!H:I,2,FALSE)</f>
        <v>B5500</v>
      </c>
      <c r="AI53" s="106"/>
      <c r="AJ53" s="106" t="str">
        <f>VLOOKUP(F53,Sheet3!H:I,2,FALSE)</f>
        <v>B2210</v>
      </c>
    </row>
    <row r="54" spans="1:36" s="74" customFormat="1" ht="15" customHeight="1">
      <c r="A54" s="112" t="s">
        <v>310</v>
      </c>
      <c r="B54" s="45" t="s">
        <v>371</v>
      </c>
      <c r="C54" s="110" t="str">
        <f t="shared" si="0"/>
        <v>B5500</v>
      </c>
      <c r="D54" s="111" t="s">
        <v>283</v>
      </c>
      <c r="E54" s="111" t="str">
        <f t="shared" si="1"/>
        <v>B2230</v>
      </c>
      <c r="F54" s="111" t="s">
        <v>225</v>
      </c>
      <c r="G54" s="112">
        <v>7611600</v>
      </c>
      <c r="H54" s="113" t="s">
        <v>73</v>
      </c>
      <c r="I54" s="46" t="s">
        <v>399</v>
      </c>
      <c r="J54" s="46" t="str">
        <f>VLOOKUP(E54,Sheet3!I:K,3,FALSE)</f>
        <v>ADM</v>
      </c>
      <c r="K54" s="46" t="str">
        <f>VLOOKUP(E54,Sheet3!I:K,2,FALSE)</f>
        <v>SGA</v>
      </c>
      <c r="L54" s="46"/>
      <c r="M54" s="50" t="s">
        <v>540</v>
      </c>
      <c r="N54" s="50" t="s">
        <v>540</v>
      </c>
      <c r="O54" s="50" t="s">
        <v>540</v>
      </c>
      <c r="P54" s="50" t="s">
        <v>540</v>
      </c>
      <c r="Q54" s="50" t="s">
        <v>540</v>
      </c>
      <c r="R54" s="50" t="s">
        <v>540</v>
      </c>
      <c r="S54" s="50" t="s">
        <v>540</v>
      </c>
      <c r="T54" s="50" t="s">
        <v>540</v>
      </c>
      <c r="U54" s="50" t="s">
        <v>540</v>
      </c>
      <c r="V54" s="50" t="s">
        <v>540</v>
      </c>
      <c r="W54" s="50" t="s">
        <v>540</v>
      </c>
      <c r="X54" s="50" t="s">
        <v>540</v>
      </c>
      <c r="Y54" s="50" t="s">
        <v>540</v>
      </c>
      <c r="Z54" s="50" t="s">
        <v>540</v>
      </c>
      <c r="AA54" s="50" t="s">
        <v>540</v>
      </c>
      <c r="AB54" s="50" t="s">
        <v>540</v>
      </c>
      <c r="AC54" s="50" t="s">
        <v>540</v>
      </c>
      <c r="AD54" s="68">
        <f t="shared" si="2"/>
        <v>0</v>
      </c>
      <c r="AE54" s="69">
        <f t="shared" si="3"/>
        <v>0</v>
      </c>
      <c r="AF54" s="70">
        <v>0</v>
      </c>
      <c r="AG54" s="71">
        <v>2500000</v>
      </c>
      <c r="AH54" s="106" t="str">
        <f>VLOOKUP(D54,Sheet3!H:I,2,FALSE)</f>
        <v>B5500</v>
      </c>
      <c r="AI54" s="106"/>
      <c r="AJ54" s="106" t="str">
        <f>VLOOKUP(F54,Sheet3!H:I,2,FALSE)</f>
        <v>B2230</v>
      </c>
    </row>
    <row r="55" spans="1:36" ht="15" customHeight="1">
      <c r="A55" s="116" t="s">
        <v>310</v>
      </c>
      <c r="B55" s="114" t="s">
        <v>372</v>
      </c>
      <c r="C55" s="123" t="s">
        <v>284</v>
      </c>
      <c r="D55" s="124" t="s">
        <v>283</v>
      </c>
      <c r="E55" s="123" t="s">
        <v>284</v>
      </c>
      <c r="F55" s="124" t="s">
        <v>283</v>
      </c>
      <c r="G55" s="123">
        <v>7611300</v>
      </c>
      <c r="H55" s="124" t="s">
        <v>69</v>
      </c>
      <c r="I55" s="124" t="s">
        <v>570</v>
      </c>
      <c r="J55" s="120" t="s">
        <v>272</v>
      </c>
      <c r="K55" s="120" t="s">
        <v>176</v>
      </c>
      <c r="L55" s="120" t="s">
        <v>540</v>
      </c>
      <c r="M55" s="120" t="s">
        <v>540</v>
      </c>
      <c r="N55" s="120" t="s">
        <v>540</v>
      </c>
      <c r="O55" s="120"/>
      <c r="P55" s="120"/>
      <c r="Q55" s="120">
        <v>4583333.333333333</v>
      </c>
      <c r="R55" s="120">
        <v>4583333.333333333</v>
      </c>
      <c r="S55" s="120">
        <v>4583333.333333333</v>
      </c>
      <c r="T55" s="120">
        <v>4583333.333333333</v>
      </c>
      <c r="U55" s="120">
        <v>4583333.333333333</v>
      </c>
      <c r="V55" s="120">
        <v>4583333.333333333</v>
      </c>
      <c r="W55" s="120">
        <v>4583333.333333333</v>
      </c>
      <c r="X55" s="120">
        <v>4583333.333333333</v>
      </c>
      <c r="Y55" s="120">
        <v>4583333.333333333</v>
      </c>
      <c r="Z55" s="120">
        <v>4583333.333333333</v>
      </c>
      <c r="AA55" s="120">
        <v>4583333.333333333</v>
      </c>
      <c r="AB55" s="120">
        <v>4583333.333333333</v>
      </c>
      <c r="AC55" s="124">
        <v>4583333.333333333</v>
      </c>
      <c r="AD55" s="120">
        <f>SUM(M55:Q55)</f>
        <v>4583333.333333333</v>
      </c>
      <c r="AE55" s="120">
        <f>SUM(R55:AC55)</f>
        <v>55000000.000000007</v>
      </c>
      <c r="AF55" s="124">
        <v>55000000.000000007</v>
      </c>
      <c r="AG55" s="124">
        <v>55000000.000000007</v>
      </c>
      <c r="AH55" s="115" t="s">
        <v>284</v>
      </c>
      <c r="AI55" s="115"/>
      <c r="AJ55" s="115" t="s">
        <v>284</v>
      </c>
    </row>
    <row r="56" spans="1:36" s="74" customFormat="1" ht="15" customHeight="1">
      <c r="A56" s="112" t="s">
        <v>310</v>
      </c>
      <c r="B56" s="45" t="s">
        <v>308</v>
      </c>
      <c r="C56" s="110" t="str">
        <f t="shared" si="0"/>
        <v>B5600</v>
      </c>
      <c r="D56" s="111" t="s">
        <v>285</v>
      </c>
      <c r="E56" s="111" t="str">
        <f t="shared" si="1"/>
        <v>B5900</v>
      </c>
      <c r="F56" s="111" t="s">
        <v>281</v>
      </c>
      <c r="G56" s="112">
        <v>7611600</v>
      </c>
      <c r="H56" s="113" t="s">
        <v>73</v>
      </c>
      <c r="I56" s="46" t="s">
        <v>400</v>
      </c>
      <c r="J56" s="46" t="str">
        <f>VLOOKUP(E56,Sheet3!I:K,3,FALSE)</f>
        <v>IND</v>
      </c>
      <c r="K56" s="46" t="str">
        <f>VLOOKUP(E56,Sheet3!I:K,2,FALSE)</f>
        <v>MFG</v>
      </c>
      <c r="L56" s="46"/>
      <c r="M56" s="50" t="s">
        <v>540</v>
      </c>
      <c r="N56" s="50" t="s">
        <v>540</v>
      </c>
      <c r="O56" s="50" t="s">
        <v>540</v>
      </c>
      <c r="P56" s="50" t="s">
        <v>540</v>
      </c>
      <c r="Q56" s="50" t="s">
        <v>540</v>
      </c>
      <c r="R56" s="50" t="s">
        <v>540</v>
      </c>
      <c r="S56" s="50" t="s">
        <v>540</v>
      </c>
      <c r="T56" s="50" t="s">
        <v>540</v>
      </c>
      <c r="U56" s="50">
        <v>233333.33333333334</v>
      </c>
      <c r="V56" s="50">
        <v>233333.33333333334</v>
      </c>
      <c r="W56" s="50">
        <v>233333.33333333334</v>
      </c>
      <c r="X56" s="50">
        <v>233333.33333333334</v>
      </c>
      <c r="Y56" s="50">
        <v>233333.33333333334</v>
      </c>
      <c r="Z56" s="50">
        <v>233333.33333333334</v>
      </c>
      <c r="AA56" s="50">
        <v>233333.33333333334</v>
      </c>
      <c r="AB56" s="50">
        <v>233333.33333333334</v>
      </c>
      <c r="AC56" s="50">
        <v>233333.33333333334</v>
      </c>
      <c r="AD56" s="68">
        <f t="shared" si="2"/>
        <v>0</v>
      </c>
      <c r="AE56" s="69">
        <f t="shared" si="3"/>
        <v>2100000</v>
      </c>
      <c r="AF56" s="70">
        <v>2800000.0000000005</v>
      </c>
      <c r="AG56" s="71">
        <v>2800000.0000000005</v>
      </c>
      <c r="AH56" s="106" t="str">
        <f>VLOOKUP(D56,Sheet3!H:I,2,FALSE)</f>
        <v>B5600</v>
      </c>
      <c r="AI56" s="106"/>
      <c r="AJ56" s="106" t="str">
        <f>VLOOKUP(F56,Sheet3!H:I,2,FALSE)</f>
        <v>B5900</v>
      </c>
    </row>
    <row r="57" spans="1:36" s="74" customFormat="1" ht="15" customHeight="1">
      <c r="A57" s="112" t="s">
        <v>310</v>
      </c>
      <c r="B57" s="45" t="s">
        <v>326</v>
      </c>
      <c r="C57" s="110" t="str">
        <f t="shared" si="0"/>
        <v>B5600</v>
      </c>
      <c r="D57" s="111" t="s">
        <v>285</v>
      </c>
      <c r="E57" s="111" t="str">
        <f t="shared" si="1"/>
        <v>B5900</v>
      </c>
      <c r="F57" s="111" t="s">
        <v>281</v>
      </c>
      <c r="G57" s="112">
        <v>7611600</v>
      </c>
      <c r="H57" s="113" t="s">
        <v>73</v>
      </c>
      <c r="I57" s="46" t="s">
        <v>400</v>
      </c>
      <c r="J57" s="46" t="str">
        <f>VLOOKUP(E57,Sheet3!I:K,3,FALSE)</f>
        <v>IND</v>
      </c>
      <c r="K57" s="46" t="str">
        <f>VLOOKUP(E57,Sheet3!I:K,2,FALSE)</f>
        <v>MFG</v>
      </c>
      <c r="L57" s="46"/>
      <c r="M57" s="50" t="s">
        <v>540</v>
      </c>
      <c r="N57" s="50" t="s">
        <v>540</v>
      </c>
      <c r="O57" s="50" t="s">
        <v>540</v>
      </c>
      <c r="P57" s="50" t="s">
        <v>540</v>
      </c>
      <c r="Q57" s="50" t="s">
        <v>540</v>
      </c>
      <c r="R57" s="50" t="s">
        <v>540</v>
      </c>
      <c r="S57" s="50" t="s">
        <v>540</v>
      </c>
      <c r="T57" s="50" t="s">
        <v>540</v>
      </c>
      <c r="U57" s="50">
        <v>233333.33333333334</v>
      </c>
      <c r="V57" s="50">
        <v>233333.33333333334</v>
      </c>
      <c r="W57" s="50">
        <v>233333.33333333334</v>
      </c>
      <c r="X57" s="50">
        <v>233333.33333333334</v>
      </c>
      <c r="Y57" s="50">
        <v>233333.33333333334</v>
      </c>
      <c r="Z57" s="50">
        <v>233333.33333333334</v>
      </c>
      <c r="AA57" s="50">
        <v>233333.33333333334</v>
      </c>
      <c r="AB57" s="50">
        <v>233333.33333333334</v>
      </c>
      <c r="AC57" s="50">
        <v>233333.33333333334</v>
      </c>
      <c r="AD57" s="68">
        <f t="shared" si="2"/>
        <v>0</v>
      </c>
      <c r="AE57" s="69">
        <f t="shared" si="3"/>
        <v>2100000</v>
      </c>
      <c r="AF57" s="70">
        <v>2800000.0000000005</v>
      </c>
      <c r="AG57" s="71">
        <v>2800000.0000000005</v>
      </c>
      <c r="AH57" s="106" t="str">
        <f>VLOOKUP(D57,Sheet3!H:I,2,FALSE)</f>
        <v>B5600</v>
      </c>
      <c r="AI57" s="106"/>
      <c r="AJ57" s="106" t="str">
        <f>VLOOKUP(F57,Sheet3!H:I,2,FALSE)</f>
        <v>B5900</v>
      </c>
    </row>
    <row r="58" spans="1:36" s="74" customFormat="1" ht="15" customHeight="1">
      <c r="A58" s="112" t="s">
        <v>310</v>
      </c>
      <c r="B58" s="45" t="s">
        <v>328</v>
      </c>
      <c r="C58" s="110" t="str">
        <f t="shared" si="0"/>
        <v>B5600</v>
      </c>
      <c r="D58" s="111" t="s">
        <v>285</v>
      </c>
      <c r="E58" s="111" t="str">
        <f t="shared" si="1"/>
        <v>B5900</v>
      </c>
      <c r="F58" s="111" t="s">
        <v>281</v>
      </c>
      <c r="G58" s="112">
        <v>7611600</v>
      </c>
      <c r="H58" s="113" t="s">
        <v>73</v>
      </c>
      <c r="I58" s="46" t="s">
        <v>400</v>
      </c>
      <c r="J58" s="46" t="str">
        <f>VLOOKUP(E58,Sheet3!I:K,3,FALSE)</f>
        <v>IND</v>
      </c>
      <c r="K58" s="46" t="str">
        <f>VLOOKUP(E58,Sheet3!I:K,2,FALSE)</f>
        <v>MFG</v>
      </c>
      <c r="L58" s="46"/>
      <c r="M58" s="50" t="s">
        <v>540</v>
      </c>
      <c r="N58" s="50" t="s">
        <v>540</v>
      </c>
      <c r="O58" s="50" t="s">
        <v>540</v>
      </c>
      <c r="P58" s="50" t="s">
        <v>540</v>
      </c>
      <c r="Q58" s="50" t="s">
        <v>540</v>
      </c>
      <c r="R58" s="50" t="s">
        <v>540</v>
      </c>
      <c r="S58" s="50" t="s">
        <v>540</v>
      </c>
      <c r="T58" s="50" t="s">
        <v>540</v>
      </c>
      <c r="U58" s="50">
        <v>233333.33333333334</v>
      </c>
      <c r="V58" s="50">
        <v>233333.33333333334</v>
      </c>
      <c r="W58" s="50">
        <v>233333.33333333334</v>
      </c>
      <c r="X58" s="50">
        <v>233333.33333333334</v>
      </c>
      <c r="Y58" s="50">
        <v>233333.33333333334</v>
      </c>
      <c r="Z58" s="50">
        <v>233333.33333333334</v>
      </c>
      <c r="AA58" s="50">
        <v>233333.33333333334</v>
      </c>
      <c r="AB58" s="50">
        <v>233333.33333333334</v>
      </c>
      <c r="AC58" s="50">
        <v>233333.33333333334</v>
      </c>
      <c r="AD58" s="68">
        <f t="shared" si="2"/>
        <v>0</v>
      </c>
      <c r="AE58" s="69">
        <f t="shared" si="3"/>
        <v>2100000</v>
      </c>
      <c r="AF58" s="70">
        <v>2800000.0000000005</v>
      </c>
      <c r="AG58" s="71">
        <v>2800000.0000000005</v>
      </c>
      <c r="AH58" s="106" t="str">
        <f>VLOOKUP(D58,Sheet3!H:I,2,FALSE)</f>
        <v>B5600</v>
      </c>
      <c r="AI58" s="106"/>
      <c r="AJ58" s="106" t="str">
        <f>VLOOKUP(F58,Sheet3!H:I,2,FALSE)</f>
        <v>B5900</v>
      </c>
    </row>
    <row r="59" spans="1:36" s="74" customFormat="1" ht="15" customHeight="1">
      <c r="A59" s="112" t="s">
        <v>310</v>
      </c>
      <c r="B59" s="45" t="s">
        <v>356</v>
      </c>
      <c r="C59" s="110" t="str">
        <f t="shared" si="0"/>
        <v>B5600</v>
      </c>
      <c r="D59" s="111" t="s">
        <v>285</v>
      </c>
      <c r="E59" s="111" t="str">
        <f t="shared" si="1"/>
        <v>B5600</v>
      </c>
      <c r="F59" s="111" t="s">
        <v>285</v>
      </c>
      <c r="G59" s="112">
        <v>7611600</v>
      </c>
      <c r="H59" s="113" t="s">
        <v>73</v>
      </c>
      <c r="I59" s="46" t="s">
        <v>401</v>
      </c>
      <c r="J59" s="46" t="str">
        <f>VLOOKUP(E59,Sheet3!I:K,3,FALSE)</f>
        <v>IND</v>
      </c>
      <c r="K59" s="46" t="str">
        <f>VLOOKUP(E59,Sheet3!I:K,2,FALSE)</f>
        <v>MFG</v>
      </c>
      <c r="L59" s="46"/>
      <c r="M59" s="50" t="s">
        <v>540</v>
      </c>
      <c r="N59" s="50" t="s">
        <v>540</v>
      </c>
      <c r="O59" s="50" t="s">
        <v>540</v>
      </c>
      <c r="P59" s="50" t="s">
        <v>540</v>
      </c>
      <c r="Q59" s="50" t="s">
        <v>540</v>
      </c>
      <c r="R59" s="50" t="s">
        <v>540</v>
      </c>
      <c r="S59" s="50" t="s">
        <v>540</v>
      </c>
      <c r="T59" s="50" t="s">
        <v>540</v>
      </c>
      <c r="U59" s="50" t="s">
        <v>540</v>
      </c>
      <c r="V59" s="50">
        <v>166666.66666666666</v>
      </c>
      <c r="W59" s="50">
        <v>166666.66666666666</v>
      </c>
      <c r="X59" s="50">
        <v>166666.66666666666</v>
      </c>
      <c r="Y59" s="50">
        <v>166666.66666666666</v>
      </c>
      <c r="Z59" s="50">
        <v>166666.66666666666</v>
      </c>
      <c r="AA59" s="50">
        <v>166666.66666666666</v>
      </c>
      <c r="AB59" s="50">
        <v>166666.66666666666</v>
      </c>
      <c r="AC59" s="50">
        <v>166666.66666666666</v>
      </c>
      <c r="AD59" s="68">
        <f t="shared" si="2"/>
        <v>0</v>
      </c>
      <c r="AE59" s="69">
        <f t="shared" si="3"/>
        <v>1333333.3333333333</v>
      </c>
      <c r="AF59" s="70">
        <v>2000000.0000000002</v>
      </c>
      <c r="AG59" s="71">
        <v>2000000.0000000002</v>
      </c>
      <c r="AH59" s="106" t="str">
        <f>VLOOKUP(D59,Sheet3!H:I,2,FALSE)</f>
        <v>B5600</v>
      </c>
      <c r="AI59" s="106"/>
      <c r="AJ59" s="106" t="str">
        <f>VLOOKUP(F59,Sheet3!H:I,2,FALSE)</f>
        <v>B5600</v>
      </c>
    </row>
    <row r="60" spans="1:36" s="74" customFormat="1" ht="15" customHeight="1">
      <c r="A60" s="112" t="s">
        <v>310</v>
      </c>
      <c r="B60" s="45" t="s">
        <v>357</v>
      </c>
      <c r="C60" s="110" t="str">
        <f t="shared" si="0"/>
        <v>B5600</v>
      </c>
      <c r="D60" s="111" t="s">
        <v>285</v>
      </c>
      <c r="E60" s="111" t="str">
        <f t="shared" si="1"/>
        <v>B5600</v>
      </c>
      <c r="F60" s="111" t="s">
        <v>285</v>
      </c>
      <c r="G60" s="112">
        <v>7611600</v>
      </c>
      <c r="H60" s="113" t="s">
        <v>73</v>
      </c>
      <c r="I60" s="46" t="s">
        <v>402</v>
      </c>
      <c r="J60" s="46" t="str">
        <f>VLOOKUP(E60,Sheet3!I:K,3,FALSE)</f>
        <v>IND</v>
      </c>
      <c r="K60" s="46" t="str">
        <f>VLOOKUP(E60,Sheet3!I:K,2,FALSE)</f>
        <v>MFG</v>
      </c>
      <c r="L60" s="46"/>
      <c r="M60" s="50" t="s">
        <v>540</v>
      </c>
      <c r="N60" s="50" t="s">
        <v>540</v>
      </c>
      <c r="O60" s="50" t="s">
        <v>540</v>
      </c>
      <c r="P60" s="50" t="s">
        <v>540</v>
      </c>
      <c r="Q60" s="50" t="s">
        <v>540</v>
      </c>
      <c r="R60" s="50" t="s">
        <v>540</v>
      </c>
      <c r="S60" s="50" t="s">
        <v>540</v>
      </c>
      <c r="T60" s="50" t="s">
        <v>540</v>
      </c>
      <c r="U60" s="50" t="s">
        <v>540</v>
      </c>
      <c r="V60" s="50">
        <v>133333.33333333334</v>
      </c>
      <c r="W60" s="50">
        <v>133333.33333333334</v>
      </c>
      <c r="X60" s="50">
        <v>133333.33333333334</v>
      </c>
      <c r="Y60" s="50">
        <v>133333.33333333334</v>
      </c>
      <c r="Z60" s="50">
        <v>133333.33333333334</v>
      </c>
      <c r="AA60" s="50">
        <v>133333.33333333334</v>
      </c>
      <c r="AB60" s="50">
        <v>133333.33333333334</v>
      </c>
      <c r="AC60" s="50">
        <v>133333.33333333334</v>
      </c>
      <c r="AD60" s="68">
        <f t="shared" si="2"/>
        <v>0</v>
      </c>
      <c r="AE60" s="69">
        <f t="shared" si="3"/>
        <v>1066666.6666666667</v>
      </c>
      <c r="AF60" s="70">
        <v>1599999.9999999998</v>
      </c>
      <c r="AG60" s="71">
        <v>1599999.9999999998</v>
      </c>
      <c r="AH60" s="106" t="str">
        <f>VLOOKUP(D60,Sheet3!H:I,2,FALSE)</f>
        <v>B5600</v>
      </c>
      <c r="AI60" s="106"/>
      <c r="AJ60" s="106" t="str">
        <f>VLOOKUP(F60,Sheet3!H:I,2,FALSE)</f>
        <v>B5600</v>
      </c>
    </row>
    <row r="61" spans="1:36" s="74" customFormat="1" ht="15" customHeight="1">
      <c r="A61" s="112" t="s">
        <v>310</v>
      </c>
      <c r="B61" s="45" t="s">
        <v>358</v>
      </c>
      <c r="C61" s="110" t="str">
        <f t="shared" si="0"/>
        <v>B5600</v>
      </c>
      <c r="D61" s="111" t="s">
        <v>285</v>
      </c>
      <c r="E61" s="111" t="str">
        <f t="shared" si="1"/>
        <v>B4101</v>
      </c>
      <c r="F61" s="111" t="s">
        <v>241</v>
      </c>
      <c r="G61" s="112">
        <v>7611600</v>
      </c>
      <c r="H61" s="113" t="s">
        <v>73</v>
      </c>
      <c r="I61" s="46" t="s">
        <v>403</v>
      </c>
      <c r="J61" s="46" t="str">
        <f>VLOOKUP(E61,Sheet3!I:K,3,FALSE)</f>
        <v>DIR</v>
      </c>
      <c r="K61" s="46" t="str">
        <f>VLOOKUP(E61,Sheet3!I:K,2,FALSE)</f>
        <v>MFG</v>
      </c>
      <c r="L61" s="46"/>
      <c r="M61" s="50" t="s">
        <v>540</v>
      </c>
      <c r="N61" s="50" t="s">
        <v>540</v>
      </c>
      <c r="O61" s="50" t="s">
        <v>540</v>
      </c>
      <c r="P61" s="50" t="s">
        <v>540</v>
      </c>
      <c r="Q61" s="50" t="s">
        <v>540</v>
      </c>
      <c r="R61" s="50" t="s">
        <v>540</v>
      </c>
      <c r="S61" s="50" t="s">
        <v>540</v>
      </c>
      <c r="T61" s="50" t="s">
        <v>540</v>
      </c>
      <c r="U61" s="50" t="s">
        <v>540</v>
      </c>
      <c r="V61" s="50" t="s">
        <v>540</v>
      </c>
      <c r="W61" s="50" t="s">
        <v>540</v>
      </c>
      <c r="X61" s="50">
        <v>1666666.6666666667</v>
      </c>
      <c r="Y61" s="50">
        <v>1666666.6666666667</v>
      </c>
      <c r="Z61" s="50">
        <v>1666666.6666666667</v>
      </c>
      <c r="AA61" s="50">
        <v>1666666.6666666667</v>
      </c>
      <c r="AB61" s="50">
        <v>1666666.6666666667</v>
      </c>
      <c r="AC61" s="50">
        <v>1666666.6666666667</v>
      </c>
      <c r="AD61" s="68">
        <f t="shared" si="2"/>
        <v>0</v>
      </c>
      <c r="AE61" s="69">
        <f t="shared" si="3"/>
        <v>10000000</v>
      </c>
      <c r="AF61" s="70">
        <v>20000000</v>
      </c>
      <c r="AG61" s="71">
        <v>20000000</v>
      </c>
      <c r="AH61" s="106" t="str">
        <f>VLOOKUP(D61,Sheet3!H:I,2,FALSE)</f>
        <v>B5600</v>
      </c>
      <c r="AI61" s="106"/>
      <c r="AJ61" s="106" t="str">
        <f>VLOOKUP(F61,Sheet3!H:I,2,FALSE)</f>
        <v>B4101</v>
      </c>
    </row>
    <row r="62" spans="1:36" s="74" customFormat="1" ht="15" customHeight="1">
      <c r="A62" s="112" t="s">
        <v>310</v>
      </c>
      <c r="B62" s="45" t="s">
        <v>359</v>
      </c>
      <c r="C62" s="110" t="str">
        <f t="shared" si="0"/>
        <v>B5600</v>
      </c>
      <c r="D62" s="111" t="s">
        <v>285</v>
      </c>
      <c r="E62" s="111" t="str">
        <f t="shared" si="1"/>
        <v>B4102</v>
      </c>
      <c r="F62" s="111" t="s">
        <v>244</v>
      </c>
      <c r="G62" s="112">
        <v>7611300</v>
      </c>
      <c r="H62" s="113" t="s">
        <v>69</v>
      </c>
      <c r="I62" s="46" t="s">
        <v>404</v>
      </c>
      <c r="J62" s="46" t="str">
        <f>VLOOKUP(E62,Sheet3!I:K,3,FALSE)</f>
        <v>DIR</v>
      </c>
      <c r="K62" s="46" t="str">
        <f>VLOOKUP(E62,Sheet3!I:K,2,FALSE)</f>
        <v>MFG</v>
      </c>
      <c r="L62" s="46"/>
      <c r="M62" s="50" t="s">
        <v>540</v>
      </c>
      <c r="N62" s="50" t="s">
        <v>540</v>
      </c>
      <c r="O62" s="50" t="s">
        <v>540</v>
      </c>
      <c r="P62" s="50" t="s">
        <v>540</v>
      </c>
      <c r="Q62" s="50" t="s">
        <v>540</v>
      </c>
      <c r="R62" s="50" t="s">
        <v>540</v>
      </c>
      <c r="S62" s="50" t="s">
        <v>540</v>
      </c>
      <c r="T62" s="50" t="s">
        <v>540</v>
      </c>
      <c r="U62" s="50" t="s">
        <v>540</v>
      </c>
      <c r="V62" s="50" t="s">
        <v>540</v>
      </c>
      <c r="W62" s="50" t="s">
        <v>540</v>
      </c>
      <c r="X62" s="50" t="s">
        <v>540</v>
      </c>
      <c r="Y62" s="50" t="s">
        <v>540</v>
      </c>
      <c r="Z62" s="50" t="s">
        <v>540</v>
      </c>
      <c r="AA62" s="50" t="s">
        <v>540</v>
      </c>
      <c r="AB62" s="50">
        <v>132948158.09523809</v>
      </c>
      <c r="AC62" s="50">
        <v>132948158.09523809</v>
      </c>
      <c r="AD62" s="68">
        <f t="shared" si="2"/>
        <v>0</v>
      </c>
      <c r="AE62" s="69">
        <f t="shared" si="3"/>
        <v>265896316.19047618</v>
      </c>
      <c r="AF62" s="70">
        <v>1595377897.1428576</v>
      </c>
      <c r="AG62" s="71">
        <v>1595377897.1428576</v>
      </c>
      <c r="AH62" s="106" t="str">
        <f>VLOOKUP(D62,Sheet3!H:I,2,FALSE)</f>
        <v>B5600</v>
      </c>
      <c r="AI62" s="106"/>
      <c r="AJ62" s="106" t="str">
        <f>VLOOKUP(F62,Sheet3!H:I,2,FALSE)</f>
        <v>B4102</v>
      </c>
    </row>
    <row r="63" spans="1:36" s="74" customFormat="1" ht="15" customHeight="1">
      <c r="A63" s="112" t="s">
        <v>310</v>
      </c>
      <c r="B63" s="45" t="s">
        <v>360</v>
      </c>
      <c r="C63" s="110" t="str">
        <f t="shared" si="0"/>
        <v>B5600</v>
      </c>
      <c r="D63" s="111" t="s">
        <v>285</v>
      </c>
      <c r="E63" s="111" t="str">
        <f t="shared" si="1"/>
        <v>B4120</v>
      </c>
      <c r="F63" s="111" t="s">
        <v>260</v>
      </c>
      <c r="G63" s="112">
        <v>7611300</v>
      </c>
      <c r="H63" s="113" t="s">
        <v>69</v>
      </c>
      <c r="I63" s="46" t="s">
        <v>405</v>
      </c>
      <c r="J63" s="46" t="str">
        <f>VLOOKUP(E63,Sheet3!I:K,3,FALSE)</f>
        <v>DIR</v>
      </c>
      <c r="K63" s="46" t="str">
        <f>VLOOKUP(E63,Sheet3!I:K,2,FALSE)</f>
        <v>MFG</v>
      </c>
      <c r="L63" s="46"/>
      <c r="M63" s="50" t="s">
        <v>540</v>
      </c>
      <c r="N63" s="50" t="s">
        <v>540</v>
      </c>
      <c r="O63" s="50" t="s">
        <v>540</v>
      </c>
      <c r="P63" s="50" t="s">
        <v>540</v>
      </c>
      <c r="Q63" s="50" t="s">
        <v>540</v>
      </c>
      <c r="R63" s="50" t="s">
        <v>540</v>
      </c>
      <c r="S63" s="50" t="s">
        <v>540</v>
      </c>
      <c r="T63" s="50" t="s">
        <v>540</v>
      </c>
      <c r="U63" s="50" t="s">
        <v>540</v>
      </c>
      <c r="V63" s="50" t="s">
        <v>540</v>
      </c>
      <c r="W63" s="50" t="s">
        <v>540</v>
      </c>
      <c r="X63" s="50" t="s">
        <v>540</v>
      </c>
      <c r="Y63" s="50" t="s">
        <v>540</v>
      </c>
      <c r="Z63" s="50" t="s">
        <v>540</v>
      </c>
      <c r="AA63" s="50" t="s">
        <v>540</v>
      </c>
      <c r="AB63" s="50">
        <v>8786763.3333333321</v>
      </c>
      <c r="AC63" s="50">
        <v>8786763.3333333321</v>
      </c>
      <c r="AD63" s="68">
        <f t="shared" si="2"/>
        <v>0</v>
      </c>
      <c r="AE63" s="69">
        <f t="shared" si="3"/>
        <v>17573526.666666664</v>
      </c>
      <c r="AF63" s="70">
        <v>105441159.99999996</v>
      </c>
      <c r="AG63" s="71">
        <v>105441159.99999996</v>
      </c>
      <c r="AH63" s="106" t="str">
        <f>VLOOKUP(D63,Sheet3!H:I,2,FALSE)</f>
        <v>B5600</v>
      </c>
      <c r="AI63" s="106"/>
      <c r="AJ63" s="106" t="str">
        <f>VLOOKUP(F63,Sheet3!H:I,2,FALSE)</f>
        <v>B4120</v>
      </c>
    </row>
    <row r="64" spans="1:36" s="74" customFormat="1" ht="15" customHeight="1">
      <c r="A64" s="112" t="s">
        <v>310</v>
      </c>
      <c r="B64" s="45" t="s">
        <v>361</v>
      </c>
      <c r="C64" s="110" t="str">
        <f t="shared" si="0"/>
        <v>B5600</v>
      </c>
      <c r="D64" s="111" t="s">
        <v>285</v>
      </c>
      <c r="E64" s="111" t="str">
        <f t="shared" si="1"/>
        <v>B5600</v>
      </c>
      <c r="F64" s="111" t="s">
        <v>285</v>
      </c>
      <c r="G64" s="112">
        <v>7611600</v>
      </c>
      <c r="H64" s="113" t="s">
        <v>73</v>
      </c>
      <c r="I64" s="46" t="s">
        <v>406</v>
      </c>
      <c r="J64" s="46" t="str">
        <f>VLOOKUP(E64,Sheet3!I:K,3,FALSE)</f>
        <v>IND</v>
      </c>
      <c r="K64" s="46" t="str">
        <f>VLOOKUP(E64,Sheet3!I:K,2,FALSE)</f>
        <v>MFG</v>
      </c>
      <c r="L64" s="46"/>
      <c r="M64" s="50" t="s">
        <v>540</v>
      </c>
      <c r="N64" s="50" t="s">
        <v>540</v>
      </c>
      <c r="O64" s="50" t="s">
        <v>540</v>
      </c>
      <c r="P64" s="50" t="s">
        <v>540</v>
      </c>
      <c r="Q64" s="50" t="s">
        <v>540</v>
      </c>
      <c r="R64" s="50" t="s">
        <v>540</v>
      </c>
      <c r="S64" s="50" t="s">
        <v>540</v>
      </c>
      <c r="T64" s="50" t="s">
        <v>540</v>
      </c>
      <c r="U64" s="50" t="s">
        <v>540</v>
      </c>
      <c r="V64" s="50" t="s">
        <v>540</v>
      </c>
      <c r="W64" s="50" t="s">
        <v>540</v>
      </c>
      <c r="X64" s="50" t="s">
        <v>540</v>
      </c>
      <c r="Y64" s="50" t="s">
        <v>540</v>
      </c>
      <c r="Z64" s="50" t="s">
        <v>540</v>
      </c>
      <c r="AA64" s="50" t="s">
        <v>540</v>
      </c>
      <c r="AB64" s="50" t="s">
        <v>540</v>
      </c>
      <c r="AC64" s="50" t="s">
        <v>540</v>
      </c>
      <c r="AD64" s="68">
        <f t="shared" si="2"/>
        <v>0</v>
      </c>
      <c r="AE64" s="69">
        <f t="shared" si="3"/>
        <v>0</v>
      </c>
      <c r="AF64" s="70">
        <v>5000000</v>
      </c>
      <c r="AG64" s="71">
        <v>6000000</v>
      </c>
      <c r="AH64" s="106" t="str">
        <f>VLOOKUP(D64,Sheet3!H:I,2,FALSE)</f>
        <v>B5600</v>
      </c>
      <c r="AI64" s="106"/>
      <c r="AJ64" s="106" t="str">
        <f>VLOOKUP(F64,Sheet3!H:I,2,FALSE)</f>
        <v>B5600</v>
      </c>
    </row>
    <row r="65" spans="1:36" s="74" customFormat="1" ht="15" customHeight="1">
      <c r="A65" s="112" t="s">
        <v>310</v>
      </c>
      <c r="B65" s="45" t="s">
        <v>362</v>
      </c>
      <c r="C65" s="110" t="str">
        <f t="shared" si="0"/>
        <v>B5600</v>
      </c>
      <c r="D65" s="111" t="s">
        <v>285</v>
      </c>
      <c r="E65" s="111" t="str">
        <f t="shared" si="1"/>
        <v>B4106</v>
      </c>
      <c r="F65" s="111" t="s">
        <v>252</v>
      </c>
      <c r="G65" s="112">
        <v>7611300</v>
      </c>
      <c r="H65" s="113" t="s">
        <v>69</v>
      </c>
      <c r="I65" s="46" t="s">
        <v>407</v>
      </c>
      <c r="J65" s="46" t="str">
        <f>VLOOKUP(E65,Sheet3!I:K,3,FALSE)</f>
        <v>DIR</v>
      </c>
      <c r="K65" s="46" t="str">
        <f>VLOOKUP(E65,Sheet3!I:K,2,FALSE)</f>
        <v>MFG</v>
      </c>
      <c r="L65" s="46"/>
      <c r="M65" s="50" t="s">
        <v>540</v>
      </c>
      <c r="N65" s="50" t="s">
        <v>540</v>
      </c>
      <c r="O65" s="50" t="s">
        <v>540</v>
      </c>
      <c r="P65" s="50" t="s">
        <v>540</v>
      </c>
      <c r="Q65" s="50" t="s">
        <v>540</v>
      </c>
      <c r="R65" s="50" t="s">
        <v>540</v>
      </c>
      <c r="S65" s="50" t="s">
        <v>540</v>
      </c>
      <c r="T65" s="50" t="s">
        <v>540</v>
      </c>
      <c r="U65" s="50" t="s">
        <v>540</v>
      </c>
      <c r="V65" s="50" t="s">
        <v>540</v>
      </c>
      <c r="W65" s="50" t="s">
        <v>540</v>
      </c>
      <c r="X65" s="50" t="s">
        <v>540</v>
      </c>
      <c r="Y65" s="50" t="s">
        <v>540</v>
      </c>
      <c r="Z65" s="50" t="s">
        <v>540</v>
      </c>
      <c r="AA65" s="50" t="s">
        <v>540</v>
      </c>
      <c r="AB65" s="50" t="s">
        <v>540</v>
      </c>
      <c r="AC65" s="50" t="s">
        <v>540</v>
      </c>
      <c r="AD65" s="68">
        <f t="shared" si="2"/>
        <v>0</v>
      </c>
      <c r="AE65" s="69">
        <f t="shared" si="3"/>
        <v>0</v>
      </c>
      <c r="AF65" s="70">
        <v>151820704.76190475</v>
      </c>
      <c r="AG65" s="71">
        <v>227731057.1428571</v>
      </c>
      <c r="AH65" s="106" t="str">
        <f>VLOOKUP(D65,Sheet3!H:I,2,FALSE)</f>
        <v>B5600</v>
      </c>
      <c r="AI65" s="106"/>
      <c r="AJ65" s="106" t="str">
        <f>VLOOKUP(F65,Sheet3!H:I,2,FALSE)</f>
        <v>B4106</v>
      </c>
    </row>
    <row r="66" spans="1:36" s="74" customFormat="1" ht="15" customHeight="1">
      <c r="A66" s="112" t="s">
        <v>310</v>
      </c>
      <c r="B66" s="45" t="s">
        <v>363</v>
      </c>
      <c r="C66" s="110" t="str">
        <f t="shared" si="0"/>
        <v>B5600</v>
      </c>
      <c r="D66" s="111" t="s">
        <v>285</v>
      </c>
      <c r="E66" s="111" t="str">
        <f t="shared" si="1"/>
        <v>B4106</v>
      </c>
      <c r="F66" s="111" t="s">
        <v>252</v>
      </c>
      <c r="G66" s="112">
        <v>7611300</v>
      </c>
      <c r="H66" s="113" t="s">
        <v>69</v>
      </c>
      <c r="I66" s="46" t="s">
        <v>408</v>
      </c>
      <c r="J66" s="46" t="str">
        <f>VLOOKUP(E66,Sheet3!I:K,3,FALSE)</f>
        <v>DIR</v>
      </c>
      <c r="K66" s="46" t="str">
        <f>VLOOKUP(E66,Sheet3!I:K,2,FALSE)</f>
        <v>MFG</v>
      </c>
      <c r="L66" s="46"/>
      <c r="M66" s="50" t="s">
        <v>540</v>
      </c>
      <c r="N66" s="50" t="s">
        <v>540</v>
      </c>
      <c r="O66" s="50" t="s">
        <v>540</v>
      </c>
      <c r="P66" s="50" t="s">
        <v>540</v>
      </c>
      <c r="Q66" s="50" t="s">
        <v>540</v>
      </c>
      <c r="R66" s="50" t="s">
        <v>540</v>
      </c>
      <c r="S66" s="50" t="s">
        <v>540</v>
      </c>
      <c r="T66" s="50" t="s">
        <v>540</v>
      </c>
      <c r="U66" s="50" t="s">
        <v>540</v>
      </c>
      <c r="V66" s="50" t="s">
        <v>540</v>
      </c>
      <c r="W66" s="50" t="s">
        <v>540</v>
      </c>
      <c r="X66" s="50" t="s">
        <v>540</v>
      </c>
      <c r="Y66" s="50" t="s">
        <v>540</v>
      </c>
      <c r="Z66" s="50" t="s">
        <v>540</v>
      </c>
      <c r="AA66" s="50" t="s">
        <v>540</v>
      </c>
      <c r="AB66" s="50" t="s">
        <v>540</v>
      </c>
      <c r="AC66" s="50" t="s">
        <v>540</v>
      </c>
      <c r="AD66" s="68">
        <f t="shared" si="2"/>
        <v>0</v>
      </c>
      <c r="AE66" s="69">
        <f t="shared" si="3"/>
        <v>0</v>
      </c>
      <c r="AF66" s="70">
        <v>860330745.16666663</v>
      </c>
      <c r="AG66" s="71">
        <v>1474852706.0000002</v>
      </c>
      <c r="AH66" s="106" t="str">
        <f>VLOOKUP(D66,Sheet3!H:I,2,FALSE)</f>
        <v>B5600</v>
      </c>
      <c r="AI66" s="106"/>
      <c r="AJ66" s="106" t="str">
        <f>VLOOKUP(F66,Sheet3!H:I,2,FALSE)</f>
        <v>B4106</v>
      </c>
    </row>
    <row r="67" spans="1:36" s="74" customFormat="1" ht="15" customHeight="1">
      <c r="A67" s="112" t="s">
        <v>310</v>
      </c>
      <c r="B67" s="45" t="s">
        <v>364</v>
      </c>
      <c r="C67" s="110" t="str">
        <f t="shared" si="0"/>
        <v>B5600</v>
      </c>
      <c r="D67" s="111" t="s">
        <v>285</v>
      </c>
      <c r="E67" s="111" t="str">
        <f t="shared" si="1"/>
        <v>B4102</v>
      </c>
      <c r="F67" s="111" t="s">
        <v>244</v>
      </c>
      <c r="G67" s="112">
        <v>7611300</v>
      </c>
      <c r="H67" s="113" t="s">
        <v>69</v>
      </c>
      <c r="I67" s="46" t="s">
        <v>409</v>
      </c>
      <c r="J67" s="46" t="str">
        <f>VLOOKUP(E67,Sheet3!I:K,3,FALSE)</f>
        <v>DIR</v>
      </c>
      <c r="K67" s="46" t="str">
        <f>VLOOKUP(E67,Sheet3!I:K,2,FALSE)</f>
        <v>MFG</v>
      </c>
      <c r="L67" s="46"/>
      <c r="M67" s="50" t="s">
        <v>540</v>
      </c>
      <c r="N67" s="50" t="s">
        <v>540</v>
      </c>
      <c r="O67" s="50" t="s">
        <v>540</v>
      </c>
      <c r="P67" s="50" t="s">
        <v>540</v>
      </c>
      <c r="Q67" s="50" t="s">
        <v>540</v>
      </c>
      <c r="R67" s="50" t="s">
        <v>540</v>
      </c>
      <c r="S67" s="50" t="s">
        <v>540</v>
      </c>
      <c r="T67" s="50" t="s">
        <v>540</v>
      </c>
      <c r="U67" s="50" t="s">
        <v>540</v>
      </c>
      <c r="V67" s="50" t="s">
        <v>540</v>
      </c>
      <c r="W67" s="50" t="s">
        <v>540</v>
      </c>
      <c r="X67" s="50" t="s">
        <v>540</v>
      </c>
      <c r="Y67" s="50" t="s">
        <v>540</v>
      </c>
      <c r="Z67" s="50" t="s">
        <v>540</v>
      </c>
      <c r="AA67" s="50" t="s">
        <v>540</v>
      </c>
      <c r="AB67" s="50" t="s">
        <v>540</v>
      </c>
      <c r="AC67" s="50" t="s">
        <v>540</v>
      </c>
      <c r="AD67" s="68">
        <f t="shared" si="2"/>
        <v>0</v>
      </c>
      <c r="AE67" s="69">
        <f t="shared" si="3"/>
        <v>0</v>
      </c>
      <c r="AF67" s="70">
        <v>664740790.47619045</v>
      </c>
      <c r="AG67" s="71">
        <v>1595377897.1428576</v>
      </c>
      <c r="AH67" s="106" t="str">
        <f>VLOOKUP(D67,Sheet3!H:I,2,FALSE)</f>
        <v>B5600</v>
      </c>
      <c r="AI67" s="106"/>
      <c r="AJ67" s="106" t="str">
        <f>VLOOKUP(F67,Sheet3!H:I,2,FALSE)</f>
        <v>B4102</v>
      </c>
    </row>
    <row r="68" spans="1:36" s="74" customFormat="1" ht="15" customHeight="1">
      <c r="A68" s="112" t="s">
        <v>310</v>
      </c>
      <c r="B68" s="45" t="s">
        <v>365</v>
      </c>
      <c r="C68" s="110" t="str">
        <f t="shared" ref="C68:C131" si="4">AH68</f>
        <v>B5600</v>
      </c>
      <c r="D68" s="111" t="s">
        <v>285</v>
      </c>
      <c r="E68" s="111" t="str">
        <f t="shared" ref="E68:E131" si="5">AJ68</f>
        <v>B4110</v>
      </c>
      <c r="F68" s="111" t="s">
        <v>254</v>
      </c>
      <c r="G68" s="112">
        <v>7611300</v>
      </c>
      <c r="H68" s="113" t="s">
        <v>69</v>
      </c>
      <c r="I68" s="46" t="s">
        <v>410</v>
      </c>
      <c r="J68" s="46" t="str">
        <f>VLOOKUP(E68,Sheet3!I:K,3,FALSE)</f>
        <v>DIR</v>
      </c>
      <c r="K68" s="46" t="str">
        <f>VLOOKUP(E68,Sheet3!I:K,2,FALSE)</f>
        <v>MFG</v>
      </c>
      <c r="L68" s="46"/>
      <c r="M68" s="50" t="s">
        <v>540</v>
      </c>
      <c r="N68" s="50" t="s">
        <v>540</v>
      </c>
      <c r="O68" s="50" t="s">
        <v>540</v>
      </c>
      <c r="P68" s="50" t="s">
        <v>540</v>
      </c>
      <c r="Q68" s="50" t="s">
        <v>540</v>
      </c>
      <c r="R68" s="50" t="s">
        <v>540</v>
      </c>
      <c r="S68" s="50" t="s">
        <v>540</v>
      </c>
      <c r="T68" s="50" t="s">
        <v>540</v>
      </c>
      <c r="U68" s="50" t="s">
        <v>540</v>
      </c>
      <c r="V68" s="50" t="s">
        <v>540</v>
      </c>
      <c r="W68" s="50" t="s">
        <v>540</v>
      </c>
      <c r="X68" s="50" t="s">
        <v>540</v>
      </c>
      <c r="Y68" s="50" t="s">
        <v>540</v>
      </c>
      <c r="Z68" s="50" t="s">
        <v>540</v>
      </c>
      <c r="AA68" s="50" t="s">
        <v>540</v>
      </c>
      <c r="AB68" s="50" t="s">
        <v>540</v>
      </c>
      <c r="AC68" s="50" t="s">
        <v>540</v>
      </c>
      <c r="AD68" s="68">
        <f t="shared" ref="AD68:AD131" si="6">SUM(L68:Q68)</f>
        <v>0</v>
      </c>
      <c r="AE68" s="69">
        <f t="shared" ref="AE68:AE131" si="7">SUM(R68:AC68)</f>
        <v>0</v>
      </c>
      <c r="AF68" s="70">
        <v>332818574.33333331</v>
      </c>
      <c r="AG68" s="71">
        <v>1996911446.0000002</v>
      </c>
      <c r="AH68" s="106" t="str">
        <f>VLOOKUP(D68,Sheet3!H:I,2,FALSE)</f>
        <v>B5600</v>
      </c>
      <c r="AI68" s="106"/>
      <c r="AJ68" s="106" t="str">
        <f>VLOOKUP(F68,Sheet3!H:I,2,FALSE)</f>
        <v>B4110</v>
      </c>
    </row>
    <row r="69" spans="1:36" s="74" customFormat="1" ht="15" customHeight="1">
      <c r="A69" s="112" t="s">
        <v>310</v>
      </c>
      <c r="B69" s="45" t="s">
        <v>366</v>
      </c>
      <c r="C69" s="110" t="str">
        <f t="shared" si="4"/>
        <v>B5600</v>
      </c>
      <c r="D69" s="111" t="s">
        <v>285</v>
      </c>
      <c r="E69" s="111" t="str">
        <f t="shared" si="5"/>
        <v>B5600</v>
      </c>
      <c r="F69" s="111" t="s">
        <v>285</v>
      </c>
      <c r="G69" s="112">
        <v>7611600</v>
      </c>
      <c r="H69" s="113" t="s">
        <v>73</v>
      </c>
      <c r="I69" s="46" t="s">
        <v>411</v>
      </c>
      <c r="J69" s="46" t="str">
        <f>VLOOKUP(E69,Sheet3!I:K,3,FALSE)</f>
        <v>IND</v>
      </c>
      <c r="K69" s="46" t="str">
        <f>VLOOKUP(E69,Sheet3!I:K,2,FALSE)</f>
        <v>MFG</v>
      </c>
      <c r="L69" s="46"/>
      <c r="M69" s="50" t="s">
        <v>540</v>
      </c>
      <c r="N69" s="50" t="s">
        <v>540</v>
      </c>
      <c r="O69" s="50" t="s">
        <v>540</v>
      </c>
      <c r="P69" s="50" t="s">
        <v>540</v>
      </c>
      <c r="Q69" s="50" t="s">
        <v>540</v>
      </c>
      <c r="R69" s="50" t="s">
        <v>540</v>
      </c>
      <c r="S69" s="50" t="s">
        <v>540</v>
      </c>
      <c r="T69" s="50" t="s">
        <v>540</v>
      </c>
      <c r="U69" s="50" t="s">
        <v>540</v>
      </c>
      <c r="V69" s="50" t="s">
        <v>540</v>
      </c>
      <c r="W69" s="50" t="s">
        <v>540</v>
      </c>
      <c r="X69" s="50" t="s">
        <v>540</v>
      </c>
      <c r="Y69" s="50" t="s">
        <v>540</v>
      </c>
      <c r="Z69" s="50" t="s">
        <v>540</v>
      </c>
      <c r="AA69" s="50" t="s">
        <v>540</v>
      </c>
      <c r="AB69" s="50" t="s">
        <v>540</v>
      </c>
      <c r="AC69" s="50" t="s">
        <v>540</v>
      </c>
      <c r="AD69" s="68">
        <f t="shared" si="6"/>
        <v>0</v>
      </c>
      <c r="AE69" s="69">
        <f t="shared" si="7"/>
        <v>0</v>
      </c>
      <c r="AF69" s="70">
        <v>2000000</v>
      </c>
      <c r="AG69" s="71">
        <v>3000000</v>
      </c>
      <c r="AH69" s="106" t="str">
        <f>VLOOKUP(D69,Sheet3!H:I,2,FALSE)</f>
        <v>B5600</v>
      </c>
      <c r="AI69" s="106"/>
      <c r="AJ69" s="106" t="str">
        <f>VLOOKUP(F69,Sheet3!H:I,2,FALSE)</f>
        <v>B5600</v>
      </c>
    </row>
    <row r="70" spans="1:36" s="74" customFormat="1" ht="15" customHeight="1">
      <c r="A70" s="112" t="s">
        <v>310</v>
      </c>
      <c r="B70" s="45" t="s">
        <v>367</v>
      </c>
      <c r="C70" s="110" t="str">
        <f t="shared" si="4"/>
        <v>B5600</v>
      </c>
      <c r="D70" s="111" t="s">
        <v>285</v>
      </c>
      <c r="E70" s="111" t="str">
        <f t="shared" si="5"/>
        <v>B4103</v>
      </c>
      <c r="F70" s="111" t="s">
        <v>246</v>
      </c>
      <c r="G70" s="112">
        <v>7611300</v>
      </c>
      <c r="H70" s="113" t="s">
        <v>69</v>
      </c>
      <c r="I70" s="46" t="s">
        <v>483</v>
      </c>
      <c r="J70" s="46" t="str">
        <f>VLOOKUP(E70,Sheet3!I:K,3,FALSE)</f>
        <v>DIR</v>
      </c>
      <c r="K70" s="46" t="str">
        <f>VLOOKUP(E70,Sheet3!I:K,2,FALSE)</f>
        <v>MFG</v>
      </c>
      <c r="L70" s="46"/>
      <c r="M70" s="50" t="s">
        <v>540</v>
      </c>
      <c r="N70" s="50" t="s">
        <v>540</v>
      </c>
      <c r="O70" s="50" t="s">
        <v>540</v>
      </c>
      <c r="P70" s="50" t="s">
        <v>540</v>
      </c>
      <c r="Q70" s="50" t="s">
        <v>540</v>
      </c>
      <c r="R70" s="50" t="s">
        <v>540</v>
      </c>
      <c r="S70" s="50" t="s">
        <v>540</v>
      </c>
      <c r="T70" s="50" t="s">
        <v>540</v>
      </c>
      <c r="U70" s="50" t="s">
        <v>540</v>
      </c>
      <c r="V70" s="50" t="s">
        <v>540</v>
      </c>
      <c r="W70" s="50" t="s">
        <v>540</v>
      </c>
      <c r="X70" s="50" t="s">
        <v>540</v>
      </c>
      <c r="Y70" s="50" t="s">
        <v>540</v>
      </c>
      <c r="Z70" s="50" t="s">
        <v>540</v>
      </c>
      <c r="AA70" s="50" t="s">
        <v>540</v>
      </c>
      <c r="AB70" s="50" t="s">
        <v>540</v>
      </c>
      <c r="AC70" s="50" t="s">
        <v>540</v>
      </c>
      <c r="AD70" s="68">
        <f t="shared" si="6"/>
        <v>0</v>
      </c>
      <c r="AE70" s="69">
        <f t="shared" si="7"/>
        <v>0</v>
      </c>
      <c r="AF70" s="70">
        <v>0</v>
      </c>
      <c r="AG70" s="71">
        <v>690735184</v>
      </c>
      <c r="AH70" s="106" t="str">
        <f>VLOOKUP(D70,Sheet3!H:I,2,FALSE)</f>
        <v>B5600</v>
      </c>
      <c r="AI70" s="106"/>
      <c r="AJ70" s="106" t="str">
        <f>VLOOKUP(F70,Sheet3!H:I,2,FALSE)</f>
        <v>B4103</v>
      </c>
    </row>
    <row r="71" spans="1:36" s="74" customFormat="1" ht="15" customHeight="1">
      <c r="A71" s="112" t="s">
        <v>310</v>
      </c>
      <c r="B71" s="45" t="s">
        <v>368</v>
      </c>
      <c r="C71" s="110" t="str">
        <f t="shared" si="4"/>
        <v>B5600</v>
      </c>
      <c r="D71" s="111" t="s">
        <v>285</v>
      </c>
      <c r="E71" s="111" t="str">
        <f t="shared" si="5"/>
        <v>B4103</v>
      </c>
      <c r="F71" s="111" t="s">
        <v>246</v>
      </c>
      <c r="G71" s="112">
        <v>7611300</v>
      </c>
      <c r="H71" s="113" t="s">
        <v>69</v>
      </c>
      <c r="I71" s="46" t="s">
        <v>412</v>
      </c>
      <c r="J71" s="46" t="str">
        <f>VLOOKUP(E71,Sheet3!I:K,3,FALSE)</f>
        <v>DIR</v>
      </c>
      <c r="K71" s="46" t="str">
        <f>VLOOKUP(E71,Sheet3!I:K,2,FALSE)</f>
        <v>MFG</v>
      </c>
      <c r="L71" s="46"/>
      <c r="M71" s="50" t="s">
        <v>540</v>
      </c>
      <c r="N71" s="50" t="s">
        <v>540</v>
      </c>
      <c r="O71" s="50" t="s">
        <v>540</v>
      </c>
      <c r="P71" s="50" t="s">
        <v>540</v>
      </c>
      <c r="Q71" s="50" t="s">
        <v>540</v>
      </c>
      <c r="R71" s="50" t="s">
        <v>540</v>
      </c>
      <c r="S71" s="50" t="s">
        <v>540</v>
      </c>
      <c r="T71" s="50" t="s">
        <v>540</v>
      </c>
      <c r="U71" s="50" t="s">
        <v>540</v>
      </c>
      <c r="V71" s="50" t="s">
        <v>540</v>
      </c>
      <c r="W71" s="50" t="s">
        <v>540</v>
      </c>
      <c r="X71" s="50" t="s">
        <v>540</v>
      </c>
      <c r="Y71" s="50" t="s">
        <v>540</v>
      </c>
      <c r="Z71" s="50" t="s">
        <v>540</v>
      </c>
      <c r="AA71" s="50" t="s">
        <v>540</v>
      </c>
      <c r="AB71" s="50" t="s">
        <v>540</v>
      </c>
      <c r="AC71" s="50" t="s">
        <v>540</v>
      </c>
      <c r="AD71" s="68">
        <f t="shared" si="6"/>
        <v>0</v>
      </c>
      <c r="AE71" s="69">
        <f t="shared" si="7"/>
        <v>0</v>
      </c>
      <c r="AF71" s="70">
        <v>0</v>
      </c>
      <c r="AG71" s="71">
        <v>378571368.5714286</v>
      </c>
      <c r="AH71" s="106" t="str">
        <f>VLOOKUP(D71,Sheet3!H:I,2,FALSE)</f>
        <v>B5600</v>
      </c>
      <c r="AI71" s="106"/>
      <c r="AJ71" s="106" t="str">
        <f>VLOOKUP(F71,Sheet3!H:I,2,FALSE)</f>
        <v>B4103</v>
      </c>
    </row>
    <row r="72" spans="1:36" s="74" customFormat="1" ht="15" customHeight="1">
      <c r="A72" s="112" t="s">
        <v>310</v>
      </c>
      <c r="B72" s="45" t="s">
        <v>369</v>
      </c>
      <c r="C72" s="110" t="str">
        <f t="shared" si="4"/>
        <v>B5600</v>
      </c>
      <c r="D72" s="111" t="s">
        <v>285</v>
      </c>
      <c r="E72" s="111" t="str">
        <f t="shared" si="5"/>
        <v>B4110</v>
      </c>
      <c r="F72" s="111" t="s">
        <v>254</v>
      </c>
      <c r="G72" s="112">
        <v>7611300</v>
      </c>
      <c r="H72" s="113" t="s">
        <v>69</v>
      </c>
      <c r="I72" s="46" t="s">
        <v>413</v>
      </c>
      <c r="J72" s="46" t="str">
        <f>VLOOKUP(E72,Sheet3!I:K,3,FALSE)</f>
        <v>DIR</v>
      </c>
      <c r="K72" s="46" t="str">
        <f>VLOOKUP(E72,Sheet3!I:K,2,FALSE)</f>
        <v>MFG</v>
      </c>
      <c r="L72" s="46"/>
      <c r="M72" s="50" t="s">
        <v>540</v>
      </c>
      <c r="N72" s="50" t="s">
        <v>540</v>
      </c>
      <c r="O72" s="50" t="s">
        <v>540</v>
      </c>
      <c r="P72" s="50" t="s">
        <v>540</v>
      </c>
      <c r="Q72" s="50" t="s">
        <v>540</v>
      </c>
      <c r="R72" s="50" t="s">
        <v>540</v>
      </c>
      <c r="S72" s="50" t="s">
        <v>540</v>
      </c>
      <c r="T72" s="50" t="s">
        <v>540</v>
      </c>
      <c r="U72" s="50" t="s">
        <v>540</v>
      </c>
      <c r="V72" s="50" t="s">
        <v>540</v>
      </c>
      <c r="W72" s="50" t="s">
        <v>540</v>
      </c>
      <c r="X72" s="50" t="s">
        <v>540</v>
      </c>
      <c r="Y72" s="50" t="s">
        <v>540</v>
      </c>
      <c r="Z72" s="50" t="s">
        <v>540</v>
      </c>
      <c r="AA72" s="50" t="s">
        <v>540</v>
      </c>
      <c r="AB72" s="50" t="s">
        <v>540</v>
      </c>
      <c r="AC72" s="50" t="s">
        <v>540</v>
      </c>
      <c r="AD72" s="68">
        <f t="shared" si="6"/>
        <v>0</v>
      </c>
      <c r="AE72" s="69">
        <f t="shared" si="7"/>
        <v>0</v>
      </c>
      <c r="AF72" s="70">
        <v>0</v>
      </c>
      <c r="AG72" s="71">
        <v>208215653.33333331</v>
      </c>
      <c r="AH72" s="106" t="str">
        <f>VLOOKUP(D72,Sheet3!H:I,2,FALSE)</f>
        <v>B5600</v>
      </c>
      <c r="AI72" s="106"/>
      <c r="AJ72" s="106" t="str">
        <f>VLOOKUP(F72,Sheet3!H:I,2,FALSE)</f>
        <v>B4110</v>
      </c>
    </row>
    <row r="73" spans="1:36" s="74" customFormat="1" ht="15" customHeight="1">
      <c r="A73" s="112" t="s">
        <v>310</v>
      </c>
      <c r="B73" s="45" t="s">
        <v>370</v>
      </c>
      <c r="C73" s="110" t="str">
        <f t="shared" si="4"/>
        <v>B5600</v>
      </c>
      <c r="D73" s="111" t="s">
        <v>285</v>
      </c>
      <c r="E73" s="111" t="str">
        <f t="shared" si="5"/>
        <v>B4102</v>
      </c>
      <c r="F73" s="111" t="s">
        <v>244</v>
      </c>
      <c r="G73" s="112">
        <v>7611300</v>
      </c>
      <c r="H73" s="113" t="s">
        <v>69</v>
      </c>
      <c r="I73" s="46" t="s">
        <v>414</v>
      </c>
      <c r="J73" s="46" t="str">
        <f>VLOOKUP(E73,Sheet3!I:K,3,FALSE)</f>
        <v>DIR</v>
      </c>
      <c r="K73" s="46" t="str">
        <f>VLOOKUP(E73,Sheet3!I:K,2,FALSE)</f>
        <v>MFG</v>
      </c>
      <c r="L73" s="46"/>
      <c r="M73" s="50" t="s">
        <v>540</v>
      </c>
      <c r="N73" s="50" t="s">
        <v>540</v>
      </c>
      <c r="O73" s="50" t="s">
        <v>540</v>
      </c>
      <c r="P73" s="50" t="s">
        <v>540</v>
      </c>
      <c r="Q73" s="50" t="s">
        <v>540</v>
      </c>
      <c r="R73" s="50" t="s">
        <v>540</v>
      </c>
      <c r="S73" s="50" t="s">
        <v>540</v>
      </c>
      <c r="T73" s="50" t="s">
        <v>540</v>
      </c>
      <c r="U73" s="50" t="s">
        <v>540</v>
      </c>
      <c r="V73" s="50" t="s">
        <v>540</v>
      </c>
      <c r="W73" s="50" t="s">
        <v>540</v>
      </c>
      <c r="X73" s="50" t="s">
        <v>540</v>
      </c>
      <c r="Y73" s="50" t="s">
        <v>540</v>
      </c>
      <c r="Z73" s="50" t="s">
        <v>540</v>
      </c>
      <c r="AA73" s="50" t="s">
        <v>540</v>
      </c>
      <c r="AB73" s="50" t="s">
        <v>540</v>
      </c>
      <c r="AC73" s="50" t="s">
        <v>540</v>
      </c>
      <c r="AD73" s="68">
        <f t="shared" si="6"/>
        <v>0</v>
      </c>
      <c r="AE73" s="69">
        <f t="shared" si="7"/>
        <v>0</v>
      </c>
      <c r="AF73" s="70">
        <v>0</v>
      </c>
      <c r="AG73" s="71">
        <v>1063585264.7619047</v>
      </c>
      <c r="AH73" s="106" t="str">
        <f>VLOOKUP(D73,Sheet3!H:I,2,FALSE)</f>
        <v>B5600</v>
      </c>
      <c r="AI73" s="106"/>
      <c r="AJ73" s="106" t="str">
        <f>VLOOKUP(F73,Sheet3!H:I,2,FALSE)</f>
        <v>B4102</v>
      </c>
    </row>
    <row r="74" spans="1:36" s="74" customFormat="1" ht="15" customHeight="1">
      <c r="A74" s="112" t="s">
        <v>310</v>
      </c>
      <c r="B74" s="45" t="s">
        <v>308</v>
      </c>
      <c r="C74" s="110" t="str">
        <f t="shared" si="4"/>
        <v>B4102</v>
      </c>
      <c r="D74" s="111" t="s">
        <v>244</v>
      </c>
      <c r="E74" s="111" t="str">
        <f t="shared" si="5"/>
        <v>B4102</v>
      </c>
      <c r="F74" s="111" t="s">
        <v>244</v>
      </c>
      <c r="G74" s="112">
        <v>7611600</v>
      </c>
      <c r="H74" s="113" t="s">
        <v>73</v>
      </c>
      <c r="I74" s="46" t="s">
        <v>417</v>
      </c>
      <c r="J74" s="46" t="str">
        <f>VLOOKUP(E74,Sheet3!I:K,3,FALSE)</f>
        <v>DIR</v>
      </c>
      <c r="K74" s="46" t="str">
        <f>VLOOKUP(E74,Sheet3!I:K,2,FALSE)</f>
        <v>MFG</v>
      </c>
      <c r="L74" s="46"/>
      <c r="M74" s="50" t="s">
        <v>540</v>
      </c>
      <c r="N74" s="50" t="s">
        <v>540</v>
      </c>
      <c r="O74" s="50" t="s">
        <v>540</v>
      </c>
      <c r="P74" s="50" t="s">
        <v>540</v>
      </c>
      <c r="Q74" s="50" t="s">
        <v>540</v>
      </c>
      <c r="R74" s="50">
        <v>133333.33333333334</v>
      </c>
      <c r="S74" s="50">
        <v>133333.33333333334</v>
      </c>
      <c r="T74" s="50">
        <v>133333.33333333334</v>
      </c>
      <c r="U74" s="50">
        <v>133333.33333333334</v>
      </c>
      <c r="V74" s="50">
        <v>133333.33333333334</v>
      </c>
      <c r="W74" s="50">
        <v>133333.33333333334</v>
      </c>
      <c r="X74" s="50">
        <v>133333.33333333334</v>
      </c>
      <c r="Y74" s="50">
        <v>133333.33333333334</v>
      </c>
      <c r="Z74" s="50">
        <v>133333.33333333334</v>
      </c>
      <c r="AA74" s="50">
        <v>133333.33333333334</v>
      </c>
      <c r="AB74" s="50">
        <v>133333.33333333334</v>
      </c>
      <c r="AC74" s="50">
        <v>133333.33333333334</v>
      </c>
      <c r="AD74" s="68">
        <f t="shared" si="6"/>
        <v>0</v>
      </c>
      <c r="AE74" s="69">
        <f t="shared" si="7"/>
        <v>1599999.9999999998</v>
      </c>
      <c r="AF74" s="70">
        <v>1599999.9999999998</v>
      </c>
      <c r="AG74" s="71">
        <v>1599999.9999999998</v>
      </c>
      <c r="AH74" s="106" t="str">
        <f>VLOOKUP(D74,Sheet3!H:I,2,FALSE)</f>
        <v>B4102</v>
      </c>
      <c r="AI74" s="106"/>
      <c r="AJ74" s="106" t="str">
        <f>VLOOKUP(F74,Sheet3!H:I,2,FALSE)</f>
        <v>B4102</v>
      </c>
    </row>
    <row r="75" spans="1:36" s="74" customFormat="1" ht="15" customHeight="1">
      <c r="A75" s="112" t="s">
        <v>310</v>
      </c>
      <c r="B75" s="45" t="s">
        <v>326</v>
      </c>
      <c r="C75" s="110" t="str">
        <f t="shared" si="4"/>
        <v>B4102</v>
      </c>
      <c r="D75" s="111" t="s">
        <v>244</v>
      </c>
      <c r="E75" s="111" t="str">
        <f t="shared" si="5"/>
        <v>B4102</v>
      </c>
      <c r="F75" s="111" t="s">
        <v>244</v>
      </c>
      <c r="G75" s="112">
        <v>7611600</v>
      </c>
      <c r="H75" s="113" t="s">
        <v>73</v>
      </c>
      <c r="I75" s="46" t="s">
        <v>418</v>
      </c>
      <c r="J75" s="46" t="str">
        <f>VLOOKUP(E75,Sheet3!I:K,3,FALSE)</f>
        <v>DIR</v>
      </c>
      <c r="K75" s="46" t="str">
        <f>VLOOKUP(E75,Sheet3!I:K,2,FALSE)</f>
        <v>MFG</v>
      </c>
      <c r="L75" s="46"/>
      <c r="M75" s="50" t="s">
        <v>540</v>
      </c>
      <c r="N75" s="50" t="s">
        <v>540</v>
      </c>
      <c r="O75" s="50" t="s">
        <v>540</v>
      </c>
      <c r="P75" s="50" t="s">
        <v>540</v>
      </c>
      <c r="Q75" s="50" t="s">
        <v>540</v>
      </c>
      <c r="R75" s="50">
        <v>133333.33333333334</v>
      </c>
      <c r="S75" s="50">
        <v>133333.33333333334</v>
      </c>
      <c r="T75" s="50">
        <v>133333.33333333334</v>
      </c>
      <c r="U75" s="50">
        <v>133333.33333333334</v>
      </c>
      <c r="V75" s="50">
        <v>133333.33333333334</v>
      </c>
      <c r="W75" s="50">
        <v>133333.33333333334</v>
      </c>
      <c r="X75" s="50">
        <v>133333.33333333334</v>
      </c>
      <c r="Y75" s="50">
        <v>133333.33333333334</v>
      </c>
      <c r="Z75" s="50">
        <v>133333.33333333334</v>
      </c>
      <c r="AA75" s="50">
        <v>133333.33333333334</v>
      </c>
      <c r="AB75" s="50">
        <v>133333.33333333334</v>
      </c>
      <c r="AC75" s="50">
        <v>133333.33333333334</v>
      </c>
      <c r="AD75" s="68">
        <f t="shared" si="6"/>
        <v>0</v>
      </c>
      <c r="AE75" s="69">
        <f t="shared" si="7"/>
        <v>1599999.9999999998</v>
      </c>
      <c r="AF75" s="70">
        <v>1599999.9999999998</v>
      </c>
      <c r="AG75" s="71">
        <v>1599999.9999999998</v>
      </c>
      <c r="AH75" s="106" t="str">
        <f>VLOOKUP(D75,Sheet3!H:I,2,FALSE)</f>
        <v>B4102</v>
      </c>
      <c r="AI75" s="106"/>
      <c r="AJ75" s="106" t="str">
        <f>VLOOKUP(F75,Sheet3!H:I,2,FALSE)</f>
        <v>B4102</v>
      </c>
    </row>
    <row r="76" spans="1:36" s="74" customFormat="1" ht="15" customHeight="1">
      <c r="A76" s="112" t="s">
        <v>310</v>
      </c>
      <c r="B76" s="45" t="s">
        <v>308</v>
      </c>
      <c r="C76" s="110" t="str">
        <f t="shared" si="4"/>
        <v>B4106</v>
      </c>
      <c r="D76" s="111" t="s">
        <v>252</v>
      </c>
      <c r="E76" s="111" t="str">
        <f t="shared" si="5"/>
        <v>B4106</v>
      </c>
      <c r="F76" s="111" t="s">
        <v>252</v>
      </c>
      <c r="G76" s="112">
        <v>7611600</v>
      </c>
      <c r="H76" s="113" t="s">
        <v>73</v>
      </c>
      <c r="I76" s="46" t="s">
        <v>419</v>
      </c>
      <c r="J76" s="46" t="str">
        <f>VLOOKUP(E76,Sheet3!I:K,3,FALSE)</f>
        <v>DIR</v>
      </c>
      <c r="K76" s="46" t="str">
        <f>VLOOKUP(E76,Sheet3!I:K,2,FALSE)</f>
        <v>MFG</v>
      </c>
      <c r="L76" s="46"/>
      <c r="M76" s="50" t="s">
        <v>540</v>
      </c>
      <c r="N76" s="50" t="s">
        <v>540</v>
      </c>
      <c r="O76" s="50" t="s">
        <v>540</v>
      </c>
      <c r="P76" s="50" t="s">
        <v>540</v>
      </c>
      <c r="Q76" s="50" t="s">
        <v>540</v>
      </c>
      <c r="R76" s="50">
        <v>133333.33333333334</v>
      </c>
      <c r="S76" s="50">
        <v>133333.33333333334</v>
      </c>
      <c r="T76" s="50">
        <v>133333.33333333334</v>
      </c>
      <c r="U76" s="50">
        <v>133333.33333333334</v>
      </c>
      <c r="V76" s="50">
        <v>133333.33333333334</v>
      </c>
      <c r="W76" s="50">
        <v>133333.33333333334</v>
      </c>
      <c r="X76" s="50">
        <v>133333.33333333334</v>
      </c>
      <c r="Y76" s="50">
        <v>133333.33333333334</v>
      </c>
      <c r="Z76" s="50">
        <v>133333.33333333334</v>
      </c>
      <c r="AA76" s="50">
        <v>133333.33333333334</v>
      </c>
      <c r="AB76" s="50">
        <v>133333.33333333334</v>
      </c>
      <c r="AC76" s="50">
        <v>133333.33333333334</v>
      </c>
      <c r="AD76" s="68">
        <f t="shared" si="6"/>
        <v>0</v>
      </c>
      <c r="AE76" s="69">
        <f t="shared" si="7"/>
        <v>1599999.9999999998</v>
      </c>
      <c r="AF76" s="70">
        <v>1599999.9999999998</v>
      </c>
      <c r="AG76" s="71">
        <v>1599999.9999999998</v>
      </c>
      <c r="AH76" s="106" t="str">
        <f>VLOOKUP(D76,Sheet3!H:I,2,FALSE)</f>
        <v>B4106</v>
      </c>
      <c r="AI76" s="106"/>
      <c r="AJ76" s="106" t="str">
        <f>VLOOKUP(F76,Sheet3!H:I,2,FALSE)</f>
        <v>B4106</v>
      </c>
    </row>
    <row r="77" spans="1:36" s="74" customFormat="1" ht="15" customHeight="1">
      <c r="A77" s="112" t="s">
        <v>310</v>
      </c>
      <c r="B77" s="45" t="s">
        <v>308</v>
      </c>
      <c r="C77" s="110" t="str">
        <f t="shared" si="4"/>
        <v>B5100</v>
      </c>
      <c r="D77" s="111" t="s">
        <v>273</v>
      </c>
      <c r="E77" s="111" t="str">
        <f t="shared" si="5"/>
        <v>B5100</v>
      </c>
      <c r="F77" s="111" t="s">
        <v>273</v>
      </c>
      <c r="G77" s="112">
        <v>7611600</v>
      </c>
      <c r="H77" s="113" t="s">
        <v>73</v>
      </c>
      <c r="I77" s="46" t="s">
        <v>420</v>
      </c>
      <c r="J77" s="46" t="str">
        <f>VLOOKUP(E77,Sheet3!I:K,3,FALSE)</f>
        <v>IND</v>
      </c>
      <c r="K77" s="46" t="str">
        <f>VLOOKUP(E77,Sheet3!I:K,2,FALSE)</f>
        <v>MFG</v>
      </c>
      <c r="L77" s="46"/>
      <c r="M77" s="50" t="s">
        <v>540</v>
      </c>
      <c r="N77" s="50" t="s">
        <v>540</v>
      </c>
      <c r="O77" s="50" t="s">
        <v>540</v>
      </c>
      <c r="P77" s="50" t="s">
        <v>540</v>
      </c>
      <c r="Q77" s="50" t="s">
        <v>540</v>
      </c>
      <c r="R77" s="50">
        <v>216666.66666666666</v>
      </c>
      <c r="S77" s="50">
        <v>216666.66666666666</v>
      </c>
      <c r="T77" s="50">
        <v>216666.66666666666</v>
      </c>
      <c r="U77" s="50">
        <v>216666.66666666666</v>
      </c>
      <c r="V77" s="50">
        <v>216666.66666666666</v>
      </c>
      <c r="W77" s="50">
        <v>216666.66666666666</v>
      </c>
      <c r="X77" s="50">
        <v>216666.66666666666</v>
      </c>
      <c r="Y77" s="50">
        <v>216666.66666666666</v>
      </c>
      <c r="Z77" s="50">
        <v>216666.66666666666</v>
      </c>
      <c r="AA77" s="50">
        <v>216666.66666666666</v>
      </c>
      <c r="AB77" s="50">
        <v>216666.66666666666</v>
      </c>
      <c r="AC77" s="50">
        <v>216666.66666666666</v>
      </c>
      <c r="AD77" s="68">
        <f t="shared" si="6"/>
        <v>0</v>
      </c>
      <c r="AE77" s="69">
        <f t="shared" si="7"/>
        <v>2600000</v>
      </c>
      <c r="AF77" s="70">
        <v>2600000</v>
      </c>
      <c r="AG77" s="71">
        <v>2600000</v>
      </c>
      <c r="AH77" s="106" t="str">
        <f>VLOOKUP(D77,Sheet3!H:I,2,FALSE)</f>
        <v>B5100</v>
      </c>
      <c r="AI77" s="106"/>
      <c r="AJ77" s="106" t="str">
        <f>VLOOKUP(F77,Sheet3!H:I,2,FALSE)</f>
        <v>B5100</v>
      </c>
    </row>
    <row r="78" spans="1:36" s="74" customFormat="1" ht="15" customHeight="1">
      <c r="A78" s="112" t="s">
        <v>310</v>
      </c>
      <c r="B78" s="45" t="s">
        <v>308</v>
      </c>
      <c r="C78" s="110" t="str">
        <f t="shared" si="4"/>
        <v>B4105</v>
      </c>
      <c r="D78" s="111" t="s">
        <v>248</v>
      </c>
      <c r="E78" s="111" t="str">
        <f t="shared" si="5"/>
        <v>B4105</v>
      </c>
      <c r="F78" s="111" t="s">
        <v>248</v>
      </c>
      <c r="G78" s="112">
        <v>7611600</v>
      </c>
      <c r="H78" s="113" t="s">
        <v>73</v>
      </c>
      <c r="I78" s="46" t="s">
        <v>421</v>
      </c>
      <c r="J78" s="46" t="str">
        <f>VLOOKUP(E78,Sheet3!I:K,3,FALSE)</f>
        <v>DIR</v>
      </c>
      <c r="K78" s="46" t="str">
        <f>VLOOKUP(E78,Sheet3!I:K,2,FALSE)</f>
        <v>MFG</v>
      </c>
      <c r="L78" s="46"/>
      <c r="M78" s="50" t="s">
        <v>540</v>
      </c>
      <c r="N78" s="50" t="s">
        <v>540</v>
      </c>
      <c r="O78" s="50" t="s">
        <v>540</v>
      </c>
      <c r="P78" s="50" t="s">
        <v>540</v>
      </c>
      <c r="Q78" s="50" t="s">
        <v>540</v>
      </c>
      <c r="R78" s="50">
        <v>133333.33333333334</v>
      </c>
      <c r="S78" s="50">
        <v>133333.33333333334</v>
      </c>
      <c r="T78" s="50">
        <v>133333.33333333334</v>
      </c>
      <c r="U78" s="50">
        <v>133333.33333333334</v>
      </c>
      <c r="V78" s="50">
        <v>133333.33333333334</v>
      </c>
      <c r="W78" s="50">
        <v>133333.33333333334</v>
      </c>
      <c r="X78" s="50">
        <v>133333.33333333334</v>
      </c>
      <c r="Y78" s="50">
        <v>133333.33333333334</v>
      </c>
      <c r="Z78" s="50">
        <v>133333.33333333334</v>
      </c>
      <c r="AA78" s="50">
        <v>133333.33333333334</v>
      </c>
      <c r="AB78" s="50">
        <v>133333.33333333334</v>
      </c>
      <c r="AC78" s="50">
        <v>133333.33333333334</v>
      </c>
      <c r="AD78" s="68">
        <f t="shared" si="6"/>
        <v>0</v>
      </c>
      <c r="AE78" s="69">
        <f t="shared" si="7"/>
        <v>1599999.9999999998</v>
      </c>
      <c r="AF78" s="70">
        <v>1599999.9999999998</v>
      </c>
      <c r="AG78" s="71">
        <v>1599999.9999999998</v>
      </c>
      <c r="AH78" s="106" t="str">
        <f>VLOOKUP(D78,Sheet3!H:I,2,FALSE)</f>
        <v>B4105</v>
      </c>
      <c r="AI78" s="106"/>
      <c r="AJ78" s="106" t="str">
        <f>VLOOKUP(F78,Sheet3!H:I,2,FALSE)</f>
        <v>B4105</v>
      </c>
    </row>
    <row r="79" spans="1:36" s="74" customFormat="1" ht="15" customHeight="1">
      <c r="A79" s="112" t="s">
        <v>310</v>
      </c>
      <c r="B79" s="45" t="s">
        <v>326</v>
      </c>
      <c r="C79" s="110" t="str">
        <f t="shared" si="4"/>
        <v>B4105</v>
      </c>
      <c r="D79" s="111" t="s">
        <v>248</v>
      </c>
      <c r="E79" s="111" t="str">
        <f t="shared" si="5"/>
        <v>B4105</v>
      </c>
      <c r="F79" s="111" t="s">
        <v>248</v>
      </c>
      <c r="G79" s="112">
        <v>7611600</v>
      </c>
      <c r="H79" s="113" t="s">
        <v>73</v>
      </c>
      <c r="I79" s="46" t="s">
        <v>484</v>
      </c>
      <c r="J79" s="46" t="str">
        <f>VLOOKUP(E79,Sheet3!I:K,3,FALSE)</f>
        <v>DIR</v>
      </c>
      <c r="K79" s="46" t="str">
        <f>VLOOKUP(E79,Sheet3!I:K,2,FALSE)</f>
        <v>MFG</v>
      </c>
      <c r="L79" s="46"/>
      <c r="M79" s="50" t="s">
        <v>540</v>
      </c>
      <c r="N79" s="50" t="s">
        <v>540</v>
      </c>
      <c r="O79" s="50" t="s">
        <v>540</v>
      </c>
      <c r="P79" s="50">
        <v>216666.66666666666</v>
      </c>
      <c r="Q79" s="50">
        <v>216666.66666666666</v>
      </c>
      <c r="R79" s="50">
        <v>216666.66666666666</v>
      </c>
      <c r="S79" s="50">
        <v>216666.66666666666</v>
      </c>
      <c r="T79" s="50">
        <v>216666.66666666666</v>
      </c>
      <c r="U79" s="50">
        <v>216666.66666666666</v>
      </c>
      <c r="V79" s="50">
        <v>216666.66666666666</v>
      </c>
      <c r="W79" s="50">
        <v>216666.66666666666</v>
      </c>
      <c r="X79" s="50">
        <v>216666.66666666666</v>
      </c>
      <c r="Y79" s="50">
        <v>216666.66666666666</v>
      </c>
      <c r="Z79" s="50">
        <v>216666.66666666666</v>
      </c>
      <c r="AA79" s="50">
        <v>216666.66666666666</v>
      </c>
      <c r="AB79" s="50">
        <v>216666.66666666666</v>
      </c>
      <c r="AC79" s="50">
        <v>216666.66666666666</v>
      </c>
      <c r="AD79" s="68">
        <f t="shared" si="6"/>
        <v>433333.33333333331</v>
      </c>
      <c r="AE79" s="69">
        <f t="shared" si="7"/>
        <v>2600000</v>
      </c>
      <c r="AF79" s="70">
        <v>2600000</v>
      </c>
      <c r="AG79" s="71">
        <v>2600000</v>
      </c>
      <c r="AH79" s="106" t="str">
        <f>VLOOKUP(D79,Sheet3!H:I,2,FALSE)</f>
        <v>B4105</v>
      </c>
      <c r="AI79" s="106"/>
      <c r="AJ79" s="106" t="str">
        <f>VLOOKUP(F79,Sheet3!H:I,2,FALSE)</f>
        <v>B4105</v>
      </c>
    </row>
    <row r="80" spans="1:36" s="74" customFormat="1" ht="15" customHeight="1">
      <c r="A80" s="112" t="s">
        <v>310</v>
      </c>
      <c r="B80" s="45" t="s">
        <v>328</v>
      </c>
      <c r="C80" s="110" t="str">
        <f t="shared" si="4"/>
        <v>B4105</v>
      </c>
      <c r="D80" s="111" t="s">
        <v>248</v>
      </c>
      <c r="E80" s="111" t="str">
        <f t="shared" si="5"/>
        <v>B4105</v>
      </c>
      <c r="F80" s="111" t="s">
        <v>248</v>
      </c>
      <c r="G80" s="112">
        <v>7611600</v>
      </c>
      <c r="H80" s="113" t="s">
        <v>73</v>
      </c>
      <c r="I80" s="46" t="s">
        <v>485</v>
      </c>
      <c r="J80" s="46" t="str">
        <f>VLOOKUP(E80,Sheet3!I:K,3,FALSE)</f>
        <v>DIR</v>
      </c>
      <c r="K80" s="46" t="str">
        <f>VLOOKUP(E80,Sheet3!I:K,2,FALSE)</f>
        <v>MFG</v>
      </c>
      <c r="L80" s="46"/>
      <c r="M80" s="50" t="s">
        <v>540</v>
      </c>
      <c r="N80" s="50" t="s">
        <v>540</v>
      </c>
      <c r="O80" s="50" t="s">
        <v>540</v>
      </c>
      <c r="P80" s="50" t="s">
        <v>540</v>
      </c>
      <c r="Q80" s="50">
        <v>266666.66666666669</v>
      </c>
      <c r="R80" s="50">
        <v>266666.66666666669</v>
      </c>
      <c r="S80" s="50">
        <v>266666.66666666669</v>
      </c>
      <c r="T80" s="50">
        <v>266666.66666666669</v>
      </c>
      <c r="U80" s="50">
        <v>266666.66666666669</v>
      </c>
      <c r="V80" s="50">
        <v>266666.66666666669</v>
      </c>
      <c r="W80" s="50">
        <v>266666.66666666669</v>
      </c>
      <c r="X80" s="50">
        <v>266666.66666666669</v>
      </c>
      <c r="Y80" s="50">
        <v>266666.66666666669</v>
      </c>
      <c r="Z80" s="50">
        <v>266666.66666666669</v>
      </c>
      <c r="AA80" s="50">
        <v>266666.66666666669</v>
      </c>
      <c r="AB80" s="50">
        <v>266666.66666666669</v>
      </c>
      <c r="AC80" s="50">
        <v>266666.66666666669</v>
      </c>
      <c r="AD80" s="68">
        <f t="shared" si="6"/>
        <v>266666.66666666669</v>
      </c>
      <c r="AE80" s="69">
        <f t="shared" si="7"/>
        <v>3199999.9999999995</v>
      </c>
      <c r="AF80" s="70">
        <v>3199999.9999999995</v>
      </c>
      <c r="AG80" s="71">
        <v>3199999.9999999995</v>
      </c>
      <c r="AH80" s="106" t="str">
        <f>VLOOKUP(D80,Sheet3!H:I,2,FALSE)</f>
        <v>B4105</v>
      </c>
      <c r="AI80" s="106"/>
      <c r="AJ80" s="106" t="str">
        <f>VLOOKUP(F80,Sheet3!H:I,2,FALSE)</f>
        <v>B4105</v>
      </c>
    </row>
    <row r="81" spans="1:36" s="74" customFormat="1" ht="15" customHeight="1">
      <c r="A81" s="112" t="s">
        <v>310</v>
      </c>
      <c r="B81" s="45" t="s">
        <v>308</v>
      </c>
      <c r="C81" s="110" t="str">
        <f t="shared" si="4"/>
        <v>B4410</v>
      </c>
      <c r="D81" s="111" t="s">
        <v>264</v>
      </c>
      <c r="E81" s="111" t="str">
        <f t="shared" si="5"/>
        <v>B4410</v>
      </c>
      <c r="F81" s="111" t="s">
        <v>264</v>
      </c>
      <c r="G81" s="112">
        <v>7611600</v>
      </c>
      <c r="H81" s="113" t="s">
        <v>73</v>
      </c>
      <c r="I81" s="46" t="s">
        <v>489</v>
      </c>
      <c r="J81" s="46" t="str">
        <f>VLOOKUP(E81,Sheet3!I:K,3,FALSE)</f>
        <v>DIR</v>
      </c>
      <c r="K81" s="46" t="str">
        <f>VLOOKUP(E81,Sheet3!I:K,2,FALSE)</f>
        <v>MFG</v>
      </c>
      <c r="L81" s="46"/>
      <c r="M81" s="50" t="s">
        <v>540</v>
      </c>
      <c r="N81" s="50" t="s">
        <v>540</v>
      </c>
      <c r="O81" s="50" t="s">
        <v>540</v>
      </c>
      <c r="P81" s="50" t="s">
        <v>540</v>
      </c>
      <c r="Q81" s="50">
        <v>166666.66666666666</v>
      </c>
      <c r="R81" s="50">
        <v>166666.66666666666</v>
      </c>
      <c r="S81" s="50">
        <v>166666.66666666666</v>
      </c>
      <c r="T81" s="50">
        <v>166666.66666666666</v>
      </c>
      <c r="U81" s="50">
        <v>166666.66666666666</v>
      </c>
      <c r="V81" s="50">
        <v>166666.66666666666</v>
      </c>
      <c r="W81" s="50">
        <v>166666.66666666666</v>
      </c>
      <c r="X81" s="50">
        <v>166666.66666666666</v>
      </c>
      <c r="Y81" s="50">
        <v>166666.66666666666</v>
      </c>
      <c r="Z81" s="50">
        <v>166666.66666666666</v>
      </c>
      <c r="AA81" s="50">
        <v>166666.66666666666</v>
      </c>
      <c r="AB81" s="50">
        <v>166666.66666666666</v>
      </c>
      <c r="AC81" s="50">
        <v>166666.66666666666</v>
      </c>
      <c r="AD81" s="68">
        <f t="shared" si="6"/>
        <v>166666.66666666666</v>
      </c>
      <c r="AE81" s="69">
        <f t="shared" si="7"/>
        <v>2000000.0000000002</v>
      </c>
      <c r="AF81" s="70">
        <v>2000000.0000000002</v>
      </c>
      <c r="AG81" s="71">
        <v>2000000.0000000002</v>
      </c>
      <c r="AH81" s="106" t="str">
        <f>VLOOKUP(D81,Sheet3!H:I,2,FALSE)</f>
        <v>B4410</v>
      </c>
      <c r="AI81" s="106"/>
      <c r="AJ81" s="106" t="str">
        <f>VLOOKUP(F81,Sheet3!H:I,2,FALSE)</f>
        <v>B4410</v>
      </c>
    </row>
    <row r="82" spans="1:36" s="74" customFormat="1" ht="15" customHeight="1">
      <c r="A82" s="112" t="s">
        <v>310</v>
      </c>
      <c r="B82" s="45" t="s">
        <v>308</v>
      </c>
      <c r="C82" s="110" t="str">
        <f t="shared" si="4"/>
        <v>B4430</v>
      </c>
      <c r="D82" s="111" t="s">
        <v>266</v>
      </c>
      <c r="E82" s="111" t="str">
        <f t="shared" si="5"/>
        <v>B4430</v>
      </c>
      <c r="F82" s="111" t="s">
        <v>266</v>
      </c>
      <c r="G82" s="112">
        <v>7611300</v>
      </c>
      <c r="H82" s="113" t="s">
        <v>69</v>
      </c>
      <c r="I82" s="46" t="s">
        <v>422</v>
      </c>
      <c r="J82" s="46" t="str">
        <f>VLOOKUP(E82,Sheet3!I:K,3,FALSE)</f>
        <v>DIR</v>
      </c>
      <c r="K82" s="46" t="str">
        <f>VLOOKUP(E82,Sheet3!I:K,2,FALSE)</f>
        <v>MFG</v>
      </c>
      <c r="L82" s="46"/>
      <c r="M82" s="50" t="s">
        <v>540</v>
      </c>
      <c r="N82" s="50" t="s">
        <v>540</v>
      </c>
      <c r="O82" s="50" t="s">
        <v>540</v>
      </c>
      <c r="P82" s="50" t="s">
        <v>540</v>
      </c>
      <c r="Q82" s="50" t="s">
        <v>540</v>
      </c>
      <c r="R82" s="50">
        <v>83333.333333333328</v>
      </c>
      <c r="S82" s="50">
        <v>83333.333333333328</v>
      </c>
      <c r="T82" s="50">
        <v>83333.333333333328</v>
      </c>
      <c r="U82" s="50">
        <v>83333.333333333328</v>
      </c>
      <c r="V82" s="50">
        <v>83333.333333333328</v>
      </c>
      <c r="W82" s="50">
        <v>83333.333333333328</v>
      </c>
      <c r="X82" s="50">
        <v>83333.333333333328</v>
      </c>
      <c r="Y82" s="50">
        <v>83333.333333333328</v>
      </c>
      <c r="Z82" s="50">
        <v>83333.333333333328</v>
      </c>
      <c r="AA82" s="50">
        <v>83333.333333333328</v>
      </c>
      <c r="AB82" s="50">
        <v>83333.333333333328</v>
      </c>
      <c r="AC82" s="50">
        <v>83333.333333333328</v>
      </c>
      <c r="AD82" s="68">
        <f t="shared" si="6"/>
        <v>0</v>
      </c>
      <c r="AE82" s="69">
        <f t="shared" si="7"/>
        <v>1000000.0000000001</v>
      </c>
      <c r="AF82" s="70">
        <v>1000000.0000000001</v>
      </c>
      <c r="AG82" s="71">
        <v>1000000.0000000001</v>
      </c>
      <c r="AH82" s="106" t="str">
        <f>VLOOKUP(D82,Sheet3!H:I,2,FALSE)</f>
        <v>B4430</v>
      </c>
      <c r="AI82" s="106"/>
      <c r="AJ82" s="106" t="str">
        <f>VLOOKUP(F82,Sheet3!H:I,2,FALSE)</f>
        <v>B4430</v>
      </c>
    </row>
    <row r="83" spans="1:36" s="74" customFormat="1" ht="15" customHeight="1">
      <c r="A83" s="112" t="s">
        <v>310</v>
      </c>
      <c r="B83" s="45" t="s">
        <v>326</v>
      </c>
      <c r="C83" s="110" t="str">
        <f t="shared" si="4"/>
        <v>B4430</v>
      </c>
      <c r="D83" s="111" t="s">
        <v>266</v>
      </c>
      <c r="E83" s="111" t="str">
        <f t="shared" si="5"/>
        <v>B4430</v>
      </c>
      <c r="F83" s="111" t="s">
        <v>266</v>
      </c>
      <c r="G83" s="112">
        <v>7611600</v>
      </c>
      <c r="H83" s="113" t="s">
        <v>73</v>
      </c>
      <c r="I83" s="46" t="s">
        <v>489</v>
      </c>
      <c r="J83" s="46" t="str">
        <f>VLOOKUP(E83,Sheet3!I:K,3,FALSE)</f>
        <v>DIR</v>
      </c>
      <c r="K83" s="46" t="str">
        <f>VLOOKUP(E83,Sheet3!I:K,2,FALSE)</f>
        <v>MFG</v>
      </c>
      <c r="L83" s="46"/>
      <c r="M83" s="50" t="s">
        <v>540</v>
      </c>
      <c r="N83" s="50" t="s">
        <v>540</v>
      </c>
      <c r="O83" s="50" t="s">
        <v>540</v>
      </c>
      <c r="P83" s="50" t="s">
        <v>540</v>
      </c>
      <c r="Q83" s="50">
        <v>166666.66666666666</v>
      </c>
      <c r="R83" s="50">
        <v>166666.66666666666</v>
      </c>
      <c r="S83" s="50">
        <v>166666.66666666666</v>
      </c>
      <c r="T83" s="50">
        <v>166666.66666666666</v>
      </c>
      <c r="U83" s="50">
        <v>166666.66666666666</v>
      </c>
      <c r="V83" s="50">
        <v>166666.66666666666</v>
      </c>
      <c r="W83" s="50">
        <v>166666.66666666666</v>
      </c>
      <c r="X83" s="50">
        <v>166666.66666666666</v>
      </c>
      <c r="Y83" s="50">
        <v>166666.66666666666</v>
      </c>
      <c r="Z83" s="50">
        <v>166666.66666666666</v>
      </c>
      <c r="AA83" s="50">
        <v>166666.66666666666</v>
      </c>
      <c r="AB83" s="50">
        <v>166666.66666666666</v>
      </c>
      <c r="AC83" s="50">
        <v>166666.66666666666</v>
      </c>
      <c r="AD83" s="68">
        <f t="shared" si="6"/>
        <v>166666.66666666666</v>
      </c>
      <c r="AE83" s="69">
        <f t="shared" si="7"/>
        <v>2000000.0000000002</v>
      </c>
      <c r="AF83" s="70">
        <v>2000000.0000000002</v>
      </c>
      <c r="AG83" s="71">
        <v>2000000.0000000002</v>
      </c>
      <c r="AH83" s="106" t="str">
        <f>VLOOKUP(D83,Sheet3!H:I,2,FALSE)</f>
        <v>B4430</v>
      </c>
      <c r="AI83" s="106"/>
      <c r="AJ83" s="106" t="str">
        <f>VLOOKUP(F83,Sheet3!H:I,2,FALSE)</f>
        <v>B4430</v>
      </c>
    </row>
    <row r="84" spans="1:36" s="74" customFormat="1" ht="15" customHeight="1">
      <c r="A84" s="112" t="s">
        <v>310</v>
      </c>
      <c r="B84" s="45" t="s">
        <v>308</v>
      </c>
      <c r="C84" s="110" t="str">
        <f t="shared" si="4"/>
        <v>B4440</v>
      </c>
      <c r="D84" s="111" t="s">
        <v>268</v>
      </c>
      <c r="E84" s="111" t="str">
        <f t="shared" si="5"/>
        <v>B4440</v>
      </c>
      <c r="F84" s="111" t="s">
        <v>268</v>
      </c>
      <c r="G84" s="112">
        <v>7611300</v>
      </c>
      <c r="H84" s="113" t="s">
        <v>69</v>
      </c>
      <c r="I84" s="46" t="s">
        <v>423</v>
      </c>
      <c r="J84" s="46" t="str">
        <f>VLOOKUP(E84,Sheet3!I:K,3,FALSE)</f>
        <v>DIR</v>
      </c>
      <c r="K84" s="46" t="str">
        <f>VLOOKUP(E84,Sheet3!I:K,2,FALSE)</f>
        <v>MFG</v>
      </c>
      <c r="L84" s="46"/>
      <c r="M84" s="50" t="s">
        <v>540</v>
      </c>
      <c r="N84" s="50" t="s">
        <v>540</v>
      </c>
      <c r="O84" s="50" t="s">
        <v>540</v>
      </c>
      <c r="P84" s="50" t="s">
        <v>540</v>
      </c>
      <c r="Q84" s="50" t="s">
        <v>540</v>
      </c>
      <c r="R84" s="50">
        <v>100000</v>
      </c>
      <c r="S84" s="50">
        <v>100000</v>
      </c>
      <c r="T84" s="50">
        <v>100000</v>
      </c>
      <c r="U84" s="50">
        <v>100000</v>
      </c>
      <c r="V84" s="50">
        <v>100000</v>
      </c>
      <c r="W84" s="50">
        <v>100000</v>
      </c>
      <c r="X84" s="50">
        <v>100000</v>
      </c>
      <c r="Y84" s="50">
        <v>100000</v>
      </c>
      <c r="Z84" s="50">
        <v>100000</v>
      </c>
      <c r="AA84" s="50">
        <v>100000</v>
      </c>
      <c r="AB84" s="50">
        <v>100000</v>
      </c>
      <c r="AC84" s="50">
        <v>100000</v>
      </c>
      <c r="AD84" s="68">
        <f t="shared" si="6"/>
        <v>0</v>
      </c>
      <c r="AE84" s="69">
        <f t="shared" si="7"/>
        <v>1200000</v>
      </c>
      <c r="AF84" s="70">
        <v>1200000</v>
      </c>
      <c r="AG84" s="71">
        <v>1200000</v>
      </c>
      <c r="AH84" s="106" t="str">
        <f>VLOOKUP(D84,Sheet3!H:I,2,FALSE)</f>
        <v>B4440</v>
      </c>
      <c r="AI84" s="106"/>
      <c r="AJ84" s="106" t="str">
        <f>VLOOKUP(F84,Sheet3!H:I,2,FALSE)</f>
        <v>B4440</v>
      </c>
    </row>
    <row r="85" spans="1:36" s="74" customFormat="1" ht="15" customHeight="1">
      <c r="A85" s="112" t="s">
        <v>310</v>
      </c>
      <c r="B85" s="45" t="s">
        <v>308</v>
      </c>
      <c r="C85" s="110" t="str">
        <f t="shared" si="4"/>
        <v>B4110</v>
      </c>
      <c r="D85" s="111" t="s">
        <v>254</v>
      </c>
      <c r="E85" s="111" t="str">
        <f t="shared" si="5"/>
        <v>B4110</v>
      </c>
      <c r="F85" s="111" t="s">
        <v>254</v>
      </c>
      <c r="G85" s="112">
        <v>7611600</v>
      </c>
      <c r="H85" s="113" t="s">
        <v>73</v>
      </c>
      <c r="I85" s="46" t="s">
        <v>415</v>
      </c>
      <c r="J85" s="46" t="str">
        <f>VLOOKUP(E85,Sheet3!I:K,3,FALSE)</f>
        <v>DIR</v>
      </c>
      <c r="K85" s="46" t="str">
        <f>VLOOKUP(E85,Sheet3!I:K,2,FALSE)</f>
        <v>MFG</v>
      </c>
      <c r="L85" s="46"/>
      <c r="M85" s="50" t="s">
        <v>540</v>
      </c>
      <c r="N85" s="50" t="s">
        <v>540</v>
      </c>
      <c r="O85" s="50" t="s">
        <v>540</v>
      </c>
      <c r="P85" s="50" t="s">
        <v>540</v>
      </c>
      <c r="Q85" s="50" t="s">
        <v>540</v>
      </c>
      <c r="R85" s="50" t="s">
        <v>540</v>
      </c>
      <c r="S85" s="50">
        <v>133333.33333333334</v>
      </c>
      <c r="T85" s="50">
        <v>133333.33333333334</v>
      </c>
      <c r="U85" s="50">
        <v>133333.33333333334</v>
      </c>
      <c r="V85" s="50">
        <v>133333.33333333334</v>
      </c>
      <c r="W85" s="50">
        <v>133333.33333333334</v>
      </c>
      <c r="X85" s="50">
        <v>133333.33333333334</v>
      </c>
      <c r="Y85" s="50">
        <v>133333.33333333334</v>
      </c>
      <c r="Z85" s="50">
        <v>133333.33333333334</v>
      </c>
      <c r="AA85" s="50">
        <v>133333.33333333334</v>
      </c>
      <c r="AB85" s="50">
        <v>133333.33333333334</v>
      </c>
      <c r="AC85" s="50">
        <v>133333.33333333334</v>
      </c>
      <c r="AD85" s="68">
        <f t="shared" si="6"/>
        <v>0</v>
      </c>
      <c r="AE85" s="69">
        <f t="shared" si="7"/>
        <v>1466666.6666666665</v>
      </c>
      <c r="AF85" s="70">
        <v>1599999.9999999998</v>
      </c>
      <c r="AG85" s="71">
        <v>1599999.9999999998</v>
      </c>
      <c r="AH85" s="106" t="str">
        <f>VLOOKUP(D85,Sheet3!H:I,2,FALSE)</f>
        <v>B4110</v>
      </c>
      <c r="AI85" s="106"/>
      <c r="AJ85" s="106" t="str">
        <f>VLOOKUP(F85,Sheet3!H:I,2,FALSE)</f>
        <v>B4110</v>
      </c>
    </row>
    <row r="86" spans="1:36" s="74" customFormat="1" ht="15" customHeight="1">
      <c r="A86" s="112" t="s">
        <v>310</v>
      </c>
      <c r="B86" s="45" t="s">
        <v>326</v>
      </c>
      <c r="C86" s="110" t="str">
        <f t="shared" si="4"/>
        <v>B4110</v>
      </c>
      <c r="D86" s="111" t="s">
        <v>254</v>
      </c>
      <c r="E86" s="111" t="str">
        <f t="shared" si="5"/>
        <v>B4110</v>
      </c>
      <c r="F86" s="111" t="s">
        <v>254</v>
      </c>
      <c r="G86" s="112">
        <v>7611600</v>
      </c>
      <c r="H86" s="113" t="s">
        <v>73</v>
      </c>
      <c r="I86" s="46" t="s">
        <v>416</v>
      </c>
      <c r="J86" s="46" t="str">
        <f>VLOOKUP(E86,Sheet3!I:K,3,FALSE)</f>
        <v>DIR</v>
      </c>
      <c r="K86" s="46" t="str">
        <f>VLOOKUP(E86,Sheet3!I:K,2,FALSE)</f>
        <v>MFG</v>
      </c>
      <c r="L86" s="46"/>
      <c r="M86" s="50" t="s">
        <v>540</v>
      </c>
      <c r="N86" s="50" t="s">
        <v>540</v>
      </c>
      <c r="O86" s="50" t="s">
        <v>540</v>
      </c>
      <c r="P86" s="50" t="s">
        <v>540</v>
      </c>
      <c r="Q86" s="50" t="s">
        <v>540</v>
      </c>
      <c r="R86" s="50" t="s">
        <v>540</v>
      </c>
      <c r="S86" s="50" t="s">
        <v>540</v>
      </c>
      <c r="T86" s="50" t="s">
        <v>540</v>
      </c>
      <c r="U86" s="50">
        <v>133333.33333333334</v>
      </c>
      <c r="V86" s="50">
        <v>133333.33333333334</v>
      </c>
      <c r="W86" s="50">
        <v>133333.33333333334</v>
      </c>
      <c r="X86" s="50">
        <v>133333.33333333334</v>
      </c>
      <c r="Y86" s="50">
        <v>133333.33333333334</v>
      </c>
      <c r="Z86" s="50">
        <v>133333.33333333334</v>
      </c>
      <c r="AA86" s="50">
        <v>133333.33333333334</v>
      </c>
      <c r="AB86" s="50">
        <v>133333.33333333334</v>
      </c>
      <c r="AC86" s="50">
        <v>133333.33333333334</v>
      </c>
      <c r="AD86" s="68">
        <f t="shared" si="6"/>
        <v>0</v>
      </c>
      <c r="AE86" s="69">
        <f t="shared" si="7"/>
        <v>1200000</v>
      </c>
      <c r="AF86" s="70">
        <v>1599999.9999999998</v>
      </c>
      <c r="AG86" s="71">
        <v>1599999.9999999998</v>
      </c>
      <c r="AH86" s="106" t="str">
        <f>VLOOKUP(D86,Sheet3!H:I,2,FALSE)</f>
        <v>B4110</v>
      </c>
      <c r="AI86" s="106"/>
      <c r="AJ86" s="106" t="str">
        <f>VLOOKUP(F86,Sheet3!H:I,2,FALSE)</f>
        <v>B4110</v>
      </c>
    </row>
    <row r="87" spans="1:36" s="74" customFormat="1" ht="15" customHeight="1">
      <c r="A87" s="112" t="s">
        <v>310</v>
      </c>
      <c r="B87" s="45" t="s">
        <v>328</v>
      </c>
      <c r="C87" s="110" t="str">
        <f t="shared" si="4"/>
        <v>B4110</v>
      </c>
      <c r="D87" s="111" t="s">
        <v>254</v>
      </c>
      <c r="E87" s="111" t="str">
        <f t="shared" si="5"/>
        <v>B4110</v>
      </c>
      <c r="F87" s="111" t="s">
        <v>254</v>
      </c>
      <c r="G87" s="112">
        <v>7611600</v>
      </c>
      <c r="H87" s="113" t="s">
        <v>73</v>
      </c>
      <c r="I87" s="46" t="s">
        <v>488</v>
      </c>
      <c r="J87" s="46" t="str">
        <f>VLOOKUP(E87,Sheet3!I:K,3,FALSE)</f>
        <v>DIR</v>
      </c>
      <c r="K87" s="46" t="str">
        <f>VLOOKUP(E87,Sheet3!I:K,2,FALSE)</f>
        <v>MFG</v>
      </c>
      <c r="L87" s="46"/>
      <c r="M87" s="50">
        <v>250000</v>
      </c>
      <c r="N87" s="50">
        <v>250000</v>
      </c>
      <c r="O87" s="50">
        <v>250000</v>
      </c>
      <c r="P87" s="50">
        <v>250000</v>
      </c>
      <c r="Q87" s="50">
        <v>250000</v>
      </c>
      <c r="R87" s="50">
        <v>250000</v>
      </c>
      <c r="S87" s="50">
        <v>250000</v>
      </c>
      <c r="T87" s="50">
        <v>250000</v>
      </c>
      <c r="U87" s="50">
        <v>250000</v>
      </c>
      <c r="V87" s="50">
        <v>250000</v>
      </c>
      <c r="W87" s="50">
        <v>250000</v>
      </c>
      <c r="X87" s="50">
        <v>250000</v>
      </c>
      <c r="Y87" s="50">
        <v>250000</v>
      </c>
      <c r="Z87" s="50">
        <v>250000</v>
      </c>
      <c r="AA87" s="50">
        <v>250000</v>
      </c>
      <c r="AB87" s="50">
        <v>250000</v>
      </c>
      <c r="AC87" s="50">
        <v>250000</v>
      </c>
      <c r="AD87" s="68">
        <f t="shared" si="6"/>
        <v>1250000</v>
      </c>
      <c r="AE87" s="69">
        <f t="shared" si="7"/>
        <v>3000000</v>
      </c>
      <c r="AF87" s="70">
        <v>3000000</v>
      </c>
      <c r="AG87" s="71">
        <v>3000000</v>
      </c>
      <c r="AH87" s="106" t="str">
        <f>VLOOKUP(D87,Sheet3!H:I,2,FALSE)</f>
        <v>B4110</v>
      </c>
      <c r="AI87" s="106"/>
      <c r="AJ87" s="106" t="str">
        <f>VLOOKUP(F87,Sheet3!H:I,2,FALSE)</f>
        <v>B4110</v>
      </c>
    </row>
    <row r="88" spans="1:36" s="74" customFormat="1" ht="15" customHeight="1">
      <c r="A88" s="112" t="s">
        <v>310</v>
      </c>
      <c r="B88" s="45" t="s">
        <v>308</v>
      </c>
      <c r="C88" s="110" t="str">
        <f t="shared" si="4"/>
        <v>B4120</v>
      </c>
      <c r="D88" s="111" t="s">
        <v>260</v>
      </c>
      <c r="E88" s="111" t="str">
        <f t="shared" si="5"/>
        <v>B4120</v>
      </c>
      <c r="F88" s="111" t="s">
        <v>260</v>
      </c>
      <c r="G88" s="112">
        <v>7611600</v>
      </c>
      <c r="H88" s="113" t="s">
        <v>73</v>
      </c>
      <c r="I88" s="46" t="s">
        <v>424</v>
      </c>
      <c r="J88" s="46" t="str">
        <f>VLOOKUP(E88,Sheet3!I:K,3,FALSE)</f>
        <v>DIR</v>
      </c>
      <c r="K88" s="46" t="str">
        <f>VLOOKUP(E88,Sheet3!I:K,2,FALSE)</f>
        <v>MFG</v>
      </c>
      <c r="L88" s="46"/>
      <c r="M88" s="50" t="s">
        <v>540</v>
      </c>
      <c r="N88" s="50" t="s">
        <v>540</v>
      </c>
      <c r="O88" s="50" t="s">
        <v>540</v>
      </c>
      <c r="P88" s="50" t="s">
        <v>540</v>
      </c>
      <c r="Q88" s="50" t="s">
        <v>540</v>
      </c>
      <c r="R88" s="50" t="s">
        <v>540</v>
      </c>
      <c r="S88" s="50" t="s">
        <v>540</v>
      </c>
      <c r="T88" s="50" t="s">
        <v>540</v>
      </c>
      <c r="U88" s="50" t="s">
        <v>540</v>
      </c>
      <c r="V88" s="50">
        <v>133333.33333333334</v>
      </c>
      <c r="W88" s="50">
        <v>133333.33333333334</v>
      </c>
      <c r="X88" s="50">
        <v>133333.33333333334</v>
      </c>
      <c r="Y88" s="50">
        <v>133333.33333333334</v>
      </c>
      <c r="Z88" s="50">
        <v>133333.33333333334</v>
      </c>
      <c r="AA88" s="50">
        <v>133333.33333333334</v>
      </c>
      <c r="AB88" s="50">
        <v>133333.33333333334</v>
      </c>
      <c r="AC88" s="50">
        <v>133333.33333333334</v>
      </c>
      <c r="AD88" s="68">
        <f t="shared" si="6"/>
        <v>0</v>
      </c>
      <c r="AE88" s="69">
        <f t="shared" si="7"/>
        <v>1066666.6666666667</v>
      </c>
      <c r="AF88" s="70">
        <v>1599999.9999999998</v>
      </c>
      <c r="AG88" s="71">
        <v>1599999.9999999998</v>
      </c>
      <c r="AH88" s="106" t="str">
        <f>VLOOKUP(D88,Sheet3!H:I,2,FALSE)</f>
        <v>B4120</v>
      </c>
      <c r="AI88" s="106"/>
      <c r="AJ88" s="106" t="str">
        <f>VLOOKUP(F88,Sheet3!H:I,2,FALSE)</f>
        <v>B4120</v>
      </c>
    </row>
    <row r="89" spans="1:36" s="74" customFormat="1" ht="15" customHeight="1">
      <c r="A89" s="112" t="s">
        <v>310</v>
      </c>
      <c r="B89" s="45" t="s">
        <v>326</v>
      </c>
      <c r="C89" s="110" t="str">
        <f t="shared" si="4"/>
        <v>B4120</v>
      </c>
      <c r="D89" s="111" t="s">
        <v>260</v>
      </c>
      <c r="E89" s="111" t="str">
        <f t="shared" si="5"/>
        <v>B4120</v>
      </c>
      <c r="F89" s="111" t="s">
        <v>260</v>
      </c>
      <c r="G89" s="112">
        <v>7611600</v>
      </c>
      <c r="H89" s="113" t="s">
        <v>73</v>
      </c>
      <c r="I89" s="46" t="s">
        <v>425</v>
      </c>
      <c r="J89" s="46" t="str">
        <f>VLOOKUP(E89,Sheet3!I:K,3,FALSE)</f>
        <v>DIR</v>
      </c>
      <c r="K89" s="46" t="str">
        <f>VLOOKUP(E89,Sheet3!I:K,2,FALSE)</f>
        <v>MFG</v>
      </c>
      <c r="L89" s="46"/>
      <c r="M89" s="50" t="s">
        <v>540</v>
      </c>
      <c r="N89" s="50" t="s">
        <v>540</v>
      </c>
      <c r="O89" s="50" t="s">
        <v>540</v>
      </c>
      <c r="P89" s="50" t="s">
        <v>540</v>
      </c>
      <c r="Q89" s="50" t="s">
        <v>540</v>
      </c>
      <c r="R89" s="50" t="s">
        <v>540</v>
      </c>
      <c r="S89" s="50" t="s">
        <v>540</v>
      </c>
      <c r="T89" s="50" t="s">
        <v>540</v>
      </c>
      <c r="U89" s="50" t="s">
        <v>540</v>
      </c>
      <c r="V89" s="50">
        <v>250000</v>
      </c>
      <c r="W89" s="50">
        <v>250000</v>
      </c>
      <c r="X89" s="50">
        <v>250000</v>
      </c>
      <c r="Y89" s="50">
        <v>250000</v>
      </c>
      <c r="Z89" s="50">
        <v>250000</v>
      </c>
      <c r="AA89" s="50">
        <v>250000</v>
      </c>
      <c r="AB89" s="50">
        <v>250000</v>
      </c>
      <c r="AC89" s="50">
        <v>250000</v>
      </c>
      <c r="AD89" s="68">
        <f t="shared" si="6"/>
        <v>0</v>
      </c>
      <c r="AE89" s="69">
        <f t="shared" si="7"/>
        <v>2000000</v>
      </c>
      <c r="AF89" s="70">
        <v>3000000</v>
      </c>
      <c r="AG89" s="71">
        <v>3000000</v>
      </c>
      <c r="AH89" s="106" t="str">
        <f>VLOOKUP(D89,Sheet3!H:I,2,FALSE)</f>
        <v>B4120</v>
      </c>
      <c r="AI89" s="106"/>
      <c r="AJ89" s="106" t="str">
        <f>VLOOKUP(F89,Sheet3!H:I,2,FALSE)</f>
        <v>B4120</v>
      </c>
    </row>
    <row r="90" spans="1:36" s="74" customFormat="1" ht="15" customHeight="1">
      <c r="A90" s="112" t="s">
        <v>310</v>
      </c>
      <c r="B90" s="45" t="s">
        <v>328</v>
      </c>
      <c r="C90" s="110" t="str">
        <f t="shared" si="4"/>
        <v>B4120</v>
      </c>
      <c r="D90" s="111" t="s">
        <v>260</v>
      </c>
      <c r="E90" s="111" t="str">
        <f t="shared" si="5"/>
        <v>B4120</v>
      </c>
      <c r="F90" s="111" t="s">
        <v>260</v>
      </c>
      <c r="G90" s="112">
        <v>7611600</v>
      </c>
      <c r="H90" s="113" t="s">
        <v>73</v>
      </c>
      <c r="I90" s="46" t="s">
        <v>486</v>
      </c>
      <c r="J90" s="46" t="str">
        <f>VLOOKUP(E90,Sheet3!I:K,3,FALSE)</f>
        <v>DIR</v>
      </c>
      <c r="K90" s="46" t="str">
        <f>VLOOKUP(E90,Sheet3!I:K,2,FALSE)</f>
        <v>MFG</v>
      </c>
      <c r="L90" s="46"/>
      <c r="M90" s="50" t="s">
        <v>540</v>
      </c>
      <c r="N90" s="50" t="s">
        <v>540</v>
      </c>
      <c r="O90" s="50" t="s">
        <v>540</v>
      </c>
      <c r="P90" s="50">
        <v>166666.66666666666</v>
      </c>
      <c r="Q90" s="50">
        <v>166666.66666666666</v>
      </c>
      <c r="R90" s="50">
        <v>166666.66666666666</v>
      </c>
      <c r="S90" s="50">
        <v>166666.66666666666</v>
      </c>
      <c r="T90" s="50">
        <v>166666.66666666666</v>
      </c>
      <c r="U90" s="50">
        <v>166666.66666666666</v>
      </c>
      <c r="V90" s="50">
        <v>166666.66666666666</v>
      </c>
      <c r="W90" s="50">
        <v>166666.66666666666</v>
      </c>
      <c r="X90" s="50">
        <v>166666.66666666666</v>
      </c>
      <c r="Y90" s="50">
        <v>166666.66666666666</v>
      </c>
      <c r="Z90" s="50">
        <v>166666.66666666666</v>
      </c>
      <c r="AA90" s="50">
        <v>166666.66666666666</v>
      </c>
      <c r="AB90" s="50">
        <v>166666.66666666666</v>
      </c>
      <c r="AC90" s="50">
        <v>166666.66666666666</v>
      </c>
      <c r="AD90" s="68">
        <f t="shared" si="6"/>
        <v>333333.33333333331</v>
      </c>
      <c r="AE90" s="69">
        <f t="shared" si="7"/>
        <v>2000000.0000000002</v>
      </c>
      <c r="AF90" s="70">
        <v>2000000.0000000002</v>
      </c>
      <c r="AG90" s="71">
        <v>2000000.0000000002</v>
      </c>
      <c r="AH90" s="106" t="str">
        <f>VLOOKUP(D90,Sheet3!H:I,2,FALSE)</f>
        <v>B4120</v>
      </c>
      <c r="AI90" s="106"/>
      <c r="AJ90" s="106" t="str">
        <f>VLOOKUP(F90,Sheet3!H:I,2,FALSE)</f>
        <v>B4120</v>
      </c>
    </row>
    <row r="91" spans="1:36" s="74" customFormat="1" ht="15" customHeight="1">
      <c r="A91" s="112" t="s">
        <v>310</v>
      </c>
      <c r="B91" s="45" t="s">
        <v>356</v>
      </c>
      <c r="C91" s="110" t="str">
        <f t="shared" si="4"/>
        <v>B4120</v>
      </c>
      <c r="D91" s="111" t="s">
        <v>260</v>
      </c>
      <c r="E91" s="111" t="str">
        <f t="shared" si="5"/>
        <v>B4120</v>
      </c>
      <c r="F91" s="111" t="s">
        <v>260</v>
      </c>
      <c r="G91" s="112">
        <v>7611600</v>
      </c>
      <c r="H91" s="113" t="s">
        <v>73</v>
      </c>
      <c r="I91" s="46" t="s">
        <v>487</v>
      </c>
      <c r="J91" s="46" t="str">
        <f>VLOOKUP(E91,Sheet3!I:K,3,FALSE)</f>
        <v>DIR</v>
      </c>
      <c r="K91" s="46" t="str">
        <f>VLOOKUP(E91,Sheet3!I:K,2,FALSE)</f>
        <v>MFG</v>
      </c>
      <c r="L91" s="46"/>
      <c r="M91" s="50" t="s">
        <v>540</v>
      </c>
      <c r="N91" s="50" t="s">
        <v>540</v>
      </c>
      <c r="O91" s="50" t="s">
        <v>540</v>
      </c>
      <c r="P91" s="50">
        <v>100000</v>
      </c>
      <c r="Q91" s="50">
        <v>100000</v>
      </c>
      <c r="R91" s="50">
        <v>100000</v>
      </c>
      <c r="S91" s="50">
        <v>100000</v>
      </c>
      <c r="T91" s="50">
        <v>100000</v>
      </c>
      <c r="U91" s="50">
        <v>100000</v>
      </c>
      <c r="V91" s="50">
        <v>100000</v>
      </c>
      <c r="W91" s="50">
        <v>100000</v>
      </c>
      <c r="X91" s="50">
        <v>100000</v>
      </c>
      <c r="Y91" s="50">
        <v>100000</v>
      </c>
      <c r="Z91" s="50">
        <v>100000</v>
      </c>
      <c r="AA91" s="50">
        <v>100000</v>
      </c>
      <c r="AB91" s="50">
        <v>100000</v>
      </c>
      <c r="AC91" s="50">
        <v>100000</v>
      </c>
      <c r="AD91" s="68">
        <f t="shared" si="6"/>
        <v>200000</v>
      </c>
      <c r="AE91" s="69">
        <f t="shared" si="7"/>
        <v>1200000</v>
      </c>
      <c r="AF91" s="70">
        <v>1200000</v>
      </c>
      <c r="AG91" s="71">
        <v>1200000</v>
      </c>
      <c r="AH91" s="106" t="str">
        <f>VLOOKUP(D91,Sheet3!H:I,2,FALSE)</f>
        <v>B4120</v>
      </c>
      <c r="AI91" s="106"/>
      <c r="AJ91" s="106" t="str">
        <f>VLOOKUP(F91,Sheet3!H:I,2,FALSE)</f>
        <v>B4120</v>
      </c>
    </row>
    <row r="92" spans="1:36" s="74" customFormat="1" ht="15" customHeight="1">
      <c r="A92" s="112" t="s">
        <v>310</v>
      </c>
      <c r="B92" s="45" t="s">
        <v>308</v>
      </c>
      <c r="C92" s="110" t="str">
        <f t="shared" si="4"/>
        <v>B4121</v>
      </c>
      <c r="D92" s="111" t="s">
        <v>262</v>
      </c>
      <c r="E92" s="111" t="str">
        <f t="shared" si="5"/>
        <v>B4121</v>
      </c>
      <c r="F92" s="111" t="s">
        <v>262</v>
      </c>
      <c r="G92" s="112">
        <v>7611600</v>
      </c>
      <c r="H92" s="113" t="s">
        <v>73</v>
      </c>
      <c r="I92" s="46" t="s">
        <v>426</v>
      </c>
      <c r="J92" s="46" t="str">
        <f>VLOOKUP(E92,Sheet3!I:K,3,FALSE)</f>
        <v>DIR</v>
      </c>
      <c r="K92" s="46" t="str">
        <f>VLOOKUP(E92,Sheet3!I:K,2,FALSE)</f>
        <v>MFG</v>
      </c>
      <c r="L92" s="46"/>
      <c r="M92" s="50" t="s">
        <v>540</v>
      </c>
      <c r="N92" s="50" t="s">
        <v>540</v>
      </c>
      <c r="O92" s="50" t="s">
        <v>540</v>
      </c>
      <c r="P92" s="50" t="s">
        <v>540</v>
      </c>
      <c r="Q92" s="50" t="s">
        <v>540</v>
      </c>
      <c r="R92" s="50" t="s">
        <v>540</v>
      </c>
      <c r="S92" s="50" t="s">
        <v>540</v>
      </c>
      <c r="T92" s="50" t="s">
        <v>540</v>
      </c>
      <c r="U92" s="50">
        <v>133333.33333333334</v>
      </c>
      <c r="V92" s="50">
        <v>133333.33333333334</v>
      </c>
      <c r="W92" s="50">
        <v>133333.33333333334</v>
      </c>
      <c r="X92" s="50">
        <v>133333.33333333334</v>
      </c>
      <c r="Y92" s="50">
        <v>133333.33333333334</v>
      </c>
      <c r="Z92" s="50">
        <v>133333.33333333334</v>
      </c>
      <c r="AA92" s="50">
        <v>133333.33333333334</v>
      </c>
      <c r="AB92" s="50">
        <v>133333.33333333334</v>
      </c>
      <c r="AC92" s="50">
        <v>133333.33333333334</v>
      </c>
      <c r="AD92" s="68">
        <f t="shared" si="6"/>
        <v>0</v>
      </c>
      <c r="AE92" s="69">
        <f t="shared" si="7"/>
        <v>1200000</v>
      </c>
      <c r="AF92" s="70">
        <v>1599999.9999999998</v>
      </c>
      <c r="AG92" s="71">
        <v>1599999.9999999998</v>
      </c>
      <c r="AH92" s="106" t="str">
        <f>VLOOKUP(D92,Sheet3!H:I,2,FALSE)</f>
        <v>B4121</v>
      </c>
      <c r="AI92" s="106"/>
      <c r="AJ92" s="106" t="str">
        <f>VLOOKUP(F92,Sheet3!H:I,2,FALSE)</f>
        <v>B4121</v>
      </c>
    </row>
    <row r="93" spans="1:36" s="74" customFormat="1" ht="15" customHeight="1">
      <c r="A93" s="112" t="s">
        <v>310</v>
      </c>
      <c r="B93" s="45" t="s">
        <v>308</v>
      </c>
      <c r="C93" s="110" t="str">
        <f t="shared" si="4"/>
        <v>B4103</v>
      </c>
      <c r="D93" s="111" t="s">
        <v>246</v>
      </c>
      <c r="E93" s="111" t="str">
        <f t="shared" si="5"/>
        <v>B4103</v>
      </c>
      <c r="F93" s="111" t="s">
        <v>246</v>
      </c>
      <c r="G93" s="112">
        <v>7611600</v>
      </c>
      <c r="H93" s="113" t="s">
        <v>73</v>
      </c>
      <c r="I93" s="46" t="s">
        <v>427</v>
      </c>
      <c r="J93" s="46" t="str">
        <f>VLOOKUP(E93,Sheet3!I:K,3,FALSE)</f>
        <v>DIR</v>
      </c>
      <c r="K93" s="46" t="str">
        <f>VLOOKUP(E93,Sheet3!I:K,2,FALSE)</f>
        <v>MFG</v>
      </c>
      <c r="L93" s="46"/>
      <c r="M93" s="50" t="s">
        <v>540</v>
      </c>
      <c r="N93" s="50" t="s">
        <v>540</v>
      </c>
      <c r="O93" s="50" t="s">
        <v>540</v>
      </c>
      <c r="P93" s="50" t="s">
        <v>540</v>
      </c>
      <c r="Q93" s="50" t="s">
        <v>540</v>
      </c>
      <c r="R93" s="50">
        <v>166666.66666666666</v>
      </c>
      <c r="S93" s="50">
        <v>166666.66666666666</v>
      </c>
      <c r="T93" s="50">
        <v>166666.66666666666</v>
      </c>
      <c r="U93" s="50">
        <v>166666.66666666666</v>
      </c>
      <c r="V93" s="50">
        <v>166666.66666666666</v>
      </c>
      <c r="W93" s="50">
        <v>166666.66666666666</v>
      </c>
      <c r="X93" s="50">
        <v>166666.66666666666</v>
      </c>
      <c r="Y93" s="50">
        <v>166666.66666666666</v>
      </c>
      <c r="Z93" s="50">
        <v>166666.66666666666</v>
      </c>
      <c r="AA93" s="50">
        <v>166666.66666666666</v>
      </c>
      <c r="AB93" s="50">
        <v>166666.66666666666</v>
      </c>
      <c r="AC93" s="50">
        <v>166666.66666666666</v>
      </c>
      <c r="AD93" s="68">
        <f t="shared" si="6"/>
        <v>0</v>
      </c>
      <c r="AE93" s="69">
        <f t="shared" si="7"/>
        <v>2000000.0000000002</v>
      </c>
      <c r="AF93" s="70">
        <v>2000000.0000000002</v>
      </c>
      <c r="AG93" s="71">
        <v>2000000.0000000002</v>
      </c>
      <c r="AH93" s="106" t="str">
        <f>VLOOKUP(D93,Sheet3!H:I,2,FALSE)</f>
        <v>B4103</v>
      </c>
      <c r="AI93" s="106"/>
      <c r="AJ93" s="106" t="str">
        <f>VLOOKUP(F93,Sheet3!H:I,2,FALSE)</f>
        <v>B4103</v>
      </c>
    </row>
    <row r="94" spans="1:36" s="74" customFormat="1" ht="15" customHeight="1">
      <c r="A94" s="112" t="s">
        <v>310</v>
      </c>
      <c r="B94" s="45" t="s">
        <v>308</v>
      </c>
      <c r="C94" s="110" t="str">
        <f t="shared" si="4"/>
        <v>B5800</v>
      </c>
      <c r="D94" s="111" t="s">
        <v>279</v>
      </c>
      <c r="E94" s="111" t="str">
        <f t="shared" si="5"/>
        <v>B5800</v>
      </c>
      <c r="F94" s="111" t="s">
        <v>279</v>
      </c>
      <c r="G94" s="112">
        <v>7611600</v>
      </c>
      <c r="H94" s="113" t="s">
        <v>73</v>
      </c>
      <c r="I94" s="46" t="s">
        <v>428</v>
      </c>
      <c r="J94" s="46" t="str">
        <f>VLOOKUP(E94,Sheet3!I:K,3,FALSE)</f>
        <v>IND</v>
      </c>
      <c r="K94" s="46" t="str">
        <f>VLOOKUP(E94,Sheet3!I:K,2,FALSE)</f>
        <v>MFG</v>
      </c>
      <c r="L94" s="46"/>
      <c r="M94" s="50" t="s">
        <v>540</v>
      </c>
      <c r="N94" s="50" t="s">
        <v>540</v>
      </c>
      <c r="O94" s="50" t="s">
        <v>540</v>
      </c>
      <c r="P94" s="50" t="s">
        <v>540</v>
      </c>
      <c r="Q94" s="50" t="s">
        <v>540</v>
      </c>
      <c r="R94" s="50" t="s">
        <v>540</v>
      </c>
      <c r="S94" s="50">
        <v>216666.66666666666</v>
      </c>
      <c r="T94" s="50">
        <v>216666.66666666666</v>
      </c>
      <c r="U94" s="50">
        <v>216666.66666666666</v>
      </c>
      <c r="V94" s="50">
        <v>216666.66666666666</v>
      </c>
      <c r="W94" s="50">
        <v>216666.66666666666</v>
      </c>
      <c r="X94" s="50">
        <v>216666.66666666666</v>
      </c>
      <c r="Y94" s="50">
        <v>216666.66666666666</v>
      </c>
      <c r="Z94" s="50">
        <v>216666.66666666666</v>
      </c>
      <c r="AA94" s="50">
        <v>216666.66666666666</v>
      </c>
      <c r="AB94" s="50">
        <v>216666.66666666666</v>
      </c>
      <c r="AC94" s="50">
        <v>216666.66666666666</v>
      </c>
      <c r="AD94" s="68">
        <f t="shared" si="6"/>
        <v>0</v>
      </c>
      <c r="AE94" s="69">
        <f t="shared" si="7"/>
        <v>2383333.3333333335</v>
      </c>
      <c r="AF94" s="70">
        <v>2600000</v>
      </c>
      <c r="AG94" s="71">
        <v>2600000</v>
      </c>
      <c r="AH94" s="106" t="str">
        <f>VLOOKUP(D94,Sheet3!H:I,2,FALSE)</f>
        <v>B5800</v>
      </c>
      <c r="AI94" s="106"/>
      <c r="AJ94" s="106" t="str">
        <f>VLOOKUP(F94,Sheet3!H:I,2,FALSE)</f>
        <v>B5800</v>
      </c>
    </row>
    <row r="95" spans="1:36" s="74" customFormat="1" ht="15" customHeight="1">
      <c r="A95" s="112" t="s">
        <v>310</v>
      </c>
      <c r="B95" s="45" t="s">
        <v>326</v>
      </c>
      <c r="C95" s="110" t="str">
        <f t="shared" si="4"/>
        <v>B5800</v>
      </c>
      <c r="D95" s="111" t="s">
        <v>279</v>
      </c>
      <c r="E95" s="111" t="str">
        <f t="shared" si="5"/>
        <v>B5800</v>
      </c>
      <c r="F95" s="111" t="s">
        <v>279</v>
      </c>
      <c r="G95" s="112">
        <v>7611600</v>
      </c>
      <c r="H95" s="113" t="s">
        <v>73</v>
      </c>
      <c r="I95" s="46" t="s">
        <v>428</v>
      </c>
      <c r="J95" s="46" t="str">
        <f>VLOOKUP(E95,Sheet3!I:K,3,FALSE)</f>
        <v>IND</v>
      </c>
      <c r="K95" s="46" t="str">
        <f>VLOOKUP(E95,Sheet3!I:K,2,FALSE)</f>
        <v>MFG</v>
      </c>
      <c r="L95" s="46"/>
      <c r="M95" s="50" t="s">
        <v>540</v>
      </c>
      <c r="N95" s="50" t="s">
        <v>540</v>
      </c>
      <c r="O95" s="50" t="s">
        <v>540</v>
      </c>
      <c r="P95" s="50" t="s">
        <v>540</v>
      </c>
      <c r="Q95" s="50" t="s">
        <v>540</v>
      </c>
      <c r="R95" s="50" t="s">
        <v>540</v>
      </c>
      <c r="S95" s="50">
        <v>166666.66666666666</v>
      </c>
      <c r="T95" s="50">
        <v>166666.66666666666</v>
      </c>
      <c r="U95" s="50">
        <v>166666.66666666666</v>
      </c>
      <c r="V95" s="50">
        <v>166666.66666666666</v>
      </c>
      <c r="W95" s="50">
        <v>166666.66666666666</v>
      </c>
      <c r="X95" s="50">
        <v>166666.66666666666</v>
      </c>
      <c r="Y95" s="50">
        <v>166666.66666666666</v>
      </c>
      <c r="Z95" s="50">
        <v>166666.66666666666</v>
      </c>
      <c r="AA95" s="50">
        <v>166666.66666666666</v>
      </c>
      <c r="AB95" s="50">
        <v>166666.66666666666</v>
      </c>
      <c r="AC95" s="50">
        <v>166666.66666666666</v>
      </c>
      <c r="AD95" s="68">
        <f t="shared" si="6"/>
        <v>0</v>
      </c>
      <c r="AE95" s="69">
        <f t="shared" si="7"/>
        <v>1833333.3333333335</v>
      </c>
      <c r="AF95" s="70">
        <v>2000000.0000000002</v>
      </c>
      <c r="AG95" s="71">
        <v>2000000.0000000002</v>
      </c>
      <c r="AH95" s="106" t="str">
        <f>VLOOKUP(D95,Sheet3!H:I,2,FALSE)</f>
        <v>B5800</v>
      </c>
      <c r="AI95" s="106"/>
      <c r="AJ95" s="106" t="str">
        <f>VLOOKUP(F95,Sheet3!H:I,2,FALSE)</f>
        <v>B5800</v>
      </c>
    </row>
    <row r="96" spans="1:36" s="74" customFormat="1" ht="15" customHeight="1">
      <c r="A96" s="112" t="s">
        <v>310</v>
      </c>
      <c r="B96" s="45" t="s">
        <v>308</v>
      </c>
      <c r="C96" s="110" t="str">
        <f t="shared" si="4"/>
        <v>B3160</v>
      </c>
      <c r="D96" s="111" t="s">
        <v>233</v>
      </c>
      <c r="E96" s="111" t="str">
        <f t="shared" si="5"/>
        <v>B3160</v>
      </c>
      <c r="F96" s="111" t="s">
        <v>233</v>
      </c>
      <c r="G96" s="112">
        <v>7611600</v>
      </c>
      <c r="H96" s="113" t="s">
        <v>73</v>
      </c>
      <c r="I96" s="46" t="s">
        <v>429</v>
      </c>
      <c r="J96" s="46" t="str">
        <f>VLOOKUP(E96,Sheet3!I:K,3,FALSE)</f>
        <v>ADM</v>
      </c>
      <c r="K96" s="46" t="str">
        <f>VLOOKUP(E96,Sheet3!I:K,2,FALSE)</f>
        <v>SGA</v>
      </c>
      <c r="L96" s="46"/>
      <c r="M96" s="50" t="s">
        <v>540</v>
      </c>
      <c r="N96" s="50" t="s">
        <v>540</v>
      </c>
      <c r="O96" s="50" t="s">
        <v>540</v>
      </c>
      <c r="P96" s="50" t="s">
        <v>540</v>
      </c>
      <c r="Q96" s="50" t="s">
        <v>540</v>
      </c>
      <c r="R96" s="50" t="s">
        <v>540</v>
      </c>
      <c r="S96" s="50">
        <v>216666.66666666666</v>
      </c>
      <c r="T96" s="50">
        <v>216666.66666666666</v>
      </c>
      <c r="U96" s="50">
        <v>216666.66666666666</v>
      </c>
      <c r="V96" s="50">
        <v>216666.66666666666</v>
      </c>
      <c r="W96" s="50">
        <v>216666.66666666666</v>
      </c>
      <c r="X96" s="50">
        <v>216666.66666666666</v>
      </c>
      <c r="Y96" s="50">
        <v>216666.66666666666</v>
      </c>
      <c r="Z96" s="50">
        <v>216666.66666666666</v>
      </c>
      <c r="AA96" s="50">
        <v>216666.66666666666</v>
      </c>
      <c r="AB96" s="50">
        <v>216666.66666666666</v>
      </c>
      <c r="AC96" s="50">
        <v>216666.66666666666</v>
      </c>
      <c r="AD96" s="68">
        <f t="shared" si="6"/>
        <v>0</v>
      </c>
      <c r="AE96" s="69">
        <f t="shared" si="7"/>
        <v>2383333.3333333335</v>
      </c>
      <c r="AF96" s="70">
        <v>2600000</v>
      </c>
      <c r="AG96" s="71">
        <v>2600000</v>
      </c>
      <c r="AH96" s="106" t="str">
        <f>VLOOKUP(D96,Sheet3!H:I,2,FALSE)</f>
        <v>B3160</v>
      </c>
      <c r="AI96" s="106"/>
      <c r="AJ96" s="106" t="str">
        <f>VLOOKUP(F96,Sheet3!H:I,2,FALSE)</f>
        <v>B3160</v>
      </c>
    </row>
    <row r="97" spans="1:36" s="74" customFormat="1" ht="15" customHeight="1">
      <c r="A97" s="112" t="s">
        <v>310</v>
      </c>
      <c r="B97" s="45" t="s">
        <v>326</v>
      </c>
      <c r="C97" s="110" t="str">
        <f t="shared" si="4"/>
        <v>B3160</v>
      </c>
      <c r="D97" s="111" t="s">
        <v>233</v>
      </c>
      <c r="E97" s="111" t="str">
        <f t="shared" si="5"/>
        <v>B3160</v>
      </c>
      <c r="F97" s="111" t="s">
        <v>233</v>
      </c>
      <c r="G97" s="112">
        <v>7611600</v>
      </c>
      <c r="H97" s="113" t="s">
        <v>73</v>
      </c>
      <c r="I97" s="46" t="s">
        <v>431</v>
      </c>
      <c r="J97" s="46" t="str">
        <f>VLOOKUP(E97,Sheet3!I:K,3,FALSE)</f>
        <v>ADM</v>
      </c>
      <c r="K97" s="46" t="str">
        <f>VLOOKUP(E97,Sheet3!I:K,2,FALSE)</f>
        <v>SGA</v>
      </c>
      <c r="L97" s="46"/>
      <c r="M97" s="50" t="s">
        <v>540</v>
      </c>
      <c r="N97" s="50" t="s">
        <v>540</v>
      </c>
      <c r="O97" s="50" t="s">
        <v>540</v>
      </c>
      <c r="P97" s="50" t="s">
        <v>540</v>
      </c>
      <c r="Q97" s="50" t="s">
        <v>540</v>
      </c>
      <c r="R97" s="50" t="s">
        <v>540</v>
      </c>
      <c r="S97" s="50" t="s">
        <v>540</v>
      </c>
      <c r="T97" s="50" t="s">
        <v>540</v>
      </c>
      <c r="U97" s="50" t="s">
        <v>540</v>
      </c>
      <c r="V97" s="50" t="s">
        <v>540</v>
      </c>
      <c r="W97" s="50" t="s">
        <v>540</v>
      </c>
      <c r="X97" s="50" t="s">
        <v>540</v>
      </c>
      <c r="Y97" s="50" t="s">
        <v>540</v>
      </c>
      <c r="Z97" s="50" t="s">
        <v>540</v>
      </c>
      <c r="AA97" s="50" t="s">
        <v>540</v>
      </c>
      <c r="AB97" s="50" t="s">
        <v>540</v>
      </c>
      <c r="AC97" s="50" t="s">
        <v>540</v>
      </c>
      <c r="AD97" s="68">
        <f t="shared" si="6"/>
        <v>0</v>
      </c>
      <c r="AE97" s="69">
        <f t="shared" si="7"/>
        <v>0</v>
      </c>
      <c r="AF97" s="70">
        <v>0</v>
      </c>
      <c r="AG97" s="71">
        <v>866666.66666666663</v>
      </c>
      <c r="AH97" s="106" t="str">
        <f>VLOOKUP(D97,Sheet3!H:I,2,FALSE)</f>
        <v>B3160</v>
      </c>
      <c r="AI97" s="106"/>
      <c r="AJ97" s="106" t="str">
        <f>VLOOKUP(F97,Sheet3!H:I,2,FALSE)</f>
        <v>B3160</v>
      </c>
    </row>
    <row r="98" spans="1:36" s="74" customFormat="1" ht="15" customHeight="1">
      <c r="A98" s="112" t="s">
        <v>310</v>
      </c>
      <c r="B98" s="45" t="s">
        <v>328</v>
      </c>
      <c r="C98" s="110" t="str">
        <f t="shared" si="4"/>
        <v>B3160</v>
      </c>
      <c r="D98" s="111" t="s">
        <v>233</v>
      </c>
      <c r="E98" s="111" t="str">
        <f t="shared" si="5"/>
        <v>B3160</v>
      </c>
      <c r="F98" s="111" t="s">
        <v>233</v>
      </c>
      <c r="G98" s="112">
        <v>7611600</v>
      </c>
      <c r="H98" s="113" t="s">
        <v>73</v>
      </c>
      <c r="I98" s="46" t="s">
        <v>432</v>
      </c>
      <c r="J98" s="46" t="str">
        <f>VLOOKUP(E98,Sheet3!I:K,3,FALSE)</f>
        <v>ADM</v>
      </c>
      <c r="K98" s="46" t="str">
        <f>VLOOKUP(E98,Sheet3!I:K,2,FALSE)</f>
        <v>SGA</v>
      </c>
      <c r="L98" s="46"/>
      <c r="M98" s="50" t="s">
        <v>540</v>
      </c>
      <c r="N98" s="50" t="s">
        <v>540</v>
      </c>
      <c r="O98" s="50" t="s">
        <v>540</v>
      </c>
      <c r="P98" s="50" t="s">
        <v>540</v>
      </c>
      <c r="Q98" s="50" t="s">
        <v>540</v>
      </c>
      <c r="R98" s="50" t="s">
        <v>540</v>
      </c>
      <c r="S98" s="50" t="s">
        <v>540</v>
      </c>
      <c r="T98" s="50" t="s">
        <v>540</v>
      </c>
      <c r="U98" s="50" t="s">
        <v>540</v>
      </c>
      <c r="V98" s="50" t="s">
        <v>540</v>
      </c>
      <c r="W98" s="50" t="s">
        <v>540</v>
      </c>
      <c r="X98" s="50" t="s">
        <v>540</v>
      </c>
      <c r="Y98" s="50" t="s">
        <v>540</v>
      </c>
      <c r="Z98" s="50" t="s">
        <v>540</v>
      </c>
      <c r="AA98" s="50" t="s">
        <v>540</v>
      </c>
      <c r="AB98" s="50" t="s">
        <v>540</v>
      </c>
      <c r="AC98" s="50" t="s">
        <v>540</v>
      </c>
      <c r="AD98" s="68">
        <f t="shared" si="6"/>
        <v>0</v>
      </c>
      <c r="AE98" s="69">
        <f t="shared" si="7"/>
        <v>0</v>
      </c>
      <c r="AF98" s="70">
        <v>0</v>
      </c>
      <c r="AG98" s="71">
        <v>2166666.666666667</v>
      </c>
      <c r="AH98" s="106" t="str">
        <f>VLOOKUP(D98,Sheet3!H:I,2,FALSE)</f>
        <v>B3160</v>
      </c>
      <c r="AI98" s="106"/>
      <c r="AJ98" s="106" t="str">
        <f>VLOOKUP(F98,Sheet3!H:I,2,FALSE)</f>
        <v>B3160</v>
      </c>
    </row>
    <row r="99" spans="1:36" s="74" customFormat="1" ht="15" customHeight="1">
      <c r="A99" s="112" t="s">
        <v>310</v>
      </c>
      <c r="B99" s="45" t="s">
        <v>356</v>
      </c>
      <c r="C99" s="110" t="str">
        <f t="shared" si="4"/>
        <v>B3160</v>
      </c>
      <c r="D99" s="111" t="s">
        <v>233</v>
      </c>
      <c r="E99" s="111" t="str">
        <f t="shared" si="5"/>
        <v>B3160</v>
      </c>
      <c r="F99" s="111" t="s">
        <v>233</v>
      </c>
      <c r="G99" s="112">
        <v>7611600</v>
      </c>
      <c r="H99" s="113" t="s">
        <v>73</v>
      </c>
      <c r="I99" s="46" t="s">
        <v>433</v>
      </c>
      <c r="J99" s="46" t="str">
        <f>VLOOKUP(E99,Sheet3!I:K,3,FALSE)</f>
        <v>ADM</v>
      </c>
      <c r="K99" s="46" t="str">
        <f>VLOOKUP(E99,Sheet3!I:K,2,FALSE)</f>
        <v>SGA</v>
      </c>
      <c r="L99" s="46"/>
      <c r="M99" s="50" t="s">
        <v>540</v>
      </c>
      <c r="N99" s="50" t="s">
        <v>540</v>
      </c>
      <c r="O99" s="50" t="s">
        <v>540</v>
      </c>
      <c r="P99" s="50" t="s">
        <v>540</v>
      </c>
      <c r="Q99" s="50" t="s">
        <v>540</v>
      </c>
      <c r="R99" s="50" t="s">
        <v>540</v>
      </c>
      <c r="S99" s="50" t="s">
        <v>540</v>
      </c>
      <c r="T99" s="50" t="s">
        <v>540</v>
      </c>
      <c r="U99" s="50" t="s">
        <v>540</v>
      </c>
      <c r="V99" s="50" t="s">
        <v>540</v>
      </c>
      <c r="W99" s="50" t="s">
        <v>540</v>
      </c>
      <c r="X99" s="50" t="s">
        <v>540</v>
      </c>
      <c r="Y99" s="50" t="s">
        <v>540</v>
      </c>
      <c r="Z99" s="50" t="s">
        <v>540</v>
      </c>
      <c r="AA99" s="50" t="s">
        <v>540</v>
      </c>
      <c r="AB99" s="50" t="s">
        <v>540</v>
      </c>
      <c r="AC99" s="50" t="s">
        <v>540</v>
      </c>
      <c r="AD99" s="68">
        <f t="shared" si="6"/>
        <v>0</v>
      </c>
      <c r="AE99" s="69">
        <f t="shared" si="7"/>
        <v>0</v>
      </c>
      <c r="AF99" s="70">
        <v>0</v>
      </c>
      <c r="AG99" s="71">
        <v>1083333.3333333333</v>
      </c>
      <c r="AH99" s="106" t="str">
        <f>VLOOKUP(D99,Sheet3!H:I,2,FALSE)</f>
        <v>B3160</v>
      </c>
      <c r="AI99" s="106"/>
      <c r="AJ99" s="106" t="str">
        <f>VLOOKUP(F99,Sheet3!H:I,2,FALSE)</f>
        <v>B3160</v>
      </c>
    </row>
    <row r="100" spans="1:36" s="74" customFormat="1" ht="15" customHeight="1">
      <c r="A100" s="112" t="s">
        <v>310</v>
      </c>
      <c r="B100" s="45" t="s">
        <v>357</v>
      </c>
      <c r="C100" s="110" t="str">
        <f t="shared" si="4"/>
        <v>B3160</v>
      </c>
      <c r="D100" s="111" t="s">
        <v>233</v>
      </c>
      <c r="E100" s="111" t="str">
        <f t="shared" si="5"/>
        <v>B3160</v>
      </c>
      <c r="F100" s="111" t="s">
        <v>233</v>
      </c>
      <c r="G100" s="112">
        <v>7611600</v>
      </c>
      <c r="H100" s="113" t="s">
        <v>73</v>
      </c>
      <c r="I100" s="46" t="s">
        <v>441</v>
      </c>
      <c r="J100" s="46" t="str">
        <f>VLOOKUP(E100,Sheet3!I:K,3,FALSE)</f>
        <v>ADM</v>
      </c>
      <c r="K100" s="46" t="str">
        <f>VLOOKUP(E100,Sheet3!I:K,2,FALSE)</f>
        <v>SGA</v>
      </c>
      <c r="L100" s="46"/>
      <c r="M100" s="50" t="s">
        <v>540</v>
      </c>
      <c r="N100" s="50" t="s">
        <v>540</v>
      </c>
      <c r="O100" s="50" t="s">
        <v>540</v>
      </c>
      <c r="P100" s="50" t="s">
        <v>540</v>
      </c>
      <c r="Q100" s="50" t="s">
        <v>540</v>
      </c>
      <c r="R100" s="50" t="s">
        <v>540</v>
      </c>
      <c r="S100" s="50" t="s">
        <v>540</v>
      </c>
      <c r="T100" s="50" t="s">
        <v>540</v>
      </c>
      <c r="U100" s="50" t="s">
        <v>540</v>
      </c>
      <c r="V100" s="50" t="s">
        <v>540</v>
      </c>
      <c r="W100" s="50" t="s">
        <v>540</v>
      </c>
      <c r="X100" s="50" t="s">
        <v>540</v>
      </c>
      <c r="Y100" s="50" t="s">
        <v>540</v>
      </c>
      <c r="Z100" s="50" t="s">
        <v>540</v>
      </c>
      <c r="AA100" s="50" t="s">
        <v>540</v>
      </c>
      <c r="AB100" s="50" t="s">
        <v>540</v>
      </c>
      <c r="AC100" s="50" t="s">
        <v>540</v>
      </c>
      <c r="AD100" s="68">
        <f t="shared" si="6"/>
        <v>0</v>
      </c>
      <c r="AE100" s="69">
        <f t="shared" si="7"/>
        <v>0</v>
      </c>
      <c r="AF100" s="70">
        <v>833333.33333333326</v>
      </c>
      <c r="AG100" s="71">
        <v>2000000.0000000002</v>
      </c>
      <c r="AH100" s="106" t="str">
        <f>VLOOKUP(D100,Sheet3!H:I,2,FALSE)</f>
        <v>B3160</v>
      </c>
      <c r="AI100" s="106"/>
      <c r="AJ100" s="106" t="str">
        <f>VLOOKUP(F100,Sheet3!H:I,2,FALSE)</f>
        <v>B3160</v>
      </c>
    </row>
    <row r="101" spans="1:36" s="74" customFormat="1" ht="15" customHeight="1">
      <c r="A101" s="112" t="s">
        <v>310</v>
      </c>
      <c r="B101" s="45" t="s">
        <v>308</v>
      </c>
      <c r="C101" s="110" t="str">
        <f t="shared" si="4"/>
        <v>B3130</v>
      </c>
      <c r="D101" s="111" t="s">
        <v>239</v>
      </c>
      <c r="E101" s="111" t="str">
        <f t="shared" si="5"/>
        <v>B3130</v>
      </c>
      <c r="F101" s="111" t="s">
        <v>239</v>
      </c>
      <c r="G101" s="112">
        <v>7611600</v>
      </c>
      <c r="H101" s="113" t="s">
        <v>73</v>
      </c>
      <c r="I101" s="46" t="s">
        <v>430</v>
      </c>
      <c r="J101" s="46" t="str">
        <f>VLOOKUP(E101,Sheet3!I:K,3,FALSE)</f>
        <v>ADM</v>
      </c>
      <c r="K101" s="46" t="str">
        <f>VLOOKUP(E101,Sheet3!I:K,2,FALSE)</f>
        <v>SGA</v>
      </c>
      <c r="L101" s="46"/>
      <c r="M101" s="50" t="s">
        <v>540</v>
      </c>
      <c r="N101" s="50" t="s">
        <v>540</v>
      </c>
      <c r="O101" s="50" t="s">
        <v>540</v>
      </c>
      <c r="P101" s="50" t="s">
        <v>540</v>
      </c>
      <c r="Q101" s="50" t="s">
        <v>540</v>
      </c>
      <c r="R101" s="50" t="s">
        <v>540</v>
      </c>
      <c r="S101" s="50" t="s">
        <v>540</v>
      </c>
      <c r="T101" s="50" t="s">
        <v>540</v>
      </c>
      <c r="U101" s="50" t="s">
        <v>540</v>
      </c>
      <c r="V101" s="50" t="s">
        <v>540</v>
      </c>
      <c r="W101" s="50" t="s">
        <v>540</v>
      </c>
      <c r="X101" s="50" t="s">
        <v>540</v>
      </c>
      <c r="Y101" s="50" t="s">
        <v>540</v>
      </c>
      <c r="Z101" s="50" t="s">
        <v>540</v>
      </c>
      <c r="AA101" s="50" t="s">
        <v>540</v>
      </c>
      <c r="AB101" s="50" t="s">
        <v>540</v>
      </c>
      <c r="AC101" s="50" t="s">
        <v>540</v>
      </c>
      <c r="AD101" s="68">
        <f t="shared" si="6"/>
        <v>0</v>
      </c>
      <c r="AE101" s="69">
        <f t="shared" si="7"/>
        <v>0</v>
      </c>
      <c r="AF101" s="70">
        <v>0</v>
      </c>
      <c r="AG101" s="71">
        <v>2383333.3333333335</v>
      </c>
      <c r="AH101" s="106" t="str">
        <f>VLOOKUP(D101,Sheet3!H:I,2,FALSE)</f>
        <v>B3130</v>
      </c>
      <c r="AI101" s="106"/>
      <c r="AJ101" s="106" t="str">
        <f>VLOOKUP(F101,Sheet3!H:I,2,FALSE)</f>
        <v>B3130</v>
      </c>
    </row>
    <row r="102" spans="1:36" s="74" customFormat="1" ht="15" customHeight="1">
      <c r="A102" s="112" t="s">
        <v>310</v>
      </c>
      <c r="B102" s="45" t="s">
        <v>326</v>
      </c>
      <c r="C102" s="110" t="str">
        <f t="shared" si="4"/>
        <v>B3130</v>
      </c>
      <c r="D102" s="111" t="s">
        <v>239</v>
      </c>
      <c r="E102" s="111" t="str">
        <f t="shared" si="5"/>
        <v>B3130</v>
      </c>
      <c r="F102" s="111" t="s">
        <v>239</v>
      </c>
      <c r="G102" s="112">
        <v>7611600</v>
      </c>
      <c r="H102" s="113" t="s">
        <v>73</v>
      </c>
      <c r="I102" s="46" t="s">
        <v>435</v>
      </c>
      <c r="J102" s="46" t="str">
        <f>VLOOKUP(E102,Sheet3!I:K,3,FALSE)</f>
        <v>ADM</v>
      </c>
      <c r="K102" s="46" t="str">
        <f>VLOOKUP(E102,Sheet3!I:K,2,FALSE)</f>
        <v>SGA</v>
      </c>
      <c r="L102" s="46"/>
      <c r="M102" s="50" t="s">
        <v>540</v>
      </c>
      <c r="N102" s="50" t="s">
        <v>540</v>
      </c>
      <c r="O102" s="50" t="s">
        <v>540</v>
      </c>
      <c r="P102" s="50" t="s">
        <v>540</v>
      </c>
      <c r="Q102" s="50" t="s">
        <v>540</v>
      </c>
      <c r="R102" s="50">
        <v>133333.33333333334</v>
      </c>
      <c r="S102" s="50">
        <v>133333.33333333334</v>
      </c>
      <c r="T102" s="50">
        <v>133333.33333333334</v>
      </c>
      <c r="U102" s="50">
        <v>133333.33333333334</v>
      </c>
      <c r="V102" s="50">
        <v>133333.33333333334</v>
      </c>
      <c r="W102" s="50">
        <v>133333.33333333334</v>
      </c>
      <c r="X102" s="50">
        <v>133333.33333333334</v>
      </c>
      <c r="Y102" s="50">
        <v>133333.33333333334</v>
      </c>
      <c r="Z102" s="50">
        <v>133333.33333333334</v>
      </c>
      <c r="AA102" s="50">
        <v>133333.33333333334</v>
      </c>
      <c r="AB102" s="50">
        <v>133333.33333333334</v>
      </c>
      <c r="AC102" s="50">
        <v>133333.33333333334</v>
      </c>
      <c r="AD102" s="68">
        <f t="shared" si="6"/>
        <v>0</v>
      </c>
      <c r="AE102" s="69">
        <f t="shared" si="7"/>
        <v>1599999.9999999998</v>
      </c>
      <c r="AF102" s="70">
        <v>1599999.9999999998</v>
      </c>
      <c r="AG102" s="71">
        <v>1599999.9999999998</v>
      </c>
      <c r="AH102" s="106" t="str">
        <f>VLOOKUP(D102,Sheet3!H:I,2,FALSE)</f>
        <v>B3130</v>
      </c>
      <c r="AI102" s="106"/>
      <c r="AJ102" s="106" t="str">
        <f>VLOOKUP(F102,Sheet3!H:I,2,FALSE)</f>
        <v>B3130</v>
      </c>
    </row>
    <row r="103" spans="1:36" s="74" customFormat="1" ht="15" customHeight="1">
      <c r="A103" s="112" t="s">
        <v>310</v>
      </c>
      <c r="B103" s="45" t="s">
        <v>328</v>
      </c>
      <c r="C103" s="110" t="str">
        <f t="shared" si="4"/>
        <v>B3130</v>
      </c>
      <c r="D103" s="111" t="s">
        <v>239</v>
      </c>
      <c r="E103" s="111" t="str">
        <f t="shared" si="5"/>
        <v>B3130</v>
      </c>
      <c r="F103" s="111" t="s">
        <v>239</v>
      </c>
      <c r="G103" s="112">
        <v>7611600</v>
      </c>
      <c r="H103" s="113" t="s">
        <v>73</v>
      </c>
      <c r="I103" s="46" t="s">
        <v>436</v>
      </c>
      <c r="J103" s="46" t="str">
        <f>VLOOKUP(E103,Sheet3!I:K,3,FALSE)</f>
        <v>ADM</v>
      </c>
      <c r="K103" s="46" t="str">
        <f>VLOOKUP(E103,Sheet3!I:K,2,FALSE)</f>
        <v>SGA</v>
      </c>
      <c r="L103" s="46"/>
      <c r="M103" s="50" t="s">
        <v>540</v>
      </c>
      <c r="N103" s="50" t="s">
        <v>540</v>
      </c>
      <c r="O103" s="50" t="s">
        <v>540</v>
      </c>
      <c r="P103" s="50" t="s">
        <v>540</v>
      </c>
      <c r="Q103" s="50" t="s">
        <v>540</v>
      </c>
      <c r="R103" s="50">
        <v>133333.33333333334</v>
      </c>
      <c r="S103" s="50">
        <v>133333.33333333334</v>
      </c>
      <c r="T103" s="50">
        <v>133333.33333333334</v>
      </c>
      <c r="U103" s="50">
        <v>133333.33333333334</v>
      </c>
      <c r="V103" s="50">
        <v>133333.33333333334</v>
      </c>
      <c r="W103" s="50">
        <v>133333.33333333334</v>
      </c>
      <c r="X103" s="50">
        <v>133333.33333333334</v>
      </c>
      <c r="Y103" s="50">
        <v>133333.33333333334</v>
      </c>
      <c r="Z103" s="50">
        <v>133333.33333333334</v>
      </c>
      <c r="AA103" s="50">
        <v>133333.33333333334</v>
      </c>
      <c r="AB103" s="50">
        <v>133333.33333333334</v>
      </c>
      <c r="AC103" s="50">
        <v>133333.33333333334</v>
      </c>
      <c r="AD103" s="68">
        <f t="shared" si="6"/>
        <v>0</v>
      </c>
      <c r="AE103" s="69">
        <f t="shared" si="7"/>
        <v>1599999.9999999998</v>
      </c>
      <c r="AF103" s="70">
        <v>1599999.9999999998</v>
      </c>
      <c r="AG103" s="71">
        <v>1599999.9999999998</v>
      </c>
      <c r="AH103" s="106" t="str">
        <f>VLOOKUP(D103,Sheet3!H:I,2,FALSE)</f>
        <v>B3130</v>
      </c>
      <c r="AI103" s="106"/>
      <c r="AJ103" s="106" t="str">
        <f>VLOOKUP(F103,Sheet3!H:I,2,FALSE)</f>
        <v>B3130</v>
      </c>
    </row>
    <row r="104" spans="1:36" s="74" customFormat="1" ht="15" customHeight="1">
      <c r="A104" s="112" t="s">
        <v>310</v>
      </c>
      <c r="B104" s="45" t="s">
        <v>356</v>
      </c>
      <c r="C104" s="110" t="str">
        <f t="shared" si="4"/>
        <v>B3130</v>
      </c>
      <c r="D104" s="111" t="s">
        <v>239</v>
      </c>
      <c r="E104" s="111" t="str">
        <f t="shared" si="5"/>
        <v>B3130</v>
      </c>
      <c r="F104" s="111" t="s">
        <v>239</v>
      </c>
      <c r="G104" s="112">
        <v>7611600</v>
      </c>
      <c r="H104" s="113" t="s">
        <v>73</v>
      </c>
      <c r="I104" s="46" t="s">
        <v>437</v>
      </c>
      <c r="J104" s="46" t="str">
        <f>VLOOKUP(E104,Sheet3!I:K,3,FALSE)</f>
        <v>ADM</v>
      </c>
      <c r="K104" s="46" t="str">
        <f>VLOOKUP(E104,Sheet3!I:K,2,FALSE)</f>
        <v>SGA</v>
      </c>
      <c r="L104" s="46"/>
      <c r="M104" s="50" t="s">
        <v>540</v>
      </c>
      <c r="N104" s="50" t="s">
        <v>540</v>
      </c>
      <c r="O104" s="50" t="s">
        <v>540</v>
      </c>
      <c r="P104" s="50" t="s">
        <v>540</v>
      </c>
      <c r="Q104" s="50" t="s">
        <v>540</v>
      </c>
      <c r="R104" s="50">
        <v>250000</v>
      </c>
      <c r="S104" s="50">
        <v>250000</v>
      </c>
      <c r="T104" s="50">
        <v>250000</v>
      </c>
      <c r="U104" s="50">
        <v>250000</v>
      </c>
      <c r="V104" s="50">
        <v>250000</v>
      </c>
      <c r="W104" s="50">
        <v>250000</v>
      </c>
      <c r="X104" s="50">
        <v>250000</v>
      </c>
      <c r="Y104" s="50">
        <v>250000</v>
      </c>
      <c r="Z104" s="50">
        <v>250000</v>
      </c>
      <c r="AA104" s="50">
        <v>250000</v>
      </c>
      <c r="AB104" s="50">
        <v>250000</v>
      </c>
      <c r="AC104" s="50">
        <v>250000</v>
      </c>
      <c r="AD104" s="68">
        <f t="shared" si="6"/>
        <v>0</v>
      </c>
      <c r="AE104" s="69">
        <f t="shared" si="7"/>
        <v>3000000</v>
      </c>
      <c r="AF104" s="70">
        <v>3000000</v>
      </c>
      <c r="AG104" s="71">
        <v>3000000</v>
      </c>
      <c r="AH104" s="106" t="str">
        <f>VLOOKUP(D104,Sheet3!H:I,2,FALSE)</f>
        <v>B3130</v>
      </c>
      <c r="AI104" s="106"/>
      <c r="AJ104" s="106" t="str">
        <f>VLOOKUP(F104,Sheet3!H:I,2,FALSE)</f>
        <v>B3130</v>
      </c>
    </row>
    <row r="105" spans="1:36" s="74" customFormat="1" ht="15" customHeight="1">
      <c r="A105" s="112" t="s">
        <v>310</v>
      </c>
      <c r="B105" s="45" t="s">
        <v>357</v>
      </c>
      <c r="C105" s="110" t="str">
        <f t="shared" si="4"/>
        <v>B3130</v>
      </c>
      <c r="D105" s="111" t="s">
        <v>239</v>
      </c>
      <c r="E105" s="111" t="str">
        <f t="shared" si="5"/>
        <v>B3130</v>
      </c>
      <c r="F105" s="111" t="s">
        <v>239</v>
      </c>
      <c r="G105" s="112">
        <v>7611600</v>
      </c>
      <c r="H105" s="113" t="s">
        <v>73</v>
      </c>
      <c r="I105" s="46" t="s">
        <v>438</v>
      </c>
      <c r="J105" s="46" t="str">
        <f>VLOOKUP(E105,Sheet3!I:K,3,FALSE)</f>
        <v>ADM</v>
      </c>
      <c r="K105" s="46" t="str">
        <f>VLOOKUP(E105,Sheet3!I:K,2,FALSE)</f>
        <v>SGA</v>
      </c>
      <c r="L105" s="46"/>
      <c r="M105" s="50" t="s">
        <v>540</v>
      </c>
      <c r="N105" s="50" t="s">
        <v>540</v>
      </c>
      <c r="O105" s="50">
        <v>250000</v>
      </c>
      <c r="P105" s="50">
        <v>250000</v>
      </c>
      <c r="Q105" s="50">
        <v>250000</v>
      </c>
      <c r="R105" s="50">
        <v>250000</v>
      </c>
      <c r="S105" s="50">
        <v>250000</v>
      </c>
      <c r="T105" s="50">
        <v>250000</v>
      </c>
      <c r="U105" s="50">
        <v>250000</v>
      </c>
      <c r="V105" s="50">
        <v>250000</v>
      </c>
      <c r="W105" s="50">
        <v>250000</v>
      </c>
      <c r="X105" s="50">
        <v>250000</v>
      </c>
      <c r="Y105" s="50">
        <v>250000</v>
      </c>
      <c r="Z105" s="50">
        <v>250000</v>
      </c>
      <c r="AA105" s="50">
        <v>250000</v>
      </c>
      <c r="AB105" s="50">
        <v>250000</v>
      </c>
      <c r="AC105" s="50">
        <v>250000</v>
      </c>
      <c r="AD105" s="68">
        <f t="shared" si="6"/>
        <v>750000</v>
      </c>
      <c r="AE105" s="69">
        <f t="shared" si="7"/>
        <v>3000000</v>
      </c>
      <c r="AF105" s="70">
        <v>3000000</v>
      </c>
      <c r="AG105" s="71">
        <v>3000000</v>
      </c>
      <c r="AH105" s="106" t="str">
        <f>VLOOKUP(D105,Sheet3!H:I,2,FALSE)</f>
        <v>B3130</v>
      </c>
      <c r="AI105" s="106"/>
      <c r="AJ105" s="106" t="str">
        <f>VLOOKUP(F105,Sheet3!H:I,2,FALSE)</f>
        <v>B3130</v>
      </c>
    </row>
    <row r="106" spans="1:36" s="74" customFormat="1" ht="15" customHeight="1">
      <c r="A106" s="112" t="s">
        <v>310</v>
      </c>
      <c r="B106" s="45" t="s">
        <v>358</v>
      </c>
      <c r="C106" s="110" t="str">
        <f t="shared" si="4"/>
        <v>B3130</v>
      </c>
      <c r="D106" s="111" t="s">
        <v>239</v>
      </c>
      <c r="E106" s="111" t="str">
        <f t="shared" si="5"/>
        <v>B3130</v>
      </c>
      <c r="F106" s="111" t="s">
        <v>239</v>
      </c>
      <c r="G106" s="112">
        <v>7611600</v>
      </c>
      <c r="H106" s="113" t="s">
        <v>73</v>
      </c>
      <c r="I106" s="46" t="s">
        <v>439</v>
      </c>
      <c r="J106" s="46" t="str">
        <f>VLOOKUP(E106,Sheet3!I:K,3,FALSE)</f>
        <v>ADM</v>
      </c>
      <c r="K106" s="46" t="str">
        <f>VLOOKUP(E106,Sheet3!I:K,2,FALSE)</f>
        <v>SGA</v>
      </c>
      <c r="L106" s="46"/>
      <c r="M106" s="50" t="s">
        <v>540</v>
      </c>
      <c r="N106" s="50" t="s">
        <v>540</v>
      </c>
      <c r="O106" s="50" t="s">
        <v>540</v>
      </c>
      <c r="P106" s="50" t="s">
        <v>540</v>
      </c>
      <c r="Q106" s="50" t="s">
        <v>540</v>
      </c>
      <c r="R106" s="50" t="s">
        <v>540</v>
      </c>
      <c r="S106" s="50" t="s">
        <v>540</v>
      </c>
      <c r="T106" s="50" t="s">
        <v>540</v>
      </c>
      <c r="U106" s="50" t="s">
        <v>540</v>
      </c>
      <c r="V106" s="50" t="s">
        <v>540</v>
      </c>
      <c r="W106" s="50" t="s">
        <v>540</v>
      </c>
      <c r="X106" s="50" t="s">
        <v>540</v>
      </c>
      <c r="Y106" s="50" t="s">
        <v>540</v>
      </c>
      <c r="Z106" s="50" t="s">
        <v>540</v>
      </c>
      <c r="AA106" s="50" t="s">
        <v>540</v>
      </c>
      <c r="AB106" s="50" t="s">
        <v>540</v>
      </c>
      <c r="AC106" s="50" t="s">
        <v>540</v>
      </c>
      <c r="AD106" s="68">
        <f t="shared" si="6"/>
        <v>0</v>
      </c>
      <c r="AE106" s="69">
        <f t="shared" si="7"/>
        <v>0</v>
      </c>
      <c r="AF106" s="70">
        <v>833333.33333333326</v>
      </c>
      <c r="AG106" s="71">
        <v>2000000.0000000002</v>
      </c>
      <c r="AH106" s="106" t="str">
        <f>VLOOKUP(D106,Sheet3!H:I,2,FALSE)</f>
        <v>B3130</v>
      </c>
      <c r="AI106" s="106"/>
      <c r="AJ106" s="106" t="str">
        <f>VLOOKUP(F106,Sheet3!H:I,2,FALSE)</f>
        <v>B3130</v>
      </c>
    </row>
    <row r="107" spans="1:36" s="74" customFormat="1" ht="15" customHeight="1">
      <c r="A107" s="112" t="s">
        <v>310</v>
      </c>
      <c r="B107" s="45" t="s">
        <v>359</v>
      </c>
      <c r="C107" s="110" t="str">
        <f t="shared" si="4"/>
        <v>B3130</v>
      </c>
      <c r="D107" s="111" t="s">
        <v>239</v>
      </c>
      <c r="E107" s="111" t="str">
        <f t="shared" si="5"/>
        <v>B3130</v>
      </c>
      <c r="F107" s="111" t="s">
        <v>239</v>
      </c>
      <c r="G107" s="112">
        <v>7611600</v>
      </c>
      <c r="H107" s="113" t="s">
        <v>73</v>
      </c>
      <c r="I107" s="46" t="s">
        <v>440</v>
      </c>
      <c r="J107" s="46" t="str">
        <f>VLOOKUP(E107,Sheet3!I:K,3,FALSE)</f>
        <v>ADM</v>
      </c>
      <c r="K107" s="46" t="str">
        <f>VLOOKUP(E107,Sheet3!I:K,2,FALSE)</f>
        <v>SGA</v>
      </c>
      <c r="L107" s="46"/>
      <c r="M107" s="50" t="s">
        <v>540</v>
      </c>
      <c r="N107" s="50" t="s">
        <v>540</v>
      </c>
      <c r="O107" s="50" t="s">
        <v>540</v>
      </c>
      <c r="P107" s="50" t="s">
        <v>540</v>
      </c>
      <c r="Q107" s="50" t="s">
        <v>540</v>
      </c>
      <c r="R107" s="50" t="s">
        <v>540</v>
      </c>
      <c r="S107" s="50" t="s">
        <v>540</v>
      </c>
      <c r="T107" s="50" t="s">
        <v>540</v>
      </c>
      <c r="U107" s="50" t="s">
        <v>540</v>
      </c>
      <c r="V107" s="50" t="s">
        <v>540</v>
      </c>
      <c r="W107" s="50" t="s">
        <v>540</v>
      </c>
      <c r="X107" s="50" t="s">
        <v>540</v>
      </c>
      <c r="Y107" s="50" t="s">
        <v>540</v>
      </c>
      <c r="Z107" s="50" t="s">
        <v>540</v>
      </c>
      <c r="AA107" s="50" t="s">
        <v>540</v>
      </c>
      <c r="AB107" s="50" t="s">
        <v>540</v>
      </c>
      <c r="AC107" s="50" t="s">
        <v>540</v>
      </c>
      <c r="AD107" s="68">
        <f t="shared" si="6"/>
        <v>0</v>
      </c>
      <c r="AE107" s="69">
        <f t="shared" si="7"/>
        <v>0</v>
      </c>
      <c r="AF107" s="70">
        <v>833333.33333333326</v>
      </c>
      <c r="AG107" s="71">
        <v>2000000.0000000002</v>
      </c>
      <c r="AH107" s="106" t="str">
        <f>VLOOKUP(D107,Sheet3!H:I,2,FALSE)</f>
        <v>B3130</v>
      </c>
      <c r="AI107" s="106"/>
      <c r="AJ107" s="106" t="str">
        <f>VLOOKUP(F107,Sheet3!H:I,2,FALSE)</f>
        <v>B3130</v>
      </c>
    </row>
    <row r="108" spans="1:36" s="74" customFormat="1" ht="15" customHeight="1">
      <c r="A108" s="112" t="s">
        <v>310</v>
      </c>
      <c r="B108" s="45" t="s">
        <v>360</v>
      </c>
      <c r="C108" s="110" t="str">
        <f t="shared" si="4"/>
        <v>B3130</v>
      </c>
      <c r="D108" s="111" t="s">
        <v>239</v>
      </c>
      <c r="E108" s="111" t="str">
        <f t="shared" si="5"/>
        <v>B3130</v>
      </c>
      <c r="F108" s="111" t="s">
        <v>239</v>
      </c>
      <c r="G108" s="112">
        <v>7611600</v>
      </c>
      <c r="H108" s="113" t="s">
        <v>73</v>
      </c>
      <c r="I108" s="46" t="s">
        <v>443</v>
      </c>
      <c r="J108" s="46" t="str">
        <f>VLOOKUP(E108,Sheet3!I:K,3,FALSE)</f>
        <v>ADM</v>
      </c>
      <c r="K108" s="46" t="str">
        <f>VLOOKUP(E108,Sheet3!I:K,2,FALSE)</f>
        <v>SGA</v>
      </c>
      <c r="L108" s="46"/>
      <c r="M108" s="50" t="s">
        <v>540</v>
      </c>
      <c r="N108" s="50" t="s">
        <v>540</v>
      </c>
      <c r="O108" s="50" t="s">
        <v>540</v>
      </c>
      <c r="P108" s="50" t="s">
        <v>540</v>
      </c>
      <c r="Q108" s="50" t="s">
        <v>540</v>
      </c>
      <c r="R108" s="50" t="s">
        <v>540</v>
      </c>
      <c r="S108" s="50" t="s">
        <v>540</v>
      </c>
      <c r="T108" s="50" t="s">
        <v>540</v>
      </c>
      <c r="U108" s="50" t="s">
        <v>540</v>
      </c>
      <c r="V108" s="50" t="s">
        <v>540</v>
      </c>
      <c r="W108" s="50" t="s">
        <v>540</v>
      </c>
      <c r="X108" s="50" t="s">
        <v>540</v>
      </c>
      <c r="Y108" s="50" t="s">
        <v>540</v>
      </c>
      <c r="Z108" s="50" t="s">
        <v>540</v>
      </c>
      <c r="AA108" s="50" t="s">
        <v>540</v>
      </c>
      <c r="AB108" s="50" t="s">
        <v>540</v>
      </c>
      <c r="AC108" s="50" t="s">
        <v>540</v>
      </c>
      <c r="AD108" s="68">
        <f t="shared" si="6"/>
        <v>0</v>
      </c>
      <c r="AE108" s="69">
        <f t="shared" si="7"/>
        <v>0</v>
      </c>
      <c r="AF108" s="70">
        <v>833333.33333333326</v>
      </c>
      <c r="AG108" s="71">
        <v>2000000.0000000002</v>
      </c>
      <c r="AH108" s="106" t="str">
        <f>VLOOKUP(D108,Sheet3!H:I,2,FALSE)</f>
        <v>B3130</v>
      </c>
      <c r="AI108" s="106"/>
      <c r="AJ108" s="106" t="str">
        <f>VLOOKUP(F108,Sheet3!H:I,2,FALSE)</f>
        <v>B3130</v>
      </c>
    </row>
    <row r="109" spans="1:36" s="74" customFormat="1" ht="15" customHeight="1">
      <c r="A109" s="112" t="s">
        <v>310</v>
      </c>
      <c r="B109" s="45" t="s">
        <v>361</v>
      </c>
      <c r="C109" s="110" t="str">
        <f t="shared" si="4"/>
        <v>B3130</v>
      </c>
      <c r="D109" s="111" t="s">
        <v>239</v>
      </c>
      <c r="E109" s="111" t="str">
        <f t="shared" si="5"/>
        <v>B3130</v>
      </c>
      <c r="F109" s="111" t="s">
        <v>239</v>
      </c>
      <c r="G109" s="112">
        <v>7611600</v>
      </c>
      <c r="H109" s="113" t="s">
        <v>73</v>
      </c>
      <c r="I109" s="46" t="s">
        <v>444</v>
      </c>
      <c r="J109" s="46" t="str">
        <f>VLOOKUP(E109,Sheet3!I:K,3,FALSE)</f>
        <v>ADM</v>
      </c>
      <c r="K109" s="46" t="str">
        <f>VLOOKUP(E109,Sheet3!I:K,2,FALSE)</f>
        <v>SGA</v>
      </c>
      <c r="L109" s="46"/>
      <c r="M109" s="50" t="s">
        <v>540</v>
      </c>
      <c r="N109" s="50" t="s">
        <v>540</v>
      </c>
      <c r="O109" s="50" t="s">
        <v>540</v>
      </c>
      <c r="P109" s="50" t="s">
        <v>540</v>
      </c>
      <c r="Q109" s="50" t="s">
        <v>540</v>
      </c>
      <c r="R109" s="50" t="s">
        <v>540</v>
      </c>
      <c r="S109" s="50" t="s">
        <v>540</v>
      </c>
      <c r="T109" s="50" t="s">
        <v>540</v>
      </c>
      <c r="U109" s="50" t="s">
        <v>540</v>
      </c>
      <c r="V109" s="50" t="s">
        <v>540</v>
      </c>
      <c r="W109" s="50" t="s">
        <v>540</v>
      </c>
      <c r="X109" s="50" t="s">
        <v>540</v>
      </c>
      <c r="Y109" s="50" t="s">
        <v>540</v>
      </c>
      <c r="Z109" s="50" t="s">
        <v>540</v>
      </c>
      <c r="AA109" s="50" t="s">
        <v>540</v>
      </c>
      <c r="AB109" s="50" t="s">
        <v>540</v>
      </c>
      <c r="AC109" s="50" t="s">
        <v>540</v>
      </c>
      <c r="AD109" s="68">
        <f t="shared" si="6"/>
        <v>0</v>
      </c>
      <c r="AE109" s="69">
        <f t="shared" si="7"/>
        <v>0</v>
      </c>
      <c r="AF109" s="70">
        <v>0</v>
      </c>
      <c r="AG109" s="71">
        <v>1833333.3333333335</v>
      </c>
      <c r="AH109" s="106" t="str">
        <f>VLOOKUP(D109,Sheet3!H:I,2,FALSE)</f>
        <v>B3130</v>
      </c>
      <c r="AI109" s="106"/>
      <c r="AJ109" s="106" t="str">
        <f>VLOOKUP(F109,Sheet3!H:I,2,FALSE)</f>
        <v>B3130</v>
      </c>
    </row>
    <row r="110" spans="1:36" s="74" customFormat="1" ht="15" customHeight="1">
      <c r="A110" s="112" t="s">
        <v>310</v>
      </c>
      <c r="B110" s="45" t="s">
        <v>362</v>
      </c>
      <c r="C110" s="110" t="str">
        <f t="shared" si="4"/>
        <v>B3130</v>
      </c>
      <c r="D110" s="111" t="s">
        <v>239</v>
      </c>
      <c r="E110" s="111" t="str">
        <f t="shared" si="5"/>
        <v>B3130</v>
      </c>
      <c r="F110" s="111" t="s">
        <v>239</v>
      </c>
      <c r="G110" s="112">
        <v>7611600</v>
      </c>
      <c r="H110" s="113" t="s">
        <v>73</v>
      </c>
      <c r="I110" s="46" t="s">
        <v>445</v>
      </c>
      <c r="J110" s="46" t="str">
        <f>VLOOKUP(E110,Sheet3!I:K,3,FALSE)</f>
        <v>ADM</v>
      </c>
      <c r="K110" s="46" t="str">
        <f>VLOOKUP(E110,Sheet3!I:K,2,FALSE)</f>
        <v>SGA</v>
      </c>
      <c r="L110" s="46"/>
      <c r="M110" s="50" t="s">
        <v>540</v>
      </c>
      <c r="N110" s="50" t="s">
        <v>540</v>
      </c>
      <c r="O110" s="50" t="s">
        <v>540</v>
      </c>
      <c r="P110" s="50" t="s">
        <v>540</v>
      </c>
      <c r="Q110" s="50" t="s">
        <v>540</v>
      </c>
      <c r="R110" s="50" t="s">
        <v>540</v>
      </c>
      <c r="S110" s="50" t="s">
        <v>540</v>
      </c>
      <c r="T110" s="50" t="s">
        <v>540</v>
      </c>
      <c r="U110" s="50" t="s">
        <v>540</v>
      </c>
      <c r="V110" s="50" t="s">
        <v>540</v>
      </c>
      <c r="W110" s="50" t="s">
        <v>540</v>
      </c>
      <c r="X110" s="50" t="s">
        <v>540</v>
      </c>
      <c r="Y110" s="50" t="s">
        <v>540</v>
      </c>
      <c r="Z110" s="50" t="s">
        <v>540</v>
      </c>
      <c r="AA110" s="50" t="s">
        <v>540</v>
      </c>
      <c r="AB110" s="50" t="s">
        <v>540</v>
      </c>
      <c r="AC110" s="50" t="s">
        <v>540</v>
      </c>
      <c r="AD110" s="68">
        <f t="shared" si="6"/>
        <v>0</v>
      </c>
      <c r="AE110" s="69">
        <f t="shared" si="7"/>
        <v>0</v>
      </c>
      <c r="AF110" s="70">
        <v>0</v>
      </c>
      <c r="AG110" s="71">
        <v>1833333.3333333335</v>
      </c>
      <c r="AH110" s="106" t="str">
        <f>VLOOKUP(D110,Sheet3!H:I,2,FALSE)</f>
        <v>B3130</v>
      </c>
      <c r="AI110" s="106"/>
      <c r="AJ110" s="106" t="str">
        <f>VLOOKUP(F110,Sheet3!H:I,2,FALSE)</f>
        <v>B3130</v>
      </c>
    </row>
    <row r="111" spans="1:36" s="74" customFormat="1" ht="15" customHeight="1">
      <c r="A111" s="112" t="s">
        <v>310</v>
      </c>
      <c r="B111" s="45" t="s">
        <v>363</v>
      </c>
      <c r="C111" s="110" t="str">
        <f t="shared" si="4"/>
        <v>B3130</v>
      </c>
      <c r="D111" s="111" t="s">
        <v>239</v>
      </c>
      <c r="E111" s="111" t="str">
        <f t="shared" si="5"/>
        <v>B3130</v>
      </c>
      <c r="F111" s="111" t="s">
        <v>239</v>
      </c>
      <c r="G111" s="112">
        <v>7611600</v>
      </c>
      <c r="H111" s="113" t="s">
        <v>73</v>
      </c>
      <c r="I111" s="46" t="s">
        <v>446</v>
      </c>
      <c r="J111" s="46" t="str">
        <f>VLOOKUP(E111,Sheet3!I:K,3,FALSE)</f>
        <v>ADM</v>
      </c>
      <c r="K111" s="46" t="str">
        <f>VLOOKUP(E111,Sheet3!I:K,2,FALSE)</f>
        <v>SGA</v>
      </c>
      <c r="L111" s="46"/>
      <c r="M111" s="50" t="s">
        <v>540</v>
      </c>
      <c r="N111" s="50" t="s">
        <v>540</v>
      </c>
      <c r="O111" s="50" t="s">
        <v>540</v>
      </c>
      <c r="P111" s="50" t="s">
        <v>540</v>
      </c>
      <c r="Q111" s="50" t="s">
        <v>540</v>
      </c>
      <c r="R111" s="50" t="s">
        <v>540</v>
      </c>
      <c r="S111" s="50" t="s">
        <v>540</v>
      </c>
      <c r="T111" s="50" t="s">
        <v>540</v>
      </c>
      <c r="U111" s="50" t="s">
        <v>540</v>
      </c>
      <c r="V111" s="50" t="s">
        <v>540</v>
      </c>
      <c r="W111" s="50" t="s">
        <v>540</v>
      </c>
      <c r="X111" s="50" t="s">
        <v>540</v>
      </c>
      <c r="Y111" s="50" t="s">
        <v>540</v>
      </c>
      <c r="Z111" s="50" t="s">
        <v>540</v>
      </c>
      <c r="AA111" s="50" t="s">
        <v>540</v>
      </c>
      <c r="AB111" s="50" t="s">
        <v>540</v>
      </c>
      <c r="AC111" s="50" t="s">
        <v>540</v>
      </c>
      <c r="AD111" s="68">
        <f t="shared" si="6"/>
        <v>0</v>
      </c>
      <c r="AE111" s="69">
        <f t="shared" si="7"/>
        <v>0</v>
      </c>
      <c r="AF111" s="70">
        <v>0</v>
      </c>
      <c r="AG111" s="71">
        <v>1833333.3333333335</v>
      </c>
      <c r="AH111" s="106" t="str">
        <f>VLOOKUP(D111,Sheet3!H:I,2,FALSE)</f>
        <v>B3130</v>
      </c>
      <c r="AI111" s="106"/>
      <c r="AJ111" s="106" t="str">
        <f>VLOOKUP(F111,Sheet3!H:I,2,FALSE)</f>
        <v>B3130</v>
      </c>
    </row>
    <row r="112" spans="1:36" s="74" customFormat="1" ht="15" customHeight="1">
      <c r="A112" s="112" t="s">
        <v>310</v>
      </c>
      <c r="B112" s="45" t="s">
        <v>364</v>
      </c>
      <c r="C112" s="110" t="str">
        <f t="shared" si="4"/>
        <v>B3130</v>
      </c>
      <c r="D112" s="111" t="s">
        <v>239</v>
      </c>
      <c r="E112" s="111" t="str">
        <f t="shared" si="5"/>
        <v>B3130</v>
      </c>
      <c r="F112" s="111" t="s">
        <v>239</v>
      </c>
      <c r="G112" s="112">
        <v>7611600</v>
      </c>
      <c r="H112" s="113" t="s">
        <v>73</v>
      </c>
      <c r="I112" s="46" t="s">
        <v>447</v>
      </c>
      <c r="J112" s="46" t="str">
        <f>VLOOKUP(E112,Sheet3!I:K,3,FALSE)</f>
        <v>ADM</v>
      </c>
      <c r="K112" s="46" t="str">
        <f>VLOOKUP(E112,Sheet3!I:K,2,FALSE)</f>
        <v>SGA</v>
      </c>
      <c r="L112" s="46"/>
      <c r="M112" s="50" t="s">
        <v>540</v>
      </c>
      <c r="N112" s="50" t="s">
        <v>540</v>
      </c>
      <c r="O112" s="50" t="s">
        <v>540</v>
      </c>
      <c r="P112" s="50" t="s">
        <v>540</v>
      </c>
      <c r="Q112" s="50" t="s">
        <v>540</v>
      </c>
      <c r="R112" s="50" t="s">
        <v>540</v>
      </c>
      <c r="S112" s="50" t="s">
        <v>540</v>
      </c>
      <c r="T112" s="50" t="s">
        <v>540</v>
      </c>
      <c r="U112" s="50" t="s">
        <v>540</v>
      </c>
      <c r="V112" s="50" t="s">
        <v>540</v>
      </c>
      <c r="W112" s="50" t="s">
        <v>540</v>
      </c>
      <c r="X112" s="50" t="s">
        <v>540</v>
      </c>
      <c r="Y112" s="50" t="s">
        <v>540</v>
      </c>
      <c r="Z112" s="50" t="s">
        <v>540</v>
      </c>
      <c r="AA112" s="50" t="s">
        <v>540</v>
      </c>
      <c r="AB112" s="50" t="s">
        <v>540</v>
      </c>
      <c r="AC112" s="50" t="s">
        <v>540</v>
      </c>
      <c r="AD112" s="68">
        <f t="shared" si="6"/>
        <v>0</v>
      </c>
      <c r="AE112" s="69">
        <f t="shared" si="7"/>
        <v>0</v>
      </c>
      <c r="AF112" s="70">
        <v>0</v>
      </c>
      <c r="AG112" s="71">
        <v>1833333.3333333335</v>
      </c>
      <c r="AH112" s="106" t="str">
        <f>VLOOKUP(D112,Sheet3!H:I,2,FALSE)</f>
        <v>B3130</v>
      </c>
      <c r="AI112" s="106"/>
      <c r="AJ112" s="106" t="str">
        <f>VLOOKUP(F112,Sheet3!H:I,2,FALSE)</f>
        <v>B3130</v>
      </c>
    </row>
    <row r="113" spans="1:36" s="74" customFormat="1" ht="15" customHeight="1">
      <c r="A113" s="112" t="s">
        <v>310</v>
      </c>
      <c r="B113" s="45" t="s">
        <v>308</v>
      </c>
      <c r="C113" s="110" t="str">
        <f t="shared" si="4"/>
        <v>B3120</v>
      </c>
      <c r="D113" s="111" t="s">
        <v>237</v>
      </c>
      <c r="E113" s="111" t="str">
        <f t="shared" si="5"/>
        <v>B3120</v>
      </c>
      <c r="F113" s="111" t="s">
        <v>237</v>
      </c>
      <c r="G113" s="112">
        <v>7611600</v>
      </c>
      <c r="H113" s="113" t="s">
        <v>73</v>
      </c>
      <c r="I113" s="46" t="s">
        <v>434</v>
      </c>
      <c r="J113" s="46" t="str">
        <f>VLOOKUP(E113,Sheet3!I:K,3,FALSE)</f>
        <v>ADM</v>
      </c>
      <c r="K113" s="46" t="str">
        <f>VLOOKUP(E113,Sheet3!I:K,2,FALSE)</f>
        <v>SGA</v>
      </c>
      <c r="L113" s="46"/>
      <c r="M113" s="50" t="s">
        <v>540</v>
      </c>
      <c r="N113" s="50" t="s">
        <v>540</v>
      </c>
      <c r="O113" s="50" t="s">
        <v>540</v>
      </c>
      <c r="P113" s="50" t="s">
        <v>540</v>
      </c>
      <c r="Q113" s="50" t="s">
        <v>540</v>
      </c>
      <c r="R113" s="50" t="s">
        <v>540</v>
      </c>
      <c r="S113" s="50" t="s">
        <v>540</v>
      </c>
      <c r="T113" s="50" t="s">
        <v>540</v>
      </c>
      <c r="U113" s="50" t="s">
        <v>540</v>
      </c>
      <c r="V113" s="50" t="s">
        <v>540</v>
      </c>
      <c r="W113" s="50" t="s">
        <v>540</v>
      </c>
      <c r="X113" s="50" t="s">
        <v>540</v>
      </c>
      <c r="Y113" s="50" t="s">
        <v>540</v>
      </c>
      <c r="Z113" s="50" t="s">
        <v>540</v>
      </c>
      <c r="AA113" s="50" t="s">
        <v>540</v>
      </c>
      <c r="AB113" s="50" t="s">
        <v>540</v>
      </c>
      <c r="AC113" s="50" t="s">
        <v>540</v>
      </c>
      <c r="AD113" s="68">
        <f t="shared" si="6"/>
        <v>0</v>
      </c>
      <c r="AE113" s="69">
        <f t="shared" si="7"/>
        <v>0</v>
      </c>
      <c r="AF113" s="70">
        <v>1083333.3333333333</v>
      </c>
      <c r="AG113" s="71">
        <v>2600000</v>
      </c>
      <c r="AH113" s="106" t="str">
        <f>VLOOKUP(D113,Sheet3!H:I,2,FALSE)</f>
        <v>B3120</v>
      </c>
      <c r="AI113" s="106"/>
      <c r="AJ113" s="106" t="str">
        <f>VLOOKUP(F113,Sheet3!H:I,2,FALSE)</f>
        <v>B3120</v>
      </c>
    </row>
    <row r="114" spans="1:36" s="74" customFormat="1" ht="15" customHeight="1">
      <c r="A114" s="112" t="s">
        <v>310</v>
      </c>
      <c r="B114" s="45" t="s">
        <v>326</v>
      </c>
      <c r="C114" s="110" t="str">
        <f t="shared" si="4"/>
        <v>B3120</v>
      </c>
      <c r="D114" s="111" t="s">
        <v>237</v>
      </c>
      <c r="E114" s="111" t="str">
        <f t="shared" si="5"/>
        <v>B3120</v>
      </c>
      <c r="F114" s="111" t="s">
        <v>237</v>
      </c>
      <c r="G114" s="112">
        <v>7611600</v>
      </c>
      <c r="H114" s="113" t="s">
        <v>73</v>
      </c>
      <c r="I114" s="46" t="s">
        <v>442</v>
      </c>
      <c r="J114" s="46" t="str">
        <f>VLOOKUP(E114,Sheet3!I:K,3,FALSE)</f>
        <v>ADM</v>
      </c>
      <c r="K114" s="46" t="str">
        <f>VLOOKUP(E114,Sheet3!I:K,2,FALSE)</f>
        <v>SGA</v>
      </c>
      <c r="L114" s="46"/>
      <c r="M114" s="50" t="s">
        <v>540</v>
      </c>
      <c r="N114" s="50" t="s">
        <v>540</v>
      </c>
      <c r="O114" s="50" t="s">
        <v>540</v>
      </c>
      <c r="P114" s="50" t="s">
        <v>540</v>
      </c>
      <c r="Q114" s="50" t="s">
        <v>540</v>
      </c>
      <c r="R114" s="50" t="s">
        <v>540</v>
      </c>
      <c r="S114" s="50" t="s">
        <v>540</v>
      </c>
      <c r="T114" s="50" t="s">
        <v>540</v>
      </c>
      <c r="U114" s="50" t="s">
        <v>540</v>
      </c>
      <c r="V114" s="50" t="s">
        <v>540</v>
      </c>
      <c r="W114" s="50" t="s">
        <v>540</v>
      </c>
      <c r="X114" s="50" t="s">
        <v>540</v>
      </c>
      <c r="Y114" s="50" t="s">
        <v>540</v>
      </c>
      <c r="Z114" s="50" t="s">
        <v>540</v>
      </c>
      <c r="AA114" s="50" t="s">
        <v>540</v>
      </c>
      <c r="AB114" s="50" t="s">
        <v>540</v>
      </c>
      <c r="AC114" s="50" t="s">
        <v>540</v>
      </c>
      <c r="AD114" s="68">
        <f t="shared" si="6"/>
        <v>0</v>
      </c>
      <c r="AE114" s="69">
        <f t="shared" si="7"/>
        <v>0</v>
      </c>
      <c r="AF114" s="70">
        <v>833333.33333333326</v>
      </c>
      <c r="AG114" s="71">
        <v>2000000.0000000002</v>
      </c>
      <c r="AH114" s="106" t="str">
        <f>VLOOKUP(D114,Sheet3!H:I,2,FALSE)</f>
        <v>B3120</v>
      </c>
      <c r="AI114" s="106"/>
      <c r="AJ114" s="106" t="str">
        <f>VLOOKUP(F114,Sheet3!H:I,2,FALSE)</f>
        <v>B3120</v>
      </c>
    </row>
    <row r="115" spans="1:36" s="74" customFormat="1" ht="15" customHeight="1">
      <c r="A115" s="112" t="s">
        <v>310</v>
      </c>
      <c r="B115" s="45" t="s">
        <v>308</v>
      </c>
      <c r="C115" s="110" t="str">
        <f t="shared" si="4"/>
        <v>B3110</v>
      </c>
      <c r="D115" s="111" t="s">
        <v>235</v>
      </c>
      <c r="E115" s="111" t="str">
        <f t="shared" si="5"/>
        <v>B3110</v>
      </c>
      <c r="F115" s="111" t="s">
        <v>235</v>
      </c>
      <c r="G115" s="112">
        <v>7611600</v>
      </c>
      <c r="H115" s="113" t="s">
        <v>73</v>
      </c>
      <c r="I115" s="46" t="s">
        <v>448</v>
      </c>
      <c r="J115" s="46" t="str">
        <f>VLOOKUP(E115,Sheet3!I:K,3,FALSE)</f>
        <v>ADM</v>
      </c>
      <c r="K115" s="46" t="str">
        <f>VLOOKUP(E115,Sheet3!I:K,2,FALSE)</f>
        <v>SGA</v>
      </c>
      <c r="L115" s="46"/>
      <c r="M115" s="50" t="s">
        <v>540</v>
      </c>
      <c r="N115" s="50" t="s">
        <v>540</v>
      </c>
      <c r="O115" s="50" t="s">
        <v>540</v>
      </c>
      <c r="P115" s="50" t="s">
        <v>540</v>
      </c>
      <c r="Q115" s="50" t="s">
        <v>540</v>
      </c>
      <c r="R115" s="50">
        <v>166666.66666666666</v>
      </c>
      <c r="S115" s="50">
        <v>166666.66666666666</v>
      </c>
      <c r="T115" s="50">
        <v>166666.66666666666</v>
      </c>
      <c r="U115" s="50">
        <v>166666.66666666666</v>
      </c>
      <c r="V115" s="50">
        <v>166666.66666666666</v>
      </c>
      <c r="W115" s="50">
        <v>166666.66666666666</v>
      </c>
      <c r="X115" s="50">
        <v>166666.66666666666</v>
      </c>
      <c r="Y115" s="50">
        <v>166666.66666666666</v>
      </c>
      <c r="Z115" s="50">
        <v>166666.66666666666</v>
      </c>
      <c r="AA115" s="50">
        <v>166666.66666666666</v>
      </c>
      <c r="AB115" s="50">
        <v>166666.66666666666</v>
      </c>
      <c r="AC115" s="50">
        <v>166666.66666666666</v>
      </c>
      <c r="AD115" s="68">
        <f t="shared" si="6"/>
        <v>0</v>
      </c>
      <c r="AE115" s="69">
        <f t="shared" si="7"/>
        <v>2000000.0000000002</v>
      </c>
      <c r="AF115" s="70">
        <v>2000000.0000000002</v>
      </c>
      <c r="AG115" s="71">
        <v>2000000.0000000002</v>
      </c>
      <c r="AH115" s="106" t="str">
        <f>VLOOKUP(D115,Sheet3!H:I,2,FALSE)</f>
        <v>B3110</v>
      </c>
      <c r="AI115" s="106"/>
      <c r="AJ115" s="106" t="str">
        <f>VLOOKUP(F115,Sheet3!H:I,2,FALSE)</f>
        <v>B3110</v>
      </c>
    </row>
    <row r="116" spans="1:36" s="74" customFormat="1" ht="15" customHeight="1">
      <c r="A116" s="112" t="s">
        <v>310</v>
      </c>
      <c r="B116" s="45" t="s">
        <v>326</v>
      </c>
      <c r="C116" s="110" t="str">
        <f t="shared" si="4"/>
        <v>B3110</v>
      </c>
      <c r="D116" s="111" t="s">
        <v>235</v>
      </c>
      <c r="E116" s="111" t="str">
        <f t="shared" si="5"/>
        <v>B3110</v>
      </c>
      <c r="F116" s="111" t="s">
        <v>235</v>
      </c>
      <c r="G116" s="112">
        <v>7611600</v>
      </c>
      <c r="H116" s="113" t="s">
        <v>73</v>
      </c>
      <c r="I116" s="46" t="s">
        <v>449</v>
      </c>
      <c r="J116" s="46" t="str">
        <f>VLOOKUP(E116,Sheet3!I:K,3,FALSE)</f>
        <v>ADM</v>
      </c>
      <c r="K116" s="46" t="str">
        <f>VLOOKUP(E116,Sheet3!I:K,2,FALSE)</f>
        <v>SGA</v>
      </c>
      <c r="L116" s="46"/>
      <c r="M116" s="50" t="s">
        <v>540</v>
      </c>
      <c r="N116" s="50" t="s">
        <v>540</v>
      </c>
      <c r="O116" s="50" t="s">
        <v>540</v>
      </c>
      <c r="P116" s="50" t="s">
        <v>540</v>
      </c>
      <c r="Q116" s="50" t="s">
        <v>540</v>
      </c>
      <c r="R116" s="50" t="s">
        <v>540</v>
      </c>
      <c r="S116" s="50" t="s">
        <v>540</v>
      </c>
      <c r="T116" s="50" t="s">
        <v>540</v>
      </c>
      <c r="U116" s="50" t="s">
        <v>540</v>
      </c>
      <c r="V116" s="50" t="s">
        <v>540</v>
      </c>
      <c r="W116" s="50" t="s">
        <v>540</v>
      </c>
      <c r="X116" s="50" t="s">
        <v>540</v>
      </c>
      <c r="Y116" s="50" t="s">
        <v>540</v>
      </c>
      <c r="Z116" s="50" t="s">
        <v>540</v>
      </c>
      <c r="AA116" s="50" t="s">
        <v>540</v>
      </c>
      <c r="AB116" s="50" t="s">
        <v>540</v>
      </c>
      <c r="AC116" s="50" t="s">
        <v>540</v>
      </c>
      <c r="AD116" s="68">
        <f t="shared" si="6"/>
        <v>0</v>
      </c>
      <c r="AE116" s="69">
        <f t="shared" si="7"/>
        <v>0</v>
      </c>
      <c r="AF116" s="70">
        <v>2000000.0000000002</v>
      </c>
      <c r="AG116" s="71">
        <v>2000000.0000000002</v>
      </c>
      <c r="AH116" s="106" t="str">
        <f>VLOOKUP(D116,Sheet3!H:I,2,FALSE)</f>
        <v>B3110</v>
      </c>
      <c r="AI116" s="106"/>
      <c r="AJ116" s="106" t="str">
        <f>VLOOKUP(F116,Sheet3!H:I,2,FALSE)</f>
        <v>B3110</v>
      </c>
    </row>
    <row r="117" spans="1:36" s="74" customFormat="1" ht="15" customHeight="1">
      <c r="A117" s="112" t="s">
        <v>310</v>
      </c>
      <c r="B117" s="45" t="s">
        <v>328</v>
      </c>
      <c r="C117" s="110" t="str">
        <f t="shared" si="4"/>
        <v>B3110</v>
      </c>
      <c r="D117" s="111" t="s">
        <v>235</v>
      </c>
      <c r="E117" s="111" t="str">
        <f t="shared" si="5"/>
        <v>B3110</v>
      </c>
      <c r="F117" s="111" t="s">
        <v>235</v>
      </c>
      <c r="G117" s="112">
        <v>7611600</v>
      </c>
      <c r="H117" s="113" t="s">
        <v>73</v>
      </c>
      <c r="I117" s="46" t="s">
        <v>450</v>
      </c>
      <c r="J117" s="46" t="str">
        <f>VLOOKUP(E117,Sheet3!I:K,3,FALSE)</f>
        <v>ADM</v>
      </c>
      <c r="K117" s="46" t="str">
        <f>VLOOKUP(E117,Sheet3!I:K,2,FALSE)</f>
        <v>SGA</v>
      </c>
      <c r="L117" s="46"/>
      <c r="M117" s="50" t="s">
        <v>540</v>
      </c>
      <c r="N117" s="50" t="s">
        <v>540</v>
      </c>
      <c r="O117" s="50">
        <v>166666.66666666666</v>
      </c>
      <c r="P117" s="50">
        <v>166666.66666666666</v>
      </c>
      <c r="Q117" s="50">
        <v>166666.66666666666</v>
      </c>
      <c r="R117" s="50">
        <v>166666.66666666666</v>
      </c>
      <c r="S117" s="50">
        <v>166666.66666666666</v>
      </c>
      <c r="T117" s="50">
        <v>166666.66666666666</v>
      </c>
      <c r="U117" s="50">
        <v>166666.66666666666</v>
      </c>
      <c r="V117" s="50">
        <v>166666.66666666666</v>
      </c>
      <c r="W117" s="50">
        <v>166666.66666666666</v>
      </c>
      <c r="X117" s="50">
        <v>166666.66666666666</v>
      </c>
      <c r="Y117" s="50">
        <v>166666.66666666666</v>
      </c>
      <c r="Z117" s="50">
        <v>166666.66666666666</v>
      </c>
      <c r="AA117" s="50">
        <v>166666.66666666666</v>
      </c>
      <c r="AB117" s="50">
        <v>166666.66666666666</v>
      </c>
      <c r="AC117" s="50">
        <v>166666.66666666666</v>
      </c>
      <c r="AD117" s="68">
        <f t="shared" si="6"/>
        <v>500000</v>
      </c>
      <c r="AE117" s="69">
        <f t="shared" si="7"/>
        <v>2000000.0000000002</v>
      </c>
      <c r="AF117" s="70">
        <v>2000000.0000000002</v>
      </c>
      <c r="AG117" s="71">
        <v>2000000.0000000002</v>
      </c>
      <c r="AH117" s="106" t="str">
        <f>VLOOKUP(D117,Sheet3!H:I,2,FALSE)</f>
        <v>B3110</v>
      </c>
      <c r="AI117" s="106"/>
      <c r="AJ117" s="106" t="str">
        <f>VLOOKUP(F117,Sheet3!H:I,2,FALSE)</f>
        <v>B3110</v>
      </c>
    </row>
    <row r="118" spans="1:36" s="74" customFormat="1" ht="15" customHeight="1">
      <c r="A118" s="112" t="s">
        <v>310</v>
      </c>
      <c r="B118" s="45" t="s">
        <v>356</v>
      </c>
      <c r="C118" s="110" t="str">
        <f t="shared" si="4"/>
        <v>B3110</v>
      </c>
      <c r="D118" s="111" t="s">
        <v>235</v>
      </c>
      <c r="E118" s="111" t="str">
        <f t="shared" si="5"/>
        <v>B3110</v>
      </c>
      <c r="F118" s="111" t="s">
        <v>235</v>
      </c>
      <c r="G118" s="112">
        <v>7611600</v>
      </c>
      <c r="H118" s="113" t="s">
        <v>73</v>
      </c>
      <c r="I118" s="46" t="s">
        <v>451</v>
      </c>
      <c r="J118" s="46" t="str">
        <f>VLOOKUP(E118,Sheet3!I:K,3,FALSE)</f>
        <v>ADM</v>
      </c>
      <c r="K118" s="46" t="str">
        <f>VLOOKUP(E118,Sheet3!I:K,2,FALSE)</f>
        <v>SGA</v>
      </c>
      <c r="L118" s="46"/>
      <c r="M118" s="50" t="s">
        <v>540</v>
      </c>
      <c r="N118" s="50" t="s">
        <v>540</v>
      </c>
      <c r="O118" s="50" t="s">
        <v>540</v>
      </c>
      <c r="P118" s="50" t="s">
        <v>540</v>
      </c>
      <c r="Q118" s="50" t="s">
        <v>540</v>
      </c>
      <c r="R118" s="50" t="s">
        <v>540</v>
      </c>
      <c r="S118" s="50" t="s">
        <v>540</v>
      </c>
      <c r="T118" s="50" t="s">
        <v>540</v>
      </c>
      <c r="U118" s="50" t="s">
        <v>540</v>
      </c>
      <c r="V118" s="50" t="s">
        <v>540</v>
      </c>
      <c r="W118" s="50" t="s">
        <v>540</v>
      </c>
      <c r="X118" s="50" t="s">
        <v>540</v>
      </c>
      <c r="Y118" s="50" t="s">
        <v>540</v>
      </c>
      <c r="Z118" s="50" t="s">
        <v>540</v>
      </c>
      <c r="AA118" s="50" t="s">
        <v>540</v>
      </c>
      <c r="AB118" s="50" t="s">
        <v>540</v>
      </c>
      <c r="AC118" s="50" t="s">
        <v>540</v>
      </c>
      <c r="AD118" s="68">
        <f t="shared" si="6"/>
        <v>0</v>
      </c>
      <c r="AE118" s="69">
        <f t="shared" si="7"/>
        <v>0</v>
      </c>
      <c r="AF118" s="70">
        <v>2000000.0000000002</v>
      </c>
      <c r="AG118" s="71">
        <v>2000000.0000000002</v>
      </c>
      <c r="AH118" s="106" t="str">
        <f>VLOOKUP(D118,Sheet3!H:I,2,FALSE)</f>
        <v>B3110</v>
      </c>
      <c r="AI118" s="106"/>
      <c r="AJ118" s="106" t="str">
        <f>VLOOKUP(F118,Sheet3!H:I,2,FALSE)</f>
        <v>B3110</v>
      </c>
    </row>
    <row r="119" spans="1:36" s="74" customFormat="1" ht="15" customHeight="1">
      <c r="A119" s="112" t="s">
        <v>310</v>
      </c>
      <c r="B119" s="45" t="s">
        <v>357</v>
      </c>
      <c r="C119" s="110" t="str">
        <f t="shared" si="4"/>
        <v>B3110</v>
      </c>
      <c r="D119" s="111" t="s">
        <v>235</v>
      </c>
      <c r="E119" s="111" t="str">
        <f t="shared" si="5"/>
        <v>B3110</v>
      </c>
      <c r="F119" s="111" t="s">
        <v>235</v>
      </c>
      <c r="G119" s="112">
        <v>7611600</v>
      </c>
      <c r="H119" s="113" t="s">
        <v>73</v>
      </c>
      <c r="I119" s="46" t="s">
        <v>452</v>
      </c>
      <c r="J119" s="46" t="str">
        <f>VLOOKUP(E119,Sheet3!I:K,3,FALSE)</f>
        <v>ADM</v>
      </c>
      <c r="K119" s="46" t="str">
        <f>VLOOKUP(E119,Sheet3!I:K,2,FALSE)</f>
        <v>SGA</v>
      </c>
      <c r="L119" s="46"/>
      <c r="M119" s="50" t="s">
        <v>540</v>
      </c>
      <c r="N119" s="50" t="s">
        <v>540</v>
      </c>
      <c r="O119" s="50" t="s">
        <v>540</v>
      </c>
      <c r="P119" s="50" t="s">
        <v>540</v>
      </c>
      <c r="Q119" s="50" t="s">
        <v>540</v>
      </c>
      <c r="R119" s="50" t="s">
        <v>540</v>
      </c>
      <c r="S119" s="50" t="s">
        <v>540</v>
      </c>
      <c r="T119" s="50" t="s">
        <v>540</v>
      </c>
      <c r="U119" s="50" t="s">
        <v>540</v>
      </c>
      <c r="V119" s="50" t="s">
        <v>540</v>
      </c>
      <c r="W119" s="50" t="s">
        <v>540</v>
      </c>
      <c r="X119" s="50" t="s">
        <v>540</v>
      </c>
      <c r="Y119" s="50" t="s">
        <v>540</v>
      </c>
      <c r="Z119" s="50" t="s">
        <v>540</v>
      </c>
      <c r="AA119" s="50" t="s">
        <v>540</v>
      </c>
      <c r="AB119" s="50" t="s">
        <v>540</v>
      </c>
      <c r="AC119" s="50" t="s">
        <v>540</v>
      </c>
      <c r="AD119" s="68">
        <f t="shared" si="6"/>
        <v>0</v>
      </c>
      <c r="AE119" s="69">
        <f t="shared" si="7"/>
        <v>0</v>
      </c>
      <c r="AF119" s="70">
        <v>0</v>
      </c>
      <c r="AG119" s="71">
        <v>500000</v>
      </c>
      <c r="AH119" s="106" t="str">
        <f>VLOOKUP(D119,Sheet3!H:I,2,FALSE)</f>
        <v>B3110</v>
      </c>
      <c r="AI119" s="106"/>
      <c r="AJ119" s="106" t="str">
        <f>VLOOKUP(F119,Sheet3!H:I,2,FALSE)</f>
        <v>B3110</v>
      </c>
    </row>
    <row r="120" spans="1:36" s="74" customFormat="1" ht="15" customHeight="1">
      <c r="A120" s="112" t="s">
        <v>310</v>
      </c>
      <c r="B120" s="45" t="s">
        <v>358</v>
      </c>
      <c r="C120" s="110" t="str">
        <f t="shared" si="4"/>
        <v>B3110</v>
      </c>
      <c r="D120" s="111" t="s">
        <v>235</v>
      </c>
      <c r="E120" s="111" t="str">
        <f t="shared" si="5"/>
        <v>B3110</v>
      </c>
      <c r="F120" s="111" t="s">
        <v>235</v>
      </c>
      <c r="G120" s="112">
        <v>7611600</v>
      </c>
      <c r="H120" s="113" t="s">
        <v>73</v>
      </c>
      <c r="I120" s="46" t="s">
        <v>453</v>
      </c>
      <c r="J120" s="46" t="str">
        <f>VLOOKUP(E120,Sheet3!I:K,3,FALSE)</f>
        <v>ADM</v>
      </c>
      <c r="K120" s="46" t="str">
        <f>VLOOKUP(E120,Sheet3!I:K,2,FALSE)</f>
        <v>SGA</v>
      </c>
      <c r="L120" s="46"/>
      <c r="M120" s="50" t="s">
        <v>540</v>
      </c>
      <c r="N120" s="50" t="s">
        <v>540</v>
      </c>
      <c r="O120" s="50" t="s">
        <v>540</v>
      </c>
      <c r="P120" s="50">
        <v>250000</v>
      </c>
      <c r="Q120" s="50">
        <v>250000</v>
      </c>
      <c r="R120" s="50">
        <v>250000</v>
      </c>
      <c r="S120" s="50">
        <v>250000</v>
      </c>
      <c r="T120" s="50">
        <v>250000</v>
      </c>
      <c r="U120" s="50">
        <v>250000</v>
      </c>
      <c r="V120" s="50">
        <v>250000</v>
      </c>
      <c r="W120" s="50">
        <v>250000</v>
      </c>
      <c r="X120" s="50">
        <v>250000</v>
      </c>
      <c r="Y120" s="50">
        <v>250000</v>
      </c>
      <c r="Z120" s="50">
        <v>250000</v>
      </c>
      <c r="AA120" s="50">
        <v>250000</v>
      </c>
      <c r="AB120" s="50">
        <v>250000</v>
      </c>
      <c r="AC120" s="50">
        <v>250000</v>
      </c>
      <c r="AD120" s="68">
        <f t="shared" si="6"/>
        <v>500000</v>
      </c>
      <c r="AE120" s="69">
        <f t="shared" si="7"/>
        <v>3000000</v>
      </c>
      <c r="AF120" s="70">
        <v>3000000</v>
      </c>
      <c r="AG120" s="71">
        <v>3000000</v>
      </c>
      <c r="AH120" s="106" t="str">
        <f>VLOOKUP(D120,Sheet3!H:I,2,FALSE)</f>
        <v>B3110</v>
      </c>
      <c r="AI120" s="106"/>
      <c r="AJ120" s="106" t="str">
        <f>VLOOKUP(F120,Sheet3!H:I,2,FALSE)</f>
        <v>B3110</v>
      </c>
    </row>
    <row r="121" spans="1:36" s="74" customFormat="1" ht="15" customHeight="1">
      <c r="A121" s="112" t="s">
        <v>310</v>
      </c>
      <c r="B121" s="45" t="s">
        <v>454</v>
      </c>
      <c r="C121" s="110" t="str">
        <f t="shared" si="4"/>
        <v>B5130</v>
      </c>
      <c r="D121" s="111" t="s">
        <v>287</v>
      </c>
      <c r="E121" s="111" t="str">
        <f t="shared" si="5"/>
        <v>B5130</v>
      </c>
      <c r="F121" s="111" t="s">
        <v>287</v>
      </c>
      <c r="G121" s="112">
        <v>7611600</v>
      </c>
      <c r="H121" s="113" t="s">
        <v>73</v>
      </c>
      <c r="I121" s="46" t="s">
        <v>455</v>
      </c>
      <c r="J121" s="46" t="str">
        <f>VLOOKUP(E121,Sheet3!I:K,3,FALSE)</f>
        <v>IND</v>
      </c>
      <c r="K121" s="46" t="str">
        <f>VLOOKUP(E121,Sheet3!I:K,2,FALSE)</f>
        <v>MFG</v>
      </c>
      <c r="L121" s="46"/>
      <c r="M121" s="50" t="s">
        <v>540</v>
      </c>
      <c r="N121" s="50" t="s">
        <v>540</v>
      </c>
      <c r="O121" s="50" t="s">
        <v>540</v>
      </c>
      <c r="P121" s="50" t="s">
        <v>540</v>
      </c>
      <c r="Q121" s="50" t="s">
        <v>540</v>
      </c>
      <c r="R121" s="50">
        <v>166666.66666666666</v>
      </c>
      <c r="S121" s="50">
        <v>166666.66666666666</v>
      </c>
      <c r="T121" s="50">
        <v>166666.66666666666</v>
      </c>
      <c r="U121" s="50">
        <v>166666.66666666666</v>
      </c>
      <c r="V121" s="50">
        <v>166666.66666666666</v>
      </c>
      <c r="W121" s="50">
        <v>166666.66666666666</v>
      </c>
      <c r="X121" s="50">
        <v>166666.66666666666</v>
      </c>
      <c r="Y121" s="50">
        <v>166666.66666666666</v>
      </c>
      <c r="Z121" s="50">
        <v>166666.66666666666</v>
      </c>
      <c r="AA121" s="50">
        <v>166666.66666666666</v>
      </c>
      <c r="AB121" s="50">
        <v>166666.66666666666</v>
      </c>
      <c r="AC121" s="50">
        <v>166666.66666666666</v>
      </c>
      <c r="AD121" s="68">
        <f t="shared" si="6"/>
        <v>0</v>
      </c>
      <c r="AE121" s="69">
        <f t="shared" si="7"/>
        <v>2000000.0000000002</v>
      </c>
      <c r="AF121" s="70">
        <v>2000000.0000000002</v>
      </c>
      <c r="AG121" s="71">
        <v>2000000.0000000002</v>
      </c>
      <c r="AH121" s="106" t="str">
        <f>VLOOKUP(D121,Sheet3!H:I,2,FALSE)</f>
        <v>B5130</v>
      </c>
      <c r="AI121" s="106"/>
      <c r="AJ121" s="106" t="str">
        <f>VLOOKUP(F121,Sheet3!H:I,2,FALSE)</f>
        <v>B5130</v>
      </c>
    </row>
    <row r="122" spans="1:36" s="74" customFormat="1" ht="15" customHeight="1">
      <c r="A122" s="112" t="s">
        <v>310</v>
      </c>
      <c r="B122" s="45" t="s">
        <v>326</v>
      </c>
      <c r="C122" s="110" t="str">
        <f t="shared" si="4"/>
        <v>B5130</v>
      </c>
      <c r="D122" s="111" t="s">
        <v>287</v>
      </c>
      <c r="E122" s="111" t="str">
        <f t="shared" si="5"/>
        <v>B5130</v>
      </c>
      <c r="F122" s="111" t="s">
        <v>287</v>
      </c>
      <c r="G122" s="112">
        <v>7611600</v>
      </c>
      <c r="H122" s="113" t="s">
        <v>73</v>
      </c>
      <c r="I122" s="46" t="s">
        <v>456</v>
      </c>
      <c r="J122" s="46" t="str">
        <f>VLOOKUP(E122,Sheet3!I:K,3,FALSE)</f>
        <v>IND</v>
      </c>
      <c r="K122" s="46" t="str">
        <f>VLOOKUP(E122,Sheet3!I:K,2,FALSE)</f>
        <v>MFG</v>
      </c>
      <c r="L122" s="46"/>
      <c r="M122" s="50" t="s">
        <v>540</v>
      </c>
      <c r="N122" s="50" t="s">
        <v>540</v>
      </c>
      <c r="O122" s="50" t="s">
        <v>540</v>
      </c>
      <c r="P122" s="50" t="s">
        <v>540</v>
      </c>
      <c r="Q122" s="50" t="s">
        <v>540</v>
      </c>
      <c r="R122" s="50">
        <v>166666.66666666666</v>
      </c>
      <c r="S122" s="50">
        <v>166666.66666666666</v>
      </c>
      <c r="T122" s="50">
        <v>166666.66666666666</v>
      </c>
      <c r="U122" s="50">
        <v>166666.66666666666</v>
      </c>
      <c r="V122" s="50">
        <v>166666.66666666666</v>
      </c>
      <c r="W122" s="50">
        <v>166666.66666666666</v>
      </c>
      <c r="X122" s="50">
        <v>166666.66666666666</v>
      </c>
      <c r="Y122" s="50">
        <v>166666.66666666666</v>
      </c>
      <c r="Z122" s="50">
        <v>166666.66666666666</v>
      </c>
      <c r="AA122" s="50">
        <v>166666.66666666666</v>
      </c>
      <c r="AB122" s="50">
        <v>166666.66666666666</v>
      </c>
      <c r="AC122" s="50">
        <v>166666.66666666666</v>
      </c>
      <c r="AD122" s="68">
        <f t="shared" si="6"/>
        <v>0</v>
      </c>
      <c r="AE122" s="69">
        <f t="shared" si="7"/>
        <v>2000000.0000000002</v>
      </c>
      <c r="AF122" s="70">
        <v>2000000.0000000002</v>
      </c>
      <c r="AG122" s="71">
        <v>2000000.0000000002</v>
      </c>
      <c r="AH122" s="106" t="str">
        <f>VLOOKUP(D122,Sheet3!H:I,2,FALSE)</f>
        <v>B5130</v>
      </c>
      <c r="AI122" s="106"/>
      <c r="AJ122" s="106" t="str">
        <f>VLOOKUP(F122,Sheet3!H:I,2,FALSE)</f>
        <v>B5130</v>
      </c>
    </row>
    <row r="123" spans="1:36" s="74" customFormat="1" ht="15" customHeight="1">
      <c r="A123" s="112" t="s">
        <v>310</v>
      </c>
      <c r="B123" s="45" t="s">
        <v>328</v>
      </c>
      <c r="C123" s="110" t="str">
        <f t="shared" si="4"/>
        <v>B5130</v>
      </c>
      <c r="D123" s="111" t="s">
        <v>287</v>
      </c>
      <c r="E123" s="111" t="str">
        <f t="shared" si="5"/>
        <v>B5130</v>
      </c>
      <c r="F123" s="111" t="s">
        <v>287</v>
      </c>
      <c r="G123" s="112">
        <v>7611600</v>
      </c>
      <c r="H123" s="113" t="s">
        <v>73</v>
      </c>
      <c r="I123" s="46" t="s">
        <v>457</v>
      </c>
      <c r="J123" s="46" t="str">
        <f>VLOOKUP(E123,Sheet3!I:K,3,FALSE)</f>
        <v>IND</v>
      </c>
      <c r="K123" s="46" t="str">
        <f>VLOOKUP(E123,Sheet3!I:K,2,FALSE)</f>
        <v>MFG</v>
      </c>
      <c r="L123" s="46"/>
      <c r="M123" s="50" t="s">
        <v>540</v>
      </c>
      <c r="N123" s="50" t="s">
        <v>540</v>
      </c>
      <c r="O123" s="50" t="s">
        <v>540</v>
      </c>
      <c r="P123" s="50" t="s">
        <v>540</v>
      </c>
      <c r="Q123" s="50" t="s">
        <v>540</v>
      </c>
      <c r="R123" s="50">
        <v>166666.66666666666</v>
      </c>
      <c r="S123" s="50">
        <v>166666.66666666666</v>
      </c>
      <c r="T123" s="50">
        <v>166666.66666666666</v>
      </c>
      <c r="U123" s="50">
        <v>166666.66666666666</v>
      </c>
      <c r="V123" s="50">
        <v>166666.66666666666</v>
      </c>
      <c r="W123" s="50">
        <v>166666.66666666666</v>
      </c>
      <c r="X123" s="50">
        <v>166666.66666666666</v>
      </c>
      <c r="Y123" s="50">
        <v>166666.66666666666</v>
      </c>
      <c r="Z123" s="50">
        <v>166666.66666666666</v>
      </c>
      <c r="AA123" s="50">
        <v>166666.66666666666</v>
      </c>
      <c r="AB123" s="50">
        <v>166666.66666666666</v>
      </c>
      <c r="AC123" s="50">
        <v>166666.66666666666</v>
      </c>
      <c r="AD123" s="68">
        <f t="shared" si="6"/>
        <v>0</v>
      </c>
      <c r="AE123" s="69">
        <f t="shared" si="7"/>
        <v>2000000.0000000002</v>
      </c>
      <c r="AF123" s="70">
        <v>2000000.0000000002</v>
      </c>
      <c r="AG123" s="71">
        <v>2000000.0000000002</v>
      </c>
      <c r="AH123" s="106" t="str">
        <f>VLOOKUP(D123,Sheet3!H:I,2,FALSE)</f>
        <v>B5130</v>
      </c>
      <c r="AI123" s="106"/>
      <c r="AJ123" s="106" t="str">
        <f>VLOOKUP(F123,Sheet3!H:I,2,FALSE)</f>
        <v>B5130</v>
      </c>
    </row>
    <row r="124" spans="1:36" s="74" customFormat="1" ht="15" customHeight="1">
      <c r="A124" s="112" t="s">
        <v>310</v>
      </c>
      <c r="B124" s="45" t="s">
        <v>356</v>
      </c>
      <c r="C124" s="110" t="str">
        <f t="shared" si="4"/>
        <v>B5130</v>
      </c>
      <c r="D124" s="111" t="s">
        <v>287</v>
      </c>
      <c r="E124" s="111" t="str">
        <f t="shared" si="5"/>
        <v>B5130</v>
      </c>
      <c r="F124" s="111" t="s">
        <v>287</v>
      </c>
      <c r="G124" s="112">
        <v>7611600</v>
      </c>
      <c r="H124" s="113" t="s">
        <v>73</v>
      </c>
      <c r="I124" s="46" t="s">
        <v>458</v>
      </c>
      <c r="J124" s="46" t="str">
        <f>VLOOKUP(E124,Sheet3!I:K,3,FALSE)</f>
        <v>IND</v>
      </c>
      <c r="K124" s="46" t="str">
        <f>VLOOKUP(E124,Sheet3!I:K,2,FALSE)</f>
        <v>MFG</v>
      </c>
      <c r="L124" s="46"/>
      <c r="M124" s="50" t="s">
        <v>540</v>
      </c>
      <c r="N124" s="50" t="s">
        <v>540</v>
      </c>
      <c r="O124" s="50" t="s">
        <v>540</v>
      </c>
      <c r="P124" s="50" t="s">
        <v>540</v>
      </c>
      <c r="Q124" s="50" t="s">
        <v>540</v>
      </c>
      <c r="R124" s="50">
        <v>133333.33333333334</v>
      </c>
      <c r="S124" s="50">
        <v>133333.33333333334</v>
      </c>
      <c r="T124" s="50">
        <v>133333.33333333334</v>
      </c>
      <c r="U124" s="50">
        <v>133333.33333333334</v>
      </c>
      <c r="V124" s="50">
        <v>133333.33333333334</v>
      </c>
      <c r="W124" s="50">
        <v>133333.33333333334</v>
      </c>
      <c r="X124" s="50">
        <v>133333.33333333334</v>
      </c>
      <c r="Y124" s="50">
        <v>133333.33333333334</v>
      </c>
      <c r="Z124" s="50">
        <v>133333.33333333334</v>
      </c>
      <c r="AA124" s="50">
        <v>133333.33333333334</v>
      </c>
      <c r="AB124" s="50">
        <v>133333.33333333334</v>
      </c>
      <c r="AC124" s="50">
        <v>133333.33333333334</v>
      </c>
      <c r="AD124" s="68">
        <f t="shared" si="6"/>
        <v>0</v>
      </c>
      <c r="AE124" s="69">
        <f t="shared" si="7"/>
        <v>1599999.9999999998</v>
      </c>
      <c r="AF124" s="70">
        <v>1599999.9999999998</v>
      </c>
      <c r="AG124" s="71">
        <v>1599999.9999999998</v>
      </c>
      <c r="AH124" s="106" t="str">
        <f>VLOOKUP(D124,Sheet3!H:I,2,FALSE)</f>
        <v>B5130</v>
      </c>
      <c r="AI124" s="106"/>
      <c r="AJ124" s="106" t="str">
        <f>VLOOKUP(F124,Sheet3!H:I,2,FALSE)</f>
        <v>B5130</v>
      </c>
    </row>
    <row r="125" spans="1:36" s="74" customFormat="1" ht="15" customHeight="1">
      <c r="A125" s="112" t="s">
        <v>310</v>
      </c>
      <c r="B125" s="45" t="s">
        <v>357</v>
      </c>
      <c r="C125" s="110" t="str">
        <f t="shared" si="4"/>
        <v>B5130</v>
      </c>
      <c r="D125" s="111" t="s">
        <v>287</v>
      </c>
      <c r="E125" s="111" t="str">
        <f t="shared" si="5"/>
        <v>B5130</v>
      </c>
      <c r="F125" s="111" t="s">
        <v>287</v>
      </c>
      <c r="G125" s="112">
        <v>7611600</v>
      </c>
      <c r="H125" s="113" t="s">
        <v>73</v>
      </c>
      <c r="I125" s="46" t="s">
        <v>459</v>
      </c>
      <c r="J125" s="46" t="str">
        <f>VLOOKUP(E125,Sheet3!I:K,3,FALSE)</f>
        <v>IND</v>
      </c>
      <c r="K125" s="46" t="str">
        <f>VLOOKUP(E125,Sheet3!I:K,2,FALSE)</f>
        <v>MFG</v>
      </c>
      <c r="L125" s="46"/>
      <c r="M125" s="50" t="s">
        <v>540</v>
      </c>
      <c r="N125" s="50" t="s">
        <v>540</v>
      </c>
      <c r="O125" s="50" t="s">
        <v>540</v>
      </c>
      <c r="P125" s="50" t="s">
        <v>540</v>
      </c>
      <c r="Q125" s="50" t="s">
        <v>540</v>
      </c>
      <c r="R125" s="50">
        <v>1250000</v>
      </c>
      <c r="S125" s="50">
        <v>1250000</v>
      </c>
      <c r="T125" s="50">
        <v>1250000</v>
      </c>
      <c r="U125" s="50">
        <v>1250000</v>
      </c>
      <c r="V125" s="50">
        <v>1250000</v>
      </c>
      <c r="W125" s="50">
        <v>1250000</v>
      </c>
      <c r="X125" s="50">
        <v>1250000</v>
      </c>
      <c r="Y125" s="50">
        <v>1250000</v>
      </c>
      <c r="Z125" s="50">
        <v>1250000</v>
      </c>
      <c r="AA125" s="50">
        <v>1250000</v>
      </c>
      <c r="AB125" s="50">
        <v>1250000</v>
      </c>
      <c r="AC125" s="50">
        <v>1250000</v>
      </c>
      <c r="AD125" s="68">
        <f t="shared" si="6"/>
        <v>0</v>
      </c>
      <c r="AE125" s="69">
        <f t="shared" si="7"/>
        <v>15000000</v>
      </c>
      <c r="AF125" s="70">
        <v>15000000</v>
      </c>
      <c r="AG125" s="71">
        <v>15000000</v>
      </c>
      <c r="AH125" s="106" t="str">
        <f>VLOOKUP(D125,Sheet3!H:I,2,FALSE)</f>
        <v>B5130</v>
      </c>
      <c r="AI125" s="106"/>
      <c r="AJ125" s="106" t="str">
        <f>VLOOKUP(F125,Sheet3!H:I,2,FALSE)</f>
        <v>B5130</v>
      </c>
    </row>
    <row r="126" spans="1:36" s="74" customFormat="1" ht="15" customHeight="1">
      <c r="A126" s="112" t="s">
        <v>310</v>
      </c>
      <c r="B126" s="45" t="s">
        <v>308</v>
      </c>
      <c r="C126" s="110" t="str">
        <f t="shared" si="4"/>
        <v>B5200</v>
      </c>
      <c r="D126" s="111" t="s">
        <v>289</v>
      </c>
      <c r="E126" s="111" t="str">
        <f t="shared" si="5"/>
        <v>B5200</v>
      </c>
      <c r="F126" s="111" t="s">
        <v>289</v>
      </c>
      <c r="G126" s="112">
        <v>7611600</v>
      </c>
      <c r="H126" s="113" t="s">
        <v>73</v>
      </c>
      <c r="I126" s="46" t="s">
        <v>460</v>
      </c>
      <c r="J126" s="46" t="str">
        <f>VLOOKUP(E126,Sheet3!I:K,3,FALSE)</f>
        <v>IND</v>
      </c>
      <c r="K126" s="46" t="str">
        <f>VLOOKUP(E126,Sheet3!I:K,2,FALSE)</f>
        <v>MFG</v>
      </c>
      <c r="L126" s="46"/>
      <c r="M126" s="50" t="s">
        <v>540</v>
      </c>
      <c r="N126" s="50" t="s">
        <v>540</v>
      </c>
      <c r="O126" s="50" t="s">
        <v>540</v>
      </c>
      <c r="P126" s="50" t="s">
        <v>540</v>
      </c>
      <c r="Q126" s="50" t="s">
        <v>540</v>
      </c>
      <c r="R126" s="50">
        <v>166666.66666666666</v>
      </c>
      <c r="S126" s="50">
        <v>166666.66666666666</v>
      </c>
      <c r="T126" s="50">
        <v>166666.66666666666</v>
      </c>
      <c r="U126" s="50">
        <v>166666.66666666666</v>
      </c>
      <c r="V126" s="50">
        <v>166666.66666666666</v>
      </c>
      <c r="W126" s="50">
        <v>166666.66666666666</v>
      </c>
      <c r="X126" s="50">
        <v>166666.66666666666</v>
      </c>
      <c r="Y126" s="50">
        <v>166666.66666666666</v>
      </c>
      <c r="Z126" s="50">
        <v>166666.66666666666</v>
      </c>
      <c r="AA126" s="50">
        <v>166666.66666666666</v>
      </c>
      <c r="AB126" s="50">
        <v>166666.66666666666</v>
      </c>
      <c r="AC126" s="50">
        <v>166666.66666666666</v>
      </c>
      <c r="AD126" s="68">
        <f t="shared" si="6"/>
        <v>0</v>
      </c>
      <c r="AE126" s="69">
        <f t="shared" si="7"/>
        <v>2000000.0000000002</v>
      </c>
      <c r="AF126" s="70">
        <v>2000000.0000000002</v>
      </c>
      <c r="AG126" s="71">
        <v>2000000.0000000002</v>
      </c>
      <c r="AH126" s="106" t="str">
        <f>VLOOKUP(D126,Sheet3!H:I,2,FALSE)</f>
        <v>B5200</v>
      </c>
      <c r="AI126" s="106"/>
      <c r="AJ126" s="106" t="str">
        <f>VLOOKUP(F126,Sheet3!H:I,2,FALSE)</f>
        <v>B5200</v>
      </c>
    </row>
    <row r="127" spans="1:36" s="74" customFormat="1" ht="15" customHeight="1">
      <c r="A127" s="112" t="s">
        <v>310</v>
      </c>
      <c r="B127" s="45" t="s">
        <v>326</v>
      </c>
      <c r="C127" s="110" t="str">
        <f t="shared" si="4"/>
        <v>B5200</v>
      </c>
      <c r="D127" s="111" t="s">
        <v>289</v>
      </c>
      <c r="E127" s="111" t="str">
        <f t="shared" si="5"/>
        <v>B5200</v>
      </c>
      <c r="F127" s="111" t="s">
        <v>289</v>
      </c>
      <c r="G127" s="112">
        <v>7611600</v>
      </c>
      <c r="H127" s="113" t="s">
        <v>73</v>
      </c>
      <c r="I127" s="46" t="s">
        <v>461</v>
      </c>
      <c r="J127" s="46" t="str">
        <f>VLOOKUP(E127,Sheet3!I:K,3,FALSE)</f>
        <v>IND</v>
      </c>
      <c r="K127" s="46" t="str">
        <f>VLOOKUP(E127,Sheet3!I:K,2,FALSE)</f>
        <v>MFG</v>
      </c>
      <c r="L127" s="46"/>
      <c r="M127" s="50" t="s">
        <v>540</v>
      </c>
      <c r="N127" s="50" t="s">
        <v>540</v>
      </c>
      <c r="O127" s="50" t="s">
        <v>540</v>
      </c>
      <c r="P127" s="50" t="s">
        <v>540</v>
      </c>
      <c r="Q127" s="50" t="s">
        <v>540</v>
      </c>
      <c r="R127" s="50">
        <v>166666.66666666666</v>
      </c>
      <c r="S127" s="50">
        <v>166666.66666666666</v>
      </c>
      <c r="T127" s="50">
        <v>166666.66666666666</v>
      </c>
      <c r="U127" s="50">
        <v>166666.66666666666</v>
      </c>
      <c r="V127" s="50">
        <v>166666.66666666666</v>
      </c>
      <c r="W127" s="50">
        <v>166666.66666666666</v>
      </c>
      <c r="X127" s="50">
        <v>166666.66666666666</v>
      </c>
      <c r="Y127" s="50">
        <v>166666.66666666666</v>
      </c>
      <c r="Z127" s="50">
        <v>166666.66666666666</v>
      </c>
      <c r="AA127" s="50">
        <v>166666.66666666666</v>
      </c>
      <c r="AB127" s="50">
        <v>166666.66666666666</v>
      </c>
      <c r="AC127" s="50">
        <v>166666.66666666666</v>
      </c>
      <c r="AD127" s="68">
        <f t="shared" si="6"/>
        <v>0</v>
      </c>
      <c r="AE127" s="69">
        <f t="shared" si="7"/>
        <v>2000000.0000000002</v>
      </c>
      <c r="AF127" s="70">
        <v>2000000.0000000002</v>
      </c>
      <c r="AG127" s="71">
        <v>2000000.0000000002</v>
      </c>
      <c r="AH127" s="106" t="str">
        <f>VLOOKUP(D127,Sheet3!H:I,2,FALSE)</f>
        <v>B5200</v>
      </c>
      <c r="AI127" s="106"/>
      <c r="AJ127" s="106" t="str">
        <f>VLOOKUP(F127,Sheet3!H:I,2,FALSE)</f>
        <v>B5200</v>
      </c>
    </row>
    <row r="128" spans="1:36" s="74" customFormat="1" ht="15" customHeight="1">
      <c r="A128" s="112" t="s">
        <v>310</v>
      </c>
      <c r="B128" s="45" t="s">
        <v>308</v>
      </c>
      <c r="C128" s="110" t="str">
        <f t="shared" si="4"/>
        <v>B5710</v>
      </c>
      <c r="D128" s="111" t="s">
        <v>291</v>
      </c>
      <c r="E128" s="111" t="str">
        <f t="shared" si="5"/>
        <v>B5710</v>
      </c>
      <c r="F128" s="111" t="s">
        <v>291</v>
      </c>
      <c r="G128" s="112">
        <v>7611600</v>
      </c>
      <c r="H128" s="113" t="s">
        <v>73</v>
      </c>
      <c r="I128" s="46" t="s">
        <v>462</v>
      </c>
      <c r="J128" s="46" t="str">
        <f>VLOOKUP(E128,Sheet3!I:K,3,FALSE)</f>
        <v>IND</v>
      </c>
      <c r="K128" s="46" t="str">
        <f>VLOOKUP(E128,Sheet3!I:K,2,FALSE)</f>
        <v>MFG</v>
      </c>
      <c r="L128" s="46"/>
      <c r="M128" s="50" t="s">
        <v>540</v>
      </c>
      <c r="N128" s="50" t="s">
        <v>540</v>
      </c>
      <c r="O128" s="50" t="s">
        <v>540</v>
      </c>
      <c r="P128" s="50" t="s">
        <v>540</v>
      </c>
      <c r="Q128" s="50" t="s">
        <v>540</v>
      </c>
      <c r="R128" s="50">
        <v>100000</v>
      </c>
      <c r="S128" s="50">
        <v>100000</v>
      </c>
      <c r="T128" s="50">
        <v>100000</v>
      </c>
      <c r="U128" s="50">
        <v>100000</v>
      </c>
      <c r="V128" s="50">
        <v>100000</v>
      </c>
      <c r="W128" s="50">
        <v>100000</v>
      </c>
      <c r="X128" s="50">
        <v>100000</v>
      </c>
      <c r="Y128" s="50">
        <v>100000</v>
      </c>
      <c r="Z128" s="50">
        <v>100000</v>
      </c>
      <c r="AA128" s="50">
        <v>100000</v>
      </c>
      <c r="AB128" s="50">
        <v>100000</v>
      </c>
      <c r="AC128" s="50">
        <v>100000</v>
      </c>
      <c r="AD128" s="68">
        <f t="shared" si="6"/>
        <v>0</v>
      </c>
      <c r="AE128" s="69">
        <f t="shared" si="7"/>
        <v>1200000</v>
      </c>
      <c r="AF128" s="70">
        <v>1200000</v>
      </c>
      <c r="AG128" s="71">
        <v>1200000</v>
      </c>
      <c r="AH128" s="106" t="str">
        <f>VLOOKUP(D128,Sheet3!H:I,2,FALSE)</f>
        <v>B5710</v>
      </c>
      <c r="AI128" s="106"/>
      <c r="AJ128" s="106" t="str">
        <f>VLOOKUP(F128,Sheet3!H:I,2,FALSE)</f>
        <v>B5710</v>
      </c>
    </row>
    <row r="129" spans="1:36" s="74" customFormat="1" ht="15" customHeight="1">
      <c r="A129" s="112" t="s">
        <v>310</v>
      </c>
      <c r="B129" s="45" t="s">
        <v>326</v>
      </c>
      <c r="C129" s="110" t="str">
        <f t="shared" si="4"/>
        <v>B5710</v>
      </c>
      <c r="D129" s="111" t="s">
        <v>291</v>
      </c>
      <c r="E129" s="111" t="str">
        <f t="shared" si="5"/>
        <v>B5710</v>
      </c>
      <c r="F129" s="111" t="s">
        <v>291</v>
      </c>
      <c r="G129" s="112">
        <v>7611300</v>
      </c>
      <c r="H129" s="113" t="s">
        <v>69</v>
      </c>
      <c r="I129" s="46" t="s">
        <v>463</v>
      </c>
      <c r="J129" s="46" t="str">
        <f>VLOOKUP(E129,Sheet3!I:K,3,FALSE)</f>
        <v>IND</v>
      </c>
      <c r="K129" s="46" t="str">
        <f>VLOOKUP(E129,Sheet3!I:K,2,FALSE)</f>
        <v>MFG</v>
      </c>
      <c r="L129" s="46"/>
      <c r="M129" s="50" t="s">
        <v>540</v>
      </c>
      <c r="N129" s="50" t="s">
        <v>540</v>
      </c>
      <c r="O129" s="50" t="s">
        <v>540</v>
      </c>
      <c r="P129" s="50" t="s">
        <v>540</v>
      </c>
      <c r="Q129" s="50" t="s">
        <v>540</v>
      </c>
      <c r="R129" s="50">
        <v>416666.66666666669</v>
      </c>
      <c r="S129" s="50">
        <v>416666.66666666669</v>
      </c>
      <c r="T129" s="50">
        <v>416666.66666666669</v>
      </c>
      <c r="U129" s="50">
        <v>416666.66666666669</v>
      </c>
      <c r="V129" s="50">
        <v>416666.66666666669</v>
      </c>
      <c r="W129" s="50">
        <v>416666.66666666669</v>
      </c>
      <c r="X129" s="50">
        <v>416666.66666666669</v>
      </c>
      <c r="Y129" s="50">
        <v>416666.66666666669</v>
      </c>
      <c r="Z129" s="50">
        <v>416666.66666666669</v>
      </c>
      <c r="AA129" s="50">
        <v>416666.66666666669</v>
      </c>
      <c r="AB129" s="50">
        <v>416666.66666666669</v>
      </c>
      <c r="AC129" s="50">
        <v>416666.66666666669</v>
      </c>
      <c r="AD129" s="68">
        <f t="shared" si="6"/>
        <v>0</v>
      </c>
      <c r="AE129" s="69">
        <f t="shared" si="7"/>
        <v>5000000</v>
      </c>
      <c r="AF129" s="70">
        <v>5000000</v>
      </c>
      <c r="AG129" s="71">
        <v>5000000</v>
      </c>
      <c r="AH129" s="106" t="str">
        <f>VLOOKUP(D129,Sheet3!H:I,2,FALSE)</f>
        <v>B5710</v>
      </c>
      <c r="AI129" s="106"/>
      <c r="AJ129" s="106" t="str">
        <f>VLOOKUP(F129,Sheet3!H:I,2,FALSE)</f>
        <v>B5710</v>
      </c>
    </row>
    <row r="130" spans="1:36" s="74" customFormat="1" ht="15" customHeight="1">
      <c r="A130" s="112" t="s">
        <v>310</v>
      </c>
      <c r="B130" s="45" t="s">
        <v>308</v>
      </c>
      <c r="C130" s="110" t="str">
        <f t="shared" si="4"/>
        <v>B2400</v>
      </c>
      <c r="D130" s="111" t="s">
        <v>229</v>
      </c>
      <c r="E130" s="111" t="str">
        <f t="shared" si="5"/>
        <v>B3150</v>
      </c>
      <c r="F130" s="111" t="s">
        <v>293</v>
      </c>
      <c r="G130" s="112">
        <v>7611600</v>
      </c>
      <c r="H130" s="113" t="s">
        <v>73</v>
      </c>
      <c r="I130" s="46" t="s">
        <v>464</v>
      </c>
      <c r="J130" s="46" t="str">
        <f>VLOOKUP(E130,Sheet3!I:K,3,FALSE)</f>
        <v>ADM</v>
      </c>
      <c r="K130" s="46" t="str">
        <f>VLOOKUP(E130,Sheet3!I:K,2,FALSE)</f>
        <v>SGA</v>
      </c>
      <c r="L130" s="46"/>
      <c r="M130" s="50" t="s">
        <v>540</v>
      </c>
      <c r="N130" s="50" t="s">
        <v>540</v>
      </c>
      <c r="O130" s="50" t="s">
        <v>540</v>
      </c>
      <c r="P130" s="50" t="s">
        <v>540</v>
      </c>
      <c r="Q130" s="50" t="s">
        <v>540</v>
      </c>
      <c r="R130" s="50" t="s">
        <v>540</v>
      </c>
      <c r="S130" s="50" t="s">
        <v>540</v>
      </c>
      <c r="T130" s="50">
        <v>150000</v>
      </c>
      <c r="U130" s="50">
        <v>150000</v>
      </c>
      <c r="V130" s="50">
        <v>150000</v>
      </c>
      <c r="W130" s="50">
        <v>150000</v>
      </c>
      <c r="X130" s="50">
        <v>150000</v>
      </c>
      <c r="Y130" s="50">
        <v>150000</v>
      </c>
      <c r="Z130" s="50">
        <v>150000</v>
      </c>
      <c r="AA130" s="50">
        <v>150000</v>
      </c>
      <c r="AB130" s="50">
        <v>150000</v>
      </c>
      <c r="AC130" s="50">
        <v>150000</v>
      </c>
      <c r="AD130" s="68">
        <f t="shared" si="6"/>
        <v>0</v>
      </c>
      <c r="AE130" s="69">
        <f t="shared" si="7"/>
        <v>1500000</v>
      </c>
      <c r="AF130" s="70">
        <v>1800000</v>
      </c>
      <c r="AG130" s="71">
        <v>1800000</v>
      </c>
      <c r="AH130" s="106" t="str">
        <f>VLOOKUP(D130,Sheet3!H:I,2,FALSE)</f>
        <v>B2400</v>
      </c>
      <c r="AI130" s="106"/>
      <c r="AJ130" s="106" t="str">
        <f>VLOOKUP(F130,Sheet3!H:I,2,FALSE)</f>
        <v>B3150</v>
      </c>
    </row>
    <row r="131" spans="1:36" s="74" customFormat="1" ht="15" customHeight="1">
      <c r="A131" s="112" t="s">
        <v>310</v>
      </c>
      <c r="B131" s="45" t="s">
        <v>326</v>
      </c>
      <c r="C131" s="110" t="str">
        <f t="shared" si="4"/>
        <v>B2400</v>
      </c>
      <c r="D131" s="111" t="s">
        <v>229</v>
      </c>
      <c r="E131" s="111" t="str">
        <f t="shared" si="5"/>
        <v>B3150</v>
      </c>
      <c r="F131" s="111" t="s">
        <v>293</v>
      </c>
      <c r="G131" s="112">
        <v>7611600</v>
      </c>
      <c r="H131" s="113" t="s">
        <v>73</v>
      </c>
      <c r="I131" s="46" t="s">
        <v>465</v>
      </c>
      <c r="J131" s="46" t="str">
        <f>VLOOKUP(E131,Sheet3!I:K,3,FALSE)</f>
        <v>ADM</v>
      </c>
      <c r="K131" s="46" t="str">
        <f>VLOOKUP(E131,Sheet3!I:K,2,FALSE)</f>
        <v>SGA</v>
      </c>
      <c r="L131" s="46"/>
      <c r="M131" s="50" t="s">
        <v>540</v>
      </c>
      <c r="N131" s="50" t="s">
        <v>540</v>
      </c>
      <c r="O131" s="50" t="s">
        <v>540</v>
      </c>
      <c r="P131" s="50" t="s">
        <v>540</v>
      </c>
      <c r="Q131" s="50" t="s">
        <v>540</v>
      </c>
      <c r="R131" s="50" t="s">
        <v>540</v>
      </c>
      <c r="S131" s="50">
        <v>166666.66666666666</v>
      </c>
      <c r="T131" s="50">
        <v>166666.66666666666</v>
      </c>
      <c r="U131" s="50">
        <v>166666.66666666666</v>
      </c>
      <c r="V131" s="50">
        <v>166666.66666666666</v>
      </c>
      <c r="W131" s="50">
        <v>166666.66666666666</v>
      </c>
      <c r="X131" s="50">
        <v>166666.66666666666</v>
      </c>
      <c r="Y131" s="50">
        <v>166666.66666666666</v>
      </c>
      <c r="Z131" s="50">
        <v>166666.66666666666</v>
      </c>
      <c r="AA131" s="50">
        <v>166666.66666666666</v>
      </c>
      <c r="AB131" s="50">
        <v>166666.66666666666</v>
      </c>
      <c r="AC131" s="50">
        <v>166666.66666666666</v>
      </c>
      <c r="AD131" s="68">
        <f t="shared" si="6"/>
        <v>0</v>
      </c>
      <c r="AE131" s="69">
        <f t="shared" si="7"/>
        <v>1833333.3333333335</v>
      </c>
      <c r="AF131" s="70">
        <v>2000000.0000000002</v>
      </c>
      <c r="AG131" s="71">
        <v>2000000.0000000002</v>
      </c>
      <c r="AH131" s="106" t="str">
        <f>VLOOKUP(D131,Sheet3!H:I,2,FALSE)</f>
        <v>B2400</v>
      </c>
      <c r="AI131" s="106"/>
      <c r="AJ131" s="106" t="str">
        <f>VLOOKUP(F131,Sheet3!H:I,2,FALSE)</f>
        <v>B3150</v>
      </c>
    </row>
    <row r="132" spans="1:36" s="74" customFormat="1" ht="15" customHeight="1">
      <c r="A132" s="112" t="s">
        <v>310</v>
      </c>
      <c r="B132" s="45" t="s">
        <v>328</v>
      </c>
      <c r="C132" s="110" t="str">
        <f t="shared" ref="C132:C147" si="8">AH132</f>
        <v>B2400</v>
      </c>
      <c r="D132" s="111" t="s">
        <v>229</v>
      </c>
      <c r="E132" s="111" t="str">
        <f t="shared" ref="E132:E147" si="9">AJ132</f>
        <v>B3150</v>
      </c>
      <c r="F132" s="111" t="s">
        <v>293</v>
      </c>
      <c r="G132" s="112">
        <v>7611600</v>
      </c>
      <c r="H132" s="113" t="s">
        <v>73</v>
      </c>
      <c r="I132" s="46" t="s">
        <v>466</v>
      </c>
      <c r="J132" s="46" t="str">
        <f>VLOOKUP(E132,Sheet3!I:K,3,FALSE)</f>
        <v>ADM</v>
      </c>
      <c r="K132" s="46" t="str">
        <f>VLOOKUP(E132,Sheet3!I:K,2,FALSE)</f>
        <v>SGA</v>
      </c>
      <c r="L132" s="46"/>
      <c r="M132" s="50" t="s">
        <v>540</v>
      </c>
      <c r="N132" s="50" t="s">
        <v>540</v>
      </c>
      <c r="O132" s="50" t="s">
        <v>540</v>
      </c>
      <c r="P132" s="50" t="s">
        <v>540</v>
      </c>
      <c r="Q132" s="50" t="s">
        <v>540</v>
      </c>
      <c r="R132" s="50" t="s">
        <v>540</v>
      </c>
      <c r="S132" s="50">
        <v>166666.66666666666</v>
      </c>
      <c r="T132" s="50">
        <v>166666.66666666666</v>
      </c>
      <c r="U132" s="50">
        <v>166666.66666666666</v>
      </c>
      <c r="V132" s="50">
        <v>166666.66666666666</v>
      </c>
      <c r="W132" s="50">
        <v>166666.66666666666</v>
      </c>
      <c r="X132" s="50">
        <v>166666.66666666666</v>
      </c>
      <c r="Y132" s="50">
        <v>166666.66666666666</v>
      </c>
      <c r="Z132" s="50">
        <v>166666.66666666666</v>
      </c>
      <c r="AA132" s="50">
        <v>166666.66666666666</v>
      </c>
      <c r="AB132" s="50">
        <v>166666.66666666666</v>
      </c>
      <c r="AC132" s="50">
        <v>166666.66666666666</v>
      </c>
      <c r="AD132" s="68">
        <f t="shared" ref="AD132:AD147" si="10">SUM(L132:Q132)</f>
        <v>0</v>
      </c>
      <c r="AE132" s="69">
        <f t="shared" ref="AE132:AE147" si="11">SUM(R132:AC132)</f>
        <v>1833333.3333333335</v>
      </c>
      <c r="AF132" s="70">
        <v>2000000.0000000002</v>
      </c>
      <c r="AG132" s="71">
        <v>2000000.0000000002</v>
      </c>
      <c r="AH132" s="106" t="str">
        <f>VLOOKUP(D132,Sheet3!H:I,2,FALSE)</f>
        <v>B2400</v>
      </c>
      <c r="AI132" s="106"/>
      <c r="AJ132" s="106" t="str">
        <f>VLOOKUP(F132,Sheet3!H:I,2,FALSE)</f>
        <v>B3150</v>
      </c>
    </row>
    <row r="133" spans="1:36" s="74" customFormat="1" ht="15" customHeight="1">
      <c r="A133" s="112" t="s">
        <v>310</v>
      </c>
      <c r="B133" s="45" t="s">
        <v>356</v>
      </c>
      <c r="C133" s="110" t="str">
        <f t="shared" si="8"/>
        <v>B2400</v>
      </c>
      <c r="D133" s="111" t="s">
        <v>229</v>
      </c>
      <c r="E133" s="111" t="str">
        <f t="shared" si="9"/>
        <v>B3150</v>
      </c>
      <c r="F133" s="111" t="s">
        <v>293</v>
      </c>
      <c r="G133" s="112">
        <v>7611600</v>
      </c>
      <c r="H133" s="113" t="s">
        <v>73</v>
      </c>
      <c r="I133" s="46" t="s">
        <v>467</v>
      </c>
      <c r="J133" s="46" t="str">
        <f>VLOOKUP(E133,Sheet3!I:K,3,FALSE)</f>
        <v>ADM</v>
      </c>
      <c r="K133" s="46" t="str">
        <f>VLOOKUP(E133,Sheet3!I:K,2,FALSE)</f>
        <v>SGA</v>
      </c>
      <c r="L133" s="46"/>
      <c r="M133" s="50" t="s">
        <v>540</v>
      </c>
      <c r="N133" s="50" t="s">
        <v>540</v>
      </c>
      <c r="O133" s="50" t="s">
        <v>540</v>
      </c>
      <c r="P133" s="50" t="s">
        <v>540</v>
      </c>
      <c r="Q133" s="50" t="s">
        <v>540</v>
      </c>
      <c r="R133" s="50">
        <v>116666.66666666667</v>
      </c>
      <c r="S133" s="50">
        <v>116666.66666666667</v>
      </c>
      <c r="T133" s="50">
        <v>116666.66666666667</v>
      </c>
      <c r="U133" s="50">
        <v>116666.66666666667</v>
      </c>
      <c r="V133" s="50">
        <v>116666.66666666667</v>
      </c>
      <c r="W133" s="50">
        <v>116666.66666666667</v>
      </c>
      <c r="X133" s="50">
        <v>116666.66666666667</v>
      </c>
      <c r="Y133" s="50">
        <v>116666.66666666667</v>
      </c>
      <c r="Z133" s="50">
        <v>116666.66666666667</v>
      </c>
      <c r="AA133" s="50">
        <v>116666.66666666667</v>
      </c>
      <c r="AB133" s="50">
        <v>116666.66666666667</v>
      </c>
      <c r="AC133" s="50">
        <v>116666.66666666667</v>
      </c>
      <c r="AD133" s="68">
        <f t="shared" si="10"/>
        <v>0</v>
      </c>
      <c r="AE133" s="69">
        <f t="shared" si="11"/>
        <v>1400000.0000000002</v>
      </c>
      <c r="AF133" s="70">
        <v>1400000.0000000002</v>
      </c>
      <c r="AG133" s="71">
        <v>1400000.0000000002</v>
      </c>
      <c r="AH133" s="106" t="str">
        <f>VLOOKUP(D133,Sheet3!H:I,2,FALSE)</f>
        <v>B2400</v>
      </c>
      <c r="AI133" s="106"/>
      <c r="AJ133" s="106" t="str">
        <f>VLOOKUP(F133,Sheet3!H:I,2,FALSE)</f>
        <v>B3150</v>
      </c>
    </row>
    <row r="134" spans="1:36" s="74" customFormat="1" ht="15" customHeight="1">
      <c r="A134" s="112" t="s">
        <v>310</v>
      </c>
      <c r="B134" s="45" t="s">
        <v>308</v>
      </c>
      <c r="C134" s="110" t="str">
        <f t="shared" si="8"/>
        <v>B3150</v>
      </c>
      <c r="D134" s="111" t="s">
        <v>293</v>
      </c>
      <c r="E134" s="111" t="str">
        <f t="shared" si="9"/>
        <v>B3150</v>
      </c>
      <c r="F134" s="111" t="s">
        <v>293</v>
      </c>
      <c r="G134" s="112">
        <v>7611600</v>
      </c>
      <c r="H134" s="113" t="s">
        <v>73</v>
      </c>
      <c r="I134" s="46" t="s">
        <v>468</v>
      </c>
      <c r="J134" s="46" t="str">
        <f>VLOOKUP(E134,Sheet3!I:K,3,FALSE)</f>
        <v>ADM</v>
      </c>
      <c r="K134" s="46" t="str">
        <f>VLOOKUP(E134,Sheet3!I:K,2,FALSE)</f>
        <v>SGA</v>
      </c>
      <c r="L134" s="46"/>
      <c r="M134" s="50" t="s">
        <v>540</v>
      </c>
      <c r="N134" s="50" t="s">
        <v>540</v>
      </c>
      <c r="O134" s="50" t="s">
        <v>540</v>
      </c>
      <c r="P134" s="50" t="s">
        <v>540</v>
      </c>
      <c r="Q134" s="50" t="s">
        <v>540</v>
      </c>
      <c r="R134" s="50" t="s">
        <v>540</v>
      </c>
      <c r="S134" s="50" t="s">
        <v>540</v>
      </c>
      <c r="T134" s="50" t="s">
        <v>540</v>
      </c>
      <c r="U134" s="50">
        <v>416666.66666666669</v>
      </c>
      <c r="V134" s="50">
        <v>416666.66666666669</v>
      </c>
      <c r="W134" s="50">
        <v>416666.66666666669</v>
      </c>
      <c r="X134" s="50">
        <v>416666.66666666669</v>
      </c>
      <c r="Y134" s="50">
        <v>416666.66666666669</v>
      </c>
      <c r="Z134" s="50">
        <v>416666.66666666669</v>
      </c>
      <c r="AA134" s="50">
        <v>416666.66666666669</v>
      </c>
      <c r="AB134" s="50">
        <v>416666.66666666669</v>
      </c>
      <c r="AC134" s="50">
        <v>416666.66666666669</v>
      </c>
      <c r="AD134" s="68">
        <f t="shared" si="10"/>
        <v>0</v>
      </c>
      <c r="AE134" s="69">
        <f t="shared" si="11"/>
        <v>3749999.9999999995</v>
      </c>
      <c r="AF134" s="70">
        <v>5000000</v>
      </c>
      <c r="AG134" s="71">
        <v>5000000</v>
      </c>
      <c r="AH134" s="106" t="str">
        <f>VLOOKUP(D134,Sheet3!H:I,2,FALSE)</f>
        <v>B3150</v>
      </c>
      <c r="AI134" s="106"/>
      <c r="AJ134" s="106" t="str">
        <f>VLOOKUP(F134,Sheet3!H:I,2,FALSE)</f>
        <v>B3150</v>
      </c>
    </row>
    <row r="135" spans="1:36" s="74" customFormat="1" ht="15" customHeight="1">
      <c r="A135" s="112" t="s">
        <v>310</v>
      </c>
      <c r="B135" s="45" t="s">
        <v>308</v>
      </c>
      <c r="C135" s="110" t="str">
        <f t="shared" si="8"/>
        <v>B2300</v>
      </c>
      <c r="D135" s="111" t="s">
        <v>227</v>
      </c>
      <c r="E135" s="111" t="str">
        <f t="shared" si="9"/>
        <v>B2300</v>
      </c>
      <c r="F135" s="111" t="s">
        <v>227</v>
      </c>
      <c r="G135" s="112">
        <v>7611600</v>
      </c>
      <c r="H135" s="113" t="s">
        <v>73</v>
      </c>
      <c r="I135" s="46" t="s">
        <v>474</v>
      </c>
      <c r="J135" s="46" t="str">
        <f>VLOOKUP(E135,Sheet3!I:K,3,FALSE)</f>
        <v>ADM</v>
      </c>
      <c r="K135" s="46" t="str">
        <f>VLOOKUP(E135,Sheet3!I:K,2,FALSE)</f>
        <v>SGA</v>
      </c>
      <c r="L135" s="46"/>
      <c r="M135" s="50" t="s">
        <v>540</v>
      </c>
      <c r="N135" s="50" t="s">
        <v>540</v>
      </c>
      <c r="O135" s="50" t="s">
        <v>540</v>
      </c>
      <c r="P135" s="50" t="s">
        <v>540</v>
      </c>
      <c r="Q135" s="50" t="s">
        <v>540</v>
      </c>
      <c r="R135" s="50" t="s">
        <v>540</v>
      </c>
      <c r="S135" s="50" t="s">
        <v>540</v>
      </c>
      <c r="T135" s="50" t="s">
        <v>540</v>
      </c>
      <c r="U135" s="50" t="s">
        <v>540</v>
      </c>
      <c r="V135" s="50" t="s">
        <v>540</v>
      </c>
      <c r="W135" s="50" t="s">
        <v>540</v>
      </c>
      <c r="X135" s="50">
        <v>133333.33333333334</v>
      </c>
      <c r="Y135" s="50">
        <v>133333.33333333334</v>
      </c>
      <c r="Z135" s="50">
        <v>133333.33333333334</v>
      </c>
      <c r="AA135" s="50">
        <v>133333.33333333334</v>
      </c>
      <c r="AB135" s="50">
        <v>133333.33333333334</v>
      </c>
      <c r="AC135" s="50">
        <v>133333.33333333334</v>
      </c>
      <c r="AD135" s="68">
        <f t="shared" si="10"/>
        <v>0</v>
      </c>
      <c r="AE135" s="69">
        <f t="shared" si="11"/>
        <v>800000.00000000012</v>
      </c>
      <c r="AF135" s="70">
        <v>1599999.9999999998</v>
      </c>
      <c r="AG135" s="71">
        <v>1599999.9999999998</v>
      </c>
      <c r="AH135" s="106" t="str">
        <f>VLOOKUP(D135,Sheet3!H:I,2,FALSE)</f>
        <v>B2300</v>
      </c>
      <c r="AI135" s="106"/>
      <c r="AJ135" s="106" t="str">
        <f>VLOOKUP(F135,Sheet3!H:I,2,FALSE)</f>
        <v>B2300</v>
      </c>
    </row>
    <row r="136" spans="1:36" s="74" customFormat="1" ht="15" customHeight="1">
      <c r="A136" s="112" t="s">
        <v>310</v>
      </c>
      <c r="B136" s="45" t="s">
        <v>326</v>
      </c>
      <c r="C136" s="110" t="str">
        <f t="shared" si="8"/>
        <v>B2300</v>
      </c>
      <c r="D136" s="111" t="s">
        <v>227</v>
      </c>
      <c r="E136" s="111" t="str">
        <f t="shared" si="9"/>
        <v>B2300</v>
      </c>
      <c r="F136" s="111" t="s">
        <v>227</v>
      </c>
      <c r="G136" s="112">
        <v>7611600</v>
      </c>
      <c r="H136" s="113" t="s">
        <v>73</v>
      </c>
      <c r="I136" s="46" t="s">
        <v>475</v>
      </c>
      <c r="J136" s="46" t="str">
        <f>VLOOKUP(E136,Sheet3!I:K,3,FALSE)</f>
        <v>ADM</v>
      </c>
      <c r="K136" s="46" t="str">
        <f>VLOOKUP(E136,Sheet3!I:K,2,FALSE)</f>
        <v>SGA</v>
      </c>
      <c r="L136" s="46"/>
      <c r="M136" s="50" t="s">
        <v>540</v>
      </c>
      <c r="N136" s="50" t="s">
        <v>540</v>
      </c>
      <c r="O136" s="50" t="s">
        <v>540</v>
      </c>
      <c r="P136" s="50" t="s">
        <v>540</v>
      </c>
      <c r="Q136" s="50" t="s">
        <v>540</v>
      </c>
      <c r="R136" s="50" t="s">
        <v>540</v>
      </c>
      <c r="S136" s="50" t="s">
        <v>540</v>
      </c>
      <c r="T136" s="50" t="s">
        <v>540</v>
      </c>
      <c r="U136" s="50" t="s">
        <v>540</v>
      </c>
      <c r="V136" s="50" t="s">
        <v>540</v>
      </c>
      <c r="W136" s="50" t="s">
        <v>540</v>
      </c>
      <c r="X136" s="50" t="s">
        <v>540</v>
      </c>
      <c r="Y136" s="50" t="s">
        <v>540</v>
      </c>
      <c r="Z136" s="50" t="s">
        <v>540</v>
      </c>
      <c r="AA136" s="50" t="s">
        <v>540</v>
      </c>
      <c r="AB136" s="50" t="s">
        <v>540</v>
      </c>
      <c r="AC136" s="50" t="s">
        <v>540</v>
      </c>
      <c r="AD136" s="68">
        <f t="shared" si="10"/>
        <v>0</v>
      </c>
      <c r="AE136" s="69">
        <f t="shared" si="11"/>
        <v>0</v>
      </c>
      <c r="AF136" s="70">
        <v>2250000</v>
      </c>
      <c r="AG136" s="71">
        <v>3000000</v>
      </c>
      <c r="AH136" s="106" t="str">
        <f>VLOOKUP(D136,Sheet3!H:I,2,FALSE)</f>
        <v>B2300</v>
      </c>
      <c r="AI136" s="106"/>
      <c r="AJ136" s="106" t="str">
        <f>VLOOKUP(F136,Sheet3!H:I,2,FALSE)</f>
        <v>B2300</v>
      </c>
    </row>
    <row r="137" spans="1:36" s="74" customFormat="1" ht="15" customHeight="1">
      <c r="A137" s="112" t="s">
        <v>310</v>
      </c>
      <c r="B137" s="45" t="s">
        <v>328</v>
      </c>
      <c r="C137" s="110" t="str">
        <f t="shared" si="8"/>
        <v>B2300</v>
      </c>
      <c r="D137" s="111" t="s">
        <v>227</v>
      </c>
      <c r="E137" s="111" t="str">
        <f t="shared" si="9"/>
        <v>B2300</v>
      </c>
      <c r="F137" s="111" t="s">
        <v>227</v>
      </c>
      <c r="G137" s="112">
        <v>7611600</v>
      </c>
      <c r="H137" s="113" t="s">
        <v>73</v>
      </c>
      <c r="I137" s="46" t="s">
        <v>476</v>
      </c>
      <c r="J137" s="46" t="str">
        <f>VLOOKUP(E137,Sheet3!I:K,3,FALSE)</f>
        <v>ADM</v>
      </c>
      <c r="K137" s="46" t="str">
        <f>VLOOKUP(E137,Sheet3!I:K,2,FALSE)</f>
        <v>SGA</v>
      </c>
      <c r="L137" s="46"/>
      <c r="M137" s="50" t="s">
        <v>540</v>
      </c>
      <c r="N137" s="50" t="s">
        <v>540</v>
      </c>
      <c r="O137" s="50" t="s">
        <v>540</v>
      </c>
      <c r="P137" s="50" t="s">
        <v>540</v>
      </c>
      <c r="Q137" s="50" t="s">
        <v>540</v>
      </c>
      <c r="R137" s="50" t="s">
        <v>540</v>
      </c>
      <c r="S137" s="50" t="s">
        <v>540</v>
      </c>
      <c r="T137" s="50" t="s">
        <v>540</v>
      </c>
      <c r="U137" s="50" t="s">
        <v>540</v>
      </c>
      <c r="V137" s="50" t="s">
        <v>540</v>
      </c>
      <c r="W137" s="50" t="s">
        <v>540</v>
      </c>
      <c r="X137" s="50" t="s">
        <v>540</v>
      </c>
      <c r="Y137" s="50" t="s">
        <v>540</v>
      </c>
      <c r="Z137" s="50" t="s">
        <v>540</v>
      </c>
      <c r="AA137" s="50" t="s">
        <v>540</v>
      </c>
      <c r="AB137" s="50" t="s">
        <v>540</v>
      </c>
      <c r="AC137" s="50" t="s">
        <v>540</v>
      </c>
      <c r="AD137" s="68">
        <f t="shared" si="10"/>
        <v>0</v>
      </c>
      <c r="AE137" s="69">
        <f t="shared" si="11"/>
        <v>0</v>
      </c>
      <c r="AF137" s="70">
        <v>0</v>
      </c>
      <c r="AG137" s="71">
        <v>666666.66666666663</v>
      </c>
      <c r="AH137" s="106" t="str">
        <f>VLOOKUP(D137,Sheet3!H:I,2,FALSE)</f>
        <v>B2300</v>
      </c>
      <c r="AI137" s="106"/>
      <c r="AJ137" s="106" t="str">
        <f>VLOOKUP(F137,Sheet3!H:I,2,FALSE)</f>
        <v>B2300</v>
      </c>
    </row>
    <row r="138" spans="1:36" s="74" customFormat="1" ht="15" customHeight="1">
      <c r="A138" s="112" t="s">
        <v>310</v>
      </c>
      <c r="B138" s="45" t="s">
        <v>356</v>
      </c>
      <c r="C138" s="110" t="str">
        <f t="shared" si="8"/>
        <v>B2300</v>
      </c>
      <c r="D138" s="111" t="s">
        <v>227</v>
      </c>
      <c r="E138" s="111" t="str">
        <f t="shared" si="9"/>
        <v>B2300</v>
      </c>
      <c r="F138" s="111" t="s">
        <v>227</v>
      </c>
      <c r="G138" s="112">
        <v>7611600</v>
      </c>
      <c r="H138" s="113" t="s">
        <v>73</v>
      </c>
      <c r="I138" s="46" t="s">
        <v>477</v>
      </c>
      <c r="J138" s="46" t="str">
        <f>VLOOKUP(E138,Sheet3!I:K,3,FALSE)</f>
        <v>ADM</v>
      </c>
      <c r="K138" s="46" t="str">
        <f>VLOOKUP(E138,Sheet3!I:K,2,FALSE)</f>
        <v>SGA</v>
      </c>
      <c r="L138" s="46"/>
      <c r="M138" s="50" t="s">
        <v>540</v>
      </c>
      <c r="N138" s="50" t="s">
        <v>540</v>
      </c>
      <c r="O138" s="50" t="s">
        <v>540</v>
      </c>
      <c r="P138" s="50" t="s">
        <v>540</v>
      </c>
      <c r="Q138" s="50" t="s">
        <v>540</v>
      </c>
      <c r="R138" s="50" t="s">
        <v>540</v>
      </c>
      <c r="S138" s="50" t="s">
        <v>540</v>
      </c>
      <c r="T138" s="50" t="s">
        <v>540</v>
      </c>
      <c r="U138" s="50" t="s">
        <v>540</v>
      </c>
      <c r="V138" s="50" t="s">
        <v>540</v>
      </c>
      <c r="W138" s="50" t="s">
        <v>540</v>
      </c>
      <c r="X138" s="50" t="s">
        <v>540</v>
      </c>
      <c r="Y138" s="50" t="s">
        <v>540</v>
      </c>
      <c r="Z138" s="50" t="s">
        <v>540</v>
      </c>
      <c r="AA138" s="50" t="s">
        <v>540</v>
      </c>
      <c r="AB138" s="50" t="s">
        <v>540</v>
      </c>
      <c r="AC138" s="50" t="s">
        <v>540</v>
      </c>
      <c r="AD138" s="68">
        <f t="shared" si="10"/>
        <v>0</v>
      </c>
      <c r="AE138" s="69">
        <f t="shared" si="11"/>
        <v>0</v>
      </c>
      <c r="AF138" s="70">
        <v>0</v>
      </c>
      <c r="AG138" s="71">
        <v>166666.66666666666</v>
      </c>
      <c r="AH138" s="106" t="str">
        <f>VLOOKUP(D138,Sheet3!H:I,2,FALSE)</f>
        <v>B2300</v>
      </c>
      <c r="AI138" s="106"/>
      <c r="AJ138" s="106" t="str">
        <f>VLOOKUP(F138,Sheet3!H:I,2,FALSE)</f>
        <v>B2300</v>
      </c>
    </row>
    <row r="139" spans="1:36" s="74" customFormat="1" ht="15" customHeight="1">
      <c r="A139" s="112" t="s">
        <v>310</v>
      </c>
      <c r="B139" s="45" t="s">
        <v>357</v>
      </c>
      <c r="C139" s="110" t="str">
        <f t="shared" si="8"/>
        <v>B2300</v>
      </c>
      <c r="D139" s="111" t="s">
        <v>227</v>
      </c>
      <c r="E139" s="111" t="str">
        <f t="shared" si="9"/>
        <v>B2300</v>
      </c>
      <c r="F139" s="111" t="s">
        <v>227</v>
      </c>
      <c r="G139" s="112">
        <v>7611600</v>
      </c>
      <c r="H139" s="113" t="s">
        <v>73</v>
      </c>
      <c r="I139" s="46" t="s">
        <v>477</v>
      </c>
      <c r="J139" s="46" t="str">
        <f>VLOOKUP(E139,Sheet3!I:K,3,FALSE)</f>
        <v>ADM</v>
      </c>
      <c r="K139" s="46" t="str">
        <f>VLOOKUP(E139,Sheet3!I:K,2,FALSE)</f>
        <v>SGA</v>
      </c>
      <c r="L139" s="46"/>
      <c r="M139" s="50" t="s">
        <v>540</v>
      </c>
      <c r="N139" s="50" t="s">
        <v>540</v>
      </c>
      <c r="O139" s="50" t="s">
        <v>540</v>
      </c>
      <c r="P139" s="50" t="s">
        <v>540</v>
      </c>
      <c r="Q139" s="50" t="s">
        <v>540</v>
      </c>
      <c r="R139" s="50" t="s">
        <v>540</v>
      </c>
      <c r="S139" s="50" t="s">
        <v>540</v>
      </c>
      <c r="T139" s="50" t="s">
        <v>540</v>
      </c>
      <c r="U139" s="50" t="s">
        <v>540</v>
      </c>
      <c r="V139" s="50" t="s">
        <v>540</v>
      </c>
      <c r="W139" s="50" t="s">
        <v>540</v>
      </c>
      <c r="X139" s="50" t="s">
        <v>540</v>
      </c>
      <c r="Y139" s="50" t="s">
        <v>540</v>
      </c>
      <c r="Z139" s="50" t="s">
        <v>540</v>
      </c>
      <c r="AA139" s="50" t="s">
        <v>540</v>
      </c>
      <c r="AB139" s="50" t="s">
        <v>540</v>
      </c>
      <c r="AC139" s="50" t="s">
        <v>540</v>
      </c>
      <c r="AD139" s="68">
        <f t="shared" si="10"/>
        <v>0</v>
      </c>
      <c r="AE139" s="69">
        <f t="shared" si="11"/>
        <v>0</v>
      </c>
      <c r="AF139" s="70">
        <v>0</v>
      </c>
      <c r="AG139" s="71">
        <v>166666.66666666666</v>
      </c>
      <c r="AH139" s="106" t="str">
        <f>VLOOKUP(D139,Sheet3!H:I,2,FALSE)</f>
        <v>B2300</v>
      </c>
      <c r="AI139" s="106"/>
      <c r="AJ139" s="106" t="str">
        <f>VLOOKUP(F139,Sheet3!H:I,2,FALSE)</f>
        <v>B2300</v>
      </c>
    </row>
    <row r="140" spans="1:36" s="74" customFormat="1" ht="15" customHeight="1">
      <c r="A140" s="112" t="s">
        <v>310</v>
      </c>
      <c r="B140" s="45" t="s">
        <v>358</v>
      </c>
      <c r="C140" s="110" t="str">
        <f t="shared" si="8"/>
        <v>B2300</v>
      </c>
      <c r="D140" s="111" t="s">
        <v>227</v>
      </c>
      <c r="E140" s="111" t="str">
        <f t="shared" si="9"/>
        <v>B2300</v>
      </c>
      <c r="F140" s="111" t="s">
        <v>227</v>
      </c>
      <c r="G140" s="112">
        <v>7611600</v>
      </c>
      <c r="H140" s="113" t="s">
        <v>73</v>
      </c>
      <c r="I140" s="46" t="s">
        <v>478</v>
      </c>
      <c r="J140" s="46" t="str">
        <f>VLOOKUP(E140,Sheet3!I:K,3,FALSE)</f>
        <v>ADM</v>
      </c>
      <c r="K140" s="46" t="str">
        <f>VLOOKUP(E140,Sheet3!I:K,2,FALSE)</f>
        <v>SGA</v>
      </c>
      <c r="L140" s="46"/>
      <c r="M140" s="50" t="s">
        <v>540</v>
      </c>
      <c r="N140" s="50" t="s">
        <v>540</v>
      </c>
      <c r="O140" s="50" t="s">
        <v>540</v>
      </c>
      <c r="P140" s="50" t="s">
        <v>540</v>
      </c>
      <c r="Q140" s="50" t="s">
        <v>540</v>
      </c>
      <c r="R140" s="50" t="s">
        <v>540</v>
      </c>
      <c r="S140" s="50" t="s">
        <v>540</v>
      </c>
      <c r="T140" s="50" t="s">
        <v>540</v>
      </c>
      <c r="U140" s="50" t="s">
        <v>540</v>
      </c>
      <c r="V140" s="50" t="s">
        <v>540</v>
      </c>
      <c r="W140" s="50" t="s">
        <v>540</v>
      </c>
      <c r="X140" s="50" t="s">
        <v>540</v>
      </c>
      <c r="Y140" s="50" t="s">
        <v>540</v>
      </c>
      <c r="Z140" s="50" t="s">
        <v>540</v>
      </c>
      <c r="AA140" s="50" t="s">
        <v>540</v>
      </c>
      <c r="AB140" s="50" t="s">
        <v>540</v>
      </c>
      <c r="AC140" s="50" t="s">
        <v>540</v>
      </c>
      <c r="AD140" s="68">
        <f t="shared" si="10"/>
        <v>0</v>
      </c>
      <c r="AE140" s="69">
        <f t="shared" si="11"/>
        <v>0</v>
      </c>
      <c r="AF140" s="70">
        <v>0</v>
      </c>
      <c r="AG140" s="71">
        <v>166666.66666666666</v>
      </c>
      <c r="AH140" s="106" t="str">
        <f>VLOOKUP(D140,Sheet3!H:I,2,FALSE)</f>
        <v>B2300</v>
      </c>
      <c r="AI140" s="106"/>
      <c r="AJ140" s="106" t="str">
        <f>VLOOKUP(F140,Sheet3!H:I,2,FALSE)</f>
        <v>B2300</v>
      </c>
    </row>
    <row r="141" spans="1:36" s="74" customFormat="1" ht="15" customHeight="1">
      <c r="A141" s="112" t="s">
        <v>310</v>
      </c>
      <c r="B141" s="45" t="s">
        <v>359</v>
      </c>
      <c r="C141" s="110" t="str">
        <f t="shared" si="8"/>
        <v>B2300</v>
      </c>
      <c r="D141" s="111" t="s">
        <v>227</v>
      </c>
      <c r="E141" s="111" t="str">
        <f t="shared" si="9"/>
        <v>B2300</v>
      </c>
      <c r="F141" s="111" t="s">
        <v>227</v>
      </c>
      <c r="G141" s="112">
        <v>7611600</v>
      </c>
      <c r="H141" s="113" t="s">
        <v>73</v>
      </c>
      <c r="I141" s="46" t="s">
        <v>479</v>
      </c>
      <c r="J141" s="46" t="str">
        <f>VLOOKUP(E141,Sheet3!I:K,3,FALSE)</f>
        <v>ADM</v>
      </c>
      <c r="K141" s="46" t="str">
        <f>VLOOKUP(E141,Sheet3!I:K,2,FALSE)</f>
        <v>SGA</v>
      </c>
      <c r="L141" s="46"/>
      <c r="M141" s="50" t="s">
        <v>540</v>
      </c>
      <c r="N141" s="50" t="s">
        <v>540</v>
      </c>
      <c r="O141" s="50" t="s">
        <v>540</v>
      </c>
      <c r="P141" s="50" t="s">
        <v>540</v>
      </c>
      <c r="Q141" s="50" t="s">
        <v>540</v>
      </c>
      <c r="R141" s="50" t="s">
        <v>540</v>
      </c>
      <c r="S141" s="50" t="s">
        <v>540</v>
      </c>
      <c r="T141" s="50" t="s">
        <v>540</v>
      </c>
      <c r="U141" s="50" t="s">
        <v>540</v>
      </c>
      <c r="V141" s="50" t="s">
        <v>540</v>
      </c>
      <c r="W141" s="50" t="s">
        <v>540</v>
      </c>
      <c r="X141" s="50" t="s">
        <v>540</v>
      </c>
      <c r="Y141" s="50" t="s">
        <v>540</v>
      </c>
      <c r="Z141" s="50" t="s">
        <v>540</v>
      </c>
      <c r="AA141" s="50" t="s">
        <v>540</v>
      </c>
      <c r="AB141" s="50" t="s">
        <v>540</v>
      </c>
      <c r="AC141" s="50" t="s">
        <v>540</v>
      </c>
      <c r="AD141" s="68">
        <f t="shared" si="10"/>
        <v>0</v>
      </c>
      <c r="AE141" s="69">
        <f t="shared" si="11"/>
        <v>0</v>
      </c>
      <c r="AF141" s="70">
        <v>0</v>
      </c>
      <c r="AG141" s="71">
        <v>166666.66666666666</v>
      </c>
      <c r="AH141" s="106" t="str">
        <f>VLOOKUP(D141,Sheet3!H:I,2,FALSE)</f>
        <v>B2300</v>
      </c>
      <c r="AI141" s="106"/>
      <c r="AJ141" s="106" t="str">
        <f>VLOOKUP(F141,Sheet3!H:I,2,FALSE)</f>
        <v>B2300</v>
      </c>
    </row>
    <row r="142" spans="1:36" ht="15" customHeight="1">
      <c r="A142" s="112" t="s">
        <v>310</v>
      </c>
      <c r="B142" s="48" t="s">
        <v>360</v>
      </c>
      <c r="C142" s="110" t="str">
        <f t="shared" si="8"/>
        <v>B2300</v>
      </c>
      <c r="D142" s="111" t="s">
        <v>227</v>
      </c>
      <c r="E142" s="111" t="str">
        <f t="shared" si="9"/>
        <v>B2300</v>
      </c>
      <c r="F142" s="111" t="s">
        <v>227</v>
      </c>
      <c r="G142" s="112">
        <v>7611600</v>
      </c>
      <c r="H142" s="50" t="s">
        <v>73</v>
      </c>
      <c r="I142" s="46" t="s">
        <v>480</v>
      </c>
      <c r="J142" s="46" t="str">
        <f>VLOOKUP(E142,Sheet3!I:K,3,FALSE)</f>
        <v>ADM</v>
      </c>
      <c r="K142" s="46" t="str">
        <f>VLOOKUP(E142,Sheet3!I:K,2,FALSE)</f>
        <v>SGA</v>
      </c>
      <c r="L142" s="46"/>
      <c r="M142" s="50" t="s">
        <v>540</v>
      </c>
      <c r="N142" s="50" t="s">
        <v>540</v>
      </c>
      <c r="O142" s="50" t="s">
        <v>540</v>
      </c>
      <c r="P142" s="50" t="s">
        <v>540</v>
      </c>
      <c r="Q142" s="50" t="s">
        <v>540</v>
      </c>
      <c r="R142" s="50" t="s">
        <v>540</v>
      </c>
      <c r="S142" s="50" t="s">
        <v>540</v>
      </c>
      <c r="T142" s="50" t="s">
        <v>540</v>
      </c>
      <c r="U142" s="50" t="s">
        <v>540</v>
      </c>
      <c r="V142" s="50" t="s">
        <v>540</v>
      </c>
      <c r="W142" s="50" t="s">
        <v>540</v>
      </c>
      <c r="X142" s="50" t="s">
        <v>540</v>
      </c>
      <c r="Y142" s="50" t="s">
        <v>540</v>
      </c>
      <c r="Z142" s="50" t="s">
        <v>540</v>
      </c>
      <c r="AA142" s="50" t="s">
        <v>540</v>
      </c>
      <c r="AB142" s="50" t="s">
        <v>540</v>
      </c>
      <c r="AC142" s="50" t="s">
        <v>540</v>
      </c>
      <c r="AD142" s="68">
        <f t="shared" si="10"/>
        <v>0</v>
      </c>
      <c r="AE142" s="69">
        <f t="shared" si="11"/>
        <v>0</v>
      </c>
      <c r="AF142" s="70">
        <v>0</v>
      </c>
      <c r="AG142" s="71">
        <v>110833.33333333333</v>
      </c>
      <c r="AH142" s="106" t="str">
        <f>VLOOKUP(D142,Sheet3!H:I,2,FALSE)</f>
        <v>B2300</v>
      </c>
      <c r="AJ142" s="106" t="str">
        <f>VLOOKUP(F142,Sheet3!H:I,2,FALSE)</f>
        <v>B2300</v>
      </c>
    </row>
    <row r="143" spans="1:36" ht="15" customHeight="1">
      <c r="A143" s="112" t="s">
        <v>310</v>
      </c>
      <c r="B143" s="48" t="s">
        <v>308</v>
      </c>
      <c r="C143" s="110" t="str">
        <f t="shared" si="8"/>
        <v>B5000</v>
      </c>
      <c r="D143" s="111" t="s">
        <v>270</v>
      </c>
      <c r="E143" s="111" t="str">
        <f t="shared" si="9"/>
        <v>B5000</v>
      </c>
      <c r="F143" s="111" t="s">
        <v>270</v>
      </c>
      <c r="G143" s="112">
        <v>7611600</v>
      </c>
      <c r="H143" s="50" t="s">
        <v>73</v>
      </c>
      <c r="I143" s="46" t="s">
        <v>562</v>
      </c>
      <c r="J143" s="46" t="str">
        <f>VLOOKUP(E143,Sheet3!I:K,3,FALSE)</f>
        <v>IND</v>
      </c>
      <c r="K143" s="46" t="str">
        <f>VLOOKUP(E143,Sheet3!I:K,2,FALSE)</f>
        <v>MFG</v>
      </c>
      <c r="L143" s="46"/>
      <c r="M143" s="50" t="s">
        <v>540</v>
      </c>
      <c r="N143" s="50" t="s">
        <v>540</v>
      </c>
      <c r="O143" s="50" t="s">
        <v>540</v>
      </c>
      <c r="P143" s="50" t="s">
        <v>540</v>
      </c>
      <c r="Q143" s="50" t="s">
        <v>540</v>
      </c>
      <c r="R143" s="50" t="s">
        <v>540</v>
      </c>
      <c r="S143" s="50" t="s">
        <v>540</v>
      </c>
      <c r="T143" s="50">
        <v>250000</v>
      </c>
      <c r="U143" s="50">
        <v>250000</v>
      </c>
      <c r="V143" s="50">
        <v>250000</v>
      </c>
      <c r="W143" s="50">
        <v>250000</v>
      </c>
      <c r="X143" s="50">
        <v>250000</v>
      </c>
      <c r="Y143" s="50">
        <v>250000</v>
      </c>
      <c r="Z143" s="50">
        <v>250000</v>
      </c>
      <c r="AA143" s="50">
        <v>250000</v>
      </c>
      <c r="AB143" s="50">
        <v>250000</v>
      </c>
      <c r="AC143" s="50">
        <v>250000</v>
      </c>
      <c r="AD143" s="68">
        <f t="shared" si="10"/>
        <v>0</v>
      </c>
      <c r="AE143" s="69">
        <f t="shared" si="11"/>
        <v>2500000</v>
      </c>
      <c r="AF143" s="70">
        <v>3000000</v>
      </c>
      <c r="AG143" s="71">
        <v>3000000</v>
      </c>
      <c r="AH143" s="106" t="str">
        <f>VLOOKUP(D143,Sheet3!H:I,2,FALSE)</f>
        <v>B5000</v>
      </c>
      <c r="AJ143" s="106" t="str">
        <f>VLOOKUP(F143,Sheet3!H:I,2,FALSE)</f>
        <v>B5000</v>
      </c>
    </row>
    <row r="144" spans="1:36" ht="15" customHeight="1">
      <c r="A144" s="112" t="s">
        <v>310</v>
      </c>
      <c r="B144" s="48" t="s">
        <v>326</v>
      </c>
      <c r="C144" s="110" t="str">
        <f t="shared" si="8"/>
        <v>B5000</v>
      </c>
      <c r="D144" s="111" t="s">
        <v>270</v>
      </c>
      <c r="E144" s="111" t="str">
        <f t="shared" si="9"/>
        <v>B5000</v>
      </c>
      <c r="F144" s="111" t="s">
        <v>270</v>
      </c>
      <c r="G144" s="112">
        <v>7611600</v>
      </c>
      <c r="H144" s="50" t="s">
        <v>73</v>
      </c>
      <c r="I144" s="46" t="s">
        <v>563</v>
      </c>
      <c r="J144" s="46" t="str">
        <f>VLOOKUP(E144,Sheet3!I:K,3,FALSE)</f>
        <v>IND</v>
      </c>
      <c r="K144" s="46" t="str">
        <f>VLOOKUP(E144,Sheet3!I:K,2,FALSE)</f>
        <v>MFG</v>
      </c>
      <c r="L144" s="46"/>
      <c r="M144" s="50" t="s">
        <v>540</v>
      </c>
      <c r="N144" s="50" t="s">
        <v>540</v>
      </c>
      <c r="O144" s="50" t="s">
        <v>540</v>
      </c>
      <c r="P144" s="50" t="s">
        <v>540</v>
      </c>
      <c r="Q144" s="50" t="s">
        <v>540</v>
      </c>
      <c r="R144" s="50" t="s">
        <v>540</v>
      </c>
      <c r="S144" s="50" t="s">
        <v>540</v>
      </c>
      <c r="T144" s="50" t="s">
        <v>540</v>
      </c>
      <c r="U144" s="50" t="s">
        <v>540</v>
      </c>
      <c r="V144" s="50" t="s">
        <v>540</v>
      </c>
      <c r="W144" s="50" t="s">
        <v>540</v>
      </c>
      <c r="X144" s="50" t="s">
        <v>540</v>
      </c>
      <c r="Y144" s="50" t="s">
        <v>540</v>
      </c>
      <c r="Z144" s="50" t="s">
        <v>540</v>
      </c>
      <c r="AA144" s="50" t="s">
        <v>540</v>
      </c>
      <c r="AB144" s="50" t="s">
        <v>540</v>
      </c>
      <c r="AC144" s="50">
        <v>250000</v>
      </c>
      <c r="AD144" s="68">
        <f t="shared" si="10"/>
        <v>0</v>
      </c>
      <c r="AE144" s="69">
        <f t="shared" si="11"/>
        <v>250000</v>
      </c>
      <c r="AF144" s="70">
        <v>3000000</v>
      </c>
      <c r="AG144" s="71">
        <v>3000000</v>
      </c>
      <c r="AH144" s="106" t="str">
        <f>VLOOKUP(D144,Sheet3!H:I,2,FALSE)</f>
        <v>B5000</v>
      </c>
      <c r="AJ144" s="106" t="str">
        <f>VLOOKUP(F144,Sheet3!H:I,2,FALSE)</f>
        <v>B5000</v>
      </c>
    </row>
    <row r="145" spans="1:36" ht="15" customHeight="1">
      <c r="A145" s="112" t="s">
        <v>310</v>
      </c>
      <c r="B145" s="48" t="s">
        <v>328</v>
      </c>
      <c r="C145" s="110" t="str">
        <f t="shared" si="8"/>
        <v>B5000</v>
      </c>
      <c r="D145" s="111" t="s">
        <v>270</v>
      </c>
      <c r="E145" s="111" t="str">
        <f t="shared" si="9"/>
        <v>B5000</v>
      </c>
      <c r="F145" s="111" t="s">
        <v>270</v>
      </c>
      <c r="G145" s="112">
        <v>7611600</v>
      </c>
      <c r="H145" s="50" t="s">
        <v>73</v>
      </c>
      <c r="I145" s="46" t="s">
        <v>564</v>
      </c>
      <c r="J145" s="46" t="str">
        <f>VLOOKUP(E145,Sheet3!I:K,3,FALSE)</f>
        <v>IND</v>
      </c>
      <c r="K145" s="46" t="str">
        <f>VLOOKUP(E145,Sheet3!I:K,2,FALSE)</f>
        <v>MFG</v>
      </c>
      <c r="L145" s="46"/>
      <c r="M145" s="50" t="s">
        <v>540</v>
      </c>
      <c r="N145" s="50" t="s">
        <v>540</v>
      </c>
      <c r="O145" s="50" t="s">
        <v>540</v>
      </c>
      <c r="P145" s="50" t="s">
        <v>540</v>
      </c>
      <c r="Q145" s="50" t="s">
        <v>540</v>
      </c>
      <c r="R145" s="50" t="s">
        <v>540</v>
      </c>
      <c r="S145" s="50" t="s">
        <v>540</v>
      </c>
      <c r="T145" s="50" t="s">
        <v>540</v>
      </c>
      <c r="U145" s="50" t="s">
        <v>540</v>
      </c>
      <c r="V145" s="50" t="s">
        <v>540</v>
      </c>
      <c r="W145" s="50" t="s">
        <v>540</v>
      </c>
      <c r="X145" s="50" t="s">
        <v>540</v>
      </c>
      <c r="Y145" s="50" t="s">
        <v>540</v>
      </c>
      <c r="Z145" s="50" t="s">
        <v>540</v>
      </c>
      <c r="AA145" s="50" t="s">
        <v>540</v>
      </c>
      <c r="AB145" s="50" t="s">
        <v>540</v>
      </c>
      <c r="AC145" s="50" t="s">
        <v>540</v>
      </c>
      <c r="AD145" s="68">
        <f t="shared" si="10"/>
        <v>0</v>
      </c>
      <c r="AE145" s="69">
        <f t="shared" si="11"/>
        <v>0</v>
      </c>
      <c r="AF145" s="70">
        <v>2500000</v>
      </c>
      <c r="AG145" s="71">
        <v>3000000</v>
      </c>
      <c r="AH145" s="106" t="str">
        <f>VLOOKUP(D145,Sheet3!H:I,2,FALSE)</f>
        <v>B5000</v>
      </c>
      <c r="AJ145" s="106" t="str">
        <f>VLOOKUP(F145,Sheet3!H:I,2,FALSE)</f>
        <v>B5000</v>
      </c>
    </row>
    <row r="146" spans="1:36" ht="15" customHeight="1">
      <c r="A146" s="112" t="s">
        <v>310</v>
      </c>
      <c r="B146" s="48" t="s">
        <v>356</v>
      </c>
      <c r="C146" s="110" t="str">
        <f t="shared" si="8"/>
        <v>B5000</v>
      </c>
      <c r="D146" s="111" t="s">
        <v>270</v>
      </c>
      <c r="E146" s="111" t="str">
        <f t="shared" si="9"/>
        <v>B5000</v>
      </c>
      <c r="F146" s="111" t="s">
        <v>270</v>
      </c>
      <c r="G146" s="112">
        <v>7611600</v>
      </c>
      <c r="H146" s="50" t="s">
        <v>73</v>
      </c>
      <c r="I146" s="46" t="s">
        <v>565</v>
      </c>
      <c r="J146" s="46" t="str">
        <f>VLOOKUP(E146,Sheet3!I:K,3,FALSE)</f>
        <v>IND</v>
      </c>
      <c r="K146" s="46" t="str">
        <f>VLOOKUP(E146,Sheet3!I:K,2,FALSE)</f>
        <v>MFG</v>
      </c>
      <c r="L146" s="46"/>
      <c r="M146" s="50" t="s">
        <v>540</v>
      </c>
      <c r="N146" s="50" t="s">
        <v>540</v>
      </c>
      <c r="O146" s="50" t="s">
        <v>540</v>
      </c>
      <c r="P146" s="50" t="s">
        <v>540</v>
      </c>
      <c r="Q146" s="50" t="s">
        <v>540</v>
      </c>
      <c r="R146" s="50" t="s">
        <v>540</v>
      </c>
      <c r="S146" s="50" t="s">
        <v>540</v>
      </c>
      <c r="T146" s="50" t="s">
        <v>540</v>
      </c>
      <c r="U146" s="50" t="s">
        <v>540</v>
      </c>
      <c r="V146" s="50" t="s">
        <v>540</v>
      </c>
      <c r="W146" s="50" t="s">
        <v>540</v>
      </c>
      <c r="X146" s="50" t="s">
        <v>540</v>
      </c>
      <c r="Y146" s="50" t="s">
        <v>540</v>
      </c>
      <c r="Z146" s="50" t="s">
        <v>540</v>
      </c>
      <c r="AA146" s="50" t="s">
        <v>540</v>
      </c>
      <c r="AB146" s="50" t="s">
        <v>540</v>
      </c>
      <c r="AC146" s="50" t="s">
        <v>540</v>
      </c>
      <c r="AD146" s="68">
        <f t="shared" si="10"/>
        <v>0</v>
      </c>
      <c r="AE146" s="69">
        <f t="shared" si="11"/>
        <v>0</v>
      </c>
      <c r="AF146" s="70">
        <v>500000</v>
      </c>
      <c r="AG146" s="71">
        <v>3000000</v>
      </c>
      <c r="AH146" s="106" t="str">
        <f>VLOOKUP(D146,Sheet3!H:I,2,FALSE)</f>
        <v>B5000</v>
      </c>
      <c r="AJ146" s="106" t="str">
        <f>VLOOKUP(F146,Sheet3!H:I,2,FALSE)</f>
        <v>B5000</v>
      </c>
    </row>
    <row r="147" spans="1:36" ht="15" customHeight="1">
      <c r="A147" s="112" t="s">
        <v>310</v>
      </c>
      <c r="B147" s="48" t="s">
        <v>357</v>
      </c>
      <c r="C147" s="110" t="str">
        <f t="shared" si="8"/>
        <v>B5000</v>
      </c>
      <c r="D147" s="111" t="s">
        <v>270</v>
      </c>
      <c r="E147" s="111" t="str">
        <f t="shared" si="9"/>
        <v>B5000</v>
      </c>
      <c r="F147" s="111" t="s">
        <v>270</v>
      </c>
      <c r="G147" s="112">
        <v>7611600</v>
      </c>
      <c r="H147" s="50" t="s">
        <v>73</v>
      </c>
      <c r="I147" s="46" t="s">
        <v>568</v>
      </c>
      <c r="J147" s="46" t="str">
        <f>VLOOKUP(E147,Sheet3!I:K,3,FALSE)</f>
        <v>IND</v>
      </c>
      <c r="K147" s="46" t="str">
        <f>VLOOKUP(E147,Sheet3!I:K,2,FALSE)</f>
        <v>MFG</v>
      </c>
      <c r="L147" s="46"/>
      <c r="M147" s="50" t="s">
        <v>540</v>
      </c>
      <c r="N147" s="50" t="s">
        <v>540</v>
      </c>
      <c r="O147" s="50" t="s">
        <v>540</v>
      </c>
      <c r="P147" s="50" t="s">
        <v>540</v>
      </c>
      <c r="Q147" s="50" t="s">
        <v>540</v>
      </c>
      <c r="R147" s="50" t="s">
        <v>540</v>
      </c>
      <c r="S147" s="50" t="s">
        <v>540</v>
      </c>
      <c r="T147" s="50" t="s">
        <v>540</v>
      </c>
      <c r="U147" s="50" t="s">
        <v>540</v>
      </c>
      <c r="V147" s="50" t="s">
        <v>540</v>
      </c>
      <c r="W147" s="50" t="s">
        <v>540</v>
      </c>
      <c r="X147" s="50" t="s">
        <v>540</v>
      </c>
      <c r="Y147" s="50" t="s">
        <v>540</v>
      </c>
      <c r="Z147" s="50" t="s">
        <v>540</v>
      </c>
      <c r="AA147" s="50" t="s">
        <v>540</v>
      </c>
      <c r="AB147" s="50" t="s">
        <v>540</v>
      </c>
      <c r="AC147" s="50">
        <v>166666.66666666666</v>
      </c>
      <c r="AD147" s="68">
        <f t="shared" si="10"/>
        <v>0</v>
      </c>
      <c r="AE147" s="69">
        <f t="shared" si="11"/>
        <v>166666.66666666666</v>
      </c>
      <c r="AF147" s="70">
        <v>2000000.0000000002</v>
      </c>
      <c r="AG147" s="71">
        <v>2000000.0000000002</v>
      </c>
      <c r="AH147" s="106" t="str">
        <f>VLOOKUP(D147,Sheet3!H:I,2,FALSE)</f>
        <v>B5000</v>
      </c>
      <c r="AJ147" s="106" t="str">
        <f>VLOOKUP(F147,Sheet3!H:I,2,FALSE)</f>
        <v>B5000</v>
      </c>
    </row>
  </sheetData>
  <autoFilter ref="A1:AJ147" xr:uid="{37540EBE-1D36-46AB-B8D8-F591CBA65B02}"/>
  <phoneticPr fontId="24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COA</vt:lpstr>
      <vt:lpstr>Upload</vt:lpstr>
      <vt:lpstr>Master</vt:lpstr>
      <vt:lpstr>Sheet3</vt:lpstr>
      <vt:lpstr>Depre Calculation</vt:lpstr>
      <vt:lpstr>GL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Wiyani Utari</dc:creator>
  <cp:lastModifiedBy>IT</cp:lastModifiedBy>
  <dcterms:created xsi:type="dcterms:W3CDTF">2020-10-12T08:41:42Z</dcterms:created>
  <dcterms:modified xsi:type="dcterms:W3CDTF">2021-10-11T06:52:48Z</dcterms:modified>
</cp:coreProperties>
</file>
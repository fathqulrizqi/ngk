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34DFD9AF-10C4-40CE-B49D-D5C3EC15F50F}" xr6:coauthVersionLast="47" xr6:coauthVersionMax="47" xr10:uidLastSave="{00000000-0000-0000-0000-000000000000}"/>
  <bookViews>
    <workbookView xWindow="-23148" yWindow="-1116" windowWidth="23256" windowHeight="13176" xr2:uid="{C53FDC34-7892-4F4E-9408-2EF96F6145C2}"/>
  </bookViews>
  <sheets>
    <sheet name="Data" sheetId="1" r:id="rId1"/>
    <sheet name="Master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j102" localSheetId="1">#REF!</definedName>
    <definedName name="__j102">#REF!</definedName>
    <definedName name="_1">#N/A</definedName>
    <definedName name="_Fill" localSheetId="1" hidden="1">#REF!</definedName>
    <definedName name="_Fill" hidden="1">#REF!</definedName>
    <definedName name="_xlnm._FilterDatabase" hidden="1">[1]金具工程見出し!$A$9:$K$9</definedName>
    <definedName name="_j102" localSheetId="1">#REF!</definedName>
    <definedName name="_j102">#REF!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>#REF!</definedName>
    <definedName name="tgll" localSheetId="1">#REF!</definedName>
    <definedName name="tgll">#REF!</definedName>
    <definedName name="tr" localSheetId="1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>#REF!</definedName>
    <definedName name="予算ﾚｰﾄ" localSheetId="1">#REF!</definedName>
    <definedName name="予算ﾚｰﾄ">#REF!</definedName>
    <definedName name="今" localSheetId="1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>[6]支援計画・０４!$G$4:$G$171</definedName>
    <definedName name="到着">[6]支援計画・０４!$F$4:$F$171</definedName>
    <definedName name="印刷領域" localSheetId="1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>#REF!</definedName>
    <definedName name="商品群">[7]テーブル!$B$2:$B$7</definedName>
    <definedName name="実績レート" localSheetId="1">#REF!</definedName>
    <definedName name="実績レート">#REF!</definedName>
    <definedName name="対象日数" localSheetId="1">#REF!</definedName>
    <definedName name="対象日数">#REF!</definedName>
    <definedName name="技術開発経費181" localSheetId="1">#REF!</definedName>
    <definedName name="技術開発経費181">#REF!</definedName>
    <definedName name="技術開発経費182">#REF!</definedName>
    <definedName name="担当者">[7]テーブル!$F$2:$F$24</definedName>
    <definedName name="支援まとめ">'[8]予定日別1-6'!$U$4:$GV$4</definedName>
    <definedName name="日付">[6]支援計画・０４!$J$4:$CW$4</definedName>
    <definedName name="日数" localSheetId="1">#REF!</definedName>
    <definedName name="日数">#REF!</definedName>
    <definedName name="期" localSheetId="1">#REF!</definedName>
    <definedName name="期">#REF!</definedName>
    <definedName name="梱包_Ｍ３">'[9]KB,MOLD ESTIMATE.00'!$F$13:$X$13</definedName>
    <definedName name="機能分類リスト">[10]開発計画品番リスト!#REF!</definedName>
    <definedName name="比率">[11]調達計画!#REF!</definedName>
    <definedName name="決算期区分" localSheetId="1">#REF!</definedName>
    <definedName name="決算期区分">#REF!</definedName>
    <definedName name="為替" localSheetId="1">#REF!</definedName>
    <definedName name="為替">#REF!</definedName>
    <definedName name="為替レートEU" localSheetId="1">#REF!</definedName>
    <definedName name="為替レートEU">#REF!</definedName>
    <definedName name="為替レートUS">#REF!</definedName>
    <definedName name="生産拠点">[7]テーブル!$C$2:$C$6</definedName>
    <definedName name="直販ｺｰﾄﾞ">'[4]ｺﾋﾟｰ用（直セ）'!$F$1:$AN$263</definedName>
    <definedName name="立上年">[7]テーブル!$A$2:$A$11</definedName>
    <definedName name="立上月">[7]テーブル!$D$2:$D$13</definedName>
    <definedName name="補助部門比率" localSheetId="1">#REF!</definedName>
    <definedName name="補助部門比率">#REF!</definedName>
    <definedName name="補助部門費_設計以外181" localSheetId="1">#REF!</definedName>
    <definedName name="補助部門費_設計以外181">#REF!</definedName>
    <definedName name="補助部門費_設計以外182" localSheetId="1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2" i="1"/>
  <c r="F2" i="1"/>
  <c r="I2" i="1"/>
  <c r="J2" i="1"/>
  <c r="AC2" i="1"/>
  <c r="AD2" i="1"/>
  <c r="B3" i="1"/>
  <c r="D3" i="1"/>
  <c r="F3" i="1"/>
  <c r="I3" i="1"/>
  <c r="J3" i="1"/>
  <c r="AC3" i="1"/>
  <c r="AD3" i="1"/>
  <c r="B4" i="1"/>
  <c r="D4" i="1"/>
  <c r="F4" i="1"/>
  <c r="I4" i="1"/>
  <c r="J4" i="1"/>
  <c r="AC4" i="1"/>
  <c r="AD4" i="1"/>
  <c r="B5" i="1"/>
  <c r="D5" i="1"/>
  <c r="F5" i="1"/>
  <c r="I5" i="1"/>
  <c r="J5" i="1"/>
  <c r="AC5" i="1"/>
  <c r="AD5" i="1"/>
  <c r="B6" i="1"/>
  <c r="D6" i="1"/>
  <c r="F6" i="1"/>
  <c r="I6" i="1"/>
  <c r="J6" i="1"/>
  <c r="AC6" i="1"/>
  <c r="AD6" i="1"/>
  <c r="B7" i="1"/>
  <c r="D7" i="1"/>
  <c r="F7" i="1"/>
  <c r="I7" i="1"/>
  <c r="J7" i="1"/>
  <c r="AC7" i="1"/>
  <c r="AD7" i="1"/>
  <c r="B8" i="1"/>
  <c r="D8" i="1"/>
  <c r="F8" i="1"/>
  <c r="I8" i="1"/>
  <c r="J8" i="1"/>
  <c r="AC8" i="1"/>
  <c r="AD8" i="1"/>
  <c r="B9" i="1"/>
  <c r="D9" i="1"/>
  <c r="F9" i="1"/>
  <c r="I9" i="1"/>
  <c r="J9" i="1"/>
  <c r="AC9" i="1"/>
  <c r="AD9" i="1"/>
  <c r="B10" i="1"/>
  <c r="D10" i="1"/>
  <c r="F10" i="1"/>
  <c r="I10" i="1"/>
  <c r="J10" i="1"/>
  <c r="AC10" i="1"/>
  <c r="AD10" i="1"/>
  <c r="B11" i="1"/>
  <c r="D11" i="1"/>
  <c r="F11" i="1"/>
  <c r="I11" i="1"/>
  <c r="J11" i="1"/>
  <c r="AC11" i="1"/>
  <c r="AD11" i="1"/>
  <c r="B12" i="1"/>
  <c r="D12" i="1"/>
  <c r="F12" i="1"/>
  <c r="I12" i="1"/>
  <c r="J12" i="1"/>
  <c r="AC12" i="1"/>
  <c r="AD12" i="1"/>
  <c r="B13" i="1"/>
  <c r="D13" i="1"/>
  <c r="F13" i="1"/>
  <c r="I13" i="1"/>
  <c r="J13" i="1"/>
  <c r="AC13" i="1"/>
  <c r="AD13" i="1"/>
  <c r="B14" i="1"/>
  <c r="D14" i="1"/>
  <c r="F14" i="1"/>
  <c r="I14" i="1"/>
  <c r="J14" i="1"/>
  <c r="AC14" i="1"/>
  <c r="AD14" i="1"/>
  <c r="B15" i="1"/>
  <c r="D15" i="1"/>
  <c r="F15" i="1"/>
  <c r="I15" i="1"/>
  <c r="J15" i="1"/>
  <c r="AC15" i="1"/>
  <c r="AD15" i="1"/>
  <c r="B16" i="1"/>
  <c r="D16" i="1"/>
  <c r="F16" i="1"/>
  <c r="I16" i="1"/>
  <c r="J16" i="1"/>
  <c r="AC16" i="1"/>
  <c r="AD16" i="1"/>
  <c r="B17" i="1"/>
  <c r="D17" i="1"/>
  <c r="F17" i="1"/>
  <c r="I17" i="1"/>
  <c r="J17" i="1"/>
  <c r="AC17" i="1"/>
  <c r="AD17" i="1"/>
  <c r="B18" i="1"/>
  <c r="D18" i="1"/>
  <c r="F18" i="1"/>
  <c r="I18" i="1"/>
  <c r="J18" i="1"/>
  <c r="AC18" i="1"/>
  <c r="AD18" i="1"/>
  <c r="B19" i="1"/>
  <c r="D19" i="1"/>
  <c r="F19" i="1"/>
  <c r="I19" i="1"/>
  <c r="J19" i="1"/>
  <c r="AC19" i="1"/>
  <c r="AD19" i="1"/>
  <c r="B20" i="1"/>
  <c r="D20" i="1"/>
  <c r="F20" i="1"/>
  <c r="I20" i="1"/>
  <c r="J20" i="1"/>
  <c r="AC20" i="1"/>
  <c r="AD20" i="1"/>
  <c r="B21" i="1"/>
  <c r="D21" i="1"/>
  <c r="F21" i="1"/>
  <c r="I21" i="1"/>
  <c r="J21" i="1"/>
  <c r="AC21" i="1"/>
  <c r="AD21" i="1"/>
  <c r="B22" i="1"/>
  <c r="D22" i="1"/>
  <c r="F22" i="1"/>
  <c r="I22" i="1"/>
  <c r="J22" i="1"/>
  <c r="AC22" i="1"/>
  <c r="AD22" i="1"/>
  <c r="B23" i="1"/>
  <c r="D23" i="1"/>
  <c r="F23" i="1"/>
  <c r="I23" i="1"/>
  <c r="J23" i="1"/>
  <c r="AC23" i="1"/>
  <c r="AD23" i="1"/>
  <c r="B24" i="1"/>
  <c r="D24" i="1"/>
  <c r="F24" i="1"/>
  <c r="I24" i="1"/>
  <c r="J24" i="1"/>
  <c r="AC24" i="1"/>
  <c r="AD24" i="1"/>
  <c r="B25" i="1"/>
  <c r="D25" i="1"/>
  <c r="F25" i="1"/>
  <c r="I25" i="1"/>
  <c r="J25" i="1"/>
  <c r="AC25" i="1"/>
  <c r="AD25" i="1"/>
  <c r="B26" i="1"/>
  <c r="D26" i="1"/>
  <c r="F26" i="1"/>
  <c r="I26" i="1"/>
  <c r="J26" i="1"/>
  <c r="AC26" i="1"/>
  <c r="AD26" i="1"/>
  <c r="B27" i="1"/>
  <c r="D27" i="1"/>
  <c r="F27" i="1"/>
  <c r="I27" i="1"/>
  <c r="J27" i="1"/>
  <c r="AC27" i="1"/>
  <c r="AD27" i="1"/>
  <c r="B28" i="1"/>
  <c r="D28" i="1"/>
  <c r="F28" i="1"/>
  <c r="I28" i="1"/>
  <c r="J28" i="1"/>
  <c r="AC28" i="1"/>
  <c r="AD28" i="1"/>
  <c r="B29" i="1"/>
  <c r="D29" i="1"/>
  <c r="F29" i="1"/>
  <c r="I29" i="1"/>
  <c r="J29" i="1"/>
  <c r="AC29" i="1"/>
  <c r="AD29" i="1"/>
  <c r="B30" i="1"/>
  <c r="D30" i="1"/>
  <c r="F30" i="1"/>
  <c r="I30" i="1"/>
  <c r="J30" i="1"/>
  <c r="AC30" i="1"/>
  <c r="AD30" i="1"/>
  <c r="B31" i="1"/>
  <c r="D31" i="1"/>
  <c r="F31" i="1"/>
  <c r="I31" i="1"/>
  <c r="J31" i="1"/>
  <c r="AC31" i="1"/>
  <c r="AD31" i="1"/>
  <c r="B32" i="1"/>
  <c r="D32" i="1"/>
  <c r="F32" i="1"/>
  <c r="I32" i="1"/>
  <c r="J32" i="1"/>
  <c r="AC32" i="1"/>
  <c r="AD32" i="1"/>
  <c r="B33" i="1"/>
  <c r="D33" i="1"/>
  <c r="F33" i="1"/>
  <c r="I33" i="1"/>
  <c r="J33" i="1"/>
  <c r="AC33" i="1"/>
  <c r="AD33" i="1"/>
  <c r="B34" i="1"/>
  <c r="D34" i="1"/>
  <c r="F34" i="1"/>
  <c r="I34" i="1"/>
  <c r="J34" i="1"/>
  <c r="AC34" i="1"/>
  <c r="AD34" i="1"/>
  <c r="B35" i="1"/>
  <c r="D35" i="1"/>
  <c r="F35" i="1"/>
  <c r="I35" i="1"/>
  <c r="J35" i="1"/>
  <c r="AC35" i="1"/>
  <c r="AD35" i="1"/>
  <c r="B36" i="1"/>
  <c r="D36" i="1"/>
  <c r="F36" i="1"/>
  <c r="I36" i="1"/>
  <c r="J36" i="1"/>
  <c r="AC36" i="1"/>
  <c r="AD36" i="1"/>
  <c r="B37" i="1"/>
  <c r="D37" i="1"/>
  <c r="F37" i="1"/>
  <c r="I37" i="1"/>
  <c r="J37" i="1"/>
  <c r="AC37" i="1"/>
  <c r="AD37" i="1"/>
  <c r="B38" i="1"/>
  <c r="D38" i="1"/>
  <c r="F38" i="1"/>
  <c r="I38" i="1"/>
  <c r="J38" i="1"/>
  <c r="AC38" i="1"/>
  <c r="AD38" i="1"/>
  <c r="B39" i="1"/>
  <c r="D39" i="1"/>
  <c r="F39" i="1"/>
  <c r="I39" i="1"/>
  <c r="J39" i="1"/>
  <c r="AC39" i="1"/>
  <c r="AD39" i="1"/>
  <c r="B40" i="1"/>
  <c r="D40" i="1"/>
  <c r="F40" i="1"/>
  <c r="I40" i="1"/>
  <c r="J40" i="1"/>
  <c r="AC40" i="1"/>
  <c r="AD40" i="1"/>
  <c r="B41" i="1"/>
  <c r="D41" i="1"/>
  <c r="F41" i="1"/>
  <c r="I41" i="1"/>
  <c r="J41" i="1"/>
  <c r="AC41" i="1"/>
  <c r="AD41" i="1"/>
  <c r="B42" i="1"/>
  <c r="D42" i="1"/>
  <c r="F42" i="1"/>
  <c r="I42" i="1"/>
  <c r="J42" i="1"/>
  <c r="AC42" i="1"/>
  <c r="AD42" i="1"/>
  <c r="B43" i="1"/>
  <c r="D43" i="1"/>
  <c r="F43" i="1"/>
  <c r="I43" i="1"/>
  <c r="J43" i="1"/>
  <c r="AC43" i="1"/>
  <c r="AD43" i="1"/>
  <c r="B44" i="1"/>
  <c r="D44" i="1"/>
  <c r="F44" i="1"/>
  <c r="I44" i="1"/>
  <c r="J44" i="1"/>
  <c r="AC44" i="1"/>
  <c r="AD44" i="1"/>
  <c r="B45" i="1"/>
  <c r="D45" i="1"/>
  <c r="F45" i="1"/>
  <c r="I45" i="1"/>
  <c r="J45" i="1"/>
  <c r="AC45" i="1"/>
  <c r="AD45" i="1"/>
  <c r="B46" i="1"/>
  <c r="D46" i="1"/>
  <c r="F46" i="1"/>
  <c r="I46" i="1"/>
  <c r="J46" i="1"/>
  <c r="AC46" i="1"/>
  <c r="AD46" i="1"/>
  <c r="B47" i="1"/>
  <c r="D47" i="1"/>
  <c r="F47" i="1"/>
  <c r="I47" i="1"/>
  <c r="J47" i="1"/>
  <c r="AC47" i="1"/>
  <c r="AD47" i="1"/>
  <c r="B48" i="1"/>
  <c r="D48" i="1"/>
  <c r="F48" i="1"/>
  <c r="I48" i="1"/>
  <c r="J48" i="1"/>
  <c r="AC48" i="1"/>
  <c r="AD48" i="1"/>
  <c r="B49" i="1"/>
  <c r="D49" i="1"/>
  <c r="F49" i="1"/>
  <c r="I49" i="1"/>
  <c r="J49" i="1"/>
  <c r="AC49" i="1"/>
  <c r="AD49" i="1"/>
  <c r="B50" i="1"/>
  <c r="D50" i="1"/>
  <c r="F50" i="1"/>
  <c r="I50" i="1"/>
  <c r="J50" i="1"/>
  <c r="AC50" i="1"/>
  <c r="AD50" i="1"/>
  <c r="B51" i="1"/>
  <c r="D51" i="1"/>
  <c r="F51" i="1"/>
  <c r="I51" i="1"/>
  <c r="J51" i="1"/>
  <c r="AC51" i="1"/>
  <c r="AD51" i="1"/>
  <c r="B52" i="1"/>
  <c r="D52" i="1"/>
  <c r="F52" i="1"/>
  <c r="I52" i="1"/>
  <c r="J52" i="1"/>
  <c r="AC52" i="1"/>
  <c r="AD52" i="1"/>
  <c r="B53" i="1"/>
  <c r="D53" i="1"/>
  <c r="F53" i="1"/>
  <c r="I53" i="1"/>
  <c r="J53" i="1"/>
  <c r="AC53" i="1"/>
  <c r="AD53" i="1"/>
  <c r="B54" i="1"/>
  <c r="D54" i="1"/>
  <c r="F54" i="1"/>
  <c r="I54" i="1"/>
  <c r="J54" i="1"/>
  <c r="AC54" i="1"/>
  <c r="AD54" i="1"/>
  <c r="B55" i="1"/>
  <c r="D55" i="1"/>
  <c r="F55" i="1"/>
  <c r="I55" i="1"/>
  <c r="J55" i="1"/>
  <c r="AC55" i="1"/>
  <c r="AD55" i="1"/>
  <c r="B56" i="1"/>
  <c r="D56" i="1"/>
  <c r="F56" i="1"/>
  <c r="I56" i="1"/>
  <c r="J56" i="1"/>
  <c r="AC56" i="1"/>
  <c r="AD56" i="1"/>
  <c r="B57" i="1"/>
  <c r="D57" i="1"/>
  <c r="F57" i="1"/>
  <c r="I57" i="1"/>
  <c r="J57" i="1"/>
  <c r="AC57" i="1"/>
  <c r="AD57" i="1"/>
  <c r="B58" i="1"/>
  <c r="D58" i="1"/>
  <c r="F58" i="1"/>
  <c r="I58" i="1"/>
  <c r="J58" i="1"/>
  <c r="AC58" i="1"/>
  <c r="AD58" i="1"/>
  <c r="B59" i="1"/>
  <c r="D59" i="1"/>
  <c r="F59" i="1"/>
  <c r="I59" i="1"/>
  <c r="J59" i="1"/>
  <c r="AC59" i="1"/>
  <c r="AD59" i="1"/>
  <c r="B60" i="1"/>
  <c r="D60" i="1"/>
  <c r="F60" i="1"/>
  <c r="I60" i="1"/>
  <c r="J60" i="1"/>
  <c r="AC60" i="1"/>
  <c r="AD60" i="1"/>
  <c r="B61" i="1"/>
  <c r="D61" i="1"/>
  <c r="F61" i="1"/>
  <c r="I61" i="1"/>
  <c r="J61" i="1"/>
  <c r="AC61" i="1"/>
  <c r="AD61" i="1"/>
  <c r="B62" i="1"/>
  <c r="D62" i="1"/>
  <c r="F62" i="1"/>
  <c r="I62" i="1"/>
  <c r="J62" i="1"/>
  <c r="AC62" i="1"/>
  <c r="AD62" i="1"/>
  <c r="B63" i="1"/>
  <c r="D63" i="1"/>
  <c r="F63" i="1"/>
  <c r="I63" i="1"/>
  <c r="J63" i="1"/>
  <c r="AC63" i="1"/>
  <c r="AD63" i="1"/>
  <c r="B64" i="1"/>
  <c r="D64" i="1"/>
  <c r="F64" i="1"/>
  <c r="I64" i="1"/>
  <c r="J64" i="1"/>
  <c r="AC64" i="1"/>
  <c r="AD64" i="1"/>
  <c r="B65" i="1"/>
  <c r="D65" i="1"/>
  <c r="F65" i="1"/>
  <c r="I65" i="1"/>
  <c r="J65" i="1"/>
  <c r="AC65" i="1"/>
  <c r="AD65" i="1"/>
  <c r="B66" i="1"/>
  <c r="D66" i="1"/>
  <c r="F66" i="1"/>
  <c r="I66" i="1"/>
  <c r="J66" i="1"/>
  <c r="AC66" i="1"/>
  <c r="AD66" i="1"/>
  <c r="B67" i="1"/>
  <c r="D67" i="1"/>
  <c r="F67" i="1"/>
  <c r="I67" i="1"/>
  <c r="J67" i="1"/>
  <c r="AC67" i="1"/>
  <c r="AD67" i="1"/>
  <c r="B68" i="1"/>
  <c r="D68" i="1"/>
  <c r="F68" i="1"/>
  <c r="I68" i="1"/>
  <c r="J68" i="1"/>
  <c r="AC68" i="1"/>
  <c r="AD68" i="1"/>
  <c r="B69" i="1"/>
  <c r="D69" i="1"/>
  <c r="F69" i="1"/>
  <c r="I69" i="1"/>
  <c r="J69" i="1"/>
  <c r="AC69" i="1"/>
  <c r="AD69" i="1"/>
  <c r="B70" i="1"/>
  <c r="D70" i="1"/>
  <c r="F70" i="1"/>
  <c r="I70" i="1"/>
  <c r="J70" i="1"/>
  <c r="AC70" i="1"/>
  <c r="AD70" i="1"/>
  <c r="B71" i="1"/>
  <c r="D71" i="1"/>
  <c r="F71" i="1"/>
  <c r="I71" i="1"/>
  <c r="J71" i="1"/>
  <c r="AC71" i="1"/>
  <c r="AD71" i="1"/>
  <c r="B72" i="1"/>
  <c r="D72" i="1"/>
  <c r="F72" i="1"/>
  <c r="I72" i="1"/>
  <c r="J72" i="1"/>
  <c r="AC72" i="1"/>
  <c r="AD72" i="1"/>
  <c r="B73" i="1"/>
  <c r="D73" i="1"/>
  <c r="F73" i="1"/>
  <c r="I73" i="1"/>
  <c r="J73" i="1"/>
  <c r="AC73" i="1"/>
  <c r="AD73" i="1"/>
  <c r="B74" i="1"/>
  <c r="D74" i="1"/>
  <c r="F74" i="1"/>
  <c r="I74" i="1"/>
  <c r="J74" i="1"/>
  <c r="AC74" i="1"/>
  <c r="AD74" i="1"/>
  <c r="B75" i="1"/>
  <c r="D75" i="1"/>
  <c r="F75" i="1"/>
  <c r="I75" i="1"/>
  <c r="J75" i="1"/>
  <c r="AC75" i="1"/>
  <c r="AD75" i="1"/>
  <c r="B76" i="1"/>
  <c r="D76" i="1"/>
  <c r="F76" i="1"/>
  <c r="I76" i="1"/>
  <c r="J76" i="1"/>
  <c r="AC76" i="1"/>
  <c r="AD76" i="1"/>
  <c r="B77" i="1"/>
  <c r="D77" i="1"/>
  <c r="F77" i="1"/>
  <c r="I77" i="1"/>
  <c r="J77" i="1"/>
  <c r="AC77" i="1"/>
  <c r="AD77" i="1"/>
  <c r="B78" i="1"/>
  <c r="D78" i="1"/>
  <c r="F78" i="1"/>
  <c r="I78" i="1"/>
  <c r="J78" i="1"/>
  <c r="AC78" i="1"/>
  <c r="AD78" i="1"/>
  <c r="B79" i="1"/>
  <c r="D79" i="1"/>
  <c r="F79" i="1"/>
  <c r="I79" i="1"/>
  <c r="J79" i="1"/>
  <c r="AC79" i="1"/>
  <c r="AD79" i="1"/>
  <c r="B80" i="1"/>
  <c r="D80" i="1"/>
  <c r="F80" i="1"/>
  <c r="I80" i="1"/>
  <c r="J80" i="1"/>
  <c r="AC80" i="1"/>
  <c r="AD80" i="1"/>
  <c r="B81" i="1"/>
  <c r="D81" i="1"/>
  <c r="F81" i="1"/>
  <c r="I81" i="1"/>
  <c r="J81" i="1"/>
  <c r="AC81" i="1"/>
  <c r="AD81" i="1"/>
  <c r="B82" i="1"/>
  <c r="D82" i="1"/>
  <c r="F82" i="1"/>
  <c r="I82" i="1"/>
  <c r="J82" i="1"/>
  <c r="AC82" i="1"/>
  <c r="AD82" i="1"/>
  <c r="B83" i="1"/>
  <c r="D83" i="1"/>
  <c r="F83" i="1"/>
  <c r="I83" i="1"/>
  <c r="J83" i="1"/>
  <c r="AC83" i="1"/>
  <c r="AD83" i="1"/>
  <c r="B84" i="1"/>
  <c r="D84" i="1"/>
  <c r="F84" i="1"/>
  <c r="I84" i="1"/>
  <c r="J84" i="1"/>
  <c r="AC84" i="1"/>
  <c r="AD84" i="1"/>
  <c r="B85" i="1"/>
  <c r="D85" i="1"/>
  <c r="F85" i="1"/>
  <c r="I85" i="1"/>
  <c r="J85" i="1"/>
  <c r="AC85" i="1"/>
  <c r="AD85" i="1"/>
  <c r="B86" i="1"/>
  <c r="D86" i="1"/>
  <c r="F86" i="1"/>
  <c r="I86" i="1"/>
  <c r="J86" i="1"/>
  <c r="AC86" i="1"/>
  <c r="AD86" i="1"/>
  <c r="B87" i="1"/>
  <c r="D87" i="1"/>
  <c r="F87" i="1"/>
  <c r="I87" i="1"/>
  <c r="J87" i="1"/>
  <c r="AC87" i="1"/>
  <c r="AD87" i="1"/>
  <c r="B88" i="1"/>
  <c r="D88" i="1"/>
  <c r="F88" i="1"/>
  <c r="I88" i="1"/>
  <c r="J88" i="1"/>
  <c r="AC88" i="1"/>
  <c r="AD88" i="1"/>
  <c r="B89" i="1"/>
  <c r="D89" i="1"/>
  <c r="F89" i="1"/>
  <c r="I89" i="1"/>
  <c r="J89" i="1"/>
  <c r="AC89" i="1"/>
  <c r="AD89" i="1"/>
  <c r="B90" i="1"/>
  <c r="D90" i="1"/>
  <c r="F90" i="1"/>
  <c r="I90" i="1"/>
  <c r="J90" i="1"/>
  <c r="AC90" i="1"/>
  <c r="AD90" i="1"/>
  <c r="B91" i="1"/>
  <c r="D91" i="1"/>
  <c r="F91" i="1"/>
  <c r="I91" i="1"/>
  <c r="J91" i="1"/>
  <c r="AC91" i="1"/>
  <c r="AD91" i="1"/>
  <c r="B92" i="1"/>
  <c r="D92" i="1"/>
  <c r="F92" i="1"/>
  <c r="I92" i="1"/>
  <c r="J92" i="1"/>
  <c r="AC92" i="1"/>
  <c r="AD92" i="1"/>
  <c r="B93" i="1"/>
  <c r="D93" i="1"/>
  <c r="F93" i="1"/>
  <c r="I93" i="1"/>
  <c r="J93" i="1"/>
  <c r="AC93" i="1"/>
  <c r="AD93" i="1"/>
  <c r="B94" i="1"/>
  <c r="D94" i="1"/>
  <c r="F94" i="1"/>
  <c r="I94" i="1"/>
  <c r="J94" i="1"/>
  <c r="AC94" i="1"/>
  <c r="AD94" i="1"/>
  <c r="B95" i="1"/>
  <c r="D95" i="1"/>
  <c r="F95" i="1"/>
  <c r="I95" i="1"/>
  <c r="J95" i="1"/>
  <c r="AC95" i="1"/>
  <c r="AD95" i="1"/>
  <c r="B96" i="1"/>
  <c r="D96" i="1"/>
  <c r="F96" i="1"/>
  <c r="I96" i="1"/>
  <c r="J96" i="1"/>
  <c r="AC96" i="1"/>
  <c r="AD96" i="1"/>
  <c r="B97" i="1"/>
  <c r="D97" i="1"/>
  <c r="F97" i="1"/>
  <c r="I97" i="1"/>
  <c r="J97" i="1"/>
  <c r="AC97" i="1"/>
  <c r="AD97" i="1"/>
  <c r="B98" i="1"/>
  <c r="D98" i="1"/>
  <c r="F98" i="1"/>
  <c r="I98" i="1"/>
  <c r="J98" i="1"/>
  <c r="AC98" i="1"/>
  <c r="AD98" i="1"/>
  <c r="B99" i="1"/>
  <c r="D99" i="1"/>
  <c r="F99" i="1"/>
  <c r="I99" i="1"/>
  <c r="J99" i="1"/>
  <c r="AC99" i="1"/>
  <c r="AD99" i="1"/>
  <c r="B100" i="1"/>
  <c r="D100" i="1"/>
  <c r="F100" i="1"/>
  <c r="I100" i="1"/>
  <c r="J100" i="1"/>
  <c r="AC100" i="1"/>
  <c r="AD100" i="1"/>
  <c r="B101" i="1"/>
  <c r="D101" i="1"/>
  <c r="F101" i="1"/>
  <c r="I101" i="1"/>
  <c r="J101" i="1"/>
  <c r="AC101" i="1"/>
  <c r="AD101" i="1"/>
  <c r="B102" i="1"/>
  <c r="D102" i="1"/>
  <c r="F102" i="1"/>
  <c r="I102" i="1"/>
  <c r="J102" i="1"/>
  <c r="AC102" i="1"/>
  <c r="AD102" i="1"/>
  <c r="B103" i="1"/>
  <c r="D103" i="1"/>
  <c r="F103" i="1"/>
  <c r="I103" i="1"/>
  <c r="J103" i="1"/>
  <c r="AC103" i="1"/>
  <c r="AD103" i="1"/>
  <c r="B104" i="1"/>
  <c r="D104" i="1"/>
  <c r="F104" i="1"/>
  <c r="I104" i="1"/>
  <c r="J104" i="1"/>
  <c r="AC104" i="1"/>
  <c r="AD104" i="1"/>
  <c r="B105" i="1"/>
  <c r="D105" i="1"/>
  <c r="F105" i="1"/>
  <c r="I105" i="1"/>
  <c r="J105" i="1"/>
  <c r="AC105" i="1"/>
  <c r="AD105" i="1"/>
  <c r="B106" i="1"/>
  <c r="D106" i="1"/>
  <c r="F106" i="1"/>
  <c r="I106" i="1"/>
  <c r="J106" i="1"/>
  <c r="AC106" i="1"/>
  <c r="AD106" i="1"/>
  <c r="B107" i="1"/>
  <c r="D107" i="1"/>
  <c r="F107" i="1"/>
  <c r="I107" i="1"/>
  <c r="J107" i="1"/>
  <c r="AC107" i="1"/>
  <c r="AD107" i="1"/>
  <c r="B108" i="1"/>
  <c r="D108" i="1"/>
  <c r="F108" i="1"/>
  <c r="I108" i="1"/>
  <c r="J108" i="1"/>
  <c r="AC108" i="1"/>
  <c r="AD108" i="1"/>
  <c r="B109" i="1"/>
  <c r="D109" i="1"/>
  <c r="F109" i="1"/>
  <c r="I109" i="1"/>
  <c r="J109" i="1"/>
  <c r="AC109" i="1"/>
  <c r="AD109" i="1"/>
  <c r="B110" i="1"/>
  <c r="D110" i="1"/>
  <c r="F110" i="1"/>
  <c r="I110" i="1"/>
  <c r="J110" i="1"/>
  <c r="AC110" i="1"/>
  <c r="AD110" i="1"/>
  <c r="B111" i="1"/>
  <c r="D111" i="1"/>
  <c r="F111" i="1"/>
  <c r="I111" i="1"/>
  <c r="J111" i="1"/>
  <c r="AC111" i="1"/>
  <c r="AD111" i="1"/>
  <c r="B112" i="1"/>
  <c r="D112" i="1"/>
  <c r="F112" i="1"/>
  <c r="I112" i="1"/>
  <c r="J112" i="1"/>
  <c r="AC112" i="1"/>
  <c r="AD112" i="1"/>
  <c r="B113" i="1"/>
  <c r="D113" i="1"/>
  <c r="F113" i="1"/>
  <c r="I113" i="1"/>
  <c r="J113" i="1"/>
  <c r="AC113" i="1"/>
  <c r="AD113" i="1"/>
  <c r="B114" i="1"/>
  <c r="D114" i="1"/>
  <c r="F114" i="1"/>
  <c r="I114" i="1"/>
  <c r="J114" i="1"/>
  <c r="AC114" i="1"/>
  <c r="AD114" i="1"/>
  <c r="B115" i="1"/>
  <c r="D115" i="1"/>
  <c r="F115" i="1"/>
  <c r="I115" i="1"/>
  <c r="J115" i="1"/>
  <c r="AC115" i="1"/>
  <c r="AD115" i="1"/>
  <c r="B116" i="1"/>
  <c r="D116" i="1"/>
  <c r="F116" i="1"/>
  <c r="I116" i="1"/>
  <c r="J116" i="1"/>
  <c r="AC116" i="1"/>
  <c r="AD116" i="1"/>
  <c r="B117" i="1"/>
  <c r="D117" i="1"/>
  <c r="F117" i="1"/>
  <c r="I117" i="1"/>
  <c r="J117" i="1"/>
  <c r="AC117" i="1"/>
  <c r="AD117" i="1"/>
  <c r="B118" i="1"/>
  <c r="D118" i="1"/>
  <c r="F118" i="1"/>
  <c r="I118" i="1"/>
  <c r="J118" i="1"/>
  <c r="AC118" i="1"/>
  <c r="AD118" i="1"/>
  <c r="B119" i="1"/>
  <c r="D119" i="1"/>
  <c r="F119" i="1"/>
  <c r="I119" i="1"/>
  <c r="J119" i="1"/>
  <c r="AC119" i="1"/>
  <c r="AD119" i="1"/>
  <c r="B120" i="1"/>
  <c r="D120" i="1"/>
  <c r="F120" i="1"/>
  <c r="I120" i="1"/>
  <c r="J120" i="1"/>
  <c r="AC120" i="1"/>
  <c r="AD120" i="1"/>
  <c r="B121" i="1"/>
  <c r="D121" i="1"/>
  <c r="F121" i="1"/>
  <c r="I121" i="1"/>
  <c r="J121" i="1"/>
  <c r="AC121" i="1"/>
  <c r="AD121" i="1"/>
  <c r="B122" i="1"/>
  <c r="D122" i="1"/>
  <c r="F122" i="1"/>
  <c r="I122" i="1"/>
  <c r="J122" i="1"/>
  <c r="AC122" i="1"/>
  <c r="AD122" i="1"/>
  <c r="B123" i="1"/>
  <c r="D123" i="1"/>
  <c r="F123" i="1"/>
  <c r="I123" i="1"/>
  <c r="J123" i="1"/>
  <c r="AC123" i="1"/>
  <c r="AD123" i="1"/>
  <c r="B124" i="1"/>
  <c r="D124" i="1"/>
  <c r="F124" i="1"/>
  <c r="I124" i="1"/>
  <c r="J124" i="1"/>
  <c r="AC124" i="1"/>
  <c r="AD124" i="1"/>
  <c r="B125" i="1"/>
  <c r="D125" i="1"/>
  <c r="F125" i="1"/>
  <c r="I125" i="1"/>
  <c r="J125" i="1"/>
  <c r="AC125" i="1"/>
  <c r="AD125" i="1"/>
  <c r="B126" i="1"/>
  <c r="D126" i="1"/>
  <c r="F126" i="1"/>
  <c r="I126" i="1"/>
  <c r="J126" i="1"/>
  <c r="AC126" i="1"/>
  <c r="AD126" i="1"/>
  <c r="B127" i="1"/>
  <c r="D127" i="1"/>
  <c r="F127" i="1"/>
  <c r="I127" i="1"/>
  <c r="J127" i="1"/>
  <c r="AC127" i="1"/>
  <c r="AD127" i="1"/>
  <c r="B128" i="1"/>
  <c r="D128" i="1"/>
  <c r="F128" i="1"/>
  <c r="I128" i="1"/>
  <c r="J128" i="1"/>
  <c r="AC128" i="1"/>
  <c r="AD128" i="1"/>
  <c r="B129" i="1"/>
  <c r="D129" i="1"/>
  <c r="F129" i="1"/>
  <c r="I129" i="1"/>
  <c r="J129" i="1"/>
  <c r="AC129" i="1"/>
  <c r="AD129" i="1"/>
  <c r="B130" i="1"/>
  <c r="D130" i="1"/>
  <c r="F130" i="1"/>
  <c r="I130" i="1"/>
  <c r="J130" i="1"/>
  <c r="AC130" i="1"/>
  <c r="AD130" i="1"/>
  <c r="B131" i="1"/>
  <c r="D131" i="1"/>
  <c r="F131" i="1"/>
  <c r="I131" i="1"/>
  <c r="J131" i="1"/>
  <c r="AC131" i="1"/>
  <c r="AD131" i="1"/>
  <c r="B132" i="1"/>
  <c r="D132" i="1"/>
  <c r="F132" i="1"/>
  <c r="I132" i="1"/>
  <c r="J132" i="1"/>
  <c r="AC132" i="1"/>
  <c r="AD132" i="1"/>
  <c r="B133" i="1"/>
  <c r="D133" i="1"/>
  <c r="F133" i="1"/>
  <c r="I133" i="1"/>
  <c r="J133" i="1"/>
  <c r="AC133" i="1"/>
  <c r="AD133" i="1"/>
  <c r="B134" i="1"/>
  <c r="D134" i="1"/>
  <c r="F134" i="1"/>
  <c r="I134" i="1"/>
  <c r="J134" i="1"/>
  <c r="AC134" i="1"/>
  <c r="AD134" i="1"/>
  <c r="B135" i="1"/>
  <c r="D135" i="1"/>
  <c r="F135" i="1"/>
  <c r="I135" i="1"/>
  <c r="J135" i="1"/>
  <c r="AC135" i="1"/>
  <c r="AD135" i="1"/>
  <c r="B136" i="1"/>
  <c r="D136" i="1"/>
  <c r="F136" i="1"/>
  <c r="I136" i="1"/>
  <c r="J136" i="1"/>
  <c r="AC136" i="1"/>
  <c r="AD136" i="1"/>
  <c r="B137" i="1"/>
  <c r="D137" i="1"/>
  <c r="F137" i="1"/>
  <c r="I137" i="1"/>
  <c r="J137" i="1"/>
  <c r="AC137" i="1"/>
  <c r="AD137" i="1"/>
  <c r="B138" i="1"/>
  <c r="D138" i="1"/>
  <c r="F138" i="1"/>
  <c r="I138" i="1"/>
  <c r="J138" i="1"/>
  <c r="AC138" i="1"/>
  <c r="AD138" i="1"/>
  <c r="B139" i="1"/>
  <c r="D139" i="1"/>
  <c r="F139" i="1"/>
  <c r="I139" i="1"/>
  <c r="J139" i="1"/>
  <c r="AC139" i="1"/>
  <c r="AD139" i="1"/>
  <c r="B140" i="1"/>
  <c r="D140" i="1"/>
  <c r="F140" i="1"/>
  <c r="I140" i="1"/>
  <c r="J140" i="1"/>
  <c r="AC140" i="1"/>
  <c r="AD140" i="1"/>
  <c r="B141" i="1"/>
  <c r="D141" i="1"/>
  <c r="F141" i="1"/>
  <c r="I141" i="1"/>
  <c r="J141" i="1"/>
  <c r="AC141" i="1"/>
  <c r="AD141" i="1"/>
  <c r="B142" i="1"/>
  <c r="D142" i="1"/>
  <c r="F142" i="1"/>
  <c r="I142" i="1"/>
  <c r="J142" i="1"/>
  <c r="AC142" i="1"/>
  <c r="AD142" i="1"/>
  <c r="B143" i="1"/>
  <c r="D143" i="1"/>
  <c r="F143" i="1"/>
  <c r="I143" i="1"/>
  <c r="J143" i="1"/>
  <c r="AC143" i="1"/>
  <c r="AD143" i="1"/>
  <c r="B144" i="1"/>
  <c r="D144" i="1"/>
  <c r="F144" i="1"/>
  <c r="I144" i="1"/>
  <c r="J144" i="1"/>
  <c r="AC144" i="1"/>
  <c r="AD144" i="1"/>
  <c r="B145" i="1"/>
  <c r="D145" i="1"/>
  <c r="F145" i="1"/>
  <c r="I145" i="1"/>
  <c r="J145" i="1"/>
  <c r="AC145" i="1"/>
  <c r="AD145" i="1"/>
  <c r="B146" i="1"/>
  <c r="D146" i="1"/>
  <c r="F146" i="1"/>
  <c r="I146" i="1"/>
  <c r="J146" i="1"/>
  <c r="AC146" i="1"/>
  <c r="AD146" i="1"/>
  <c r="B147" i="1"/>
  <c r="D147" i="1"/>
  <c r="F147" i="1"/>
  <c r="I147" i="1"/>
  <c r="J147" i="1"/>
  <c r="AC147" i="1"/>
  <c r="AD147" i="1"/>
  <c r="B148" i="1"/>
  <c r="D148" i="1"/>
  <c r="F148" i="1"/>
  <c r="I148" i="1"/>
  <c r="J148" i="1"/>
  <c r="AC148" i="1"/>
  <c r="AD148" i="1"/>
  <c r="B149" i="1"/>
  <c r="D149" i="1"/>
  <c r="F149" i="1"/>
  <c r="I149" i="1"/>
  <c r="J149" i="1"/>
  <c r="AC149" i="1"/>
  <c r="AD149" i="1"/>
  <c r="B150" i="1"/>
  <c r="D150" i="1"/>
  <c r="F150" i="1"/>
  <c r="I150" i="1"/>
  <c r="J150" i="1"/>
  <c r="AC150" i="1"/>
  <c r="AD150" i="1"/>
  <c r="B151" i="1"/>
  <c r="D151" i="1"/>
  <c r="F151" i="1"/>
  <c r="I151" i="1"/>
  <c r="J151" i="1"/>
  <c r="AC151" i="1"/>
  <c r="AD151" i="1"/>
  <c r="B152" i="1"/>
  <c r="D152" i="1"/>
  <c r="F152" i="1"/>
  <c r="I152" i="1"/>
  <c r="J152" i="1"/>
  <c r="AC152" i="1"/>
  <c r="AD152" i="1"/>
  <c r="B153" i="1"/>
  <c r="D153" i="1"/>
  <c r="F153" i="1"/>
  <c r="I153" i="1"/>
  <c r="J153" i="1"/>
  <c r="AC153" i="1"/>
  <c r="AD153" i="1"/>
  <c r="B154" i="1"/>
  <c r="D154" i="1"/>
  <c r="F154" i="1"/>
  <c r="I154" i="1"/>
  <c r="J154" i="1"/>
  <c r="AC154" i="1"/>
  <c r="AD154" i="1"/>
  <c r="B155" i="1"/>
  <c r="D155" i="1"/>
  <c r="F155" i="1"/>
  <c r="I155" i="1"/>
  <c r="J155" i="1"/>
  <c r="AC155" i="1"/>
  <c r="AD155" i="1"/>
  <c r="B156" i="1"/>
  <c r="D156" i="1"/>
  <c r="F156" i="1"/>
  <c r="I156" i="1"/>
  <c r="J156" i="1"/>
  <c r="AC156" i="1"/>
  <c r="AD156" i="1"/>
  <c r="B157" i="1"/>
  <c r="D157" i="1"/>
  <c r="F157" i="1"/>
  <c r="I157" i="1"/>
  <c r="J157" i="1"/>
  <c r="AC157" i="1"/>
  <c r="AD157" i="1"/>
  <c r="B158" i="1"/>
  <c r="D158" i="1"/>
  <c r="F158" i="1"/>
  <c r="I158" i="1"/>
  <c r="J158" i="1"/>
  <c r="AC158" i="1"/>
  <c r="AD158" i="1"/>
  <c r="B159" i="1"/>
  <c r="D159" i="1"/>
  <c r="F159" i="1"/>
  <c r="I159" i="1"/>
  <c r="J159" i="1"/>
  <c r="AC159" i="1"/>
  <c r="AD159" i="1"/>
  <c r="B160" i="1"/>
  <c r="D160" i="1"/>
  <c r="F160" i="1"/>
  <c r="I160" i="1"/>
  <c r="J160" i="1"/>
  <c r="AC160" i="1"/>
  <c r="AD160" i="1"/>
  <c r="B161" i="1"/>
  <c r="D161" i="1"/>
  <c r="F161" i="1"/>
  <c r="I161" i="1"/>
  <c r="J161" i="1"/>
  <c r="AC161" i="1"/>
  <c r="AD161" i="1"/>
  <c r="B162" i="1"/>
  <c r="D162" i="1"/>
  <c r="F162" i="1"/>
  <c r="I162" i="1"/>
  <c r="J162" i="1"/>
  <c r="AC162" i="1"/>
  <c r="AD162" i="1"/>
  <c r="B163" i="1"/>
  <c r="D163" i="1"/>
  <c r="F163" i="1"/>
  <c r="I163" i="1"/>
  <c r="J163" i="1"/>
  <c r="AC163" i="1"/>
  <c r="AD163" i="1"/>
  <c r="B164" i="1"/>
  <c r="D164" i="1"/>
  <c r="F164" i="1"/>
  <c r="I164" i="1"/>
  <c r="J164" i="1"/>
  <c r="AC164" i="1"/>
  <c r="AD164" i="1"/>
  <c r="B165" i="1"/>
  <c r="D165" i="1"/>
  <c r="F165" i="1"/>
  <c r="I165" i="1"/>
  <c r="J165" i="1"/>
  <c r="AC165" i="1"/>
  <c r="AD165" i="1"/>
  <c r="B166" i="1"/>
  <c r="D166" i="1"/>
  <c r="F166" i="1"/>
  <c r="I166" i="1"/>
  <c r="J166" i="1"/>
  <c r="AC166" i="1"/>
  <c r="AD166" i="1"/>
  <c r="B167" i="1"/>
  <c r="D167" i="1"/>
  <c r="F167" i="1"/>
  <c r="I167" i="1"/>
  <c r="J167" i="1"/>
  <c r="AC167" i="1"/>
  <c r="AD167" i="1"/>
  <c r="B168" i="1"/>
  <c r="D168" i="1"/>
  <c r="F168" i="1"/>
  <c r="I168" i="1"/>
  <c r="J168" i="1"/>
  <c r="AC168" i="1"/>
  <c r="AD168" i="1"/>
  <c r="B169" i="1"/>
  <c r="D169" i="1"/>
  <c r="F169" i="1"/>
  <c r="I169" i="1"/>
  <c r="J169" i="1"/>
  <c r="AC169" i="1"/>
  <c r="AD169" i="1"/>
  <c r="B170" i="1"/>
  <c r="D170" i="1"/>
  <c r="F170" i="1"/>
  <c r="I170" i="1"/>
  <c r="J170" i="1"/>
  <c r="AC170" i="1"/>
  <c r="AD170" i="1"/>
  <c r="B171" i="1"/>
  <c r="D171" i="1"/>
  <c r="F171" i="1"/>
  <c r="I171" i="1"/>
  <c r="J171" i="1"/>
  <c r="AC171" i="1"/>
  <c r="AD171" i="1"/>
  <c r="B172" i="1"/>
  <c r="D172" i="1"/>
  <c r="F172" i="1"/>
  <c r="I172" i="1"/>
  <c r="J172" i="1"/>
  <c r="AC172" i="1"/>
  <c r="AD172" i="1"/>
  <c r="B173" i="1"/>
  <c r="D173" i="1"/>
  <c r="F173" i="1"/>
  <c r="I173" i="1"/>
  <c r="J173" i="1"/>
  <c r="AC173" i="1"/>
  <c r="AD173" i="1"/>
  <c r="B174" i="1"/>
  <c r="D174" i="1"/>
  <c r="F174" i="1"/>
  <c r="I174" i="1"/>
  <c r="J174" i="1"/>
  <c r="AC174" i="1"/>
  <c r="AD174" i="1"/>
  <c r="B175" i="1"/>
  <c r="D175" i="1"/>
  <c r="F175" i="1"/>
  <c r="I175" i="1"/>
  <c r="J175" i="1"/>
  <c r="AC175" i="1"/>
  <c r="AD175" i="1"/>
  <c r="B176" i="1"/>
  <c r="D176" i="1"/>
  <c r="F176" i="1"/>
  <c r="I176" i="1"/>
  <c r="J176" i="1"/>
  <c r="AC176" i="1"/>
  <c r="AD176" i="1"/>
  <c r="B177" i="1"/>
  <c r="D177" i="1"/>
  <c r="F177" i="1"/>
  <c r="I177" i="1"/>
  <c r="J177" i="1"/>
  <c r="AC177" i="1"/>
  <c r="AD177" i="1"/>
  <c r="B178" i="1"/>
  <c r="D178" i="1"/>
  <c r="F178" i="1"/>
  <c r="I178" i="1"/>
  <c r="J178" i="1"/>
  <c r="AC178" i="1"/>
  <c r="AD178" i="1"/>
  <c r="B179" i="1"/>
  <c r="D179" i="1"/>
  <c r="F179" i="1"/>
  <c r="I179" i="1"/>
  <c r="J179" i="1"/>
  <c r="AC179" i="1"/>
  <c r="AD179" i="1"/>
  <c r="B180" i="1"/>
  <c r="D180" i="1"/>
  <c r="F180" i="1"/>
  <c r="I180" i="1"/>
  <c r="J180" i="1"/>
  <c r="AC180" i="1"/>
  <c r="AD180" i="1"/>
  <c r="B181" i="1"/>
  <c r="D181" i="1"/>
  <c r="F181" i="1"/>
  <c r="I181" i="1"/>
  <c r="J181" i="1"/>
  <c r="AC181" i="1"/>
  <c r="AD181" i="1"/>
  <c r="B182" i="1"/>
  <c r="D182" i="1"/>
  <c r="F182" i="1"/>
  <c r="I182" i="1"/>
  <c r="J182" i="1"/>
  <c r="AC182" i="1"/>
  <c r="AD182" i="1"/>
  <c r="B183" i="1"/>
  <c r="D183" i="1"/>
  <c r="F183" i="1"/>
  <c r="I183" i="1"/>
  <c r="J183" i="1"/>
  <c r="AC183" i="1"/>
  <c r="AD183" i="1"/>
  <c r="B184" i="1"/>
  <c r="D184" i="1"/>
  <c r="F184" i="1"/>
  <c r="I184" i="1"/>
  <c r="J184" i="1"/>
  <c r="AC184" i="1"/>
  <c r="AD184" i="1"/>
  <c r="B185" i="1"/>
  <c r="D185" i="1"/>
  <c r="F185" i="1"/>
  <c r="I185" i="1"/>
  <c r="J185" i="1"/>
  <c r="AC185" i="1"/>
  <c r="AD185" i="1"/>
  <c r="B186" i="1"/>
  <c r="D186" i="1"/>
  <c r="F186" i="1"/>
  <c r="I186" i="1"/>
  <c r="J186" i="1"/>
  <c r="AC186" i="1"/>
  <c r="AD186" i="1"/>
  <c r="B187" i="1"/>
  <c r="D187" i="1"/>
  <c r="F187" i="1"/>
  <c r="I187" i="1"/>
  <c r="J187" i="1"/>
  <c r="AC187" i="1"/>
  <c r="AD187" i="1"/>
  <c r="B188" i="1"/>
  <c r="D188" i="1"/>
  <c r="F188" i="1"/>
  <c r="I188" i="1"/>
  <c r="J188" i="1"/>
  <c r="AC188" i="1"/>
  <c r="AD188" i="1"/>
  <c r="B189" i="1"/>
  <c r="D189" i="1"/>
  <c r="F189" i="1"/>
  <c r="I189" i="1"/>
  <c r="J189" i="1"/>
  <c r="AC189" i="1"/>
  <c r="AD189" i="1"/>
  <c r="B190" i="1"/>
  <c r="D190" i="1"/>
  <c r="F190" i="1"/>
  <c r="I190" i="1"/>
  <c r="J190" i="1"/>
  <c r="AC190" i="1"/>
  <c r="AD190" i="1"/>
  <c r="B191" i="1"/>
  <c r="D191" i="1"/>
  <c r="F191" i="1"/>
  <c r="I191" i="1"/>
  <c r="J191" i="1"/>
  <c r="AC191" i="1"/>
  <c r="AD191" i="1"/>
  <c r="B192" i="1"/>
  <c r="D192" i="1"/>
  <c r="F192" i="1"/>
  <c r="I192" i="1"/>
  <c r="J192" i="1"/>
  <c r="AC192" i="1"/>
  <c r="AD192" i="1"/>
  <c r="B193" i="1"/>
  <c r="D193" i="1"/>
  <c r="F193" i="1"/>
  <c r="I193" i="1"/>
  <c r="J193" i="1"/>
  <c r="AC193" i="1"/>
  <c r="AD193" i="1"/>
  <c r="B194" i="1"/>
  <c r="D194" i="1"/>
  <c r="F194" i="1"/>
  <c r="I194" i="1"/>
  <c r="J194" i="1"/>
  <c r="AC194" i="1"/>
  <c r="AD194" i="1"/>
  <c r="B195" i="1"/>
  <c r="D195" i="1"/>
  <c r="F195" i="1"/>
  <c r="I195" i="1"/>
  <c r="J195" i="1"/>
  <c r="AC195" i="1"/>
  <c r="AD195" i="1"/>
  <c r="B196" i="1"/>
  <c r="D196" i="1"/>
  <c r="F196" i="1"/>
  <c r="I196" i="1"/>
  <c r="J196" i="1"/>
  <c r="AC196" i="1"/>
  <c r="AD196" i="1"/>
  <c r="B197" i="1"/>
  <c r="D197" i="1"/>
  <c r="F197" i="1"/>
  <c r="I197" i="1"/>
  <c r="J197" i="1"/>
  <c r="AC197" i="1"/>
  <c r="AD197" i="1"/>
  <c r="B198" i="1"/>
  <c r="D198" i="1"/>
  <c r="F198" i="1"/>
  <c r="I198" i="1"/>
  <c r="J198" i="1"/>
  <c r="AC198" i="1"/>
  <c r="AD198" i="1"/>
  <c r="B199" i="1"/>
  <c r="D199" i="1"/>
  <c r="F199" i="1"/>
  <c r="I199" i="1"/>
  <c r="J199" i="1"/>
  <c r="AC199" i="1"/>
  <c r="AD199" i="1"/>
  <c r="B200" i="1"/>
  <c r="D200" i="1"/>
  <c r="F200" i="1"/>
  <c r="I200" i="1"/>
  <c r="J200" i="1"/>
  <c r="AC200" i="1"/>
  <c r="AD200" i="1"/>
  <c r="B201" i="1"/>
  <c r="D201" i="1"/>
  <c r="F201" i="1"/>
  <c r="I201" i="1"/>
  <c r="J201" i="1"/>
  <c r="AC201" i="1"/>
  <c r="AD201" i="1"/>
  <c r="B202" i="1"/>
  <c r="D202" i="1"/>
  <c r="F202" i="1"/>
  <c r="I202" i="1"/>
  <c r="J202" i="1"/>
  <c r="AC202" i="1"/>
  <c r="AD202" i="1"/>
  <c r="B203" i="1"/>
  <c r="D203" i="1"/>
  <c r="F203" i="1"/>
  <c r="I203" i="1"/>
  <c r="J203" i="1"/>
  <c r="AC203" i="1"/>
  <c r="AD203" i="1"/>
  <c r="B204" i="1"/>
  <c r="D204" i="1"/>
  <c r="F204" i="1"/>
  <c r="I204" i="1"/>
  <c r="J204" i="1"/>
  <c r="AC204" i="1"/>
  <c r="AD204" i="1"/>
  <c r="B205" i="1"/>
  <c r="D205" i="1"/>
  <c r="F205" i="1"/>
  <c r="I205" i="1"/>
  <c r="J205" i="1"/>
  <c r="AC205" i="1"/>
  <c r="AD205" i="1"/>
  <c r="B206" i="1"/>
  <c r="D206" i="1"/>
  <c r="F206" i="1"/>
  <c r="I206" i="1"/>
  <c r="J206" i="1"/>
  <c r="AC206" i="1"/>
  <c r="AD206" i="1"/>
  <c r="B207" i="1"/>
  <c r="D207" i="1"/>
  <c r="F207" i="1"/>
  <c r="I207" i="1"/>
  <c r="J207" i="1"/>
  <c r="AC207" i="1"/>
  <c r="AD207" i="1"/>
  <c r="B208" i="1"/>
  <c r="D208" i="1"/>
  <c r="F208" i="1"/>
  <c r="I208" i="1"/>
  <c r="J208" i="1"/>
  <c r="AC208" i="1"/>
  <c r="AD208" i="1"/>
  <c r="B209" i="1"/>
  <c r="D209" i="1"/>
  <c r="F209" i="1"/>
  <c r="I209" i="1"/>
  <c r="J209" i="1"/>
  <c r="AC209" i="1"/>
  <c r="AD209" i="1"/>
  <c r="B210" i="1"/>
  <c r="D210" i="1"/>
  <c r="F210" i="1"/>
  <c r="I210" i="1"/>
  <c r="J210" i="1"/>
  <c r="AC210" i="1"/>
  <c r="AD210" i="1"/>
  <c r="B211" i="1"/>
  <c r="D211" i="1"/>
  <c r="F211" i="1"/>
  <c r="I211" i="1"/>
  <c r="J211" i="1"/>
  <c r="AC211" i="1"/>
  <c r="AD211" i="1"/>
  <c r="B212" i="1"/>
  <c r="D212" i="1"/>
  <c r="F212" i="1"/>
  <c r="I212" i="1"/>
  <c r="J212" i="1"/>
  <c r="AC212" i="1"/>
  <c r="AD212" i="1"/>
  <c r="B213" i="1"/>
  <c r="D213" i="1"/>
  <c r="F213" i="1"/>
  <c r="I213" i="1"/>
  <c r="J213" i="1"/>
  <c r="AC213" i="1"/>
  <c r="AD213" i="1"/>
  <c r="B214" i="1"/>
  <c r="D214" i="1"/>
  <c r="F214" i="1"/>
  <c r="I214" i="1"/>
  <c r="J214" i="1"/>
  <c r="AC214" i="1"/>
  <c r="AD214" i="1"/>
  <c r="B215" i="1"/>
  <c r="D215" i="1"/>
  <c r="F215" i="1"/>
  <c r="I215" i="1"/>
  <c r="J215" i="1"/>
  <c r="AC215" i="1"/>
  <c r="AD215" i="1"/>
  <c r="B216" i="1"/>
  <c r="D216" i="1"/>
  <c r="F216" i="1"/>
  <c r="I216" i="1"/>
  <c r="J216" i="1"/>
  <c r="AC216" i="1"/>
  <c r="AD216" i="1"/>
  <c r="B217" i="1"/>
  <c r="D217" i="1"/>
  <c r="F217" i="1"/>
  <c r="I217" i="1"/>
  <c r="J217" i="1"/>
  <c r="AC217" i="1"/>
  <c r="AD217" i="1"/>
  <c r="B218" i="1"/>
  <c r="D218" i="1"/>
  <c r="F218" i="1"/>
  <c r="I218" i="1"/>
  <c r="J218" i="1"/>
  <c r="AC218" i="1"/>
  <c r="AD218" i="1"/>
  <c r="B219" i="1"/>
  <c r="D219" i="1"/>
  <c r="F219" i="1"/>
  <c r="I219" i="1"/>
  <c r="J219" i="1"/>
  <c r="AC219" i="1"/>
  <c r="AD219" i="1"/>
  <c r="B220" i="1"/>
  <c r="D220" i="1"/>
  <c r="F220" i="1"/>
  <c r="I220" i="1"/>
  <c r="J220" i="1"/>
  <c r="AC220" i="1"/>
  <c r="AD220" i="1"/>
  <c r="B221" i="1"/>
  <c r="D221" i="1"/>
  <c r="F221" i="1"/>
  <c r="I221" i="1"/>
  <c r="J221" i="1"/>
  <c r="AC221" i="1"/>
  <c r="AD221" i="1"/>
  <c r="B222" i="1"/>
  <c r="D222" i="1"/>
  <c r="F222" i="1"/>
  <c r="I222" i="1"/>
  <c r="J222" i="1"/>
  <c r="AC222" i="1"/>
  <c r="AD222" i="1"/>
  <c r="B223" i="1"/>
  <c r="D223" i="1"/>
  <c r="F223" i="1"/>
  <c r="I223" i="1"/>
  <c r="J223" i="1"/>
  <c r="AC223" i="1"/>
  <c r="AD223" i="1"/>
  <c r="B224" i="1"/>
  <c r="D224" i="1"/>
  <c r="F224" i="1"/>
  <c r="I224" i="1"/>
  <c r="J224" i="1"/>
  <c r="AC224" i="1"/>
  <c r="AD224" i="1"/>
  <c r="B225" i="1"/>
  <c r="D225" i="1"/>
  <c r="F225" i="1"/>
  <c r="I225" i="1"/>
  <c r="J225" i="1"/>
  <c r="AC225" i="1"/>
  <c r="AD225" i="1"/>
  <c r="B226" i="1"/>
  <c r="D226" i="1"/>
  <c r="F226" i="1"/>
  <c r="I226" i="1"/>
  <c r="J226" i="1"/>
  <c r="AC226" i="1"/>
  <c r="AD226" i="1"/>
  <c r="B227" i="1"/>
  <c r="D227" i="1"/>
  <c r="F227" i="1"/>
  <c r="I227" i="1"/>
  <c r="J227" i="1"/>
  <c r="AC227" i="1"/>
  <c r="AD227" i="1"/>
  <c r="B228" i="1"/>
  <c r="D228" i="1"/>
  <c r="F228" i="1"/>
  <c r="I228" i="1"/>
  <c r="J228" i="1"/>
  <c r="AC228" i="1"/>
  <c r="AD228" i="1"/>
  <c r="B229" i="1"/>
  <c r="D229" i="1"/>
  <c r="F229" i="1"/>
  <c r="I229" i="1"/>
  <c r="J229" i="1"/>
  <c r="AC229" i="1"/>
  <c r="AD229" i="1"/>
  <c r="B230" i="1"/>
  <c r="D230" i="1"/>
  <c r="F230" i="1"/>
  <c r="I230" i="1"/>
  <c r="J230" i="1"/>
  <c r="AC230" i="1"/>
  <c r="AD230" i="1"/>
  <c r="B231" i="1"/>
  <c r="D231" i="1"/>
  <c r="F231" i="1"/>
  <c r="I231" i="1"/>
  <c r="J231" i="1"/>
  <c r="AC231" i="1"/>
  <c r="AD231" i="1"/>
  <c r="B232" i="1"/>
  <c r="D232" i="1"/>
  <c r="F232" i="1"/>
  <c r="I232" i="1"/>
  <c r="J232" i="1"/>
  <c r="AC232" i="1"/>
  <c r="AD232" i="1"/>
  <c r="B233" i="1"/>
  <c r="D233" i="1"/>
  <c r="F233" i="1"/>
  <c r="I233" i="1"/>
  <c r="J233" i="1"/>
  <c r="AC233" i="1"/>
  <c r="AD233" i="1"/>
  <c r="B234" i="1"/>
  <c r="D234" i="1"/>
  <c r="F234" i="1"/>
  <c r="I234" i="1"/>
  <c r="J234" i="1"/>
  <c r="AC234" i="1"/>
  <c r="AD234" i="1"/>
  <c r="B235" i="1"/>
  <c r="D235" i="1"/>
  <c r="F235" i="1"/>
  <c r="I235" i="1"/>
  <c r="J235" i="1"/>
  <c r="AC235" i="1"/>
  <c r="AD235" i="1"/>
  <c r="B236" i="1"/>
  <c r="D236" i="1"/>
  <c r="F236" i="1"/>
  <c r="I236" i="1"/>
  <c r="J236" i="1"/>
  <c r="AC236" i="1"/>
  <c r="AD236" i="1"/>
  <c r="B237" i="1"/>
  <c r="D237" i="1"/>
  <c r="F237" i="1"/>
  <c r="I237" i="1"/>
  <c r="J237" i="1"/>
  <c r="AC237" i="1"/>
  <c r="AD237" i="1"/>
  <c r="B238" i="1"/>
  <c r="D238" i="1"/>
  <c r="F238" i="1"/>
  <c r="I238" i="1"/>
  <c r="J238" i="1"/>
  <c r="AC238" i="1"/>
  <c r="AD238" i="1"/>
  <c r="B239" i="1"/>
  <c r="D239" i="1"/>
  <c r="F239" i="1"/>
  <c r="I239" i="1"/>
  <c r="J239" i="1"/>
  <c r="AC239" i="1"/>
  <c r="AD239" i="1"/>
  <c r="B240" i="1"/>
  <c r="D240" i="1"/>
  <c r="F240" i="1"/>
  <c r="I240" i="1"/>
  <c r="J240" i="1"/>
  <c r="AC240" i="1"/>
  <c r="AD240" i="1"/>
  <c r="B241" i="1"/>
  <c r="D241" i="1"/>
  <c r="F241" i="1"/>
  <c r="I241" i="1"/>
  <c r="J241" i="1"/>
  <c r="AC241" i="1"/>
  <c r="AD241" i="1"/>
  <c r="B242" i="1"/>
  <c r="D242" i="1"/>
  <c r="F242" i="1"/>
  <c r="I242" i="1"/>
  <c r="J242" i="1"/>
  <c r="AC242" i="1"/>
  <c r="AD242" i="1"/>
  <c r="B243" i="1"/>
  <c r="D243" i="1"/>
  <c r="F243" i="1"/>
  <c r="I243" i="1"/>
  <c r="J243" i="1"/>
  <c r="AC243" i="1"/>
  <c r="AD243" i="1"/>
  <c r="B244" i="1"/>
  <c r="D244" i="1"/>
  <c r="F244" i="1"/>
  <c r="I244" i="1"/>
  <c r="J244" i="1"/>
  <c r="AC244" i="1"/>
  <c r="AD244" i="1"/>
  <c r="B245" i="1"/>
  <c r="D245" i="1"/>
  <c r="F245" i="1"/>
  <c r="I245" i="1"/>
  <c r="J245" i="1"/>
  <c r="AC245" i="1"/>
  <c r="AD245" i="1"/>
  <c r="B246" i="1"/>
  <c r="D246" i="1"/>
  <c r="F246" i="1"/>
  <c r="I246" i="1"/>
  <c r="J246" i="1"/>
  <c r="AC246" i="1"/>
  <c r="AD246" i="1"/>
  <c r="B247" i="1"/>
  <c r="D247" i="1"/>
  <c r="F247" i="1"/>
  <c r="I247" i="1"/>
  <c r="J247" i="1"/>
  <c r="AC247" i="1"/>
  <c r="AD247" i="1"/>
  <c r="B248" i="1"/>
  <c r="D248" i="1"/>
  <c r="F248" i="1"/>
  <c r="I248" i="1"/>
  <c r="J248" i="1"/>
  <c r="AC248" i="1"/>
  <c r="AD248" i="1"/>
  <c r="B249" i="1"/>
  <c r="D249" i="1"/>
  <c r="F249" i="1"/>
  <c r="I249" i="1"/>
  <c r="J249" i="1"/>
  <c r="AC249" i="1"/>
  <c r="AD249" i="1"/>
  <c r="B250" i="1"/>
  <c r="D250" i="1"/>
  <c r="F250" i="1"/>
  <c r="I250" i="1"/>
  <c r="J250" i="1"/>
  <c r="AC250" i="1"/>
  <c r="AD250" i="1"/>
  <c r="B251" i="1"/>
  <c r="D251" i="1"/>
  <c r="F251" i="1"/>
  <c r="I251" i="1"/>
  <c r="J251" i="1"/>
  <c r="AC251" i="1"/>
  <c r="AD251" i="1"/>
  <c r="B252" i="1"/>
  <c r="D252" i="1"/>
  <c r="F252" i="1"/>
  <c r="I252" i="1"/>
  <c r="J252" i="1"/>
  <c r="AC252" i="1"/>
  <c r="AD252" i="1"/>
  <c r="B253" i="1"/>
  <c r="D253" i="1"/>
  <c r="F253" i="1"/>
  <c r="I253" i="1"/>
  <c r="J253" i="1"/>
  <c r="AC253" i="1"/>
  <c r="AD253" i="1"/>
  <c r="B254" i="1"/>
  <c r="D254" i="1"/>
  <c r="F254" i="1"/>
  <c r="I254" i="1"/>
  <c r="J254" i="1"/>
  <c r="AC254" i="1"/>
  <c r="AD254" i="1"/>
  <c r="B255" i="1"/>
  <c r="D255" i="1"/>
  <c r="F255" i="1"/>
  <c r="I255" i="1"/>
  <c r="J255" i="1"/>
  <c r="AC255" i="1"/>
  <c r="AD255" i="1"/>
  <c r="B256" i="1"/>
  <c r="D256" i="1"/>
  <c r="F256" i="1"/>
  <c r="I256" i="1"/>
  <c r="J256" i="1"/>
  <c r="AC256" i="1"/>
  <c r="AD256" i="1"/>
  <c r="B257" i="1"/>
  <c r="D257" i="1"/>
  <c r="F257" i="1"/>
  <c r="I257" i="1"/>
  <c r="J257" i="1"/>
  <c r="AC257" i="1"/>
  <c r="AD257" i="1"/>
  <c r="B258" i="1"/>
  <c r="D258" i="1"/>
  <c r="F258" i="1"/>
  <c r="I258" i="1"/>
  <c r="J258" i="1"/>
  <c r="AC258" i="1"/>
  <c r="AD258" i="1"/>
  <c r="B259" i="1"/>
  <c r="D259" i="1"/>
  <c r="F259" i="1"/>
  <c r="I259" i="1"/>
  <c r="J259" i="1"/>
  <c r="AC259" i="1"/>
  <c r="AD259" i="1"/>
  <c r="B260" i="1"/>
  <c r="D260" i="1"/>
  <c r="F260" i="1"/>
  <c r="I260" i="1"/>
  <c r="J260" i="1"/>
  <c r="AC260" i="1"/>
  <c r="AD260" i="1"/>
  <c r="B261" i="1"/>
  <c r="D261" i="1"/>
  <c r="F261" i="1"/>
  <c r="I261" i="1"/>
  <c r="J261" i="1"/>
  <c r="AC261" i="1"/>
  <c r="AD261" i="1"/>
  <c r="B262" i="1"/>
  <c r="D262" i="1"/>
  <c r="F262" i="1"/>
  <c r="I262" i="1"/>
  <c r="J262" i="1"/>
  <c r="AC262" i="1"/>
  <c r="AD262" i="1"/>
  <c r="B263" i="1"/>
  <c r="D263" i="1"/>
  <c r="F263" i="1"/>
  <c r="I263" i="1"/>
  <c r="J263" i="1"/>
  <c r="AC263" i="1"/>
  <c r="AD263" i="1"/>
  <c r="B264" i="1"/>
  <c r="D264" i="1"/>
  <c r="F264" i="1"/>
  <c r="I264" i="1"/>
  <c r="J264" i="1"/>
  <c r="AC264" i="1"/>
  <c r="AD264" i="1"/>
  <c r="B265" i="1"/>
  <c r="D265" i="1"/>
  <c r="F265" i="1"/>
  <c r="I265" i="1"/>
  <c r="J265" i="1"/>
  <c r="AC265" i="1"/>
  <c r="AD265" i="1"/>
  <c r="B266" i="1"/>
  <c r="D266" i="1"/>
  <c r="F266" i="1"/>
  <c r="I266" i="1"/>
  <c r="J266" i="1"/>
  <c r="AC266" i="1"/>
  <c r="AD266" i="1"/>
  <c r="B267" i="1"/>
  <c r="D267" i="1"/>
  <c r="F267" i="1"/>
  <c r="I267" i="1"/>
  <c r="J267" i="1"/>
  <c r="AC267" i="1"/>
  <c r="AD267" i="1"/>
  <c r="B268" i="1"/>
  <c r="D268" i="1"/>
  <c r="F268" i="1"/>
  <c r="I268" i="1"/>
  <c r="J268" i="1"/>
  <c r="AC268" i="1"/>
  <c r="AD268" i="1"/>
  <c r="B269" i="1"/>
  <c r="D269" i="1"/>
  <c r="F269" i="1"/>
  <c r="I269" i="1"/>
  <c r="J269" i="1"/>
  <c r="AC269" i="1"/>
  <c r="AD269" i="1"/>
  <c r="B270" i="1"/>
  <c r="D270" i="1"/>
  <c r="F270" i="1"/>
  <c r="I270" i="1"/>
  <c r="J270" i="1"/>
  <c r="AC270" i="1"/>
  <c r="AD270" i="1"/>
  <c r="B271" i="1"/>
  <c r="D271" i="1"/>
  <c r="F271" i="1"/>
  <c r="I271" i="1"/>
  <c r="J271" i="1"/>
  <c r="AC271" i="1"/>
  <c r="AD271" i="1"/>
  <c r="B272" i="1"/>
  <c r="D272" i="1"/>
  <c r="F272" i="1"/>
  <c r="I272" i="1"/>
  <c r="J272" i="1"/>
  <c r="AC272" i="1"/>
  <c r="AD272" i="1"/>
  <c r="B273" i="1"/>
  <c r="D273" i="1"/>
  <c r="F273" i="1"/>
  <c r="I273" i="1"/>
  <c r="J273" i="1"/>
  <c r="AC273" i="1"/>
  <c r="AD273" i="1"/>
  <c r="B274" i="1"/>
  <c r="D274" i="1"/>
  <c r="F274" i="1"/>
  <c r="I274" i="1"/>
  <c r="J274" i="1"/>
  <c r="AC274" i="1"/>
  <c r="AD274" i="1"/>
  <c r="B275" i="1"/>
  <c r="D275" i="1"/>
  <c r="F275" i="1"/>
  <c r="I275" i="1"/>
  <c r="J275" i="1"/>
  <c r="AC275" i="1"/>
  <c r="AD275" i="1"/>
  <c r="B276" i="1"/>
  <c r="D276" i="1"/>
  <c r="F276" i="1"/>
  <c r="I276" i="1"/>
  <c r="J276" i="1"/>
  <c r="AC276" i="1"/>
  <c r="AD276" i="1"/>
  <c r="B277" i="1"/>
  <c r="D277" i="1"/>
  <c r="F277" i="1"/>
  <c r="I277" i="1"/>
  <c r="J277" i="1"/>
  <c r="AC277" i="1"/>
  <c r="AD277" i="1"/>
  <c r="B278" i="1"/>
  <c r="D278" i="1"/>
  <c r="F278" i="1"/>
  <c r="I278" i="1"/>
  <c r="J278" i="1"/>
  <c r="AC278" i="1"/>
  <c r="AD278" i="1"/>
  <c r="B279" i="1"/>
  <c r="D279" i="1"/>
  <c r="F279" i="1"/>
  <c r="I279" i="1"/>
  <c r="J279" i="1"/>
  <c r="AC279" i="1"/>
  <c r="AD279" i="1"/>
  <c r="B280" i="1"/>
  <c r="D280" i="1"/>
  <c r="F280" i="1"/>
  <c r="I280" i="1"/>
  <c r="J280" i="1"/>
  <c r="AC280" i="1"/>
  <c r="AD280" i="1"/>
  <c r="B281" i="1"/>
  <c r="D281" i="1"/>
  <c r="F281" i="1"/>
  <c r="I281" i="1"/>
  <c r="J281" i="1"/>
  <c r="AC281" i="1"/>
  <c r="AD281" i="1"/>
  <c r="B282" i="1"/>
  <c r="D282" i="1"/>
  <c r="F282" i="1"/>
  <c r="I282" i="1"/>
  <c r="J282" i="1"/>
  <c r="AC282" i="1"/>
  <c r="AD282" i="1"/>
  <c r="B283" i="1"/>
  <c r="D283" i="1"/>
  <c r="F283" i="1"/>
  <c r="I283" i="1"/>
  <c r="J283" i="1"/>
  <c r="AC283" i="1"/>
  <c r="AD283" i="1"/>
  <c r="B284" i="1"/>
  <c r="D284" i="1"/>
  <c r="F284" i="1"/>
  <c r="I284" i="1"/>
  <c r="J284" i="1"/>
  <c r="AC284" i="1"/>
  <c r="AD284" i="1"/>
  <c r="B285" i="1"/>
  <c r="D285" i="1"/>
  <c r="F285" i="1"/>
  <c r="I285" i="1"/>
  <c r="J285" i="1"/>
  <c r="AC285" i="1"/>
  <c r="AD285" i="1"/>
  <c r="B286" i="1"/>
  <c r="D286" i="1"/>
  <c r="F286" i="1"/>
  <c r="I286" i="1"/>
  <c r="J286" i="1"/>
  <c r="AC286" i="1"/>
  <c r="AD286" i="1"/>
  <c r="B287" i="1"/>
  <c r="D287" i="1"/>
  <c r="F287" i="1"/>
  <c r="I287" i="1"/>
  <c r="J287" i="1"/>
  <c r="AC287" i="1"/>
  <c r="AD287" i="1"/>
  <c r="B288" i="1"/>
  <c r="D288" i="1"/>
  <c r="F288" i="1"/>
  <c r="I288" i="1"/>
  <c r="J288" i="1"/>
  <c r="AC288" i="1"/>
  <c r="AD288" i="1"/>
  <c r="B289" i="1"/>
  <c r="D289" i="1"/>
  <c r="F289" i="1"/>
  <c r="I289" i="1"/>
  <c r="J289" i="1"/>
  <c r="AC289" i="1"/>
  <c r="AD289" i="1"/>
  <c r="B290" i="1"/>
  <c r="D290" i="1"/>
  <c r="F290" i="1"/>
  <c r="I290" i="1"/>
  <c r="J290" i="1"/>
  <c r="AC290" i="1"/>
  <c r="AD290" i="1"/>
  <c r="B291" i="1"/>
  <c r="D291" i="1"/>
  <c r="F291" i="1"/>
  <c r="I291" i="1"/>
  <c r="J291" i="1"/>
  <c r="AC291" i="1"/>
  <c r="AD291" i="1"/>
  <c r="B292" i="1"/>
  <c r="D292" i="1"/>
  <c r="F292" i="1"/>
  <c r="I292" i="1"/>
  <c r="J292" i="1"/>
  <c r="AC292" i="1"/>
  <c r="AD292" i="1"/>
  <c r="B293" i="1"/>
  <c r="D293" i="1"/>
  <c r="F293" i="1"/>
  <c r="I293" i="1"/>
  <c r="J293" i="1"/>
  <c r="AC293" i="1"/>
  <c r="AD293" i="1"/>
  <c r="B294" i="1"/>
  <c r="D294" i="1"/>
  <c r="F294" i="1"/>
  <c r="I294" i="1"/>
  <c r="J294" i="1"/>
  <c r="AC294" i="1"/>
  <c r="AD294" i="1"/>
  <c r="B295" i="1"/>
  <c r="D295" i="1"/>
  <c r="F295" i="1"/>
  <c r="I295" i="1"/>
  <c r="J295" i="1"/>
  <c r="AC295" i="1"/>
  <c r="AD295" i="1"/>
  <c r="B296" i="1"/>
  <c r="D296" i="1"/>
  <c r="F296" i="1"/>
  <c r="I296" i="1"/>
  <c r="J296" i="1"/>
  <c r="AC296" i="1"/>
  <c r="AD296" i="1"/>
  <c r="B297" i="1"/>
  <c r="D297" i="1"/>
  <c r="F297" i="1"/>
  <c r="I297" i="1"/>
  <c r="J297" i="1"/>
  <c r="AC297" i="1"/>
  <c r="AD297" i="1"/>
  <c r="B298" i="1"/>
  <c r="D298" i="1"/>
  <c r="F298" i="1"/>
  <c r="I298" i="1"/>
  <c r="J298" i="1"/>
  <c r="AC298" i="1"/>
  <c r="AD298" i="1"/>
  <c r="B299" i="1"/>
  <c r="D299" i="1"/>
  <c r="F299" i="1"/>
  <c r="I299" i="1"/>
  <c r="J299" i="1"/>
  <c r="AC299" i="1"/>
  <c r="AD299" i="1"/>
  <c r="B300" i="1"/>
  <c r="D300" i="1"/>
  <c r="F300" i="1"/>
  <c r="I300" i="1"/>
  <c r="J300" i="1"/>
  <c r="AC300" i="1"/>
  <c r="AD300" i="1"/>
  <c r="B301" i="1"/>
  <c r="D301" i="1"/>
  <c r="F301" i="1"/>
  <c r="I301" i="1"/>
  <c r="J301" i="1"/>
  <c r="AC301" i="1"/>
  <c r="AD301" i="1"/>
  <c r="B302" i="1"/>
  <c r="D302" i="1"/>
  <c r="F302" i="1"/>
  <c r="I302" i="1"/>
  <c r="J302" i="1"/>
  <c r="AC302" i="1"/>
  <c r="AD302" i="1"/>
  <c r="B303" i="1"/>
  <c r="D303" i="1"/>
  <c r="F303" i="1"/>
  <c r="I303" i="1"/>
  <c r="J303" i="1"/>
  <c r="AC303" i="1"/>
  <c r="AD303" i="1"/>
  <c r="B304" i="1"/>
  <c r="D304" i="1"/>
  <c r="F304" i="1"/>
  <c r="I304" i="1"/>
  <c r="J304" i="1"/>
  <c r="AC304" i="1"/>
  <c r="AD304" i="1"/>
  <c r="B305" i="1"/>
  <c r="D305" i="1"/>
  <c r="F305" i="1"/>
  <c r="I305" i="1"/>
  <c r="J305" i="1"/>
  <c r="AC305" i="1"/>
  <c r="AD305" i="1"/>
  <c r="B306" i="1"/>
  <c r="D306" i="1"/>
  <c r="F306" i="1"/>
  <c r="I306" i="1"/>
  <c r="J306" i="1"/>
  <c r="AC306" i="1"/>
  <c r="AD306" i="1"/>
  <c r="B307" i="1"/>
  <c r="D307" i="1"/>
  <c r="F307" i="1"/>
  <c r="I307" i="1"/>
  <c r="J307" i="1"/>
  <c r="AC307" i="1"/>
  <c r="AD307" i="1"/>
  <c r="B308" i="1"/>
  <c r="D308" i="1"/>
  <c r="F308" i="1"/>
  <c r="I308" i="1"/>
  <c r="J308" i="1"/>
  <c r="AC308" i="1"/>
  <c r="AD308" i="1"/>
  <c r="B309" i="1"/>
  <c r="D309" i="1"/>
  <c r="F309" i="1"/>
  <c r="I309" i="1"/>
  <c r="J309" i="1"/>
  <c r="AC309" i="1"/>
  <c r="AD309" i="1"/>
  <c r="B310" i="1"/>
  <c r="D310" i="1"/>
  <c r="F310" i="1"/>
  <c r="I310" i="1"/>
  <c r="J310" i="1"/>
  <c r="AC310" i="1"/>
  <c r="AD310" i="1"/>
  <c r="B311" i="1"/>
  <c r="D311" i="1"/>
  <c r="F311" i="1"/>
  <c r="I311" i="1"/>
  <c r="J311" i="1"/>
  <c r="AC311" i="1"/>
  <c r="AD311" i="1"/>
  <c r="B312" i="1"/>
  <c r="D312" i="1"/>
  <c r="F312" i="1"/>
  <c r="I312" i="1"/>
  <c r="J312" i="1"/>
  <c r="AC312" i="1"/>
  <c r="AD312" i="1"/>
  <c r="B313" i="1"/>
  <c r="D313" i="1"/>
  <c r="F313" i="1"/>
  <c r="I313" i="1"/>
  <c r="J313" i="1"/>
  <c r="AC313" i="1"/>
  <c r="AD313" i="1"/>
  <c r="B314" i="1"/>
  <c r="D314" i="1"/>
  <c r="F314" i="1"/>
  <c r="I314" i="1"/>
  <c r="J314" i="1"/>
  <c r="AC314" i="1"/>
  <c r="AD314" i="1"/>
  <c r="B315" i="1"/>
  <c r="D315" i="1"/>
  <c r="F315" i="1"/>
  <c r="I315" i="1"/>
  <c r="J315" i="1"/>
  <c r="AC315" i="1"/>
  <c r="AD315" i="1"/>
  <c r="B316" i="1"/>
  <c r="D316" i="1"/>
  <c r="F316" i="1"/>
  <c r="I316" i="1"/>
  <c r="J316" i="1"/>
  <c r="AC316" i="1"/>
  <c r="AD316" i="1"/>
  <c r="B317" i="1"/>
  <c r="D317" i="1"/>
  <c r="F317" i="1"/>
  <c r="I317" i="1"/>
  <c r="J317" i="1"/>
  <c r="AC317" i="1"/>
  <c r="AD317" i="1"/>
  <c r="B318" i="1"/>
  <c r="D318" i="1"/>
  <c r="F318" i="1"/>
  <c r="I318" i="1"/>
  <c r="J318" i="1"/>
  <c r="AC318" i="1"/>
  <c r="AD318" i="1"/>
  <c r="B319" i="1"/>
  <c r="D319" i="1"/>
  <c r="F319" i="1"/>
  <c r="I319" i="1"/>
  <c r="J319" i="1"/>
  <c r="AC319" i="1"/>
  <c r="AD319" i="1"/>
  <c r="B320" i="1"/>
  <c r="D320" i="1"/>
  <c r="F320" i="1"/>
  <c r="I320" i="1"/>
  <c r="J320" i="1"/>
  <c r="AC320" i="1"/>
  <c r="AD320" i="1"/>
  <c r="B321" i="1"/>
  <c r="D321" i="1"/>
  <c r="F321" i="1"/>
  <c r="I321" i="1"/>
  <c r="J321" i="1"/>
  <c r="AC321" i="1"/>
  <c r="AD321" i="1"/>
  <c r="B322" i="1"/>
  <c r="D322" i="1"/>
  <c r="F322" i="1"/>
  <c r="I322" i="1"/>
  <c r="J322" i="1"/>
  <c r="AC322" i="1"/>
  <c r="AD322" i="1"/>
  <c r="B323" i="1"/>
  <c r="D323" i="1"/>
  <c r="F323" i="1"/>
  <c r="I323" i="1"/>
  <c r="J323" i="1"/>
  <c r="AC323" i="1"/>
  <c r="AD323" i="1"/>
  <c r="B324" i="1"/>
  <c r="D324" i="1"/>
  <c r="F324" i="1"/>
  <c r="I324" i="1"/>
  <c r="J324" i="1"/>
  <c r="AC324" i="1"/>
  <c r="AD324" i="1"/>
  <c r="B325" i="1"/>
  <c r="D325" i="1"/>
  <c r="F325" i="1"/>
  <c r="I325" i="1"/>
  <c r="J325" i="1"/>
  <c r="AC325" i="1"/>
  <c r="AD325" i="1"/>
  <c r="B326" i="1"/>
  <c r="D326" i="1"/>
  <c r="F326" i="1"/>
  <c r="I326" i="1"/>
  <c r="J326" i="1"/>
  <c r="AC326" i="1"/>
  <c r="AD326" i="1"/>
  <c r="B327" i="1"/>
  <c r="D327" i="1"/>
  <c r="F327" i="1"/>
  <c r="I327" i="1"/>
  <c r="J327" i="1"/>
  <c r="AC327" i="1"/>
  <c r="AD327" i="1"/>
  <c r="B328" i="1"/>
  <c r="D328" i="1"/>
  <c r="F328" i="1"/>
  <c r="I328" i="1"/>
  <c r="J328" i="1"/>
  <c r="AC328" i="1"/>
  <c r="AD328" i="1"/>
  <c r="B329" i="1"/>
  <c r="D329" i="1"/>
  <c r="F329" i="1"/>
  <c r="I329" i="1"/>
  <c r="J329" i="1"/>
  <c r="AC329" i="1"/>
  <c r="AD329" i="1"/>
  <c r="B330" i="1"/>
  <c r="D330" i="1"/>
  <c r="F330" i="1"/>
  <c r="I330" i="1"/>
  <c r="J330" i="1"/>
  <c r="AC330" i="1"/>
  <c r="AD330" i="1"/>
  <c r="B331" i="1"/>
  <c r="D331" i="1"/>
  <c r="F331" i="1"/>
  <c r="I331" i="1"/>
  <c r="J331" i="1"/>
  <c r="AC331" i="1"/>
  <c r="AD331" i="1"/>
  <c r="B332" i="1"/>
  <c r="D332" i="1"/>
  <c r="F332" i="1"/>
  <c r="I332" i="1"/>
  <c r="J332" i="1"/>
  <c r="AC332" i="1"/>
  <c r="AD332" i="1"/>
  <c r="B333" i="1"/>
  <c r="D333" i="1"/>
  <c r="F333" i="1"/>
  <c r="I333" i="1"/>
  <c r="J333" i="1"/>
  <c r="AC333" i="1"/>
  <c r="AD333" i="1"/>
  <c r="B334" i="1"/>
  <c r="D334" i="1"/>
  <c r="F334" i="1"/>
  <c r="I334" i="1"/>
  <c r="J334" i="1"/>
  <c r="AC334" i="1"/>
  <c r="AD334" i="1"/>
  <c r="B335" i="1"/>
  <c r="D335" i="1"/>
  <c r="F335" i="1"/>
  <c r="I335" i="1"/>
  <c r="J335" i="1"/>
  <c r="AC335" i="1"/>
  <c r="AD335" i="1"/>
  <c r="B336" i="1"/>
  <c r="D336" i="1"/>
  <c r="F336" i="1"/>
  <c r="I336" i="1"/>
  <c r="J336" i="1"/>
  <c r="AC336" i="1"/>
  <c r="AD336" i="1"/>
  <c r="B337" i="1"/>
  <c r="D337" i="1"/>
  <c r="F337" i="1"/>
  <c r="I337" i="1"/>
  <c r="J337" i="1"/>
  <c r="AC337" i="1"/>
  <c r="AD337" i="1"/>
  <c r="B338" i="1"/>
  <c r="D338" i="1"/>
  <c r="F338" i="1"/>
  <c r="I338" i="1"/>
  <c r="J338" i="1"/>
  <c r="AC338" i="1"/>
  <c r="AD338" i="1"/>
  <c r="B339" i="1"/>
  <c r="D339" i="1"/>
  <c r="F339" i="1"/>
  <c r="I339" i="1"/>
  <c r="J339" i="1"/>
  <c r="AC339" i="1"/>
  <c r="AD339" i="1"/>
  <c r="B340" i="1"/>
  <c r="D340" i="1"/>
  <c r="F340" i="1"/>
  <c r="I340" i="1"/>
  <c r="J340" i="1"/>
  <c r="AC340" i="1"/>
  <c r="AD340" i="1"/>
  <c r="B341" i="1"/>
  <c r="D341" i="1"/>
  <c r="F341" i="1"/>
  <c r="I341" i="1"/>
  <c r="J341" i="1"/>
  <c r="AC341" i="1"/>
  <c r="AD341" i="1"/>
  <c r="B342" i="1"/>
  <c r="D342" i="1"/>
  <c r="F342" i="1"/>
  <c r="I342" i="1"/>
  <c r="J342" i="1"/>
  <c r="AC342" i="1"/>
  <c r="AD342" i="1"/>
  <c r="B343" i="1"/>
  <c r="D343" i="1"/>
  <c r="F343" i="1"/>
  <c r="I343" i="1"/>
  <c r="J343" i="1"/>
  <c r="AC343" i="1"/>
  <c r="AD343" i="1"/>
  <c r="B344" i="1"/>
  <c r="D344" i="1"/>
  <c r="F344" i="1"/>
  <c r="I344" i="1"/>
  <c r="J344" i="1"/>
  <c r="AC344" i="1"/>
  <c r="AD344" i="1"/>
  <c r="B345" i="1"/>
  <c r="D345" i="1"/>
  <c r="F345" i="1"/>
  <c r="I345" i="1"/>
  <c r="J345" i="1"/>
  <c r="AC345" i="1"/>
  <c r="AD345" i="1"/>
  <c r="B346" i="1"/>
  <c r="D346" i="1"/>
  <c r="F346" i="1"/>
  <c r="I346" i="1"/>
  <c r="J346" i="1"/>
  <c r="AC346" i="1"/>
  <c r="AD346" i="1"/>
  <c r="B347" i="1"/>
  <c r="D347" i="1"/>
  <c r="F347" i="1"/>
  <c r="I347" i="1"/>
  <c r="J347" i="1"/>
  <c r="AC347" i="1"/>
  <c r="AD347" i="1"/>
  <c r="B348" i="1"/>
  <c r="D348" i="1"/>
  <c r="F348" i="1"/>
  <c r="I348" i="1"/>
  <c r="J348" i="1"/>
  <c r="AC348" i="1"/>
  <c r="AD348" i="1"/>
  <c r="B349" i="1"/>
  <c r="D349" i="1"/>
  <c r="F349" i="1"/>
  <c r="I349" i="1"/>
  <c r="J349" i="1"/>
  <c r="AC349" i="1"/>
  <c r="AD349" i="1"/>
  <c r="B350" i="1"/>
  <c r="D350" i="1"/>
  <c r="F350" i="1"/>
  <c r="I350" i="1"/>
  <c r="J350" i="1"/>
  <c r="AC350" i="1"/>
  <c r="AD350" i="1"/>
  <c r="B351" i="1"/>
  <c r="D351" i="1"/>
  <c r="F351" i="1"/>
  <c r="I351" i="1"/>
  <c r="J351" i="1"/>
  <c r="AC351" i="1"/>
  <c r="AD351" i="1"/>
  <c r="B352" i="1"/>
  <c r="D352" i="1"/>
  <c r="F352" i="1"/>
  <c r="I352" i="1"/>
  <c r="J352" i="1"/>
  <c r="AC352" i="1"/>
  <c r="AD352" i="1"/>
  <c r="B353" i="1"/>
  <c r="D353" i="1"/>
  <c r="F353" i="1"/>
  <c r="I353" i="1"/>
  <c r="J353" i="1"/>
  <c r="AC353" i="1"/>
  <c r="AD353" i="1"/>
  <c r="B354" i="1"/>
  <c r="D354" i="1"/>
  <c r="F354" i="1"/>
  <c r="I354" i="1"/>
  <c r="J354" i="1"/>
  <c r="AC354" i="1"/>
  <c r="AD354" i="1"/>
  <c r="B355" i="1"/>
  <c r="D355" i="1"/>
  <c r="F355" i="1"/>
  <c r="I355" i="1"/>
  <c r="J355" i="1"/>
  <c r="AC355" i="1"/>
  <c r="AD355" i="1"/>
  <c r="B356" i="1"/>
  <c r="D356" i="1"/>
  <c r="F356" i="1"/>
  <c r="I356" i="1"/>
  <c r="J356" i="1"/>
  <c r="AC356" i="1"/>
  <c r="AD356" i="1"/>
  <c r="B357" i="1"/>
  <c r="D357" i="1"/>
  <c r="F357" i="1"/>
  <c r="I357" i="1"/>
  <c r="J357" i="1"/>
  <c r="AC357" i="1"/>
  <c r="AD357" i="1"/>
  <c r="B358" i="1"/>
  <c r="D358" i="1"/>
  <c r="F358" i="1"/>
  <c r="I358" i="1"/>
  <c r="J358" i="1"/>
  <c r="AC358" i="1"/>
  <c r="AD358" i="1"/>
  <c r="B359" i="1"/>
  <c r="D359" i="1"/>
  <c r="F359" i="1"/>
  <c r="I359" i="1"/>
  <c r="J359" i="1"/>
  <c r="AC359" i="1"/>
  <c r="AD359" i="1"/>
  <c r="B360" i="1"/>
  <c r="D360" i="1"/>
  <c r="F360" i="1"/>
  <c r="I360" i="1"/>
  <c r="J360" i="1"/>
  <c r="AC360" i="1"/>
  <c r="AD360" i="1"/>
  <c r="B361" i="1"/>
  <c r="D361" i="1"/>
  <c r="F361" i="1"/>
  <c r="I361" i="1"/>
  <c r="J361" i="1"/>
  <c r="AC361" i="1"/>
  <c r="AD361" i="1"/>
  <c r="B362" i="1"/>
  <c r="D362" i="1"/>
  <c r="F362" i="1"/>
  <c r="I362" i="1"/>
  <c r="J362" i="1"/>
  <c r="AC362" i="1"/>
  <c r="AD362" i="1"/>
  <c r="B363" i="1"/>
  <c r="D363" i="1"/>
  <c r="F363" i="1"/>
  <c r="I363" i="1"/>
  <c r="J363" i="1"/>
  <c r="AC363" i="1"/>
  <c r="AD363" i="1"/>
  <c r="B364" i="1"/>
  <c r="D364" i="1"/>
  <c r="F364" i="1"/>
  <c r="I364" i="1"/>
  <c r="J364" i="1"/>
  <c r="AC364" i="1"/>
  <c r="AD364" i="1"/>
  <c r="B365" i="1"/>
  <c r="D365" i="1"/>
  <c r="F365" i="1"/>
  <c r="I365" i="1"/>
  <c r="J365" i="1"/>
  <c r="AC365" i="1"/>
  <c r="AD365" i="1"/>
  <c r="B366" i="1"/>
  <c r="D366" i="1"/>
  <c r="F366" i="1"/>
  <c r="I366" i="1"/>
  <c r="J366" i="1"/>
  <c r="AC366" i="1"/>
  <c r="AD366" i="1"/>
  <c r="B367" i="1"/>
  <c r="D367" i="1"/>
  <c r="F367" i="1"/>
  <c r="I367" i="1"/>
  <c r="J367" i="1"/>
  <c r="AC367" i="1"/>
  <c r="AD367" i="1"/>
  <c r="B368" i="1"/>
  <c r="D368" i="1"/>
  <c r="F368" i="1"/>
  <c r="I368" i="1"/>
  <c r="J368" i="1"/>
  <c r="AC368" i="1"/>
  <c r="AD368" i="1"/>
  <c r="B369" i="1"/>
  <c r="D369" i="1"/>
  <c r="F369" i="1"/>
  <c r="I369" i="1"/>
  <c r="J369" i="1"/>
  <c r="AC369" i="1"/>
  <c r="AD369" i="1"/>
  <c r="B370" i="1"/>
  <c r="D370" i="1"/>
  <c r="F370" i="1"/>
  <c r="I370" i="1"/>
  <c r="J370" i="1"/>
  <c r="AC370" i="1"/>
  <c r="AD370" i="1"/>
  <c r="B371" i="1"/>
  <c r="D371" i="1"/>
  <c r="F371" i="1"/>
  <c r="I371" i="1"/>
  <c r="J371" i="1"/>
  <c r="AC371" i="1"/>
  <c r="AD371" i="1"/>
  <c r="B372" i="1"/>
  <c r="D372" i="1"/>
  <c r="F372" i="1"/>
  <c r="I372" i="1"/>
  <c r="J372" i="1"/>
  <c r="AC372" i="1"/>
  <c r="AD372" i="1"/>
  <c r="B373" i="1"/>
  <c r="D373" i="1"/>
  <c r="F373" i="1"/>
  <c r="I373" i="1"/>
  <c r="J373" i="1"/>
  <c r="AC373" i="1"/>
  <c r="AD373" i="1"/>
  <c r="B374" i="1"/>
  <c r="D374" i="1"/>
  <c r="F374" i="1"/>
  <c r="I374" i="1"/>
  <c r="J374" i="1"/>
  <c r="AC374" i="1"/>
  <c r="AD374" i="1"/>
  <c r="B375" i="1"/>
  <c r="D375" i="1"/>
  <c r="F375" i="1"/>
  <c r="I375" i="1"/>
  <c r="J375" i="1"/>
  <c r="AC375" i="1"/>
  <c r="AD375" i="1"/>
  <c r="B376" i="1"/>
  <c r="D376" i="1"/>
  <c r="F376" i="1"/>
  <c r="I376" i="1"/>
  <c r="J376" i="1"/>
  <c r="AC376" i="1"/>
  <c r="AD376" i="1"/>
  <c r="B377" i="1"/>
  <c r="D377" i="1"/>
  <c r="F377" i="1"/>
  <c r="I377" i="1"/>
  <c r="J377" i="1"/>
  <c r="AC377" i="1"/>
  <c r="AD377" i="1"/>
  <c r="B378" i="1"/>
  <c r="D378" i="1"/>
  <c r="F378" i="1"/>
  <c r="I378" i="1"/>
  <c r="J378" i="1"/>
  <c r="AC378" i="1"/>
  <c r="AD378" i="1"/>
  <c r="B379" i="1"/>
  <c r="D379" i="1"/>
  <c r="F379" i="1"/>
  <c r="I379" i="1"/>
  <c r="J379" i="1"/>
  <c r="AC379" i="1"/>
  <c r="AD379" i="1"/>
  <c r="B380" i="1"/>
  <c r="D380" i="1"/>
  <c r="F380" i="1"/>
  <c r="I380" i="1"/>
  <c r="J380" i="1"/>
  <c r="AC380" i="1"/>
  <c r="AD380" i="1"/>
  <c r="B381" i="1"/>
  <c r="D381" i="1"/>
  <c r="F381" i="1"/>
  <c r="I381" i="1"/>
  <c r="J381" i="1"/>
  <c r="AC381" i="1"/>
  <c r="AD381" i="1"/>
  <c r="B382" i="1"/>
  <c r="D382" i="1"/>
  <c r="F382" i="1"/>
  <c r="I382" i="1"/>
  <c r="J382" i="1"/>
  <c r="AC382" i="1"/>
  <c r="AD382" i="1"/>
  <c r="B383" i="1"/>
  <c r="D383" i="1"/>
  <c r="F383" i="1"/>
  <c r="I383" i="1"/>
  <c r="J383" i="1"/>
  <c r="AC383" i="1"/>
  <c r="AD383" i="1"/>
  <c r="B384" i="1"/>
  <c r="D384" i="1"/>
  <c r="F384" i="1"/>
  <c r="I384" i="1"/>
  <c r="J384" i="1"/>
  <c r="AC384" i="1"/>
  <c r="AD384" i="1"/>
  <c r="B385" i="1"/>
  <c r="D385" i="1"/>
  <c r="F385" i="1"/>
  <c r="I385" i="1"/>
  <c r="J385" i="1"/>
  <c r="AC385" i="1"/>
  <c r="AD385" i="1"/>
  <c r="B386" i="1"/>
  <c r="D386" i="1"/>
  <c r="F386" i="1"/>
  <c r="I386" i="1"/>
  <c r="J386" i="1"/>
  <c r="AC386" i="1"/>
  <c r="AD386" i="1"/>
  <c r="B387" i="1"/>
  <c r="D387" i="1"/>
  <c r="F387" i="1"/>
  <c r="I387" i="1"/>
  <c r="J387" i="1"/>
  <c r="AC387" i="1"/>
  <c r="AD387" i="1"/>
  <c r="B388" i="1"/>
  <c r="D388" i="1"/>
  <c r="F388" i="1"/>
  <c r="I388" i="1"/>
  <c r="J388" i="1"/>
  <c r="AC388" i="1"/>
  <c r="AD388" i="1"/>
  <c r="B389" i="1"/>
  <c r="D389" i="1"/>
  <c r="F389" i="1"/>
  <c r="I389" i="1"/>
  <c r="J389" i="1"/>
  <c r="AC389" i="1"/>
  <c r="AD389" i="1"/>
  <c r="B390" i="1"/>
  <c r="D390" i="1"/>
  <c r="F390" i="1"/>
  <c r="I390" i="1"/>
  <c r="J390" i="1"/>
  <c r="AC390" i="1"/>
  <c r="AD390" i="1"/>
  <c r="B391" i="1"/>
  <c r="D391" i="1"/>
  <c r="F391" i="1"/>
  <c r="I391" i="1"/>
  <c r="J391" i="1"/>
  <c r="AC391" i="1"/>
  <c r="AD391" i="1"/>
  <c r="B392" i="1"/>
  <c r="D392" i="1"/>
  <c r="F392" i="1"/>
  <c r="I392" i="1"/>
  <c r="J392" i="1"/>
  <c r="AC392" i="1"/>
  <c r="AD392" i="1"/>
  <c r="B393" i="1"/>
  <c r="D393" i="1"/>
  <c r="F393" i="1"/>
  <c r="I393" i="1"/>
  <c r="J393" i="1"/>
  <c r="AC393" i="1"/>
  <c r="AD393" i="1"/>
  <c r="B394" i="1"/>
  <c r="D394" i="1"/>
  <c r="F394" i="1"/>
  <c r="I394" i="1"/>
  <c r="J394" i="1"/>
  <c r="AC394" i="1"/>
  <c r="AD394" i="1"/>
  <c r="B395" i="1"/>
  <c r="D395" i="1"/>
  <c r="F395" i="1"/>
  <c r="I395" i="1"/>
  <c r="J395" i="1"/>
  <c r="AC395" i="1"/>
  <c r="AD395" i="1"/>
  <c r="B396" i="1"/>
  <c r="D396" i="1"/>
  <c r="F396" i="1"/>
  <c r="I396" i="1"/>
  <c r="J396" i="1"/>
  <c r="AC396" i="1"/>
  <c r="AD396" i="1"/>
  <c r="B397" i="1"/>
  <c r="D397" i="1"/>
  <c r="F397" i="1"/>
  <c r="I397" i="1"/>
  <c r="J397" i="1"/>
  <c r="AC397" i="1"/>
  <c r="AD397" i="1"/>
  <c r="B398" i="1"/>
  <c r="D398" i="1"/>
  <c r="F398" i="1"/>
  <c r="I398" i="1"/>
  <c r="J398" i="1"/>
  <c r="AC398" i="1"/>
  <c r="AD398" i="1"/>
  <c r="B399" i="1"/>
  <c r="D399" i="1"/>
  <c r="F399" i="1"/>
  <c r="I399" i="1"/>
  <c r="J399" i="1"/>
  <c r="AC399" i="1"/>
  <c r="AD399" i="1"/>
  <c r="B400" i="1"/>
  <c r="D400" i="1"/>
  <c r="F400" i="1"/>
  <c r="I400" i="1"/>
  <c r="J400" i="1"/>
  <c r="AC400" i="1"/>
  <c r="AD400" i="1"/>
  <c r="B401" i="1"/>
  <c r="D401" i="1"/>
  <c r="F401" i="1"/>
  <c r="I401" i="1"/>
  <c r="J401" i="1"/>
  <c r="AC401" i="1"/>
  <c r="AD401" i="1"/>
  <c r="B402" i="1"/>
  <c r="D402" i="1"/>
  <c r="F402" i="1"/>
  <c r="I402" i="1"/>
  <c r="J402" i="1"/>
  <c r="AC402" i="1"/>
  <c r="AD402" i="1"/>
  <c r="B403" i="1"/>
  <c r="D403" i="1"/>
  <c r="F403" i="1"/>
  <c r="I403" i="1"/>
  <c r="J403" i="1"/>
  <c r="AC403" i="1"/>
  <c r="AD403" i="1"/>
  <c r="B404" i="1"/>
  <c r="D404" i="1"/>
  <c r="F404" i="1"/>
  <c r="I404" i="1"/>
  <c r="J404" i="1"/>
  <c r="AC404" i="1"/>
  <c r="AD404" i="1"/>
  <c r="B405" i="1"/>
  <c r="D405" i="1"/>
  <c r="F405" i="1"/>
  <c r="I405" i="1"/>
  <c r="J405" i="1"/>
  <c r="AC405" i="1"/>
  <c r="AD405" i="1"/>
  <c r="B406" i="1"/>
  <c r="D406" i="1"/>
  <c r="F406" i="1"/>
  <c r="I406" i="1"/>
  <c r="J406" i="1"/>
  <c r="AC406" i="1"/>
  <c r="AD406" i="1"/>
  <c r="B407" i="1"/>
  <c r="D407" i="1"/>
  <c r="F407" i="1"/>
  <c r="I407" i="1"/>
  <c r="J407" i="1"/>
  <c r="AC407" i="1"/>
  <c r="AD407" i="1"/>
  <c r="B408" i="1"/>
  <c r="D408" i="1"/>
  <c r="F408" i="1"/>
  <c r="I408" i="1"/>
  <c r="J408" i="1"/>
  <c r="AC408" i="1"/>
  <c r="AD408" i="1"/>
  <c r="B409" i="1"/>
  <c r="D409" i="1"/>
  <c r="F409" i="1"/>
  <c r="I409" i="1"/>
  <c r="J409" i="1"/>
  <c r="AC409" i="1"/>
  <c r="AD409" i="1"/>
  <c r="B410" i="1"/>
  <c r="D410" i="1"/>
  <c r="F410" i="1"/>
  <c r="I410" i="1"/>
  <c r="J410" i="1"/>
  <c r="AC410" i="1"/>
  <c r="AD410" i="1"/>
  <c r="B411" i="1"/>
  <c r="D411" i="1"/>
  <c r="F411" i="1"/>
  <c r="I411" i="1"/>
  <c r="J411" i="1"/>
  <c r="AC411" i="1"/>
  <c r="AD411" i="1"/>
  <c r="B412" i="1"/>
  <c r="D412" i="1"/>
  <c r="F412" i="1"/>
  <c r="I412" i="1"/>
  <c r="J412" i="1"/>
  <c r="AC412" i="1"/>
  <c r="AD412" i="1"/>
  <c r="B413" i="1"/>
  <c r="D413" i="1"/>
  <c r="F413" i="1"/>
  <c r="I413" i="1"/>
  <c r="J413" i="1"/>
  <c r="AC413" i="1"/>
  <c r="AD413" i="1"/>
  <c r="B414" i="1"/>
  <c r="D414" i="1"/>
  <c r="F414" i="1"/>
  <c r="I414" i="1"/>
  <c r="J414" i="1"/>
  <c r="AC414" i="1"/>
  <c r="AD414" i="1"/>
  <c r="B415" i="1"/>
  <c r="D415" i="1"/>
  <c r="F415" i="1"/>
  <c r="I415" i="1"/>
  <c r="J415" i="1"/>
  <c r="AC415" i="1"/>
  <c r="AD415" i="1"/>
  <c r="B416" i="1"/>
  <c r="D416" i="1"/>
  <c r="F416" i="1"/>
  <c r="I416" i="1"/>
  <c r="J416" i="1"/>
  <c r="AC416" i="1"/>
  <c r="AD416" i="1"/>
  <c r="B417" i="1"/>
  <c r="D417" i="1"/>
  <c r="F417" i="1"/>
  <c r="I417" i="1"/>
  <c r="J417" i="1"/>
  <c r="AC417" i="1"/>
  <c r="AD417" i="1"/>
  <c r="B418" i="1"/>
  <c r="D418" i="1"/>
  <c r="F418" i="1"/>
  <c r="I418" i="1"/>
  <c r="J418" i="1"/>
  <c r="AC418" i="1"/>
  <c r="AD418" i="1"/>
  <c r="B419" i="1"/>
  <c r="D419" i="1"/>
  <c r="F419" i="1"/>
  <c r="I419" i="1"/>
  <c r="J419" i="1"/>
  <c r="AC419" i="1"/>
  <c r="AD419" i="1"/>
  <c r="B420" i="1"/>
  <c r="D420" i="1"/>
  <c r="F420" i="1"/>
  <c r="I420" i="1"/>
  <c r="J420" i="1"/>
  <c r="AC420" i="1"/>
  <c r="AD420" i="1"/>
  <c r="B421" i="1"/>
  <c r="D421" i="1"/>
  <c r="F421" i="1"/>
  <c r="I421" i="1"/>
  <c r="J421" i="1"/>
  <c r="AC421" i="1"/>
  <c r="AD421" i="1"/>
  <c r="B422" i="1"/>
  <c r="D422" i="1"/>
  <c r="F422" i="1"/>
  <c r="I422" i="1"/>
  <c r="J422" i="1"/>
  <c r="AC422" i="1"/>
  <c r="AD422" i="1"/>
  <c r="B423" i="1"/>
  <c r="D423" i="1"/>
  <c r="F423" i="1"/>
  <c r="I423" i="1"/>
  <c r="J423" i="1"/>
  <c r="AC423" i="1"/>
  <c r="AD423" i="1"/>
  <c r="B424" i="1"/>
  <c r="D424" i="1"/>
  <c r="F424" i="1"/>
  <c r="I424" i="1"/>
  <c r="J424" i="1"/>
  <c r="AC424" i="1"/>
  <c r="AD424" i="1"/>
  <c r="B425" i="1"/>
  <c r="D425" i="1"/>
  <c r="F425" i="1"/>
  <c r="I425" i="1"/>
  <c r="J425" i="1"/>
  <c r="AC425" i="1"/>
  <c r="AD425" i="1"/>
  <c r="B426" i="1"/>
  <c r="D426" i="1"/>
  <c r="F426" i="1"/>
  <c r="I426" i="1"/>
  <c r="J426" i="1"/>
  <c r="AC426" i="1"/>
  <c r="AD426" i="1"/>
  <c r="B427" i="1"/>
  <c r="D427" i="1"/>
  <c r="F427" i="1"/>
  <c r="I427" i="1"/>
  <c r="J427" i="1"/>
  <c r="AC427" i="1"/>
  <c r="AD427" i="1"/>
  <c r="B428" i="1"/>
  <c r="D428" i="1"/>
  <c r="F428" i="1"/>
  <c r="I428" i="1"/>
  <c r="J428" i="1"/>
  <c r="AC428" i="1"/>
  <c r="AD428" i="1"/>
  <c r="B429" i="1"/>
  <c r="D429" i="1"/>
  <c r="F429" i="1"/>
  <c r="I429" i="1"/>
  <c r="J429" i="1"/>
  <c r="AC429" i="1"/>
  <c r="AD429" i="1"/>
  <c r="B430" i="1"/>
  <c r="D430" i="1"/>
  <c r="F430" i="1"/>
  <c r="I430" i="1"/>
  <c r="J430" i="1"/>
  <c r="AC430" i="1"/>
  <c r="AD430" i="1"/>
  <c r="B431" i="1"/>
  <c r="D431" i="1"/>
  <c r="F431" i="1"/>
  <c r="I431" i="1"/>
  <c r="J431" i="1"/>
  <c r="AC431" i="1"/>
  <c r="AD431" i="1"/>
  <c r="B432" i="1"/>
  <c r="D432" i="1"/>
  <c r="F432" i="1"/>
  <c r="I432" i="1"/>
  <c r="J432" i="1"/>
  <c r="AC432" i="1"/>
  <c r="AD432" i="1"/>
  <c r="B433" i="1"/>
  <c r="D433" i="1"/>
  <c r="F433" i="1"/>
  <c r="I433" i="1"/>
  <c r="J433" i="1"/>
  <c r="AC433" i="1"/>
  <c r="AD433" i="1"/>
  <c r="B434" i="1"/>
  <c r="D434" i="1"/>
  <c r="F434" i="1"/>
  <c r="I434" i="1"/>
  <c r="J434" i="1"/>
  <c r="AC434" i="1"/>
  <c r="AD434" i="1"/>
  <c r="B435" i="1"/>
  <c r="D435" i="1"/>
  <c r="F435" i="1"/>
  <c r="I435" i="1"/>
  <c r="J435" i="1"/>
  <c r="AC435" i="1"/>
  <c r="AD435" i="1"/>
  <c r="B436" i="1"/>
  <c r="D436" i="1"/>
  <c r="F436" i="1"/>
  <c r="I436" i="1"/>
  <c r="J436" i="1"/>
  <c r="AC436" i="1"/>
  <c r="AD436" i="1"/>
  <c r="B437" i="1"/>
  <c r="D437" i="1"/>
  <c r="F437" i="1"/>
  <c r="I437" i="1"/>
  <c r="J437" i="1"/>
  <c r="AC437" i="1"/>
  <c r="AD437" i="1"/>
  <c r="B438" i="1"/>
  <c r="D438" i="1"/>
  <c r="F438" i="1"/>
  <c r="I438" i="1"/>
  <c r="J438" i="1"/>
  <c r="AC438" i="1"/>
  <c r="AD438" i="1"/>
  <c r="B439" i="1"/>
  <c r="D439" i="1"/>
  <c r="F439" i="1"/>
  <c r="I439" i="1"/>
  <c r="J439" i="1"/>
  <c r="AC439" i="1"/>
  <c r="AD439" i="1"/>
  <c r="B440" i="1"/>
  <c r="D440" i="1"/>
  <c r="F440" i="1"/>
  <c r="I440" i="1"/>
  <c r="J440" i="1"/>
  <c r="AC440" i="1"/>
  <c r="AD440" i="1"/>
  <c r="B441" i="1"/>
  <c r="D441" i="1"/>
  <c r="F441" i="1"/>
  <c r="I441" i="1"/>
  <c r="J441" i="1"/>
  <c r="AC441" i="1"/>
  <c r="AD441" i="1"/>
  <c r="B442" i="1"/>
  <c r="D442" i="1"/>
  <c r="F442" i="1"/>
  <c r="I442" i="1"/>
  <c r="J442" i="1"/>
  <c r="AC442" i="1"/>
  <c r="AD442" i="1"/>
  <c r="B443" i="1"/>
  <c r="D443" i="1"/>
  <c r="F443" i="1"/>
  <c r="I443" i="1"/>
  <c r="J443" i="1"/>
  <c r="AC443" i="1"/>
  <c r="AD443" i="1"/>
  <c r="B444" i="1"/>
  <c r="D444" i="1"/>
  <c r="F444" i="1"/>
  <c r="I444" i="1"/>
  <c r="J444" i="1"/>
  <c r="AC444" i="1"/>
  <c r="AD444" i="1"/>
  <c r="B445" i="1"/>
  <c r="D445" i="1"/>
  <c r="F445" i="1"/>
  <c r="I445" i="1"/>
  <c r="J445" i="1"/>
  <c r="AC445" i="1"/>
  <c r="AD445" i="1"/>
  <c r="B446" i="1"/>
  <c r="D446" i="1"/>
  <c r="F446" i="1"/>
  <c r="I446" i="1"/>
  <c r="J446" i="1"/>
  <c r="AC446" i="1"/>
  <c r="AD446" i="1"/>
  <c r="B447" i="1"/>
  <c r="D447" i="1"/>
  <c r="F447" i="1"/>
  <c r="I447" i="1"/>
  <c r="J447" i="1"/>
  <c r="AC447" i="1"/>
  <c r="AD447" i="1"/>
  <c r="B448" i="1"/>
  <c r="D448" i="1"/>
  <c r="F448" i="1"/>
  <c r="I448" i="1"/>
  <c r="J448" i="1"/>
  <c r="AC448" i="1"/>
  <c r="AD448" i="1"/>
  <c r="B449" i="1"/>
  <c r="D449" i="1"/>
  <c r="F449" i="1"/>
  <c r="I449" i="1"/>
  <c r="J449" i="1"/>
  <c r="AC449" i="1"/>
  <c r="AD449" i="1"/>
  <c r="B450" i="1"/>
  <c r="D450" i="1"/>
  <c r="F450" i="1"/>
  <c r="I450" i="1"/>
  <c r="J450" i="1"/>
  <c r="AC450" i="1"/>
  <c r="AD450" i="1"/>
  <c r="B451" i="1"/>
  <c r="D451" i="1"/>
  <c r="F451" i="1"/>
  <c r="I451" i="1"/>
  <c r="J451" i="1"/>
  <c r="AC451" i="1"/>
  <c r="AD451" i="1"/>
  <c r="B452" i="1"/>
  <c r="F452" i="1"/>
  <c r="I452" i="1"/>
  <c r="J452" i="1"/>
  <c r="AC452" i="1"/>
  <c r="AD452" i="1"/>
  <c r="B453" i="1"/>
  <c r="F453" i="1"/>
  <c r="I453" i="1"/>
  <c r="J453" i="1"/>
  <c r="AC453" i="1"/>
  <c r="AD453" i="1"/>
  <c r="B454" i="1"/>
  <c r="F454" i="1"/>
  <c r="I454" i="1"/>
  <c r="J454" i="1"/>
  <c r="AC454" i="1"/>
  <c r="AD454" i="1"/>
  <c r="B455" i="1"/>
  <c r="F455" i="1"/>
  <c r="I455" i="1"/>
  <c r="J455" i="1"/>
  <c r="AC455" i="1"/>
  <c r="AD455" i="1"/>
  <c r="B456" i="1"/>
  <c r="F456" i="1"/>
  <c r="I456" i="1"/>
  <c r="J456" i="1"/>
  <c r="AC456" i="1"/>
  <c r="AD456" i="1"/>
  <c r="B457" i="1"/>
  <c r="F457" i="1"/>
  <c r="I457" i="1"/>
  <c r="J457" i="1"/>
  <c r="AC457" i="1"/>
  <c r="AD457" i="1"/>
  <c r="B458" i="1"/>
  <c r="F458" i="1"/>
  <c r="I458" i="1"/>
  <c r="J458" i="1"/>
  <c r="AC458" i="1"/>
  <c r="AD458" i="1"/>
  <c r="B459" i="1"/>
  <c r="F459" i="1"/>
  <c r="I459" i="1"/>
  <c r="J459" i="1"/>
  <c r="AC459" i="1"/>
  <c r="AD459" i="1"/>
  <c r="B460" i="1"/>
  <c r="F460" i="1"/>
  <c r="I460" i="1"/>
  <c r="J460" i="1"/>
  <c r="AC460" i="1"/>
  <c r="AD460" i="1"/>
  <c r="B461" i="1"/>
  <c r="F461" i="1"/>
  <c r="I461" i="1"/>
  <c r="J461" i="1"/>
  <c r="AC461" i="1"/>
  <c r="AD461" i="1"/>
  <c r="B462" i="1"/>
  <c r="F462" i="1"/>
  <c r="I462" i="1"/>
  <c r="J462" i="1"/>
  <c r="AC462" i="1"/>
  <c r="AD462" i="1"/>
  <c r="B463" i="1"/>
  <c r="F463" i="1"/>
  <c r="I463" i="1"/>
  <c r="J463" i="1"/>
  <c r="AC463" i="1"/>
  <c r="AD463" i="1"/>
  <c r="B464" i="1"/>
  <c r="F464" i="1"/>
  <c r="I464" i="1"/>
  <c r="J464" i="1"/>
  <c r="AC464" i="1"/>
  <c r="AD464" i="1"/>
  <c r="B465" i="1"/>
  <c r="F465" i="1"/>
  <c r="I465" i="1"/>
  <c r="J465" i="1"/>
  <c r="AC465" i="1"/>
  <c r="AD465" i="1"/>
  <c r="B466" i="1"/>
  <c r="F466" i="1"/>
  <c r="I466" i="1"/>
  <c r="J466" i="1"/>
  <c r="AC466" i="1"/>
  <c r="AD466" i="1"/>
  <c r="B467" i="1"/>
  <c r="F467" i="1"/>
  <c r="I467" i="1"/>
  <c r="J467" i="1"/>
  <c r="AC467" i="1"/>
  <c r="AD467" i="1"/>
  <c r="B468" i="1"/>
  <c r="F468" i="1"/>
  <c r="I468" i="1"/>
  <c r="J468" i="1"/>
  <c r="AC468" i="1"/>
  <c r="AD468" i="1"/>
  <c r="B469" i="1"/>
  <c r="F469" i="1"/>
  <c r="I469" i="1"/>
  <c r="J469" i="1"/>
  <c r="AC469" i="1"/>
  <c r="AD469" i="1"/>
  <c r="B470" i="1"/>
  <c r="F470" i="1"/>
  <c r="I470" i="1"/>
  <c r="J470" i="1"/>
  <c r="AC470" i="1"/>
  <c r="AD470" i="1"/>
  <c r="B471" i="1"/>
  <c r="F471" i="1"/>
  <c r="I471" i="1"/>
  <c r="J471" i="1"/>
  <c r="AC471" i="1"/>
  <c r="AD471" i="1"/>
  <c r="B472" i="1"/>
  <c r="F472" i="1"/>
  <c r="I472" i="1"/>
  <c r="J472" i="1"/>
  <c r="AC472" i="1"/>
  <c r="AD472" i="1"/>
  <c r="B473" i="1"/>
  <c r="F473" i="1"/>
  <c r="I473" i="1"/>
  <c r="J473" i="1"/>
  <c r="AC473" i="1"/>
  <c r="AD473" i="1"/>
  <c r="B474" i="1"/>
  <c r="F474" i="1"/>
  <c r="I474" i="1"/>
  <c r="J474" i="1"/>
  <c r="AC474" i="1"/>
  <c r="AD474" i="1"/>
  <c r="B475" i="1"/>
  <c r="F475" i="1"/>
  <c r="I475" i="1"/>
  <c r="J475" i="1"/>
  <c r="AC475" i="1"/>
  <c r="AD475" i="1"/>
  <c r="B476" i="1"/>
  <c r="F476" i="1"/>
  <c r="I476" i="1"/>
  <c r="J476" i="1"/>
  <c r="AC476" i="1"/>
  <c r="AD476" i="1"/>
  <c r="B477" i="1"/>
  <c r="F477" i="1"/>
  <c r="I477" i="1"/>
  <c r="J477" i="1"/>
  <c r="AC477" i="1"/>
  <c r="AD477" i="1"/>
  <c r="B478" i="1"/>
  <c r="F478" i="1"/>
  <c r="I478" i="1"/>
  <c r="J478" i="1"/>
  <c r="AC478" i="1"/>
  <c r="AD478" i="1"/>
  <c r="B479" i="1"/>
  <c r="F479" i="1"/>
  <c r="I479" i="1"/>
  <c r="J479" i="1"/>
  <c r="AC479" i="1"/>
  <c r="AD479" i="1"/>
  <c r="B480" i="1"/>
  <c r="F480" i="1"/>
  <c r="I480" i="1"/>
  <c r="J480" i="1"/>
  <c r="AC480" i="1"/>
  <c r="AD480" i="1"/>
  <c r="B481" i="1"/>
  <c r="F481" i="1"/>
  <c r="I481" i="1"/>
  <c r="J481" i="1"/>
  <c r="AC481" i="1"/>
  <c r="AD481" i="1"/>
  <c r="B482" i="1"/>
  <c r="F482" i="1"/>
  <c r="I482" i="1"/>
  <c r="J482" i="1"/>
  <c r="AC482" i="1"/>
  <c r="AD482" i="1"/>
  <c r="B483" i="1"/>
  <c r="F483" i="1"/>
  <c r="I483" i="1"/>
  <c r="J483" i="1"/>
  <c r="AC483" i="1"/>
  <c r="AD483" i="1"/>
  <c r="B484" i="1"/>
  <c r="F484" i="1"/>
  <c r="I484" i="1"/>
  <c r="J484" i="1"/>
  <c r="AC484" i="1"/>
  <c r="AD484" i="1"/>
  <c r="B485" i="1"/>
  <c r="F485" i="1"/>
  <c r="I485" i="1"/>
  <c r="J485" i="1"/>
  <c r="AC485" i="1"/>
  <c r="AD485" i="1"/>
  <c r="B486" i="1"/>
  <c r="F486" i="1"/>
  <c r="I486" i="1"/>
  <c r="J486" i="1"/>
  <c r="AC486" i="1"/>
  <c r="AD486" i="1"/>
  <c r="B487" i="1"/>
  <c r="F487" i="1"/>
  <c r="I487" i="1"/>
  <c r="J487" i="1"/>
  <c r="AC487" i="1"/>
  <c r="AD487" i="1"/>
  <c r="B488" i="1"/>
  <c r="F488" i="1"/>
  <c r="I488" i="1"/>
  <c r="J488" i="1"/>
  <c r="AC488" i="1"/>
  <c r="AD488" i="1"/>
  <c r="B489" i="1"/>
  <c r="F489" i="1"/>
  <c r="I489" i="1"/>
  <c r="J489" i="1"/>
  <c r="AC489" i="1"/>
  <c r="AD489" i="1"/>
  <c r="B490" i="1"/>
  <c r="F490" i="1"/>
  <c r="I490" i="1"/>
  <c r="J490" i="1"/>
  <c r="AC490" i="1"/>
  <c r="AD490" i="1"/>
  <c r="B491" i="1"/>
  <c r="F491" i="1"/>
  <c r="I491" i="1"/>
  <c r="J491" i="1"/>
  <c r="AC491" i="1"/>
  <c r="AD491" i="1"/>
  <c r="B492" i="1"/>
  <c r="F492" i="1"/>
  <c r="I492" i="1"/>
  <c r="J492" i="1"/>
  <c r="AC492" i="1"/>
  <c r="AD492" i="1"/>
  <c r="B493" i="1"/>
  <c r="F493" i="1"/>
  <c r="I493" i="1"/>
  <c r="J493" i="1"/>
  <c r="AC493" i="1"/>
  <c r="AD493" i="1"/>
  <c r="B494" i="1"/>
  <c r="F494" i="1"/>
  <c r="I494" i="1"/>
  <c r="J494" i="1"/>
  <c r="AC494" i="1"/>
  <c r="AD494" i="1"/>
  <c r="B495" i="1"/>
  <c r="F495" i="1"/>
  <c r="I495" i="1"/>
  <c r="J495" i="1"/>
  <c r="AC495" i="1"/>
  <c r="AD495" i="1"/>
  <c r="B496" i="1"/>
  <c r="F496" i="1"/>
  <c r="I496" i="1"/>
  <c r="J496" i="1"/>
  <c r="AC496" i="1"/>
  <c r="AD496" i="1"/>
  <c r="B497" i="1"/>
  <c r="F497" i="1"/>
  <c r="I497" i="1"/>
  <c r="J497" i="1"/>
  <c r="AC497" i="1"/>
  <c r="AD497" i="1"/>
  <c r="B498" i="1"/>
  <c r="F498" i="1"/>
  <c r="I498" i="1"/>
  <c r="J498" i="1"/>
  <c r="AC498" i="1"/>
  <c r="AD498" i="1"/>
  <c r="B499" i="1"/>
  <c r="F499" i="1"/>
  <c r="I499" i="1"/>
  <c r="J499" i="1"/>
  <c r="AC499" i="1"/>
  <c r="AD499" i="1"/>
  <c r="B500" i="1"/>
  <c r="F500" i="1"/>
  <c r="I500" i="1"/>
  <c r="J500" i="1"/>
  <c r="AC500" i="1"/>
  <c r="AD500" i="1"/>
  <c r="B501" i="1"/>
  <c r="F501" i="1"/>
  <c r="I501" i="1"/>
  <c r="J501" i="1"/>
  <c r="AC501" i="1"/>
  <c r="AD501" i="1"/>
  <c r="B502" i="1"/>
  <c r="F502" i="1"/>
  <c r="I502" i="1"/>
  <c r="J502" i="1"/>
  <c r="AC502" i="1"/>
  <c r="AD502" i="1"/>
  <c r="B503" i="1"/>
  <c r="F503" i="1"/>
  <c r="I503" i="1"/>
  <c r="J503" i="1"/>
  <c r="AC503" i="1"/>
  <c r="AD503" i="1"/>
  <c r="B504" i="1"/>
  <c r="F504" i="1"/>
  <c r="I504" i="1"/>
  <c r="J504" i="1"/>
  <c r="AC504" i="1"/>
  <c r="AD504" i="1"/>
  <c r="B505" i="1"/>
  <c r="F505" i="1"/>
  <c r="I505" i="1"/>
  <c r="J505" i="1"/>
  <c r="AC505" i="1"/>
  <c r="AD505" i="1"/>
  <c r="B506" i="1"/>
  <c r="F506" i="1"/>
  <c r="I506" i="1"/>
  <c r="J506" i="1"/>
  <c r="AC506" i="1"/>
  <c r="AD506" i="1"/>
  <c r="B507" i="1"/>
  <c r="F507" i="1"/>
  <c r="I507" i="1"/>
  <c r="J507" i="1"/>
  <c r="AC507" i="1"/>
  <c r="AD507" i="1"/>
  <c r="B508" i="1"/>
  <c r="F508" i="1"/>
  <c r="I508" i="1"/>
  <c r="J508" i="1"/>
  <c r="AC508" i="1"/>
  <c r="AD508" i="1"/>
  <c r="B509" i="1"/>
  <c r="F509" i="1"/>
  <c r="I509" i="1"/>
  <c r="J509" i="1"/>
  <c r="AC509" i="1"/>
  <c r="AD509" i="1"/>
  <c r="B510" i="1"/>
  <c r="F510" i="1"/>
  <c r="I510" i="1"/>
  <c r="J510" i="1"/>
  <c r="AC510" i="1"/>
  <c r="AD510" i="1"/>
  <c r="B511" i="1"/>
  <c r="F511" i="1"/>
  <c r="I511" i="1"/>
  <c r="J511" i="1"/>
  <c r="AC511" i="1"/>
  <c r="AD511" i="1"/>
  <c r="B512" i="1"/>
  <c r="F512" i="1"/>
  <c r="I512" i="1"/>
  <c r="J512" i="1"/>
  <c r="AC512" i="1"/>
  <c r="AD512" i="1"/>
  <c r="B513" i="1"/>
  <c r="F513" i="1"/>
  <c r="I513" i="1"/>
  <c r="J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F525" i="1"/>
  <c r="B526" i="1"/>
  <c r="B527" i="1"/>
  <c r="B528" i="1"/>
</calcChain>
</file>

<file path=xl/sharedStrings.xml><?xml version="1.0" encoding="utf-8"?>
<sst xmlns="http://schemas.openxmlformats.org/spreadsheetml/2006/main" count="1025" uniqueCount="526">
  <si>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</si>
  <si>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</si>
  <si>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</si>
  <si>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</si>
  <si>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</si>
  <si>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</si>
  <si>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</si>
  <si>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</si>
  <si>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</si>
  <si>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</si>
  <si>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2023_10</t>
  </si>
  <si>
    <t>2023_11</t>
  </si>
  <si>
    <t>2023_12</t>
  </si>
  <si>
    <t>2024_01</t>
  </si>
  <si>
    <t>2024_02</t>
  </si>
  <si>
    <t>2024_03</t>
  </si>
  <si>
    <t>TOTAL FY124</t>
  </si>
  <si>
    <t>TOTAL FY125</t>
  </si>
  <si>
    <t>TOTAL FY126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</si>
  <si>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</si>
  <si>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</si>
  <si>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</si>
  <si>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</si>
  <si>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</si>
  <si>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</si>
  <si>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</si>
  <si>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</si>
  <si>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</si>
  <si>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</si>
  <si>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</si>
  <si>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</si>
  <si>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</si>
  <si>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</si>
  <si>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</si>
  <si>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</si>
  <si>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</si>
  <si>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</si>
  <si>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</si>
  <si>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</si>
  <si>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</si>
  <si>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</si>
  <si>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</si>
  <si>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</si>
  <si>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</si>
  <si>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</si>
  <si>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</si>
  <si>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</si>
  <si>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</si>
  <si>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</si>
  <si>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</si>
  <si>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</si>
  <si>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</si>
  <si>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</si>
  <si>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</si>
  <si>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</si>
  <si>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</si>
  <si>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</si>
  <si>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</si>
  <si>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</si>
  <si>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</si>
  <si>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</si>
  <si>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</si>
  <si>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</si>
  <si>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</si>
  <si>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</si>
  <si>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</si>
  <si>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</si>
  <si>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</si>
  <si>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</si>
  <si>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</si>
  <si>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</si>
  <si>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</si>
  <si>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</si>
  <si>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</si>
  <si>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</si>
  <si>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</si>
  <si>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</si>
  <si>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</si>
  <si>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</si>
  <si>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</si>
  <si>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</si>
  <si>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</si>
  <si>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</si>
  <si>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</si>
  <si>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</si>
  <si>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</si>
  <si>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</si>
  <si>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</si>
  <si>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</si>
  <si>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</si>
  <si>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</si>
  <si>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</si>
  <si>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</si>
  <si>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</si>
  <si>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</si>
  <si>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</si>
  <si>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</si>
  <si>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</si>
  <si>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</si>
  <si>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</si>
  <si>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</si>
  <si>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</si>
  <si>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</si>
  <si>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</si>
  <si>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</si>
  <si>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</si>
  <si>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</si>
  <si>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</si>
  <si>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</si>
  <si>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</si>
  <si>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</si>
  <si>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</si>
  <si>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</si>
  <si>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</si>
  <si>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</si>
  <si>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</si>
  <si>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</si>
  <si>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</si>
  <si>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</si>
  <si>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SP PD- CF</t>
  </si>
  <si>
    <t>B4101</t>
  </si>
  <si>
    <t>MFG</t>
  </si>
  <si>
    <t>DIR</t>
  </si>
  <si>
    <t>Staff Welfare - Glasses</t>
  </si>
  <si>
    <t>SGA-7515403</t>
  </si>
  <si>
    <t>glasses costs</t>
  </si>
  <si>
    <t>SP PD- CM</t>
  </si>
  <si>
    <t>B4102</t>
  </si>
  <si>
    <t>Staff Welfare - Dental</t>
  </si>
  <si>
    <t>SGA-7515404</t>
  </si>
  <si>
    <t>dental costs</t>
  </si>
  <si>
    <t>SP PD- WT</t>
  </si>
  <si>
    <t>B4103</t>
  </si>
  <si>
    <t>Staff Welfare - Medical Check Up</t>
  </si>
  <si>
    <t>SGA-7515405</t>
  </si>
  <si>
    <t>Medical Check Up cost</t>
  </si>
  <si>
    <t>SP PD- Plating</t>
  </si>
  <si>
    <t>B4105</t>
  </si>
  <si>
    <t>Staff Welfare - Uniform</t>
  </si>
  <si>
    <t>SGA-7515406</t>
  </si>
  <si>
    <t>uniform costs</t>
  </si>
  <si>
    <t>SP PD- MS Insp.</t>
  </si>
  <si>
    <t>B4109</t>
  </si>
  <si>
    <t>Staff Welfare - Safety Shoes</t>
  </si>
  <si>
    <t>SGA-7515407</t>
  </si>
  <si>
    <t>SP PD- Insulator Sealing</t>
  </si>
  <si>
    <t>B4106</t>
  </si>
  <si>
    <t>Staff Welfare - Family Gathering / Anniversary</t>
  </si>
  <si>
    <t>SGA-7515408</t>
  </si>
  <si>
    <t>Family Gathering / Anniversary</t>
  </si>
  <si>
    <t>SP PD- Assy</t>
  </si>
  <si>
    <t>B4110</t>
  </si>
  <si>
    <t>Staff Welfare - Meals of canteen &amp; other meals</t>
  </si>
  <si>
    <t>SGA-7515409</t>
  </si>
  <si>
    <t>Meals of canteen &amp; other meals cost</t>
  </si>
  <si>
    <t>SP-PD-Assy-Auto Assembly</t>
  </si>
  <si>
    <t>B4115</t>
  </si>
  <si>
    <t>Staff Welfare - Kaizen &amp; QCC reward</t>
  </si>
  <si>
    <t>SGA-7515410</t>
  </si>
  <si>
    <t>an expense, arising from Kaizen and QCC acitivity</t>
  </si>
  <si>
    <t>SP PD- Bending</t>
  </si>
  <si>
    <t>B4114</t>
  </si>
  <si>
    <t>Staff Welfare - Welfare Others</t>
  </si>
  <si>
    <t>SGA-7515499</t>
  </si>
  <si>
    <t>an other welfare expense, arising besides the above welfare expense</t>
  </si>
  <si>
    <t>SP PD- Final Inspection</t>
  </si>
  <si>
    <t>B4120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</si>
  <si>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</si>
  <si>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</si>
  <si>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</si>
  <si>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</si>
  <si>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QC - OEM</t>
  </si>
  <si>
    <t>B4121</t>
  </si>
  <si>
    <t>House Rent Allowance</t>
  </si>
  <si>
    <t>SGA-7519101</t>
  </si>
  <si>
    <t>House Rent Allowance for expat</t>
  </si>
  <si>
    <t>PC PD- Injection</t>
  </si>
  <si>
    <t>B4410</t>
  </si>
  <si>
    <t>Casual Staff Labor - Basic Salary</t>
  </si>
  <si>
    <t>SGA-7521101</t>
  </si>
  <si>
    <t>All benefit for temporary worker</t>
  </si>
  <si>
    <t>PC PD- Assy</t>
  </si>
  <si>
    <t>B4430</t>
  </si>
  <si>
    <t>Casual Staff Labor - Overtime</t>
  </si>
  <si>
    <t>SGA-7521102</t>
  </si>
  <si>
    <t>Overtime temporary worker</t>
  </si>
  <si>
    <t>PC PD- QC</t>
  </si>
  <si>
    <t>B4440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</si>
  <si>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</si>
  <si>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</si>
  <si>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</si>
  <si>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</si>
  <si>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Plant Operation (Indirect Mfg)</t>
  </si>
  <si>
    <t>B5000</t>
  </si>
  <si>
    <t>IND</t>
  </si>
  <si>
    <t>Depreciation-Building</t>
  </si>
  <si>
    <t>SGA-7611100</t>
  </si>
  <si>
    <t>A601</t>
  </si>
  <si>
    <t>the amount of depreciation of tangible assets for building</t>
  </si>
  <si>
    <t>Production Office</t>
  </si>
  <si>
    <t>B5100</t>
  </si>
  <si>
    <t>Depreciation-Machiney &amp; equipment</t>
  </si>
  <si>
    <t>SGA-7611300</t>
  </si>
  <si>
    <t>the amount of depreciation of tangible assets for machinery &amp; factory equipment</t>
  </si>
  <si>
    <t>Production Office (SP)</t>
  </si>
  <si>
    <t>B5101</t>
  </si>
  <si>
    <t>Depreciation-Lease Machinery &amp; equipment</t>
  </si>
  <si>
    <t>SGA-7611400</t>
  </si>
  <si>
    <t>the amount of depreciation of tangible assets for machinery &amp; factory equipment (Leases)</t>
  </si>
  <si>
    <t>Production Office (PC)</t>
  </si>
  <si>
    <t>B5104</t>
  </si>
  <si>
    <t>Depreciation-Vehicles</t>
  </si>
  <si>
    <t>SGA-7611500</t>
  </si>
  <si>
    <t>the amount of depreciation of tangible assets for vehicles</t>
  </si>
  <si>
    <t>Quality Assurance</t>
  </si>
  <si>
    <t>B5800</t>
  </si>
  <si>
    <t>Depreciation-Tools, furniture &amp; office equipment</t>
  </si>
  <si>
    <t>SGA-7611600</t>
  </si>
  <si>
    <t>the amount of depreciation of tangible assets for office tools, furniture &amp; office equipment</t>
  </si>
  <si>
    <t>Quality Control</t>
  </si>
  <si>
    <t>B5900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</si>
  <si>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</si>
  <si>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</si>
  <si>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</si>
  <si>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Maintenance</t>
  </si>
  <si>
    <t>B5500</t>
  </si>
  <si>
    <t>Depreciation - Right of use Assets</t>
  </si>
  <si>
    <t>SGA-7611800</t>
  </si>
  <si>
    <t>the amount of depreciation of right of use assets</t>
  </si>
  <si>
    <t>Production Engineering</t>
  </si>
  <si>
    <t>B5600</t>
  </si>
  <si>
    <t>Rental car</t>
  </si>
  <si>
    <t>SGA-7621101</t>
  </si>
  <si>
    <t>A801</t>
  </si>
  <si>
    <t>The expenses of car rent</t>
  </si>
  <si>
    <t>Supply Procurement</t>
  </si>
  <si>
    <t>B5130</t>
  </si>
  <si>
    <t>Other Rental Fee</t>
  </si>
  <si>
    <t>SGA-7621199</t>
  </si>
  <si>
    <t>A701</t>
  </si>
  <si>
    <t>The expenses of rent beside car rent, such as copy machine, dispenser, etc.</t>
  </si>
  <si>
    <t>Inventory Control</t>
  </si>
  <si>
    <t>B5200</t>
  </si>
  <si>
    <t>Electricity Charge</t>
  </si>
  <si>
    <t>SGA-7631101</t>
  </si>
  <si>
    <t>A1003</t>
  </si>
  <si>
    <t xml:space="preserve">Electricity consumption </t>
  </si>
  <si>
    <t>SCM - FG WH</t>
  </si>
  <si>
    <t>B3150</t>
  </si>
  <si>
    <t>Water Supply Charge</t>
  </si>
  <si>
    <t>SGA-7631102</t>
  </si>
  <si>
    <t>A1004</t>
  </si>
  <si>
    <t xml:space="preserve">Water consumption </t>
  </si>
  <si>
    <t>WH Dept.- KD &amp; RM</t>
  </si>
  <si>
    <t>B5710</t>
  </si>
  <si>
    <t>Repair Building</t>
  </si>
  <si>
    <t>SGA-7641101</t>
  </si>
  <si>
    <t>A1002</t>
  </si>
  <si>
    <t>expenses for repair and maintenance asset building</t>
  </si>
  <si>
    <t>Continuous Improvement</t>
  </si>
  <si>
    <t>B5007</t>
  </si>
  <si>
    <t>Repair of Equipment</t>
  </si>
  <si>
    <t>SGA-7641102</t>
  </si>
  <si>
    <t>expenses for repair and maintenance tangible assets, intangible assets and other assets beside building</t>
  </si>
  <si>
    <t>All</t>
  </si>
  <si>
    <t>B0000</t>
  </si>
  <si>
    <t>Factory Supply Expense</t>
  </si>
  <si>
    <t>SGA-7641103</t>
  </si>
  <si>
    <t>A1099</t>
  </si>
  <si>
    <t xml:space="preserve">All cost that arrising to support factory acitivity 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</si>
  <si>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</si>
  <si>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</si>
  <si>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</si>
  <si>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</si>
  <si>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</si>
  <si>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</si>
  <si>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</si>
  <si>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</si>
  <si>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</si>
  <si>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</si>
  <si>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</si>
  <si>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</si>
  <si>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</si>
  <si>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</si>
  <si>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</si>
  <si>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</si>
  <si>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</si>
  <si>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</si>
  <si>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</si>
  <si>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</si>
  <si>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</si>
  <si>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</si>
  <si>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</si>
  <si>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</si>
  <si>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</si>
  <si>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</si>
  <si>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</si>
  <si>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</si>
  <si>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</si>
  <si>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</si>
  <si>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</si>
  <si>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</si>
  <si>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</si>
  <si>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</si>
  <si>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</si>
  <si>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</si>
  <si>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</si>
  <si>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</si>
  <si>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</si>
  <si>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</si>
  <si>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</si>
  <si>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</si>
  <si>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</si>
  <si>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</si>
  <si>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</si>
  <si>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</si>
  <si>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</si>
  <si>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</si>
  <si>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</si>
  <si>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</si>
  <si>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</si>
  <si>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</si>
  <si>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</si>
  <si>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</si>
  <si>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</si>
  <si>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</si>
  <si>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</si>
  <si>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</si>
  <si>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</si>
  <si>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</si>
  <si>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</si>
  <si>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</si>
  <si>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</si>
  <si>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</si>
  <si>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</si>
  <si>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</si>
  <si>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</si>
  <si>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</si>
  <si>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</si>
  <si>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</si>
  <si>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</si>
  <si>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</si>
  <si>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</si>
  <si>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</si>
  <si>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</si>
  <si>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</si>
  <si>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</si>
  <si>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</si>
  <si>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</si>
  <si>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</si>
  <si>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</si>
  <si>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</si>
  <si>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</si>
  <si>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</si>
  <si>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</si>
  <si>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</si>
  <si>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</si>
  <si>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</si>
  <si>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</si>
  <si>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</si>
  <si>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</si>
  <si>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</si>
  <si>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</si>
  <si>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</si>
  <si>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</si>
  <si>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</si>
  <si>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</si>
  <si>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</si>
  <si>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</si>
  <si>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</si>
  <si>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</si>
  <si>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</si>
  <si>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</si>
  <si>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</si>
  <si>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</si>
  <si>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</si>
  <si>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</si>
  <si>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</si>
  <si>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</si>
  <si>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</si>
  <si>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</si>
  <si>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</si>
  <si>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</si>
  <si>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</si>
  <si>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</si>
  <si>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</si>
  <si>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</si>
  <si>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</si>
  <si>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</si>
  <si>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</si>
  <si>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</si>
  <si>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</si>
  <si>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</si>
  <si>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</si>
  <si>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</si>
  <si>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</si>
  <si>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</si>
  <si>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</si>
  <si>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</si>
  <si>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</si>
  <si>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</si>
  <si>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</si>
  <si>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</si>
  <si>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</si>
  <si>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</si>
  <si>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</si>
  <si>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</si>
  <si>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</si>
  <si>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</si>
  <si>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</si>
  <si>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</si>
  <si>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</si>
  <si>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</si>
  <si>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</si>
  <si>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</si>
  <si>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</si>
  <si>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</si>
  <si>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</si>
  <si>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</si>
  <si>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</si>
  <si>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</si>
  <si>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</si>
  <si>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</si>
  <si>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</si>
  <si>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</si>
  <si>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</si>
  <si>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</si>
  <si>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</si>
  <si>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</si>
  <si>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</si>
  <si>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</si>
  <si>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</si>
  <si>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</si>
  <si>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</si>
  <si>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</si>
  <si>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</si>
  <si>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</si>
  <si>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</si>
  <si>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</si>
  <si>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</si>
  <si>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</si>
  <si>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</si>
  <si>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</si>
  <si>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</si>
  <si>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</si>
  <si>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</si>
  <si>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</si>
  <si>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</si>
  <si>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</si>
  <si>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</si>
  <si>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</si>
  <si>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</si>
  <si>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</si>
  <si>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</si>
  <si>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</si>
  <si>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</si>
  <si>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</si>
  <si>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</si>
  <si>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</si>
  <si>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</si>
  <si>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</si>
  <si>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</si>
  <si>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</si>
  <si>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</si>
  <si>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</si>
  <si>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</si>
  <si>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</si>
  <si>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</si>
  <si>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</si>
  <si>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</si>
  <si>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</si>
  <si>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</si>
  <si>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</si>
  <si>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</si>
  <si>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</si>
  <si>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</si>
  <si>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</si>
  <si>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</si>
  <si>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</si>
  <si>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</si>
  <si>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</si>
  <si>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</si>
  <si>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</si>
  <si>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</si>
  <si>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</si>
  <si>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</si>
  <si>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</si>
  <si>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</si>
  <si>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</si>
  <si>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</si>
  <si>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</si>
  <si>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</si>
  <si>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</si>
  <si>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</si>
  <si>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</si>
  <si>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</si>
  <si>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</si>
  <si>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</si>
  <si>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</si>
  <si>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</si>
  <si>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</si>
  <si>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</si>
  <si>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</si>
  <si>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</si>
  <si>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</si>
  <si>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</si>
  <si>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</si>
  <si>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</si>
  <si>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</si>
  <si>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</si>
  <si>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</si>
  <si>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</si>
  <si>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</si>
  <si>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</si>
  <si>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</si>
  <si>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</si>
  <si>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</si>
  <si>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</si>
  <si>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</si>
  <si>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</si>
  <si>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</si>
  <si>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</si>
  <si>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</si>
  <si>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</si>
  <si>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</si>
  <si>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TOTAL FY123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</si>
</sst>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1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</cellStyleXfs>
  <cellXfs count="48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</cellXfs>
  <cellStyles count="15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theme="2" tint="-9.9948118533890809E-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528"/>
  <sheetViews>
    <sheetView tabSelected="1" topLeftCell="Q1" zoomScale="70" zoomScaleNormal="70" workbookViewId="0">
      <selection activeCell="AE4" sqref="AE4"/>
    </sheetView>
  </sheetViews>
  <sheetFormatPr defaultColWidth="11.28515625" defaultRowHeight="15" customHeight="1"/>
  <cols>
    <col min="1" max="1" width="19.140625" style="2" customWidth="1"/>
    <col min="2" max="2" width="10" style="3" customWidth="1"/>
    <col min="3" max="3" width="21.28515625" style="2" customWidth="1"/>
    <col min="4" max="4" width="9.28515625" style="4" customWidth="1"/>
    <col min="5" max="5" width="30.28515625" style="2" bestFit="1" customWidth="1"/>
    <col min="6" max="6" width="10.42578125" style="4" customWidth="1"/>
    <col min="7" max="7" width="31" style="2" customWidth="1"/>
    <col min="8" max="8" width="37.7109375" style="2" customWidth="1"/>
    <col min="9" max="9" width="7.7109375" style="3" bestFit="1" customWidth="1"/>
    <col min="10" max="10" width="7.28515625" style="25" bestFit="1" customWidth="1"/>
    <col min="11" max="16" width="14.7109375" style="26" customWidth="1"/>
    <col min="17" max="17" width="17.7109375" style="26" customWidth="1"/>
    <col min="18" max="29" width="14.7109375" style="26" customWidth="1"/>
    <col min="30" max="30" width="19" style="26" customWidth="1"/>
    <col min="31" max="31" width="15.7109375" style="26" customWidth="1"/>
    <col min="32" max="32" width="18.140625" style="26" customWidth="1"/>
    <col min="33" max="33" width="14.28515625" style="3" bestFit="1" customWidth="1"/>
    <col min="34" max="34" width="22.42578125" style="23" customWidth="1"/>
    <col min="35" max="35" width="11.28515625" style="2" customWidth="1"/>
    <col min="36" max="16384" width="11.28515625" style="2"/>
  </cols>
  <sheetData>
    <row r="1" spans="1:35" s="1" customFormat="1" ht="57.75" customHeight="1">
      <c r="A1" s="27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  <c r="J1" s="29" t="s">
        <v>9</v>
      </c>
      <c r="K1" s="30" t="s">
        <v>513</v>
      </c>
      <c r="L1" s="30" t="s">
        <v>514</v>
      </c>
      <c r="M1" s="30" t="s">
        <v>515</v>
      </c>
      <c r="N1" s="30" t="s">
        <v>516</v>
      </c>
      <c r="O1" s="30" t="s">
        <v>517</v>
      </c>
      <c r="P1" s="30" t="s">
        <v>518</v>
      </c>
      <c r="Q1" s="31" t="s">
        <v>519</v>
      </c>
      <c r="R1" s="31" t="s">
        <v>520</v>
      </c>
      <c r="S1" s="31" t="s">
        <v>521</v>
      </c>
      <c r="T1" s="31" t="s">
        <v>522</v>
      </c>
      <c r="U1" s="31" t="s">
        <v>523</v>
      </c>
      <c r="V1" s="31" t="s">
        <v>524</v>
      </c>
      <c r="W1" s="31" t="s">
        <v>10</v>
      </c>
      <c r="X1" s="31" t="s">
        <v>11</v>
      </c>
      <c r="Y1" s="31" t="s">
        <v>12</v>
      </c>
      <c r="Z1" s="31" t="s">
        <v>13</v>
      </c>
      <c r="AA1" s="31" t="s">
        <v>14</v>
      </c>
      <c r="AB1" s="31" t="s">
        <v>15</v>
      </c>
      <c r="AC1" s="32" t="s">
        <v>525</v>
      </c>
      <c r="AD1" s="32" t="s">
        <v>16</v>
      </c>
      <c r="AE1" s="32" t="s">
        <v>17</v>
      </c>
      <c r="AF1" s="32" t="s">
        <v>18</v>
      </c>
      <c r="AG1" s="33" t="s">
        <v>19</v>
      </c>
      <c r="AH1" s="34" t="s">
        <v>20</v>
      </c>
      <c r="AI1" s="24"/>
    </row>
    <row r="2" spans="1:35" ht="15" customHeight="1">
      <c r="A2" s="2" t="s">
        <v>72</v>
      </c>
      <c r="B2" s="3" t="str">
        <f>_xlfn.IFNA(VLOOKUP(C2,Master!$J:$K,2,0),"")</f>
        <v>B5710</v>
      </c>
      <c r="C2" t="s">
        <v>253</v>
      </c>
      <c r="D2" s="4" t="str">
        <f>_xlfn.IFNA(VLOOKUP(E2,Master!$J:$K,2,0),"")</f>
        <v>B5710</v>
      </c>
      <c r="E2" t="s">
        <v>253</v>
      </c>
      <c r="F2" s="4">
        <f>_xlfn.IFNA(VLOOKUP(G2,Master!B:C,2,0),"")</f>
        <v>7111211</v>
      </c>
      <c r="G2" s="2" t="s">
        <v>391</v>
      </c>
      <c r="H2" t="s">
        <v>391</v>
      </c>
      <c r="I2" s="3" t="str">
        <f>_xlfn.IFNA(VLOOKUP(E2,Master!$J:$M,4,0),"")</f>
        <v>IND</v>
      </c>
      <c r="J2" s="3" t="str">
        <f>_xlfn.IFNA(VLOOKUP($E2,Master!$J:$M,3,0),"")</f>
        <v>MFG</v>
      </c>
      <c r="M2" s="26">
        <v>3535693</v>
      </c>
      <c r="N2" s="26">
        <v>14288218</v>
      </c>
      <c r="O2" s="26">
        <v>20231958</v>
      </c>
      <c r="P2" s="26">
        <v>10038555</v>
      </c>
      <c r="Q2" s="26">
        <v>9867717</v>
      </c>
      <c r="R2" s="26">
        <v>2397052</v>
      </c>
      <c r="S2" s="26">
        <v>2253200</v>
      </c>
      <c r="T2" s="26">
        <v>2574627</v>
      </c>
      <c r="U2" s="26">
        <v>2413914</v>
      </c>
      <c r="V2" s="26">
        <v>2253200</v>
      </c>
      <c r="W2" s="26">
        <v>3217480</v>
      </c>
      <c r="X2" s="26">
        <v>3522045</v>
      </c>
      <c r="Y2" s="26">
        <v>2413914</v>
      </c>
      <c r="Z2" s="26">
        <v>2735340</v>
      </c>
      <c r="AA2" s="26">
        <v>3378194</v>
      </c>
      <c r="AB2" s="26">
        <v>2896054</v>
      </c>
      <c r="AC2" s="26">
        <f t="shared" ref="AC2:AC65" si="0">SUM(K2:P2)</f>
        <v>48094424</v>
      </c>
      <c r="AD2" s="26">
        <f t="shared" ref="AD2:AD65" si="1">SUM(Q2:AB2)</f>
        <v>39922737</v>
      </c>
      <c r="AE2" s="26">
        <v>31986795</v>
      </c>
      <c r="AF2" s="26">
        <v>33926233</v>
      </c>
    </row>
    <row r="3" spans="1:35" customFormat="1" ht="15" customHeight="1">
      <c r="A3" s="2" t="s">
        <v>72</v>
      </c>
      <c r="B3" s="3" t="str">
        <f>_xlfn.IFNA(VLOOKUP(C3,Master!$J:$K,2,0),"")</f>
        <v>B5710</v>
      </c>
      <c r="C3" t="s">
        <v>253</v>
      </c>
      <c r="D3" s="4" t="str">
        <f>_xlfn.IFNA(VLOOKUP(E3,Master!$J:$K,2,0),"")</f>
        <v>B5710</v>
      </c>
      <c r="E3" t="s">
        <v>253</v>
      </c>
      <c r="F3" s="4">
        <f>_xlfn.IFNA(VLOOKUP(G3,Master!B:C,2,0),"")</f>
        <v>7111212</v>
      </c>
      <c r="G3" t="s">
        <v>393</v>
      </c>
      <c r="H3" t="s">
        <v>393</v>
      </c>
      <c r="I3" s="3" t="str">
        <f>_xlfn.IFNA(VLOOKUP(E3,Master!$J:$M,4,0),"")</f>
        <v>IND</v>
      </c>
      <c r="J3" s="3" t="str">
        <f>_xlfn.IFNA(VLOOKUP($E3,Master!$J:$M,3,0),"")</f>
        <v>MFG</v>
      </c>
      <c r="K3" s="26"/>
      <c r="L3" s="26"/>
      <c r="M3">
        <v>3535693</v>
      </c>
      <c r="N3">
        <v>14288218</v>
      </c>
      <c r="O3">
        <v>20231958</v>
      </c>
      <c r="P3">
        <v>10038555</v>
      </c>
      <c r="Q3">
        <v>9867717</v>
      </c>
      <c r="R3">
        <v>2397052</v>
      </c>
      <c r="S3">
        <v>2253200</v>
      </c>
      <c r="T3">
        <v>2574627</v>
      </c>
      <c r="U3">
        <v>2413914</v>
      </c>
      <c r="V3">
        <v>2253200</v>
      </c>
      <c r="W3">
        <v>3217480</v>
      </c>
      <c r="X3">
        <v>3522045</v>
      </c>
      <c r="Y3">
        <v>2413914</v>
      </c>
      <c r="Z3">
        <v>2735340</v>
      </c>
      <c r="AA3">
        <v>3378194</v>
      </c>
      <c r="AB3">
        <v>2896054</v>
      </c>
      <c r="AC3" s="26">
        <f t="shared" si="0"/>
        <v>48094424</v>
      </c>
      <c r="AD3" s="26">
        <f t="shared" si="1"/>
        <v>39922737</v>
      </c>
      <c r="AE3">
        <v>31986795</v>
      </c>
      <c r="AF3">
        <v>33926233</v>
      </c>
    </row>
    <row r="4" spans="1:35" ht="15" customHeight="1">
      <c r="A4" s="2" t="s">
        <v>72</v>
      </c>
      <c r="B4" s="3" t="str">
        <f>_xlfn.IFNA(VLOOKUP(C4,Master!$J:$K,2,0),"")</f>
        <v>B5710</v>
      </c>
      <c r="C4" t="s">
        <v>253</v>
      </c>
      <c r="D4" s="4" t="str">
        <f>_xlfn.IFNA(VLOOKUP(E4,Master!$J:$K,2,0),"")</f>
        <v>B5710</v>
      </c>
      <c r="E4" t="s">
        <v>253</v>
      </c>
      <c r="F4" s="4">
        <f>_xlfn.IFNA(VLOOKUP(G4,Master!B:C,2,0),"")</f>
        <v>7111221</v>
      </c>
      <c r="G4" s="2" t="s">
        <v>395</v>
      </c>
      <c r="H4" t="s">
        <v>395</v>
      </c>
      <c r="I4" s="3" t="str">
        <f>_xlfn.IFNA(VLOOKUP(E4,Master!$J:$M,4,0),"")</f>
        <v>IND</v>
      </c>
      <c r="J4" s="3" t="str">
        <f>_xlfn.IFNA(VLOOKUP($E4,Master!$J:$M,3,0),"")</f>
        <v>MFG</v>
      </c>
      <c r="M4" s="26">
        <v>3535693</v>
      </c>
      <c r="N4" s="26">
        <v>14288218</v>
      </c>
      <c r="O4" s="26">
        <v>20231958</v>
      </c>
      <c r="P4" s="26">
        <v>10038555</v>
      </c>
      <c r="Q4" s="26">
        <v>9867717</v>
      </c>
      <c r="R4" s="26">
        <v>2397052</v>
      </c>
      <c r="S4" s="26">
        <v>2253200</v>
      </c>
      <c r="T4" s="26">
        <v>2574627</v>
      </c>
      <c r="U4" s="26">
        <v>2413914</v>
      </c>
      <c r="V4" s="26">
        <v>2253200</v>
      </c>
      <c r="W4" s="26">
        <v>3217480</v>
      </c>
      <c r="X4" s="26">
        <v>3522045</v>
      </c>
      <c r="Y4" s="26">
        <v>2413914</v>
      </c>
      <c r="Z4" s="26">
        <v>2735340</v>
      </c>
      <c r="AA4" s="26">
        <v>3378194</v>
      </c>
      <c r="AB4" s="26">
        <v>2896054</v>
      </c>
      <c r="AC4" s="26">
        <f t="shared" si="0"/>
        <v>48094424</v>
      </c>
      <c r="AD4" s="26">
        <f t="shared" si="1"/>
        <v>39922737</v>
      </c>
      <c r="AE4" s="26">
        <v>31986795</v>
      </c>
      <c r="AF4" s="26">
        <v>33926233</v>
      </c>
    </row>
    <row r="5" spans="1:35" ht="15" customHeight="1">
      <c r="A5" s="2" t="s">
        <v>72</v>
      </c>
      <c r="B5" s="3" t="str">
        <f>_xlfn.IFNA(VLOOKUP(C5,Master!$J:$K,2,0),"")</f>
        <v>B5710</v>
      </c>
      <c r="C5" t="s">
        <v>253</v>
      </c>
      <c r="D5" s="4" t="str">
        <f>_xlfn.IFNA(VLOOKUP(E5,Master!$J:$K,2,0),"")</f>
        <v>B5710</v>
      </c>
      <c r="E5" t="s">
        <v>253</v>
      </c>
      <c r="F5" s="4">
        <f>_xlfn.IFNA(VLOOKUP(G5,Master!B:C,2,0),"")</f>
        <v>7111222</v>
      </c>
      <c r="G5" s="2" t="s">
        <v>397</v>
      </c>
      <c r="H5" t="s">
        <v>397</v>
      </c>
      <c r="I5" s="3" t="str">
        <f>_xlfn.IFNA(VLOOKUP(E5,Master!$J:$M,4,0),"")</f>
        <v>IND</v>
      </c>
      <c r="J5" s="3" t="str">
        <f>_xlfn.IFNA(VLOOKUP($E5,Master!$J:$M,3,0),"")</f>
        <v>MFG</v>
      </c>
      <c r="M5" s="26">
        <v>3535693</v>
      </c>
      <c r="N5" s="26">
        <v>14288218</v>
      </c>
      <c r="O5" s="26">
        <v>20231958</v>
      </c>
      <c r="P5" s="26">
        <v>10038555</v>
      </c>
      <c r="Q5" s="26">
        <v>9867717</v>
      </c>
      <c r="R5" s="26">
        <v>2397052</v>
      </c>
      <c r="S5" s="26">
        <v>2253200</v>
      </c>
      <c r="T5" s="26">
        <v>2574627</v>
      </c>
      <c r="U5" s="26">
        <v>2413914</v>
      </c>
      <c r="V5" s="26">
        <v>2253200</v>
      </c>
      <c r="W5" s="26">
        <v>3217480</v>
      </c>
      <c r="X5" s="26">
        <v>3522045</v>
      </c>
      <c r="Y5" s="26">
        <v>2413914</v>
      </c>
      <c r="Z5" s="26">
        <v>2735340</v>
      </c>
      <c r="AA5" s="26">
        <v>3378194</v>
      </c>
      <c r="AB5" s="26">
        <v>2896054</v>
      </c>
      <c r="AC5" s="26">
        <f t="shared" si="0"/>
        <v>48094424</v>
      </c>
      <c r="AD5" s="26">
        <f t="shared" si="1"/>
        <v>39922737</v>
      </c>
      <c r="AE5" s="26">
        <v>31986795</v>
      </c>
      <c r="AF5" s="26">
        <v>33926233</v>
      </c>
    </row>
    <row r="6" spans="1:35" ht="15" customHeight="1">
      <c r="A6" s="2" t="s">
        <v>72</v>
      </c>
      <c r="B6" s="3" t="str">
        <f>_xlfn.IFNA(VLOOKUP(C6,Master!$J:$K,2,0),"")</f>
        <v>B5710</v>
      </c>
      <c r="C6" t="s">
        <v>253</v>
      </c>
      <c r="D6" s="4" t="str">
        <f>_xlfn.IFNA(VLOOKUP(E6,Master!$J:$K,2,0),"")</f>
        <v>B5710</v>
      </c>
      <c r="E6" t="s">
        <v>253</v>
      </c>
      <c r="F6" s="4">
        <f>_xlfn.IFNA(VLOOKUP(G6,Master!B:C,2,0),"")</f>
        <v>7111223</v>
      </c>
      <c r="G6" s="2" t="s">
        <v>399</v>
      </c>
      <c r="H6" t="s">
        <v>399</v>
      </c>
      <c r="I6" s="3" t="str">
        <f>_xlfn.IFNA(VLOOKUP(E6,Master!$J:$M,4,0),"")</f>
        <v>IND</v>
      </c>
      <c r="J6" s="3" t="str">
        <f>_xlfn.IFNA(VLOOKUP($E6,Master!$J:$M,3,0),"")</f>
        <v>MFG</v>
      </c>
      <c r="M6" s="26">
        <v>3535693</v>
      </c>
      <c r="N6" s="26">
        <v>14288218</v>
      </c>
      <c r="O6" s="26">
        <v>20231958</v>
      </c>
      <c r="P6" s="26">
        <v>10038555</v>
      </c>
      <c r="Q6" s="26">
        <v>9867717</v>
      </c>
      <c r="R6" s="26">
        <v>2397052</v>
      </c>
      <c r="S6" s="26">
        <v>2253200</v>
      </c>
      <c r="T6" s="26">
        <v>2574627</v>
      </c>
      <c r="U6" s="26">
        <v>2413914</v>
      </c>
      <c r="V6" s="26">
        <v>2253200</v>
      </c>
      <c r="W6" s="26">
        <v>3217480</v>
      </c>
      <c r="X6" s="26">
        <v>3522045</v>
      </c>
      <c r="Y6" s="26">
        <v>2413914</v>
      </c>
      <c r="Z6" s="26">
        <v>2735340</v>
      </c>
      <c r="AA6" s="26">
        <v>3378194</v>
      </c>
      <c r="AB6" s="26">
        <v>2896054</v>
      </c>
      <c r="AC6" s="26">
        <f t="shared" si="0"/>
        <v>48094424</v>
      </c>
      <c r="AD6" s="26">
        <f t="shared" si="1"/>
        <v>39922737</v>
      </c>
      <c r="AE6" s="26">
        <v>31986795</v>
      </c>
      <c r="AF6" s="26">
        <v>33926233</v>
      </c>
    </row>
    <row r="7" spans="1:35" ht="15" customHeight="1">
      <c r="B7" s="3" t="str">
        <f>_xlfn.IFNA(VLOOKUP(C7,Master!$J:$K,2,0),"")</f>
        <v/>
      </c>
      <c r="D7" s="4" t="str">
        <f>_xlfn.IFNA(VLOOKUP(E7,Master!$J:$K,2,0),"")</f>
        <v/>
      </c>
      <c r="F7" s="4" t="str">
        <f>_xlfn.IFNA(VLOOKUP(G7,Master!B:C,2,0),"")</f>
        <v/>
      </c>
      <c r="I7" s="3" t="str">
        <f>_xlfn.IFNA(VLOOKUP(E7,Master!$J:$M,4,0),"")</f>
        <v/>
      </c>
      <c r="J7" s="3" t="str">
        <f>_xlfn.IFNA(VLOOKUP($E7,Master!$J:$M,3,0),"")</f>
        <v/>
      </c>
      <c r="AC7" s="26">
        <f t="shared" si="0"/>
        <v>0</v>
      </c>
      <c r="AD7" s="26">
        <f t="shared" si="1"/>
        <v>0</v>
      </c>
    </row>
    <row r="8" spans="1:35" ht="15" customHeight="1">
      <c r="B8" s="3" t="str">
        <f>_xlfn.IFNA(VLOOKUP(C8,Master!$J:$K,2,0),"")</f>
        <v/>
      </c>
      <c r="D8" s="4" t="str">
        <f>_xlfn.IFNA(VLOOKUP(E8,Master!$J:$K,2,0),"")</f>
        <v/>
      </c>
      <c r="F8" s="4" t="str">
        <f>_xlfn.IFNA(VLOOKUP(G8,Master!B:C,2,0),"")</f>
        <v/>
      </c>
      <c r="I8" s="3" t="str">
        <f>_xlfn.IFNA(VLOOKUP(E8,Master!$J:$M,4,0),"")</f>
        <v/>
      </c>
      <c r="J8" s="3" t="str">
        <f>_xlfn.IFNA(VLOOKUP($E8,Master!$J:$M,3,0),"")</f>
        <v/>
      </c>
      <c r="AC8" s="26">
        <f t="shared" si="0"/>
        <v>0</v>
      </c>
      <c r="AD8" s="26">
        <f t="shared" si="1"/>
        <v>0</v>
      </c>
    </row>
    <row r="9" spans="1:35" ht="15" customHeight="1">
      <c r="B9" s="3" t="str">
        <f>_xlfn.IFNA(VLOOKUP(C9,Master!$J:$K,2,0),"")</f>
        <v/>
      </c>
      <c r="D9" s="4" t="str">
        <f>_xlfn.IFNA(VLOOKUP(E9,Master!$J:$K,2,0),"")</f>
        <v/>
      </c>
      <c r="F9" s="4" t="str">
        <f>_xlfn.IFNA(VLOOKUP(G9,Master!B:C,2,0),"")</f>
        <v/>
      </c>
      <c r="I9" s="3" t="str">
        <f>_xlfn.IFNA(VLOOKUP(E9,Master!$J:$M,4,0),"")</f>
        <v/>
      </c>
      <c r="J9" s="3" t="str">
        <f>_xlfn.IFNA(VLOOKUP($E9,Master!$J:$M,3,0),"")</f>
        <v/>
      </c>
      <c r="AC9" s="26">
        <f t="shared" si="0"/>
        <v>0</v>
      </c>
      <c r="AD9" s="26">
        <f t="shared" si="1"/>
        <v>0</v>
      </c>
    </row>
    <row r="10" spans="1:35" ht="15" customHeight="1">
      <c r="B10" s="3" t="str">
        <f>_xlfn.IFNA(VLOOKUP(C10,Master!$J:$K,2,0),"")</f>
        <v/>
      </c>
      <c r="D10" s="4" t="str">
        <f>_xlfn.IFNA(VLOOKUP(E10,Master!$J:$K,2,0),"")</f>
        <v/>
      </c>
      <c r="F10" s="4" t="str">
        <f>_xlfn.IFNA(VLOOKUP(G10,Master!B:C,2,0),"")</f>
        <v/>
      </c>
      <c r="I10" s="3" t="str">
        <f>_xlfn.IFNA(VLOOKUP(E10,Master!$J:$M,4,0),"")</f>
        <v/>
      </c>
      <c r="J10" s="3" t="str">
        <f>_xlfn.IFNA(VLOOKUP($E10,Master!$J:$M,3,0),"")</f>
        <v/>
      </c>
      <c r="AC10" s="26">
        <f t="shared" si="0"/>
        <v>0</v>
      </c>
      <c r="AD10" s="26">
        <f t="shared" si="1"/>
        <v>0</v>
      </c>
    </row>
    <row r="11" spans="1:35" ht="15" customHeight="1">
      <c r="B11" s="3" t="str">
        <f>_xlfn.IFNA(VLOOKUP(C11,Master!$J:$K,2,0),"")</f>
        <v/>
      </c>
      <c r="D11" s="4" t="str">
        <f>_xlfn.IFNA(VLOOKUP(E11,Master!$J:$K,2,0),"")</f>
        <v/>
      </c>
      <c r="F11" s="4" t="str">
        <f>_xlfn.IFNA(VLOOKUP(G11,Master!B:C,2,0),"")</f>
        <v/>
      </c>
      <c r="I11" s="3" t="str">
        <f>_xlfn.IFNA(VLOOKUP(E11,Master!$J:$M,4,0),"")</f>
        <v/>
      </c>
      <c r="J11" s="3" t="str">
        <f>_xlfn.IFNA(VLOOKUP($E11,Master!$J:$M,3,0),"")</f>
        <v/>
      </c>
      <c r="AC11" s="26">
        <f t="shared" si="0"/>
        <v>0</v>
      </c>
      <c r="AD11" s="26">
        <f t="shared" si="1"/>
        <v>0</v>
      </c>
    </row>
    <row r="12" spans="1:35" ht="15" customHeight="1">
      <c r="B12" s="3" t="str">
        <f>_xlfn.IFNA(VLOOKUP(C12,Master!$J:$K,2,0),"")</f>
        <v/>
      </c>
      <c r="D12" s="4" t="str">
        <f>_xlfn.IFNA(VLOOKUP(E12,Master!$J:$K,2,0),"")</f>
        <v/>
      </c>
      <c r="F12" s="4" t="str">
        <f>_xlfn.IFNA(VLOOKUP(G12,Master!B:C,2,0),"")</f>
        <v/>
      </c>
      <c r="I12" s="3" t="str">
        <f>_xlfn.IFNA(VLOOKUP(E12,Master!$J:$M,4,0),"")</f>
        <v/>
      </c>
      <c r="J12" s="3" t="str">
        <f>_xlfn.IFNA(VLOOKUP($E12,Master!$J:$M,3,0),"")</f>
        <v/>
      </c>
      <c r="AC12" s="26">
        <f t="shared" si="0"/>
        <v>0</v>
      </c>
      <c r="AD12" s="26">
        <f t="shared" si="1"/>
        <v>0</v>
      </c>
    </row>
    <row r="13" spans="1:35" ht="15" customHeight="1">
      <c r="B13" s="3" t="str">
        <f>_xlfn.IFNA(VLOOKUP(C13,Master!$J:$K,2,0),"")</f>
        <v/>
      </c>
      <c r="D13" s="4" t="str">
        <f>_xlfn.IFNA(VLOOKUP(E13,Master!$J:$K,2,0),"")</f>
        <v/>
      </c>
      <c r="F13" s="4" t="str">
        <f>_xlfn.IFNA(VLOOKUP(G13,Master!B:C,2,0),"")</f>
        <v/>
      </c>
      <c r="I13" s="3" t="str">
        <f>_xlfn.IFNA(VLOOKUP(E13,Master!$J:$M,4,0),"")</f>
        <v/>
      </c>
      <c r="J13" s="3" t="str">
        <f>_xlfn.IFNA(VLOOKUP($E13,Master!$J:$M,3,0),"")</f>
        <v/>
      </c>
      <c r="AC13" s="26">
        <f t="shared" si="0"/>
        <v>0</v>
      </c>
      <c r="AD13" s="26">
        <f t="shared" si="1"/>
        <v>0</v>
      </c>
    </row>
    <row r="14" spans="1:35" ht="15" customHeight="1">
      <c r="B14" s="3" t="str">
        <f>_xlfn.IFNA(VLOOKUP(C14,Master!$J:$K,2,0),"")</f>
        <v/>
      </c>
      <c r="D14" s="4" t="str">
        <f>_xlfn.IFNA(VLOOKUP(E14,Master!$J:$K,2,0),"")</f>
        <v/>
      </c>
      <c r="F14" s="4" t="str">
        <f>_xlfn.IFNA(VLOOKUP(G14,Master!B:C,2,0),"")</f>
        <v/>
      </c>
      <c r="I14" s="3" t="str">
        <f>_xlfn.IFNA(VLOOKUP(E14,Master!$J:$M,4,0),"")</f>
        <v/>
      </c>
      <c r="J14" s="3" t="str">
        <f>_xlfn.IFNA(VLOOKUP($E14,Master!$J:$M,3,0),"")</f>
        <v/>
      </c>
      <c r="AC14" s="26">
        <f t="shared" si="0"/>
        <v>0</v>
      </c>
      <c r="AD14" s="26">
        <f t="shared" si="1"/>
        <v>0</v>
      </c>
    </row>
    <row r="15" spans="1:35" ht="15" customHeight="1">
      <c r="B15" s="3" t="str">
        <f>_xlfn.IFNA(VLOOKUP(C15,Master!$J:$K,2,0),"")</f>
        <v/>
      </c>
      <c r="D15" s="4" t="str">
        <f>_xlfn.IFNA(VLOOKUP(E15,Master!$J:$K,2,0),"")</f>
        <v/>
      </c>
      <c r="F15" s="4" t="str">
        <f>_xlfn.IFNA(VLOOKUP(G15,Master!B:C,2,0),"")</f>
        <v/>
      </c>
      <c r="I15" s="3" t="str">
        <f>_xlfn.IFNA(VLOOKUP(E15,Master!$J:$M,4,0),"")</f>
        <v/>
      </c>
      <c r="J15" s="3" t="str">
        <f>_xlfn.IFNA(VLOOKUP($E15,Master!$J:$M,3,0),"")</f>
        <v/>
      </c>
      <c r="AC15" s="26">
        <f t="shared" si="0"/>
        <v>0</v>
      </c>
      <c r="AD15" s="26">
        <f t="shared" si="1"/>
        <v>0</v>
      </c>
    </row>
    <row r="16" spans="1:35" ht="15" customHeight="1">
      <c r="B16" s="3" t="str">
        <f>_xlfn.IFNA(VLOOKUP(C16,Master!$J:$K,2,0),"")</f>
        <v/>
      </c>
      <c r="D16" s="4" t="str">
        <f>_xlfn.IFNA(VLOOKUP(E16,Master!$J:$K,2,0),"")</f>
        <v/>
      </c>
      <c r="F16" s="4" t="str">
        <f>_xlfn.IFNA(VLOOKUP(G16,Master!B:C,2,0),"")</f>
        <v/>
      </c>
      <c r="I16" s="3" t="str">
        <f>_xlfn.IFNA(VLOOKUP(E16,Master!$J:$M,4,0),"")</f>
        <v/>
      </c>
      <c r="J16" s="3" t="str">
        <f>_xlfn.IFNA(VLOOKUP($E16,Master!$J:$M,3,0),"")</f>
        <v/>
      </c>
      <c r="AC16" s="26">
        <f t="shared" si="0"/>
        <v>0</v>
      </c>
      <c r="AD16" s="26">
        <f t="shared" si="1"/>
        <v>0</v>
      </c>
    </row>
    <row r="17" spans="2:30" ht="15" customHeight="1">
      <c r="B17" s="3" t="str">
        <f>_xlfn.IFNA(VLOOKUP(C17,Master!$J:$K,2,0),"")</f>
        <v/>
      </c>
      <c r="D17" s="4" t="str">
        <f>_xlfn.IFNA(VLOOKUP(E17,Master!$J:$K,2,0),"")</f>
        <v/>
      </c>
      <c r="F17" s="4" t="str">
        <f>_xlfn.IFNA(VLOOKUP(G17,Master!B:C,2,0),"")</f>
        <v/>
      </c>
      <c r="I17" s="3" t="str">
        <f>_xlfn.IFNA(VLOOKUP(E17,Master!$J:$M,4,0),"")</f>
        <v/>
      </c>
      <c r="J17" s="3" t="str">
        <f>_xlfn.IFNA(VLOOKUP($E17,Master!$J:$M,3,0),"")</f>
        <v/>
      </c>
      <c r="AC17" s="26">
        <f t="shared" si="0"/>
        <v>0</v>
      </c>
      <c r="AD17" s="26">
        <f t="shared" si="1"/>
        <v>0</v>
      </c>
    </row>
    <row r="18" spans="2:30" ht="15" customHeight="1">
      <c r="B18" s="3" t="str">
        <f>_xlfn.IFNA(VLOOKUP(C18,Master!$J:$K,2,0),"")</f>
        <v/>
      </c>
      <c r="D18" s="4" t="str">
        <f>_xlfn.IFNA(VLOOKUP(E18,Master!$J:$K,2,0),"")</f>
        <v/>
      </c>
      <c r="F18" s="4" t="str">
        <f>_xlfn.IFNA(VLOOKUP(G18,Master!B:C,2,0),"")</f>
        <v/>
      </c>
      <c r="I18" s="3" t="str">
        <f>_xlfn.IFNA(VLOOKUP(E18,Master!$J:$M,4,0),"")</f>
        <v/>
      </c>
      <c r="J18" s="3" t="str">
        <f>_xlfn.IFNA(VLOOKUP($E18,Master!$J:$M,3,0),"")</f>
        <v/>
      </c>
      <c r="AC18" s="26">
        <f t="shared" si="0"/>
        <v>0</v>
      </c>
      <c r="AD18" s="26">
        <f t="shared" si="1"/>
        <v>0</v>
      </c>
    </row>
    <row r="19" spans="2:30" ht="15" customHeight="1">
      <c r="B19" s="3" t="str">
        <f>_xlfn.IFNA(VLOOKUP(C19,Master!$J:$K,2,0),"")</f>
        <v/>
      </c>
      <c r="D19" s="4" t="str">
        <f>_xlfn.IFNA(VLOOKUP(E19,Master!$J:$K,2,0),"")</f>
        <v/>
      </c>
      <c r="F19" s="4" t="str">
        <f>_xlfn.IFNA(VLOOKUP(G19,Master!B:C,2,0),"")</f>
        <v/>
      </c>
      <c r="I19" s="3" t="str">
        <f>_xlfn.IFNA(VLOOKUP(E19,Master!$J:$M,4,0),"")</f>
        <v/>
      </c>
      <c r="J19" s="3" t="str">
        <f>_xlfn.IFNA(VLOOKUP($E19,Master!$J:$M,3,0),"")</f>
        <v/>
      </c>
      <c r="AC19" s="26">
        <f t="shared" si="0"/>
        <v>0</v>
      </c>
      <c r="AD19" s="26">
        <f t="shared" si="1"/>
        <v>0</v>
      </c>
    </row>
    <row r="20" spans="2:30" ht="15" customHeight="1">
      <c r="B20" s="3" t="str">
        <f>_xlfn.IFNA(VLOOKUP(C20,Master!$J:$K,2,0),"")</f>
        <v/>
      </c>
      <c r="D20" s="4" t="str">
        <f>_xlfn.IFNA(VLOOKUP(E20,Master!$J:$K,2,0),"")</f>
        <v/>
      </c>
      <c r="F20" s="4" t="str">
        <f>_xlfn.IFNA(VLOOKUP(G20,Master!B:C,2,0),"")</f>
        <v/>
      </c>
      <c r="I20" s="3" t="str">
        <f>_xlfn.IFNA(VLOOKUP(E20,Master!$J:$M,4,0),"")</f>
        <v/>
      </c>
      <c r="J20" s="3" t="str">
        <f>_xlfn.IFNA(VLOOKUP($E20,Master!$J:$M,3,0),"")</f>
        <v/>
      </c>
      <c r="AC20" s="26">
        <f t="shared" si="0"/>
        <v>0</v>
      </c>
      <c r="AD20" s="26">
        <f t="shared" si="1"/>
        <v>0</v>
      </c>
    </row>
    <row r="21" spans="2:30" ht="15" customHeight="1">
      <c r="B21" s="3" t="str">
        <f>_xlfn.IFNA(VLOOKUP(C21,Master!$J:$K,2,0),"")</f>
        <v/>
      </c>
      <c r="D21" s="4" t="str">
        <f>_xlfn.IFNA(VLOOKUP(E21,Master!$J:$K,2,0),"")</f>
        <v/>
      </c>
      <c r="F21" s="4" t="str">
        <f>_xlfn.IFNA(VLOOKUP(G21,Master!B:C,2,0),"")</f>
        <v/>
      </c>
      <c r="I21" s="3" t="str">
        <f>_xlfn.IFNA(VLOOKUP(E21,Master!$J:$M,4,0),"")</f>
        <v/>
      </c>
      <c r="J21" s="3" t="str">
        <f>_xlfn.IFNA(VLOOKUP($E21,Master!$J:$M,3,0),"")</f>
        <v/>
      </c>
      <c r="AC21" s="26">
        <f t="shared" si="0"/>
        <v>0</v>
      </c>
      <c r="AD21" s="26">
        <f t="shared" si="1"/>
        <v>0</v>
      </c>
    </row>
    <row r="22" spans="2:30" ht="15" customHeight="1">
      <c r="B22" s="3" t="str">
        <f>_xlfn.IFNA(VLOOKUP(C22,Master!$J:$K,2,0),"")</f>
        <v/>
      </c>
      <c r="D22" s="4" t="str">
        <f>_xlfn.IFNA(VLOOKUP(E22,Master!$J:$K,2,0),"")</f>
        <v/>
      </c>
      <c r="F22" s="4" t="str">
        <f>_xlfn.IFNA(VLOOKUP(G22,Master!B:C,2,0),"")</f>
        <v/>
      </c>
      <c r="I22" s="3" t="str">
        <f>_xlfn.IFNA(VLOOKUP(E22,Master!$J:$M,4,0),"")</f>
        <v/>
      </c>
      <c r="J22" s="3" t="str">
        <f>_xlfn.IFNA(VLOOKUP($E22,Master!$J:$M,3,0),"")</f>
        <v/>
      </c>
      <c r="AC22" s="26">
        <f t="shared" si="0"/>
        <v>0</v>
      </c>
      <c r="AD22" s="26">
        <f t="shared" si="1"/>
        <v>0</v>
      </c>
    </row>
    <row r="23" spans="2:30" ht="15" customHeight="1">
      <c r="B23" s="3" t="str">
        <f>_xlfn.IFNA(VLOOKUP(C23,Master!$J:$K,2,0),"")</f>
        <v/>
      </c>
      <c r="D23" s="4" t="str">
        <f>_xlfn.IFNA(VLOOKUP(E23,Master!$J:$K,2,0),"")</f>
        <v/>
      </c>
      <c r="F23" s="4" t="str">
        <f>_xlfn.IFNA(VLOOKUP(G23,Master!B:C,2,0),"")</f>
        <v/>
      </c>
      <c r="I23" s="3" t="str">
        <f>_xlfn.IFNA(VLOOKUP(E23,Master!$J:$M,4,0),"")</f>
        <v/>
      </c>
      <c r="J23" s="3" t="str">
        <f>_xlfn.IFNA(VLOOKUP($E23,Master!$J:$M,3,0),"")</f>
        <v/>
      </c>
      <c r="AC23" s="26">
        <f t="shared" si="0"/>
        <v>0</v>
      </c>
      <c r="AD23" s="26">
        <f t="shared" si="1"/>
        <v>0</v>
      </c>
    </row>
    <row r="24" spans="2:30" ht="15" customHeight="1">
      <c r="B24" s="3" t="str">
        <f>_xlfn.IFNA(VLOOKUP(C24,Master!$J:$K,2,0),"")</f>
        <v/>
      </c>
      <c r="D24" s="4" t="str">
        <f>_xlfn.IFNA(VLOOKUP(E24,Master!$J:$K,2,0),"")</f>
        <v/>
      </c>
      <c r="F24" s="4" t="str">
        <f>_xlfn.IFNA(VLOOKUP(G24,Master!B:C,2,0),"")</f>
        <v/>
      </c>
      <c r="I24" s="3" t="str">
        <f>_xlfn.IFNA(VLOOKUP(E24,Master!$J:$M,4,0),"")</f>
        <v/>
      </c>
      <c r="J24" s="3" t="str">
        <f>_xlfn.IFNA(VLOOKUP($E24,Master!$J:$M,3,0),"")</f>
        <v/>
      </c>
      <c r="AC24" s="26">
        <f t="shared" si="0"/>
        <v>0</v>
      </c>
      <c r="AD24" s="26">
        <f t="shared" si="1"/>
        <v>0</v>
      </c>
    </row>
    <row r="25" spans="2:30" ht="15" customHeight="1">
      <c r="B25" s="3" t="str">
        <f>_xlfn.IFNA(VLOOKUP(C25,Master!$J:$K,2,0),"")</f>
        <v/>
      </c>
      <c r="D25" s="4" t="str">
        <f>_xlfn.IFNA(VLOOKUP(E25,Master!$J:$K,2,0),"")</f>
        <v/>
      </c>
      <c r="F25" s="4" t="str">
        <f>_xlfn.IFNA(VLOOKUP(G25,Master!B:C,2,0),"")</f>
        <v/>
      </c>
      <c r="I25" s="3" t="str">
        <f>_xlfn.IFNA(VLOOKUP(E25,Master!$J:$M,4,0),"")</f>
        <v/>
      </c>
      <c r="J25" s="3" t="str">
        <f>_xlfn.IFNA(VLOOKUP($E25,Master!$J:$M,3,0),"")</f>
        <v/>
      </c>
      <c r="AC25" s="26">
        <f t="shared" si="0"/>
        <v>0</v>
      </c>
      <c r="AD25" s="26">
        <f t="shared" si="1"/>
        <v>0</v>
      </c>
    </row>
    <row r="26" spans="2:30" ht="15" customHeight="1">
      <c r="B26" s="3" t="str">
        <f>_xlfn.IFNA(VLOOKUP(C26,Master!$J:$K,2,0),"")</f>
        <v/>
      </c>
      <c r="D26" s="4" t="str">
        <f>_xlfn.IFNA(VLOOKUP(E26,Master!$J:$K,2,0),"")</f>
        <v/>
      </c>
      <c r="F26" s="4" t="str">
        <f>_xlfn.IFNA(VLOOKUP(G26,Master!B:C,2,0),"")</f>
        <v/>
      </c>
      <c r="I26" s="3" t="str">
        <f>_xlfn.IFNA(VLOOKUP(E26,Master!$J:$M,4,0),"")</f>
        <v/>
      </c>
      <c r="J26" s="3" t="str">
        <f>_xlfn.IFNA(VLOOKUP($E26,Master!$J:$M,3,0),"")</f>
        <v/>
      </c>
      <c r="AC26" s="26">
        <f t="shared" si="0"/>
        <v>0</v>
      </c>
      <c r="AD26" s="26">
        <f t="shared" si="1"/>
        <v>0</v>
      </c>
    </row>
    <row r="27" spans="2:30" ht="15" customHeight="1">
      <c r="B27" s="3" t="str">
        <f>_xlfn.IFNA(VLOOKUP(C27,Master!$J:$K,2,0),"")</f>
        <v/>
      </c>
      <c r="D27" s="4" t="str">
        <f>_xlfn.IFNA(VLOOKUP(E27,Master!$J:$K,2,0),"")</f>
        <v/>
      </c>
      <c r="F27" s="4" t="str">
        <f>_xlfn.IFNA(VLOOKUP(G27,Master!B:C,2,0),"")</f>
        <v/>
      </c>
      <c r="I27" s="3" t="str">
        <f>_xlfn.IFNA(VLOOKUP(E27,Master!$J:$M,4,0),"")</f>
        <v/>
      </c>
      <c r="J27" s="3" t="str">
        <f>_xlfn.IFNA(VLOOKUP($E27,Master!$J:$M,3,0),"")</f>
        <v/>
      </c>
      <c r="AC27" s="26">
        <f t="shared" si="0"/>
        <v>0</v>
      </c>
      <c r="AD27" s="26">
        <f t="shared" si="1"/>
        <v>0</v>
      </c>
    </row>
    <row r="28" spans="2:30" ht="15" customHeight="1">
      <c r="B28" s="3" t="str">
        <f>_xlfn.IFNA(VLOOKUP(C28,Master!$J:$K,2,0),"")</f>
        <v/>
      </c>
      <c r="D28" s="4" t="str">
        <f>_xlfn.IFNA(VLOOKUP(E28,Master!$J:$K,2,0),"")</f>
        <v/>
      </c>
      <c r="F28" s="4" t="str">
        <f>_xlfn.IFNA(VLOOKUP(G28,Master!B:C,2,0),"")</f>
        <v/>
      </c>
      <c r="I28" s="3" t="str">
        <f>_xlfn.IFNA(VLOOKUP(E28,Master!$J:$M,4,0),"")</f>
        <v/>
      </c>
      <c r="J28" s="3" t="str">
        <f>_xlfn.IFNA(VLOOKUP($E28,Master!$J:$M,3,0),"")</f>
        <v/>
      </c>
      <c r="AC28" s="26">
        <f t="shared" si="0"/>
        <v>0</v>
      </c>
      <c r="AD28" s="26">
        <f t="shared" si="1"/>
        <v>0</v>
      </c>
    </row>
    <row r="29" spans="2:30" ht="15" customHeight="1">
      <c r="B29" s="3" t="str">
        <f>_xlfn.IFNA(VLOOKUP(C29,Master!$J:$K,2,0),"")</f>
        <v/>
      </c>
      <c r="D29" s="4" t="str">
        <f>_xlfn.IFNA(VLOOKUP(E29,Master!$J:$K,2,0),"")</f>
        <v/>
      </c>
      <c r="F29" s="4" t="str">
        <f>_xlfn.IFNA(VLOOKUP(G29,Master!B:C,2,0),"")</f>
        <v/>
      </c>
      <c r="I29" s="3" t="str">
        <f>_xlfn.IFNA(VLOOKUP(E29,Master!$J:$M,4,0),"")</f>
        <v/>
      </c>
      <c r="J29" s="3" t="str">
        <f>_xlfn.IFNA(VLOOKUP($E29,Master!$J:$M,3,0),"")</f>
        <v/>
      </c>
      <c r="AC29" s="26">
        <f t="shared" si="0"/>
        <v>0</v>
      </c>
      <c r="AD29" s="26">
        <f t="shared" si="1"/>
        <v>0</v>
      </c>
    </row>
    <row r="30" spans="2:30" ht="15" customHeight="1">
      <c r="B30" s="3" t="str">
        <f>_xlfn.IFNA(VLOOKUP(C30,Master!$J:$K,2,0),"")</f>
        <v/>
      </c>
      <c r="D30" s="4" t="str">
        <f>_xlfn.IFNA(VLOOKUP(E30,Master!$J:$K,2,0),"")</f>
        <v/>
      </c>
      <c r="F30" s="4" t="str">
        <f>_xlfn.IFNA(VLOOKUP(G30,Master!B:C,2,0),"")</f>
        <v/>
      </c>
      <c r="I30" s="3" t="str">
        <f>_xlfn.IFNA(VLOOKUP(E30,Master!$J:$M,4,0),"")</f>
        <v/>
      </c>
      <c r="J30" s="3" t="str">
        <f>_xlfn.IFNA(VLOOKUP($E30,Master!$J:$M,3,0),"")</f>
        <v/>
      </c>
      <c r="AC30" s="26">
        <f t="shared" si="0"/>
        <v>0</v>
      </c>
      <c r="AD30" s="26">
        <f t="shared" si="1"/>
        <v>0</v>
      </c>
    </row>
    <row r="31" spans="2:30" ht="15" customHeight="1">
      <c r="B31" s="3" t="str">
        <f>_xlfn.IFNA(VLOOKUP(C31,Master!$J:$K,2,0),"")</f>
        <v/>
      </c>
      <c r="D31" s="4" t="str">
        <f>_xlfn.IFNA(VLOOKUP(E31,Master!$J:$K,2,0),"")</f>
        <v/>
      </c>
      <c r="F31" s="4" t="str">
        <f>_xlfn.IFNA(VLOOKUP(G31,Master!B:C,2,0),"")</f>
        <v/>
      </c>
      <c r="I31" s="3" t="str">
        <f>_xlfn.IFNA(VLOOKUP(E31,Master!$J:$M,4,0),"")</f>
        <v/>
      </c>
      <c r="J31" s="3" t="str">
        <f>_xlfn.IFNA(VLOOKUP($E31,Master!$J:$M,3,0),"")</f>
        <v/>
      </c>
      <c r="AC31" s="26">
        <f t="shared" si="0"/>
        <v>0</v>
      </c>
      <c r="AD31" s="26">
        <f t="shared" si="1"/>
        <v>0</v>
      </c>
    </row>
    <row r="32" spans="2:30" ht="15" customHeight="1">
      <c r="B32" s="3" t="str">
        <f>_xlfn.IFNA(VLOOKUP(C32,Master!$J:$K,2,0),"")</f>
        <v/>
      </c>
      <c r="D32" s="4" t="str">
        <f>_xlfn.IFNA(VLOOKUP(E32,Master!$J:$K,2,0),"")</f>
        <v/>
      </c>
      <c r="F32" s="4" t="str">
        <f>_xlfn.IFNA(VLOOKUP(G32,Master!B:C,2,0),"")</f>
        <v/>
      </c>
      <c r="I32" s="3" t="str">
        <f>_xlfn.IFNA(VLOOKUP(E32,Master!$J:$M,4,0),"")</f>
        <v/>
      </c>
      <c r="J32" s="3" t="str">
        <f>_xlfn.IFNA(VLOOKUP($E32,Master!$J:$M,3,0),"")</f>
        <v/>
      </c>
      <c r="AC32" s="26">
        <f t="shared" si="0"/>
        <v>0</v>
      </c>
      <c r="AD32" s="26">
        <f t="shared" si="1"/>
        <v>0</v>
      </c>
    </row>
    <row r="33" spans="2:30" ht="15" customHeight="1">
      <c r="B33" s="3" t="str">
        <f>_xlfn.IFNA(VLOOKUP(C33,Master!$J:$K,2,0),"")</f>
        <v/>
      </c>
      <c r="D33" s="4" t="str">
        <f>_xlfn.IFNA(VLOOKUP(E33,Master!$J:$K,2,0),"")</f>
        <v/>
      </c>
      <c r="F33" s="4" t="str">
        <f>_xlfn.IFNA(VLOOKUP(G33,Master!B:C,2,0),"")</f>
        <v/>
      </c>
      <c r="I33" s="3" t="str">
        <f>_xlfn.IFNA(VLOOKUP(E33,Master!$J:$M,4,0),"")</f>
        <v/>
      </c>
      <c r="J33" s="3" t="str">
        <f>_xlfn.IFNA(VLOOKUP($E33,Master!$J:$M,3,0),"")</f>
        <v/>
      </c>
      <c r="AC33" s="26">
        <f t="shared" si="0"/>
        <v>0</v>
      </c>
      <c r="AD33" s="26">
        <f t="shared" si="1"/>
        <v>0</v>
      </c>
    </row>
    <row r="34" spans="2:30" ht="15" customHeight="1">
      <c r="B34" s="3" t="str">
        <f>_xlfn.IFNA(VLOOKUP(C34,Master!$J:$K,2,0),"")</f>
        <v/>
      </c>
      <c r="D34" s="4" t="str">
        <f>_xlfn.IFNA(VLOOKUP(E34,Master!$J:$K,2,0),"")</f>
        <v/>
      </c>
      <c r="F34" s="4" t="str">
        <f>_xlfn.IFNA(VLOOKUP(G34,Master!B:C,2,0),"")</f>
        <v/>
      </c>
      <c r="I34" s="3" t="str">
        <f>_xlfn.IFNA(VLOOKUP(E34,Master!$J:$M,4,0),"")</f>
        <v/>
      </c>
      <c r="J34" s="3" t="str">
        <f>_xlfn.IFNA(VLOOKUP($E34,Master!$J:$M,3,0),"")</f>
        <v/>
      </c>
      <c r="AC34" s="26">
        <f t="shared" si="0"/>
        <v>0</v>
      </c>
      <c r="AD34" s="26">
        <f t="shared" si="1"/>
        <v>0</v>
      </c>
    </row>
    <row r="35" spans="2:30" ht="15" customHeight="1">
      <c r="B35" s="3" t="str">
        <f>_xlfn.IFNA(VLOOKUP(C35,Master!$J:$K,2,0),"")</f>
        <v/>
      </c>
      <c r="D35" s="4" t="str">
        <f>_xlfn.IFNA(VLOOKUP(E35,Master!$J:$K,2,0),"")</f>
        <v/>
      </c>
      <c r="F35" s="4" t="str">
        <f>_xlfn.IFNA(VLOOKUP(G35,Master!B:C,2,0),"")</f>
        <v/>
      </c>
      <c r="I35" s="3" t="str">
        <f>_xlfn.IFNA(VLOOKUP(E35,Master!$J:$M,4,0),"")</f>
        <v/>
      </c>
      <c r="J35" s="3" t="str">
        <f>_xlfn.IFNA(VLOOKUP($E35,Master!$J:$M,3,0),"")</f>
        <v/>
      </c>
      <c r="AC35" s="26">
        <f t="shared" si="0"/>
        <v>0</v>
      </c>
      <c r="AD35" s="26">
        <f t="shared" si="1"/>
        <v>0</v>
      </c>
    </row>
    <row r="36" spans="2:30" ht="15" customHeight="1">
      <c r="B36" s="3" t="str">
        <f>_xlfn.IFNA(VLOOKUP(C36,Master!$J:$K,2,0),"")</f>
        <v/>
      </c>
      <c r="D36" s="4" t="str">
        <f>_xlfn.IFNA(VLOOKUP(E36,Master!$J:$K,2,0),"")</f>
        <v/>
      </c>
      <c r="F36" s="4" t="str">
        <f>_xlfn.IFNA(VLOOKUP(G36,Master!B:C,2,0),"")</f>
        <v/>
      </c>
      <c r="I36" s="3" t="str">
        <f>_xlfn.IFNA(VLOOKUP(E36,Master!$J:$M,4,0),"")</f>
        <v/>
      </c>
      <c r="J36" s="3" t="str">
        <f>_xlfn.IFNA(VLOOKUP($E36,Master!$J:$M,3,0),"")</f>
        <v/>
      </c>
      <c r="AC36" s="26">
        <f t="shared" si="0"/>
        <v>0</v>
      </c>
      <c r="AD36" s="26">
        <f t="shared" si="1"/>
        <v>0</v>
      </c>
    </row>
    <row r="37" spans="2:30" ht="15" customHeight="1">
      <c r="B37" s="3" t="str">
        <f>_xlfn.IFNA(VLOOKUP(C37,Master!$J:$K,2,0),"")</f>
        <v/>
      </c>
      <c r="D37" s="4" t="str">
        <f>_xlfn.IFNA(VLOOKUP(E37,Master!$J:$K,2,0),"")</f>
        <v/>
      </c>
      <c r="F37" s="4" t="str">
        <f>_xlfn.IFNA(VLOOKUP(G37,Master!B:C,2,0),"")</f>
        <v/>
      </c>
      <c r="I37" s="3" t="str">
        <f>_xlfn.IFNA(VLOOKUP(E37,Master!$J:$M,4,0),"")</f>
        <v/>
      </c>
      <c r="J37" s="3" t="str">
        <f>_xlfn.IFNA(VLOOKUP($E37,Master!$J:$M,3,0),"")</f>
        <v/>
      </c>
      <c r="AC37" s="26">
        <f t="shared" si="0"/>
        <v>0</v>
      </c>
      <c r="AD37" s="26">
        <f t="shared" si="1"/>
        <v>0</v>
      </c>
    </row>
    <row r="38" spans="2:30" ht="15" customHeight="1">
      <c r="B38" s="3" t="str">
        <f>_xlfn.IFNA(VLOOKUP(C38,Master!$J:$K,2,0),"")</f>
        <v/>
      </c>
      <c r="D38" s="4" t="str">
        <f>_xlfn.IFNA(VLOOKUP(E38,Master!$J:$K,2,0),"")</f>
        <v/>
      </c>
      <c r="F38" s="4" t="str">
        <f>_xlfn.IFNA(VLOOKUP(G38,Master!B:C,2,0),"")</f>
        <v/>
      </c>
      <c r="I38" s="3" t="str">
        <f>_xlfn.IFNA(VLOOKUP(E38,Master!$J:$M,4,0),"")</f>
        <v/>
      </c>
      <c r="J38" s="3" t="str">
        <f>_xlfn.IFNA(VLOOKUP($E38,Master!$J:$M,3,0),"")</f>
        <v/>
      </c>
      <c r="AC38" s="26">
        <f t="shared" si="0"/>
        <v>0</v>
      </c>
      <c r="AD38" s="26">
        <f t="shared" si="1"/>
        <v>0</v>
      </c>
    </row>
    <row r="39" spans="2:30" ht="15" customHeight="1">
      <c r="B39" s="3" t="str">
        <f>_xlfn.IFNA(VLOOKUP(C39,Master!$J:$K,2,0),"")</f>
        <v/>
      </c>
      <c r="D39" s="4" t="str">
        <f>_xlfn.IFNA(VLOOKUP(E39,Master!$J:$K,2,0),"")</f>
        <v/>
      </c>
      <c r="F39" s="4" t="str">
        <f>_xlfn.IFNA(VLOOKUP(G39,Master!B:C,2,0),"")</f>
        <v/>
      </c>
      <c r="I39" s="3" t="str">
        <f>_xlfn.IFNA(VLOOKUP(E39,Master!$J:$M,4,0),"")</f>
        <v/>
      </c>
      <c r="J39" s="3" t="str">
        <f>_xlfn.IFNA(VLOOKUP($E39,Master!$J:$M,3,0),"")</f>
        <v/>
      </c>
      <c r="AC39" s="26">
        <f t="shared" si="0"/>
        <v>0</v>
      </c>
      <c r="AD39" s="26">
        <f t="shared" si="1"/>
        <v>0</v>
      </c>
    </row>
    <row r="40" spans="2:30" ht="15" customHeight="1">
      <c r="B40" s="3" t="str">
        <f>_xlfn.IFNA(VLOOKUP(C40,Master!$J:$K,2,0),"")</f>
        <v/>
      </c>
      <c r="D40" s="4" t="str">
        <f>_xlfn.IFNA(VLOOKUP(E40,Master!$J:$K,2,0),"")</f>
        <v/>
      </c>
      <c r="F40" s="4" t="str">
        <f>_xlfn.IFNA(VLOOKUP(G40,Master!B:C,2,0),"")</f>
        <v/>
      </c>
      <c r="I40" s="3" t="str">
        <f>_xlfn.IFNA(VLOOKUP(E40,Master!$J:$M,4,0),"")</f>
        <v/>
      </c>
      <c r="J40" s="3" t="str">
        <f>_xlfn.IFNA(VLOOKUP($E40,Master!$J:$M,3,0),"")</f>
        <v/>
      </c>
      <c r="AC40" s="26">
        <f t="shared" si="0"/>
        <v>0</v>
      </c>
      <c r="AD40" s="26">
        <f t="shared" si="1"/>
        <v>0</v>
      </c>
    </row>
    <row r="41" spans="2:30" ht="15" customHeight="1">
      <c r="B41" s="3" t="str">
        <f>_xlfn.IFNA(VLOOKUP(C41,Master!$J:$K,2,0),"")</f>
        <v/>
      </c>
      <c r="D41" s="4" t="str">
        <f>_xlfn.IFNA(VLOOKUP(E41,Master!$J:$K,2,0),"")</f>
        <v/>
      </c>
      <c r="F41" s="4" t="str">
        <f>_xlfn.IFNA(VLOOKUP(G41,Master!B:C,2,0),"")</f>
        <v/>
      </c>
      <c r="I41" s="3" t="str">
        <f>_xlfn.IFNA(VLOOKUP(E41,Master!$J:$M,4,0),"")</f>
        <v/>
      </c>
      <c r="J41" s="3" t="str">
        <f>_xlfn.IFNA(VLOOKUP($E41,Master!$J:$M,3,0),"")</f>
        <v/>
      </c>
      <c r="AC41" s="26">
        <f t="shared" si="0"/>
        <v>0</v>
      </c>
      <c r="AD41" s="26">
        <f t="shared" si="1"/>
        <v>0</v>
      </c>
    </row>
    <row r="42" spans="2:30" ht="15" customHeight="1">
      <c r="B42" s="3" t="str">
        <f>_xlfn.IFNA(VLOOKUP(C42,Master!$J:$K,2,0),"")</f>
        <v/>
      </c>
      <c r="D42" s="4" t="str">
        <f>_xlfn.IFNA(VLOOKUP(E42,Master!$J:$K,2,0),"")</f>
        <v/>
      </c>
      <c r="F42" s="4" t="str">
        <f>_xlfn.IFNA(VLOOKUP(G42,Master!B:C,2,0),"")</f>
        <v/>
      </c>
      <c r="I42" s="3" t="str">
        <f>_xlfn.IFNA(VLOOKUP(E42,Master!$J:$M,4,0),"")</f>
        <v/>
      </c>
      <c r="J42" s="3" t="str">
        <f>_xlfn.IFNA(VLOOKUP($E42,Master!$J:$M,3,0),"")</f>
        <v/>
      </c>
      <c r="AC42" s="26">
        <f t="shared" si="0"/>
        <v>0</v>
      </c>
      <c r="AD42" s="26">
        <f t="shared" si="1"/>
        <v>0</v>
      </c>
    </row>
    <row r="43" spans="2:30" ht="15" customHeight="1">
      <c r="B43" s="3" t="str">
        <f>_xlfn.IFNA(VLOOKUP(C43,Master!$J:$K,2,0),"")</f>
        <v/>
      </c>
      <c r="D43" s="4" t="str">
        <f>_xlfn.IFNA(VLOOKUP(E43,Master!$J:$K,2,0),"")</f>
        <v/>
      </c>
      <c r="F43" s="4" t="str">
        <f>_xlfn.IFNA(VLOOKUP(G43,Master!B:C,2,0),"")</f>
        <v/>
      </c>
      <c r="I43" s="3" t="str">
        <f>_xlfn.IFNA(VLOOKUP(E43,Master!$J:$M,4,0),"")</f>
        <v/>
      </c>
      <c r="J43" s="3" t="str">
        <f>_xlfn.IFNA(VLOOKUP($E43,Master!$J:$M,3,0),"")</f>
        <v/>
      </c>
      <c r="AC43" s="26">
        <f t="shared" si="0"/>
        <v>0</v>
      </c>
      <c r="AD43" s="26">
        <f t="shared" si="1"/>
        <v>0</v>
      </c>
    </row>
    <row r="44" spans="2:30" ht="15" customHeight="1">
      <c r="B44" s="3" t="str">
        <f>_xlfn.IFNA(VLOOKUP(C44,Master!$J:$K,2,0),"")</f>
        <v/>
      </c>
      <c r="D44" s="4" t="str">
        <f>_xlfn.IFNA(VLOOKUP(E44,Master!$J:$K,2,0),"")</f>
        <v/>
      </c>
      <c r="F44" s="4" t="str">
        <f>_xlfn.IFNA(VLOOKUP(G44,Master!B:C,2,0),"")</f>
        <v/>
      </c>
      <c r="I44" s="3" t="str">
        <f>_xlfn.IFNA(VLOOKUP(E44,Master!$J:$M,4,0),"")</f>
        <v/>
      </c>
      <c r="J44" s="3" t="str">
        <f>_xlfn.IFNA(VLOOKUP($E44,Master!$J:$M,3,0),"")</f>
        <v/>
      </c>
      <c r="AC44" s="26">
        <f t="shared" si="0"/>
        <v>0</v>
      </c>
      <c r="AD44" s="26">
        <f t="shared" si="1"/>
        <v>0</v>
      </c>
    </row>
    <row r="45" spans="2:30" ht="15" customHeight="1">
      <c r="B45" s="3" t="str">
        <f>_xlfn.IFNA(VLOOKUP(C45,Master!$J:$K,2,0),"")</f>
        <v/>
      </c>
      <c r="D45" s="4" t="str">
        <f>_xlfn.IFNA(VLOOKUP(E45,Master!$J:$K,2,0),"")</f>
        <v/>
      </c>
      <c r="F45" s="4" t="str">
        <f>_xlfn.IFNA(VLOOKUP(G45,Master!B:C,2,0),"")</f>
        <v/>
      </c>
      <c r="I45" s="3" t="str">
        <f>_xlfn.IFNA(VLOOKUP(E45,Master!$J:$M,4,0),"")</f>
        <v/>
      </c>
      <c r="J45" s="3" t="str">
        <f>_xlfn.IFNA(VLOOKUP($E45,Master!$J:$M,3,0),"")</f>
        <v/>
      </c>
      <c r="AC45" s="26">
        <f t="shared" si="0"/>
        <v>0</v>
      </c>
      <c r="AD45" s="26">
        <f t="shared" si="1"/>
        <v>0</v>
      </c>
    </row>
    <row r="46" spans="2:30" ht="15" customHeight="1">
      <c r="B46" s="3" t="str">
        <f>_xlfn.IFNA(VLOOKUP(C46,Master!$J:$K,2,0),"")</f>
        <v/>
      </c>
      <c r="D46" s="4" t="str">
        <f>_xlfn.IFNA(VLOOKUP(E46,Master!$J:$K,2,0),"")</f>
        <v/>
      </c>
      <c r="F46" s="4" t="str">
        <f>_xlfn.IFNA(VLOOKUP(G46,Master!B:C,2,0),"")</f>
        <v/>
      </c>
      <c r="I46" s="3" t="str">
        <f>_xlfn.IFNA(VLOOKUP(E46,Master!$J:$M,4,0),"")</f>
        <v/>
      </c>
      <c r="J46" s="3" t="str">
        <f>_xlfn.IFNA(VLOOKUP($E46,Master!$J:$M,3,0),"")</f>
        <v/>
      </c>
      <c r="AC46" s="26">
        <f t="shared" si="0"/>
        <v>0</v>
      </c>
      <c r="AD46" s="26">
        <f t="shared" si="1"/>
        <v>0</v>
      </c>
    </row>
    <row r="47" spans="2:30" ht="15" customHeight="1">
      <c r="B47" s="3" t="str">
        <f>_xlfn.IFNA(VLOOKUP(C47,Master!$J:$K,2,0),"")</f>
        <v/>
      </c>
      <c r="D47" s="4" t="str">
        <f>_xlfn.IFNA(VLOOKUP(E47,Master!$J:$K,2,0),"")</f>
        <v/>
      </c>
      <c r="F47" s="4" t="str">
        <f>_xlfn.IFNA(VLOOKUP(G47,Master!B:C,2,0),"")</f>
        <v/>
      </c>
      <c r="I47" s="3" t="str">
        <f>_xlfn.IFNA(VLOOKUP(E47,Master!$J:$M,4,0),"")</f>
        <v/>
      </c>
      <c r="J47" s="3" t="str">
        <f>_xlfn.IFNA(VLOOKUP($E47,Master!$J:$M,3,0),"")</f>
        <v/>
      </c>
      <c r="AC47" s="26">
        <f t="shared" si="0"/>
        <v>0</v>
      </c>
      <c r="AD47" s="26">
        <f t="shared" si="1"/>
        <v>0</v>
      </c>
    </row>
    <row r="48" spans="2:30" ht="15" customHeight="1">
      <c r="B48" s="3" t="str">
        <f>_xlfn.IFNA(VLOOKUP(C48,Master!$J:$K,2,0),"")</f>
        <v/>
      </c>
      <c r="D48" s="4" t="str">
        <f>_xlfn.IFNA(VLOOKUP(E48,Master!$J:$K,2,0),"")</f>
        <v/>
      </c>
      <c r="F48" s="4" t="str">
        <f>_xlfn.IFNA(VLOOKUP(G48,Master!B:C,2,0),"")</f>
        <v/>
      </c>
      <c r="I48" s="3" t="str">
        <f>_xlfn.IFNA(VLOOKUP(E48,Master!$J:$M,4,0),"")</f>
        <v/>
      </c>
      <c r="J48" s="3" t="str">
        <f>_xlfn.IFNA(VLOOKUP($E48,Master!$J:$M,3,0),"")</f>
        <v/>
      </c>
      <c r="AC48" s="26">
        <f t="shared" si="0"/>
        <v>0</v>
      </c>
      <c r="AD48" s="26">
        <f t="shared" si="1"/>
        <v>0</v>
      </c>
    </row>
    <row r="49" spans="2:30" ht="15" customHeight="1">
      <c r="B49" s="3" t="str">
        <f>_xlfn.IFNA(VLOOKUP(C49,Master!$J:$K,2,0),"")</f>
        <v/>
      </c>
      <c r="D49" s="4" t="str">
        <f>_xlfn.IFNA(VLOOKUP(E49,Master!$J:$K,2,0),"")</f>
        <v/>
      </c>
      <c r="F49" s="4" t="str">
        <f>_xlfn.IFNA(VLOOKUP(G49,Master!B:C,2,0),"")</f>
        <v/>
      </c>
      <c r="I49" s="3" t="str">
        <f>_xlfn.IFNA(VLOOKUP(E49,Master!$J:$M,4,0),"")</f>
        <v/>
      </c>
      <c r="J49" s="3" t="str">
        <f>_xlfn.IFNA(VLOOKUP($E49,Master!$J:$M,3,0),"")</f>
        <v/>
      </c>
      <c r="AC49" s="26">
        <f t="shared" si="0"/>
        <v>0</v>
      </c>
      <c r="AD49" s="26">
        <f t="shared" si="1"/>
        <v>0</v>
      </c>
    </row>
    <row r="50" spans="2:30" ht="15" customHeight="1">
      <c r="B50" s="3" t="str">
        <f>_xlfn.IFNA(VLOOKUP(C50,Master!$J:$K,2,0),"")</f>
        <v/>
      </c>
      <c r="D50" s="4" t="str">
        <f>_xlfn.IFNA(VLOOKUP(E50,Master!$J:$K,2,0),"")</f>
        <v/>
      </c>
      <c r="F50" s="4" t="str">
        <f>_xlfn.IFNA(VLOOKUP(G50,Master!B:C,2,0),"")</f>
        <v/>
      </c>
      <c r="I50" s="3" t="str">
        <f>_xlfn.IFNA(VLOOKUP(E50,Master!$J:$M,4,0),"")</f>
        <v/>
      </c>
      <c r="J50" s="3" t="str">
        <f>_xlfn.IFNA(VLOOKUP($E50,Master!$J:$M,3,0),"")</f>
        <v/>
      </c>
      <c r="AC50" s="26">
        <f t="shared" si="0"/>
        <v>0</v>
      </c>
      <c r="AD50" s="26">
        <f t="shared" si="1"/>
        <v>0</v>
      </c>
    </row>
    <row r="51" spans="2:30" ht="15" customHeight="1">
      <c r="B51" s="3" t="str">
        <f>_xlfn.IFNA(VLOOKUP(C51,Master!$J:$K,2,0),"")</f>
        <v/>
      </c>
      <c r="D51" s="4" t="str">
        <f>_xlfn.IFNA(VLOOKUP(E51,Master!$J:$K,2,0),"")</f>
        <v/>
      </c>
      <c r="F51" s="4" t="str">
        <f>_xlfn.IFNA(VLOOKUP(G51,Master!B:C,2,0),"")</f>
        <v/>
      </c>
      <c r="I51" s="3" t="str">
        <f>_xlfn.IFNA(VLOOKUP(E51,Master!$J:$M,4,0),"")</f>
        <v/>
      </c>
      <c r="J51" s="3" t="str">
        <f>_xlfn.IFNA(VLOOKUP($E51,Master!$J:$M,3,0),"")</f>
        <v/>
      </c>
      <c r="AC51" s="26">
        <f t="shared" si="0"/>
        <v>0</v>
      </c>
      <c r="AD51" s="26">
        <f t="shared" si="1"/>
        <v>0</v>
      </c>
    </row>
    <row r="52" spans="2:30" ht="15" customHeight="1">
      <c r="B52" s="3" t="str">
        <f>_xlfn.IFNA(VLOOKUP(C52,Master!$J:$K,2,0),"")</f>
        <v/>
      </c>
      <c r="D52" s="4" t="str">
        <f>_xlfn.IFNA(VLOOKUP(E52,Master!$J:$K,2,0),"")</f>
        <v/>
      </c>
      <c r="F52" s="4" t="str">
        <f>_xlfn.IFNA(VLOOKUP(G52,Master!B:C,2,0),"")</f>
        <v/>
      </c>
      <c r="I52" s="3" t="str">
        <f>_xlfn.IFNA(VLOOKUP(E52,Master!$J:$M,4,0),"")</f>
        <v/>
      </c>
      <c r="J52" s="3" t="str">
        <f>_xlfn.IFNA(VLOOKUP($E52,Master!$J:$M,3,0),"")</f>
        <v/>
      </c>
      <c r="AC52" s="26">
        <f t="shared" si="0"/>
        <v>0</v>
      </c>
      <c r="AD52" s="26">
        <f t="shared" si="1"/>
        <v>0</v>
      </c>
    </row>
    <row r="53" spans="2:30" ht="15" customHeight="1">
      <c r="B53" s="3" t="str">
        <f>_xlfn.IFNA(VLOOKUP(C53,Master!$J:$K,2,0),"")</f>
        <v/>
      </c>
      <c r="D53" s="4" t="str">
        <f>_xlfn.IFNA(VLOOKUP(E53,Master!$J:$K,2,0),"")</f>
        <v/>
      </c>
      <c r="F53" s="4" t="str">
        <f>_xlfn.IFNA(VLOOKUP(G53,Master!B:C,2,0),"")</f>
        <v/>
      </c>
      <c r="I53" s="3" t="str">
        <f>_xlfn.IFNA(VLOOKUP(E53,Master!$J:$M,4,0),"")</f>
        <v/>
      </c>
      <c r="J53" s="3" t="str">
        <f>_xlfn.IFNA(VLOOKUP($E53,Master!$J:$M,3,0),"")</f>
        <v/>
      </c>
      <c r="AC53" s="26">
        <f t="shared" si="0"/>
        <v>0</v>
      </c>
      <c r="AD53" s="26">
        <f t="shared" si="1"/>
        <v>0</v>
      </c>
    </row>
    <row r="54" spans="2:30" ht="15" customHeight="1">
      <c r="B54" s="3" t="str">
        <f>_xlfn.IFNA(VLOOKUP(C54,Master!$J:$K,2,0),"")</f>
        <v/>
      </c>
      <c r="D54" s="4" t="str">
        <f>_xlfn.IFNA(VLOOKUP(E54,Master!$J:$K,2,0),"")</f>
        <v/>
      </c>
      <c r="F54" s="4" t="str">
        <f>_xlfn.IFNA(VLOOKUP(G54,Master!B:C,2,0),"")</f>
        <v/>
      </c>
      <c r="I54" s="3" t="str">
        <f>_xlfn.IFNA(VLOOKUP(E54,Master!$J:$M,4,0),"")</f>
        <v/>
      </c>
      <c r="J54" s="3" t="str">
        <f>_xlfn.IFNA(VLOOKUP($E54,Master!$J:$M,3,0),"")</f>
        <v/>
      </c>
      <c r="AC54" s="26">
        <f t="shared" si="0"/>
        <v>0</v>
      </c>
      <c r="AD54" s="26">
        <f t="shared" si="1"/>
        <v>0</v>
      </c>
    </row>
    <row r="55" spans="2:30" ht="15" customHeight="1">
      <c r="B55" s="3" t="str">
        <f>_xlfn.IFNA(VLOOKUP(C55,Master!$J:$K,2,0),"")</f>
        <v/>
      </c>
      <c r="D55" s="4" t="str">
        <f>_xlfn.IFNA(VLOOKUP(E55,Master!$J:$K,2,0),"")</f>
        <v/>
      </c>
      <c r="F55" s="4" t="str">
        <f>_xlfn.IFNA(VLOOKUP(G55,Master!B:C,2,0),"")</f>
        <v/>
      </c>
      <c r="I55" s="3" t="str">
        <f>_xlfn.IFNA(VLOOKUP(E55,Master!$J:$M,4,0),"")</f>
        <v/>
      </c>
      <c r="J55" s="3" t="str">
        <f>_xlfn.IFNA(VLOOKUP($E55,Master!$J:$M,3,0),"")</f>
        <v/>
      </c>
      <c r="AC55" s="26">
        <f t="shared" si="0"/>
        <v>0</v>
      </c>
      <c r="AD55" s="26">
        <f t="shared" si="1"/>
        <v>0</v>
      </c>
    </row>
    <row r="56" spans="2:30" ht="15" customHeight="1">
      <c r="B56" s="3" t="str">
        <f>_xlfn.IFNA(VLOOKUP(C56,Master!$J:$K,2,0),"")</f>
        <v/>
      </c>
      <c r="D56" s="4" t="str">
        <f>_xlfn.IFNA(VLOOKUP(E56,Master!$J:$K,2,0),"")</f>
        <v/>
      </c>
      <c r="F56" s="4" t="str">
        <f>_xlfn.IFNA(VLOOKUP(G56,Master!B:C,2,0),"")</f>
        <v/>
      </c>
      <c r="I56" s="3" t="str">
        <f>_xlfn.IFNA(VLOOKUP(E56,Master!$J:$M,4,0),"")</f>
        <v/>
      </c>
      <c r="J56" s="3" t="str">
        <f>_xlfn.IFNA(VLOOKUP($E56,Master!$J:$M,3,0),"")</f>
        <v/>
      </c>
      <c r="AC56" s="26">
        <f t="shared" si="0"/>
        <v>0</v>
      </c>
      <c r="AD56" s="26">
        <f t="shared" si="1"/>
        <v>0</v>
      </c>
    </row>
    <row r="57" spans="2:30" ht="15" customHeight="1">
      <c r="B57" s="3" t="str">
        <f>_xlfn.IFNA(VLOOKUP(C57,Master!$J:$K,2,0),"")</f>
        <v/>
      </c>
      <c r="D57" s="4" t="str">
        <f>_xlfn.IFNA(VLOOKUP(E57,Master!$J:$K,2,0),"")</f>
        <v/>
      </c>
      <c r="F57" s="4" t="str">
        <f>_xlfn.IFNA(VLOOKUP(G57,Master!B:C,2,0),"")</f>
        <v/>
      </c>
      <c r="I57" s="3" t="str">
        <f>_xlfn.IFNA(VLOOKUP(E57,Master!$J:$M,4,0),"")</f>
        <v/>
      </c>
      <c r="J57" s="3" t="str">
        <f>_xlfn.IFNA(VLOOKUP($E57,Master!$J:$M,3,0),"")</f>
        <v/>
      </c>
      <c r="AC57" s="26">
        <f t="shared" si="0"/>
        <v>0</v>
      </c>
      <c r="AD57" s="26">
        <f t="shared" si="1"/>
        <v>0</v>
      </c>
    </row>
    <row r="58" spans="2:30" ht="15" customHeight="1">
      <c r="B58" s="3" t="str">
        <f>_xlfn.IFNA(VLOOKUP(C58,Master!$J:$K,2,0),"")</f>
        <v/>
      </c>
      <c r="D58" s="4" t="str">
        <f>_xlfn.IFNA(VLOOKUP(E58,Master!$J:$K,2,0),"")</f>
        <v/>
      </c>
      <c r="F58" s="4" t="str">
        <f>_xlfn.IFNA(VLOOKUP(G58,Master!B:C,2,0),"")</f>
        <v/>
      </c>
      <c r="I58" s="3" t="str">
        <f>_xlfn.IFNA(VLOOKUP(E58,Master!$J:$M,4,0),"")</f>
        <v/>
      </c>
      <c r="J58" s="3" t="str">
        <f>_xlfn.IFNA(VLOOKUP($E58,Master!$J:$M,3,0),"")</f>
        <v/>
      </c>
      <c r="AC58" s="26">
        <f t="shared" si="0"/>
        <v>0</v>
      </c>
      <c r="AD58" s="26">
        <f t="shared" si="1"/>
        <v>0</v>
      </c>
    </row>
    <row r="59" spans="2:30" ht="15" customHeight="1">
      <c r="B59" s="3" t="str">
        <f>_xlfn.IFNA(VLOOKUP(C59,Master!$J:$K,2,0),"")</f>
        <v/>
      </c>
      <c r="D59" s="4" t="str">
        <f>_xlfn.IFNA(VLOOKUP(E59,Master!$J:$K,2,0),"")</f>
        <v/>
      </c>
      <c r="F59" s="4" t="str">
        <f>_xlfn.IFNA(VLOOKUP(G59,Master!B:C,2,0),"")</f>
        <v/>
      </c>
      <c r="I59" s="3" t="str">
        <f>_xlfn.IFNA(VLOOKUP(E59,Master!$J:$M,4,0),"")</f>
        <v/>
      </c>
      <c r="J59" s="3" t="str">
        <f>_xlfn.IFNA(VLOOKUP($E59,Master!$J:$M,3,0),"")</f>
        <v/>
      </c>
      <c r="AC59" s="26">
        <f t="shared" si="0"/>
        <v>0</v>
      </c>
      <c r="AD59" s="26">
        <f t="shared" si="1"/>
        <v>0</v>
      </c>
    </row>
    <row r="60" spans="2:30" ht="15" customHeight="1">
      <c r="B60" s="3" t="str">
        <f>_xlfn.IFNA(VLOOKUP(C60,Master!$J:$K,2,0),"")</f>
        <v/>
      </c>
      <c r="D60" s="4" t="str">
        <f>_xlfn.IFNA(VLOOKUP(E60,Master!$J:$K,2,0),"")</f>
        <v/>
      </c>
      <c r="F60" s="4" t="str">
        <f>_xlfn.IFNA(VLOOKUP(G60,Master!B:C,2,0),"")</f>
        <v/>
      </c>
      <c r="I60" s="3" t="str">
        <f>_xlfn.IFNA(VLOOKUP(E60,Master!$J:$M,4,0),"")</f>
        <v/>
      </c>
      <c r="J60" s="3" t="str">
        <f>_xlfn.IFNA(VLOOKUP($E60,Master!$J:$M,3,0),"")</f>
        <v/>
      </c>
      <c r="AC60" s="26">
        <f t="shared" si="0"/>
        <v>0</v>
      </c>
      <c r="AD60" s="26">
        <f t="shared" si="1"/>
        <v>0</v>
      </c>
    </row>
    <row r="61" spans="2:30" ht="15" customHeight="1">
      <c r="B61" s="3" t="str">
        <f>_xlfn.IFNA(VLOOKUP(C61,Master!$J:$K,2,0),"")</f>
        <v/>
      </c>
      <c r="D61" s="4" t="str">
        <f>_xlfn.IFNA(VLOOKUP(E61,Master!$J:$K,2,0),"")</f>
        <v/>
      </c>
      <c r="F61" s="4" t="str">
        <f>_xlfn.IFNA(VLOOKUP(G61,Master!B:C,2,0),"")</f>
        <v/>
      </c>
      <c r="I61" s="3" t="str">
        <f>_xlfn.IFNA(VLOOKUP(E61,Master!$J:$M,4,0),"")</f>
        <v/>
      </c>
      <c r="J61" s="3" t="str">
        <f>_xlfn.IFNA(VLOOKUP($E61,Master!$J:$M,3,0),"")</f>
        <v/>
      </c>
      <c r="AC61" s="26">
        <f t="shared" si="0"/>
        <v>0</v>
      </c>
      <c r="AD61" s="26">
        <f t="shared" si="1"/>
        <v>0</v>
      </c>
    </row>
    <row r="62" spans="2:30" ht="15" customHeight="1">
      <c r="B62" s="3" t="str">
        <f>_xlfn.IFNA(VLOOKUP(C62,Master!$J:$K,2,0),"")</f>
        <v/>
      </c>
      <c r="D62" s="4" t="str">
        <f>_xlfn.IFNA(VLOOKUP(E62,Master!$J:$K,2,0),"")</f>
        <v/>
      </c>
      <c r="F62" s="4" t="str">
        <f>_xlfn.IFNA(VLOOKUP(G62,Master!B:C,2,0),"")</f>
        <v/>
      </c>
      <c r="I62" s="3" t="str">
        <f>_xlfn.IFNA(VLOOKUP(E62,Master!$J:$M,4,0),"")</f>
        <v/>
      </c>
      <c r="J62" s="3" t="str">
        <f>_xlfn.IFNA(VLOOKUP($E62,Master!$J:$M,3,0),"")</f>
        <v/>
      </c>
      <c r="AC62" s="26">
        <f t="shared" si="0"/>
        <v>0</v>
      </c>
      <c r="AD62" s="26">
        <f t="shared" si="1"/>
        <v>0</v>
      </c>
    </row>
    <row r="63" spans="2:30" ht="15" customHeight="1">
      <c r="B63" s="3" t="str">
        <f>_xlfn.IFNA(VLOOKUP(C63,Master!$J:$K,2,0),"")</f>
        <v/>
      </c>
      <c r="D63" s="4" t="str">
        <f>_xlfn.IFNA(VLOOKUP(E63,Master!$J:$K,2,0),"")</f>
        <v/>
      </c>
      <c r="F63" s="4" t="str">
        <f>_xlfn.IFNA(VLOOKUP(G63,Master!B:C,2,0),"")</f>
        <v/>
      </c>
      <c r="I63" s="3" t="str">
        <f>_xlfn.IFNA(VLOOKUP(E63,Master!$J:$M,4,0),"")</f>
        <v/>
      </c>
      <c r="J63" s="3" t="str">
        <f>_xlfn.IFNA(VLOOKUP($E63,Master!$J:$M,3,0),"")</f>
        <v/>
      </c>
      <c r="AC63" s="26">
        <f t="shared" si="0"/>
        <v>0</v>
      </c>
      <c r="AD63" s="26">
        <f t="shared" si="1"/>
        <v>0</v>
      </c>
    </row>
    <row r="64" spans="2:30" ht="15" customHeight="1">
      <c r="B64" s="3" t="str">
        <f>_xlfn.IFNA(VLOOKUP(C64,Master!$J:$K,2,0),"")</f>
        <v/>
      </c>
      <c r="D64" s="4" t="str">
        <f>_xlfn.IFNA(VLOOKUP(E64,Master!$J:$K,2,0),"")</f>
        <v/>
      </c>
      <c r="F64" s="4" t="str">
        <f>_xlfn.IFNA(VLOOKUP(G64,Master!B:C,2,0),"")</f>
        <v/>
      </c>
      <c r="I64" s="3" t="str">
        <f>_xlfn.IFNA(VLOOKUP(E64,Master!$J:$M,4,0),"")</f>
        <v/>
      </c>
      <c r="J64" s="3" t="str">
        <f>_xlfn.IFNA(VLOOKUP($E64,Master!$J:$M,3,0),"")</f>
        <v/>
      </c>
      <c r="AC64" s="26">
        <f t="shared" si="0"/>
        <v>0</v>
      </c>
      <c r="AD64" s="26">
        <f t="shared" si="1"/>
        <v>0</v>
      </c>
    </row>
    <row r="65" spans="2:30" ht="15" customHeight="1">
      <c r="B65" s="3" t="str">
        <f>_xlfn.IFNA(VLOOKUP(C65,Master!$J:$K,2,0),"")</f>
        <v/>
      </c>
      <c r="D65" s="4" t="str">
        <f>_xlfn.IFNA(VLOOKUP(E65,Master!$J:$K,2,0),"")</f>
        <v/>
      </c>
      <c r="F65" s="4" t="str">
        <f>_xlfn.IFNA(VLOOKUP(G65,Master!B:C,2,0),"")</f>
        <v/>
      </c>
      <c r="I65" s="3" t="str">
        <f>_xlfn.IFNA(VLOOKUP(E65,Master!$J:$M,4,0),"")</f>
        <v/>
      </c>
      <c r="J65" s="3" t="str">
        <f>_xlfn.IFNA(VLOOKUP($E65,Master!$J:$M,3,0),"")</f>
        <v/>
      </c>
      <c r="AC65" s="26">
        <f t="shared" si="0"/>
        <v>0</v>
      </c>
      <c r="AD65" s="26">
        <f t="shared" si="1"/>
        <v>0</v>
      </c>
    </row>
    <row r="66" spans="2:30" ht="15" customHeight="1">
      <c r="B66" s="3" t="str">
        <f>_xlfn.IFNA(VLOOKUP(C66,Master!$J:$K,2,0),"")</f>
        <v/>
      </c>
      <c r="D66" s="4" t="str">
        <f>_xlfn.IFNA(VLOOKUP(E66,Master!$J:$K,2,0),"")</f>
        <v/>
      </c>
      <c r="F66" s="4" t="str">
        <f>_xlfn.IFNA(VLOOKUP(G66,Master!B:C,2,0),"")</f>
        <v/>
      </c>
      <c r="I66" s="3" t="str">
        <f>_xlfn.IFNA(VLOOKUP(E66,Master!$J:$M,4,0),"")</f>
        <v/>
      </c>
      <c r="J66" s="3" t="str">
        <f>_xlfn.IFNA(VLOOKUP($E66,Master!$J:$M,3,0),"")</f>
        <v/>
      </c>
      <c r="AC66" s="26">
        <f t="shared" ref="AC66:AC129" si="2">SUM(K66:P66)</f>
        <v>0</v>
      </c>
      <c r="AD66" s="26">
        <f t="shared" ref="AD66:AD129" si="3">SUM(Q66:AB66)</f>
        <v>0</v>
      </c>
    </row>
    <row r="67" spans="2:30" ht="15" customHeight="1">
      <c r="B67" s="3" t="str">
        <f>_xlfn.IFNA(VLOOKUP(C67,Master!$J:$K,2,0),"")</f>
        <v/>
      </c>
      <c r="D67" s="4" t="str">
        <f>_xlfn.IFNA(VLOOKUP(E67,Master!$J:$K,2,0),"")</f>
        <v/>
      </c>
      <c r="F67" s="4" t="str">
        <f>_xlfn.IFNA(VLOOKUP(G67,Master!B:C,2,0),"")</f>
        <v/>
      </c>
      <c r="I67" s="3" t="str">
        <f>_xlfn.IFNA(VLOOKUP(E67,Master!$J:$M,4,0),"")</f>
        <v/>
      </c>
      <c r="J67" s="3" t="str">
        <f>_xlfn.IFNA(VLOOKUP($E67,Master!$J:$M,3,0),"")</f>
        <v/>
      </c>
      <c r="AC67" s="26">
        <f t="shared" si="2"/>
        <v>0</v>
      </c>
      <c r="AD67" s="26">
        <f t="shared" si="3"/>
        <v>0</v>
      </c>
    </row>
    <row r="68" spans="2:30" ht="15" customHeight="1">
      <c r="B68" s="3" t="str">
        <f>_xlfn.IFNA(VLOOKUP(C68,Master!$J:$K,2,0),"")</f>
        <v/>
      </c>
      <c r="D68" s="4" t="str">
        <f>_xlfn.IFNA(VLOOKUP(E68,Master!$J:$K,2,0),"")</f>
        <v/>
      </c>
      <c r="F68" s="4" t="str">
        <f>_xlfn.IFNA(VLOOKUP(G68,Master!B:C,2,0),"")</f>
        <v/>
      </c>
      <c r="I68" s="3" t="str">
        <f>_xlfn.IFNA(VLOOKUP(E68,Master!$J:$M,4,0),"")</f>
        <v/>
      </c>
      <c r="J68" s="3" t="str">
        <f>_xlfn.IFNA(VLOOKUP($E68,Master!$J:$M,3,0),"")</f>
        <v/>
      </c>
      <c r="AC68" s="26">
        <f t="shared" si="2"/>
        <v>0</v>
      </c>
      <c r="AD68" s="26">
        <f t="shared" si="3"/>
        <v>0</v>
      </c>
    </row>
    <row r="69" spans="2:30" ht="15" customHeight="1">
      <c r="B69" s="3" t="str">
        <f>_xlfn.IFNA(VLOOKUP(C69,Master!$J:$K,2,0),"")</f>
        <v/>
      </c>
      <c r="D69" s="4" t="str">
        <f>_xlfn.IFNA(VLOOKUP(E69,Master!$J:$K,2,0),"")</f>
        <v/>
      </c>
      <c r="F69" s="4" t="str">
        <f>_xlfn.IFNA(VLOOKUP(G69,Master!B:C,2,0),"")</f>
        <v/>
      </c>
      <c r="I69" s="3" t="str">
        <f>_xlfn.IFNA(VLOOKUP(E69,Master!$J:$M,4,0),"")</f>
        <v/>
      </c>
      <c r="J69" s="3" t="str">
        <f>_xlfn.IFNA(VLOOKUP($E69,Master!$J:$M,3,0),"")</f>
        <v/>
      </c>
      <c r="AC69" s="26">
        <f t="shared" si="2"/>
        <v>0</v>
      </c>
      <c r="AD69" s="26">
        <f t="shared" si="3"/>
        <v>0</v>
      </c>
    </row>
    <row r="70" spans="2:30" ht="15" customHeight="1">
      <c r="B70" s="3" t="str">
        <f>_xlfn.IFNA(VLOOKUP(C70,Master!$J:$K,2,0),"")</f>
        <v/>
      </c>
      <c r="D70" s="4" t="str">
        <f>_xlfn.IFNA(VLOOKUP(E70,Master!$J:$K,2,0),"")</f>
        <v/>
      </c>
      <c r="F70" s="4" t="str">
        <f>_xlfn.IFNA(VLOOKUP(G70,Master!B:C,2,0),"")</f>
        <v/>
      </c>
      <c r="I70" s="3" t="str">
        <f>_xlfn.IFNA(VLOOKUP(E70,Master!$J:$M,4,0),"")</f>
        <v/>
      </c>
      <c r="J70" s="3" t="str">
        <f>_xlfn.IFNA(VLOOKUP($E70,Master!$J:$M,3,0),"")</f>
        <v/>
      </c>
      <c r="AC70" s="26">
        <f t="shared" si="2"/>
        <v>0</v>
      </c>
      <c r="AD70" s="26">
        <f t="shared" si="3"/>
        <v>0</v>
      </c>
    </row>
    <row r="71" spans="2:30" ht="15" customHeight="1">
      <c r="B71" s="3" t="str">
        <f>_xlfn.IFNA(VLOOKUP(C71,Master!$J:$K,2,0),"")</f>
        <v/>
      </c>
      <c r="D71" s="4" t="str">
        <f>_xlfn.IFNA(VLOOKUP(E71,Master!$J:$K,2,0),"")</f>
        <v/>
      </c>
      <c r="F71" s="4" t="str">
        <f>_xlfn.IFNA(VLOOKUP(G71,Master!B:C,2,0),"")</f>
        <v/>
      </c>
      <c r="I71" s="3" t="str">
        <f>_xlfn.IFNA(VLOOKUP(E71,Master!$J:$M,4,0),"")</f>
        <v/>
      </c>
      <c r="J71" s="3" t="str">
        <f>_xlfn.IFNA(VLOOKUP($E71,Master!$J:$M,3,0),"")</f>
        <v/>
      </c>
      <c r="AC71" s="26">
        <f t="shared" si="2"/>
        <v>0</v>
      </c>
      <c r="AD71" s="26">
        <f t="shared" si="3"/>
        <v>0</v>
      </c>
    </row>
    <row r="72" spans="2:30" ht="15" customHeight="1">
      <c r="B72" s="3" t="str">
        <f>_xlfn.IFNA(VLOOKUP(C72,Master!$J:$K,2,0),"")</f>
        <v/>
      </c>
      <c r="D72" s="4" t="str">
        <f>_xlfn.IFNA(VLOOKUP(E72,Master!$J:$K,2,0),"")</f>
        <v/>
      </c>
      <c r="F72" s="4" t="str">
        <f>_xlfn.IFNA(VLOOKUP(G72,Master!B:C,2,0),"")</f>
        <v/>
      </c>
      <c r="I72" s="3" t="str">
        <f>_xlfn.IFNA(VLOOKUP(E72,Master!$J:$M,4,0),"")</f>
        <v/>
      </c>
      <c r="J72" s="3" t="str">
        <f>_xlfn.IFNA(VLOOKUP($E72,Master!$J:$M,3,0),"")</f>
        <v/>
      </c>
      <c r="AC72" s="26">
        <f t="shared" si="2"/>
        <v>0</v>
      </c>
      <c r="AD72" s="26">
        <f t="shared" si="3"/>
        <v>0</v>
      </c>
    </row>
    <row r="73" spans="2:30" ht="15" customHeight="1">
      <c r="B73" s="3" t="str">
        <f>_xlfn.IFNA(VLOOKUP(C73,Master!$J:$K,2,0),"")</f>
        <v/>
      </c>
      <c r="D73" s="4" t="str">
        <f>_xlfn.IFNA(VLOOKUP(E73,Master!$J:$K,2,0),"")</f>
        <v/>
      </c>
      <c r="F73" s="4" t="str">
        <f>_xlfn.IFNA(VLOOKUP(G73,Master!B:C,2,0),"")</f>
        <v/>
      </c>
      <c r="I73" s="3" t="str">
        <f>_xlfn.IFNA(VLOOKUP(E73,Master!$J:$M,4,0),"")</f>
        <v/>
      </c>
      <c r="J73" s="3" t="str">
        <f>_xlfn.IFNA(VLOOKUP($E73,Master!$J:$M,3,0),"")</f>
        <v/>
      </c>
      <c r="AC73" s="26">
        <f t="shared" si="2"/>
        <v>0</v>
      </c>
      <c r="AD73" s="26">
        <f t="shared" si="3"/>
        <v>0</v>
      </c>
    </row>
    <row r="74" spans="2:30" ht="15" customHeight="1">
      <c r="B74" s="3" t="str">
        <f>_xlfn.IFNA(VLOOKUP(C74,Master!$J:$K,2,0),"")</f>
        <v/>
      </c>
      <c r="D74" s="4" t="str">
        <f>_xlfn.IFNA(VLOOKUP(E74,Master!$J:$K,2,0),"")</f>
        <v/>
      </c>
      <c r="F74" s="4" t="str">
        <f>_xlfn.IFNA(VLOOKUP(G74,Master!B:C,2,0),"")</f>
        <v/>
      </c>
      <c r="I74" s="3" t="str">
        <f>_xlfn.IFNA(VLOOKUP(E74,Master!$J:$M,4,0),"")</f>
        <v/>
      </c>
      <c r="J74" s="3" t="str">
        <f>_xlfn.IFNA(VLOOKUP($E74,Master!$J:$M,3,0),"")</f>
        <v/>
      </c>
      <c r="AC74" s="26">
        <f t="shared" si="2"/>
        <v>0</v>
      </c>
      <c r="AD74" s="26">
        <f t="shared" si="3"/>
        <v>0</v>
      </c>
    </row>
    <row r="75" spans="2:30" ht="15" customHeight="1">
      <c r="B75" s="3" t="str">
        <f>_xlfn.IFNA(VLOOKUP(C75,Master!$J:$K,2,0),"")</f>
        <v/>
      </c>
      <c r="D75" s="4" t="str">
        <f>_xlfn.IFNA(VLOOKUP(E75,Master!$J:$K,2,0),"")</f>
        <v/>
      </c>
      <c r="F75" s="4" t="str">
        <f>_xlfn.IFNA(VLOOKUP(G75,Master!B:C,2,0),"")</f>
        <v/>
      </c>
      <c r="I75" s="3" t="str">
        <f>_xlfn.IFNA(VLOOKUP(E75,Master!$J:$M,4,0),"")</f>
        <v/>
      </c>
      <c r="J75" s="3" t="str">
        <f>_xlfn.IFNA(VLOOKUP($E75,Master!$J:$M,3,0),"")</f>
        <v/>
      </c>
      <c r="AC75" s="26">
        <f t="shared" si="2"/>
        <v>0</v>
      </c>
      <c r="AD75" s="26">
        <f t="shared" si="3"/>
        <v>0</v>
      </c>
    </row>
    <row r="76" spans="2:30" ht="15" customHeight="1">
      <c r="B76" s="3" t="str">
        <f>_xlfn.IFNA(VLOOKUP(C76,Master!$J:$K,2,0),"")</f>
        <v/>
      </c>
      <c r="D76" s="4" t="str">
        <f>_xlfn.IFNA(VLOOKUP(E76,Master!$J:$K,2,0),"")</f>
        <v/>
      </c>
      <c r="F76" s="4" t="str">
        <f>_xlfn.IFNA(VLOOKUP(G76,Master!B:C,2,0),"")</f>
        <v/>
      </c>
      <c r="I76" s="3" t="str">
        <f>_xlfn.IFNA(VLOOKUP(E76,Master!$J:$M,4,0),"")</f>
        <v/>
      </c>
      <c r="J76" s="3" t="str">
        <f>_xlfn.IFNA(VLOOKUP($E76,Master!$J:$M,3,0),"")</f>
        <v/>
      </c>
      <c r="AC76" s="26">
        <f t="shared" si="2"/>
        <v>0</v>
      </c>
      <c r="AD76" s="26">
        <f t="shared" si="3"/>
        <v>0</v>
      </c>
    </row>
    <row r="77" spans="2:30" ht="15" customHeight="1">
      <c r="B77" s="3" t="str">
        <f>_xlfn.IFNA(VLOOKUP(C77,Master!$J:$K,2,0),"")</f>
        <v/>
      </c>
      <c r="D77" s="4" t="str">
        <f>_xlfn.IFNA(VLOOKUP(E77,Master!$J:$K,2,0),"")</f>
        <v/>
      </c>
      <c r="F77" s="4" t="str">
        <f>_xlfn.IFNA(VLOOKUP(G77,Master!B:C,2,0),"")</f>
        <v/>
      </c>
      <c r="I77" s="3" t="str">
        <f>_xlfn.IFNA(VLOOKUP(E77,Master!$J:$M,4,0),"")</f>
        <v/>
      </c>
      <c r="J77" s="3" t="str">
        <f>_xlfn.IFNA(VLOOKUP($E77,Master!$J:$M,3,0),"")</f>
        <v/>
      </c>
      <c r="AC77" s="26">
        <f t="shared" si="2"/>
        <v>0</v>
      </c>
      <c r="AD77" s="26">
        <f t="shared" si="3"/>
        <v>0</v>
      </c>
    </row>
    <row r="78" spans="2:30" ht="15" customHeight="1">
      <c r="B78" s="3" t="str">
        <f>_xlfn.IFNA(VLOOKUP(C78,Master!$J:$K,2,0),"")</f>
        <v/>
      </c>
      <c r="D78" s="4" t="str">
        <f>_xlfn.IFNA(VLOOKUP(E78,Master!$J:$K,2,0),"")</f>
        <v/>
      </c>
      <c r="F78" s="4" t="str">
        <f>_xlfn.IFNA(VLOOKUP(G78,Master!B:C,2,0),"")</f>
        <v/>
      </c>
      <c r="I78" s="3" t="str">
        <f>_xlfn.IFNA(VLOOKUP(E78,Master!$J:$M,4,0),"")</f>
        <v/>
      </c>
      <c r="J78" s="3" t="str">
        <f>_xlfn.IFNA(VLOOKUP($E78,Master!$J:$M,3,0),"")</f>
        <v/>
      </c>
      <c r="AC78" s="26">
        <f t="shared" si="2"/>
        <v>0</v>
      </c>
      <c r="AD78" s="26">
        <f t="shared" si="3"/>
        <v>0</v>
      </c>
    </row>
    <row r="79" spans="2:30" ht="15" customHeight="1">
      <c r="B79" s="3" t="str">
        <f>_xlfn.IFNA(VLOOKUP(C79,Master!$J:$K,2,0),"")</f>
        <v/>
      </c>
      <c r="D79" s="4" t="str">
        <f>_xlfn.IFNA(VLOOKUP(E79,Master!$J:$K,2,0),"")</f>
        <v/>
      </c>
      <c r="F79" s="4" t="str">
        <f>_xlfn.IFNA(VLOOKUP(G79,Master!B:C,2,0),"")</f>
        <v/>
      </c>
      <c r="I79" s="3" t="str">
        <f>_xlfn.IFNA(VLOOKUP(E79,Master!$J:$M,4,0),"")</f>
        <v/>
      </c>
      <c r="J79" s="3" t="str">
        <f>_xlfn.IFNA(VLOOKUP($E79,Master!$J:$M,3,0),"")</f>
        <v/>
      </c>
      <c r="AC79" s="26">
        <f t="shared" si="2"/>
        <v>0</v>
      </c>
      <c r="AD79" s="26">
        <f t="shared" si="3"/>
        <v>0</v>
      </c>
    </row>
    <row r="80" spans="2:30" ht="15" customHeight="1">
      <c r="B80" s="3" t="str">
        <f>_xlfn.IFNA(VLOOKUP(C80,Master!$J:$K,2,0),"")</f>
        <v/>
      </c>
      <c r="D80" s="4" t="str">
        <f>_xlfn.IFNA(VLOOKUP(E80,Master!$J:$K,2,0),"")</f>
        <v/>
      </c>
      <c r="F80" s="4" t="str">
        <f>_xlfn.IFNA(VLOOKUP(G80,Master!B:C,2,0),"")</f>
        <v/>
      </c>
      <c r="I80" s="3" t="str">
        <f>_xlfn.IFNA(VLOOKUP(E80,Master!$J:$M,4,0),"")</f>
        <v/>
      </c>
      <c r="J80" s="3" t="str">
        <f>_xlfn.IFNA(VLOOKUP($E80,Master!$J:$M,3,0),"")</f>
        <v/>
      </c>
      <c r="AC80" s="26">
        <f t="shared" si="2"/>
        <v>0</v>
      </c>
      <c r="AD80" s="26">
        <f t="shared" si="3"/>
        <v>0</v>
      </c>
    </row>
    <row r="81" spans="2:30" ht="15" customHeight="1">
      <c r="B81" s="3" t="str">
        <f>_xlfn.IFNA(VLOOKUP(C81,Master!$J:$K,2,0),"")</f>
        <v/>
      </c>
      <c r="D81" s="4" t="str">
        <f>_xlfn.IFNA(VLOOKUP(E81,Master!$J:$K,2,0),"")</f>
        <v/>
      </c>
      <c r="F81" s="4" t="str">
        <f>_xlfn.IFNA(VLOOKUP(G81,Master!B:C,2,0),"")</f>
        <v/>
      </c>
      <c r="I81" s="3" t="str">
        <f>_xlfn.IFNA(VLOOKUP(E81,Master!$J:$M,4,0),"")</f>
        <v/>
      </c>
      <c r="J81" s="3" t="str">
        <f>_xlfn.IFNA(VLOOKUP($E81,Master!$J:$M,3,0),"")</f>
        <v/>
      </c>
      <c r="AC81" s="26">
        <f t="shared" si="2"/>
        <v>0</v>
      </c>
      <c r="AD81" s="26">
        <f t="shared" si="3"/>
        <v>0</v>
      </c>
    </row>
    <row r="82" spans="2:30" ht="15" customHeight="1">
      <c r="B82" s="3" t="str">
        <f>_xlfn.IFNA(VLOOKUP(C82,Master!$J:$K,2,0),"")</f>
        <v/>
      </c>
      <c r="D82" s="4" t="str">
        <f>_xlfn.IFNA(VLOOKUP(E82,Master!$J:$K,2,0),"")</f>
        <v/>
      </c>
      <c r="F82" s="4" t="str">
        <f>_xlfn.IFNA(VLOOKUP(G82,Master!B:C,2,0),"")</f>
        <v/>
      </c>
      <c r="I82" s="3" t="str">
        <f>_xlfn.IFNA(VLOOKUP(E82,Master!$J:$M,4,0),"")</f>
        <v/>
      </c>
      <c r="J82" s="3" t="str">
        <f>_xlfn.IFNA(VLOOKUP($E82,Master!$J:$M,3,0),"")</f>
        <v/>
      </c>
      <c r="AC82" s="26">
        <f t="shared" si="2"/>
        <v>0</v>
      </c>
      <c r="AD82" s="26">
        <f t="shared" si="3"/>
        <v>0</v>
      </c>
    </row>
    <row r="83" spans="2:30" ht="15" customHeight="1">
      <c r="B83" s="3" t="str">
        <f>_xlfn.IFNA(VLOOKUP(C83,Master!$J:$K,2,0),"")</f>
        <v/>
      </c>
      <c r="D83" s="4" t="str">
        <f>_xlfn.IFNA(VLOOKUP(E83,Master!$J:$K,2,0),"")</f>
        <v/>
      </c>
      <c r="F83" s="4" t="str">
        <f>_xlfn.IFNA(VLOOKUP(G83,Master!B:C,2,0),"")</f>
        <v/>
      </c>
      <c r="I83" s="3" t="str">
        <f>_xlfn.IFNA(VLOOKUP(E83,Master!$J:$M,4,0),"")</f>
        <v/>
      </c>
      <c r="J83" s="3" t="str">
        <f>_xlfn.IFNA(VLOOKUP($E83,Master!$J:$M,3,0),"")</f>
        <v/>
      </c>
      <c r="AC83" s="26">
        <f t="shared" si="2"/>
        <v>0</v>
      </c>
      <c r="AD83" s="26">
        <f t="shared" si="3"/>
        <v>0</v>
      </c>
    </row>
    <row r="84" spans="2:30" ht="15" customHeight="1">
      <c r="B84" s="3" t="str">
        <f>_xlfn.IFNA(VLOOKUP(C84,Master!$J:$K,2,0),"")</f>
        <v/>
      </c>
      <c r="D84" s="4" t="str">
        <f>_xlfn.IFNA(VLOOKUP(E84,Master!$J:$K,2,0),"")</f>
        <v/>
      </c>
      <c r="F84" s="4" t="str">
        <f>_xlfn.IFNA(VLOOKUP(G84,Master!B:C,2,0),"")</f>
        <v/>
      </c>
      <c r="I84" s="3" t="str">
        <f>_xlfn.IFNA(VLOOKUP(E84,Master!$J:$M,4,0),"")</f>
        <v/>
      </c>
      <c r="J84" s="3" t="str">
        <f>_xlfn.IFNA(VLOOKUP($E84,Master!$J:$M,3,0),"")</f>
        <v/>
      </c>
      <c r="AC84" s="26">
        <f t="shared" si="2"/>
        <v>0</v>
      </c>
      <c r="AD84" s="26">
        <f t="shared" si="3"/>
        <v>0</v>
      </c>
    </row>
    <row r="85" spans="2:30" ht="15" customHeight="1">
      <c r="B85" s="3" t="str">
        <f>_xlfn.IFNA(VLOOKUP(C85,Master!$J:$K,2,0),"")</f>
        <v/>
      </c>
      <c r="D85" s="4" t="str">
        <f>_xlfn.IFNA(VLOOKUP(E85,Master!$J:$K,2,0),"")</f>
        <v/>
      </c>
      <c r="F85" s="4" t="str">
        <f>_xlfn.IFNA(VLOOKUP(G85,Master!B:C,2,0),"")</f>
        <v/>
      </c>
      <c r="I85" s="3" t="str">
        <f>_xlfn.IFNA(VLOOKUP(E85,Master!$J:$M,4,0),"")</f>
        <v/>
      </c>
      <c r="J85" s="3" t="str">
        <f>_xlfn.IFNA(VLOOKUP($E85,Master!$J:$M,3,0),"")</f>
        <v/>
      </c>
      <c r="AC85" s="26">
        <f t="shared" si="2"/>
        <v>0</v>
      </c>
      <c r="AD85" s="26">
        <f t="shared" si="3"/>
        <v>0</v>
      </c>
    </row>
    <row r="86" spans="2:30" ht="15" customHeight="1">
      <c r="B86" s="3" t="str">
        <f>_xlfn.IFNA(VLOOKUP(C86,Master!$J:$K,2,0),"")</f>
        <v/>
      </c>
      <c r="D86" s="4" t="str">
        <f>_xlfn.IFNA(VLOOKUP(E86,Master!$J:$K,2,0),"")</f>
        <v/>
      </c>
      <c r="F86" s="4" t="str">
        <f>_xlfn.IFNA(VLOOKUP(G86,Master!B:C,2,0),"")</f>
        <v/>
      </c>
      <c r="I86" s="3" t="str">
        <f>_xlfn.IFNA(VLOOKUP(E86,Master!$J:$M,4,0),"")</f>
        <v/>
      </c>
      <c r="J86" s="3" t="str">
        <f>_xlfn.IFNA(VLOOKUP($E86,Master!$J:$M,3,0),"")</f>
        <v/>
      </c>
      <c r="AC86" s="26">
        <f t="shared" si="2"/>
        <v>0</v>
      </c>
      <c r="AD86" s="26">
        <f t="shared" si="3"/>
        <v>0</v>
      </c>
    </row>
    <row r="87" spans="2:30" ht="15" customHeight="1">
      <c r="B87" s="3" t="str">
        <f>_xlfn.IFNA(VLOOKUP(C87,Master!$J:$K,2,0),"")</f>
        <v/>
      </c>
      <c r="D87" s="4" t="str">
        <f>_xlfn.IFNA(VLOOKUP(E87,Master!$J:$K,2,0),"")</f>
        <v/>
      </c>
      <c r="F87" s="4" t="str">
        <f>_xlfn.IFNA(VLOOKUP(G87,Master!B:C,2,0),"")</f>
        <v/>
      </c>
      <c r="I87" s="3" t="str">
        <f>_xlfn.IFNA(VLOOKUP(E87,Master!$J:$M,4,0),"")</f>
        <v/>
      </c>
      <c r="J87" s="3" t="str">
        <f>_xlfn.IFNA(VLOOKUP($E87,Master!$J:$M,3,0),"")</f>
        <v/>
      </c>
      <c r="AC87" s="26">
        <f t="shared" si="2"/>
        <v>0</v>
      </c>
      <c r="AD87" s="26">
        <f t="shared" si="3"/>
        <v>0</v>
      </c>
    </row>
    <row r="88" spans="2:30" ht="15" customHeight="1">
      <c r="B88" s="3" t="str">
        <f>_xlfn.IFNA(VLOOKUP(C88,Master!$J:$K,2,0),"")</f>
        <v/>
      </c>
      <c r="D88" s="4" t="str">
        <f>_xlfn.IFNA(VLOOKUP(E88,Master!$J:$K,2,0),"")</f>
        <v/>
      </c>
      <c r="F88" s="4" t="str">
        <f>_xlfn.IFNA(VLOOKUP(G88,Master!B:C,2,0),"")</f>
        <v/>
      </c>
      <c r="I88" s="3" t="str">
        <f>_xlfn.IFNA(VLOOKUP(E88,Master!$J:$M,4,0),"")</f>
        <v/>
      </c>
      <c r="J88" s="3" t="str">
        <f>_xlfn.IFNA(VLOOKUP($E88,Master!$J:$M,3,0),"")</f>
        <v/>
      </c>
      <c r="AC88" s="26">
        <f t="shared" si="2"/>
        <v>0</v>
      </c>
      <c r="AD88" s="26">
        <f t="shared" si="3"/>
        <v>0</v>
      </c>
    </row>
    <row r="89" spans="2:30" ht="15" customHeight="1">
      <c r="B89" s="3" t="str">
        <f>_xlfn.IFNA(VLOOKUP(C89,Master!$J:$K,2,0),"")</f>
        <v/>
      </c>
      <c r="D89" s="4" t="str">
        <f>_xlfn.IFNA(VLOOKUP(E89,Master!$J:$K,2,0),"")</f>
        <v/>
      </c>
      <c r="F89" s="4" t="str">
        <f>_xlfn.IFNA(VLOOKUP(G89,Master!B:C,2,0),"")</f>
        <v/>
      </c>
      <c r="I89" s="3" t="str">
        <f>_xlfn.IFNA(VLOOKUP(E89,Master!$J:$M,4,0),"")</f>
        <v/>
      </c>
      <c r="J89" s="3" t="str">
        <f>_xlfn.IFNA(VLOOKUP($E89,Master!$J:$M,3,0),"")</f>
        <v/>
      </c>
      <c r="AC89" s="26">
        <f t="shared" si="2"/>
        <v>0</v>
      </c>
      <c r="AD89" s="26">
        <f t="shared" si="3"/>
        <v>0</v>
      </c>
    </row>
    <row r="90" spans="2:30" ht="15" customHeight="1">
      <c r="B90" s="3" t="str">
        <f>_xlfn.IFNA(VLOOKUP(C90,Master!$J:$K,2,0),"")</f>
        <v/>
      </c>
      <c r="D90" s="4" t="str">
        <f>_xlfn.IFNA(VLOOKUP(E90,Master!$J:$K,2,0),"")</f>
        <v/>
      </c>
      <c r="F90" s="4" t="str">
        <f>_xlfn.IFNA(VLOOKUP(G90,Master!B:C,2,0),"")</f>
        <v/>
      </c>
      <c r="I90" s="3" t="str">
        <f>_xlfn.IFNA(VLOOKUP(E90,Master!$J:$M,4,0),"")</f>
        <v/>
      </c>
      <c r="J90" s="3" t="str">
        <f>_xlfn.IFNA(VLOOKUP($E90,Master!$J:$M,3,0),"")</f>
        <v/>
      </c>
      <c r="AC90" s="26">
        <f t="shared" si="2"/>
        <v>0</v>
      </c>
      <c r="AD90" s="26">
        <f t="shared" si="3"/>
        <v>0</v>
      </c>
    </row>
    <row r="91" spans="2:30" ht="15" customHeight="1">
      <c r="B91" s="3" t="str">
        <f>_xlfn.IFNA(VLOOKUP(C91,Master!$J:$K,2,0),"")</f>
        <v/>
      </c>
      <c r="D91" s="4" t="str">
        <f>_xlfn.IFNA(VLOOKUP(E91,Master!$J:$K,2,0),"")</f>
        <v/>
      </c>
      <c r="F91" s="4" t="str">
        <f>_xlfn.IFNA(VLOOKUP(G91,Master!B:C,2,0),"")</f>
        <v/>
      </c>
      <c r="I91" s="3" t="str">
        <f>_xlfn.IFNA(VLOOKUP(E91,Master!$J:$M,4,0),"")</f>
        <v/>
      </c>
      <c r="J91" s="3" t="str">
        <f>_xlfn.IFNA(VLOOKUP($E91,Master!$J:$M,3,0),"")</f>
        <v/>
      </c>
      <c r="AC91" s="26">
        <f t="shared" si="2"/>
        <v>0</v>
      </c>
      <c r="AD91" s="26">
        <f t="shared" si="3"/>
        <v>0</v>
      </c>
    </row>
    <row r="92" spans="2:30" ht="15" customHeight="1">
      <c r="B92" s="3" t="str">
        <f>_xlfn.IFNA(VLOOKUP(C92,Master!$J:$K,2,0),"")</f>
        <v/>
      </c>
      <c r="D92" s="4" t="str">
        <f>_xlfn.IFNA(VLOOKUP(E92,Master!$J:$K,2,0),"")</f>
        <v/>
      </c>
      <c r="F92" s="4" t="str">
        <f>_xlfn.IFNA(VLOOKUP(G92,Master!B:C,2,0),"")</f>
        <v/>
      </c>
      <c r="I92" s="3" t="str">
        <f>_xlfn.IFNA(VLOOKUP(E92,Master!$J:$M,4,0),"")</f>
        <v/>
      </c>
      <c r="J92" s="3" t="str">
        <f>_xlfn.IFNA(VLOOKUP($E92,Master!$J:$M,3,0),"")</f>
        <v/>
      </c>
      <c r="AC92" s="26">
        <f t="shared" si="2"/>
        <v>0</v>
      </c>
      <c r="AD92" s="26">
        <f t="shared" si="3"/>
        <v>0</v>
      </c>
    </row>
    <row r="93" spans="2:30" ht="15" customHeight="1">
      <c r="B93" s="3" t="str">
        <f>_xlfn.IFNA(VLOOKUP(C93,Master!$J:$K,2,0),"")</f>
        <v/>
      </c>
      <c r="D93" s="4" t="str">
        <f>_xlfn.IFNA(VLOOKUP(E93,Master!$J:$K,2,0),"")</f>
        <v/>
      </c>
      <c r="F93" s="4" t="str">
        <f>_xlfn.IFNA(VLOOKUP(G93,Master!B:C,2,0),"")</f>
        <v/>
      </c>
      <c r="I93" s="3" t="str">
        <f>_xlfn.IFNA(VLOOKUP(E93,Master!$J:$M,4,0),"")</f>
        <v/>
      </c>
      <c r="J93" s="3" t="str">
        <f>_xlfn.IFNA(VLOOKUP($E93,Master!$J:$M,3,0),"")</f>
        <v/>
      </c>
      <c r="AC93" s="26">
        <f t="shared" si="2"/>
        <v>0</v>
      </c>
      <c r="AD93" s="26">
        <f t="shared" si="3"/>
        <v>0</v>
      </c>
    </row>
    <row r="94" spans="2:30" ht="15" customHeight="1">
      <c r="B94" s="3" t="str">
        <f>_xlfn.IFNA(VLOOKUP(C94,Master!$J:$K,2,0),"")</f>
        <v/>
      </c>
      <c r="D94" s="4" t="str">
        <f>_xlfn.IFNA(VLOOKUP(E94,Master!$J:$K,2,0),"")</f>
        <v/>
      </c>
      <c r="F94" s="4" t="str">
        <f>_xlfn.IFNA(VLOOKUP(G94,Master!B:C,2,0),"")</f>
        <v/>
      </c>
      <c r="I94" s="3" t="str">
        <f>_xlfn.IFNA(VLOOKUP(E94,Master!$J:$M,4,0),"")</f>
        <v/>
      </c>
      <c r="J94" s="3" t="str">
        <f>_xlfn.IFNA(VLOOKUP($E94,Master!$J:$M,3,0),"")</f>
        <v/>
      </c>
      <c r="AC94" s="26">
        <f t="shared" si="2"/>
        <v>0</v>
      </c>
      <c r="AD94" s="26">
        <f t="shared" si="3"/>
        <v>0</v>
      </c>
    </row>
    <row r="95" spans="2:30" ht="15" customHeight="1">
      <c r="B95" s="3" t="str">
        <f>_xlfn.IFNA(VLOOKUP(C95,Master!$J:$K,2,0),"")</f>
        <v/>
      </c>
      <c r="D95" s="4" t="str">
        <f>_xlfn.IFNA(VLOOKUP(E95,Master!$J:$K,2,0),"")</f>
        <v/>
      </c>
      <c r="F95" s="4" t="str">
        <f>_xlfn.IFNA(VLOOKUP(G95,Master!B:C,2,0),"")</f>
        <v/>
      </c>
      <c r="I95" s="3" t="str">
        <f>_xlfn.IFNA(VLOOKUP(E95,Master!$J:$M,4,0),"")</f>
        <v/>
      </c>
      <c r="J95" s="3" t="str">
        <f>_xlfn.IFNA(VLOOKUP($E95,Master!$J:$M,3,0),"")</f>
        <v/>
      </c>
      <c r="AC95" s="26">
        <f t="shared" si="2"/>
        <v>0</v>
      </c>
      <c r="AD95" s="26">
        <f t="shared" si="3"/>
        <v>0</v>
      </c>
    </row>
    <row r="96" spans="2:30" ht="15" customHeight="1">
      <c r="B96" s="3" t="str">
        <f>_xlfn.IFNA(VLOOKUP(C96,Master!$J:$K,2,0),"")</f>
        <v/>
      </c>
      <c r="D96" s="4" t="str">
        <f>_xlfn.IFNA(VLOOKUP(E96,Master!$J:$K,2,0),"")</f>
        <v/>
      </c>
      <c r="F96" s="4" t="str">
        <f>_xlfn.IFNA(VLOOKUP(G96,Master!B:C,2,0),"")</f>
        <v/>
      </c>
      <c r="I96" s="3" t="str">
        <f>_xlfn.IFNA(VLOOKUP(E96,Master!$J:$M,4,0),"")</f>
        <v/>
      </c>
      <c r="J96" s="3" t="str">
        <f>_xlfn.IFNA(VLOOKUP($E96,Master!$J:$M,3,0),"")</f>
        <v/>
      </c>
      <c r="AC96" s="26">
        <f t="shared" si="2"/>
        <v>0</v>
      </c>
      <c r="AD96" s="26">
        <f t="shared" si="3"/>
        <v>0</v>
      </c>
    </row>
    <row r="97" spans="2:30" ht="15" customHeight="1">
      <c r="B97" s="3" t="str">
        <f>_xlfn.IFNA(VLOOKUP(C97,Master!$J:$K,2,0),"")</f>
        <v/>
      </c>
      <c r="D97" s="4" t="str">
        <f>_xlfn.IFNA(VLOOKUP(E97,Master!$J:$K,2,0),"")</f>
        <v/>
      </c>
      <c r="F97" s="4" t="str">
        <f>_xlfn.IFNA(VLOOKUP(G97,Master!B:C,2,0),"")</f>
        <v/>
      </c>
      <c r="I97" s="3" t="str">
        <f>_xlfn.IFNA(VLOOKUP(E97,Master!$J:$M,4,0),"")</f>
        <v/>
      </c>
      <c r="J97" s="3" t="str">
        <f>_xlfn.IFNA(VLOOKUP($E97,Master!$J:$M,3,0),"")</f>
        <v/>
      </c>
      <c r="AC97" s="26">
        <f t="shared" si="2"/>
        <v>0</v>
      </c>
      <c r="AD97" s="26">
        <f t="shared" si="3"/>
        <v>0</v>
      </c>
    </row>
    <row r="98" spans="2:30" ht="15" customHeight="1">
      <c r="B98" s="3" t="str">
        <f>_xlfn.IFNA(VLOOKUP(C98,Master!$J:$K,2,0),"")</f>
        <v/>
      </c>
      <c r="D98" s="4" t="str">
        <f>_xlfn.IFNA(VLOOKUP(E98,Master!$J:$K,2,0),"")</f>
        <v/>
      </c>
      <c r="F98" s="4" t="str">
        <f>_xlfn.IFNA(VLOOKUP(G98,Master!B:C,2,0),"")</f>
        <v/>
      </c>
      <c r="I98" s="3" t="str">
        <f>_xlfn.IFNA(VLOOKUP(E98,Master!$J:$M,4,0),"")</f>
        <v/>
      </c>
      <c r="J98" s="3" t="str">
        <f>_xlfn.IFNA(VLOOKUP($E98,Master!$J:$M,3,0),"")</f>
        <v/>
      </c>
      <c r="AC98" s="26">
        <f t="shared" si="2"/>
        <v>0</v>
      </c>
      <c r="AD98" s="26">
        <f t="shared" si="3"/>
        <v>0</v>
      </c>
    </row>
    <row r="99" spans="2:30" ht="15" customHeight="1">
      <c r="B99" s="3" t="str">
        <f>_xlfn.IFNA(VLOOKUP(C99,Master!$J:$K,2,0),"")</f>
        <v/>
      </c>
      <c r="D99" s="4" t="str">
        <f>_xlfn.IFNA(VLOOKUP(E99,Master!$J:$K,2,0),"")</f>
        <v/>
      </c>
      <c r="F99" s="4" t="str">
        <f>_xlfn.IFNA(VLOOKUP(G99,Master!B:C,2,0),"")</f>
        <v/>
      </c>
      <c r="I99" s="3" t="str">
        <f>_xlfn.IFNA(VLOOKUP(E99,Master!$J:$M,4,0),"")</f>
        <v/>
      </c>
      <c r="J99" s="3" t="str">
        <f>_xlfn.IFNA(VLOOKUP($E99,Master!$J:$M,3,0),"")</f>
        <v/>
      </c>
      <c r="AC99" s="26">
        <f t="shared" si="2"/>
        <v>0</v>
      </c>
      <c r="AD99" s="26">
        <f t="shared" si="3"/>
        <v>0</v>
      </c>
    </row>
    <row r="100" spans="2:30" ht="15" customHeight="1">
      <c r="B100" s="3" t="str">
        <f>_xlfn.IFNA(VLOOKUP(C100,Master!$J:$K,2,0),"")</f>
        <v/>
      </c>
      <c r="D100" s="4" t="str">
        <f>_xlfn.IFNA(VLOOKUP(E100,Master!$J:$K,2,0),"")</f>
        <v/>
      </c>
      <c r="F100" s="4" t="str">
        <f>_xlfn.IFNA(VLOOKUP(G100,Master!B:C,2,0),"")</f>
        <v/>
      </c>
      <c r="I100" s="3" t="str">
        <f>_xlfn.IFNA(VLOOKUP(E100,Master!$J:$M,4,0),"")</f>
        <v/>
      </c>
      <c r="J100" s="3" t="str">
        <f>_xlfn.IFNA(VLOOKUP($E100,Master!$J:$M,3,0),"")</f>
        <v/>
      </c>
      <c r="AC100" s="26">
        <f t="shared" si="2"/>
        <v>0</v>
      </c>
      <c r="AD100" s="26">
        <f t="shared" si="3"/>
        <v>0</v>
      </c>
    </row>
    <row r="101" spans="2:30" ht="15" customHeight="1">
      <c r="B101" s="3" t="str">
        <f>_xlfn.IFNA(VLOOKUP(C101,Master!$J:$K,2,0),"")</f>
        <v/>
      </c>
      <c r="D101" s="4" t="str">
        <f>_xlfn.IFNA(VLOOKUP(E101,Master!$J:$K,2,0),"")</f>
        <v/>
      </c>
      <c r="F101" s="4" t="str">
        <f>_xlfn.IFNA(VLOOKUP(G101,Master!B:C,2,0),"")</f>
        <v/>
      </c>
      <c r="I101" s="3" t="str">
        <f>_xlfn.IFNA(VLOOKUP(E101,Master!$J:$M,4,0),"")</f>
        <v/>
      </c>
      <c r="J101" s="3" t="str">
        <f>_xlfn.IFNA(VLOOKUP($E101,Master!$J:$M,3,0),"")</f>
        <v/>
      </c>
      <c r="AC101" s="26">
        <f t="shared" si="2"/>
        <v>0</v>
      </c>
      <c r="AD101" s="26">
        <f t="shared" si="3"/>
        <v>0</v>
      </c>
    </row>
    <row r="102" spans="2:30" ht="15" customHeight="1">
      <c r="B102" s="3" t="str">
        <f>_xlfn.IFNA(VLOOKUP(C102,Master!$J:$K,2,0),"")</f>
        <v/>
      </c>
      <c r="D102" s="4" t="str">
        <f>_xlfn.IFNA(VLOOKUP(E102,Master!$J:$K,2,0),"")</f>
        <v/>
      </c>
      <c r="F102" s="4" t="str">
        <f>_xlfn.IFNA(VLOOKUP(G102,Master!B:C,2,0),"")</f>
        <v/>
      </c>
      <c r="I102" s="3" t="str">
        <f>_xlfn.IFNA(VLOOKUP(E102,Master!$J:$M,4,0),"")</f>
        <v/>
      </c>
      <c r="J102" s="3" t="str">
        <f>_xlfn.IFNA(VLOOKUP($E102,Master!$J:$M,3,0),"")</f>
        <v/>
      </c>
      <c r="AC102" s="26">
        <f t="shared" si="2"/>
        <v>0</v>
      </c>
      <c r="AD102" s="26">
        <f t="shared" si="3"/>
        <v>0</v>
      </c>
    </row>
    <row r="103" spans="2:30" ht="15" customHeight="1">
      <c r="B103" s="3" t="str">
        <f>_xlfn.IFNA(VLOOKUP(C103,Master!$J:$K,2,0),"")</f>
        <v/>
      </c>
      <c r="D103" s="4" t="str">
        <f>_xlfn.IFNA(VLOOKUP(E103,Master!$J:$K,2,0),"")</f>
        <v/>
      </c>
      <c r="F103" s="4" t="str">
        <f>_xlfn.IFNA(VLOOKUP(G103,Master!B:C,2,0),"")</f>
        <v/>
      </c>
      <c r="I103" s="3" t="str">
        <f>_xlfn.IFNA(VLOOKUP(E103,Master!$J:$M,4,0),"")</f>
        <v/>
      </c>
      <c r="J103" s="3" t="str">
        <f>_xlfn.IFNA(VLOOKUP($E103,Master!$J:$M,3,0),"")</f>
        <v/>
      </c>
      <c r="AC103" s="26">
        <f t="shared" si="2"/>
        <v>0</v>
      </c>
      <c r="AD103" s="26">
        <f t="shared" si="3"/>
        <v>0</v>
      </c>
    </row>
    <row r="104" spans="2:30" ht="15" customHeight="1">
      <c r="B104" s="3" t="str">
        <f>_xlfn.IFNA(VLOOKUP(C104,Master!$J:$K,2,0),"")</f>
        <v/>
      </c>
      <c r="D104" s="4" t="str">
        <f>_xlfn.IFNA(VLOOKUP(E104,Master!$J:$K,2,0),"")</f>
        <v/>
      </c>
      <c r="F104" s="4" t="str">
        <f>_xlfn.IFNA(VLOOKUP(G104,Master!B:C,2,0),"")</f>
        <v/>
      </c>
      <c r="I104" s="3" t="str">
        <f>_xlfn.IFNA(VLOOKUP(E104,Master!$J:$M,4,0),"")</f>
        <v/>
      </c>
      <c r="J104" s="3" t="str">
        <f>_xlfn.IFNA(VLOOKUP($E104,Master!$J:$M,3,0),"")</f>
        <v/>
      </c>
      <c r="AC104" s="26">
        <f t="shared" si="2"/>
        <v>0</v>
      </c>
      <c r="AD104" s="26">
        <f t="shared" si="3"/>
        <v>0</v>
      </c>
    </row>
    <row r="105" spans="2:30" ht="15" customHeight="1">
      <c r="B105" s="3" t="str">
        <f>_xlfn.IFNA(VLOOKUP(C105,Master!$J:$K,2,0),"")</f>
        <v/>
      </c>
      <c r="D105" s="4" t="str">
        <f>_xlfn.IFNA(VLOOKUP(E105,Master!$J:$K,2,0),"")</f>
        <v/>
      </c>
      <c r="F105" s="4" t="str">
        <f>_xlfn.IFNA(VLOOKUP(G105,Master!B:C,2,0),"")</f>
        <v/>
      </c>
      <c r="I105" s="3" t="str">
        <f>_xlfn.IFNA(VLOOKUP(E105,Master!$J:$M,4,0),"")</f>
        <v/>
      </c>
      <c r="J105" s="3" t="str">
        <f>_xlfn.IFNA(VLOOKUP($E105,Master!$J:$M,3,0),"")</f>
        <v/>
      </c>
      <c r="AC105" s="26">
        <f t="shared" si="2"/>
        <v>0</v>
      </c>
      <c r="AD105" s="26">
        <f t="shared" si="3"/>
        <v>0</v>
      </c>
    </row>
    <row r="106" spans="2:30" ht="15" customHeight="1">
      <c r="B106" s="3" t="str">
        <f>_xlfn.IFNA(VLOOKUP(C106,Master!$J:$K,2,0),"")</f>
        <v/>
      </c>
      <c r="D106" s="4" t="str">
        <f>_xlfn.IFNA(VLOOKUP(E106,Master!$J:$K,2,0),"")</f>
        <v/>
      </c>
      <c r="F106" s="4" t="str">
        <f>_xlfn.IFNA(VLOOKUP(G106,Master!B:C,2,0),"")</f>
        <v/>
      </c>
      <c r="I106" s="3" t="str">
        <f>_xlfn.IFNA(VLOOKUP(E106,Master!$J:$M,4,0),"")</f>
        <v/>
      </c>
      <c r="J106" s="3" t="str">
        <f>_xlfn.IFNA(VLOOKUP($E106,Master!$J:$M,3,0),"")</f>
        <v/>
      </c>
      <c r="AC106" s="26">
        <f t="shared" si="2"/>
        <v>0</v>
      </c>
      <c r="AD106" s="26">
        <f t="shared" si="3"/>
        <v>0</v>
      </c>
    </row>
    <row r="107" spans="2:30" ht="15" customHeight="1">
      <c r="B107" s="3" t="str">
        <f>_xlfn.IFNA(VLOOKUP(C107,Master!$J:$K,2,0),"")</f>
        <v/>
      </c>
      <c r="D107" s="4" t="str">
        <f>_xlfn.IFNA(VLOOKUP(E107,Master!$J:$K,2,0),"")</f>
        <v/>
      </c>
      <c r="F107" s="4" t="str">
        <f>_xlfn.IFNA(VLOOKUP(G107,Master!B:C,2,0),"")</f>
        <v/>
      </c>
      <c r="I107" s="3" t="str">
        <f>_xlfn.IFNA(VLOOKUP(E107,Master!$J:$M,4,0),"")</f>
        <v/>
      </c>
      <c r="J107" s="3" t="str">
        <f>_xlfn.IFNA(VLOOKUP($E107,Master!$J:$M,3,0),"")</f>
        <v/>
      </c>
      <c r="AC107" s="26">
        <f t="shared" si="2"/>
        <v>0</v>
      </c>
      <c r="AD107" s="26">
        <f t="shared" si="3"/>
        <v>0</v>
      </c>
    </row>
    <row r="108" spans="2:30" ht="15" customHeight="1">
      <c r="B108" s="3" t="str">
        <f>_xlfn.IFNA(VLOOKUP(C108,Master!$J:$K,2,0),"")</f>
        <v/>
      </c>
      <c r="D108" s="4" t="str">
        <f>_xlfn.IFNA(VLOOKUP(E108,Master!$J:$K,2,0),"")</f>
        <v/>
      </c>
      <c r="F108" s="4" t="str">
        <f>_xlfn.IFNA(VLOOKUP(G108,Master!B:C,2,0),"")</f>
        <v/>
      </c>
      <c r="I108" s="3" t="str">
        <f>_xlfn.IFNA(VLOOKUP(E108,Master!$J:$M,4,0),"")</f>
        <v/>
      </c>
      <c r="J108" s="3" t="str">
        <f>_xlfn.IFNA(VLOOKUP($E108,Master!$J:$M,3,0),"")</f>
        <v/>
      </c>
      <c r="AC108" s="26">
        <f t="shared" si="2"/>
        <v>0</v>
      </c>
      <c r="AD108" s="26">
        <f t="shared" si="3"/>
        <v>0</v>
      </c>
    </row>
    <row r="109" spans="2:30" ht="15" customHeight="1">
      <c r="B109" s="3" t="str">
        <f>_xlfn.IFNA(VLOOKUP(C109,Master!$J:$K,2,0),"")</f>
        <v/>
      </c>
      <c r="D109" s="4" t="str">
        <f>_xlfn.IFNA(VLOOKUP(E109,Master!$J:$K,2,0),"")</f>
        <v/>
      </c>
      <c r="F109" s="4" t="str">
        <f>_xlfn.IFNA(VLOOKUP(G109,Master!B:C,2,0),"")</f>
        <v/>
      </c>
      <c r="I109" s="3" t="str">
        <f>_xlfn.IFNA(VLOOKUP(E109,Master!$J:$M,4,0),"")</f>
        <v/>
      </c>
      <c r="J109" s="3" t="str">
        <f>_xlfn.IFNA(VLOOKUP($E109,Master!$J:$M,3,0),"")</f>
        <v/>
      </c>
      <c r="AC109" s="26">
        <f t="shared" si="2"/>
        <v>0</v>
      </c>
      <c r="AD109" s="26">
        <f t="shared" si="3"/>
        <v>0</v>
      </c>
    </row>
    <row r="110" spans="2:30" ht="15" customHeight="1">
      <c r="B110" s="3" t="str">
        <f>_xlfn.IFNA(VLOOKUP(C110,Master!$J:$K,2,0),"")</f>
        <v/>
      </c>
      <c r="D110" s="4" t="str">
        <f>_xlfn.IFNA(VLOOKUP(E110,Master!$J:$K,2,0),"")</f>
        <v/>
      </c>
      <c r="F110" s="4" t="str">
        <f>_xlfn.IFNA(VLOOKUP(G110,Master!B:C,2,0),"")</f>
        <v/>
      </c>
      <c r="I110" s="3" t="str">
        <f>_xlfn.IFNA(VLOOKUP(E110,Master!$J:$M,4,0),"")</f>
        <v/>
      </c>
      <c r="J110" s="3" t="str">
        <f>_xlfn.IFNA(VLOOKUP($E110,Master!$J:$M,3,0),"")</f>
        <v/>
      </c>
      <c r="AC110" s="26">
        <f t="shared" si="2"/>
        <v>0</v>
      </c>
      <c r="AD110" s="26">
        <f t="shared" si="3"/>
        <v>0</v>
      </c>
    </row>
    <row r="111" spans="2:30" ht="15" customHeight="1">
      <c r="B111" s="3" t="str">
        <f>_xlfn.IFNA(VLOOKUP(C111,Master!$J:$K,2,0),"")</f>
        <v/>
      </c>
      <c r="D111" s="4" t="str">
        <f>_xlfn.IFNA(VLOOKUP(E111,Master!$J:$K,2,0),"")</f>
        <v/>
      </c>
      <c r="F111" s="4" t="str">
        <f>_xlfn.IFNA(VLOOKUP(G111,Master!B:C,2,0),"")</f>
        <v/>
      </c>
      <c r="I111" s="3" t="str">
        <f>_xlfn.IFNA(VLOOKUP(E111,Master!$J:$M,4,0),"")</f>
        <v/>
      </c>
      <c r="J111" s="3" t="str">
        <f>_xlfn.IFNA(VLOOKUP($E111,Master!$J:$M,3,0),"")</f>
        <v/>
      </c>
      <c r="AC111" s="26">
        <f t="shared" si="2"/>
        <v>0</v>
      </c>
      <c r="AD111" s="26">
        <f t="shared" si="3"/>
        <v>0</v>
      </c>
    </row>
    <row r="112" spans="2:30" ht="15" customHeight="1">
      <c r="B112" s="3" t="str">
        <f>_xlfn.IFNA(VLOOKUP(C112,Master!$J:$K,2,0),"")</f>
        <v/>
      </c>
      <c r="D112" s="4" t="str">
        <f>_xlfn.IFNA(VLOOKUP(E112,Master!$J:$K,2,0),"")</f>
        <v/>
      </c>
      <c r="F112" s="4" t="str">
        <f>_xlfn.IFNA(VLOOKUP(G112,Master!B:C,2,0),"")</f>
        <v/>
      </c>
      <c r="I112" s="3" t="str">
        <f>_xlfn.IFNA(VLOOKUP(E112,Master!$J:$M,4,0),"")</f>
        <v/>
      </c>
      <c r="J112" s="3" t="str">
        <f>_xlfn.IFNA(VLOOKUP($E112,Master!$J:$M,3,0),"")</f>
        <v/>
      </c>
      <c r="AC112" s="26">
        <f t="shared" si="2"/>
        <v>0</v>
      </c>
      <c r="AD112" s="26">
        <f t="shared" si="3"/>
        <v>0</v>
      </c>
    </row>
    <row r="113" spans="2:30" ht="15" customHeight="1">
      <c r="B113" s="3" t="str">
        <f>_xlfn.IFNA(VLOOKUP(C113,Master!$J:$K,2,0),"")</f>
        <v/>
      </c>
      <c r="D113" s="4" t="str">
        <f>_xlfn.IFNA(VLOOKUP(E113,Master!$J:$K,2,0),"")</f>
        <v/>
      </c>
      <c r="F113" s="4" t="str">
        <f>_xlfn.IFNA(VLOOKUP(G113,Master!B:C,2,0),"")</f>
        <v/>
      </c>
      <c r="I113" s="3" t="str">
        <f>_xlfn.IFNA(VLOOKUP(E113,Master!$J:$M,4,0),"")</f>
        <v/>
      </c>
      <c r="J113" s="3" t="str">
        <f>_xlfn.IFNA(VLOOKUP($E113,Master!$J:$M,3,0),"")</f>
        <v/>
      </c>
      <c r="AC113" s="26">
        <f t="shared" si="2"/>
        <v>0</v>
      </c>
      <c r="AD113" s="26">
        <f t="shared" si="3"/>
        <v>0</v>
      </c>
    </row>
    <row r="114" spans="2:30" ht="15" customHeight="1">
      <c r="B114" s="3" t="str">
        <f>_xlfn.IFNA(VLOOKUP(C114,Master!$J:$K,2,0),"")</f>
        <v/>
      </c>
      <c r="D114" s="4" t="str">
        <f>_xlfn.IFNA(VLOOKUP(E114,Master!$J:$K,2,0),"")</f>
        <v/>
      </c>
      <c r="F114" s="4" t="str">
        <f>_xlfn.IFNA(VLOOKUP(G114,Master!B:C,2,0),"")</f>
        <v/>
      </c>
      <c r="I114" s="3" t="str">
        <f>_xlfn.IFNA(VLOOKUP(E114,Master!$J:$M,4,0),"")</f>
        <v/>
      </c>
      <c r="J114" s="3" t="str">
        <f>_xlfn.IFNA(VLOOKUP($E114,Master!$J:$M,3,0),"")</f>
        <v/>
      </c>
      <c r="AC114" s="26">
        <f t="shared" si="2"/>
        <v>0</v>
      </c>
      <c r="AD114" s="26">
        <f t="shared" si="3"/>
        <v>0</v>
      </c>
    </row>
    <row r="115" spans="2:30" ht="15" customHeight="1">
      <c r="B115" s="3" t="str">
        <f>_xlfn.IFNA(VLOOKUP(C115,Master!$J:$K,2,0),"")</f>
        <v/>
      </c>
      <c r="D115" s="4" t="str">
        <f>_xlfn.IFNA(VLOOKUP(E115,Master!$J:$K,2,0),"")</f>
        <v/>
      </c>
      <c r="F115" s="4" t="str">
        <f>_xlfn.IFNA(VLOOKUP(G115,Master!B:C,2,0),"")</f>
        <v/>
      </c>
      <c r="I115" s="3" t="str">
        <f>_xlfn.IFNA(VLOOKUP(E115,Master!$J:$M,4,0),"")</f>
        <v/>
      </c>
      <c r="J115" s="3" t="str">
        <f>_xlfn.IFNA(VLOOKUP($E115,Master!$J:$M,3,0),"")</f>
        <v/>
      </c>
      <c r="AC115" s="26">
        <f t="shared" si="2"/>
        <v>0</v>
      </c>
      <c r="AD115" s="26">
        <f t="shared" si="3"/>
        <v>0</v>
      </c>
    </row>
    <row r="116" spans="2:30" ht="15" customHeight="1">
      <c r="B116" s="3" t="str">
        <f>_xlfn.IFNA(VLOOKUP(C116,Master!$J:$K,2,0),"")</f>
        <v/>
      </c>
      <c r="D116" s="4" t="str">
        <f>_xlfn.IFNA(VLOOKUP(E116,Master!$J:$K,2,0),"")</f>
        <v/>
      </c>
      <c r="F116" s="4" t="str">
        <f>_xlfn.IFNA(VLOOKUP(G116,Master!B:C,2,0),"")</f>
        <v/>
      </c>
      <c r="I116" s="3" t="str">
        <f>_xlfn.IFNA(VLOOKUP(E116,Master!$J:$M,4,0),"")</f>
        <v/>
      </c>
      <c r="J116" s="3" t="str">
        <f>_xlfn.IFNA(VLOOKUP($E116,Master!$J:$M,3,0),"")</f>
        <v/>
      </c>
      <c r="AC116" s="26">
        <f t="shared" si="2"/>
        <v>0</v>
      </c>
      <c r="AD116" s="26">
        <f t="shared" si="3"/>
        <v>0</v>
      </c>
    </row>
    <row r="117" spans="2:30" ht="15" customHeight="1">
      <c r="B117" s="3" t="str">
        <f>_xlfn.IFNA(VLOOKUP(C117,Master!$J:$K,2,0),"")</f>
        <v/>
      </c>
      <c r="D117" s="4" t="str">
        <f>_xlfn.IFNA(VLOOKUP(E117,Master!$J:$K,2,0),"")</f>
        <v/>
      </c>
      <c r="F117" s="4" t="str">
        <f>_xlfn.IFNA(VLOOKUP(G117,Master!B:C,2,0),"")</f>
        <v/>
      </c>
      <c r="I117" s="3" t="str">
        <f>_xlfn.IFNA(VLOOKUP(E117,Master!$J:$M,4,0),"")</f>
        <v/>
      </c>
      <c r="J117" s="3" t="str">
        <f>_xlfn.IFNA(VLOOKUP($E117,Master!$J:$M,3,0),"")</f>
        <v/>
      </c>
      <c r="AC117" s="26">
        <f t="shared" si="2"/>
        <v>0</v>
      </c>
      <c r="AD117" s="26">
        <f t="shared" si="3"/>
        <v>0</v>
      </c>
    </row>
    <row r="118" spans="2:30" ht="15" customHeight="1">
      <c r="B118" s="3" t="str">
        <f>_xlfn.IFNA(VLOOKUP(C118,Master!$J:$K,2,0),"")</f>
        <v/>
      </c>
      <c r="D118" s="4" t="str">
        <f>_xlfn.IFNA(VLOOKUP(E118,Master!$J:$K,2,0),"")</f>
        <v/>
      </c>
      <c r="F118" s="4" t="str">
        <f>_xlfn.IFNA(VLOOKUP(G118,Master!B:C,2,0),"")</f>
        <v/>
      </c>
      <c r="I118" s="3" t="str">
        <f>_xlfn.IFNA(VLOOKUP(E118,Master!$J:$M,4,0),"")</f>
        <v/>
      </c>
      <c r="J118" s="3" t="str">
        <f>_xlfn.IFNA(VLOOKUP($E118,Master!$J:$M,3,0),"")</f>
        <v/>
      </c>
      <c r="AC118" s="26">
        <f t="shared" si="2"/>
        <v>0</v>
      </c>
      <c r="AD118" s="26">
        <f t="shared" si="3"/>
        <v>0</v>
      </c>
    </row>
    <row r="119" spans="2:30" ht="15" customHeight="1">
      <c r="B119" s="3" t="str">
        <f>_xlfn.IFNA(VLOOKUP(C119,Master!$J:$K,2,0),"")</f>
        <v/>
      </c>
      <c r="D119" s="4" t="str">
        <f>_xlfn.IFNA(VLOOKUP(E119,Master!$J:$K,2,0),"")</f>
        <v/>
      </c>
      <c r="F119" s="4" t="str">
        <f>_xlfn.IFNA(VLOOKUP(G119,Master!B:C,2,0),"")</f>
        <v/>
      </c>
      <c r="I119" s="3" t="str">
        <f>_xlfn.IFNA(VLOOKUP(E119,Master!$J:$M,4,0),"")</f>
        <v/>
      </c>
      <c r="J119" s="3" t="str">
        <f>_xlfn.IFNA(VLOOKUP($E119,Master!$J:$M,3,0),"")</f>
        <v/>
      </c>
      <c r="AC119" s="26">
        <f t="shared" si="2"/>
        <v>0</v>
      </c>
      <c r="AD119" s="26">
        <f t="shared" si="3"/>
        <v>0</v>
      </c>
    </row>
    <row r="120" spans="2:30" ht="15" customHeight="1">
      <c r="B120" s="3" t="str">
        <f>_xlfn.IFNA(VLOOKUP(C120,Master!$J:$K,2,0),"")</f>
        <v/>
      </c>
      <c r="D120" s="4" t="str">
        <f>_xlfn.IFNA(VLOOKUP(E120,Master!$J:$K,2,0),"")</f>
        <v/>
      </c>
      <c r="F120" s="4" t="str">
        <f>_xlfn.IFNA(VLOOKUP(G120,Master!B:C,2,0),"")</f>
        <v/>
      </c>
      <c r="I120" s="3" t="str">
        <f>_xlfn.IFNA(VLOOKUP(E120,Master!$J:$M,4,0),"")</f>
        <v/>
      </c>
      <c r="J120" s="3" t="str">
        <f>_xlfn.IFNA(VLOOKUP($E120,Master!$J:$M,3,0),"")</f>
        <v/>
      </c>
      <c r="AC120" s="26">
        <f t="shared" si="2"/>
        <v>0</v>
      </c>
      <c r="AD120" s="26">
        <f t="shared" si="3"/>
        <v>0</v>
      </c>
    </row>
    <row r="121" spans="2:30" ht="15" customHeight="1">
      <c r="B121" s="3" t="str">
        <f>_xlfn.IFNA(VLOOKUP(C121,Master!$J:$K,2,0),"")</f>
        <v/>
      </c>
      <c r="D121" s="4" t="str">
        <f>_xlfn.IFNA(VLOOKUP(E121,Master!$J:$K,2,0),"")</f>
        <v/>
      </c>
      <c r="F121" s="4" t="str">
        <f>_xlfn.IFNA(VLOOKUP(G121,Master!B:C,2,0),"")</f>
        <v/>
      </c>
      <c r="I121" s="3" t="str">
        <f>_xlfn.IFNA(VLOOKUP(E121,Master!$J:$M,4,0),"")</f>
        <v/>
      </c>
      <c r="J121" s="3" t="str">
        <f>_xlfn.IFNA(VLOOKUP($E121,Master!$J:$M,3,0),"")</f>
        <v/>
      </c>
      <c r="AC121" s="26">
        <f t="shared" si="2"/>
        <v>0</v>
      </c>
      <c r="AD121" s="26">
        <f t="shared" si="3"/>
        <v>0</v>
      </c>
    </row>
    <row r="122" spans="2:30" ht="15" customHeight="1">
      <c r="B122" s="3" t="str">
        <f>_xlfn.IFNA(VLOOKUP(C122,Master!$J:$K,2,0),"")</f>
        <v/>
      </c>
      <c r="D122" s="4" t="str">
        <f>_xlfn.IFNA(VLOOKUP(E122,Master!$J:$K,2,0),"")</f>
        <v/>
      </c>
      <c r="F122" s="4" t="str">
        <f>_xlfn.IFNA(VLOOKUP(G122,Master!B:C,2,0),"")</f>
        <v/>
      </c>
      <c r="I122" s="3" t="str">
        <f>_xlfn.IFNA(VLOOKUP(E122,Master!$J:$M,4,0),"")</f>
        <v/>
      </c>
      <c r="J122" s="3" t="str">
        <f>_xlfn.IFNA(VLOOKUP($E122,Master!$J:$M,3,0),"")</f>
        <v/>
      </c>
      <c r="AC122" s="26">
        <f t="shared" si="2"/>
        <v>0</v>
      </c>
      <c r="AD122" s="26">
        <f t="shared" si="3"/>
        <v>0</v>
      </c>
    </row>
    <row r="123" spans="2:30" ht="15" customHeight="1">
      <c r="B123" s="3" t="str">
        <f>_xlfn.IFNA(VLOOKUP(C123,Master!$J:$K,2,0),"")</f>
        <v/>
      </c>
      <c r="D123" s="4" t="str">
        <f>_xlfn.IFNA(VLOOKUP(E123,Master!$J:$K,2,0),"")</f>
        <v/>
      </c>
      <c r="F123" s="4" t="str">
        <f>_xlfn.IFNA(VLOOKUP(G123,Master!B:C,2,0),"")</f>
        <v/>
      </c>
      <c r="I123" s="3" t="str">
        <f>_xlfn.IFNA(VLOOKUP(E123,Master!$J:$M,4,0),"")</f>
        <v/>
      </c>
      <c r="J123" s="3" t="str">
        <f>_xlfn.IFNA(VLOOKUP($E123,Master!$J:$M,3,0),"")</f>
        <v/>
      </c>
      <c r="AC123" s="26">
        <f t="shared" si="2"/>
        <v>0</v>
      </c>
      <c r="AD123" s="26">
        <f t="shared" si="3"/>
        <v>0</v>
      </c>
    </row>
    <row r="124" spans="2:30" ht="15" customHeight="1">
      <c r="B124" s="3" t="str">
        <f>_xlfn.IFNA(VLOOKUP(C124,Master!$J:$K,2,0),"")</f>
        <v/>
      </c>
      <c r="D124" s="4" t="str">
        <f>_xlfn.IFNA(VLOOKUP(E124,Master!$J:$K,2,0),"")</f>
        <v/>
      </c>
      <c r="F124" s="4" t="str">
        <f>_xlfn.IFNA(VLOOKUP(G124,Master!B:C,2,0),"")</f>
        <v/>
      </c>
      <c r="I124" s="3" t="str">
        <f>_xlfn.IFNA(VLOOKUP(E124,Master!$J:$M,4,0),"")</f>
        <v/>
      </c>
      <c r="J124" s="3" t="str">
        <f>_xlfn.IFNA(VLOOKUP($E124,Master!$J:$M,3,0),"")</f>
        <v/>
      </c>
      <c r="AC124" s="26">
        <f t="shared" si="2"/>
        <v>0</v>
      </c>
      <c r="AD124" s="26">
        <f t="shared" si="3"/>
        <v>0</v>
      </c>
    </row>
    <row r="125" spans="2:30" ht="15" customHeight="1">
      <c r="B125" s="3" t="str">
        <f>_xlfn.IFNA(VLOOKUP(C125,Master!$J:$K,2,0),"")</f>
        <v/>
      </c>
      <c r="D125" s="4" t="str">
        <f>_xlfn.IFNA(VLOOKUP(E125,Master!$J:$K,2,0),"")</f>
        <v/>
      </c>
      <c r="F125" s="4" t="str">
        <f>_xlfn.IFNA(VLOOKUP(G125,Master!B:C,2,0),"")</f>
        <v/>
      </c>
      <c r="I125" s="3" t="str">
        <f>_xlfn.IFNA(VLOOKUP(E125,Master!$J:$M,4,0),"")</f>
        <v/>
      </c>
      <c r="J125" s="3" t="str">
        <f>_xlfn.IFNA(VLOOKUP($E125,Master!$J:$M,3,0),"")</f>
        <v/>
      </c>
      <c r="AC125" s="26">
        <f t="shared" si="2"/>
        <v>0</v>
      </c>
      <c r="AD125" s="26">
        <f t="shared" si="3"/>
        <v>0</v>
      </c>
    </row>
    <row r="126" spans="2:30" ht="15" customHeight="1">
      <c r="B126" s="3" t="str">
        <f>_xlfn.IFNA(VLOOKUP(C126,Master!$J:$K,2,0),"")</f>
        <v/>
      </c>
      <c r="D126" s="4" t="str">
        <f>_xlfn.IFNA(VLOOKUP(E126,Master!$J:$K,2,0),"")</f>
        <v/>
      </c>
      <c r="F126" s="4" t="str">
        <f>_xlfn.IFNA(VLOOKUP(G126,Master!B:C,2,0),"")</f>
        <v/>
      </c>
      <c r="I126" s="3" t="str">
        <f>_xlfn.IFNA(VLOOKUP(E126,Master!$J:$M,4,0),"")</f>
        <v/>
      </c>
      <c r="J126" s="3" t="str">
        <f>_xlfn.IFNA(VLOOKUP($E126,Master!$J:$M,3,0),"")</f>
        <v/>
      </c>
      <c r="AC126" s="26">
        <f t="shared" si="2"/>
        <v>0</v>
      </c>
      <c r="AD126" s="26">
        <f t="shared" si="3"/>
        <v>0</v>
      </c>
    </row>
    <row r="127" spans="2:30" ht="15" customHeight="1">
      <c r="B127" s="3" t="str">
        <f>_xlfn.IFNA(VLOOKUP(C127,Master!$J:$K,2,0),"")</f>
        <v/>
      </c>
      <c r="D127" s="4" t="str">
        <f>_xlfn.IFNA(VLOOKUP(E127,Master!$J:$K,2,0),"")</f>
        <v/>
      </c>
      <c r="F127" s="4" t="str">
        <f>_xlfn.IFNA(VLOOKUP(G127,Master!B:C,2,0),"")</f>
        <v/>
      </c>
      <c r="I127" s="3" t="str">
        <f>_xlfn.IFNA(VLOOKUP(E127,Master!$J:$M,4,0),"")</f>
        <v/>
      </c>
      <c r="J127" s="3" t="str">
        <f>_xlfn.IFNA(VLOOKUP($E127,Master!$J:$M,3,0),"")</f>
        <v/>
      </c>
      <c r="AC127" s="26">
        <f t="shared" si="2"/>
        <v>0</v>
      </c>
      <c r="AD127" s="26">
        <f t="shared" si="3"/>
        <v>0</v>
      </c>
    </row>
    <row r="128" spans="2:30" ht="15" customHeight="1">
      <c r="B128" s="3" t="str">
        <f>_xlfn.IFNA(VLOOKUP(C128,Master!$J:$K,2,0),"")</f>
        <v/>
      </c>
      <c r="D128" s="4" t="str">
        <f>_xlfn.IFNA(VLOOKUP(E128,Master!$J:$K,2,0),"")</f>
        <v/>
      </c>
      <c r="F128" s="4" t="str">
        <f>_xlfn.IFNA(VLOOKUP(G128,Master!B:C,2,0),"")</f>
        <v/>
      </c>
      <c r="I128" s="3" t="str">
        <f>_xlfn.IFNA(VLOOKUP(E128,Master!$J:$M,4,0),"")</f>
        <v/>
      </c>
      <c r="J128" s="3" t="str">
        <f>_xlfn.IFNA(VLOOKUP($E128,Master!$J:$M,3,0),"")</f>
        <v/>
      </c>
      <c r="AC128" s="26">
        <f t="shared" si="2"/>
        <v>0</v>
      </c>
      <c r="AD128" s="26">
        <f t="shared" si="3"/>
        <v>0</v>
      </c>
    </row>
    <row r="129" spans="2:30" ht="15" customHeight="1">
      <c r="B129" s="3" t="str">
        <f>_xlfn.IFNA(VLOOKUP(C129,Master!$J:$K,2,0),"")</f>
        <v/>
      </c>
      <c r="D129" s="4" t="str">
        <f>_xlfn.IFNA(VLOOKUP(E129,Master!$J:$K,2,0),"")</f>
        <v/>
      </c>
      <c r="F129" s="4" t="str">
        <f>_xlfn.IFNA(VLOOKUP(G129,Master!B:C,2,0),"")</f>
        <v/>
      </c>
      <c r="I129" s="3" t="str">
        <f>_xlfn.IFNA(VLOOKUP(E129,Master!$J:$M,4,0),"")</f>
        <v/>
      </c>
      <c r="J129" s="3" t="str">
        <f>_xlfn.IFNA(VLOOKUP($E129,Master!$J:$M,3,0),"")</f>
        <v/>
      </c>
      <c r="AC129" s="26">
        <f t="shared" si="2"/>
        <v>0</v>
      </c>
      <c r="AD129" s="26">
        <f t="shared" si="3"/>
        <v>0</v>
      </c>
    </row>
    <row r="130" spans="2:30" ht="15" customHeight="1">
      <c r="B130" s="3" t="str">
        <f>_xlfn.IFNA(VLOOKUP(C130,Master!$J:$K,2,0),"")</f>
        <v/>
      </c>
      <c r="D130" s="4" t="str">
        <f>_xlfn.IFNA(VLOOKUP(E130,Master!$J:$K,2,0),"")</f>
        <v/>
      </c>
      <c r="F130" s="4" t="str">
        <f>_xlfn.IFNA(VLOOKUP(G130,Master!B:C,2,0),"")</f>
        <v/>
      </c>
      <c r="I130" s="3" t="str">
        <f>_xlfn.IFNA(VLOOKUP(E130,Master!$J:$M,4,0),"")</f>
        <v/>
      </c>
      <c r="J130" s="3" t="str">
        <f>_xlfn.IFNA(VLOOKUP($E130,Master!$J:$M,3,0),"")</f>
        <v/>
      </c>
      <c r="AC130" s="26">
        <f t="shared" ref="AC130:AC193" si="4">SUM(K130:P130)</f>
        <v>0</v>
      </c>
      <c r="AD130" s="26">
        <f t="shared" ref="AD130:AD193" si="5">SUM(Q130:AB130)</f>
        <v>0</v>
      </c>
    </row>
    <row r="131" spans="2:30" ht="15" customHeight="1">
      <c r="B131" s="3" t="str">
        <f>_xlfn.IFNA(VLOOKUP(C131,Master!$J:$K,2,0),"")</f>
        <v/>
      </c>
      <c r="D131" s="4" t="str">
        <f>_xlfn.IFNA(VLOOKUP(E131,Master!$J:$K,2,0),"")</f>
        <v/>
      </c>
      <c r="F131" s="4" t="str">
        <f>_xlfn.IFNA(VLOOKUP(G131,Master!B:C,2,0),"")</f>
        <v/>
      </c>
      <c r="I131" s="3" t="str">
        <f>_xlfn.IFNA(VLOOKUP(E131,Master!$J:$M,4,0),"")</f>
        <v/>
      </c>
      <c r="J131" s="3" t="str">
        <f>_xlfn.IFNA(VLOOKUP($E131,Master!$J:$M,3,0),"")</f>
        <v/>
      </c>
      <c r="AC131" s="26">
        <f t="shared" si="4"/>
        <v>0</v>
      </c>
      <c r="AD131" s="26">
        <f t="shared" si="5"/>
        <v>0</v>
      </c>
    </row>
    <row r="132" spans="2:30" ht="15" customHeight="1">
      <c r="B132" s="3" t="str">
        <f>_xlfn.IFNA(VLOOKUP(C132,Master!$J:$K,2,0),"")</f>
        <v/>
      </c>
      <c r="D132" s="4" t="str">
        <f>_xlfn.IFNA(VLOOKUP(E132,Master!$J:$K,2,0),"")</f>
        <v/>
      </c>
      <c r="F132" s="4" t="str">
        <f>_xlfn.IFNA(VLOOKUP(G132,Master!B:C,2,0),"")</f>
        <v/>
      </c>
      <c r="I132" s="3" t="str">
        <f>_xlfn.IFNA(VLOOKUP(E132,Master!$J:$M,4,0),"")</f>
        <v/>
      </c>
      <c r="J132" s="3" t="str">
        <f>_xlfn.IFNA(VLOOKUP($E132,Master!$J:$M,3,0),"")</f>
        <v/>
      </c>
      <c r="AC132" s="26">
        <f t="shared" si="4"/>
        <v>0</v>
      </c>
      <c r="AD132" s="26">
        <f t="shared" si="5"/>
        <v>0</v>
      </c>
    </row>
    <row r="133" spans="2:30" ht="15" customHeight="1">
      <c r="B133" s="3" t="str">
        <f>_xlfn.IFNA(VLOOKUP(C133,Master!$J:$K,2,0),"")</f>
        <v/>
      </c>
      <c r="D133" s="4" t="str">
        <f>_xlfn.IFNA(VLOOKUP(E133,Master!$J:$K,2,0),"")</f>
        <v/>
      </c>
      <c r="F133" s="4" t="str">
        <f>_xlfn.IFNA(VLOOKUP(G133,Master!B:C,2,0),"")</f>
        <v/>
      </c>
      <c r="I133" s="3" t="str">
        <f>_xlfn.IFNA(VLOOKUP(E133,Master!$J:$M,4,0),"")</f>
        <v/>
      </c>
      <c r="J133" s="3" t="str">
        <f>_xlfn.IFNA(VLOOKUP($E133,Master!$J:$M,3,0),"")</f>
        <v/>
      </c>
      <c r="AC133" s="26">
        <f t="shared" si="4"/>
        <v>0</v>
      </c>
      <c r="AD133" s="26">
        <f t="shared" si="5"/>
        <v>0</v>
      </c>
    </row>
    <row r="134" spans="2:30" ht="15" customHeight="1">
      <c r="B134" s="3" t="str">
        <f>_xlfn.IFNA(VLOOKUP(C134,Master!$J:$K,2,0),"")</f>
        <v/>
      </c>
      <c r="D134" s="4" t="str">
        <f>_xlfn.IFNA(VLOOKUP(E134,Master!$J:$K,2,0),"")</f>
        <v/>
      </c>
      <c r="F134" s="4" t="str">
        <f>_xlfn.IFNA(VLOOKUP(G134,Master!B:C,2,0),"")</f>
        <v/>
      </c>
      <c r="I134" s="3" t="str">
        <f>_xlfn.IFNA(VLOOKUP(E134,Master!$J:$M,4,0),"")</f>
        <v/>
      </c>
      <c r="J134" s="3" t="str">
        <f>_xlfn.IFNA(VLOOKUP($E134,Master!$J:$M,3,0),"")</f>
        <v/>
      </c>
      <c r="AC134" s="26">
        <f t="shared" si="4"/>
        <v>0</v>
      </c>
      <c r="AD134" s="26">
        <f t="shared" si="5"/>
        <v>0</v>
      </c>
    </row>
    <row r="135" spans="2:30" ht="15" customHeight="1">
      <c r="B135" s="3" t="str">
        <f>_xlfn.IFNA(VLOOKUP(C135,Master!$J:$K,2,0),"")</f>
        <v/>
      </c>
      <c r="D135" s="4" t="str">
        <f>_xlfn.IFNA(VLOOKUP(E135,Master!$J:$K,2,0),"")</f>
        <v/>
      </c>
      <c r="F135" s="4" t="str">
        <f>_xlfn.IFNA(VLOOKUP(G135,Master!B:C,2,0),"")</f>
        <v/>
      </c>
      <c r="I135" s="3" t="str">
        <f>_xlfn.IFNA(VLOOKUP(E135,Master!$J:$M,4,0),"")</f>
        <v/>
      </c>
      <c r="J135" s="3" t="str">
        <f>_xlfn.IFNA(VLOOKUP($E135,Master!$J:$M,3,0),"")</f>
        <v/>
      </c>
      <c r="AC135" s="26">
        <f t="shared" si="4"/>
        <v>0</v>
      </c>
      <c r="AD135" s="26">
        <f t="shared" si="5"/>
        <v>0</v>
      </c>
    </row>
    <row r="136" spans="2:30" ht="15" customHeight="1">
      <c r="B136" s="3" t="str">
        <f>_xlfn.IFNA(VLOOKUP(C136,Master!$J:$K,2,0),"")</f>
        <v/>
      </c>
      <c r="D136" s="4" t="str">
        <f>_xlfn.IFNA(VLOOKUP(E136,Master!$J:$K,2,0),"")</f>
        <v/>
      </c>
      <c r="F136" s="4" t="str">
        <f>_xlfn.IFNA(VLOOKUP(G136,Master!B:C,2,0),"")</f>
        <v/>
      </c>
      <c r="I136" s="3" t="str">
        <f>_xlfn.IFNA(VLOOKUP(E136,Master!$J:$M,4,0),"")</f>
        <v/>
      </c>
      <c r="J136" s="3" t="str">
        <f>_xlfn.IFNA(VLOOKUP($E136,Master!$J:$M,3,0),"")</f>
        <v/>
      </c>
      <c r="AC136" s="26">
        <f t="shared" si="4"/>
        <v>0</v>
      </c>
      <c r="AD136" s="26">
        <f t="shared" si="5"/>
        <v>0</v>
      </c>
    </row>
    <row r="137" spans="2:30" ht="15" customHeight="1">
      <c r="B137" s="3" t="str">
        <f>_xlfn.IFNA(VLOOKUP(C137,Master!$J:$K,2,0),"")</f>
        <v/>
      </c>
      <c r="D137" s="4" t="str">
        <f>_xlfn.IFNA(VLOOKUP(E137,Master!$J:$K,2,0),"")</f>
        <v/>
      </c>
      <c r="F137" s="4" t="str">
        <f>_xlfn.IFNA(VLOOKUP(G137,Master!B:C,2,0),"")</f>
        <v/>
      </c>
      <c r="I137" s="3" t="str">
        <f>_xlfn.IFNA(VLOOKUP(E137,Master!$J:$M,4,0),"")</f>
        <v/>
      </c>
      <c r="J137" s="3" t="str">
        <f>_xlfn.IFNA(VLOOKUP($E137,Master!$J:$M,3,0),"")</f>
        <v/>
      </c>
      <c r="AC137" s="26">
        <f t="shared" si="4"/>
        <v>0</v>
      </c>
      <c r="AD137" s="26">
        <f t="shared" si="5"/>
        <v>0</v>
      </c>
    </row>
    <row r="138" spans="2:30" ht="15" customHeight="1">
      <c r="B138" s="3" t="str">
        <f>_xlfn.IFNA(VLOOKUP(C138,Master!$J:$K,2,0),"")</f>
        <v/>
      </c>
      <c r="D138" s="4" t="str">
        <f>_xlfn.IFNA(VLOOKUP(E138,Master!$J:$K,2,0),"")</f>
        <v/>
      </c>
      <c r="F138" s="4" t="str">
        <f>_xlfn.IFNA(VLOOKUP(G138,Master!B:C,2,0),"")</f>
        <v/>
      </c>
      <c r="I138" s="3" t="str">
        <f>_xlfn.IFNA(VLOOKUP(E138,Master!$J:$M,4,0),"")</f>
        <v/>
      </c>
      <c r="J138" s="3" t="str">
        <f>_xlfn.IFNA(VLOOKUP($E138,Master!$J:$M,3,0),"")</f>
        <v/>
      </c>
      <c r="AC138" s="26">
        <f t="shared" si="4"/>
        <v>0</v>
      </c>
      <c r="AD138" s="26">
        <f t="shared" si="5"/>
        <v>0</v>
      </c>
    </row>
    <row r="139" spans="2:30" ht="15" customHeight="1">
      <c r="B139" s="3" t="str">
        <f>_xlfn.IFNA(VLOOKUP(C139,Master!$J:$K,2,0),"")</f>
        <v/>
      </c>
      <c r="D139" s="4" t="str">
        <f>_xlfn.IFNA(VLOOKUP(E139,Master!$J:$K,2,0),"")</f>
        <v/>
      </c>
      <c r="F139" s="4" t="str">
        <f>_xlfn.IFNA(VLOOKUP(G139,Master!B:C,2,0),"")</f>
        <v/>
      </c>
      <c r="I139" s="3" t="str">
        <f>_xlfn.IFNA(VLOOKUP(E139,Master!$J:$M,4,0),"")</f>
        <v/>
      </c>
      <c r="J139" s="3" t="str">
        <f>_xlfn.IFNA(VLOOKUP($E139,Master!$J:$M,3,0),"")</f>
        <v/>
      </c>
      <c r="AC139" s="26">
        <f t="shared" si="4"/>
        <v>0</v>
      </c>
      <c r="AD139" s="26">
        <f t="shared" si="5"/>
        <v>0</v>
      </c>
    </row>
    <row r="140" spans="2:30" ht="15" customHeight="1">
      <c r="B140" s="3" t="str">
        <f>_xlfn.IFNA(VLOOKUP(C140,Master!$J:$K,2,0),"")</f>
        <v/>
      </c>
      <c r="D140" s="4" t="str">
        <f>_xlfn.IFNA(VLOOKUP(E140,Master!$J:$K,2,0),"")</f>
        <v/>
      </c>
      <c r="F140" s="4" t="str">
        <f>_xlfn.IFNA(VLOOKUP(G140,Master!B:C,2,0),"")</f>
        <v/>
      </c>
      <c r="I140" s="3" t="str">
        <f>_xlfn.IFNA(VLOOKUP(E140,Master!$J:$M,4,0),"")</f>
        <v/>
      </c>
      <c r="J140" s="3" t="str">
        <f>_xlfn.IFNA(VLOOKUP($E140,Master!$J:$M,3,0),"")</f>
        <v/>
      </c>
      <c r="AC140" s="26">
        <f t="shared" si="4"/>
        <v>0</v>
      </c>
      <c r="AD140" s="26">
        <f t="shared" si="5"/>
        <v>0</v>
      </c>
    </row>
    <row r="141" spans="2:30" ht="15" customHeight="1">
      <c r="B141" s="3" t="str">
        <f>_xlfn.IFNA(VLOOKUP(C141,Master!$J:$K,2,0),"")</f>
        <v/>
      </c>
      <c r="D141" s="4" t="str">
        <f>_xlfn.IFNA(VLOOKUP(E141,Master!$J:$K,2,0),"")</f>
        <v/>
      </c>
      <c r="F141" s="4" t="str">
        <f>_xlfn.IFNA(VLOOKUP(G141,Master!B:C,2,0),"")</f>
        <v/>
      </c>
      <c r="I141" s="3" t="str">
        <f>_xlfn.IFNA(VLOOKUP(E141,Master!$J:$M,4,0),"")</f>
        <v/>
      </c>
      <c r="J141" s="3" t="str">
        <f>_xlfn.IFNA(VLOOKUP($E141,Master!$J:$M,3,0),"")</f>
        <v/>
      </c>
      <c r="AC141" s="26">
        <f t="shared" si="4"/>
        <v>0</v>
      </c>
      <c r="AD141" s="26">
        <f t="shared" si="5"/>
        <v>0</v>
      </c>
    </row>
    <row r="142" spans="2:30" ht="15" customHeight="1">
      <c r="B142" s="3" t="str">
        <f>_xlfn.IFNA(VLOOKUP(C142,Master!$J:$K,2,0),"")</f>
        <v/>
      </c>
      <c r="D142" s="4" t="str">
        <f>_xlfn.IFNA(VLOOKUP(E142,Master!$J:$K,2,0),"")</f>
        <v/>
      </c>
      <c r="F142" s="4" t="str">
        <f>_xlfn.IFNA(VLOOKUP(G142,Master!B:C,2,0),"")</f>
        <v/>
      </c>
      <c r="I142" s="3" t="str">
        <f>_xlfn.IFNA(VLOOKUP(E142,Master!$J:$M,4,0),"")</f>
        <v/>
      </c>
      <c r="J142" s="3" t="str">
        <f>_xlfn.IFNA(VLOOKUP($E142,Master!$J:$M,3,0),"")</f>
        <v/>
      </c>
      <c r="AC142" s="26">
        <f t="shared" si="4"/>
        <v>0</v>
      </c>
      <c r="AD142" s="26">
        <f t="shared" si="5"/>
        <v>0</v>
      </c>
    </row>
    <row r="143" spans="2:30" ht="15" customHeight="1">
      <c r="B143" s="3" t="str">
        <f>_xlfn.IFNA(VLOOKUP(C143,Master!$J:$K,2,0),"")</f>
        <v/>
      </c>
      <c r="D143" s="4" t="str">
        <f>_xlfn.IFNA(VLOOKUP(E143,Master!$J:$K,2,0),"")</f>
        <v/>
      </c>
      <c r="F143" s="4" t="str">
        <f>_xlfn.IFNA(VLOOKUP(G143,Master!B:C,2,0),"")</f>
        <v/>
      </c>
      <c r="I143" s="3" t="str">
        <f>_xlfn.IFNA(VLOOKUP(E143,Master!$J:$M,4,0),"")</f>
        <v/>
      </c>
      <c r="J143" s="3" t="str">
        <f>_xlfn.IFNA(VLOOKUP($E143,Master!$J:$M,3,0),"")</f>
        <v/>
      </c>
      <c r="AC143" s="26">
        <f t="shared" si="4"/>
        <v>0</v>
      </c>
      <c r="AD143" s="26">
        <f t="shared" si="5"/>
        <v>0</v>
      </c>
    </row>
    <row r="144" spans="2:30" ht="15" customHeight="1">
      <c r="B144" s="3" t="str">
        <f>_xlfn.IFNA(VLOOKUP(C144,Master!$J:$K,2,0),"")</f>
        <v/>
      </c>
      <c r="D144" s="4" t="str">
        <f>_xlfn.IFNA(VLOOKUP(E144,Master!$J:$K,2,0),"")</f>
        <v/>
      </c>
      <c r="F144" s="4" t="str">
        <f>_xlfn.IFNA(VLOOKUP(G144,Master!B:C,2,0),"")</f>
        <v/>
      </c>
      <c r="I144" s="3" t="str">
        <f>_xlfn.IFNA(VLOOKUP(E144,Master!$J:$M,4,0),"")</f>
        <v/>
      </c>
      <c r="J144" s="3" t="str">
        <f>_xlfn.IFNA(VLOOKUP($E144,Master!$J:$M,3,0),"")</f>
        <v/>
      </c>
      <c r="AC144" s="26">
        <f t="shared" si="4"/>
        <v>0</v>
      </c>
      <c r="AD144" s="26">
        <f t="shared" si="5"/>
        <v>0</v>
      </c>
    </row>
    <row r="145" spans="2:30" ht="15" customHeight="1">
      <c r="B145" s="3" t="str">
        <f>_xlfn.IFNA(VLOOKUP(C145,Master!$J:$K,2,0),"")</f>
        <v/>
      </c>
      <c r="D145" s="4" t="str">
        <f>_xlfn.IFNA(VLOOKUP(E145,Master!$J:$K,2,0),"")</f>
        <v/>
      </c>
      <c r="F145" s="4" t="str">
        <f>_xlfn.IFNA(VLOOKUP(G145,Master!B:C,2,0),"")</f>
        <v/>
      </c>
      <c r="I145" s="3" t="str">
        <f>_xlfn.IFNA(VLOOKUP(E145,Master!$J:$M,4,0),"")</f>
        <v/>
      </c>
      <c r="J145" s="3" t="str">
        <f>_xlfn.IFNA(VLOOKUP($E145,Master!$J:$M,3,0),"")</f>
        <v/>
      </c>
      <c r="AC145" s="26">
        <f t="shared" si="4"/>
        <v>0</v>
      </c>
      <c r="AD145" s="26">
        <f t="shared" si="5"/>
        <v>0</v>
      </c>
    </row>
    <row r="146" spans="2:30" ht="15" customHeight="1">
      <c r="B146" s="3" t="str">
        <f>_xlfn.IFNA(VLOOKUP(C146,Master!$J:$K,2,0),"")</f>
        <v/>
      </c>
      <c r="D146" s="4" t="str">
        <f>_xlfn.IFNA(VLOOKUP(E146,Master!$J:$K,2,0),"")</f>
        <v/>
      </c>
      <c r="F146" s="4" t="str">
        <f>_xlfn.IFNA(VLOOKUP(G146,Master!B:C,2,0),"")</f>
        <v/>
      </c>
      <c r="I146" s="3" t="str">
        <f>_xlfn.IFNA(VLOOKUP(E146,Master!$J:$M,4,0),"")</f>
        <v/>
      </c>
      <c r="J146" s="3" t="str">
        <f>_xlfn.IFNA(VLOOKUP($E146,Master!$J:$M,3,0),"")</f>
        <v/>
      </c>
      <c r="AC146" s="26">
        <f t="shared" si="4"/>
        <v>0</v>
      </c>
      <c r="AD146" s="26">
        <f t="shared" si="5"/>
        <v>0</v>
      </c>
    </row>
    <row r="147" spans="2:30" ht="15" customHeight="1">
      <c r="B147" s="3" t="str">
        <f>_xlfn.IFNA(VLOOKUP(C147,Master!$J:$K,2,0),"")</f>
        <v/>
      </c>
      <c r="D147" s="4" t="str">
        <f>_xlfn.IFNA(VLOOKUP(E147,Master!$J:$K,2,0),"")</f>
        <v/>
      </c>
      <c r="F147" s="4" t="str">
        <f>_xlfn.IFNA(VLOOKUP(G147,Master!B:C,2,0),"")</f>
        <v/>
      </c>
      <c r="I147" s="3" t="str">
        <f>_xlfn.IFNA(VLOOKUP(E147,Master!$J:$M,4,0),"")</f>
        <v/>
      </c>
      <c r="J147" s="3" t="str">
        <f>_xlfn.IFNA(VLOOKUP($E147,Master!$J:$M,3,0),"")</f>
        <v/>
      </c>
      <c r="AC147" s="26">
        <f t="shared" si="4"/>
        <v>0</v>
      </c>
      <c r="AD147" s="26">
        <f t="shared" si="5"/>
        <v>0</v>
      </c>
    </row>
    <row r="148" spans="2:30" ht="15" customHeight="1">
      <c r="B148" s="3" t="str">
        <f>_xlfn.IFNA(VLOOKUP(C148,Master!$J:$K,2,0),"")</f>
        <v/>
      </c>
      <c r="D148" s="4" t="str">
        <f>_xlfn.IFNA(VLOOKUP(E148,Master!$J:$K,2,0),"")</f>
        <v/>
      </c>
      <c r="F148" s="4" t="str">
        <f>_xlfn.IFNA(VLOOKUP(G148,Master!B:C,2,0),"")</f>
        <v/>
      </c>
      <c r="I148" s="3" t="str">
        <f>_xlfn.IFNA(VLOOKUP(E148,Master!$J:$M,4,0),"")</f>
        <v/>
      </c>
      <c r="J148" s="3" t="str">
        <f>_xlfn.IFNA(VLOOKUP($E148,Master!$J:$M,3,0),"")</f>
        <v/>
      </c>
      <c r="AC148" s="26">
        <f t="shared" si="4"/>
        <v>0</v>
      </c>
      <c r="AD148" s="26">
        <f t="shared" si="5"/>
        <v>0</v>
      </c>
    </row>
    <row r="149" spans="2:30" ht="15" customHeight="1">
      <c r="B149" s="3" t="str">
        <f>_xlfn.IFNA(VLOOKUP(C149,Master!$J:$K,2,0),"")</f>
        <v/>
      </c>
      <c r="D149" s="4" t="str">
        <f>_xlfn.IFNA(VLOOKUP(E149,Master!$J:$K,2,0),"")</f>
        <v/>
      </c>
      <c r="F149" s="4" t="str">
        <f>_xlfn.IFNA(VLOOKUP(G149,Master!B:C,2,0),"")</f>
        <v/>
      </c>
      <c r="I149" s="3" t="str">
        <f>_xlfn.IFNA(VLOOKUP(E149,Master!$J:$M,4,0),"")</f>
        <v/>
      </c>
      <c r="J149" s="3" t="str">
        <f>_xlfn.IFNA(VLOOKUP($E149,Master!$J:$M,3,0),"")</f>
        <v/>
      </c>
      <c r="AC149" s="26">
        <f t="shared" si="4"/>
        <v>0</v>
      </c>
      <c r="AD149" s="26">
        <f t="shared" si="5"/>
        <v>0</v>
      </c>
    </row>
    <row r="150" spans="2:30" ht="15" customHeight="1">
      <c r="B150" s="3" t="str">
        <f>_xlfn.IFNA(VLOOKUP(C150,Master!$J:$K,2,0),"")</f>
        <v/>
      </c>
      <c r="D150" s="4" t="str">
        <f>_xlfn.IFNA(VLOOKUP(E150,Master!$J:$K,2,0),"")</f>
        <v/>
      </c>
      <c r="F150" s="4" t="str">
        <f>_xlfn.IFNA(VLOOKUP(G150,Master!B:C,2,0),"")</f>
        <v/>
      </c>
      <c r="I150" s="3" t="str">
        <f>_xlfn.IFNA(VLOOKUP(E150,Master!$J:$M,4,0),"")</f>
        <v/>
      </c>
      <c r="J150" s="3" t="str">
        <f>_xlfn.IFNA(VLOOKUP($E150,Master!$J:$M,3,0),"")</f>
        <v/>
      </c>
      <c r="AC150" s="26">
        <f t="shared" si="4"/>
        <v>0</v>
      </c>
      <c r="AD150" s="26">
        <f t="shared" si="5"/>
        <v>0</v>
      </c>
    </row>
    <row r="151" spans="2:30" ht="15" customHeight="1">
      <c r="B151" s="3" t="str">
        <f>_xlfn.IFNA(VLOOKUP(C151,Master!$J:$K,2,0),"")</f>
        <v/>
      </c>
      <c r="D151" s="4" t="str">
        <f>_xlfn.IFNA(VLOOKUP(E151,Master!$J:$K,2,0),"")</f>
        <v/>
      </c>
      <c r="F151" s="4" t="str">
        <f>_xlfn.IFNA(VLOOKUP(G151,Master!B:C,2,0),"")</f>
        <v/>
      </c>
      <c r="I151" s="3" t="str">
        <f>_xlfn.IFNA(VLOOKUP(E151,Master!$J:$M,4,0),"")</f>
        <v/>
      </c>
      <c r="J151" s="3" t="str">
        <f>_xlfn.IFNA(VLOOKUP($E151,Master!$J:$M,3,0),"")</f>
        <v/>
      </c>
      <c r="AC151" s="26">
        <f t="shared" si="4"/>
        <v>0</v>
      </c>
      <c r="AD151" s="26">
        <f t="shared" si="5"/>
        <v>0</v>
      </c>
    </row>
    <row r="152" spans="2:30" ht="15" customHeight="1">
      <c r="B152" s="3" t="str">
        <f>_xlfn.IFNA(VLOOKUP(C152,Master!$J:$K,2,0),"")</f>
        <v/>
      </c>
      <c r="D152" s="4" t="str">
        <f>_xlfn.IFNA(VLOOKUP(E152,Master!$J:$K,2,0),"")</f>
        <v/>
      </c>
      <c r="F152" s="4" t="str">
        <f>_xlfn.IFNA(VLOOKUP(G152,Master!B:C,2,0),"")</f>
        <v/>
      </c>
      <c r="I152" s="3" t="str">
        <f>_xlfn.IFNA(VLOOKUP(E152,Master!$J:$M,4,0),"")</f>
        <v/>
      </c>
      <c r="J152" s="3" t="str">
        <f>_xlfn.IFNA(VLOOKUP($E152,Master!$J:$M,3,0),"")</f>
        <v/>
      </c>
      <c r="AC152" s="26">
        <f t="shared" si="4"/>
        <v>0</v>
      </c>
      <c r="AD152" s="26">
        <f t="shared" si="5"/>
        <v>0</v>
      </c>
    </row>
    <row r="153" spans="2:30" ht="15" customHeight="1">
      <c r="B153" s="3" t="str">
        <f>_xlfn.IFNA(VLOOKUP(C153,Master!$J:$K,2,0),"")</f>
        <v/>
      </c>
      <c r="D153" s="4" t="str">
        <f>_xlfn.IFNA(VLOOKUP(E153,Master!$J:$K,2,0),"")</f>
        <v/>
      </c>
      <c r="F153" s="4" t="str">
        <f>_xlfn.IFNA(VLOOKUP(G153,Master!B:C,2,0),"")</f>
        <v/>
      </c>
      <c r="I153" s="3" t="str">
        <f>_xlfn.IFNA(VLOOKUP(E153,Master!$J:$M,4,0),"")</f>
        <v/>
      </c>
      <c r="J153" s="3" t="str">
        <f>_xlfn.IFNA(VLOOKUP($E153,Master!$J:$M,3,0),"")</f>
        <v/>
      </c>
      <c r="AC153" s="26">
        <f t="shared" si="4"/>
        <v>0</v>
      </c>
      <c r="AD153" s="26">
        <f t="shared" si="5"/>
        <v>0</v>
      </c>
    </row>
    <row r="154" spans="2:30" ht="15" customHeight="1">
      <c r="B154" s="3" t="str">
        <f>_xlfn.IFNA(VLOOKUP(C154,Master!$J:$K,2,0),"")</f>
        <v/>
      </c>
      <c r="D154" s="4" t="str">
        <f>_xlfn.IFNA(VLOOKUP(E154,Master!$J:$K,2,0),"")</f>
        <v/>
      </c>
      <c r="F154" s="4" t="str">
        <f>_xlfn.IFNA(VLOOKUP(G154,Master!B:C,2,0),"")</f>
        <v/>
      </c>
      <c r="I154" s="3" t="str">
        <f>_xlfn.IFNA(VLOOKUP(E154,Master!$J:$M,4,0),"")</f>
        <v/>
      </c>
      <c r="J154" s="3" t="str">
        <f>_xlfn.IFNA(VLOOKUP($E154,Master!$J:$M,3,0),"")</f>
        <v/>
      </c>
      <c r="AC154" s="26">
        <f t="shared" si="4"/>
        <v>0</v>
      </c>
      <c r="AD154" s="26">
        <f t="shared" si="5"/>
        <v>0</v>
      </c>
    </row>
    <row r="155" spans="2:30" ht="15" customHeight="1">
      <c r="B155" s="3" t="str">
        <f>_xlfn.IFNA(VLOOKUP(C155,Master!$J:$K,2,0),"")</f>
        <v/>
      </c>
      <c r="D155" s="4" t="str">
        <f>_xlfn.IFNA(VLOOKUP(E155,Master!$J:$K,2,0),"")</f>
        <v/>
      </c>
      <c r="F155" s="4" t="str">
        <f>_xlfn.IFNA(VLOOKUP(G155,Master!B:C,2,0),"")</f>
        <v/>
      </c>
      <c r="I155" s="3" t="str">
        <f>_xlfn.IFNA(VLOOKUP(E155,Master!$J:$M,4,0),"")</f>
        <v/>
      </c>
      <c r="J155" s="3" t="str">
        <f>_xlfn.IFNA(VLOOKUP($E155,Master!$J:$M,3,0),"")</f>
        <v/>
      </c>
      <c r="AC155" s="26">
        <f t="shared" si="4"/>
        <v>0</v>
      </c>
      <c r="AD155" s="26">
        <f t="shared" si="5"/>
        <v>0</v>
      </c>
    </row>
    <row r="156" spans="2:30" ht="15" customHeight="1">
      <c r="B156" s="3" t="str">
        <f>_xlfn.IFNA(VLOOKUP(C156,Master!$J:$K,2,0),"")</f>
        <v/>
      </c>
      <c r="D156" s="4" t="str">
        <f>_xlfn.IFNA(VLOOKUP(E156,Master!$J:$K,2,0),"")</f>
        <v/>
      </c>
      <c r="F156" s="4" t="str">
        <f>_xlfn.IFNA(VLOOKUP(G156,Master!B:C,2,0),"")</f>
        <v/>
      </c>
      <c r="I156" s="3" t="str">
        <f>_xlfn.IFNA(VLOOKUP(E156,Master!$J:$M,4,0),"")</f>
        <v/>
      </c>
      <c r="J156" s="3" t="str">
        <f>_xlfn.IFNA(VLOOKUP($E156,Master!$J:$M,3,0),"")</f>
        <v/>
      </c>
      <c r="AC156" s="26">
        <f t="shared" si="4"/>
        <v>0</v>
      </c>
      <c r="AD156" s="26">
        <f t="shared" si="5"/>
        <v>0</v>
      </c>
    </row>
    <row r="157" spans="2:30" ht="15" customHeight="1">
      <c r="B157" s="3" t="str">
        <f>_xlfn.IFNA(VLOOKUP(C157,Master!$J:$K,2,0),"")</f>
        <v/>
      </c>
      <c r="D157" s="4" t="str">
        <f>_xlfn.IFNA(VLOOKUP(E157,Master!$J:$K,2,0),"")</f>
        <v/>
      </c>
      <c r="F157" s="4" t="str">
        <f>_xlfn.IFNA(VLOOKUP(G157,Master!B:C,2,0),"")</f>
        <v/>
      </c>
      <c r="I157" s="3" t="str">
        <f>_xlfn.IFNA(VLOOKUP(E157,Master!$J:$M,4,0),"")</f>
        <v/>
      </c>
      <c r="J157" s="3" t="str">
        <f>_xlfn.IFNA(VLOOKUP($E157,Master!$J:$M,3,0),"")</f>
        <v/>
      </c>
      <c r="AC157" s="26">
        <f t="shared" si="4"/>
        <v>0</v>
      </c>
      <c r="AD157" s="26">
        <f t="shared" si="5"/>
        <v>0</v>
      </c>
    </row>
    <row r="158" spans="2:30" ht="15" customHeight="1">
      <c r="B158" s="3" t="str">
        <f>_xlfn.IFNA(VLOOKUP(C158,Master!$J:$K,2,0),"")</f>
        <v/>
      </c>
      <c r="D158" s="4" t="str">
        <f>_xlfn.IFNA(VLOOKUP(E158,Master!$J:$K,2,0),"")</f>
        <v/>
      </c>
      <c r="F158" s="4" t="str">
        <f>_xlfn.IFNA(VLOOKUP(G158,Master!B:C,2,0),"")</f>
        <v/>
      </c>
      <c r="I158" s="3" t="str">
        <f>_xlfn.IFNA(VLOOKUP(E158,Master!$J:$M,4,0),"")</f>
        <v/>
      </c>
      <c r="J158" s="3" t="str">
        <f>_xlfn.IFNA(VLOOKUP($E158,Master!$J:$M,3,0),"")</f>
        <v/>
      </c>
      <c r="AC158" s="26">
        <f t="shared" si="4"/>
        <v>0</v>
      </c>
      <c r="AD158" s="26">
        <f t="shared" si="5"/>
        <v>0</v>
      </c>
    </row>
    <row r="159" spans="2:30" ht="15" customHeight="1">
      <c r="B159" s="3" t="str">
        <f>_xlfn.IFNA(VLOOKUP(C159,Master!$J:$K,2,0),"")</f>
        <v/>
      </c>
      <c r="D159" s="4" t="str">
        <f>_xlfn.IFNA(VLOOKUP(E159,Master!$J:$K,2,0),"")</f>
        <v/>
      </c>
      <c r="F159" s="4" t="str">
        <f>_xlfn.IFNA(VLOOKUP(G159,Master!B:C,2,0),"")</f>
        <v/>
      </c>
      <c r="I159" s="3" t="str">
        <f>_xlfn.IFNA(VLOOKUP(E159,Master!$J:$M,4,0),"")</f>
        <v/>
      </c>
      <c r="J159" s="3" t="str">
        <f>_xlfn.IFNA(VLOOKUP($E159,Master!$J:$M,3,0),"")</f>
        <v/>
      </c>
      <c r="AC159" s="26">
        <f t="shared" si="4"/>
        <v>0</v>
      </c>
      <c r="AD159" s="26">
        <f t="shared" si="5"/>
        <v>0</v>
      </c>
    </row>
    <row r="160" spans="2:30" ht="15" customHeight="1">
      <c r="B160" s="3" t="str">
        <f>_xlfn.IFNA(VLOOKUP(C160,Master!$J:$K,2,0),"")</f>
        <v/>
      </c>
      <c r="D160" s="4" t="str">
        <f>_xlfn.IFNA(VLOOKUP(E160,Master!$J:$K,2,0),"")</f>
        <v/>
      </c>
      <c r="F160" s="4" t="str">
        <f>_xlfn.IFNA(VLOOKUP(G160,Master!B:C,2,0),"")</f>
        <v/>
      </c>
      <c r="I160" s="3" t="str">
        <f>_xlfn.IFNA(VLOOKUP(E160,Master!$J:$M,4,0),"")</f>
        <v/>
      </c>
      <c r="J160" s="3" t="str">
        <f>_xlfn.IFNA(VLOOKUP($E160,Master!$J:$M,3,0),"")</f>
        <v/>
      </c>
      <c r="AC160" s="26">
        <f t="shared" si="4"/>
        <v>0</v>
      </c>
      <c r="AD160" s="26">
        <f t="shared" si="5"/>
        <v>0</v>
      </c>
    </row>
    <row r="161" spans="2:30" ht="15" customHeight="1">
      <c r="B161" s="3" t="str">
        <f>_xlfn.IFNA(VLOOKUP(C161,Master!$J:$K,2,0),"")</f>
        <v/>
      </c>
      <c r="D161" s="4" t="str">
        <f>_xlfn.IFNA(VLOOKUP(E161,Master!$J:$K,2,0),"")</f>
        <v/>
      </c>
      <c r="F161" s="4" t="str">
        <f>_xlfn.IFNA(VLOOKUP(G161,Master!B:C,2,0),"")</f>
        <v/>
      </c>
      <c r="I161" s="3" t="str">
        <f>_xlfn.IFNA(VLOOKUP(E161,Master!$J:$M,4,0),"")</f>
        <v/>
      </c>
      <c r="J161" s="3" t="str">
        <f>_xlfn.IFNA(VLOOKUP($E161,Master!$J:$M,3,0),"")</f>
        <v/>
      </c>
      <c r="AC161" s="26">
        <f t="shared" si="4"/>
        <v>0</v>
      </c>
      <c r="AD161" s="26">
        <f t="shared" si="5"/>
        <v>0</v>
      </c>
    </row>
    <row r="162" spans="2:30" ht="15" customHeight="1">
      <c r="B162" s="3" t="str">
        <f>_xlfn.IFNA(VLOOKUP(C162,Master!$J:$K,2,0),"")</f>
        <v/>
      </c>
      <c r="D162" s="4" t="str">
        <f>_xlfn.IFNA(VLOOKUP(E162,Master!$J:$K,2,0),"")</f>
        <v/>
      </c>
      <c r="F162" s="4" t="str">
        <f>_xlfn.IFNA(VLOOKUP(G162,Master!B:C,2,0),"")</f>
        <v/>
      </c>
      <c r="I162" s="3" t="str">
        <f>_xlfn.IFNA(VLOOKUP(E162,Master!$J:$M,4,0),"")</f>
        <v/>
      </c>
      <c r="J162" s="3" t="str">
        <f>_xlfn.IFNA(VLOOKUP($E162,Master!$J:$M,3,0),"")</f>
        <v/>
      </c>
      <c r="AC162" s="26">
        <f t="shared" si="4"/>
        <v>0</v>
      </c>
      <c r="AD162" s="26">
        <f t="shared" si="5"/>
        <v>0</v>
      </c>
    </row>
    <row r="163" spans="2:30" ht="15" customHeight="1">
      <c r="B163" s="3" t="str">
        <f>_xlfn.IFNA(VLOOKUP(C163,Master!$J:$K,2,0),"")</f>
        <v/>
      </c>
      <c r="D163" s="4" t="str">
        <f>_xlfn.IFNA(VLOOKUP(E163,Master!$J:$K,2,0),"")</f>
        <v/>
      </c>
      <c r="F163" s="4" t="str">
        <f>_xlfn.IFNA(VLOOKUP(G163,Master!B:C,2,0),"")</f>
        <v/>
      </c>
      <c r="I163" s="3" t="str">
        <f>_xlfn.IFNA(VLOOKUP(E163,Master!$J:$M,4,0),"")</f>
        <v/>
      </c>
      <c r="J163" s="3" t="str">
        <f>_xlfn.IFNA(VLOOKUP($E163,Master!$J:$M,3,0),"")</f>
        <v/>
      </c>
      <c r="AC163" s="26">
        <f t="shared" si="4"/>
        <v>0</v>
      </c>
      <c r="AD163" s="26">
        <f t="shared" si="5"/>
        <v>0</v>
      </c>
    </row>
    <row r="164" spans="2:30" ht="15" customHeight="1">
      <c r="B164" s="3" t="str">
        <f>_xlfn.IFNA(VLOOKUP(C164,Master!$J:$K,2,0),"")</f>
        <v/>
      </c>
      <c r="D164" s="4" t="str">
        <f>_xlfn.IFNA(VLOOKUP(E164,Master!$J:$K,2,0),"")</f>
        <v/>
      </c>
      <c r="F164" s="4" t="str">
        <f>_xlfn.IFNA(VLOOKUP(G164,Master!B:C,2,0),"")</f>
        <v/>
      </c>
      <c r="I164" s="3" t="str">
        <f>_xlfn.IFNA(VLOOKUP(E164,Master!$J:$M,4,0),"")</f>
        <v/>
      </c>
      <c r="J164" s="3" t="str">
        <f>_xlfn.IFNA(VLOOKUP($E164,Master!$J:$M,3,0),"")</f>
        <v/>
      </c>
      <c r="AC164" s="26">
        <f t="shared" si="4"/>
        <v>0</v>
      </c>
      <c r="AD164" s="26">
        <f t="shared" si="5"/>
        <v>0</v>
      </c>
    </row>
    <row r="165" spans="2:30" ht="15" customHeight="1">
      <c r="B165" s="3" t="str">
        <f>_xlfn.IFNA(VLOOKUP(C165,Master!$J:$K,2,0),"")</f>
        <v/>
      </c>
      <c r="D165" s="4" t="str">
        <f>_xlfn.IFNA(VLOOKUP(E165,Master!$J:$K,2,0),"")</f>
        <v/>
      </c>
      <c r="F165" s="4" t="str">
        <f>_xlfn.IFNA(VLOOKUP(G165,Master!B:C,2,0),"")</f>
        <v/>
      </c>
      <c r="I165" s="3" t="str">
        <f>_xlfn.IFNA(VLOOKUP(E165,Master!$J:$M,4,0),"")</f>
        <v/>
      </c>
      <c r="J165" s="3" t="str">
        <f>_xlfn.IFNA(VLOOKUP($E165,Master!$J:$M,3,0),"")</f>
        <v/>
      </c>
      <c r="AC165" s="26">
        <f t="shared" si="4"/>
        <v>0</v>
      </c>
      <c r="AD165" s="26">
        <f t="shared" si="5"/>
        <v>0</v>
      </c>
    </row>
    <row r="166" spans="2:30" ht="15" customHeight="1">
      <c r="B166" s="3" t="str">
        <f>_xlfn.IFNA(VLOOKUP(C166,Master!$J:$K,2,0),"")</f>
        <v/>
      </c>
      <c r="D166" s="4" t="str">
        <f>_xlfn.IFNA(VLOOKUP(E166,Master!$J:$K,2,0),"")</f>
        <v/>
      </c>
      <c r="F166" s="4" t="str">
        <f>_xlfn.IFNA(VLOOKUP(G166,Master!B:C,2,0),"")</f>
        <v/>
      </c>
      <c r="I166" s="3" t="str">
        <f>_xlfn.IFNA(VLOOKUP(E166,Master!$J:$M,4,0),"")</f>
        <v/>
      </c>
      <c r="J166" s="3" t="str">
        <f>_xlfn.IFNA(VLOOKUP($E166,Master!$J:$M,3,0),"")</f>
        <v/>
      </c>
      <c r="AC166" s="26">
        <f t="shared" si="4"/>
        <v>0</v>
      </c>
      <c r="AD166" s="26">
        <f t="shared" si="5"/>
        <v>0</v>
      </c>
    </row>
    <row r="167" spans="2:30" ht="15" customHeight="1">
      <c r="B167" s="3" t="str">
        <f>_xlfn.IFNA(VLOOKUP(C167,Master!$J:$K,2,0),"")</f>
        <v/>
      </c>
      <c r="D167" s="4" t="str">
        <f>_xlfn.IFNA(VLOOKUP(E167,Master!$J:$K,2,0),"")</f>
        <v/>
      </c>
      <c r="F167" s="4" t="str">
        <f>_xlfn.IFNA(VLOOKUP(G167,Master!B:C,2,0),"")</f>
        <v/>
      </c>
      <c r="I167" s="3" t="str">
        <f>_xlfn.IFNA(VLOOKUP(E167,Master!$J:$M,4,0),"")</f>
        <v/>
      </c>
      <c r="J167" s="3" t="str">
        <f>_xlfn.IFNA(VLOOKUP($E167,Master!$J:$M,3,0),"")</f>
        <v/>
      </c>
      <c r="AC167" s="26">
        <f t="shared" si="4"/>
        <v>0</v>
      </c>
      <c r="AD167" s="26">
        <f t="shared" si="5"/>
        <v>0</v>
      </c>
    </row>
    <row r="168" spans="2:30" ht="15" customHeight="1">
      <c r="B168" s="3" t="str">
        <f>_xlfn.IFNA(VLOOKUP(C168,Master!$J:$K,2,0),"")</f>
        <v/>
      </c>
      <c r="D168" s="4" t="str">
        <f>_xlfn.IFNA(VLOOKUP(E168,Master!$J:$K,2,0),"")</f>
        <v/>
      </c>
      <c r="F168" s="4" t="str">
        <f>_xlfn.IFNA(VLOOKUP(G168,Master!B:C,2,0),"")</f>
        <v/>
      </c>
      <c r="I168" s="3" t="str">
        <f>_xlfn.IFNA(VLOOKUP(E168,Master!$J:$M,4,0),"")</f>
        <v/>
      </c>
      <c r="J168" s="3" t="str">
        <f>_xlfn.IFNA(VLOOKUP($E168,Master!$J:$M,3,0),"")</f>
        <v/>
      </c>
      <c r="AC168" s="26">
        <f t="shared" si="4"/>
        <v>0</v>
      </c>
      <c r="AD168" s="26">
        <f t="shared" si="5"/>
        <v>0</v>
      </c>
    </row>
    <row r="169" spans="2:30" ht="15" customHeight="1">
      <c r="B169" s="3" t="str">
        <f>_xlfn.IFNA(VLOOKUP(C169,Master!$J:$K,2,0),"")</f>
        <v/>
      </c>
      <c r="D169" s="4" t="str">
        <f>_xlfn.IFNA(VLOOKUP(E169,Master!$J:$K,2,0),"")</f>
        <v/>
      </c>
      <c r="F169" s="4" t="str">
        <f>_xlfn.IFNA(VLOOKUP(G169,Master!B:C,2,0),"")</f>
        <v/>
      </c>
      <c r="I169" s="3" t="str">
        <f>_xlfn.IFNA(VLOOKUP(E169,Master!$J:$M,4,0),"")</f>
        <v/>
      </c>
      <c r="J169" s="3" t="str">
        <f>_xlfn.IFNA(VLOOKUP($E169,Master!$J:$M,3,0),"")</f>
        <v/>
      </c>
      <c r="AC169" s="26">
        <f t="shared" si="4"/>
        <v>0</v>
      </c>
      <c r="AD169" s="26">
        <f t="shared" si="5"/>
        <v>0</v>
      </c>
    </row>
    <row r="170" spans="2:30" ht="15" customHeight="1">
      <c r="B170" s="3" t="str">
        <f>_xlfn.IFNA(VLOOKUP(C170,Master!$J:$K,2,0),"")</f>
        <v/>
      </c>
      <c r="D170" s="4" t="str">
        <f>_xlfn.IFNA(VLOOKUP(E170,Master!$J:$K,2,0),"")</f>
        <v/>
      </c>
      <c r="F170" s="4" t="str">
        <f>_xlfn.IFNA(VLOOKUP(G170,Master!B:C,2,0),"")</f>
        <v/>
      </c>
      <c r="I170" s="3" t="str">
        <f>_xlfn.IFNA(VLOOKUP(E170,Master!$J:$M,4,0),"")</f>
        <v/>
      </c>
      <c r="J170" s="3" t="str">
        <f>_xlfn.IFNA(VLOOKUP($E170,Master!$J:$M,3,0),"")</f>
        <v/>
      </c>
      <c r="AC170" s="26">
        <f t="shared" si="4"/>
        <v>0</v>
      </c>
      <c r="AD170" s="26">
        <f t="shared" si="5"/>
        <v>0</v>
      </c>
    </row>
    <row r="171" spans="2:30" ht="15" customHeight="1">
      <c r="B171" s="3" t="str">
        <f>_xlfn.IFNA(VLOOKUP(C171,Master!$J:$K,2,0),"")</f>
        <v/>
      </c>
      <c r="D171" s="4" t="str">
        <f>_xlfn.IFNA(VLOOKUP(E171,Master!$J:$K,2,0),"")</f>
        <v/>
      </c>
      <c r="F171" s="4" t="str">
        <f>_xlfn.IFNA(VLOOKUP(G171,Master!B:C,2,0),"")</f>
        <v/>
      </c>
      <c r="I171" s="3" t="str">
        <f>_xlfn.IFNA(VLOOKUP(E171,Master!$J:$M,4,0),"")</f>
        <v/>
      </c>
      <c r="J171" s="3" t="str">
        <f>_xlfn.IFNA(VLOOKUP($E171,Master!$J:$M,3,0),"")</f>
        <v/>
      </c>
      <c r="AC171" s="26">
        <f t="shared" si="4"/>
        <v>0</v>
      </c>
      <c r="AD171" s="26">
        <f t="shared" si="5"/>
        <v>0</v>
      </c>
    </row>
    <row r="172" spans="2:30" ht="15" customHeight="1">
      <c r="B172" s="3" t="str">
        <f>_xlfn.IFNA(VLOOKUP(C172,Master!$J:$K,2,0),"")</f>
        <v/>
      </c>
      <c r="D172" s="4" t="str">
        <f>_xlfn.IFNA(VLOOKUP(E172,Master!$J:$K,2,0),"")</f>
        <v/>
      </c>
      <c r="F172" s="4" t="str">
        <f>_xlfn.IFNA(VLOOKUP(G172,Master!B:C,2,0),"")</f>
        <v/>
      </c>
      <c r="I172" s="3" t="str">
        <f>_xlfn.IFNA(VLOOKUP(E172,Master!$J:$M,4,0),"")</f>
        <v/>
      </c>
      <c r="J172" s="3" t="str">
        <f>_xlfn.IFNA(VLOOKUP($E172,Master!$J:$M,3,0),"")</f>
        <v/>
      </c>
      <c r="AC172" s="26">
        <f t="shared" si="4"/>
        <v>0</v>
      </c>
      <c r="AD172" s="26">
        <f t="shared" si="5"/>
        <v>0</v>
      </c>
    </row>
    <row r="173" spans="2:30" ht="15" customHeight="1">
      <c r="B173" s="3" t="str">
        <f>_xlfn.IFNA(VLOOKUP(C173,Master!$J:$K,2,0),"")</f>
        <v/>
      </c>
      <c r="D173" s="4" t="str">
        <f>_xlfn.IFNA(VLOOKUP(E173,Master!$J:$K,2,0),"")</f>
        <v/>
      </c>
      <c r="F173" s="4" t="str">
        <f>_xlfn.IFNA(VLOOKUP(G173,Master!B:C,2,0),"")</f>
        <v/>
      </c>
      <c r="I173" s="3" t="str">
        <f>_xlfn.IFNA(VLOOKUP(E173,Master!$J:$M,4,0),"")</f>
        <v/>
      </c>
      <c r="J173" s="3" t="str">
        <f>_xlfn.IFNA(VLOOKUP($E173,Master!$J:$M,3,0),"")</f>
        <v/>
      </c>
      <c r="AC173" s="26">
        <f t="shared" si="4"/>
        <v>0</v>
      </c>
      <c r="AD173" s="26">
        <f t="shared" si="5"/>
        <v>0</v>
      </c>
    </row>
    <row r="174" spans="2:30" ht="15" customHeight="1">
      <c r="B174" s="3" t="str">
        <f>_xlfn.IFNA(VLOOKUP(C174,Master!$J:$K,2,0),"")</f>
        <v/>
      </c>
      <c r="D174" s="4" t="str">
        <f>_xlfn.IFNA(VLOOKUP(E174,Master!$J:$K,2,0),"")</f>
        <v/>
      </c>
      <c r="F174" s="4" t="str">
        <f>_xlfn.IFNA(VLOOKUP(G174,Master!B:C,2,0),"")</f>
        <v/>
      </c>
      <c r="I174" s="3" t="str">
        <f>_xlfn.IFNA(VLOOKUP(E174,Master!$J:$M,4,0),"")</f>
        <v/>
      </c>
      <c r="J174" s="3" t="str">
        <f>_xlfn.IFNA(VLOOKUP($E174,Master!$J:$M,3,0),"")</f>
        <v/>
      </c>
      <c r="AC174" s="26">
        <f t="shared" si="4"/>
        <v>0</v>
      </c>
      <c r="AD174" s="26">
        <f t="shared" si="5"/>
        <v>0</v>
      </c>
    </row>
    <row r="175" spans="2:30" ht="15" customHeight="1">
      <c r="B175" s="3" t="str">
        <f>_xlfn.IFNA(VLOOKUP(C175,Master!$J:$K,2,0),"")</f>
        <v/>
      </c>
      <c r="D175" s="4" t="str">
        <f>_xlfn.IFNA(VLOOKUP(E175,Master!$J:$K,2,0),"")</f>
        <v/>
      </c>
      <c r="F175" s="4" t="str">
        <f>_xlfn.IFNA(VLOOKUP(G175,Master!B:C,2,0),"")</f>
        <v/>
      </c>
      <c r="I175" s="3" t="str">
        <f>_xlfn.IFNA(VLOOKUP(E175,Master!$J:$M,4,0),"")</f>
        <v/>
      </c>
      <c r="J175" s="3" t="str">
        <f>_xlfn.IFNA(VLOOKUP($E175,Master!$J:$M,3,0),"")</f>
        <v/>
      </c>
      <c r="AC175" s="26">
        <f t="shared" si="4"/>
        <v>0</v>
      </c>
      <c r="AD175" s="26">
        <f t="shared" si="5"/>
        <v>0</v>
      </c>
    </row>
    <row r="176" spans="2:30" ht="15" customHeight="1">
      <c r="B176" s="3" t="str">
        <f>_xlfn.IFNA(VLOOKUP(C176,Master!$J:$K,2,0),"")</f>
        <v/>
      </c>
      <c r="D176" s="4" t="str">
        <f>_xlfn.IFNA(VLOOKUP(E176,Master!$J:$K,2,0),"")</f>
        <v/>
      </c>
      <c r="F176" s="4" t="str">
        <f>_xlfn.IFNA(VLOOKUP(G176,Master!B:C,2,0),"")</f>
        <v/>
      </c>
      <c r="I176" s="3" t="str">
        <f>_xlfn.IFNA(VLOOKUP(E176,Master!$J:$M,4,0),"")</f>
        <v/>
      </c>
      <c r="J176" s="3" t="str">
        <f>_xlfn.IFNA(VLOOKUP($E176,Master!$J:$M,3,0),"")</f>
        <v/>
      </c>
      <c r="AC176" s="26">
        <f t="shared" si="4"/>
        <v>0</v>
      </c>
      <c r="AD176" s="26">
        <f t="shared" si="5"/>
        <v>0</v>
      </c>
    </row>
    <row r="177" spans="2:30" ht="15" customHeight="1">
      <c r="B177" s="3" t="str">
        <f>_xlfn.IFNA(VLOOKUP(C177,Master!$J:$K,2,0),"")</f>
        <v/>
      </c>
      <c r="D177" s="4" t="str">
        <f>_xlfn.IFNA(VLOOKUP(E177,Master!$J:$K,2,0),"")</f>
        <v/>
      </c>
      <c r="F177" s="4" t="str">
        <f>_xlfn.IFNA(VLOOKUP(G177,Master!B:C,2,0),"")</f>
        <v/>
      </c>
      <c r="I177" s="3" t="str">
        <f>_xlfn.IFNA(VLOOKUP(E177,Master!$J:$M,4,0),"")</f>
        <v/>
      </c>
      <c r="J177" s="3" t="str">
        <f>_xlfn.IFNA(VLOOKUP($E177,Master!$J:$M,3,0),"")</f>
        <v/>
      </c>
      <c r="AC177" s="26">
        <f t="shared" si="4"/>
        <v>0</v>
      </c>
      <c r="AD177" s="26">
        <f t="shared" si="5"/>
        <v>0</v>
      </c>
    </row>
    <row r="178" spans="2:30" ht="15" customHeight="1">
      <c r="B178" s="3" t="str">
        <f>_xlfn.IFNA(VLOOKUP(C178,Master!$J:$K,2,0),"")</f>
        <v/>
      </c>
      <c r="D178" s="4" t="str">
        <f>_xlfn.IFNA(VLOOKUP(E178,Master!$J:$K,2,0),"")</f>
        <v/>
      </c>
      <c r="F178" s="4" t="str">
        <f>_xlfn.IFNA(VLOOKUP(G178,Master!B:C,2,0),"")</f>
        <v/>
      </c>
      <c r="I178" s="3" t="str">
        <f>_xlfn.IFNA(VLOOKUP(E178,Master!$J:$M,4,0),"")</f>
        <v/>
      </c>
      <c r="J178" s="3" t="str">
        <f>_xlfn.IFNA(VLOOKUP($E178,Master!$J:$M,3,0),"")</f>
        <v/>
      </c>
      <c r="AC178" s="26">
        <f t="shared" si="4"/>
        <v>0</v>
      </c>
      <c r="AD178" s="26">
        <f t="shared" si="5"/>
        <v>0</v>
      </c>
    </row>
    <row r="179" spans="2:30" ht="15" customHeight="1">
      <c r="B179" s="3" t="str">
        <f>_xlfn.IFNA(VLOOKUP(C179,Master!$J:$K,2,0),"")</f>
        <v/>
      </c>
      <c r="D179" s="4" t="str">
        <f>_xlfn.IFNA(VLOOKUP(E179,Master!$J:$K,2,0),"")</f>
        <v/>
      </c>
      <c r="F179" s="4" t="str">
        <f>_xlfn.IFNA(VLOOKUP(G179,Master!B:C,2,0),"")</f>
        <v/>
      </c>
      <c r="I179" s="3" t="str">
        <f>_xlfn.IFNA(VLOOKUP(E179,Master!$J:$M,4,0),"")</f>
        <v/>
      </c>
      <c r="J179" s="3" t="str">
        <f>_xlfn.IFNA(VLOOKUP($E179,Master!$J:$M,3,0),"")</f>
        <v/>
      </c>
      <c r="AC179" s="26">
        <f t="shared" si="4"/>
        <v>0</v>
      </c>
      <c r="AD179" s="26">
        <f t="shared" si="5"/>
        <v>0</v>
      </c>
    </row>
    <row r="180" spans="2:30" ht="15" customHeight="1">
      <c r="B180" s="3" t="str">
        <f>_xlfn.IFNA(VLOOKUP(C180,Master!$J:$K,2,0),"")</f>
        <v/>
      </c>
      <c r="D180" s="4" t="str">
        <f>_xlfn.IFNA(VLOOKUP(E180,Master!$J:$K,2,0),"")</f>
        <v/>
      </c>
      <c r="F180" s="4" t="str">
        <f>_xlfn.IFNA(VLOOKUP(G180,Master!B:C,2,0),"")</f>
        <v/>
      </c>
      <c r="I180" s="3" t="str">
        <f>_xlfn.IFNA(VLOOKUP(E180,Master!$J:$M,4,0),"")</f>
        <v/>
      </c>
      <c r="J180" s="3" t="str">
        <f>_xlfn.IFNA(VLOOKUP($E180,Master!$J:$M,3,0),"")</f>
        <v/>
      </c>
      <c r="AC180" s="26">
        <f t="shared" si="4"/>
        <v>0</v>
      </c>
      <c r="AD180" s="26">
        <f t="shared" si="5"/>
        <v>0</v>
      </c>
    </row>
    <row r="181" spans="2:30" ht="15" customHeight="1">
      <c r="B181" s="3" t="str">
        <f>_xlfn.IFNA(VLOOKUP(C181,Master!$J:$K,2,0),"")</f>
        <v/>
      </c>
      <c r="D181" s="4" t="str">
        <f>_xlfn.IFNA(VLOOKUP(E181,Master!$J:$K,2,0),"")</f>
        <v/>
      </c>
      <c r="F181" s="4" t="str">
        <f>_xlfn.IFNA(VLOOKUP(G181,Master!B:C,2,0),"")</f>
        <v/>
      </c>
      <c r="I181" s="3" t="str">
        <f>_xlfn.IFNA(VLOOKUP(E181,Master!$J:$M,4,0),"")</f>
        <v/>
      </c>
      <c r="J181" s="3" t="str">
        <f>_xlfn.IFNA(VLOOKUP($E181,Master!$J:$M,3,0),"")</f>
        <v/>
      </c>
      <c r="AC181" s="26">
        <f t="shared" si="4"/>
        <v>0</v>
      </c>
      <c r="AD181" s="26">
        <f t="shared" si="5"/>
        <v>0</v>
      </c>
    </row>
    <row r="182" spans="2:30" ht="15" customHeight="1">
      <c r="B182" s="3" t="str">
        <f>_xlfn.IFNA(VLOOKUP(C182,Master!$J:$K,2,0),"")</f>
        <v/>
      </c>
      <c r="D182" s="4" t="str">
        <f>_xlfn.IFNA(VLOOKUP(E182,Master!$J:$K,2,0),"")</f>
        <v/>
      </c>
      <c r="F182" s="4" t="str">
        <f>_xlfn.IFNA(VLOOKUP(G182,Master!B:C,2,0),"")</f>
        <v/>
      </c>
      <c r="I182" s="3" t="str">
        <f>_xlfn.IFNA(VLOOKUP(E182,Master!$J:$M,4,0),"")</f>
        <v/>
      </c>
      <c r="J182" s="3" t="str">
        <f>_xlfn.IFNA(VLOOKUP($E182,Master!$J:$M,3,0),"")</f>
        <v/>
      </c>
      <c r="AC182" s="26">
        <f t="shared" si="4"/>
        <v>0</v>
      </c>
      <c r="AD182" s="26">
        <f t="shared" si="5"/>
        <v>0</v>
      </c>
    </row>
    <row r="183" spans="2:30" ht="15" customHeight="1">
      <c r="B183" s="3" t="str">
        <f>_xlfn.IFNA(VLOOKUP(C183,Master!$J:$K,2,0),"")</f>
        <v/>
      </c>
      <c r="D183" s="4" t="str">
        <f>_xlfn.IFNA(VLOOKUP(E183,Master!$J:$K,2,0),"")</f>
        <v/>
      </c>
      <c r="F183" s="4" t="str">
        <f>_xlfn.IFNA(VLOOKUP(G183,Master!B:C,2,0),"")</f>
        <v/>
      </c>
      <c r="I183" s="3" t="str">
        <f>_xlfn.IFNA(VLOOKUP(E183,Master!$J:$M,4,0),"")</f>
        <v/>
      </c>
      <c r="J183" s="3" t="str">
        <f>_xlfn.IFNA(VLOOKUP($E183,Master!$J:$M,3,0),"")</f>
        <v/>
      </c>
      <c r="AC183" s="26">
        <f t="shared" si="4"/>
        <v>0</v>
      </c>
      <c r="AD183" s="26">
        <f t="shared" si="5"/>
        <v>0</v>
      </c>
    </row>
    <row r="184" spans="2:30" ht="15" customHeight="1">
      <c r="B184" s="3" t="str">
        <f>_xlfn.IFNA(VLOOKUP(C184,Master!$J:$K,2,0),"")</f>
        <v/>
      </c>
      <c r="D184" s="4" t="str">
        <f>_xlfn.IFNA(VLOOKUP(E184,Master!$J:$K,2,0),"")</f>
        <v/>
      </c>
      <c r="F184" s="4" t="str">
        <f>_xlfn.IFNA(VLOOKUP(G184,Master!B:C,2,0),"")</f>
        <v/>
      </c>
      <c r="I184" s="3" t="str">
        <f>_xlfn.IFNA(VLOOKUP(E184,Master!$J:$M,4,0),"")</f>
        <v/>
      </c>
      <c r="J184" s="3" t="str">
        <f>_xlfn.IFNA(VLOOKUP($E184,Master!$J:$M,3,0),"")</f>
        <v/>
      </c>
      <c r="AC184" s="26">
        <f t="shared" si="4"/>
        <v>0</v>
      </c>
      <c r="AD184" s="26">
        <f t="shared" si="5"/>
        <v>0</v>
      </c>
    </row>
    <row r="185" spans="2:30" ht="15" customHeight="1">
      <c r="B185" s="3" t="str">
        <f>_xlfn.IFNA(VLOOKUP(C185,Master!$J:$K,2,0),"")</f>
        <v/>
      </c>
      <c r="D185" s="4" t="str">
        <f>_xlfn.IFNA(VLOOKUP(E185,Master!$J:$K,2,0),"")</f>
        <v/>
      </c>
      <c r="F185" s="4" t="str">
        <f>_xlfn.IFNA(VLOOKUP(G185,Master!B:C,2,0),"")</f>
        <v/>
      </c>
      <c r="I185" s="3" t="str">
        <f>_xlfn.IFNA(VLOOKUP(E185,Master!$J:$M,4,0),"")</f>
        <v/>
      </c>
      <c r="J185" s="3" t="str">
        <f>_xlfn.IFNA(VLOOKUP($E185,Master!$J:$M,3,0),"")</f>
        <v/>
      </c>
      <c r="AC185" s="26">
        <f t="shared" si="4"/>
        <v>0</v>
      </c>
      <c r="AD185" s="26">
        <f t="shared" si="5"/>
        <v>0</v>
      </c>
    </row>
    <row r="186" spans="2:30" ht="15" customHeight="1">
      <c r="B186" s="3" t="str">
        <f>_xlfn.IFNA(VLOOKUP(C186,Master!$J:$K,2,0),"")</f>
        <v/>
      </c>
      <c r="D186" s="4" t="str">
        <f>_xlfn.IFNA(VLOOKUP(E186,Master!$J:$K,2,0),"")</f>
        <v/>
      </c>
      <c r="F186" s="4" t="str">
        <f>_xlfn.IFNA(VLOOKUP(G186,Master!B:C,2,0),"")</f>
        <v/>
      </c>
      <c r="I186" s="3" t="str">
        <f>_xlfn.IFNA(VLOOKUP(E186,Master!$J:$M,4,0),"")</f>
        <v/>
      </c>
      <c r="J186" s="3" t="str">
        <f>_xlfn.IFNA(VLOOKUP($E186,Master!$J:$M,3,0),"")</f>
        <v/>
      </c>
      <c r="AC186" s="26">
        <f t="shared" si="4"/>
        <v>0</v>
      </c>
      <c r="AD186" s="26">
        <f t="shared" si="5"/>
        <v>0</v>
      </c>
    </row>
    <row r="187" spans="2:30" ht="15" customHeight="1">
      <c r="B187" s="3" t="str">
        <f>_xlfn.IFNA(VLOOKUP(C187,Master!$J:$K,2,0),"")</f>
        <v/>
      </c>
      <c r="D187" s="4" t="str">
        <f>_xlfn.IFNA(VLOOKUP(E187,Master!$J:$K,2,0),"")</f>
        <v/>
      </c>
      <c r="F187" s="4" t="str">
        <f>_xlfn.IFNA(VLOOKUP(G187,Master!B:C,2,0),"")</f>
        <v/>
      </c>
      <c r="I187" s="3" t="str">
        <f>_xlfn.IFNA(VLOOKUP(E187,Master!$J:$M,4,0),"")</f>
        <v/>
      </c>
      <c r="J187" s="3" t="str">
        <f>_xlfn.IFNA(VLOOKUP($E187,Master!$J:$M,3,0),"")</f>
        <v/>
      </c>
      <c r="AC187" s="26">
        <f t="shared" si="4"/>
        <v>0</v>
      </c>
      <c r="AD187" s="26">
        <f t="shared" si="5"/>
        <v>0</v>
      </c>
    </row>
    <row r="188" spans="2:30" ht="15" customHeight="1">
      <c r="B188" s="3" t="str">
        <f>_xlfn.IFNA(VLOOKUP(C188,Master!$J:$K,2,0),"")</f>
        <v/>
      </c>
      <c r="D188" s="4" t="str">
        <f>_xlfn.IFNA(VLOOKUP(E188,Master!$J:$K,2,0),"")</f>
        <v/>
      </c>
      <c r="F188" s="4" t="str">
        <f>_xlfn.IFNA(VLOOKUP(G188,Master!B:C,2,0),"")</f>
        <v/>
      </c>
      <c r="I188" s="3" t="str">
        <f>_xlfn.IFNA(VLOOKUP(E188,Master!$J:$M,4,0),"")</f>
        <v/>
      </c>
      <c r="J188" s="3" t="str">
        <f>_xlfn.IFNA(VLOOKUP($E188,Master!$J:$M,3,0),"")</f>
        <v/>
      </c>
      <c r="AC188" s="26">
        <f t="shared" si="4"/>
        <v>0</v>
      </c>
      <c r="AD188" s="26">
        <f t="shared" si="5"/>
        <v>0</v>
      </c>
    </row>
    <row r="189" spans="2:30" ht="15" customHeight="1">
      <c r="B189" s="3" t="str">
        <f>_xlfn.IFNA(VLOOKUP(C189,Master!$J:$K,2,0),"")</f>
        <v/>
      </c>
      <c r="D189" s="4" t="str">
        <f>_xlfn.IFNA(VLOOKUP(E189,Master!$J:$K,2,0),"")</f>
        <v/>
      </c>
      <c r="F189" s="4" t="str">
        <f>_xlfn.IFNA(VLOOKUP(G189,Master!B:C,2,0),"")</f>
        <v/>
      </c>
      <c r="I189" s="3" t="str">
        <f>_xlfn.IFNA(VLOOKUP(E189,Master!$J:$M,4,0),"")</f>
        <v/>
      </c>
      <c r="J189" s="3" t="str">
        <f>_xlfn.IFNA(VLOOKUP($E189,Master!$J:$M,3,0),"")</f>
        <v/>
      </c>
      <c r="AC189" s="26">
        <f t="shared" si="4"/>
        <v>0</v>
      </c>
      <c r="AD189" s="26">
        <f t="shared" si="5"/>
        <v>0</v>
      </c>
    </row>
    <row r="190" spans="2:30" ht="15" customHeight="1">
      <c r="B190" s="3" t="str">
        <f>_xlfn.IFNA(VLOOKUP(C190,Master!$J:$K,2,0),"")</f>
        <v/>
      </c>
      <c r="D190" s="4" t="str">
        <f>_xlfn.IFNA(VLOOKUP(E190,Master!$J:$K,2,0),"")</f>
        <v/>
      </c>
      <c r="F190" s="4" t="str">
        <f>_xlfn.IFNA(VLOOKUP(G190,Master!B:C,2,0),"")</f>
        <v/>
      </c>
      <c r="I190" s="3" t="str">
        <f>_xlfn.IFNA(VLOOKUP(E190,Master!$J:$M,4,0),"")</f>
        <v/>
      </c>
      <c r="J190" s="3" t="str">
        <f>_xlfn.IFNA(VLOOKUP($E190,Master!$J:$M,3,0),"")</f>
        <v/>
      </c>
      <c r="AC190" s="26">
        <f t="shared" si="4"/>
        <v>0</v>
      </c>
      <c r="AD190" s="26">
        <f t="shared" si="5"/>
        <v>0</v>
      </c>
    </row>
    <row r="191" spans="2:30" ht="15" customHeight="1">
      <c r="B191" s="3" t="str">
        <f>_xlfn.IFNA(VLOOKUP(C191,Master!$J:$K,2,0),"")</f>
        <v/>
      </c>
      <c r="D191" s="4" t="str">
        <f>_xlfn.IFNA(VLOOKUP(E191,Master!$J:$K,2,0),"")</f>
        <v/>
      </c>
      <c r="F191" s="4" t="str">
        <f>_xlfn.IFNA(VLOOKUP(G191,Master!B:C,2,0),"")</f>
        <v/>
      </c>
      <c r="I191" s="3" t="str">
        <f>_xlfn.IFNA(VLOOKUP(E191,Master!$J:$M,4,0),"")</f>
        <v/>
      </c>
      <c r="J191" s="3" t="str">
        <f>_xlfn.IFNA(VLOOKUP($E191,Master!$J:$M,3,0),"")</f>
        <v/>
      </c>
      <c r="AC191" s="26">
        <f t="shared" si="4"/>
        <v>0</v>
      </c>
      <c r="AD191" s="26">
        <f t="shared" si="5"/>
        <v>0</v>
      </c>
    </row>
    <row r="192" spans="2:30" ht="15" customHeight="1">
      <c r="B192" s="3" t="str">
        <f>_xlfn.IFNA(VLOOKUP(C192,Master!$J:$K,2,0),"")</f>
        <v/>
      </c>
      <c r="D192" s="4" t="str">
        <f>_xlfn.IFNA(VLOOKUP(E192,Master!$J:$K,2,0),"")</f>
        <v/>
      </c>
      <c r="F192" s="4" t="str">
        <f>_xlfn.IFNA(VLOOKUP(G192,Master!B:C,2,0),"")</f>
        <v/>
      </c>
      <c r="I192" s="3" t="str">
        <f>_xlfn.IFNA(VLOOKUP(E192,Master!$J:$M,4,0),"")</f>
        <v/>
      </c>
      <c r="J192" s="3" t="str">
        <f>_xlfn.IFNA(VLOOKUP($E192,Master!$J:$M,3,0),"")</f>
        <v/>
      </c>
      <c r="AC192" s="26">
        <f t="shared" si="4"/>
        <v>0</v>
      </c>
      <c r="AD192" s="26">
        <f t="shared" si="5"/>
        <v>0</v>
      </c>
    </row>
    <row r="193" spans="2:30" ht="15" customHeight="1">
      <c r="B193" s="3" t="str">
        <f>_xlfn.IFNA(VLOOKUP(C193,Master!$J:$K,2,0),"")</f>
        <v/>
      </c>
      <c r="D193" s="4" t="str">
        <f>_xlfn.IFNA(VLOOKUP(E193,Master!$J:$K,2,0),"")</f>
        <v/>
      </c>
      <c r="F193" s="4" t="str">
        <f>_xlfn.IFNA(VLOOKUP(G193,Master!B:C,2,0),"")</f>
        <v/>
      </c>
      <c r="I193" s="3" t="str">
        <f>_xlfn.IFNA(VLOOKUP(E193,Master!$J:$M,4,0),"")</f>
        <v/>
      </c>
      <c r="J193" s="3" t="str">
        <f>_xlfn.IFNA(VLOOKUP($E193,Master!$J:$M,3,0),"")</f>
        <v/>
      </c>
      <c r="AC193" s="26">
        <f t="shared" si="4"/>
        <v>0</v>
      </c>
      <c r="AD193" s="26">
        <f t="shared" si="5"/>
        <v>0</v>
      </c>
    </row>
    <row r="194" spans="2:30" ht="15" customHeight="1">
      <c r="B194" s="3" t="str">
        <f>_xlfn.IFNA(VLOOKUP(C194,Master!$J:$K,2,0),"")</f>
        <v/>
      </c>
      <c r="D194" s="4" t="str">
        <f>_xlfn.IFNA(VLOOKUP(E194,Master!$J:$K,2,0),"")</f>
        <v/>
      </c>
      <c r="F194" s="4" t="str">
        <f>_xlfn.IFNA(VLOOKUP(G194,Master!B:C,2,0),"")</f>
        <v/>
      </c>
      <c r="I194" s="3" t="str">
        <f>_xlfn.IFNA(VLOOKUP(E194,Master!$J:$M,4,0),"")</f>
        <v/>
      </c>
      <c r="J194" s="3" t="str">
        <f>_xlfn.IFNA(VLOOKUP($E194,Master!$J:$M,3,0),"")</f>
        <v/>
      </c>
      <c r="AC194" s="26">
        <f t="shared" ref="AC194:AC257" si="6">SUM(K194:P194)</f>
        <v>0</v>
      </c>
      <c r="AD194" s="26">
        <f t="shared" ref="AD194:AD257" si="7">SUM(Q194:AB194)</f>
        <v>0</v>
      </c>
    </row>
    <row r="195" spans="2:30" ht="15" customHeight="1">
      <c r="B195" s="3" t="str">
        <f>_xlfn.IFNA(VLOOKUP(C195,Master!$J:$K,2,0),"")</f>
        <v/>
      </c>
      <c r="D195" s="4" t="str">
        <f>_xlfn.IFNA(VLOOKUP(E195,Master!$J:$K,2,0),"")</f>
        <v/>
      </c>
      <c r="F195" s="4" t="str">
        <f>_xlfn.IFNA(VLOOKUP(G195,Master!B:C,2,0),"")</f>
        <v/>
      </c>
      <c r="I195" s="3" t="str">
        <f>_xlfn.IFNA(VLOOKUP(E195,Master!$J:$M,4,0),"")</f>
        <v/>
      </c>
      <c r="J195" s="3" t="str">
        <f>_xlfn.IFNA(VLOOKUP($E195,Master!$J:$M,3,0),"")</f>
        <v/>
      </c>
      <c r="AC195" s="26">
        <f t="shared" si="6"/>
        <v>0</v>
      </c>
      <c r="AD195" s="26">
        <f t="shared" si="7"/>
        <v>0</v>
      </c>
    </row>
    <row r="196" spans="2:30" ht="15" customHeight="1">
      <c r="B196" s="3" t="str">
        <f>_xlfn.IFNA(VLOOKUP(C196,Master!$J:$K,2,0),"")</f>
        <v/>
      </c>
      <c r="D196" s="4" t="str">
        <f>_xlfn.IFNA(VLOOKUP(E196,Master!$J:$K,2,0),"")</f>
        <v/>
      </c>
      <c r="F196" s="4" t="str">
        <f>_xlfn.IFNA(VLOOKUP(G196,Master!B:C,2,0),"")</f>
        <v/>
      </c>
      <c r="I196" s="3" t="str">
        <f>_xlfn.IFNA(VLOOKUP(E196,Master!$J:$M,4,0),"")</f>
        <v/>
      </c>
      <c r="J196" s="3" t="str">
        <f>_xlfn.IFNA(VLOOKUP($E196,Master!$J:$M,3,0),"")</f>
        <v/>
      </c>
      <c r="AC196" s="26">
        <f t="shared" si="6"/>
        <v>0</v>
      </c>
      <c r="AD196" s="26">
        <f t="shared" si="7"/>
        <v>0</v>
      </c>
    </row>
    <row r="197" spans="2:30" ht="15" customHeight="1">
      <c r="B197" s="3" t="str">
        <f>_xlfn.IFNA(VLOOKUP(C197,Master!$J:$K,2,0),"")</f>
        <v/>
      </c>
      <c r="D197" s="4" t="str">
        <f>_xlfn.IFNA(VLOOKUP(E197,Master!$J:$K,2,0),"")</f>
        <v/>
      </c>
      <c r="F197" s="4" t="str">
        <f>_xlfn.IFNA(VLOOKUP(G197,Master!B:C,2,0),"")</f>
        <v/>
      </c>
      <c r="I197" s="3" t="str">
        <f>_xlfn.IFNA(VLOOKUP(E197,Master!$J:$M,4,0),"")</f>
        <v/>
      </c>
      <c r="J197" s="3" t="str">
        <f>_xlfn.IFNA(VLOOKUP($E197,Master!$J:$M,3,0),"")</f>
        <v/>
      </c>
      <c r="AC197" s="26">
        <f t="shared" si="6"/>
        <v>0</v>
      </c>
      <c r="AD197" s="26">
        <f t="shared" si="7"/>
        <v>0</v>
      </c>
    </row>
    <row r="198" spans="2:30" ht="15" customHeight="1">
      <c r="B198" s="3" t="str">
        <f>_xlfn.IFNA(VLOOKUP(C198,Master!$J:$K,2,0),"")</f>
        <v/>
      </c>
      <c r="D198" s="4" t="str">
        <f>_xlfn.IFNA(VLOOKUP(E198,Master!$J:$K,2,0),"")</f>
        <v/>
      </c>
      <c r="F198" s="4" t="str">
        <f>_xlfn.IFNA(VLOOKUP(G198,Master!B:C,2,0),"")</f>
        <v/>
      </c>
      <c r="I198" s="3" t="str">
        <f>_xlfn.IFNA(VLOOKUP(E198,Master!$J:$M,4,0),"")</f>
        <v/>
      </c>
      <c r="J198" s="3" t="str">
        <f>_xlfn.IFNA(VLOOKUP($E198,Master!$J:$M,3,0),"")</f>
        <v/>
      </c>
      <c r="AC198" s="26">
        <f t="shared" si="6"/>
        <v>0</v>
      </c>
      <c r="AD198" s="26">
        <f t="shared" si="7"/>
        <v>0</v>
      </c>
    </row>
    <row r="199" spans="2:30" ht="15" customHeight="1">
      <c r="B199" s="3" t="str">
        <f>_xlfn.IFNA(VLOOKUP(C199,Master!$J:$K,2,0),"")</f>
        <v/>
      </c>
      <c r="D199" s="4" t="str">
        <f>_xlfn.IFNA(VLOOKUP(E199,Master!$J:$K,2,0),"")</f>
        <v/>
      </c>
      <c r="F199" s="4" t="str">
        <f>_xlfn.IFNA(VLOOKUP(G199,Master!B:C,2,0),"")</f>
        <v/>
      </c>
      <c r="I199" s="3" t="str">
        <f>_xlfn.IFNA(VLOOKUP(E199,Master!$J:$M,4,0),"")</f>
        <v/>
      </c>
      <c r="J199" s="3" t="str">
        <f>_xlfn.IFNA(VLOOKUP($E199,Master!$J:$M,3,0),"")</f>
        <v/>
      </c>
      <c r="AC199" s="26">
        <f t="shared" si="6"/>
        <v>0</v>
      </c>
      <c r="AD199" s="26">
        <f t="shared" si="7"/>
        <v>0</v>
      </c>
    </row>
    <row r="200" spans="2:30" ht="15" customHeight="1">
      <c r="B200" s="3" t="str">
        <f>_xlfn.IFNA(VLOOKUP(C200,Master!$J:$K,2,0),"")</f>
        <v/>
      </c>
      <c r="D200" s="4" t="str">
        <f>_xlfn.IFNA(VLOOKUP(E200,Master!$J:$K,2,0),"")</f>
        <v/>
      </c>
      <c r="F200" s="4" t="str">
        <f>_xlfn.IFNA(VLOOKUP(G200,Master!B:C,2,0),"")</f>
        <v/>
      </c>
      <c r="I200" s="3" t="str">
        <f>_xlfn.IFNA(VLOOKUP(E200,Master!$J:$M,4,0),"")</f>
        <v/>
      </c>
      <c r="J200" s="3" t="str">
        <f>_xlfn.IFNA(VLOOKUP($E200,Master!$J:$M,3,0),"")</f>
        <v/>
      </c>
      <c r="AC200" s="26">
        <f t="shared" si="6"/>
        <v>0</v>
      </c>
      <c r="AD200" s="26">
        <f t="shared" si="7"/>
        <v>0</v>
      </c>
    </row>
    <row r="201" spans="2:30" ht="15" customHeight="1">
      <c r="B201" s="3" t="str">
        <f>_xlfn.IFNA(VLOOKUP(C201,Master!$J:$K,2,0),"")</f>
        <v/>
      </c>
      <c r="D201" s="4" t="str">
        <f>_xlfn.IFNA(VLOOKUP(E201,Master!$J:$K,2,0),"")</f>
        <v/>
      </c>
      <c r="F201" s="4" t="str">
        <f>_xlfn.IFNA(VLOOKUP(G201,Master!B:C,2,0),"")</f>
        <v/>
      </c>
      <c r="I201" s="3" t="str">
        <f>_xlfn.IFNA(VLOOKUP(E201,Master!$J:$M,4,0),"")</f>
        <v/>
      </c>
      <c r="J201" s="3" t="str">
        <f>_xlfn.IFNA(VLOOKUP($E201,Master!$J:$M,3,0),"")</f>
        <v/>
      </c>
      <c r="AC201" s="26">
        <f t="shared" si="6"/>
        <v>0</v>
      </c>
      <c r="AD201" s="26">
        <f t="shared" si="7"/>
        <v>0</v>
      </c>
    </row>
    <row r="202" spans="2:30" ht="15" customHeight="1">
      <c r="B202" s="3" t="str">
        <f>_xlfn.IFNA(VLOOKUP(C202,Master!$J:$K,2,0),"")</f>
        <v/>
      </c>
      <c r="D202" s="4" t="str">
        <f>_xlfn.IFNA(VLOOKUP(E202,Master!$J:$K,2,0),"")</f>
        <v/>
      </c>
      <c r="F202" s="4" t="str">
        <f>_xlfn.IFNA(VLOOKUP(G202,Master!B:C,2,0),"")</f>
        <v/>
      </c>
      <c r="I202" s="3" t="str">
        <f>_xlfn.IFNA(VLOOKUP(E202,Master!$J:$M,4,0),"")</f>
        <v/>
      </c>
      <c r="J202" s="3" t="str">
        <f>_xlfn.IFNA(VLOOKUP($E202,Master!$J:$M,3,0),"")</f>
        <v/>
      </c>
      <c r="AC202" s="26">
        <f t="shared" si="6"/>
        <v>0</v>
      </c>
      <c r="AD202" s="26">
        <f t="shared" si="7"/>
        <v>0</v>
      </c>
    </row>
    <row r="203" spans="2:30" ht="15" customHeight="1">
      <c r="B203" s="3" t="str">
        <f>_xlfn.IFNA(VLOOKUP(C203,Master!$J:$K,2,0),"")</f>
        <v/>
      </c>
      <c r="D203" s="4" t="str">
        <f>_xlfn.IFNA(VLOOKUP(E203,Master!$J:$K,2,0),"")</f>
        <v/>
      </c>
      <c r="F203" s="4" t="str">
        <f>_xlfn.IFNA(VLOOKUP(G203,Master!B:C,2,0),"")</f>
        <v/>
      </c>
      <c r="I203" s="3" t="str">
        <f>_xlfn.IFNA(VLOOKUP(E203,Master!$J:$M,4,0),"")</f>
        <v/>
      </c>
      <c r="J203" s="3" t="str">
        <f>_xlfn.IFNA(VLOOKUP($E203,Master!$J:$M,3,0),"")</f>
        <v/>
      </c>
      <c r="AC203" s="26">
        <f t="shared" si="6"/>
        <v>0</v>
      </c>
      <c r="AD203" s="26">
        <f t="shared" si="7"/>
        <v>0</v>
      </c>
    </row>
    <row r="204" spans="2:30" ht="15" customHeight="1">
      <c r="B204" s="3" t="str">
        <f>_xlfn.IFNA(VLOOKUP(C204,Master!$J:$K,2,0),"")</f>
        <v/>
      </c>
      <c r="D204" s="4" t="str">
        <f>_xlfn.IFNA(VLOOKUP(E204,Master!$J:$K,2,0),"")</f>
        <v/>
      </c>
      <c r="F204" s="4" t="str">
        <f>_xlfn.IFNA(VLOOKUP(G204,Master!B:C,2,0),"")</f>
        <v/>
      </c>
      <c r="I204" s="3" t="str">
        <f>_xlfn.IFNA(VLOOKUP(E204,Master!$J:$M,4,0),"")</f>
        <v/>
      </c>
      <c r="J204" s="3" t="str">
        <f>_xlfn.IFNA(VLOOKUP($E204,Master!$J:$M,3,0),"")</f>
        <v/>
      </c>
      <c r="AC204" s="26">
        <f t="shared" si="6"/>
        <v>0</v>
      </c>
      <c r="AD204" s="26">
        <f t="shared" si="7"/>
        <v>0</v>
      </c>
    </row>
    <row r="205" spans="2:30" ht="15" customHeight="1">
      <c r="B205" s="3" t="str">
        <f>_xlfn.IFNA(VLOOKUP(C205,Master!$J:$K,2,0),"")</f>
        <v/>
      </c>
      <c r="D205" s="4" t="str">
        <f>_xlfn.IFNA(VLOOKUP(E205,Master!$J:$K,2,0),"")</f>
        <v/>
      </c>
      <c r="F205" s="4" t="str">
        <f>_xlfn.IFNA(VLOOKUP(G205,Master!B:C,2,0),"")</f>
        <v/>
      </c>
      <c r="I205" s="3" t="str">
        <f>_xlfn.IFNA(VLOOKUP(E205,Master!$J:$M,4,0),"")</f>
        <v/>
      </c>
      <c r="J205" s="3" t="str">
        <f>_xlfn.IFNA(VLOOKUP($E205,Master!$J:$M,3,0),"")</f>
        <v/>
      </c>
      <c r="AC205" s="26">
        <f t="shared" si="6"/>
        <v>0</v>
      </c>
      <c r="AD205" s="26">
        <f t="shared" si="7"/>
        <v>0</v>
      </c>
    </row>
    <row r="206" spans="2:30" ht="15" customHeight="1">
      <c r="B206" s="3" t="str">
        <f>_xlfn.IFNA(VLOOKUP(C206,Master!$J:$K,2,0),"")</f>
        <v/>
      </c>
      <c r="D206" s="4" t="str">
        <f>_xlfn.IFNA(VLOOKUP(E206,Master!$J:$K,2,0),"")</f>
        <v/>
      </c>
      <c r="F206" s="4" t="str">
        <f>_xlfn.IFNA(VLOOKUP(G206,Master!B:C,2,0),"")</f>
        <v/>
      </c>
      <c r="I206" s="3" t="str">
        <f>_xlfn.IFNA(VLOOKUP(E206,Master!$J:$M,4,0),"")</f>
        <v/>
      </c>
      <c r="J206" s="3" t="str">
        <f>_xlfn.IFNA(VLOOKUP($E206,Master!$J:$M,3,0),"")</f>
        <v/>
      </c>
      <c r="AC206" s="26">
        <f t="shared" si="6"/>
        <v>0</v>
      </c>
      <c r="AD206" s="26">
        <f t="shared" si="7"/>
        <v>0</v>
      </c>
    </row>
    <row r="207" spans="2:30" ht="15" customHeight="1">
      <c r="B207" s="3" t="str">
        <f>_xlfn.IFNA(VLOOKUP(C207,Master!$J:$K,2,0),"")</f>
        <v/>
      </c>
      <c r="D207" s="4" t="str">
        <f>_xlfn.IFNA(VLOOKUP(E207,Master!$J:$K,2,0),"")</f>
        <v/>
      </c>
      <c r="F207" s="4" t="str">
        <f>_xlfn.IFNA(VLOOKUP(G207,Master!B:C,2,0),"")</f>
        <v/>
      </c>
      <c r="I207" s="3" t="str">
        <f>_xlfn.IFNA(VLOOKUP(E207,Master!$J:$M,4,0),"")</f>
        <v/>
      </c>
      <c r="J207" s="3" t="str">
        <f>_xlfn.IFNA(VLOOKUP($E207,Master!$J:$M,3,0),"")</f>
        <v/>
      </c>
      <c r="AC207" s="26">
        <f t="shared" si="6"/>
        <v>0</v>
      </c>
      <c r="AD207" s="26">
        <f t="shared" si="7"/>
        <v>0</v>
      </c>
    </row>
    <row r="208" spans="2:30" ht="15" customHeight="1">
      <c r="B208" s="3" t="str">
        <f>_xlfn.IFNA(VLOOKUP(C208,Master!$J:$K,2,0),"")</f>
        <v/>
      </c>
      <c r="D208" s="4" t="str">
        <f>_xlfn.IFNA(VLOOKUP(E208,Master!$J:$K,2,0),"")</f>
        <v/>
      </c>
      <c r="F208" s="4" t="str">
        <f>_xlfn.IFNA(VLOOKUP(G208,Master!B:C,2,0),"")</f>
        <v/>
      </c>
      <c r="I208" s="3" t="str">
        <f>_xlfn.IFNA(VLOOKUP(E208,Master!$J:$M,4,0),"")</f>
        <v/>
      </c>
      <c r="J208" s="3" t="str">
        <f>_xlfn.IFNA(VLOOKUP($E208,Master!$J:$M,3,0),"")</f>
        <v/>
      </c>
      <c r="AC208" s="26">
        <f t="shared" si="6"/>
        <v>0</v>
      </c>
      <c r="AD208" s="26">
        <f t="shared" si="7"/>
        <v>0</v>
      </c>
    </row>
    <row r="209" spans="2:30" ht="15" customHeight="1">
      <c r="B209" s="3" t="str">
        <f>_xlfn.IFNA(VLOOKUP(C209,Master!$J:$K,2,0),"")</f>
        <v/>
      </c>
      <c r="D209" s="4" t="str">
        <f>_xlfn.IFNA(VLOOKUP(E209,Master!$J:$K,2,0),"")</f>
        <v/>
      </c>
      <c r="F209" s="4" t="str">
        <f>_xlfn.IFNA(VLOOKUP(G209,Master!B:C,2,0),"")</f>
        <v/>
      </c>
      <c r="I209" s="3" t="str">
        <f>_xlfn.IFNA(VLOOKUP(E209,Master!$J:$M,4,0),"")</f>
        <v/>
      </c>
      <c r="J209" s="3" t="str">
        <f>_xlfn.IFNA(VLOOKUP($E209,Master!$J:$M,3,0),"")</f>
        <v/>
      </c>
      <c r="AC209" s="26">
        <f t="shared" si="6"/>
        <v>0</v>
      </c>
      <c r="AD209" s="26">
        <f t="shared" si="7"/>
        <v>0</v>
      </c>
    </row>
    <row r="210" spans="2:30" ht="15" customHeight="1">
      <c r="B210" s="3" t="str">
        <f>_xlfn.IFNA(VLOOKUP(C210,Master!$J:$K,2,0),"")</f>
        <v/>
      </c>
      <c r="D210" s="4" t="str">
        <f>_xlfn.IFNA(VLOOKUP(E210,Master!$J:$K,2,0),"")</f>
        <v/>
      </c>
      <c r="F210" s="4" t="str">
        <f>_xlfn.IFNA(VLOOKUP(G210,Master!B:C,2,0),"")</f>
        <v/>
      </c>
      <c r="I210" s="3" t="str">
        <f>_xlfn.IFNA(VLOOKUP(E210,Master!$J:$M,4,0),"")</f>
        <v/>
      </c>
      <c r="J210" s="3" t="str">
        <f>_xlfn.IFNA(VLOOKUP($E210,Master!$J:$M,3,0),"")</f>
        <v/>
      </c>
      <c r="AC210" s="26">
        <f t="shared" si="6"/>
        <v>0</v>
      </c>
      <c r="AD210" s="26">
        <f t="shared" si="7"/>
        <v>0</v>
      </c>
    </row>
    <row r="211" spans="2:30" ht="15" customHeight="1">
      <c r="B211" s="3" t="str">
        <f>_xlfn.IFNA(VLOOKUP(C211,Master!$J:$K,2,0),"")</f>
        <v/>
      </c>
      <c r="D211" s="4" t="str">
        <f>_xlfn.IFNA(VLOOKUP(E211,Master!$J:$K,2,0),"")</f>
        <v/>
      </c>
      <c r="F211" s="4" t="str">
        <f>_xlfn.IFNA(VLOOKUP(G211,Master!B:C,2,0),"")</f>
        <v/>
      </c>
      <c r="I211" s="3" t="str">
        <f>_xlfn.IFNA(VLOOKUP(E211,Master!$J:$M,4,0),"")</f>
        <v/>
      </c>
      <c r="J211" s="3" t="str">
        <f>_xlfn.IFNA(VLOOKUP($E211,Master!$J:$M,3,0),"")</f>
        <v/>
      </c>
      <c r="AC211" s="26">
        <f t="shared" si="6"/>
        <v>0</v>
      </c>
      <c r="AD211" s="26">
        <f t="shared" si="7"/>
        <v>0</v>
      </c>
    </row>
    <row r="212" spans="2:30" ht="15" customHeight="1">
      <c r="B212" s="3" t="str">
        <f>_xlfn.IFNA(VLOOKUP(C212,Master!$J:$K,2,0),"")</f>
        <v/>
      </c>
      <c r="D212" s="4" t="str">
        <f>_xlfn.IFNA(VLOOKUP(E212,Master!$J:$K,2,0),"")</f>
        <v/>
      </c>
      <c r="F212" s="4" t="str">
        <f>_xlfn.IFNA(VLOOKUP(G212,Master!B:C,2,0),"")</f>
        <v/>
      </c>
      <c r="I212" s="3" t="str">
        <f>_xlfn.IFNA(VLOOKUP(E212,Master!$J:$M,4,0),"")</f>
        <v/>
      </c>
      <c r="J212" s="3" t="str">
        <f>_xlfn.IFNA(VLOOKUP($E212,Master!$J:$M,3,0),"")</f>
        <v/>
      </c>
      <c r="AC212" s="26">
        <f t="shared" si="6"/>
        <v>0</v>
      </c>
      <c r="AD212" s="26">
        <f t="shared" si="7"/>
        <v>0</v>
      </c>
    </row>
    <row r="213" spans="2:30" ht="15" customHeight="1">
      <c r="B213" s="3" t="str">
        <f>_xlfn.IFNA(VLOOKUP(C213,Master!$J:$K,2,0),"")</f>
        <v/>
      </c>
      <c r="D213" s="4" t="str">
        <f>_xlfn.IFNA(VLOOKUP(E213,Master!$J:$K,2,0),"")</f>
        <v/>
      </c>
      <c r="F213" s="4" t="str">
        <f>_xlfn.IFNA(VLOOKUP(G213,Master!B:C,2,0),"")</f>
        <v/>
      </c>
      <c r="I213" s="3" t="str">
        <f>_xlfn.IFNA(VLOOKUP(E213,Master!$J:$M,4,0),"")</f>
        <v/>
      </c>
      <c r="J213" s="3" t="str">
        <f>_xlfn.IFNA(VLOOKUP($E213,Master!$J:$M,3,0),"")</f>
        <v/>
      </c>
      <c r="AC213" s="26">
        <f t="shared" si="6"/>
        <v>0</v>
      </c>
      <c r="AD213" s="26">
        <f t="shared" si="7"/>
        <v>0</v>
      </c>
    </row>
    <row r="214" spans="2:30" ht="15" customHeight="1">
      <c r="B214" s="3" t="str">
        <f>_xlfn.IFNA(VLOOKUP(C214,Master!$J:$K,2,0),"")</f>
        <v/>
      </c>
      <c r="D214" s="4" t="str">
        <f>_xlfn.IFNA(VLOOKUP(E214,Master!$J:$K,2,0),"")</f>
        <v/>
      </c>
      <c r="F214" s="4" t="str">
        <f>_xlfn.IFNA(VLOOKUP(G214,Master!B:C,2,0),"")</f>
        <v/>
      </c>
      <c r="I214" s="3" t="str">
        <f>_xlfn.IFNA(VLOOKUP(E214,Master!$J:$M,4,0),"")</f>
        <v/>
      </c>
      <c r="J214" s="3" t="str">
        <f>_xlfn.IFNA(VLOOKUP($E214,Master!$J:$M,3,0),"")</f>
        <v/>
      </c>
      <c r="AC214" s="26">
        <f t="shared" si="6"/>
        <v>0</v>
      </c>
      <c r="AD214" s="26">
        <f t="shared" si="7"/>
        <v>0</v>
      </c>
    </row>
    <row r="215" spans="2:30" ht="15" customHeight="1">
      <c r="B215" s="3" t="str">
        <f>_xlfn.IFNA(VLOOKUP(C215,Master!$J:$K,2,0),"")</f>
        <v/>
      </c>
      <c r="D215" s="4" t="str">
        <f>_xlfn.IFNA(VLOOKUP(E215,Master!$J:$K,2,0),"")</f>
        <v/>
      </c>
      <c r="F215" s="4" t="str">
        <f>_xlfn.IFNA(VLOOKUP(G215,Master!B:C,2,0),"")</f>
        <v/>
      </c>
      <c r="I215" s="3" t="str">
        <f>_xlfn.IFNA(VLOOKUP(E215,Master!$J:$M,4,0),"")</f>
        <v/>
      </c>
      <c r="J215" s="3" t="str">
        <f>_xlfn.IFNA(VLOOKUP($E215,Master!$J:$M,3,0),"")</f>
        <v/>
      </c>
      <c r="AC215" s="26">
        <f t="shared" si="6"/>
        <v>0</v>
      </c>
      <c r="AD215" s="26">
        <f t="shared" si="7"/>
        <v>0</v>
      </c>
    </row>
    <row r="216" spans="2:30" ht="15" customHeight="1">
      <c r="B216" s="3" t="str">
        <f>_xlfn.IFNA(VLOOKUP(C216,Master!$J:$K,2,0),"")</f>
        <v/>
      </c>
      <c r="D216" s="4" t="str">
        <f>_xlfn.IFNA(VLOOKUP(E216,Master!$J:$K,2,0),"")</f>
        <v/>
      </c>
      <c r="F216" s="4" t="str">
        <f>_xlfn.IFNA(VLOOKUP(G216,Master!B:C,2,0),"")</f>
        <v/>
      </c>
      <c r="I216" s="3" t="str">
        <f>_xlfn.IFNA(VLOOKUP(E216,Master!$J:$M,4,0),"")</f>
        <v/>
      </c>
      <c r="J216" s="3" t="str">
        <f>_xlfn.IFNA(VLOOKUP($E216,Master!$J:$M,3,0),"")</f>
        <v/>
      </c>
      <c r="AC216" s="26">
        <f t="shared" si="6"/>
        <v>0</v>
      </c>
      <c r="AD216" s="26">
        <f t="shared" si="7"/>
        <v>0</v>
      </c>
    </row>
    <row r="217" spans="2:30" ht="15" customHeight="1">
      <c r="B217" s="3" t="str">
        <f>_xlfn.IFNA(VLOOKUP(C217,Master!$J:$K,2,0),"")</f>
        <v/>
      </c>
      <c r="D217" s="4" t="str">
        <f>_xlfn.IFNA(VLOOKUP(E217,Master!$J:$K,2,0),"")</f>
        <v/>
      </c>
      <c r="F217" s="4" t="str">
        <f>_xlfn.IFNA(VLOOKUP(G217,Master!B:C,2,0),"")</f>
        <v/>
      </c>
      <c r="I217" s="3" t="str">
        <f>_xlfn.IFNA(VLOOKUP(E217,Master!$J:$M,4,0),"")</f>
        <v/>
      </c>
      <c r="J217" s="3" t="str">
        <f>_xlfn.IFNA(VLOOKUP($E217,Master!$J:$M,3,0),"")</f>
        <v/>
      </c>
      <c r="AC217" s="26">
        <f t="shared" si="6"/>
        <v>0</v>
      </c>
      <c r="AD217" s="26">
        <f t="shared" si="7"/>
        <v>0</v>
      </c>
    </row>
    <row r="218" spans="2:30" ht="15" customHeight="1">
      <c r="B218" s="3" t="str">
        <f>_xlfn.IFNA(VLOOKUP(C218,Master!$J:$K,2,0),"")</f>
        <v/>
      </c>
      <c r="D218" s="4" t="str">
        <f>_xlfn.IFNA(VLOOKUP(E218,Master!$J:$K,2,0),"")</f>
        <v/>
      </c>
      <c r="F218" s="4" t="str">
        <f>_xlfn.IFNA(VLOOKUP(G218,Master!B:C,2,0),"")</f>
        <v/>
      </c>
      <c r="I218" s="3" t="str">
        <f>_xlfn.IFNA(VLOOKUP(E218,Master!$J:$M,4,0),"")</f>
        <v/>
      </c>
      <c r="J218" s="3" t="str">
        <f>_xlfn.IFNA(VLOOKUP($E218,Master!$J:$M,3,0),"")</f>
        <v/>
      </c>
      <c r="AC218" s="26">
        <f t="shared" si="6"/>
        <v>0</v>
      </c>
      <c r="AD218" s="26">
        <f t="shared" si="7"/>
        <v>0</v>
      </c>
    </row>
    <row r="219" spans="2:30" ht="15" customHeight="1">
      <c r="B219" s="3" t="str">
        <f>_xlfn.IFNA(VLOOKUP(C219,Master!$J:$K,2,0),"")</f>
        <v/>
      </c>
      <c r="D219" s="4" t="str">
        <f>_xlfn.IFNA(VLOOKUP(E219,Master!$J:$K,2,0),"")</f>
        <v/>
      </c>
      <c r="F219" s="4" t="str">
        <f>_xlfn.IFNA(VLOOKUP(G219,Master!B:C,2,0),"")</f>
        <v/>
      </c>
      <c r="I219" s="3" t="str">
        <f>_xlfn.IFNA(VLOOKUP(E219,Master!$J:$M,4,0),"")</f>
        <v/>
      </c>
      <c r="J219" s="3" t="str">
        <f>_xlfn.IFNA(VLOOKUP($E219,Master!$J:$M,3,0),"")</f>
        <v/>
      </c>
      <c r="AC219" s="26">
        <f t="shared" si="6"/>
        <v>0</v>
      </c>
      <c r="AD219" s="26">
        <f t="shared" si="7"/>
        <v>0</v>
      </c>
    </row>
    <row r="220" spans="2:30" ht="15" customHeight="1">
      <c r="B220" s="3" t="str">
        <f>_xlfn.IFNA(VLOOKUP(C220,Master!$J:$K,2,0),"")</f>
        <v/>
      </c>
      <c r="D220" s="4" t="str">
        <f>_xlfn.IFNA(VLOOKUP(E220,Master!$J:$K,2,0),"")</f>
        <v/>
      </c>
      <c r="F220" s="4" t="str">
        <f>_xlfn.IFNA(VLOOKUP(G220,Master!B:C,2,0),"")</f>
        <v/>
      </c>
      <c r="I220" s="3" t="str">
        <f>_xlfn.IFNA(VLOOKUP(E220,Master!$J:$M,4,0),"")</f>
        <v/>
      </c>
      <c r="J220" s="3" t="str">
        <f>_xlfn.IFNA(VLOOKUP($E220,Master!$J:$M,3,0),"")</f>
        <v/>
      </c>
      <c r="AC220" s="26">
        <f t="shared" si="6"/>
        <v>0</v>
      </c>
      <c r="AD220" s="26">
        <f t="shared" si="7"/>
        <v>0</v>
      </c>
    </row>
    <row r="221" spans="2:30" ht="15" customHeight="1">
      <c r="B221" s="3" t="str">
        <f>_xlfn.IFNA(VLOOKUP(C221,Master!$J:$K,2,0),"")</f>
        <v/>
      </c>
      <c r="D221" s="4" t="str">
        <f>_xlfn.IFNA(VLOOKUP(E221,Master!$J:$K,2,0),"")</f>
        <v/>
      </c>
      <c r="F221" s="4" t="str">
        <f>_xlfn.IFNA(VLOOKUP(G221,Master!B:C,2,0),"")</f>
        <v/>
      </c>
      <c r="I221" s="3" t="str">
        <f>_xlfn.IFNA(VLOOKUP(E221,Master!$J:$M,4,0),"")</f>
        <v/>
      </c>
      <c r="J221" s="3" t="str">
        <f>_xlfn.IFNA(VLOOKUP($E221,Master!$J:$M,3,0),"")</f>
        <v/>
      </c>
      <c r="AC221" s="26">
        <f t="shared" si="6"/>
        <v>0</v>
      </c>
      <c r="AD221" s="26">
        <f t="shared" si="7"/>
        <v>0</v>
      </c>
    </row>
    <row r="222" spans="2:30" ht="15" customHeight="1">
      <c r="B222" s="3" t="str">
        <f>_xlfn.IFNA(VLOOKUP(C222,Master!$J:$K,2,0),"")</f>
        <v/>
      </c>
      <c r="D222" s="4" t="str">
        <f>_xlfn.IFNA(VLOOKUP(E222,Master!$J:$K,2,0),"")</f>
        <v/>
      </c>
      <c r="F222" s="4" t="str">
        <f>_xlfn.IFNA(VLOOKUP(G222,Master!B:C,2,0),"")</f>
        <v/>
      </c>
      <c r="I222" s="3" t="str">
        <f>_xlfn.IFNA(VLOOKUP(E222,Master!$J:$M,4,0),"")</f>
        <v/>
      </c>
      <c r="J222" s="3" t="str">
        <f>_xlfn.IFNA(VLOOKUP($E222,Master!$J:$M,3,0),"")</f>
        <v/>
      </c>
      <c r="AC222" s="26">
        <f t="shared" si="6"/>
        <v>0</v>
      </c>
      <c r="AD222" s="26">
        <f t="shared" si="7"/>
        <v>0</v>
      </c>
    </row>
    <row r="223" spans="2:30" ht="15" customHeight="1">
      <c r="B223" s="3" t="str">
        <f>_xlfn.IFNA(VLOOKUP(C223,Master!$J:$K,2,0),"")</f>
        <v/>
      </c>
      <c r="D223" s="4" t="str">
        <f>_xlfn.IFNA(VLOOKUP(E223,Master!$J:$K,2,0),"")</f>
        <v/>
      </c>
      <c r="F223" s="4" t="str">
        <f>_xlfn.IFNA(VLOOKUP(G223,Master!B:C,2,0),"")</f>
        <v/>
      </c>
      <c r="I223" s="3" t="str">
        <f>_xlfn.IFNA(VLOOKUP(E223,Master!$J:$M,4,0),"")</f>
        <v/>
      </c>
      <c r="J223" s="3" t="str">
        <f>_xlfn.IFNA(VLOOKUP($E223,Master!$J:$M,3,0),"")</f>
        <v/>
      </c>
      <c r="AC223" s="26">
        <f t="shared" si="6"/>
        <v>0</v>
      </c>
      <c r="AD223" s="26">
        <f t="shared" si="7"/>
        <v>0</v>
      </c>
    </row>
    <row r="224" spans="2:30" ht="15" customHeight="1">
      <c r="B224" s="3" t="str">
        <f>_xlfn.IFNA(VLOOKUP(C224,Master!$J:$K,2,0),"")</f>
        <v/>
      </c>
      <c r="D224" s="4" t="str">
        <f>_xlfn.IFNA(VLOOKUP(E224,Master!$J:$K,2,0),"")</f>
        <v/>
      </c>
      <c r="F224" s="4" t="str">
        <f>_xlfn.IFNA(VLOOKUP(G224,Master!B:C,2,0),"")</f>
        <v/>
      </c>
      <c r="I224" s="3" t="str">
        <f>_xlfn.IFNA(VLOOKUP(E224,Master!$J:$M,4,0),"")</f>
        <v/>
      </c>
      <c r="J224" s="3" t="str">
        <f>_xlfn.IFNA(VLOOKUP($E224,Master!$J:$M,3,0),"")</f>
        <v/>
      </c>
      <c r="AC224" s="26">
        <f t="shared" si="6"/>
        <v>0</v>
      </c>
      <c r="AD224" s="26">
        <f t="shared" si="7"/>
        <v>0</v>
      </c>
    </row>
    <row r="225" spans="2:30" ht="15" customHeight="1">
      <c r="B225" s="3" t="str">
        <f>_xlfn.IFNA(VLOOKUP(C225,Master!$J:$K,2,0),"")</f>
        <v/>
      </c>
      <c r="D225" s="4" t="str">
        <f>_xlfn.IFNA(VLOOKUP(E225,Master!$J:$K,2,0),"")</f>
        <v/>
      </c>
      <c r="F225" s="4" t="str">
        <f>_xlfn.IFNA(VLOOKUP(G225,Master!B:C,2,0),"")</f>
        <v/>
      </c>
      <c r="I225" s="3" t="str">
        <f>_xlfn.IFNA(VLOOKUP(E225,Master!$J:$M,4,0),"")</f>
        <v/>
      </c>
      <c r="J225" s="3" t="str">
        <f>_xlfn.IFNA(VLOOKUP($E225,Master!$J:$M,3,0),"")</f>
        <v/>
      </c>
      <c r="AC225" s="26">
        <f t="shared" si="6"/>
        <v>0</v>
      </c>
      <c r="AD225" s="26">
        <f t="shared" si="7"/>
        <v>0</v>
      </c>
    </row>
    <row r="226" spans="2:30" ht="15" customHeight="1">
      <c r="B226" s="3" t="str">
        <f>_xlfn.IFNA(VLOOKUP(C226,Master!$J:$K,2,0),"")</f>
        <v/>
      </c>
      <c r="D226" s="4" t="str">
        <f>_xlfn.IFNA(VLOOKUP(E226,Master!$J:$K,2,0),"")</f>
        <v/>
      </c>
      <c r="F226" s="4" t="str">
        <f>_xlfn.IFNA(VLOOKUP(G226,Master!B:C,2,0),"")</f>
        <v/>
      </c>
      <c r="I226" s="3" t="str">
        <f>_xlfn.IFNA(VLOOKUP(E226,Master!$J:$M,4,0),"")</f>
        <v/>
      </c>
      <c r="J226" s="3" t="str">
        <f>_xlfn.IFNA(VLOOKUP($E226,Master!$J:$M,3,0),"")</f>
        <v/>
      </c>
      <c r="AC226" s="26">
        <f t="shared" si="6"/>
        <v>0</v>
      </c>
      <c r="AD226" s="26">
        <f t="shared" si="7"/>
        <v>0</v>
      </c>
    </row>
    <row r="227" spans="2:30" ht="15" customHeight="1">
      <c r="B227" s="3" t="str">
        <f>_xlfn.IFNA(VLOOKUP(C227,Master!$J:$K,2,0),"")</f>
        <v/>
      </c>
      <c r="D227" s="4" t="str">
        <f>_xlfn.IFNA(VLOOKUP(E227,Master!$J:$K,2,0),"")</f>
        <v/>
      </c>
      <c r="F227" s="4" t="str">
        <f>_xlfn.IFNA(VLOOKUP(G227,Master!B:C,2,0),"")</f>
        <v/>
      </c>
      <c r="I227" s="3" t="str">
        <f>_xlfn.IFNA(VLOOKUP(E227,Master!$J:$M,4,0),"")</f>
        <v/>
      </c>
      <c r="J227" s="3" t="str">
        <f>_xlfn.IFNA(VLOOKUP($E227,Master!$J:$M,3,0),"")</f>
        <v/>
      </c>
      <c r="AC227" s="26">
        <f t="shared" si="6"/>
        <v>0</v>
      </c>
      <c r="AD227" s="26">
        <f t="shared" si="7"/>
        <v>0</v>
      </c>
    </row>
    <row r="228" spans="2:30" ht="15" customHeight="1">
      <c r="B228" s="3" t="str">
        <f>_xlfn.IFNA(VLOOKUP(C228,Master!$J:$K,2,0),"")</f>
        <v/>
      </c>
      <c r="D228" s="4" t="str">
        <f>_xlfn.IFNA(VLOOKUP(E228,Master!$J:$K,2,0),"")</f>
        <v/>
      </c>
      <c r="F228" s="4" t="str">
        <f>_xlfn.IFNA(VLOOKUP(G228,Master!B:C,2,0),"")</f>
        <v/>
      </c>
      <c r="I228" s="3" t="str">
        <f>_xlfn.IFNA(VLOOKUP(E228,Master!$J:$M,4,0),"")</f>
        <v/>
      </c>
      <c r="J228" s="3" t="str">
        <f>_xlfn.IFNA(VLOOKUP($E228,Master!$J:$M,3,0),"")</f>
        <v/>
      </c>
      <c r="AC228" s="26">
        <f t="shared" si="6"/>
        <v>0</v>
      </c>
      <c r="AD228" s="26">
        <f t="shared" si="7"/>
        <v>0</v>
      </c>
    </row>
    <row r="229" spans="2:30" ht="15" customHeight="1">
      <c r="B229" s="3" t="str">
        <f>_xlfn.IFNA(VLOOKUP(C229,Master!$J:$K,2,0),"")</f>
        <v/>
      </c>
      <c r="D229" s="4" t="str">
        <f>_xlfn.IFNA(VLOOKUP(E229,Master!$J:$K,2,0),"")</f>
        <v/>
      </c>
      <c r="F229" s="4" t="str">
        <f>_xlfn.IFNA(VLOOKUP(G229,Master!B:C,2,0),"")</f>
        <v/>
      </c>
      <c r="I229" s="3" t="str">
        <f>_xlfn.IFNA(VLOOKUP(E229,Master!$J:$M,4,0),"")</f>
        <v/>
      </c>
      <c r="J229" s="3" t="str">
        <f>_xlfn.IFNA(VLOOKUP($E229,Master!$J:$M,3,0),"")</f>
        <v/>
      </c>
      <c r="AC229" s="26">
        <f t="shared" si="6"/>
        <v>0</v>
      </c>
      <c r="AD229" s="26">
        <f t="shared" si="7"/>
        <v>0</v>
      </c>
    </row>
    <row r="230" spans="2:30" ht="15" customHeight="1">
      <c r="B230" s="3" t="str">
        <f>_xlfn.IFNA(VLOOKUP(C230,Master!$J:$K,2,0),"")</f>
        <v/>
      </c>
      <c r="D230" s="4" t="str">
        <f>_xlfn.IFNA(VLOOKUP(E230,Master!$J:$K,2,0),"")</f>
        <v/>
      </c>
      <c r="F230" s="4" t="str">
        <f>_xlfn.IFNA(VLOOKUP(G230,Master!B:C,2,0),"")</f>
        <v/>
      </c>
      <c r="I230" s="3" t="str">
        <f>_xlfn.IFNA(VLOOKUP(E230,Master!$J:$M,4,0),"")</f>
        <v/>
      </c>
      <c r="J230" s="3" t="str">
        <f>_xlfn.IFNA(VLOOKUP($E230,Master!$J:$M,3,0),"")</f>
        <v/>
      </c>
      <c r="AC230" s="26">
        <f t="shared" si="6"/>
        <v>0</v>
      </c>
      <c r="AD230" s="26">
        <f t="shared" si="7"/>
        <v>0</v>
      </c>
    </row>
    <row r="231" spans="2:30" ht="15" customHeight="1">
      <c r="B231" s="3" t="str">
        <f>_xlfn.IFNA(VLOOKUP(C231,Master!$J:$K,2,0),"")</f>
        <v/>
      </c>
      <c r="D231" s="4" t="str">
        <f>_xlfn.IFNA(VLOOKUP(E231,Master!$J:$K,2,0),"")</f>
        <v/>
      </c>
      <c r="F231" s="4" t="str">
        <f>_xlfn.IFNA(VLOOKUP(G231,Master!B:C,2,0),"")</f>
        <v/>
      </c>
      <c r="I231" s="3" t="str">
        <f>_xlfn.IFNA(VLOOKUP(E231,Master!$J:$M,4,0),"")</f>
        <v/>
      </c>
      <c r="J231" s="3" t="str">
        <f>_xlfn.IFNA(VLOOKUP($E231,Master!$J:$M,3,0),"")</f>
        <v/>
      </c>
      <c r="AC231" s="26">
        <f t="shared" si="6"/>
        <v>0</v>
      </c>
      <c r="AD231" s="26">
        <f t="shared" si="7"/>
        <v>0</v>
      </c>
    </row>
    <row r="232" spans="2:30" ht="15" customHeight="1">
      <c r="B232" s="3" t="str">
        <f>_xlfn.IFNA(VLOOKUP(C232,Master!$J:$K,2,0),"")</f>
        <v/>
      </c>
      <c r="D232" s="4" t="str">
        <f>_xlfn.IFNA(VLOOKUP(E232,Master!$J:$K,2,0),"")</f>
        <v/>
      </c>
      <c r="F232" s="4" t="str">
        <f>_xlfn.IFNA(VLOOKUP(G232,Master!B:C,2,0),"")</f>
        <v/>
      </c>
      <c r="I232" s="3" t="str">
        <f>_xlfn.IFNA(VLOOKUP(E232,Master!$J:$M,4,0),"")</f>
        <v/>
      </c>
      <c r="J232" s="3" t="str">
        <f>_xlfn.IFNA(VLOOKUP($E232,Master!$J:$M,3,0),"")</f>
        <v/>
      </c>
      <c r="AC232" s="26">
        <f t="shared" si="6"/>
        <v>0</v>
      </c>
      <c r="AD232" s="26">
        <f t="shared" si="7"/>
        <v>0</v>
      </c>
    </row>
    <row r="233" spans="2:30" ht="15" customHeight="1">
      <c r="B233" s="3" t="str">
        <f>_xlfn.IFNA(VLOOKUP(C233,Master!$J:$K,2,0),"")</f>
        <v/>
      </c>
      <c r="D233" s="4" t="str">
        <f>_xlfn.IFNA(VLOOKUP(E233,Master!$J:$K,2,0),"")</f>
        <v/>
      </c>
      <c r="F233" s="4" t="str">
        <f>_xlfn.IFNA(VLOOKUP(G233,Master!B:C,2,0),"")</f>
        <v/>
      </c>
      <c r="I233" s="3" t="str">
        <f>_xlfn.IFNA(VLOOKUP(E233,Master!$J:$M,4,0),"")</f>
        <v/>
      </c>
      <c r="J233" s="3" t="str">
        <f>_xlfn.IFNA(VLOOKUP($E233,Master!$J:$M,3,0),"")</f>
        <v/>
      </c>
      <c r="AC233" s="26">
        <f t="shared" si="6"/>
        <v>0</v>
      </c>
      <c r="AD233" s="26">
        <f t="shared" si="7"/>
        <v>0</v>
      </c>
    </row>
    <row r="234" spans="2:30" ht="15" customHeight="1">
      <c r="B234" s="3" t="str">
        <f>_xlfn.IFNA(VLOOKUP(C234,Master!$J:$K,2,0),"")</f>
        <v/>
      </c>
      <c r="D234" s="4" t="str">
        <f>_xlfn.IFNA(VLOOKUP(E234,Master!$J:$K,2,0),"")</f>
        <v/>
      </c>
      <c r="F234" s="4" t="str">
        <f>_xlfn.IFNA(VLOOKUP(G234,Master!B:C,2,0),"")</f>
        <v/>
      </c>
      <c r="I234" s="3" t="str">
        <f>_xlfn.IFNA(VLOOKUP(E234,Master!$J:$M,4,0),"")</f>
        <v/>
      </c>
      <c r="J234" s="3" t="str">
        <f>_xlfn.IFNA(VLOOKUP($E234,Master!$J:$M,3,0),"")</f>
        <v/>
      </c>
      <c r="AC234" s="26">
        <f t="shared" si="6"/>
        <v>0</v>
      </c>
      <c r="AD234" s="26">
        <f t="shared" si="7"/>
        <v>0</v>
      </c>
    </row>
    <row r="235" spans="2:30" ht="15" customHeight="1">
      <c r="B235" s="3" t="str">
        <f>_xlfn.IFNA(VLOOKUP(C235,Master!$J:$K,2,0),"")</f>
        <v/>
      </c>
      <c r="D235" s="4" t="str">
        <f>_xlfn.IFNA(VLOOKUP(E235,Master!$J:$K,2,0),"")</f>
        <v/>
      </c>
      <c r="F235" s="4" t="str">
        <f>_xlfn.IFNA(VLOOKUP(G235,Master!B:C,2,0),"")</f>
        <v/>
      </c>
      <c r="I235" s="3" t="str">
        <f>_xlfn.IFNA(VLOOKUP(E235,Master!$J:$M,4,0),"")</f>
        <v/>
      </c>
      <c r="J235" s="3" t="str">
        <f>_xlfn.IFNA(VLOOKUP($E235,Master!$J:$M,3,0),"")</f>
        <v/>
      </c>
      <c r="AC235" s="26">
        <f t="shared" si="6"/>
        <v>0</v>
      </c>
      <c r="AD235" s="26">
        <f t="shared" si="7"/>
        <v>0</v>
      </c>
    </row>
    <row r="236" spans="2:30" ht="15" customHeight="1">
      <c r="B236" s="3" t="str">
        <f>_xlfn.IFNA(VLOOKUP(C236,Master!$J:$K,2,0),"")</f>
        <v/>
      </c>
      <c r="D236" s="4" t="str">
        <f>_xlfn.IFNA(VLOOKUP(E236,Master!$J:$K,2,0),"")</f>
        <v/>
      </c>
      <c r="F236" s="4" t="str">
        <f>_xlfn.IFNA(VLOOKUP(G236,Master!B:C,2,0),"")</f>
        <v/>
      </c>
      <c r="I236" s="3" t="str">
        <f>_xlfn.IFNA(VLOOKUP(E236,Master!$J:$M,4,0),"")</f>
        <v/>
      </c>
      <c r="J236" s="3" t="str">
        <f>_xlfn.IFNA(VLOOKUP($E236,Master!$J:$M,3,0),"")</f>
        <v/>
      </c>
      <c r="AC236" s="26">
        <f t="shared" si="6"/>
        <v>0</v>
      </c>
      <c r="AD236" s="26">
        <f t="shared" si="7"/>
        <v>0</v>
      </c>
    </row>
    <row r="237" spans="2:30" ht="15" customHeight="1">
      <c r="B237" s="3" t="str">
        <f>_xlfn.IFNA(VLOOKUP(C237,Master!$J:$K,2,0),"")</f>
        <v/>
      </c>
      <c r="D237" s="4" t="str">
        <f>_xlfn.IFNA(VLOOKUP(E237,Master!$J:$K,2,0),"")</f>
        <v/>
      </c>
      <c r="F237" s="4" t="str">
        <f>_xlfn.IFNA(VLOOKUP(G237,Master!B:C,2,0),"")</f>
        <v/>
      </c>
      <c r="I237" s="3" t="str">
        <f>_xlfn.IFNA(VLOOKUP(E237,Master!$J:$M,4,0),"")</f>
        <v/>
      </c>
      <c r="J237" s="3" t="str">
        <f>_xlfn.IFNA(VLOOKUP($E237,Master!$J:$M,3,0),"")</f>
        <v/>
      </c>
      <c r="AC237" s="26">
        <f t="shared" si="6"/>
        <v>0</v>
      </c>
      <c r="AD237" s="26">
        <f t="shared" si="7"/>
        <v>0</v>
      </c>
    </row>
    <row r="238" spans="2:30" ht="15" customHeight="1">
      <c r="B238" s="3" t="str">
        <f>_xlfn.IFNA(VLOOKUP(C238,Master!$J:$K,2,0),"")</f>
        <v/>
      </c>
      <c r="D238" s="4" t="str">
        <f>_xlfn.IFNA(VLOOKUP(E238,Master!$J:$K,2,0),"")</f>
        <v/>
      </c>
      <c r="F238" s="4" t="str">
        <f>_xlfn.IFNA(VLOOKUP(G238,Master!B:C,2,0),"")</f>
        <v/>
      </c>
      <c r="I238" s="3" t="str">
        <f>_xlfn.IFNA(VLOOKUP(E238,Master!$J:$M,4,0),"")</f>
        <v/>
      </c>
      <c r="J238" s="3" t="str">
        <f>_xlfn.IFNA(VLOOKUP($E238,Master!$J:$M,3,0),"")</f>
        <v/>
      </c>
      <c r="AC238" s="26">
        <f t="shared" si="6"/>
        <v>0</v>
      </c>
      <c r="AD238" s="26">
        <f t="shared" si="7"/>
        <v>0</v>
      </c>
    </row>
    <row r="239" spans="2:30" ht="15" customHeight="1">
      <c r="B239" s="3" t="str">
        <f>_xlfn.IFNA(VLOOKUP(C239,Master!$J:$K,2,0),"")</f>
        <v/>
      </c>
      <c r="D239" s="4" t="str">
        <f>_xlfn.IFNA(VLOOKUP(E239,Master!$J:$K,2,0),"")</f>
        <v/>
      </c>
      <c r="F239" s="4" t="str">
        <f>_xlfn.IFNA(VLOOKUP(G239,Master!B:C,2,0),"")</f>
        <v/>
      </c>
      <c r="I239" s="3" t="str">
        <f>_xlfn.IFNA(VLOOKUP(E239,Master!$J:$M,4,0),"")</f>
        <v/>
      </c>
      <c r="J239" s="3" t="str">
        <f>_xlfn.IFNA(VLOOKUP($E239,Master!$J:$M,3,0),"")</f>
        <v/>
      </c>
      <c r="AC239" s="26">
        <f t="shared" si="6"/>
        <v>0</v>
      </c>
      <c r="AD239" s="26">
        <f t="shared" si="7"/>
        <v>0</v>
      </c>
    </row>
    <row r="240" spans="2:30" ht="15" customHeight="1">
      <c r="B240" s="3" t="str">
        <f>_xlfn.IFNA(VLOOKUP(C240,Master!$J:$K,2,0),"")</f>
        <v/>
      </c>
      <c r="D240" s="4" t="str">
        <f>_xlfn.IFNA(VLOOKUP(E240,Master!$J:$K,2,0),"")</f>
        <v/>
      </c>
      <c r="F240" s="4" t="str">
        <f>_xlfn.IFNA(VLOOKUP(G240,Master!B:C,2,0),"")</f>
        <v/>
      </c>
      <c r="I240" s="3" t="str">
        <f>_xlfn.IFNA(VLOOKUP(E240,Master!$J:$M,4,0),"")</f>
        <v/>
      </c>
      <c r="J240" s="3" t="str">
        <f>_xlfn.IFNA(VLOOKUP($E240,Master!$J:$M,3,0),"")</f>
        <v/>
      </c>
      <c r="AC240" s="26">
        <f t="shared" si="6"/>
        <v>0</v>
      </c>
      <c r="AD240" s="26">
        <f t="shared" si="7"/>
        <v>0</v>
      </c>
    </row>
    <row r="241" spans="2:30" ht="15" customHeight="1">
      <c r="B241" s="3" t="str">
        <f>_xlfn.IFNA(VLOOKUP(C241,Master!$J:$K,2,0),"")</f>
        <v/>
      </c>
      <c r="D241" s="4" t="str">
        <f>_xlfn.IFNA(VLOOKUP(E241,Master!$J:$K,2,0),"")</f>
        <v/>
      </c>
      <c r="F241" s="4" t="str">
        <f>_xlfn.IFNA(VLOOKUP(G241,Master!B:C,2,0),"")</f>
        <v/>
      </c>
      <c r="I241" s="3" t="str">
        <f>_xlfn.IFNA(VLOOKUP(E241,Master!$J:$M,4,0),"")</f>
        <v/>
      </c>
      <c r="J241" s="3" t="str">
        <f>_xlfn.IFNA(VLOOKUP($E241,Master!$J:$M,3,0),"")</f>
        <v/>
      </c>
      <c r="AC241" s="26">
        <f t="shared" si="6"/>
        <v>0</v>
      </c>
      <c r="AD241" s="26">
        <f t="shared" si="7"/>
        <v>0</v>
      </c>
    </row>
    <row r="242" spans="2:30" ht="15" customHeight="1">
      <c r="B242" s="3" t="str">
        <f>_xlfn.IFNA(VLOOKUP(C242,Master!$J:$K,2,0),"")</f>
        <v/>
      </c>
      <c r="D242" s="4" t="str">
        <f>_xlfn.IFNA(VLOOKUP(E242,Master!$J:$K,2,0),"")</f>
        <v/>
      </c>
      <c r="F242" s="4" t="str">
        <f>_xlfn.IFNA(VLOOKUP(G242,Master!B:C,2,0),"")</f>
        <v/>
      </c>
      <c r="I242" s="3" t="str">
        <f>_xlfn.IFNA(VLOOKUP(E242,Master!$J:$M,4,0),"")</f>
        <v/>
      </c>
      <c r="J242" s="3" t="str">
        <f>_xlfn.IFNA(VLOOKUP($E242,Master!$J:$M,3,0),"")</f>
        <v/>
      </c>
      <c r="AC242" s="26">
        <f t="shared" si="6"/>
        <v>0</v>
      </c>
      <c r="AD242" s="26">
        <f t="shared" si="7"/>
        <v>0</v>
      </c>
    </row>
    <row r="243" spans="2:30" ht="15" customHeight="1">
      <c r="B243" s="3" t="str">
        <f>_xlfn.IFNA(VLOOKUP(C243,Master!$J:$K,2,0),"")</f>
        <v/>
      </c>
      <c r="D243" s="4" t="str">
        <f>_xlfn.IFNA(VLOOKUP(E243,Master!$J:$K,2,0),"")</f>
        <v/>
      </c>
      <c r="F243" s="4" t="str">
        <f>_xlfn.IFNA(VLOOKUP(G243,Master!B:C,2,0),"")</f>
        <v/>
      </c>
      <c r="I243" s="3" t="str">
        <f>_xlfn.IFNA(VLOOKUP(E243,Master!$J:$M,4,0),"")</f>
        <v/>
      </c>
      <c r="J243" s="3" t="str">
        <f>_xlfn.IFNA(VLOOKUP($E243,Master!$J:$M,3,0),"")</f>
        <v/>
      </c>
      <c r="AC243" s="26">
        <f t="shared" si="6"/>
        <v>0</v>
      </c>
      <c r="AD243" s="26">
        <f t="shared" si="7"/>
        <v>0</v>
      </c>
    </row>
    <row r="244" spans="2:30" ht="15" customHeight="1">
      <c r="B244" s="3" t="str">
        <f>_xlfn.IFNA(VLOOKUP(C244,Master!$J:$K,2,0),"")</f>
        <v/>
      </c>
      <c r="D244" s="4" t="str">
        <f>_xlfn.IFNA(VLOOKUP(E244,Master!$J:$K,2,0),"")</f>
        <v/>
      </c>
      <c r="F244" s="4" t="str">
        <f>_xlfn.IFNA(VLOOKUP(G244,Master!B:C,2,0),"")</f>
        <v/>
      </c>
      <c r="I244" s="3" t="str">
        <f>_xlfn.IFNA(VLOOKUP(E244,Master!$J:$M,4,0),"")</f>
        <v/>
      </c>
      <c r="J244" s="3" t="str">
        <f>_xlfn.IFNA(VLOOKUP($E244,Master!$J:$M,3,0),"")</f>
        <v/>
      </c>
      <c r="AC244" s="26">
        <f t="shared" si="6"/>
        <v>0</v>
      </c>
      <c r="AD244" s="26">
        <f t="shared" si="7"/>
        <v>0</v>
      </c>
    </row>
    <row r="245" spans="2:30" ht="15" customHeight="1">
      <c r="B245" s="3" t="str">
        <f>_xlfn.IFNA(VLOOKUP(C245,Master!$J:$K,2,0),"")</f>
        <v/>
      </c>
      <c r="D245" s="4" t="str">
        <f>_xlfn.IFNA(VLOOKUP(E245,Master!$J:$K,2,0),"")</f>
        <v/>
      </c>
      <c r="F245" s="4" t="str">
        <f>_xlfn.IFNA(VLOOKUP(G245,Master!B:C,2,0),"")</f>
        <v/>
      </c>
      <c r="I245" s="3" t="str">
        <f>_xlfn.IFNA(VLOOKUP(E245,Master!$J:$M,4,0),"")</f>
        <v/>
      </c>
      <c r="J245" s="3" t="str">
        <f>_xlfn.IFNA(VLOOKUP($E245,Master!$J:$M,3,0),"")</f>
        <v/>
      </c>
      <c r="AC245" s="26">
        <f t="shared" si="6"/>
        <v>0</v>
      </c>
      <c r="AD245" s="26">
        <f t="shared" si="7"/>
        <v>0</v>
      </c>
    </row>
    <row r="246" spans="2:30" ht="15" customHeight="1">
      <c r="B246" s="3" t="str">
        <f>_xlfn.IFNA(VLOOKUP(C246,Master!$J:$K,2,0),"")</f>
        <v/>
      </c>
      <c r="D246" s="4" t="str">
        <f>_xlfn.IFNA(VLOOKUP(E246,Master!$J:$K,2,0),"")</f>
        <v/>
      </c>
      <c r="F246" s="4" t="str">
        <f>_xlfn.IFNA(VLOOKUP(G246,Master!B:C,2,0),"")</f>
        <v/>
      </c>
      <c r="I246" s="3" t="str">
        <f>_xlfn.IFNA(VLOOKUP(E246,Master!$J:$M,4,0),"")</f>
        <v/>
      </c>
      <c r="J246" s="3" t="str">
        <f>_xlfn.IFNA(VLOOKUP($E246,Master!$J:$M,3,0),"")</f>
        <v/>
      </c>
      <c r="AC246" s="26">
        <f t="shared" si="6"/>
        <v>0</v>
      </c>
      <c r="AD246" s="26">
        <f t="shared" si="7"/>
        <v>0</v>
      </c>
    </row>
    <row r="247" spans="2:30" ht="15" customHeight="1">
      <c r="B247" s="3" t="str">
        <f>_xlfn.IFNA(VLOOKUP(C247,Master!$J:$K,2,0),"")</f>
        <v/>
      </c>
      <c r="D247" s="4" t="str">
        <f>_xlfn.IFNA(VLOOKUP(E247,Master!$J:$K,2,0),"")</f>
        <v/>
      </c>
      <c r="F247" s="4" t="str">
        <f>_xlfn.IFNA(VLOOKUP(G247,Master!B:C,2,0),"")</f>
        <v/>
      </c>
      <c r="I247" s="3" t="str">
        <f>_xlfn.IFNA(VLOOKUP(E247,Master!$J:$M,4,0),"")</f>
        <v/>
      </c>
      <c r="J247" s="3" t="str">
        <f>_xlfn.IFNA(VLOOKUP($E247,Master!$J:$M,3,0),"")</f>
        <v/>
      </c>
      <c r="AC247" s="26">
        <f t="shared" si="6"/>
        <v>0</v>
      </c>
      <c r="AD247" s="26">
        <f t="shared" si="7"/>
        <v>0</v>
      </c>
    </row>
    <row r="248" spans="2:30" ht="15" customHeight="1">
      <c r="B248" s="3" t="str">
        <f>_xlfn.IFNA(VLOOKUP(C248,Master!$J:$K,2,0),"")</f>
        <v/>
      </c>
      <c r="D248" s="4" t="str">
        <f>_xlfn.IFNA(VLOOKUP(E248,Master!$J:$K,2,0),"")</f>
        <v/>
      </c>
      <c r="F248" s="4" t="str">
        <f>_xlfn.IFNA(VLOOKUP(G248,Master!B:C,2,0),"")</f>
        <v/>
      </c>
      <c r="I248" s="3" t="str">
        <f>_xlfn.IFNA(VLOOKUP(E248,Master!$J:$M,4,0),"")</f>
        <v/>
      </c>
      <c r="J248" s="3" t="str">
        <f>_xlfn.IFNA(VLOOKUP($E248,Master!$J:$M,3,0),"")</f>
        <v/>
      </c>
      <c r="AC248" s="26">
        <f t="shared" si="6"/>
        <v>0</v>
      </c>
      <c r="AD248" s="26">
        <f t="shared" si="7"/>
        <v>0</v>
      </c>
    </row>
    <row r="249" spans="2:30" ht="15" customHeight="1">
      <c r="B249" s="3" t="str">
        <f>_xlfn.IFNA(VLOOKUP(C249,Master!$J:$K,2,0),"")</f>
        <v/>
      </c>
      <c r="D249" s="4" t="str">
        <f>_xlfn.IFNA(VLOOKUP(E249,Master!$J:$K,2,0),"")</f>
        <v/>
      </c>
      <c r="F249" s="4" t="str">
        <f>_xlfn.IFNA(VLOOKUP(G249,Master!B:C,2,0),"")</f>
        <v/>
      </c>
      <c r="I249" s="3" t="str">
        <f>_xlfn.IFNA(VLOOKUP(E249,Master!$J:$M,4,0),"")</f>
        <v/>
      </c>
      <c r="J249" s="3" t="str">
        <f>_xlfn.IFNA(VLOOKUP($E249,Master!$J:$M,3,0),"")</f>
        <v/>
      </c>
      <c r="AC249" s="26">
        <f t="shared" si="6"/>
        <v>0</v>
      </c>
      <c r="AD249" s="26">
        <f t="shared" si="7"/>
        <v>0</v>
      </c>
    </row>
    <row r="250" spans="2:30" ht="15" customHeight="1">
      <c r="B250" s="3" t="str">
        <f>_xlfn.IFNA(VLOOKUP(C250,Master!$J:$K,2,0),"")</f>
        <v/>
      </c>
      <c r="D250" s="4" t="str">
        <f>_xlfn.IFNA(VLOOKUP(E250,Master!$J:$K,2,0),"")</f>
        <v/>
      </c>
      <c r="F250" s="4" t="str">
        <f>_xlfn.IFNA(VLOOKUP(G250,Master!B:C,2,0),"")</f>
        <v/>
      </c>
      <c r="I250" s="3" t="str">
        <f>_xlfn.IFNA(VLOOKUP(E250,Master!$J:$M,4,0),"")</f>
        <v/>
      </c>
      <c r="J250" s="3" t="str">
        <f>_xlfn.IFNA(VLOOKUP($E250,Master!$J:$M,3,0),"")</f>
        <v/>
      </c>
      <c r="AC250" s="26">
        <f t="shared" si="6"/>
        <v>0</v>
      </c>
      <c r="AD250" s="26">
        <f t="shared" si="7"/>
        <v>0</v>
      </c>
    </row>
    <row r="251" spans="2:30" ht="15" customHeight="1">
      <c r="B251" s="3" t="str">
        <f>_xlfn.IFNA(VLOOKUP(C251,Master!$J:$K,2,0),"")</f>
        <v/>
      </c>
      <c r="D251" s="4" t="str">
        <f>_xlfn.IFNA(VLOOKUP(E251,Master!$J:$K,2,0),"")</f>
        <v/>
      </c>
      <c r="F251" s="4" t="str">
        <f>_xlfn.IFNA(VLOOKUP(G251,Master!B:C,2,0),"")</f>
        <v/>
      </c>
      <c r="I251" s="3" t="str">
        <f>_xlfn.IFNA(VLOOKUP(E251,Master!$J:$M,4,0),"")</f>
        <v/>
      </c>
      <c r="J251" s="3" t="str">
        <f>_xlfn.IFNA(VLOOKUP($E251,Master!$J:$M,3,0),"")</f>
        <v/>
      </c>
      <c r="AC251" s="26">
        <f t="shared" si="6"/>
        <v>0</v>
      </c>
      <c r="AD251" s="26">
        <f t="shared" si="7"/>
        <v>0</v>
      </c>
    </row>
    <row r="252" spans="2:30" ht="15" customHeight="1">
      <c r="B252" s="3" t="str">
        <f>_xlfn.IFNA(VLOOKUP(C252,Master!$J:$K,2,0),"")</f>
        <v/>
      </c>
      <c r="D252" s="4" t="str">
        <f>_xlfn.IFNA(VLOOKUP(E252,Master!$J:$K,2,0),"")</f>
        <v/>
      </c>
      <c r="F252" s="4" t="str">
        <f>_xlfn.IFNA(VLOOKUP(G252,Master!B:C,2,0),"")</f>
        <v/>
      </c>
      <c r="I252" s="3" t="str">
        <f>_xlfn.IFNA(VLOOKUP(E252,Master!$J:$M,4,0),"")</f>
        <v/>
      </c>
      <c r="J252" s="3" t="str">
        <f>_xlfn.IFNA(VLOOKUP($E252,Master!$J:$M,3,0),"")</f>
        <v/>
      </c>
      <c r="AC252" s="26">
        <f t="shared" si="6"/>
        <v>0</v>
      </c>
      <c r="AD252" s="26">
        <f t="shared" si="7"/>
        <v>0</v>
      </c>
    </row>
    <row r="253" spans="2:30" ht="15" customHeight="1">
      <c r="B253" s="3" t="str">
        <f>_xlfn.IFNA(VLOOKUP(C253,Master!$J:$K,2,0),"")</f>
        <v/>
      </c>
      <c r="D253" s="4" t="str">
        <f>_xlfn.IFNA(VLOOKUP(E253,Master!$J:$K,2,0),"")</f>
        <v/>
      </c>
      <c r="F253" s="4" t="str">
        <f>_xlfn.IFNA(VLOOKUP(G253,Master!B:C,2,0),"")</f>
        <v/>
      </c>
      <c r="I253" s="3" t="str">
        <f>_xlfn.IFNA(VLOOKUP(E253,Master!$J:$M,4,0),"")</f>
        <v/>
      </c>
      <c r="J253" s="3" t="str">
        <f>_xlfn.IFNA(VLOOKUP($E253,Master!$J:$M,3,0),"")</f>
        <v/>
      </c>
      <c r="AC253" s="26">
        <f t="shared" si="6"/>
        <v>0</v>
      </c>
      <c r="AD253" s="26">
        <f t="shared" si="7"/>
        <v>0</v>
      </c>
    </row>
    <row r="254" spans="2:30" ht="15" customHeight="1">
      <c r="B254" s="3" t="str">
        <f>_xlfn.IFNA(VLOOKUP(C254,Master!$J:$K,2,0),"")</f>
        <v/>
      </c>
      <c r="D254" s="4" t="str">
        <f>_xlfn.IFNA(VLOOKUP(E254,Master!$J:$K,2,0),"")</f>
        <v/>
      </c>
      <c r="F254" s="4" t="str">
        <f>_xlfn.IFNA(VLOOKUP(G254,Master!B:C,2,0),"")</f>
        <v/>
      </c>
      <c r="I254" s="3" t="str">
        <f>_xlfn.IFNA(VLOOKUP(E254,Master!$J:$M,4,0),"")</f>
        <v/>
      </c>
      <c r="J254" s="3" t="str">
        <f>_xlfn.IFNA(VLOOKUP($E254,Master!$J:$M,3,0),"")</f>
        <v/>
      </c>
      <c r="AC254" s="26">
        <f t="shared" si="6"/>
        <v>0</v>
      </c>
      <c r="AD254" s="26">
        <f t="shared" si="7"/>
        <v>0</v>
      </c>
    </row>
    <row r="255" spans="2:30" ht="15" customHeight="1">
      <c r="B255" s="3" t="str">
        <f>_xlfn.IFNA(VLOOKUP(C255,Master!$J:$K,2,0),"")</f>
        <v/>
      </c>
      <c r="D255" s="4" t="str">
        <f>_xlfn.IFNA(VLOOKUP(E255,Master!$J:$K,2,0),"")</f>
        <v/>
      </c>
      <c r="F255" s="4" t="str">
        <f>_xlfn.IFNA(VLOOKUP(G255,Master!B:C,2,0),"")</f>
        <v/>
      </c>
      <c r="I255" s="3" t="str">
        <f>_xlfn.IFNA(VLOOKUP(E255,Master!$J:$M,4,0),"")</f>
        <v/>
      </c>
      <c r="J255" s="3" t="str">
        <f>_xlfn.IFNA(VLOOKUP($E255,Master!$J:$M,3,0),"")</f>
        <v/>
      </c>
      <c r="AC255" s="26">
        <f t="shared" si="6"/>
        <v>0</v>
      </c>
      <c r="AD255" s="26">
        <f t="shared" si="7"/>
        <v>0</v>
      </c>
    </row>
    <row r="256" spans="2:30" ht="15" customHeight="1">
      <c r="B256" s="3" t="str">
        <f>_xlfn.IFNA(VLOOKUP(C256,Master!$J:$K,2,0),"")</f>
        <v/>
      </c>
      <c r="D256" s="4" t="str">
        <f>_xlfn.IFNA(VLOOKUP(E256,Master!$J:$K,2,0),"")</f>
        <v/>
      </c>
      <c r="F256" s="4" t="str">
        <f>_xlfn.IFNA(VLOOKUP(G256,Master!B:C,2,0),"")</f>
        <v/>
      </c>
      <c r="I256" s="3" t="str">
        <f>_xlfn.IFNA(VLOOKUP(E256,Master!$J:$M,4,0),"")</f>
        <v/>
      </c>
      <c r="J256" s="3" t="str">
        <f>_xlfn.IFNA(VLOOKUP($E256,Master!$J:$M,3,0),"")</f>
        <v/>
      </c>
      <c r="AC256" s="26">
        <f t="shared" si="6"/>
        <v>0</v>
      </c>
      <c r="AD256" s="26">
        <f t="shared" si="7"/>
        <v>0</v>
      </c>
    </row>
    <row r="257" spans="2:30" ht="15" customHeight="1">
      <c r="B257" s="3" t="str">
        <f>_xlfn.IFNA(VLOOKUP(C257,Master!$J:$K,2,0),"")</f>
        <v/>
      </c>
      <c r="D257" s="4" t="str">
        <f>_xlfn.IFNA(VLOOKUP(E257,Master!$J:$K,2,0),"")</f>
        <v/>
      </c>
      <c r="F257" s="4" t="str">
        <f>_xlfn.IFNA(VLOOKUP(G257,Master!B:C,2,0),"")</f>
        <v/>
      </c>
      <c r="I257" s="3" t="str">
        <f>_xlfn.IFNA(VLOOKUP(E257,Master!$J:$M,4,0),"")</f>
        <v/>
      </c>
      <c r="J257" s="3" t="str">
        <f>_xlfn.IFNA(VLOOKUP($E257,Master!$J:$M,3,0),"")</f>
        <v/>
      </c>
      <c r="AC257" s="26">
        <f t="shared" si="6"/>
        <v>0</v>
      </c>
      <c r="AD257" s="26">
        <f t="shared" si="7"/>
        <v>0</v>
      </c>
    </row>
    <row r="258" spans="2:30" ht="15" customHeight="1">
      <c r="B258" s="3" t="str">
        <f>_xlfn.IFNA(VLOOKUP(C258,Master!$J:$K,2,0),"")</f>
        <v/>
      </c>
      <c r="D258" s="4" t="str">
        <f>_xlfn.IFNA(VLOOKUP(E258,Master!$J:$K,2,0),"")</f>
        <v/>
      </c>
      <c r="F258" s="4" t="str">
        <f>_xlfn.IFNA(VLOOKUP(G258,Master!B:C,2,0),"")</f>
        <v/>
      </c>
      <c r="I258" s="3" t="str">
        <f>_xlfn.IFNA(VLOOKUP(E258,Master!$J:$M,4,0),"")</f>
        <v/>
      </c>
      <c r="J258" s="3" t="str">
        <f>_xlfn.IFNA(VLOOKUP($E258,Master!$J:$M,3,0),"")</f>
        <v/>
      </c>
      <c r="AC258" s="26">
        <f t="shared" ref="AC258:AC321" si="8">SUM(K258:P258)</f>
        <v>0</v>
      </c>
      <c r="AD258" s="26">
        <f t="shared" ref="AD258:AD321" si="9">SUM(Q258:AB258)</f>
        <v>0</v>
      </c>
    </row>
    <row r="259" spans="2:30" ht="15" customHeight="1">
      <c r="B259" s="3" t="str">
        <f>_xlfn.IFNA(VLOOKUP(C259,Master!$J:$K,2,0),"")</f>
        <v/>
      </c>
      <c r="D259" s="4" t="str">
        <f>_xlfn.IFNA(VLOOKUP(E259,Master!$J:$K,2,0),"")</f>
        <v/>
      </c>
      <c r="F259" s="4" t="str">
        <f>_xlfn.IFNA(VLOOKUP(G259,Master!B:C,2,0),"")</f>
        <v/>
      </c>
      <c r="I259" s="3" t="str">
        <f>_xlfn.IFNA(VLOOKUP(E259,Master!$J:$M,4,0),"")</f>
        <v/>
      </c>
      <c r="J259" s="3" t="str">
        <f>_xlfn.IFNA(VLOOKUP($E259,Master!$J:$M,3,0),"")</f>
        <v/>
      </c>
      <c r="AC259" s="26">
        <f t="shared" si="8"/>
        <v>0</v>
      </c>
      <c r="AD259" s="26">
        <f t="shared" si="9"/>
        <v>0</v>
      </c>
    </row>
    <row r="260" spans="2:30" ht="15" customHeight="1">
      <c r="B260" s="3" t="str">
        <f>_xlfn.IFNA(VLOOKUP(C260,Master!$J:$K,2,0),"")</f>
        <v/>
      </c>
      <c r="D260" s="4" t="str">
        <f>_xlfn.IFNA(VLOOKUP(E260,Master!$J:$K,2,0),"")</f>
        <v/>
      </c>
      <c r="F260" s="4" t="str">
        <f>_xlfn.IFNA(VLOOKUP(G260,Master!B:C,2,0),"")</f>
        <v/>
      </c>
      <c r="I260" s="3" t="str">
        <f>_xlfn.IFNA(VLOOKUP(E260,Master!$J:$M,4,0),"")</f>
        <v/>
      </c>
      <c r="J260" s="3" t="str">
        <f>_xlfn.IFNA(VLOOKUP($E260,Master!$J:$M,3,0),"")</f>
        <v/>
      </c>
      <c r="AC260" s="26">
        <f t="shared" si="8"/>
        <v>0</v>
      </c>
      <c r="AD260" s="26">
        <f t="shared" si="9"/>
        <v>0</v>
      </c>
    </row>
    <row r="261" spans="2:30" ht="15" customHeight="1">
      <c r="B261" s="3" t="str">
        <f>_xlfn.IFNA(VLOOKUP(C261,Master!$J:$K,2,0),"")</f>
        <v/>
      </c>
      <c r="D261" s="4" t="str">
        <f>_xlfn.IFNA(VLOOKUP(E261,Master!$J:$K,2,0),"")</f>
        <v/>
      </c>
      <c r="F261" s="4" t="str">
        <f>_xlfn.IFNA(VLOOKUP(G261,Master!B:C,2,0),"")</f>
        <v/>
      </c>
      <c r="I261" s="3" t="str">
        <f>_xlfn.IFNA(VLOOKUP(E261,Master!$J:$M,4,0),"")</f>
        <v/>
      </c>
      <c r="J261" s="3" t="str">
        <f>_xlfn.IFNA(VLOOKUP($E261,Master!$J:$M,3,0),"")</f>
        <v/>
      </c>
      <c r="AC261" s="26">
        <f t="shared" si="8"/>
        <v>0</v>
      </c>
      <c r="AD261" s="26">
        <f t="shared" si="9"/>
        <v>0</v>
      </c>
    </row>
    <row r="262" spans="2:30" ht="15" customHeight="1">
      <c r="B262" s="3" t="str">
        <f>_xlfn.IFNA(VLOOKUP(C262,Master!$J:$K,2,0),"")</f>
        <v/>
      </c>
      <c r="D262" s="4" t="str">
        <f>_xlfn.IFNA(VLOOKUP(E262,Master!$J:$K,2,0),"")</f>
        <v/>
      </c>
      <c r="F262" s="4" t="str">
        <f>_xlfn.IFNA(VLOOKUP(G262,Master!B:C,2,0),"")</f>
        <v/>
      </c>
      <c r="I262" s="3" t="str">
        <f>_xlfn.IFNA(VLOOKUP(E262,Master!$J:$M,4,0),"")</f>
        <v/>
      </c>
      <c r="J262" s="3" t="str">
        <f>_xlfn.IFNA(VLOOKUP($E262,Master!$J:$M,3,0),"")</f>
        <v/>
      </c>
      <c r="AC262" s="26">
        <f t="shared" si="8"/>
        <v>0</v>
      </c>
      <c r="AD262" s="26">
        <f t="shared" si="9"/>
        <v>0</v>
      </c>
    </row>
    <row r="263" spans="2:30" ht="15" customHeight="1">
      <c r="B263" s="3" t="str">
        <f>_xlfn.IFNA(VLOOKUP(C263,Master!$J:$K,2,0),"")</f>
        <v/>
      </c>
      <c r="D263" s="4" t="str">
        <f>_xlfn.IFNA(VLOOKUP(E263,Master!$J:$K,2,0),"")</f>
        <v/>
      </c>
      <c r="F263" s="4" t="str">
        <f>_xlfn.IFNA(VLOOKUP(G263,Master!B:C,2,0),"")</f>
        <v/>
      </c>
      <c r="I263" s="3" t="str">
        <f>_xlfn.IFNA(VLOOKUP(E263,Master!$J:$M,4,0),"")</f>
        <v/>
      </c>
      <c r="J263" s="3" t="str">
        <f>_xlfn.IFNA(VLOOKUP($E263,Master!$J:$M,3,0),"")</f>
        <v/>
      </c>
      <c r="AC263" s="26">
        <f t="shared" si="8"/>
        <v>0</v>
      </c>
      <c r="AD263" s="26">
        <f t="shared" si="9"/>
        <v>0</v>
      </c>
    </row>
    <row r="264" spans="2:30" ht="15" customHeight="1">
      <c r="B264" s="3" t="str">
        <f>_xlfn.IFNA(VLOOKUP(C264,Master!$J:$K,2,0),"")</f>
        <v/>
      </c>
      <c r="D264" s="4" t="str">
        <f>_xlfn.IFNA(VLOOKUP(E264,Master!$J:$K,2,0),"")</f>
        <v/>
      </c>
      <c r="F264" s="4" t="str">
        <f>_xlfn.IFNA(VLOOKUP(G264,Master!B:C,2,0),"")</f>
        <v/>
      </c>
      <c r="I264" s="3" t="str">
        <f>_xlfn.IFNA(VLOOKUP(E264,Master!$J:$M,4,0),"")</f>
        <v/>
      </c>
      <c r="J264" s="3" t="str">
        <f>_xlfn.IFNA(VLOOKUP($E264,Master!$J:$M,3,0),"")</f>
        <v/>
      </c>
      <c r="AC264" s="26">
        <f t="shared" si="8"/>
        <v>0</v>
      </c>
      <c r="AD264" s="26">
        <f t="shared" si="9"/>
        <v>0</v>
      </c>
    </row>
    <row r="265" spans="2:30" ht="15" customHeight="1">
      <c r="B265" s="3" t="str">
        <f>_xlfn.IFNA(VLOOKUP(C265,Master!$J:$K,2,0),"")</f>
        <v/>
      </c>
      <c r="D265" s="4" t="str">
        <f>_xlfn.IFNA(VLOOKUP(E265,Master!$J:$K,2,0),"")</f>
        <v/>
      </c>
      <c r="F265" s="4" t="str">
        <f>_xlfn.IFNA(VLOOKUP(G265,Master!B:C,2,0),"")</f>
        <v/>
      </c>
      <c r="I265" s="3" t="str">
        <f>_xlfn.IFNA(VLOOKUP(E265,Master!$J:$M,4,0),"")</f>
        <v/>
      </c>
      <c r="J265" s="3" t="str">
        <f>_xlfn.IFNA(VLOOKUP($E265,Master!$J:$M,3,0),"")</f>
        <v/>
      </c>
      <c r="AC265" s="26">
        <f t="shared" si="8"/>
        <v>0</v>
      </c>
      <c r="AD265" s="26">
        <f t="shared" si="9"/>
        <v>0</v>
      </c>
    </row>
    <row r="266" spans="2:30" ht="15" customHeight="1">
      <c r="B266" s="3" t="str">
        <f>_xlfn.IFNA(VLOOKUP(C266,Master!$J:$K,2,0),"")</f>
        <v/>
      </c>
      <c r="D266" s="4" t="str">
        <f>_xlfn.IFNA(VLOOKUP(E266,Master!$J:$K,2,0),"")</f>
        <v/>
      </c>
      <c r="F266" s="4" t="str">
        <f>_xlfn.IFNA(VLOOKUP(G266,Master!B:C,2,0),"")</f>
        <v/>
      </c>
      <c r="I266" s="3" t="str">
        <f>_xlfn.IFNA(VLOOKUP(E266,Master!$J:$M,4,0),"")</f>
        <v/>
      </c>
      <c r="J266" s="3" t="str">
        <f>_xlfn.IFNA(VLOOKUP($E266,Master!$J:$M,3,0),"")</f>
        <v/>
      </c>
      <c r="AC266" s="26">
        <f t="shared" si="8"/>
        <v>0</v>
      </c>
      <c r="AD266" s="26">
        <f t="shared" si="9"/>
        <v>0</v>
      </c>
    </row>
    <row r="267" spans="2:30" ht="15" customHeight="1">
      <c r="B267" s="3" t="str">
        <f>_xlfn.IFNA(VLOOKUP(C267,Master!$J:$K,2,0),"")</f>
        <v/>
      </c>
      <c r="D267" s="4" t="str">
        <f>_xlfn.IFNA(VLOOKUP(E267,Master!$J:$K,2,0),"")</f>
        <v/>
      </c>
      <c r="F267" s="4" t="str">
        <f>_xlfn.IFNA(VLOOKUP(G267,Master!B:C,2,0),"")</f>
        <v/>
      </c>
      <c r="I267" s="3" t="str">
        <f>_xlfn.IFNA(VLOOKUP(E267,Master!$J:$M,4,0),"")</f>
        <v/>
      </c>
      <c r="J267" s="3" t="str">
        <f>_xlfn.IFNA(VLOOKUP($E267,Master!$J:$M,3,0),"")</f>
        <v/>
      </c>
      <c r="AC267" s="26">
        <f t="shared" si="8"/>
        <v>0</v>
      </c>
      <c r="AD267" s="26">
        <f t="shared" si="9"/>
        <v>0</v>
      </c>
    </row>
    <row r="268" spans="2:30" ht="15" customHeight="1">
      <c r="B268" s="3" t="str">
        <f>_xlfn.IFNA(VLOOKUP(C268,Master!$J:$K,2,0),"")</f>
        <v/>
      </c>
      <c r="D268" s="4" t="str">
        <f>_xlfn.IFNA(VLOOKUP(E268,Master!$J:$K,2,0),"")</f>
        <v/>
      </c>
      <c r="F268" s="4" t="str">
        <f>_xlfn.IFNA(VLOOKUP(G268,Master!B:C,2,0),"")</f>
        <v/>
      </c>
      <c r="I268" s="3" t="str">
        <f>_xlfn.IFNA(VLOOKUP(E268,Master!$J:$M,4,0),"")</f>
        <v/>
      </c>
      <c r="J268" s="3" t="str">
        <f>_xlfn.IFNA(VLOOKUP($E268,Master!$J:$M,3,0),"")</f>
        <v/>
      </c>
      <c r="AC268" s="26">
        <f t="shared" si="8"/>
        <v>0</v>
      </c>
      <c r="AD268" s="26">
        <f t="shared" si="9"/>
        <v>0</v>
      </c>
    </row>
    <row r="269" spans="2:30" ht="15" customHeight="1">
      <c r="B269" s="3" t="str">
        <f>_xlfn.IFNA(VLOOKUP(C269,Master!$J:$K,2,0),"")</f>
        <v/>
      </c>
      <c r="D269" s="4" t="str">
        <f>_xlfn.IFNA(VLOOKUP(E269,Master!$J:$K,2,0),"")</f>
        <v/>
      </c>
      <c r="F269" s="4" t="str">
        <f>_xlfn.IFNA(VLOOKUP(G269,Master!B:C,2,0),"")</f>
        <v/>
      </c>
      <c r="I269" s="3" t="str">
        <f>_xlfn.IFNA(VLOOKUP(E269,Master!$J:$M,4,0),"")</f>
        <v/>
      </c>
      <c r="J269" s="3" t="str">
        <f>_xlfn.IFNA(VLOOKUP($E269,Master!$J:$M,3,0),"")</f>
        <v/>
      </c>
      <c r="AC269" s="26">
        <f t="shared" si="8"/>
        <v>0</v>
      </c>
      <c r="AD269" s="26">
        <f t="shared" si="9"/>
        <v>0</v>
      </c>
    </row>
    <row r="270" spans="2:30" ht="15" customHeight="1">
      <c r="B270" s="3" t="str">
        <f>_xlfn.IFNA(VLOOKUP(C270,Master!$J:$K,2,0),"")</f>
        <v/>
      </c>
      <c r="D270" s="4" t="str">
        <f>_xlfn.IFNA(VLOOKUP(E270,Master!$J:$K,2,0),"")</f>
        <v/>
      </c>
      <c r="F270" s="4" t="str">
        <f>_xlfn.IFNA(VLOOKUP(G270,Master!B:C,2,0),"")</f>
        <v/>
      </c>
      <c r="I270" s="3" t="str">
        <f>_xlfn.IFNA(VLOOKUP(E270,Master!$J:$M,4,0),"")</f>
        <v/>
      </c>
      <c r="J270" s="3" t="str">
        <f>_xlfn.IFNA(VLOOKUP($E270,Master!$J:$M,3,0),"")</f>
        <v/>
      </c>
      <c r="AC270" s="26">
        <f t="shared" si="8"/>
        <v>0</v>
      </c>
      <c r="AD270" s="26">
        <f t="shared" si="9"/>
        <v>0</v>
      </c>
    </row>
    <row r="271" spans="2:30" ht="15" customHeight="1">
      <c r="B271" s="3" t="str">
        <f>_xlfn.IFNA(VLOOKUP(C271,Master!$J:$K,2,0),"")</f>
        <v/>
      </c>
      <c r="D271" s="4" t="str">
        <f>_xlfn.IFNA(VLOOKUP(E271,Master!$J:$K,2,0),"")</f>
        <v/>
      </c>
      <c r="F271" s="4" t="str">
        <f>_xlfn.IFNA(VLOOKUP(G271,Master!B:C,2,0),"")</f>
        <v/>
      </c>
      <c r="I271" s="3" t="str">
        <f>_xlfn.IFNA(VLOOKUP(E271,Master!$J:$M,4,0),"")</f>
        <v/>
      </c>
      <c r="J271" s="3" t="str">
        <f>_xlfn.IFNA(VLOOKUP($E271,Master!$J:$M,3,0),"")</f>
        <v/>
      </c>
      <c r="AC271" s="26">
        <f t="shared" si="8"/>
        <v>0</v>
      </c>
      <c r="AD271" s="26">
        <f t="shared" si="9"/>
        <v>0</v>
      </c>
    </row>
    <row r="272" spans="2:30" ht="15" customHeight="1">
      <c r="B272" s="3" t="str">
        <f>_xlfn.IFNA(VLOOKUP(C272,Master!$J:$K,2,0),"")</f>
        <v/>
      </c>
      <c r="D272" s="4" t="str">
        <f>_xlfn.IFNA(VLOOKUP(E272,Master!$J:$K,2,0),"")</f>
        <v/>
      </c>
      <c r="F272" s="4" t="str">
        <f>_xlfn.IFNA(VLOOKUP(G272,Master!B:C,2,0),"")</f>
        <v/>
      </c>
      <c r="I272" s="3" t="str">
        <f>_xlfn.IFNA(VLOOKUP(E272,Master!$J:$M,4,0),"")</f>
        <v/>
      </c>
      <c r="J272" s="3" t="str">
        <f>_xlfn.IFNA(VLOOKUP($E272,Master!$J:$M,3,0),"")</f>
        <v/>
      </c>
      <c r="AC272" s="26">
        <f t="shared" si="8"/>
        <v>0</v>
      </c>
      <c r="AD272" s="26">
        <f t="shared" si="9"/>
        <v>0</v>
      </c>
    </row>
    <row r="273" spans="2:30" ht="15" customHeight="1">
      <c r="B273" s="3" t="str">
        <f>_xlfn.IFNA(VLOOKUP(C273,Master!$J:$K,2,0),"")</f>
        <v/>
      </c>
      <c r="D273" s="4" t="str">
        <f>_xlfn.IFNA(VLOOKUP(E273,Master!$J:$K,2,0),"")</f>
        <v/>
      </c>
      <c r="F273" s="4" t="str">
        <f>_xlfn.IFNA(VLOOKUP(G273,Master!B:C,2,0),"")</f>
        <v/>
      </c>
      <c r="I273" s="3" t="str">
        <f>_xlfn.IFNA(VLOOKUP(E273,Master!$J:$M,4,0),"")</f>
        <v/>
      </c>
      <c r="J273" s="3" t="str">
        <f>_xlfn.IFNA(VLOOKUP($E273,Master!$J:$M,3,0),"")</f>
        <v/>
      </c>
      <c r="AC273" s="26">
        <f t="shared" si="8"/>
        <v>0</v>
      </c>
      <c r="AD273" s="26">
        <f t="shared" si="9"/>
        <v>0</v>
      </c>
    </row>
    <row r="274" spans="2:30" ht="15" customHeight="1">
      <c r="B274" s="3" t="str">
        <f>_xlfn.IFNA(VLOOKUP(C274,Master!$J:$K,2,0),"")</f>
        <v/>
      </c>
      <c r="D274" s="4" t="str">
        <f>_xlfn.IFNA(VLOOKUP(E274,Master!$J:$K,2,0),"")</f>
        <v/>
      </c>
      <c r="F274" s="4" t="str">
        <f>_xlfn.IFNA(VLOOKUP(G274,Master!B:C,2,0),"")</f>
        <v/>
      </c>
      <c r="I274" s="3" t="str">
        <f>_xlfn.IFNA(VLOOKUP(E274,Master!$J:$M,4,0),"")</f>
        <v/>
      </c>
      <c r="J274" s="3" t="str">
        <f>_xlfn.IFNA(VLOOKUP($E274,Master!$J:$M,3,0),"")</f>
        <v/>
      </c>
      <c r="AC274" s="26">
        <f t="shared" si="8"/>
        <v>0</v>
      </c>
      <c r="AD274" s="26">
        <f t="shared" si="9"/>
        <v>0</v>
      </c>
    </row>
    <row r="275" spans="2:30" ht="15" customHeight="1">
      <c r="B275" s="3" t="str">
        <f>_xlfn.IFNA(VLOOKUP(C275,Master!$J:$K,2,0),"")</f>
        <v/>
      </c>
      <c r="D275" s="4" t="str">
        <f>_xlfn.IFNA(VLOOKUP(E275,Master!$J:$K,2,0),"")</f>
        <v/>
      </c>
      <c r="F275" s="4" t="str">
        <f>_xlfn.IFNA(VLOOKUP(G275,Master!B:C,2,0),"")</f>
        <v/>
      </c>
      <c r="I275" s="3" t="str">
        <f>_xlfn.IFNA(VLOOKUP(E275,Master!$J:$M,4,0),"")</f>
        <v/>
      </c>
      <c r="J275" s="3" t="str">
        <f>_xlfn.IFNA(VLOOKUP($E275,Master!$J:$M,3,0),"")</f>
        <v/>
      </c>
      <c r="AC275" s="26">
        <f t="shared" si="8"/>
        <v>0</v>
      </c>
      <c r="AD275" s="26">
        <f t="shared" si="9"/>
        <v>0</v>
      </c>
    </row>
    <row r="276" spans="2:30" ht="15" customHeight="1">
      <c r="B276" s="3" t="str">
        <f>_xlfn.IFNA(VLOOKUP(C276,Master!$J:$K,2,0),"")</f>
        <v/>
      </c>
      <c r="D276" s="4" t="str">
        <f>_xlfn.IFNA(VLOOKUP(E276,Master!$J:$K,2,0),"")</f>
        <v/>
      </c>
      <c r="F276" s="4" t="str">
        <f>_xlfn.IFNA(VLOOKUP(G276,Master!B:C,2,0),"")</f>
        <v/>
      </c>
      <c r="I276" s="3" t="str">
        <f>_xlfn.IFNA(VLOOKUP(E276,Master!$J:$M,4,0),"")</f>
        <v/>
      </c>
      <c r="J276" s="3" t="str">
        <f>_xlfn.IFNA(VLOOKUP($E276,Master!$J:$M,3,0),"")</f>
        <v/>
      </c>
      <c r="AC276" s="26">
        <f t="shared" si="8"/>
        <v>0</v>
      </c>
      <c r="AD276" s="26">
        <f t="shared" si="9"/>
        <v>0</v>
      </c>
    </row>
    <row r="277" spans="2:30" ht="15" customHeight="1">
      <c r="B277" s="3" t="str">
        <f>_xlfn.IFNA(VLOOKUP(C277,Master!$J:$K,2,0),"")</f>
        <v/>
      </c>
      <c r="D277" s="4" t="str">
        <f>_xlfn.IFNA(VLOOKUP(E277,Master!$J:$K,2,0),"")</f>
        <v/>
      </c>
      <c r="F277" s="4" t="str">
        <f>_xlfn.IFNA(VLOOKUP(G277,Master!B:C,2,0),"")</f>
        <v/>
      </c>
      <c r="I277" s="3" t="str">
        <f>_xlfn.IFNA(VLOOKUP(E277,Master!$J:$M,4,0),"")</f>
        <v/>
      </c>
      <c r="J277" s="3" t="str">
        <f>_xlfn.IFNA(VLOOKUP($E277,Master!$J:$M,3,0),"")</f>
        <v/>
      </c>
      <c r="AC277" s="26">
        <f t="shared" si="8"/>
        <v>0</v>
      </c>
      <c r="AD277" s="26">
        <f t="shared" si="9"/>
        <v>0</v>
      </c>
    </row>
    <row r="278" spans="2:30" ht="15" customHeight="1">
      <c r="B278" s="3" t="str">
        <f>_xlfn.IFNA(VLOOKUP(C278,Master!$J:$K,2,0),"")</f>
        <v/>
      </c>
      <c r="D278" s="4" t="str">
        <f>_xlfn.IFNA(VLOOKUP(E278,Master!$J:$K,2,0),"")</f>
        <v/>
      </c>
      <c r="F278" s="4" t="str">
        <f>_xlfn.IFNA(VLOOKUP(G278,Master!B:C,2,0),"")</f>
        <v/>
      </c>
      <c r="I278" s="3" t="str">
        <f>_xlfn.IFNA(VLOOKUP(E278,Master!$J:$M,4,0),"")</f>
        <v/>
      </c>
      <c r="J278" s="3" t="str">
        <f>_xlfn.IFNA(VLOOKUP($E278,Master!$J:$M,3,0),"")</f>
        <v/>
      </c>
      <c r="AC278" s="26">
        <f t="shared" si="8"/>
        <v>0</v>
      </c>
      <c r="AD278" s="26">
        <f t="shared" si="9"/>
        <v>0</v>
      </c>
    </row>
    <row r="279" spans="2:30" ht="15" customHeight="1">
      <c r="B279" s="3" t="str">
        <f>_xlfn.IFNA(VLOOKUP(C279,Master!$J:$K,2,0),"")</f>
        <v/>
      </c>
      <c r="D279" s="4" t="str">
        <f>_xlfn.IFNA(VLOOKUP(E279,Master!$J:$K,2,0),"")</f>
        <v/>
      </c>
      <c r="F279" s="4" t="str">
        <f>_xlfn.IFNA(VLOOKUP(G279,Master!B:C,2,0),"")</f>
        <v/>
      </c>
      <c r="I279" s="3" t="str">
        <f>_xlfn.IFNA(VLOOKUP(E279,Master!$J:$M,4,0),"")</f>
        <v/>
      </c>
      <c r="J279" s="3" t="str">
        <f>_xlfn.IFNA(VLOOKUP($E279,Master!$J:$M,3,0),"")</f>
        <v/>
      </c>
      <c r="AC279" s="26">
        <f t="shared" si="8"/>
        <v>0</v>
      </c>
      <c r="AD279" s="26">
        <f t="shared" si="9"/>
        <v>0</v>
      </c>
    </row>
    <row r="280" spans="2:30" ht="15" customHeight="1">
      <c r="B280" s="3" t="str">
        <f>_xlfn.IFNA(VLOOKUP(C280,Master!$J:$K,2,0),"")</f>
        <v/>
      </c>
      <c r="D280" s="4" t="str">
        <f>_xlfn.IFNA(VLOOKUP(E280,Master!$J:$K,2,0),"")</f>
        <v/>
      </c>
      <c r="F280" s="4" t="str">
        <f>_xlfn.IFNA(VLOOKUP(G280,Master!B:C,2,0),"")</f>
        <v/>
      </c>
      <c r="I280" s="3" t="str">
        <f>_xlfn.IFNA(VLOOKUP(E280,Master!$J:$M,4,0),"")</f>
        <v/>
      </c>
      <c r="J280" s="3" t="str">
        <f>_xlfn.IFNA(VLOOKUP($E280,Master!$J:$M,3,0),"")</f>
        <v/>
      </c>
      <c r="AC280" s="26">
        <f t="shared" si="8"/>
        <v>0</v>
      </c>
      <c r="AD280" s="26">
        <f t="shared" si="9"/>
        <v>0</v>
      </c>
    </row>
    <row r="281" spans="2:30" ht="15" customHeight="1">
      <c r="B281" s="3" t="str">
        <f>_xlfn.IFNA(VLOOKUP(C281,Master!$J:$K,2,0),"")</f>
        <v/>
      </c>
      <c r="D281" s="4" t="str">
        <f>_xlfn.IFNA(VLOOKUP(E281,Master!$J:$K,2,0),"")</f>
        <v/>
      </c>
      <c r="F281" s="4" t="str">
        <f>_xlfn.IFNA(VLOOKUP(G281,Master!B:C,2,0),"")</f>
        <v/>
      </c>
      <c r="I281" s="3" t="str">
        <f>_xlfn.IFNA(VLOOKUP(E281,Master!$J:$M,4,0),"")</f>
        <v/>
      </c>
      <c r="J281" s="3" t="str">
        <f>_xlfn.IFNA(VLOOKUP($E281,Master!$J:$M,3,0),"")</f>
        <v/>
      </c>
      <c r="AC281" s="26">
        <f t="shared" si="8"/>
        <v>0</v>
      </c>
      <c r="AD281" s="26">
        <f t="shared" si="9"/>
        <v>0</v>
      </c>
    </row>
    <row r="282" spans="2:30" ht="15" customHeight="1">
      <c r="B282" s="3" t="str">
        <f>_xlfn.IFNA(VLOOKUP(C282,Master!$J:$K,2,0),"")</f>
        <v/>
      </c>
      <c r="D282" s="4" t="str">
        <f>_xlfn.IFNA(VLOOKUP(E282,Master!$J:$K,2,0),"")</f>
        <v/>
      </c>
      <c r="F282" s="4" t="str">
        <f>_xlfn.IFNA(VLOOKUP(G282,Master!B:C,2,0),"")</f>
        <v/>
      </c>
      <c r="I282" s="3" t="str">
        <f>_xlfn.IFNA(VLOOKUP(E282,Master!$J:$M,4,0),"")</f>
        <v/>
      </c>
      <c r="J282" s="3" t="str">
        <f>_xlfn.IFNA(VLOOKUP($E282,Master!$J:$M,3,0),"")</f>
        <v/>
      </c>
      <c r="AC282" s="26">
        <f t="shared" si="8"/>
        <v>0</v>
      </c>
      <c r="AD282" s="26">
        <f t="shared" si="9"/>
        <v>0</v>
      </c>
    </row>
    <row r="283" spans="2:30" ht="15" customHeight="1">
      <c r="B283" s="3" t="str">
        <f>_xlfn.IFNA(VLOOKUP(C283,Master!$J:$K,2,0),"")</f>
        <v/>
      </c>
      <c r="D283" s="4" t="str">
        <f>_xlfn.IFNA(VLOOKUP(E283,Master!$J:$K,2,0),"")</f>
        <v/>
      </c>
      <c r="F283" s="4" t="str">
        <f>_xlfn.IFNA(VLOOKUP(G283,Master!B:C,2,0),"")</f>
        <v/>
      </c>
      <c r="I283" s="3" t="str">
        <f>_xlfn.IFNA(VLOOKUP(E283,Master!$J:$M,4,0),"")</f>
        <v/>
      </c>
      <c r="J283" s="3" t="str">
        <f>_xlfn.IFNA(VLOOKUP($E283,Master!$J:$M,3,0),"")</f>
        <v/>
      </c>
      <c r="AC283" s="26">
        <f t="shared" si="8"/>
        <v>0</v>
      </c>
      <c r="AD283" s="26">
        <f t="shared" si="9"/>
        <v>0</v>
      </c>
    </row>
    <row r="284" spans="2:30" ht="15" customHeight="1">
      <c r="B284" s="3" t="str">
        <f>_xlfn.IFNA(VLOOKUP(C284,Master!$J:$K,2,0),"")</f>
        <v/>
      </c>
      <c r="D284" s="4" t="str">
        <f>_xlfn.IFNA(VLOOKUP(E284,Master!$J:$K,2,0),"")</f>
        <v/>
      </c>
      <c r="F284" s="4" t="str">
        <f>_xlfn.IFNA(VLOOKUP(G284,Master!B:C,2,0),"")</f>
        <v/>
      </c>
      <c r="I284" s="3" t="str">
        <f>_xlfn.IFNA(VLOOKUP(E284,Master!$J:$M,4,0),"")</f>
        <v/>
      </c>
      <c r="J284" s="3" t="str">
        <f>_xlfn.IFNA(VLOOKUP($E284,Master!$J:$M,3,0),"")</f>
        <v/>
      </c>
      <c r="AC284" s="26">
        <f t="shared" si="8"/>
        <v>0</v>
      </c>
      <c r="AD284" s="26">
        <f t="shared" si="9"/>
        <v>0</v>
      </c>
    </row>
    <row r="285" spans="2:30" ht="15" customHeight="1">
      <c r="B285" s="3" t="str">
        <f>_xlfn.IFNA(VLOOKUP(C285,Master!$J:$K,2,0),"")</f>
        <v/>
      </c>
      <c r="D285" s="4" t="str">
        <f>_xlfn.IFNA(VLOOKUP(E285,Master!$J:$K,2,0),"")</f>
        <v/>
      </c>
      <c r="F285" s="4" t="str">
        <f>_xlfn.IFNA(VLOOKUP(G285,Master!B:C,2,0),"")</f>
        <v/>
      </c>
      <c r="I285" s="3" t="str">
        <f>_xlfn.IFNA(VLOOKUP(E285,Master!$J:$M,4,0),"")</f>
        <v/>
      </c>
      <c r="J285" s="3" t="str">
        <f>_xlfn.IFNA(VLOOKUP($E285,Master!$J:$M,3,0),"")</f>
        <v/>
      </c>
      <c r="AC285" s="26">
        <f t="shared" si="8"/>
        <v>0</v>
      </c>
      <c r="AD285" s="26">
        <f t="shared" si="9"/>
        <v>0</v>
      </c>
    </row>
    <row r="286" spans="2:30" ht="15" customHeight="1">
      <c r="B286" s="3" t="str">
        <f>_xlfn.IFNA(VLOOKUP(C286,Master!$J:$K,2,0),"")</f>
        <v/>
      </c>
      <c r="D286" s="4" t="str">
        <f>_xlfn.IFNA(VLOOKUP(E286,Master!$J:$K,2,0),"")</f>
        <v/>
      </c>
      <c r="F286" s="4" t="str">
        <f>_xlfn.IFNA(VLOOKUP(G286,Master!B:C,2,0),"")</f>
        <v/>
      </c>
      <c r="I286" s="3" t="str">
        <f>_xlfn.IFNA(VLOOKUP(E286,Master!$J:$M,4,0),"")</f>
        <v/>
      </c>
      <c r="J286" s="3" t="str">
        <f>_xlfn.IFNA(VLOOKUP($E286,Master!$J:$M,3,0),"")</f>
        <v/>
      </c>
      <c r="AC286" s="26">
        <f t="shared" si="8"/>
        <v>0</v>
      </c>
      <c r="AD286" s="26">
        <f t="shared" si="9"/>
        <v>0</v>
      </c>
    </row>
    <row r="287" spans="2:30" ht="15" customHeight="1">
      <c r="B287" s="3" t="str">
        <f>_xlfn.IFNA(VLOOKUP(C287,Master!$J:$K,2,0),"")</f>
        <v/>
      </c>
      <c r="D287" s="4" t="str">
        <f>_xlfn.IFNA(VLOOKUP(E287,Master!$J:$K,2,0),"")</f>
        <v/>
      </c>
      <c r="F287" s="4" t="str">
        <f>_xlfn.IFNA(VLOOKUP(G287,Master!B:C,2,0),"")</f>
        <v/>
      </c>
      <c r="I287" s="3" t="str">
        <f>_xlfn.IFNA(VLOOKUP(E287,Master!$J:$M,4,0),"")</f>
        <v/>
      </c>
      <c r="J287" s="3" t="str">
        <f>_xlfn.IFNA(VLOOKUP($E287,Master!$J:$M,3,0),"")</f>
        <v/>
      </c>
      <c r="AC287" s="26">
        <f t="shared" si="8"/>
        <v>0</v>
      </c>
      <c r="AD287" s="26">
        <f t="shared" si="9"/>
        <v>0</v>
      </c>
    </row>
    <row r="288" spans="2:30" ht="15" customHeight="1">
      <c r="B288" s="3" t="str">
        <f>_xlfn.IFNA(VLOOKUP(C288,Master!$J:$K,2,0),"")</f>
        <v/>
      </c>
      <c r="D288" s="4" t="str">
        <f>_xlfn.IFNA(VLOOKUP(E288,Master!$J:$K,2,0),"")</f>
        <v/>
      </c>
      <c r="F288" s="4" t="str">
        <f>_xlfn.IFNA(VLOOKUP(G288,Master!B:C,2,0),"")</f>
        <v/>
      </c>
      <c r="I288" s="3" t="str">
        <f>_xlfn.IFNA(VLOOKUP(E288,Master!$J:$M,4,0),"")</f>
        <v/>
      </c>
      <c r="J288" s="3" t="str">
        <f>_xlfn.IFNA(VLOOKUP($E288,Master!$J:$M,3,0),"")</f>
        <v/>
      </c>
      <c r="AC288" s="26">
        <f t="shared" si="8"/>
        <v>0</v>
      </c>
      <c r="AD288" s="26">
        <f t="shared" si="9"/>
        <v>0</v>
      </c>
    </row>
    <row r="289" spans="2:30" ht="15" customHeight="1">
      <c r="B289" s="3" t="str">
        <f>_xlfn.IFNA(VLOOKUP(C289,Master!$J:$K,2,0),"")</f>
        <v/>
      </c>
      <c r="D289" s="4" t="str">
        <f>_xlfn.IFNA(VLOOKUP(E289,Master!$J:$K,2,0),"")</f>
        <v/>
      </c>
      <c r="F289" s="4" t="str">
        <f>_xlfn.IFNA(VLOOKUP(G289,Master!B:C,2,0),"")</f>
        <v/>
      </c>
      <c r="I289" s="3" t="str">
        <f>_xlfn.IFNA(VLOOKUP(E289,Master!$J:$M,4,0),"")</f>
        <v/>
      </c>
      <c r="J289" s="3" t="str">
        <f>_xlfn.IFNA(VLOOKUP($E289,Master!$J:$M,3,0),"")</f>
        <v/>
      </c>
      <c r="AC289" s="26">
        <f t="shared" si="8"/>
        <v>0</v>
      </c>
      <c r="AD289" s="26">
        <f t="shared" si="9"/>
        <v>0</v>
      </c>
    </row>
    <row r="290" spans="2:30" ht="15" customHeight="1">
      <c r="B290" s="3" t="str">
        <f>_xlfn.IFNA(VLOOKUP(C290,Master!$J:$K,2,0),"")</f>
        <v/>
      </c>
      <c r="D290" s="4" t="str">
        <f>_xlfn.IFNA(VLOOKUP(E290,Master!$J:$K,2,0),"")</f>
        <v/>
      </c>
      <c r="F290" s="4" t="str">
        <f>_xlfn.IFNA(VLOOKUP(G290,Master!B:C,2,0),"")</f>
        <v/>
      </c>
      <c r="I290" s="3" t="str">
        <f>_xlfn.IFNA(VLOOKUP(E290,Master!$J:$M,4,0),"")</f>
        <v/>
      </c>
      <c r="J290" s="3" t="str">
        <f>_xlfn.IFNA(VLOOKUP($E290,Master!$J:$M,3,0),"")</f>
        <v/>
      </c>
      <c r="AC290" s="26">
        <f t="shared" si="8"/>
        <v>0</v>
      </c>
      <c r="AD290" s="26">
        <f t="shared" si="9"/>
        <v>0</v>
      </c>
    </row>
    <row r="291" spans="2:30" ht="15" customHeight="1">
      <c r="B291" s="3" t="str">
        <f>_xlfn.IFNA(VLOOKUP(C291,Master!$J:$K,2,0),"")</f>
        <v/>
      </c>
      <c r="D291" s="4" t="str">
        <f>_xlfn.IFNA(VLOOKUP(E291,Master!$J:$K,2,0),"")</f>
        <v/>
      </c>
      <c r="F291" s="4" t="str">
        <f>_xlfn.IFNA(VLOOKUP(G291,Master!B:C,2,0),"")</f>
        <v/>
      </c>
      <c r="I291" s="3" t="str">
        <f>_xlfn.IFNA(VLOOKUP(E291,Master!$J:$M,4,0),"")</f>
        <v/>
      </c>
      <c r="J291" s="3" t="str">
        <f>_xlfn.IFNA(VLOOKUP($E291,Master!$J:$M,3,0),"")</f>
        <v/>
      </c>
      <c r="AC291" s="26">
        <f t="shared" si="8"/>
        <v>0</v>
      </c>
      <c r="AD291" s="26">
        <f t="shared" si="9"/>
        <v>0</v>
      </c>
    </row>
    <row r="292" spans="2:30" ht="15" customHeight="1">
      <c r="B292" s="3" t="str">
        <f>_xlfn.IFNA(VLOOKUP(C292,Master!$J:$K,2,0),"")</f>
        <v/>
      </c>
      <c r="D292" s="4" t="str">
        <f>_xlfn.IFNA(VLOOKUP(E292,Master!$J:$K,2,0),"")</f>
        <v/>
      </c>
      <c r="F292" s="4" t="str">
        <f>_xlfn.IFNA(VLOOKUP(G292,Master!B:C,2,0),"")</f>
        <v/>
      </c>
      <c r="I292" s="3" t="str">
        <f>_xlfn.IFNA(VLOOKUP(E292,Master!$J:$M,4,0),"")</f>
        <v/>
      </c>
      <c r="J292" s="3" t="str">
        <f>_xlfn.IFNA(VLOOKUP($E292,Master!$J:$M,3,0),"")</f>
        <v/>
      </c>
      <c r="AC292" s="26">
        <f t="shared" si="8"/>
        <v>0</v>
      </c>
      <c r="AD292" s="26">
        <f t="shared" si="9"/>
        <v>0</v>
      </c>
    </row>
    <row r="293" spans="2:30" ht="15" customHeight="1">
      <c r="B293" s="3" t="str">
        <f>_xlfn.IFNA(VLOOKUP(C293,Master!$J:$K,2,0),"")</f>
        <v/>
      </c>
      <c r="D293" s="4" t="str">
        <f>_xlfn.IFNA(VLOOKUP(E293,Master!$J:$K,2,0),"")</f>
        <v/>
      </c>
      <c r="F293" s="4" t="str">
        <f>_xlfn.IFNA(VLOOKUP(G293,Master!B:C,2,0),"")</f>
        <v/>
      </c>
      <c r="I293" s="3" t="str">
        <f>_xlfn.IFNA(VLOOKUP(E293,Master!$J:$M,4,0),"")</f>
        <v/>
      </c>
      <c r="J293" s="3" t="str">
        <f>_xlfn.IFNA(VLOOKUP($E293,Master!$J:$M,3,0),"")</f>
        <v/>
      </c>
      <c r="AC293" s="26">
        <f t="shared" si="8"/>
        <v>0</v>
      </c>
      <c r="AD293" s="26">
        <f t="shared" si="9"/>
        <v>0</v>
      </c>
    </row>
    <row r="294" spans="2:30" ht="15" customHeight="1">
      <c r="B294" s="3" t="str">
        <f>_xlfn.IFNA(VLOOKUP(C294,Master!$J:$K,2,0),"")</f>
        <v/>
      </c>
      <c r="D294" s="4" t="str">
        <f>_xlfn.IFNA(VLOOKUP(E294,Master!$J:$K,2,0),"")</f>
        <v/>
      </c>
      <c r="F294" s="4" t="str">
        <f>_xlfn.IFNA(VLOOKUP(G294,Master!B:C,2,0),"")</f>
        <v/>
      </c>
      <c r="I294" s="3" t="str">
        <f>_xlfn.IFNA(VLOOKUP(E294,Master!$J:$M,4,0),"")</f>
        <v/>
      </c>
      <c r="J294" s="3" t="str">
        <f>_xlfn.IFNA(VLOOKUP($E294,Master!$J:$M,3,0),"")</f>
        <v/>
      </c>
      <c r="AC294" s="26">
        <f t="shared" si="8"/>
        <v>0</v>
      </c>
      <c r="AD294" s="26">
        <f t="shared" si="9"/>
        <v>0</v>
      </c>
    </row>
    <row r="295" spans="2:30" ht="15" customHeight="1">
      <c r="B295" s="3" t="str">
        <f>_xlfn.IFNA(VLOOKUP(C295,Master!$J:$K,2,0),"")</f>
        <v/>
      </c>
      <c r="D295" s="4" t="str">
        <f>_xlfn.IFNA(VLOOKUP(E295,Master!$J:$K,2,0),"")</f>
        <v/>
      </c>
      <c r="F295" s="4" t="str">
        <f>_xlfn.IFNA(VLOOKUP(G295,Master!B:C,2,0),"")</f>
        <v/>
      </c>
      <c r="I295" s="3" t="str">
        <f>_xlfn.IFNA(VLOOKUP(E295,Master!$J:$M,4,0),"")</f>
        <v/>
      </c>
      <c r="J295" s="3" t="str">
        <f>_xlfn.IFNA(VLOOKUP($E295,Master!$J:$M,3,0),"")</f>
        <v/>
      </c>
      <c r="AC295" s="26">
        <f t="shared" si="8"/>
        <v>0</v>
      </c>
      <c r="AD295" s="26">
        <f t="shared" si="9"/>
        <v>0</v>
      </c>
    </row>
    <row r="296" spans="2:30" ht="15" customHeight="1">
      <c r="B296" s="3" t="str">
        <f>_xlfn.IFNA(VLOOKUP(C296,Master!$J:$K,2,0),"")</f>
        <v/>
      </c>
      <c r="D296" s="4" t="str">
        <f>_xlfn.IFNA(VLOOKUP(E296,Master!$J:$K,2,0),"")</f>
        <v/>
      </c>
      <c r="F296" s="4" t="str">
        <f>_xlfn.IFNA(VLOOKUP(G296,Master!B:C,2,0),"")</f>
        <v/>
      </c>
      <c r="I296" s="3" t="str">
        <f>_xlfn.IFNA(VLOOKUP(E296,Master!$J:$M,4,0),"")</f>
        <v/>
      </c>
      <c r="J296" s="3" t="str">
        <f>_xlfn.IFNA(VLOOKUP($E296,Master!$J:$M,3,0),"")</f>
        <v/>
      </c>
      <c r="AC296" s="26">
        <f t="shared" si="8"/>
        <v>0</v>
      </c>
      <c r="AD296" s="26">
        <f t="shared" si="9"/>
        <v>0</v>
      </c>
    </row>
    <row r="297" spans="2:30" ht="15" customHeight="1">
      <c r="B297" s="3" t="str">
        <f>_xlfn.IFNA(VLOOKUP(C297,Master!$J:$K,2,0),"")</f>
        <v/>
      </c>
      <c r="D297" s="4" t="str">
        <f>_xlfn.IFNA(VLOOKUP(E297,Master!$J:$K,2,0),"")</f>
        <v/>
      </c>
      <c r="F297" s="4" t="str">
        <f>_xlfn.IFNA(VLOOKUP(G297,Master!B:C,2,0),"")</f>
        <v/>
      </c>
      <c r="I297" s="3" t="str">
        <f>_xlfn.IFNA(VLOOKUP(E297,Master!$J:$M,4,0),"")</f>
        <v/>
      </c>
      <c r="J297" s="3" t="str">
        <f>_xlfn.IFNA(VLOOKUP($E297,Master!$J:$M,3,0),"")</f>
        <v/>
      </c>
      <c r="AC297" s="26">
        <f t="shared" si="8"/>
        <v>0</v>
      </c>
      <c r="AD297" s="26">
        <f t="shared" si="9"/>
        <v>0</v>
      </c>
    </row>
    <row r="298" spans="2:30" ht="15" customHeight="1">
      <c r="B298" s="3" t="str">
        <f>_xlfn.IFNA(VLOOKUP(C298,Master!$J:$K,2,0),"")</f>
        <v/>
      </c>
      <c r="D298" s="4" t="str">
        <f>_xlfn.IFNA(VLOOKUP(E298,Master!$J:$K,2,0),"")</f>
        <v/>
      </c>
      <c r="F298" s="4" t="str">
        <f>_xlfn.IFNA(VLOOKUP(G298,Master!B:C,2,0),"")</f>
        <v/>
      </c>
      <c r="I298" s="3" t="str">
        <f>_xlfn.IFNA(VLOOKUP(E298,Master!$J:$M,4,0),"")</f>
        <v/>
      </c>
      <c r="J298" s="3" t="str">
        <f>_xlfn.IFNA(VLOOKUP($E298,Master!$J:$M,3,0),"")</f>
        <v/>
      </c>
      <c r="AC298" s="26">
        <f t="shared" si="8"/>
        <v>0</v>
      </c>
      <c r="AD298" s="26">
        <f t="shared" si="9"/>
        <v>0</v>
      </c>
    </row>
    <row r="299" spans="2:30" ht="15" customHeight="1">
      <c r="B299" s="3" t="str">
        <f>_xlfn.IFNA(VLOOKUP(C299,Master!$J:$K,2,0),"")</f>
        <v/>
      </c>
      <c r="D299" s="4" t="str">
        <f>_xlfn.IFNA(VLOOKUP(E299,Master!$J:$K,2,0),"")</f>
        <v/>
      </c>
      <c r="F299" s="4" t="str">
        <f>_xlfn.IFNA(VLOOKUP(G299,Master!B:C,2,0),"")</f>
        <v/>
      </c>
      <c r="I299" s="3" t="str">
        <f>_xlfn.IFNA(VLOOKUP(E299,Master!$J:$M,4,0),"")</f>
        <v/>
      </c>
      <c r="J299" s="3" t="str">
        <f>_xlfn.IFNA(VLOOKUP($E299,Master!$J:$M,3,0),"")</f>
        <v/>
      </c>
      <c r="AC299" s="26">
        <f t="shared" si="8"/>
        <v>0</v>
      </c>
      <c r="AD299" s="26">
        <f t="shared" si="9"/>
        <v>0</v>
      </c>
    </row>
    <row r="300" spans="2:30" ht="15" customHeight="1">
      <c r="B300" s="3" t="str">
        <f>_xlfn.IFNA(VLOOKUP(C300,Master!$J:$K,2,0),"")</f>
        <v/>
      </c>
      <c r="D300" s="4" t="str">
        <f>_xlfn.IFNA(VLOOKUP(E300,Master!$J:$K,2,0),"")</f>
        <v/>
      </c>
      <c r="F300" s="4" t="str">
        <f>_xlfn.IFNA(VLOOKUP(G300,Master!B:C,2,0),"")</f>
        <v/>
      </c>
      <c r="I300" s="3" t="str">
        <f>_xlfn.IFNA(VLOOKUP(E300,Master!$J:$M,4,0),"")</f>
        <v/>
      </c>
      <c r="J300" s="3" t="str">
        <f>_xlfn.IFNA(VLOOKUP($E300,Master!$J:$M,3,0),"")</f>
        <v/>
      </c>
      <c r="AC300" s="26">
        <f t="shared" si="8"/>
        <v>0</v>
      </c>
      <c r="AD300" s="26">
        <f t="shared" si="9"/>
        <v>0</v>
      </c>
    </row>
    <row r="301" spans="2:30" ht="15" customHeight="1">
      <c r="B301" s="3" t="str">
        <f>_xlfn.IFNA(VLOOKUP(C301,Master!$J:$K,2,0),"")</f>
        <v/>
      </c>
      <c r="D301" s="4" t="str">
        <f>_xlfn.IFNA(VLOOKUP(E301,Master!$J:$K,2,0),"")</f>
        <v/>
      </c>
      <c r="F301" s="4" t="str">
        <f>_xlfn.IFNA(VLOOKUP(G301,Master!B:C,2,0),"")</f>
        <v/>
      </c>
      <c r="I301" s="3" t="str">
        <f>_xlfn.IFNA(VLOOKUP(E301,Master!$J:$M,4,0),"")</f>
        <v/>
      </c>
      <c r="J301" s="3" t="str">
        <f>_xlfn.IFNA(VLOOKUP($E301,Master!$J:$M,3,0),"")</f>
        <v/>
      </c>
      <c r="AC301" s="26">
        <f t="shared" si="8"/>
        <v>0</v>
      </c>
      <c r="AD301" s="26">
        <f t="shared" si="9"/>
        <v>0</v>
      </c>
    </row>
    <row r="302" spans="2:30" ht="15" customHeight="1">
      <c r="B302" s="3" t="str">
        <f>_xlfn.IFNA(VLOOKUP(C302,Master!$J:$K,2,0),"")</f>
        <v/>
      </c>
      <c r="D302" s="4" t="str">
        <f>_xlfn.IFNA(VLOOKUP(E302,Master!$J:$K,2,0),"")</f>
        <v/>
      </c>
      <c r="F302" s="4" t="str">
        <f>_xlfn.IFNA(VLOOKUP(G302,Master!B:C,2,0),"")</f>
        <v/>
      </c>
      <c r="I302" s="3" t="str">
        <f>_xlfn.IFNA(VLOOKUP(E302,Master!$J:$M,4,0),"")</f>
        <v/>
      </c>
      <c r="J302" s="3" t="str">
        <f>_xlfn.IFNA(VLOOKUP($E302,Master!$J:$M,3,0),"")</f>
        <v/>
      </c>
      <c r="AC302" s="26">
        <f t="shared" si="8"/>
        <v>0</v>
      </c>
      <c r="AD302" s="26">
        <f t="shared" si="9"/>
        <v>0</v>
      </c>
    </row>
    <row r="303" spans="2:30" ht="15" customHeight="1">
      <c r="B303" s="3" t="str">
        <f>_xlfn.IFNA(VLOOKUP(C303,Master!$J:$K,2,0),"")</f>
        <v/>
      </c>
      <c r="D303" s="4" t="str">
        <f>_xlfn.IFNA(VLOOKUP(E303,Master!$J:$K,2,0),"")</f>
        <v/>
      </c>
      <c r="F303" s="4" t="str">
        <f>_xlfn.IFNA(VLOOKUP(G303,Master!B:C,2,0),"")</f>
        <v/>
      </c>
      <c r="I303" s="3" t="str">
        <f>_xlfn.IFNA(VLOOKUP(E303,Master!$J:$M,4,0),"")</f>
        <v/>
      </c>
      <c r="J303" s="3" t="str">
        <f>_xlfn.IFNA(VLOOKUP($E303,Master!$J:$M,3,0),"")</f>
        <v/>
      </c>
      <c r="AC303" s="26">
        <f t="shared" si="8"/>
        <v>0</v>
      </c>
      <c r="AD303" s="26">
        <f t="shared" si="9"/>
        <v>0</v>
      </c>
    </row>
    <row r="304" spans="2:30" ht="15" customHeight="1">
      <c r="B304" s="3" t="str">
        <f>_xlfn.IFNA(VLOOKUP(C304,Master!$J:$K,2,0),"")</f>
        <v/>
      </c>
      <c r="D304" s="4" t="str">
        <f>_xlfn.IFNA(VLOOKUP(E304,Master!$J:$K,2,0),"")</f>
        <v/>
      </c>
      <c r="F304" s="4" t="str">
        <f>_xlfn.IFNA(VLOOKUP(G304,Master!B:C,2,0),"")</f>
        <v/>
      </c>
      <c r="I304" s="3" t="str">
        <f>_xlfn.IFNA(VLOOKUP(E304,Master!$J:$M,4,0),"")</f>
        <v/>
      </c>
      <c r="J304" s="3" t="str">
        <f>_xlfn.IFNA(VLOOKUP($E304,Master!$J:$M,3,0),"")</f>
        <v/>
      </c>
      <c r="AC304" s="26">
        <f t="shared" si="8"/>
        <v>0</v>
      </c>
      <c r="AD304" s="26">
        <f t="shared" si="9"/>
        <v>0</v>
      </c>
    </row>
    <row r="305" spans="2:30" ht="15" customHeight="1">
      <c r="B305" s="3" t="str">
        <f>_xlfn.IFNA(VLOOKUP(C305,Master!$J:$K,2,0),"")</f>
        <v/>
      </c>
      <c r="D305" s="4" t="str">
        <f>_xlfn.IFNA(VLOOKUP(E305,Master!$J:$K,2,0),"")</f>
        <v/>
      </c>
      <c r="F305" s="4" t="str">
        <f>_xlfn.IFNA(VLOOKUP(G305,Master!B:C,2,0),"")</f>
        <v/>
      </c>
      <c r="I305" s="3" t="str">
        <f>_xlfn.IFNA(VLOOKUP(E305,Master!$J:$M,4,0),"")</f>
        <v/>
      </c>
      <c r="J305" s="3" t="str">
        <f>_xlfn.IFNA(VLOOKUP($E305,Master!$J:$M,3,0),"")</f>
        <v/>
      </c>
      <c r="AC305" s="26">
        <f t="shared" si="8"/>
        <v>0</v>
      </c>
      <c r="AD305" s="26">
        <f t="shared" si="9"/>
        <v>0</v>
      </c>
    </row>
    <row r="306" spans="2:30" ht="15" customHeight="1">
      <c r="B306" s="3" t="str">
        <f>_xlfn.IFNA(VLOOKUP(C306,Master!$J:$K,2,0),"")</f>
        <v/>
      </c>
      <c r="D306" s="4" t="str">
        <f>_xlfn.IFNA(VLOOKUP(E306,Master!$J:$K,2,0),"")</f>
        <v/>
      </c>
      <c r="F306" s="4" t="str">
        <f>_xlfn.IFNA(VLOOKUP(G306,Master!B:C,2,0),"")</f>
        <v/>
      </c>
      <c r="I306" s="3" t="str">
        <f>_xlfn.IFNA(VLOOKUP(E306,Master!$J:$M,4,0),"")</f>
        <v/>
      </c>
      <c r="J306" s="3" t="str">
        <f>_xlfn.IFNA(VLOOKUP($E306,Master!$J:$M,3,0),"")</f>
        <v/>
      </c>
      <c r="AC306" s="26">
        <f t="shared" si="8"/>
        <v>0</v>
      </c>
      <c r="AD306" s="26">
        <f t="shared" si="9"/>
        <v>0</v>
      </c>
    </row>
    <row r="307" spans="2:30" ht="15" customHeight="1">
      <c r="B307" s="3" t="str">
        <f>_xlfn.IFNA(VLOOKUP(C307,Master!$J:$K,2,0),"")</f>
        <v/>
      </c>
      <c r="D307" s="4" t="str">
        <f>_xlfn.IFNA(VLOOKUP(E307,Master!$J:$K,2,0),"")</f>
        <v/>
      </c>
      <c r="F307" s="4" t="str">
        <f>_xlfn.IFNA(VLOOKUP(G307,Master!B:C,2,0),"")</f>
        <v/>
      </c>
      <c r="I307" s="3" t="str">
        <f>_xlfn.IFNA(VLOOKUP(E307,Master!$J:$M,4,0),"")</f>
        <v/>
      </c>
      <c r="J307" s="3" t="str">
        <f>_xlfn.IFNA(VLOOKUP($E307,Master!$J:$M,3,0),"")</f>
        <v/>
      </c>
      <c r="AC307" s="26">
        <f t="shared" si="8"/>
        <v>0</v>
      </c>
      <c r="AD307" s="26">
        <f t="shared" si="9"/>
        <v>0</v>
      </c>
    </row>
    <row r="308" spans="2:30" ht="15" customHeight="1">
      <c r="B308" s="3" t="str">
        <f>_xlfn.IFNA(VLOOKUP(C308,Master!$J:$K,2,0),"")</f>
        <v/>
      </c>
      <c r="D308" s="4" t="str">
        <f>_xlfn.IFNA(VLOOKUP(E308,Master!$J:$K,2,0),"")</f>
        <v/>
      </c>
      <c r="F308" s="4" t="str">
        <f>_xlfn.IFNA(VLOOKUP(G308,Master!B:C,2,0),"")</f>
        <v/>
      </c>
      <c r="I308" s="3" t="str">
        <f>_xlfn.IFNA(VLOOKUP(E308,Master!$J:$M,4,0),"")</f>
        <v/>
      </c>
      <c r="J308" s="3" t="str">
        <f>_xlfn.IFNA(VLOOKUP($E308,Master!$J:$M,3,0),"")</f>
        <v/>
      </c>
      <c r="AC308" s="26">
        <f t="shared" si="8"/>
        <v>0</v>
      </c>
      <c r="AD308" s="26">
        <f t="shared" si="9"/>
        <v>0</v>
      </c>
    </row>
    <row r="309" spans="2:30" ht="15" customHeight="1">
      <c r="B309" s="3" t="str">
        <f>_xlfn.IFNA(VLOOKUP(C309,Master!$J:$K,2,0),"")</f>
        <v/>
      </c>
      <c r="D309" s="4" t="str">
        <f>_xlfn.IFNA(VLOOKUP(E309,Master!$J:$K,2,0),"")</f>
        <v/>
      </c>
      <c r="F309" s="4" t="str">
        <f>_xlfn.IFNA(VLOOKUP(G309,Master!B:C,2,0),"")</f>
        <v/>
      </c>
      <c r="I309" s="3" t="str">
        <f>_xlfn.IFNA(VLOOKUP(E309,Master!$J:$M,4,0),"")</f>
        <v/>
      </c>
      <c r="J309" s="3" t="str">
        <f>_xlfn.IFNA(VLOOKUP($E309,Master!$J:$M,3,0),"")</f>
        <v/>
      </c>
      <c r="AC309" s="26">
        <f t="shared" si="8"/>
        <v>0</v>
      </c>
      <c r="AD309" s="26">
        <f t="shared" si="9"/>
        <v>0</v>
      </c>
    </row>
    <row r="310" spans="2:30" ht="15" customHeight="1">
      <c r="B310" s="3" t="str">
        <f>_xlfn.IFNA(VLOOKUP(C310,Master!$J:$K,2,0),"")</f>
        <v/>
      </c>
      <c r="D310" s="4" t="str">
        <f>_xlfn.IFNA(VLOOKUP(E310,Master!$J:$K,2,0),"")</f>
        <v/>
      </c>
      <c r="F310" s="4" t="str">
        <f>_xlfn.IFNA(VLOOKUP(G310,Master!B:C,2,0),"")</f>
        <v/>
      </c>
      <c r="I310" s="3" t="str">
        <f>_xlfn.IFNA(VLOOKUP(E310,Master!$J:$M,4,0),"")</f>
        <v/>
      </c>
      <c r="J310" s="3" t="str">
        <f>_xlfn.IFNA(VLOOKUP($E310,Master!$J:$M,3,0),"")</f>
        <v/>
      </c>
      <c r="AC310" s="26">
        <f t="shared" si="8"/>
        <v>0</v>
      </c>
      <c r="AD310" s="26">
        <f t="shared" si="9"/>
        <v>0</v>
      </c>
    </row>
    <row r="311" spans="2:30" ht="15" customHeight="1">
      <c r="B311" s="3" t="str">
        <f>_xlfn.IFNA(VLOOKUP(C311,Master!$J:$K,2,0),"")</f>
        <v/>
      </c>
      <c r="D311" s="4" t="str">
        <f>_xlfn.IFNA(VLOOKUP(E311,Master!$J:$K,2,0),"")</f>
        <v/>
      </c>
      <c r="F311" s="4" t="str">
        <f>_xlfn.IFNA(VLOOKUP(G311,Master!B:C,2,0),"")</f>
        <v/>
      </c>
      <c r="I311" s="3" t="str">
        <f>_xlfn.IFNA(VLOOKUP(E311,Master!$J:$M,4,0),"")</f>
        <v/>
      </c>
      <c r="J311" s="3" t="str">
        <f>_xlfn.IFNA(VLOOKUP($E311,Master!$J:$M,3,0),"")</f>
        <v/>
      </c>
      <c r="AC311" s="26">
        <f t="shared" si="8"/>
        <v>0</v>
      </c>
      <c r="AD311" s="26">
        <f t="shared" si="9"/>
        <v>0</v>
      </c>
    </row>
    <row r="312" spans="2:30" ht="15" customHeight="1">
      <c r="B312" s="3" t="str">
        <f>_xlfn.IFNA(VLOOKUP(C312,Master!$J:$K,2,0),"")</f>
        <v/>
      </c>
      <c r="D312" s="4" t="str">
        <f>_xlfn.IFNA(VLOOKUP(E312,Master!$J:$K,2,0),"")</f>
        <v/>
      </c>
      <c r="F312" s="4" t="str">
        <f>_xlfn.IFNA(VLOOKUP(G312,Master!B:C,2,0),"")</f>
        <v/>
      </c>
      <c r="I312" s="3" t="str">
        <f>_xlfn.IFNA(VLOOKUP(E312,Master!$J:$M,4,0),"")</f>
        <v/>
      </c>
      <c r="J312" s="3" t="str">
        <f>_xlfn.IFNA(VLOOKUP($E312,Master!$J:$M,3,0),"")</f>
        <v/>
      </c>
      <c r="AC312" s="26">
        <f t="shared" si="8"/>
        <v>0</v>
      </c>
      <c r="AD312" s="26">
        <f t="shared" si="9"/>
        <v>0</v>
      </c>
    </row>
    <row r="313" spans="2:30" ht="15" customHeight="1">
      <c r="B313" s="3" t="str">
        <f>_xlfn.IFNA(VLOOKUP(C313,Master!$J:$K,2,0),"")</f>
        <v/>
      </c>
      <c r="D313" s="4" t="str">
        <f>_xlfn.IFNA(VLOOKUP(E313,Master!$J:$K,2,0),"")</f>
        <v/>
      </c>
      <c r="F313" s="4" t="str">
        <f>_xlfn.IFNA(VLOOKUP(G313,Master!B:C,2,0),"")</f>
        <v/>
      </c>
      <c r="I313" s="3" t="str">
        <f>_xlfn.IFNA(VLOOKUP(E313,Master!$J:$M,4,0),"")</f>
        <v/>
      </c>
      <c r="J313" s="3" t="str">
        <f>_xlfn.IFNA(VLOOKUP($E313,Master!$J:$M,3,0),"")</f>
        <v/>
      </c>
      <c r="AC313" s="26">
        <f t="shared" si="8"/>
        <v>0</v>
      </c>
      <c r="AD313" s="26">
        <f t="shared" si="9"/>
        <v>0</v>
      </c>
    </row>
    <row r="314" spans="2:30" ht="15" customHeight="1">
      <c r="B314" s="3" t="str">
        <f>_xlfn.IFNA(VLOOKUP(C314,Master!$J:$K,2,0),"")</f>
        <v/>
      </c>
      <c r="D314" s="4" t="str">
        <f>_xlfn.IFNA(VLOOKUP(E314,Master!$J:$K,2,0),"")</f>
        <v/>
      </c>
      <c r="F314" s="4" t="str">
        <f>_xlfn.IFNA(VLOOKUP(G314,Master!B:C,2,0),"")</f>
        <v/>
      </c>
      <c r="I314" s="3" t="str">
        <f>_xlfn.IFNA(VLOOKUP(E314,Master!$J:$M,4,0),"")</f>
        <v/>
      </c>
      <c r="J314" s="3" t="str">
        <f>_xlfn.IFNA(VLOOKUP($E314,Master!$J:$M,3,0),"")</f>
        <v/>
      </c>
      <c r="AC314" s="26">
        <f t="shared" si="8"/>
        <v>0</v>
      </c>
      <c r="AD314" s="26">
        <f t="shared" si="9"/>
        <v>0</v>
      </c>
    </row>
    <row r="315" spans="2:30" ht="15" customHeight="1">
      <c r="B315" s="3" t="str">
        <f>_xlfn.IFNA(VLOOKUP(C315,Master!$J:$K,2,0),"")</f>
        <v/>
      </c>
      <c r="D315" s="4" t="str">
        <f>_xlfn.IFNA(VLOOKUP(E315,Master!$J:$K,2,0),"")</f>
        <v/>
      </c>
      <c r="F315" s="4" t="str">
        <f>_xlfn.IFNA(VLOOKUP(G315,Master!B:C,2,0),"")</f>
        <v/>
      </c>
      <c r="I315" s="3" t="str">
        <f>_xlfn.IFNA(VLOOKUP(E315,Master!$J:$M,4,0),"")</f>
        <v/>
      </c>
      <c r="J315" s="3" t="str">
        <f>_xlfn.IFNA(VLOOKUP($E315,Master!$J:$M,3,0),"")</f>
        <v/>
      </c>
      <c r="AC315" s="26">
        <f t="shared" si="8"/>
        <v>0</v>
      </c>
      <c r="AD315" s="26">
        <f t="shared" si="9"/>
        <v>0</v>
      </c>
    </row>
    <row r="316" spans="2:30" ht="15" customHeight="1">
      <c r="B316" s="3" t="str">
        <f>_xlfn.IFNA(VLOOKUP(C316,Master!$J:$K,2,0),"")</f>
        <v/>
      </c>
      <c r="D316" s="4" t="str">
        <f>_xlfn.IFNA(VLOOKUP(E316,Master!$J:$K,2,0),"")</f>
        <v/>
      </c>
      <c r="F316" s="4" t="str">
        <f>_xlfn.IFNA(VLOOKUP(G316,Master!B:C,2,0),"")</f>
        <v/>
      </c>
      <c r="I316" s="3" t="str">
        <f>_xlfn.IFNA(VLOOKUP(E316,Master!$J:$M,4,0),"")</f>
        <v/>
      </c>
      <c r="J316" s="3" t="str">
        <f>_xlfn.IFNA(VLOOKUP($E316,Master!$J:$M,3,0),"")</f>
        <v/>
      </c>
      <c r="AC316" s="26">
        <f t="shared" si="8"/>
        <v>0</v>
      </c>
      <c r="AD316" s="26">
        <f t="shared" si="9"/>
        <v>0</v>
      </c>
    </row>
    <row r="317" spans="2:30" ht="15" customHeight="1">
      <c r="B317" s="3" t="str">
        <f>_xlfn.IFNA(VLOOKUP(C317,Master!$J:$K,2,0),"")</f>
        <v/>
      </c>
      <c r="D317" s="4" t="str">
        <f>_xlfn.IFNA(VLOOKUP(E317,Master!$J:$K,2,0),"")</f>
        <v/>
      </c>
      <c r="F317" s="4" t="str">
        <f>_xlfn.IFNA(VLOOKUP(G317,Master!B:C,2,0),"")</f>
        <v/>
      </c>
      <c r="I317" s="3" t="str">
        <f>_xlfn.IFNA(VLOOKUP(E317,Master!$J:$M,4,0),"")</f>
        <v/>
      </c>
      <c r="J317" s="3" t="str">
        <f>_xlfn.IFNA(VLOOKUP($E317,Master!$J:$M,3,0),"")</f>
        <v/>
      </c>
      <c r="AC317" s="26">
        <f t="shared" si="8"/>
        <v>0</v>
      </c>
      <c r="AD317" s="26">
        <f t="shared" si="9"/>
        <v>0</v>
      </c>
    </row>
    <row r="318" spans="2:30" ht="15" customHeight="1">
      <c r="B318" s="3" t="str">
        <f>_xlfn.IFNA(VLOOKUP(C318,Master!$J:$K,2,0),"")</f>
        <v/>
      </c>
      <c r="D318" s="4" t="str">
        <f>_xlfn.IFNA(VLOOKUP(E318,Master!$J:$K,2,0),"")</f>
        <v/>
      </c>
      <c r="F318" s="4" t="str">
        <f>_xlfn.IFNA(VLOOKUP(G318,Master!B:C,2,0),"")</f>
        <v/>
      </c>
      <c r="I318" s="3" t="str">
        <f>_xlfn.IFNA(VLOOKUP(E318,Master!$J:$M,4,0),"")</f>
        <v/>
      </c>
      <c r="J318" s="3" t="str">
        <f>_xlfn.IFNA(VLOOKUP($E318,Master!$J:$M,3,0),"")</f>
        <v/>
      </c>
      <c r="AC318" s="26">
        <f t="shared" si="8"/>
        <v>0</v>
      </c>
      <c r="AD318" s="26">
        <f t="shared" si="9"/>
        <v>0</v>
      </c>
    </row>
    <row r="319" spans="2:30" ht="15" customHeight="1">
      <c r="B319" s="3" t="str">
        <f>_xlfn.IFNA(VLOOKUP(C319,Master!$J:$K,2,0),"")</f>
        <v/>
      </c>
      <c r="D319" s="4" t="str">
        <f>_xlfn.IFNA(VLOOKUP(E319,Master!$J:$K,2,0),"")</f>
        <v/>
      </c>
      <c r="F319" s="4" t="str">
        <f>_xlfn.IFNA(VLOOKUP(G319,Master!B:C,2,0),"")</f>
        <v/>
      </c>
      <c r="I319" s="3" t="str">
        <f>_xlfn.IFNA(VLOOKUP(E319,Master!$J:$M,4,0),"")</f>
        <v/>
      </c>
      <c r="J319" s="3" t="str">
        <f>_xlfn.IFNA(VLOOKUP($E319,Master!$J:$M,3,0),"")</f>
        <v/>
      </c>
      <c r="AC319" s="26">
        <f t="shared" si="8"/>
        <v>0</v>
      </c>
      <c r="AD319" s="26">
        <f t="shared" si="9"/>
        <v>0</v>
      </c>
    </row>
    <row r="320" spans="2:30" ht="15" customHeight="1">
      <c r="B320" s="3" t="str">
        <f>_xlfn.IFNA(VLOOKUP(C320,Master!$J:$K,2,0),"")</f>
        <v/>
      </c>
      <c r="D320" s="4" t="str">
        <f>_xlfn.IFNA(VLOOKUP(E320,Master!$J:$K,2,0),"")</f>
        <v/>
      </c>
      <c r="F320" s="4" t="str">
        <f>_xlfn.IFNA(VLOOKUP(G320,Master!B:C,2,0),"")</f>
        <v/>
      </c>
      <c r="I320" s="3" t="str">
        <f>_xlfn.IFNA(VLOOKUP(E320,Master!$J:$M,4,0),"")</f>
        <v/>
      </c>
      <c r="J320" s="3" t="str">
        <f>_xlfn.IFNA(VLOOKUP($E320,Master!$J:$M,3,0),"")</f>
        <v/>
      </c>
      <c r="AC320" s="26">
        <f t="shared" si="8"/>
        <v>0</v>
      </c>
      <c r="AD320" s="26">
        <f t="shared" si="9"/>
        <v>0</v>
      </c>
    </row>
    <row r="321" spans="2:30" ht="15" customHeight="1">
      <c r="B321" s="3" t="str">
        <f>_xlfn.IFNA(VLOOKUP(C321,Master!$J:$K,2,0),"")</f>
        <v/>
      </c>
      <c r="D321" s="4" t="str">
        <f>_xlfn.IFNA(VLOOKUP(E321,Master!$J:$K,2,0),"")</f>
        <v/>
      </c>
      <c r="F321" s="4" t="str">
        <f>_xlfn.IFNA(VLOOKUP(G321,Master!B:C,2,0),"")</f>
        <v/>
      </c>
      <c r="I321" s="3" t="str">
        <f>_xlfn.IFNA(VLOOKUP(E321,Master!$J:$M,4,0),"")</f>
        <v/>
      </c>
      <c r="J321" s="3" t="str">
        <f>_xlfn.IFNA(VLOOKUP($E321,Master!$J:$M,3,0),"")</f>
        <v/>
      </c>
      <c r="AC321" s="26">
        <f t="shared" si="8"/>
        <v>0</v>
      </c>
      <c r="AD321" s="26">
        <f t="shared" si="9"/>
        <v>0</v>
      </c>
    </row>
    <row r="322" spans="2:30" ht="15" customHeight="1">
      <c r="B322" s="3" t="str">
        <f>_xlfn.IFNA(VLOOKUP(C322,Master!$J:$K,2,0),"")</f>
        <v/>
      </c>
      <c r="D322" s="4" t="str">
        <f>_xlfn.IFNA(VLOOKUP(E322,Master!$J:$K,2,0),"")</f>
        <v/>
      </c>
      <c r="F322" s="4" t="str">
        <f>_xlfn.IFNA(VLOOKUP(G322,Master!B:C,2,0),"")</f>
        <v/>
      </c>
      <c r="I322" s="3" t="str">
        <f>_xlfn.IFNA(VLOOKUP(E322,Master!$J:$M,4,0),"")</f>
        <v/>
      </c>
      <c r="J322" s="3" t="str">
        <f>_xlfn.IFNA(VLOOKUP($E322,Master!$J:$M,3,0),"")</f>
        <v/>
      </c>
      <c r="AC322" s="26">
        <f t="shared" ref="AC322:AC385" si="10">SUM(K322:P322)</f>
        <v>0</v>
      </c>
      <c r="AD322" s="26">
        <f t="shared" ref="AD322:AD385" si="11">SUM(Q322:AB322)</f>
        <v>0</v>
      </c>
    </row>
    <row r="323" spans="2:30" ht="15" customHeight="1">
      <c r="B323" s="3" t="str">
        <f>_xlfn.IFNA(VLOOKUP(C323,Master!$J:$K,2,0),"")</f>
        <v/>
      </c>
      <c r="D323" s="4" t="str">
        <f>_xlfn.IFNA(VLOOKUP(E323,Master!$J:$K,2,0),"")</f>
        <v/>
      </c>
      <c r="F323" s="4" t="str">
        <f>_xlfn.IFNA(VLOOKUP(G323,Master!B:C,2,0),"")</f>
        <v/>
      </c>
      <c r="I323" s="3" t="str">
        <f>_xlfn.IFNA(VLOOKUP(E323,Master!$J:$M,4,0),"")</f>
        <v/>
      </c>
      <c r="J323" s="3" t="str">
        <f>_xlfn.IFNA(VLOOKUP($E323,Master!$J:$M,3,0),"")</f>
        <v/>
      </c>
      <c r="AC323" s="26">
        <f t="shared" si="10"/>
        <v>0</v>
      </c>
      <c r="AD323" s="26">
        <f t="shared" si="11"/>
        <v>0</v>
      </c>
    </row>
    <row r="324" spans="2:30" ht="15" customHeight="1">
      <c r="B324" s="3" t="str">
        <f>_xlfn.IFNA(VLOOKUP(C324,Master!$J:$K,2,0),"")</f>
        <v/>
      </c>
      <c r="D324" s="4" t="str">
        <f>_xlfn.IFNA(VLOOKUP(E324,Master!$J:$K,2,0),"")</f>
        <v/>
      </c>
      <c r="F324" s="4" t="str">
        <f>_xlfn.IFNA(VLOOKUP(G324,Master!B:C,2,0),"")</f>
        <v/>
      </c>
      <c r="I324" s="3" t="str">
        <f>_xlfn.IFNA(VLOOKUP(E324,Master!$J:$M,4,0),"")</f>
        <v/>
      </c>
      <c r="J324" s="3" t="str">
        <f>_xlfn.IFNA(VLOOKUP($E324,Master!$J:$M,3,0),"")</f>
        <v/>
      </c>
      <c r="AC324" s="26">
        <f t="shared" si="10"/>
        <v>0</v>
      </c>
      <c r="AD324" s="26">
        <f t="shared" si="11"/>
        <v>0</v>
      </c>
    </row>
    <row r="325" spans="2:30" ht="15" customHeight="1">
      <c r="B325" s="3" t="str">
        <f>_xlfn.IFNA(VLOOKUP(C325,Master!$J:$K,2,0),"")</f>
        <v/>
      </c>
      <c r="D325" s="4" t="str">
        <f>_xlfn.IFNA(VLOOKUP(E325,Master!$J:$K,2,0),"")</f>
        <v/>
      </c>
      <c r="F325" s="4" t="str">
        <f>_xlfn.IFNA(VLOOKUP(G325,Master!B:C,2,0),"")</f>
        <v/>
      </c>
      <c r="I325" s="3" t="str">
        <f>_xlfn.IFNA(VLOOKUP(E325,Master!$J:$M,4,0),"")</f>
        <v/>
      </c>
      <c r="J325" s="3" t="str">
        <f>_xlfn.IFNA(VLOOKUP($E325,Master!$J:$M,3,0),"")</f>
        <v/>
      </c>
      <c r="AC325" s="26">
        <f t="shared" si="10"/>
        <v>0</v>
      </c>
      <c r="AD325" s="26">
        <f t="shared" si="11"/>
        <v>0</v>
      </c>
    </row>
    <row r="326" spans="2:30" ht="15" customHeight="1">
      <c r="B326" s="3" t="str">
        <f>_xlfn.IFNA(VLOOKUP(C326,Master!$J:$K,2,0),"")</f>
        <v/>
      </c>
      <c r="D326" s="4" t="str">
        <f>_xlfn.IFNA(VLOOKUP(E326,Master!$J:$K,2,0),"")</f>
        <v/>
      </c>
      <c r="F326" s="4" t="str">
        <f>_xlfn.IFNA(VLOOKUP(G326,Master!B:C,2,0),"")</f>
        <v/>
      </c>
      <c r="I326" s="3" t="str">
        <f>_xlfn.IFNA(VLOOKUP(E326,Master!$J:$M,4,0),"")</f>
        <v/>
      </c>
      <c r="J326" s="3" t="str">
        <f>_xlfn.IFNA(VLOOKUP($E326,Master!$J:$M,3,0),"")</f>
        <v/>
      </c>
      <c r="AC326" s="26">
        <f t="shared" si="10"/>
        <v>0</v>
      </c>
      <c r="AD326" s="26">
        <f t="shared" si="11"/>
        <v>0</v>
      </c>
    </row>
    <row r="327" spans="2:30" ht="15" customHeight="1">
      <c r="B327" s="3" t="str">
        <f>_xlfn.IFNA(VLOOKUP(C327,Master!$J:$K,2,0),"")</f>
        <v/>
      </c>
      <c r="D327" s="4" t="str">
        <f>_xlfn.IFNA(VLOOKUP(E327,Master!$J:$K,2,0),"")</f>
        <v/>
      </c>
      <c r="F327" s="4" t="str">
        <f>_xlfn.IFNA(VLOOKUP(G327,Master!B:C,2,0),"")</f>
        <v/>
      </c>
      <c r="I327" s="3" t="str">
        <f>_xlfn.IFNA(VLOOKUP(E327,Master!$J:$M,4,0),"")</f>
        <v/>
      </c>
      <c r="J327" s="3" t="str">
        <f>_xlfn.IFNA(VLOOKUP($E327,Master!$J:$M,3,0),"")</f>
        <v/>
      </c>
      <c r="AC327" s="26">
        <f t="shared" si="10"/>
        <v>0</v>
      </c>
      <c r="AD327" s="26">
        <f t="shared" si="11"/>
        <v>0</v>
      </c>
    </row>
    <row r="328" spans="2:30" ht="15" customHeight="1">
      <c r="B328" s="3" t="str">
        <f>_xlfn.IFNA(VLOOKUP(C328,Master!$J:$K,2,0),"")</f>
        <v/>
      </c>
      <c r="D328" s="4" t="str">
        <f>_xlfn.IFNA(VLOOKUP(E328,Master!$J:$K,2,0),"")</f>
        <v/>
      </c>
      <c r="F328" s="4" t="str">
        <f>_xlfn.IFNA(VLOOKUP(G328,Master!B:C,2,0),"")</f>
        <v/>
      </c>
      <c r="I328" s="3" t="str">
        <f>_xlfn.IFNA(VLOOKUP(E328,Master!$J:$M,4,0),"")</f>
        <v/>
      </c>
      <c r="J328" s="3" t="str">
        <f>_xlfn.IFNA(VLOOKUP($E328,Master!$J:$M,3,0),"")</f>
        <v/>
      </c>
      <c r="AC328" s="26">
        <f t="shared" si="10"/>
        <v>0</v>
      </c>
      <c r="AD328" s="26">
        <f t="shared" si="11"/>
        <v>0</v>
      </c>
    </row>
    <row r="329" spans="2:30" ht="15" customHeight="1">
      <c r="B329" s="3" t="str">
        <f>_xlfn.IFNA(VLOOKUP(C329,Master!$J:$K,2,0),"")</f>
        <v/>
      </c>
      <c r="D329" s="4" t="str">
        <f>_xlfn.IFNA(VLOOKUP(E329,Master!$J:$K,2,0),"")</f>
        <v/>
      </c>
      <c r="F329" s="4" t="str">
        <f>_xlfn.IFNA(VLOOKUP(G329,Master!B:C,2,0),"")</f>
        <v/>
      </c>
      <c r="I329" s="3" t="str">
        <f>_xlfn.IFNA(VLOOKUP(E329,Master!$J:$M,4,0),"")</f>
        <v/>
      </c>
      <c r="J329" s="3" t="str">
        <f>_xlfn.IFNA(VLOOKUP($E329,Master!$J:$M,3,0),"")</f>
        <v/>
      </c>
      <c r="AC329" s="26">
        <f t="shared" si="10"/>
        <v>0</v>
      </c>
      <c r="AD329" s="26">
        <f t="shared" si="11"/>
        <v>0</v>
      </c>
    </row>
    <row r="330" spans="2:30" ht="15" customHeight="1">
      <c r="B330" s="3" t="str">
        <f>_xlfn.IFNA(VLOOKUP(C330,Master!$J:$K,2,0),"")</f>
        <v/>
      </c>
      <c r="D330" s="4" t="str">
        <f>_xlfn.IFNA(VLOOKUP(E330,Master!$J:$K,2,0),"")</f>
        <v/>
      </c>
      <c r="F330" s="4" t="str">
        <f>_xlfn.IFNA(VLOOKUP(G330,Master!B:C,2,0),"")</f>
        <v/>
      </c>
      <c r="I330" s="3" t="str">
        <f>_xlfn.IFNA(VLOOKUP(E330,Master!$J:$M,4,0),"")</f>
        <v/>
      </c>
      <c r="J330" s="3" t="str">
        <f>_xlfn.IFNA(VLOOKUP($E330,Master!$J:$M,3,0),"")</f>
        <v/>
      </c>
      <c r="AC330" s="26">
        <f t="shared" si="10"/>
        <v>0</v>
      </c>
      <c r="AD330" s="26">
        <f t="shared" si="11"/>
        <v>0</v>
      </c>
    </row>
    <row r="331" spans="2:30" ht="15" customHeight="1">
      <c r="B331" s="3" t="str">
        <f>_xlfn.IFNA(VLOOKUP(C331,Master!$J:$K,2,0),"")</f>
        <v/>
      </c>
      <c r="D331" s="4" t="str">
        <f>_xlfn.IFNA(VLOOKUP(E331,Master!$J:$K,2,0),"")</f>
        <v/>
      </c>
      <c r="F331" s="4" t="str">
        <f>_xlfn.IFNA(VLOOKUP(G331,Master!B:C,2,0),"")</f>
        <v/>
      </c>
      <c r="I331" s="3" t="str">
        <f>_xlfn.IFNA(VLOOKUP(E331,Master!$J:$M,4,0),"")</f>
        <v/>
      </c>
      <c r="J331" s="3" t="str">
        <f>_xlfn.IFNA(VLOOKUP($E331,Master!$J:$M,3,0),"")</f>
        <v/>
      </c>
      <c r="AC331" s="26">
        <f t="shared" si="10"/>
        <v>0</v>
      </c>
      <c r="AD331" s="26">
        <f t="shared" si="11"/>
        <v>0</v>
      </c>
    </row>
    <row r="332" spans="2:30" ht="15" customHeight="1">
      <c r="B332" s="3" t="str">
        <f>_xlfn.IFNA(VLOOKUP(C332,Master!$J:$K,2,0),"")</f>
        <v/>
      </c>
      <c r="D332" s="4" t="str">
        <f>_xlfn.IFNA(VLOOKUP(E332,Master!$J:$K,2,0),"")</f>
        <v/>
      </c>
      <c r="F332" s="4" t="str">
        <f>_xlfn.IFNA(VLOOKUP(G332,Master!B:C,2,0),"")</f>
        <v/>
      </c>
      <c r="I332" s="3" t="str">
        <f>_xlfn.IFNA(VLOOKUP(E332,Master!$J:$M,4,0),"")</f>
        <v/>
      </c>
      <c r="J332" s="3" t="str">
        <f>_xlfn.IFNA(VLOOKUP($E332,Master!$J:$M,3,0),"")</f>
        <v/>
      </c>
      <c r="AC332" s="26">
        <f t="shared" si="10"/>
        <v>0</v>
      </c>
      <c r="AD332" s="26">
        <f t="shared" si="11"/>
        <v>0</v>
      </c>
    </row>
    <row r="333" spans="2:30" ht="15" customHeight="1">
      <c r="B333" s="3" t="str">
        <f>_xlfn.IFNA(VLOOKUP(C333,Master!$J:$K,2,0),"")</f>
        <v/>
      </c>
      <c r="D333" s="4" t="str">
        <f>_xlfn.IFNA(VLOOKUP(E333,Master!$J:$K,2,0),"")</f>
        <v/>
      </c>
      <c r="F333" s="4" t="str">
        <f>_xlfn.IFNA(VLOOKUP(G333,Master!B:C,2,0),"")</f>
        <v/>
      </c>
      <c r="I333" s="3" t="str">
        <f>_xlfn.IFNA(VLOOKUP(E333,Master!$J:$M,4,0),"")</f>
        <v/>
      </c>
      <c r="J333" s="3" t="str">
        <f>_xlfn.IFNA(VLOOKUP($E333,Master!$J:$M,3,0),"")</f>
        <v/>
      </c>
      <c r="AC333" s="26">
        <f t="shared" si="10"/>
        <v>0</v>
      </c>
      <c r="AD333" s="26">
        <f t="shared" si="11"/>
        <v>0</v>
      </c>
    </row>
    <row r="334" spans="2:30" ht="15" customHeight="1">
      <c r="B334" s="3" t="str">
        <f>_xlfn.IFNA(VLOOKUP(C334,Master!$J:$K,2,0),"")</f>
        <v/>
      </c>
      <c r="D334" s="4" t="str">
        <f>_xlfn.IFNA(VLOOKUP(E334,Master!$J:$K,2,0),"")</f>
        <v/>
      </c>
      <c r="F334" s="4" t="str">
        <f>_xlfn.IFNA(VLOOKUP(G334,Master!B:C,2,0),"")</f>
        <v/>
      </c>
      <c r="I334" s="3" t="str">
        <f>_xlfn.IFNA(VLOOKUP(E334,Master!$J:$M,4,0),"")</f>
        <v/>
      </c>
      <c r="J334" s="3" t="str">
        <f>_xlfn.IFNA(VLOOKUP($E334,Master!$J:$M,3,0),"")</f>
        <v/>
      </c>
      <c r="AC334" s="26">
        <f t="shared" si="10"/>
        <v>0</v>
      </c>
      <c r="AD334" s="26">
        <f t="shared" si="11"/>
        <v>0</v>
      </c>
    </row>
    <row r="335" spans="2:30" ht="15" customHeight="1">
      <c r="B335" s="3" t="str">
        <f>_xlfn.IFNA(VLOOKUP(C335,Master!$J:$K,2,0),"")</f>
        <v/>
      </c>
      <c r="D335" s="4" t="str">
        <f>_xlfn.IFNA(VLOOKUP(E335,Master!$J:$K,2,0),"")</f>
        <v/>
      </c>
      <c r="F335" s="4" t="str">
        <f>_xlfn.IFNA(VLOOKUP(G335,Master!B:C,2,0),"")</f>
        <v/>
      </c>
      <c r="I335" s="3" t="str">
        <f>_xlfn.IFNA(VLOOKUP(E335,Master!$J:$M,4,0),"")</f>
        <v/>
      </c>
      <c r="J335" s="3" t="str">
        <f>_xlfn.IFNA(VLOOKUP($E335,Master!$J:$M,3,0),"")</f>
        <v/>
      </c>
      <c r="AC335" s="26">
        <f t="shared" si="10"/>
        <v>0</v>
      </c>
      <c r="AD335" s="26">
        <f t="shared" si="11"/>
        <v>0</v>
      </c>
    </row>
    <row r="336" spans="2:30" ht="15" customHeight="1">
      <c r="B336" s="3" t="str">
        <f>_xlfn.IFNA(VLOOKUP(C336,Master!$J:$K,2,0),"")</f>
        <v/>
      </c>
      <c r="D336" s="4" t="str">
        <f>_xlfn.IFNA(VLOOKUP(E336,Master!$J:$K,2,0),"")</f>
        <v/>
      </c>
      <c r="F336" s="4" t="str">
        <f>_xlfn.IFNA(VLOOKUP(G336,Master!B:C,2,0),"")</f>
        <v/>
      </c>
      <c r="I336" s="3" t="str">
        <f>_xlfn.IFNA(VLOOKUP(E336,Master!$J:$M,4,0),"")</f>
        <v/>
      </c>
      <c r="J336" s="3" t="str">
        <f>_xlfn.IFNA(VLOOKUP($E336,Master!$J:$M,3,0),"")</f>
        <v/>
      </c>
      <c r="AC336" s="26">
        <f t="shared" si="10"/>
        <v>0</v>
      </c>
      <c r="AD336" s="26">
        <f t="shared" si="11"/>
        <v>0</v>
      </c>
    </row>
    <row r="337" spans="2:30" ht="15" customHeight="1">
      <c r="B337" s="3" t="str">
        <f>_xlfn.IFNA(VLOOKUP(C337,Master!$J:$K,2,0),"")</f>
        <v/>
      </c>
      <c r="D337" s="4" t="str">
        <f>_xlfn.IFNA(VLOOKUP(E337,Master!$J:$K,2,0),"")</f>
        <v/>
      </c>
      <c r="F337" s="4" t="str">
        <f>_xlfn.IFNA(VLOOKUP(G337,Master!B:C,2,0),"")</f>
        <v/>
      </c>
      <c r="I337" s="3" t="str">
        <f>_xlfn.IFNA(VLOOKUP(E337,Master!$J:$M,4,0),"")</f>
        <v/>
      </c>
      <c r="J337" s="3" t="str">
        <f>_xlfn.IFNA(VLOOKUP($E337,Master!$J:$M,3,0),"")</f>
        <v/>
      </c>
      <c r="AC337" s="26">
        <f t="shared" si="10"/>
        <v>0</v>
      </c>
      <c r="AD337" s="26">
        <f t="shared" si="11"/>
        <v>0</v>
      </c>
    </row>
    <row r="338" spans="2:30" ht="15" customHeight="1">
      <c r="B338" s="3" t="str">
        <f>_xlfn.IFNA(VLOOKUP(C338,Master!$J:$K,2,0),"")</f>
        <v/>
      </c>
      <c r="D338" s="4" t="str">
        <f>_xlfn.IFNA(VLOOKUP(E338,Master!$J:$K,2,0),"")</f>
        <v/>
      </c>
      <c r="F338" s="4" t="str">
        <f>_xlfn.IFNA(VLOOKUP(G338,Master!B:C,2,0),"")</f>
        <v/>
      </c>
      <c r="I338" s="3" t="str">
        <f>_xlfn.IFNA(VLOOKUP(E338,Master!$J:$M,4,0),"")</f>
        <v/>
      </c>
      <c r="J338" s="3" t="str">
        <f>_xlfn.IFNA(VLOOKUP($E338,Master!$J:$M,3,0),"")</f>
        <v/>
      </c>
      <c r="AC338" s="26">
        <f t="shared" si="10"/>
        <v>0</v>
      </c>
      <c r="AD338" s="26">
        <f t="shared" si="11"/>
        <v>0</v>
      </c>
    </row>
    <row r="339" spans="2:30" ht="15" customHeight="1">
      <c r="B339" s="3" t="str">
        <f>_xlfn.IFNA(VLOOKUP(C339,Master!$J:$K,2,0),"")</f>
        <v/>
      </c>
      <c r="D339" s="4" t="str">
        <f>_xlfn.IFNA(VLOOKUP(E339,Master!$J:$K,2,0),"")</f>
        <v/>
      </c>
      <c r="F339" s="4" t="str">
        <f>_xlfn.IFNA(VLOOKUP(G339,Master!B:C,2,0),"")</f>
        <v/>
      </c>
      <c r="I339" s="3" t="str">
        <f>_xlfn.IFNA(VLOOKUP(E339,Master!$J:$M,4,0),"")</f>
        <v/>
      </c>
      <c r="J339" s="3" t="str">
        <f>_xlfn.IFNA(VLOOKUP($E339,Master!$J:$M,3,0),"")</f>
        <v/>
      </c>
      <c r="AC339" s="26">
        <f t="shared" si="10"/>
        <v>0</v>
      </c>
      <c r="AD339" s="26">
        <f t="shared" si="11"/>
        <v>0</v>
      </c>
    </row>
    <row r="340" spans="2:30" ht="15" customHeight="1">
      <c r="B340" s="3" t="str">
        <f>_xlfn.IFNA(VLOOKUP(C340,Master!$J:$K,2,0),"")</f>
        <v/>
      </c>
      <c r="D340" s="4" t="str">
        <f>_xlfn.IFNA(VLOOKUP(E340,Master!$J:$K,2,0),"")</f>
        <v/>
      </c>
      <c r="F340" s="4" t="str">
        <f>_xlfn.IFNA(VLOOKUP(G340,Master!B:C,2,0),"")</f>
        <v/>
      </c>
      <c r="I340" s="3" t="str">
        <f>_xlfn.IFNA(VLOOKUP(E340,Master!$J:$M,4,0),"")</f>
        <v/>
      </c>
      <c r="J340" s="3" t="str">
        <f>_xlfn.IFNA(VLOOKUP($E340,Master!$J:$M,3,0),"")</f>
        <v/>
      </c>
      <c r="AC340" s="26">
        <f t="shared" si="10"/>
        <v>0</v>
      </c>
      <c r="AD340" s="26">
        <f t="shared" si="11"/>
        <v>0</v>
      </c>
    </row>
    <row r="341" spans="2:30" ht="15" customHeight="1">
      <c r="B341" s="3" t="str">
        <f>_xlfn.IFNA(VLOOKUP(C341,Master!$J:$K,2,0),"")</f>
        <v/>
      </c>
      <c r="D341" s="4" t="str">
        <f>_xlfn.IFNA(VLOOKUP(E341,Master!$J:$K,2,0),"")</f>
        <v/>
      </c>
      <c r="F341" s="4" t="str">
        <f>_xlfn.IFNA(VLOOKUP(G341,Master!B:C,2,0),"")</f>
        <v/>
      </c>
      <c r="I341" s="3" t="str">
        <f>_xlfn.IFNA(VLOOKUP(E341,Master!$J:$M,4,0),"")</f>
        <v/>
      </c>
      <c r="J341" s="3" t="str">
        <f>_xlfn.IFNA(VLOOKUP($E341,Master!$J:$M,3,0),"")</f>
        <v/>
      </c>
      <c r="AC341" s="26">
        <f t="shared" si="10"/>
        <v>0</v>
      </c>
      <c r="AD341" s="26">
        <f t="shared" si="11"/>
        <v>0</v>
      </c>
    </row>
    <row r="342" spans="2:30" ht="15" customHeight="1">
      <c r="B342" s="3" t="str">
        <f>_xlfn.IFNA(VLOOKUP(C342,Master!$J:$K,2,0),"")</f>
        <v/>
      </c>
      <c r="D342" s="4" t="str">
        <f>_xlfn.IFNA(VLOOKUP(E342,Master!$J:$K,2,0),"")</f>
        <v/>
      </c>
      <c r="F342" s="4" t="str">
        <f>_xlfn.IFNA(VLOOKUP(G342,Master!B:C,2,0),"")</f>
        <v/>
      </c>
      <c r="I342" s="3" t="str">
        <f>_xlfn.IFNA(VLOOKUP(E342,Master!$J:$M,4,0),"")</f>
        <v/>
      </c>
      <c r="J342" s="3" t="str">
        <f>_xlfn.IFNA(VLOOKUP($E342,Master!$J:$M,3,0),"")</f>
        <v/>
      </c>
      <c r="AC342" s="26">
        <f t="shared" si="10"/>
        <v>0</v>
      </c>
      <c r="AD342" s="26">
        <f t="shared" si="11"/>
        <v>0</v>
      </c>
    </row>
    <row r="343" spans="2:30" ht="15" customHeight="1">
      <c r="B343" s="3" t="str">
        <f>_xlfn.IFNA(VLOOKUP(C343,Master!$J:$K,2,0),"")</f>
        <v/>
      </c>
      <c r="D343" s="4" t="str">
        <f>_xlfn.IFNA(VLOOKUP(E343,Master!$J:$K,2,0),"")</f>
        <v/>
      </c>
      <c r="F343" s="4" t="str">
        <f>_xlfn.IFNA(VLOOKUP(G343,Master!B:C,2,0),"")</f>
        <v/>
      </c>
      <c r="I343" s="3" t="str">
        <f>_xlfn.IFNA(VLOOKUP(E343,Master!$J:$M,4,0),"")</f>
        <v/>
      </c>
      <c r="J343" s="3" t="str">
        <f>_xlfn.IFNA(VLOOKUP($E343,Master!$J:$M,3,0),"")</f>
        <v/>
      </c>
      <c r="AC343" s="26">
        <f t="shared" si="10"/>
        <v>0</v>
      </c>
      <c r="AD343" s="26">
        <f t="shared" si="11"/>
        <v>0</v>
      </c>
    </row>
    <row r="344" spans="2:30" ht="15" customHeight="1">
      <c r="B344" s="3" t="str">
        <f>_xlfn.IFNA(VLOOKUP(C344,Master!$J:$K,2,0),"")</f>
        <v/>
      </c>
      <c r="D344" s="4" t="str">
        <f>_xlfn.IFNA(VLOOKUP(E344,Master!$J:$K,2,0),"")</f>
        <v/>
      </c>
      <c r="F344" s="4" t="str">
        <f>_xlfn.IFNA(VLOOKUP(G344,Master!B:C,2,0),"")</f>
        <v/>
      </c>
      <c r="I344" s="3" t="str">
        <f>_xlfn.IFNA(VLOOKUP(E344,Master!$J:$M,4,0),"")</f>
        <v/>
      </c>
      <c r="J344" s="3" t="str">
        <f>_xlfn.IFNA(VLOOKUP($E344,Master!$J:$M,3,0),"")</f>
        <v/>
      </c>
      <c r="AC344" s="26">
        <f t="shared" si="10"/>
        <v>0</v>
      </c>
      <c r="AD344" s="26">
        <f t="shared" si="11"/>
        <v>0</v>
      </c>
    </row>
    <row r="345" spans="2:30" ht="15" customHeight="1">
      <c r="B345" s="3" t="str">
        <f>_xlfn.IFNA(VLOOKUP(C345,Master!$J:$K,2,0),"")</f>
        <v/>
      </c>
      <c r="D345" s="4" t="str">
        <f>_xlfn.IFNA(VLOOKUP(E345,Master!$J:$K,2,0),"")</f>
        <v/>
      </c>
      <c r="F345" s="4" t="str">
        <f>_xlfn.IFNA(VLOOKUP(G345,Master!B:C,2,0),"")</f>
        <v/>
      </c>
      <c r="I345" s="3" t="str">
        <f>_xlfn.IFNA(VLOOKUP(E345,Master!$J:$M,4,0),"")</f>
        <v/>
      </c>
      <c r="J345" s="3" t="str">
        <f>_xlfn.IFNA(VLOOKUP($E345,Master!$J:$M,3,0),"")</f>
        <v/>
      </c>
      <c r="AC345" s="26">
        <f t="shared" si="10"/>
        <v>0</v>
      </c>
      <c r="AD345" s="26">
        <f t="shared" si="11"/>
        <v>0</v>
      </c>
    </row>
    <row r="346" spans="2:30" ht="15" customHeight="1">
      <c r="B346" s="3" t="str">
        <f>_xlfn.IFNA(VLOOKUP(C346,Master!$J:$K,2,0),"")</f>
        <v/>
      </c>
      <c r="D346" s="4" t="str">
        <f>_xlfn.IFNA(VLOOKUP(E346,Master!$J:$K,2,0),"")</f>
        <v/>
      </c>
      <c r="F346" s="4" t="str">
        <f>_xlfn.IFNA(VLOOKUP(G346,Master!B:C,2,0),"")</f>
        <v/>
      </c>
      <c r="I346" s="3" t="str">
        <f>_xlfn.IFNA(VLOOKUP(E346,Master!$J:$M,4,0),"")</f>
        <v/>
      </c>
      <c r="J346" s="3" t="str">
        <f>_xlfn.IFNA(VLOOKUP($E346,Master!$J:$M,3,0),"")</f>
        <v/>
      </c>
      <c r="AC346" s="26">
        <f t="shared" si="10"/>
        <v>0</v>
      </c>
      <c r="AD346" s="26">
        <f t="shared" si="11"/>
        <v>0</v>
      </c>
    </row>
    <row r="347" spans="2:30" ht="15" customHeight="1">
      <c r="B347" s="3" t="str">
        <f>_xlfn.IFNA(VLOOKUP(C347,Master!$J:$K,2,0),"")</f>
        <v/>
      </c>
      <c r="D347" s="4" t="str">
        <f>_xlfn.IFNA(VLOOKUP(E347,Master!$J:$K,2,0),"")</f>
        <v/>
      </c>
      <c r="F347" s="4" t="str">
        <f>_xlfn.IFNA(VLOOKUP(G347,Master!B:C,2,0),"")</f>
        <v/>
      </c>
      <c r="I347" s="3" t="str">
        <f>_xlfn.IFNA(VLOOKUP(E347,Master!$J:$M,4,0),"")</f>
        <v/>
      </c>
      <c r="J347" s="3" t="str">
        <f>_xlfn.IFNA(VLOOKUP($E347,Master!$J:$M,3,0),"")</f>
        <v/>
      </c>
      <c r="AC347" s="26">
        <f t="shared" si="10"/>
        <v>0</v>
      </c>
      <c r="AD347" s="26">
        <f t="shared" si="11"/>
        <v>0</v>
      </c>
    </row>
    <row r="348" spans="2:30" ht="15" customHeight="1">
      <c r="B348" s="3" t="str">
        <f>_xlfn.IFNA(VLOOKUP(C348,Master!$J:$K,2,0),"")</f>
        <v/>
      </c>
      <c r="D348" s="4" t="str">
        <f>_xlfn.IFNA(VLOOKUP(E348,Master!$J:$K,2,0),"")</f>
        <v/>
      </c>
      <c r="F348" s="4" t="str">
        <f>_xlfn.IFNA(VLOOKUP(G348,Master!B:C,2,0),"")</f>
        <v/>
      </c>
      <c r="I348" s="3" t="str">
        <f>_xlfn.IFNA(VLOOKUP(E348,Master!$J:$M,4,0),"")</f>
        <v/>
      </c>
      <c r="J348" s="3" t="str">
        <f>_xlfn.IFNA(VLOOKUP($E348,Master!$J:$M,3,0),"")</f>
        <v/>
      </c>
      <c r="AC348" s="26">
        <f t="shared" si="10"/>
        <v>0</v>
      </c>
      <c r="AD348" s="26">
        <f t="shared" si="11"/>
        <v>0</v>
      </c>
    </row>
    <row r="349" spans="2:30" ht="15" customHeight="1">
      <c r="B349" s="3" t="str">
        <f>_xlfn.IFNA(VLOOKUP(C349,Master!$J:$K,2,0),"")</f>
        <v/>
      </c>
      <c r="D349" s="4" t="str">
        <f>_xlfn.IFNA(VLOOKUP(E349,Master!$J:$K,2,0),"")</f>
        <v/>
      </c>
      <c r="F349" s="4" t="str">
        <f>_xlfn.IFNA(VLOOKUP(G349,Master!B:C,2,0),"")</f>
        <v/>
      </c>
      <c r="I349" s="3" t="str">
        <f>_xlfn.IFNA(VLOOKUP(E349,Master!$J:$M,4,0),"")</f>
        <v/>
      </c>
      <c r="J349" s="3" t="str">
        <f>_xlfn.IFNA(VLOOKUP($E349,Master!$J:$M,3,0),"")</f>
        <v/>
      </c>
      <c r="AC349" s="26">
        <f t="shared" si="10"/>
        <v>0</v>
      </c>
      <c r="AD349" s="26">
        <f t="shared" si="11"/>
        <v>0</v>
      </c>
    </row>
    <row r="350" spans="2:30" ht="15" customHeight="1">
      <c r="B350" s="3" t="str">
        <f>_xlfn.IFNA(VLOOKUP(C350,Master!$J:$K,2,0),"")</f>
        <v/>
      </c>
      <c r="D350" s="4" t="str">
        <f>_xlfn.IFNA(VLOOKUP(E350,Master!$J:$K,2,0),"")</f>
        <v/>
      </c>
      <c r="F350" s="4" t="str">
        <f>_xlfn.IFNA(VLOOKUP(G350,Master!B:C,2,0),"")</f>
        <v/>
      </c>
      <c r="I350" s="3" t="str">
        <f>_xlfn.IFNA(VLOOKUP(E350,Master!$J:$M,4,0),"")</f>
        <v/>
      </c>
      <c r="J350" s="3" t="str">
        <f>_xlfn.IFNA(VLOOKUP($E350,Master!$J:$M,3,0),"")</f>
        <v/>
      </c>
      <c r="AC350" s="26">
        <f t="shared" si="10"/>
        <v>0</v>
      </c>
      <c r="AD350" s="26">
        <f t="shared" si="11"/>
        <v>0</v>
      </c>
    </row>
    <row r="351" spans="2:30" ht="15" customHeight="1">
      <c r="B351" s="3" t="str">
        <f>_xlfn.IFNA(VLOOKUP(C351,Master!$J:$K,2,0),"")</f>
        <v/>
      </c>
      <c r="D351" s="4" t="str">
        <f>_xlfn.IFNA(VLOOKUP(E351,Master!$J:$K,2,0),"")</f>
        <v/>
      </c>
      <c r="F351" s="4" t="str">
        <f>_xlfn.IFNA(VLOOKUP(G351,Master!B:C,2,0),"")</f>
        <v/>
      </c>
      <c r="I351" s="3" t="str">
        <f>_xlfn.IFNA(VLOOKUP(E351,Master!$J:$M,4,0),"")</f>
        <v/>
      </c>
      <c r="J351" s="3" t="str">
        <f>_xlfn.IFNA(VLOOKUP($E351,Master!$J:$M,3,0),"")</f>
        <v/>
      </c>
      <c r="AC351" s="26">
        <f t="shared" si="10"/>
        <v>0</v>
      </c>
      <c r="AD351" s="26">
        <f t="shared" si="11"/>
        <v>0</v>
      </c>
    </row>
    <row r="352" spans="2:30" ht="15" customHeight="1">
      <c r="B352" s="3" t="str">
        <f>_xlfn.IFNA(VLOOKUP(C352,Master!$J:$K,2,0),"")</f>
        <v/>
      </c>
      <c r="D352" s="4" t="str">
        <f>_xlfn.IFNA(VLOOKUP(E352,Master!$J:$K,2,0),"")</f>
        <v/>
      </c>
      <c r="F352" s="4" t="str">
        <f>_xlfn.IFNA(VLOOKUP(G352,Master!B:C,2,0),"")</f>
        <v/>
      </c>
      <c r="I352" s="3" t="str">
        <f>_xlfn.IFNA(VLOOKUP(E352,Master!$J:$M,4,0),"")</f>
        <v/>
      </c>
      <c r="J352" s="3" t="str">
        <f>_xlfn.IFNA(VLOOKUP($E352,Master!$J:$M,3,0),"")</f>
        <v/>
      </c>
      <c r="AC352" s="26">
        <f t="shared" si="10"/>
        <v>0</v>
      </c>
      <c r="AD352" s="26">
        <f t="shared" si="11"/>
        <v>0</v>
      </c>
    </row>
    <row r="353" spans="2:30" ht="15" customHeight="1">
      <c r="B353" s="3" t="str">
        <f>_xlfn.IFNA(VLOOKUP(C353,Master!$J:$K,2,0),"")</f>
        <v/>
      </c>
      <c r="D353" s="4" t="str">
        <f>_xlfn.IFNA(VLOOKUP(E353,Master!$J:$K,2,0),"")</f>
        <v/>
      </c>
      <c r="F353" s="4" t="str">
        <f>_xlfn.IFNA(VLOOKUP(G353,Master!B:C,2,0),"")</f>
        <v/>
      </c>
      <c r="I353" s="3" t="str">
        <f>_xlfn.IFNA(VLOOKUP(E353,Master!$J:$M,4,0),"")</f>
        <v/>
      </c>
      <c r="J353" s="3" t="str">
        <f>_xlfn.IFNA(VLOOKUP($E353,Master!$J:$M,3,0),"")</f>
        <v/>
      </c>
      <c r="AC353" s="26">
        <f t="shared" si="10"/>
        <v>0</v>
      </c>
      <c r="AD353" s="26">
        <f t="shared" si="11"/>
        <v>0</v>
      </c>
    </row>
    <row r="354" spans="2:30" ht="15" customHeight="1">
      <c r="B354" s="3" t="str">
        <f>_xlfn.IFNA(VLOOKUP(C354,Master!$J:$K,2,0),"")</f>
        <v/>
      </c>
      <c r="D354" s="4" t="str">
        <f>_xlfn.IFNA(VLOOKUP(E354,Master!$J:$K,2,0),"")</f>
        <v/>
      </c>
      <c r="F354" s="4" t="str">
        <f>_xlfn.IFNA(VLOOKUP(G354,Master!B:C,2,0),"")</f>
        <v/>
      </c>
      <c r="I354" s="3" t="str">
        <f>_xlfn.IFNA(VLOOKUP(E354,Master!$J:$M,4,0),"")</f>
        <v/>
      </c>
      <c r="J354" s="3" t="str">
        <f>_xlfn.IFNA(VLOOKUP($E354,Master!$J:$M,3,0),"")</f>
        <v/>
      </c>
      <c r="AC354" s="26">
        <f t="shared" si="10"/>
        <v>0</v>
      </c>
      <c r="AD354" s="26">
        <f t="shared" si="11"/>
        <v>0</v>
      </c>
    </row>
    <row r="355" spans="2:30" ht="15" customHeight="1">
      <c r="B355" s="3" t="str">
        <f>_xlfn.IFNA(VLOOKUP(C355,Master!$J:$K,2,0),"")</f>
        <v/>
      </c>
      <c r="D355" s="4" t="str">
        <f>_xlfn.IFNA(VLOOKUP(E355,Master!$J:$K,2,0),"")</f>
        <v/>
      </c>
      <c r="F355" s="4" t="str">
        <f>_xlfn.IFNA(VLOOKUP(G355,Master!B:C,2,0),"")</f>
        <v/>
      </c>
      <c r="I355" s="3" t="str">
        <f>_xlfn.IFNA(VLOOKUP(E355,Master!$J:$M,4,0),"")</f>
        <v/>
      </c>
      <c r="J355" s="3" t="str">
        <f>_xlfn.IFNA(VLOOKUP($E355,Master!$J:$M,3,0),"")</f>
        <v/>
      </c>
      <c r="AC355" s="26">
        <f t="shared" si="10"/>
        <v>0</v>
      </c>
      <c r="AD355" s="26">
        <f t="shared" si="11"/>
        <v>0</v>
      </c>
    </row>
    <row r="356" spans="2:30" ht="15" customHeight="1">
      <c r="B356" s="3" t="str">
        <f>_xlfn.IFNA(VLOOKUP(C356,Master!$J:$K,2,0),"")</f>
        <v/>
      </c>
      <c r="D356" s="4" t="str">
        <f>_xlfn.IFNA(VLOOKUP(E356,Master!$J:$K,2,0),"")</f>
        <v/>
      </c>
      <c r="F356" s="4" t="str">
        <f>_xlfn.IFNA(VLOOKUP(G356,Master!B:C,2,0),"")</f>
        <v/>
      </c>
      <c r="I356" s="3" t="str">
        <f>_xlfn.IFNA(VLOOKUP(E356,Master!$J:$M,4,0),"")</f>
        <v/>
      </c>
      <c r="J356" s="3" t="str">
        <f>_xlfn.IFNA(VLOOKUP($E356,Master!$J:$M,3,0),"")</f>
        <v/>
      </c>
      <c r="AC356" s="26">
        <f t="shared" si="10"/>
        <v>0</v>
      </c>
      <c r="AD356" s="26">
        <f t="shared" si="11"/>
        <v>0</v>
      </c>
    </row>
    <row r="357" spans="2:30" ht="15" customHeight="1">
      <c r="B357" s="3" t="str">
        <f>_xlfn.IFNA(VLOOKUP(C357,Master!$J:$K,2,0),"")</f>
        <v/>
      </c>
      <c r="D357" s="4" t="str">
        <f>_xlfn.IFNA(VLOOKUP(E357,Master!$J:$K,2,0),"")</f>
        <v/>
      </c>
      <c r="F357" s="4" t="str">
        <f>_xlfn.IFNA(VLOOKUP(G357,Master!B:C,2,0),"")</f>
        <v/>
      </c>
      <c r="I357" s="3" t="str">
        <f>_xlfn.IFNA(VLOOKUP(E357,Master!$J:$M,4,0),"")</f>
        <v/>
      </c>
      <c r="J357" s="3" t="str">
        <f>_xlfn.IFNA(VLOOKUP($E357,Master!$J:$M,3,0),"")</f>
        <v/>
      </c>
      <c r="AC357" s="26">
        <f t="shared" si="10"/>
        <v>0</v>
      </c>
      <c r="AD357" s="26">
        <f t="shared" si="11"/>
        <v>0</v>
      </c>
    </row>
    <row r="358" spans="2:30" ht="15" customHeight="1">
      <c r="B358" s="3" t="str">
        <f>_xlfn.IFNA(VLOOKUP(C358,Master!$J:$K,2,0),"")</f>
        <v/>
      </c>
      <c r="D358" s="4" t="str">
        <f>_xlfn.IFNA(VLOOKUP(E358,Master!$J:$K,2,0),"")</f>
        <v/>
      </c>
      <c r="F358" s="4" t="str">
        <f>_xlfn.IFNA(VLOOKUP(G358,Master!B:C,2,0),"")</f>
        <v/>
      </c>
      <c r="I358" s="3" t="str">
        <f>_xlfn.IFNA(VLOOKUP(E358,Master!$J:$M,4,0),"")</f>
        <v/>
      </c>
      <c r="J358" s="3" t="str">
        <f>_xlfn.IFNA(VLOOKUP($E358,Master!$J:$M,3,0),"")</f>
        <v/>
      </c>
      <c r="AC358" s="26">
        <f t="shared" si="10"/>
        <v>0</v>
      </c>
      <c r="AD358" s="26">
        <f t="shared" si="11"/>
        <v>0</v>
      </c>
    </row>
    <row r="359" spans="2:30" ht="15" customHeight="1">
      <c r="B359" s="3" t="str">
        <f>_xlfn.IFNA(VLOOKUP(C359,Master!$J:$K,2,0),"")</f>
        <v/>
      </c>
      <c r="D359" s="4" t="str">
        <f>_xlfn.IFNA(VLOOKUP(E359,Master!$J:$K,2,0),"")</f>
        <v/>
      </c>
      <c r="F359" s="4" t="str">
        <f>_xlfn.IFNA(VLOOKUP(G359,Master!B:C,2,0),"")</f>
        <v/>
      </c>
      <c r="I359" s="3" t="str">
        <f>_xlfn.IFNA(VLOOKUP(E359,Master!$J:$M,4,0),"")</f>
        <v/>
      </c>
      <c r="J359" s="3" t="str">
        <f>_xlfn.IFNA(VLOOKUP($E359,Master!$J:$M,3,0),"")</f>
        <v/>
      </c>
      <c r="AC359" s="26">
        <f t="shared" si="10"/>
        <v>0</v>
      </c>
      <c r="AD359" s="26">
        <f t="shared" si="11"/>
        <v>0</v>
      </c>
    </row>
    <row r="360" spans="2:30" ht="15" customHeight="1">
      <c r="B360" s="3" t="str">
        <f>_xlfn.IFNA(VLOOKUP(C360,Master!$J:$K,2,0),"")</f>
        <v/>
      </c>
      <c r="D360" s="4" t="str">
        <f>_xlfn.IFNA(VLOOKUP(E360,Master!$J:$K,2,0),"")</f>
        <v/>
      </c>
      <c r="F360" s="4" t="str">
        <f>_xlfn.IFNA(VLOOKUP(G360,Master!B:C,2,0),"")</f>
        <v/>
      </c>
      <c r="I360" s="3" t="str">
        <f>_xlfn.IFNA(VLOOKUP(E360,Master!$J:$M,4,0),"")</f>
        <v/>
      </c>
      <c r="J360" s="3" t="str">
        <f>_xlfn.IFNA(VLOOKUP($E360,Master!$J:$M,3,0),"")</f>
        <v/>
      </c>
      <c r="AC360" s="26">
        <f t="shared" si="10"/>
        <v>0</v>
      </c>
      <c r="AD360" s="26">
        <f t="shared" si="11"/>
        <v>0</v>
      </c>
    </row>
    <row r="361" spans="2:30" ht="15" customHeight="1">
      <c r="B361" s="3" t="str">
        <f>_xlfn.IFNA(VLOOKUP(C361,Master!$J:$K,2,0),"")</f>
        <v/>
      </c>
      <c r="D361" s="4" t="str">
        <f>_xlfn.IFNA(VLOOKUP(E361,Master!$J:$K,2,0),"")</f>
        <v/>
      </c>
      <c r="F361" s="4" t="str">
        <f>_xlfn.IFNA(VLOOKUP(G361,Master!B:C,2,0),"")</f>
        <v/>
      </c>
      <c r="I361" s="3" t="str">
        <f>_xlfn.IFNA(VLOOKUP(E361,Master!$J:$M,4,0),"")</f>
        <v/>
      </c>
      <c r="J361" s="3" t="str">
        <f>_xlfn.IFNA(VLOOKUP($E361,Master!$J:$M,3,0),"")</f>
        <v/>
      </c>
      <c r="AC361" s="26">
        <f t="shared" si="10"/>
        <v>0</v>
      </c>
      <c r="AD361" s="26">
        <f t="shared" si="11"/>
        <v>0</v>
      </c>
    </row>
    <row r="362" spans="2:30" ht="15" customHeight="1">
      <c r="B362" s="3" t="str">
        <f>_xlfn.IFNA(VLOOKUP(C362,Master!$J:$K,2,0),"")</f>
        <v/>
      </c>
      <c r="D362" s="4" t="str">
        <f>_xlfn.IFNA(VLOOKUP(E362,Master!$J:$K,2,0),"")</f>
        <v/>
      </c>
      <c r="F362" s="4" t="str">
        <f>_xlfn.IFNA(VLOOKUP(G362,Master!B:C,2,0),"")</f>
        <v/>
      </c>
      <c r="I362" s="3" t="str">
        <f>_xlfn.IFNA(VLOOKUP(E362,Master!$J:$M,4,0),"")</f>
        <v/>
      </c>
      <c r="J362" s="3" t="str">
        <f>_xlfn.IFNA(VLOOKUP($E362,Master!$J:$M,3,0),"")</f>
        <v/>
      </c>
      <c r="AC362" s="26">
        <f t="shared" si="10"/>
        <v>0</v>
      </c>
      <c r="AD362" s="26">
        <f t="shared" si="11"/>
        <v>0</v>
      </c>
    </row>
    <row r="363" spans="2:30" ht="15" customHeight="1">
      <c r="B363" s="3" t="str">
        <f>_xlfn.IFNA(VLOOKUP(C363,Master!$J:$K,2,0),"")</f>
        <v/>
      </c>
      <c r="D363" s="4" t="str">
        <f>_xlfn.IFNA(VLOOKUP(E363,Master!$J:$K,2,0),"")</f>
        <v/>
      </c>
      <c r="F363" s="4" t="str">
        <f>_xlfn.IFNA(VLOOKUP(G363,Master!B:C,2,0),"")</f>
        <v/>
      </c>
      <c r="I363" s="3" t="str">
        <f>_xlfn.IFNA(VLOOKUP(E363,Master!$J:$M,4,0),"")</f>
        <v/>
      </c>
      <c r="J363" s="3" t="str">
        <f>_xlfn.IFNA(VLOOKUP($E363,Master!$J:$M,3,0),"")</f>
        <v/>
      </c>
      <c r="AC363" s="26">
        <f t="shared" si="10"/>
        <v>0</v>
      </c>
      <c r="AD363" s="26">
        <f t="shared" si="11"/>
        <v>0</v>
      </c>
    </row>
    <row r="364" spans="2:30" ht="15" customHeight="1">
      <c r="B364" s="3" t="str">
        <f>_xlfn.IFNA(VLOOKUP(C364,Master!$J:$K,2,0),"")</f>
        <v/>
      </c>
      <c r="D364" s="4" t="str">
        <f>_xlfn.IFNA(VLOOKUP(E364,Master!$J:$K,2,0),"")</f>
        <v/>
      </c>
      <c r="F364" s="4" t="str">
        <f>_xlfn.IFNA(VLOOKUP(G364,Master!B:C,2,0),"")</f>
        <v/>
      </c>
      <c r="I364" s="3" t="str">
        <f>_xlfn.IFNA(VLOOKUP(E364,Master!$J:$M,4,0),"")</f>
        <v/>
      </c>
      <c r="J364" s="3" t="str">
        <f>_xlfn.IFNA(VLOOKUP($E364,Master!$J:$M,3,0),"")</f>
        <v/>
      </c>
      <c r="AC364" s="26">
        <f t="shared" si="10"/>
        <v>0</v>
      </c>
      <c r="AD364" s="26">
        <f t="shared" si="11"/>
        <v>0</v>
      </c>
    </row>
    <row r="365" spans="2:30" ht="15" customHeight="1">
      <c r="B365" s="3" t="str">
        <f>_xlfn.IFNA(VLOOKUP(C365,Master!$J:$K,2,0),"")</f>
        <v/>
      </c>
      <c r="D365" s="4" t="str">
        <f>_xlfn.IFNA(VLOOKUP(E365,Master!$J:$K,2,0),"")</f>
        <v/>
      </c>
      <c r="F365" s="4" t="str">
        <f>_xlfn.IFNA(VLOOKUP(G365,Master!B:C,2,0),"")</f>
        <v/>
      </c>
      <c r="I365" s="3" t="str">
        <f>_xlfn.IFNA(VLOOKUP(E365,Master!$J:$M,4,0),"")</f>
        <v/>
      </c>
      <c r="J365" s="3" t="str">
        <f>_xlfn.IFNA(VLOOKUP($E365,Master!$J:$M,3,0),"")</f>
        <v/>
      </c>
      <c r="AC365" s="26">
        <f t="shared" si="10"/>
        <v>0</v>
      </c>
      <c r="AD365" s="26">
        <f t="shared" si="11"/>
        <v>0</v>
      </c>
    </row>
    <row r="366" spans="2:30" ht="15" customHeight="1">
      <c r="B366" s="3" t="str">
        <f>_xlfn.IFNA(VLOOKUP(C366,Master!$J:$K,2,0),"")</f>
        <v/>
      </c>
      <c r="D366" s="4" t="str">
        <f>_xlfn.IFNA(VLOOKUP(E366,Master!$J:$K,2,0),"")</f>
        <v/>
      </c>
      <c r="F366" s="4" t="str">
        <f>_xlfn.IFNA(VLOOKUP(G366,Master!B:C,2,0),"")</f>
        <v/>
      </c>
      <c r="I366" s="3" t="str">
        <f>_xlfn.IFNA(VLOOKUP(E366,Master!$J:$M,4,0),"")</f>
        <v/>
      </c>
      <c r="J366" s="3" t="str">
        <f>_xlfn.IFNA(VLOOKUP($E366,Master!$J:$M,3,0),"")</f>
        <v/>
      </c>
      <c r="AC366" s="26">
        <f t="shared" si="10"/>
        <v>0</v>
      </c>
      <c r="AD366" s="26">
        <f t="shared" si="11"/>
        <v>0</v>
      </c>
    </row>
    <row r="367" spans="2:30" ht="15" customHeight="1">
      <c r="B367" s="3" t="str">
        <f>_xlfn.IFNA(VLOOKUP(C367,Master!$J:$K,2,0),"")</f>
        <v/>
      </c>
      <c r="D367" s="4" t="str">
        <f>_xlfn.IFNA(VLOOKUP(E367,Master!$J:$K,2,0),"")</f>
        <v/>
      </c>
      <c r="F367" s="4" t="str">
        <f>_xlfn.IFNA(VLOOKUP(G367,Master!B:C,2,0),"")</f>
        <v/>
      </c>
      <c r="I367" s="3" t="str">
        <f>_xlfn.IFNA(VLOOKUP(E367,Master!$J:$M,4,0),"")</f>
        <v/>
      </c>
      <c r="J367" s="3" t="str">
        <f>_xlfn.IFNA(VLOOKUP($E367,Master!$J:$M,3,0),"")</f>
        <v/>
      </c>
      <c r="AC367" s="26">
        <f t="shared" si="10"/>
        <v>0</v>
      </c>
      <c r="AD367" s="26">
        <f t="shared" si="11"/>
        <v>0</v>
      </c>
    </row>
    <row r="368" spans="2:30" ht="15" customHeight="1">
      <c r="B368" s="3" t="str">
        <f>_xlfn.IFNA(VLOOKUP(C368,Master!$J:$K,2,0),"")</f>
        <v/>
      </c>
      <c r="D368" s="4" t="str">
        <f>_xlfn.IFNA(VLOOKUP(E368,Master!$J:$K,2,0),"")</f>
        <v/>
      </c>
      <c r="F368" s="4" t="str">
        <f>_xlfn.IFNA(VLOOKUP(G368,Master!B:C,2,0),"")</f>
        <v/>
      </c>
      <c r="I368" s="3" t="str">
        <f>_xlfn.IFNA(VLOOKUP(E368,Master!$J:$M,4,0),"")</f>
        <v/>
      </c>
      <c r="J368" s="3" t="str">
        <f>_xlfn.IFNA(VLOOKUP($E368,Master!$J:$M,3,0),"")</f>
        <v/>
      </c>
      <c r="AC368" s="26">
        <f t="shared" si="10"/>
        <v>0</v>
      </c>
      <c r="AD368" s="26">
        <f t="shared" si="11"/>
        <v>0</v>
      </c>
    </row>
    <row r="369" spans="2:30" ht="15" customHeight="1">
      <c r="B369" s="3" t="str">
        <f>_xlfn.IFNA(VLOOKUP(C369,Master!$J:$K,2,0),"")</f>
        <v/>
      </c>
      <c r="D369" s="4" t="str">
        <f>_xlfn.IFNA(VLOOKUP(E369,Master!$J:$K,2,0),"")</f>
        <v/>
      </c>
      <c r="F369" s="4" t="str">
        <f>_xlfn.IFNA(VLOOKUP(G369,Master!B:C,2,0),"")</f>
        <v/>
      </c>
      <c r="I369" s="3" t="str">
        <f>_xlfn.IFNA(VLOOKUP(E369,Master!$J:$M,4,0),"")</f>
        <v/>
      </c>
      <c r="J369" s="3" t="str">
        <f>_xlfn.IFNA(VLOOKUP($E369,Master!$J:$M,3,0),"")</f>
        <v/>
      </c>
      <c r="AC369" s="26">
        <f t="shared" si="10"/>
        <v>0</v>
      </c>
      <c r="AD369" s="26">
        <f t="shared" si="11"/>
        <v>0</v>
      </c>
    </row>
    <row r="370" spans="2:30" ht="15" customHeight="1">
      <c r="B370" s="3" t="str">
        <f>_xlfn.IFNA(VLOOKUP(C370,Master!$J:$K,2,0),"")</f>
        <v/>
      </c>
      <c r="D370" s="4" t="str">
        <f>_xlfn.IFNA(VLOOKUP(E370,Master!$J:$K,2,0),"")</f>
        <v/>
      </c>
      <c r="F370" s="4" t="str">
        <f>_xlfn.IFNA(VLOOKUP(G370,Master!B:C,2,0),"")</f>
        <v/>
      </c>
      <c r="I370" s="3" t="str">
        <f>_xlfn.IFNA(VLOOKUP(E370,Master!$J:$M,4,0),"")</f>
        <v/>
      </c>
      <c r="J370" s="3" t="str">
        <f>_xlfn.IFNA(VLOOKUP($E370,Master!$J:$M,3,0),"")</f>
        <v/>
      </c>
      <c r="AC370" s="26">
        <f t="shared" si="10"/>
        <v>0</v>
      </c>
      <c r="AD370" s="26">
        <f t="shared" si="11"/>
        <v>0</v>
      </c>
    </row>
    <row r="371" spans="2:30" ht="15" customHeight="1">
      <c r="B371" s="3" t="str">
        <f>_xlfn.IFNA(VLOOKUP(C371,Master!$J:$K,2,0),"")</f>
        <v/>
      </c>
      <c r="D371" s="4" t="str">
        <f>_xlfn.IFNA(VLOOKUP(E371,Master!$J:$K,2,0),"")</f>
        <v/>
      </c>
      <c r="F371" s="4" t="str">
        <f>_xlfn.IFNA(VLOOKUP(G371,Master!B:C,2,0),"")</f>
        <v/>
      </c>
      <c r="I371" s="3" t="str">
        <f>_xlfn.IFNA(VLOOKUP(E371,Master!$J:$M,4,0),"")</f>
        <v/>
      </c>
      <c r="J371" s="3" t="str">
        <f>_xlfn.IFNA(VLOOKUP($E371,Master!$J:$M,3,0),"")</f>
        <v/>
      </c>
      <c r="AC371" s="26">
        <f t="shared" si="10"/>
        <v>0</v>
      </c>
      <c r="AD371" s="26">
        <f t="shared" si="11"/>
        <v>0</v>
      </c>
    </row>
    <row r="372" spans="2:30" ht="15" customHeight="1">
      <c r="B372" s="3" t="str">
        <f>_xlfn.IFNA(VLOOKUP(C372,Master!$J:$K,2,0),"")</f>
        <v/>
      </c>
      <c r="D372" s="4" t="str">
        <f>_xlfn.IFNA(VLOOKUP(E372,Master!$J:$K,2,0),"")</f>
        <v/>
      </c>
      <c r="F372" s="4" t="str">
        <f>_xlfn.IFNA(VLOOKUP(G372,Master!B:C,2,0),"")</f>
        <v/>
      </c>
      <c r="I372" s="3" t="str">
        <f>_xlfn.IFNA(VLOOKUP(E372,Master!$J:$M,4,0),"")</f>
        <v/>
      </c>
      <c r="J372" s="3" t="str">
        <f>_xlfn.IFNA(VLOOKUP($E372,Master!$J:$M,3,0),"")</f>
        <v/>
      </c>
      <c r="AC372" s="26">
        <f t="shared" si="10"/>
        <v>0</v>
      </c>
      <c r="AD372" s="26">
        <f t="shared" si="11"/>
        <v>0</v>
      </c>
    </row>
    <row r="373" spans="2:30" ht="15" customHeight="1">
      <c r="B373" s="3" t="str">
        <f>_xlfn.IFNA(VLOOKUP(C373,Master!$J:$K,2,0),"")</f>
        <v/>
      </c>
      <c r="D373" s="4" t="str">
        <f>_xlfn.IFNA(VLOOKUP(E373,Master!$J:$K,2,0),"")</f>
        <v/>
      </c>
      <c r="F373" s="4" t="str">
        <f>_xlfn.IFNA(VLOOKUP(G373,Master!B:C,2,0),"")</f>
        <v/>
      </c>
      <c r="I373" s="3" t="str">
        <f>_xlfn.IFNA(VLOOKUP(E373,Master!$J:$M,4,0),"")</f>
        <v/>
      </c>
      <c r="J373" s="3" t="str">
        <f>_xlfn.IFNA(VLOOKUP($E373,Master!$J:$M,3,0),"")</f>
        <v/>
      </c>
      <c r="AC373" s="26">
        <f t="shared" si="10"/>
        <v>0</v>
      </c>
      <c r="AD373" s="26">
        <f t="shared" si="11"/>
        <v>0</v>
      </c>
    </row>
    <row r="374" spans="2:30" ht="15" customHeight="1">
      <c r="B374" s="3" t="str">
        <f>_xlfn.IFNA(VLOOKUP(C374,Master!$J:$K,2,0),"")</f>
        <v/>
      </c>
      <c r="D374" s="4" t="str">
        <f>_xlfn.IFNA(VLOOKUP(E374,Master!$J:$K,2,0),"")</f>
        <v/>
      </c>
      <c r="F374" s="4" t="str">
        <f>_xlfn.IFNA(VLOOKUP(G374,Master!B:C,2,0),"")</f>
        <v/>
      </c>
      <c r="I374" s="3" t="str">
        <f>_xlfn.IFNA(VLOOKUP(E374,Master!$J:$M,4,0),"")</f>
        <v/>
      </c>
      <c r="J374" s="3" t="str">
        <f>_xlfn.IFNA(VLOOKUP($E374,Master!$J:$M,3,0),"")</f>
        <v/>
      </c>
      <c r="AC374" s="26">
        <f t="shared" si="10"/>
        <v>0</v>
      </c>
      <c r="AD374" s="26">
        <f t="shared" si="11"/>
        <v>0</v>
      </c>
    </row>
    <row r="375" spans="2:30" ht="15" customHeight="1">
      <c r="B375" s="3" t="str">
        <f>_xlfn.IFNA(VLOOKUP(C375,Master!$J:$K,2,0),"")</f>
        <v/>
      </c>
      <c r="D375" s="4" t="str">
        <f>_xlfn.IFNA(VLOOKUP(E375,Master!$J:$K,2,0),"")</f>
        <v/>
      </c>
      <c r="F375" s="4" t="str">
        <f>_xlfn.IFNA(VLOOKUP(G375,Master!B:C,2,0),"")</f>
        <v/>
      </c>
      <c r="I375" s="3" t="str">
        <f>_xlfn.IFNA(VLOOKUP(E375,Master!$J:$M,4,0),"")</f>
        <v/>
      </c>
      <c r="J375" s="3" t="str">
        <f>_xlfn.IFNA(VLOOKUP($E375,Master!$J:$M,3,0),"")</f>
        <v/>
      </c>
      <c r="AC375" s="26">
        <f t="shared" si="10"/>
        <v>0</v>
      </c>
      <c r="AD375" s="26">
        <f t="shared" si="11"/>
        <v>0</v>
      </c>
    </row>
    <row r="376" spans="2:30" ht="15" customHeight="1">
      <c r="B376" s="3" t="str">
        <f>_xlfn.IFNA(VLOOKUP(C376,Master!$J:$K,2,0),"")</f>
        <v/>
      </c>
      <c r="D376" s="4" t="str">
        <f>_xlfn.IFNA(VLOOKUP(E376,Master!$J:$K,2,0),"")</f>
        <v/>
      </c>
      <c r="F376" s="4" t="str">
        <f>_xlfn.IFNA(VLOOKUP(G376,Master!B:C,2,0),"")</f>
        <v/>
      </c>
      <c r="I376" s="3" t="str">
        <f>_xlfn.IFNA(VLOOKUP(E376,Master!$J:$M,4,0),"")</f>
        <v/>
      </c>
      <c r="J376" s="3" t="str">
        <f>_xlfn.IFNA(VLOOKUP($E376,Master!$J:$M,3,0),"")</f>
        <v/>
      </c>
      <c r="AC376" s="26">
        <f t="shared" si="10"/>
        <v>0</v>
      </c>
      <c r="AD376" s="26">
        <f t="shared" si="11"/>
        <v>0</v>
      </c>
    </row>
    <row r="377" spans="2:30" ht="15" customHeight="1">
      <c r="B377" s="3" t="str">
        <f>_xlfn.IFNA(VLOOKUP(C377,Master!$J:$K,2,0),"")</f>
        <v/>
      </c>
      <c r="D377" s="4" t="str">
        <f>_xlfn.IFNA(VLOOKUP(E377,Master!$J:$K,2,0),"")</f>
        <v/>
      </c>
      <c r="F377" s="4" t="str">
        <f>_xlfn.IFNA(VLOOKUP(G377,Master!B:C,2,0),"")</f>
        <v/>
      </c>
      <c r="I377" s="3" t="str">
        <f>_xlfn.IFNA(VLOOKUP(E377,Master!$J:$M,4,0),"")</f>
        <v/>
      </c>
      <c r="J377" s="3" t="str">
        <f>_xlfn.IFNA(VLOOKUP($E377,Master!$J:$M,3,0),"")</f>
        <v/>
      </c>
      <c r="AC377" s="26">
        <f t="shared" si="10"/>
        <v>0</v>
      </c>
      <c r="AD377" s="26">
        <f t="shared" si="11"/>
        <v>0</v>
      </c>
    </row>
    <row r="378" spans="2:30" ht="15" customHeight="1">
      <c r="B378" s="3" t="str">
        <f>_xlfn.IFNA(VLOOKUP(C378,Master!$J:$K,2,0),"")</f>
        <v/>
      </c>
      <c r="D378" s="4" t="str">
        <f>_xlfn.IFNA(VLOOKUP(E378,Master!$J:$K,2,0),"")</f>
        <v/>
      </c>
      <c r="F378" s="4" t="str">
        <f>_xlfn.IFNA(VLOOKUP(G378,Master!B:C,2,0),"")</f>
        <v/>
      </c>
      <c r="I378" s="3" t="str">
        <f>_xlfn.IFNA(VLOOKUP(E378,Master!$J:$M,4,0),"")</f>
        <v/>
      </c>
      <c r="J378" s="3" t="str">
        <f>_xlfn.IFNA(VLOOKUP($E378,Master!$J:$M,3,0),"")</f>
        <v/>
      </c>
      <c r="AC378" s="26">
        <f t="shared" si="10"/>
        <v>0</v>
      </c>
      <c r="AD378" s="26">
        <f t="shared" si="11"/>
        <v>0</v>
      </c>
    </row>
    <row r="379" spans="2:30" ht="15" customHeight="1">
      <c r="B379" s="3" t="str">
        <f>_xlfn.IFNA(VLOOKUP(C379,Master!$J:$K,2,0),"")</f>
        <v/>
      </c>
      <c r="D379" s="4" t="str">
        <f>_xlfn.IFNA(VLOOKUP(E379,Master!$J:$K,2,0),"")</f>
        <v/>
      </c>
      <c r="F379" s="4" t="str">
        <f>_xlfn.IFNA(VLOOKUP(G379,Master!B:C,2,0),"")</f>
        <v/>
      </c>
      <c r="I379" s="3" t="str">
        <f>_xlfn.IFNA(VLOOKUP(E379,Master!$J:$M,4,0),"")</f>
        <v/>
      </c>
      <c r="J379" s="3" t="str">
        <f>_xlfn.IFNA(VLOOKUP($E379,Master!$J:$M,3,0),"")</f>
        <v/>
      </c>
      <c r="AC379" s="26">
        <f t="shared" si="10"/>
        <v>0</v>
      </c>
      <c r="AD379" s="26">
        <f t="shared" si="11"/>
        <v>0</v>
      </c>
    </row>
    <row r="380" spans="2:30" ht="15" customHeight="1">
      <c r="B380" s="3" t="str">
        <f>_xlfn.IFNA(VLOOKUP(C380,Master!$J:$K,2,0),"")</f>
        <v/>
      </c>
      <c r="D380" s="4" t="str">
        <f>_xlfn.IFNA(VLOOKUP(E380,Master!$J:$K,2,0),"")</f>
        <v/>
      </c>
      <c r="F380" s="4" t="str">
        <f>_xlfn.IFNA(VLOOKUP(G380,Master!B:C,2,0),"")</f>
        <v/>
      </c>
      <c r="I380" s="3" t="str">
        <f>_xlfn.IFNA(VLOOKUP(E380,Master!$J:$M,4,0),"")</f>
        <v/>
      </c>
      <c r="J380" s="3" t="str">
        <f>_xlfn.IFNA(VLOOKUP($E380,Master!$J:$M,3,0),"")</f>
        <v/>
      </c>
      <c r="AC380" s="26">
        <f t="shared" si="10"/>
        <v>0</v>
      </c>
      <c r="AD380" s="26">
        <f t="shared" si="11"/>
        <v>0</v>
      </c>
    </row>
    <row r="381" spans="2:30" ht="15" customHeight="1">
      <c r="B381" s="3" t="str">
        <f>_xlfn.IFNA(VLOOKUP(C381,Master!$J:$K,2,0),"")</f>
        <v/>
      </c>
      <c r="D381" s="4" t="str">
        <f>_xlfn.IFNA(VLOOKUP(E381,Master!$J:$K,2,0),"")</f>
        <v/>
      </c>
      <c r="F381" s="4" t="str">
        <f>_xlfn.IFNA(VLOOKUP(G381,Master!B:C,2,0),"")</f>
        <v/>
      </c>
      <c r="I381" s="3" t="str">
        <f>_xlfn.IFNA(VLOOKUP(E381,Master!$J:$M,4,0),"")</f>
        <v/>
      </c>
      <c r="J381" s="3" t="str">
        <f>_xlfn.IFNA(VLOOKUP($E381,Master!$J:$M,3,0),"")</f>
        <v/>
      </c>
      <c r="AC381" s="26">
        <f t="shared" si="10"/>
        <v>0</v>
      </c>
      <c r="AD381" s="26">
        <f t="shared" si="11"/>
        <v>0</v>
      </c>
    </row>
    <row r="382" spans="2:30" ht="15" customHeight="1">
      <c r="B382" s="3" t="str">
        <f>_xlfn.IFNA(VLOOKUP(C382,Master!$J:$K,2,0),"")</f>
        <v/>
      </c>
      <c r="D382" s="4" t="str">
        <f>_xlfn.IFNA(VLOOKUP(E382,Master!$J:$K,2,0),"")</f>
        <v/>
      </c>
      <c r="F382" s="4" t="str">
        <f>_xlfn.IFNA(VLOOKUP(G382,Master!B:C,2,0),"")</f>
        <v/>
      </c>
      <c r="I382" s="3" t="str">
        <f>_xlfn.IFNA(VLOOKUP(E382,Master!$J:$M,4,0),"")</f>
        <v/>
      </c>
      <c r="J382" s="3" t="str">
        <f>_xlfn.IFNA(VLOOKUP($E382,Master!$J:$M,3,0),"")</f>
        <v/>
      </c>
      <c r="AC382" s="26">
        <f t="shared" si="10"/>
        <v>0</v>
      </c>
      <c r="AD382" s="26">
        <f t="shared" si="11"/>
        <v>0</v>
      </c>
    </row>
    <row r="383" spans="2:30" ht="15" customHeight="1">
      <c r="B383" s="3" t="str">
        <f>_xlfn.IFNA(VLOOKUP(C383,Master!$J:$K,2,0),"")</f>
        <v/>
      </c>
      <c r="D383" s="4" t="str">
        <f>_xlfn.IFNA(VLOOKUP(E383,Master!$J:$K,2,0),"")</f>
        <v/>
      </c>
      <c r="F383" s="4" t="str">
        <f>_xlfn.IFNA(VLOOKUP(G383,Master!B:C,2,0),"")</f>
        <v/>
      </c>
      <c r="I383" s="3" t="str">
        <f>_xlfn.IFNA(VLOOKUP(E383,Master!$J:$M,4,0),"")</f>
        <v/>
      </c>
      <c r="J383" s="3" t="str">
        <f>_xlfn.IFNA(VLOOKUP($E383,Master!$J:$M,3,0),"")</f>
        <v/>
      </c>
      <c r="AC383" s="26">
        <f t="shared" si="10"/>
        <v>0</v>
      </c>
      <c r="AD383" s="26">
        <f t="shared" si="11"/>
        <v>0</v>
      </c>
    </row>
    <row r="384" spans="2:30" ht="15" customHeight="1">
      <c r="B384" s="3" t="str">
        <f>_xlfn.IFNA(VLOOKUP(C384,Master!$J:$K,2,0),"")</f>
        <v/>
      </c>
      <c r="D384" s="4" t="str">
        <f>_xlfn.IFNA(VLOOKUP(E384,Master!$J:$K,2,0),"")</f>
        <v/>
      </c>
      <c r="F384" s="4" t="str">
        <f>_xlfn.IFNA(VLOOKUP(G384,Master!B:C,2,0),"")</f>
        <v/>
      </c>
      <c r="I384" s="3" t="str">
        <f>_xlfn.IFNA(VLOOKUP(E384,Master!$J:$M,4,0),"")</f>
        <v/>
      </c>
      <c r="J384" s="3" t="str">
        <f>_xlfn.IFNA(VLOOKUP($E384,Master!$J:$M,3,0),"")</f>
        <v/>
      </c>
      <c r="AC384" s="26">
        <f t="shared" si="10"/>
        <v>0</v>
      </c>
      <c r="AD384" s="26">
        <f t="shared" si="11"/>
        <v>0</v>
      </c>
    </row>
    <row r="385" spans="2:30" ht="15" customHeight="1">
      <c r="B385" s="3" t="str">
        <f>_xlfn.IFNA(VLOOKUP(C385,Master!$J:$K,2,0),"")</f>
        <v/>
      </c>
      <c r="D385" s="4" t="str">
        <f>_xlfn.IFNA(VLOOKUP(E385,Master!$J:$K,2,0),"")</f>
        <v/>
      </c>
      <c r="F385" s="4" t="str">
        <f>_xlfn.IFNA(VLOOKUP(G385,Master!B:C,2,0),"")</f>
        <v/>
      </c>
      <c r="I385" s="3" t="str">
        <f>_xlfn.IFNA(VLOOKUP(E385,Master!$J:$M,4,0),"")</f>
        <v/>
      </c>
      <c r="J385" s="3" t="str">
        <f>_xlfn.IFNA(VLOOKUP($E385,Master!$J:$M,3,0),"")</f>
        <v/>
      </c>
      <c r="AC385" s="26">
        <f t="shared" si="10"/>
        <v>0</v>
      </c>
      <c r="AD385" s="26">
        <f t="shared" si="11"/>
        <v>0</v>
      </c>
    </row>
    <row r="386" spans="2:30" ht="15" customHeight="1">
      <c r="B386" s="3" t="str">
        <f>_xlfn.IFNA(VLOOKUP(C386,Master!$J:$K,2,0),"")</f>
        <v/>
      </c>
      <c r="D386" s="4" t="str">
        <f>_xlfn.IFNA(VLOOKUP(E386,Master!$J:$K,2,0),"")</f>
        <v/>
      </c>
      <c r="F386" s="4" t="str">
        <f>_xlfn.IFNA(VLOOKUP(G386,Master!B:C,2,0),"")</f>
        <v/>
      </c>
      <c r="I386" s="3" t="str">
        <f>_xlfn.IFNA(VLOOKUP(E386,Master!$J:$M,4,0),"")</f>
        <v/>
      </c>
      <c r="J386" s="3" t="str">
        <f>_xlfn.IFNA(VLOOKUP($E386,Master!$J:$M,3,0),"")</f>
        <v/>
      </c>
      <c r="AC386" s="26">
        <f t="shared" ref="AC386:AC449" si="12">SUM(K386:P386)</f>
        <v>0</v>
      </c>
      <c r="AD386" s="26">
        <f t="shared" ref="AD386:AD449" si="13">SUM(Q386:AB386)</f>
        <v>0</v>
      </c>
    </row>
    <row r="387" spans="2:30" ht="15" customHeight="1">
      <c r="B387" s="3" t="str">
        <f>_xlfn.IFNA(VLOOKUP(C387,Master!$J:$K,2,0),"")</f>
        <v/>
      </c>
      <c r="D387" s="4" t="str">
        <f>_xlfn.IFNA(VLOOKUP(E387,Master!$J:$K,2,0),"")</f>
        <v/>
      </c>
      <c r="F387" s="4" t="str">
        <f>_xlfn.IFNA(VLOOKUP(G387,Master!B:C,2,0),"")</f>
        <v/>
      </c>
      <c r="I387" s="3" t="str">
        <f>_xlfn.IFNA(VLOOKUP(E387,Master!$J:$M,4,0),"")</f>
        <v/>
      </c>
      <c r="J387" s="3" t="str">
        <f>_xlfn.IFNA(VLOOKUP($E387,Master!$J:$M,3,0),"")</f>
        <v/>
      </c>
      <c r="AC387" s="26">
        <f t="shared" si="12"/>
        <v>0</v>
      </c>
      <c r="AD387" s="26">
        <f t="shared" si="13"/>
        <v>0</v>
      </c>
    </row>
    <row r="388" spans="2:30" ht="15" customHeight="1">
      <c r="B388" s="3" t="str">
        <f>_xlfn.IFNA(VLOOKUP(C388,Master!$J:$K,2,0),"")</f>
        <v/>
      </c>
      <c r="D388" s="4" t="str">
        <f>_xlfn.IFNA(VLOOKUP(E388,Master!$J:$K,2,0),"")</f>
        <v/>
      </c>
      <c r="F388" s="4" t="str">
        <f>_xlfn.IFNA(VLOOKUP(G388,Master!B:C,2,0),"")</f>
        <v/>
      </c>
      <c r="I388" s="3" t="str">
        <f>_xlfn.IFNA(VLOOKUP(E388,Master!$J:$M,4,0),"")</f>
        <v/>
      </c>
      <c r="J388" s="3" t="str">
        <f>_xlfn.IFNA(VLOOKUP($E388,Master!$J:$M,3,0),"")</f>
        <v/>
      </c>
      <c r="AC388" s="26">
        <f t="shared" si="12"/>
        <v>0</v>
      </c>
      <c r="AD388" s="26">
        <f t="shared" si="13"/>
        <v>0</v>
      </c>
    </row>
    <row r="389" spans="2:30" ht="15" customHeight="1">
      <c r="B389" s="3" t="str">
        <f>_xlfn.IFNA(VLOOKUP(C389,Master!$J:$K,2,0),"")</f>
        <v/>
      </c>
      <c r="D389" s="4" t="str">
        <f>_xlfn.IFNA(VLOOKUP(E389,Master!$J:$K,2,0),"")</f>
        <v/>
      </c>
      <c r="F389" s="4" t="str">
        <f>_xlfn.IFNA(VLOOKUP(G389,Master!B:C,2,0),"")</f>
        <v/>
      </c>
      <c r="I389" s="3" t="str">
        <f>_xlfn.IFNA(VLOOKUP(E389,Master!$J:$M,4,0),"")</f>
        <v/>
      </c>
      <c r="J389" s="3" t="str">
        <f>_xlfn.IFNA(VLOOKUP($E389,Master!$J:$M,3,0),"")</f>
        <v/>
      </c>
      <c r="AC389" s="26">
        <f t="shared" si="12"/>
        <v>0</v>
      </c>
      <c r="AD389" s="26">
        <f t="shared" si="13"/>
        <v>0</v>
      </c>
    </row>
    <row r="390" spans="2:30" ht="15" customHeight="1">
      <c r="B390" s="3" t="str">
        <f>_xlfn.IFNA(VLOOKUP(C390,Master!$J:$K,2,0),"")</f>
        <v/>
      </c>
      <c r="D390" s="4" t="str">
        <f>_xlfn.IFNA(VLOOKUP(E390,Master!$J:$K,2,0),"")</f>
        <v/>
      </c>
      <c r="F390" s="4" t="str">
        <f>_xlfn.IFNA(VLOOKUP(G390,Master!B:C,2,0),"")</f>
        <v/>
      </c>
      <c r="I390" s="3" t="str">
        <f>_xlfn.IFNA(VLOOKUP(E390,Master!$J:$M,4,0),"")</f>
        <v/>
      </c>
      <c r="J390" s="3" t="str">
        <f>_xlfn.IFNA(VLOOKUP($E390,Master!$J:$M,3,0),"")</f>
        <v/>
      </c>
      <c r="AC390" s="26">
        <f t="shared" si="12"/>
        <v>0</v>
      </c>
      <c r="AD390" s="26">
        <f t="shared" si="13"/>
        <v>0</v>
      </c>
    </row>
    <row r="391" spans="2:30" ht="15" customHeight="1">
      <c r="B391" s="3" t="str">
        <f>_xlfn.IFNA(VLOOKUP(C391,Master!$J:$K,2,0),"")</f>
        <v/>
      </c>
      <c r="D391" s="4" t="str">
        <f>_xlfn.IFNA(VLOOKUP(E391,Master!$J:$K,2,0),"")</f>
        <v/>
      </c>
      <c r="F391" s="4" t="str">
        <f>_xlfn.IFNA(VLOOKUP(G391,Master!B:C,2,0),"")</f>
        <v/>
      </c>
      <c r="I391" s="3" t="str">
        <f>_xlfn.IFNA(VLOOKUP(E391,Master!$J:$M,4,0),"")</f>
        <v/>
      </c>
      <c r="J391" s="3" t="str">
        <f>_xlfn.IFNA(VLOOKUP($E391,Master!$J:$M,3,0),"")</f>
        <v/>
      </c>
      <c r="AC391" s="26">
        <f t="shared" si="12"/>
        <v>0</v>
      </c>
      <c r="AD391" s="26">
        <f t="shared" si="13"/>
        <v>0</v>
      </c>
    </row>
    <row r="392" spans="2:30" ht="15" customHeight="1">
      <c r="B392" s="3" t="str">
        <f>_xlfn.IFNA(VLOOKUP(C392,Master!$J:$K,2,0),"")</f>
        <v/>
      </c>
      <c r="D392" s="4" t="str">
        <f>_xlfn.IFNA(VLOOKUP(E392,Master!$J:$K,2,0),"")</f>
        <v/>
      </c>
      <c r="F392" s="4" t="str">
        <f>_xlfn.IFNA(VLOOKUP(G392,Master!B:C,2,0),"")</f>
        <v/>
      </c>
      <c r="I392" s="3" t="str">
        <f>_xlfn.IFNA(VLOOKUP(E392,Master!$J:$M,4,0),"")</f>
        <v/>
      </c>
      <c r="J392" s="3" t="str">
        <f>_xlfn.IFNA(VLOOKUP($E392,Master!$J:$M,3,0),"")</f>
        <v/>
      </c>
      <c r="AC392" s="26">
        <f t="shared" si="12"/>
        <v>0</v>
      </c>
      <c r="AD392" s="26">
        <f t="shared" si="13"/>
        <v>0</v>
      </c>
    </row>
    <row r="393" spans="2:30" ht="15" customHeight="1">
      <c r="B393" s="3" t="str">
        <f>_xlfn.IFNA(VLOOKUP(C393,Master!$J:$K,2,0),"")</f>
        <v/>
      </c>
      <c r="D393" s="4" t="str">
        <f>_xlfn.IFNA(VLOOKUP(E393,Master!$J:$K,2,0),"")</f>
        <v/>
      </c>
      <c r="F393" s="4" t="str">
        <f>_xlfn.IFNA(VLOOKUP(G393,Master!B:C,2,0),"")</f>
        <v/>
      </c>
      <c r="I393" s="3" t="str">
        <f>_xlfn.IFNA(VLOOKUP(E393,Master!$J:$M,4,0),"")</f>
        <v/>
      </c>
      <c r="J393" s="3" t="str">
        <f>_xlfn.IFNA(VLOOKUP($E393,Master!$J:$M,3,0),"")</f>
        <v/>
      </c>
      <c r="AC393" s="26">
        <f t="shared" si="12"/>
        <v>0</v>
      </c>
      <c r="AD393" s="26">
        <f t="shared" si="13"/>
        <v>0</v>
      </c>
    </row>
    <row r="394" spans="2:30" ht="15" customHeight="1">
      <c r="B394" s="3" t="str">
        <f>_xlfn.IFNA(VLOOKUP(C394,Master!$J:$K,2,0),"")</f>
        <v/>
      </c>
      <c r="D394" s="4" t="str">
        <f>_xlfn.IFNA(VLOOKUP(E394,Master!$J:$K,2,0),"")</f>
        <v/>
      </c>
      <c r="F394" s="4" t="str">
        <f>_xlfn.IFNA(VLOOKUP(G394,Master!B:C,2,0),"")</f>
        <v/>
      </c>
      <c r="I394" s="3" t="str">
        <f>_xlfn.IFNA(VLOOKUP(E394,Master!$J:$M,4,0),"")</f>
        <v/>
      </c>
      <c r="J394" s="3" t="str">
        <f>_xlfn.IFNA(VLOOKUP($E394,Master!$J:$M,3,0),"")</f>
        <v/>
      </c>
      <c r="AC394" s="26">
        <f t="shared" si="12"/>
        <v>0</v>
      </c>
      <c r="AD394" s="26">
        <f t="shared" si="13"/>
        <v>0</v>
      </c>
    </row>
    <row r="395" spans="2:30" ht="15" customHeight="1">
      <c r="B395" s="3" t="str">
        <f>_xlfn.IFNA(VLOOKUP(C395,Master!$J:$K,2,0),"")</f>
        <v/>
      </c>
      <c r="D395" s="4" t="str">
        <f>_xlfn.IFNA(VLOOKUP(E395,Master!$J:$K,2,0),"")</f>
        <v/>
      </c>
      <c r="F395" s="4" t="str">
        <f>_xlfn.IFNA(VLOOKUP(G395,Master!B:C,2,0),"")</f>
        <v/>
      </c>
      <c r="I395" s="3" t="str">
        <f>_xlfn.IFNA(VLOOKUP(E395,Master!$J:$M,4,0),"")</f>
        <v/>
      </c>
      <c r="J395" s="3" t="str">
        <f>_xlfn.IFNA(VLOOKUP($E395,Master!$J:$M,3,0),"")</f>
        <v/>
      </c>
      <c r="AC395" s="26">
        <f t="shared" si="12"/>
        <v>0</v>
      </c>
      <c r="AD395" s="26">
        <f t="shared" si="13"/>
        <v>0</v>
      </c>
    </row>
    <row r="396" spans="2:30" ht="15" customHeight="1">
      <c r="B396" s="3" t="str">
        <f>_xlfn.IFNA(VLOOKUP(C396,Master!$J:$K,2,0),"")</f>
        <v/>
      </c>
      <c r="D396" s="4" t="str">
        <f>_xlfn.IFNA(VLOOKUP(E396,Master!$J:$K,2,0),"")</f>
        <v/>
      </c>
      <c r="F396" s="4" t="str">
        <f>_xlfn.IFNA(VLOOKUP(G396,Master!B:C,2,0),"")</f>
        <v/>
      </c>
      <c r="I396" s="3" t="str">
        <f>_xlfn.IFNA(VLOOKUP(E396,Master!$J:$M,4,0),"")</f>
        <v/>
      </c>
      <c r="J396" s="3" t="str">
        <f>_xlfn.IFNA(VLOOKUP($E396,Master!$J:$M,3,0),"")</f>
        <v/>
      </c>
      <c r="AC396" s="26">
        <f t="shared" si="12"/>
        <v>0</v>
      </c>
      <c r="AD396" s="26">
        <f t="shared" si="13"/>
        <v>0</v>
      </c>
    </row>
    <row r="397" spans="2:30" ht="15" customHeight="1">
      <c r="B397" s="3" t="str">
        <f>_xlfn.IFNA(VLOOKUP(C397,Master!$J:$K,2,0),"")</f>
        <v/>
      </c>
      <c r="D397" s="4" t="str">
        <f>_xlfn.IFNA(VLOOKUP(E397,Master!$J:$K,2,0),"")</f>
        <v/>
      </c>
      <c r="F397" s="4" t="str">
        <f>_xlfn.IFNA(VLOOKUP(G397,Master!B:C,2,0),"")</f>
        <v/>
      </c>
      <c r="I397" s="3" t="str">
        <f>_xlfn.IFNA(VLOOKUP(E397,Master!$J:$M,4,0),"")</f>
        <v/>
      </c>
      <c r="J397" s="3" t="str">
        <f>_xlfn.IFNA(VLOOKUP($E397,Master!$J:$M,3,0),"")</f>
        <v/>
      </c>
      <c r="AC397" s="26">
        <f t="shared" si="12"/>
        <v>0</v>
      </c>
      <c r="AD397" s="26">
        <f t="shared" si="13"/>
        <v>0</v>
      </c>
    </row>
    <row r="398" spans="2:30" ht="15" customHeight="1">
      <c r="B398" s="3" t="str">
        <f>_xlfn.IFNA(VLOOKUP(C398,Master!$J:$K,2,0),"")</f>
        <v/>
      </c>
      <c r="D398" s="4" t="str">
        <f>_xlfn.IFNA(VLOOKUP(E398,Master!$J:$K,2,0),"")</f>
        <v/>
      </c>
      <c r="F398" s="4" t="str">
        <f>_xlfn.IFNA(VLOOKUP(G398,Master!B:C,2,0),"")</f>
        <v/>
      </c>
      <c r="I398" s="3" t="str">
        <f>_xlfn.IFNA(VLOOKUP(E398,Master!$J:$M,4,0),"")</f>
        <v/>
      </c>
      <c r="J398" s="3" t="str">
        <f>_xlfn.IFNA(VLOOKUP($E398,Master!$J:$M,3,0),"")</f>
        <v/>
      </c>
      <c r="AC398" s="26">
        <f t="shared" si="12"/>
        <v>0</v>
      </c>
      <c r="AD398" s="26">
        <f t="shared" si="13"/>
        <v>0</v>
      </c>
    </row>
    <row r="399" spans="2:30" ht="15" customHeight="1">
      <c r="B399" s="3" t="str">
        <f>_xlfn.IFNA(VLOOKUP(C399,Master!$J:$K,2,0),"")</f>
        <v/>
      </c>
      <c r="D399" s="4" t="str">
        <f>_xlfn.IFNA(VLOOKUP(E399,Master!$J:$K,2,0),"")</f>
        <v/>
      </c>
      <c r="F399" s="4" t="str">
        <f>_xlfn.IFNA(VLOOKUP(G399,Master!B:C,2,0),"")</f>
        <v/>
      </c>
      <c r="I399" s="3" t="str">
        <f>_xlfn.IFNA(VLOOKUP(E399,Master!$J:$M,4,0),"")</f>
        <v/>
      </c>
      <c r="J399" s="3" t="str">
        <f>_xlfn.IFNA(VLOOKUP($E399,Master!$J:$M,3,0),"")</f>
        <v/>
      </c>
      <c r="AC399" s="26">
        <f t="shared" si="12"/>
        <v>0</v>
      </c>
      <c r="AD399" s="26">
        <f t="shared" si="13"/>
        <v>0</v>
      </c>
    </row>
    <row r="400" spans="2:30" ht="15" customHeight="1">
      <c r="B400" s="3" t="str">
        <f>_xlfn.IFNA(VLOOKUP(C400,Master!$J:$K,2,0),"")</f>
        <v/>
      </c>
      <c r="D400" s="4" t="str">
        <f>_xlfn.IFNA(VLOOKUP(E400,Master!$J:$K,2,0),"")</f>
        <v/>
      </c>
      <c r="F400" s="4" t="str">
        <f>_xlfn.IFNA(VLOOKUP(G400,Master!B:C,2,0),"")</f>
        <v/>
      </c>
      <c r="I400" s="3" t="str">
        <f>_xlfn.IFNA(VLOOKUP(E400,Master!$J:$M,4,0),"")</f>
        <v/>
      </c>
      <c r="J400" s="3" t="str">
        <f>_xlfn.IFNA(VLOOKUP($E400,Master!$J:$M,3,0),"")</f>
        <v/>
      </c>
      <c r="AC400" s="26">
        <f t="shared" si="12"/>
        <v>0</v>
      </c>
      <c r="AD400" s="26">
        <f t="shared" si="13"/>
        <v>0</v>
      </c>
    </row>
    <row r="401" spans="2:30" ht="15" customHeight="1">
      <c r="B401" s="3" t="str">
        <f>_xlfn.IFNA(VLOOKUP(C401,Master!$J:$K,2,0),"")</f>
        <v/>
      </c>
      <c r="D401" s="4" t="str">
        <f>_xlfn.IFNA(VLOOKUP(E401,Master!$J:$K,2,0),"")</f>
        <v/>
      </c>
      <c r="F401" s="4" t="str">
        <f>_xlfn.IFNA(VLOOKUP(G401,Master!B:C,2,0),"")</f>
        <v/>
      </c>
      <c r="I401" s="3" t="str">
        <f>_xlfn.IFNA(VLOOKUP(E401,Master!$J:$M,4,0),"")</f>
        <v/>
      </c>
      <c r="J401" s="3" t="str">
        <f>_xlfn.IFNA(VLOOKUP($E401,Master!$J:$M,3,0),"")</f>
        <v/>
      </c>
      <c r="AC401" s="26">
        <f t="shared" si="12"/>
        <v>0</v>
      </c>
      <c r="AD401" s="26">
        <f t="shared" si="13"/>
        <v>0</v>
      </c>
    </row>
    <row r="402" spans="2:30" ht="15" customHeight="1">
      <c r="B402" s="3" t="str">
        <f>_xlfn.IFNA(VLOOKUP(C402,Master!$J:$K,2,0),"")</f>
        <v/>
      </c>
      <c r="D402" s="4" t="str">
        <f>_xlfn.IFNA(VLOOKUP(E402,Master!$J:$K,2,0),"")</f>
        <v/>
      </c>
      <c r="F402" s="4" t="str">
        <f>_xlfn.IFNA(VLOOKUP(G402,Master!B:C,2,0),"")</f>
        <v/>
      </c>
      <c r="I402" s="3" t="str">
        <f>_xlfn.IFNA(VLOOKUP(E402,Master!$J:$M,4,0),"")</f>
        <v/>
      </c>
      <c r="J402" s="3" t="str">
        <f>_xlfn.IFNA(VLOOKUP($E402,Master!$J:$M,3,0),"")</f>
        <v/>
      </c>
      <c r="AC402" s="26">
        <f t="shared" si="12"/>
        <v>0</v>
      </c>
      <c r="AD402" s="26">
        <f t="shared" si="13"/>
        <v>0</v>
      </c>
    </row>
    <row r="403" spans="2:30" ht="15" customHeight="1">
      <c r="B403" s="3" t="str">
        <f>_xlfn.IFNA(VLOOKUP(C403,Master!$J:$K,2,0),"")</f>
        <v/>
      </c>
      <c r="D403" s="4" t="str">
        <f>_xlfn.IFNA(VLOOKUP(E403,Master!$J:$K,2,0),"")</f>
        <v/>
      </c>
      <c r="F403" s="4" t="str">
        <f>_xlfn.IFNA(VLOOKUP(G403,Master!B:C,2,0),"")</f>
        <v/>
      </c>
      <c r="I403" s="3" t="str">
        <f>_xlfn.IFNA(VLOOKUP(E403,Master!$J:$M,4,0),"")</f>
        <v/>
      </c>
      <c r="J403" s="3" t="str">
        <f>_xlfn.IFNA(VLOOKUP($E403,Master!$J:$M,3,0),"")</f>
        <v/>
      </c>
      <c r="AC403" s="26">
        <f t="shared" si="12"/>
        <v>0</v>
      </c>
      <c r="AD403" s="26">
        <f t="shared" si="13"/>
        <v>0</v>
      </c>
    </row>
    <row r="404" spans="2:30" ht="15" customHeight="1">
      <c r="B404" s="3" t="str">
        <f>_xlfn.IFNA(VLOOKUP(C404,Master!$J:$K,2,0),"")</f>
        <v/>
      </c>
      <c r="D404" s="4" t="str">
        <f>_xlfn.IFNA(VLOOKUP(E404,Master!$J:$K,2,0),"")</f>
        <v/>
      </c>
      <c r="F404" s="4" t="str">
        <f>_xlfn.IFNA(VLOOKUP(G404,Master!B:C,2,0),"")</f>
        <v/>
      </c>
      <c r="I404" s="3" t="str">
        <f>_xlfn.IFNA(VLOOKUP(E404,Master!$J:$M,4,0),"")</f>
        <v/>
      </c>
      <c r="J404" s="3" t="str">
        <f>_xlfn.IFNA(VLOOKUP($E404,Master!$J:$M,3,0),"")</f>
        <v/>
      </c>
      <c r="AC404" s="26">
        <f t="shared" si="12"/>
        <v>0</v>
      </c>
      <c r="AD404" s="26">
        <f t="shared" si="13"/>
        <v>0</v>
      </c>
    </row>
    <row r="405" spans="2:30" ht="15" customHeight="1">
      <c r="B405" s="3" t="str">
        <f>_xlfn.IFNA(VLOOKUP(C405,Master!$J:$K,2,0),"")</f>
        <v/>
      </c>
      <c r="D405" s="4" t="str">
        <f>_xlfn.IFNA(VLOOKUP(E405,Master!$J:$K,2,0),"")</f>
        <v/>
      </c>
      <c r="F405" s="4" t="str">
        <f>_xlfn.IFNA(VLOOKUP(G405,Master!B:C,2,0),"")</f>
        <v/>
      </c>
      <c r="I405" s="3" t="str">
        <f>_xlfn.IFNA(VLOOKUP(E405,Master!$J:$M,4,0),"")</f>
        <v/>
      </c>
      <c r="J405" s="3" t="str">
        <f>_xlfn.IFNA(VLOOKUP($E405,Master!$J:$M,3,0),"")</f>
        <v/>
      </c>
      <c r="AC405" s="26">
        <f t="shared" si="12"/>
        <v>0</v>
      </c>
      <c r="AD405" s="26">
        <f t="shared" si="13"/>
        <v>0</v>
      </c>
    </row>
    <row r="406" spans="2:30" ht="15" customHeight="1">
      <c r="B406" s="3" t="str">
        <f>_xlfn.IFNA(VLOOKUP(C406,Master!$J:$K,2,0),"")</f>
        <v/>
      </c>
      <c r="D406" s="4" t="str">
        <f>_xlfn.IFNA(VLOOKUP(E406,Master!$J:$K,2,0),"")</f>
        <v/>
      </c>
      <c r="F406" s="4" t="str">
        <f>_xlfn.IFNA(VLOOKUP(G406,Master!B:C,2,0),"")</f>
        <v/>
      </c>
      <c r="I406" s="3" t="str">
        <f>_xlfn.IFNA(VLOOKUP(E406,Master!$J:$M,4,0),"")</f>
        <v/>
      </c>
      <c r="J406" s="3" t="str">
        <f>_xlfn.IFNA(VLOOKUP($E406,Master!$J:$M,3,0),"")</f>
        <v/>
      </c>
      <c r="AC406" s="26">
        <f t="shared" si="12"/>
        <v>0</v>
      </c>
      <c r="AD406" s="26">
        <f t="shared" si="13"/>
        <v>0</v>
      </c>
    </row>
    <row r="407" spans="2:30" ht="15" customHeight="1">
      <c r="B407" s="3" t="str">
        <f>_xlfn.IFNA(VLOOKUP(C407,Master!$J:$K,2,0),"")</f>
        <v/>
      </c>
      <c r="D407" s="4" t="str">
        <f>_xlfn.IFNA(VLOOKUP(E407,Master!$J:$K,2,0),"")</f>
        <v/>
      </c>
      <c r="F407" s="4" t="str">
        <f>_xlfn.IFNA(VLOOKUP(G407,Master!B:C,2,0),"")</f>
        <v/>
      </c>
      <c r="I407" s="3" t="str">
        <f>_xlfn.IFNA(VLOOKUP(E407,Master!$J:$M,4,0),"")</f>
        <v/>
      </c>
      <c r="J407" s="3" t="str">
        <f>_xlfn.IFNA(VLOOKUP($E407,Master!$J:$M,3,0),"")</f>
        <v/>
      </c>
      <c r="AC407" s="26">
        <f t="shared" si="12"/>
        <v>0</v>
      </c>
      <c r="AD407" s="26">
        <f t="shared" si="13"/>
        <v>0</v>
      </c>
    </row>
    <row r="408" spans="2:30" ht="15" customHeight="1">
      <c r="B408" s="3" t="str">
        <f>_xlfn.IFNA(VLOOKUP(C408,Master!$J:$K,2,0),"")</f>
        <v/>
      </c>
      <c r="D408" s="4" t="str">
        <f>_xlfn.IFNA(VLOOKUP(E408,Master!$J:$K,2,0),"")</f>
        <v/>
      </c>
      <c r="F408" s="4" t="str">
        <f>_xlfn.IFNA(VLOOKUP(G408,Master!B:C,2,0),"")</f>
        <v/>
      </c>
      <c r="I408" s="3" t="str">
        <f>_xlfn.IFNA(VLOOKUP(E408,Master!$J:$M,4,0),"")</f>
        <v/>
      </c>
      <c r="J408" s="3" t="str">
        <f>_xlfn.IFNA(VLOOKUP($E408,Master!$J:$M,3,0),"")</f>
        <v/>
      </c>
      <c r="AC408" s="26">
        <f t="shared" si="12"/>
        <v>0</v>
      </c>
      <c r="AD408" s="26">
        <f t="shared" si="13"/>
        <v>0</v>
      </c>
    </row>
    <row r="409" spans="2:30" ht="15" customHeight="1">
      <c r="B409" s="3" t="str">
        <f>_xlfn.IFNA(VLOOKUP(C409,Master!$J:$K,2,0),"")</f>
        <v/>
      </c>
      <c r="D409" s="4" t="str">
        <f>_xlfn.IFNA(VLOOKUP(E409,Master!$J:$K,2,0),"")</f>
        <v/>
      </c>
      <c r="F409" s="4" t="str">
        <f>_xlfn.IFNA(VLOOKUP(G409,Master!B:C,2,0),"")</f>
        <v/>
      </c>
      <c r="I409" s="3" t="str">
        <f>_xlfn.IFNA(VLOOKUP(E409,Master!$J:$M,4,0),"")</f>
        <v/>
      </c>
      <c r="J409" s="3" t="str">
        <f>_xlfn.IFNA(VLOOKUP($E409,Master!$J:$M,3,0),"")</f>
        <v/>
      </c>
      <c r="AC409" s="26">
        <f t="shared" si="12"/>
        <v>0</v>
      </c>
      <c r="AD409" s="26">
        <f t="shared" si="13"/>
        <v>0</v>
      </c>
    </row>
    <row r="410" spans="2:30" ht="15" customHeight="1">
      <c r="B410" s="3" t="str">
        <f>_xlfn.IFNA(VLOOKUP(C410,Master!$J:$K,2,0),"")</f>
        <v/>
      </c>
      <c r="D410" s="4" t="str">
        <f>_xlfn.IFNA(VLOOKUP(E410,Master!$J:$K,2,0),"")</f>
        <v/>
      </c>
      <c r="F410" s="4" t="str">
        <f>_xlfn.IFNA(VLOOKUP(G410,Master!B:C,2,0),"")</f>
        <v/>
      </c>
      <c r="I410" s="3" t="str">
        <f>_xlfn.IFNA(VLOOKUP(E410,Master!$J:$M,4,0),"")</f>
        <v/>
      </c>
      <c r="J410" s="3" t="str">
        <f>_xlfn.IFNA(VLOOKUP($E410,Master!$J:$M,3,0),"")</f>
        <v/>
      </c>
      <c r="AC410" s="26">
        <f t="shared" si="12"/>
        <v>0</v>
      </c>
      <c r="AD410" s="26">
        <f t="shared" si="13"/>
        <v>0</v>
      </c>
    </row>
    <row r="411" spans="2:30" ht="15" customHeight="1">
      <c r="B411" s="3" t="str">
        <f>_xlfn.IFNA(VLOOKUP(C411,Master!$J:$K,2,0),"")</f>
        <v/>
      </c>
      <c r="D411" s="4" t="str">
        <f>_xlfn.IFNA(VLOOKUP(E411,Master!$J:$K,2,0),"")</f>
        <v/>
      </c>
      <c r="F411" s="4" t="str">
        <f>_xlfn.IFNA(VLOOKUP(G411,Master!B:C,2,0),"")</f>
        <v/>
      </c>
      <c r="I411" s="3" t="str">
        <f>_xlfn.IFNA(VLOOKUP(E411,Master!$J:$M,4,0),"")</f>
        <v/>
      </c>
      <c r="J411" s="3" t="str">
        <f>_xlfn.IFNA(VLOOKUP($E411,Master!$J:$M,3,0),"")</f>
        <v/>
      </c>
      <c r="AC411" s="26">
        <f t="shared" si="12"/>
        <v>0</v>
      </c>
      <c r="AD411" s="26">
        <f t="shared" si="13"/>
        <v>0</v>
      </c>
    </row>
    <row r="412" spans="2:30" ht="15" customHeight="1">
      <c r="B412" s="3" t="str">
        <f>_xlfn.IFNA(VLOOKUP(C412,Master!$J:$K,2,0),"")</f>
        <v/>
      </c>
      <c r="D412" s="4" t="str">
        <f>_xlfn.IFNA(VLOOKUP(E412,Master!$J:$K,2,0),"")</f>
        <v/>
      </c>
      <c r="F412" s="4" t="str">
        <f>_xlfn.IFNA(VLOOKUP(G412,Master!B:C,2,0),"")</f>
        <v/>
      </c>
      <c r="I412" s="3" t="str">
        <f>_xlfn.IFNA(VLOOKUP(E412,Master!$J:$M,4,0),"")</f>
        <v/>
      </c>
      <c r="J412" s="3" t="str">
        <f>_xlfn.IFNA(VLOOKUP($E412,Master!$J:$M,3,0),"")</f>
        <v/>
      </c>
      <c r="AC412" s="26">
        <f t="shared" si="12"/>
        <v>0</v>
      </c>
      <c r="AD412" s="26">
        <f t="shared" si="13"/>
        <v>0</v>
      </c>
    </row>
    <row r="413" spans="2:30" ht="15" customHeight="1">
      <c r="B413" s="3" t="str">
        <f>_xlfn.IFNA(VLOOKUP(C413,Master!$J:$K,2,0),"")</f>
        <v/>
      </c>
      <c r="D413" s="4" t="str">
        <f>_xlfn.IFNA(VLOOKUP(E413,Master!$J:$K,2,0),"")</f>
        <v/>
      </c>
      <c r="F413" s="4" t="str">
        <f>_xlfn.IFNA(VLOOKUP(G413,Master!B:C,2,0),"")</f>
        <v/>
      </c>
      <c r="I413" s="3" t="str">
        <f>_xlfn.IFNA(VLOOKUP(E413,Master!$J:$M,4,0),"")</f>
        <v/>
      </c>
      <c r="J413" s="3" t="str">
        <f>_xlfn.IFNA(VLOOKUP($E413,Master!$J:$M,3,0),"")</f>
        <v/>
      </c>
      <c r="AC413" s="26">
        <f t="shared" si="12"/>
        <v>0</v>
      </c>
      <c r="AD413" s="26">
        <f t="shared" si="13"/>
        <v>0</v>
      </c>
    </row>
    <row r="414" spans="2:30" ht="15" customHeight="1">
      <c r="B414" s="3" t="str">
        <f>_xlfn.IFNA(VLOOKUP(C414,Master!$J:$K,2,0),"")</f>
        <v/>
      </c>
      <c r="D414" s="4" t="str">
        <f>_xlfn.IFNA(VLOOKUP(E414,Master!$J:$K,2,0),"")</f>
        <v/>
      </c>
      <c r="F414" s="4" t="str">
        <f>_xlfn.IFNA(VLOOKUP(G414,Master!B:C,2,0),"")</f>
        <v/>
      </c>
      <c r="I414" s="3" t="str">
        <f>_xlfn.IFNA(VLOOKUP(E414,Master!$J:$M,4,0),"")</f>
        <v/>
      </c>
      <c r="J414" s="3" t="str">
        <f>_xlfn.IFNA(VLOOKUP($E414,Master!$J:$M,3,0),"")</f>
        <v/>
      </c>
      <c r="AC414" s="26">
        <f t="shared" si="12"/>
        <v>0</v>
      </c>
      <c r="AD414" s="26">
        <f t="shared" si="13"/>
        <v>0</v>
      </c>
    </row>
    <row r="415" spans="2:30" ht="15" customHeight="1">
      <c r="B415" s="3" t="str">
        <f>_xlfn.IFNA(VLOOKUP(C415,Master!$J:$K,2,0),"")</f>
        <v/>
      </c>
      <c r="D415" s="4" t="str">
        <f>_xlfn.IFNA(VLOOKUP(E415,Master!$J:$K,2,0),"")</f>
        <v/>
      </c>
      <c r="F415" s="4" t="str">
        <f>_xlfn.IFNA(VLOOKUP(G415,Master!B:C,2,0),"")</f>
        <v/>
      </c>
      <c r="I415" s="3" t="str">
        <f>_xlfn.IFNA(VLOOKUP(E415,Master!$J:$M,4,0),"")</f>
        <v/>
      </c>
      <c r="J415" s="3" t="str">
        <f>_xlfn.IFNA(VLOOKUP($E415,Master!$J:$M,3,0),"")</f>
        <v/>
      </c>
      <c r="AC415" s="26">
        <f t="shared" si="12"/>
        <v>0</v>
      </c>
      <c r="AD415" s="26">
        <f t="shared" si="13"/>
        <v>0</v>
      </c>
    </row>
    <row r="416" spans="2:30" ht="15" customHeight="1">
      <c r="B416" s="3" t="str">
        <f>_xlfn.IFNA(VLOOKUP(C416,Master!$J:$K,2,0),"")</f>
        <v/>
      </c>
      <c r="D416" s="4" t="str">
        <f>_xlfn.IFNA(VLOOKUP(E416,Master!$J:$K,2,0),"")</f>
        <v/>
      </c>
      <c r="F416" s="4" t="str">
        <f>_xlfn.IFNA(VLOOKUP(G416,Master!B:C,2,0),"")</f>
        <v/>
      </c>
      <c r="I416" s="3" t="str">
        <f>_xlfn.IFNA(VLOOKUP(E416,Master!$J:$M,4,0),"")</f>
        <v/>
      </c>
      <c r="J416" s="3" t="str">
        <f>_xlfn.IFNA(VLOOKUP($E416,Master!$J:$M,3,0),"")</f>
        <v/>
      </c>
      <c r="AC416" s="26">
        <f t="shared" si="12"/>
        <v>0</v>
      </c>
      <c r="AD416" s="26">
        <f t="shared" si="13"/>
        <v>0</v>
      </c>
    </row>
    <row r="417" spans="2:30" ht="15" customHeight="1">
      <c r="B417" s="3" t="str">
        <f>_xlfn.IFNA(VLOOKUP(C417,Master!$J:$K,2,0),"")</f>
        <v/>
      </c>
      <c r="D417" s="4" t="str">
        <f>_xlfn.IFNA(VLOOKUP(E417,Master!$J:$K,2,0),"")</f>
        <v/>
      </c>
      <c r="F417" s="4" t="str">
        <f>_xlfn.IFNA(VLOOKUP(G417,Master!B:C,2,0),"")</f>
        <v/>
      </c>
      <c r="I417" s="3" t="str">
        <f>_xlfn.IFNA(VLOOKUP(E417,Master!$J:$M,4,0),"")</f>
        <v/>
      </c>
      <c r="J417" s="3" t="str">
        <f>_xlfn.IFNA(VLOOKUP($E417,Master!$J:$M,3,0),"")</f>
        <v/>
      </c>
      <c r="AC417" s="26">
        <f t="shared" si="12"/>
        <v>0</v>
      </c>
      <c r="AD417" s="26">
        <f t="shared" si="13"/>
        <v>0</v>
      </c>
    </row>
    <row r="418" spans="2:30" ht="15" customHeight="1">
      <c r="B418" s="3" t="str">
        <f>_xlfn.IFNA(VLOOKUP(C418,Master!$J:$K,2,0),"")</f>
        <v/>
      </c>
      <c r="D418" s="4" t="str">
        <f>_xlfn.IFNA(VLOOKUP(E418,Master!$J:$K,2,0),"")</f>
        <v/>
      </c>
      <c r="F418" s="4" t="str">
        <f>_xlfn.IFNA(VLOOKUP(G418,Master!B:C,2,0),"")</f>
        <v/>
      </c>
      <c r="I418" s="3" t="str">
        <f>_xlfn.IFNA(VLOOKUP(E418,Master!$J:$M,4,0),"")</f>
        <v/>
      </c>
      <c r="J418" s="3" t="str">
        <f>_xlfn.IFNA(VLOOKUP($E418,Master!$J:$M,3,0),"")</f>
        <v/>
      </c>
      <c r="AC418" s="26">
        <f t="shared" si="12"/>
        <v>0</v>
      </c>
      <c r="AD418" s="26">
        <f t="shared" si="13"/>
        <v>0</v>
      </c>
    </row>
    <row r="419" spans="2:30" ht="15" customHeight="1">
      <c r="B419" s="3" t="str">
        <f>_xlfn.IFNA(VLOOKUP(C419,Master!$J:$K,2,0),"")</f>
        <v/>
      </c>
      <c r="D419" s="4" t="str">
        <f>_xlfn.IFNA(VLOOKUP(E419,Master!$J:$K,2,0),"")</f>
        <v/>
      </c>
      <c r="F419" s="4" t="str">
        <f>_xlfn.IFNA(VLOOKUP(G419,Master!B:C,2,0),"")</f>
        <v/>
      </c>
      <c r="I419" s="3" t="str">
        <f>_xlfn.IFNA(VLOOKUP(E419,Master!$J:$M,4,0),"")</f>
        <v/>
      </c>
      <c r="J419" s="3" t="str">
        <f>_xlfn.IFNA(VLOOKUP($E419,Master!$J:$M,3,0),"")</f>
        <v/>
      </c>
      <c r="AC419" s="26">
        <f t="shared" si="12"/>
        <v>0</v>
      </c>
      <c r="AD419" s="26">
        <f t="shared" si="13"/>
        <v>0</v>
      </c>
    </row>
    <row r="420" spans="2:30" ht="15" customHeight="1">
      <c r="B420" s="3" t="str">
        <f>_xlfn.IFNA(VLOOKUP(C420,Master!$J:$K,2,0),"")</f>
        <v/>
      </c>
      <c r="D420" s="4" t="str">
        <f>_xlfn.IFNA(VLOOKUP(E420,Master!$J:$K,2,0),"")</f>
        <v/>
      </c>
      <c r="F420" s="4" t="str">
        <f>_xlfn.IFNA(VLOOKUP(G420,Master!B:C,2,0),"")</f>
        <v/>
      </c>
      <c r="I420" s="3" t="str">
        <f>_xlfn.IFNA(VLOOKUP(E420,Master!$J:$M,4,0),"")</f>
        <v/>
      </c>
      <c r="J420" s="3" t="str">
        <f>_xlfn.IFNA(VLOOKUP($E420,Master!$J:$M,3,0),"")</f>
        <v/>
      </c>
      <c r="AC420" s="26">
        <f t="shared" si="12"/>
        <v>0</v>
      </c>
      <c r="AD420" s="26">
        <f t="shared" si="13"/>
        <v>0</v>
      </c>
    </row>
    <row r="421" spans="2:30" ht="15" customHeight="1">
      <c r="B421" s="3" t="str">
        <f>_xlfn.IFNA(VLOOKUP(C421,Master!$J:$K,2,0),"")</f>
        <v/>
      </c>
      <c r="D421" s="4" t="str">
        <f>_xlfn.IFNA(VLOOKUP(E421,Master!$J:$K,2,0),"")</f>
        <v/>
      </c>
      <c r="F421" s="4" t="str">
        <f>_xlfn.IFNA(VLOOKUP(G421,Master!B:C,2,0),"")</f>
        <v/>
      </c>
      <c r="I421" s="3" t="str">
        <f>_xlfn.IFNA(VLOOKUP(E421,Master!$J:$M,4,0),"")</f>
        <v/>
      </c>
      <c r="J421" s="3" t="str">
        <f>_xlfn.IFNA(VLOOKUP($E421,Master!$J:$M,3,0),"")</f>
        <v/>
      </c>
      <c r="AC421" s="26">
        <f t="shared" si="12"/>
        <v>0</v>
      </c>
      <c r="AD421" s="26">
        <f t="shared" si="13"/>
        <v>0</v>
      </c>
    </row>
    <row r="422" spans="2:30" ht="15" customHeight="1">
      <c r="B422" s="3" t="str">
        <f>_xlfn.IFNA(VLOOKUP(C422,Master!$J:$K,2,0),"")</f>
        <v/>
      </c>
      <c r="D422" s="4" t="str">
        <f>_xlfn.IFNA(VLOOKUP(E422,Master!$J:$K,2,0),"")</f>
        <v/>
      </c>
      <c r="F422" s="4" t="str">
        <f>_xlfn.IFNA(VLOOKUP(G422,Master!B:C,2,0),"")</f>
        <v/>
      </c>
      <c r="I422" s="3" t="str">
        <f>_xlfn.IFNA(VLOOKUP(E422,Master!$J:$M,4,0),"")</f>
        <v/>
      </c>
      <c r="J422" s="3" t="str">
        <f>_xlfn.IFNA(VLOOKUP($E422,Master!$J:$M,3,0),"")</f>
        <v/>
      </c>
      <c r="AC422" s="26">
        <f t="shared" si="12"/>
        <v>0</v>
      </c>
      <c r="AD422" s="26">
        <f t="shared" si="13"/>
        <v>0</v>
      </c>
    </row>
    <row r="423" spans="2:30" ht="15" customHeight="1">
      <c r="B423" s="3" t="str">
        <f>_xlfn.IFNA(VLOOKUP(C423,Master!$J:$K,2,0),"")</f>
        <v/>
      </c>
      <c r="D423" s="4" t="str">
        <f>_xlfn.IFNA(VLOOKUP(E423,Master!$J:$K,2,0),"")</f>
        <v/>
      </c>
      <c r="F423" s="4" t="str">
        <f>_xlfn.IFNA(VLOOKUP(G423,Master!B:C,2,0),"")</f>
        <v/>
      </c>
      <c r="I423" s="3" t="str">
        <f>_xlfn.IFNA(VLOOKUP(E423,Master!$J:$M,4,0),"")</f>
        <v/>
      </c>
      <c r="J423" s="3" t="str">
        <f>_xlfn.IFNA(VLOOKUP($E423,Master!$J:$M,3,0),"")</f>
        <v/>
      </c>
      <c r="AC423" s="26">
        <f t="shared" si="12"/>
        <v>0</v>
      </c>
      <c r="AD423" s="26">
        <f t="shared" si="13"/>
        <v>0</v>
      </c>
    </row>
    <row r="424" spans="2:30" ht="15" customHeight="1">
      <c r="B424" s="3" t="str">
        <f>_xlfn.IFNA(VLOOKUP(C424,Master!$J:$K,2,0),"")</f>
        <v/>
      </c>
      <c r="D424" s="4" t="str">
        <f>_xlfn.IFNA(VLOOKUP(E424,Master!$J:$K,2,0),"")</f>
        <v/>
      </c>
      <c r="F424" s="4" t="str">
        <f>_xlfn.IFNA(VLOOKUP(G424,Master!B:C,2,0),"")</f>
        <v/>
      </c>
      <c r="I424" s="3" t="str">
        <f>_xlfn.IFNA(VLOOKUP(E424,Master!$J:$M,4,0),"")</f>
        <v/>
      </c>
      <c r="J424" s="3" t="str">
        <f>_xlfn.IFNA(VLOOKUP($E424,Master!$J:$M,3,0),"")</f>
        <v/>
      </c>
      <c r="AC424" s="26">
        <f t="shared" si="12"/>
        <v>0</v>
      </c>
      <c r="AD424" s="26">
        <f t="shared" si="13"/>
        <v>0</v>
      </c>
    </row>
    <row r="425" spans="2:30" ht="15" customHeight="1">
      <c r="B425" s="3" t="str">
        <f>_xlfn.IFNA(VLOOKUP(C425,Master!$J:$K,2,0),"")</f>
        <v/>
      </c>
      <c r="D425" s="4" t="str">
        <f>_xlfn.IFNA(VLOOKUP(E425,Master!$J:$K,2,0),"")</f>
        <v/>
      </c>
      <c r="F425" s="4" t="str">
        <f>_xlfn.IFNA(VLOOKUP(G425,Master!B:C,2,0),"")</f>
        <v/>
      </c>
      <c r="I425" s="3" t="str">
        <f>_xlfn.IFNA(VLOOKUP(E425,Master!$J:$M,4,0),"")</f>
        <v/>
      </c>
      <c r="J425" s="3" t="str">
        <f>_xlfn.IFNA(VLOOKUP($E425,Master!$J:$M,3,0),"")</f>
        <v/>
      </c>
      <c r="AC425" s="26">
        <f t="shared" si="12"/>
        <v>0</v>
      </c>
      <c r="AD425" s="26">
        <f t="shared" si="13"/>
        <v>0</v>
      </c>
    </row>
    <row r="426" spans="2:30" ht="15" customHeight="1">
      <c r="B426" s="3" t="str">
        <f>_xlfn.IFNA(VLOOKUP(C426,Master!$J:$K,2,0),"")</f>
        <v/>
      </c>
      <c r="D426" s="4" t="str">
        <f>_xlfn.IFNA(VLOOKUP(E426,Master!$J:$K,2,0),"")</f>
        <v/>
      </c>
      <c r="F426" s="4" t="str">
        <f>_xlfn.IFNA(VLOOKUP(G426,Master!B:C,2,0),"")</f>
        <v/>
      </c>
      <c r="I426" s="3" t="str">
        <f>_xlfn.IFNA(VLOOKUP(E426,Master!$J:$M,4,0),"")</f>
        <v/>
      </c>
      <c r="J426" s="3" t="str">
        <f>_xlfn.IFNA(VLOOKUP($E426,Master!$J:$M,3,0),"")</f>
        <v/>
      </c>
      <c r="AC426" s="26">
        <f t="shared" si="12"/>
        <v>0</v>
      </c>
      <c r="AD426" s="26">
        <f t="shared" si="13"/>
        <v>0</v>
      </c>
    </row>
    <row r="427" spans="2:30" ht="15" customHeight="1">
      <c r="B427" s="3" t="str">
        <f>_xlfn.IFNA(VLOOKUP(C427,Master!$J:$K,2,0),"")</f>
        <v/>
      </c>
      <c r="D427" s="4" t="str">
        <f>_xlfn.IFNA(VLOOKUP(E427,Master!$J:$K,2,0),"")</f>
        <v/>
      </c>
      <c r="F427" s="4" t="str">
        <f>_xlfn.IFNA(VLOOKUP(G427,Master!B:C,2,0),"")</f>
        <v/>
      </c>
      <c r="I427" s="3" t="str">
        <f>_xlfn.IFNA(VLOOKUP(E427,Master!$J:$M,4,0),"")</f>
        <v/>
      </c>
      <c r="J427" s="3" t="str">
        <f>_xlfn.IFNA(VLOOKUP($E427,Master!$J:$M,3,0),"")</f>
        <v/>
      </c>
      <c r="AC427" s="26">
        <f t="shared" si="12"/>
        <v>0</v>
      </c>
      <c r="AD427" s="26">
        <f t="shared" si="13"/>
        <v>0</v>
      </c>
    </row>
    <row r="428" spans="2:30" ht="15" customHeight="1">
      <c r="B428" s="3" t="str">
        <f>_xlfn.IFNA(VLOOKUP(C428,Master!$J:$K,2,0),"")</f>
        <v/>
      </c>
      <c r="D428" s="4" t="str">
        <f>_xlfn.IFNA(VLOOKUP(E428,Master!$J:$K,2,0),"")</f>
        <v/>
      </c>
      <c r="F428" s="4" t="str">
        <f>_xlfn.IFNA(VLOOKUP(G428,Master!B:C,2,0),"")</f>
        <v/>
      </c>
      <c r="I428" s="3" t="str">
        <f>_xlfn.IFNA(VLOOKUP(E428,Master!$J:$M,4,0),"")</f>
        <v/>
      </c>
      <c r="J428" s="3" t="str">
        <f>_xlfn.IFNA(VLOOKUP($E428,Master!$J:$M,3,0),"")</f>
        <v/>
      </c>
      <c r="AC428" s="26">
        <f t="shared" si="12"/>
        <v>0</v>
      </c>
      <c r="AD428" s="26">
        <f t="shared" si="13"/>
        <v>0</v>
      </c>
    </row>
    <row r="429" spans="2:30" ht="15" customHeight="1">
      <c r="B429" s="3" t="str">
        <f>_xlfn.IFNA(VLOOKUP(C429,Master!$J:$K,2,0),"")</f>
        <v/>
      </c>
      <c r="D429" s="4" t="str">
        <f>_xlfn.IFNA(VLOOKUP(E429,Master!$J:$K,2,0),"")</f>
        <v/>
      </c>
      <c r="F429" s="4" t="str">
        <f>_xlfn.IFNA(VLOOKUP(G429,Master!B:C,2,0),"")</f>
        <v/>
      </c>
      <c r="I429" s="3" t="str">
        <f>_xlfn.IFNA(VLOOKUP(E429,Master!$J:$M,4,0),"")</f>
        <v/>
      </c>
      <c r="J429" s="3" t="str">
        <f>_xlfn.IFNA(VLOOKUP($E429,Master!$J:$M,3,0),"")</f>
        <v/>
      </c>
      <c r="AC429" s="26">
        <f t="shared" si="12"/>
        <v>0</v>
      </c>
      <c r="AD429" s="26">
        <f t="shared" si="13"/>
        <v>0</v>
      </c>
    </row>
    <row r="430" spans="2:30" ht="15" customHeight="1">
      <c r="B430" s="3" t="str">
        <f>_xlfn.IFNA(VLOOKUP(C430,Master!$J:$K,2,0),"")</f>
        <v/>
      </c>
      <c r="D430" s="4" t="str">
        <f>_xlfn.IFNA(VLOOKUP(E430,Master!$J:$K,2,0),"")</f>
        <v/>
      </c>
      <c r="F430" s="4" t="str">
        <f>_xlfn.IFNA(VLOOKUP(G430,Master!B:C,2,0),"")</f>
        <v/>
      </c>
      <c r="I430" s="3" t="str">
        <f>_xlfn.IFNA(VLOOKUP(E430,Master!$J:$M,4,0),"")</f>
        <v/>
      </c>
      <c r="J430" s="3" t="str">
        <f>_xlfn.IFNA(VLOOKUP($E430,Master!$J:$M,3,0),"")</f>
        <v/>
      </c>
      <c r="AC430" s="26">
        <f t="shared" si="12"/>
        <v>0</v>
      </c>
      <c r="AD430" s="26">
        <f t="shared" si="13"/>
        <v>0</v>
      </c>
    </row>
    <row r="431" spans="2:30" ht="15" customHeight="1">
      <c r="B431" s="3" t="str">
        <f>_xlfn.IFNA(VLOOKUP(C431,Master!$J:$K,2,0),"")</f>
        <v/>
      </c>
      <c r="D431" s="4" t="str">
        <f>_xlfn.IFNA(VLOOKUP(E431,Master!$J:$K,2,0),"")</f>
        <v/>
      </c>
      <c r="F431" s="4" t="str">
        <f>_xlfn.IFNA(VLOOKUP(G431,Master!B:C,2,0),"")</f>
        <v/>
      </c>
      <c r="I431" s="3" t="str">
        <f>_xlfn.IFNA(VLOOKUP(E431,Master!$J:$M,4,0),"")</f>
        <v/>
      </c>
      <c r="J431" s="3" t="str">
        <f>_xlfn.IFNA(VLOOKUP($E431,Master!$J:$M,3,0),"")</f>
        <v/>
      </c>
      <c r="AC431" s="26">
        <f t="shared" si="12"/>
        <v>0</v>
      </c>
      <c r="AD431" s="26">
        <f t="shared" si="13"/>
        <v>0</v>
      </c>
    </row>
    <row r="432" spans="2:30" ht="15" customHeight="1">
      <c r="B432" s="3" t="str">
        <f>_xlfn.IFNA(VLOOKUP(C432,Master!$J:$K,2,0),"")</f>
        <v/>
      </c>
      <c r="D432" s="4" t="str">
        <f>_xlfn.IFNA(VLOOKUP(E432,Master!$J:$K,2,0),"")</f>
        <v/>
      </c>
      <c r="F432" s="4" t="str">
        <f>_xlfn.IFNA(VLOOKUP(G432,Master!B:C,2,0),"")</f>
        <v/>
      </c>
      <c r="I432" s="3" t="str">
        <f>_xlfn.IFNA(VLOOKUP(E432,Master!$J:$M,4,0),"")</f>
        <v/>
      </c>
      <c r="J432" s="3" t="str">
        <f>_xlfn.IFNA(VLOOKUP($E432,Master!$J:$M,3,0),"")</f>
        <v/>
      </c>
      <c r="AC432" s="26">
        <f t="shared" si="12"/>
        <v>0</v>
      </c>
      <c r="AD432" s="26">
        <f t="shared" si="13"/>
        <v>0</v>
      </c>
    </row>
    <row r="433" spans="2:30" ht="15" customHeight="1">
      <c r="B433" s="3" t="str">
        <f>_xlfn.IFNA(VLOOKUP(C433,Master!$J:$K,2,0),"")</f>
        <v/>
      </c>
      <c r="D433" s="4" t="str">
        <f>_xlfn.IFNA(VLOOKUP(E433,Master!$J:$K,2,0),"")</f>
        <v/>
      </c>
      <c r="F433" s="4" t="str">
        <f>_xlfn.IFNA(VLOOKUP(G433,Master!B:C,2,0),"")</f>
        <v/>
      </c>
      <c r="I433" s="3" t="str">
        <f>_xlfn.IFNA(VLOOKUP(E433,Master!$J:$M,4,0),"")</f>
        <v/>
      </c>
      <c r="J433" s="3" t="str">
        <f>_xlfn.IFNA(VLOOKUP($E433,Master!$J:$M,3,0),"")</f>
        <v/>
      </c>
      <c r="AC433" s="26">
        <f t="shared" si="12"/>
        <v>0</v>
      </c>
      <c r="AD433" s="26">
        <f t="shared" si="13"/>
        <v>0</v>
      </c>
    </row>
    <row r="434" spans="2:30" ht="15" customHeight="1">
      <c r="B434" s="3" t="str">
        <f>_xlfn.IFNA(VLOOKUP(C434,Master!$J:$K,2,0),"")</f>
        <v/>
      </c>
      <c r="D434" s="4" t="str">
        <f>_xlfn.IFNA(VLOOKUP(E434,Master!$J:$K,2,0),"")</f>
        <v/>
      </c>
      <c r="F434" s="4" t="str">
        <f>_xlfn.IFNA(VLOOKUP(G434,Master!B:C,2,0),"")</f>
        <v/>
      </c>
      <c r="I434" s="3" t="str">
        <f>_xlfn.IFNA(VLOOKUP(E434,Master!$J:$M,4,0),"")</f>
        <v/>
      </c>
      <c r="J434" s="3" t="str">
        <f>_xlfn.IFNA(VLOOKUP($E434,Master!$J:$M,3,0),"")</f>
        <v/>
      </c>
      <c r="AC434" s="26">
        <f t="shared" si="12"/>
        <v>0</v>
      </c>
      <c r="AD434" s="26">
        <f t="shared" si="13"/>
        <v>0</v>
      </c>
    </row>
    <row r="435" spans="2:30" ht="15" customHeight="1">
      <c r="B435" s="3" t="str">
        <f>_xlfn.IFNA(VLOOKUP(C435,Master!$J:$K,2,0),"")</f>
        <v/>
      </c>
      <c r="D435" s="4" t="str">
        <f>_xlfn.IFNA(VLOOKUP(E435,Master!$J:$K,2,0),"")</f>
        <v/>
      </c>
      <c r="F435" s="4" t="str">
        <f>_xlfn.IFNA(VLOOKUP(G435,Master!B:C,2,0),"")</f>
        <v/>
      </c>
      <c r="I435" s="3" t="str">
        <f>_xlfn.IFNA(VLOOKUP(E435,Master!$J:$M,4,0),"")</f>
        <v/>
      </c>
      <c r="J435" s="3" t="str">
        <f>_xlfn.IFNA(VLOOKUP($E435,Master!$J:$M,3,0),"")</f>
        <v/>
      </c>
      <c r="AC435" s="26">
        <f t="shared" si="12"/>
        <v>0</v>
      </c>
      <c r="AD435" s="26">
        <f t="shared" si="13"/>
        <v>0</v>
      </c>
    </row>
    <row r="436" spans="2:30" ht="15" customHeight="1">
      <c r="B436" s="3" t="str">
        <f>_xlfn.IFNA(VLOOKUP(C436,Master!$J:$K,2,0),"")</f>
        <v/>
      </c>
      <c r="D436" s="4" t="str">
        <f>_xlfn.IFNA(VLOOKUP(E436,Master!$J:$K,2,0),"")</f>
        <v/>
      </c>
      <c r="F436" s="4" t="str">
        <f>_xlfn.IFNA(VLOOKUP(G436,Master!B:C,2,0),"")</f>
        <v/>
      </c>
      <c r="I436" s="3" t="str">
        <f>_xlfn.IFNA(VLOOKUP(E436,Master!$J:$M,4,0),"")</f>
        <v/>
      </c>
      <c r="J436" s="3" t="str">
        <f>_xlfn.IFNA(VLOOKUP($E436,Master!$J:$M,3,0),"")</f>
        <v/>
      </c>
      <c r="AC436" s="26">
        <f t="shared" si="12"/>
        <v>0</v>
      </c>
      <c r="AD436" s="26">
        <f t="shared" si="13"/>
        <v>0</v>
      </c>
    </row>
    <row r="437" spans="2:30" ht="15" customHeight="1">
      <c r="B437" s="3" t="str">
        <f>_xlfn.IFNA(VLOOKUP(C437,Master!$J:$K,2,0),"")</f>
        <v/>
      </c>
      <c r="D437" s="4" t="str">
        <f>_xlfn.IFNA(VLOOKUP(E437,Master!$J:$K,2,0),"")</f>
        <v/>
      </c>
      <c r="F437" s="4" t="str">
        <f>_xlfn.IFNA(VLOOKUP(G437,Master!B:C,2,0),"")</f>
        <v/>
      </c>
      <c r="I437" s="3" t="str">
        <f>_xlfn.IFNA(VLOOKUP(E437,Master!$J:$M,4,0),"")</f>
        <v/>
      </c>
      <c r="J437" s="3" t="str">
        <f>_xlfn.IFNA(VLOOKUP($E437,Master!$J:$M,3,0),"")</f>
        <v/>
      </c>
      <c r="AC437" s="26">
        <f t="shared" si="12"/>
        <v>0</v>
      </c>
      <c r="AD437" s="26">
        <f t="shared" si="13"/>
        <v>0</v>
      </c>
    </row>
    <row r="438" spans="2:30" ht="15" customHeight="1">
      <c r="B438" s="3" t="str">
        <f>_xlfn.IFNA(VLOOKUP(C438,Master!$J:$K,2,0),"")</f>
        <v/>
      </c>
      <c r="D438" s="4" t="str">
        <f>_xlfn.IFNA(VLOOKUP(E438,Master!$J:$K,2,0),"")</f>
        <v/>
      </c>
      <c r="F438" s="4" t="str">
        <f>_xlfn.IFNA(VLOOKUP(G438,Master!B:C,2,0),"")</f>
        <v/>
      </c>
      <c r="I438" s="3" t="str">
        <f>_xlfn.IFNA(VLOOKUP(E438,Master!$J:$M,4,0),"")</f>
        <v/>
      </c>
      <c r="J438" s="3" t="str">
        <f>_xlfn.IFNA(VLOOKUP($E438,Master!$J:$M,3,0),"")</f>
        <v/>
      </c>
      <c r="AC438" s="26">
        <f t="shared" si="12"/>
        <v>0</v>
      </c>
      <c r="AD438" s="26">
        <f t="shared" si="13"/>
        <v>0</v>
      </c>
    </row>
    <row r="439" spans="2:30" ht="15" customHeight="1">
      <c r="B439" s="3" t="str">
        <f>_xlfn.IFNA(VLOOKUP(C439,Master!$J:$K,2,0),"")</f>
        <v/>
      </c>
      <c r="D439" s="4" t="str">
        <f>_xlfn.IFNA(VLOOKUP(E439,Master!$J:$K,2,0),"")</f>
        <v/>
      </c>
      <c r="F439" s="4" t="str">
        <f>_xlfn.IFNA(VLOOKUP(G439,Master!B:C,2,0),"")</f>
        <v/>
      </c>
      <c r="I439" s="3" t="str">
        <f>_xlfn.IFNA(VLOOKUP(E439,Master!$J:$M,4,0),"")</f>
        <v/>
      </c>
      <c r="J439" s="3" t="str">
        <f>_xlfn.IFNA(VLOOKUP($E439,Master!$J:$M,3,0),"")</f>
        <v/>
      </c>
      <c r="AC439" s="26">
        <f t="shared" si="12"/>
        <v>0</v>
      </c>
      <c r="AD439" s="26">
        <f t="shared" si="13"/>
        <v>0</v>
      </c>
    </row>
    <row r="440" spans="2:30" ht="15" customHeight="1">
      <c r="B440" s="3" t="str">
        <f>_xlfn.IFNA(VLOOKUP(C440,Master!$J:$K,2,0),"")</f>
        <v/>
      </c>
      <c r="D440" s="4" t="str">
        <f>_xlfn.IFNA(VLOOKUP(E440,Master!$J:$K,2,0),"")</f>
        <v/>
      </c>
      <c r="F440" s="4" t="str">
        <f>_xlfn.IFNA(VLOOKUP(G440,Master!B:C,2,0),"")</f>
        <v/>
      </c>
      <c r="I440" s="3" t="str">
        <f>_xlfn.IFNA(VLOOKUP(E440,Master!$J:$M,4,0),"")</f>
        <v/>
      </c>
      <c r="J440" s="3" t="str">
        <f>_xlfn.IFNA(VLOOKUP($E440,Master!$J:$M,3,0),"")</f>
        <v/>
      </c>
      <c r="AC440" s="26">
        <f t="shared" si="12"/>
        <v>0</v>
      </c>
      <c r="AD440" s="26">
        <f t="shared" si="13"/>
        <v>0</v>
      </c>
    </row>
    <row r="441" spans="2:30" ht="15" customHeight="1">
      <c r="B441" s="3" t="str">
        <f>_xlfn.IFNA(VLOOKUP(C441,Master!$J:$K,2,0),"")</f>
        <v/>
      </c>
      <c r="D441" s="4" t="str">
        <f>_xlfn.IFNA(VLOOKUP(E441,Master!$J:$K,2,0),"")</f>
        <v/>
      </c>
      <c r="F441" s="4" t="str">
        <f>_xlfn.IFNA(VLOOKUP(G441,Master!B:C,2,0),"")</f>
        <v/>
      </c>
      <c r="I441" s="3" t="str">
        <f>_xlfn.IFNA(VLOOKUP(E441,Master!$J:$M,4,0),"")</f>
        <v/>
      </c>
      <c r="J441" s="3" t="str">
        <f>_xlfn.IFNA(VLOOKUP($E441,Master!$J:$M,3,0),"")</f>
        <v/>
      </c>
      <c r="AC441" s="26">
        <f t="shared" si="12"/>
        <v>0</v>
      </c>
      <c r="AD441" s="26">
        <f t="shared" si="13"/>
        <v>0</v>
      </c>
    </row>
    <row r="442" spans="2:30" ht="15" customHeight="1">
      <c r="B442" s="3" t="str">
        <f>_xlfn.IFNA(VLOOKUP(C442,Master!$J:$K,2,0),"")</f>
        <v/>
      </c>
      <c r="D442" s="4" t="str">
        <f>_xlfn.IFNA(VLOOKUP(E442,Master!$J:$K,2,0),"")</f>
        <v/>
      </c>
      <c r="F442" s="4" t="str">
        <f>_xlfn.IFNA(VLOOKUP(G442,Master!B:C,2,0),"")</f>
        <v/>
      </c>
      <c r="I442" s="3" t="str">
        <f>_xlfn.IFNA(VLOOKUP(E442,Master!$J:$M,4,0),"")</f>
        <v/>
      </c>
      <c r="J442" s="3" t="str">
        <f>_xlfn.IFNA(VLOOKUP($E442,Master!$J:$M,3,0),"")</f>
        <v/>
      </c>
      <c r="AC442" s="26">
        <f t="shared" si="12"/>
        <v>0</v>
      </c>
      <c r="AD442" s="26">
        <f t="shared" si="13"/>
        <v>0</v>
      </c>
    </row>
    <row r="443" spans="2:30" ht="15" customHeight="1">
      <c r="B443" s="3" t="str">
        <f>_xlfn.IFNA(VLOOKUP(C443,Master!$J:$K,2,0),"")</f>
        <v/>
      </c>
      <c r="D443" s="4" t="str">
        <f>_xlfn.IFNA(VLOOKUP(E443,Master!$J:$K,2,0),"")</f>
        <v/>
      </c>
      <c r="F443" s="4" t="str">
        <f>_xlfn.IFNA(VLOOKUP(G443,Master!B:C,2,0),"")</f>
        <v/>
      </c>
      <c r="I443" s="3" t="str">
        <f>_xlfn.IFNA(VLOOKUP(E443,Master!$J:$M,4,0),"")</f>
        <v/>
      </c>
      <c r="J443" s="3" t="str">
        <f>_xlfn.IFNA(VLOOKUP($E443,Master!$J:$M,3,0),"")</f>
        <v/>
      </c>
      <c r="AC443" s="26">
        <f t="shared" si="12"/>
        <v>0</v>
      </c>
      <c r="AD443" s="26">
        <f t="shared" si="13"/>
        <v>0</v>
      </c>
    </row>
    <row r="444" spans="2:30" ht="15" customHeight="1">
      <c r="B444" s="3" t="str">
        <f>_xlfn.IFNA(VLOOKUP(C444,Master!$J:$K,2,0),"")</f>
        <v/>
      </c>
      <c r="D444" s="4" t="str">
        <f>_xlfn.IFNA(VLOOKUP(E444,Master!$J:$K,2,0),"")</f>
        <v/>
      </c>
      <c r="F444" s="4" t="str">
        <f>_xlfn.IFNA(VLOOKUP(G444,Master!B:C,2,0),"")</f>
        <v/>
      </c>
      <c r="I444" s="3" t="str">
        <f>_xlfn.IFNA(VLOOKUP(E444,Master!$J:$M,4,0),"")</f>
        <v/>
      </c>
      <c r="J444" s="3" t="str">
        <f>_xlfn.IFNA(VLOOKUP($E444,Master!$J:$M,3,0),"")</f>
        <v/>
      </c>
      <c r="AC444" s="26">
        <f t="shared" si="12"/>
        <v>0</v>
      </c>
      <c r="AD444" s="26">
        <f t="shared" si="13"/>
        <v>0</v>
      </c>
    </row>
    <row r="445" spans="2:30" ht="15" customHeight="1">
      <c r="B445" s="3" t="str">
        <f>_xlfn.IFNA(VLOOKUP(C445,Master!$J:$K,2,0),"")</f>
        <v/>
      </c>
      <c r="D445" s="4" t="str">
        <f>_xlfn.IFNA(VLOOKUP(E445,Master!$J:$K,2,0),"")</f>
        <v/>
      </c>
      <c r="F445" s="4" t="str">
        <f>_xlfn.IFNA(VLOOKUP(G445,Master!B:C,2,0),"")</f>
        <v/>
      </c>
      <c r="I445" s="3" t="str">
        <f>_xlfn.IFNA(VLOOKUP(E445,Master!$J:$M,4,0),"")</f>
        <v/>
      </c>
      <c r="J445" s="3" t="str">
        <f>_xlfn.IFNA(VLOOKUP($E445,Master!$J:$M,3,0),"")</f>
        <v/>
      </c>
      <c r="AC445" s="26">
        <f t="shared" si="12"/>
        <v>0</v>
      </c>
      <c r="AD445" s="26">
        <f t="shared" si="13"/>
        <v>0</v>
      </c>
    </row>
    <row r="446" spans="2:30" ht="15" customHeight="1">
      <c r="B446" s="3" t="str">
        <f>_xlfn.IFNA(VLOOKUP(C446,Master!$J:$K,2,0),"")</f>
        <v/>
      </c>
      <c r="D446" s="4" t="str">
        <f>_xlfn.IFNA(VLOOKUP(E446,Master!$J:$K,2,0),"")</f>
        <v/>
      </c>
      <c r="F446" s="4" t="str">
        <f>_xlfn.IFNA(VLOOKUP(G446,Master!B:C,2,0),"")</f>
        <v/>
      </c>
      <c r="I446" s="3" t="str">
        <f>_xlfn.IFNA(VLOOKUP(E446,Master!$J:$M,4,0),"")</f>
        <v/>
      </c>
      <c r="J446" s="3" t="str">
        <f>_xlfn.IFNA(VLOOKUP($E446,Master!$J:$M,3,0),"")</f>
        <v/>
      </c>
      <c r="AC446" s="26">
        <f t="shared" si="12"/>
        <v>0</v>
      </c>
      <c r="AD446" s="26">
        <f t="shared" si="13"/>
        <v>0</v>
      </c>
    </row>
    <row r="447" spans="2:30" ht="15" customHeight="1">
      <c r="B447" s="3" t="str">
        <f>_xlfn.IFNA(VLOOKUP(C447,Master!$J:$K,2,0),"")</f>
        <v/>
      </c>
      <c r="D447" s="4" t="str">
        <f>_xlfn.IFNA(VLOOKUP(E447,Master!$J:$K,2,0),"")</f>
        <v/>
      </c>
      <c r="F447" s="4" t="str">
        <f>_xlfn.IFNA(VLOOKUP(G447,Master!B:C,2,0),"")</f>
        <v/>
      </c>
      <c r="I447" s="3" t="str">
        <f>_xlfn.IFNA(VLOOKUP(E447,Master!$J:$M,4,0),"")</f>
        <v/>
      </c>
      <c r="J447" s="3" t="str">
        <f>_xlfn.IFNA(VLOOKUP($E447,Master!$J:$M,3,0),"")</f>
        <v/>
      </c>
      <c r="AC447" s="26">
        <f t="shared" si="12"/>
        <v>0</v>
      </c>
      <c r="AD447" s="26">
        <f t="shared" si="13"/>
        <v>0</v>
      </c>
    </row>
    <row r="448" spans="2:30" ht="15" customHeight="1">
      <c r="B448" s="3" t="str">
        <f>_xlfn.IFNA(VLOOKUP(C448,Master!$J:$K,2,0),"")</f>
        <v/>
      </c>
      <c r="D448" s="4" t="str">
        <f>_xlfn.IFNA(VLOOKUP(E448,Master!$J:$K,2,0),"")</f>
        <v/>
      </c>
      <c r="F448" s="4" t="str">
        <f>_xlfn.IFNA(VLOOKUP(G448,Master!B:C,2,0),"")</f>
        <v/>
      </c>
      <c r="I448" s="3" t="str">
        <f>_xlfn.IFNA(VLOOKUP(E448,Master!$J:$M,4,0),"")</f>
        <v/>
      </c>
      <c r="J448" s="3" t="str">
        <f>_xlfn.IFNA(VLOOKUP($E448,Master!$J:$M,3,0),"")</f>
        <v/>
      </c>
      <c r="AC448" s="26">
        <f t="shared" si="12"/>
        <v>0</v>
      </c>
      <c r="AD448" s="26">
        <f t="shared" si="13"/>
        <v>0</v>
      </c>
    </row>
    <row r="449" spans="2:30" ht="15" customHeight="1">
      <c r="B449" s="3" t="str">
        <f>_xlfn.IFNA(VLOOKUP(C449,Master!$J:$K,2,0),"")</f>
        <v/>
      </c>
      <c r="D449" s="4" t="str">
        <f>_xlfn.IFNA(VLOOKUP(E449,Master!$J:$K,2,0),"")</f>
        <v/>
      </c>
      <c r="F449" s="4" t="str">
        <f>_xlfn.IFNA(VLOOKUP(G449,Master!B:C,2,0),"")</f>
        <v/>
      </c>
      <c r="I449" s="3" t="str">
        <f>_xlfn.IFNA(VLOOKUP(E449,Master!$J:$M,4,0),"")</f>
        <v/>
      </c>
      <c r="J449" s="3" t="str">
        <f>_xlfn.IFNA(VLOOKUP($E449,Master!$J:$M,3,0),"")</f>
        <v/>
      </c>
      <c r="AC449" s="26">
        <f t="shared" si="12"/>
        <v>0</v>
      </c>
      <c r="AD449" s="26">
        <f t="shared" si="13"/>
        <v>0</v>
      </c>
    </row>
    <row r="450" spans="2:30" ht="15" customHeight="1">
      <c r="B450" s="3" t="str">
        <f>_xlfn.IFNA(VLOOKUP(C450,Master!$J:$K,2,0),"")</f>
        <v/>
      </c>
      <c r="D450" s="4" t="str">
        <f>_xlfn.IFNA(VLOOKUP(E450,Master!$J:$K,2,0),"")</f>
        <v/>
      </c>
      <c r="F450" s="4" t="str">
        <f>_xlfn.IFNA(VLOOKUP(G450,Master!B:C,2,0),"")</f>
        <v/>
      </c>
      <c r="I450" s="3" t="str">
        <f>_xlfn.IFNA(VLOOKUP(E450,Master!$J:$M,4,0),"")</f>
        <v/>
      </c>
      <c r="J450" s="3" t="str">
        <f>_xlfn.IFNA(VLOOKUP($E450,Master!$J:$M,3,0),"")</f>
        <v/>
      </c>
      <c r="AC450" s="26">
        <f t="shared" ref="AC450:AC513" si="14">SUM(K450:P450)</f>
        <v>0</v>
      </c>
      <c r="AD450" s="26">
        <f t="shared" ref="AD450:AD513" si="15">SUM(Q450:AB450)</f>
        <v>0</v>
      </c>
    </row>
    <row r="451" spans="2:30" ht="15" customHeight="1">
      <c r="B451" s="3" t="str">
        <f>_xlfn.IFNA(VLOOKUP(C451,Master!$J:$K,2,0),"")</f>
        <v/>
      </c>
      <c r="D451" s="4" t="str">
        <f>_xlfn.IFNA(VLOOKUP(E451,Master!$J:$K,2,0),"")</f>
        <v/>
      </c>
      <c r="F451" s="4" t="str">
        <f>_xlfn.IFNA(VLOOKUP(G451,Master!B:C,2,0),"")</f>
        <v/>
      </c>
      <c r="I451" s="3" t="str">
        <f>_xlfn.IFNA(VLOOKUP(E451,Master!$J:$M,4,0),"")</f>
        <v/>
      </c>
      <c r="J451" s="3" t="str">
        <f>_xlfn.IFNA(VLOOKUP($E451,Master!$J:$M,3,0),"")</f>
        <v/>
      </c>
      <c r="AC451" s="26">
        <f t="shared" si="14"/>
        <v>0</v>
      </c>
      <c r="AD451" s="26">
        <f t="shared" si="15"/>
        <v>0</v>
      </c>
    </row>
    <row r="452" spans="2:30" ht="15" customHeight="1">
      <c r="B452" s="3" t="str">
        <f>_xlfn.IFNA(VLOOKUP(C452,Master!$J:$K,2,0),"")</f>
        <v/>
      </c>
      <c r="F452" s="4" t="str">
        <f>_xlfn.IFNA(VLOOKUP(G452,Master!B:C,2,0),"")</f>
        <v/>
      </c>
      <c r="I452" s="3" t="str">
        <f>_xlfn.IFNA(VLOOKUP(E452,Master!$J:$M,4,0),"")</f>
        <v/>
      </c>
      <c r="J452" s="3" t="str">
        <f>_xlfn.IFNA(VLOOKUP($E452,Master!$J:$M,3,0),"")</f>
        <v/>
      </c>
      <c r="AC452" s="26">
        <f t="shared" si="14"/>
        <v>0</v>
      </c>
      <c r="AD452" s="26">
        <f t="shared" si="15"/>
        <v>0</v>
      </c>
    </row>
    <row r="453" spans="2:30" ht="15" customHeight="1">
      <c r="B453" s="3" t="str">
        <f>_xlfn.IFNA(VLOOKUP(C453,Master!$J:$K,2,0),"")</f>
        <v/>
      </c>
      <c r="F453" s="4" t="str">
        <f>_xlfn.IFNA(VLOOKUP(G453,Master!B:C,2,0),"")</f>
        <v/>
      </c>
      <c r="I453" s="3" t="str">
        <f>_xlfn.IFNA(VLOOKUP(E453,Master!$J:$M,4,0),"")</f>
        <v/>
      </c>
      <c r="J453" s="3" t="str">
        <f>_xlfn.IFNA(VLOOKUP($E453,Master!$J:$M,3,0),"")</f>
        <v/>
      </c>
      <c r="AC453" s="26">
        <f t="shared" si="14"/>
        <v>0</v>
      </c>
      <c r="AD453" s="26">
        <f t="shared" si="15"/>
        <v>0</v>
      </c>
    </row>
    <row r="454" spans="2:30" ht="15" customHeight="1">
      <c r="B454" s="3" t="str">
        <f>_xlfn.IFNA(VLOOKUP(C454,Master!$J:$K,2,0),"")</f>
        <v/>
      </c>
      <c r="F454" s="4" t="str">
        <f>_xlfn.IFNA(VLOOKUP(G454,Master!B:C,2,0),"")</f>
        <v/>
      </c>
      <c r="I454" s="3" t="str">
        <f>_xlfn.IFNA(VLOOKUP(E454,Master!$J:$M,4,0),"")</f>
        <v/>
      </c>
      <c r="J454" s="3" t="str">
        <f>_xlfn.IFNA(VLOOKUP($E454,Master!$J:$M,3,0),"")</f>
        <v/>
      </c>
      <c r="AC454" s="26">
        <f t="shared" si="14"/>
        <v>0</v>
      </c>
      <c r="AD454" s="26">
        <f t="shared" si="15"/>
        <v>0</v>
      </c>
    </row>
    <row r="455" spans="2:30" ht="15" customHeight="1">
      <c r="B455" s="3" t="str">
        <f>_xlfn.IFNA(VLOOKUP(C455,Master!$J:$K,2,0),"")</f>
        <v/>
      </c>
      <c r="F455" s="4" t="str">
        <f>_xlfn.IFNA(VLOOKUP(G455,Master!B:C,2,0),"")</f>
        <v/>
      </c>
      <c r="I455" s="3" t="str">
        <f>_xlfn.IFNA(VLOOKUP(E455,Master!$J:$M,4,0),"")</f>
        <v/>
      </c>
      <c r="J455" s="3" t="str">
        <f>_xlfn.IFNA(VLOOKUP($E455,Master!$J:$M,3,0),"")</f>
        <v/>
      </c>
      <c r="AC455" s="26">
        <f t="shared" si="14"/>
        <v>0</v>
      </c>
      <c r="AD455" s="26">
        <f t="shared" si="15"/>
        <v>0</v>
      </c>
    </row>
    <row r="456" spans="2:30" ht="15" customHeight="1">
      <c r="B456" s="3" t="str">
        <f>_xlfn.IFNA(VLOOKUP(C456,Master!$J:$K,2,0),"")</f>
        <v/>
      </c>
      <c r="F456" s="4" t="str">
        <f>_xlfn.IFNA(VLOOKUP(G456,Master!B:C,2,0),"")</f>
        <v/>
      </c>
      <c r="I456" s="3" t="str">
        <f>_xlfn.IFNA(VLOOKUP(E456,Master!$J:$M,4,0),"")</f>
        <v/>
      </c>
      <c r="J456" s="3" t="str">
        <f>_xlfn.IFNA(VLOOKUP($E456,Master!$J:$M,3,0),"")</f>
        <v/>
      </c>
      <c r="AC456" s="26">
        <f t="shared" si="14"/>
        <v>0</v>
      </c>
      <c r="AD456" s="26">
        <f t="shared" si="15"/>
        <v>0</v>
      </c>
    </row>
    <row r="457" spans="2:30" ht="15" customHeight="1">
      <c r="B457" s="3" t="str">
        <f>_xlfn.IFNA(VLOOKUP(C457,Master!$J:$K,2,0),"")</f>
        <v/>
      </c>
      <c r="F457" s="4" t="str">
        <f>_xlfn.IFNA(VLOOKUP(G457,Master!B:C,2,0),"")</f>
        <v/>
      </c>
      <c r="I457" s="3" t="str">
        <f>_xlfn.IFNA(VLOOKUP(E457,Master!$J:$M,4,0),"")</f>
        <v/>
      </c>
      <c r="J457" s="3" t="str">
        <f>_xlfn.IFNA(VLOOKUP($E457,Master!$J:$M,3,0),"")</f>
        <v/>
      </c>
      <c r="AC457" s="26">
        <f t="shared" si="14"/>
        <v>0</v>
      </c>
      <c r="AD457" s="26">
        <f t="shared" si="15"/>
        <v>0</v>
      </c>
    </row>
    <row r="458" spans="2:30" ht="15" customHeight="1">
      <c r="B458" s="3" t="str">
        <f>_xlfn.IFNA(VLOOKUP(C458,Master!$J:$K,2,0),"")</f>
        <v/>
      </c>
      <c r="F458" s="4" t="str">
        <f>_xlfn.IFNA(VLOOKUP(G458,Master!B:C,2,0),"")</f>
        <v/>
      </c>
      <c r="I458" s="3" t="str">
        <f>_xlfn.IFNA(VLOOKUP(E458,Master!$J:$M,4,0),"")</f>
        <v/>
      </c>
      <c r="J458" s="3" t="str">
        <f>_xlfn.IFNA(VLOOKUP($E458,Master!$J:$M,3,0),"")</f>
        <v/>
      </c>
      <c r="AC458" s="26">
        <f t="shared" si="14"/>
        <v>0</v>
      </c>
      <c r="AD458" s="26">
        <f t="shared" si="15"/>
        <v>0</v>
      </c>
    </row>
    <row r="459" spans="2:30" ht="15" customHeight="1">
      <c r="B459" s="3" t="str">
        <f>_xlfn.IFNA(VLOOKUP(C459,Master!$J:$K,2,0),"")</f>
        <v/>
      </c>
      <c r="F459" s="4" t="str">
        <f>_xlfn.IFNA(VLOOKUP(G459,Master!B:C,2,0),"")</f>
        <v/>
      </c>
      <c r="I459" s="3" t="str">
        <f>_xlfn.IFNA(VLOOKUP(E459,Master!$J:$M,4,0),"")</f>
        <v/>
      </c>
      <c r="J459" s="3" t="str">
        <f>_xlfn.IFNA(VLOOKUP($E459,Master!$J:$M,3,0),"")</f>
        <v/>
      </c>
      <c r="AC459" s="26">
        <f t="shared" si="14"/>
        <v>0</v>
      </c>
      <c r="AD459" s="26">
        <f t="shared" si="15"/>
        <v>0</v>
      </c>
    </row>
    <row r="460" spans="2:30" ht="15" customHeight="1">
      <c r="B460" s="3" t="str">
        <f>_xlfn.IFNA(VLOOKUP(C460,Master!$J:$K,2,0),"")</f>
        <v/>
      </c>
      <c r="F460" s="4" t="str">
        <f>_xlfn.IFNA(VLOOKUP(G460,Master!B:C,2,0),"")</f>
        <v/>
      </c>
      <c r="I460" s="3" t="str">
        <f>_xlfn.IFNA(VLOOKUP(E460,Master!$J:$M,4,0),"")</f>
        <v/>
      </c>
      <c r="J460" s="3" t="str">
        <f>_xlfn.IFNA(VLOOKUP($E460,Master!$J:$M,3,0),"")</f>
        <v/>
      </c>
      <c r="AC460" s="26">
        <f t="shared" si="14"/>
        <v>0</v>
      </c>
      <c r="AD460" s="26">
        <f t="shared" si="15"/>
        <v>0</v>
      </c>
    </row>
    <row r="461" spans="2:30" ht="15" customHeight="1">
      <c r="B461" s="3" t="str">
        <f>_xlfn.IFNA(VLOOKUP(C461,Master!$J:$K,2,0),"")</f>
        <v/>
      </c>
      <c r="F461" s="4" t="str">
        <f>_xlfn.IFNA(VLOOKUP(G461,Master!B:C,2,0),"")</f>
        <v/>
      </c>
      <c r="I461" s="3" t="str">
        <f>_xlfn.IFNA(VLOOKUP(E461,Master!$J:$M,4,0),"")</f>
        <v/>
      </c>
      <c r="J461" s="3" t="str">
        <f>_xlfn.IFNA(VLOOKUP($E461,Master!$J:$M,3,0),"")</f>
        <v/>
      </c>
      <c r="AC461" s="26">
        <f t="shared" si="14"/>
        <v>0</v>
      </c>
      <c r="AD461" s="26">
        <f t="shared" si="15"/>
        <v>0</v>
      </c>
    </row>
    <row r="462" spans="2:30" ht="15" customHeight="1">
      <c r="B462" s="3" t="str">
        <f>_xlfn.IFNA(VLOOKUP(C462,Master!$J:$K,2,0),"")</f>
        <v/>
      </c>
      <c r="F462" s="4" t="str">
        <f>_xlfn.IFNA(VLOOKUP(G462,Master!B:C,2,0),"")</f>
        <v/>
      </c>
      <c r="I462" s="3" t="str">
        <f>_xlfn.IFNA(VLOOKUP(E462,Master!$J:$M,4,0),"")</f>
        <v/>
      </c>
      <c r="J462" s="3" t="str">
        <f>_xlfn.IFNA(VLOOKUP($E462,Master!$J:$M,3,0),"")</f>
        <v/>
      </c>
      <c r="AC462" s="26">
        <f t="shared" si="14"/>
        <v>0</v>
      </c>
      <c r="AD462" s="26">
        <f t="shared" si="15"/>
        <v>0</v>
      </c>
    </row>
    <row r="463" spans="2:30" ht="15" customHeight="1">
      <c r="B463" s="3" t="str">
        <f>_xlfn.IFNA(VLOOKUP(C463,Master!$J:$K,2,0),"")</f>
        <v/>
      </c>
      <c r="F463" s="4" t="str">
        <f>_xlfn.IFNA(VLOOKUP(G463,Master!B:C,2,0),"")</f>
        <v/>
      </c>
      <c r="I463" s="3" t="str">
        <f>_xlfn.IFNA(VLOOKUP(E463,Master!$J:$M,4,0),"")</f>
        <v/>
      </c>
      <c r="J463" s="3" t="str">
        <f>_xlfn.IFNA(VLOOKUP($E463,Master!$J:$M,3,0),"")</f>
        <v/>
      </c>
      <c r="AC463" s="26">
        <f t="shared" si="14"/>
        <v>0</v>
      </c>
      <c r="AD463" s="26">
        <f t="shared" si="15"/>
        <v>0</v>
      </c>
    </row>
    <row r="464" spans="2:30" ht="15" customHeight="1">
      <c r="B464" s="3" t="str">
        <f>_xlfn.IFNA(VLOOKUP(C464,Master!$J:$K,2,0),"")</f>
        <v/>
      </c>
      <c r="F464" s="4" t="str">
        <f>_xlfn.IFNA(VLOOKUP(G464,Master!B:C,2,0),"")</f>
        <v/>
      </c>
      <c r="I464" s="3" t="str">
        <f>_xlfn.IFNA(VLOOKUP(E464,Master!$J:$M,4,0),"")</f>
        <v/>
      </c>
      <c r="J464" s="3" t="str">
        <f>_xlfn.IFNA(VLOOKUP($E464,Master!$J:$M,3,0),"")</f>
        <v/>
      </c>
      <c r="AC464" s="26">
        <f t="shared" si="14"/>
        <v>0</v>
      </c>
      <c r="AD464" s="26">
        <f t="shared" si="15"/>
        <v>0</v>
      </c>
    </row>
    <row r="465" spans="2:30" ht="15" customHeight="1">
      <c r="B465" s="3" t="str">
        <f>_xlfn.IFNA(VLOOKUP(C465,Master!$J:$K,2,0),"")</f>
        <v/>
      </c>
      <c r="F465" s="4" t="str">
        <f>_xlfn.IFNA(VLOOKUP(G465,Master!B:C,2,0),"")</f>
        <v/>
      </c>
      <c r="I465" s="3" t="str">
        <f>_xlfn.IFNA(VLOOKUP(E465,Master!$J:$M,4,0),"")</f>
        <v/>
      </c>
      <c r="J465" s="3" t="str">
        <f>_xlfn.IFNA(VLOOKUP($E465,Master!$J:$M,3,0),"")</f>
        <v/>
      </c>
      <c r="AC465" s="26">
        <f t="shared" si="14"/>
        <v>0</v>
      </c>
      <c r="AD465" s="26">
        <f t="shared" si="15"/>
        <v>0</v>
      </c>
    </row>
    <row r="466" spans="2:30" ht="15" customHeight="1">
      <c r="B466" s="3" t="str">
        <f>_xlfn.IFNA(VLOOKUP(C466,Master!$J:$K,2,0),"")</f>
        <v/>
      </c>
      <c r="F466" s="4" t="str">
        <f>_xlfn.IFNA(VLOOKUP(G466,Master!B:C,2,0),"")</f>
        <v/>
      </c>
      <c r="I466" s="3" t="str">
        <f>_xlfn.IFNA(VLOOKUP(E466,Master!$J:$M,4,0),"")</f>
        <v/>
      </c>
      <c r="J466" s="3" t="str">
        <f>_xlfn.IFNA(VLOOKUP($E466,Master!$J:$M,3,0),"")</f>
        <v/>
      </c>
      <c r="AC466" s="26">
        <f t="shared" si="14"/>
        <v>0</v>
      </c>
      <c r="AD466" s="26">
        <f t="shared" si="15"/>
        <v>0</v>
      </c>
    </row>
    <row r="467" spans="2:30" ht="15" customHeight="1">
      <c r="B467" s="3" t="str">
        <f>_xlfn.IFNA(VLOOKUP(C467,Master!$J:$K,2,0),"")</f>
        <v/>
      </c>
      <c r="F467" s="4" t="str">
        <f>_xlfn.IFNA(VLOOKUP(G467,Master!B:C,2,0),"")</f>
        <v/>
      </c>
      <c r="I467" s="3" t="str">
        <f>_xlfn.IFNA(VLOOKUP(E467,Master!$J:$M,4,0),"")</f>
        <v/>
      </c>
      <c r="J467" s="3" t="str">
        <f>_xlfn.IFNA(VLOOKUP($E467,Master!$J:$M,3,0),"")</f>
        <v/>
      </c>
      <c r="AC467" s="26">
        <f t="shared" si="14"/>
        <v>0</v>
      </c>
      <c r="AD467" s="26">
        <f t="shared" si="15"/>
        <v>0</v>
      </c>
    </row>
    <row r="468" spans="2:30" ht="15" customHeight="1">
      <c r="B468" s="3" t="str">
        <f>_xlfn.IFNA(VLOOKUP(C468,Master!$J:$K,2,0),"")</f>
        <v/>
      </c>
      <c r="F468" s="4" t="str">
        <f>_xlfn.IFNA(VLOOKUP(G468,Master!B:C,2,0),"")</f>
        <v/>
      </c>
      <c r="I468" s="3" t="str">
        <f>_xlfn.IFNA(VLOOKUP(E468,Master!$J:$M,4,0),"")</f>
        <v/>
      </c>
      <c r="J468" s="3" t="str">
        <f>_xlfn.IFNA(VLOOKUP($E468,Master!$J:$M,3,0),"")</f>
        <v/>
      </c>
      <c r="AC468" s="26">
        <f t="shared" si="14"/>
        <v>0</v>
      </c>
      <c r="AD468" s="26">
        <f t="shared" si="15"/>
        <v>0</v>
      </c>
    </row>
    <row r="469" spans="2:30" ht="15" customHeight="1">
      <c r="B469" s="3" t="str">
        <f>_xlfn.IFNA(VLOOKUP(C469,Master!$J:$K,2,0),"")</f>
        <v/>
      </c>
      <c r="F469" s="4" t="str">
        <f>_xlfn.IFNA(VLOOKUP(G469,Master!B:C,2,0),"")</f>
        <v/>
      </c>
      <c r="I469" s="3" t="str">
        <f>_xlfn.IFNA(VLOOKUP(E469,Master!$J:$M,4,0),"")</f>
        <v/>
      </c>
      <c r="J469" s="3" t="str">
        <f>_xlfn.IFNA(VLOOKUP($E469,Master!$J:$M,3,0),"")</f>
        <v/>
      </c>
      <c r="AC469" s="26">
        <f t="shared" si="14"/>
        <v>0</v>
      </c>
      <c r="AD469" s="26">
        <f t="shared" si="15"/>
        <v>0</v>
      </c>
    </row>
    <row r="470" spans="2:30" ht="15" customHeight="1">
      <c r="B470" s="3" t="str">
        <f>_xlfn.IFNA(VLOOKUP(C470,Master!$J:$K,2,0),"")</f>
        <v/>
      </c>
      <c r="F470" s="4" t="str">
        <f>_xlfn.IFNA(VLOOKUP(G470,Master!B:C,2,0),"")</f>
        <v/>
      </c>
      <c r="I470" s="3" t="str">
        <f>_xlfn.IFNA(VLOOKUP(E470,Master!$J:$M,4,0),"")</f>
        <v/>
      </c>
      <c r="J470" s="3" t="str">
        <f>_xlfn.IFNA(VLOOKUP($E470,Master!$J:$M,3,0),"")</f>
        <v/>
      </c>
      <c r="AC470" s="26">
        <f t="shared" si="14"/>
        <v>0</v>
      </c>
      <c r="AD470" s="26">
        <f t="shared" si="15"/>
        <v>0</v>
      </c>
    </row>
    <row r="471" spans="2:30" ht="15" customHeight="1">
      <c r="B471" s="3" t="str">
        <f>_xlfn.IFNA(VLOOKUP(C471,Master!$J:$K,2,0),"")</f>
        <v/>
      </c>
      <c r="F471" s="4" t="str">
        <f>_xlfn.IFNA(VLOOKUP(G471,Master!B:C,2,0),"")</f>
        <v/>
      </c>
      <c r="I471" s="3" t="str">
        <f>_xlfn.IFNA(VLOOKUP(E471,Master!$J:$M,4,0),"")</f>
        <v/>
      </c>
      <c r="J471" s="3" t="str">
        <f>_xlfn.IFNA(VLOOKUP($E471,Master!$J:$M,3,0),"")</f>
        <v/>
      </c>
      <c r="AC471" s="26">
        <f t="shared" si="14"/>
        <v>0</v>
      </c>
      <c r="AD471" s="26">
        <f t="shared" si="15"/>
        <v>0</v>
      </c>
    </row>
    <row r="472" spans="2:30" ht="15" customHeight="1">
      <c r="B472" s="3" t="str">
        <f>_xlfn.IFNA(VLOOKUP(C472,Master!$J:$K,2,0),"")</f>
        <v/>
      </c>
      <c r="F472" s="4" t="str">
        <f>_xlfn.IFNA(VLOOKUP(G472,Master!B:C,2,0),"")</f>
        <v/>
      </c>
      <c r="I472" s="3" t="str">
        <f>_xlfn.IFNA(VLOOKUP(E472,Master!$J:$M,4,0),"")</f>
        <v/>
      </c>
      <c r="J472" s="3" t="str">
        <f>_xlfn.IFNA(VLOOKUP($E472,Master!$J:$M,3,0),"")</f>
        <v/>
      </c>
      <c r="AC472" s="26">
        <f t="shared" si="14"/>
        <v>0</v>
      </c>
      <c r="AD472" s="26">
        <f t="shared" si="15"/>
        <v>0</v>
      </c>
    </row>
    <row r="473" spans="2:30" ht="15" customHeight="1">
      <c r="B473" s="3" t="str">
        <f>_xlfn.IFNA(VLOOKUP(C473,Master!$J:$K,2,0),"")</f>
        <v/>
      </c>
      <c r="F473" s="4" t="str">
        <f>_xlfn.IFNA(VLOOKUP(G473,Master!B:C,2,0),"")</f>
        <v/>
      </c>
      <c r="I473" s="3" t="str">
        <f>_xlfn.IFNA(VLOOKUP(E473,Master!$J:$M,4,0),"")</f>
        <v/>
      </c>
      <c r="J473" s="3" t="str">
        <f>_xlfn.IFNA(VLOOKUP($E473,Master!$J:$M,3,0),"")</f>
        <v/>
      </c>
      <c r="AC473" s="26">
        <f t="shared" si="14"/>
        <v>0</v>
      </c>
      <c r="AD473" s="26">
        <f t="shared" si="15"/>
        <v>0</v>
      </c>
    </row>
    <row r="474" spans="2:30" ht="15" customHeight="1">
      <c r="B474" s="3" t="str">
        <f>_xlfn.IFNA(VLOOKUP(C474,Master!$J:$K,2,0),"")</f>
        <v/>
      </c>
      <c r="F474" s="4" t="str">
        <f>_xlfn.IFNA(VLOOKUP(G474,Master!B:C,2,0),"")</f>
        <v/>
      </c>
      <c r="I474" s="3" t="str">
        <f>_xlfn.IFNA(VLOOKUP(E474,Master!$J:$M,4,0),"")</f>
        <v/>
      </c>
      <c r="J474" s="3" t="str">
        <f>_xlfn.IFNA(VLOOKUP($E474,Master!$J:$M,3,0),"")</f>
        <v/>
      </c>
      <c r="AC474" s="26">
        <f t="shared" si="14"/>
        <v>0</v>
      </c>
      <c r="AD474" s="26">
        <f t="shared" si="15"/>
        <v>0</v>
      </c>
    </row>
    <row r="475" spans="2:30" ht="15" customHeight="1">
      <c r="B475" s="3" t="str">
        <f>_xlfn.IFNA(VLOOKUP(C475,Master!$J:$K,2,0),"")</f>
        <v/>
      </c>
      <c r="F475" s="4" t="str">
        <f>_xlfn.IFNA(VLOOKUP(G475,Master!B:C,2,0),"")</f>
        <v/>
      </c>
      <c r="I475" s="3" t="str">
        <f>_xlfn.IFNA(VLOOKUP(E475,Master!$J:$M,4,0),"")</f>
        <v/>
      </c>
      <c r="J475" s="3" t="str">
        <f>_xlfn.IFNA(VLOOKUP($E475,Master!$J:$M,3,0),"")</f>
        <v/>
      </c>
      <c r="AC475" s="26">
        <f t="shared" si="14"/>
        <v>0</v>
      </c>
      <c r="AD475" s="26">
        <f t="shared" si="15"/>
        <v>0</v>
      </c>
    </row>
    <row r="476" spans="2:30" ht="15" customHeight="1">
      <c r="B476" s="3" t="str">
        <f>_xlfn.IFNA(VLOOKUP(C476,Master!$J:$K,2,0),"")</f>
        <v/>
      </c>
      <c r="F476" s="4" t="str">
        <f>_xlfn.IFNA(VLOOKUP(G476,Master!B:C,2,0),"")</f>
        <v/>
      </c>
      <c r="I476" s="3" t="str">
        <f>_xlfn.IFNA(VLOOKUP(E476,Master!$J:$M,4,0),"")</f>
        <v/>
      </c>
      <c r="J476" s="3" t="str">
        <f>_xlfn.IFNA(VLOOKUP($E476,Master!$J:$M,3,0),"")</f>
        <v/>
      </c>
      <c r="AC476" s="26">
        <f t="shared" si="14"/>
        <v>0</v>
      </c>
      <c r="AD476" s="26">
        <f t="shared" si="15"/>
        <v>0</v>
      </c>
    </row>
    <row r="477" spans="2:30" ht="15" customHeight="1">
      <c r="B477" s="3" t="str">
        <f>_xlfn.IFNA(VLOOKUP(C477,Master!$J:$K,2,0),"")</f>
        <v/>
      </c>
      <c r="F477" s="4" t="str">
        <f>_xlfn.IFNA(VLOOKUP(G477,Master!B:C,2,0),"")</f>
        <v/>
      </c>
      <c r="I477" s="3" t="str">
        <f>_xlfn.IFNA(VLOOKUP(E477,Master!$J:$M,4,0),"")</f>
        <v/>
      </c>
      <c r="J477" s="3" t="str">
        <f>_xlfn.IFNA(VLOOKUP($E477,Master!$J:$M,3,0),"")</f>
        <v/>
      </c>
      <c r="AC477" s="26">
        <f t="shared" si="14"/>
        <v>0</v>
      </c>
      <c r="AD477" s="26">
        <f t="shared" si="15"/>
        <v>0</v>
      </c>
    </row>
    <row r="478" spans="2:30" ht="15" customHeight="1">
      <c r="B478" s="3" t="str">
        <f>_xlfn.IFNA(VLOOKUP(C478,Master!$J:$K,2,0),"")</f>
        <v/>
      </c>
      <c r="F478" s="4" t="str">
        <f>_xlfn.IFNA(VLOOKUP(G478,Master!B:C,2,0),"")</f>
        <v/>
      </c>
      <c r="I478" s="3" t="str">
        <f>_xlfn.IFNA(VLOOKUP(E478,Master!$J:$M,4,0),"")</f>
        <v/>
      </c>
      <c r="J478" s="3" t="str">
        <f>_xlfn.IFNA(VLOOKUP($E478,Master!$J:$M,3,0),"")</f>
        <v/>
      </c>
      <c r="AC478" s="26">
        <f t="shared" si="14"/>
        <v>0</v>
      </c>
      <c r="AD478" s="26">
        <f t="shared" si="15"/>
        <v>0</v>
      </c>
    </row>
    <row r="479" spans="2:30" ht="15" customHeight="1">
      <c r="B479" s="3" t="str">
        <f>_xlfn.IFNA(VLOOKUP(C479,Master!$J:$K,2,0),"")</f>
        <v/>
      </c>
      <c r="F479" s="4" t="str">
        <f>_xlfn.IFNA(VLOOKUP(G479,Master!B:C,2,0),"")</f>
        <v/>
      </c>
      <c r="I479" s="3" t="str">
        <f>_xlfn.IFNA(VLOOKUP(E479,Master!$J:$M,4,0),"")</f>
        <v/>
      </c>
      <c r="J479" s="3" t="str">
        <f>_xlfn.IFNA(VLOOKUP($E479,Master!$J:$M,3,0),"")</f>
        <v/>
      </c>
      <c r="AC479" s="26">
        <f t="shared" si="14"/>
        <v>0</v>
      </c>
      <c r="AD479" s="26">
        <f t="shared" si="15"/>
        <v>0</v>
      </c>
    </row>
    <row r="480" spans="2:30" ht="15" customHeight="1">
      <c r="B480" s="3" t="str">
        <f>_xlfn.IFNA(VLOOKUP(C480,Master!$J:$K,2,0),"")</f>
        <v/>
      </c>
      <c r="F480" s="4" t="str">
        <f>_xlfn.IFNA(VLOOKUP(G480,Master!B:C,2,0),"")</f>
        <v/>
      </c>
      <c r="I480" s="3" t="str">
        <f>_xlfn.IFNA(VLOOKUP(E480,Master!$J:$M,4,0),"")</f>
        <v/>
      </c>
      <c r="J480" s="3" t="str">
        <f>_xlfn.IFNA(VLOOKUP($E480,Master!$J:$M,3,0),"")</f>
        <v/>
      </c>
      <c r="AC480" s="26">
        <f t="shared" si="14"/>
        <v>0</v>
      </c>
      <c r="AD480" s="26">
        <f t="shared" si="15"/>
        <v>0</v>
      </c>
    </row>
    <row r="481" spans="2:30" ht="15" customHeight="1">
      <c r="B481" s="3" t="str">
        <f>_xlfn.IFNA(VLOOKUP(C481,Master!$J:$K,2,0),"")</f>
        <v/>
      </c>
      <c r="F481" s="4" t="str">
        <f>_xlfn.IFNA(VLOOKUP(G481,Master!B:C,2,0),"")</f>
        <v/>
      </c>
      <c r="I481" s="3" t="str">
        <f>_xlfn.IFNA(VLOOKUP(E481,Master!$J:$M,4,0),"")</f>
        <v/>
      </c>
      <c r="J481" s="3" t="str">
        <f>_xlfn.IFNA(VLOOKUP($E481,Master!$J:$M,3,0),"")</f>
        <v/>
      </c>
      <c r="AC481" s="26">
        <f t="shared" si="14"/>
        <v>0</v>
      </c>
      <c r="AD481" s="26">
        <f t="shared" si="15"/>
        <v>0</v>
      </c>
    </row>
    <row r="482" spans="2:30" ht="15" customHeight="1">
      <c r="B482" s="3" t="str">
        <f>_xlfn.IFNA(VLOOKUP(C482,Master!$J:$K,2,0),"")</f>
        <v/>
      </c>
      <c r="F482" s="4" t="str">
        <f>_xlfn.IFNA(VLOOKUP(G482,Master!B:C,2,0),"")</f>
        <v/>
      </c>
      <c r="I482" s="3" t="str">
        <f>_xlfn.IFNA(VLOOKUP(E482,Master!$J:$M,4,0),"")</f>
        <v/>
      </c>
      <c r="J482" s="3" t="str">
        <f>_xlfn.IFNA(VLOOKUP($E482,Master!$J:$M,3,0),"")</f>
        <v/>
      </c>
      <c r="AC482" s="26">
        <f t="shared" si="14"/>
        <v>0</v>
      </c>
      <c r="AD482" s="26">
        <f t="shared" si="15"/>
        <v>0</v>
      </c>
    </row>
    <row r="483" spans="2:30" ht="15" customHeight="1">
      <c r="B483" s="3" t="str">
        <f>_xlfn.IFNA(VLOOKUP(C483,Master!$J:$K,2,0),"")</f>
        <v/>
      </c>
      <c r="F483" s="4" t="str">
        <f>_xlfn.IFNA(VLOOKUP(G483,Master!B:C,2,0),"")</f>
        <v/>
      </c>
      <c r="I483" s="3" t="str">
        <f>_xlfn.IFNA(VLOOKUP(E483,Master!$J:$M,4,0),"")</f>
        <v/>
      </c>
      <c r="J483" s="3" t="str">
        <f>_xlfn.IFNA(VLOOKUP($E483,Master!$J:$M,3,0),"")</f>
        <v/>
      </c>
      <c r="AC483" s="26">
        <f t="shared" si="14"/>
        <v>0</v>
      </c>
      <c r="AD483" s="26">
        <f t="shared" si="15"/>
        <v>0</v>
      </c>
    </row>
    <row r="484" spans="2:30" ht="15" customHeight="1">
      <c r="B484" s="3" t="str">
        <f>_xlfn.IFNA(VLOOKUP(C484,Master!$J:$K,2,0),"")</f>
        <v/>
      </c>
      <c r="F484" s="4" t="str">
        <f>_xlfn.IFNA(VLOOKUP(G484,Master!B:C,2,0),"")</f>
        <v/>
      </c>
      <c r="I484" s="3" t="str">
        <f>_xlfn.IFNA(VLOOKUP(E484,Master!$J:$M,4,0),"")</f>
        <v/>
      </c>
      <c r="J484" s="3" t="str">
        <f>_xlfn.IFNA(VLOOKUP($E484,Master!$J:$M,3,0),"")</f>
        <v/>
      </c>
      <c r="AC484" s="26">
        <f t="shared" si="14"/>
        <v>0</v>
      </c>
      <c r="AD484" s="26">
        <f t="shared" si="15"/>
        <v>0</v>
      </c>
    </row>
    <row r="485" spans="2:30" ht="15" customHeight="1">
      <c r="B485" s="3" t="str">
        <f>_xlfn.IFNA(VLOOKUP(C485,Master!$J:$K,2,0),"")</f>
        <v/>
      </c>
      <c r="F485" s="4" t="str">
        <f>_xlfn.IFNA(VLOOKUP(G485,Master!B:C,2,0),"")</f>
        <v/>
      </c>
      <c r="I485" s="3" t="str">
        <f>_xlfn.IFNA(VLOOKUP(E485,Master!$J:$M,4,0),"")</f>
        <v/>
      </c>
      <c r="J485" s="3" t="str">
        <f>_xlfn.IFNA(VLOOKUP($E485,Master!$J:$M,3,0),"")</f>
        <v/>
      </c>
      <c r="AC485" s="26">
        <f t="shared" si="14"/>
        <v>0</v>
      </c>
      <c r="AD485" s="26">
        <f t="shared" si="15"/>
        <v>0</v>
      </c>
    </row>
    <row r="486" spans="2:30" ht="15" customHeight="1">
      <c r="B486" s="3" t="str">
        <f>_xlfn.IFNA(VLOOKUP(C486,Master!$J:$K,2,0),"")</f>
        <v/>
      </c>
      <c r="F486" s="4" t="str">
        <f>_xlfn.IFNA(VLOOKUP(G486,Master!B:C,2,0),"")</f>
        <v/>
      </c>
      <c r="I486" s="3" t="str">
        <f>_xlfn.IFNA(VLOOKUP(E486,Master!$J:$M,4,0),"")</f>
        <v/>
      </c>
      <c r="J486" s="3" t="str">
        <f>_xlfn.IFNA(VLOOKUP($E486,Master!$J:$M,3,0),"")</f>
        <v/>
      </c>
      <c r="AC486" s="26">
        <f t="shared" si="14"/>
        <v>0</v>
      </c>
      <c r="AD486" s="26">
        <f t="shared" si="15"/>
        <v>0</v>
      </c>
    </row>
    <row r="487" spans="2:30" ht="15" customHeight="1">
      <c r="B487" s="3" t="str">
        <f>_xlfn.IFNA(VLOOKUP(C487,Master!$J:$K,2,0),"")</f>
        <v/>
      </c>
      <c r="F487" s="4" t="str">
        <f>_xlfn.IFNA(VLOOKUP(G487,Master!B:C,2,0),"")</f>
        <v/>
      </c>
      <c r="I487" s="3" t="str">
        <f>_xlfn.IFNA(VLOOKUP(E487,Master!$J:$M,4,0),"")</f>
        <v/>
      </c>
      <c r="J487" s="3" t="str">
        <f>_xlfn.IFNA(VLOOKUP($E487,Master!$J:$M,3,0),"")</f>
        <v/>
      </c>
      <c r="AC487" s="26">
        <f t="shared" si="14"/>
        <v>0</v>
      </c>
      <c r="AD487" s="26">
        <f t="shared" si="15"/>
        <v>0</v>
      </c>
    </row>
    <row r="488" spans="2:30" ht="15" customHeight="1">
      <c r="B488" s="3" t="str">
        <f>_xlfn.IFNA(VLOOKUP(C488,Master!$J:$K,2,0),"")</f>
        <v/>
      </c>
      <c r="F488" s="4" t="str">
        <f>_xlfn.IFNA(VLOOKUP(G488,Master!B:C,2,0),"")</f>
        <v/>
      </c>
      <c r="I488" s="3" t="str">
        <f>_xlfn.IFNA(VLOOKUP(E488,Master!$J:$M,4,0),"")</f>
        <v/>
      </c>
      <c r="J488" s="3" t="str">
        <f>_xlfn.IFNA(VLOOKUP($E488,Master!$J:$M,3,0),"")</f>
        <v/>
      </c>
      <c r="AC488" s="26">
        <f t="shared" si="14"/>
        <v>0</v>
      </c>
      <c r="AD488" s="26">
        <f t="shared" si="15"/>
        <v>0</v>
      </c>
    </row>
    <row r="489" spans="2:30" ht="15" customHeight="1">
      <c r="B489" s="3" t="str">
        <f>_xlfn.IFNA(VLOOKUP(C489,Master!$J:$K,2,0),"")</f>
        <v/>
      </c>
      <c r="F489" s="4" t="str">
        <f>_xlfn.IFNA(VLOOKUP(G489,Master!B:C,2,0),"")</f>
        <v/>
      </c>
      <c r="I489" s="3" t="str">
        <f>_xlfn.IFNA(VLOOKUP(E489,Master!$J:$M,4,0),"")</f>
        <v/>
      </c>
      <c r="J489" s="3" t="str">
        <f>_xlfn.IFNA(VLOOKUP($E489,Master!$J:$M,3,0),"")</f>
        <v/>
      </c>
      <c r="AC489" s="26">
        <f t="shared" si="14"/>
        <v>0</v>
      </c>
      <c r="AD489" s="26">
        <f t="shared" si="15"/>
        <v>0</v>
      </c>
    </row>
    <row r="490" spans="2:30" ht="15" customHeight="1">
      <c r="B490" s="3" t="str">
        <f>_xlfn.IFNA(VLOOKUP(C490,Master!$J:$K,2,0),"")</f>
        <v/>
      </c>
      <c r="F490" s="4" t="str">
        <f>_xlfn.IFNA(VLOOKUP(G490,Master!B:C,2,0),"")</f>
        <v/>
      </c>
      <c r="I490" s="3" t="str">
        <f>_xlfn.IFNA(VLOOKUP(E490,Master!$J:$M,4,0),"")</f>
        <v/>
      </c>
      <c r="J490" s="3" t="str">
        <f>_xlfn.IFNA(VLOOKUP($E490,Master!$J:$M,3,0),"")</f>
        <v/>
      </c>
      <c r="AC490" s="26">
        <f t="shared" si="14"/>
        <v>0</v>
      </c>
      <c r="AD490" s="26">
        <f t="shared" si="15"/>
        <v>0</v>
      </c>
    </row>
    <row r="491" spans="2:30" ht="15" customHeight="1">
      <c r="B491" s="3" t="str">
        <f>_xlfn.IFNA(VLOOKUP(C491,Master!$J:$K,2,0),"")</f>
        <v/>
      </c>
      <c r="F491" s="4" t="str">
        <f>_xlfn.IFNA(VLOOKUP(G491,Master!B:C,2,0),"")</f>
        <v/>
      </c>
      <c r="I491" s="3" t="str">
        <f>_xlfn.IFNA(VLOOKUP(E491,Master!$J:$M,4,0),"")</f>
        <v/>
      </c>
      <c r="J491" s="3" t="str">
        <f>_xlfn.IFNA(VLOOKUP($E491,Master!$J:$M,3,0),"")</f>
        <v/>
      </c>
      <c r="AC491" s="26">
        <f t="shared" si="14"/>
        <v>0</v>
      </c>
      <c r="AD491" s="26">
        <f t="shared" si="15"/>
        <v>0</v>
      </c>
    </row>
    <row r="492" spans="2:30" ht="15" customHeight="1">
      <c r="B492" s="3" t="str">
        <f>_xlfn.IFNA(VLOOKUP(C492,Master!$J:$K,2,0),"")</f>
        <v/>
      </c>
      <c r="F492" s="4" t="str">
        <f>_xlfn.IFNA(VLOOKUP(G492,Master!B:C,2,0),"")</f>
        <v/>
      </c>
      <c r="I492" s="3" t="str">
        <f>_xlfn.IFNA(VLOOKUP(E492,Master!$J:$M,4,0),"")</f>
        <v/>
      </c>
      <c r="J492" s="3" t="str">
        <f>_xlfn.IFNA(VLOOKUP($E492,Master!$J:$M,3,0),"")</f>
        <v/>
      </c>
      <c r="AC492" s="26">
        <f t="shared" si="14"/>
        <v>0</v>
      </c>
      <c r="AD492" s="26">
        <f t="shared" si="15"/>
        <v>0</v>
      </c>
    </row>
    <row r="493" spans="2:30" ht="15" customHeight="1">
      <c r="B493" s="3" t="str">
        <f>_xlfn.IFNA(VLOOKUP(C493,Master!$J:$K,2,0),"")</f>
        <v/>
      </c>
      <c r="F493" s="4" t="str">
        <f>_xlfn.IFNA(VLOOKUP(G493,Master!B:C,2,0),"")</f>
        <v/>
      </c>
      <c r="I493" s="3" t="str">
        <f>_xlfn.IFNA(VLOOKUP(E493,Master!$J:$M,4,0),"")</f>
        <v/>
      </c>
      <c r="J493" s="3" t="str">
        <f>_xlfn.IFNA(VLOOKUP($E493,Master!$J:$M,3,0),"")</f>
        <v/>
      </c>
      <c r="AC493" s="26">
        <f t="shared" si="14"/>
        <v>0</v>
      </c>
      <c r="AD493" s="26">
        <f t="shared" si="15"/>
        <v>0</v>
      </c>
    </row>
    <row r="494" spans="2:30" ht="15" customHeight="1">
      <c r="B494" s="3" t="str">
        <f>_xlfn.IFNA(VLOOKUP(C494,Master!$J:$K,2,0),"")</f>
        <v/>
      </c>
      <c r="F494" s="4" t="str">
        <f>_xlfn.IFNA(VLOOKUP(G494,Master!B:C,2,0),"")</f>
        <v/>
      </c>
      <c r="I494" s="3" t="str">
        <f>_xlfn.IFNA(VLOOKUP(E494,Master!$J:$M,4,0),"")</f>
        <v/>
      </c>
      <c r="J494" s="3" t="str">
        <f>_xlfn.IFNA(VLOOKUP($E494,Master!$J:$M,3,0),"")</f>
        <v/>
      </c>
      <c r="AC494" s="26">
        <f t="shared" si="14"/>
        <v>0</v>
      </c>
      <c r="AD494" s="26">
        <f t="shared" si="15"/>
        <v>0</v>
      </c>
    </row>
    <row r="495" spans="2:30" ht="15" customHeight="1">
      <c r="B495" s="3" t="str">
        <f>_xlfn.IFNA(VLOOKUP(C495,Master!$J:$K,2,0),"")</f>
        <v/>
      </c>
      <c r="F495" s="4" t="str">
        <f>_xlfn.IFNA(VLOOKUP(G495,Master!B:C,2,0),"")</f>
        <v/>
      </c>
      <c r="I495" s="3" t="str">
        <f>_xlfn.IFNA(VLOOKUP(E495,Master!$J:$M,4,0),"")</f>
        <v/>
      </c>
      <c r="J495" s="3" t="str">
        <f>_xlfn.IFNA(VLOOKUP($E495,Master!$J:$M,3,0),"")</f>
        <v/>
      </c>
      <c r="AC495" s="26">
        <f t="shared" si="14"/>
        <v>0</v>
      </c>
      <c r="AD495" s="26">
        <f t="shared" si="15"/>
        <v>0</v>
      </c>
    </row>
    <row r="496" spans="2:30" ht="15" customHeight="1">
      <c r="B496" s="3" t="str">
        <f>_xlfn.IFNA(VLOOKUP(C496,Master!$J:$K,2,0),"")</f>
        <v/>
      </c>
      <c r="F496" s="4" t="str">
        <f>_xlfn.IFNA(VLOOKUP(G496,Master!B:C,2,0),"")</f>
        <v/>
      </c>
      <c r="I496" s="3" t="str">
        <f>_xlfn.IFNA(VLOOKUP(E496,Master!$J:$M,4,0),"")</f>
        <v/>
      </c>
      <c r="J496" s="3" t="str">
        <f>_xlfn.IFNA(VLOOKUP($E496,Master!$J:$M,3,0),"")</f>
        <v/>
      </c>
      <c r="AC496" s="26">
        <f t="shared" si="14"/>
        <v>0</v>
      </c>
      <c r="AD496" s="26">
        <f t="shared" si="15"/>
        <v>0</v>
      </c>
    </row>
    <row r="497" spans="2:30" ht="15" customHeight="1">
      <c r="B497" s="3" t="str">
        <f>_xlfn.IFNA(VLOOKUP(C497,Master!$J:$K,2,0),"")</f>
        <v/>
      </c>
      <c r="F497" s="4" t="str">
        <f>_xlfn.IFNA(VLOOKUP(G497,Master!B:C,2,0),"")</f>
        <v/>
      </c>
      <c r="I497" s="3" t="str">
        <f>_xlfn.IFNA(VLOOKUP(E497,Master!$J:$M,4,0),"")</f>
        <v/>
      </c>
      <c r="J497" s="3" t="str">
        <f>_xlfn.IFNA(VLOOKUP($E497,Master!$J:$M,3,0),"")</f>
        <v/>
      </c>
      <c r="AC497" s="26">
        <f t="shared" si="14"/>
        <v>0</v>
      </c>
      <c r="AD497" s="26">
        <f t="shared" si="15"/>
        <v>0</v>
      </c>
    </row>
    <row r="498" spans="2:30" ht="15" customHeight="1">
      <c r="B498" s="3" t="str">
        <f>_xlfn.IFNA(VLOOKUP(C498,Master!$J:$K,2,0),"")</f>
        <v/>
      </c>
      <c r="F498" s="4" t="str">
        <f>_xlfn.IFNA(VLOOKUP(G498,Master!B:C,2,0),"")</f>
        <v/>
      </c>
      <c r="I498" s="3" t="str">
        <f>_xlfn.IFNA(VLOOKUP(E498,Master!$J:$M,4,0),"")</f>
        <v/>
      </c>
      <c r="J498" s="3" t="str">
        <f>_xlfn.IFNA(VLOOKUP($E498,Master!$J:$M,3,0),"")</f>
        <v/>
      </c>
      <c r="AC498" s="26">
        <f t="shared" si="14"/>
        <v>0</v>
      </c>
      <c r="AD498" s="26">
        <f t="shared" si="15"/>
        <v>0</v>
      </c>
    </row>
    <row r="499" spans="2:30" ht="15" customHeight="1">
      <c r="B499" s="3" t="str">
        <f>_xlfn.IFNA(VLOOKUP(C499,Master!$J:$K,2,0),"")</f>
        <v/>
      </c>
      <c r="F499" s="4" t="str">
        <f>_xlfn.IFNA(VLOOKUP(G499,Master!B:C,2,0),"")</f>
        <v/>
      </c>
      <c r="I499" s="3" t="str">
        <f>_xlfn.IFNA(VLOOKUP(E499,Master!$J:$M,4,0),"")</f>
        <v/>
      </c>
      <c r="J499" s="3" t="str">
        <f>_xlfn.IFNA(VLOOKUP($E499,Master!$J:$M,3,0),"")</f>
        <v/>
      </c>
      <c r="AC499" s="26">
        <f t="shared" si="14"/>
        <v>0</v>
      </c>
      <c r="AD499" s="26">
        <f t="shared" si="15"/>
        <v>0</v>
      </c>
    </row>
    <row r="500" spans="2:30" ht="15" customHeight="1">
      <c r="B500" s="3" t="str">
        <f>_xlfn.IFNA(VLOOKUP(C500,Master!$J:$K,2,0),"")</f>
        <v/>
      </c>
      <c r="F500" s="4" t="str">
        <f>_xlfn.IFNA(VLOOKUP(G500,Master!B:C,2,0),"")</f>
        <v/>
      </c>
      <c r="I500" s="3" t="str">
        <f>_xlfn.IFNA(VLOOKUP(E500,Master!$J:$M,4,0),"")</f>
        <v/>
      </c>
      <c r="J500" s="3" t="str">
        <f>_xlfn.IFNA(VLOOKUP($E500,Master!$J:$M,3,0),"")</f>
        <v/>
      </c>
      <c r="AC500" s="26">
        <f t="shared" si="14"/>
        <v>0</v>
      </c>
      <c r="AD500" s="26">
        <f t="shared" si="15"/>
        <v>0</v>
      </c>
    </row>
    <row r="501" spans="2:30" ht="15" customHeight="1">
      <c r="B501" s="3" t="str">
        <f>_xlfn.IFNA(VLOOKUP(C501,Master!$J:$K,2,0),"")</f>
        <v/>
      </c>
      <c r="F501" s="4" t="str">
        <f>_xlfn.IFNA(VLOOKUP(G501,Master!B:C,2,0),"")</f>
        <v/>
      </c>
      <c r="I501" s="3" t="str">
        <f>_xlfn.IFNA(VLOOKUP(E501,Master!$J:$M,4,0),"")</f>
        <v/>
      </c>
      <c r="J501" s="3" t="str">
        <f>_xlfn.IFNA(VLOOKUP($E501,Master!$J:$M,3,0),"")</f>
        <v/>
      </c>
      <c r="AC501" s="26">
        <f t="shared" si="14"/>
        <v>0</v>
      </c>
      <c r="AD501" s="26">
        <f t="shared" si="15"/>
        <v>0</v>
      </c>
    </row>
    <row r="502" spans="2:30" ht="15" customHeight="1">
      <c r="B502" s="3" t="str">
        <f>_xlfn.IFNA(VLOOKUP(C502,Master!$J:$K,2,0),"")</f>
        <v/>
      </c>
      <c r="F502" s="4" t="str">
        <f>_xlfn.IFNA(VLOOKUP(G502,Master!B:C,2,0),"")</f>
        <v/>
      </c>
      <c r="I502" s="3" t="str">
        <f>_xlfn.IFNA(VLOOKUP(E502,Master!$J:$M,4,0),"")</f>
        <v/>
      </c>
      <c r="J502" s="3" t="str">
        <f>_xlfn.IFNA(VLOOKUP($E502,Master!$J:$M,3,0),"")</f>
        <v/>
      </c>
      <c r="AC502" s="26">
        <f t="shared" si="14"/>
        <v>0</v>
      </c>
      <c r="AD502" s="26">
        <f t="shared" si="15"/>
        <v>0</v>
      </c>
    </row>
    <row r="503" spans="2:30" ht="15" customHeight="1">
      <c r="B503" s="3" t="str">
        <f>_xlfn.IFNA(VLOOKUP(C503,Master!$J:$K,2,0),"")</f>
        <v/>
      </c>
      <c r="F503" s="4" t="str">
        <f>_xlfn.IFNA(VLOOKUP(G503,Master!B:C,2,0),"")</f>
        <v/>
      </c>
      <c r="I503" s="3" t="str">
        <f>_xlfn.IFNA(VLOOKUP(E503,Master!$J:$M,4,0),"")</f>
        <v/>
      </c>
      <c r="J503" s="3" t="str">
        <f>_xlfn.IFNA(VLOOKUP($E503,Master!$J:$M,3,0),"")</f>
        <v/>
      </c>
      <c r="AC503" s="26">
        <f t="shared" si="14"/>
        <v>0</v>
      </c>
      <c r="AD503" s="26">
        <f t="shared" si="15"/>
        <v>0</v>
      </c>
    </row>
    <row r="504" spans="2:30" ht="15" customHeight="1">
      <c r="B504" s="3" t="str">
        <f>_xlfn.IFNA(VLOOKUP(C504,Master!$J:$K,2,0),"")</f>
        <v/>
      </c>
      <c r="F504" s="4" t="str">
        <f>_xlfn.IFNA(VLOOKUP(G504,Master!B:C,2,0),"")</f>
        <v/>
      </c>
      <c r="I504" s="3" t="str">
        <f>_xlfn.IFNA(VLOOKUP(E504,Master!$J:$M,4,0),"")</f>
        <v/>
      </c>
      <c r="J504" s="3" t="str">
        <f>_xlfn.IFNA(VLOOKUP($E504,Master!$J:$M,3,0),"")</f>
        <v/>
      </c>
      <c r="AC504" s="26">
        <f t="shared" si="14"/>
        <v>0</v>
      </c>
      <c r="AD504" s="26">
        <f t="shared" si="15"/>
        <v>0</v>
      </c>
    </row>
    <row r="505" spans="2:30" ht="15" customHeight="1">
      <c r="B505" s="3" t="str">
        <f>_xlfn.IFNA(VLOOKUP(C505,Master!$J:$K,2,0),"")</f>
        <v/>
      </c>
      <c r="F505" s="4" t="str">
        <f>_xlfn.IFNA(VLOOKUP(G505,Master!B:C,2,0),"")</f>
        <v/>
      </c>
      <c r="I505" s="3" t="str">
        <f>_xlfn.IFNA(VLOOKUP(E505,Master!$J:$M,4,0),"")</f>
        <v/>
      </c>
      <c r="J505" s="3" t="str">
        <f>_xlfn.IFNA(VLOOKUP($E505,Master!$J:$M,3,0),"")</f>
        <v/>
      </c>
      <c r="AC505" s="26">
        <f t="shared" si="14"/>
        <v>0</v>
      </c>
      <c r="AD505" s="26">
        <f t="shared" si="15"/>
        <v>0</v>
      </c>
    </row>
    <row r="506" spans="2:30" ht="15" customHeight="1">
      <c r="B506" s="3" t="str">
        <f>_xlfn.IFNA(VLOOKUP(C506,Master!$J:$K,2,0),"")</f>
        <v/>
      </c>
      <c r="F506" s="4" t="str">
        <f>_xlfn.IFNA(VLOOKUP(G506,Master!B:C,2,0),"")</f>
        <v/>
      </c>
      <c r="I506" s="3" t="str">
        <f>_xlfn.IFNA(VLOOKUP(E506,Master!$J:$M,4,0),"")</f>
        <v/>
      </c>
      <c r="J506" s="3" t="str">
        <f>_xlfn.IFNA(VLOOKUP($E506,Master!$J:$M,3,0),"")</f>
        <v/>
      </c>
      <c r="AC506" s="26">
        <f t="shared" si="14"/>
        <v>0</v>
      </c>
      <c r="AD506" s="26">
        <f t="shared" si="15"/>
        <v>0</v>
      </c>
    </row>
    <row r="507" spans="2:30" ht="15" customHeight="1">
      <c r="B507" s="3" t="str">
        <f>_xlfn.IFNA(VLOOKUP(C507,Master!$J:$K,2,0),"")</f>
        <v/>
      </c>
      <c r="F507" s="4" t="str">
        <f>_xlfn.IFNA(VLOOKUP(G507,Master!B:C,2,0),"")</f>
        <v/>
      </c>
      <c r="I507" s="3" t="str">
        <f>_xlfn.IFNA(VLOOKUP(E507,Master!$J:$M,4,0),"")</f>
        <v/>
      </c>
      <c r="J507" s="3" t="str">
        <f>_xlfn.IFNA(VLOOKUP($E507,Master!$J:$M,3,0),"")</f>
        <v/>
      </c>
      <c r="AC507" s="26">
        <f t="shared" si="14"/>
        <v>0</v>
      </c>
      <c r="AD507" s="26">
        <f t="shared" si="15"/>
        <v>0</v>
      </c>
    </row>
    <row r="508" spans="2:30" ht="15" customHeight="1">
      <c r="B508" s="3" t="str">
        <f>_xlfn.IFNA(VLOOKUP(C508,Master!$J:$K,2,0),"")</f>
        <v/>
      </c>
      <c r="F508" s="4" t="str">
        <f>_xlfn.IFNA(VLOOKUP(G508,Master!B:C,2,0),"")</f>
        <v/>
      </c>
      <c r="I508" s="3" t="str">
        <f>_xlfn.IFNA(VLOOKUP(E508,Master!$J:$M,4,0),"")</f>
        <v/>
      </c>
      <c r="J508" s="3" t="str">
        <f>_xlfn.IFNA(VLOOKUP($E508,Master!$J:$M,3,0),"")</f>
        <v/>
      </c>
      <c r="AC508" s="26">
        <f t="shared" si="14"/>
        <v>0</v>
      </c>
      <c r="AD508" s="26">
        <f t="shared" si="15"/>
        <v>0</v>
      </c>
    </row>
    <row r="509" spans="2:30" ht="15" customHeight="1">
      <c r="B509" s="3" t="str">
        <f>_xlfn.IFNA(VLOOKUP(C509,Master!$J:$K,2,0),"")</f>
        <v/>
      </c>
      <c r="F509" s="4" t="str">
        <f>_xlfn.IFNA(VLOOKUP(G509,Master!B:C,2,0),"")</f>
        <v/>
      </c>
      <c r="I509" s="3" t="str">
        <f>_xlfn.IFNA(VLOOKUP(E509,Master!$J:$M,4,0),"")</f>
        <v/>
      </c>
      <c r="J509" s="3" t="str">
        <f>_xlfn.IFNA(VLOOKUP($E509,Master!$J:$M,3,0),"")</f>
        <v/>
      </c>
      <c r="AC509" s="26">
        <f t="shared" si="14"/>
        <v>0</v>
      </c>
      <c r="AD509" s="26">
        <f t="shared" si="15"/>
        <v>0</v>
      </c>
    </row>
    <row r="510" spans="2:30" ht="15" customHeight="1">
      <c r="B510" s="3" t="str">
        <f>_xlfn.IFNA(VLOOKUP(C510,Master!$J:$K,2,0),"")</f>
        <v/>
      </c>
      <c r="F510" s="4" t="str">
        <f>_xlfn.IFNA(VLOOKUP(G510,Master!B:C,2,0),"")</f>
        <v/>
      </c>
      <c r="I510" s="3" t="str">
        <f>_xlfn.IFNA(VLOOKUP(E510,Master!$J:$M,4,0),"")</f>
        <v/>
      </c>
      <c r="J510" s="3" t="str">
        <f>_xlfn.IFNA(VLOOKUP($E510,Master!$J:$M,3,0),"")</f>
        <v/>
      </c>
      <c r="AC510" s="26">
        <f t="shared" si="14"/>
        <v>0</v>
      </c>
      <c r="AD510" s="26">
        <f t="shared" si="15"/>
        <v>0</v>
      </c>
    </row>
    <row r="511" spans="2:30" ht="15" customHeight="1">
      <c r="B511" s="3" t="str">
        <f>_xlfn.IFNA(VLOOKUP(C511,Master!$J:$K,2,0),"")</f>
        <v/>
      </c>
      <c r="F511" s="4" t="str">
        <f>_xlfn.IFNA(VLOOKUP(G511,Master!B:C,2,0),"")</f>
        <v/>
      </c>
      <c r="I511" s="3" t="str">
        <f>_xlfn.IFNA(VLOOKUP(E511,Master!$J:$M,4,0),"")</f>
        <v/>
      </c>
      <c r="J511" s="3" t="str">
        <f>_xlfn.IFNA(VLOOKUP($E511,Master!$J:$M,3,0),"")</f>
        <v/>
      </c>
      <c r="AC511" s="26">
        <f t="shared" si="14"/>
        <v>0</v>
      </c>
      <c r="AD511" s="26">
        <f t="shared" si="15"/>
        <v>0</v>
      </c>
    </row>
    <row r="512" spans="2:30" ht="15" customHeight="1">
      <c r="B512" s="3" t="str">
        <f>_xlfn.IFNA(VLOOKUP(C512,Master!$J:$K,2,0),"")</f>
        <v/>
      </c>
      <c r="F512" s="4" t="str">
        <f>_xlfn.IFNA(VLOOKUP(G512,Master!B:C,2,0),"")</f>
        <v/>
      </c>
      <c r="I512" s="3" t="str">
        <f>_xlfn.IFNA(VLOOKUP(E512,Master!$J:$M,4,0),"")</f>
        <v/>
      </c>
      <c r="J512" s="3" t="str">
        <f>_xlfn.IFNA(VLOOKUP($E512,Master!$J:$M,3,0),"")</f>
        <v/>
      </c>
      <c r="AC512" s="26">
        <f t="shared" si="14"/>
        <v>0</v>
      </c>
      <c r="AD512" s="26">
        <f t="shared" si="15"/>
        <v>0</v>
      </c>
    </row>
    <row r="513" spans="2:30" ht="15" customHeight="1">
      <c r="B513" s="3" t="str">
        <f>_xlfn.IFNA(VLOOKUP(C513,Master!$J:$K,2,0),"")</f>
        <v/>
      </c>
      <c r="F513" s="4" t="str">
        <f>_xlfn.IFNA(VLOOKUP(G513,Master!B:C,2,0),"")</f>
        <v/>
      </c>
      <c r="I513" s="3" t="str">
        <f>_xlfn.IFNA(VLOOKUP(E513,Master!$J:$M,4,0),"")</f>
        <v/>
      </c>
      <c r="J513" s="3" t="str">
        <f>_xlfn.IFNA(VLOOKUP($E513,Master!$J:$M,3,0),"")</f>
        <v/>
      </c>
      <c r="AC513" s="26">
        <f t="shared" si="14"/>
        <v>0</v>
      </c>
      <c r="AD513" s="26">
        <f t="shared" si="15"/>
        <v>0</v>
      </c>
    </row>
    <row r="514" spans="2:30" ht="15" customHeight="1">
      <c r="B514" s="3" t="str">
        <f>_xlfn.IFNA(VLOOKUP(C514,Master!$J:$K,2,0),"")</f>
        <v/>
      </c>
      <c r="F514" s="4" t="str">
        <f>_xlfn.IFNA(VLOOKUP(G514,Master!B:C,2,0),"")</f>
        <v/>
      </c>
      <c r="AC514" s="26">
        <f t="shared" ref="AC514:AC524" si="16">SUM(K514:P514)</f>
        <v>0</v>
      </c>
      <c r="AD514" s="26">
        <f t="shared" ref="AD514:AD524" si="17">SUM(Q514:AB514)</f>
        <v>0</v>
      </c>
    </row>
    <row r="515" spans="2:30" ht="15" customHeight="1">
      <c r="B515" s="3" t="str">
        <f>_xlfn.IFNA(VLOOKUP(C515,Master!$J:$K,2,0),"")</f>
        <v/>
      </c>
      <c r="F515" s="4" t="str">
        <f>_xlfn.IFNA(VLOOKUP(G515,Master!B:C,2,0),"")</f>
        <v/>
      </c>
      <c r="AC515" s="26">
        <f t="shared" si="16"/>
        <v>0</v>
      </c>
      <c r="AD515" s="26">
        <f t="shared" si="17"/>
        <v>0</v>
      </c>
    </row>
    <row r="516" spans="2:30" ht="15" customHeight="1">
      <c r="B516" s="3" t="str">
        <f>_xlfn.IFNA(VLOOKUP(C516,Master!$J:$K,2,0),"")</f>
        <v/>
      </c>
      <c r="F516" s="4" t="str">
        <f>_xlfn.IFNA(VLOOKUP(G516,Master!B:C,2,0),"")</f>
        <v/>
      </c>
      <c r="AC516" s="26">
        <f t="shared" si="16"/>
        <v>0</v>
      </c>
      <c r="AD516" s="26">
        <f t="shared" si="17"/>
        <v>0</v>
      </c>
    </row>
    <row r="517" spans="2:30" ht="15" customHeight="1">
      <c r="B517" s="3" t="str">
        <f>_xlfn.IFNA(VLOOKUP(C517,Master!$J:$K,2,0),"")</f>
        <v/>
      </c>
      <c r="F517" s="4" t="str">
        <f>_xlfn.IFNA(VLOOKUP(G517,Master!B:C,2,0),"")</f>
        <v/>
      </c>
      <c r="AC517" s="26">
        <f t="shared" si="16"/>
        <v>0</v>
      </c>
      <c r="AD517" s="26">
        <f t="shared" si="17"/>
        <v>0</v>
      </c>
    </row>
    <row r="518" spans="2:30" ht="15" customHeight="1">
      <c r="B518" s="3" t="str">
        <f>_xlfn.IFNA(VLOOKUP(C518,Master!$J:$K,2,0),"")</f>
        <v/>
      </c>
      <c r="F518" s="4" t="str">
        <f>_xlfn.IFNA(VLOOKUP(G518,Master!B:C,2,0),"")</f>
        <v/>
      </c>
      <c r="AC518" s="26">
        <f t="shared" si="16"/>
        <v>0</v>
      </c>
      <c r="AD518" s="26">
        <f t="shared" si="17"/>
        <v>0</v>
      </c>
    </row>
    <row r="519" spans="2:30" ht="15" customHeight="1">
      <c r="B519" s="3" t="str">
        <f>_xlfn.IFNA(VLOOKUP(C519,Master!$J:$K,2,0),"")</f>
        <v/>
      </c>
      <c r="F519" s="4" t="str">
        <f>_xlfn.IFNA(VLOOKUP(G519,Master!B:C,2,0),"")</f>
        <v/>
      </c>
      <c r="AC519" s="26">
        <f t="shared" si="16"/>
        <v>0</v>
      </c>
      <c r="AD519" s="26">
        <f t="shared" si="17"/>
        <v>0</v>
      </c>
    </row>
    <row r="520" spans="2:30" ht="15" customHeight="1">
      <c r="B520" s="3" t="str">
        <f>_xlfn.IFNA(VLOOKUP(C520,Master!$J:$K,2,0),"")</f>
        <v/>
      </c>
      <c r="F520" s="4" t="str">
        <f>_xlfn.IFNA(VLOOKUP(G520,Master!B:C,2,0),"")</f>
        <v/>
      </c>
      <c r="AC520" s="26">
        <f t="shared" si="16"/>
        <v>0</v>
      </c>
      <c r="AD520" s="26">
        <f t="shared" si="17"/>
        <v>0</v>
      </c>
    </row>
    <row r="521" spans="2:30" ht="15" customHeight="1">
      <c r="B521" s="3" t="str">
        <f>_xlfn.IFNA(VLOOKUP(C521,Master!$J:$K,2,0),"")</f>
        <v/>
      </c>
      <c r="F521" s="4" t="str">
        <f>_xlfn.IFNA(VLOOKUP(G521,Master!B:C,2,0),"")</f>
        <v/>
      </c>
      <c r="AC521" s="26">
        <f t="shared" si="16"/>
        <v>0</v>
      </c>
      <c r="AD521" s="26">
        <f t="shared" si="17"/>
        <v>0</v>
      </c>
    </row>
    <row r="522" spans="2:30" ht="15" customHeight="1">
      <c r="B522" s="3" t="str">
        <f>_xlfn.IFNA(VLOOKUP(C522,Master!$J:$K,2,0),"")</f>
        <v/>
      </c>
      <c r="F522" s="4" t="str">
        <f>_xlfn.IFNA(VLOOKUP(G522,Master!B:C,2,0),"")</f>
        <v/>
      </c>
      <c r="AC522" s="26">
        <f t="shared" si="16"/>
        <v>0</v>
      </c>
      <c r="AD522" s="26">
        <f t="shared" si="17"/>
        <v>0</v>
      </c>
    </row>
    <row r="523" spans="2:30" ht="15" customHeight="1">
      <c r="B523" s="3" t="str">
        <f>_xlfn.IFNA(VLOOKUP(C523,Master!$J:$K,2,0),"")</f>
        <v/>
      </c>
      <c r="F523" s="4" t="str">
        <f>_xlfn.IFNA(VLOOKUP(G523,Master!B:C,2,0),"")</f>
        <v/>
      </c>
      <c r="AC523" s="26">
        <f t="shared" si="16"/>
        <v>0</v>
      </c>
      <c r="AD523" s="26">
        <f t="shared" si="17"/>
        <v>0</v>
      </c>
    </row>
    <row r="524" spans="2:30" ht="15" customHeight="1">
      <c r="B524" s="3" t="str">
        <f>_xlfn.IFNA(VLOOKUP(C524,Master!$J:$K,2,0),"")</f>
        <v/>
      </c>
      <c r="F524" s="4" t="str">
        <f>_xlfn.IFNA(VLOOKUP(G524,Master!B:C,2,0),"")</f>
        <v/>
      </c>
      <c r="AC524" s="26">
        <f t="shared" si="16"/>
        <v>0</v>
      </c>
      <c r="AD524" s="26">
        <f t="shared" si="17"/>
        <v>0</v>
      </c>
    </row>
    <row r="525" spans="2:30" ht="15" customHeight="1">
      <c r="B525" s="3" t="str">
        <f>_xlfn.IFNA(VLOOKUP(C525,Master!$J:$K,2,0),"")</f>
        <v/>
      </c>
      <c r="F525" s="4" t="str">
        <f>_xlfn.IFNA(VLOOKUP(G525,Master!B:C,2,0),"")</f>
        <v/>
      </c>
    </row>
    <row r="526" spans="2:30" ht="15" customHeight="1">
      <c r="B526" s="3" t="str">
        <f>_xlfn.IFNA(VLOOKUP(C526,Master!$J:$K,2,0),"")</f>
        <v/>
      </c>
    </row>
    <row r="527" spans="2:30" ht="15" customHeight="1">
      <c r="B527" s="3" t="str">
        <f>_xlfn.IFNA(VLOOKUP(C527,Master!$J:$K,2,0),"")</f>
        <v/>
      </c>
    </row>
    <row r="528" spans="2:30" ht="15" customHeight="1">
      <c r="B528" s="3" t="str">
        <f>_xlfn.IFNA(VLOOKUP(C528,Master!$J:$K,2,0),"")</f>
        <v/>
      </c>
    </row>
  </sheetData>
  <phoneticPr fontId="7" type="noConversion"/>
  <conditionalFormatting sqref="AC2:AD1048576 AC1:AF1">
    <cfRule type="cellIs" dxfId="3" priority="1" operator="equal">
      <formula>0</formula>
    </cfRule>
  </conditionalFormatting>
  <conditionalFormatting sqref="B1:B1048576 D1:D1048576 F1:F1048576 I1:J1048576 AC2:AD1048576 AH1:AH1048576 AC1:AF1">
    <cfRule type="containsBlanks" dxfId="2" priority="2">
      <formula>LEN(TRIM(B1))=0</formula>
    </cfRule>
  </conditionalFormatting>
  <conditionalFormatting sqref="C1:C1048576 E1:E1048576 AE2:AG1048576 AG1 A1:A1048576 G1:H1048576">
    <cfRule type="containsBlanks" dxfId="1" priority="3">
      <formula>LEN(TRIM(A1))=0</formula>
    </cfRule>
  </conditionalFormatting>
  <conditionalFormatting sqref="K1:AB1048576">
    <cfRule type="expression" priority="4">
      <formula>#REF! &gt; 0</formula>
    </cfRule>
    <cfRule type="containsBlanks" dxfId="0" priority="5">
      <formula>LEN(TRIM(K1))=0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A2D90E-BC03-4668-96C5-2D0778242D9A}">
          <x14:formula1>
            <xm:f>Master!$J$2:$J$41</xm:f>
          </x14:formula1>
          <xm:sqref>E1:E1048576 C1:C1048576 G2:G6</xm:sqref>
        </x14:dataValidation>
        <x14:dataValidation type="list" allowBlank="1" showInputMessage="1" showErrorMessage="1" xr:uid="{0DFCF46C-9C69-4ABA-BA0A-B740071FFE1F}">
          <x14:formula1>
            <xm:f>Master!$B$2:$B$172</xm:f>
          </x14:formula1>
          <xm:sqref>G1 G7:G1048576</xm:sqref>
        </x14:dataValidation>
        <x14:dataValidation type="list" allowBlank="1" showInputMessage="1" showErrorMessage="1" xr:uid="{F6E0DD80-CD35-4C25-9DC8-E570F3D90499}">
          <x14:formula1>
            <xm:f>Master!$S$2:$S$4</xm:f>
          </x14:formula1>
          <xm:sqref>AG1:AG1048576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3"/>
  <sheetViews>
    <sheetView zoomScale="80" zoomScaleNormal="80" workbookViewId="0">
      <pane xSplit="2" ySplit="1" topLeftCell="C2" activePane="bottomRight" state="frozenSplit"/>
      <selection activeCell="F17" sqref="F17"/>
      <selection pane="topRight"/>
      <selection pane="bottomLeft"/>
      <selection pane="bottomRight" activeCell="F17" sqref="F17"/>
    </sheetView>
  </sheetViews>
  <sheetFormatPr defaultColWidth="8.85546875" defaultRowHeight="18" customHeight="1"/>
  <cols>
    <col min="1" max="1" width="10.7109375" style="9" bestFit="1" customWidth="1"/>
    <col min="2" max="2" width="56.140625" style="8" bestFit="1" customWidth="1"/>
    <col min="3" max="3" width="10.7109375" style="9" bestFit="1" customWidth="1"/>
    <col min="4" max="4" width="10.7109375" style="9" hidden="1" customWidth="1"/>
    <col min="5" max="5" width="12.7109375" style="10" bestFit="1" customWidth="1"/>
    <col min="6" max="6" width="12.28515625" style="10" bestFit="1" customWidth="1"/>
    <col min="7" max="7" width="13.85546875" style="10" bestFit="1" customWidth="1"/>
    <col min="8" max="8" width="50.7109375" style="8" customWidth="1"/>
    <col min="9" max="9" width="0.85546875" style="35" customWidth="1"/>
    <col min="10" max="10" width="28.7109375" style="8" bestFit="1" customWidth="1"/>
    <col min="11" max="11" width="11.28515625" style="9" bestFit="1" customWidth="1"/>
    <col min="12" max="12" width="15.85546875" style="8" bestFit="1" customWidth="1"/>
    <col min="13" max="13" width="19.42578125" style="8" bestFit="1" customWidth="1"/>
    <col min="14" max="14" width="28.7109375" style="8" bestFit="1" customWidth="1"/>
    <col min="15" max="15" width="0.85546875" style="35" customWidth="1"/>
    <col min="16" max="16" width="9.85546875" style="8" bestFit="1" customWidth="1"/>
    <col min="17" max="17" width="19.7109375" style="8" bestFit="1" customWidth="1"/>
    <col min="18" max="18" width="0.85546875" style="35" customWidth="1"/>
    <col min="19" max="19" width="18.28515625" style="19" bestFit="1" customWidth="1"/>
    <col min="20" max="20" width="19" style="20" bestFit="1" customWidth="1"/>
    <col min="21" max="21" width="72.710937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6" t="s">
        <v>21</v>
      </c>
      <c r="B1" s="36" t="s">
        <v>22</v>
      </c>
      <c r="C1" s="36" t="s">
        <v>21</v>
      </c>
      <c r="D1" s="36" t="s">
        <v>21</v>
      </c>
      <c r="E1" s="37" t="s">
        <v>23</v>
      </c>
      <c r="F1" s="37" t="s">
        <v>24</v>
      </c>
      <c r="G1" s="37" t="s">
        <v>25</v>
      </c>
      <c r="H1" s="36" t="s">
        <v>26</v>
      </c>
      <c r="I1" s="38"/>
      <c r="J1" s="39" t="s">
        <v>27</v>
      </c>
      <c r="K1" s="39" t="s">
        <v>28</v>
      </c>
      <c r="L1" s="40" t="s">
        <v>9</v>
      </c>
      <c r="M1" s="40" t="s">
        <v>8</v>
      </c>
      <c r="N1" s="39" t="s">
        <v>29</v>
      </c>
      <c r="O1" s="41"/>
      <c r="P1" s="42" t="s">
        <v>30</v>
      </c>
      <c r="Q1" s="42" t="s">
        <v>31</v>
      </c>
      <c r="R1" s="41"/>
      <c r="S1" s="5" t="s">
        <v>32</v>
      </c>
      <c r="T1" s="5" t="s">
        <v>33</v>
      </c>
      <c r="U1" s="6" t="s">
        <v>26</v>
      </c>
    </row>
    <row r="2" spans="1:21" ht="18" customHeight="1">
      <c r="A2" s="9">
        <v>7511101</v>
      </c>
      <c r="B2" s="8" t="s">
        <v>34</v>
      </c>
      <c r="C2" s="9">
        <v>7511101</v>
      </c>
      <c r="D2" s="9">
        <v>7511101</v>
      </c>
      <c r="E2" s="10" t="s">
        <v>35</v>
      </c>
      <c r="F2" s="11" t="s">
        <v>36</v>
      </c>
      <c r="G2" s="10" t="s">
        <v>37</v>
      </c>
      <c r="H2" s="8" t="s">
        <v>34</v>
      </c>
      <c r="J2" s="12" t="s">
        <v>38</v>
      </c>
      <c r="K2" s="13" t="s">
        <v>39</v>
      </c>
      <c r="L2" s="14" t="s">
        <v>35</v>
      </c>
      <c r="M2" s="15" t="s">
        <v>40</v>
      </c>
      <c r="N2" s="15" t="s">
        <v>38</v>
      </c>
      <c r="P2" s="15">
        <v>53450</v>
      </c>
      <c r="Q2" s="15" t="s">
        <v>41</v>
      </c>
      <c r="S2" s="16" t="s">
        <v>42</v>
      </c>
      <c r="T2" s="17" t="s">
        <v>43</v>
      </c>
      <c r="U2" s="18" t="s">
        <v>44</v>
      </c>
    </row>
    <row r="3" spans="1:21" ht="18" customHeight="1">
      <c r="A3" s="9">
        <v>7511102</v>
      </c>
      <c r="B3" s="8" t="s">
        <v>45</v>
      </c>
      <c r="C3" s="9">
        <v>7511102</v>
      </c>
      <c r="D3" s="9">
        <v>7511102</v>
      </c>
      <c r="E3" s="10" t="s">
        <v>35</v>
      </c>
      <c r="F3" s="11" t="s">
        <v>46</v>
      </c>
      <c r="G3" s="10" t="s">
        <v>37</v>
      </c>
      <c r="H3" s="8" t="s">
        <v>47</v>
      </c>
      <c r="J3" s="12" t="s">
        <v>48</v>
      </c>
      <c r="K3" s="13" t="s">
        <v>49</v>
      </c>
      <c r="L3" s="14" t="s">
        <v>35</v>
      </c>
      <c r="M3" s="15" t="s">
        <v>40</v>
      </c>
      <c r="N3" s="15" t="s">
        <v>48</v>
      </c>
      <c r="P3" s="15"/>
      <c r="Q3" s="15"/>
      <c r="S3" s="16" t="s">
        <v>50</v>
      </c>
      <c r="T3" s="17" t="s">
        <v>51</v>
      </c>
      <c r="U3" s="18" t="s">
        <v>52</v>
      </c>
    </row>
    <row r="4" spans="1:21" ht="18" customHeight="1">
      <c r="A4" s="9">
        <v>7511103</v>
      </c>
      <c r="B4" s="8" t="s">
        <v>53</v>
      </c>
      <c r="C4" s="9">
        <v>7511103</v>
      </c>
      <c r="D4" s="9">
        <v>7511103</v>
      </c>
      <c r="E4" s="10" t="s">
        <v>35</v>
      </c>
      <c r="F4" s="11" t="s">
        <v>54</v>
      </c>
      <c r="G4" s="10" t="s">
        <v>55</v>
      </c>
      <c r="H4" s="8" t="s">
        <v>56</v>
      </c>
      <c r="J4" s="12" t="s">
        <v>57</v>
      </c>
      <c r="K4" s="13" t="s">
        <v>58</v>
      </c>
      <c r="L4" s="14" t="s">
        <v>35</v>
      </c>
      <c r="M4" s="15" t="s">
        <v>40</v>
      </c>
      <c r="N4" s="15" t="s">
        <v>57</v>
      </c>
      <c r="P4" s="15"/>
      <c r="Q4" s="15"/>
      <c r="S4" s="16" t="s">
        <v>59</v>
      </c>
      <c r="T4" s="17" t="s">
        <v>60</v>
      </c>
      <c r="U4" s="18" t="s">
        <v>61</v>
      </c>
    </row>
    <row r="5" spans="1:21" ht="18" customHeight="1">
      <c r="A5" s="9">
        <v>7511111</v>
      </c>
      <c r="B5" s="8" t="s">
        <v>62</v>
      </c>
      <c r="C5" s="9">
        <v>7511111</v>
      </c>
      <c r="D5" s="9">
        <v>7511111</v>
      </c>
      <c r="E5" s="10" t="s">
        <v>35</v>
      </c>
      <c r="F5" s="11" t="s">
        <v>63</v>
      </c>
      <c r="G5" s="10" t="s">
        <v>55</v>
      </c>
      <c r="H5" s="8" t="s">
        <v>64</v>
      </c>
      <c r="J5" s="12" t="s">
        <v>65</v>
      </c>
      <c r="K5" s="13" t="s">
        <v>66</v>
      </c>
      <c r="L5" s="14" t="s">
        <v>35</v>
      </c>
      <c r="M5" s="15" t="s">
        <v>40</v>
      </c>
      <c r="N5" s="15" t="s">
        <v>65</v>
      </c>
    </row>
    <row r="6" spans="1:21" ht="18" customHeight="1">
      <c r="A6" s="9">
        <v>7511112</v>
      </c>
      <c r="B6" s="8" t="s">
        <v>67</v>
      </c>
      <c r="C6" s="9">
        <v>7511112</v>
      </c>
      <c r="D6" s="9">
        <v>7511112</v>
      </c>
      <c r="E6" s="10" t="s">
        <v>35</v>
      </c>
      <c r="F6" s="11" t="s">
        <v>68</v>
      </c>
      <c r="G6" s="10" t="s">
        <v>55</v>
      </c>
      <c r="H6" s="8" t="s">
        <v>69</v>
      </c>
      <c r="J6" s="12" t="s">
        <v>70</v>
      </c>
      <c r="K6" s="13" t="s">
        <v>71</v>
      </c>
      <c r="L6" s="14" t="s">
        <v>35</v>
      </c>
      <c r="M6" s="15" t="s">
        <v>40</v>
      </c>
      <c r="N6" s="15" t="s">
        <v>70</v>
      </c>
      <c r="P6" s="8" t="s">
        <v>72</v>
      </c>
    </row>
    <row r="7" spans="1:21" ht="18" customHeight="1">
      <c r="A7" s="9">
        <v>7511121</v>
      </c>
      <c r="B7" s="8" t="s">
        <v>73</v>
      </c>
      <c r="C7" s="9">
        <v>7511121</v>
      </c>
      <c r="D7" s="9">
        <v>7511121</v>
      </c>
      <c r="E7" s="10" t="s">
        <v>35</v>
      </c>
      <c r="F7" s="11" t="s">
        <v>74</v>
      </c>
      <c r="G7" s="10" t="s">
        <v>55</v>
      </c>
      <c r="H7" s="8" t="s">
        <v>75</v>
      </c>
      <c r="J7" s="12" t="s">
        <v>76</v>
      </c>
      <c r="K7" s="13" t="s">
        <v>77</v>
      </c>
      <c r="L7" s="14" t="s">
        <v>35</v>
      </c>
      <c r="M7" s="15" t="s">
        <v>40</v>
      </c>
      <c r="N7" s="15" t="s">
        <v>76</v>
      </c>
      <c r="P7" s="8" t="s">
        <v>78</v>
      </c>
    </row>
    <row r="8" spans="1:21" ht="18" customHeight="1">
      <c r="A8" s="9">
        <v>7511122</v>
      </c>
      <c r="B8" s="8" t="s">
        <v>79</v>
      </c>
      <c r="C8" s="9">
        <v>7511122</v>
      </c>
      <c r="D8" s="9">
        <v>7511122</v>
      </c>
      <c r="E8" s="10" t="s">
        <v>35</v>
      </c>
      <c r="F8" s="11" t="s">
        <v>80</v>
      </c>
      <c r="G8" s="10" t="s">
        <v>55</v>
      </c>
      <c r="H8" s="8" t="s">
        <v>81</v>
      </c>
      <c r="J8" s="12" t="s">
        <v>82</v>
      </c>
      <c r="K8" s="13" t="s">
        <v>83</v>
      </c>
      <c r="L8" s="14" t="s">
        <v>35</v>
      </c>
      <c r="M8" s="15" t="s">
        <v>40</v>
      </c>
      <c r="N8" s="15" t="s">
        <v>82</v>
      </c>
    </row>
    <row r="9" spans="1:21" ht="18" customHeight="1">
      <c r="A9" s="9">
        <v>7511201</v>
      </c>
      <c r="B9" s="8" t="s">
        <v>84</v>
      </c>
      <c r="C9" s="9">
        <v>7511201</v>
      </c>
      <c r="D9" s="9">
        <v>7511201</v>
      </c>
      <c r="E9" s="10" t="s">
        <v>35</v>
      </c>
      <c r="F9" s="11" t="s">
        <v>85</v>
      </c>
      <c r="G9" s="10" t="s">
        <v>86</v>
      </c>
      <c r="H9" s="8" t="s">
        <v>87</v>
      </c>
      <c r="J9" s="12" t="s">
        <v>88</v>
      </c>
      <c r="K9" s="13" t="s">
        <v>89</v>
      </c>
      <c r="L9" s="14" t="s">
        <v>35</v>
      </c>
      <c r="M9" s="15" t="s">
        <v>40</v>
      </c>
      <c r="N9" s="15" t="s">
        <v>88</v>
      </c>
    </row>
    <row r="10" spans="1:21" ht="18" customHeight="1">
      <c r="A10" s="9">
        <v>7512111</v>
      </c>
      <c r="B10" s="8" t="s">
        <v>90</v>
      </c>
      <c r="C10" s="9">
        <v>7512111</v>
      </c>
      <c r="D10" s="9">
        <v>7512111</v>
      </c>
      <c r="E10" s="10" t="s">
        <v>35</v>
      </c>
      <c r="F10" s="11" t="s">
        <v>91</v>
      </c>
      <c r="G10" s="10" t="s">
        <v>92</v>
      </c>
      <c r="H10" s="8" t="s">
        <v>93</v>
      </c>
      <c r="J10" s="12" t="s">
        <v>94</v>
      </c>
      <c r="K10" s="13" t="s">
        <v>95</v>
      </c>
      <c r="L10" s="14" t="s">
        <v>35</v>
      </c>
      <c r="M10" s="15" t="s">
        <v>40</v>
      </c>
      <c r="N10" s="15" t="s">
        <v>94</v>
      </c>
    </row>
    <row r="11" spans="1:21" ht="18" customHeight="1">
      <c r="A11" s="9">
        <v>7512112</v>
      </c>
      <c r="B11" s="8" t="s">
        <v>96</v>
      </c>
      <c r="C11" s="9">
        <v>7512112</v>
      </c>
      <c r="D11" s="9">
        <v>7512112</v>
      </c>
      <c r="E11" s="10" t="s">
        <v>35</v>
      </c>
      <c r="F11" s="11" t="s">
        <v>97</v>
      </c>
      <c r="G11" s="10" t="s">
        <v>92</v>
      </c>
      <c r="H11" s="8" t="s">
        <v>98</v>
      </c>
      <c r="J11" s="12" t="s">
        <v>99</v>
      </c>
      <c r="K11" s="13" t="s">
        <v>100</v>
      </c>
      <c r="L11" s="14" t="s">
        <v>35</v>
      </c>
      <c r="M11" s="15" t="s">
        <v>40</v>
      </c>
      <c r="N11" s="15" t="s">
        <v>99</v>
      </c>
    </row>
    <row r="12" spans="1:21" ht="18" customHeight="1">
      <c r="A12" s="9">
        <v>7514101</v>
      </c>
      <c r="B12" s="8" t="s">
        <v>101</v>
      </c>
      <c r="C12" s="9">
        <v>7514101</v>
      </c>
      <c r="D12" s="9">
        <v>7514101</v>
      </c>
      <c r="E12" s="10" t="s">
        <v>35</v>
      </c>
      <c r="F12" s="11" t="s">
        <v>102</v>
      </c>
      <c r="G12" s="10" t="s">
        <v>55</v>
      </c>
      <c r="H12" s="8" t="s">
        <v>103</v>
      </c>
      <c r="J12" s="12" t="s">
        <v>104</v>
      </c>
      <c r="K12" s="13" t="s">
        <v>105</v>
      </c>
      <c r="L12" s="14" t="s">
        <v>35</v>
      </c>
      <c r="M12" s="15" t="s">
        <v>40</v>
      </c>
      <c r="N12" s="15" t="s">
        <v>104</v>
      </c>
    </row>
    <row r="13" spans="1:21" ht="18" customHeight="1">
      <c r="A13" s="9">
        <v>7514102</v>
      </c>
      <c r="B13" s="8" t="s">
        <v>106</v>
      </c>
      <c r="C13" s="9">
        <v>7514102</v>
      </c>
      <c r="D13" s="9">
        <v>7514102</v>
      </c>
      <c r="E13" s="10" t="s">
        <v>35</v>
      </c>
      <c r="F13" s="11" t="s">
        <v>107</v>
      </c>
      <c r="G13" s="10" t="s">
        <v>55</v>
      </c>
      <c r="H13" s="8" t="s">
        <v>108</v>
      </c>
      <c r="J13" s="12" t="s">
        <v>109</v>
      </c>
      <c r="K13" s="13" t="s">
        <v>110</v>
      </c>
      <c r="L13" s="14" t="s">
        <v>35</v>
      </c>
      <c r="M13" s="15" t="s">
        <v>40</v>
      </c>
      <c r="N13" s="15" t="s">
        <v>109</v>
      </c>
    </row>
    <row r="14" spans="1:21" ht="18" customHeight="1">
      <c r="A14" s="9">
        <v>7515401</v>
      </c>
      <c r="B14" s="8" t="s">
        <v>111</v>
      </c>
      <c r="C14" s="9">
        <v>7515401</v>
      </c>
      <c r="D14" s="9">
        <v>7515401</v>
      </c>
      <c r="E14" s="10" t="s">
        <v>35</v>
      </c>
      <c r="F14" s="11" t="s">
        <v>112</v>
      </c>
      <c r="G14" s="10" t="s">
        <v>92</v>
      </c>
      <c r="H14" s="8" t="s">
        <v>113</v>
      </c>
      <c r="J14" s="12" t="s">
        <v>114</v>
      </c>
      <c r="K14" s="13" t="s">
        <v>115</v>
      </c>
      <c r="L14" s="14" t="s">
        <v>35</v>
      </c>
      <c r="M14" s="15" t="s">
        <v>40</v>
      </c>
      <c r="N14" s="15" t="s">
        <v>114</v>
      </c>
    </row>
    <row r="15" spans="1:21" ht="18" customHeight="1">
      <c r="A15" s="9">
        <v>7515402</v>
      </c>
      <c r="B15" s="8" t="s">
        <v>116</v>
      </c>
      <c r="C15" s="9">
        <v>7515402</v>
      </c>
      <c r="D15" s="9">
        <v>7515402</v>
      </c>
      <c r="E15" s="10" t="s">
        <v>35</v>
      </c>
      <c r="F15" s="11" t="s">
        <v>117</v>
      </c>
      <c r="G15" s="10" t="s">
        <v>92</v>
      </c>
      <c r="H15" s="8" t="s">
        <v>118</v>
      </c>
      <c r="J15" s="12" t="s">
        <v>119</v>
      </c>
      <c r="K15" s="13" t="s">
        <v>120</v>
      </c>
      <c r="L15" s="15" t="s">
        <v>121</v>
      </c>
      <c r="M15" s="15" t="s">
        <v>122</v>
      </c>
      <c r="N15" s="15" t="s">
        <v>119</v>
      </c>
    </row>
    <row r="16" spans="1:21" ht="18" customHeight="1">
      <c r="A16" s="9">
        <v>7515403</v>
      </c>
      <c r="B16" s="8" t="s">
        <v>123</v>
      </c>
      <c r="C16" s="9">
        <v>7515403</v>
      </c>
      <c r="D16" s="9">
        <v>7515403</v>
      </c>
      <c r="E16" s="10" t="s">
        <v>35</v>
      </c>
      <c r="F16" s="11" t="s">
        <v>124</v>
      </c>
      <c r="G16" s="10" t="s">
        <v>92</v>
      </c>
      <c r="H16" s="8" t="s">
        <v>125</v>
      </c>
      <c r="J16" s="12" t="s">
        <v>126</v>
      </c>
      <c r="K16" s="13" t="s">
        <v>127</v>
      </c>
      <c r="L16" s="15" t="s">
        <v>121</v>
      </c>
      <c r="M16" s="15" t="s">
        <v>122</v>
      </c>
      <c r="N16" s="15" t="s">
        <v>126</v>
      </c>
    </row>
    <row r="17" spans="1:18" customFormat="1" ht="18" customHeight="1">
      <c r="A17" s="9">
        <v>7515404</v>
      </c>
      <c r="B17" s="8" t="s">
        <v>128</v>
      </c>
      <c r="C17" s="9">
        <v>7515404</v>
      </c>
      <c r="D17" s="9">
        <v>7515404</v>
      </c>
      <c r="E17" s="10" t="s">
        <v>35</v>
      </c>
      <c r="F17" s="11" t="s">
        <v>129</v>
      </c>
      <c r="G17" s="10" t="s">
        <v>92</v>
      </c>
      <c r="H17" s="8" t="s">
        <v>130</v>
      </c>
      <c r="I17" s="43"/>
      <c r="J17" s="12" t="s">
        <v>131</v>
      </c>
      <c r="K17" s="13" t="s">
        <v>132</v>
      </c>
      <c r="L17" s="15" t="s">
        <v>121</v>
      </c>
      <c r="M17" s="15" t="s">
        <v>122</v>
      </c>
      <c r="N17" s="15" t="s">
        <v>131</v>
      </c>
      <c r="O17" s="43"/>
      <c r="R17" s="43"/>
    </row>
    <row r="18" spans="1:18" ht="18" customHeight="1">
      <c r="A18" s="9">
        <v>7515405</v>
      </c>
      <c r="B18" s="8" t="s">
        <v>133</v>
      </c>
      <c r="C18" s="9">
        <v>7515405</v>
      </c>
      <c r="D18" s="9">
        <v>7515405</v>
      </c>
      <c r="E18" s="10" t="s">
        <v>35</v>
      </c>
      <c r="F18" s="11" t="s">
        <v>134</v>
      </c>
      <c r="G18" s="10" t="s">
        <v>92</v>
      </c>
      <c r="H18" s="8" t="s">
        <v>135</v>
      </c>
      <c r="J18" s="12" t="s">
        <v>136</v>
      </c>
      <c r="K18" s="13" t="s">
        <v>137</v>
      </c>
      <c r="L18" s="15" t="s">
        <v>121</v>
      </c>
      <c r="M18" s="15" t="s">
        <v>122</v>
      </c>
      <c r="N18" s="15" t="s">
        <v>136</v>
      </c>
    </row>
    <row r="19" spans="1:18" ht="18" customHeight="1">
      <c r="A19" s="9">
        <v>7515406</v>
      </c>
      <c r="B19" s="8" t="s">
        <v>138</v>
      </c>
      <c r="C19" s="9">
        <v>7515406</v>
      </c>
      <c r="D19" s="9">
        <v>7515406</v>
      </c>
      <c r="E19" s="10" t="s">
        <v>35</v>
      </c>
      <c r="F19" s="11" t="s">
        <v>139</v>
      </c>
      <c r="G19" s="10" t="s">
        <v>92</v>
      </c>
      <c r="H19" s="8" t="s">
        <v>140</v>
      </c>
      <c r="J19" s="12" t="s">
        <v>141</v>
      </c>
      <c r="K19" s="13" t="s">
        <v>142</v>
      </c>
      <c r="L19" s="15" t="s">
        <v>121</v>
      </c>
      <c r="M19" s="15" t="s">
        <v>122</v>
      </c>
      <c r="N19" s="15" t="s">
        <v>141</v>
      </c>
    </row>
    <row r="20" spans="1:18" ht="18" customHeight="1">
      <c r="A20" s="9">
        <v>7515407</v>
      </c>
      <c r="B20" s="8" t="s">
        <v>143</v>
      </c>
      <c r="C20" s="9">
        <v>7515407</v>
      </c>
      <c r="D20" s="9">
        <v>7515407</v>
      </c>
      <c r="E20" s="10" t="s">
        <v>35</v>
      </c>
      <c r="F20" s="11" t="s">
        <v>144</v>
      </c>
      <c r="G20" s="10" t="s">
        <v>92</v>
      </c>
      <c r="J20" s="12" t="s">
        <v>145</v>
      </c>
      <c r="K20" s="13" t="s">
        <v>146</v>
      </c>
      <c r="L20" s="15" t="s">
        <v>121</v>
      </c>
      <c r="M20" s="15" t="s">
        <v>122</v>
      </c>
      <c r="N20" s="15" t="s">
        <v>145</v>
      </c>
    </row>
    <row r="21" spans="1:18" ht="18" customHeight="1">
      <c r="A21" s="9">
        <v>7515408</v>
      </c>
      <c r="B21" s="8" t="s">
        <v>147</v>
      </c>
      <c r="C21" s="9">
        <v>7515408</v>
      </c>
      <c r="D21" s="9">
        <v>7515408</v>
      </c>
      <c r="E21" s="10" t="s">
        <v>35</v>
      </c>
      <c r="F21" s="11" t="s">
        <v>148</v>
      </c>
      <c r="G21" s="10" t="s">
        <v>92</v>
      </c>
      <c r="H21" s="8" t="s">
        <v>149</v>
      </c>
      <c r="J21" s="12" t="s">
        <v>150</v>
      </c>
      <c r="K21" s="13" t="s">
        <v>151</v>
      </c>
      <c r="L21" s="15" t="s">
        <v>121</v>
      </c>
      <c r="M21" s="15" t="s">
        <v>122</v>
      </c>
      <c r="N21" s="15" t="s">
        <v>150</v>
      </c>
    </row>
    <row r="22" spans="1:18" ht="18" customHeight="1">
      <c r="A22" s="9">
        <v>7515409</v>
      </c>
      <c r="B22" s="8" t="s">
        <v>152</v>
      </c>
      <c r="C22" s="9">
        <v>7515409</v>
      </c>
      <c r="D22" s="9">
        <v>7515409</v>
      </c>
      <c r="E22" s="10" t="s">
        <v>35</v>
      </c>
      <c r="F22" s="11" t="s">
        <v>153</v>
      </c>
      <c r="G22" s="10" t="s">
        <v>92</v>
      </c>
      <c r="H22" s="8" t="s">
        <v>154</v>
      </c>
      <c r="J22" s="12" t="s">
        <v>155</v>
      </c>
      <c r="K22" s="13" t="s">
        <v>156</v>
      </c>
      <c r="L22" s="15" t="s">
        <v>121</v>
      </c>
      <c r="M22" s="15" t="s">
        <v>122</v>
      </c>
      <c r="N22" s="15" t="s">
        <v>155</v>
      </c>
    </row>
    <row r="23" spans="1:18" ht="18" customHeight="1">
      <c r="A23" s="9">
        <v>7515410</v>
      </c>
      <c r="B23" s="8" t="s">
        <v>157</v>
      </c>
      <c r="C23" s="9">
        <v>7515410</v>
      </c>
      <c r="D23" s="9">
        <v>7515410</v>
      </c>
      <c r="E23" s="10" t="s">
        <v>35</v>
      </c>
      <c r="F23" s="11" t="s">
        <v>158</v>
      </c>
      <c r="G23" s="10" t="s">
        <v>92</v>
      </c>
      <c r="H23" s="8" t="s">
        <v>159</v>
      </c>
      <c r="J23" s="12" t="s">
        <v>160</v>
      </c>
      <c r="K23" s="13" t="s">
        <v>161</v>
      </c>
      <c r="L23" s="15" t="s">
        <v>121</v>
      </c>
      <c r="M23" s="15" t="s">
        <v>122</v>
      </c>
      <c r="N23" s="15" t="s">
        <v>160</v>
      </c>
    </row>
    <row r="24" spans="1:18" ht="18" customHeight="1">
      <c r="A24" s="9">
        <v>7515499</v>
      </c>
      <c r="B24" s="8" t="s">
        <v>162</v>
      </c>
      <c r="C24" s="9">
        <v>7515499</v>
      </c>
      <c r="D24" s="9">
        <v>7515499</v>
      </c>
      <c r="E24" s="10" t="s">
        <v>35</v>
      </c>
      <c r="F24" s="11" t="s">
        <v>163</v>
      </c>
      <c r="G24" s="10" t="s">
        <v>92</v>
      </c>
      <c r="H24" s="8" t="s">
        <v>164</v>
      </c>
      <c r="J24" s="12" t="s">
        <v>165</v>
      </c>
      <c r="K24" s="13" t="s">
        <v>166</v>
      </c>
      <c r="L24" s="15" t="s">
        <v>121</v>
      </c>
      <c r="M24" s="15" t="s">
        <v>122</v>
      </c>
      <c r="N24" s="15" t="s">
        <v>165</v>
      </c>
    </row>
    <row r="25" spans="1:18" ht="18" customHeight="1">
      <c r="A25" s="9">
        <v>7516102</v>
      </c>
      <c r="B25" s="8" t="s">
        <v>167</v>
      </c>
      <c r="C25" s="9">
        <v>7516102</v>
      </c>
      <c r="D25" s="9">
        <v>7516102</v>
      </c>
      <c r="E25" s="10" t="s">
        <v>35</v>
      </c>
      <c r="F25" s="11" t="s">
        <v>168</v>
      </c>
      <c r="G25" s="10" t="s">
        <v>169</v>
      </c>
      <c r="H25" s="8" t="s">
        <v>170</v>
      </c>
      <c r="J25" s="12" t="s">
        <v>171</v>
      </c>
      <c r="K25" s="13" t="s">
        <v>172</v>
      </c>
      <c r="L25" s="15" t="s">
        <v>121</v>
      </c>
      <c r="M25" s="15" t="s">
        <v>122</v>
      </c>
      <c r="N25" s="15" t="s">
        <v>171</v>
      </c>
    </row>
    <row r="26" spans="1:18" ht="18" customHeight="1">
      <c r="A26" s="9">
        <v>7519101</v>
      </c>
      <c r="B26" s="8" t="s">
        <v>173</v>
      </c>
      <c r="C26" s="9">
        <v>7519101</v>
      </c>
      <c r="D26" s="9">
        <v>7519101</v>
      </c>
      <c r="E26" s="10" t="s">
        <v>35</v>
      </c>
      <c r="F26" s="11" t="s">
        <v>174</v>
      </c>
      <c r="G26" s="10" t="s">
        <v>37</v>
      </c>
      <c r="H26" s="8" t="s">
        <v>175</v>
      </c>
      <c r="J26" s="12" t="s">
        <v>176</v>
      </c>
      <c r="K26" s="13" t="s">
        <v>177</v>
      </c>
      <c r="L26" s="15" t="s">
        <v>121</v>
      </c>
      <c r="M26" s="15" t="s">
        <v>122</v>
      </c>
      <c r="N26" s="15" t="s">
        <v>176</v>
      </c>
    </row>
    <row r="27" spans="1:18" ht="18" customHeight="1">
      <c r="A27" s="9">
        <v>7521101</v>
      </c>
      <c r="B27" s="8" t="s">
        <v>178</v>
      </c>
      <c r="C27" s="9">
        <v>7521101</v>
      </c>
      <c r="D27" s="9">
        <v>7521101</v>
      </c>
      <c r="E27" s="10" t="s">
        <v>35</v>
      </c>
      <c r="F27" s="11" t="s">
        <v>179</v>
      </c>
      <c r="G27" s="10" t="s">
        <v>55</v>
      </c>
      <c r="H27" s="8" t="s">
        <v>180</v>
      </c>
      <c r="J27" s="12" t="s">
        <v>181</v>
      </c>
      <c r="K27" s="13" t="s">
        <v>182</v>
      </c>
      <c r="L27" s="15" t="s">
        <v>121</v>
      </c>
      <c r="M27" s="15" t="s">
        <v>122</v>
      </c>
      <c r="N27" s="15" t="s">
        <v>181</v>
      </c>
    </row>
    <row r="28" spans="1:18" ht="18" customHeight="1">
      <c r="A28" s="9">
        <v>7521102</v>
      </c>
      <c r="B28" s="8" t="s">
        <v>183</v>
      </c>
      <c r="C28" s="9">
        <v>7521102</v>
      </c>
      <c r="D28" s="9">
        <v>7521102</v>
      </c>
      <c r="E28" s="10" t="s">
        <v>35</v>
      </c>
      <c r="F28" s="11" t="s">
        <v>184</v>
      </c>
      <c r="G28" s="10" t="s">
        <v>86</v>
      </c>
      <c r="H28" s="8" t="s">
        <v>185</v>
      </c>
      <c r="J28" s="12" t="s">
        <v>186</v>
      </c>
      <c r="K28" s="13" t="s">
        <v>187</v>
      </c>
      <c r="L28" s="15" t="s">
        <v>121</v>
      </c>
      <c r="M28" s="15" t="s">
        <v>122</v>
      </c>
      <c r="N28" s="15" t="s">
        <v>186</v>
      </c>
    </row>
    <row r="29" spans="1:18" ht="18" customHeight="1">
      <c r="A29" s="9">
        <v>7571101</v>
      </c>
      <c r="B29" s="8" t="s">
        <v>188</v>
      </c>
      <c r="C29" s="9">
        <v>7571101</v>
      </c>
      <c r="D29" s="9">
        <v>7571101</v>
      </c>
      <c r="E29" s="10" t="s">
        <v>35</v>
      </c>
      <c r="F29" s="11" t="s">
        <v>189</v>
      </c>
      <c r="G29" s="10" t="s">
        <v>190</v>
      </c>
      <c r="H29" s="8" t="s">
        <v>191</v>
      </c>
      <c r="J29" s="12" t="s">
        <v>192</v>
      </c>
      <c r="K29" s="13" t="s">
        <v>193</v>
      </c>
      <c r="L29" s="15" t="s">
        <v>121</v>
      </c>
      <c r="M29" s="15" t="s">
        <v>194</v>
      </c>
      <c r="N29" s="15" t="s">
        <v>192</v>
      </c>
    </row>
    <row r="30" spans="1:18" ht="18" customHeight="1">
      <c r="A30" s="9">
        <v>7611100</v>
      </c>
      <c r="B30" s="8" t="s">
        <v>195</v>
      </c>
      <c r="C30" s="9">
        <v>7611100</v>
      </c>
      <c r="D30" s="9">
        <v>7611100</v>
      </c>
      <c r="E30" s="10" t="s">
        <v>35</v>
      </c>
      <c r="F30" s="11" t="s">
        <v>196</v>
      </c>
      <c r="G30" s="10" t="s">
        <v>197</v>
      </c>
      <c r="H30" s="8" t="s">
        <v>198</v>
      </c>
      <c r="J30" s="12" t="s">
        <v>199</v>
      </c>
      <c r="K30" s="13" t="s">
        <v>200</v>
      </c>
      <c r="L30" s="15" t="s">
        <v>121</v>
      </c>
      <c r="M30" s="15" t="s">
        <v>194</v>
      </c>
      <c r="N30" s="15" t="s">
        <v>199</v>
      </c>
    </row>
    <row r="31" spans="1:18" ht="18" customHeight="1">
      <c r="A31" s="9">
        <v>7611300</v>
      </c>
      <c r="B31" s="8" t="s">
        <v>201</v>
      </c>
      <c r="C31" s="9">
        <v>7611300</v>
      </c>
      <c r="D31" s="9">
        <v>7611300</v>
      </c>
      <c r="E31" s="10" t="s">
        <v>35</v>
      </c>
      <c r="F31" s="11" t="s">
        <v>202</v>
      </c>
      <c r="G31" s="10" t="s">
        <v>197</v>
      </c>
      <c r="H31" s="8" t="s">
        <v>203</v>
      </c>
      <c r="J31" s="12" t="s">
        <v>204</v>
      </c>
      <c r="K31" s="13" t="s">
        <v>205</v>
      </c>
      <c r="L31" s="15" t="s">
        <v>121</v>
      </c>
      <c r="M31" s="15" t="s">
        <v>194</v>
      </c>
      <c r="N31" s="15" t="s">
        <v>204</v>
      </c>
    </row>
    <row r="32" spans="1:18" ht="18" customHeight="1">
      <c r="A32" s="9">
        <v>7611400</v>
      </c>
      <c r="B32" s="8" t="s">
        <v>206</v>
      </c>
      <c r="C32" s="9">
        <v>7611400</v>
      </c>
      <c r="D32" s="9">
        <v>7611400</v>
      </c>
      <c r="E32" s="10" t="s">
        <v>35</v>
      </c>
      <c r="F32" s="11" t="s">
        <v>207</v>
      </c>
      <c r="G32" s="10" t="s">
        <v>197</v>
      </c>
      <c r="H32" s="8" t="s">
        <v>208</v>
      </c>
      <c r="J32" s="12" t="s">
        <v>209</v>
      </c>
      <c r="K32" s="13" t="s">
        <v>210</v>
      </c>
      <c r="L32" s="15" t="s">
        <v>121</v>
      </c>
      <c r="M32" s="15" t="s">
        <v>194</v>
      </c>
      <c r="N32" s="15" t="s">
        <v>209</v>
      </c>
    </row>
    <row r="33" spans="1:14" ht="18" customHeight="1">
      <c r="A33" s="9">
        <v>7611500</v>
      </c>
      <c r="B33" s="8" t="s">
        <v>211</v>
      </c>
      <c r="C33" s="9">
        <v>7611500</v>
      </c>
      <c r="D33" s="9">
        <v>7611500</v>
      </c>
      <c r="E33" s="10" t="s">
        <v>35</v>
      </c>
      <c r="F33" s="11" t="s">
        <v>212</v>
      </c>
      <c r="G33" s="10" t="s">
        <v>197</v>
      </c>
      <c r="H33" s="8" t="s">
        <v>213</v>
      </c>
      <c r="J33" s="12" t="s">
        <v>214</v>
      </c>
      <c r="K33" s="13" t="s">
        <v>215</v>
      </c>
      <c r="L33" s="15" t="s">
        <v>121</v>
      </c>
      <c r="M33" s="15" t="s">
        <v>194</v>
      </c>
      <c r="N33" s="15" t="s">
        <v>214</v>
      </c>
    </row>
    <row r="34" spans="1:14" ht="18" customHeight="1">
      <c r="A34" s="9">
        <v>7611600</v>
      </c>
      <c r="B34" s="8" t="s">
        <v>216</v>
      </c>
      <c r="C34" s="9">
        <v>7611600</v>
      </c>
      <c r="D34" s="9">
        <v>7611600</v>
      </c>
      <c r="E34" s="10" t="s">
        <v>35</v>
      </c>
      <c r="F34" s="11" t="s">
        <v>217</v>
      </c>
      <c r="G34" s="10" t="s">
        <v>197</v>
      </c>
      <c r="H34" s="8" t="s">
        <v>218</v>
      </c>
      <c r="J34" s="12" t="s">
        <v>219</v>
      </c>
      <c r="K34" s="13" t="s">
        <v>220</v>
      </c>
      <c r="L34" s="15" t="s">
        <v>121</v>
      </c>
      <c r="M34" s="15" t="s">
        <v>194</v>
      </c>
      <c r="N34" s="15" t="s">
        <v>219</v>
      </c>
    </row>
    <row r="35" spans="1:14" ht="18" customHeight="1">
      <c r="A35" s="9">
        <v>7611700</v>
      </c>
      <c r="B35" s="8" t="s">
        <v>221</v>
      </c>
      <c r="C35" s="9">
        <v>7611700</v>
      </c>
      <c r="D35" s="9">
        <v>7611700</v>
      </c>
      <c r="E35" s="10" t="s">
        <v>35</v>
      </c>
      <c r="F35" s="11" t="s">
        <v>222</v>
      </c>
      <c r="G35" s="10" t="s">
        <v>197</v>
      </c>
      <c r="H35" s="8" t="s">
        <v>223</v>
      </c>
      <c r="J35" s="12" t="s">
        <v>224</v>
      </c>
      <c r="K35" s="13" t="s">
        <v>225</v>
      </c>
      <c r="L35" s="15" t="s">
        <v>121</v>
      </c>
      <c r="M35" s="15" t="s">
        <v>194</v>
      </c>
      <c r="N35" s="15" t="s">
        <v>224</v>
      </c>
    </row>
    <row r="36" spans="1:14" ht="18" customHeight="1">
      <c r="A36" s="9">
        <v>7611800</v>
      </c>
      <c r="B36" s="8" t="s">
        <v>226</v>
      </c>
      <c r="C36" s="9">
        <v>7611800</v>
      </c>
      <c r="D36" s="9">
        <v>7611800</v>
      </c>
      <c r="E36" s="10" t="s">
        <v>35</v>
      </c>
      <c r="F36" s="11" t="s">
        <v>227</v>
      </c>
      <c r="G36" s="10" t="s">
        <v>197</v>
      </c>
      <c r="H36" s="8" t="s">
        <v>228</v>
      </c>
      <c r="J36" s="12" t="s">
        <v>229</v>
      </c>
      <c r="K36" s="13" t="s">
        <v>230</v>
      </c>
      <c r="L36" s="15" t="s">
        <v>121</v>
      </c>
      <c r="M36" s="15" t="s">
        <v>194</v>
      </c>
      <c r="N36" s="15" t="s">
        <v>229</v>
      </c>
    </row>
    <row r="37" spans="1:14" ht="18" customHeight="1">
      <c r="A37" s="9">
        <v>7621101</v>
      </c>
      <c r="B37" s="8" t="s">
        <v>231</v>
      </c>
      <c r="C37" s="9">
        <v>7621101</v>
      </c>
      <c r="D37" s="9">
        <v>7621101</v>
      </c>
      <c r="E37" s="10" t="s">
        <v>35</v>
      </c>
      <c r="F37" s="11" t="s">
        <v>232</v>
      </c>
      <c r="G37" s="10" t="s">
        <v>233</v>
      </c>
      <c r="H37" s="8" t="s">
        <v>234</v>
      </c>
      <c r="J37" s="12" t="s">
        <v>235</v>
      </c>
      <c r="K37" s="13" t="s">
        <v>236</v>
      </c>
      <c r="L37" s="15" t="s">
        <v>121</v>
      </c>
      <c r="M37" s="15" t="s">
        <v>194</v>
      </c>
      <c r="N37" s="15" t="s">
        <v>235</v>
      </c>
    </row>
    <row r="38" spans="1:14" ht="18" customHeight="1">
      <c r="A38" s="9">
        <v>7621199</v>
      </c>
      <c r="B38" s="8" t="s">
        <v>237</v>
      </c>
      <c r="C38" s="9">
        <v>7621199</v>
      </c>
      <c r="D38" s="9">
        <v>7621199</v>
      </c>
      <c r="E38" s="10" t="s">
        <v>35</v>
      </c>
      <c r="F38" s="11" t="s">
        <v>238</v>
      </c>
      <c r="G38" s="10" t="s">
        <v>239</v>
      </c>
      <c r="H38" s="8" t="s">
        <v>240</v>
      </c>
      <c r="J38" s="12" t="s">
        <v>241</v>
      </c>
      <c r="K38" s="13" t="s">
        <v>242</v>
      </c>
      <c r="L38" s="15" t="s">
        <v>121</v>
      </c>
      <c r="M38" s="15" t="s">
        <v>194</v>
      </c>
      <c r="N38" s="15" t="s">
        <v>241</v>
      </c>
    </row>
    <row r="39" spans="1:14" ht="18" customHeight="1">
      <c r="A39" s="9">
        <v>7631101</v>
      </c>
      <c r="B39" s="8" t="s">
        <v>243</v>
      </c>
      <c r="C39" s="9">
        <v>7631101</v>
      </c>
      <c r="D39" s="9">
        <v>7631101</v>
      </c>
      <c r="E39" s="10" t="s">
        <v>35</v>
      </c>
      <c r="F39" s="11" t="s">
        <v>244</v>
      </c>
      <c r="G39" s="10" t="s">
        <v>245</v>
      </c>
      <c r="H39" s="8" t="s">
        <v>246</v>
      </c>
      <c r="J39" s="44" t="s">
        <v>247</v>
      </c>
      <c r="K39" s="45" t="s">
        <v>248</v>
      </c>
      <c r="L39" s="44" t="s">
        <v>35</v>
      </c>
      <c r="M39" s="44" t="s">
        <v>40</v>
      </c>
      <c r="N39" s="44" t="s">
        <v>247</v>
      </c>
    </row>
    <row r="40" spans="1:14" ht="18" customHeight="1">
      <c r="A40" s="9">
        <v>7631102</v>
      </c>
      <c r="B40" s="8" t="s">
        <v>249</v>
      </c>
      <c r="C40" s="9">
        <v>7631102</v>
      </c>
      <c r="D40" s="9">
        <v>7631102</v>
      </c>
      <c r="E40" s="10" t="s">
        <v>35</v>
      </c>
      <c r="F40" s="11" t="s">
        <v>250</v>
      </c>
      <c r="G40" s="10" t="s">
        <v>251</v>
      </c>
      <c r="H40" s="8" t="s">
        <v>252</v>
      </c>
      <c r="J40" s="12" t="s">
        <v>253</v>
      </c>
      <c r="K40" s="13" t="s">
        <v>254</v>
      </c>
      <c r="L40" s="15" t="s">
        <v>121</v>
      </c>
      <c r="M40" s="15" t="s">
        <v>194</v>
      </c>
      <c r="N40" s="15" t="s">
        <v>253</v>
      </c>
    </row>
    <row r="41" spans="1:14" ht="18" customHeight="1">
      <c r="A41" s="9">
        <v>7641101</v>
      </c>
      <c r="B41" s="8" t="s">
        <v>255</v>
      </c>
      <c r="C41" s="9">
        <v>7641101</v>
      </c>
      <c r="D41" s="9">
        <v>7641101</v>
      </c>
      <c r="E41" s="10" t="s">
        <v>35</v>
      </c>
      <c r="F41" s="11" t="s">
        <v>256</v>
      </c>
      <c r="G41" s="10" t="s">
        <v>257</v>
      </c>
      <c r="H41" s="8" t="s">
        <v>258</v>
      </c>
      <c r="J41" s="12" t="s">
        <v>259</v>
      </c>
      <c r="K41" s="13" t="s">
        <v>260</v>
      </c>
      <c r="L41" s="15" t="s">
        <v>121</v>
      </c>
      <c r="M41" s="15" t="s">
        <v>194</v>
      </c>
      <c r="N41" s="15" t="s">
        <v>259</v>
      </c>
    </row>
    <row r="42" spans="1:14" ht="18" customHeight="1">
      <c r="A42" s="9">
        <v>7641102</v>
      </c>
      <c r="B42" s="8" t="s">
        <v>261</v>
      </c>
      <c r="C42" s="9">
        <v>7641102</v>
      </c>
      <c r="D42" s="9">
        <v>7641102</v>
      </c>
      <c r="E42" s="10" t="s">
        <v>35</v>
      </c>
      <c r="F42" s="11" t="s">
        <v>262</v>
      </c>
      <c r="G42" s="10" t="s">
        <v>257</v>
      </c>
      <c r="H42" s="8" t="s">
        <v>263</v>
      </c>
      <c r="J42" s="8" t="s">
        <v>264</v>
      </c>
      <c r="K42" s="9" t="s">
        <v>265</v>
      </c>
      <c r="N42" s="8" t="s">
        <v>264</v>
      </c>
    </row>
    <row r="43" spans="1:14" ht="18" customHeight="1">
      <c r="A43" s="9">
        <v>7641103</v>
      </c>
      <c r="B43" s="8" t="s">
        <v>266</v>
      </c>
      <c r="C43" s="9">
        <v>7641103</v>
      </c>
      <c r="D43" s="9">
        <v>7641103</v>
      </c>
      <c r="E43" s="10" t="s">
        <v>35</v>
      </c>
      <c r="F43" s="11" t="s">
        <v>267</v>
      </c>
      <c r="G43" s="10" t="s">
        <v>268</v>
      </c>
      <c r="H43" s="8" t="s">
        <v>269</v>
      </c>
    </row>
    <row r="44" spans="1:14" ht="18" customHeight="1">
      <c r="A44" s="9">
        <v>7641104</v>
      </c>
      <c r="B44" s="8" t="s">
        <v>270</v>
      </c>
      <c r="C44" s="9">
        <v>7641104</v>
      </c>
      <c r="D44" s="9">
        <v>7641104</v>
      </c>
      <c r="E44" s="10" t="s">
        <v>35</v>
      </c>
      <c r="F44" s="11" t="s">
        <v>271</v>
      </c>
      <c r="G44" s="10" t="s">
        <v>268</v>
      </c>
      <c r="H44" s="8" t="s">
        <v>272</v>
      </c>
    </row>
    <row r="45" spans="1:14" ht="18" customHeight="1">
      <c r="A45" s="9">
        <v>7651101</v>
      </c>
      <c r="B45" s="8" t="s">
        <v>273</v>
      </c>
      <c r="C45" s="9">
        <v>7651101</v>
      </c>
      <c r="D45" s="9">
        <v>7651101</v>
      </c>
      <c r="E45" s="10" t="s">
        <v>35</v>
      </c>
      <c r="F45" s="11" t="s">
        <v>274</v>
      </c>
      <c r="G45" s="10" t="s">
        <v>233</v>
      </c>
      <c r="H45" s="8" t="s">
        <v>275</v>
      </c>
    </row>
    <row r="46" spans="1:14" ht="18" customHeight="1">
      <c r="A46" s="9">
        <v>7651102</v>
      </c>
      <c r="B46" s="8" t="s">
        <v>276</v>
      </c>
      <c r="C46" s="9">
        <v>7651102</v>
      </c>
      <c r="D46" s="9">
        <v>7651102</v>
      </c>
      <c r="E46" s="10" t="s">
        <v>35</v>
      </c>
      <c r="F46" s="11" t="s">
        <v>277</v>
      </c>
      <c r="G46" s="10" t="s">
        <v>233</v>
      </c>
      <c r="H46" s="8" t="s">
        <v>278</v>
      </c>
    </row>
    <row r="47" spans="1:14" ht="18" customHeight="1">
      <c r="A47" s="9">
        <v>7651103</v>
      </c>
      <c r="B47" s="8" t="s">
        <v>279</v>
      </c>
      <c r="C47" s="9">
        <v>7651103</v>
      </c>
      <c r="D47" s="9">
        <v>7651103</v>
      </c>
      <c r="E47" s="10" t="s">
        <v>35</v>
      </c>
      <c r="F47" s="11" t="s">
        <v>280</v>
      </c>
      <c r="G47" s="10" t="s">
        <v>233</v>
      </c>
      <c r="H47" s="8" t="s">
        <v>281</v>
      </c>
    </row>
    <row r="48" spans="1:14" ht="18" customHeight="1">
      <c r="A48" s="9">
        <v>7661101</v>
      </c>
      <c r="B48" s="8" t="s">
        <v>282</v>
      </c>
      <c r="C48" s="9">
        <v>7661101</v>
      </c>
      <c r="D48" s="9">
        <v>7661101</v>
      </c>
      <c r="E48" s="10" t="s">
        <v>35</v>
      </c>
      <c r="F48" s="11" t="s">
        <v>283</v>
      </c>
      <c r="G48" s="10" t="s">
        <v>284</v>
      </c>
      <c r="H48" s="8" t="s">
        <v>285</v>
      </c>
    </row>
    <row r="49" spans="1:8" ht="18" customHeight="1">
      <c r="A49" s="9">
        <v>7671102</v>
      </c>
      <c r="B49" s="8" t="s">
        <v>286</v>
      </c>
      <c r="C49" s="9">
        <v>7671102</v>
      </c>
      <c r="D49" s="9">
        <v>7671102</v>
      </c>
      <c r="E49" s="10" t="s">
        <v>35</v>
      </c>
      <c r="F49" s="11" t="s">
        <v>287</v>
      </c>
      <c r="G49" s="10" t="s">
        <v>268</v>
      </c>
      <c r="H49" s="8" t="s">
        <v>288</v>
      </c>
    </row>
    <row r="50" spans="1:8" ht="18" customHeight="1">
      <c r="A50" s="9">
        <v>7671103</v>
      </c>
      <c r="B50" s="8" t="s">
        <v>289</v>
      </c>
      <c r="C50" s="9">
        <v>7671103</v>
      </c>
      <c r="D50" s="9">
        <v>7671103</v>
      </c>
      <c r="E50" s="10" t="s">
        <v>35</v>
      </c>
      <c r="F50" s="11" t="s">
        <v>290</v>
      </c>
      <c r="G50" s="10" t="s">
        <v>268</v>
      </c>
      <c r="H50" s="8" t="s">
        <v>291</v>
      </c>
    </row>
    <row r="51" spans="1:8" ht="18" customHeight="1">
      <c r="A51" s="9">
        <v>7681101</v>
      </c>
      <c r="B51" s="8" t="s">
        <v>292</v>
      </c>
      <c r="C51" s="9">
        <v>7681101</v>
      </c>
      <c r="D51" s="9">
        <v>7681101</v>
      </c>
      <c r="E51" s="10" t="s">
        <v>35</v>
      </c>
      <c r="F51" s="11" t="s">
        <v>293</v>
      </c>
      <c r="G51" s="10" t="s">
        <v>268</v>
      </c>
      <c r="H51" s="8" t="s">
        <v>294</v>
      </c>
    </row>
    <row r="52" spans="1:8" ht="18" customHeight="1">
      <c r="A52" s="9">
        <v>7691000</v>
      </c>
      <c r="B52" s="8" t="s">
        <v>295</v>
      </c>
      <c r="C52" s="9">
        <v>7691000</v>
      </c>
      <c r="D52" s="9">
        <v>7691000</v>
      </c>
      <c r="E52" s="10" t="s">
        <v>35</v>
      </c>
      <c r="F52" s="11" t="s">
        <v>296</v>
      </c>
      <c r="G52" s="10" t="s">
        <v>268</v>
      </c>
      <c r="H52" s="8" t="s">
        <v>297</v>
      </c>
    </row>
    <row r="53" spans="1:8" ht="18" customHeight="1">
      <c r="A53" s="9">
        <v>7711101</v>
      </c>
      <c r="B53" s="8" t="s">
        <v>298</v>
      </c>
      <c r="C53" s="9">
        <v>7711101</v>
      </c>
      <c r="D53" s="9">
        <v>7711101</v>
      </c>
      <c r="E53" s="10" t="s">
        <v>35</v>
      </c>
      <c r="F53" s="11" t="s">
        <v>299</v>
      </c>
      <c r="G53" s="10" t="s">
        <v>268</v>
      </c>
      <c r="H53" s="8" t="s">
        <v>300</v>
      </c>
    </row>
    <row r="54" spans="1:8" ht="18" customHeight="1">
      <c r="A54" s="9">
        <v>7711102</v>
      </c>
      <c r="B54" s="8" t="s">
        <v>301</v>
      </c>
      <c r="C54" s="9">
        <v>7711102</v>
      </c>
      <c r="D54" s="9">
        <v>7711102</v>
      </c>
      <c r="E54" s="10" t="s">
        <v>35</v>
      </c>
      <c r="F54" s="11" t="s">
        <v>302</v>
      </c>
      <c r="G54" s="10" t="s">
        <v>303</v>
      </c>
      <c r="H54" s="8" t="s">
        <v>304</v>
      </c>
    </row>
    <row r="55" spans="1:8" ht="18" customHeight="1">
      <c r="A55" s="9">
        <v>7711103</v>
      </c>
      <c r="B55" s="8" t="s">
        <v>305</v>
      </c>
      <c r="C55" s="9">
        <v>7711103</v>
      </c>
      <c r="D55" s="9">
        <v>7711103</v>
      </c>
      <c r="E55" s="10" t="s">
        <v>35</v>
      </c>
      <c r="F55" s="11" t="s">
        <v>306</v>
      </c>
      <c r="G55" s="10" t="s">
        <v>268</v>
      </c>
      <c r="H55" s="8" t="s">
        <v>307</v>
      </c>
    </row>
    <row r="56" spans="1:8" ht="18" customHeight="1">
      <c r="A56" s="9">
        <v>7721101</v>
      </c>
      <c r="B56" s="8" t="s">
        <v>308</v>
      </c>
      <c r="C56" s="9">
        <v>7721101</v>
      </c>
      <c r="D56" s="9">
        <v>7721101</v>
      </c>
      <c r="E56" s="10" t="s">
        <v>35</v>
      </c>
      <c r="F56" s="11" t="s">
        <v>309</v>
      </c>
      <c r="G56" s="10" t="s">
        <v>268</v>
      </c>
      <c r="H56" s="8" t="s">
        <v>310</v>
      </c>
    </row>
    <row r="57" spans="1:8" ht="18" customHeight="1">
      <c r="A57" s="9">
        <v>7729101</v>
      </c>
      <c r="B57" s="8" t="s">
        <v>311</v>
      </c>
      <c r="C57" s="9">
        <v>7729101</v>
      </c>
      <c r="D57" s="9">
        <v>7729101</v>
      </c>
      <c r="E57" s="10" t="s">
        <v>35</v>
      </c>
      <c r="F57" s="11" t="s">
        <v>312</v>
      </c>
      <c r="G57" s="10" t="s">
        <v>313</v>
      </c>
      <c r="H57" s="8" t="s">
        <v>314</v>
      </c>
    </row>
    <row r="58" spans="1:8" ht="18" customHeight="1">
      <c r="A58" s="9">
        <v>7729103</v>
      </c>
      <c r="B58" s="8" t="s">
        <v>315</v>
      </c>
      <c r="C58" s="9">
        <v>7729103</v>
      </c>
      <c r="D58" s="9">
        <v>7729103</v>
      </c>
      <c r="E58" s="10" t="s">
        <v>35</v>
      </c>
      <c r="F58" s="11" t="s">
        <v>316</v>
      </c>
      <c r="G58" s="10" t="s">
        <v>317</v>
      </c>
      <c r="H58" s="8" t="s">
        <v>318</v>
      </c>
    </row>
    <row r="59" spans="1:8" ht="18" customHeight="1">
      <c r="A59" s="9">
        <v>7729105</v>
      </c>
      <c r="B59" s="8" t="s">
        <v>319</v>
      </c>
      <c r="C59" s="9">
        <v>7729105</v>
      </c>
      <c r="D59" s="9">
        <v>7729105</v>
      </c>
      <c r="E59" s="10" t="s">
        <v>35</v>
      </c>
      <c r="F59" s="11" t="s">
        <v>320</v>
      </c>
      <c r="G59" s="10" t="s">
        <v>268</v>
      </c>
      <c r="H59" s="8" t="s">
        <v>321</v>
      </c>
    </row>
    <row r="60" spans="1:8" ht="18" customHeight="1">
      <c r="A60" s="9">
        <v>7781101</v>
      </c>
      <c r="B60" s="8" t="s">
        <v>322</v>
      </c>
      <c r="C60" s="9">
        <v>7781101</v>
      </c>
      <c r="D60" s="9">
        <v>7781101</v>
      </c>
      <c r="E60" s="10" t="s">
        <v>35</v>
      </c>
      <c r="F60" s="11" t="s">
        <v>323</v>
      </c>
      <c r="G60" s="10" t="s">
        <v>268</v>
      </c>
      <c r="H60" s="8" t="s">
        <v>324</v>
      </c>
    </row>
    <row r="61" spans="1:8" ht="18" customHeight="1">
      <c r="A61" s="9">
        <v>7781103</v>
      </c>
      <c r="B61" s="8" t="s">
        <v>325</v>
      </c>
      <c r="C61" s="9">
        <v>7781103</v>
      </c>
      <c r="D61" s="9">
        <v>7781103</v>
      </c>
      <c r="E61" s="10" t="s">
        <v>35</v>
      </c>
      <c r="F61" s="11" t="s">
        <v>326</v>
      </c>
      <c r="G61" s="10" t="s">
        <v>268</v>
      </c>
      <c r="H61" s="8" t="s">
        <v>327</v>
      </c>
    </row>
    <row r="62" spans="1:8" ht="18" customHeight="1">
      <c r="A62" s="9">
        <v>7781104</v>
      </c>
      <c r="B62" s="8" t="s">
        <v>328</v>
      </c>
      <c r="C62" s="9">
        <v>7781104</v>
      </c>
      <c r="D62" s="9">
        <v>7781104</v>
      </c>
      <c r="E62" s="10" t="s">
        <v>35</v>
      </c>
      <c r="F62" s="11" t="s">
        <v>329</v>
      </c>
      <c r="G62" s="10" t="s">
        <v>268</v>
      </c>
      <c r="H62" s="8" t="s">
        <v>330</v>
      </c>
    </row>
    <row r="63" spans="1:8" ht="18" customHeight="1">
      <c r="A63" s="9">
        <v>7781105</v>
      </c>
      <c r="B63" s="8" t="s">
        <v>331</v>
      </c>
      <c r="C63" s="9">
        <v>7781105</v>
      </c>
      <c r="D63" s="9">
        <v>7781105</v>
      </c>
      <c r="E63" s="10" t="s">
        <v>35</v>
      </c>
      <c r="F63" s="11" t="s">
        <v>332</v>
      </c>
      <c r="G63" s="10" t="s">
        <v>268</v>
      </c>
      <c r="H63" s="8" t="s">
        <v>333</v>
      </c>
    </row>
    <row r="64" spans="1:8" ht="18" customHeight="1">
      <c r="A64" s="9">
        <v>7781106</v>
      </c>
      <c r="B64" s="8" t="s">
        <v>334</v>
      </c>
      <c r="C64" s="9">
        <v>7781106</v>
      </c>
      <c r="D64" s="9">
        <v>7781106</v>
      </c>
      <c r="E64" s="10" t="s">
        <v>35</v>
      </c>
      <c r="F64" s="11" t="s">
        <v>335</v>
      </c>
      <c r="G64" s="10" t="s">
        <v>268</v>
      </c>
      <c r="H64" s="8" t="s">
        <v>336</v>
      </c>
    </row>
    <row r="65" spans="1:8" ht="18" customHeight="1">
      <c r="A65" s="9">
        <v>7781107</v>
      </c>
      <c r="B65" s="8" t="s">
        <v>337</v>
      </c>
      <c r="C65" s="9">
        <v>7781107</v>
      </c>
      <c r="D65" s="9">
        <v>7781107</v>
      </c>
      <c r="E65" s="10" t="s">
        <v>35</v>
      </c>
      <c r="F65" s="11" t="s">
        <v>338</v>
      </c>
      <c r="G65" s="10" t="s">
        <v>339</v>
      </c>
      <c r="H65" s="8" t="s">
        <v>340</v>
      </c>
    </row>
    <row r="66" spans="1:8" ht="18" customHeight="1">
      <c r="A66" s="9">
        <v>7781111</v>
      </c>
      <c r="B66" s="8" t="s">
        <v>341</v>
      </c>
      <c r="C66" s="9">
        <v>7781111</v>
      </c>
      <c r="D66" s="9">
        <v>7781111</v>
      </c>
      <c r="E66" s="10" t="s">
        <v>35</v>
      </c>
      <c r="F66" s="11" t="s">
        <v>342</v>
      </c>
      <c r="G66" s="10" t="s">
        <v>268</v>
      </c>
      <c r="H66" s="8" t="s">
        <v>343</v>
      </c>
    </row>
    <row r="67" spans="1:8" ht="18" customHeight="1">
      <c r="A67" s="9">
        <v>7781112</v>
      </c>
      <c r="B67" s="8" t="s">
        <v>344</v>
      </c>
      <c r="C67" s="9">
        <v>7781112</v>
      </c>
      <c r="D67" s="9">
        <v>7781112</v>
      </c>
      <c r="E67" s="10" t="s">
        <v>35</v>
      </c>
      <c r="F67" s="11" t="s">
        <v>345</v>
      </c>
      <c r="G67" s="10" t="s">
        <v>268</v>
      </c>
      <c r="H67" s="8" t="s">
        <v>346</v>
      </c>
    </row>
    <row r="68" spans="1:8" ht="18" customHeight="1">
      <c r="A68" s="9">
        <v>7781113</v>
      </c>
      <c r="B68" s="8" t="s">
        <v>347</v>
      </c>
      <c r="C68" s="9">
        <v>7781113</v>
      </c>
      <c r="D68" s="9">
        <v>7781113</v>
      </c>
      <c r="E68" s="10" t="s">
        <v>35</v>
      </c>
      <c r="F68" s="11" t="s">
        <v>348</v>
      </c>
      <c r="G68" s="10" t="s">
        <v>268</v>
      </c>
      <c r="H68" s="8" t="s">
        <v>349</v>
      </c>
    </row>
    <row r="69" spans="1:8" ht="18" customHeight="1">
      <c r="A69" s="9">
        <v>7411101</v>
      </c>
      <c r="B69" s="8" t="s">
        <v>350</v>
      </c>
      <c r="C69" s="9">
        <v>7411101</v>
      </c>
      <c r="D69" s="9">
        <v>7411101</v>
      </c>
      <c r="E69" s="10" t="s">
        <v>35</v>
      </c>
      <c r="F69" s="11" t="s">
        <v>351</v>
      </c>
      <c r="G69" s="10" t="s">
        <v>352</v>
      </c>
      <c r="H69" s="8" t="s">
        <v>353</v>
      </c>
    </row>
    <row r="70" spans="1:8" ht="18" customHeight="1">
      <c r="A70" s="9">
        <v>7411103</v>
      </c>
      <c r="B70" s="8" t="s">
        <v>354</v>
      </c>
      <c r="C70" s="9">
        <v>7411103</v>
      </c>
      <c r="D70" s="9">
        <v>7411103</v>
      </c>
      <c r="E70" s="10" t="s">
        <v>35</v>
      </c>
      <c r="F70" s="11" t="s">
        <v>355</v>
      </c>
      <c r="G70" s="10" t="s">
        <v>356</v>
      </c>
      <c r="H70" s="8" t="s">
        <v>357</v>
      </c>
    </row>
    <row r="71" spans="1:8" ht="18" customHeight="1">
      <c r="A71" s="9">
        <v>7411104</v>
      </c>
      <c r="B71" s="8" t="s">
        <v>358</v>
      </c>
      <c r="C71" s="9">
        <v>7411104</v>
      </c>
      <c r="D71" s="9">
        <v>7411104</v>
      </c>
      <c r="E71" s="10" t="s">
        <v>35</v>
      </c>
      <c r="F71" s="11" t="s">
        <v>359</v>
      </c>
      <c r="G71" s="10" t="s">
        <v>360</v>
      </c>
      <c r="H71" s="8" t="s">
        <v>361</v>
      </c>
    </row>
    <row r="72" spans="1:8" ht="18" customHeight="1">
      <c r="A72" s="9">
        <v>7431101</v>
      </c>
      <c r="B72" s="8" t="s">
        <v>362</v>
      </c>
      <c r="C72" s="9">
        <v>7431101</v>
      </c>
      <c r="D72" s="9">
        <v>7431101</v>
      </c>
      <c r="E72" s="10" t="s">
        <v>35</v>
      </c>
      <c r="F72" s="11" t="s">
        <v>363</v>
      </c>
      <c r="G72" s="10" t="s">
        <v>364</v>
      </c>
      <c r="H72" s="8" t="s">
        <v>365</v>
      </c>
    </row>
    <row r="73" spans="1:8" ht="18" customHeight="1">
      <c r="A73" s="9">
        <v>7451101</v>
      </c>
      <c r="B73" s="8" t="s">
        <v>366</v>
      </c>
      <c r="C73" s="9">
        <v>7451101</v>
      </c>
      <c r="D73" s="9">
        <v>7451101</v>
      </c>
      <c r="E73" s="10" t="s">
        <v>35</v>
      </c>
      <c r="F73" s="11" t="s">
        <v>367</v>
      </c>
      <c r="G73" s="10" t="s">
        <v>368</v>
      </c>
      <c r="H73" s="8" t="s">
        <v>369</v>
      </c>
    </row>
    <row r="74" spans="1:8" ht="18" customHeight="1">
      <c r="A74" s="9">
        <v>7451102</v>
      </c>
      <c r="B74" s="8" t="s">
        <v>370</v>
      </c>
      <c r="C74" s="9">
        <v>7451102</v>
      </c>
      <c r="D74" s="9">
        <v>7451102</v>
      </c>
      <c r="E74" s="10" t="s">
        <v>35</v>
      </c>
      <c r="F74" s="11" t="s">
        <v>371</v>
      </c>
      <c r="G74" s="10" t="s">
        <v>372</v>
      </c>
      <c r="H74" s="8" t="s">
        <v>373</v>
      </c>
    </row>
    <row r="75" spans="1:8" ht="18" customHeight="1">
      <c r="A75" s="9">
        <v>7451103</v>
      </c>
      <c r="B75" s="8" t="s">
        <v>374</v>
      </c>
      <c r="C75" s="9">
        <v>7451103</v>
      </c>
      <c r="D75" s="9">
        <v>7451103</v>
      </c>
      <c r="E75" s="10" t="s">
        <v>35</v>
      </c>
      <c r="F75" s="11" t="s">
        <v>375</v>
      </c>
      <c r="G75" s="10" t="s">
        <v>376</v>
      </c>
      <c r="H75" s="8" t="s">
        <v>377</v>
      </c>
    </row>
    <row r="76" spans="1:8" ht="18" customHeight="1">
      <c r="A76" s="9">
        <v>7461101</v>
      </c>
      <c r="B76" s="8" t="s">
        <v>378</v>
      </c>
      <c r="C76" s="9">
        <v>7461101</v>
      </c>
      <c r="D76" s="9">
        <v>7461101</v>
      </c>
      <c r="E76" s="10" t="s">
        <v>35</v>
      </c>
      <c r="F76" s="11" t="s">
        <v>379</v>
      </c>
      <c r="G76" s="10" t="s">
        <v>380</v>
      </c>
      <c r="H76" s="8" t="s">
        <v>378</v>
      </c>
    </row>
    <row r="77" spans="1:8" ht="18" customHeight="1">
      <c r="A77" s="9">
        <v>7411105</v>
      </c>
      <c r="B77" s="8" t="s">
        <v>381</v>
      </c>
      <c r="C77" s="9">
        <v>7411105</v>
      </c>
      <c r="D77" s="9">
        <v>7411105</v>
      </c>
      <c r="E77" s="10" t="s">
        <v>35</v>
      </c>
      <c r="F77" s="10" t="s">
        <v>382</v>
      </c>
      <c r="G77" s="46" t="s">
        <v>383</v>
      </c>
    </row>
    <row r="78" spans="1:8" ht="18" customHeight="1">
      <c r="A78" s="9">
        <v>7471201</v>
      </c>
      <c r="B78" s="8" t="s">
        <v>384</v>
      </c>
      <c r="C78" s="9">
        <v>7471201</v>
      </c>
      <c r="D78" s="9">
        <v>7471201</v>
      </c>
      <c r="E78" s="10" t="s">
        <v>35</v>
      </c>
      <c r="F78" s="10" t="s">
        <v>385</v>
      </c>
      <c r="G78" s="46" t="s">
        <v>386</v>
      </c>
    </row>
    <row r="79" spans="1:8" ht="18" customHeight="1">
      <c r="A79" s="9">
        <v>7751101</v>
      </c>
      <c r="B79" s="8" t="s">
        <v>387</v>
      </c>
      <c r="C79" s="9">
        <v>7751101</v>
      </c>
      <c r="D79" s="9">
        <v>7751101</v>
      </c>
      <c r="E79" s="10" t="s">
        <v>35</v>
      </c>
      <c r="F79" s="10" t="s">
        <v>388</v>
      </c>
    </row>
    <row r="80" spans="1:8" ht="18" customHeight="1">
      <c r="A80" s="9">
        <v>7751102</v>
      </c>
      <c r="B80" s="8" t="s">
        <v>389</v>
      </c>
      <c r="C80" s="9">
        <v>7751102</v>
      </c>
      <c r="D80" s="9">
        <v>7751102</v>
      </c>
      <c r="E80" s="10" t="s">
        <v>35</v>
      </c>
      <c r="F80" s="10" t="s">
        <v>390</v>
      </c>
    </row>
    <row r="81" spans="1:8" ht="18" customHeight="1">
      <c r="A81" s="22">
        <v>7111211</v>
      </c>
      <c r="B81" s="8" t="s">
        <v>391</v>
      </c>
      <c r="C81" s="22">
        <v>7111211</v>
      </c>
      <c r="D81" s="22">
        <v>7111211</v>
      </c>
      <c r="E81" s="22" t="s">
        <v>121</v>
      </c>
      <c r="F81" s="22" t="s">
        <v>392</v>
      </c>
    </row>
    <row r="82" spans="1:8" ht="18" customHeight="1">
      <c r="A82" s="22">
        <v>7111212</v>
      </c>
      <c r="B82" s="8" t="s">
        <v>393</v>
      </c>
      <c r="C82" s="22">
        <v>7111212</v>
      </c>
      <c r="D82" s="22">
        <v>7111212</v>
      </c>
      <c r="E82" s="22" t="s">
        <v>121</v>
      </c>
      <c r="F82" s="22" t="s">
        <v>394</v>
      </c>
    </row>
    <row r="83" spans="1:8" ht="18" customHeight="1">
      <c r="A83" s="22">
        <v>7111221</v>
      </c>
      <c r="B83" s="8" t="s">
        <v>395</v>
      </c>
      <c r="C83" s="22">
        <v>7111221</v>
      </c>
      <c r="D83" s="22">
        <v>7111221</v>
      </c>
      <c r="E83" s="22" t="s">
        <v>121</v>
      </c>
      <c r="F83" s="22" t="s">
        <v>396</v>
      </c>
    </row>
    <row r="84" spans="1:8" ht="18" customHeight="1">
      <c r="A84" s="22">
        <v>7111222</v>
      </c>
      <c r="B84" s="8" t="s">
        <v>397</v>
      </c>
      <c r="C84" s="22">
        <v>7111222</v>
      </c>
      <c r="D84" s="22">
        <v>7111222</v>
      </c>
      <c r="E84" s="22" t="s">
        <v>121</v>
      </c>
      <c r="F84" s="22" t="s">
        <v>398</v>
      </c>
    </row>
    <row r="85" spans="1:8" ht="18" customHeight="1">
      <c r="A85" s="22">
        <v>7111223</v>
      </c>
      <c r="B85" s="8" t="s">
        <v>399</v>
      </c>
      <c r="C85" s="22">
        <v>7111223</v>
      </c>
      <c r="D85" s="22">
        <v>7111223</v>
      </c>
      <c r="E85" s="22" t="s">
        <v>121</v>
      </c>
      <c r="F85" s="22" t="s">
        <v>400</v>
      </c>
    </row>
    <row r="86" spans="1:8" ht="18" customHeight="1">
      <c r="A86" s="22">
        <v>7111311</v>
      </c>
      <c r="B86" s="8" t="s">
        <v>401</v>
      </c>
      <c r="C86" s="22">
        <v>7111311</v>
      </c>
      <c r="D86" s="22">
        <v>7111311</v>
      </c>
      <c r="E86" s="22" t="s">
        <v>121</v>
      </c>
      <c r="F86" s="22" t="s">
        <v>402</v>
      </c>
    </row>
    <row r="87" spans="1:8" ht="18" customHeight="1">
      <c r="A87" s="22">
        <v>7111312</v>
      </c>
      <c r="B87" s="8" t="s">
        <v>403</v>
      </c>
      <c r="C87" s="22">
        <v>7111312</v>
      </c>
      <c r="D87" s="22">
        <v>7111312</v>
      </c>
      <c r="E87" s="22" t="s">
        <v>121</v>
      </c>
      <c r="F87" s="22" t="s">
        <v>404</v>
      </c>
    </row>
    <row r="88" spans="1:8" ht="18" customHeight="1">
      <c r="A88" s="22">
        <v>7111321</v>
      </c>
      <c r="B88" s="8" t="s">
        <v>405</v>
      </c>
      <c r="C88" s="22">
        <v>7111321</v>
      </c>
      <c r="D88" s="22">
        <v>7111321</v>
      </c>
      <c r="E88" s="22" t="s">
        <v>121</v>
      </c>
      <c r="F88" s="22" t="s">
        <v>406</v>
      </c>
    </row>
    <row r="89" spans="1:8" ht="18" customHeight="1">
      <c r="A89" s="22">
        <v>7111322</v>
      </c>
      <c r="B89" s="8" t="s">
        <v>407</v>
      </c>
      <c r="C89" s="22">
        <v>7111322</v>
      </c>
      <c r="D89" s="22">
        <v>7111322</v>
      </c>
      <c r="E89" s="22" t="s">
        <v>121</v>
      </c>
      <c r="F89" s="22" t="s">
        <v>408</v>
      </c>
    </row>
    <row r="90" spans="1:8" ht="18" customHeight="1">
      <c r="A90" s="22">
        <v>7111323</v>
      </c>
      <c r="B90" s="8" t="s">
        <v>409</v>
      </c>
      <c r="C90" s="22">
        <v>7111323</v>
      </c>
      <c r="D90" s="22">
        <v>7111323</v>
      </c>
      <c r="E90" s="22" t="s">
        <v>121</v>
      </c>
      <c r="F90" s="22" t="s">
        <v>410</v>
      </c>
    </row>
    <row r="91" spans="1:8" ht="18" customHeight="1">
      <c r="A91" s="22">
        <v>7111411</v>
      </c>
      <c r="B91" s="8" t="s">
        <v>411</v>
      </c>
      <c r="C91" s="22">
        <v>7111411</v>
      </c>
      <c r="D91" s="22">
        <v>7111411</v>
      </c>
      <c r="E91" s="22" t="s">
        <v>121</v>
      </c>
      <c r="F91" s="22" t="s">
        <v>412</v>
      </c>
    </row>
    <row r="92" spans="1:8" ht="18" customHeight="1">
      <c r="A92" s="22">
        <v>7151101</v>
      </c>
      <c r="B92" s="8" t="s">
        <v>413</v>
      </c>
      <c r="C92" s="22">
        <v>7151101</v>
      </c>
      <c r="D92" s="22">
        <v>7151101</v>
      </c>
      <c r="E92" s="22" t="s">
        <v>121</v>
      </c>
      <c r="F92" s="22" t="s">
        <v>414</v>
      </c>
    </row>
    <row r="93" spans="1:8" ht="18" customHeight="1">
      <c r="A93" s="22">
        <v>7200000</v>
      </c>
      <c r="B93" s="8" t="s">
        <v>415</v>
      </c>
      <c r="C93" s="22">
        <v>7200000</v>
      </c>
      <c r="D93" s="22">
        <v>7200000</v>
      </c>
      <c r="E93" s="22" t="s">
        <v>121</v>
      </c>
      <c r="F93" s="22" t="s">
        <v>416</v>
      </c>
    </row>
    <row r="94" spans="1:8" ht="18" customHeight="1">
      <c r="A94" s="22">
        <v>7211101</v>
      </c>
      <c r="B94" s="8" t="s">
        <v>417</v>
      </c>
      <c r="C94" s="22">
        <v>7211101</v>
      </c>
      <c r="D94" s="22">
        <v>7211101</v>
      </c>
      <c r="E94" s="22" t="s">
        <v>121</v>
      </c>
      <c r="F94" s="22" t="s">
        <v>418</v>
      </c>
    </row>
    <row r="95" spans="1:8" ht="18" customHeight="1">
      <c r="A95" s="22">
        <v>7211102</v>
      </c>
      <c r="B95" s="8" t="s">
        <v>419</v>
      </c>
      <c r="C95" s="22">
        <v>7211102</v>
      </c>
      <c r="D95" s="22">
        <v>7211102</v>
      </c>
      <c r="E95" s="22" t="s">
        <v>121</v>
      </c>
      <c r="F95" s="22" t="s">
        <v>420</v>
      </c>
      <c r="G95" s="22">
        <v>901</v>
      </c>
      <c r="H95" s="8" t="s">
        <v>421</v>
      </c>
    </row>
    <row r="96" spans="1:8" ht="18" customHeight="1">
      <c r="A96" s="22">
        <v>7211103</v>
      </c>
      <c r="B96" s="8" t="s">
        <v>422</v>
      </c>
      <c r="C96" s="22">
        <v>7211103</v>
      </c>
      <c r="D96" s="22">
        <v>7211103</v>
      </c>
      <c r="E96" s="22" t="s">
        <v>121</v>
      </c>
      <c r="F96" s="22" t="s">
        <v>423</v>
      </c>
      <c r="G96" s="22"/>
    </row>
    <row r="97" spans="1:8" ht="18" customHeight="1">
      <c r="A97" s="22">
        <v>7211104</v>
      </c>
      <c r="B97" s="8" t="s">
        <v>424</v>
      </c>
      <c r="C97" s="22">
        <v>7211104</v>
      </c>
      <c r="D97" s="22">
        <v>7211104</v>
      </c>
      <c r="E97" s="22" t="s">
        <v>121</v>
      </c>
      <c r="F97" s="22" t="s">
        <v>425</v>
      </c>
      <c r="G97" s="22">
        <v>302</v>
      </c>
    </row>
    <row r="98" spans="1:8" ht="18" customHeight="1">
      <c r="A98" s="22">
        <v>7221101</v>
      </c>
      <c r="B98" s="8" t="s">
        <v>426</v>
      </c>
      <c r="C98" s="22">
        <v>7221101</v>
      </c>
      <c r="D98" s="22">
        <v>7221101</v>
      </c>
      <c r="E98" s="22" t="s">
        <v>121</v>
      </c>
      <c r="F98" s="22" t="s">
        <v>427</v>
      </c>
      <c r="G98" s="22">
        <v>302</v>
      </c>
      <c r="H98" s="8" t="s">
        <v>428</v>
      </c>
    </row>
    <row r="99" spans="1:8" ht="18" customHeight="1">
      <c r="A99" s="22">
        <v>7221102</v>
      </c>
      <c r="B99" s="8" t="s">
        <v>429</v>
      </c>
      <c r="C99" s="22">
        <v>7221102</v>
      </c>
      <c r="D99" s="22">
        <v>7221102</v>
      </c>
      <c r="E99" s="22" t="s">
        <v>121</v>
      </c>
      <c r="F99" s="22" t="s">
        <v>430</v>
      </c>
      <c r="G99" s="22">
        <v>301</v>
      </c>
      <c r="H99" s="8" t="s">
        <v>431</v>
      </c>
    </row>
    <row r="100" spans="1:8" ht="18" customHeight="1">
      <c r="A100" s="22">
        <v>7511101</v>
      </c>
      <c r="B100" s="8" t="s">
        <v>34</v>
      </c>
      <c r="C100" s="22">
        <v>7511101</v>
      </c>
      <c r="D100" s="22">
        <v>7511101</v>
      </c>
      <c r="E100" s="22" t="s">
        <v>121</v>
      </c>
      <c r="F100" s="22" t="s">
        <v>432</v>
      </c>
      <c r="G100" s="22">
        <v>602</v>
      </c>
      <c r="H100" s="8" t="s">
        <v>34</v>
      </c>
    </row>
    <row r="101" spans="1:8" ht="18" customHeight="1">
      <c r="A101" s="22">
        <v>7511102</v>
      </c>
      <c r="B101" s="8" t="s">
        <v>45</v>
      </c>
      <c r="C101" s="22">
        <v>7511102</v>
      </c>
      <c r="D101" s="22">
        <v>7511102</v>
      </c>
      <c r="E101" s="22" t="s">
        <v>121</v>
      </c>
      <c r="F101" s="22" t="s">
        <v>433</v>
      </c>
      <c r="G101" s="22">
        <v>602</v>
      </c>
      <c r="H101" s="8" t="s">
        <v>47</v>
      </c>
    </row>
    <row r="102" spans="1:8" ht="18" customHeight="1">
      <c r="A102" s="22">
        <v>7511103</v>
      </c>
      <c r="B102" s="8" t="s">
        <v>53</v>
      </c>
      <c r="C102" s="22">
        <v>7511103</v>
      </c>
      <c r="D102" s="22">
        <v>7511103</v>
      </c>
      <c r="E102" s="22" t="s">
        <v>121</v>
      </c>
      <c r="F102" s="22" t="s">
        <v>434</v>
      </c>
      <c r="G102" s="22">
        <v>601</v>
      </c>
      <c r="H102" s="8" t="s">
        <v>56</v>
      </c>
    </row>
    <row r="103" spans="1:8" ht="18" customHeight="1">
      <c r="A103" s="22">
        <v>7511111</v>
      </c>
      <c r="B103" s="8" t="s">
        <v>62</v>
      </c>
      <c r="C103" s="22">
        <v>7511111</v>
      </c>
      <c r="D103" s="22">
        <v>7511111</v>
      </c>
      <c r="E103" s="22" t="s">
        <v>121</v>
      </c>
      <c r="F103" s="22" t="s">
        <v>435</v>
      </c>
      <c r="G103" s="22">
        <v>601</v>
      </c>
      <c r="H103" s="8" t="s">
        <v>64</v>
      </c>
    </row>
    <row r="104" spans="1:8" ht="18" customHeight="1">
      <c r="A104" s="22">
        <v>7511112</v>
      </c>
      <c r="B104" s="8" t="s">
        <v>67</v>
      </c>
      <c r="C104" s="22">
        <v>7511112</v>
      </c>
      <c r="D104" s="22">
        <v>7511112</v>
      </c>
      <c r="E104" s="22" t="s">
        <v>121</v>
      </c>
      <c r="F104" s="22" t="s">
        <v>436</v>
      </c>
      <c r="G104" s="22">
        <v>601</v>
      </c>
      <c r="H104" s="8" t="s">
        <v>69</v>
      </c>
    </row>
    <row r="105" spans="1:8" ht="18" customHeight="1">
      <c r="A105" s="22">
        <v>7511121</v>
      </c>
      <c r="B105" s="8" t="s">
        <v>73</v>
      </c>
      <c r="C105" s="22">
        <v>7511121</v>
      </c>
      <c r="D105" s="22">
        <v>7511121</v>
      </c>
      <c r="E105" s="22" t="s">
        <v>121</v>
      </c>
      <c r="F105" s="22" t="s">
        <v>437</v>
      </c>
      <c r="G105" s="22">
        <v>601</v>
      </c>
      <c r="H105" s="8" t="s">
        <v>75</v>
      </c>
    </row>
    <row r="106" spans="1:8" ht="18" customHeight="1">
      <c r="A106" s="22">
        <v>7511122</v>
      </c>
      <c r="B106" s="8" t="s">
        <v>79</v>
      </c>
      <c r="C106" s="22">
        <v>7511122</v>
      </c>
      <c r="D106" s="22">
        <v>7511122</v>
      </c>
      <c r="E106" s="22" t="s">
        <v>121</v>
      </c>
      <c r="F106" s="22" t="s">
        <v>438</v>
      </c>
      <c r="G106" s="22">
        <v>601</v>
      </c>
      <c r="H106" s="8" t="s">
        <v>81</v>
      </c>
    </row>
    <row r="107" spans="1:8" ht="18" customHeight="1">
      <c r="A107" s="22">
        <v>7511201</v>
      </c>
      <c r="B107" s="8" t="s">
        <v>84</v>
      </c>
      <c r="C107" s="22">
        <v>7511201</v>
      </c>
      <c r="D107" s="22">
        <v>7511201</v>
      </c>
      <c r="E107" s="22" t="s">
        <v>121</v>
      </c>
      <c r="F107" s="22" t="s">
        <v>439</v>
      </c>
      <c r="G107" s="22">
        <v>603</v>
      </c>
      <c r="H107" s="8" t="s">
        <v>87</v>
      </c>
    </row>
    <row r="108" spans="1:8" ht="18" customHeight="1">
      <c r="A108" s="22">
        <v>7512111</v>
      </c>
      <c r="B108" s="8" t="s">
        <v>90</v>
      </c>
      <c r="C108" s="22">
        <v>7512111</v>
      </c>
      <c r="D108" s="22">
        <v>7512111</v>
      </c>
      <c r="E108" s="22" t="s">
        <v>121</v>
      </c>
      <c r="F108" s="22" t="s">
        <v>440</v>
      </c>
      <c r="G108" s="22">
        <v>604</v>
      </c>
      <c r="H108" s="8" t="s">
        <v>93</v>
      </c>
    </row>
    <row r="109" spans="1:8" ht="18" customHeight="1">
      <c r="A109" s="22">
        <v>7512112</v>
      </c>
      <c r="B109" s="8" t="s">
        <v>96</v>
      </c>
      <c r="C109" s="22">
        <v>7512112</v>
      </c>
      <c r="D109" s="22">
        <v>7512112</v>
      </c>
      <c r="E109" s="22" t="s">
        <v>121</v>
      </c>
      <c r="F109" s="22" t="s">
        <v>441</v>
      </c>
      <c r="G109" s="22">
        <v>604</v>
      </c>
      <c r="H109" s="8" t="s">
        <v>98</v>
      </c>
    </row>
    <row r="110" spans="1:8" ht="18" customHeight="1">
      <c r="A110" s="22">
        <v>7514101</v>
      </c>
      <c r="B110" s="8" t="s">
        <v>101</v>
      </c>
      <c r="C110" s="22">
        <v>7514101</v>
      </c>
      <c r="D110" s="22">
        <v>7514101</v>
      </c>
      <c r="E110" s="22" t="s">
        <v>121</v>
      </c>
      <c r="F110" s="22" t="s">
        <v>442</v>
      </c>
      <c r="G110" s="22">
        <v>601</v>
      </c>
      <c r="H110" s="8" t="s">
        <v>103</v>
      </c>
    </row>
    <row r="111" spans="1:8" ht="18" customHeight="1">
      <c r="A111" s="22">
        <v>7514102</v>
      </c>
      <c r="B111" s="8" t="s">
        <v>106</v>
      </c>
      <c r="C111" s="22">
        <v>7514102</v>
      </c>
      <c r="D111" s="22">
        <v>7514102</v>
      </c>
      <c r="E111" s="22" t="s">
        <v>121</v>
      </c>
      <c r="F111" s="22" t="s">
        <v>443</v>
      </c>
      <c r="G111" s="22">
        <v>601</v>
      </c>
      <c r="H111" s="8" t="s">
        <v>108</v>
      </c>
    </row>
    <row r="112" spans="1:8" ht="18" customHeight="1">
      <c r="A112" s="22">
        <v>7515401</v>
      </c>
      <c r="B112" s="8" t="s">
        <v>111</v>
      </c>
      <c r="C112" s="22">
        <v>7515401</v>
      </c>
      <c r="D112" s="22">
        <v>7515401</v>
      </c>
      <c r="E112" s="22" t="s">
        <v>121</v>
      </c>
      <c r="F112" s="22" t="s">
        <v>444</v>
      </c>
      <c r="G112" s="22">
        <v>604</v>
      </c>
      <c r="H112" s="8" t="s">
        <v>113</v>
      </c>
    </row>
    <row r="113" spans="1:8" ht="18" customHeight="1">
      <c r="A113" s="22">
        <v>7515402</v>
      </c>
      <c r="B113" s="8" t="s">
        <v>116</v>
      </c>
      <c r="C113" s="22">
        <v>7515402</v>
      </c>
      <c r="D113" s="22">
        <v>7515402</v>
      </c>
      <c r="E113" s="22" t="s">
        <v>121</v>
      </c>
      <c r="F113" s="22" t="s">
        <v>445</v>
      </c>
      <c r="G113" s="22">
        <v>604</v>
      </c>
      <c r="H113" s="8" t="s">
        <v>118</v>
      </c>
    </row>
    <row r="114" spans="1:8" ht="18" customHeight="1">
      <c r="A114" s="22">
        <v>7515403</v>
      </c>
      <c r="B114" s="8" t="s">
        <v>123</v>
      </c>
      <c r="C114" s="22">
        <v>7515403</v>
      </c>
      <c r="D114" s="22">
        <v>7515403</v>
      </c>
      <c r="E114" s="22" t="s">
        <v>121</v>
      </c>
      <c r="F114" s="22" t="s">
        <v>446</v>
      </c>
      <c r="G114" s="22">
        <v>604</v>
      </c>
      <c r="H114" s="8" t="s">
        <v>125</v>
      </c>
    </row>
    <row r="115" spans="1:8" ht="18" customHeight="1">
      <c r="A115" s="22">
        <v>7515404</v>
      </c>
      <c r="B115" s="8" t="s">
        <v>128</v>
      </c>
      <c r="C115" s="22">
        <v>7515404</v>
      </c>
      <c r="D115" s="22">
        <v>7515404</v>
      </c>
      <c r="E115" s="22" t="s">
        <v>121</v>
      </c>
      <c r="F115" s="22" t="s">
        <v>447</v>
      </c>
      <c r="G115" s="22">
        <v>604</v>
      </c>
      <c r="H115" s="8" t="s">
        <v>130</v>
      </c>
    </row>
    <row r="116" spans="1:8" ht="18" customHeight="1">
      <c r="A116" s="22">
        <v>7515405</v>
      </c>
      <c r="B116" s="8" t="s">
        <v>133</v>
      </c>
      <c r="C116" s="22">
        <v>7515405</v>
      </c>
      <c r="D116" s="22">
        <v>7515405</v>
      </c>
      <c r="E116" s="22" t="s">
        <v>121</v>
      </c>
      <c r="F116" s="22" t="s">
        <v>448</v>
      </c>
      <c r="G116" s="22">
        <v>604</v>
      </c>
      <c r="H116" s="8" t="s">
        <v>135</v>
      </c>
    </row>
    <row r="117" spans="1:8" ht="18" customHeight="1">
      <c r="A117" s="22">
        <v>7515406</v>
      </c>
      <c r="B117" s="8" t="s">
        <v>138</v>
      </c>
      <c r="C117" s="22">
        <v>7515406</v>
      </c>
      <c r="D117" s="22">
        <v>7515406</v>
      </c>
      <c r="E117" s="22" t="s">
        <v>121</v>
      </c>
      <c r="F117" s="22" t="s">
        <v>449</v>
      </c>
      <c r="G117" s="22">
        <v>604</v>
      </c>
      <c r="H117" s="8" t="s">
        <v>140</v>
      </c>
    </row>
    <row r="118" spans="1:8" ht="18" customHeight="1">
      <c r="A118" s="22">
        <v>7515407</v>
      </c>
      <c r="B118" s="8" t="s">
        <v>143</v>
      </c>
      <c r="C118" s="22">
        <v>7515407</v>
      </c>
      <c r="D118" s="22">
        <v>7515407</v>
      </c>
      <c r="E118" s="22" t="s">
        <v>121</v>
      </c>
      <c r="F118" s="22" t="s">
        <v>450</v>
      </c>
      <c r="G118" s="22">
        <v>604</v>
      </c>
    </row>
    <row r="119" spans="1:8" ht="18" customHeight="1">
      <c r="A119" s="22">
        <v>7515408</v>
      </c>
      <c r="B119" s="8" t="s">
        <v>147</v>
      </c>
      <c r="C119" s="22">
        <v>7515408</v>
      </c>
      <c r="D119" s="22">
        <v>7515408</v>
      </c>
      <c r="E119" s="22" t="s">
        <v>121</v>
      </c>
      <c r="F119" s="22" t="s">
        <v>451</v>
      </c>
      <c r="G119" s="22">
        <v>604</v>
      </c>
      <c r="H119" s="8" t="s">
        <v>149</v>
      </c>
    </row>
    <row r="120" spans="1:8" ht="18" customHeight="1">
      <c r="A120" s="22">
        <v>7515409</v>
      </c>
      <c r="B120" s="8" t="s">
        <v>152</v>
      </c>
      <c r="C120" s="22">
        <v>7515409</v>
      </c>
      <c r="D120" s="22">
        <v>7515409</v>
      </c>
      <c r="E120" s="22" t="s">
        <v>121</v>
      </c>
      <c r="F120" s="22" t="s">
        <v>452</v>
      </c>
      <c r="G120" s="22">
        <v>604</v>
      </c>
      <c r="H120" s="8" t="s">
        <v>154</v>
      </c>
    </row>
    <row r="121" spans="1:8" ht="18" customHeight="1">
      <c r="A121" s="22">
        <v>7515410</v>
      </c>
      <c r="B121" s="8" t="s">
        <v>157</v>
      </c>
      <c r="C121" s="22">
        <v>7515410</v>
      </c>
      <c r="D121" s="22">
        <v>7515410</v>
      </c>
      <c r="E121" s="22" t="s">
        <v>121</v>
      </c>
      <c r="F121" s="22" t="s">
        <v>453</v>
      </c>
      <c r="G121" s="22">
        <v>604</v>
      </c>
      <c r="H121" s="8" t="s">
        <v>159</v>
      </c>
    </row>
    <row r="122" spans="1:8" ht="18" customHeight="1">
      <c r="A122" s="22">
        <v>7515499</v>
      </c>
      <c r="B122" s="8" t="s">
        <v>162</v>
      </c>
      <c r="C122" s="22">
        <v>7515499</v>
      </c>
      <c r="D122" s="22">
        <v>7515499</v>
      </c>
      <c r="E122" s="22" t="s">
        <v>121</v>
      </c>
      <c r="F122" s="22" t="s">
        <v>454</v>
      </c>
      <c r="G122" s="22">
        <v>604</v>
      </c>
      <c r="H122" s="8" t="s">
        <v>164</v>
      </c>
    </row>
    <row r="123" spans="1:8" ht="18" customHeight="1">
      <c r="A123" s="22">
        <v>7516102</v>
      </c>
      <c r="B123" s="8" t="s">
        <v>167</v>
      </c>
      <c r="C123" s="22">
        <v>7516102</v>
      </c>
      <c r="D123" s="22">
        <v>7516102</v>
      </c>
      <c r="E123" s="22" t="s">
        <v>121</v>
      </c>
      <c r="F123" s="22" t="s">
        <v>455</v>
      </c>
      <c r="G123" s="22">
        <v>605</v>
      </c>
      <c r="H123" s="8" t="s">
        <v>170</v>
      </c>
    </row>
    <row r="124" spans="1:8" ht="18" customHeight="1">
      <c r="A124" s="22">
        <v>7519101</v>
      </c>
      <c r="B124" s="8" t="s">
        <v>173</v>
      </c>
      <c r="C124" s="22">
        <v>7519101</v>
      </c>
      <c r="D124" s="22">
        <v>7519101</v>
      </c>
      <c r="E124" s="22" t="s">
        <v>121</v>
      </c>
      <c r="F124" s="22" t="s">
        <v>456</v>
      </c>
      <c r="G124" s="22">
        <v>602</v>
      </c>
      <c r="H124" s="8" t="s">
        <v>175</v>
      </c>
    </row>
    <row r="125" spans="1:8" ht="18" customHeight="1">
      <c r="A125" s="22">
        <v>7521101</v>
      </c>
      <c r="B125" s="8" t="s">
        <v>178</v>
      </c>
      <c r="C125" s="22">
        <v>7521101</v>
      </c>
      <c r="D125" s="22">
        <v>7521101</v>
      </c>
      <c r="E125" s="22" t="s">
        <v>121</v>
      </c>
      <c r="F125" s="22" t="s">
        <v>457</v>
      </c>
      <c r="G125" s="22">
        <v>601</v>
      </c>
      <c r="H125" s="8" t="s">
        <v>180</v>
      </c>
    </row>
    <row r="126" spans="1:8" ht="18" customHeight="1">
      <c r="A126" s="22">
        <v>7521102</v>
      </c>
      <c r="B126" s="8" t="s">
        <v>183</v>
      </c>
      <c r="C126" s="22">
        <v>7521102</v>
      </c>
      <c r="D126" s="22">
        <v>7521102</v>
      </c>
      <c r="E126" s="22" t="s">
        <v>121</v>
      </c>
      <c r="F126" s="22" t="s">
        <v>458</v>
      </c>
      <c r="G126" s="22">
        <v>603</v>
      </c>
      <c r="H126" s="8" t="s">
        <v>185</v>
      </c>
    </row>
    <row r="127" spans="1:8" ht="18" customHeight="1">
      <c r="A127" s="22">
        <v>7571101</v>
      </c>
      <c r="B127" s="8" t="s">
        <v>188</v>
      </c>
      <c r="C127" s="22">
        <v>7571101</v>
      </c>
      <c r="D127" s="22">
        <v>7571101</v>
      </c>
      <c r="E127" s="22" t="s">
        <v>121</v>
      </c>
      <c r="F127" s="22" t="s">
        <v>459</v>
      </c>
      <c r="G127" s="22">
        <v>606</v>
      </c>
      <c r="H127" s="8" t="s">
        <v>191</v>
      </c>
    </row>
    <row r="128" spans="1:8" ht="18" customHeight="1">
      <c r="A128" s="22">
        <v>7611100</v>
      </c>
      <c r="B128" s="8" t="s">
        <v>195</v>
      </c>
      <c r="C128" s="22">
        <v>7611100</v>
      </c>
      <c r="D128" s="22">
        <v>7611100</v>
      </c>
      <c r="E128" s="22" t="s">
        <v>121</v>
      </c>
      <c r="F128" s="22" t="s">
        <v>460</v>
      </c>
      <c r="G128" s="22">
        <v>701</v>
      </c>
      <c r="H128" s="8" t="s">
        <v>198</v>
      </c>
    </row>
    <row r="129" spans="1:8" ht="18" customHeight="1">
      <c r="A129" s="22">
        <v>7611300</v>
      </c>
      <c r="B129" s="8" t="s">
        <v>201</v>
      </c>
      <c r="C129" s="22">
        <v>7611300</v>
      </c>
      <c r="D129" s="22">
        <v>7611300</v>
      </c>
      <c r="E129" s="22" t="s">
        <v>121</v>
      </c>
      <c r="F129" s="22" t="s">
        <v>461</v>
      </c>
      <c r="G129" s="22">
        <v>701</v>
      </c>
      <c r="H129" s="8" t="s">
        <v>203</v>
      </c>
    </row>
    <row r="130" spans="1:8" ht="18" customHeight="1">
      <c r="A130" s="22">
        <v>7611400</v>
      </c>
      <c r="B130" s="8" t="s">
        <v>206</v>
      </c>
      <c r="C130" s="22">
        <v>7611400</v>
      </c>
      <c r="D130" s="22">
        <v>7611400</v>
      </c>
      <c r="E130" s="22" t="s">
        <v>121</v>
      </c>
      <c r="F130" s="22" t="s">
        <v>462</v>
      </c>
      <c r="G130" s="22">
        <v>701</v>
      </c>
      <c r="H130" s="8" t="s">
        <v>208</v>
      </c>
    </row>
    <row r="131" spans="1:8" ht="18" customHeight="1">
      <c r="A131" s="22">
        <v>7611500</v>
      </c>
      <c r="B131" s="8" t="s">
        <v>211</v>
      </c>
      <c r="C131" s="22">
        <v>7611500</v>
      </c>
      <c r="D131" s="22">
        <v>7611500</v>
      </c>
      <c r="E131" s="22" t="s">
        <v>121</v>
      </c>
      <c r="F131" s="22" t="s">
        <v>463</v>
      </c>
      <c r="G131" s="22">
        <v>701</v>
      </c>
      <c r="H131" s="8" t="s">
        <v>213</v>
      </c>
    </row>
    <row r="132" spans="1:8" ht="18" customHeight="1">
      <c r="A132" s="22">
        <v>7611600</v>
      </c>
      <c r="B132" s="8" t="s">
        <v>216</v>
      </c>
      <c r="C132" s="22">
        <v>7611600</v>
      </c>
      <c r="D132" s="22">
        <v>7611600</v>
      </c>
      <c r="E132" s="22" t="s">
        <v>121</v>
      </c>
      <c r="F132" s="22" t="s">
        <v>464</v>
      </c>
      <c r="G132" s="22">
        <v>701</v>
      </c>
      <c r="H132" s="8" t="s">
        <v>218</v>
      </c>
    </row>
    <row r="133" spans="1:8" ht="18" customHeight="1">
      <c r="A133" s="22">
        <v>7611700</v>
      </c>
      <c r="B133" s="8" t="s">
        <v>221</v>
      </c>
      <c r="C133" s="22">
        <v>7611700</v>
      </c>
      <c r="D133" s="22">
        <v>7611700</v>
      </c>
      <c r="E133" s="22" t="s">
        <v>121</v>
      </c>
      <c r="F133" s="22" t="s">
        <v>465</v>
      </c>
      <c r="G133" s="22">
        <v>701</v>
      </c>
      <c r="H133" s="8" t="s">
        <v>466</v>
      </c>
    </row>
    <row r="134" spans="1:8" ht="18" customHeight="1">
      <c r="A134" s="22">
        <v>7611800</v>
      </c>
      <c r="B134" s="8" t="s">
        <v>226</v>
      </c>
      <c r="C134" s="22">
        <v>7611800</v>
      </c>
      <c r="D134" s="22">
        <v>7611800</v>
      </c>
      <c r="E134" s="22" t="s">
        <v>121</v>
      </c>
      <c r="F134" s="22" t="s">
        <v>467</v>
      </c>
      <c r="G134" s="22">
        <v>701</v>
      </c>
      <c r="H134" s="8" t="s">
        <v>228</v>
      </c>
    </row>
    <row r="135" spans="1:8" ht="18" customHeight="1">
      <c r="A135" s="22">
        <v>7621101</v>
      </c>
      <c r="B135" s="8" t="s">
        <v>231</v>
      </c>
      <c r="C135" s="22">
        <v>7621101</v>
      </c>
      <c r="D135" s="22">
        <v>7621101</v>
      </c>
      <c r="E135" s="22" t="s">
        <v>121</v>
      </c>
      <c r="F135" s="22" t="s">
        <v>468</v>
      </c>
      <c r="G135" s="22">
        <v>903</v>
      </c>
      <c r="H135" s="8" t="s">
        <v>234</v>
      </c>
    </row>
    <row r="136" spans="1:8" ht="18" customHeight="1">
      <c r="A136" s="47">
        <v>7621199</v>
      </c>
      <c r="B136" s="8" t="s">
        <v>237</v>
      </c>
      <c r="C136" s="47">
        <v>7621199</v>
      </c>
      <c r="D136" s="47">
        <v>7621199</v>
      </c>
      <c r="E136" s="22" t="s">
        <v>121</v>
      </c>
      <c r="F136" s="22" t="s">
        <v>469</v>
      </c>
      <c r="G136" s="22">
        <v>801</v>
      </c>
      <c r="H136" s="8" t="s">
        <v>240</v>
      </c>
    </row>
    <row r="137" spans="1:8" ht="18" customHeight="1">
      <c r="A137" s="22">
        <v>7631101</v>
      </c>
      <c r="B137" s="8" t="s">
        <v>243</v>
      </c>
      <c r="C137" s="22">
        <v>7631101</v>
      </c>
      <c r="D137" s="22">
        <v>7631101</v>
      </c>
      <c r="E137" s="22" t="s">
        <v>121</v>
      </c>
      <c r="F137" s="22" t="s">
        <v>470</v>
      </c>
      <c r="G137" s="22">
        <v>501</v>
      </c>
      <c r="H137" s="8" t="s">
        <v>246</v>
      </c>
    </row>
    <row r="138" spans="1:8" ht="18" customHeight="1">
      <c r="A138" s="22">
        <v>7631102</v>
      </c>
      <c r="B138" s="8" t="s">
        <v>249</v>
      </c>
      <c r="C138" s="22">
        <v>7631102</v>
      </c>
      <c r="D138" s="22">
        <v>7631102</v>
      </c>
      <c r="E138" s="22" t="s">
        <v>121</v>
      </c>
      <c r="F138" s="22" t="s">
        <v>471</v>
      </c>
      <c r="G138" s="22">
        <v>502</v>
      </c>
      <c r="H138" s="8" t="s">
        <v>252</v>
      </c>
    </row>
    <row r="139" spans="1:8" ht="18" customHeight="1">
      <c r="A139" s="22">
        <v>7641101</v>
      </c>
      <c r="B139" s="8" t="s">
        <v>255</v>
      </c>
      <c r="C139" s="22">
        <v>7641101</v>
      </c>
      <c r="D139" s="22">
        <v>7641101</v>
      </c>
      <c r="E139" s="22" t="s">
        <v>121</v>
      </c>
      <c r="F139" s="22" t="s">
        <v>472</v>
      </c>
      <c r="G139" s="22">
        <v>401</v>
      </c>
      <c r="H139" s="8" t="s">
        <v>258</v>
      </c>
    </row>
    <row r="140" spans="1:8" ht="18" customHeight="1">
      <c r="A140" s="22">
        <v>7641102</v>
      </c>
      <c r="B140" s="8" t="s">
        <v>261</v>
      </c>
      <c r="C140" s="22">
        <v>7641102</v>
      </c>
      <c r="D140" s="22">
        <v>7641102</v>
      </c>
      <c r="E140" s="22" t="s">
        <v>121</v>
      </c>
      <c r="F140" s="22" t="s">
        <v>473</v>
      </c>
      <c r="G140" s="22">
        <v>401</v>
      </c>
      <c r="H140" s="8" t="s">
        <v>263</v>
      </c>
    </row>
    <row r="141" spans="1:8" ht="18" customHeight="1">
      <c r="A141" s="22">
        <v>7641103</v>
      </c>
      <c r="B141" s="8" t="s">
        <v>266</v>
      </c>
      <c r="C141" s="22">
        <v>7641103</v>
      </c>
      <c r="D141" s="22">
        <v>7641103</v>
      </c>
      <c r="E141" s="22" t="s">
        <v>121</v>
      </c>
      <c r="F141" s="22" t="s">
        <v>474</v>
      </c>
      <c r="G141" s="22">
        <v>902</v>
      </c>
      <c r="H141" s="8" t="s">
        <v>269</v>
      </c>
    </row>
    <row r="142" spans="1:8" ht="18" customHeight="1">
      <c r="A142" s="22">
        <v>7641104</v>
      </c>
      <c r="B142" s="8" t="s">
        <v>270</v>
      </c>
      <c r="C142" s="22">
        <v>7641104</v>
      </c>
      <c r="D142" s="22">
        <v>7641104</v>
      </c>
      <c r="E142" s="22" t="s">
        <v>121</v>
      </c>
      <c r="F142" s="22" t="s">
        <v>475</v>
      </c>
      <c r="G142" s="22">
        <v>999</v>
      </c>
      <c r="H142" s="8" t="s">
        <v>272</v>
      </c>
    </row>
    <row r="143" spans="1:8" ht="18" customHeight="1">
      <c r="A143" s="22">
        <v>7651101</v>
      </c>
      <c r="B143" s="8" t="s">
        <v>273</v>
      </c>
      <c r="C143" s="22">
        <v>7651101</v>
      </c>
      <c r="D143" s="22">
        <v>7651101</v>
      </c>
      <c r="E143" s="22" t="s">
        <v>121</v>
      </c>
      <c r="F143" s="22" t="s">
        <v>476</v>
      </c>
      <c r="G143" s="22">
        <v>903</v>
      </c>
      <c r="H143" s="8" t="s">
        <v>275</v>
      </c>
    </row>
    <row r="144" spans="1:8" ht="18" customHeight="1">
      <c r="A144" s="22">
        <v>7651102</v>
      </c>
      <c r="B144" s="8" t="s">
        <v>276</v>
      </c>
      <c r="C144" s="22">
        <v>7651102</v>
      </c>
      <c r="D144" s="22">
        <v>7651102</v>
      </c>
      <c r="E144" s="22" t="s">
        <v>121</v>
      </c>
      <c r="F144" s="22" t="s">
        <v>477</v>
      </c>
      <c r="G144" s="22">
        <v>903</v>
      </c>
      <c r="H144" s="8" t="s">
        <v>278</v>
      </c>
    </row>
    <row r="145" spans="1:8" ht="18" customHeight="1">
      <c r="A145" s="22">
        <v>7651103</v>
      </c>
      <c r="B145" s="8" t="s">
        <v>279</v>
      </c>
      <c r="C145" s="22">
        <v>7651103</v>
      </c>
      <c r="D145" s="22">
        <v>7651103</v>
      </c>
      <c r="E145" s="22" t="s">
        <v>121</v>
      </c>
      <c r="F145" s="22" t="s">
        <v>478</v>
      </c>
      <c r="G145" s="22">
        <v>903</v>
      </c>
      <c r="H145" s="8" t="s">
        <v>281</v>
      </c>
    </row>
    <row r="146" spans="1:8" ht="18" customHeight="1">
      <c r="A146" s="22">
        <v>7661101</v>
      </c>
      <c r="B146" s="8" t="s">
        <v>282</v>
      </c>
      <c r="C146" s="22">
        <v>7661101</v>
      </c>
      <c r="D146" s="22">
        <v>7661101</v>
      </c>
      <c r="E146" s="22" t="s">
        <v>121</v>
      </c>
      <c r="F146" s="22" t="s">
        <v>479</v>
      </c>
      <c r="G146" s="22">
        <v>999</v>
      </c>
      <c r="H146" s="8" t="s">
        <v>285</v>
      </c>
    </row>
    <row r="147" spans="1:8" ht="18" customHeight="1">
      <c r="A147" s="22">
        <v>7671102</v>
      </c>
      <c r="B147" s="8" t="s">
        <v>286</v>
      </c>
      <c r="C147" s="22">
        <v>7671102</v>
      </c>
      <c r="D147" s="22">
        <v>7671102</v>
      </c>
      <c r="E147" s="22" t="s">
        <v>121</v>
      </c>
      <c r="F147" s="22" t="s">
        <v>480</v>
      </c>
      <c r="G147" s="22">
        <v>999</v>
      </c>
      <c r="H147" s="8" t="s">
        <v>288</v>
      </c>
    </row>
    <row r="148" spans="1:8" ht="18" customHeight="1">
      <c r="A148" s="22">
        <v>7671103</v>
      </c>
      <c r="B148" s="8" t="s">
        <v>289</v>
      </c>
      <c r="C148" s="22">
        <v>7671103</v>
      </c>
      <c r="D148" s="22">
        <v>7671103</v>
      </c>
      <c r="E148" s="22" t="s">
        <v>121</v>
      </c>
      <c r="F148" s="22" t="s">
        <v>481</v>
      </c>
      <c r="G148" s="22">
        <v>999</v>
      </c>
      <c r="H148" s="8" t="s">
        <v>291</v>
      </c>
    </row>
    <row r="149" spans="1:8" ht="18" customHeight="1">
      <c r="A149" s="22">
        <v>7681101</v>
      </c>
      <c r="B149" s="8" t="s">
        <v>292</v>
      </c>
      <c r="C149" s="22">
        <v>7681101</v>
      </c>
      <c r="D149" s="22">
        <v>7681101</v>
      </c>
      <c r="E149" s="22" t="s">
        <v>121</v>
      </c>
      <c r="F149" s="22" t="s">
        <v>482</v>
      </c>
      <c r="G149" s="22">
        <v>999</v>
      </c>
      <c r="H149" s="8" t="s">
        <v>294</v>
      </c>
    </row>
    <row r="150" spans="1:8" ht="18" customHeight="1">
      <c r="A150" s="22">
        <v>7691000</v>
      </c>
      <c r="B150" s="8" t="s">
        <v>295</v>
      </c>
      <c r="C150" s="22">
        <v>7691000</v>
      </c>
      <c r="D150" s="22">
        <v>7691000</v>
      </c>
      <c r="E150" s="22" t="s">
        <v>121</v>
      </c>
      <c r="F150" s="22" t="s">
        <v>483</v>
      </c>
      <c r="G150" s="22">
        <v>999</v>
      </c>
      <c r="H150" s="8" t="s">
        <v>297</v>
      </c>
    </row>
    <row r="151" spans="1:8" ht="18" customHeight="1">
      <c r="A151" s="22">
        <v>7711101</v>
      </c>
      <c r="B151" s="8" t="s">
        <v>298</v>
      </c>
      <c r="C151" s="22">
        <v>7711101</v>
      </c>
      <c r="D151" s="22">
        <v>7711101</v>
      </c>
      <c r="E151" s="22" t="s">
        <v>121</v>
      </c>
      <c r="F151" s="22" t="s">
        <v>484</v>
      </c>
      <c r="G151" s="22">
        <v>999</v>
      </c>
      <c r="H151" s="8" t="s">
        <v>300</v>
      </c>
    </row>
    <row r="152" spans="1:8" ht="18" customHeight="1">
      <c r="A152" s="22">
        <v>7711102</v>
      </c>
      <c r="B152" s="8" t="s">
        <v>301</v>
      </c>
      <c r="C152" s="22">
        <v>7711102</v>
      </c>
      <c r="D152" s="22">
        <v>7711102</v>
      </c>
      <c r="E152" s="22" t="s">
        <v>121</v>
      </c>
      <c r="F152" s="22" t="s">
        <v>485</v>
      </c>
      <c r="G152" s="22">
        <v>904</v>
      </c>
      <c r="H152" s="8" t="s">
        <v>304</v>
      </c>
    </row>
    <row r="153" spans="1:8" ht="18" customHeight="1">
      <c r="A153" s="22">
        <v>7711103</v>
      </c>
      <c r="B153" s="8" t="s">
        <v>305</v>
      </c>
      <c r="C153" s="22">
        <v>7711103</v>
      </c>
      <c r="D153" s="22">
        <v>7711103</v>
      </c>
      <c r="E153" s="22" t="s">
        <v>121</v>
      </c>
      <c r="F153" s="22" t="s">
        <v>486</v>
      </c>
      <c r="G153" s="22">
        <v>999</v>
      </c>
      <c r="H153" s="8" t="s">
        <v>307</v>
      </c>
    </row>
    <row r="154" spans="1:8" ht="18" customHeight="1">
      <c r="A154" s="22">
        <v>7721101</v>
      </c>
      <c r="B154" s="8" t="s">
        <v>308</v>
      </c>
      <c r="C154" s="22">
        <v>7721101</v>
      </c>
      <c r="D154" s="22">
        <v>7721101</v>
      </c>
      <c r="E154" s="22" t="s">
        <v>121</v>
      </c>
      <c r="F154" s="22" t="s">
        <v>487</v>
      </c>
      <c r="G154" s="22">
        <v>999</v>
      </c>
      <c r="H154" s="8" t="s">
        <v>310</v>
      </c>
    </row>
    <row r="155" spans="1:8" ht="18" customHeight="1">
      <c r="A155" s="22">
        <v>7729101</v>
      </c>
      <c r="B155" s="8" t="s">
        <v>311</v>
      </c>
      <c r="C155" s="22">
        <v>7729101</v>
      </c>
      <c r="D155" s="22">
        <v>7729101</v>
      </c>
      <c r="E155" s="22" t="s">
        <v>121</v>
      </c>
      <c r="F155" s="22" t="s">
        <v>488</v>
      </c>
      <c r="G155" s="22">
        <v>905</v>
      </c>
      <c r="H155" s="8" t="s">
        <v>314</v>
      </c>
    </row>
    <row r="156" spans="1:8" ht="18" customHeight="1">
      <c r="A156" s="22">
        <v>7729103</v>
      </c>
      <c r="B156" s="8" t="s">
        <v>315</v>
      </c>
      <c r="C156" s="22">
        <v>7729103</v>
      </c>
      <c r="D156" s="22">
        <v>7729103</v>
      </c>
      <c r="E156" s="22" t="s">
        <v>121</v>
      </c>
      <c r="F156" s="22" t="s">
        <v>489</v>
      </c>
      <c r="G156" s="22">
        <v>907</v>
      </c>
      <c r="H156" s="8" t="s">
        <v>318</v>
      </c>
    </row>
    <row r="157" spans="1:8" ht="18" customHeight="1">
      <c r="A157" s="22">
        <v>7729105</v>
      </c>
      <c r="B157" s="8" t="s">
        <v>319</v>
      </c>
      <c r="C157" s="22">
        <v>7729105</v>
      </c>
      <c r="D157" s="22">
        <v>7729105</v>
      </c>
      <c r="E157" s="22" t="s">
        <v>121</v>
      </c>
      <c r="F157" s="22" t="s">
        <v>490</v>
      </c>
      <c r="G157" s="22">
        <v>999</v>
      </c>
      <c r="H157" s="8" t="s">
        <v>321</v>
      </c>
    </row>
    <row r="158" spans="1:8" ht="18" customHeight="1">
      <c r="A158" s="22">
        <v>7781101</v>
      </c>
      <c r="B158" s="8" t="s">
        <v>322</v>
      </c>
      <c r="C158" s="22">
        <v>7781101</v>
      </c>
      <c r="D158" s="22">
        <v>7781101</v>
      </c>
      <c r="E158" s="22" t="s">
        <v>121</v>
      </c>
      <c r="F158" s="22" t="s">
        <v>491</v>
      </c>
      <c r="G158" s="22">
        <v>999</v>
      </c>
      <c r="H158" s="8" t="s">
        <v>324</v>
      </c>
    </row>
    <row r="159" spans="1:8" ht="18" customHeight="1">
      <c r="A159" s="22">
        <v>7781103</v>
      </c>
      <c r="B159" s="8" t="s">
        <v>325</v>
      </c>
      <c r="C159" s="22">
        <v>7781103</v>
      </c>
      <c r="D159" s="22">
        <v>7781103</v>
      </c>
      <c r="E159" s="22" t="s">
        <v>121</v>
      </c>
      <c r="F159" s="22" t="s">
        <v>492</v>
      </c>
      <c r="G159" s="22">
        <v>999</v>
      </c>
      <c r="H159" s="8" t="s">
        <v>327</v>
      </c>
    </row>
    <row r="160" spans="1:8" ht="18" customHeight="1">
      <c r="A160" s="22">
        <v>7781104</v>
      </c>
      <c r="B160" s="8" t="s">
        <v>328</v>
      </c>
      <c r="C160" s="22">
        <v>7781104</v>
      </c>
      <c r="D160" s="22">
        <v>7781104</v>
      </c>
      <c r="E160" s="22" t="s">
        <v>121</v>
      </c>
      <c r="F160" s="22" t="s">
        <v>493</v>
      </c>
      <c r="G160" s="22">
        <v>999</v>
      </c>
      <c r="H160" s="8" t="s">
        <v>330</v>
      </c>
    </row>
    <row r="161" spans="1:8" ht="18" customHeight="1">
      <c r="A161" s="22">
        <v>7781105</v>
      </c>
      <c r="B161" s="8" t="s">
        <v>331</v>
      </c>
      <c r="C161" s="22">
        <v>7781105</v>
      </c>
      <c r="D161" s="22">
        <v>7781105</v>
      </c>
      <c r="E161" s="22" t="s">
        <v>121</v>
      </c>
      <c r="F161" s="22" t="s">
        <v>494</v>
      </c>
      <c r="G161" s="22">
        <v>999</v>
      </c>
      <c r="H161" s="8" t="s">
        <v>333</v>
      </c>
    </row>
    <row r="162" spans="1:8" ht="18" customHeight="1">
      <c r="A162" s="22">
        <v>7781106</v>
      </c>
      <c r="B162" s="8" t="s">
        <v>334</v>
      </c>
      <c r="C162" s="22">
        <v>7781106</v>
      </c>
      <c r="D162" s="22">
        <v>7781106</v>
      </c>
      <c r="E162" s="22" t="s">
        <v>121</v>
      </c>
      <c r="F162" s="22" t="s">
        <v>495</v>
      </c>
      <c r="G162" s="22">
        <v>999</v>
      </c>
      <c r="H162" s="8" t="s">
        <v>336</v>
      </c>
    </row>
    <row r="163" spans="1:8" ht="18" customHeight="1">
      <c r="A163" s="22">
        <v>7781107</v>
      </c>
      <c r="B163" s="8" t="s">
        <v>337</v>
      </c>
      <c r="C163" s="22">
        <v>7781107</v>
      </c>
      <c r="D163" s="22">
        <v>7781107</v>
      </c>
      <c r="E163" s="22" t="s">
        <v>121</v>
      </c>
      <c r="F163" s="22" t="s">
        <v>496</v>
      </c>
      <c r="G163" s="22">
        <v>906</v>
      </c>
      <c r="H163" s="8" t="s">
        <v>340</v>
      </c>
    </row>
    <row r="164" spans="1:8" ht="18" customHeight="1">
      <c r="A164" s="22">
        <v>7781111</v>
      </c>
      <c r="B164" s="8" t="s">
        <v>341</v>
      </c>
      <c r="C164" s="22">
        <v>7781111</v>
      </c>
      <c r="D164" s="22">
        <v>7781111</v>
      </c>
      <c r="E164" s="22" t="s">
        <v>121</v>
      </c>
      <c r="F164" s="22" t="s">
        <v>497</v>
      </c>
      <c r="G164" s="22">
        <v>999</v>
      </c>
      <c r="H164" s="8" t="s">
        <v>343</v>
      </c>
    </row>
    <row r="165" spans="1:8" ht="18" customHeight="1">
      <c r="A165" s="22">
        <v>7781112</v>
      </c>
      <c r="B165" s="8" t="s">
        <v>344</v>
      </c>
      <c r="C165" s="22">
        <v>7781112</v>
      </c>
      <c r="D165" s="22">
        <v>7781112</v>
      </c>
      <c r="E165" s="22" t="s">
        <v>121</v>
      </c>
      <c r="F165" s="22" t="s">
        <v>498</v>
      </c>
      <c r="G165" s="22">
        <v>999</v>
      </c>
      <c r="H165" s="8" t="s">
        <v>346</v>
      </c>
    </row>
    <row r="166" spans="1:8" ht="18" customHeight="1">
      <c r="A166" s="22">
        <v>7781113</v>
      </c>
      <c r="B166" s="8" t="s">
        <v>347</v>
      </c>
      <c r="C166" s="22">
        <v>7781113</v>
      </c>
      <c r="D166" s="22">
        <v>7781113</v>
      </c>
      <c r="E166" s="22" t="s">
        <v>121</v>
      </c>
      <c r="F166" s="22" t="s">
        <v>499</v>
      </c>
      <c r="G166" s="22">
        <v>999</v>
      </c>
      <c r="H166" s="8" t="s">
        <v>349</v>
      </c>
    </row>
    <row r="167" spans="1:8" ht="18" customHeight="1">
      <c r="A167" s="9">
        <v>8291101</v>
      </c>
      <c r="B167" s="8" t="s">
        <v>500</v>
      </c>
      <c r="C167" s="9">
        <v>8291101</v>
      </c>
      <c r="D167" s="9">
        <v>8291101</v>
      </c>
      <c r="E167" s="10" t="s">
        <v>501</v>
      </c>
      <c r="F167" s="10" t="s">
        <v>502</v>
      </c>
    </row>
    <row r="168" spans="1:8" ht="18" customHeight="1">
      <c r="A168" s="9">
        <v>8291102</v>
      </c>
      <c r="B168" s="8" t="s">
        <v>503</v>
      </c>
      <c r="C168" s="9">
        <v>8291102</v>
      </c>
      <c r="D168" s="9">
        <v>8291102</v>
      </c>
      <c r="E168" s="10" t="s">
        <v>501</v>
      </c>
      <c r="F168" s="10" t="s">
        <v>504</v>
      </c>
    </row>
    <row r="169" spans="1:8" ht="18" customHeight="1">
      <c r="A169" s="9">
        <v>8291201</v>
      </c>
      <c r="B169" s="8" t="s">
        <v>505</v>
      </c>
      <c r="C169" s="9">
        <v>8291201</v>
      </c>
      <c r="D169" s="9">
        <v>8291201</v>
      </c>
      <c r="E169" s="10" t="s">
        <v>501</v>
      </c>
      <c r="F169" s="10" t="s">
        <v>506</v>
      </c>
    </row>
    <row r="170" spans="1:8" ht="18" customHeight="1">
      <c r="A170" s="9">
        <v>8291202</v>
      </c>
      <c r="B170" s="8" t="s">
        <v>507</v>
      </c>
      <c r="C170" s="9">
        <v>8291202</v>
      </c>
      <c r="D170" s="9">
        <v>8291202</v>
      </c>
      <c r="E170" s="10" t="s">
        <v>501</v>
      </c>
      <c r="F170" s="10" t="s">
        <v>508</v>
      </c>
    </row>
    <row r="171" spans="1:8" ht="18" customHeight="1">
      <c r="A171" s="9">
        <v>8291203</v>
      </c>
      <c r="B171" s="8" t="s">
        <v>509</v>
      </c>
      <c r="C171" s="9">
        <v>8291203</v>
      </c>
      <c r="D171" s="9">
        <v>8291203</v>
      </c>
      <c r="E171" s="10" t="s">
        <v>501</v>
      </c>
      <c r="F171" s="10" t="s">
        <v>510</v>
      </c>
    </row>
    <row r="172" spans="1:8" ht="18" customHeight="1">
      <c r="A172" s="9">
        <v>8191101</v>
      </c>
      <c r="B172" s="8" t="s">
        <v>511</v>
      </c>
      <c r="C172" s="9">
        <v>8191101</v>
      </c>
      <c r="D172" s="9">
        <v>8191101</v>
      </c>
      <c r="E172" s="10" t="s">
        <v>501</v>
      </c>
      <c r="F172" s="10" t="s">
        <v>512</v>
      </c>
    </row>
    <row r="173" spans="1:8" ht="18" customHeight="1">
      <c r="G173" s="3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Azis Abdillah</cp:lastModifiedBy>
  <dcterms:created xsi:type="dcterms:W3CDTF">2020-12-08T03:20:39Z</dcterms:created>
  <dcterms:modified xsi:type="dcterms:W3CDTF">2023-04-10T03:28:50Z</dcterms:modified>
</cp:coreProperties>
</file>
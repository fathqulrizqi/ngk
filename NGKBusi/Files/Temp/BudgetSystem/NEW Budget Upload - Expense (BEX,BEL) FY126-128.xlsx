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ikhsan.sholihin\Downloads\"/>
    </mc:Choice>
  </mc:AlternateContent>
  <xr:revisionPtr revIDLastSave="0" documentId="13_ncr:1_{BC8F24D8-1586-4FC2-A975-096B3B5A64A2}" xr6:coauthVersionLast="47" xr6:coauthVersionMax="47" xr10:uidLastSave="{00000000-0000-0000-0000-000000000000}"/>
  <bookViews>
    <workbookView xWindow="-120" yWindow="-120" windowWidth="29040" windowHeight="15720" xr2:uid="{C53FDC34-7892-4F4E-9408-2EF96F6145C2}"/>
  </bookViews>
  <sheets>
    <sheet name="Data" sheetId="1" r:id="rId1"/>
    <sheet name="Master" sheetId="2" state="hidden" r:id="rId2"/>
    <sheet name="Priority" sheetId="4" r:id="rId3"/>
    <sheet name="V1" sheetId="5" state="hidden" r:id="rId4"/>
    <sheet name="Password" sheetId="3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_j102" localSheetId="1">#REF!</definedName>
    <definedName name="__j102" localSheetId="4">#REF!</definedName>
    <definedName name="__j102">#REF!</definedName>
    <definedName name="_1">#N/A</definedName>
    <definedName name="_Fill" localSheetId="1" hidden="1">#REF!</definedName>
    <definedName name="_Fill" localSheetId="4" hidden="1">#REF!</definedName>
    <definedName name="_Fill" hidden="1">#REF!</definedName>
    <definedName name="_xlnm._FilterDatabase" hidden="1">[1]金具工程見出し!$A$9:$K$9</definedName>
    <definedName name="_j102" localSheetId="1">#REF!</definedName>
    <definedName name="_j102" localSheetId="4">#REF!</definedName>
    <definedName name="_j102">#REF!</definedName>
    <definedName name="_Key1" localSheetId="1" hidden="1">#REF!</definedName>
    <definedName name="_Key1" localSheetId="4" hidden="1">#REF!</definedName>
    <definedName name="_Key1" hidden="1">#REF!</definedName>
    <definedName name="_Order1" hidden="1">255</definedName>
    <definedName name="_Sort" localSheetId="1" hidden="1">#REF!</definedName>
    <definedName name="_Sort" localSheetId="4" hidden="1">#REF!</definedName>
    <definedName name="_Sort" hidden="1">#REF!</definedName>
    <definedName name="aa" localSheetId="4">#REF!</definedName>
    <definedName name="aa">#REF!</definedName>
    <definedName name="AB" localSheetId="4">#REF!</definedName>
    <definedName name="AB">#REF!</definedName>
    <definedName name="ai">#REF!</definedName>
    <definedName name="as">#REF!</definedName>
    <definedName name="assit">#REF!</definedName>
    <definedName name="b">#REF!</definedName>
    <definedName name="BC">#REF!</definedName>
    <definedName name="BI">#REF!</definedName>
    <definedName name="BO">#REF!</definedName>
    <definedName name="cc">#REF!</definedName>
    <definedName name="ccc" hidden="1">#REF!</definedName>
    <definedName name="CH">#REF!</definedName>
    <definedName name="CI">#REF!</definedName>
    <definedName name="Ck_for">#REF!</definedName>
    <definedName name="Ck_in">#REF!</definedName>
    <definedName name="Ck_out">#REF!</definedName>
    <definedName name="d">#REF!</definedName>
    <definedName name="_xlnm.Database">#REF!</definedName>
    <definedName name="dd">#REF!</definedName>
    <definedName name="ddd" hidden="1">#REF!</definedName>
    <definedName name="DF">#REF!</definedName>
    <definedName name="e">#REF!</definedName>
    <definedName name="edy">#REF!</definedName>
    <definedName name="ee">#REF!</definedName>
    <definedName name="eXCRATE">#REF!</definedName>
    <definedName name="exrate">#REF!</definedName>
    <definedName name="F">#REF!</definedName>
    <definedName name="fcb">#REF!</definedName>
    <definedName name="FG">#REF!</definedName>
    <definedName name="g">#REF!</definedName>
    <definedName name="gg">#REF!</definedName>
    <definedName name="HF">#REF!</definedName>
    <definedName name="HTML_CodePage" hidden="1">1252</definedName>
    <definedName name="HTML_Control" localSheetId="1" hidden="1">{"'Stock November   ' 99'!$A$1:$AF$46"}</definedName>
    <definedName name="HTML_Control" localSheetId="4" hidden="1">{"'Stock November   ' 99'!$A$1:$AF$46"}</definedName>
    <definedName name="HTML_Control" hidden="1">{"'Stock November   ' 99'!$A$1:$AF$46"}</definedName>
    <definedName name="HTML_Description" hidden="1">""</definedName>
    <definedName name="HTML_Email" hidden="1">""</definedName>
    <definedName name="HTML_Header" hidden="1">"Stock November   ' 99"</definedName>
    <definedName name="HTML_LastUpdate" hidden="1">"11/18/99"</definedName>
    <definedName name="HTML_LineAfter" hidden="1">FALSE</definedName>
    <definedName name="HTML_LineBefore" hidden="1">FALSE</definedName>
    <definedName name="HTML_Name" hidden="1">"Production Control"</definedName>
    <definedName name="HTML_OBDlg2" hidden="1">TRUE</definedName>
    <definedName name="HTML_OBDlg4" hidden="1">TRUE</definedName>
    <definedName name="HTML_OS" hidden="1">0</definedName>
    <definedName name="HTML_PathFile" hidden="1">"\\Se 01\data se01\stock_nov99.htm"</definedName>
    <definedName name="HTML_Title" hidden="1">"Stock_November"</definedName>
    <definedName name="kissa" localSheetId="4">#REF!</definedName>
    <definedName name="kissa">#REF!</definedName>
    <definedName name="kissakei" localSheetId="4">#REF!</definedName>
    <definedName name="kissakei">#REF!</definedName>
    <definedName name="kk" localSheetId="4">#REF!</definedName>
    <definedName name="kk">#REF!</definedName>
    <definedName name="kkk">#REF!</definedName>
    <definedName name="kkkk">#REF!</definedName>
    <definedName name="l">#REF!</definedName>
    <definedName name="L_01">#REF!</definedName>
    <definedName name="LIA">#REF!</definedName>
    <definedName name="LILI">#REF!</definedName>
    <definedName name="LINA">#REF!</definedName>
    <definedName name="m">#REF!</definedName>
    <definedName name="Manufacturing">#REF!</definedName>
    <definedName name="MR">#REF!</definedName>
    <definedName name="nittk">#REF!</definedName>
    <definedName name="nittk_ok">#REF!</definedName>
    <definedName name="nittoukei">#REF!</definedName>
    <definedName name="Plan" hidden="1">[2]金具工程見出し!$A$9:$K$9</definedName>
    <definedName name="PRINT_AREA_MI" localSheetId="1">#REF!</definedName>
    <definedName name="Print_Area_MI" localSheetId="4">#REF!</definedName>
    <definedName name="PRINT_AREA_MI">#REF!</definedName>
    <definedName name="PRINT_TITLES_MI" localSheetId="4">#REF!</definedName>
    <definedName name="PRINT_TITLES_MI">#REF!</definedName>
    <definedName name="ry" localSheetId="4">#REF!</definedName>
    <definedName name="ry">#REF!</definedName>
    <definedName name="ryohikei">#REF!</definedName>
    <definedName name="S">#REF!</definedName>
    <definedName name="sais">#REF!</definedName>
    <definedName name="saisyuu">#REF!</definedName>
    <definedName name="se">#REF!</definedName>
    <definedName name="sett">#REF!</definedName>
    <definedName name="setta">#REF!</definedName>
    <definedName name="settaihikei">#REF!</definedName>
    <definedName name="settaikousai">#REF!</definedName>
    <definedName name="SEX">#REF!</definedName>
    <definedName name="shu">#REF!</definedName>
    <definedName name="shukuhakukei">#REF!</definedName>
    <definedName name="so">#REF!</definedName>
    <definedName name="son">#REF!</definedName>
    <definedName name="sonot">#REF!</definedName>
    <definedName name="sonotakei">#REF!</definedName>
    <definedName name="ST">#REF!</definedName>
    <definedName name="stt">#REF!</definedName>
    <definedName name="SX">#REF!</definedName>
    <definedName name="sxx">#REF!</definedName>
    <definedName name="test">[3]出力②!$G$7:$I$19</definedName>
    <definedName name="test2">[3]グラフ用!$E$3:$F$14</definedName>
    <definedName name="test3">[3]グラフ用!$H$5:$J$13</definedName>
    <definedName name="test4">[3]グラフ用!$I$4:$J$13</definedName>
    <definedName name="Tgl" localSheetId="1">#REF!</definedName>
    <definedName name="Tgl" localSheetId="4">#REF!</definedName>
    <definedName name="Tgl">#REF!</definedName>
    <definedName name="tgll" localSheetId="1">#REF!</definedName>
    <definedName name="tgll" localSheetId="4">#REF!</definedName>
    <definedName name="tgll">#REF!</definedName>
    <definedName name="tr" localSheetId="1">#REF!</definedName>
    <definedName name="tr" localSheetId="4">#REF!</definedName>
    <definedName name="tr">#REF!</definedName>
    <definedName name="train">#REF!</definedName>
    <definedName name="TRIAL">#REF!</definedName>
    <definedName name="tttttttttttt">#REF!</definedName>
    <definedName name="tu">#REF!</definedName>
    <definedName name="tuusinhikei">#REF!</definedName>
    <definedName name="u">#REF!</definedName>
    <definedName name="uj" localSheetId="1" hidden="1">{"'Stock November   ' 99'!$A$1:$AF$46"}</definedName>
    <definedName name="uj" localSheetId="4" hidden="1">{"'Stock November   ' 99'!$A$1:$AF$46"}</definedName>
    <definedName name="uj" hidden="1">{"'Stock November   ' 99'!$A$1:$AF$46"}</definedName>
    <definedName name="uji" localSheetId="1" hidden="1">{"'Stock November   ' 99'!$A$1:$AF$46"}</definedName>
    <definedName name="uji" localSheetId="4" hidden="1">{"'Stock November   ' 99'!$A$1:$AF$46"}</definedName>
    <definedName name="uji" hidden="1">{"'Stock November   ' 99'!$A$1:$AF$46"}</definedName>
    <definedName name="UT">#REF!</definedName>
    <definedName name="uu">#REF!</definedName>
    <definedName name="ww">#REF!</definedName>
    <definedName name="ﾃﾞｰﾀセ直販">'[4]ｺﾋﾟｰ用（直セ）'!$E$12</definedName>
    <definedName name="ﾃﾞｰﾀプラント">'[4]ｺﾋﾟｰ用（海プ）'!$E$1:$Y$97</definedName>
    <definedName name="ﾃﾞｰﾀ海プ">'[4]ｺﾋﾟｰ用（海プ）'!$D$7</definedName>
    <definedName name="ﾃﾞｰﾀ海市" localSheetId="1">#REF!</definedName>
    <definedName name="ﾃﾞｰﾀ海市" localSheetId="4">#REF!</definedName>
    <definedName name="ﾃﾞｰﾀ海市">#REF!</definedName>
    <definedName name="ﾃﾞｰﾀ直販ｾﾝｻｰ">'[4]ｺﾋﾟｰ用（直セ）'!$E$1:$Y$34</definedName>
    <definedName name="プラントｺｰﾄﾞ">'[4]ｺﾋﾟｰ用（海プ）'!$F$1:$Z$209</definedName>
    <definedName name="リスト">[5]リスト!$C$1:$C$150</definedName>
    <definedName name="ルピア" localSheetId="1">#REF!</definedName>
    <definedName name="ルピア" localSheetId="4">#REF!</definedName>
    <definedName name="ルピア">#REF!</definedName>
    <definedName name="予算ﾚｰﾄ" localSheetId="1">#REF!</definedName>
    <definedName name="予算ﾚｰﾄ" localSheetId="4">#REF!</definedName>
    <definedName name="予算ﾚｰﾄ">#REF!</definedName>
    <definedName name="今" localSheetId="1">#REF!</definedName>
    <definedName name="今" localSheetId="4">#REF!</definedName>
    <definedName name="今">#REF!</definedName>
    <definedName name="仲介">#REF!</definedName>
    <definedName name="元">#REF!</definedName>
    <definedName name="円">#REF!</definedName>
    <definedName name="円vsドル_レート">#REF!</definedName>
    <definedName name="出発" localSheetId="4">[6]支援計画・０４!$G$4:$G$171</definedName>
    <definedName name="出発">[7]支援計画・０４!$G$4:$G$171</definedName>
    <definedName name="到着" localSheetId="4">[6]支援計画・０４!$F$4:$F$171</definedName>
    <definedName name="到着">[7]支援計画・０４!$F$4:$F$171</definedName>
    <definedName name="印刷領域" localSheetId="1">#REF!</definedName>
    <definedName name="印刷領域" localSheetId="4">#REF!</definedName>
    <definedName name="印刷領域">#REF!</definedName>
    <definedName name="品種別ｺｰﾄﾞ">'[4]ｺﾋﾟｰ用（全社）'!$F$1:$Z$245</definedName>
    <definedName name="品種別出荷ﾃﾞｰﾀ">'[4]ｺﾋﾟｰ用（全社）'!$E$1:$X$65536</definedName>
    <definedName name="品種別出荷ﾃﾞｰﾀ全社">'[4]ｺﾋﾟｰ用（全社）'!$E$1:$X$65536</definedName>
    <definedName name="品種別実績" localSheetId="1">#REF!</definedName>
    <definedName name="品種別実績" localSheetId="4">#REF!</definedName>
    <definedName name="品種別実績">#REF!</definedName>
    <definedName name="商品群" localSheetId="4">[8]テーブル!$B$2:$B$7</definedName>
    <definedName name="商品群">[9]テーブル!$B$2:$B$7</definedName>
    <definedName name="実績レート" localSheetId="1">#REF!</definedName>
    <definedName name="実績レート" localSheetId="4">#REF!</definedName>
    <definedName name="実績レート">#REF!</definedName>
    <definedName name="対象日数" localSheetId="1">#REF!</definedName>
    <definedName name="対象日数" localSheetId="4">#REF!</definedName>
    <definedName name="対象日数">#REF!</definedName>
    <definedName name="技術開発経費181" localSheetId="1">#REF!</definedName>
    <definedName name="技術開発経費181" localSheetId="4">#REF!</definedName>
    <definedName name="技術開発経費181">#REF!</definedName>
    <definedName name="技術開発経費182">#REF!</definedName>
    <definedName name="担当者" localSheetId="4">[8]テーブル!$F$2:$F$24</definedName>
    <definedName name="担当者">[9]テーブル!$F$2:$F$24</definedName>
    <definedName name="支援まとめ">'[10]予定日別1-6'!$U$4:$GV$4</definedName>
    <definedName name="日付" localSheetId="4">[6]支援計画・０４!$J$4:$CW$4</definedName>
    <definedName name="日付">[7]支援計画・０４!$J$4:$CW$4</definedName>
    <definedName name="日数" localSheetId="1">#REF!</definedName>
    <definedName name="日数" localSheetId="4">#REF!</definedName>
    <definedName name="日数">#REF!</definedName>
    <definedName name="期" localSheetId="1">#REF!</definedName>
    <definedName name="期" localSheetId="4">#REF!</definedName>
    <definedName name="期">#REF!</definedName>
    <definedName name="梱包_Ｍ３">'[11]KB,MOLD ESTIMATE.00'!$F$13:$X$13</definedName>
    <definedName name="機能分類リスト" localSheetId="4">[12]開発計画品番リスト!#REF!</definedName>
    <definedName name="機能分類リスト">[12]開発計画品番リスト!#REF!</definedName>
    <definedName name="比率" localSheetId="4">[13]調達計画!#REF!</definedName>
    <definedName name="比率">[13]調達計画!#REF!</definedName>
    <definedName name="決算期区分" localSheetId="1">#REF!</definedName>
    <definedName name="決算期区分" localSheetId="4">#REF!</definedName>
    <definedName name="決算期区分">#REF!</definedName>
    <definedName name="為替" localSheetId="1">#REF!</definedName>
    <definedName name="為替" localSheetId="4">#REF!</definedName>
    <definedName name="為替">#REF!</definedName>
    <definedName name="為替レートEU" localSheetId="1">#REF!</definedName>
    <definedName name="為替レートEU" localSheetId="4">#REF!</definedName>
    <definedName name="為替レートEU">#REF!</definedName>
    <definedName name="為替レートUS">#REF!</definedName>
    <definedName name="生産拠点" localSheetId="4">[8]テーブル!$C$2:$C$6</definedName>
    <definedName name="生産拠点">[9]テーブル!$C$2:$C$6</definedName>
    <definedName name="直販ｺｰﾄﾞ">'[4]ｺﾋﾟｰ用（直セ）'!$F$1:$AN$263</definedName>
    <definedName name="立上年" localSheetId="4">[8]テーブル!$A$2:$A$11</definedName>
    <definedName name="立上年">[9]テーブル!$A$2:$A$11</definedName>
    <definedName name="立上月" localSheetId="4">[8]テーブル!$D$2:$D$13</definedName>
    <definedName name="立上月">[9]テーブル!$D$2:$D$13</definedName>
    <definedName name="補助部門比率" localSheetId="1">#REF!</definedName>
    <definedName name="補助部門比率" localSheetId="4">#REF!</definedName>
    <definedName name="補助部門比率">#REF!</definedName>
    <definedName name="補助部門費_設計以外181" localSheetId="1">#REF!</definedName>
    <definedName name="補助部門費_設計以外181" localSheetId="4">#REF!</definedName>
    <definedName name="補助部門費_設計以外181">#REF!</definedName>
    <definedName name="補助部門費_設計以外182" localSheetId="1">#REF!</definedName>
    <definedName name="補助部門費_設計以外182" localSheetId="4">#REF!</definedName>
    <definedName name="補助部門費_設計以外182">#REF!</definedName>
    <definedName name="販管費率">#REF!</definedName>
    <definedName name="輸入">#REF!</definedName>
    <definedName name="配布先">#REF!</definedName>
    <definedName name="開発経費合計181">#REF!</definedName>
    <definedName name="開発経費合計182">#REF!</definedName>
    <definedName name="雇用">#REF!</definedName>
    <definedName name="電話代補助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2" i="1"/>
  <c r="AD1500" i="1"/>
  <c r="AC1500" i="1"/>
  <c r="AD1499" i="1"/>
  <c r="AC1499" i="1"/>
  <c r="AD1498" i="1"/>
  <c r="AC1498" i="1"/>
  <c r="AD1497" i="1"/>
  <c r="AC1497" i="1"/>
  <c r="AD1496" i="1"/>
  <c r="AC1496" i="1"/>
  <c r="AD1495" i="1"/>
  <c r="AC1495" i="1"/>
  <c r="AD1494" i="1"/>
  <c r="AC1494" i="1"/>
  <c r="AD1493" i="1"/>
  <c r="AC1493" i="1"/>
  <c r="AD1492" i="1"/>
  <c r="AC1492" i="1"/>
  <c r="AD1491" i="1"/>
  <c r="AC1491" i="1"/>
  <c r="AD1490" i="1"/>
  <c r="AC1490" i="1"/>
  <c r="AD1489" i="1"/>
  <c r="AC1489" i="1"/>
  <c r="AD1488" i="1"/>
  <c r="AC1488" i="1"/>
  <c r="AD1487" i="1"/>
  <c r="AC1487" i="1"/>
  <c r="AD1486" i="1"/>
  <c r="AC1486" i="1"/>
  <c r="AD1485" i="1"/>
  <c r="AC1485" i="1"/>
  <c r="AD1484" i="1"/>
  <c r="AC1484" i="1"/>
  <c r="AD1483" i="1"/>
  <c r="AC1483" i="1"/>
  <c r="AD1482" i="1"/>
  <c r="AC1482" i="1"/>
  <c r="AD1481" i="1"/>
  <c r="AC1481" i="1"/>
  <c r="AD1480" i="1"/>
  <c r="AC1480" i="1"/>
  <c r="AD1479" i="1"/>
  <c r="AC1479" i="1"/>
  <c r="AD1478" i="1"/>
  <c r="AC1478" i="1"/>
  <c r="AD1477" i="1"/>
  <c r="AC1477" i="1"/>
  <c r="AD1476" i="1"/>
  <c r="AC1476" i="1"/>
  <c r="AD1475" i="1"/>
  <c r="AC1475" i="1"/>
  <c r="AD1474" i="1"/>
  <c r="AC1474" i="1"/>
  <c r="AD1473" i="1"/>
  <c r="AC1473" i="1"/>
  <c r="AD1472" i="1"/>
  <c r="AC1472" i="1"/>
  <c r="AD1471" i="1"/>
  <c r="AC1471" i="1"/>
  <c r="AD1470" i="1"/>
  <c r="AC1470" i="1"/>
  <c r="AD1469" i="1"/>
  <c r="AC1469" i="1"/>
  <c r="AD1468" i="1"/>
  <c r="AC1468" i="1"/>
  <c r="AD1467" i="1"/>
  <c r="AC1467" i="1"/>
  <c r="AD1466" i="1"/>
  <c r="AC1466" i="1"/>
  <c r="AD1465" i="1"/>
  <c r="AC1465" i="1"/>
  <c r="AD1464" i="1"/>
  <c r="AC1464" i="1"/>
  <c r="AD1463" i="1"/>
  <c r="AC1463" i="1"/>
  <c r="AD1462" i="1"/>
  <c r="AC1462" i="1"/>
  <c r="AD1461" i="1"/>
  <c r="AC1461" i="1"/>
  <c r="AD1460" i="1"/>
  <c r="AC1460" i="1"/>
  <c r="AD1459" i="1"/>
  <c r="AC1459" i="1"/>
  <c r="AD1458" i="1"/>
  <c r="AC1458" i="1"/>
  <c r="AD1457" i="1"/>
  <c r="AC1457" i="1"/>
  <c r="AD1456" i="1"/>
  <c r="AC1456" i="1"/>
  <c r="AD1455" i="1"/>
  <c r="AC1455" i="1"/>
  <c r="AD1454" i="1"/>
  <c r="AC1454" i="1"/>
  <c r="AD1453" i="1"/>
  <c r="AC1453" i="1"/>
  <c r="AD1452" i="1"/>
  <c r="AC1452" i="1"/>
  <c r="AD1451" i="1"/>
  <c r="AC1451" i="1"/>
  <c r="AD1450" i="1"/>
  <c r="AC1450" i="1"/>
  <c r="AD1449" i="1"/>
  <c r="AC1449" i="1"/>
  <c r="AD1448" i="1"/>
  <c r="AC1448" i="1"/>
  <c r="AD1447" i="1"/>
  <c r="AC1447" i="1"/>
  <c r="AD1446" i="1"/>
  <c r="AC1446" i="1"/>
  <c r="AD1445" i="1"/>
  <c r="AC1445" i="1"/>
  <c r="AD1444" i="1"/>
  <c r="AC1444" i="1"/>
  <c r="AD1443" i="1"/>
  <c r="AC1443" i="1"/>
  <c r="AD1442" i="1"/>
  <c r="AC1442" i="1"/>
  <c r="AD1441" i="1"/>
  <c r="AC1441" i="1"/>
  <c r="AD1440" i="1"/>
  <c r="AC1440" i="1"/>
  <c r="AD1439" i="1"/>
  <c r="AC1439" i="1"/>
  <c r="AD1438" i="1"/>
  <c r="AC1438" i="1"/>
  <c r="AD1437" i="1"/>
  <c r="AC1437" i="1"/>
  <c r="AD1436" i="1"/>
  <c r="AC1436" i="1"/>
  <c r="AD1435" i="1"/>
  <c r="AC1435" i="1"/>
  <c r="AD1434" i="1"/>
  <c r="AC1434" i="1"/>
  <c r="AD1433" i="1"/>
  <c r="AC1433" i="1"/>
  <c r="AD1432" i="1"/>
  <c r="AC1432" i="1"/>
  <c r="AD1431" i="1"/>
  <c r="AC1431" i="1"/>
  <c r="AD1430" i="1"/>
  <c r="AC1430" i="1"/>
  <c r="AD1429" i="1"/>
  <c r="AC1429" i="1"/>
  <c r="AD1428" i="1"/>
  <c r="AC1428" i="1"/>
  <c r="AD1427" i="1"/>
  <c r="AC1427" i="1"/>
  <c r="AD1426" i="1"/>
  <c r="AC1426" i="1"/>
  <c r="AD1425" i="1"/>
  <c r="AC1425" i="1"/>
  <c r="AD1424" i="1"/>
  <c r="AC1424" i="1"/>
  <c r="AD1423" i="1"/>
  <c r="AC1423" i="1"/>
  <c r="AD1422" i="1"/>
  <c r="AC1422" i="1"/>
  <c r="AD1421" i="1"/>
  <c r="AC1421" i="1"/>
  <c r="AD1420" i="1"/>
  <c r="AC1420" i="1"/>
  <c r="AD1419" i="1"/>
  <c r="AC1419" i="1"/>
  <c r="AD1418" i="1"/>
  <c r="AC1418" i="1"/>
  <c r="AD1417" i="1"/>
  <c r="AC1417" i="1"/>
  <c r="AD1416" i="1"/>
  <c r="AC1416" i="1"/>
  <c r="AD1415" i="1"/>
  <c r="AC1415" i="1"/>
  <c r="AD1414" i="1"/>
  <c r="AC1414" i="1"/>
  <c r="AD1413" i="1"/>
  <c r="AC1413" i="1"/>
  <c r="AD1412" i="1"/>
  <c r="AC1412" i="1"/>
  <c r="AD1411" i="1"/>
  <c r="AC1411" i="1"/>
  <c r="AD1410" i="1"/>
  <c r="AC1410" i="1"/>
  <c r="AD1409" i="1"/>
  <c r="AC1409" i="1"/>
  <c r="AD1408" i="1"/>
  <c r="AC1408" i="1"/>
  <c r="AD1407" i="1"/>
  <c r="AC1407" i="1"/>
  <c r="AD1406" i="1"/>
  <c r="AC1406" i="1"/>
  <c r="AD1405" i="1"/>
  <c r="AC1405" i="1"/>
  <c r="AD1404" i="1"/>
  <c r="AC1404" i="1"/>
  <c r="AD1403" i="1"/>
  <c r="AC1403" i="1"/>
  <c r="AD1402" i="1"/>
  <c r="AC1402" i="1"/>
  <c r="AD1401" i="1"/>
  <c r="AC1401" i="1"/>
  <c r="AD1400" i="1"/>
  <c r="AC1400" i="1"/>
  <c r="AD1399" i="1"/>
  <c r="AC1399" i="1"/>
  <c r="AD1398" i="1"/>
  <c r="AC1398" i="1"/>
  <c r="AD1397" i="1"/>
  <c r="AC1397" i="1"/>
  <c r="AD1396" i="1"/>
  <c r="AC1396" i="1"/>
  <c r="AD1395" i="1"/>
  <c r="AC1395" i="1"/>
  <c r="AD1394" i="1"/>
  <c r="AC1394" i="1"/>
  <c r="AD1393" i="1"/>
  <c r="AC1393" i="1"/>
  <c r="AD1392" i="1"/>
  <c r="AC1392" i="1"/>
  <c r="AD1391" i="1"/>
  <c r="AC1391" i="1"/>
  <c r="AD1390" i="1"/>
  <c r="AC1390" i="1"/>
  <c r="AD1389" i="1"/>
  <c r="AC1389" i="1"/>
  <c r="AD1388" i="1"/>
  <c r="AC1388" i="1"/>
  <c r="AD1387" i="1"/>
  <c r="AC1387" i="1"/>
  <c r="AD1386" i="1"/>
  <c r="AC1386" i="1"/>
  <c r="AD1385" i="1"/>
  <c r="AC1385" i="1"/>
  <c r="AD1384" i="1"/>
  <c r="AC1384" i="1"/>
  <c r="AD1383" i="1"/>
  <c r="AC1383" i="1"/>
  <c r="AD1382" i="1"/>
  <c r="AC1382" i="1"/>
  <c r="AD1381" i="1"/>
  <c r="AC1381" i="1"/>
  <c r="AD1380" i="1"/>
  <c r="AC1380" i="1"/>
  <c r="AD1379" i="1"/>
  <c r="AC1379" i="1"/>
  <c r="AD1378" i="1"/>
  <c r="AC1378" i="1"/>
  <c r="AD1377" i="1"/>
  <c r="AC1377" i="1"/>
  <c r="AD1376" i="1"/>
  <c r="AC1376" i="1"/>
  <c r="AD1375" i="1"/>
  <c r="AC1375" i="1"/>
  <c r="AD1374" i="1"/>
  <c r="AC1374" i="1"/>
  <c r="AD1373" i="1"/>
  <c r="AC1373" i="1"/>
  <c r="AD1372" i="1"/>
  <c r="AC1372" i="1"/>
  <c r="AD1371" i="1"/>
  <c r="AC1371" i="1"/>
  <c r="AD1370" i="1"/>
  <c r="AC1370" i="1"/>
  <c r="AD1369" i="1"/>
  <c r="AC1369" i="1"/>
  <c r="AD1368" i="1"/>
  <c r="AC1368" i="1"/>
  <c r="AD1367" i="1"/>
  <c r="AC1367" i="1"/>
  <c r="AD1366" i="1"/>
  <c r="AC1366" i="1"/>
  <c r="AD1365" i="1"/>
  <c r="AC1365" i="1"/>
  <c r="AD1364" i="1"/>
  <c r="AC1364" i="1"/>
  <c r="AD1363" i="1"/>
  <c r="AC1363" i="1"/>
  <c r="AD1362" i="1"/>
  <c r="AC1362" i="1"/>
  <c r="AD1361" i="1"/>
  <c r="AC1361" i="1"/>
  <c r="AD1360" i="1"/>
  <c r="AC1360" i="1"/>
  <c r="AD1359" i="1"/>
  <c r="AC1359" i="1"/>
  <c r="AD1358" i="1"/>
  <c r="AC1358" i="1"/>
  <c r="AD1357" i="1"/>
  <c r="AC1357" i="1"/>
  <c r="AD1356" i="1"/>
  <c r="AC1356" i="1"/>
  <c r="AD1355" i="1"/>
  <c r="AC1355" i="1"/>
  <c r="AD1354" i="1"/>
  <c r="AC1354" i="1"/>
  <c r="AD1353" i="1"/>
  <c r="AC1353" i="1"/>
  <c r="AD1352" i="1"/>
  <c r="AC1352" i="1"/>
  <c r="AD1351" i="1"/>
  <c r="AC1351" i="1"/>
  <c r="AD1350" i="1"/>
  <c r="AC1350" i="1"/>
  <c r="AD1349" i="1"/>
  <c r="AC1349" i="1"/>
  <c r="AD1348" i="1"/>
  <c r="AC1348" i="1"/>
  <c r="AD1347" i="1"/>
  <c r="AC1347" i="1"/>
  <c r="AD1346" i="1"/>
  <c r="AC1346" i="1"/>
  <c r="AD1345" i="1"/>
  <c r="AC1345" i="1"/>
  <c r="AD1344" i="1"/>
  <c r="AC1344" i="1"/>
  <c r="AD1343" i="1"/>
  <c r="AC1343" i="1"/>
  <c r="AD1342" i="1"/>
  <c r="AC1342" i="1"/>
  <c r="AD1341" i="1"/>
  <c r="AC1341" i="1"/>
  <c r="AD1340" i="1"/>
  <c r="AC1340" i="1"/>
  <c r="AD1339" i="1"/>
  <c r="AC1339" i="1"/>
  <c r="AD1338" i="1"/>
  <c r="AC1338" i="1"/>
  <c r="AD1337" i="1"/>
  <c r="AC1337" i="1"/>
  <c r="AD1336" i="1"/>
  <c r="AC1336" i="1"/>
  <c r="AD1335" i="1"/>
  <c r="AC1335" i="1"/>
  <c r="AD1334" i="1"/>
  <c r="AC1334" i="1"/>
  <c r="AD1333" i="1"/>
  <c r="AC1333" i="1"/>
  <c r="AD1332" i="1"/>
  <c r="AC1332" i="1"/>
  <c r="AD1331" i="1"/>
  <c r="AC1331" i="1"/>
  <c r="AD1330" i="1"/>
  <c r="AC1330" i="1"/>
  <c r="AD1329" i="1"/>
  <c r="AC1329" i="1"/>
  <c r="AD1328" i="1"/>
  <c r="AC1328" i="1"/>
  <c r="AD1327" i="1"/>
  <c r="AC1327" i="1"/>
  <c r="AD1326" i="1"/>
  <c r="AC1326" i="1"/>
  <c r="AD1325" i="1"/>
  <c r="AC1325" i="1"/>
  <c r="AD1324" i="1"/>
  <c r="AC1324" i="1"/>
  <c r="AD1323" i="1"/>
  <c r="AC1323" i="1"/>
  <c r="AD1322" i="1"/>
  <c r="AC1322" i="1"/>
  <c r="AD1321" i="1"/>
  <c r="AC1321" i="1"/>
  <c r="AD1320" i="1"/>
  <c r="AC1320" i="1"/>
  <c r="AD1319" i="1"/>
  <c r="AC1319" i="1"/>
  <c r="AD1318" i="1"/>
  <c r="AC1318" i="1"/>
  <c r="AD1317" i="1"/>
  <c r="AC1317" i="1"/>
  <c r="AD1316" i="1"/>
  <c r="AC1316" i="1"/>
  <c r="AD1315" i="1"/>
  <c r="AC1315" i="1"/>
  <c r="AD1314" i="1"/>
  <c r="AC1314" i="1"/>
  <c r="AD1313" i="1"/>
  <c r="AC1313" i="1"/>
  <c r="AD1312" i="1"/>
  <c r="AC1312" i="1"/>
  <c r="AD1311" i="1"/>
  <c r="AC1311" i="1"/>
  <c r="AD1310" i="1"/>
  <c r="AC1310" i="1"/>
  <c r="AD1309" i="1"/>
  <c r="AC1309" i="1"/>
  <c r="AD1308" i="1"/>
  <c r="AC1308" i="1"/>
  <c r="AD1307" i="1"/>
  <c r="AC1307" i="1"/>
  <c r="AD1306" i="1"/>
  <c r="AC1306" i="1"/>
  <c r="AD1305" i="1"/>
  <c r="AC1305" i="1"/>
  <c r="AD1304" i="1"/>
  <c r="AC1304" i="1"/>
  <c r="AD1303" i="1"/>
  <c r="AC1303" i="1"/>
  <c r="AD1302" i="1"/>
  <c r="AC1302" i="1"/>
  <c r="AD1301" i="1"/>
  <c r="AC1301" i="1"/>
  <c r="AD1300" i="1"/>
  <c r="AC1300" i="1"/>
  <c r="AD1299" i="1"/>
  <c r="AC1299" i="1"/>
  <c r="AD1298" i="1"/>
  <c r="AC1298" i="1"/>
  <c r="AD1297" i="1"/>
  <c r="AC1297" i="1"/>
  <c r="AD1296" i="1"/>
  <c r="AC1296" i="1"/>
  <c r="AD1295" i="1"/>
  <c r="AC1295" i="1"/>
  <c r="AD1294" i="1"/>
  <c r="AC1294" i="1"/>
  <c r="AD1293" i="1"/>
  <c r="AC1293" i="1"/>
  <c r="AD1292" i="1"/>
  <c r="AC1292" i="1"/>
  <c r="AD1291" i="1"/>
  <c r="AC1291" i="1"/>
  <c r="AD1290" i="1"/>
  <c r="AC1290" i="1"/>
  <c r="AD1289" i="1"/>
  <c r="AC1289" i="1"/>
  <c r="AD1288" i="1"/>
  <c r="AC1288" i="1"/>
  <c r="AD1287" i="1"/>
  <c r="AC1287" i="1"/>
  <c r="AD1286" i="1"/>
  <c r="AC1286" i="1"/>
  <c r="AD1285" i="1"/>
  <c r="AC1285" i="1"/>
  <c r="AD1284" i="1"/>
  <c r="AC1284" i="1"/>
  <c r="AD1283" i="1"/>
  <c r="AC1283" i="1"/>
  <c r="AD1282" i="1"/>
  <c r="AC1282" i="1"/>
  <c r="AD1281" i="1"/>
  <c r="AC1281" i="1"/>
  <c r="AD1280" i="1"/>
  <c r="AC1280" i="1"/>
  <c r="AD1279" i="1"/>
  <c r="AC1279" i="1"/>
  <c r="AD1278" i="1"/>
  <c r="AC1278" i="1"/>
  <c r="AD1277" i="1"/>
  <c r="AC1277" i="1"/>
  <c r="AD1276" i="1"/>
  <c r="AC1276" i="1"/>
  <c r="AD1275" i="1"/>
  <c r="AC1275" i="1"/>
  <c r="AD1274" i="1"/>
  <c r="AC1274" i="1"/>
  <c r="AD1273" i="1"/>
  <c r="AC1273" i="1"/>
  <c r="AD1272" i="1"/>
  <c r="AC1272" i="1"/>
  <c r="AD1271" i="1"/>
  <c r="AC1271" i="1"/>
  <c r="AD1270" i="1"/>
  <c r="AC1270" i="1"/>
  <c r="AD1269" i="1"/>
  <c r="AC1269" i="1"/>
  <c r="AD1268" i="1"/>
  <c r="AC1268" i="1"/>
  <c r="AD1267" i="1"/>
  <c r="AC1267" i="1"/>
  <c r="AD1266" i="1"/>
  <c r="AC1266" i="1"/>
  <c r="AD1265" i="1"/>
  <c r="AC1265" i="1"/>
  <c r="AD1264" i="1"/>
  <c r="AC1264" i="1"/>
  <c r="AD1263" i="1"/>
  <c r="AC1263" i="1"/>
  <c r="AD1262" i="1"/>
  <c r="AC1262" i="1"/>
  <c r="AD1261" i="1"/>
  <c r="AC1261" i="1"/>
  <c r="AD1260" i="1"/>
  <c r="AC1260" i="1"/>
  <c r="AD1259" i="1"/>
  <c r="AC1259" i="1"/>
  <c r="AD1258" i="1"/>
  <c r="AC1258" i="1"/>
  <c r="AD1257" i="1"/>
  <c r="AC1257" i="1"/>
  <c r="AD1256" i="1"/>
  <c r="AC1256" i="1"/>
  <c r="AD1255" i="1"/>
  <c r="AC1255" i="1"/>
  <c r="AD1254" i="1"/>
  <c r="AC1254" i="1"/>
  <c r="AD1253" i="1"/>
  <c r="AC1253" i="1"/>
  <c r="AD1252" i="1"/>
  <c r="AC1252" i="1"/>
  <c r="AD1251" i="1"/>
  <c r="AC1251" i="1"/>
  <c r="AD1250" i="1"/>
  <c r="AC1250" i="1"/>
  <c r="AD1249" i="1"/>
  <c r="AC1249" i="1"/>
  <c r="AD1248" i="1"/>
  <c r="AC1248" i="1"/>
  <c r="AD1247" i="1"/>
  <c r="AC1247" i="1"/>
  <c r="AD1246" i="1"/>
  <c r="AC1246" i="1"/>
  <c r="AD1245" i="1"/>
  <c r="AC1245" i="1"/>
  <c r="AD1244" i="1"/>
  <c r="AC1244" i="1"/>
  <c r="AD1243" i="1"/>
  <c r="AC1243" i="1"/>
  <c r="AD1242" i="1"/>
  <c r="AC1242" i="1"/>
  <c r="AD1241" i="1"/>
  <c r="AC1241" i="1"/>
  <c r="AD1240" i="1"/>
  <c r="AC1240" i="1"/>
  <c r="AD1239" i="1"/>
  <c r="AC1239" i="1"/>
  <c r="AD1238" i="1"/>
  <c r="AC1238" i="1"/>
  <c r="AD1237" i="1"/>
  <c r="AC1237" i="1"/>
  <c r="AD1236" i="1"/>
  <c r="AC1236" i="1"/>
  <c r="AD1235" i="1"/>
  <c r="AC1235" i="1"/>
  <c r="AD1234" i="1"/>
  <c r="AC1234" i="1"/>
  <c r="AD1233" i="1"/>
  <c r="AC1233" i="1"/>
  <c r="AD1232" i="1"/>
  <c r="AC1232" i="1"/>
  <c r="AD1231" i="1"/>
  <c r="AC1231" i="1"/>
  <c r="AD1230" i="1"/>
  <c r="AC1230" i="1"/>
  <c r="AD1229" i="1"/>
  <c r="AC1229" i="1"/>
  <c r="AD1228" i="1"/>
  <c r="AC1228" i="1"/>
  <c r="AD1227" i="1"/>
  <c r="AC1227" i="1"/>
  <c r="AD1226" i="1"/>
  <c r="AC1226" i="1"/>
  <c r="AD1225" i="1"/>
  <c r="AC1225" i="1"/>
  <c r="AD1224" i="1"/>
  <c r="AC1224" i="1"/>
  <c r="AD1223" i="1"/>
  <c r="AC1223" i="1"/>
  <c r="AD1222" i="1"/>
  <c r="AC1222" i="1"/>
  <c r="AD1221" i="1"/>
  <c r="AC1221" i="1"/>
  <c r="AD1220" i="1"/>
  <c r="AC1220" i="1"/>
  <c r="AD1219" i="1"/>
  <c r="AC1219" i="1"/>
  <c r="AD1218" i="1"/>
  <c r="AC1218" i="1"/>
  <c r="AD1217" i="1"/>
  <c r="AC1217" i="1"/>
  <c r="AD1216" i="1"/>
  <c r="AC1216" i="1"/>
  <c r="AD1215" i="1"/>
  <c r="AC1215" i="1"/>
  <c r="AD1214" i="1"/>
  <c r="AC1214" i="1"/>
  <c r="AD1213" i="1"/>
  <c r="AC1213" i="1"/>
  <c r="AD1212" i="1"/>
  <c r="AC1212" i="1"/>
  <c r="AD1211" i="1"/>
  <c r="AC1211" i="1"/>
  <c r="AD1210" i="1"/>
  <c r="AC1210" i="1"/>
  <c r="AD1209" i="1"/>
  <c r="AC1209" i="1"/>
  <c r="AD1208" i="1"/>
  <c r="AC1208" i="1"/>
  <c r="AD1207" i="1"/>
  <c r="AC1207" i="1"/>
  <c r="AD1206" i="1"/>
  <c r="AC1206" i="1"/>
  <c r="AD1205" i="1"/>
  <c r="AC1205" i="1"/>
  <c r="AD1204" i="1"/>
  <c r="AC1204" i="1"/>
  <c r="AD1203" i="1"/>
  <c r="AC1203" i="1"/>
  <c r="AD1202" i="1"/>
  <c r="AC1202" i="1"/>
  <c r="AD1201" i="1"/>
  <c r="AC1201" i="1"/>
  <c r="AD1200" i="1"/>
  <c r="AC1200" i="1"/>
  <c r="AD1199" i="1"/>
  <c r="AC1199" i="1"/>
  <c r="AD1198" i="1"/>
  <c r="AC1198" i="1"/>
  <c r="AD1197" i="1"/>
  <c r="AC1197" i="1"/>
  <c r="AD1196" i="1"/>
  <c r="AC1196" i="1"/>
  <c r="AD1195" i="1"/>
  <c r="AC1195" i="1"/>
  <c r="AD1194" i="1"/>
  <c r="AC1194" i="1"/>
  <c r="AD1193" i="1"/>
  <c r="AC1193" i="1"/>
  <c r="AD1192" i="1"/>
  <c r="AC1192" i="1"/>
  <c r="AD1191" i="1"/>
  <c r="AC1191" i="1"/>
  <c r="AD1190" i="1"/>
  <c r="AC1190" i="1"/>
  <c r="AD1189" i="1"/>
  <c r="AC1189" i="1"/>
  <c r="AD1188" i="1"/>
  <c r="AC1188" i="1"/>
  <c r="AD1187" i="1"/>
  <c r="AC1187" i="1"/>
  <c r="AD1186" i="1"/>
  <c r="AC1186" i="1"/>
  <c r="AD1185" i="1"/>
  <c r="AC1185" i="1"/>
  <c r="AD1184" i="1"/>
  <c r="AC1184" i="1"/>
  <c r="AD1183" i="1"/>
  <c r="AC1183" i="1"/>
  <c r="AD1182" i="1"/>
  <c r="AC1182" i="1"/>
  <c r="AD1181" i="1"/>
  <c r="AC1181" i="1"/>
  <c r="AD1180" i="1"/>
  <c r="AC1180" i="1"/>
  <c r="AD1179" i="1"/>
  <c r="AC1179" i="1"/>
  <c r="AD1178" i="1"/>
  <c r="AC1178" i="1"/>
  <c r="AD1177" i="1"/>
  <c r="AC1177" i="1"/>
  <c r="AD1176" i="1"/>
  <c r="AC1176" i="1"/>
  <c r="AD1175" i="1"/>
  <c r="AC1175" i="1"/>
  <c r="AD1174" i="1"/>
  <c r="AC1174" i="1"/>
  <c r="AD1173" i="1"/>
  <c r="AC1173" i="1"/>
  <c r="AD1172" i="1"/>
  <c r="AC1172" i="1"/>
  <c r="AD1171" i="1"/>
  <c r="AC1171" i="1"/>
  <c r="AD1170" i="1"/>
  <c r="AC1170" i="1"/>
  <c r="AD1169" i="1"/>
  <c r="AC1169" i="1"/>
  <c r="AD1168" i="1"/>
  <c r="AC1168" i="1"/>
  <c r="AD1167" i="1"/>
  <c r="AC1167" i="1"/>
  <c r="AD1166" i="1"/>
  <c r="AC1166" i="1"/>
  <c r="AD1165" i="1"/>
  <c r="AC1165" i="1"/>
  <c r="AD1164" i="1"/>
  <c r="AC1164" i="1"/>
  <c r="AD1163" i="1"/>
  <c r="AC1163" i="1"/>
  <c r="AD1162" i="1"/>
  <c r="AC1162" i="1"/>
  <c r="AD1161" i="1"/>
  <c r="AC1161" i="1"/>
  <c r="AD1160" i="1"/>
  <c r="AC1160" i="1"/>
  <c r="AD1159" i="1"/>
  <c r="AC1159" i="1"/>
  <c r="AD1158" i="1"/>
  <c r="AC1158" i="1"/>
  <c r="AD1157" i="1"/>
  <c r="AC1157" i="1"/>
  <c r="AD1156" i="1"/>
  <c r="AC1156" i="1"/>
  <c r="AD1155" i="1"/>
  <c r="AC1155" i="1"/>
  <c r="AD1154" i="1"/>
  <c r="AC1154" i="1"/>
  <c r="AD1153" i="1"/>
  <c r="AC1153" i="1"/>
  <c r="AD1152" i="1"/>
  <c r="AC1152" i="1"/>
  <c r="AD1151" i="1"/>
  <c r="AC1151" i="1"/>
  <c r="AD1150" i="1"/>
  <c r="AC1150" i="1"/>
  <c r="AD1149" i="1"/>
  <c r="AC1149" i="1"/>
  <c r="AD1148" i="1"/>
  <c r="AC1148" i="1"/>
  <c r="AD1147" i="1"/>
  <c r="AC1147" i="1"/>
  <c r="AD1146" i="1"/>
  <c r="AC1146" i="1"/>
  <c r="AD1145" i="1"/>
  <c r="AC1145" i="1"/>
  <c r="AD1144" i="1"/>
  <c r="AC1144" i="1"/>
  <c r="AD1143" i="1"/>
  <c r="AC1143" i="1"/>
  <c r="AD1142" i="1"/>
  <c r="AC1142" i="1"/>
  <c r="AD1141" i="1"/>
  <c r="AC1141" i="1"/>
  <c r="AD1140" i="1"/>
  <c r="AC1140" i="1"/>
  <c r="AD1139" i="1"/>
  <c r="AC1139" i="1"/>
  <c r="AD1138" i="1"/>
  <c r="AC1138" i="1"/>
  <c r="AD1137" i="1"/>
  <c r="AC1137" i="1"/>
  <c r="AD1136" i="1"/>
  <c r="AC1136" i="1"/>
  <c r="AD1135" i="1"/>
  <c r="AC1135" i="1"/>
  <c r="AD1134" i="1"/>
  <c r="AC1134" i="1"/>
  <c r="AD1133" i="1"/>
  <c r="AC1133" i="1"/>
  <c r="AD1132" i="1"/>
  <c r="AC1132" i="1"/>
  <c r="AD1131" i="1"/>
  <c r="AC1131" i="1"/>
  <c r="AD1130" i="1"/>
  <c r="AC1130" i="1"/>
  <c r="AD1129" i="1"/>
  <c r="AC1129" i="1"/>
  <c r="AD1128" i="1"/>
  <c r="AC1128" i="1"/>
  <c r="AD1127" i="1"/>
  <c r="AC1127" i="1"/>
  <c r="AD1126" i="1"/>
  <c r="AC1126" i="1"/>
  <c r="AD1125" i="1"/>
  <c r="AC1125" i="1"/>
  <c r="AD1124" i="1"/>
  <c r="AC1124" i="1"/>
  <c r="AD1123" i="1"/>
  <c r="AC1123" i="1"/>
  <c r="AD1122" i="1"/>
  <c r="AC1122" i="1"/>
  <c r="AD1121" i="1"/>
  <c r="AC1121" i="1"/>
  <c r="AD1120" i="1"/>
  <c r="AC1120" i="1"/>
  <c r="AD1119" i="1"/>
  <c r="AC1119" i="1"/>
  <c r="AD1118" i="1"/>
  <c r="AC1118" i="1"/>
  <c r="AD1117" i="1"/>
  <c r="AC1117" i="1"/>
  <c r="AD1116" i="1"/>
  <c r="AC1116" i="1"/>
  <c r="AD1115" i="1"/>
  <c r="AC1115" i="1"/>
  <c r="AD1114" i="1"/>
  <c r="AC1114" i="1"/>
  <c r="AD1113" i="1"/>
  <c r="AC1113" i="1"/>
  <c r="AD1112" i="1"/>
  <c r="AC1112" i="1"/>
  <c r="AD1111" i="1"/>
  <c r="AC1111" i="1"/>
  <c r="AD1110" i="1"/>
  <c r="AC1110" i="1"/>
  <c r="AD1109" i="1"/>
  <c r="AC1109" i="1"/>
  <c r="AD1108" i="1"/>
  <c r="AC1108" i="1"/>
  <c r="AD1107" i="1"/>
  <c r="AC1107" i="1"/>
  <c r="AD1106" i="1"/>
  <c r="AC1106" i="1"/>
  <c r="AD1105" i="1"/>
  <c r="AC1105" i="1"/>
  <c r="AD1104" i="1"/>
  <c r="AC1104" i="1"/>
  <c r="AD1103" i="1"/>
  <c r="AC1103" i="1"/>
  <c r="AD1102" i="1"/>
  <c r="AC1102" i="1"/>
  <c r="AD1101" i="1"/>
  <c r="AC1101" i="1"/>
  <c r="AD1100" i="1"/>
  <c r="AC1100" i="1"/>
  <c r="AD1099" i="1"/>
  <c r="AC1099" i="1"/>
  <c r="AD1098" i="1"/>
  <c r="AC1098" i="1"/>
  <c r="AD1097" i="1"/>
  <c r="AC1097" i="1"/>
  <c r="AD1096" i="1"/>
  <c r="AC1096" i="1"/>
  <c r="AD1095" i="1"/>
  <c r="AC1095" i="1"/>
  <c r="AD1094" i="1"/>
  <c r="AC1094" i="1"/>
  <c r="AD1093" i="1"/>
  <c r="AC1093" i="1"/>
  <c r="AD1092" i="1"/>
  <c r="AC1092" i="1"/>
  <c r="AD1091" i="1"/>
  <c r="AC1091" i="1"/>
  <c r="AD1090" i="1"/>
  <c r="AC1090" i="1"/>
  <c r="AD1089" i="1"/>
  <c r="AC1089" i="1"/>
  <c r="AD1088" i="1"/>
  <c r="AC1088" i="1"/>
  <c r="AD1087" i="1"/>
  <c r="AC1087" i="1"/>
  <c r="AD1086" i="1"/>
  <c r="AC1086" i="1"/>
  <c r="AD1085" i="1"/>
  <c r="AC1085" i="1"/>
  <c r="AD1084" i="1"/>
  <c r="AC1084" i="1"/>
  <c r="AD1083" i="1"/>
  <c r="AC1083" i="1"/>
  <c r="AD1082" i="1"/>
  <c r="AC1082" i="1"/>
  <c r="AD1081" i="1"/>
  <c r="AC1081" i="1"/>
  <c r="AD1080" i="1"/>
  <c r="AC1080" i="1"/>
  <c r="AD1079" i="1"/>
  <c r="AC1079" i="1"/>
  <c r="AD1078" i="1"/>
  <c r="AC1078" i="1"/>
  <c r="AD1077" i="1"/>
  <c r="AC1077" i="1"/>
  <c r="AD1076" i="1"/>
  <c r="AC1076" i="1"/>
  <c r="AD1075" i="1"/>
  <c r="AC1075" i="1"/>
  <c r="AD1074" i="1"/>
  <c r="AC1074" i="1"/>
  <c r="AD1073" i="1"/>
  <c r="AC1073" i="1"/>
  <c r="AD1072" i="1"/>
  <c r="AC1072" i="1"/>
  <c r="AD1071" i="1"/>
  <c r="AC1071" i="1"/>
  <c r="AD1070" i="1"/>
  <c r="AC1070" i="1"/>
  <c r="AD1069" i="1"/>
  <c r="AC1069" i="1"/>
  <c r="AD1068" i="1"/>
  <c r="AC1068" i="1"/>
  <c r="AD1067" i="1"/>
  <c r="AC1067" i="1"/>
  <c r="AD1066" i="1"/>
  <c r="AC1066" i="1"/>
  <c r="AD1065" i="1"/>
  <c r="AC1065" i="1"/>
  <c r="AD1064" i="1"/>
  <c r="AC1064" i="1"/>
  <c r="AD1063" i="1"/>
  <c r="AC1063" i="1"/>
  <c r="AD1062" i="1"/>
  <c r="AC1062" i="1"/>
  <c r="AD1061" i="1"/>
  <c r="AC1061" i="1"/>
  <c r="AD1060" i="1"/>
  <c r="AC1060" i="1"/>
  <c r="AD1059" i="1"/>
  <c r="AC1059" i="1"/>
  <c r="AD1058" i="1"/>
  <c r="AC1058" i="1"/>
  <c r="AD1057" i="1"/>
  <c r="AC1057" i="1"/>
  <c r="AD1056" i="1"/>
  <c r="AC1056" i="1"/>
  <c r="AD1055" i="1"/>
  <c r="AC1055" i="1"/>
  <c r="AD1054" i="1"/>
  <c r="AC1054" i="1"/>
  <c r="AD1053" i="1"/>
  <c r="AC1053" i="1"/>
  <c r="AD1052" i="1"/>
  <c r="AC1052" i="1"/>
  <c r="AD1051" i="1"/>
  <c r="AC1051" i="1"/>
  <c r="AD1050" i="1"/>
  <c r="AC1050" i="1"/>
  <c r="AD1049" i="1"/>
  <c r="AC1049" i="1"/>
  <c r="AD1048" i="1"/>
  <c r="AC1048" i="1"/>
  <c r="AD1047" i="1"/>
  <c r="AC1047" i="1"/>
  <c r="AD1046" i="1"/>
  <c r="AC1046" i="1"/>
  <c r="AD1045" i="1"/>
  <c r="AC1045" i="1"/>
  <c r="AD1044" i="1"/>
  <c r="AC1044" i="1"/>
  <c r="AD1043" i="1"/>
  <c r="AC1043" i="1"/>
  <c r="AD1042" i="1"/>
  <c r="AC1042" i="1"/>
  <c r="AD1041" i="1"/>
  <c r="AC1041" i="1"/>
  <c r="AD1040" i="1"/>
  <c r="AC1040" i="1"/>
  <c r="AD1039" i="1"/>
  <c r="AC1039" i="1"/>
  <c r="AD1038" i="1"/>
  <c r="AC1038" i="1"/>
  <c r="AD1037" i="1"/>
  <c r="AC1037" i="1"/>
  <c r="AD1036" i="1"/>
  <c r="AC1036" i="1"/>
  <c r="AD1035" i="1"/>
  <c r="AC1035" i="1"/>
  <c r="AD1034" i="1"/>
  <c r="AC1034" i="1"/>
  <c r="AD1033" i="1"/>
  <c r="AC1033" i="1"/>
  <c r="AD1032" i="1"/>
  <c r="AC1032" i="1"/>
  <c r="AD1031" i="1"/>
  <c r="AC1031" i="1"/>
  <c r="AD1030" i="1"/>
  <c r="AC1030" i="1"/>
  <c r="AD1029" i="1"/>
  <c r="AC1029" i="1"/>
  <c r="AD1028" i="1"/>
  <c r="AC1028" i="1"/>
  <c r="AD1027" i="1"/>
  <c r="AC1027" i="1"/>
  <c r="AD1026" i="1"/>
  <c r="AC1026" i="1"/>
  <c r="AD1025" i="1"/>
  <c r="AC1025" i="1"/>
  <c r="AD1024" i="1"/>
  <c r="AC1024" i="1"/>
  <c r="AD1023" i="1"/>
  <c r="AC1023" i="1"/>
  <c r="AD1022" i="1"/>
  <c r="AC1022" i="1"/>
  <c r="AD1021" i="1"/>
  <c r="AC1021" i="1"/>
  <c r="AD1020" i="1"/>
  <c r="AC1020" i="1"/>
  <c r="AD1019" i="1"/>
  <c r="AC1019" i="1"/>
  <c r="AD1018" i="1"/>
  <c r="AC1018" i="1"/>
  <c r="AD1017" i="1"/>
  <c r="AC1017" i="1"/>
  <c r="AD1016" i="1"/>
  <c r="AC1016" i="1"/>
  <c r="AD1015" i="1"/>
  <c r="AC1015" i="1"/>
  <c r="AD1014" i="1"/>
  <c r="AC1014" i="1"/>
  <c r="AD1013" i="1"/>
  <c r="AC1013" i="1"/>
  <c r="AD1012" i="1"/>
  <c r="AC1012" i="1"/>
  <c r="AD1011" i="1"/>
  <c r="AC1011" i="1"/>
  <c r="AD1010" i="1"/>
  <c r="AC1010" i="1"/>
  <c r="AD1009" i="1"/>
  <c r="AC1009" i="1"/>
  <c r="AD1008" i="1"/>
  <c r="AC1008" i="1"/>
  <c r="AD1007" i="1"/>
  <c r="AC1007" i="1"/>
  <c r="AD1006" i="1"/>
  <c r="AC1006" i="1"/>
  <c r="AD1005" i="1"/>
  <c r="AC1005" i="1"/>
  <c r="AD1004" i="1"/>
  <c r="AC1004" i="1"/>
  <c r="AD1003" i="1"/>
  <c r="AC1003" i="1"/>
  <c r="AD1002" i="1"/>
  <c r="AC1002" i="1"/>
  <c r="AD1001" i="1"/>
  <c r="AC1001" i="1"/>
  <c r="AC2" i="1"/>
  <c r="AD2" i="1"/>
  <c r="AC3" i="1"/>
  <c r="AD3" i="1"/>
  <c r="AC4" i="1"/>
  <c r="AD4" i="1"/>
  <c r="AC5" i="1"/>
  <c r="AD5" i="1"/>
  <c r="AC6" i="1"/>
  <c r="AD6" i="1"/>
  <c r="AC7" i="1"/>
  <c r="AD7" i="1"/>
  <c r="AC8" i="1"/>
  <c r="AD8" i="1"/>
  <c r="AC9" i="1"/>
  <c r="AD9" i="1"/>
  <c r="AC10" i="1"/>
  <c r="AD10" i="1"/>
  <c r="AC11" i="1"/>
  <c r="AD11" i="1"/>
  <c r="AC12" i="1"/>
  <c r="AD12" i="1"/>
  <c r="AC13" i="1"/>
  <c r="AD13" i="1"/>
  <c r="AC14" i="1"/>
  <c r="AD14" i="1"/>
  <c r="AC15" i="1"/>
  <c r="AD15" i="1"/>
  <c r="AC16" i="1"/>
  <c r="AD16" i="1"/>
  <c r="AC17" i="1"/>
  <c r="AD17" i="1"/>
  <c r="AC18" i="1"/>
  <c r="AD18" i="1"/>
  <c r="AC19" i="1"/>
  <c r="AD19" i="1"/>
  <c r="AC20" i="1"/>
  <c r="AD20" i="1"/>
  <c r="AC21" i="1"/>
  <c r="AD21" i="1"/>
  <c r="AC22" i="1"/>
  <c r="AD22" i="1"/>
  <c r="AC23" i="1"/>
  <c r="AD23" i="1"/>
  <c r="AC24" i="1"/>
  <c r="AD24" i="1"/>
  <c r="AC25" i="1"/>
  <c r="AD25" i="1"/>
  <c r="AC26" i="1"/>
  <c r="AD26" i="1"/>
  <c r="AC27" i="1"/>
  <c r="AD27" i="1"/>
  <c r="AC28" i="1"/>
  <c r="AD28" i="1"/>
  <c r="AC29" i="1"/>
  <c r="AD29" i="1"/>
  <c r="AC30" i="1"/>
  <c r="AD30" i="1"/>
  <c r="AC31" i="1"/>
  <c r="AD31" i="1"/>
  <c r="AC32" i="1"/>
  <c r="AD32" i="1"/>
  <c r="AC33" i="1"/>
  <c r="AD33" i="1"/>
  <c r="AC34" i="1"/>
  <c r="AD34" i="1"/>
  <c r="AC35" i="1"/>
  <c r="AD35" i="1"/>
  <c r="AC36" i="1"/>
  <c r="AD36" i="1"/>
  <c r="AC37" i="1"/>
  <c r="AD37" i="1"/>
  <c r="AC38" i="1"/>
  <c r="AD38" i="1"/>
  <c r="AC39" i="1"/>
  <c r="AD39" i="1"/>
  <c r="AC40" i="1"/>
  <c r="AD40" i="1"/>
  <c r="AC41" i="1"/>
  <c r="AD41" i="1"/>
  <c r="AC42" i="1"/>
  <c r="AD42" i="1"/>
  <c r="AC43" i="1"/>
  <c r="AD43" i="1"/>
  <c r="AC44" i="1"/>
  <c r="AD44" i="1"/>
  <c r="AC45" i="1"/>
  <c r="AD45" i="1"/>
  <c r="AC46" i="1"/>
  <c r="AD46" i="1"/>
  <c r="AC47" i="1"/>
  <c r="AD47" i="1"/>
  <c r="AC48" i="1"/>
  <c r="AD48" i="1"/>
  <c r="AC49" i="1"/>
  <c r="AD49" i="1"/>
  <c r="AC50" i="1"/>
  <c r="AD50" i="1"/>
  <c r="AC51" i="1"/>
  <c r="AD51" i="1"/>
  <c r="AC52" i="1"/>
  <c r="AD52" i="1"/>
  <c r="AC53" i="1"/>
  <c r="AD53" i="1"/>
  <c r="AC54" i="1"/>
  <c r="AD54" i="1"/>
  <c r="AC55" i="1"/>
  <c r="AD55" i="1"/>
  <c r="AC56" i="1"/>
  <c r="AD56" i="1"/>
  <c r="AC57" i="1"/>
  <c r="AD57" i="1"/>
  <c r="AC58" i="1"/>
  <c r="AD58" i="1"/>
  <c r="AC59" i="1"/>
  <c r="AD59" i="1"/>
  <c r="AC60" i="1"/>
  <c r="AD60" i="1"/>
  <c r="AC61" i="1"/>
  <c r="AD61" i="1"/>
  <c r="AC62" i="1"/>
  <c r="AD62" i="1"/>
  <c r="AC63" i="1"/>
  <c r="AD63" i="1"/>
  <c r="AC64" i="1"/>
  <c r="AD64" i="1"/>
  <c r="AC65" i="1"/>
  <c r="AD65" i="1"/>
  <c r="AC66" i="1"/>
  <c r="AD66" i="1"/>
  <c r="AC67" i="1"/>
  <c r="AD67" i="1"/>
  <c r="AC68" i="1"/>
  <c r="AD68" i="1"/>
  <c r="AC69" i="1"/>
  <c r="AD69" i="1"/>
  <c r="AC70" i="1"/>
  <c r="AD70" i="1"/>
  <c r="AC71" i="1"/>
  <c r="AD71" i="1"/>
  <c r="AC72" i="1"/>
  <c r="AD72" i="1"/>
  <c r="AC73" i="1"/>
  <c r="AD73" i="1"/>
  <c r="AC74" i="1"/>
  <c r="AD74" i="1"/>
  <c r="AC75" i="1"/>
  <c r="AD75" i="1"/>
  <c r="AC76" i="1"/>
  <c r="AD76" i="1"/>
  <c r="AC77" i="1"/>
  <c r="AD77" i="1"/>
  <c r="AC78" i="1"/>
  <c r="AD78" i="1"/>
  <c r="AC79" i="1"/>
  <c r="AD79" i="1"/>
  <c r="AC80" i="1"/>
  <c r="AD80" i="1"/>
  <c r="AC81" i="1"/>
  <c r="AD81" i="1"/>
  <c r="AC82" i="1"/>
  <c r="AD82" i="1"/>
  <c r="AC83" i="1"/>
  <c r="AD83" i="1"/>
  <c r="AC84" i="1"/>
  <c r="AD84" i="1"/>
  <c r="AC85" i="1"/>
  <c r="AD85" i="1"/>
  <c r="AC86" i="1"/>
  <c r="AD86" i="1"/>
  <c r="AC87" i="1"/>
  <c r="AD87" i="1"/>
  <c r="AC88" i="1"/>
  <c r="AD88" i="1"/>
  <c r="AC89" i="1"/>
  <c r="AD89" i="1"/>
  <c r="AC90" i="1"/>
  <c r="AD90" i="1"/>
  <c r="AC91" i="1"/>
  <c r="AD91" i="1"/>
  <c r="AC92" i="1"/>
  <c r="AD92" i="1"/>
  <c r="AC93" i="1"/>
  <c r="AD93" i="1"/>
  <c r="AC94" i="1"/>
  <c r="AD94" i="1"/>
  <c r="AC95" i="1"/>
  <c r="AD95" i="1"/>
  <c r="AC96" i="1"/>
  <c r="AD96" i="1"/>
  <c r="AC97" i="1"/>
  <c r="AD97" i="1"/>
  <c r="AC98" i="1"/>
  <c r="AD98" i="1"/>
  <c r="AC99" i="1"/>
  <c r="AD99" i="1"/>
  <c r="AC100" i="1"/>
  <c r="AD100" i="1"/>
  <c r="AC101" i="1"/>
  <c r="AD101" i="1"/>
  <c r="AC102" i="1"/>
  <c r="AD102" i="1"/>
  <c r="AC103" i="1"/>
  <c r="AD103" i="1"/>
  <c r="AC104" i="1"/>
  <c r="AD104" i="1"/>
  <c r="AC105" i="1"/>
  <c r="AD105" i="1"/>
  <c r="AC106" i="1"/>
  <c r="AD106" i="1"/>
  <c r="AC107" i="1"/>
  <c r="AD107" i="1"/>
  <c r="AC108" i="1"/>
  <c r="AD108" i="1"/>
  <c r="AC109" i="1"/>
  <c r="AD109" i="1"/>
  <c r="AC110" i="1"/>
  <c r="AD110" i="1"/>
  <c r="AC111" i="1"/>
  <c r="AD111" i="1"/>
  <c r="AC112" i="1"/>
  <c r="AD112" i="1"/>
  <c r="AC113" i="1"/>
  <c r="AD113" i="1"/>
  <c r="AC114" i="1"/>
  <c r="AD114" i="1"/>
  <c r="AC115" i="1"/>
  <c r="AD115" i="1"/>
  <c r="AC116" i="1"/>
  <c r="AD116" i="1"/>
  <c r="AC117" i="1"/>
  <c r="AD117" i="1"/>
  <c r="AC118" i="1"/>
  <c r="AD118" i="1"/>
  <c r="AC119" i="1"/>
  <c r="AD119" i="1"/>
  <c r="AC120" i="1"/>
  <c r="AD120" i="1"/>
  <c r="AC121" i="1"/>
  <c r="AD121" i="1"/>
  <c r="AC122" i="1"/>
  <c r="AD122" i="1"/>
  <c r="AC123" i="1"/>
  <c r="AD123" i="1"/>
  <c r="AC124" i="1"/>
  <c r="AD124" i="1"/>
  <c r="AC125" i="1"/>
  <c r="AD125" i="1"/>
  <c r="AC126" i="1"/>
  <c r="AD126" i="1"/>
  <c r="AC127" i="1"/>
  <c r="AD127" i="1"/>
  <c r="AC128" i="1"/>
  <c r="AD128" i="1"/>
  <c r="AC129" i="1"/>
  <c r="AD129" i="1"/>
  <c r="AC130" i="1"/>
  <c r="AD130" i="1"/>
  <c r="AC131" i="1"/>
  <c r="AD131" i="1"/>
  <c r="AC132" i="1"/>
  <c r="AD132" i="1"/>
  <c r="AC133" i="1"/>
  <c r="AD133" i="1"/>
  <c r="AC134" i="1"/>
  <c r="AD134" i="1"/>
  <c r="AC135" i="1"/>
  <c r="AD135" i="1"/>
  <c r="AC136" i="1"/>
  <c r="AD136" i="1"/>
  <c r="AC137" i="1"/>
  <c r="AD137" i="1"/>
  <c r="AC138" i="1"/>
  <c r="AD138" i="1"/>
  <c r="AC139" i="1"/>
  <c r="AD139" i="1"/>
  <c r="AC140" i="1"/>
  <c r="AD140" i="1"/>
  <c r="AC141" i="1"/>
  <c r="AD141" i="1"/>
  <c r="AC142" i="1"/>
  <c r="AD142" i="1"/>
  <c r="AC143" i="1"/>
  <c r="AD143" i="1"/>
  <c r="AC144" i="1"/>
  <c r="AD144" i="1"/>
  <c r="AC145" i="1"/>
  <c r="AD145" i="1"/>
  <c r="AC146" i="1"/>
  <c r="AD146" i="1"/>
  <c r="AC147" i="1"/>
  <c r="AD147" i="1"/>
  <c r="AC148" i="1"/>
  <c r="AD148" i="1"/>
  <c r="AC149" i="1"/>
  <c r="AD149" i="1"/>
  <c r="AC150" i="1"/>
  <c r="AD150" i="1"/>
  <c r="AC151" i="1"/>
  <c r="AD151" i="1"/>
  <c r="AC152" i="1"/>
  <c r="AD152" i="1"/>
  <c r="AC153" i="1"/>
  <c r="AD153" i="1"/>
  <c r="AC154" i="1"/>
  <c r="AD154" i="1"/>
  <c r="AC155" i="1"/>
  <c r="AD155" i="1"/>
  <c r="AC156" i="1"/>
  <c r="AD156" i="1"/>
  <c r="AC157" i="1"/>
  <c r="AD157" i="1"/>
  <c r="AC158" i="1"/>
  <c r="AD158" i="1"/>
  <c r="AC159" i="1"/>
  <c r="AD159" i="1"/>
  <c r="AC160" i="1"/>
  <c r="AD160" i="1"/>
  <c r="AC161" i="1"/>
  <c r="AD161" i="1"/>
  <c r="AC162" i="1"/>
  <c r="AD162" i="1"/>
  <c r="AC163" i="1"/>
  <c r="AD163" i="1"/>
  <c r="AC164" i="1"/>
  <c r="AD164" i="1"/>
  <c r="AC165" i="1"/>
  <c r="AD165" i="1"/>
  <c r="AC166" i="1"/>
  <c r="AD166" i="1"/>
  <c r="AC167" i="1"/>
  <c r="AD167" i="1"/>
  <c r="AC168" i="1"/>
  <c r="AD168" i="1"/>
  <c r="AC169" i="1"/>
  <c r="AD169" i="1"/>
  <c r="AC170" i="1"/>
  <c r="AD170" i="1"/>
  <c r="AC171" i="1"/>
  <c r="AD171" i="1"/>
  <c r="AC172" i="1"/>
  <c r="AD172" i="1"/>
  <c r="AC173" i="1"/>
  <c r="AD173" i="1"/>
  <c r="AC174" i="1"/>
  <c r="AD174" i="1"/>
  <c r="AC175" i="1"/>
  <c r="AD175" i="1"/>
  <c r="AC176" i="1"/>
  <c r="AD176" i="1"/>
  <c r="AC177" i="1"/>
  <c r="AD177" i="1"/>
  <c r="AC178" i="1"/>
  <c r="AD178" i="1"/>
  <c r="AC179" i="1"/>
  <c r="AD179" i="1"/>
  <c r="AC180" i="1"/>
  <c r="AD180" i="1"/>
  <c r="AC181" i="1"/>
  <c r="AD181" i="1"/>
  <c r="AC182" i="1"/>
  <c r="AD182" i="1"/>
  <c r="AC183" i="1"/>
  <c r="AD183" i="1"/>
  <c r="AC184" i="1"/>
  <c r="AD184" i="1"/>
  <c r="AC185" i="1"/>
  <c r="AD185" i="1"/>
  <c r="AC186" i="1"/>
  <c r="AD186" i="1"/>
  <c r="AC187" i="1"/>
  <c r="AD187" i="1"/>
  <c r="AC188" i="1"/>
  <c r="AD188" i="1"/>
  <c r="AC189" i="1"/>
  <c r="AD189" i="1"/>
  <c r="AC190" i="1"/>
  <c r="AD190" i="1"/>
  <c r="AC191" i="1"/>
  <c r="AD191" i="1"/>
  <c r="AC192" i="1"/>
  <c r="AD192" i="1"/>
  <c r="AC193" i="1"/>
  <c r="AD193" i="1"/>
  <c r="AC194" i="1"/>
  <c r="AD194" i="1"/>
  <c r="AC195" i="1"/>
  <c r="AD195" i="1"/>
  <c r="AC196" i="1"/>
  <c r="AD196" i="1"/>
  <c r="AC197" i="1"/>
  <c r="AD197" i="1"/>
  <c r="AC198" i="1"/>
  <c r="AD198" i="1"/>
  <c r="AC199" i="1"/>
  <c r="AD199" i="1"/>
  <c r="AC200" i="1"/>
  <c r="AD200" i="1"/>
  <c r="AC201" i="1"/>
  <c r="AD201" i="1"/>
  <c r="AC202" i="1"/>
  <c r="AD202" i="1"/>
  <c r="AC203" i="1"/>
  <c r="AD203" i="1"/>
  <c r="AC204" i="1"/>
  <c r="AD204" i="1"/>
  <c r="AC205" i="1"/>
  <c r="AD205" i="1"/>
  <c r="AC206" i="1"/>
  <c r="AD206" i="1"/>
  <c r="AC207" i="1"/>
  <c r="AD207" i="1"/>
  <c r="AC208" i="1"/>
  <c r="AD208" i="1"/>
  <c r="AC209" i="1"/>
  <c r="AD209" i="1"/>
  <c r="AC210" i="1"/>
  <c r="AD210" i="1"/>
  <c r="AC211" i="1"/>
  <c r="AD211" i="1"/>
  <c r="AC212" i="1"/>
  <c r="AD212" i="1"/>
  <c r="AC213" i="1"/>
  <c r="AD213" i="1"/>
  <c r="AC214" i="1"/>
  <c r="AD214" i="1"/>
  <c r="AC215" i="1"/>
  <c r="AD215" i="1"/>
  <c r="AC216" i="1"/>
  <c r="AD216" i="1"/>
  <c r="AC217" i="1"/>
  <c r="AD217" i="1"/>
  <c r="AC218" i="1"/>
  <c r="AD218" i="1"/>
  <c r="AC219" i="1"/>
  <c r="AD219" i="1"/>
  <c r="AC220" i="1"/>
  <c r="AD220" i="1"/>
  <c r="AC221" i="1"/>
  <c r="AD221" i="1"/>
  <c r="AC222" i="1"/>
  <c r="AD222" i="1"/>
  <c r="AC223" i="1"/>
  <c r="AD223" i="1"/>
  <c r="AC224" i="1"/>
  <c r="AD224" i="1"/>
  <c r="AC225" i="1"/>
  <c r="AD225" i="1"/>
  <c r="AC226" i="1"/>
  <c r="AD226" i="1"/>
  <c r="AC227" i="1"/>
  <c r="AD227" i="1"/>
  <c r="AC228" i="1"/>
  <c r="AD228" i="1"/>
  <c r="AC229" i="1"/>
  <c r="AD229" i="1"/>
  <c r="AC230" i="1"/>
  <c r="AD230" i="1"/>
  <c r="AC231" i="1"/>
  <c r="AD231" i="1"/>
  <c r="AC232" i="1"/>
  <c r="AD232" i="1"/>
  <c r="AC233" i="1"/>
  <c r="AD233" i="1"/>
  <c r="AC234" i="1"/>
  <c r="AD234" i="1"/>
  <c r="AC235" i="1"/>
  <c r="AD235" i="1"/>
  <c r="AC236" i="1"/>
  <c r="AD236" i="1"/>
  <c r="AC237" i="1"/>
  <c r="AD237" i="1"/>
  <c r="AC238" i="1"/>
  <c r="AD238" i="1"/>
  <c r="AC239" i="1"/>
  <c r="AD239" i="1"/>
  <c r="AC240" i="1"/>
  <c r="AD240" i="1"/>
  <c r="AC241" i="1"/>
  <c r="AD241" i="1"/>
  <c r="AC242" i="1"/>
  <c r="AD242" i="1"/>
  <c r="AC243" i="1"/>
  <c r="AD243" i="1"/>
  <c r="AC244" i="1"/>
  <c r="AD244" i="1"/>
  <c r="AC245" i="1"/>
  <c r="AD245" i="1"/>
  <c r="AC246" i="1"/>
  <c r="AD246" i="1"/>
  <c r="AC247" i="1"/>
  <c r="AD247" i="1"/>
  <c r="AC248" i="1"/>
  <c r="AD248" i="1"/>
  <c r="AC249" i="1"/>
  <c r="AD249" i="1"/>
  <c r="AC250" i="1"/>
  <c r="AD250" i="1"/>
  <c r="AC251" i="1"/>
  <c r="AD251" i="1"/>
  <c r="AC252" i="1"/>
  <c r="AD252" i="1"/>
  <c r="AC253" i="1"/>
  <c r="AD253" i="1"/>
  <c r="AC254" i="1"/>
  <c r="AD254" i="1"/>
  <c r="AC255" i="1"/>
  <c r="AD255" i="1"/>
  <c r="AC256" i="1"/>
  <c r="AD256" i="1"/>
  <c r="AC257" i="1"/>
  <c r="AD257" i="1"/>
  <c r="AC258" i="1"/>
  <c r="AD258" i="1"/>
  <c r="AC259" i="1"/>
  <c r="AD259" i="1"/>
  <c r="AC260" i="1"/>
  <c r="AD260" i="1"/>
  <c r="AC261" i="1"/>
  <c r="AD261" i="1"/>
  <c r="AC262" i="1"/>
  <c r="AD262" i="1"/>
  <c r="AC263" i="1"/>
  <c r="AD263" i="1"/>
  <c r="AC264" i="1"/>
  <c r="AD264" i="1"/>
  <c r="AC265" i="1"/>
  <c r="AD265" i="1"/>
  <c r="AC266" i="1"/>
  <c r="AD266" i="1"/>
  <c r="AC267" i="1"/>
  <c r="AD267" i="1"/>
  <c r="AC268" i="1"/>
  <c r="AD268" i="1"/>
  <c r="AC269" i="1"/>
  <c r="AD269" i="1"/>
  <c r="AC270" i="1"/>
  <c r="AD270" i="1"/>
  <c r="AC271" i="1"/>
  <c r="AD271" i="1"/>
  <c r="AC272" i="1"/>
  <c r="AD272" i="1"/>
  <c r="AC273" i="1"/>
  <c r="AD273" i="1"/>
  <c r="AC274" i="1"/>
  <c r="AD274" i="1"/>
  <c r="AC275" i="1"/>
  <c r="AD275" i="1"/>
  <c r="AC276" i="1"/>
  <c r="AD276" i="1"/>
  <c r="AC277" i="1"/>
  <c r="AD277" i="1"/>
  <c r="AC278" i="1"/>
  <c r="AD278" i="1"/>
  <c r="AC279" i="1"/>
  <c r="AD279" i="1"/>
  <c r="AC280" i="1"/>
  <c r="AD280" i="1"/>
  <c r="AC281" i="1"/>
  <c r="AD281" i="1"/>
  <c r="AC282" i="1"/>
  <c r="AD282" i="1"/>
  <c r="AC283" i="1"/>
  <c r="AD283" i="1"/>
  <c r="AC284" i="1"/>
  <c r="AD284" i="1"/>
  <c r="AC285" i="1"/>
  <c r="AD285" i="1"/>
  <c r="AC286" i="1"/>
  <c r="AD286" i="1"/>
  <c r="AC287" i="1"/>
  <c r="AD287" i="1"/>
  <c r="AC288" i="1"/>
  <c r="AD288" i="1"/>
  <c r="AC289" i="1"/>
  <c r="AD289" i="1"/>
  <c r="AC290" i="1"/>
  <c r="AD290" i="1"/>
  <c r="AC291" i="1"/>
  <c r="AD291" i="1"/>
  <c r="AC292" i="1"/>
  <c r="AD292" i="1"/>
  <c r="AC293" i="1"/>
  <c r="AD293" i="1"/>
  <c r="AC294" i="1"/>
  <c r="AD294" i="1"/>
  <c r="AC295" i="1"/>
  <c r="AD295" i="1"/>
  <c r="AC296" i="1"/>
  <c r="AD296" i="1"/>
  <c r="AC297" i="1"/>
  <c r="AD297" i="1"/>
  <c r="AC298" i="1"/>
  <c r="AD298" i="1"/>
  <c r="AC299" i="1"/>
  <c r="AD299" i="1"/>
  <c r="AC300" i="1"/>
  <c r="AD300" i="1"/>
  <c r="AC301" i="1"/>
  <c r="AD301" i="1"/>
  <c r="AC302" i="1"/>
  <c r="AD302" i="1"/>
  <c r="AC303" i="1"/>
  <c r="AD303" i="1"/>
  <c r="AC304" i="1"/>
  <c r="AD304" i="1"/>
  <c r="AC305" i="1"/>
  <c r="AD305" i="1"/>
  <c r="AC306" i="1"/>
  <c r="AD306" i="1"/>
  <c r="AC307" i="1"/>
  <c r="AD307" i="1"/>
  <c r="AC308" i="1"/>
  <c r="AD308" i="1"/>
  <c r="AC309" i="1"/>
  <c r="AD309" i="1"/>
  <c r="AC310" i="1"/>
  <c r="AD310" i="1"/>
  <c r="AC311" i="1"/>
  <c r="AD311" i="1"/>
  <c r="AC312" i="1"/>
  <c r="AD312" i="1"/>
  <c r="AC313" i="1"/>
  <c r="AD313" i="1"/>
  <c r="AC314" i="1"/>
  <c r="AD314" i="1"/>
  <c r="AC315" i="1"/>
  <c r="AD315" i="1"/>
  <c r="AC316" i="1"/>
  <c r="AD316" i="1"/>
  <c r="AC317" i="1"/>
  <c r="AD317" i="1"/>
  <c r="AC318" i="1"/>
  <c r="AD318" i="1"/>
  <c r="AC319" i="1"/>
  <c r="AD319" i="1"/>
  <c r="AC320" i="1"/>
  <c r="AD320" i="1"/>
  <c r="AC321" i="1"/>
  <c r="AD321" i="1"/>
  <c r="AC322" i="1"/>
  <c r="AD322" i="1"/>
  <c r="AC323" i="1"/>
  <c r="AD323" i="1"/>
  <c r="AC324" i="1"/>
  <c r="AD324" i="1"/>
  <c r="AC325" i="1"/>
  <c r="AD325" i="1"/>
  <c r="AC326" i="1"/>
  <c r="AD326" i="1"/>
  <c r="AC327" i="1"/>
  <c r="AD327" i="1"/>
  <c r="AC328" i="1"/>
  <c r="AD328" i="1"/>
  <c r="AC329" i="1"/>
  <c r="AD329" i="1"/>
  <c r="AC330" i="1"/>
  <c r="AD330" i="1"/>
  <c r="AC331" i="1"/>
  <c r="AD331" i="1"/>
  <c r="AC332" i="1"/>
  <c r="AD332" i="1"/>
  <c r="AC333" i="1"/>
  <c r="AD333" i="1"/>
  <c r="AC334" i="1"/>
  <c r="AD334" i="1"/>
  <c r="AC335" i="1"/>
  <c r="AD335" i="1"/>
  <c r="AC336" i="1"/>
  <c r="AD336" i="1"/>
  <c r="AC337" i="1"/>
  <c r="AD337" i="1"/>
  <c r="AC338" i="1"/>
  <c r="AD338" i="1"/>
  <c r="AC339" i="1"/>
  <c r="AD339" i="1"/>
  <c r="AC340" i="1"/>
  <c r="AD340" i="1"/>
  <c r="AC341" i="1"/>
  <c r="AD341" i="1"/>
  <c r="AC342" i="1"/>
  <c r="AD342" i="1"/>
  <c r="AC343" i="1"/>
  <c r="AD343" i="1"/>
  <c r="AC344" i="1"/>
  <c r="AD344" i="1"/>
  <c r="AC345" i="1"/>
  <c r="AD345" i="1"/>
  <c r="AC346" i="1"/>
  <c r="AD346" i="1"/>
  <c r="AC347" i="1"/>
  <c r="AD347" i="1"/>
  <c r="AC348" i="1"/>
  <c r="AD348" i="1"/>
  <c r="AC349" i="1"/>
  <c r="AD349" i="1"/>
  <c r="AC350" i="1"/>
  <c r="AD350" i="1"/>
  <c r="AC351" i="1"/>
  <c r="AD351" i="1"/>
  <c r="AC352" i="1"/>
  <c r="AD352" i="1"/>
  <c r="AC353" i="1"/>
  <c r="AD353" i="1"/>
  <c r="AC354" i="1"/>
  <c r="AD354" i="1"/>
  <c r="AC355" i="1"/>
  <c r="AD355" i="1"/>
  <c r="AC356" i="1"/>
  <c r="AD356" i="1"/>
  <c r="AC357" i="1"/>
  <c r="AD357" i="1"/>
  <c r="AC358" i="1"/>
  <c r="AD358" i="1"/>
  <c r="AC359" i="1"/>
  <c r="AD359" i="1"/>
  <c r="AC360" i="1"/>
  <c r="AD360" i="1"/>
  <c r="AC361" i="1"/>
  <c r="AD361" i="1"/>
  <c r="AC362" i="1"/>
  <c r="AD362" i="1"/>
  <c r="AC363" i="1"/>
  <c r="AD363" i="1"/>
  <c r="AC364" i="1"/>
  <c r="AD364" i="1"/>
  <c r="AC365" i="1"/>
  <c r="AD365" i="1"/>
  <c r="AC366" i="1"/>
  <c r="AD366" i="1"/>
  <c r="AC367" i="1"/>
  <c r="AD367" i="1"/>
  <c r="AC368" i="1"/>
  <c r="AD368" i="1"/>
  <c r="AC369" i="1"/>
  <c r="AD369" i="1"/>
  <c r="AC370" i="1"/>
  <c r="AD370" i="1"/>
  <c r="AC371" i="1"/>
  <c r="AD371" i="1"/>
  <c r="AC372" i="1"/>
  <c r="AD372" i="1"/>
  <c r="AC373" i="1"/>
  <c r="AD373" i="1"/>
  <c r="AC374" i="1"/>
  <c r="AD374" i="1"/>
  <c r="AC375" i="1"/>
  <c r="AD375" i="1"/>
  <c r="AC376" i="1"/>
  <c r="AD376" i="1"/>
  <c r="AC377" i="1"/>
  <c r="AD377" i="1"/>
  <c r="AC378" i="1"/>
  <c r="AD378" i="1"/>
  <c r="AC379" i="1"/>
  <c r="AD379" i="1"/>
  <c r="AC380" i="1"/>
  <c r="AD380" i="1"/>
  <c r="AC381" i="1"/>
  <c r="AD381" i="1"/>
  <c r="AC382" i="1"/>
  <c r="AD382" i="1"/>
  <c r="AC383" i="1"/>
  <c r="AD383" i="1"/>
  <c r="AC384" i="1"/>
  <c r="AD384" i="1"/>
  <c r="AC385" i="1"/>
  <c r="AD385" i="1"/>
  <c r="AC386" i="1"/>
  <c r="AD386" i="1"/>
  <c r="AC387" i="1"/>
  <c r="AD387" i="1"/>
  <c r="AC388" i="1"/>
  <c r="AD388" i="1"/>
  <c r="AC389" i="1"/>
  <c r="AD389" i="1"/>
  <c r="AC390" i="1"/>
  <c r="AD390" i="1"/>
  <c r="AC391" i="1"/>
  <c r="AD391" i="1"/>
  <c r="AC392" i="1"/>
  <c r="AD392" i="1"/>
  <c r="AC393" i="1"/>
  <c r="AD393" i="1"/>
  <c r="AC394" i="1"/>
  <c r="AD394" i="1"/>
  <c r="AC395" i="1"/>
  <c r="AD395" i="1"/>
  <c r="AC396" i="1"/>
  <c r="AD396" i="1"/>
  <c r="AC397" i="1"/>
  <c r="AD397" i="1"/>
  <c r="AC398" i="1"/>
  <c r="AD398" i="1"/>
  <c r="AC399" i="1"/>
  <c r="AD399" i="1"/>
  <c r="AC400" i="1"/>
  <c r="AD400" i="1"/>
  <c r="AC401" i="1"/>
  <c r="AD401" i="1"/>
  <c r="AC402" i="1"/>
  <c r="AD402" i="1"/>
  <c r="AC403" i="1"/>
  <c r="AD403" i="1"/>
  <c r="AC404" i="1"/>
  <c r="AD404" i="1"/>
  <c r="AC405" i="1"/>
  <c r="AD405" i="1"/>
  <c r="AC406" i="1"/>
  <c r="AD406" i="1"/>
  <c r="AC407" i="1"/>
  <c r="AD407" i="1"/>
  <c r="AC408" i="1"/>
  <c r="AD408" i="1"/>
  <c r="AC409" i="1"/>
  <c r="AD409" i="1"/>
  <c r="AC410" i="1"/>
  <c r="AD410" i="1"/>
  <c r="AC411" i="1"/>
  <c r="AD411" i="1"/>
  <c r="AC412" i="1"/>
  <c r="AD412" i="1"/>
  <c r="AC413" i="1"/>
  <c r="AD413" i="1"/>
  <c r="AC414" i="1"/>
  <c r="AD414" i="1"/>
  <c r="AC415" i="1"/>
  <c r="AD415" i="1"/>
  <c r="AC416" i="1"/>
  <c r="AD416" i="1"/>
  <c r="AC417" i="1"/>
  <c r="AD417" i="1"/>
  <c r="AC418" i="1"/>
  <c r="AD418" i="1"/>
  <c r="AC419" i="1"/>
  <c r="AD419" i="1"/>
  <c r="AC420" i="1"/>
  <c r="AD420" i="1"/>
  <c r="AC421" i="1"/>
  <c r="AD421" i="1"/>
  <c r="AC422" i="1"/>
  <c r="AD422" i="1"/>
  <c r="AC423" i="1"/>
  <c r="AD423" i="1"/>
  <c r="AC424" i="1"/>
  <c r="AD424" i="1"/>
  <c r="AC425" i="1"/>
  <c r="AD425" i="1"/>
  <c r="AC426" i="1"/>
  <c r="AD426" i="1"/>
  <c r="AC427" i="1"/>
  <c r="AD427" i="1"/>
  <c r="AC428" i="1"/>
  <c r="AD428" i="1"/>
  <c r="AC429" i="1"/>
  <c r="AD429" i="1"/>
  <c r="AC430" i="1"/>
  <c r="AD430" i="1"/>
  <c r="AC431" i="1"/>
  <c r="AD431" i="1"/>
  <c r="AC432" i="1"/>
  <c r="AD432" i="1"/>
  <c r="AC433" i="1"/>
  <c r="AD433" i="1"/>
  <c r="AC434" i="1"/>
  <c r="AD434" i="1"/>
  <c r="AC435" i="1"/>
  <c r="AD435" i="1"/>
  <c r="AC436" i="1"/>
  <c r="AD436" i="1"/>
  <c r="AC437" i="1"/>
  <c r="AD437" i="1"/>
  <c r="AC438" i="1"/>
  <c r="AD438" i="1"/>
  <c r="AC439" i="1"/>
  <c r="AD439" i="1"/>
  <c r="AC440" i="1"/>
  <c r="AD440" i="1"/>
  <c r="AC441" i="1"/>
  <c r="AD441" i="1"/>
  <c r="AC442" i="1"/>
  <c r="AD442" i="1"/>
  <c r="AC443" i="1"/>
  <c r="AD443" i="1"/>
  <c r="AC444" i="1"/>
  <c r="AD444" i="1"/>
  <c r="AC445" i="1"/>
  <c r="AD445" i="1"/>
  <c r="AC446" i="1"/>
  <c r="AD446" i="1"/>
  <c r="AC447" i="1"/>
  <c r="AD447" i="1"/>
  <c r="AC448" i="1"/>
  <c r="AD448" i="1"/>
  <c r="AC449" i="1"/>
  <c r="AD449" i="1"/>
  <c r="AC450" i="1"/>
  <c r="AD450" i="1"/>
  <c r="AC451" i="1"/>
  <c r="AD451" i="1"/>
  <c r="AC452" i="1"/>
  <c r="AD452" i="1"/>
  <c r="AC453" i="1"/>
  <c r="AD453" i="1"/>
  <c r="AC454" i="1"/>
  <c r="AD454" i="1"/>
  <c r="AC455" i="1"/>
  <c r="AD455" i="1"/>
  <c r="AC456" i="1"/>
  <c r="AD456" i="1"/>
  <c r="AC457" i="1"/>
  <c r="AD457" i="1"/>
  <c r="AC458" i="1"/>
  <c r="AD458" i="1"/>
  <c r="AC459" i="1"/>
  <c r="AD459" i="1"/>
  <c r="AC460" i="1"/>
  <c r="AD460" i="1"/>
  <c r="AC461" i="1"/>
  <c r="AD461" i="1"/>
  <c r="AC462" i="1"/>
  <c r="AD462" i="1"/>
  <c r="AC463" i="1"/>
  <c r="AD463" i="1"/>
  <c r="AC464" i="1"/>
  <c r="AD464" i="1"/>
  <c r="AC465" i="1"/>
  <c r="AD465" i="1"/>
  <c r="AC466" i="1"/>
  <c r="AD466" i="1"/>
  <c r="AC467" i="1"/>
  <c r="AD467" i="1"/>
  <c r="AC468" i="1"/>
  <c r="AD468" i="1"/>
  <c r="AC469" i="1"/>
  <c r="AD469" i="1"/>
  <c r="AC470" i="1"/>
  <c r="AD470" i="1"/>
  <c r="AC471" i="1"/>
  <c r="AD471" i="1"/>
  <c r="AC472" i="1"/>
  <c r="AD472" i="1"/>
  <c r="AC473" i="1"/>
  <c r="AD473" i="1"/>
  <c r="AC474" i="1"/>
  <c r="AD474" i="1"/>
  <c r="AC475" i="1"/>
  <c r="AD475" i="1"/>
  <c r="AC476" i="1"/>
  <c r="AD476" i="1"/>
  <c r="AC477" i="1"/>
  <c r="AD477" i="1"/>
  <c r="AC478" i="1"/>
  <c r="AD478" i="1"/>
  <c r="AC479" i="1"/>
  <c r="AD479" i="1"/>
  <c r="AC480" i="1"/>
  <c r="AD480" i="1"/>
  <c r="AC481" i="1"/>
  <c r="AD481" i="1"/>
  <c r="AC482" i="1"/>
  <c r="AD482" i="1"/>
  <c r="AC483" i="1"/>
  <c r="AD483" i="1"/>
  <c r="AC484" i="1"/>
  <c r="AD484" i="1"/>
  <c r="AC485" i="1"/>
  <c r="AD485" i="1"/>
  <c r="AC486" i="1"/>
  <c r="AD486" i="1"/>
  <c r="AC487" i="1"/>
  <c r="AD487" i="1"/>
  <c r="AC488" i="1"/>
  <c r="AD488" i="1"/>
  <c r="AC489" i="1"/>
  <c r="AD489" i="1"/>
  <c r="AC490" i="1"/>
  <c r="AD490" i="1"/>
  <c r="AC491" i="1"/>
  <c r="AD491" i="1"/>
  <c r="AC492" i="1"/>
  <c r="AD492" i="1"/>
  <c r="AC493" i="1"/>
  <c r="AD493" i="1"/>
  <c r="AC494" i="1"/>
  <c r="AD494" i="1"/>
  <c r="AC495" i="1"/>
  <c r="AD495" i="1"/>
  <c r="AC496" i="1"/>
  <c r="AD496" i="1"/>
  <c r="AC497" i="1"/>
  <c r="AD497" i="1"/>
  <c r="AC498" i="1"/>
  <c r="AD498" i="1"/>
  <c r="AC499" i="1"/>
  <c r="AD499" i="1"/>
  <c r="AC500" i="1"/>
  <c r="AD500" i="1"/>
  <c r="AC501" i="1"/>
  <c r="AD501" i="1"/>
  <c r="AC502" i="1"/>
  <c r="AD502" i="1"/>
  <c r="AC503" i="1"/>
  <c r="AD503" i="1"/>
  <c r="AC504" i="1"/>
  <c r="AD504" i="1"/>
  <c r="AC505" i="1"/>
  <c r="AD505" i="1"/>
  <c r="AC506" i="1"/>
  <c r="AD506" i="1"/>
  <c r="AC507" i="1"/>
  <c r="AD507" i="1"/>
  <c r="AC508" i="1"/>
  <c r="AD508" i="1"/>
  <c r="AC509" i="1"/>
  <c r="AD509" i="1"/>
  <c r="AC510" i="1"/>
  <c r="AD510" i="1"/>
  <c r="AC511" i="1"/>
  <c r="AD511" i="1"/>
  <c r="AC512" i="1"/>
  <c r="AD512" i="1"/>
  <c r="AC513" i="1"/>
  <c r="AD513" i="1"/>
  <c r="AC514" i="1"/>
  <c r="AD514" i="1"/>
  <c r="AC515" i="1"/>
  <c r="AD515" i="1"/>
  <c r="AC516" i="1"/>
  <c r="AD516" i="1"/>
  <c r="AC517" i="1"/>
  <c r="AD517" i="1"/>
  <c r="AC518" i="1"/>
  <c r="AD518" i="1"/>
  <c r="AC519" i="1"/>
  <c r="AD519" i="1"/>
  <c r="AC520" i="1"/>
  <c r="AD520" i="1"/>
  <c r="AC521" i="1"/>
  <c r="AD521" i="1"/>
  <c r="AC522" i="1"/>
  <c r="AD522" i="1"/>
  <c r="AC523" i="1"/>
  <c r="AD523" i="1"/>
  <c r="AC524" i="1"/>
  <c r="AD524" i="1"/>
  <c r="AC525" i="1"/>
  <c r="AD525" i="1"/>
  <c r="AC526" i="1"/>
  <c r="AD526" i="1"/>
  <c r="AC527" i="1"/>
  <c r="AD527" i="1"/>
  <c r="AC528" i="1"/>
  <c r="AD528" i="1"/>
  <c r="AC529" i="1"/>
  <c r="AD529" i="1"/>
  <c r="AC530" i="1"/>
  <c r="AD530" i="1"/>
  <c r="AC531" i="1"/>
  <c r="AD531" i="1"/>
  <c r="AC532" i="1"/>
  <c r="AD532" i="1"/>
  <c r="AC533" i="1"/>
  <c r="AD533" i="1"/>
  <c r="AC534" i="1"/>
  <c r="AD534" i="1"/>
  <c r="AC535" i="1"/>
  <c r="AD535" i="1"/>
  <c r="AC536" i="1"/>
  <c r="AD536" i="1"/>
  <c r="AC537" i="1"/>
  <c r="AD537" i="1"/>
  <c r="AC538" i="1"/>
  <c r="AD538" i="1"/>
  <c r="AC539" i="1"/>
  <c r="AD539" i="1"/>
  <c r="AC540" i="1"/>
  <c r="AD540" i="1"/>
  <c r="AC541" i="1"/>
  <c r="AD541" i="1"/>
  <c r="AC542" i="1"/>
  <c r="AD542" i="1"/>
  <c r="AC543" i="1"/>
  <c r="AD543" i="1"/>
  <c r="AC544" i="1"/>
  <c r="AD544" i="1"/>
  <c r="AC545" i="1"/>
  <c r="AD545" i="1"/>
  <c r="AC546" i="1"/>
  <c r="AD546" i="1"/>
  <c r="AC547" i="1"/>
  <c r="AD547" i="1"/>
  <c r="AC548" i="1"/>
  <c r="AD548" i="1"/>
  <c r="AC549" i="1"/>
  <c r="AD549" i="1"/>
  <c r="AC550" i="1"/>
  <c r="AD550" i="1"/>
  <c r="AC551" i="1"/>
  <c r="AD551" i="1"/>
  <c r="AC552" i="1"/>
  <c r="AD552" i="1"/>
  <c r="AC553" i="1"/>
  <c r="AD553" i="1"/>
  <c r="AC554" i="1"/>
  <c r="AD554" i="1"/>
  <c r="AC555" i="1"/>
  <c r="AD555" i="1"/>
  <c r="AC556" i="1"/>
  <c r="AD556" i="1"/>
  <c r="AC557" i="1"/>
  <c r="AD557" i="1"/>
  <c r="AC558" i="1"/>
  <c r="AD558" i="1"/>
  <c r="AC559" i="1"/>
  <c r="AD559" i="1"/>
  <c r="AC560" i="1"/>
  <c r="AD560" i="1"/>
  <c r="AC561" i="1"/>
  <c r="AD561" i="1"/>
  <c r="AC562" i="1"/>
  <c r="AD562" i="1"/>
  <c r="AC563" i="1"/>
  <c r="AD563" i="1"/>
  <c r="AC564" i="1"/>
  <c r="AD564" i="1"/>
  <c r="AC565" i="1"/>
  <c r="AD565" i="1"/>
  <c r="AC566" i="1"/>
  <c r="AD566" i="1"/>
  <c r="AC567" i="1"/>
  <c r="AD567" i="1"/>
  <c r="AC568" i="1"/>
  <c r="AD568" i="1"/>
  <c r="AC569" i="1"/>
  <c r="AD569" i="1"/>
  <c r="AC570" i="1"/>
  <c r="AD570" i="1"/>
  <c r="AC571" i="1"/>
  <c r="AD571" i="1"/>
  <c r="AC572" i="1"/>
  <c r="AD572" i="1"/>
  <c r="AC573" i="1"/>
  <c r="AD573" i="1"/>
  <c r="AC574" i="1"/>
  <c r="AD574" i="1"/>
  <c r="AC575" i="1"/>
  <c r="AD575" i="1"/>
  <c r="AC576" i="1"/>
  <c r="AD576" i="1"/>
  <c r="AC577" i="1"/>
  <c r="AD577" i="1"/>
  <c r="AC578" i="1"/>
  <c r="AD578" i="1"/>
  <c r="AC579" i="1"/>
  <c r="AD579" i="1"/>
  <c r="AC580" i="1"/>
  <c r="AD580" i="1"/>
  <c r="AC581" i="1"/>
  <c r="AD581" i="1"/>
  <c r="AC582" i="1"/>
  <c r="AD582" i="1"/>
  <c r="AC583" i="1"/>
  <c r="AD583" i="1"/>
  <c r="AC584" i="1"/>
  <c r="AD584" i="1"/>
  <c r="AC585" i="1"/>
  <c r="AD585" i="1"/>
  <c r="AC586" i="1"/>
  <c r="AD586" i="1"/>
  <c r="AC587" i="1"/>
  <c r="AD587" i="1"/>
  <c r="AC588" i="1"/>
  <c r="AD588" i="1"/>
  <c r="AC589" i="1"/>
  <c r="AD589" i="1"/>
  <c r="AC590" i="1"/>
  <c r="AD590" i="1"/>
  <c r="AC591" i="1"/>
  <c r="AD591" i="1"/>
  <c r="AC592" i="1"/>
  <c r="AD592" i="1"/>
  <c r="AC593" i="1"/>
  <c r="AD593" i="1"/>
  <c r="AC594" i="1"/>
  <c r="AD594" i="1"/>
  <c r="AC595" i="1"/>
  <c r="AD595" i="1"/>
  <c r="AC596" i="1"/>
  <c r="AD596" i="1"/>
  <c r="AC597" i="1"/>
  <c r="AD597" i="1"/>
  <c r="AC598" i="1"/>
  <c r="AD598" i="1"/>
  <c r="AC599" i="1"/>
  <c r="AD599" i="1"/>
  <c r="AC600" i="1"/>
  <c r="AD600" i="1"/>
  <c r="AC601" i="1"/>
  <c r="AD601" i="1"/>
  <c r="AC602" i="1"/>
  <c r="AD602" i="1"/>
  <c r="AC603" i="1"/>
  <c r="AD603" i="1"/>
  <c r="AC604" i="1"/>
  <c r="AD604" i="1"/>
  <c r="AC605" i="1"/>
  <c r="AD605" i="1"/>
  <c r="AC606" i="1"/>
  <c r="AD606" i="1"/>
  <c r="AC607" i="1"/>
  <c r="AD607" i="1"/>
  <c r="AC608" i="1"/>
  <c r="AD608" i="1"/>
  <c r="AC609" i="1"/>
  <c r="AD609" i="1"/>
  <c r="AC610" i="1"/>
  <c r="AD610" i="1"/>
  <c r="AC611" i="1"/>
  <c r="AD611" i="1"/>
  <c r="AC612" i="1"/>
  <c r="AD612" i="1"/>
  <c r="AC613" i="1"/>
  <c r="AD613" i="1"/>
  <c r="AC614" i="1"/>
  <c r="AD614" i="1"/>
  <c r="AC615" i="1"/>
  <c r="AD615" i="1"/>
  <c r="AC616" i="1"/>
  <c r="AD616" i="1"/>
  <c r="AC617" i="1"/>
  <c r="AD617" i="1"/>
  <c r="AC618" i="1"/>
  <c r="AD618" i="1"/>
  <c r="AC619" i="1"/>
  <c r="AD619" i="1"/>
  <c r="AC620" i="1"/>
  <c r="AD620" i="1"/>
  <c r="AC621" i="1"/>
  <c r="AD621" i="1"/>
  <c r="AC622" i="1"/>
  <c r="AD622" i="1"/>
  <c r="AC623" i="1"/>
  <c r="AD623" i="1"/>
  <c r="AC624" i="1"/>
  <c r="AD624" i="1"/>
  <c r="AC625" i="1"/>
  <c r="AD625" i="1"/>
  <c r="AC626" i="1"/>
  <c r="AD626" i="1"/>
  <c r="AC627" i="1"/>
  <c r="AD627" i="1"/>
  <c r="AC628" i="1"/>
  <c r="AD628" i="1"/>
  <c r="AC629" i="1"/>
  <c r="AD629" i="1"/>
  <c r="AC630" i="1"/>
  <c r="AD630" i="1"/>
  <c r="AC631" i="1"/>
  <c r="AD631" i="1"/>
  <c r="AC632" i="1"/>
  <c r="AD632" i="1"/>
  <c r="AC633" i="1"/>
  <c r="AD633" i="1"/>
  <c r="AC634" i="1"/>
  <c r="AD634" i="1"/>
  <c r="AC635" i="1"/>
  <c r="AD635" i="1"/>
  <c r="AC636" i="1"/>
  <c r="AD636" i="1"/>
  <c r="AC637" i="1"/>
  <c r="AD637" i="1"/>
  <c r="AC638" i="1"/>
  <c r="AD638" i="1"/>
  <c r="AC639" i="1"/>
  <c r="AD639" i="1"/>
  <c r="AC640" i="1"/>
  <c r="AD640" i="1"/>
  <c r="AC641" i="1"/>
  <c r="AD641" i="1"/>
  <c r="AC642" i="1"/>
  <c r="AD642" i="1"/>
  <c r="AC643" i="1"/>
  <c r="AD643" i="1"/>
  <c r="AC644" i="1"/>
  <c r="AD644" i="1"/>
  <c r="AC645" i="1"/>
  <c r="AD645" i="1"/>
  <c r="AC646" i="1"/>
  <c r="AD646" i="1"/>
  <c r="AC647" i="1"/>
  <c r="AD647" i="1"/>
  <c r="AC648" i="1"/>
  <c r="AD648" i="1"/>
  <c r="AC649" i="1"/>
  <c r="AD649" i="1"/>
  <c r="AC650" i="1"/>
  <c r="AD650" i="1"/>
  <c r="AC651" i="1"/>
  <c r="AD651" i="1"/>
  <c r="AC652" i="1"/>
  <c r="AD652" i="1"/>
  <c r="AC653" i="1"/>
  <c r="AD653" i="1"/>
  <c r="AC654" i="1"/>
  <c r="AD654" i="1"/>
  <c r="AC655" i="1"/>
  <c r="AD655" i="1"/>
  <c r="AC656" i="1"/>
  <c r="AD656" i="1"/>
  <c r="AC657" i="1"/>
  <c r="AD657" i="1"/>
  <c r="AC658" i="1"/>
  <c r="AD658" i="1"/>
  <c r="AC659" i="1"/>
  <c r="AD659" i="1"/>
  <c r="AC660" i="1"/>
  <c r="AD660" i="1"/>
  <c r="AC661" i="1"/>
  <c r="AD661" i="1"/>
  <c r="AC662" i="1"/>
  <c r="AD662" i="1"/>
  <c r="AC663" i="1"/>
  <c r="AD663" i="1"/>
  <c r="AC664" i="1"/>
  <c r="AD664" i="1"/>
  <c r="AC665" i="1"/>
  <c r="AD665" i="1"/>
  <c r="AC666" i="1"/>
  <c r="AD666" i="1"/>
  <c r="AC667" i="1"/>
  <c r="AD667" i="1"/>
  <c r="AC668" i="1"/>
  <c r="AD668" i="1"/>
  <c r="AC669" i="1"/>
  <c r="AD669" i="1"/>
  <c r="AC670" i="1"/>
  <c r="AD670" i="1"/>
  <c r="AC671" i="1"/>
  <c r="AD671" i="1"/>
  <c r="AC672" i="1"/>
  <c r="AD672" i="1"/>
  <c r="AC673" i="1"/>
  <c r="AD673" i="1"/>
  <c r="AC674" i="1"/>
  <c r="AD674" i="1"/>
  <c r="AC675" i="1"/>
  <c r="AD675" i="1"/>
  <c r="AC676" i="1"/>
  <c r="AD676" i="1"/>
  <c r="AC677" i="1"/>
  <c r="AD677" i="1"/>
  <c r="AC678" i="1"/>
  <c r="AD678" i="1"/>
  <c r="AC679" i="1"/>
  <c r="AD679" i="1"/>
  <c r="AC680" i="1"/>
  <c r="AD680" i="1"/>
  <c r="AC681" i="1"/>
  <c r="AD681" i="1"/>
  <c r="AC682" i="1"/>
  <c r="AD682" i="1"/>
  <c r="AC683" i="1"/>
  <c r="AD683" i="1"/>
  <c r="AC684" i="1"/>
  <c r="AD684" i="1"/>
  <c r="AC685" i="1"/>
  <c r="AD685" i="1"/>
  <c r="AC686" i="1"/>
  <c r="AD686" i="1"/>
  <c r="AC687" i="1"/>
  <c r="AD687" i="1"/>
  <c r="AC688" i="1"/>
  <c r="AD688" i="1"/>
  <c r="AC689" i="1"/>
  <c r="AD689" i="1"/>
  <c r="AC690" i="1"/>
  <c r="AD690" i="1"/>
  <c r="AC691" i="1"/>
  <c r="AD691" i="1"/>
  <c r="AC692" i="1"/>
  <c r="AD692" i="1"/>
  <c r="AC693" i="1"/>
  <c r="AD693" i="1"/>
  <c r="AC694" i="1"/>
  <c r="AD694" i="1"/>
  <c r="AC695" i="1"/>
  <c r="AD695" i="1"/>
  <c r="AC696" i="1"/>
  <c r="AD696" i="1"/>
  <c r="AC697" i="1"/>
  <c r="AD697" i="1"/>
  <c r="AC698" i="1"/>
  <c r="AD698" i="1"/>
  <c r="AC699" i="1"/>
  <c r="AD699" i="1"/>
  <c r="AC700" i="1"/>
  <c r="AD700" i="1"/>
  <c r="AC701" i="1"/>
  <c r="AD701" i="1"/>
  <c r="AC702" i="1"/>
  <c r="AD702" i="1"/>
  <c r="AC703" i="1"/>
  <c r="AD703" i="1"/>
  <c r="AC704" i="1"/>
  <c r="AD704" i="1"/>
  <c r="AC705" i="1"/>
  <c r="AD705" i="1"/>
  <c r="AC706" i="1"/>
  <c r="AD706" i="1"/>
  <c r="AC707" i="1"/>
  <c r="AD707" i="1"/>
  <c r="AC708" i="1"/>
  <c r="AD708" i="1"/>
  <c r="AC709" i="1"/>
  <c r="AD709" i="1"/>
  <c r="AC710" i="1"/>
  <c r="AD710" i="1"/>
  <c r="AC711" i="1"/>
  <c r="AD711" i="1"/>
  <c r="AC712" i="1"/>
  <c r="AD712" i="1"/>
  <c r="AC713" i="1"/>
  <c r="AD713" i="1"/>
  <c r="AC714" i="1"/>
  <c r="AD714" i="1"/>
  <c r="AC715" i="1"/>
  <c r="AD715" i="1"/>
  <c r="AC716" i="1"/>
  <c r="AD716" i="1"/>
  <c r="AC717" i="1"/>
  <c r="AD717" i="1"/>
  <c r="AC718" i="1"/>
  <c r="AD718" i="1"/>
  <c r="AC719" i="1"/>
  <c r="AD719" i="1"/>
  <c r="AC720" i="1"/>
  <c r="AD720" i="1"/>
  <c r="AC721" i="1"/>
  <c r="AD721" i="1"/>
  <c r="AC722" i="1"/>
  <c r="AD722" i="1"/>
  <c r="AC723" i="1"/>
  <c r="AD723" i="1"/>
  <c r="AC724" i="1"/>
  <c r="AD724" i="1"/>
  <c r="AC725" i="1"/>
  <c r="AD725" i="1"/>
  <c r="AC726" i="1"/>
  <c r="AD726" i="1"/>
  <c r="AC727" i="1"/>
  <c r="AD727" i="1"/>
  <c r="AC728" i="1"/>
  <c r="AD728" i="1"/>
  <c r="AC729" i="1"/>
  <c r="AD729" i="1"/>
  <c r="AC730" i="1"/>
  <c r="AD730" i="1"/>
  <c r="AC731" i="1"/>
  <c r="AD731" i="1"/>
  <c r="AC732" i="1"/>
  <c r="AD732" i="1"/>
  <c r="AC733" i="1"/>
  <c r="AD733" i="1"/>
  <c r="AC734" i="1"/>
  <c r="AD734" i="1"/>
  <c r="AC735" i="1"/>
  <c r="AD735" i="1"/>
  <c r="AC736" i="1"/>
  <c r="AD736" i="1"/>
  <c r="AC737" i="1"/>
  <c r="AD737" i="1"/>
  <c r="AC738" i="1"/>
  <c r="AD738" i="1"/>
  <c r="AC739" i="1"/>
  <c r="AD739" i="1"/>
  <c r="AC740" i="1"/>
  <c r="AD740" i="1"/>
  <c r="AC741" i="1"/>
  <c r="AD741" i="1"/>
  <c r="AC742" i="1"/>
  <c r="AD742" i="1"/>
  <c r="AC743" i="1"/>
  <c r="AD743" i="1"/>
  <c r="AC744" i="1"/>
  <c r="AD744" i="1"/>
  <c r="AC745" i="1"/>
  <c r="AD745" i="1"/>
  <c r="AC746" i="1"/>
  <c r="AD746" i="1"/>
  <c r="AC747" i="1"/>
  <c r="AD747" i="1"/>
  <c r="AC748" i="1"/>
  <c r="AD748" i="1"/>
  <c r="AC749" i="1"/>
  <c r="AD749" i="1"/>
  <c r="AC750" i="1"/>
  <c r="AD750" i="1"/>
  <c r="AC751" i="1"/>
  <c r="AD751" i="1"/>
  <c r="AC752" i="1"/>
  <c r="AD752" i="1"/>
  <c r="AC753" i="1"/>
  <c r="AD753" i="1"/>
  <c r="AC754" i="1"/>
  <c r="AD754" i="1"/>
  <c r="AC755" i="1"/>
  <c r="AD755" i="1"/>
  <c r="AC756" i="1"/>
  <c r="AD756" i="1"/>
  <c r="AC757" i="1"/>
  <c r="AD757" i="1"/>
  <c r="AC758" i="1"/>
  <c r="AD758" i="1"/>
  <c r="AC759" i="1"/>
  <c r="AD759" i="1"/>
  <c r="AC760" i="1"/>
  <c r="AD760" i="1"/>
  <c r="AC761" i="1"/>
  <c r="AD761" i="1"/>
  <c r="AC762" i="1"/>
  <c r="AD762" i="1"/>
  <c r="AC763" i="1"/>
  <c r="AD763" i="1"/>
  <c r="AC764" i="1"/>
  <c r="AD764" i="1"/>
  <c r="AC765" i="1"/>
  <c r="AD765" i="1"/>
  <c r="AC766" i="1"/>
  <c r="AD766" i="1"/>
  <c r="AC767" i="1"/>
  <c r="AD767" i="1"/>
  <c r="AC768" i="1"/>
  <c r="AD768" i="1"/>
  <c r="AC769" i="1"/>
  <c r="AD769" i="1"/>
  <c r="AC770" i="1"/>
  <c r="AD770" i="1"/>
  <c r="AC771" i="1"/>
  <c r="AD771" i="1"/>
  <c r="AC772" i="1"/>
  <c r="AD772" i="1"/>
  <c r="AC773" i="1"/>
  <c r="AD773" i="1"/>
  <c r="AC774" i="1"/>
  <c r="AD774" i="1"/>
  <c r="AC775" i="1"/>
  <c r="AD775" i="1"/>
  <c r="AC776" i="1"/>
  <c r="AD776" i="1"/>
  <c r="AC777" i="1"/>
  <c r="AD777" i="1"/>
  <c r="AC778" i="1"/>
  <c r="AD778" i="1"/>
  <c r="AC779" i="1"/>
  <c r="AD779" i="1"/>
  <c r="AC780" i="1"/>
  <c r="AD780" i="1"/>
  <c r="AC781" i="1"/>
  <c r="AD781" i="1"/>
  <c r="AC782" i="1"/>
  <c r="AD782" i="1"/>
  <c r="AC783" i="1"/>
  <c r="AD783" i="1"/>
  <c r="AC784" i="1"/>
  <c r="AD784" i="1"/>
  <c r="AC785" i="1"/>
  <c r="AD785" i="1"/>
  <c r="AC786" i="1"/>
  <c r="AD786" i="1"/>
  <c r="AC787" i="1"/>
  <c r="AD787" i="1"/>
  <c r="AC788" i="1"/>
  <c r="AD788" i="1"/>
  <c r="AC789" i="1"/>
  <c r="AD789" i="1"/>
  <c r="AC790" i="1"/>
  <c r="AD790" i="1"/>
  <c r="AC791" i="1"/>
  <c r="AD791" i="1"/>
  <c r="AC792" i="1"/>
  <c r="AD792" i="1"/>
  <c r="AC793" i="1"/>
  <c r="AD793" i="1"/>
  <c r="AC794" i="1"/>
  <c r="AD794" i="1"/>
  <c r="AC795" i="1"/>
  <c r="AD795" i="1"/>
  <c r="AC796" i="1"/>
  <c r="AD796" i="1"/>
  <c r="AC797" i="1"/>
  <c r="AD797" i="1"/>
  <c r="AC798" i="1"/>
  <c r="AD798" i="1"/>
  <c r="AC799" i="1"/>
  <c r="AD799" i="1"/>
  <c r="AC800" i="1"/>
  <c r="AD800" i="1"/>
  <c r="AC801" i="1"/>
  <c r="AD801" i="1"/>
  <c r="AC802" i="1"/>
  <c r="AD802" i="1"/>
  <c r="AC803" i="1"/>
  <c r="AD803" i="1"/>
  <c r="AC804" i="1"/>
  <c r="AD804" i="1"/>
  <c r="AC805" i="1"/>
  <c r="AD805" i="1"/>
  <c r="AC806" i="1"/>
  <c r="AD806" i="1"/>
  <c r="AC807" i="1"/>
  <c r="AD807" i="1"/>
  <c r="AC808" i="1"/>
  <c r="AD808" i="1"/>
  <c r="AC809" i="1"/>
  <c r="AD809" i="1"/>
  <c r="AC810" i="1"/>
  <c r="AD810" i="1"/>
  <c r="AC811" i="1"/>
  <c r="AD811" i="1"/>
  <c r="AC812" i="1"/>
  <c r="AD812" i="1"/>
  <c r="AC813" i="1"/>
  <c r="AD813" i="1"/>
  <c r="AC814" i="1"/>
  <c r="AD814" i="1"/>
  <c r="AC815" i="1"/>
  <c r="AD815" i="1"/>
  <c r="AC816" i="1"/>
  <c r="AD816" i="1"/>
  <c r="AC817" i="1"/>
  <c r="AD817" i="1"/>
  <c r="AC818" i="1"/>
  <c r="AD818" i="1"/>
  <c r="AC819" i="1"/>
  <c r="AD819" i="1"/>
  <c r="AC820" i="1"/>
  <c r="AD820" i="1"/>
  <c r="AC821" i="1"/>
  <c r="AD821" i="1"/>
  <c r="AC822" i="1"/>
  <c r="AD822" i="1"/>
  <c r="AC823" i="1"/>
  <c r="AD823" i="1"/>
  <c r="AC824" i="1"/>
  <c r="AD824" i="1"/>
  <c r="AC825" i="1"/>
  <c r="AD825" i="1"/>
  <c r="AC826" i="1"/>
  <c r="AD826" i="1"/>
  <c r="AC827" i="1"/>
  <c r="AD827" i="1"/>
  <c r="AC828" i="1"/>
  <c r="AD828" i="1"/>
  <c r="AC829" i="1"/>
  <c r="AD829" i="1"/>
  <c r="AC830" i="1"/>
  <c r="AD830" i="1"/>
  <c r="AC831" i="1"/>
  <c r="AD831" i="1"/>
  <c r="AC832" i="1"/>
  <c r="AD832" i="1"/>
  <c r="AC833" i="1"/>
  <c r="AD833" i="1"/>
  <c r="AC834" i="1"/>
  <c r="AD834" i="1"/>
  <c r="AC835" i="1"/>
  <c r="AD835" i="1"/>
  <c r="AC836" i="1"/>
  <c r="AD836" i="1"/>
  <c r="AC837" i="1"/>
  <c r="AD837" i="1"/>
  <c r="AC838" i="1"/>
  <c r="AD838" i="1"/>
  <c r="AC839" i="1"/>
  <c r="AD839" i="1"/>
  <c r="AC840" i="1"/>
  <c r="AD840" i="1"/>
  <c r="AC841" i="1"/>
  <c r="AD841" i="1"/>
  <c r="AC842" i="1"/>
  <c r="AD842" i="1"/>
  <c r="AC843" i="1"/>
  <c r="AD843" i="1"/>
  <c r="AC844" i="1"/>
  <c r="AD844" i="1"/>
  <c r="AC845" i="1"/>
  <c r="AD845" i="1"/>
  <c r="AC846" i="1"/>
  <c r="AD846" i="1"/>
  <c r="AC847" i="1"/>
  <c r="AD847" i="1"/>
  <c r="AC848" i="1"/>
  <c r="AD848" i="1"/>
  <c r="AC849" i="1"/>
  <c r="AD849" i="1"/>
  <c r="AC850" i="1"/>
  <c r="AD850" i="1"/>
  <c r="AC851" i="1"/>
  <c r="AD851" i="1"/>
  <c r="AC852" i="1"/>
  <c r="AD852" i="1"/>
  <c r="AC853" i="1"/>
  <c r="AD853" i="1"/>
  <c r="AC854" i="1"/>
  <c r="AD854" i="1"/>
  <c r="AC855" i="1"/>
  <c r="AD855" i="1"/>
  <c r="AC856" i="1"/>
  <c r="AD856" i="1"/>
  <c r="AC857" i="1"/>
  <c r="AD857" i="1"/>
  <c r="AC858" i="1"/>
  <c r="AD858" i="1"/>
  <c r="AC859" i="1"/>
  <c r="AD859" i="1"/>
  <c r="AC860" i="1"/>
  <c r="AD860" i="1"/>
  <c r="AC861" i="1"/>
  <c r="AD861" i="1"/>
  <c r="AC862" i="1"/>
  <c r="AD862" i="1"/>
  <c r="AC863" i="1"/>
  <c r="AD863" i="1"/>
  <c r="AC864" i="1"/>
  <c r="AD864" i="1"/>
  <c r="AC865" i="1"/>
  <c r="AD865" i="1"/>
  <c r="AC866" i="1"/>
  <c r="AD866" i="1"/>
  <c r="AC867" i="1"/>
  <c r="AD867" i="1"/>
  <c r="AC868" i="1"/>
  <c r="AD868" i="1"/>
  <c r="AC869" i="1"/>
  <c r="AD869" i="1"/>
  <c r="AC870" i="1"/>
  <c r="AD870" i="1"/>
  <c r="AC871" i="1"/>
  <c r="AD871" i="1"/>
  <c r="AC872" i="1"/>
  <c r="AD872" i="1"/>
  <c r="AC873" i="1"/>
  <c r="AD873" i="1"/>
  <c r="AC874" i="1"/>
  <c r="AD874" i="1"/>
  <c r="AC875" i="1"/>
  <c r="AD875" i="1"/>
  <c r="AC876" i="1"/>
  <c r="AD876" i="1"/>
  <c r="AC877" i="1"/>
  <c r="AD877" i="1"/>
  <c r="AC878" i="1"/>
  <c r="AD878" i="1"/>
  <c r="AC879" i="1"/>
  <c r="AD879" i="1"/>
  <c r="AC880" i="1"/>
  <c r="AD880" i="1"/>
  <c r="AC881" i="1"/>
  <c r="AD881" i="1"/>
  <c r="AC882" i="1"/>
  <c r="AD882" i="1"/>
  <c r="AC883" i="1"/>
  <c r="AD883" i="1"/>
  <c r="AC884" i="1"/>
  <c r="AD884" i="1"/>
  <c r="AC885" i="1"/>
  <c r="AD885" i="1"/>
  <c r="AC886" i="1"/>
  <c r="AD886" i="1"/>
  <c r="AC887" i="1"/>
  <c r="AD887" i="1"/>
  <c r="AC888" i="1"/>
  <c r="AD888" i="1"/>
  <c r="AC889" i="1"/>
  <c r="AD889" i="1"/>
  <c r="AC890" i="1"/>
  <c r="AD890" i="1"/>
  <c r="AC891" i="1"/>
  <c r="AD891" i="1"/>
  <c r="AC892" i="1"/>
  <c r="AD892" i="1"/>
  <c r="AC893" i="1"/>
  <c r="AD893" i="1"/>
  <c r="AC894" i="1"/>
  <c r="AD894" i="1"/>
  <c r="AC895" i="1"/>
  <c r="AD895" i="1"/>
  <c r="AC896" i="1"/>
  <c r="AD896" i="1"/>
  <c r="AC897" i="1"/>
  <c r="AD897" i="1"/>
  <c r="AC898" i="1"/>
  <c r="AD898" i="1"/>
  <c r="AC899" i="1"/>
  <c r="AD899" i="1"/>
  <c r="AC900" i="1"/>
  <c r="AD900" i="1"/>
  <c r="AC901" i="1"/>
  <c r="AD901" i="1"/>
  <c r="AC902" i="1"/>
  <c r="AD902" i="1"/>
  <c r="AC903" i="1"/>
  <c r="AD903" i="1"/>
  <c r="AC904" i="1"/>
  <c r="AD904" i="1"/>
  <c r="AC905" i="1"/>
  <c r="AD905" i="1"/>
  <c r="AC906" i="1"/>
  <c r="AD906" i="1"/>
  <c r="AC907" i="1"/>
  <c r="AD907" i="1"/>
  <c r="AC908" i="1"/>
  <c r="AD908" i="1"/>
  <c r="AC909" i="1"/>
  <c r="AD909" i="1"/>
  <c r="AC910" i="1"/>
  <c r="AD910" i="1"/>
  <c r="AC911" i="1"/>
  <c r="AD911" i="1"/>
  <c r="AC912" i="1"/>
  <c r="AD912" i="1"/>
  <c r="AC913" i="1"/>
  <c r="AD913" i="1"/>
  <c r="AC914" i="1"/>
  <c r="AD914" i="1"/>
  <c r="AC915" i="1"/>
  <c r="AD915" i="1"/>
  <c r="AC916" i="1"/>
  <c r="AD916" i="1"/>
  <c r="AC917" i="1"/>
  <c r="AD917" i="1"/>
  <c r="AC918" i="1"/>
  <c r="AD918" i="1"/>
  <c r="AC919" i="1"/>
  <c r="AD919" i="1"/>
  <c r="AC920" i="1"/>
  <c r="AD920" i="1"/>
  <c r="AC921" i="1"/>
  <c r="AD921" i="1"/>
  <c r="AC922" i="1"/>
  <c r="AD922" i="1"/>
  <c r="AC923" i="1"/>
  <c r="AD923" i="1"/>
  <c r="AC924" i="1"/>
  <c r="AD924" i="1"/>
  <c r="AC925" i="1"/>
  <c r="AD925" i="1"/>
  <c r="AC926" i="1"/>
  <c r="AD926" i="1"/>
  <c r="AC927" i="1"/>
  <c r="AD927" i="1"/>
  <c r="AC928" i="1"/>
  <c r="AD928" i="1"/>
  <c r="AC929" i="1"/>
  <c r="AD929" i="1"/>
  <c r="AC930" i="1"/>
  <c r="AD930" i="1"/>
  <c r="AC931" i="1"/>
  <c r="AD931" i="1"/>
  <c r="AC932" i="1"/>
  <c r="AD932" i="1"/>
  <c r="AC933" i="1"/>
  <c r="AD933" i="1"/>
  <c r="AC934" i="1"/>
  <c r="AD934" i="1"/>
  <c r="AC935" i="1"/>
  <c r="AD935" i="1"/>
  <c r="AC936" i="1"/>
  <c r="AD936" i="1"/>
  <c r="AC937" i="1"/>
  <c r="AD937" i="1"/>
  <c r="AC938" i="1"/>
  <c r="AD938" i="1"/>
  <c r="AC939" i="1"/>
  <c r="AD939" i="1"/>
  <c r="AC940" i="1"/>
  <c r="AD940" i="1"/>
  <c r="AC941" i="1"/>
  <c r="AD941" i="1"/>
  <c r="AC942" i="1"/>
  <c r="AD942" i="1"/>
  <c r="AC943" i="1"/>
  <c r="AD943" i="1"/>
  <c r="AC944" i="1"/>
  <c r="AD944" i="1"/>
  <c r="AC945" i="1"/>
  <c r="AD945" i="1"/>
  <c r="AC946" i="1"/>
  <c r="AD946" i="1"/>
  <c r="AC947" i="1"/>
  <c r="AD947" i="1"/>
  <c r="AC948" i="1"/>
  <c r="AD948" i="1"/>
  <c r="AC949" i="1"/>
  <c r="AD949" i="1"/>
  <c r="AC950" i="1"/>
  <c r="AD950" i="1"/>
  <c r="AC951" i="1"/>
  <c r="AD951" i="1"/>
  <c r="AC952" i="1"/>
  <c r="AD952" i="1"/>
  <c r="AC953" i="1"/>
  <c r="AD953" i="1"/>
  <c r="AC954" i="1"/>
  <c r="AD954" i="1"/>
  <c r="AC955" i="1"/>
  <c r="AD955" i="1"/>
  <c r="AC956" i="1"/>
  <c r="AD956" i="1"/>
  <c r="AC957" i="1"/>
  <c r="AD957" i="1"/>
  <c r="AC958" i="1"/>
  <c r="AD958" i="1"/>
  <c r="AC959" i="1"/>
  <c r="AD959" i="1"/>
  <c r="AC960" i="1"/>
  <c r="AD960" i="1"/>
  <c r="AC961" i="1"/>
  <c r="AD961" i="1"/>
  <c r="AC962" i="1"/>
  <c r="AD962" i="1"/>
  <c r="AC963" i="1"/>
  <c r="AD963" i="1"/>
  <c r="AC964" i="1"/>
  <c r="AD964" i="1"/>
  <c r="AC965" i="1"/>
  <c r="AD965" i="1"/>
  <c r="AC966" i="1"/>
  <c r="AD966" i="1"/>
  <c r="AC967" i="1"/>
  <c r="AD967" i="1"/>
  <c r="AC968" i="1"/>
  <c r="AD968" i="1"/>
  <c r="AC969" i="1"/>
  <c r="AD969" i="1"/>
  <c r="AC970" i="1"/>
  <c r="AD970" i="1"/>
  <c r="AC971" i="1"/>
  <c r="AD971" i="1"/>
  <c r="AC972" i="1"/>
  <c r="AD972" i="1"/>
  <c r="AC973" i="1"/>
  <c r="AD973" i="1"/>
  <c r="AC974" i="1"/>
  <c r="AD974" i="1"/>
  <c r="AC975" i="1"/>
  <c r="AD975" i="1"/>
  <c r="AC976" i="1"/>
  <c r="AD976" i="1"/>
  <c r="AC977" i="1"/>
  <c r="AD977" i="1"/>
  <c r="AC978" i="1"/>
  <c r="AD978" i="1"/>
  <c r="AC979" i="1"/>
  <c r="AD979" i="1"/>
  <c r="AC980" i="1"/>
  <c r="AD980" i="1"/>
  <c r="AC981" i="1"/>
  <c r="AD981" i="1"/>
  <c r="AC982" i="1"/>
  <c r="AD982" i="1"/>
  <c r="AC983" i="1"/>
  <c r="AD983" i="1"/>
  <c r="AC984" i="1"/>
  <c r="AD984" i="1"/>
  <c r="AC985" i="1"/>
  <c r="AD985" i="1"/>
  <c r="AC986" i="1"/>
  <c r="AD986" i="1"/>
  <c r="AC987" i="1"/>
  <c r="AD987" i="1"/>
  <c r="AC988" i="1"/>
  <c r="AD988" i="1"/>
  <c r="AC989" i="1"/>
  <c r="AD989" i="1"/>
  <c r="AC990" i="1"/>
  <c r="AD990" i="1"/>
  <c r="AC991" i="1"/>
  <c r="AD991" i="1"/>
  <c r="AC992" i="1"/>
  <c r="AD992" i="1"/>
  <c r="AC993" i="1"/>
  <c r="AD993" i="1"/>
  <c r="AC994" i="1"/>
  <c r="AD994" i="1"/>
  <c r="AC995" i="1"/>
  <c r="AD995" i="1"/>
  <c r="AC996" i="1"/>
  <c r="AD996" i="1"/>
  <c r="AC997" i="1"/>
  <c r="AD997" i="1"/>
  <c r="AC998" i="1"/>
  <c r="AD998" i="1"/>
  <c r="AC999" i="1"/>
  <c r="AD999" i="1"/>
  <c r="AC1000" i="1"/>
  <c r="AD1000" i="1"/>
</calcChain>
</file>

<file path=xl/sharedStrings.xml><?xml version="1.0" encoding="utf-8"?>
<sst xmlns="http://schemas.openxmlformats.org/spreadsheetml/2006/main" count="1170" uniqueCount="560">
  <si>
    <t>BUDGET TYPE</t>
  </si>
  <si>
    <t>Section Code (From)</t>
  </si>
  <si>
    <t>Section Name (From/Who Prepare)</t>
  </si>
  <si>
    <t>Section Code (To)</t>
  </si>
  <si>
    <t>Section Name (To/Who Use The Cost)</t>
  </si>
  <si>
    <t>COA-ID</t>
  </si>
  <si>
    <t>COA NAME</t>
  </si>
  <si>
    <t>DESCRIPTION</t>
  </si>
  <si>
    <t>GROUP SECTION</t>
  </si>
  <si>
    <t>GROUP COST</t>
  </si>
  <si>
    <t>2024_10</t>
  </si>
  <si>
    <t>2024_11</t>
  </si>
  <si>
    <t>2024_12</t>
  </si>
  <si>
    <t>2025_01</t>
  </si>
  <si>
    <t>2025_02</t>
  </si>
  <si>
    <t>2025_03</t>
  </si>
  <si>
    <t>2025_04</t>
  </si>
  <si>
    <t>2025_05</t>
  </si>
  <si>
    <t>2025_06</t>
  </si>
  <si>
    <t>2025_07</t>
  </si>
  <si>
    <t>2025_08</t>
  </si>
  <si>
    <t>2025_09</t>
  </si>
  <si>
    <t>2025_10</t>
  </si>
  <si>
    <t>2025_11</t>
  </si>
  <si>
    <t>2025_12</t>
  </si>
  <si>
    <t>2026_01</t>
  </si>
  <si>
    <t>2026_02</t>
  </si>
  <si>
    <t>2026_03</t>
  </si>
  <si>
    <t>TOTAL FY125</t>
  </si>
  <si>
    <t>TOTAL FY126</t>
  </si>
  <si>
    <t>TOTAL FY127</t>
  </si>
  <si>
    <t>TOTAL FY128</t>
  </si>
  <si>
    <t>Priority Category</t>
  </si>
  <si>
    <t>BUDGET NO.</t>
  </si>
  <si>
    <t>COA AX</t>
  </si>
  <si>
    <t>Name COA AX</t>
  </si>
  <si>
    <t>Group Cost</t>
  </si>
  <si>
    <t>UNIQ</t>
  </si>
  <si>
    <t>COA Budget</t>
  </si>
  <si>
    <t>Description</t>
  </si>
  <si>
    <r>
      <rPr>
        <b/>
        <sz val="10"/>
        <color theme="0"/>
        <rFont val="Tahoma"/>
        <family val="2"/>
      </rPr>
      <t>Name</t>
    </r>
    <phoneticPr fontId="0"/>
  </si>
  <si>
    <t>BNGK</t>
  </si>
  <si>
    <r>
      <rPr>
        <b/>
        <sz val="10"/>
        <color theme="0"/>
        <rFont val="Tahoma"/>
        <family val="2"/>
      </rPr>
      <t>Name</t>
    </r>
    <phoneticPr fontId="0"/>
  </si>
  <si>
    <r>
      <rPr>
        <sz val="10"/>
        <color theme="0"/>
        <rFont val="Tahoma"/>
        <family val="2"/>
      </rPr>
      <t>Code</t>
    </r>
    <phoneticPr fontId="0"/>
  </si>
  <si>
    <r>
      <rPr>
        <sz val="10"/>
        <color theme="0"/>
        <rFont val="Tahoma"/>
        <family val="2"/>
      </rPr>
      <t>Name</t>
    </r>
    <phoneticPr fontId="0"/>
  </si>
  <si>
    <t>Priority Code</t>
  </si>
  <si>
    <t>Priority Name</t>
  </si>
  <si>
    <t>Salary for Commissioner</t>
  </si>
  <si>
    <t>SGA</t>
  </si>
  <si>
    <t>SGA-7511101</t>
  </si>
  <si>
    <t>A502</t>
  </si>
  <si>
    <t>Top Management</t>
  </si>
  <si>
    <t>B1000</t>
  </si>
  <si>
    <t>ADM</t>
  </si>
  <si>
    <t>NGK BUSI INDONESIA</t>
  </si>
  <si>
    <t>A</t>
  </si>
  <si>
    <t>Must</t>
  </si>
  <si>
    <t>If this is not done, the company or our team cannot continue its business.</t>
  </si>
  <si>
    <t>Salary for Director</t>
  </si>
  <si>
    <t>SGA-7511102</t>
  </si>
  <si>
    <t>Salary for Director &amp; Expat</t>
  </si>
  <si>
    <t>Commissioner</t>
  </si>
  <si>
    <t>B1001</t>
  </si>
  <si>
    <t>B</t>
  </si>
  <si>
    <t>Want to</t>
  </si>
  <si>
    <t>We want to do it as a team this term. we need it.</t>
  </si>
  <si>
    <t>Staff Labor - Baslc Salary</t>
  </si>
  <si>
    <t>SGA-7511103</t>
  </si>
  <si>
    <t>A501</t>
  </si>
  <si>
    <t>Basic Salary of permanent employee</t>
  </si>
  <si>
    <t>Admin &amp; HR</t>
  </si>
  <si>
    <t>B2200</t>
  </si>
  <si>
    <t>C</t>
  </si>
  <si>
    <t>Challenge</t>
  </si>
  <si>
    <t>We want to do it for this term or the future. But it doesn't matter if it's not this term.</t>
  </si>
  <si>
    <t>Staff Labor - Allowance</t>
  </si>
  <si>
    <t>SGA-7511111</t>
  </si>
  <si>
    <t>Employee allowance</t>
  </si>
  <si>
    <t>General Affair</t>
  </si>
  <si>
    <t>B2210</t>
  </si>
  <si>
    <t>Staff Labor - Tax allowance (art.21)</t>
  </si>
  <si>
    <t>SGA-7511112</t>
  </si>
  <si>
    <t>Empployee Tax allowance</t>
  </si>
  <si>
    <t>Human Resource</t>
  </si>
  <si>
    <t>B2220</t>
  </si>
  <si>
    <t>BEX</t>
  </si>
  <si>
    <t>Staff Labor - BPJS JK &amp; JKK (1.19%)</t>
  </si>
  <si>
    <t>SGA-7511121</t>
  </si>
  <si>
    <t>BPJS JK &amp; JKK (death warrant, Accident Insurance)</t>
  </si>
  <si>
    <t>Health, Safety &amp; Environment</t>
  </si>
  <si>
    <t>B2230</t>
  </si>
  <si>
    <t>BEL</t>
  </si>
  <si>
    <t>Staff Labor - BPJS Kesehatan (4%)</t>
  </si>
  <si>
    <t>SGA-7511122</t>
  </si>
  <si>
    <t>BPJS health insurance</t>
  </si>
  <si>
    <t>Accounting &amp; Finance</t>
  </si>
  <si>
    <t>B2300</t>
  </si>
  <si>
    <t>Staff Overtime</t>
  </si>
  <si>
    <t>SGA-7511201</t>
  </si>
  <si>
    <t>A503</t>
  </si>
  <si>
    <t>Overtime permanent employee</t>
  </si>
  <si>
    <t>Information Technology</t>
  </si>
  <si>
    <t>B2400</t>
  </si>
  <si>
    <t>Staff Welfare - BPJS Dana pensiun (2%)</t>
  </si>
  <si>
    <t>SGA-7512111</t>
  </si>
  <si>
    <t>A504</t>
  </si>
  <si>
    <t>BPJS pension fund</t>
  </si>
  <si>
    <t>Sales &amp; MKTG Dept.- Automotive</t>
  </si>
  <si>
    <t>B3100</t>
  </si>
  <si>
    <t>Staff Welfare - BPJS JHT (3.7%)</t>
  </si>
  <si>
    <t>SGA-7512112</t>
  </si>
  <si>
    <t>BPJS Pension plan</t>
  </si>
  <si>
    <t>Marketing</t>
  </si>
  <si>
    <t>B3160</t>
  </si>
  <si>
    <t>Staff Bonus / TAT</t>
  </si>
  <si>
    <t>SGA-7514101</t>
  </si>
  <si>
    <t>Year-end allowance &amp; Alpha</t>
  </si>
  <si>
    <t>Sales - OEM</t>
  </si>
  <si>
    <t>B3110</t>
  </si>
  <si>
    <t>Staff Ramadhan / THR</t>
  </si>
  <si>
    <t>SGA-7514102</t>
  </si>
  <si>
    <t>Lebaran bonus</t>
  </si>
  <si>
    <t>Sales - OES</t>
  </si>
  <si>
    <t>B3120</t>
  </si>
  <si>
    <t>Staff Welfare - Outpatient (Medical)</t>
  </si>
  <si>
    <t>SGA-7515401</t>
  </si>
  <si>
    <t>outpatient treatment costs</t>
  </si>
  <si>
    <t>Sales - IAM</t>
  </si>
  <si>
    <t>B3130</t>
  </si>
  <si>
    <t>Staff Welfare - Hospitalization</t>
  </si>
  <si>
    <t>SGA-7515402</t>
  </si>
  <si>
    <t>hospitalization costs</t>
  </si>
  <si>
    <t>Sales &amp; MKTG Dept.- DID Chain</t>
  </si>
  <si>
    <t>B3172</t>
  </si>
  <si>
    <t>Staff Welfare - Glasses</t>
  </si>
  <si>
    <t>SGA-7515403</t>
  </si>
  <si>
    <t>glasses costs</t>
  </si>
  <si>
    <t>SP PD- CF</t>
  </si>
  <si>
    <t>B4101</t>
  </si>
  <si>
    <t>MFG</t>
  </si>
  <si>
    <t>DIR</t>
  </si>
  <si>
    <t>Staff Welfare - Dental</t>
  </si>
  <si>
    <t>SGA-7515404</t>
  </si>
  <si>
    <t>dental costs</t>
  </si>
  <si>
    <t>SP PD- CM</t>
  </si>
  <si>
    <t>B4102</t>
  </si>
  <si>
    <t>Staff Welfare - Medical Check Up</t>
  </si>
  <si>
    <t>SGA-7515405</t>
  </si>
  <si>
    <t>Medical Check Up cost</t>
  </si>
  <si>
    <t>SP PD- WT</t>
  </si>
  <si>
    <t>B4103</t>
  </si>
  <si>
    <t>Staff Welfare - Uniform</t>
  </si>
  <si>
    <t>SGA-7515406</t>
  </si>
  <si>
    <t>uniform costs</t>
  </si>
  <si>
    <t>SP PD- Plating</t>
  </si>
  <si>
    <t>B4105</t>
  </si>
  <si>
    <t>Staff Welfare - Safety Shoes</t>
  </si>
  <si>
    <t>SGA-7515407</t>
  </si>
  <si>
    <t>SP PD- MS Insp.</t>
  </si>
  <si>
    <t>B4109</t>
  </si>
  <si>
    <t>Staff Welfare - Family Gathering / Anniversary</t>
  </si>
  <si>
    <t>SGA-7515408</t>
  </si>
  <si>
    <t>Family Gathering / Anniversary</t>
  </si>
  <si>
    <t>SP PD - Insulator Sealing</t>
  </si>
  <si>
    <t>B4130</t>
  </si>
  <si>
    <t>Staff Welfare - Meals of canteen &amp; other meals</t>
  </si>
  <si>
    <t>SGA-7515409</t>
  </si>
  <si>
    <t>Meals of canteen &amp; other meals cost</t>
  </si>
  <si>
    <t>SP PD- Assy</t>
  </si>
  <si>
    <t>B4110</t>
  </si>
  <si>
    <t>Staff Welfare - Kaizen &amp; QCC reward</t>
  </si>
  <si>
    <t>SGA-7515410</t>
  </si>
  <si>
    <t>an expense, arising from Kaizen and QCC acitivity</t>
  </si>
  <si>
    <t>SP-PD-Assy-Auto Assembly</t>
  </si>
  <si>
    <t>B4115</t>
  </si>
  <si>
    <t>Staff Welfare - Welfare Others</t>
  </si>
  <si>
    <t>SGA-7515499</t>
  </si>
  <si>
    <t>an other welfare expense, arising besides the above welfare expense</t>
  </si>
  <si>
    <t>SP PD- Bending</t>
  </si>
  <si>
    <t>B4114</t>
  </si>
  <si>
    <t>Retirement Allowance</t>
  </si>
  <si>
    <t>SGA-7516102</t>
  </si>
  <si>
    <r>
      <rPr>
        <sz val="10"/>
        <color rgb="FF0033CC"/>
        <rFont val="Tahoma"/>
        <family val="2"/>
      </rPr>
      <t>A505</t>
    </r>
    <phoneticPr fontId="0"/>
  </si>
  <si>
    <t>employee retirement provission costs</t>
  </si>
  <si>
    <t>SP PD- Final Inspection</t>
  </si>
  <si>
    <t>B4120</t>
  </si>
  <si>
    <t>House Rent Allowance</t>
  </si>
  <si>
    <t>SGA-7519101</t>
  </si>
  <si>
    <t>House Rent Allowance for expat</t>
  </si>
  <si>
    <t>SP PD- QC - OEM</t>
  </si>
  <si>
    <t>B4121</t>
  </si>
  <si>
    <t>Casual Staff Labor - Basic Salary</t>
  </si>
  <si>
    <t>SGA-7521101</t>
  </si>
  <si>
    <t>All benefit for temporary worker</t>
  </si>
  <si>
    <t>PC PD- Injection</t>
  </si>
  <si>
    <t>B4410</t>
  </si>
  <si>
    <t>Casual Staff Labor - Overtime</t>
  </si>
  <si>
    <t>SGA-7521102</t>
  </si>
  <si>
    <t>Overtime temporary worker</t>
  </si>
  <si>
    <t>PC PD- Assy</t>
  </si>
  <si>
    <t>B4430</t>
  </si>
  <si>
    <t>Personnel expense transferred</t>
  </si>
  <si>
    <t>SGA-7571101</t>
  </si>
  <si>
    <r>
      <rPr>
        <sz val="10"/>
        <color rgb="FF0033CC"/>
        <rFont val="Tahoma"/>
        <family val="2"/>
      </rPr>
      <t>A506</t>
    </r>
    <phoneticPr fontId="0"/>
  </si>
  <si>
    <t>Transfer Labor cost from one section into another section</t>
  </si>
  <si>
    <t>PC PD- QC</t>
  </si>
  <si>
    <t>B4440</t>
  </si>
  <si>
    <t>Depreciation-Building</t>
  </si>
  <si>
    <t>SGA-7611100</t>
  </si>
  <si>
    <t>A601</t>
  </si>
  <si>
    <t>the amount of depreciation of tangible assets for building</t>
  </si>
  <si>
    <t>Plant Operation (Indirect Mfg)</t>
  </si>
  <si>
    <t>B5000</t>
  </si>
  <si>
    <t>IND</t>
  </si>
  <si>
    <t>Depreciation-Machiney &amp; equipment</t>
  </si>
  <si>
    <t>SGA-7611300</t>
  </si>
  <si>
    <t>the amount of depreciation of tangible assets for machinery &amp; factory equipment</t>
  </si>
  <si>
    <t>Production Office</t>
  </si>
  <si>
    <t>B5100</t>
  </si>
  <si>
    <t>Depreciation-Lease Machinery &amp; equipment</t>
  </si>
  <si>
    <t>SGA-7611400</t>
  </si>
  <si>
    <t>the amount of depreciation of tangible assets for machinery &amp; factory equipment (Leases)</t>
  </si>
  <si>
    <t>Production Office (SP)</t>
  </si>
  <si>
    <t>B5101</t>
  </si>
  <si>
    <t>Depreciation-Vehicles</t>
  </si>
  <si>
    <t>SGA-7611500</t>
  </si>
  <si>
    <t>the amount of depreciation of tangible assets for vehicles</t>
  </si>
  <si>
    <t>Production Office (PC)</t>
  </si>
  <si>
    <t>B5104</t>
  </si>
  <si>
    <t>Depreciation-Tools, furniture &amp; office equipment</t>
  </si>
  <si>
    <t>SGA-7611600</t>
  </si>
  <si>
    <t>the amount of depreciation of tangible assets for office tools, furniture &amp; office equipment</t>
  </si>
  <si>
    <t>Quality Assurance</t>
  </si>
  <si>
    <t>B5800</t>
  </si>
  <si>
    <t>Depreciation-Software</t>
  </si>
  <si>
    <t>SGA-7611700</t>
  </si>
  <si>
    <r>
      <rPr>
        <sz val="10"/>
        <color theme="1"/>
        <rFont val="Tahoma"/>
        <family val="2"/>
      </rPr>
      <t xml:space="preserve">the amount of depreciation of </t>
    </r>
    <r>
      <rPr>
        <b/>
        <sz val="10"/>
        <color theme="1"/>
        <rFont val="Tahoma"/>
        <family val="2"/>
      </rPr>
      <t>intangible assets</t>
    </r>
    <r>
      <rPr>
        <sz val="10"/>
        <color theme="1"/>
        <rFont val="Tahoma"/>
        <family val="2"/>
      </rPr>
      <t xml:space="preserve"> for software, and other intangible assets</t>
    </r>
  </si>
  <si>
    <t>Quality Control</t>
  </si>
  <si>
    <t>B5900</t>
  </si>
  <si>
    <t>Depreciation - Right of use Assets</t>
  </si>
  <si>
    <t>SGA-7611800</t>
  </si>
  <si>
    <t>the amount of depreciation of right of use assets</t>
  </si>
  <si>
    <t>Maintenance</t>
  </si>
  <si>
    <t>B5500</t>
  </si>
  <si>
    <t>Rental car</t>
  </si>
  <si>
    <t>SGA-7621101</t>
  </si>
  <si>
    <t>A801</t>
  </si>
  <si>
    <t>The expenses of car rent</t>
  </si>
  <si>
    <t>Production Engineering</t>
  </si>
  <si>
    <t>B5600</t>
  </si>
  <si>
    <t>Other Rental Fee</t>
  </si>
  <si>
    <t>SGA-7621199</t>
  </si>
  <si>
    <t>A701</t>
  </si>
  <si>
    <t>The expenses of rent beside car rent, such as copy machine, dispenser, etc.</t>
  </si>
  <si>
    <t>Supply Procurement</t>
  </si>
  <si>
    <t>B5130</t>
  </si>
  <si>
    <t>Electricity Charge</t>
  </si>
  <si>
    <t>SGA-7631101</t>
  </si>
  <si>
    <t>A1003</t>
  </si>
  <si>
    <t xml:space="preserve">Electricity consumption </t>
  </si>
  <si>
    <t>Inventory Control</t>
  </si>
  <si>
    <t>B5200</t>
  </si>
  <si>
    <t>Water Supply Charge</t>
  </si>
  <si>
    <t>SGA-7631102</t>
  </si>
  <si>
    <t>A1004</t>
  </si>
  <si>
    <t xml:space="preserve">Water consumption </t>
  </si>
  <si>
    <t>SCM - FG WH</t>
  </si>
  <si>
    <t>B3150</t>
  </si>
  <si>
    <t>Repair Building</t>
  </si>
  <si>
    <t>SGA-7641101</t>
  </si>
  <si>
    <t>A1002</t>
  </si>
  <si>
    <t>expenses for repair and maintenance asset building</t>
  </si>
  <si>
    <t>WH Dept.- KD &amp; RM</t>
  </si>
  <si>
    <t>B5710</t>
  </si>
  <si>
    <t>Repair of Equipment</t>
  </si>
  <si>
    <t>SGA-7641102</t>
  </si>
  <si>
    <t>expenses for repair and maintenance tangible assets, intangible assets and other assets beside building</t>
  </si>
  <si>
    <t>Continuous Improvement</t>
  </si>
  <si>
    <t>B5007</t>
  </si>
  <si>
    <t>Factory Supply Expense</t>
  </si>
  <si>
    <t>SGA-7641103</t>
  </si>
  <si>
    <t>A1099</t>
  </si>
  <si>
    <t xml:space="preserve">All cost that arrising to support factory acitivity </t>
  </si>
  <si>
    <t>All</t>
  </si>
  <si>
    <t>B0000</t>
  </si>
  <si>
    <t>Calibration Cost</t>
  </si>
  <si>
    <t>SGA-7641104</t>
  </si>
  <si>
    <t>Cost of calibration for tools and equipment of factory and others</t>
  </si>
  <si>
    <t>Transportation Fee for employee</t>
  </si>
  <si>
    <t>SGA-7651101</t>
  </si>
  <si>
    <t>Gasoline of company cars &amp; expense for Local transportation</t>
  </si>
  <si>
    <t>Travel Expense-Domestic</t>
  </si>
  <si>
    <t>SGA-7651102</t>
  </si>
  <si>
    <t>expenses for business trip, including allowance for business trip to an employee only for domestic travel</t>
  </si>
  <si>
    <t>Travel Expense-Oversea</t>
  </si>
  <si>
    <t>SGA-7651103</t>
  </si>
  <si>
    <t>expenses for business trip, including allowance for business trip to an employee only for overseas travel</t>
  </si>
  <si>
    <t>Entertainment</t>
  </si>
  <si>
    <t>SGA-7661101</t>
  </si>
  <si>
    <t>A1001</t>
  </si>
  <si>
    <t>the amount of expenses for the act of entertaining the business partner</t>
  </si>
  <si>
    <t>Amortization of Land &amp; Building tax (PBB)</t>
  </si>
  <si>
    <t>SGA-7671102</t>
  </si>
  <si>
    <t>the amount of depreciation of intangible of Land &amp; Building Tax (PBB)</t>
  </si>
  <si>
    <t>License fee</t>
  </si>
  <si>
    <t>SGA-7671103</t>
  </si>
  <si>
    <t>The expense related with the documentation process, such as : KIR, Car lisence, company lisence, etc.</t>
  </si>
  <si>
    <t>Insurance Premium</t>
  </si>
  <si>
    <t>SGA-7681101</t>
  </si>
  <si>
    <t>expenses for risk management with no premium at the end of the term, such as fire insurance for plants and inventories</t>
  </si>
  <si>
    <t>Office supply &amp; Stationary Expense</t>
  </si>
  <si>
    <t>SGA-7691000</t>
  </si>
  <si>
    <t>the amount of supplies for office, such as stationery. Small office equipment included</t>
  </si>
  <si>
    <t>Communication expenses</t>
  </si>
  <si>
    <t>SGA-7711101</t>
  </si>
  <si>
    <t>expenses for communication with a people in remote place, such as expense for telephone and postage</t>
  </si>
  <si>
    <t>IT Expense</t>
  </si>
  <si>
    <t>SGA-7711102</t>
  </si>
  <si>
    <t>A1005</t>
  </si>
  <si>
    <t>the amount of supplies for IT tools</t>
  </si>
  <si>
    <t>Stamp/Post Fee</t>
  </si>
  <si>
    <t>SGA-7711103</t>
  </si>
  <si>
    <t>The expenses related with stamp duty</t>
  </si>
  <si>
    <t>Audit Fee</t>
  </si>
  <si>
    <t>SGA-7721101</t>
  </si>
  <si>
    <t>a fee for external auditor of accounting assessment</t>
  </si>
  <si>
    <t>Consultancy/Professional Fee</t>
  </si>
  <si>
    <t>SGA-7729101</t>
  </si>
  <si>
    <t>A901</t>
  </si>
  <si>
    <t>a fee for professional who not only public qualification holders, such as a CPA or an attorney, but also a person or an organization with technical knowledge such as a consultant or a translator.</t>
  </si>
  <si>
    <t>NGK group service fee</t>
  </si>
  <si>
    <t>SGA-7729103</t>
  </si>
  <si>
    <t>A1007</t>
  </si>
  <si>
    <t>All fees that paid to NGK group</t>
  </si>
  <si>
    <t>Ticket &amp; accomodation of trainer (from NGK Group)</t>
  </si>
  <si>
    <t>SGA-7729105</t>
  </si>
  <si>
    <t>The expenses related with the person who come from NGK Group that will provide training to NGK Busi</t>
  </si>
  <si>
    <t>Miscellaneous Expense</t>
  </si>
  <si>
    <t>SGA-7781101</t>
  </si>
  <si>
    <t>others operational expense</t>
  </si>
  <si>
    <t>Publishing Expense</t>
  </si>
  <si>
    <t>SGA-7781103</t>
  </si>
  <si>
    <t>News paper, magazine, and other publishing cost</t>
  </si>
  <si>
    <t>Cleaning Expense</t>
  </si>
  <si>
    <t>SGA-7781104</t>
  </si>
  <si>
    <t>The expenses related with the tools or other for cleaning activity</t>
  </si>
  <si>
    <t>Security Guard</t>
  </si>
  <si>
    <t>SGA-7781105</t>
  </si>
  <si>
    <t>Fee for security from outsourcing company</t>
  </si>
  <si>
    <t>Service Fee (Canteen Meal &amp; other service for staff)</t>
  </si>
  <si>
    <t>SGA-7781106</t>
  </si>
  <si>
    <t>Expense for canteen</t>
  </si>
  <si>
    <t>Training Expense</t>
  </si>
  <si>
    <t>SGA-7781107</t>
  </si>
  <si>
    <t>A1006</t>
  </si>
  <si>
    <t>Training cost</t>
  </si>
  <si>
    <t>Recruitment Fee</t>
  </si>
  <si>
    <t>SGA-7781111</t>
  </si>
  <si>
    <t>Cost for recruitment process</t>
  </si>
  <si>
    <t>Expatriate expenses exclude labor cost</t>
  </si>
  <si>
    <t>SGA-7781112</t>
  </si>
  <si>
    <t>Incidental costs related to expatriete</t>
  </si>
  <si>
    <t>Expatriate fee Tax (BADORA)</t>
  </si>
  <si>
    <t>SGA-7781113</t>
  </si>
  <si>
    <t>Tax income from expatriete</t>
  </si>
  <si>
    <t>Freights and Export expense</t>
  </si>
  <si>
    <t>SGA-7411101</t>
  </si>
  <si>
    <t>A201</t>
  </si>
  <si>
    <t>an expense, arising from export transaction such as; insurance, pallet, freight cost</t>
  </si>
  <si>
    <t>Transportation for Goods</t>
  </si>
  <si>
    <t>SGA-7411103</t>
  </si>
  <si>
    <t>A202</t>
  </si>
  <si>
    <t>Transportion expense of local goods sales</t>
  </si>
  <si>
    <t>Packing for Sale</t>
  </si>
  <si>
    <t>SGA-7411104</t>
  </si>
  <si>
    <t>A203</t>
  </si>
  <si>
    <t>Packing expense for local good sales</t>
  </si>
  <si>
    <t>Advertising expenses</t>
  </si>
  <si>
    <t>SGA-7431101</t>
  </si>
  <si>
    <t>A401</t>
  </si>
  <si>
    <t>an expense for advertise or publication of goods</t>
  </si>
  <si>
    <t>Sale Promotion-Coupon</t>
  </si>
  <si>
    <t>SGA-7451101</t>
  </si>
  <si>
    <r>
      <rPr>
        <sz val="10"/>
        <color rgb="FF0033CC"/>
        <rFont val="Tahoma"/>
        <family val="2"/>
      </rPr>
      <t>A402</t>
    </r>
    <phoneticPr fontId="0"/>
  </si>
  <si>
    <r>
      <rPr>
        <sz val="10"/>
        <color theme="1"/>
        <rFont val="Tahoma"/>
        <family val="2"/>
      </rPr>
      <t xml:space="preserve">an expense for promotion items in the form of </t>
    </r>
    <r>
      <rPr>
        <b/>
        <sz val="10"/>
        <color theme="1"/>
        <rFont val="Tahoma"/>
        <family val="2"/>
      </rPr>
      <t>coupon</t>
    </r>
    <r>
      <rPr>
        <sz val="10"/>
        <color theme="1"/>
        <rFont val="Tahoma"/>
        <family val="2"/>
      </rPr>
      <t xml:space="preserve"> for goods sales also bonus, incentive and other reward to the customer</t>
    </r>
  </si>
  <si>
    <t>Sale Promotion- Goods</t>
  </si>
  <si>
    <t>SGA-7451102</t>
  </si>
  <si>
    <r>
      <rPr>
        <sz val="10"/>
        <color rgb="FF0033CC"/>
        <rFont val="Tahoma"/>
        <family val="2"/>
      </rPr>
      <t>A404</t>
    </r>
    <phoneticPr fontId="0"/>
  </si>
  <si>
    <r>
      <rPr>
        <sz val="10"/>
        <color theme="1"/>
        <rFont val="Tahoma"/>
        <family val="2"/>
      </rPr>
      <t xml:space="preserve">an expense for promotion items in the form of </t>
    </r>
    <r>
      <rPr>
        <b/>
        <sz val="10"/>
        <color theme="1"/>
        <rFont val="Tahoma"/>
        <family val="2"/>
      </rPr>
      <t>promotion activity</t>
    </r>
    <r>
      <rPr>
        <sz val="10"/>
        <color theme="1"/>
        <rFont val="Tahoma"/>
        <family val="2"/>
      </rPr>
      <t xml:space="preserve"> for goods sales also bonus, incentive and other reward to the customer</t>
    </r>
  </si>
  <si>
    <t>Sale Promotion-Activity</t>
  </si>
  <si>
    <t>SGA-7451103</t>
  </si>
  <si>
    <r>
      <rPr>
        <sz val="10"/>
        <color rgb="FF0033CC"/>
        <rFont val="Tahoma"/>
        <family val="2"/>
      </rPr>
      <t>A403</t>
    </r>
    <phoneticPr fontId="0"/>
  </si>
  <si>
    <r>
      <rPr>
        <sz val="10"/>
        <color theme="1"/>
        <rFont val="Tahoma"/>
        <family val="2"/>
      </rPr>
      <t xml:space="preserve">an expense for promotion items in the form of </t>
    </r>
    <r>
      <rPr>
        <b/>
        <sz val="10"/>
        <color theme="1"/>
        <rFont val="Tahoma"/>
        <family val="2"/>
      </rPr>
      <t>mat-prom</t>
    </r>
    <r>
      <rPr>
        <sz val="10"/>
        <color theme="1"/>
        <rFont val="Tahoma"/>
        <family val="2"/>
      </rPr>
      <t xml:space="preserve"> for goods sales also bonus, incentive and other reward to the customer</t>
    </r>
  </si>
  <si>
    <t>Sample expense</t>
  </si>
  <si>
    <t>SGA-7461101</t>
  </si>
  <si>
    <t>A499</t>
  </si>
  <si>
    <t>Sales - Insurance of Delivery or Shipment</t>
  </si>
  <si>
    <t>SGA-7411105</t>
  </si>
  <si>
    <r>
      <rPr>
        <sz val="10"/>
        <color rgb="FF0033CC"/>
        <rFont val="Tahoma"/>
        <family val="2"/>
      </rPr>
      <t>A299</t>
    </r>
    <phoneticPr fontId="0"/>
  </si>
  <si>
    <t>Sales - Insurance of AR (Credit Insurance)</t>
  </si>
  <si>
    <t>SGA-7471201</t>
  </si>
  <si>
    <r>
      <rPr>
        <sz val="10"/>
        <color rgb="FF0033CC"/>
        <rFont val="Tahoma"/>
        <family val="2"/>
      </rPr>
      <t>A299</t>
    </r>
    <phoneticPr fontId="0"/>
  </si>
  <si>
    <t>Sales - Royalty to NGK Group</t>
  </si>
  <si>
    <t>SGA-7751101</t>
  </si>
  <si>
    <t>Sales - Royalty to Independence Party</t>
  </si>
  <si>
    <t>SGA-7751102</t>
  </si>
  <si>
    <t>Import Duty-purchased FG from NGK group</t>
  </si>
  <si>
    <t>MFG-7111211</t>
  </si>
  <si>
    <t>Import Duty-purchased FG from outside supplier</t>
  </si>
  <si>
    <t>MFG-7111212</t>
  </si>
  <si>
    <t>Import Duty-purchased KD&amp;RM from NGK Japan</t>
  </si>
  <si>
    <t>MFG-7111221</t>
  </si>
  <si>
    <t>Import Duty-purchased KD&amp;RM from NGK Group(Not fromJP)</t>
  </si>
  <si>
    <t>MFG-7111222</t>
  </si>
  <si>
    <t>Import Duty-purchased Comp Parts&amp;RM from outside supplier</t>
  </si>
  <si>
    <t>MFG-7111223</t>
  </si>
  <si>
    <t>Import Expense-purchased FG from NGK group</t>
  </si>
  <si>
    <t>MFG-7111311</t>
  </si>
  <si>
    <t>Import Expense-purchased FG from outside supplier</t>
  </si>
  <si>
    <t>MFG-7111312</t>
  </si>
  <si>
    <t>Import Expense-purchased KD&amp;RM from NGK Japan</t>
  </si>
  <si>
    <t>MFG-7111321</t>
  </si>
  <si>
    <t>Import Expense-purchased KD&amp;RM from NGK Group(Not fromJP)</t>
  </si>
  <si>
    <t>MFG-7111322</t>
  </si>
  <si>
    <t>Import Expense-purchased Comp Parts&amp;RM from outside supplier</t>
  </si>
  <si>
    <t>MFG-7111323</t>
  </si>
  <si>
    <t>Expense-purchased Packaging material from outside supplier</t>
  </si>
  <si>
    <t>MFG-7111411</t>
  </si>
  <si>
    <t>Subcontracting Cost</t>
  </si>
  <si>
    <t>MFG-7151101</t>
  </si>
  <si>
    <t>Indirect material costs</t>
  </si>
  <si>
    <t>MFG-7200000</t>
  </si>
  <si>
    <t>Cost of Factory Supply</t>
  </si>
  <si>
    <t>MFG-7211101</t>
  </si>
  <si>
    <t>Cost of Chemical</t>
  </si>
  <si>
    <t>MFG-7211102</t>
  </si>
  <si>
    <t>The expenses of Chemicals consumption</t>
  </si>
  <si>
    <t>Cost of Packaging</t>
  </si>
  <si>
    <t>MFG-7211103</t>
  </si>
  <si>
    <t>Cost of Oil</t>
  </si>
  <si>
    <t>MFG-7211104</t>
  </si>
  <si>
    <t>Cost of Tooling</t>
  </si>
  <si>
    <t>MFG-7221101</t>
  </si>
  <si>
    <t>The expenses of Tooling consumption</t>
  </si>
  <si>
    <t>Cost of Machinery parts</t>
  </si>
  <si>
    <t>MFG-7221102</t>
  </si>
  <si>
    <t>The expenses of Spare Parts consumption</t>
  </si>
  <si>
    <t>MFG-7511101</t>
  </si>
  <si>
    <t>MFG-7511102</t>
  </si>
  <si>
    <t>MFG-7511103</t>
  </si>
  <si>
    <t>MFG-7511111</t>
  </si>
  <si>
    <t>MFG-7511112</t>
  </si>
  <si>
    <t>MFG-7511121</t>
  </si>
  <si>
    <t>MFG-7511122</t>
  </si>
  <si>
    <t>MFG-7511201</t>
  </si>
  <si>
    <t>MFG-7512111</t>
  </si>
  <si>
    <t>MFG-7512112</t>
  </si>
  <si>
    <t>MFG-7514101</t>
  </si>
  <si>
    <t>MFG-7514102</t>
  </si>
  <si>
    <t>MFG-7515401</t>
  </si>
  <si>
    <t>MFG-7515402</t>
  </si>
  <si>
    <t>MFG-7515403</t>
  </si>
  <si>
    <t>MFG-7515404</t>
  </si>
  <si>
    <t>MFG-7515405</t>
  </si>
  <si>
    <t>MFG-7515406</t>
  </si>
  <si>
    <t>MFG-7515407</t>
  </si>
  <si>
    <t>MFG-7515408</t>
  </si>
  <si>
    <t>MFG-7515409</t>
  </si>
  <si>
    <t>MFG-7515410</t>
  </si>
  <si>
    <t>MFG-7515499</t>
  </si>
  <si>
    <t>MFG-7516102</t>
  </si>
  <si>
    <t>MFG-7519101</t>
  </si>
  <si>
    <t>MFG-7521101</t>
  </si>
  <si>
    <t>MFG-7521102</t>
  </si>
  <si>
    <t>MFG-7571101</t>
  </si>
  <si>
    <t>MFG-7611100</t>
  </si>
  <si>
    <t>MFG-7611300</t>
  </si>
  <si>
    <t>MFG-7611400</t>
  </si>
  <si>
    <t>MFG-7611500</t>
  </si>
  <si>
    <t>MFG-7611600</t>
  </si>
  <si>
    <t>MFG-7611700</t>
  </si>
  <si>
    <r>
      <rPr>
        <sz val="10"/>
        <color theme="1"/>
        <rFont val="Tahoma"/>
        <family val="2"/>
      </rPr>
      <t xml:space="preserve">the amount of depreciation of </t>
    </r>
    <r>
      <rPr>
        <b/>
        <sz val="10"/>
        <color theme="1"/>
        <rFont val="Tahoma"/>
        <family val="2"/>
      </rPr>
      <t>intangible assets</t>
    </r>
    <r>
      <rPr>
        <sz val="10"/>
        <color theme="1"/>
        <rFont val="Tahoma"/>
        <family val="2"/>
      </rPr>
      <t xml:space="preserve"> for software, and other intangible assets</t>
    </r>
  </si>
  <si>
    <t>MFG-7611800</t>
  </si>
  <si>
    <t>MFG-7621101</t>
  </si>
  <si>
    <t>MFG-7621199</t>
  </si>
  <si>
    <t>MFG-7631101</t>
  </si>
  <si>
    <t>MFG-7631102</t>
  </si>
  <si>
    <t>MFG-7641101</t>
  </si>
  <si>
    <t>MFG-7641102</t>
  </si>
  <si>
    <t>MFG-7641103</t>
  </si>
  <si>
    <t>MFG-7641104</t>
  </si>
  <si>
    <t>MFG-7651101</t>
  </si>
  <si>
    <t>MFG-7651102</t>
  </si>
  <si>
    <t>MFG-7651103</t>
  </si>
  <si>
    <t>MFG-7661101</t>
  </si>
  <si>
    <t>MFG-7671102</t>
  </si>
  <si>
    <t>MFG-7671103</t>
  </si>
  <si>
    <t>MFG-7681101</t>
  </si>
  <si>
    <t>MFG-7691000</t>
  </si>
  <si>
    <t>MFG-7711101</t>
  </si>
  <si>
    <t>MFG-7711102</t>
  </si>
  <si>
    <t>MFG-7711103</t>
  </si>
  <si>
    <t>MFG-7721101</t>
  </si>
  <si>
    <t>MFG-7729101</t>
  </si>
  <si>
    <t>MFG-7729103</t>
  </si>
  <si>
    <t>MFG-7729105</t>
  </si>
  <si>
    <t>MFG-7781101</t>
  </si>
  <si>
    <t>MFG-7781103</t>
  </si>
  <si>
    <t>MFG-7781104</t>
  </si>
  <si>
    <t>MFG-7781105</t>
  </si>
  <si>
    <t>MFG-7781106</t>
  </si>
  <si>
    <t>MFG-7781107</t>
  </si>
  <si>
    <t>MFG-7781111</t>
  </si>
  <si>
    <t>MFG-7781112</t>
  </si>
  <si>
    <t>MFG-7781113</t>
  </si>
  <si>
    <t>Others - Miscellaneous Waste</t>
  </si>
  <si>
    <t>OTH</t>
  </si>
  <si>
    <t>OTH-8291101</t>
  </si>
  <si>
    <t>Others - Miscellaneous Tax</t>
  </si>
  <si>
    <t>OTH-8291102</t>
  </si>
  <si>
    <t>Others - Sport Activity</t>
  </si>
  <si>
    <t>OTH-8291201</t>
  </si>
  <si>
    <t>Others - Retribution / Garbage Cost</t>
  </si>
  <si>
    <t>OTH-8291202</t>
  </si>
  <si>
    <t>Others - Miscellaneous Non Operational Expense</t>
  </si>
  <si>
    <t>OTH-8291203</t>
  </si>
  <si>
    <t>Other Income</t>
  </si>
  <si>
    <t>OTH-8191101</t>
  </si>
  <si>
    <t>Interest Income</t>
  </si>
  <si>
    <t>OTH-8311101</t>
  </si>
  <si>
    <t>Interest expenses - Lease</t>
  </si>
  <si>
    <t>OTH-8413101</t>
  </si>
  <si>
    <t>This is used for version checking on portal, do not delete!.</t>
  </si>
  <si>
    <t>Password protect sheet = budget</t>
  </si>
  <si>
    <t>Potential maternity, sick ,etc</t>
  </si>
  <si>
    <t>For operator use glass and for potential operator (old )</t>
  </si>
  <si>
    <t>dentist claim for all operator</t>
  </si>
  <si>
    <t>Chemical for moldiing ( cleaner, release agent, lubricant,etc</t>
  </si>
  <si>
    <t>Tools For mold maintenance ( Copper bar, Hammer, diamond paste, felt bob )</t>
  </si>
  <si>
    <t>Supporting Equipment (  wall fan ,etc )</t>
  </si>
  <si>
    <t>Equipment for Mold set up</t>
  </si>
  <si>
    <t>Hand Tools for operational molding</t>
  </si>
  <si>
    <t>Paper, stationary</t>
  </si>
  <si>
    <t>Renewal PC set</t>
  </si>
  <si>
    <t>Cleaning Tools, vacuum cleaner,Tape, paint,</t>
  </si>
  <si>
    <t>Terminal body from kyoeidenki</t>
  </si>
  <si>
    <t>Potential operator to be sick , maternity,etc</t>
  </si>
  <si>
    <t>operator use glasses + other potential</t>
  </si>
  <si>
    <t>potential operator to dentist</t>
  </si>
  <si>
    <t>every TR  ( lubricant for install rubber )</t>
  </si>
  <si>
    <t>plastic wrapping</t>
  </si>
  <si>
    <t>supporting equipment ( vacuum cleaner, wall fan,etc )</t>
  </si>
  <si>
    <t>Paper , pen, board marker, etc</t>
  </si>
  <si>
    <t>service PC,  upgrading, change equipment</t>
  </si>
  <si>
    <t>cleaning tools ,  vacuum cleaner ,tape,paint,chair</t>
  </si>
  <si>
    <t>Upgrading Rest Area ( Dispencer, Carpet,fan,etc)</t>
  </si>
  <si>
    <t>packaging material base on BOM</t>
  </si>
  <si>
    <t>supporting equipment ( wall fan, chair)</t>
  </si>
  <si>
    <t>cleaning tools  , vacuum, tape , pilox, paint</t>
  </si>
  <si>
    <t>Sealer Machine , wall 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</si>
</sst>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sz val="8"/>
      <name val="Calibri"/>
      <family val="2"/>
      <scheme val="minor"/>
    </font>
    <font>
      <b/>
      <sz val="10"/>
      <color rgb="FF0000FF"/>
      <name val="Calibri"/>
      <family val="2"/>
      <scheme val="minor"/>
    </font>
    <font>
      <sz val="10"/>
      <color rgb="FF0000FF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b/>
      <sz val="12"/>
      <color theme="0"/>
      <name val="Tahoma"/>
      <family val="2"/>
    </font>
    <font>
      <b/>
      <sz val="12"/>
      <color rgb="FF0033CC"/>
      <name val="Tahoma"/>
      <family val="2"/>
    </font>
    <font>
      <sz val="12"/>
      <color theme="1"/>
      <name val="Tahoma"/>
      <family val="2"/>
    </font>
    <font>
      <b/>
      <sz val="10"/>
      <color theme="0"/>
      <name val="Tahoma"/>
      <family val="2"/>
    </font>
    <font>
      <sz val="10"/>
      <color theme="0"/>
      <name val="Tahoma"/>
      <family val="2"/>
    </font>
    <font>
      <sz val="10"/>
      <color theme="1"/>
      <name val="Tahoma"/>
      <family val="2"/>
    </font>
    <font>
      <sz val="10"/>
      <color rgb="FF0033CC"/>
      <name val="Tahoma"/>
      <family val="2"/>
    </font>
    <font>
      <sz val="9"/>
      <color theme="1"/>
      <name val="Calibri"/>
      <family val="2"/>
      <scheme val="minor"/>
    </font>
    <font>
      <sz val="10"/>
      <name val="Tahoma"/>
      <family val="2"/>
    </font>
    <font>
      <b/>
      <sz val="10"/>
      <color rgb="FF0000FF"/>
      <name val="Tahoma"/>
      <family val="2"/>
    </font>
    <font>
      <b/>
      <sz val="10"/>
      <color theme="1"/>
      <name val="Tahoma"/>
      <family val="2"/>
    </font>
    <font>
      <sz val="10"/>
      <color rgb="FFC00000"/>
      <name val="Tahoma"/>
      <family val="2"/>
    </font>
    <font>
      <sz val="11"/>
      <color rgb="FF000000"/>
      <name val="Calibri"/>
      <family val="2"/>
      <scheme val="minor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indexed="1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2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>
      <alignment vertical="top"/>
    </xf>
    <xf numFmtId="0" fontId="10" fillId="0" borderId="0">
      <alignment vertical="center"/>
    </xf>
    <xf numFmtId="0" fontId="18" fillId="10" borderId="0"/>
    <xf numFmtId="164" fontId="1" fillId="0" borderId="0" applyFont="0" applyFill="0" applyBorder="0" applyAlignment="0" applyProtection="0"/>
    <xf numFmtId="0" fontId="23" fillId="0" borderId="0"/>
    <xf numFmtId="164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24" fillId="0" borderId="0"/>
  </cellStyleXfs>
  <cellXfs count="53">
    <xf numFmtId="0" fontId="0" fillId="0" borderId="0" xfId="0"/>
    <xf numFmtId="0" fontId="3" fillId="0" borderId="0" xfId="1" applyFont="1" applyAlignment="1">
      <alignment horizontal="center" vertical="center" wrapText="1"/>
    </xf>
    <xf numFmtId="0" fontId="5" fillId="0" borderId="0" xfId="2" applyFont="1" applyAlignment="1">
      <alignment vertical="center"/>
    </xf>
    <xf numFmtId="0" fontId="5" fillId="0" borderId="0" xfId="2" applyFont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 wrapText="1"/>
    </xf>
    <xf numFmtId="0" fontId="13" fillId="0" borderId="0" xfId="7" applyFont="1" applyAlignment="1">
      <alignment vertical="center" wrapText="1"/>
    </xf>
    <xf numFmtId="0" fontId="16" fillId="0" borderId="0" xfId="7" applyFont="1">
      <alignment vertical="center"/>
    </xf>
    <xf numFmtId="0" fontId="16" fillId="0" borderId="0" xfId="7" applyFont="1" applyAlignment="1">
      <alignment horizontal="center" vertical="center"/>
    </xf>
    <xf numFmtId="0" fontId="17" fillId="0" borderId="0" xfId="7" applyFont="1" applyAlignment="1">
      <alignment horizontal="center" vertical="center"/>
    </xf>
    <xf numFmtId="0" fontId="17" fillId="0" borderId="0" xfId="7" applyFont="1">
      <alignment vertical="center"/>
    </xf>
    <xf numFmtId="0" fontId="19" fillId="0" borderId="1" xfId="8" applyFont="1" applyFill="1" applyBorder="1" applyAlignment="1">
      <alignment vertical="center"/>
    </xf>
    <xf numFmtId="0" fontId="19" fillId="0" borderId="1" xfId="8" applyFont="1" applyFill="1" applyBorder="1" applyAlignment="1">
      <alignment horizontal="center" vertical="center"/>
    </xf>
    <xf numFmtId="0" fontId="20" fillId="0" borderId="1" xfId="7" applyFont="1" applyBorder="1">
      <alignment vertical="center"/>
    </xf>
    <xf numFmtId="0" fontId="16" fillId="0" borderId="1" xfId="7" applyFont="1" applyBorder="1">
      <alignment vertical="center"/>
    </xf>
    <xf numFmtId="0" fontId="19" fillId="0" borderId="1" xfId="0" applyFont="1" applyBorder="1" applyAlignment="1">
      <alignment horizontal="center" vertical="top"/>
    </xf>
    <xf numFmtId="0" fontId="19" fillId="0" borderId="1" xfId="0" applyFont="1" applyBorder="1" applyAlignment="1">
      <alignment horizontal="left" vertical="top"/>
    </xf>
    <xf numFmtId="0" fontId="19" fillId="0" borderId="1" xfId="0" applyFont="1" applyBorder="1" applyAlignment="1">
      <alignment horizontal="left" vertical="top" wrapText="1"/>
    </xf>
    <xf numFmtId="0" fontId="21" fillId="0" borderId="0" xfId="0" applyFont="1" applyAlignment="1">
      <alignment horizontal="center" vertical="top"/>
    </xf>
    <xf numFmtId="0" fontId="21" fillId="0" borderId="0" xfId="0" applyFont="1" applyAlignment="1">
      <alignment horizontal="left" vertical="top"/>
    </xf>
    <xf numFmtId="0" fontId="16" fillId="0" borderId="0" xfId="0" applyFont="1" applyAlignment="1">
      <alignment horizontal="left" vertical="top" wrapText="1"/>
    </xf>
    <xf numFmtId="0" fontId="22" fillId="0" borderId="0" xfId="7" applyFont="1" applyAlignment="1">
      <alignment horizontal="center" vertical="center"/>
    </xf>
    <xf numFmtId="0" fontId="5" fillId="0" borderId="0" xfId="2" applyFont="1" applyAlignment="1">
      <alignment horizontal="right" vertical="center"/>
    </xf>
    <xf numFmtId="0" fontId="4" fillId="0" borderId="0" xfId="1" applyFont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vertical="center"/>
    </xf>
    <xf numFmtId="0" fontId="3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4" fillId="5" borderId="0" xfId="0" applyNumberFormat="1" applyFont="1" applyFill="1" applyAlignment="1">
      <alignment horizontal="center" vertical="center" wrapText="1"/>
    </xf>
    <xf numFmtId="0" fontId="3" fillId="6" borderId="0" xfId="0" applyFont="1" applyFill="1" applyAlignment="1">
      <alignment horizontal="right" vertical="center" wrapText="1"/>
    </xf>
    <xf numFmtId="0" fontId="16" fillId="9" borderId="0" xfId="0" applyFont="1" applyFill="1" applyAlignment="1">
      <alignment vertical="center"/>
    </xf>
    <xf numFmtId="0" fontId="11" fillId="5" borderId="0" xfId="0" applyFont="1" applyFill="1" applyAlignment="1">
      <alignment horizontal="center" vertical="center" wrapText="1"/>
    </xf>
    <xf numFmtId="0" fontId="12" fillId="8" borderId="0" xfId="0" applyFont="1" applyFill="1" applyAlignment="1">
      <alignment horizontal="center" vertical="center" wrapText="1"/>
    </xf>
    <xf numFmtId="0" fontId="13" fillId="9" borderId="0" xfId="0" applyFont="1" applyFill="1" applyAlignment="1">
      <alignment vertical="center" wrapText="1"/>
    </xf>
    <xf numFmtId="0" fontId="14" fillId="5" borderId="0" xfId="0" applyFont="1" applyFill="1" applyAlignment="1">
      <alignment vertical="center"/>
    </xf>
    <xf numFmtId="0" fontId="14" fillId="9" borderId="1" xfId="0" applyFont="1" applyFill="1" applyBorder="1" applyAlignment="1">
      <alignment horizontal="center" vertical="center"/>
    </xf>
    <xf numFmtId="0" fontId="0" fillId="9" borderId="0" xfId="0" applyFill="1"/>
    <xf numFmtId="0" fontId="20" fillId="6" borderId="1" xfId="0" applyFont="1" applyFill="1" applyBorder="1" applyAlignment="1">
      <alignment vertical="center"/>
    </xf>
    <xf numFmtId="0" fontId="20" fillId="6" borderId="1" xfId="0" applyFont="1" applyFill="1" applyBorder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22" fillId="7" borderId="0" xfId="0" applyFont="1" applyFill="1" applyAlignment="1">
      <alignment horizontal="center" vertical="center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5" fillId="0" borderId="0" xfId="2" applyFont="1" applyAlignment="1" applyProtection="1">
      <alignment vertical="center"/>
      <protection locked="0"/>
    </xf>
    <xf numFmtId="165" fontId="3" fillId="3" borderId="0" xfId="0" applyNumberFormat="1" applyFont="1" applyFill="1" applyAlignment="1" applyProtection="1">
      <alignment horizontal="center" vertical="center" wrapText="1"/>
      <protection locked="0"/>
    </xf>
    <xf numFmtId="165" fontId="3" fillId="4" borderId="0" xfId="0" applyNumberFormat="1" applyFont="1" applyFill="1" applyAlignment="1" applyProtection="1">
      <alignment horizontal="center" vertical="center" wrapText="1"/>
      <protection locked="0"/>
    </xf>
    <xf numFmtId="165" fontId="5" fillId="0" borderId="0" xfId="0" applyNumberFormat="1" applyFont="1" applyAlignment="1" applyProtection="1">
      <alignment vertical="center"/>
      <protection locked="0"/>
    </xf>
    <xf numFmtId="165" fontId="4" fillId="5" borderId="0" xfId="0" applyNumberFormat="1" applyFont="1" applyFill="1" applyAlignment="1" applyProtection="1">
      <alignment horizontal="center" vertical="center" wrapText="1"/>
      <protection locked="0"/>
    </xf>
    <xf numFmtId="0" fontId="3" fillId="6" borderId="0" xfId="0" applyFont="1" applyFill="1" applyAlignment="1" applyProtection="1">
      <alignment horizontal="center" vertical="center" wrapText="1"/>
      <protection locked="0"/>
    </xf>
    <xf numFmtId="0" fontId="5" fillId="0" borderId="0" xfId="2" applyFont="1" applyAlignment="1" applyProtection="1">
      <alignment horizontal="center" vertical="center"/>
      <protection locked="0"/>
    </xf>
    <xf numFmtId="0" fontId="19" fillId="8" borderId="1" xfId="0" applyFont="1" applyFill="1" applyBorder="1" applyAlignment="1">
      <alignment horizontal="center" vertical="top"/>
    </xf>
    <xf numFmtId="0" fontId="15" fillId="5" borderId="1" xfId="0" applyFont="1" applyFill="1" applyBorder="1" applyAlignment="1">
      <alignment horizontal="center" vertical="center"/>
    </xf>
  </cellXfs>
  <cellStyles count="15">
    <cellStyle name="Comma 2" xfId="13" xr:uid="{E10D9FDB-20DE-48B4-8EC0-7BC04BCD7841}"/>
    <cellStyle name="Comma 2 2" xfId="11" xr:uid="{64725D1B-13C6-4AB0-9665-94C443150534}"/>
    <cellStyle name="Comma 3 2" xfId="3" xr:uid="{3560898D-4EE0-46D7-AA5F-D1E76649A006}"/>
    <cellStyle name="Comma 3 2 2" xfId="9" xr:uid="{DE1BA802-0771-4788-A6F4-9D30182DE490}"/>
    <cellStyle name="Comma 3 2 2 2" xfId="12" xr:uid="{3B59815C-0AF9-41A1-89EF-8D8B7F852D3C}"/>
    <cellStyle name="Normal" xfId="0" builtinId="0"/>
    <cellStyle name="Normal 11" xfId="6" xr:uid="{A9335861-4218-43F3-8E90-052A954401F7}"/>
    <cellStyle name="Normal 2" xfId="10" xr:uid="{4AE43548-A181-4128-AC71-89C704B9537B}"/>
    <cellStyle name="Normal 2 2" xfId="7" xr:uid="{209D6541-1D5D-41FF-9914-84311ABD526A}"/>
    <cellStyle name="Normal 2 2 2" xfId="14" xr:uid="{7EBF89D6-0537-4D1B-8D8F-F8073378D933}"/>
    <cellStyle name="Normal 20" xfId="1" xr:uid="{6B30181A-BEA1-49EA-A1CB-1DD8AA01EFBC}"/>
    <cellStyle name="Normal 3 3" xfId="2" xr:uid="{4944E16E-F5AE-46FA-96DA-4C1624514817}"/>
    <cellStyle name="Normal 3 3 2 2 4" xfId="4" xr:uid="{0283F1D2-E2AF-46B2-8BD0-66F066BBC833}"/>
    <cellStyle name="Percent 2" xfId="5" xr:uid="{9F9E1FFC-3908-42F0-BE49-02B86C648D42}"/>
    <cellStyle name="標準 2 2" xfId="8" xr:uid="{AC0D5CAA-1594-412F-B86B-57C06222F44F}"/>
  </cellStyles>
  <dxfs count="4">
    <dxf>
      <fill>
        <patternFill patternType="solid">
          <fgColor auto="1"/>
          <bgColor theme="2" tint="-9.9948118533890809E-2"/>
        </patternFill>
      </fill>
    </dxf>
    <dxf>
      <fill>
        <patternFill patternType="solid">
          <fgColor auto="1"/>
          <bgColor rgb="FFFFFF00"/>
        </patternFill>
      </fill>
    </dxf>
    <dxf>
      <fill>
        <patternFill patternType="solid">
          <fgColor auto="1"/>
          <bgColor theme="2" tint="-9.9948118533890809E-2"/>
        </patternFill>
      </fill>
    </dxf>
    <dxf>
      <fill>
        <patternFill patternType="solid">
          <fgColor auto="1"/>
          <bgColor rgb="FFFFFF00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10" Type="http://schemas.openxmlformats.org/officeDocument/2006/relationships/externalLink" Target="externalLinks/externalLink5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ction1\center\&#12467;&#12540;&#12489;&#34920;PDM&#12487;&#12540;&#12479;\&#20027;&#20307;&#37329;&#20855;\SHELL%20%20%20(&#12467;&#12540;&#12489;&#65297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12467;&#12540;&#12489;&#34920;PDM&#12487;&#12540;&#12479;\&#20027;&#20307;&#37329;&#20855;\SHELL%20%20%20(&#12467;&#12540;&#12489;&#65297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&#20491;&#20154;&#12487;&#65293;&#12479;\&#37325;&#26494;\&#12498;&#12473;&#12488;&#12464;&#12521;&#12512;\&#65419;&#65405;&#65412;&#65400;&#65438;&#65431;&#65425;(LZKAR7A)&#65298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PT.%20NGK\My%20Documents\my%20documents\102&#65374;104&#26399;&#20986;&#33655;&#20104;&#23450;&#34920;&#21508;&#37096;&#37197;&#24067;&#29992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pson-mt7500-01\&#20107;&#26989;&#25613;&#30410;&#35211;&#31309;db\PE&#12503;&#12525;&#12487;&#12517;&#12540;&#12473;\183&#26399;\&#38283;&#30330;&#36027;&#29992;Original\CA&#38283;&#30330;&#36027;&#29992;&#35211;&#31309;DB\CA&#35373;&#20633;&#25237;&#36039;&#35336;&#30011;&#26360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k.384/AppData/Local/Temp/WINNT/Profiles/ichikawa/Personal/&#29983;&#29987;&#29366;&#27841;&#22577;&#21578;&#12539;&#65296;&#65301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Users\kk.384\AppData\Local\Temp\WINNT\Profiles\ichikawa\Personal\&#29983;&#29987;&#29366;&#27841;&#22577;&#21578;&#12539;&#65296;&#65301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k.384/AppData/Local/Temp/DOCUME~1/osumi/LOCALS~1/Temp/notesFFF692/&#36914;&#25431;CHECK&#12471;&#12540;&#12488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Users\kk.384\AppData\Local\Temp\DOCUME~1\osumi\LOCALS~1\Temp\notesFFF692\&#36914;&#25431;CHECK&#12471;&#12540;&#12488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chikawa\ichikawa_Data\Documents%20and%20Settings\ichikawa\&#12487;&#12473;&#12463;&#12488;&#12483;&#12503;\&#29983;&#29987;&#29366;&#27841;&#22577;&#21578;\2001\&#25903;&#25588;&#35336;&#30011;&#12539;&#65298;&#65296;&#65296;&#65296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MMA-PDC\js\WINDOWS\&#65411;&#65438;&#65405;&#65400;&#65412;&#65391;&#65420;&#65439;\&#65332;&#65337;setubi\kb410.210.16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i-filesrv05\home\DOCUME~1\takane\LOCALS~1\Temp\c.lotus.notes.data\&#38283;&#30330;&#35336;&#30011;&#21697;&#30058;&#12522;&#12473;&#12488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mma-pdc\js\MY%20DOCUMENTS\&#20013;&#26399;&#35336;&#30011;\&#65305;&#65304;&#12539;&#20013;&#35336;\&#20013;&#26399;&#35336;&#30011;&#65305;&#65304;&#35211;&#30452;&#1237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金具工程見出し"/>
      <sheetName val="主体金具コード表"/>
      <sheetName val="Sheet1"/>
      <sheetName val="Welfare"/>
      <sheetName val="Acc Code &amp; Sec"/>
      <sheetName val="Tran-Emp"/>
      <sheetName val="COA2"/>
      <sheetName val="Definition"/>
      <sheetName val="SEC"/>
      <sheetName val="Unit"/>
      <sheetName val="SNGK Section code"/>
      <sheetName val="COA"/>
      <sheetName val="Mapping"/>
      <sheetName val="Asset Group"/>
      <sheetName val="Direct Allocation"/>
      <sheetName val="supplier"/>
      <sheetName val="DEPT&amp;SEC"/>
      <sheetName val="Master Data"/>
      <sheetName val="マスタ"/>
      <sheetName val="マスタ２"/>
      <sheetName val="Master"/>
      <sheetName val="Master_Section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金具工程見出し"/>
      <sheetName val="主体金具コード表"/>
      <sheetName val="CODE-NAME"/>
      <sheetName val="ocean voyage"/>
      <sheetName val="2002"/>
      <sheetName val="直製(集計)"/>
      <sheetName val="出力②"/>
      <sheetName val="グラフ用"/>
      <sheetName val="3300-00"/>
      <sheetName val="PKWT"/>
      <sheetName val="Master"/>
      <sheetName val="monthly_report (11)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使い方"/>
      <sheetName val="入力①"/>
      <sheetName val="出力①"/>
      <sheetName val="マクロ①"/>
      <sheetName val="入力②"/>
      <sheetName val="出力②"/>
      <sheetName val="マクロ②"/>
      <sheetName val="グラフ用"/>
      <sheetName val="3100-00"/>
      <sheetName val="支援計画・０４"/>
    </sheetNames>
    <sheetDataSet>
      <sheetData sheetId="0" refreshError="1"/>
      <sheetData sheetId="1"/>
      <sheetData sheetId="2" refreshError="1"/>
      <sheetData sheetId="3" refreshError="1"/>
      <sheetData sheetId="4"/>
      <sheetData sheetId="5">
        <row r="7">
          <cell r="G7" t="str">
            <v>区間</v>
          </cell>
          <cell r="H7" t="str">
            <v>中央値</v>
          </cell>
          <cell r="I7" t="str">
            <v>度数</v>
          </cell>
        </row>
        <row r="8">
          <cell r="G8" t="str">
            <v>～16.35</v>
          </cell>
          <cell r="H8">
            <v>0</v>
          </cell>
          <cell r="I8">
            <v>0</v>
          </cell>
        </row>
        <row r="9">
          <cell r="G9" t="str">
            <v>16.35～16.365</v>
          </cell>
          <cell r="H9">
            <v>16.357500000000002</v>
          </cell>
          <cell r="I9">
            <v>6</v>
          </cell>
        </row>
        <row r="10">
          <cell r="G10" t="str">
            <v>16.365～16.38</v>
          </cell>
          <cell r="H10">
            <v>16.372500000000002</v>
          </cell>
          <cell r="I10">
            <v>10</v>
          </cell>
        </row>
        <row r="11">
          <cell r="G11" t="str">
            <v>16.38～16.395</v>
          </cell>
          <cell r="H11">
            <v>16.387500000000003</v>
          </cell>
          <cell r="I11">
            <v>13</v>
          </cell>
        </row>
        <row r="12">
          <cell r="G12" t="str">
            <v>16.395～16.41</v>
          </cell>
          <cell r="H12">
            <v>16.402500000000003</v>
          </cell>
          <cell r="I12">
            <v>1</v>
          </cell>
        </row>
        <row r="13">
          <cell r="G13" t="str">
            <v>16.41～16.425</v>
          </cell>
          <cell r="H13">
            <v>16.417500000000004</v>
          </cell>
          <cell r="I13">
            <v>0</v>
          </cell>
        </row>
        <row r="14">
          <cell r="G14" t="str">
            <v>16.425～16.44</v>
          </cell>
          <cell r="H14">
            <v>16.432500000000005</v>
          </cell>
          <cell r="I14">
            <v>0</v>
          </cell>
        </row>
        <row r="15">
          <cell r="G15" t="str">
            <v>16.44～16.455</v>
          </cell>
          <cell r="H15">
            <v>16.447500000000005</v>
          </cell>
          <cell r="I15">
            <v>0</v>
          </cell>
        </row>
        <row r="16">
          <cell r="G16" t="str">
            <v>16.455～16.47</v>
          </cell>
          <cell r="H16">
            <v>16.462500000000006</v>
          </cell>
          <cell r="I16">
            <v>0</v>
          </cell>
        </row>
        <row r="17">
          <cell r="G17" t="str">
            <v>16.47～</v>
          </cell>
          <cell r="H17">
            <v>0</v>
          </cell>
          <cell r="I17">
            <v>0</v>
          </cell>
        </row>
        <row r="18">
          <cell r="G18">
            <v>0</v>
          </cell>
          <cell r="H18">
            <v>0</v>
          </cell>
          <cell r="I18">
            <v>0</v>
          </cell>
        </row>
        <row r="19">
          <cell r="G19">
            <v>0</v>
          </cell>
          <cell r="H19">
            <v>0</v>
          </cell>
          <cell r="I19">
            <v>0</v>
          </cell>
        </row>
      </sheetData>
      <sheetData sheetId="6" refreshError="1"/>
      <sheetData sheetId="7">
        <row r="3">
          <cell r="E3">
            <v>15.852</v>
          </cell>
          <cell r="F3">
            <v>0</v>
          </cell>
        </row>
        <row r="4">
          <cell r="E4">
            <v>15.852</v>
          </cell>
          <cell r="F4">
            <v>0</v>
          </cell>
          <cell r="I4" t="str">
            <v>～16.35</v>
          </cell>
          <cell r="J4">
            <v>0</v>
          </cell>
        </row>
        <row r="5">
          <cell r="E5">
            <v>15.852</v>
          </cell>
          <cell r="F5">
            <v>0</v>
          </cell>
          <cell r="H5">
            <v>16.365000000000002</v>
          </cell>
          <cell r="I5">
            <v>16.357500000000002</v>
          </cell>
          <cell r="J5">
            <v>6</v>
          </cell>
        </row>
        <row r="6">
          <cell r="E6">
            <v>15.852</v>
          </cell>
          <cell r="F6">
            <v>0</v>
          </cell>
          <cell r="H6">
            <v>16.380000000000003</v>
          </cell>
          <cell r="I6">
            <v>16.372500000000002</v>
          </cell>
          <cell r="J6">
            <v>10</v>
          </cell>
        </row>
        <row r="7">
          <cell r="E7">
            <v>15.852</v>
          </cell>
          <cell r="F7">
            <v>0</v>
          </cell>
          <cell r="H7">
            <v>16.395000000000003</v>
          </cell>
          <cell r="I7">
            <v>16.387500000000003</v>
          </cell>
          <cell r="J7">
            <v>13</v>
          </cell>
        </row>
        <row r="8">
          <cell r="E8">
            <v>15.852</v>
          </cell>
          <cell r="F8">
            <v>0</v>
          </cell>
          <cell r="H8">
            <v>16.410000000000004</v>
          </cell>
          <cell r="I8">
            <v>16.402500000000003</v>
          </cell>
          <cell r="J8">
            <v>1</v>
          </cell>
        </row>
        <row r="9">
          <cell r="E9">
            <v>15.852</v>
          </cell>
          <cell r="F9">
            <v>0</v>
          </cell>
          <cell r="H9">
            <v>16.425000000000004</v>
          </cell>
          <cell r="I9">
            <v>16.417500000000004</v>
          </cell>
          <cell r="J9">
            <v>0</v>
          </cell>
        </row>
        <row r="10">
          <cell r="E10">
            <v>15.852</v>
          </cell>
          <cell r="F10">
            <v>0</v>
          </cell>
          <cell r="H10">
            <v>16.440000000000005</v>
          </cell>
          <cell r="I10">
            <v>16.432500000000005</v>
          </cell>
          <cell r="J10">
            <v>0</v>
          </cell>
        </row>
        <row r="11">
          <cell r="E11">
            <v>15.852</v>
          </cell>
          <cell r="F11">
            <v>0</v>
          </cell>
          <cell r="H11">
            <v>16.455000000000005</v>
          </cell>
          <cell r="I11">
            <v>16.447500000000005</v>
          </cell>
          <cell r="J11">
            <v>0</v>
          </cell>
        </row>
        <row r="12">
          <cell r="E12">
            <v>15.852</v>
          </cell>
          <cell r="F12">
            <v>0</v>
          </cell>
          <cell r="H12">
            <v>16.470000000000006</v>
          </cell>
          <cell r="I12">
            <v>16.462500000000006</v>
          </cell>
          <cell r="J12">
            <v>0</v>
          </cell>
        </row>
        <row r="13">
          <cell r="E13">
            <v>15.852</v>
          </cell>
          <cell r="F13">
            <v>0</v>
          </cell>
          <cell r="H13">
            <v>16.485000000000007</v>
          </cell>
          <cell r="I13" t="str">
            <v>16.47～</v>
          </cell>
          <cell r="J13">
            <v>0</v>
          </cell>
        </row>
        <row r="14">
          <cell r="E14">
            <v>15.852</v>
          </cell>
          <cell r="F14">
            <v>0</v>
          </cell>
        </row>
      </sheetData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ｺﾋﾟｰ用（直セ）"/>
      <sheetName val="ｺﾋﾟｰ用（海プ）"/>
      <sheetName val="ｺﾋﾟｰ用（全社）"/>
      <sheetName val="生産進捗表（機械別）（サンプル）"/>
      <sheetName val="グラフ用"/>
      <sheetName val="予定日別1-6"/>
      <sheetName val="CodeMetaData"/>
      <sheetName val="System"/>
      <sheetName val="EE"/>
      <sheetName val="Master"/>
      <sheetName val="◆為替レート"/>
      <sheetName val="生産能力"/>
      <sheetName val="求償データ"/>
      <sheetName val="抽出_401_J3データ"/>
      <sheetName val="FIAT"/>
      <sheetName val="出力②"/>
    </sheetNames>
    <sheetDataSet>
      <sheetData sheetId="0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ヒューズ試作</v>
          </cell>
          <cell r="F2" t="str">
            <v>PX10109</v>
          </cell>
          <cell r="G2" t="str">
            <v>数量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60</v>
          </cell>
          <cell r="N2">
            <v>0</v>
          </cell>
          <cell r="O2">
            <v>60</v>
          </cell>
          <cell r="P2" t="str">
            <v>金額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240000</v>
          </cell>
          <cell r="W2">
            <v>0</v>
          </cell>
          <cell r="X2">
            <v>240000</v>
          </cell>
          <cell r="Y2" t="str">
            <v xml:space="preserve"> </v>
          </cell>
        </row>
        <row r="3">
          <cell r="E3" t="str">
            <v>温度センサー</v>
          </cell>
          <cell r="F3" t="str">
            <v>PX101</v>
          </cell>
          <cell r="G3" t="str">
            <v>数量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60</v>
          </cell>
          <cell r="N3">
            <v>0</v>
          </cell>
          <cell r="O3">
            <v>60</v>
          </cell>
          <cell r="P3" t="str">
            <v>金額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240000</v>
          </cell>
          <cell r="W3">
            <v>0</v>
          </cell>
          <cell r="X3">
            <v>240000</v>
          </cell>
          <cell r="Y3" t="str">
            <v xml:space="preserve"> </v>
          </cell>
        </row>
        <row r="4">
          <cell r="E4" t="str">
            <v>ジルコニア完成品</v>
          </cell>
          <cell r="F4" t="str">
            <v>PX11101</v>
          </cell>
          <cell r="G4" t="str">
            <v>数量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1825072</v>
          </cell>
          <cell r="N4">
            <v>1816956</v>
          </cell>
          <cell r="O4">
            <v>1825072</v>
          </cell>
          <cell r="P4" t="str">
            <v>金額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2068879810</v>
          </cell>
          <cell r="W4">
            <v>2058893260</v>
          </cell>
          <cell r="X4">
            <v>2068879810</v>
          </cell>
          <cell r="Y4" t="str">
            <v xml:space="preserve"> </v>
          </cell>
        </row>
        <row r="5">
          <cell r="E5" t="str">
            <v>ジルコニア部品</v>
          </cell>
          <cell r="F5" t="str">
            <v>PX11102</v>
          </cell>
          <cell r="G5" t="str">
            <v>数量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10000</v>
          </cell>
          <cell r="N5">
            <v>10000</v>
          </cell>
          <cell r="O5">
            <v>10000</v>
          </cell>
          <cell r="P5" t="str">
            <v>金額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75000</v>
          </cell>
          <cell r="W5">
            <v>75000</v>
          </cell>
          <cell r="X5">
            <v>75000</v>
          </cell>
          <cell r="Y5" t="str">
            <v xml:space="preserve"> </v>
          </cell>
        </row>
        <row r="6">
          <cell r="E6" t="str">
            <v>ジルコニア試作</v>
          </cell>
          <cell r="F6" t="str">
            <v>PX11103</v>
          </cell>
          <cell r="G6" t="str">
            <v>数量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913</v>
          </cell>
          <cell r="N6">
            <v>0</v>
          </cell>
          <cell r="O6">
            <v>913</v>
          </cell>
          <cell r="P6" t="str">
            <v>金額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4204745</v>
          </cell>
          <cell r="W6">
            <v>0</v>
          </cell>
          <cell r="X6">
            <v>4204745</v>
          </cell>
          <cell r="Y6" t="str">
            <v xml:space="preserve"> </v>
          </cell>
        </row>
        <row r="7">
          <cell r="E7" t="str">
            <v>チタニア</v>
          </cell>
          <cell r="F7" t="str">
            <v>PX11105</v>
          </cell>
          <cell r="G7" t="str">
            <v>数量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13440</v>
          </cell>
          <cell r="N7">
            <v>13440</v>
          </cell>
          <cell r="O7">
            <v>13440</v>
          </cell>
          <cell r="P7" t="str">
            <v>金額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27291840</v>
          </cell>
          <cell r="W7">
            <v>27291840</v>
          </cell>
          <cell r="X7">
            <v>27291840</v>
          </cell>
          <cell r="Y7" t="str">
            <v xml:space="preserve"> </v>
          </cell>
        </row>
        <row r="8">
          <cell r="E8" t="str">
            <v>全領域センサ－</v>
          </cell>
          <cell r="F8" t="str">
            <v>PX11111</v>
          </cell>
          <cell r="G8" t="str">
            <v>数量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45711</v>
          </cell>
          <cell r="N8">
            <v>0</v>
          </cell>
          <cell r="O8">
            <v>45711</v>
          </cell>
          <cell r="P8" t="str">
            <v>金額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123931022</v>
          </cell>
          <cell r="W8">
            <v>0</v>
          </cell>
          <cell r="X8">
            <v>123931022</v>
          </cell>
          <cell r="Y8" t="str">
            <v xml:space="preserve"> </v>
          </cell>
        </row>
        <row r="9">
          <cell r="E9" t="str">
            <v>全領域部品</v>
          </cell>
          <cell r="F9" t="str">
            <v>PX11112</v>
          </cell>
          <cell r="G9" t="str">
            <v>数量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290</v>
          </cell>
          <cell r="N9">
            <v>0</v>
          </cell>
          <cell r="O9">
            <v>290</v>
          </cell>
          <cell r="P9" t="str">
            <v>金額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6218400</v>
          </cell>
          <cell r="W9">
            <v>0</v>
          </cell>
          <cell r="X9">
            <v>6218400</v>
          </cell>
          <cell r="Y9" t="str">
            <v xml:space="preserve"> </v>
          </cell>
        </row>
        <row r="10">
          <cell r="E10" t="str">
            <v>全領域試作</v>
          </cell>
          <cell r="F10" t="str">
            <v>PX11113</v>
          </cell>
          <cell r="G10" t="str">
            <v>数量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150</v>
          </cell>
          <cell r="N10">
            <v>0</v>
          </cell>
          <cell r="O10">
            <v>150</v>
          </cell>
          <cell r="P10" t="str">
            <v>金額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5454100</v>
          </cell>
          <cell r="W10">
            <v>0</v>
          </cell>
          <cell r="X10">
            <v>5454100</v>
          </cell>
          <cell r="Y10" t="str">
            <v xml:space="preserve"> </v>
          </cell>
        </row>
        <row r="11">
          <cell r="E11" t="str">
            <v>酸素センサー</v>
          </cell>
          <cell r="F11" t="str">
            <v>PX111</v>
          </cell>
          <cell r="G11" t="str">
            <v>数量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1895576</v>
          </cell>
          <cell r="N11">
            <v>1840396</v>
          </cell>
          <cell r="O11">
            <v>1895576</v>
          </cell>
          <cell r="P11" t="str">
            <v>金額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2236054917</v>
          </cell>
          <cell r="W11">
            <v>2086260100</v>
          </cell>
          <cell r="X11">
            <v>2236054917</v>
          </cell>
          <cell r="Y11" t="str">
            <v xml:space="preserve"> </v>
          </cell>
        </row>
        <row r="12">
          <cell r="E12" t="str">
            <v>ＮＯＸセンサー</v>
          </cell>
          <cell r="F12" t="str">
            <v>PX12101</v>
          </cell>
          <cell r="G12" t="str">
            <v>数量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847</v>
          </cell>
          <cell r="N12">
            <v>847</v>
          </cell>
          <cell r="O12">
            <v>847</v>
          </cell>
          <cell r="P12" t="str">
            <v>金額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2855237</v>
          </cell>
          <cell r="W12">
            <v>2855237</v>
          </cell>
          <cell r="X12">
            <v>2855237</v>
          </cell>
          <cell r="Y12" t="str">
            <v xml:space="preserve"> </v>
          </cell>
        </row>
        <row r="13">
          <cell r="E13" t="str">
            <v>ＮＯＸ回路</v>
          </cell>
          <cell r="F13" t="str">
            <v>PX12102</v>
          </cell>
          <cell r="G13" t="str">
            <v>数量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350</v>
          </cell>
          <cell r="N13">
            <v>350</v>
          </cell>
          <cell r="O13">
            <v>350</v>
          </cell>
          <cell r="P13" t="str">
            <v>金額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837200</v>
          </cell>
          <cell r="W13">
            <v>837200</v>
          </cell>
          <cell r="X13">
            <v>837200</v>
          </cell>
          <cell r="Y13" t="str">
            <v xml:space="preserve"> </v>
          </cell>
        </row>
        <row r="14">
          <cell r="E14" t="str">
            <v>ノックセンサー</v>
          </cell>
          <cell r="F14" t="str">
            <v>PX12105</v>
          </cell>
          <cell r="G14" t="str">
            <v>数量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218604</v>
          </cell>
          <cell r="N14">
            <v>218604</v>
          </cell>
          <cell r="O14">
            <v>218604</v>
          </cell>
          <cell r="P14" t="str">
            <v>金額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84894000</v>
          </cell>
          <cell r="W14">
            <v>84894000</v>
          </cell>
          <cell r="X14">
            <v>84894000</v>
          </cell>
          <cell r="Y14" t="str">
            <v xml:space="preserve"> </v>
          </cell>
        </row>
        <row r="15">
          <cell r="E15" t="str">
            <v>ノック　試作品</v>
          </cell>
          <cell r="F15" t="str">
            <v>PX12107</v>
          </cell>
          <cell r="G15" t="str">
            <v>数量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500</v>
          </cell>
          <cell r="N15">
            <v>0</v>
          </cell>
          <cell r="O15">
            <v>500</v>
          </cell>
          <cell r="P15" t="str">
            <v>金額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1350000</v>
          </cell>
          <cell r="W15">
            <v>0</v>
          </cell>
          <cell r="X15">
            <v>1350000</v>
          </cell>
          <cell r="Y15" t="str">
            <v xml:space="preserve"> </v>
          </cell>
        </row>
        <row r="16">
          <cell r="E16" t="str">
            <v>その他のセンサー</v>
          </cell>
          <cell r="F16" t="str">
            <v>PX121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220301</v>
          </cell>
          <cell r="N16">
            <v>219801</v>
          </cell>
          <cell r="O16">
            <v>220301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89936437</v>
          </cell>
          <cell r="W16">
            <v>88586437</v>
          </cell>
          <cell r="X16">
            <v>89936437</v>
          </cell>
          <cell r="Y16" t="str">
            <v xml:space="preserve"> </v>
          </cell>
        </row>
        <row r="17">
          <cell r="E17" t="str">
            <v>センサ－</v>
          </cell>
          <cell r="F17" t="str">
            <v>PX1</v>
          </cell>
          <cell r="G17" t="str">
            <v>数量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2115937</v>
          </cell>
          <cell r="N17">
            <v>2060197</v>
          </cell>
          <cell r="O17">
            <v>2115937</v>
          </cell>
          <cell r="P17" t="str">
            <v>金額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2326231354</v>
          </cell>
          <cell r="W17">
            <v>2174846537</v>
          </cell>
          <cell r="X17">
            <v>2326231354</v>
          </cell>
          <cell r="Y17" t="str">
            <v xml:space="preserve"> </v>
          </cell>
        </row>
        <row r="18">
          <cell r="E18" t="str">
            <v>コントロラー</v>
          </cell>
          <cell r="F18" t="str">
            <v>PX50101</v>
          </cell>
          <cell r="G18" t="str">
            <v>数量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680</v>
          </cell>
          <cell r="N18">
            <v>680</v>
          </cell>
          <cell r="O18">
            <v>680</v>
          </cell>
          <cell r="P18" t="str">
            <v>金額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1236480</v>
          </cell>
          <cell r="W18">
            <v>1236480</v>
          </cell>
          <cell r="X18">
            <v>1236480</v>
          </cell>
          <cell r="Y18" t="str">
            <v xml:space="preserve"> </v>
          </cell>
        </row>
        <row r="19">
          <cell r="E19" t="str">
            <v>リレー</v>
          </cell>
          <cell r="F19" t="str">
            <v>PX50110</v>
          </cell>
          <cell r="G19" t="str">
            <v>数量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300</v>
          </cell>
          <cell r="N19">
            <v>300</v>
          </cell>
          <cell r="O19">
            <v>300</v>
          </cell>
          <cell r="P19" t="str">
            <v>金額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320100</v>
          </cell>
          <cell r="W19">
            <v>320100</v>
          </cell>
          <cell r="X19">
            <v>320100</v>
          </cell>
          <cell r="Y19" t="str">
            <v xml:space="preserve"> </v>
          </cell>
        </row>
        <row r="20">
          <cell r="E20" t="str">
            <v>エアーヒーター</v>
          </cell>
          <cell r="F20" t="str">
            <v>PX50113</v>
          </cell>
          <cell r="G20" t="str">
            <v>数量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6600</v>
          </cell>
          <cell r="N20">
            <v>6600</v>
          </cell>
          <cell r="O20">
            <v>6600</v>
          </cell>
          <cell r="P20" t="str">
            <v>金額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15877200</v>
          </cell>
          <cell r="W20">
            <v>15877200</v>
          </cell>
          <cell r="X20">
            <v>15877200</v>
          </cell>
          <cell r="Y20" t="str">
            <v xml:space="preserve"> </v>
          </cell>
        </row>
        <row r="21">
          <cell r="E21" t="str">
            <v>その他</v>
          </cell>
          <cell r="F21" t="str">
            <v>PX50190</v>
          </cell>
          <cell r="G21" t="str">
            <v>数量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400</v>
          </cell>
          <cell r="N21">
            <v>400</v>
          </cell>
          <cell r="O21">
            <v>400</v>
          </cell>
          <cell r="P21" t="str">
            <v>金額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426000</v>
          </cell>
          <cell r="W21">
            <v>426000</v>
          </cell>
          <cell r="X21">
            <v>426000</v>
          </cell>
          <cell r="Y21" t="str">
            <v xml:space="preserve"> </v>
          </cell>
        </row>
        <row r="22">
          <cell r="E22" t="str">
            <v>Ｑ．Ｇ．Ｓ．</v>
          </cell>
          <cell r="F22" t="str">
            <v>PX501</v>
          </cell>
          <cell r="G22" t="str">
            <v>数量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7980</v>
          </cell>
          <cell r="N22">
            <v>7980</v>
          </cell>
          <cell r="O22">
            <v>7980</v>
          </cell>
          <cell r="P22" t="str">
            <v>金額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17859780</v>
          </cell>
          <cell r="W22">
            <v>17859780</v>
          </cell>
          <cell r="X22">
            <v>17859780</v>
          </cell>
          <cell r="Y22" t="str">
            <v xml:space="preserve"> </v>
          </cell>
        </row>
        <row r="23">
          <cell r="E23" t="str">
            <v>関連品その他</v>
          </cell>
          <cell r="F23" t="str">
            <v>PX5</v>
          </cell>
          <cell r="G23" t="str">
            <v>数量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7980</v>
          </cell>
          <cell r="N23">
            <v>7980</v>
          </cell>
          <cell r="O23">
            <v>7980</v>
          </cell>
          <cell r="P23" t="str">
            <v>金額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17859780</v>
          </cell>
          <cell r="W23">
            <v>17859780</v>
          </cell>
          <cell r="X23">
            <v>17859780</v>
          </cell>
          <cell r="Y23" t="str">
            <v xml:space="preserve"> </v>
          </cell>
        </row>
        <row r="24">
          <cell r="E24" t="str">
            <v>関連品</v>
          </cell>
          <cell r="F24" t="str">
            <v>PX</v>
          </cell>
          <cell r="G24" t="str">
            <v>数量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2123917</v>
          </cell>
          <cell r="N24">
            <v>2068177</v>
          </cell>
          <cell r="O24">
            <v>2123917</v>
          </cell>
          <cell r="P24" t="str">
            <v>金額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2344091134</v>
          </cell>
          <cell r="W24">
            <v>2192706317</v>
          </cell>
          <cell r="X24">
            <v>2344091134</v>
          </cell>
          <cell r="Y24" t="str">
            <v xml:space="preserve"> </v>
          </cell>
        </row>
        <row r="25">
          <cell r="F25" t="str">
            <v xml:space="preserve"> </v>
          </cell>
          <cell r="G25" t="str">
            <v>数量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2123917</v>
          </cell>
          <cell r="N25">
            <v>2068177</v>
          </cell>
          <cell r="O25">
            <v>2123917</v>
          </cell>
          <cell r="P25" t="str">
            <v>金額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2344091134</v>
          </cell>
          <cell r="W25">
            <v>2192706317</v>
          </cell>
          <cell r="X25">
            <v>2344091134</v>
          </cell>
          <cell r="Y25" t="str">
            <v xml:space="preserve"> </v>
          </cell>
        </row>
      </sheetData>
      <sheetData sheetId="1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レギュラー</v>
          </cell>
          <cell r="F2" t="str">
            <v>PP10101</v>
          </cell>
          <cell r="G2" t="str">
            <v>数量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474380</v>
          </cell>
          <cell r="N2">
            <v>0</v>
          </cell>
          <cell r="O2">
            <v>474380</v>
          </cell>
          <cell r="P2" t="str">
            <v>金額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32693017</v>
          </cell>
          <cell r="W2">
            <v>0</v>
          </cell>
          <cell r="X2">
            <v>32693017</v>
          </cell>
          <cell r="Y2" t="str">
            <v xml:space="preserve"> </v>
          </cell>
        </row>
        <row r="3">
          <cell r="E3" t="str">
            <v>グリーン</v>
          </cell>
          <cell r="F3" t="str">
            <v>PP10103</v>
          </cell>
          <cell r="G3" t="str">
            <v>数量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21900</v>
          </cell>
          <cell r="N3">
            <v>0</v>
          </cell>
          <cell r="O3">
            <v>21900</v>
          </cell>
          <cell r="P3" t="str">
            <v>金額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1485120</v>
          </cell>
          <cell r="W3">
            <v>0</v>
          </cell>
          <cell r="X3">
            <v>1485120</v>
          </cell>
          <cell r="Y3" t="str">
            <v xml:space="preserve"> </v>
          </cell>
        </row>
        <row r="4">
          <cell r="E4" t="str">
            <v>標準タイプ</v>
          </cell>
          <cell r="F4" t="str">
            <v>PP101</v>
          </cell>
          <cell r="G4" t="str">
            <v>数量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496280</v>
          </cell>
          <cell r="N4">
            <v>0</v>
          </cell>
          <cell r="O4">
            <v>496280</v>
          </cell>
          <cell r="P4" t="str">
            <v>金額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34178137</v>
          </cell>
          <cell r="W4">
            <v>0</v>
          </cell>
          <cell r="X4">
            <v>34178137</v>
          </cell>
          <cell r="Y4" t="str">
            <v xml:space="preserve"> </v>
          </cell>
        </row>
        <row r="5">
          <cell r="E5" t="str">
            <v>抵抗入レギュラー</v>
          </cell>
          <cell r="F5" t="str">
            <v>PP12601</v>
          </cell>
          <cell r="G5" t="str">
            <v>数量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53340</v>
          </cell>
          <cell r="N5">
            <v>22690</v>
          </cell>
          <cell r="O5">
            <v>53340</v>
          </cell>
          <cell r="P5" t="str">
            <v>金額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6633456</v>
          </cell>
          <cell r="W5">
            <v>1520430</v>
          </cell>
          <cell r="X5">
            <v>6633456</v>
          </cell>
          <cell r="Y5" t="str">
            <v xml:space="preserve"> </v>
          </cell>
        </row>
        <row r="6">
          <cell r="E6" t="str">
            <v>抵抗入グリーン</v>
          </cell>
          <cell r="F6" t="str">
            <v>PP12602</v>
          </cell>
          <cell r="G6" t="str">
            <v>数量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11100</v>
          </cell>
          <cell r="N6">
            <v>0</v>
          </cell>
          <cell r="O6">
            <v>11100</v>
          </cell>
          <cell r="P6" t="str">
            <v>金額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1035000</v>
          </cell>
          <cell r="W6">
            <v>0</v>
          </cell>
          <cell r="X6">
            <v>1035000</v>
          </cell>
          <cell r="Y6" t="str">
            <v xml:space="preserve"> </v>
          </cell>
        </row>
        <row r="7">
          <cell r="D7" t="str">
            <v xml:space="preserve"> </v>
          </cell>
          <cell r="E7" t="str">
            <v>Ｖパワー</v>
          </cell>
          <cell r="F7" t="str">
            <v>PP12603</v>
          </cell>
          <cell r="G7" t="str">
            <v>数量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146</v>
          </cell>
          <cell r="N7">
            <v>0</v>
          </cell>
          <cell r="O7">
            <v>146</v>
          </cell>
          <cell r="P7" t="str">
            <v>金額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11818</v>
          </cell>
          <cell r="W7">
            <v>0</v>
          </cell>
          <cell r="X7">
            <v>11818</v>
          </cell>
          <cell r="Y7" t="str">
            <v xml:space="preserve"> </v>
          </cell>
        </row>
        <row r="8">
          <cell r="E8" t="str">
            <v>小型プラグ</v>
          </cell>
          <cell r="F8" t="str">
            <v>PP12604</v>
          </cell>
          <cell r="G8" t="str">
            <v>数量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11680</v>
          </cell>
          <cell r="N8">
            <v>0</v>
          </cell>
          <cell r="O8">
            <v>11680</v>
          </cell>
          <cell r="P8" t="str">
            <v>金額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767100</v>
          </cell>
          <cell r="W8">
            <v>0</v>
          </cell>
          <cell r="X8">
            <v>767100</v>
          </cell>
          <cell r="Y8" t="str">
            <v xml:space="preserve"> </v>
          </cell>
        </row>
        <row r="9">
          <cell r="E9" t="str">
            <v>抵抗入ロングリチ</v>
          </cell>
          <cell r="F9" t="str">
            <v>PP12608</v>
          </cell>
          <cell r="G9" t="str">
            <v>数量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20</v>
          </cell>
          <cell r="N9">
            <v>0</v>
          </cell>
          <cell r="O9">
            <v>20</v>
          </cell>
          <cell r="P9" t="str">
            <v>金額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4716</v>
          </cell>
          <cell r="W9">
            <v>0</v>
          </cell>
          <cell r="X9">
            <v>4716</v>
          </cell>
          <cell r="Y9" t="str">
            <v xml:space="preserve"> </v>
          </cell>
        </row>
        <row r="10">
          <cell r="E10" t="str">
            <v>突き出し</v>
          </cell>
          <cell r="F10" t="str">
            <v>PP12610</v>
          </cell>
          <cell r="G10" t="str">
            <v>数量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38300</v>
          </cell>
          <cell r="N10">
            <v>31680</v>
          </cell>
          <cell r="O10">
            <v>38300</v>
          </cell>
          <cell r="P10" t="str">
            <v>金額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2623256</v>
          </cell>
          <cell r="W10">
            <v>1724976</v>
          </cell>
          <cell r="X10">
            <v>2623256</v>
          </cell>
          <cell r="Y10" t="str">
            <v xml:space="preserve"> </v>
          </cell>
        </row>
        <row r="11">
          <cell r="E11" t="str">
            <v>ＨＫ／ＥＫ／ＥＭ</v>
          </cell>
          <cell r="F11" t="str">
            <v>PP12620</v>
          </cell>
          <cell r="G11" t="str">
            <v>数量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6340</v>
          </cell>
          <cell r="N11">
            <v>0</v>
          </cell>
          <cell r="O11">
            <v>6340</v>
          </cell>
          <cell r="P11" t="str">
            <v>金額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1673426</v>
          </cell>
          <cell r="W11">
            <v>0</v>
          </cell>
          <cell r="X11">
            <v>1673426</v>
          </cell>
          <cell r="Y11" t="str">
            <v xml:space="preserve"> </v>
          </cell>
        </row>
        <row r="12">
          <cell r="E12" t="str">
            <v>ＥＴ</v>
          </cell>
          <cell r="F12" t="str">
            <v>PP12621</v>
          </cell>
          <cell r="G12" t="str">
            <v>数量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400</v>
          </cell>
          <cell r="N12">
            <v>0</v>
          </cell>
          <cell r="O12">
            <v>400</v>
          </cell>
          <cell r="P12" t="str">
            <v>金額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84309</v>
          </cell>
          <cell r="W12">
            <v>0</v>
          </cell>
          <cell r="X12">
            <v>84309</v>
          </cell>
          <cell r="Y12" t="str">
            <v xml:space="preserve"> </v>
          </cell>
        </row>
        <row r="13">
          <cell r="E13" t="str">
            <v>ＥＱ</v>
          </cell>
          <cell r="F13" t="str">
            <v>PP12622</v>
          </cell>
          <cell r="G13" t="str">
            <v>数量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30</v>
          </cell>
          <cell r="N13">
            <v>0</v>
          </cell>
          <cell r="O13">
            <v>30</v>
          </cell>
          <cell r="P13" t="str">
            <v>金額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13884</v>
          </cell>
          <cell r="W13">
            <v>0</v>
          </cell>
          <cell r="X13">
            <v>13884</v>
          </cell>
          <cell r="Y13" t="str">
            <v xml:space="preserve"> </v>
          </cell>
        </row>
        <row r="14">
          <cell r="E14" t="str">
            <v>レース用</v>
          </cell>
          <cell r="F14" t="str">
            <v>PP12672</v>
          </cell>
          <cell r="G14" t="str">
            <v>数量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1020</v>
          </cell>
          <cell r="N14">
            <v>0</v>
          </cell>
          <cell r="O14">
            <v>1020</v>
          </cell>
          <cell r="P14" t="str">
            <v>金額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244146</v>
          </cell>
          <cell r="W14">
            <v>0</v>
          </cell>
          <cell r="X14">
            <v>244146</v>
          </cell>
          <cell r="Y14" t="str">
            <v xml:space="preserve"> </v>
          </cell>
        </row>
        <row r="15">
          <cell r="E15" t="str">
            <v>セミレース用</v>
          </cell>
          <cell r="F15" t="str">
            <v>PP12673</v>
          </cell>
          <cell r="G15" t="str">
            <v>数量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1218</v>
          </cell>
          <cell r="N15">
            <v>0</v>
          </cell>
          <cell r="O15">
            <v>1218</v>
          </cell>
          <cell r="P15" t="str">
            <v>金額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243114</v>
          </cell>
          <cell r="W15">
            <v>0</v>
          </cell>
          <cell r="X15">
            <v>243114</v>
          </cell>
          <cell r="Y15" t="str">
            <v xml:space="preserve"> </v>
          </cell>
        </row>
        <row r="16">
          <cell r="E16" t="str">
            <v>その他</v>
          </cell>
          <cell r="F16" t="str">
            <v>PP12690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0</v>
          </cell>
          <cell r="O16">
            <v>1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1636297</v>
          </cell>
          <cell r="W16">
            <v>0</v>
          </cell>
          <cell r="X16">
            <v>1636297</v>
          </cell>
          <cell r="Y16" t="str">
            <v xml:space="preserve"> </v>
          </cell>
        </row>
        <row r="17">
          <cell r="E17" t="str">
            <v>試　作</v>
          </cell>
          <cell r="F17" t="str">
            <v>PP12691</v>
          </cell>
          <cell r="G17" t="str">
            <v>数量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20</v>
          </cell>
          <cell r="N17">
            <v>0</v>
          </cell>
          <cell r="O17">
            <v>20</v>
          </cell>
          <cell r="P17" t="str">
            <v>金額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100288</v>
          </cell>
          <cell r="W17">
            <v>0</v>
          </cell>
          <cell r="X17">
            <v>100288</v>
          </cell>
          <cell r="Y17" t="str">
            <v xml:space="preserve"> </v>
          </cell>
        </row>
        <row r="18">
          <cell r="E18" t="str">
            <v>特殊品</v>
          </cell>
          <cell r="F18" t="str">
            <v>PP126</v>
          </cell>
          <cell r="G18" t="str">
            <v>数量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123615</v>
          </cell>
          <cell r="N18">
            <v>54370</v>
          </cell>
          <cell r="O18">
            <v>123615</v>
          </cell>
          <cell r="P18" t="str">
            <v>金額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15070810</v>
          </cell>
          <cell r="W18">
            <v>3245406</v>
          </cell>
          <cell r="X18">
            <v>15070810</v>
          </cell>
          <cell r="Y18" t="str">
            <v xml:space="preserve"> </v>
          </cell>
        </row>
        <row r="19">
          <cell r="E19" t="str">
            <v>Ｖ・ＶＸ</v>
          </cell>
          <cell r="F19" t="str">
            <v>PP13006</v>
          </cell>
          <cell r="G19" t="str">
            <v>数量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10994</v>
          </cell>
          <cell r="N19">
            <v>0</v>
          </cell>
          <cell r="O19">
            <v>10994</v>
          </cell>
          <cell r="P19" t="str">
            <v>金額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3728630</v>
          </cell>
          <cell r="W19">
            <v>0</v>
          </cell>
          <cell r="X19">
            <v>3728630</v>
          </cell>
          <cell r="Y19" t="str">
            <v xml:space="preserve"> </v>
          </cell>
        </row>
        <row r="20">
          <cell r="E20" t="str">
            <v>白金チップ</v>
          </cell>
          <cell r="F20" t="str">
            <v>PP13008</v>
          </cell>
          <cell r="G20" t="str">
            <v>数量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10920</v>
          </cell>
          <cell r="N20">
            <v>0</v>
          </cell>
          <cell r="O20">
            <v>10920</v>
          </cell>
          <cell r="P20" t="str">
            <v>金額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5665763</v>
          </cell>
          <cell r="W20">
            <v>0</v>
          </cell>
          <cell r="X20">
            <v>5665763</v>
          </cell>
          <cell r="Y20" t="str">
            <v xml:space="preserve"> </v>
          </cell>
        </row>
        <row r="21">
          <cell r="E21" t="str">
            <v>突出白金チップ</v>
          </cell>
          <cell r="F21" t="str">
            <v>PP13050</v>
          </cell>
          <cell r="G21" t="str">
            <v>数量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22120</v>
          </cell>
          <cell r="N21">
            <v>12000</v>
          </cell>
          <cell r="O21">
            <v>22120</v>
          </cell>
          <cell r="P21" t="str">
            <v>金額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3828840</v>
          </cell>
          <cell r="W21">
            <v>2052000</v>
          </cell>
          <cell r="X21">
            <v>3828840</v>
          </cell>
          <cell r="Y21" t="str">
            <v xml:space="preserve"> </v>
          </cell>
        </row>
        <row r="22">
          <cell r="E22" t="str">
            <v>イリジューム</v>
          </cell>
          <cell r="F22" t="str">
            <v>PP13070</v>
          </cell>
          <cell r="G22" t="str">
            <v>数量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2348</v>
          </cell>
          <cell r="N22">
            <v>2118</v>
          </cell>
          <cell r="O22">
            <v>2348</v>
          </cell>
          <cell r="P22" t="str">
            <v>金額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692478</v>
          </cell>
          <cell r="W22">
            <v>618400</v>
          </cell>
          <cell r="X22">
            <v>692478</v>
          </cell>
          <cell r="Y22" t="str">
            <v xml:space="preserve"> </v>
          </cell>
        </row>
        <row r="23">
          <cell r="E23" t="str">
            <v>貴金属その他</v>
          </cell>
          <cell r="F23" t="str">
            <v>PP13090</v>
          </cell>
          <cell r="G23" t="str">
            <v>数量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5590</v>
          </cell>
          <cell r="N23">
            <v>3000</v>
          </cell>
          <cell r="O23">
            <v>5590</v>
          </cell>
          <cell r="P23" t="str">
            <v>金額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2297188</v>
          </cell>
          <cell r="W23">
            <v>723000</v>
          </cell>
          <cell r="X23">
            <v>2297188</v>
          </cell>
          <cell r="Y23" t="str">
            <v xml:space="preserve"> </v>
          </cell>
        </row>
        <row r="24">
          <cell r="E24" t="str">
            <v>貴金属タイプ</v>
          </cell>
          <cell r="F24" t="str">
            <v>PP130</v>
          </cell>
          <cell r="G24" t="str">
            <v>数量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51972</v>
          </cell>
          <cell r="N24">
            <v>17118</v>
          </cell>
          <cell r="O24">
            <v>51972</v>
          </cell>
          <cell r="P24" t="str">
            <v>金額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16212899</v>
          </cell>
          <cell r="W24">
            <v>3393400</v>
          </cell>
          <cell r="X24">
            <v>16212899</v>
          </cell>
          <cell r="Y24" t="str">
            <v xml:space="preserve"> </v>
          </cell>
        </row>
        <row r="25">
          <cell r="E25" t="str">
            <v>ＱＧＳグロー１材</v>
          </cell>
          <cell r="F25" t="str">
            <v>PP18005</v>
          </cell>
          <cell r="G25" t="str">
            <v>数量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1540</v>
          </cell>
          <cell r="N25">
            <v>0</v>
          </cell>
          <cell r="O25">
            <v>1540</v>
          </cell>
          <cell r="P25" t="str">
            <v>金額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404888</v>
          </cell>
          <cell r="W25">
            <v>0</v>
          </cell>
          <cell r="X25">
            <v>404888</v>
          </cell>
          <cell r="Y25" t="str">
            <v xml:space="preserve"> </v>
          </cell>
        </row>
        <row r="26">
          <cell r="E26" t="str">
            <v>ＱＧＳグロ－２材</v>
          </cell>
          <cell r="F26" t="str">
            <v>PP18008</v>
          </cell>
          <cell r="G26" t="str">
            <v>数量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11140</v>
          </cell>
          <cell r="N26">
            <v>0</v>
          </cell>
          <cell r="O26">
            <v>11140</v>
          </cell>
          <cell r="P26" t="str">
            <v>金額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3471282</v>
          </cell>
          <cell r="W26">
            <v>0</v>
          </cell>
          <cell r="X26">
            <v>3471282</v>
          </cell>
          <cell r="Y26" t="str">
            <v xml:space="preserve"> </v>
          </cell>
        </row>
        <row r="27">
          <cell r="E27" t="str">
            <v>ＳＲＭ</v>
          </cell>
          <cell r="F27" t="str">
            <v>PP18009</v>
          </cell>
          <cell r="G27" t="str">
            <v>数量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2180</v>
          </cell>
          <cell r="N27">
            <v>0</v>
          </cell>
          <cell r="O27">
            <v>2180</v>
          </cell>
          <cell r="P27" t="str">
            <v>金額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1426559</v>
          </cell>
          <cell r="W27">
            <v>0</v>
          </cell>
          <cell r="X27">
            <v>1426559</v>
          </cell>
          <cell r="Y27" t="str">
            <v xml:space="preserve"> </v>
          </cell>
        </row>
        <row r="28">
          <cell r="E28" t="str">
            <v>速熱グロー</v>
          </cell>
          <cell r="F28" t="str">
            <v>PP18011</v>
          </cell>
          <cell r="G28" t="str">
            <v>数量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12870</v>
          </cell>
          <cell r="N28">
            <v>0</v>
          </cell>
          <cell r="O28">
            <v>12870</v>
          </cell>
          <cell r="P28" t="str">
            <v>金額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2484445</v>
          </cell>
          <cell r="W28">
            <v>0</v>
          </cell>
          <cell r="X28">
            <v>2484445</v>
          </cell>
          <cell r="Y28" t="str">
            <v xml:space="preserve"> </v>
          </cell>
        </row>
        <row r="29">
          <cell r="E29" t="str">
            <v>一般グロー</v>
          </cell>
          <cell r="F29" t="str">
            <v>PP18017</v>
          </cell>
          <cell r="G29" t="str">
            <v>数量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2480</v>
          </cell>
          <cell r="N29">
            <v>0</v>
          </cell>
          <cell r="O29">
            <v>2480</v>
          </cell>
          <cell r="P29" t="str">
            <v>金額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294011</v>
          </cell>
          <cell r="W29">
            <v>0</v>
          </cell>
          <cell r="X29">
            <v>294011</v>
          </cell>
          <cell r="Y29" t="str">
            <v xml:space="preserve"> </v>
          </cell>
        </row>
        <row r="30">
          <cell r="E30" t="str">
            <v>コイル</v>
          </cell>
          <cell r="F30" t="str">
            <v>PP18080</v>
          </cell>
          <cell r="G30" t="str">
            <v>数量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20</v>
          </cell>
          <cell r="N30">
            <v>0</v>
          </cell>
          <cell r="O30">
            <v>20</v>
          </cell>
          <cell r="P30" t="str">
            <v>金額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2211</v>
          </cell>
          <cell r="W30">
            <v>0</v>
          </cell>
          <cell r="X30">
            <v>2211</v>
          </cell>
          <cell r="Y30" t="str">
            <v xml:space="preserve"> </v>
          </cell>
        </row>
        <row r="31">
          <cell r="E31" t="str">
            <v>その他</v>
          </cell>
          <cell r="F31" t="str">
            <v>PP18090</v>
          </cell>
          <cell r="G31" t="str">
            <v>数量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1</v>
          </cell>
          <cell r="N31">
            <v>0</v>
          </cell>
          <cell r="O31">
            <v>1</v>
          </cell>
          <cell r="P31" t="str">
            <v>金額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620984</v>
          </cell>
          <cell r="W31">
            <v>0</v>
          </cell>
          <cell r="X31">
            <v>620984</v>
          </cell>
          <cell r="Y31" t="str">
            <v xml:space="preserve"> </v>
          </cell>
        </row>
        <row r="32">
          <cell r="E32" t="str">
            <v>試作</v>
          </cell>
          <cell r="F32" t="str">
            <v>PP18091</v>
          </cell>
          <cell r="G32" t="str">
            <v>数量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24</v>
          </cell>
          <cell r="N32">
            <v>0</v>
          </cell>
          <cell r="O32">
            <v>24</v>
          </cell>
          <cell r="P32" t="str">
            <v>金額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48000</v>
          </cell>
          <cell r="W32">
            <v>0</v>
          </cell>
          <cell r="X32">
            <v>48000</v>
          </cell>
          <cell r="Y32" t="str">
            <v xml:space="preserve"> </v>
          </cell>
        </row>
        <row r="33">
          <cell r="E33" t="str">
            <v>メタルグロー</v>
          </cell>
          <cell r="F33" t="str">
            <v>PP180</v>
          </cell>
          <cell r="G33" t="str">
            <v>数量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30255</v>
          </cell>
          <cell r="N33">
            <v>0</v>
          </cell>
          <cell r="O33">
            <v>30255</v>
          </cell>
          <cell r="P33" t="str">
            <v>金額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8752380</v>
          </cell>
          <cell r="W33">
            <v>0</v>
          </cell>
          <cell r="X33">
            <v>8752380</v>
          </cell>
          <cell r="Y33" t="str">
            <v xml:space="preserve"> </v>
          </cell>
        </row>
        <row r="34">
          <cell r="E34" t="str">
            <v>プラグ完成品</v>
          </cell>
          <cell r="F34" t="str">
            <v>PP1</v>
          </cell>
          <cell r="G34" t="str">
            <v>数量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702122</v>
          </cell>
          <cell r="N34">
            <v>71488</v>
          </cell>
          <cell r="O34">
            <v>702122</v>
          </cell>
          <cell r="P34" t="str">
            <v>金額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74214226</v>
          </cell>
          <cell r="W34">
            <v>6638806</v>
          </cell>
          <cell r="X34">
            <v>74214226</v>
          </cell>
          <cell r="Y34" t="str">
            <v xml:space="preserve"> </v>
          </cell>
        </row>
        <row r="35">
          <cell r="E35" t="str">
            <v>中軸付絶縁体</v>
          </cell>
          <cell r="F35" t="str">
            <v>PP50102</v>
          </cell>
          <cell r="G35" t="str">
            <v>数量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7535731</v>
          </cell>
          <cell r="N35">
            <v>2112490</v>
          </cell>
          <cell r="O35">
            <v>7535731</v>
          </cell>
          <cell r="P35" t="str">
            <v>金額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384111683</v>
          </cell>
          <cell r="W35">
            <v>136668923</v>
          </cell>
          <cell r="X35">
            <v>384111683</v>
          </cell>
          <cell r="Y35" t="str">
            <v xml:space="preserve"> </v>
          </cell>
        </row>
        <row r="36">
          <cell r="E36" t="str">
            <v>中　軸</v>
          </cell>
          <cell r="F36" t="str">
            <v>PP50104</v>
          </cell>
          <cell r="G36" t="str">
            <v>数量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2745000</v>
          </cell>
          <cell r="N36">
            <v>350000</v>
          </cell>
          <cell r="O36">
            <v>2745000</v>
          </cell>
          <cell r="P36" t="str">
            <v>金額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18913250</v>
          </cell>
          <cell r="W36">
            <v>1435000</v>
          </cell>
          <cell r="X36">
            <v>18913250</v>
          </cell>
          <cell r="Y36" t="str">
            <v xml:space="preserve"> </v>
          </cell>
        </row>
        <row r="37">
          <cell r="E37" t="str">
            <v>主体金具</v>
          </cell>
          <cell r="F37" t="str">
            <v>PP50106</v>
          </cell>
          <cell r="G37" t="str">
            <v>数量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8590730</v>
          </cell>
          <cell r="N37">
            <v>1785920</v>
          </cell>
          <cell r="O37">
            <v>8590730</v>
          </cell>
          <cell r="P37" t="str">
            <v>金額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166109043</v>
          </cell>
          <cell r="W37">
            <v>67561952</v>
          </cell>
          <cell r="X37">
            <v>166109043</v>
          </cell>
          <cell r="Y37" t="str">
            <v xml:space="preserve"> </v>
          </cell>
        </row>
        <row r="38">
          <cell r="E38" t="str">
            <v>絶縁体</v>
          </cell>
          <cell r="F38" t="str">
            <v>PP50108</v>
          </cell>
          <cell r="G38" t="str">
            <v>数量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2691970</v>
          </cell>
          <cell r="N38">
            <v>326370</v>
          </cell>
          <cell r="O38">
            <v>2691970</v>
          </cell>
          <cell r="P38" t="str">
            <v>金額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49039246</v>
          </cell>
          <cell r="W38">
            <v>2952786</v>
          </cell>
          <cell r="X38">
            <v>49039246</v>
          </cell>
          <cell r="Y38" t="str">
            <v xml:space="preserve"> </v>
          </cell>
        </row>
        <row r="39">
          <cell r="E39" t="str">
            <v>端子ナット</v>
          </cell>
          <cell r="F39" t="str">
            <v>PP50110</v>
          </cell>
          <cell r="G39" t="str">
            <v>数量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1200000</v>
          </cell>
          <cell r="N39">
            <v>0</v>
          </cell>
          <cell r="O39">
            <v>1200000</v>
          </cell>
          <cell r="P39" t="str">
            <v>金額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672000</v>
          </cell>
          <cell r="W39">
            <v>0</v>
          </cell>
          <cell r="X39">
            <v>672000</v>
          </cell>
          <cell r="Y39" t="str">
            <v xml:space="preserve"> </v>
          </cell>
        </row>
        <row r="40">
          <cell r="E40" t="str">
            <v>雄ネジ</v>
          </cell>
          <cell r="F40" t="str">
            <v>PP50112</v>
          </cell>
          <cell r="G40" t="str">
            <v>数量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1235000</v>
          </cell>
          <cell r="N40">
            <v>0</v>
          </cell>
          <cell r="O40">
            <v>1235000</v>
          </cell>
          <cell r="P40" t="str">
            <v>金額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2761500</v>
          </cell>
          <cell r="W40">
            <v>0</v>
          </cell>
          <cell r="X40">
            <v>2761500</v>
          </cell>
          <cell r="Y40" t="str">
            <v xml:space="preserve"> </v>
          </cell>
        </row>
        <row r="41">
          <cell r="E41" t="str">
            <v>一体端子</v>
          </cell>
          <cell r="F41" t="str">
            <v>PP50114</v>
          </cell>
          <cell r="G41" t="str">
            <v>数量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1700000</v>
          </cell>
          <cell r="N41">
            <v>300000</v>
          </cell>
          <cell r="O41">
            <v>1700000</v>
          </cell>
          <cell r="P41" t="str">
            <v>金額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5470400</v>
          </cell>
          <cell r="W41">
            <v>870000</v>
          </cell>
          <cell r="X41">
            <v>5470400</v>
          </cell>
          <cell r="Y41" t="str">
            <v xml:space="preserve"> </v>
          </cell>
        </row>
        <row r="42">
          <cell r="E42" t="str">
            <v>板パッキン</v>
          </cell>
          <cell r="F42" t="str">
            <v>PP50120</v>
          </cell>
          <cell r="G42" t="str">
            <v>数量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2300000</v>
          </cell>
          <cell r="N42">
            <v>0</v>
          </cell>
          <cell r="O42">
            <v>2300000</v>
          </cell>
          <cell r="P42" t="str">
            <v>金額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184000</v>
          </cell>
          <cell r="W42">
            <v>0</v>
          </cell>
          <cell r="X42">
            <v>184000</v>
          </cell>
          <cell r="Y42" t="str">
            <v xml:space="preserve"> </v>
          </cell>
        </row>
        <row r="43">
          <cell r="E43" t="str">
            <v>線パッキン</v>
          </cell>
          <cell r="F43" t="str">
            <v>PP50122</v>
          </cell>
          <cell r="G43" t="str">
            <v>数量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4160000</v>
          </cell>
          <cell r="N43">
            <v>0</v>
          </cell>
          <cell r="O43">
            <v>4160000</v>
          </cell>
          <cell r="P43" t="str">
            <v>金額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332800</v>
          </cell>
          <cell r="W43">
            <v>0</v>
          </cell>
          <cell r="X43">
            <v>332800</v>
          </cell>
          <cell r="Y43" t="str">
            <v xml:space="preserve"> </v>
          </cell>
        </row>
        <row r="44">
          <cell r="E44" t="str">
            <v>ガスケット</v>
          </cell>
          <cell r="F44" t="str">
            <v>PP50125</v>
          </cell>
          <cell r="G44" t="str">
            <v>数量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5530000</v>
          </cell>
          <cell r="N44">
            <v>0</v>
          </cell>
          <cell r="O44">
            <v>5530000</v>
          </cell>
          <cell r="P44" t="str">
            <v>金額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4262200</v>
          </cell>
          <cell r="W44">
            <v>0</v>
          </cell>
          <cell r="X44">
            <v>4262200</v>
          </cell>
          <cell r="Y44" t="str">
            <v xml:space="preserve"> </v>
          </cell>
        </row>
        <row r="45">
          <cell r="E45" t="str">
            <v>外測電極</v>
          </cell>
          <cell r="F45" t="str">
            <v>PP50127</v>
          </cell>
          <cell r="G45" t="str">
            <v>数量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196000</v>
          </cell>
          <cell r="N45">
            <v>196000</v>
          </cell>
          <cell r="O45">
            <v>196000</v>
          </cell>
          <cell r="P45" t="str">
            <v>金額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3332000</v>
          </cell>
          <cell r="W45">
            <v>3332000</v>
          </cell>
          <cell r="X45">
            <v>3332000</v>
          </cell>
          <cell r="Y45" t="str">
            <v xml:space="preserve"> </v>
          </cell>
        </row>
        <row r="46">
          <cell r="E46" t="str">
            <v>特殊中軸</v>
          </cell>
          <cell r="F46" t="str">
            <v>PP50142</v>
          </cell>
          <cell r="G46" t="str">
            <v>数量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500000</v>
          </cell>
          <cell r="N46">
            <v>0</v>
          </cell>
          <cell r="O46">
            <v>500000</v>
          </cell>
          <cell r="P46" t="str">
            <v>金額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3845000</v>
          </cell>
          <cell r="W46">
            <v>0</v>
          </cell>
          <cell r="X46">
            <v>3845000</v>
          </cell>
          <cell r="Y46" t="str">
            <v xml:space="preserve"> </v>
          </cell>
        </row>
        <row r="47">
          <cell r="E47" t="str">
            <v>滑　石</v>
          </cell>
          <cell r="F47" t="str">
            <v>PP50188</v>
          </cell>
          <cell r="G47" t="str">
            <v>数量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12020</v>
          </cell>
          <cell r="N47">
            <v>0</v>
          </cell>
          <cell r="O47">
            <v>12020</v>
          </cell>
          <cell r="P47" t="str">
            <v>金額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2711588</v>
          </cell>
          <cell r="W47">
            <v>0</v>
          </cell>
          <cell r="X47">
            <v>2711588</v>
          </cell>
          <cell r="Y47" t="str">
            <v xml:space="preserve"> </v>
          </cell>
        </row>
        <row r="48">
          <cell r="E48" t="str">
            <v>原材料・他</v>
          </cell>
          <cell r="F48" t="str">
            <v>PP50189</v>
          </cell>
          <cell r="G48" t="str">
            <v>数量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2128070</v>
          </cell>
          <cell r="N48">
            <v>0</v>
          </cell>
          <cell r="O48">
            <v>2128070</v>
          </cell>
          <cell r="P48" t="str">
            <v>金額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38058500</v>
          </cell>
          <cell r="W48">
            <v>0</v>
          </cell>
          <cell r="X48">
            <v>38058500</v>
          </cell>
          <cell r="Y48" t="str">
            <v xml:space="preserve"> </v>
          </cell>
        </row>
        <row r="49">
          <cell r="E49" t="str">
            <v>その他</v>
          </cell>
          <cell r="F49" t="str">
            <v>PP50190</v>
          </cell>
          <cell r="G49" t="str">
            <v>数量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3429</v>
          </cell>
          <cell r="N49">
            <v>0</v>
          </cell>
          <cell r="O49">
            <v>3429</v>
          </cell>
          <cell r="P49" t="str">
            <v>金額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11266215</v>
          </cell>
          <cell r="W49">
            <v>0</v>
          </cell>
          <cell r="X49">
            <v>11266215</v>
          </cell>
          <cell r="Y49" t="str">
            <v xml:space="preserve"> </v>
          </cell>
        </row>
        <row r="50">
          <cell r="E50" t="str">
            <v>スパ－クプラ部品</v>
          </cell>
          <cell r="F50" t="str">
            <v>PP501</v>
          </cell>
          <cell r="G50" t="str">
            <v>数量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40527950</v>
          </cell>
          <cell r="N50">
            <v>5070780</v>
          </cell>
          <cell r="O50">
            <v>40527950</v>
          </cell>
          <cell r="P50" t="str">
            <v>金額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691069425</v>
          </cell>
          <cell r="W50">
            <v>212820661</v>
          </cell>
          <cell r="X50">
            <v>691069425</v>
          </cell>
          <cell r="Y50" t="str">
            <v xml:space="preserve"> </v>
          </cell>
        </row>
        <row r="51">
          <cell r="E51" t="str">
            <v>スウェージャー品</v>
          </cell>
          <cell r="F51" t="str">
            <v>PP50343</v>
          </cell>
          <cell r="G51" t="str">
            <v>数量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-18821</v>
          </cell>
          <cell r="N51">
            <v>0</v>
          </cell>
          <cell r="O51">
            <v>-18821</v>
          </cell>
          <cell r="P51" t="str">
            <v>金額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-4235688</v>
          </cell>
          <cell r="W51">
            <v>0</v>
          </cell>
          <cell r="X51">
            <v>-4235688</v>
          </cell>
          <cell r="Y51" t="str">
            <v xml:space="preserve"> </v>
          </cell>
        </row>
        <row r="52">
          <cell r="E52" t="str">
            <v>その他</v>
          </cell>
          <cell r="F52" t="str">
            <v>PP50390</v>
          </cell>
          <cell r="G52" t="str">
            <v>数量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3410</v>
          </cell>
          <cell r="N52">
            <v>0</v>
          </cell>
          <cell r="O52">
            <v>3410</v>
          </cell>
          <cell r="P52" t="str">
            <v>金額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2549000</v>
          </cell>
          <cell r="W52">
            <v>0</v>
          </cell>
          <cell r="X52">
            <v>2549000</v>
          </cell>
          <cell r="Y52" t="str">
            <v xml:space="preserve"> </v>
          </cell>
        </row>
        <row r="53">
          <cell r="E53" t="str">
            <v>グロー部品</v>
          </cell>
          <cell r="F53" t="str">
            <v>PP503</v>
          </cell>
          <cell r="G53" t="str">
            <v>数量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-15411</v>
          </cell>
          <cell r="N53">
            <v>0</v>
          </cell>
          <cell r="O53">
            <v>-15411</v>
          </cell>
          <cell r="P53" t="str">
            <v>金額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-1686688</v>
          </cell>
          <cell r="W53">
            <v>0</v>
          </cell>
          <cell r="X53">
            <v>-1686688</v>
          </cell>
          <cell r="Y53" t="str">
            <v xml:space="preserve"> </v>
          </cell>
        </row>
        <row r="54">
          <cell r="E54" t="str">
            <v>ガラスパイプ</v>
          </cell>
          <cell r="F54" t="str">
            <v>PP50422</v>
          </cell>
          <cell r="G54" t="str">
            <v>数量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60000</v>
          </cell>
          <cell r="N54">
            <v>0</v>
          </cell>
          <cell r="O54">
            <v>60000</v>
          </cell>
          <cell r="P54" t="str">
            <v>金額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420000</v>
          </cell>
          <cell r="W54">
            <v>0</v>
          </cell>
          <cell r="X54">
            <v>420000</v>
          </cell>
          <cell r="Y54" t="str">
            <v xml:space="preserve"> </v>
          </cell>
        </row>
        <row r="55">
          <cell r="E55" t="str">
            <v>発熱体部品</v>
          </cell>
          <cell r="F55" t="str">
            <v>PP50442</v>
          </cell>
          <cell r="G55" t="str">
            <v>数量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50000</v>
          </cell>
          <cell r="N55">
            <v>0</v>
          </cell>
          <cell r="O55">
            <v>50000</v>
          </cell>
          <cell r="P55" t="str">
            <v>金額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25000000</v>
          </cell>
          <cell r="W55">
            <v>0</v>
          </cell>
          <cell r="X55">
            <v>25000000</v>
          </cell>
          <cell r="Y55" t="str">
            <v xml:space="preserve"> </v>
          </cell>
        </row>
        <row r="56">
          <cell r="E56" t="str">
            <v>Ｃグロー部品</v>
          </cell>
          <cell r="F56" t="str">
            <v>PP504</v>
          </cell>
          <cell r="G56" t="str">
            <v>数量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110000</v>
          </cell>
          <cell r="N56">
            <v>0</v>
          </cell>
          <cell r="O56">
            <v>110000</v>
          </cell>
          <cell r="P56" t="str">
            <v>金額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25420000</v>
          </cell>
          <cell r="W56">
            <v>0</v>
          </cell>
          <cell r="X56">
            <v>25420000</v>
          </cell>
          <cell r="Y56" t="str">
            <v xml:space="preserve"> </v>
          </cell>
        </row>
        <row r="57">
          <cell r="E57" t="str">
            <v>プラグ部品</v>
          </cell>
          <cell r="F57" t="str">
            <v>PP5</v>
          </cell>
          <cell r="G57" t="str">
            <v>数量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40622539</v>
          </cell>
          <cell r="N57">
            <v>5070780</v>
          </cell>
          <cell r="O57">
            <v>40622539</v>
          </cell>
          <cell r="P57" t="str">
            <v>金額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714802737</v>
          </cell>
          <cell r="W57">
            <v>212820661</v>
          </cell>
          <cell r="X57">
            <v>714802737</v>
          </cell>
          <cell r="Y57" t="str">
            <v xml:space="preserve"> </v>
          </cell>
        </row>
        <row r="58">
          <cell r="E58" t="str">
            <v>プラグ</v>
          </cell>
          <cell r="F58" t="str">
            <v>PP</v>
          </cell>
          <cell r="G58" t="str">
            <v>数量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41324661</v>
          </cell>
          <cell r="N58">
            <v>5142268</v>
          </cell>
          <cell r="O58">
            <v>41324661</v>
          </cell>
          <cell r="P58" t="str">
            <v>金額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789016963</v>
          </cell>
          <cell r="W58">
            <v>219459467</v>
          </cell>
          <cell r="X58">
            <v>789016963</v>
          </cell>
          <cell r="Y58" t="str">
            <v xml:space="preserve"> </v>
          </cell>
        </row>
        <row r="59">
          <cell r="E59" t="str">
            <v>ジルコニア半製品</v>
          </cell>
          <cell r="F59" t="str">
            <v>PX11100</v>
          </cell>
          <cell r="G59" t="str">
            <v>数量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119800</v>
          </cell>
          <cell r="N59">
            <v>1000</v>
          </cell>
          <cell r="O59">
            <v>119800</v>
          </cell>
          <cell r="P59" t="str">
            <v>金額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90687000</v>
          </cell>
          <cell r="W59">
            <v>561000</v>
          </cell>
          <cell r="X59">
            <v>90687000</v>
          </cell>
          <cell r="Y59" t="str">
            <v xml:space="preserve"> </v>
          </cell>
        </row>
        <row r="60">
          <cell r="E60" t="str">
            <v>ジルコニア完成品</v>
          </cell>
          <cell r="F60" t="str">
            <v>PX11101</v>
          </cell>
          <cell r="G60" t="str">
            <v>数量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7200</v>
          </cell>
          <cell r="N60">
            <v>7200</v>
          </cell>
          <cell r="O60">
            <v>7200</v>
          </cell>
          <cell r="P60" t="str">
            <v>金額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8596800</v>
          </cell>
          <cell r="W60">
            <v>8596800</v>
          </cell>
          <cell r="X60">
            <v>8596800</v>
          </cell>
          <cell r="Y60" t="str">
            <v xml:space="preserve"> </v>
          </cell>
        </row>
        <row r="61">
          <cell r="E61" t="str">
            <v>ジルコニア部品</v>
          </cell>
          <cell r="F61" t="str">
            <v>PX11102</v>
          </cell>
          <cell r="G61" t="str">
            <v>数量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3960879</v>
          </cell>
          <cell r="N61">
            <v>3283607</v>
          </cell>
          <cell r="O61">
            <v>3960879</v>
          </cell>
          <cell r="P61" t="str">
            <v>金額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222146713</v>
          </cell>
          <cell r="W61">
            <v>189350713</v>
          </cell>
          <cell r="X61">
            <v>222146713</v>
          </cell>
          <cell r="Y61" t="str">
            <v xml:space="preserve"> </v>
          </cell>
        </row>
        <row r="62">
          <cell r="E62" t="str">
            <v>ジルコニア素子</v>
          </cell>
          <cell r="F62" t="str">
            <v>PX11104</v>
          </cell>
          <cell r="G62" t="str">
            <v>数量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702000</v>
          </cell>
          <cell r="N62">
            <v>702000</v>
          </cell>
          <cell r="O62">
            <v>702000</v>
          </cell>
          <cell r="P62" t="str">
            <v>金額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243072720</v>
          </cell>
          <cell r="W62">
            <v>243072720</v>
          </cell>
          <cell r="X62">
            <v>243072720</v>
          </cell>
          <cell r="Y62" t="str">
            <v xml:space="preserve"> </v>
          </cell>
        </row>
        <row r="63">
          <cell r="E63" t="str">
            <v>チタニア</v>
          </cell>
          <cell r="F63" t="str">
            <v>PX11105</v>
          </cell>
          <cell r="G63" t="str">
            <v>数量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25820</v>
          </cell>
          <cell r="N63">
            <v>0</v>
          </cell>
          <cell r="O63">
            <v>25820</v>
          </cell>
          <cell r="P63" t="str">
            <v>金額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34839380</v>
          </cell>
          <cell r="W63">
            <v>0</v>
          </cell>
          <cell r="X63">
            <v>34839380</v>
          </cell>
          <cell r="Y63" t="str">
            <v xml:space="preserve"> </v>
          </cell>
        </row>
        <row r="64">
          <cell r="E64" t="str">
            <v>厚膜センサＮＧＫ</v>
          </cell>
          <cell r="F64" t="str">
            <v>PX11125</v>
          </cell>
          <cell r="G64" t="str">
            <v>数量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700</v>
          </cell>
          <cell r="N64">
            <v>0</v>
          </cell>
          <cell r="O64">
            <v>700</v>
          </cell>
          <cell r="P64" t="str">
            <v>金額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2283400</v>
          </cell>
          <cell r="W64">
            <v>0</v>
          </cell>
          <cell r="X64">
            <v>2283400</v>
          </cell>
          <cell r="Y64" t="str">
            <v xml:space="preserve"> </v>
          </cell>
        </row>
        <row r="65">
          <cell r="E65" t="str">
            <v>酸素センサー</v>
          </cell>
          <cell r="F65" t="str">
            <v>PX111</v>
          </cell>
          <cell r="G65" t="str">
            <v>数量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4816399</v>
          </cell>
          <cell r="N65">
            <v>3993807</v>
          </cell>
          <cell r="O65">
            <v>4816399</v>
          </cell>
          <cell r="P65" t="str">
            <v>金額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601626013</v>
          </cell>
          <cell r="W65">
            <v>441581233</v>
          </cell>
          <cell r="X65">
            <v>601626013</v>
          </cell>
          <cell r="Y65" t="str">
            <v xml:space="preserve"> </v>
          </cell>
        </row>
        <row r="66">
          <cell r="E66" t="str">
            <v>センサ－</v>
          </cell>
          <cell r="F66" t="str">
            <v>PX1</v>
          </cell>
          <cell r="G66" t="str">
            <v>数量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4816399</v>
          </cell>
          <cell r="N66">
            <v>3993807</v>
          </cell>
          <cell r="O66">
            <v>4816399</v>
          </cell>
          <cell r="P66" t="str">
            <v>金額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601626013</v>
          </cell>
          <cell r="W66">
            <v>441581233</v>
          </cell>
          <cell r="X66">
            <v>601626013</v>
          </cell>
          <cell r="Y66" t="str">
            <v xml:space="preserve"> </v>
          </cell>
        </row>
        <row r="67">
          <cell r="E67" t="str">
            <v>抵抗入キャップ</v>
          </cell>
          <cell r="F67" t="str">
            <v>PX51105</v>
          </cell>
          <cell r="G67" t="str">
            <v>数量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1250</v>
          </cell>
          <cell r="N67">
            <v>0</v>
          </cell>
          <cell r="O67">
            <v>1250</v>
          </cell>
          <cell r="P67" t="str">
            <v>金額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144804</v>
          </cell>
          <cell r="W67">
            <v>0</v>
          </cell>
          <cell r="X67">
            <v>144804</v>
          </cell>
          <cell r="Y67" t="str">
            <v xml:space="preserve"> </v>
          </cell>
        </row>
        <row r="68">
          <cell r="E68" t="str">
            <v>その他</v>
          </cell>
          <cell r="F68" t="str">
            <v>PX51190</v>
          </cell>
          <cell r="G68" t="str">
            <v>数量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1</v>
          </cell>
          <cell r="N68">
            <v>0</v>
          </cell>
          <cell r="O68">
            <v>1</v>
          </cell>
          <cell r="P68" t="str">
            <v>金額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21346</v>
          </cell>
          <cell r="W68">
            <v>0</v>
          </cell>
          <cell r="X68">
            <v>21346</v>
          </cell>
          <cell r="Y68" t="str">
            <v xml:space="preserve"> </v>
          </cell>
        </row>
        <row r="69">
          <cell r="E69" t="str">
            <v>部　品</v>
          </cell>
          <cell r="F69" t="str">
            <v>PX51195</v>
          </cell>
          <cell r="G69" t="str">
            <v>数量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960000</v>
          </cell>
          <cell r="N69">
            <v>960000</v>
          </cell>
          <cell r="O69">
            <v>960000</v>
          </cell>
          <cell r="P69" t="str">
            <v>金額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5811000</v>
          </cell>
          <cell r="W69">
            <v>5811000</v>
          </cell>
          <cell r="X69">
            <v>5811000</v>
          </cell>
          <cell r="Y69" t="str">
            <v xml:space="preserve"> </v>
          </cell>
        </row>
        <row r="70">
          <cell r="E70" t="str">
            <v>プラグキャップ</v>
          </cell>
          <cell r="F70" t="str">
            <v>PX511</v>
          </cell>
          <cell r="G70" t="str">
            <v>数量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961251</v>
          </cell>
          <cell r="N70">
            <v>960000</v>
          </cell>
          <cell r="O70">
            <v>961251</v>
          </cell>
          <cell r="P70" t="str">
            <v>金額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5977150</v>
          </cell>
          <cell r="W70">
            <v>5811000</v>
          </cell>
          <cell r="X70">
            <v>5977150</v>
          </cell>
          <cell r="Y70" t="str">
            <v xml:space="preserve"> </v>
          </cell>
        </row>
        <row r="71">
          <cell r="E71" t="str">
            <v>プラグコード</v>
          </cell>
          <cell r="F71" t="str">
            <v>PX52101</v>
          </cell>
          <cell r="G71" t="str">
            <v>数量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422</v>
          </cell>
          <cell r="N71">
            <v>0</v>
          </cell>
          <cell r="O71">
            <v>422</v>
          </cell>
          <cell r="P71" t="str">
            <v>金額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736070</v>
          </cell>
          <cell r="W71">
            <v>0</v>
          </cell>
          <cell r="X71">
            <v>736070</v>
          </cell>
          <cell r="Y71" t="str">
            <v xml:space="preserve"> </v>
          </cell>
        </row>
        <row r="72">
          <cell r="E72" t="str">
            <v>パワーケーブル</v>
          </cell>
          <cell r="F72" t="str">
            <v>PX52130</v>
          </cell>
          <cell r="G72" t="str">
            <v>数量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188</v>
          </cell>
          <cell r="N72">
            <v>0</v>
          </cell>
          <cell r="O72">
            <v>188</v>
          </cell>
          <cell r="P72" t="str">
            <v>金額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1270900</v>
          </cell>
          <cell r="W72">
            <v>0</v>
          </cell>
          <cell r="X72">
            <v>1270900</v>
          </cell>
          <cell r="Y72" t="str">
            <v xml:space="preserve"> </v>
          </cell>
        </row>
        <row r="73">
          <cell r="E73" t="str">
            <v>部　品</v>
          </cell>
          <cell r="F73" t="str">
            <v>PX52195</v>
          </cell>
          <cell r="G73" t="str">
            <v>数量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90000</v>
          </cell>
          <cell r="N73">
            <v>0</v>
          </cell>
          <cell r="O73">
            <v>90000</v>
          </cell>
          <cell r="P73" t="str">
            <v>金額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7640000</v>
          </cell>
          <cell r="W73">
            <v>0</v>
          </cell>
          <cell r="X73">
            <v>7640000</v>
          </cell>
          <cell r="Y73" t="str">
            <v xml:space="preserve"> </v>
          </cell>
        </row>
        <row r="74">
          <cell r="E74" t="str">
            <v>プラグコード</v>
          </cell>
          <cell r="F74" t="str">
            <v>PX521</v>
          </cell>
          <cell r="G74" t="str">
            <v>数量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90610</v>
          </cell>
          <cell r="N74">
            <v>0</v>
          </cell>
          <cell r="O74">
            <v>90610</v>
          </cell>
          <cell r="P74" t="str">
            <v>金額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9646970</v>
          </cell>
          <cell r="W74">
            <v>0</v>
          </cell>
          <cell r="X74">
            <v>9646970</v>
          </cell>
          <cell r="Y74" t="str">
            <v xml:space="preserve"> </v>
          </cell>
        </row>
        <row r="75">
          <cell r="E75" t="str">
            <v>その他</v>
          </cell>
          <cell r="F75" t="str">
            <v>PX59090</v>
          </cell>
          <cell r="G75" t="str">
            <v>数量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234000</v>
          </cell>
          <cell r="N75">
            <v>0</v>
          </cell>
          <cell r="O75">
            <v>234000</v>
          </cell>
          <cell r="P75" t="str">
            <v>金額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93600</v>
          </cell>
          <cell r="W75">
            <v>0</v>
          </cell>
          <cell r="X75">
            <v>93600</v>
          </cell>
          <cell r="Y75" t="str">
            <v xml:space="preserve"> </v>
          </cell>
        </row>
        <row r="76">
          <cell r="E76" t="str">
            <v>その他</v>
          </cell>
          <cell r="F76" t="str">
            <v>PX590</v>
          </cell>
          <cell r="G76" t="str">
            <v>数量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234000</v>
          </cell>
          <cell r="N76">
            <v>0</v>
          </cell>
          <cell r="O76">
            <v>234000</v>
          </cell>
          <cell r="P76" t="str">
            <v>金額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93600</v>
          </cell>
          <cell r="W76">
            <v>0</v>
          </cell>
          <cell r="X76">
            <v>93600</v>
          </cell>
          <cell r="Y76" t="str">
            <v xml:space="preserve"> </v>
          </cell>
        </row>
        <row r="77">
          <cell r="E77" t="str">
            <v>プ事機械設備</v>
          </cell>
          <cell r="F77" t="str">
            <v>PX59501</v>
          </cell>
          <cell r="G77" t="str">
            <v>数量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604</v>
          </cell>
          <cell r="N77">
            <v>0</v>
          </cell>
          <cell r="O77">
            <v>604</v>
          </cell>
          <cell r="P77" t="str">
            <v>金額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11047505</v>
          </cell>
          <cell r="W77">
            <v>0</v>
          </cell>
          <cell r="X77">
            <v>11047505</v>
          </cell>
          <cell r="Y77" t="str">
            <v xml:space="preserve"> </v>
          </cell>
        </row>
        <row r="78">
          <cell r="E78" t="str">
            <v>プ事部品</v>
          </cell>
          <cell r="F78" t="str">
            <v>PX59551</v>
          </cell>
          <cell r="G78" t="str">
            <v>数量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188</v>
          </cell>
          <cell r="N78">
            <v>0</v>
          </cell>
          <cell r="O78">
            <v>188</v>
          </cell>
          <cell r="P78" t="str">
            <v>金額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7395845</v>
          </cell>
          <cell r="W78">
            <v>0</v>
          </cell>
          <cell r="X78">
            <v>7395845</v>
          </cell>
          <cell r="Y78" t="str">
            <v xml:space="preserve"> </v>
          </cell>
        </row>
        <row r="79">
          <cell r="E79" t="str">
            <v>機械設備</v>
          </cell>
          <cell r="F79" t="str">
            <v>PX595</v>
          </cell>
          <cell r="G79" t="str">
            <v>数量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792</v>
          </cell>
          <cell r="N79">
            <v>0</v>
          </cell>
          <cell r="O79">
            <v>792</v>
          </cell>
          <cell r="P79" t="str">
            <v>金額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18443350</v>
          </cell>
          <cell r="W79">
            <v>0</v>
          </cell>
          <cell r="X79">
            <v>18443350</v>
          </cell>
          <cell r="Y79" t="str">
            <v xml:space="preserve"> </v>
          </cell>
        </row>
        <row r="80">
          <cell r="E80" t="str">
            <v>セ事機械設備</v>
          </cell>
          <cell r="F80" t="str">
            <v>PX59601</v>
          </cell>
          <cell r="G80" t="str">
            <v>数量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2</v>
          </cell>
          <cell r="N80">
            <v>0</v>
          </cell>
          <cell r="O80">
            <v>2</v>
          </cell>
          <cell r="P80" t="str">
            <v>金額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70448800</v>
          </cell>
          <cell r="W80">
            <v>0</v>
          </cell>
          <cell r="X80">
            <v>70448800</v>
          </cell>
          <cell r="Y80" t="str">
            <v xml:space="preserve"> </v>
          </cell>
        </row>
        <row r="81">
          <cell r="E81" t="str">
            <v>セ事部品</v>
          </cell>
          <cell r="F81" t="str">
            <v>PX59651</v>
          </cell>
          <cell r="G81" t="str">
            <v>数量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130</v>
          </cell>
          <cell r="N81">
            <v>0</v>
          </cell>
          <cell r="O81">
            <v>130</v>
          </cell>
          <cell r="P81" t="str">
            <v>金額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7050892</v>
          </cell>
          <cell r="W81">
            <v>0</v>
          </cell>
          <cell r="X81">
            <v>7050892</v>
          </cell>
          <cell r="Y81" t="str">
            <v xml:space="preserve"> </v>
          </cell>
        </row>
        <row r="82">
          <cell r="E82" t="str">
            <v>セ事機械設備</v>
          </cell>
          <cell r="F82" t="str">
            <v>PX596</v>
          </cell>
          <cell r="G82" t="str">
            <v>数量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132</v>
          </cell>
          <cell r="N82">
            <v>0</v>
          </cell>
          <cell r="O82">
            <v>132</v>
          </cell>
          <cell r="P82" t="str">
            <v>金額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77499692</v>
          </cell>
          <cell r="W82">
            <v>0</v>
          </cell>
          <cell r="X82">
            <v>77499692</v>
          </cell>
          <cell r="Y82" t="str">
            <v xml:space="preserve"> </v>
          </cell>
        </row>
        <row r="83">
          <cell r="E83" t="str">
            <v>関連品その他</v>
          </cell>
          <cell r="F83" t="str">
            <v>PX5</v>
          </cell>
          <cell r="G83" t="str">
            <v>数量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1286785</v>
          </cell>
          <cell r="N83">
            <v>960000</v>
          </cell>
          <cell r="O83">
            <v>1286785</v>
          </cell>
          <cell r="P83" t="str">
            <v>金額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111660762</v>
          </cell>
          <cell r="W83">
            <v>5811000</v>
          </cell>
          <cell r="X83">
            <v>111660762</v>
          </cell>
          <cell r="Y83" t="str">
            <v xml:space="preserve"> </v>
          </cell>
        </row>
        <row r="84">
          <cell r="E84" t="str">
            <v>雨用バルク</v>
          </cell>
          <cell r="F84" t="str">
            <v>PX90405</v>
          </cell>
          <cell r="G84" t="str">
            <v>数量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1000</v>
          </cell>
          <cell r="N84">
            <v>0</v>
          </cell>
          <cell r="O84">
            <v>1000</v>
          </cell>
          <cell r="P84" t="str">
            <v>金額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321000</v>
          </cell>
          <cell r="W84">
            <v>0</v>
          </cell>
          <cell r="X84">
            <v>321000</v>
          </cell>
          <cell r="Y84" t="str">
            <v xml:space="preserve"> </v>
          </cell>
        </row>
        <row r="85">
          <cell r="E85" t="str">
            <v>ワイパーブレード</v>
          </cell>
          <cell r="F85" t="str">
            <v>PX904</v>
          </cell>
          <cell r="G85" t="str">
            <v>数量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1000</v>
          </cell>
          <cell r="N85">
            <v>0</v>
          </cell>
          <cell r="O85">
            <v>1000</v>
          </cell>
          <cell r="P85" t="str">
            <v>金額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321000</v>
          </cell>
          <cell r="W85">
            <v>0</v>
          </cell>
          <cell r="X85">
            <v>321000</v>
          </cell>
          <cell r="Y85" t="str">
            <v xml:space="preserve"> </v>
          </cell>
        </row>
        <row r="86">
          <cell r="E86" t="str">
            <v>仕入商品</v>
          </cell>
          <cell r="F86" t="str">
            <v>PX9</v>
          </cell>
          <cell r="G86" t="str">
            <v>数量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1000</v>
          </cell>
          <cell r="N86">
            <v>0</v>
          </cell>
          <cell r="O86">
            <v>1000</v>
          </cell>
          <cell r="P86" t="str">
            <v>金額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321000</v>
          </cell>
          <cell r="W86">
            <v>0</v>
          </cell>
          <cell r="X86">
            <v>321000</v>
          </cell>
          <cell r="Y86" t="str">
            <v xml:space="preserve"> </v>
          </cell>
        </row>
        <row r="87">
          <cell r="E87" t="str">
            <v>関連品</v>
          </cell>
          <cell r="F87" t="str">
            <v>PX</v>
          </cell>
          <cell r="G87" t="str">
            <v>数量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6104184</v>
          </cell>
          <cell r="N87">
            <v>4953807</v>
          </cell>
          <cell r="O87">
            <v>6104184</v>
          </cell>
          <cell r="P87" t="str">
            <v>金額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713607775</v>
          </cell>
          <cell r="W87">
            <v>447392233</v>
          </cell>
          <cell r="X87">
            <v>713607775</v>
          </cell>
          <cell r="Y87" t="str">
            <v xml:space="preserve"> </v>
          </cell>
        </row>
        <row r="88">
          <cell r="F88" t="str">
            <v xml:space="preserve"> </v>
          </cell>
          <cell r="G88" t="str">
            <v>数量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47428845</v>
          </cell>
          <cell r="N88">
            <v>10096075</v>
          </cell>
          <cell r="O88">
            <v>47428845</v>
          </cell>
          <cell r="P88" t="str">
            <v>金額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1502624738</v>
          </cell>
          <cell r="W88">
            <v>666851700</v>
          </cell>
          <cell r="X88">
            <v>1502624738</v>
          </cell>
          <cell r="Y88" t="str">
            <v xml:space="preserve"> </v>
          </cell>
        </row>
      </sheetData>
      <sheetData sheetId="2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レギュラー</v>
          </cell>
          <cell r="F2" t="str">
            <v>PP10101</v>
          </cell>
          <cell r="G2" t="str">
            <v>数量</v>
          </cell>
          <cell r="H2">
            <v>139638</v>
          </cell>
          <cell r="I2">
            <v>148156</v>
          </cell>
          <cell r="J2">
            <v>635</v>
          </cell>
          <cell r="K2">
            <v>153310</v>
          </cell>
          <cell r="L2">
            <v>302101</v>
          </cell>
          <cell r="M2">
            <v>7147181</v>
          </cell>
          <cell r="N2">
            <v>73000</v>
          </cell>
          <cell r="O2">
            <v>7588920</v>
          </cell>
          <cell r="P2" t="str">
            <v>金額</v>
          </cell>
          <cell r="Q2">
            <v>4799546</v>
          </cell>
          <cell r="R2">
            <v>25897903</v>
          </cell>
          <cell r="S2">
            <v>115515</v>
          </cell>
          <cell r="T2">
            <v>25570266</v>
          </cell>
          <cell r="U2">
            <v>51583684</v>
          </cell>
          <cell r="V2">
            <v>497498676</v>
          </cell>
          <cell r="W2">
            <v>2617410</v>
          </cell>
          <cell r="X2">
            <v>553881906</v>
          </cell>
          <cell r="Y2" t="str">
            <v xml:space="preserve"> </v>
          </cell>
        </row>
        <row r="3">
          <cell r="E3" t="str">
            <v>グリーン</v>
          </cell>
          <cell r="F3" t="str">
            <v>PP10103</v>
          </cell>
          <cell r="G3" t="str">
            <v>数量</v>
          </cell>
          <cell r="H3">
            <v>9274</v>
          </cell>
          <cell r="I3">
            <v>7695</v>
          </cell>
          <cell r="J3">
            <v>28</v>
          </cell>
          <cell r="K3">
            <v>5525</v>
          </cell>
          <cell r="L3">
            <v>13248</v>
          </cell>
          <cell r="M3">
            <v>289211</v>
          </cell>
          <cell r="N3">
            <v>12000</v>
          </cell>
          <cell r="O3">
            <v>311733</v>
          </cell>
          <cell r="P3" t="str">
            <v>金額</v>
          </cell>
          <cell r="Q3">
            <v>505750</v>
          </cell>
          <cell r="R3">
            <v>1369264</v>
          </cell>
          <cell r="S3">
            <v>4900</v>
          </cell>
          <cell r="T3">
            <v>938436</v>
          </cell>
          <cell r="U3">
            <v>2312600</v>
          </cell>
          <cell r="V3">
            <v>21091460</v>
          </cell>
          <cell r="W3">
            <v>240000</v>
          </cell>
          <cell r="X3">
            <v>23909810</v>
          </cell>
          <cell r="Y3" t="str">
            <v xml:space="preserve"> </v>
          </cell>
        </row>
        <row r="4">
          <cell r="E4" t="str">
            <v>標準タイプ</v>
          </cell>
          <cell r="F4" t="str">
            <v>PP101</v>
          </cell>
          <cell r="G4" t="str">
            <v>数量</v>
          </cell>
          <cell r="H4">
            <v>148912</v>
          </cell>
          <cell r="I4">
            <v>155851</v>
          </cell>
          <cell r="J4">
            <v>663</v>
          </cell>
          <cell r="K4">
            <v>158835</v>
          </cell>
          <cell r="L4">
            <v>315349</v>
          </cell>
          <cell r="M4">
            <v>7436392</v>
          </cell>
          <cell r="N4">
            <v>85000</v>
          </cell>
          <cell r="O4">
            <v>7900653</v>
          </cell>
          <cell r="P4" t="str">
            <v>金額</v>
          </cell>
          <cell r="Q4">
            <v>5305296</v>
          </cell>
          <cell r="R4">
            <v>27267167</v>
          </cell>
          <cell r="S4">
            <v>120415</v>
          </cell>
          <cell r="T4">
            <v>26508702</v>
          </cell>
          <cell r="U4">
            <v>53896284</v>
          </cell>
          <cell r="V4">
            <v>518590136</v>
          </cell>
          <cell r="W4">
            <v>2857410</v>
          </cell>
          <cell r="X4">
            <v>577791716</v>
          </cell>
          <cell r="Y4" t="str">
            <v xml:space="preserve"> </v>
          </cell>
        </row>
        <row r="5">
          <cell r="E5" t="str">
            <v>抵抗入レギュラー</v>
          </cell>
          <cell r="F5" t="str">
            <v>PP12601</v>
          </cell>
          <cell r="G5" t="str">
            <v>数量</v>
          </cell>
          <cell r="H5">
            <v>895901</v>
          </cell>
          <cell r="I5">
            <v>252406</v>
          </cell>
          <cell r="J5">
            <v>416</v>
          </cell>
          <cell r="K5">
            <v>331836</v>
          </cell>
          <cell r="L5">
            <v>584658</v>
          </cell>
          <cell r="M5">
            <v>6114539</v>
          </cell>
          <cell r="N5">
            <v>601790</v>
          </cell>
          <cell r="O5">
            <v>7595098</v>
          </cell>
          <cell r="P5" t="str">
            <v>金額</v>
          </cell>
          <cell r="Q5">
            <v>54571220</v>
          </cell>
          <cell r="R5">
            <v>60084713</v>
          </cell>
          <cell r="S5">
            <v>106226</v>
          </cell>
          <cell r="T5">
            <v>76179964</v>
          </cell>
          <cell r="U5">
            <v>136370903</v>
          </cell>
          <cell r="V5">
            <v>506084171</v>
          </cell>
          <cell r="W5">
            <v>29161555</v>
          </cell>
          <cell r="X5">
            <v>697026294</v>
          </cell>
          <cell r="Y5" t="str">
            <v xml:space="preserve"> </v>
          </cell>
        </row>
        <row r="6">
          <cell r="E6" t="str">
            <v>抵抗入グリーン</v>
          </cell>
          <cell r="F6" t="str">
            <v>PP12602</v>
          </cell>
          <cell r="G6" t="str">
            <v>数量</v>
          </cell>
          <cell r="H6">
            <v>815630</v>
          </cell>
          <cell r="I6">
            <v>260238</v>
          </cell>
          <cell r="J6">
            <v>1464</v>
          </cell>
          <cell r="K6">
            <v>895996</v>
          </cell>
          <cell r="L6">
            <v>1157698</v>
          </cell>
          <cell r="M6">
            <v>2791353</v>
          </cell>
          <cell r="N6">
            <v>14000</v>
          </cell>
          <cell r="O6">
            <v>4764681</v>
          </cell>
          <cell r="P6" t="str">
            <v>金額</v>
          </cell>
          <cell r="Q6">
            <v>46241674</v>
          </cell>
          <cell r="R6">
            <v>60410883</v>
          </cell>
          <cell r="S6">
            <v>357151</v>
          </cell>
          <cell r="T6">
            <v>176866624</v>
          </cell>
          <cell r="U6">
            <v>237634658</v>
          </cell>
          <cell r="V6">
            <v>235280746</v>
          </cell>
          <cell r="W6">
            <v>973000</v>
          </cell>
          <cell r="X6">
            <v>519157078</v>
          </cell>
          <cell r="Y6" t="str">
            <v xml:space="preserve"> </v>
          </cell>
        </row>
        <row r="7">
          <cell r="E7" t="str">
            <v>Ｖパワー</v>
          </cell>
          <cell r="F7" t="str">
            <v>PP12603</v>
          </cell>
          <cell r="G7" t="str">
            <v>数量</v>
          </cell>
          <cell r="H7">
            <v>0</v>
          </cell>
          <cell r="I7">
            <v>48</v>
          </cell>
          <cell r="J7">
            <v>0</v>
          </cell>
          <cell r="K7">
            <v>0</v>
          </cell>
          <cell r="L7">
            <v>48</v>
          </cell>
          <cell r="M7">
            <v>441400</v>
          </cell>
          <cell r="N7">
            <v>0</v>
          </cell>
          <cell r="O7">
            <v>441448</v>
          </cell>
          <cell r="P7" t="str">
            <v>金額</v>
          </cell>
          <cell r="Q7">
            <v>0</v>
          </cell>
          <cell r="R7">
            <v>17672</v>
          </cell>
          <cell r="S7">
            <v>0</v>
          </cell>
          <cell r="T7">
            <v>0</v>
          </cell>
          <cell r="U7">
            <v>17672</v>
          </cell>
          <cell r="V7">
            <v>30234792</v>
          </cell>
          <cell r="W7">
            <v>0</v>
          </cell>
          <cell r="X7">
            <v>30252464</v>
          </cell>
          <cell r="Y7" t="str">
            <v xml:space="preserve"> </v>
          </cell>
        </row>
        <row r="8">
          <cell r="E8" t="str">
            <v>小型プラグ</v>
          </cell>
          <cell r="F8" t="str">
            <v>PP12604</v>
          </cell>
          <cell r="G8" t="str">
            <v>数量</v>
          </cell>
          <cell r="H8">
            <v>201976</v>
          </cell>
          <cell r="I8">
            <v>28750</v>
          </cell>
          <cell r="J8">
            <v>633</v>
          </cell>
          <cell r="K8">
            <v>11679</v>
          </cell>
          <cell r="L8">
            <v>41062</v>
          </cell>
          <cell r="M8">
            <v>1085100</v>
          </cell>
          <cell r="N8">
            <v>280100</v>
          </cell>
          <cell r="O8">
            <v>1328138</v>
          </cell>
          <cell r="P8" t="str">
            <v>金額</v>
          </cell>
          <cell r="Q8">
            <v>11418437</v>
          </cell>
          <cell r="R8">
            <v>4948691</v>
          </cell>
          <cell r="S8">
            <v>105205</v>
          </cell>
          <cell r="T8">
            <v>2016394</v>
          </cell>
          <cell r="U8">
            <v>7070290</v>
          </cell>
          <cell r="V8">
            <v>62392227</v>
          </cell>
          <cell r="W8">
            <v>8038500</v>
          </cell>
          <cell r="X8">
            <v>80880954</v>
          </cell>
          <cell r="Y8" t="str">
            <v xml:space="preserve"> </v>
          </cell>
        </row>
        <row r="9">
          <cell r="E9" t="str">
            <v>抵抗入ロングリチ</v>
          </cell>
          <cell r="F9" t="str">
            <v>PP12608</v>
          </cell>
          <cell r="G9" t="str">
            <v>数量</v>
          </cell>
          <cell r="H9">
            <v>36168</v>
          </cell>
          <cell r="I9">
            <v>0</v>
          </cell>
          <cell r="J9">
            <v>0</v>
          </cell>
          <cell r="K9">
            <v>671</v>
          </cell>
          <cell r="L9">
            <v>671</v>
          </cell>
          <cell r="M9">
            <v>8980</v>
          </cell>
          <cell r="N9">
            <v>0</v>
          </cell>
          <cell r="O9">
            <v>45819</v>
          </cell>
          <cell r="P9" t="str">
            <v>金額</v>
          </cell>
          <cell r="Q9">
            <v>2785472</v>
          </cell>
          <cell r="R9">
            <v>0</v>
          </cell>
          <cell r="S9">
            <v>0</v>
          </cell>
          <cell r="T9">
            <v>193631</v>
          </cell>
          <cell r="U9">
            <v>193631</v>
          </cell>
          <cell r="V9">
            <v>1330580</v>
          </cell>
          <cell r="W9">
            <v>0</v>
          </cell>
          <cell r="X9">
            <v>4309683</v>
          </cell>
          <cell r="Y9" t="str">
            <v xml:space="preserve"> </v>
          </cell>
        </row>
        <row r="10">
          <cell r="E10" t="str">
            <v>突き出し</v>
          </cell>
          <cell r="F10" t="str">
            <v>PP12610</v>
          </cell>
          <cell r="G10" t="str">
            <v>数量</v>
          </cell>
          <cell r="H10">
            <v>205464</v>
          </cell>
          <cell r="I10">
            <v>36695</v>
          </cell>
          <cell r="J10">
            <v>72</v>
          </cell>
          <cell r="K10">
            <v>123513</v>
          </cell>
          <cell r="L10">
            <v>160280</v>
          </cell>
          <cell r="M10">
            <v>605991</v>
          </cell>
          <cell r="N10">
            <v>24480</v>
          </cell>
          <cell r="O10">
            <v>971735</v>
          </cell>
          <cell r="P10" t="str">
            <v>金額</v>
          </cell>
          <cell r="Q10">
            <v>16086479</v>
          </cell>
          <cell r="R10">
            <v>10877906</v>
          </cell>
          <cell r="S10">
            <v>21740</v>
          </cell>
          <cell r="T10">
            <v>36284514</v>
          </cell>
          <cell r="U10">
            <v>47184160</v>
          </cell>
          <cell r="V10">
            <v>62587181</v>
          </cell>
          <cell r="W10">
            <v>1309176</v>
          </cell>
          <cell r="X10">
            <v>125857820</v>
          </cell>
          <cell r="Y10" t="str">
            <v xml:space="preserve"> </v>
          </cell>
        </row>
        <row r="11">
          <cell r="E11" t="str">
            <v>沿　面</v>
          </cell>
          <cell r="F11" t="str">
            <v>PP12612</v>
          </cell>
          <cell r="G11" t="str">
            <v>数量</v>
          </cell>
          <cell r="H11">
            <v>0</v>
          </cell>
          <cell r="I11">
            <v>94</v>
          </cell>
          <cell r="J11">
            <v>0</v>
          </cell>
          <cell r="K11">
            <v>0</v>
          </cell>
          <cell r="L11">
            <v>94</v>
          </cell>
          <cell r="M11">
            <v>33170</v>
          </cell>
          <cell r="N11">
            <v>0</v>
          </cell>
          <cell r="O11">
            <v>33264</v>
          </cell>
          <cell r="P11" t="str">
            <v>金額</v>
          </cell>
          <cell r="Q11">
            <v>0</v>
          </cell>
          <cell r="R11">
            <v>40440</v>
          </cell>
          <cell r="S11">
            <v>0</v>
          </cell>
          <cell r="T11">
            <v>0</v>
          </cell>
          <cell r="U11">
            <v>40440</v>
          </cell>
          <cell r="V11">
            <v>4474350</v>
          </cell>
          <cell r="W11">
            <v>0</v>
          </cell>
          <cell r="X11">
            <v>4514790</v>
          </cell>
          <cell r="Y11" t="str">
            <v xml:space="preserve"> </v>
          </cell>
        </row>
        <row r="12">
          <cell r="E12" t="str">
            <v>セミ沿面</v>
          </cell>
          <cell r="F12" t="str">
            <v>PP12614</v>
          </cell>
          <cell r="G12" t="str">
            <v>数量</v>
          </cell>
          <cell r="H12">
            <v>1100</v>
          </cell>
          <cell r="I12">
            <v>1551</v>
          </cell>
          <cell r="J12">
            <v>3</v>
          </cell>
          <cell r="K12">
            <v>995</v>
          </cell>
          <cell r="L12">
            <v>2549</v>
          </cell>
          <cell r="M12">
            <v>59480</v>
          </cell>
          <cell r="N12">
            <v>0</v>
          </cell>
          <cell r="O12">
            <v>63129</v>
          </cell>
          <cell r="P12" t="str">
            <v>金額</v>
          </cell>
          <cell r="Q12">
            <v>73700</v>
          </cell>
          <cell r="R12">
            <v>444565</v>
          </cell>
          <cell r="S12">
            <v>780</v>
          </cell>
          <cell r="T12">
            <v>290563</v>
          </cell>
          <cell r="U12">
            <v>735908</v>
          </cell>
          <cell r="V12">
            <v>5423570</v>
          </cell>
          <cell r="W12">
            <v>0</v>
          </cell>
          <cell r="X12">
            <v>6233178</v>
          </cell>
          <cell r="Y12" t="str">
            <v xml:space="preserve"> </v>
          </cell>
        </row>
        <row r="13">
          <cell r="E13" t="str">
            <v>ＨＫ／ＥＫ／ＥＭ</v>
          </cell>
          <cell r="F13" t="str">
            <v>PP12620</v>
          </cell>
          <cell r="G13" t="str">
            <v>数量</v>
          </cell>
          <cell r="H13">
            <v>232216</v>
          </cell>
          <cell r="I13">
            <v>53256</v>
          </cell>
          <cell r="J13">
            <v>60</v>
          </cell>
          <cell r="K13">
            <v>37666</v>
          </cell>
          <cell r="L13">
            <v>90982</v>
          </cell>
          <cell r="M13">
            <v>1111868</v>
          </cell>
          <cell r="N13">
            <v>109760</v>
          </cell>
          <cell r="O13">
            <v>1435066</v>
          </cell>
          <cell r="P13" t="str">
            <v>金額</v>
          </cell>
          <cell r="Q13">
            <v>24644255</v>
          </cell>
          <cell r="R13">
            <v>17953867</v>
          </cell>
          <cell r="S13">
            <v>20890</v>
          </cell>
          <cell r="T13">
            <v>11871645</v>
          </cell>
          <cell r="U13">
            <v>29846402</v>
          </cell>
          <cell r="V13">
            <v>117021425</v>
          </cell>
          <cell r="W13">
            <v>8634510</v>
          </cell>
          <cell r="X13">
            <v>171512082</v>
          </cell>
          <cell r="Y13" t="str">
            <v xml:space="preserve"> </v>
          </cell>
        </row>
        <row r="14">
          <cell r="E14" t="str">
            <v>ＥＴ</v>
          </cell>
          <cell r="F14" t="str">
            <v>PP12621</v>
          </cell>
          <cell r="G14" t="str">
            <v>数量</v>
          </cell>
          <cell r="H14">
            <v>7400</v>
          </cell>
          <cell r="I14">
            <v>1774</v>
          </cell>
          <cell r="J14">
            <v>0</v>
          </cell>
          <cell r="K14">
            <v>69</v>
          </cell>
          <cell r="L14">
            <v>1843</v>
          </cell>
          <cell r="M14">
            <v>1184300</v>
          </cell>
          <cell r="N14">
            <v>229890</v>
          </cell>
          <cell r="O14">
            <v>1193543</v>
          </cell>
          <cell r="P14" t="str">
            <v>金額</v>
          </cell>
          <cell r="Q14">
            <v>999000</v>
          </cell>
          <cell r="R14">
            <v>703720</v>
          </cell>
          <cell r="S14">
            <v>0</v>
          </cell>
          <cell r="T14">
            <v>20408</v>
          </cell>
          <cell r="U14">
            <v>724128</v>
          </cell>
          <cell r="V14">
            <v>134220987</v>
          </cell>
          <cell r="W14">
            <v>15203070</v>
          </cell>
          <cell r="X14">
            <v>135944115</v>
          </cell>
          <cell r="Y14" t="str">
            <v xml:space="preserve"> </v>
          </cell>
        </row>
        <row r="15">
          <cell r="E15" t="str">
            <v>ＥＱ</v>
          </cell>
          <cell r="F15" t="str">
            <v>PP12622</v>
          </cell>
          <cell r="G15" t="str">
            <v>数量</v>
          </cell>
          <cell r="H15">
            <v>288</v>
          </cell>
          <cell r="I15">
            <v>2790</v>
          </cell>
          <cell r="J15">
            <v>12</v>
          </cell>
          <cell r="K15">
            <v>4136</v>
          </cell>
          <cell r="L15">
            <v>6938</v>
          </cell>
          <cell r="M15">
            <v>4580</v>
          </cell>
          <cell r="N15">
            <v>0</v>
          </cell>
          <cell r="O15">
            <v>11806</v>
          </cell>
          <cell r="P15" t="str">
            <v>金額</v>
          </cell>
          <cell r="Q15">
            <v>83520</v>
          </cell>
          <cell r="R15">
            <v>1970940</v>
          </cell>
          <cell r="S15">
            <v>8520</v>
          </cell>
          <cell r="T15">
            <v>2558080</v>
          </cell>
          <cell r="U15">
            <v>4537540</v>
          </cell>
          <cell r="V15">
            <v>1575054</v>
          </cell>
          <cell r="W15">
            <v>0</v>
          </cell>
          <cell r="X15">
            <v>6196114</v>
          </cell>
          <cell r="Y15" t="str">
            <v xml:space="preserve"> </v>
          </cell>
        </row>
        <row r="16">
          <cell r="E16" t="str">
            <v>特殊タイプ</v>
          </cell>
          <cell r="F16" t="str">
            <v>PP12627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2000</v>
          </cell>
          <cell r="L16">
            <v>2000</v>
          </cell>
          <cell r="M16">
            <v>0</v>
          </cell>
          <cell r="N16">
            <v>0</v>
          </cell>
          <cell r="O16">
            <v>2000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920000</v>
          </cell>
          <cell r="U16">
            <v>920000</v>
          </cell>
          <cell r="V16">
            <v>0</v>
          </cell>
          <cell r="W16">
            <v>0</v>
          </cell>
          <cell r="X16">
            <v>920000</v>
          </cell>
          <cell r="Y16" t="str">
            <v xml:space="preserve"> </v>
          </cell>
        </row>
        <row r="17">
          <cell r="E17" t="str">
            <v>農舶用</v>
          </cell>
          <cell r="F17" t="str">
            <v>PP12670</v>
          </cell>
          <cell r="G17" t="str">
            <v>数量</v>
          </cell>
          <cell r="H17">
            <v>0</v>
          </cell>
          <cell r="I17">
            <v>210</v>
          </cell>
          <cell r="J17">
            <v>0</v>
          </cell>
          <cell r="K17">
            <v>12</v>
          </cell>
          <cell r="L17">
            <v>222</v>
          </cell>
          <cell r="M17">
            <v>1360</v>
          </cell>
          <cell r="N17">
            <v>0</v>
          </cell>
          <cell r="O17">
            <v>1582</v>
          </cell>
          <cell r="P17" t="str">
            <v>金額</v>
          </cell>
          <cell r="Q17">
            <v>0</v>
          </cell>
          <cell r="R17">
            <v>68315</v>
          </cell>
          <cell r="S17">
            <v>0</v>
          </cell>
          <cell r="T17">
            <v>3960</v>
          </cell>
          <cell r="U17">
            <v>72275</v>
          </cell>
          <cell r="V17">
            <v>180420</v>
          </cell>
          <cell r="W17">
            <v>0</v>
          </cell>
          <cell r="X17">
            <v>252695</v>
          </cell>
          <cell r="Y17" t="str">
            <v xml:space="preserve"> </v>
          </cell>
        </row>
        <row r="18">
          <cell r="E18" t="str">
            <v>レース用</v>
          </cell>
          <cell r="F18" t="str">
            <v>PP12672</v>
          </cell>
          <cell r="G18" t="str">
            <v>数量</v>
          </cell>
          <cell r="H18">
            <v>3661</v>
          </cell>
          <cell r="I18">
            <v>629</v>
          </cell>
          <cell r="J18">
            <v>0</v>
          </cell>
          <cell r="K18">
            <v>197</v>
          </cell>
          <cell r="L18">
            <v>826</v>
          </cell>
          <cell r="M18">
            <v>78314</v>
          </cell>
          <cell r="N18">
            <v>0</v>
          </cell>
          <cell r="O18">
            <v>82801</v>
          </cell>
          <cell r="P18" t="str">
            <v>金額</v>
          </cell>
          <cell r="Q18">
            <v>449262</v>
          </cell>
          <cell r="R18">
            <v>182375</v>
          </cell>
          <cell r="S18">
            <v>0</v>
          </cell>
          <cell r="T18">
            <v>57882</v>
          </cell>
          <cell r="U18">
            <v>240257</v>
          </cell>
          <cell r="V18">
            <v>11270103</v>
          </cell>
          <cell r="W18">
            <v>0</v>
          </cell>
          <cell r="X18">
            <v>11959622</v>
          </cell>
          <cell r="Y18" t="str">
            <v xml:space="preserve"> </v>
          </cell>
        </row>
        <row r="19">
          <cell r="E19" t="str">
            <v>セミレース用</v>
          </cell>
          <cell r="F19" t="str">
            <v>PP12673</v>
          </cell>
          <cell r="G19" t="str">
            <v>数量</v>
          </cell>
          <cell r="H19">
            <v>622</v>
          </cell>
          <cell r="I19">
            <v>2636</v>
          </cell>
          <cell r="J19">
            <v>0</v>
          </cell>
          <cell r="K19">
            <v>1590</v>
          </cell>
          <cell r="L19">
            <v>4226</v>
          </cell>
          <cell r="M19">
            <v>14168</v>
          </cell>
          <cell r="N19">
            <v>0</v>
          </cell>
          <cell r="O19">
            <v>19016</v>
          </cell>
          <cell r="P19" t="str">
            <v>金額</v>
          </cell>
          <cell r="Q19">
            <v>54480</v>
          </cell>
          <cell r="R19">
            <v>902510</v>
          </cell>
          <cell r="S19">
            <v>0</v>
          </cell>
          <cell r="T19">
            <v>525108</v>
          </cell>
          <cell r="U19">
            <v>1427618</v>
          </cell>
          <cell r="V19">
            <v>2824069</v>
          </cell>
          <cell r="W19">
            <v>0</v>
          </cell>
          <cell r="X19">
            <v>4306167</v>
          </cell>
          <cell r="Y19" t="str">
            <v xml:space="preserve"> </v>
          </cell>
        </row>
        <row r="20">
          <cell r="E20" t="str">
            <v>ジェット</v>
          </cell>
          <cell r="F20" t="str">
            <v>PP12684</v>
          </cell>
          <cell r="G20" t="str">
            <v>数量</v>
          </cell>
          <cell r="H20">
            <v>5</v>
          </cell>
          <cell r="I20">
            <v>12</v>
          </cell>
          <cell r="J20">
            <v>0</v>
          </cell>
          <cell r="K20">
            <v>4</v>
          </cell>
          <cell r="L20">
            <v>16</v>
          </cell>
          <cell r="M20">
            <v>290</v>
          </cell>
          <cell r="N20">
            <v>0</v>
          </cell>
          <cell r="O20">
            <v>311</v>
          </cell>
          <cell r="P20" t="str">
            <v>金額</v>
          </cell>
          <cell r="Q20">
            <v>147800</v>
          </cell>
          <cell r="R20">
            <v>801200</v>
          </cell>
          <cell r="S20">
            <v>0</v>
          </cell>
          <cell r="T20">
            <v>85600</v>
          </cell>
          <cell r="U20">
            <v>886800</v>
          </cell>
          <cell r="V20">
            <v>4012500</v>
          </cell>
          <cell r="W20">
            <v>0</v>
          </cell>
          <cell r="X20">
            <v>5047100</v>
          </cell>
          <cell r="Y20" t="str">
            <v xml:space="preserve"> </v>
          </cell>
        </row>
        <row r="21">
          <cell r="E21" t="str">
            <v>ＧＬ</v>
          </cell>
          <cell r="F21" t="str">
            <v>PP12686</v>
          </cell>
          <cell r="G21" t="str">
            <v>数量</v>
          </cell>
          <cell r="H21">
            <v>70</v>
          </cell>
          <cell r="I21">
            <v>10</v>
          </cell>
          <cell r="J21">
            <v>0</v>
          </cell>
          <cell r="K21">
            <v>94</v>
          </cell>
          <cell r="L21">
            <v>104</v>
          </cell>
          <cell r="M21">
            <v>0</v>
          </cell>
          <cell r="N21">
            <v>0</v>
          </cell>
          <cell r="O21">
            <v>174</v>
          </cell>
          <cell r="P21" t="str">
            <v>金額</v>
          </cell>
          <cell r="Q21">
            <v>1545000</v>
          </cell>
          <cell r="R21">
            <v>120000</v>
          </cell>
          <cell r="S21">
            <v>0</v>
          </cell>
          <cell r="T21">
            <v>1048180</v>
          </cell>
          <cell r="U21">
            <v>1168180</v>
          </cell>
          <cell r="V21">
            <v>0</v>
          </cell>
          <cell r="W21">
            <v>0</v>
          </cell>
          <cell r="X21">
            <v>2713180</v>
          </cell>
          <cell r="Y21" t="str">
            <v xml:space="preserve"> </v>
          </cell>
        </row>
        <row r="22">
          <cell r="E22" t="str">
            <v>その他</v>
          </cell>
          <cell r="F22" t="str">
            <v>PP12690</v>
          </cell>
          <cell r="G22" t="str">
            <v>数量</v>
          </cell>
          <cell r="H22">
            <v>132</v>
          </cell>
          <cell r="I22">
            <v>4</v>
          </cell>
          <cell r="J22">
            <v>0</v>
          </cell>
          <cell r="K22">
            <v>0</v>
          </cell>
          <cell r="L22">
            <v>4</v>
          </cell>
          <cell r="M22">
            <v>1</v>
          </cell>
          <cell r="N22">
            <v>0</v>
          </cell>
          <cell r="O22">
            <v>137</v>
          </cell>
          <cell r="P22" t="str">
            <v>金額</v>
          </cell>
          <cell r="Q22">
            <v>17002</v>
          </cell>
          <cell r="R22">
            <v>87832</v>
          </cell>
          <cell r="S22">
            <v>0</v>
          </cell>
          <cell r="T22">
            <v>0</v>
          </cell>
          <cell r="U22">
            <v>87832</v>
          </cell>
          <cell r="V22">
            <v>1636297</v>
          </cell>
          <cell r="W22">
            <v>0</v>
          </cell>
          <cell r="X22">
            <v>1741131</v>
          </cell>
          <cell r="Y22" t="str">
            <v xml:space="preserve"> </v>
          </cell>
        </row>
        <row r="23">
          <cell r="E23" t="str">
            <v>試　作</v>
          </cell>
          <cell r="F23" t="str">
            <v>PP12691</v>
          </cell>
          <cell r="G23" t="str">
            <v>数量</v>
          </cell>
          <cell r="H23">
            <v>7448</v>
          </cell>
          <cell r="I23">
            <v>15097</v>
          </cell>
          <cell r="J23">
            <v>0</v>
          </cell>
          <cell r="K23">
            <v>2182</v>
          </cell>
          <cell r="L23">
            <v>17279</v>
          </cell>
          <cell r="M23">
            <v>13452</v>
          </cell>
          <cell r="N23">
            <v>0</v>
          </cell>
          <cell r="O23">
            <v>38179</v>
          </cell>
          <cell r="P23" t="str">
            <v>金額</v>
          </cell>
          <cell r="Q23">
            <v>21756202</v>
          </cell>
          <cell r="R23">
            <v>20068560</v>
          </cell>
          <cell r="S23">
            <v>0</v>
          </cell>
          <cell r="T23">
            <v>6401895</v>
          </cell>
          <cell r="U23">
            <v>26470455</v>
          </cell>
          <cell r="V23">
            <v>19764775</v>
          </cell>
          <cell r="W23">
            <v>0</v>
          </cell>
          <cell r="X23">
            <v>67991432</v>
          </cell>
          <cell r="Y23" t="str">
            <v xml:space="preserve"> </v>
          </cell>
        </row>
        <row r="24">
          <cell r="E24" t="str">
            <v>特殊品</v>
          </cell>
          <cell r="F24" t="str">
            <v>PP126</v>
          </cell>
          <cell r="G24" t="str">
            <v>数量</v>
          </cell>
          <cell r="H24">
            <v>2408081</v>
          </cell>
          <cell r="I24">
            <v>656200</v>
          </cell>
          <cell r="J24">
            <v>2660</v>
          </cell>
          <cell r="K24">
            <v>1412640</v>
          </cell>
          <cell r="L24">
            <v>2071500</v>
          </cell>
          <cell r="M24">
            <v>13548346</v>
          </cell>
          <cell r="N24">
            <v>1260020</v>
          </cell>
          <cell r="O24">
            <v>18027927</v>
          </cell>
          <cell r="P24" t="str">
            <v>金額</v>
          </cell>
          <cell r="Q24">
            <v>180873503</v>
          </cell>
          <cell r="R24">
            <v>179684189</v>
          </cell>
          <cell r="S24">
            <v>620512</v>
          </cell>
          <cell r="T24">
            <v>315324448</v>
          </cell>
          <cell r="U24">
            <v>495629149</v>
          </cell>
          <cell r="V24">
            <v>1200313247</v>
          </cell>
          <cell r="W24">
            <v>63319811</v>
          </cell>
          <cell r="X24">
            <v>1876815899</v>
          </cell>
          <cell r="Y24" t="str">
            <v xml:space="preserve"> </v>
          </cell>
        </row>
        <row r="25">
          <cell r="E25" t="str">
            <v>Ｖ・ＶＸ</v>
          </cell>
          <cell r="F25" t="str">
            <v>PP13006</v>
          </cell>
          <cell r="G25" t="str">
            <v>数量</v>
          </cell>
          <cell r="H25">
            <v>10297</v>
          </cell>
          <cell r="I25">
            <v>14595</v>
          </cell>
          <cell r="J25">
            <v>75</v>
          </cell>
          <cell r="K25">
            <v>4854</v>
          </cell>
          <cell r="L25">
            <v>19524</v>
          </cell>
          <cell r="M25">
            <v>309644</v>
          </cell>
          <cell r="N25">
            <v>9440</v>
          </cell>
          <cell r="O25">
            <v>339465</v>
          </cell>
          <cell r="P25" t="str">
            <v>金額</v>
          </cell>
          <cell r="Q25">
            <v>3665505</v>
          </cell>
          <cell r="R25">
            <v>9839200</v>
          </cell>
          <cell r="S25">
            <v>46550</v>
          </cell>
          <cell r="T25">
            <v>3285176</v>
          </cell>
          <cell r="U25">
            <v>13170926</v>
          </cell>
          <cell r="V25">
            <v>61229050</v>
          </cell>
          <cell r="W25">
            <v>1996712</v>
          </cell>
          <cell r="X25">
            <v>78065481</v>
          </cell>
          <cell r="Y25" t="str">
            <v xml:space="preserve"> </v>
          </cell>
        </row>
        <row r="26">
          <cell r="E26" t="str">
            <v>白金チップ</v>
          </cell>
          <cell r="F26" t="str">
            <v>PP13008</v>
          </cell>
          <cell r="G26" t="str">
            <v>数量</v>
          </cell>
          <cell r="H26">
            <v>260681</v>
          </cell>
          <cell r="I26">
            <v>8802</v>
          </cell>
          <cell r="J26">
            <v>18</v>
          </cell>
          <cell r="K26">
            <v>75226</v>
          </cell>
          <cell r="L26">
            <v>84046</v>
          </cell>
          <cell r="M26">
            <v>690759</v>
          </cell>
          <cell r="N26">
            <v>227420</v>
          </cell>
          <cell r="O26">
            <v>1035486</v>
          </cell>
          <cell r="P26" t="str">
            <v>金額</v>
          </cell>
          <cell r="Q26">
            <v>55327300</v>
          </cell>
          <cell r="R26">
            <v>8078580</v>
          </cell>
          <cell r="S26">
            <v>16380</v>
          </cell>
          <cell r="T26">
            <v>43578045</v>
          </cell>
          <cell r="U26">
            <v>51673005</v>
          </cell>
          <cell r="V26">
            <v>221776269</v>
          </cell>
          <cell r="W26">
            <v>48421411</v>
          </cell>
          <cell r="X26">
            <v>328776574</v>
          </cell>
          <cell r="Y26" t="str">
            <v xml:space="preserve"> </v>
          </cell>
        </row>
        <row r="27">
          <cell r="E27" t="str">
            <v>ロングリーチ白金</v>
          </cell>
          <cell r="F27" t="str">
            <v>PP13040</v>
          </cell>
          <cell r="G27" t="str">
            <v>数量</v>
          </cell>
          <cell r="H27">
            <v>132486</v>
          </cell>
          <cell r="I27">
            <v>0</v>
          </cell>
          <cell r="J27">
            <v>0</v>
          </cell>
          <cell r="K27">
            <v>98</v>
          </cell>
          <cell r="L27">
            <v>98</v>
          </cell>
          <cell r="M27">
            <v>600</v>
          </cell>
          <cell r="N27">
            <v>0</v>
          </cell>
          <cell r="O27">
            <v>133184</v>
          </cell>
          <cell r="P27" t="str">
            <v>金額</v>
          </cell>
          <cell r="Q27">
            <v>25333980</v>
          </cell>
          <cell r="R27">
            <v>0</v>
          </cell>
          <cell r="S27">
            <v>0</v>
          </cell>
          <cell r="T27">
            <v>75486</v>
          </cell>
          <cell r="U27">
            <v>75486</v>
          </cell>
          <cell r="V27">
            <v>275100</v>
          </cell>
          <cell r="W27">
            <v>0</v>
          </cell>
          <cell r="X27">
            <v>25684566</v>
          </cell>
          <cell r="Y27" t="str">
            <v xml:space="preserve"> </v>
          </cell>
        </row>
        <row r="28">
          <cell r="E28" t="str">
            <v>ロング片側白金</v>
          </cell>
          <cell r="F28" t="str">
            <v>PP13041</v>
          </cell>
          <cell r="G28" t="str">
            <v>数量</v>
          </cell>
          <cell r="H28">
            <v>24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24</v>
          </cell>
          <cell r="P28" t="str">
            <v>金額</v>
          </cell>
          <cell r="Q28">
            <v>3528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3528</v>
          </cell>
          <cell r="Y28" t="str">
            <v xml:space="preserve"> </v>
          </cell>
        </row>
        <row r="29">
          <cell r="E29" t="str">
            <v>突出白金チップ</v>
          </cell>
          <cell r="F29" t="str">
            <v>PP13050</v>
          </cell>
          <cell r="G29" t="str">
            <v>数量</v>
          </cell>
          <cell r="H29">
            <v>27496</v>
          </cell>
          <cell r="I29">
            <v>533</v>
          </cell>
          <cell r="J29">
            <v>0</v>
          </cell>
          <cell r="K29">
            <v>9664</v>
          </cell>
          <cell r="L29">
            <v>10197</v>
          </cell>
          <cell r="M29">
            <v>409724</v>
          </cell>
          <cell r="N29">
            <v>328920</v>
          </cell>
          <cell r="O29">
            <v>447417</v>
          </cell>
          <cell r="P29" t="str">
            <v>金額</v>
          </cell>
          <cell r="Q29">
            <v>7700390</v>
          </cell>
          <cell r="R29">
            <v>576540</v>
          </cell>
          <cell r="S29">
            <v>0</v>
          </cell>
          <cell r="T29">
            <v>8068709</v>
          </cell>
          <cell r="U29">
            <v>8645249</v>
          </cell>
          <cell r="V29">
            <v>95088602</v>
          </cell>
          <cell r="W29">
            <v>66507120</v>
          </cell>
          <cell r="X29">
            <v>111434241</v>
          </cell>
          <cell r="Y29" t="str">
            <v xml:space="preserve"> </v>
          </cell>
        </row>
        <row r="30">
          <cell r="E30" t="str">
            <v>片側白金チップ</v>
          </cell>
          <cell r="F30" t="str">
            <v>PP13057</v>
          </cell>
          <cell r="G30" t="str">
            <v>数量</v>
          </cell>
          <cell r="H30">
            <v>24800</v>
          </cell>
          <cell r="I30">
            <v>0</v>
          </cell>
          <cell r="J30">
            <v>0</v>
          </cell>
          <cell r="K30">
            <v>85</v>
          </cell>
          <cell r="L30">
            <v>85</v>
          </cell>
          <cell r="M30">
            <v>344</v>
          </cell>
          <cell r="N30">
            <v>0</v>
          </cell>
          <cell r="O30">
            <v>25229</v>
          </cell>
          <cell r="P30" t="str">
            <v>金額</v>
          </cell>
          <cell r="Q30">
            <v>3126400</v>
          </cell>
          <cell r="R30">
            <v>0</v>
          </cell>
          <cell r="S30">
            <v>0</v>
          </cell>
          <cell r="T30">
            <v>36805</v>
          </cell>
          <cell r="U30">
            <v>36805</v>
          </cell>
          <cell r="V30">
            <v>103200</v>
          </cell>
          <cell r="W30">
            <v>0</v>
          </cell>
          <cell r="X30">
            <v>3266405</v>
          </cell>
          <cell r="Y30" t="str">
            <v xml:space="preserve"> </v>
          </cell>
        </row>
        <row r="31">
          <cell r="E31" t="str">
            <v>イリジューム</v>
          </cell>
          <cell r="F31" t="str">
            <v>PP13070</v>
          </cell>
          <cell r="G31" t="str">
            <v>数量</v>
          </cell>
          <cell r="H31">
            <v>323041</v>
          </cell>
          <cell r="I31">
            <v>58</v>
          </cell>
          <cell r="J31">
            <v>0</v>
          </cell>
          <cell r="K31">
            <v>12476</v>
          </cell>
          <cell r="L31">
            <v>12534</v>
          </cell>
          <cell r="M31">
            <v>77858</v>
          </cell>
          <cell r="N31">
            <v>22278</v>
          </cell>
          <cell r="O31">
            <v>413433</v>
          </cell>
          <cell r="P31" t="str">
            <v>金額</v>
          </cell>
          <cell r="Q31">
            <v>95500781</v>
          </cell>
          <cell r="R31">
            <v>62220</v>
          </cell>
          <cell r="S31">
            <v>0</v>
          </cell>
          <cell r="T31">
            <v>10766813</v>
          </cell>
          <cell r="U31">
            <v>10829033</v>
          </cell>
          <cell r="V31">
            <v>26394210</v>
          </cell>
          <cell r="W31">
            <v>5517280</v>
          </cell>
          <cell r="X31">
            <v>132724024</v>
          </cell>
          <cell r="Y31" t="str">
            <v xml:space="preserve"> </v>
          </cell>
        </row>
        <row r="32">
          <cell r="E32" t="str">
            <v>ロングイリジウム</v>
          </cell>
          <cell r="F32" t="str">
            <v>PP13071</v>
          </cell>
          <cell r="G32" t="str">
            <v>数量</v>
          </cell>
          <cell r="H32">
            <v>918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918</v>
          </cell>
          <cell r="P32" t="str">
            <v>金額</v>
          </cell>
          <cell r="Q32">
            <v>387396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387396</v>
          </cell>
          <cell r="Y32" t="str">
            <v xml:space="preserve"> </v>
          </cell>
        </row>
        <row r="33">
          <cell r="E33" t="str">
            <v>突出イリジューム</v>
          </cell>
          <cell r="F33" t="str">
            <v>PP13072</v>
          </cell>
          <cell r="G33" t="str">
            <v>数量</v>
          </cell>
          <cell r="H33">
            <v>41242</v>
          </cell>
          <cell r="I33">
            <v>10</v>
          </cell>
          <cell r="J33">
            <v>0</v>
          </cell>
          <cell r="K33">
            <v>481</v>
          </cell>
          <cell r="L33">
            <v>491</v>
          </cell>
          <cell r="M33">
            <v>1500</v>
          </cell>
          <cell r="N33">
            <v>0</v>
          </cell>
          <cell r="O33">
            <v>43233</v>
          </cell>
          <cell r="P33" t="str">
            <v>金額</v>
          </cell>
          <cell r="Q33">
            <v>13062320</v>
          </cell>
          <cell r="R33">
            <v>12000</v>
          </cell>
          <cell r="S33">
            <v>0</v>
          </cell>
          <cell r="T33">
            <v>427550</v>
          </cell>
          <cell r="U33">
            <v>439550</v>
          </cell>
          <cell r="V33">
            <v>1123428</v>
          </cell>
          <cell r="W33">
            <v>0</v>
          </cell>
          <cell r="X33">
            <v>14625298</v>
          </cell>
          <cell r="Y33" t="str">
            <v xml:space="preserve"> </v>
          </cell>
        </row>
        <row r="34">
          <cell r="E34" t="str">
            <v>片側イリジュウム</v>
          </cell>
          <cell r="F34" t="str">
            <v>PP13073</v>
          </cell>
          <cell r="G34" t="str">
            <v>数量</v>
          </cell>
          <cell r="H34">
            <v>25686</v>
          </cell>
          <cell r="I34">
            <v>79</v>
          </cell>
          <cell r="J34">
            <v>3</v>
          </cell>
          <cell r="K34">
            <v>686</v>
          </cell>
          <cell r="L34">
            <v>768</v>
          </cell>
          <cell r="M34">
            <v>2580</v>
          </cell>
          <cell r="N34">
            <v>0</v>
          </cell>
          <cell r="O34">
            <v>29034</v>
          </cell>
          <cell r="P34" t="str">
            <v>金額</v>
          </cell>
          <cell r="Q34">
            <v>6298560</v>
          </cell>
          <cell r="R34">
            <v>74970</v>
          </cell>
          <cell r="S34">
            <v>2730</v>
          </cell>
          <cell r="T34">
            <v>511000</v>
          </cell>
          <cell r="U34">
            <v>588700</v>
          </cell>
          <cell r="V34">
            <v>889284</v>
          </cell>
          <cell r="W34">
            <v>0</v>
          </cell>
          <cell r="X34">
            <v>7776544</v>
          </cell>
          <cell r="Y34" t="str">
            <v xml:space="preserve"> </v>
          </cell>
        </row>
        <row r="35">
          <cell r="E35" t="str">
            <v>イリシリーズ</v>
          </cell>
          <cell r="F35" t="str">
            <v>PP13075</v>
          </cell>
          <cell r="G35" t="str">
            <v>数量</v>
          </cell>
          <cell r="H35">
            <v>124</v>
          </cell>
          <cell r="I35">
            <v>12608</v>
          </cell>
          <cell r="J35">
            <v>16</v>
          </cell>
          <cell r="K35">
            <v>5</v>
          </cell>
          <cell r="L35">
            <v>12629</v>
          </cell>
          <cell r="M35">
            <v>0</v>
          </cell>
          <cell r="N35">
            <v>0</v>
          </cell>
          <cell r="O35">
            <v>12753</v>
          </cell>
          <cell r="P35" t="str">
            <v>金額</v>
          </cell>
          <cell r="Q35">
            <v>124000</v>
          </cell>
          <cell r="R35">
            <v>10964170</v>
          </cell>
          <cell r="S35">
            <v>13760</v>
          </cell>
          <cell r="T35">
            <v>4600</v>
          </cell>
          <cell r="U35">
            <v>10982530</v>
          </cell>
          <cell r="V35">
            <v>0</v>
          </cell>
          <cell r="W35">
            <v>0</v>
          </cell>
          <cell r="X35">
            <v>11106530</v>
          </cell>
          <cell r="Y35" t="str">
            <v xml:space="preserve"> </v>
          </cell>
        </row>
        <row r="36">
          <cell r="E36" t="str">
            <v>ＩＸ</v>
          </cell>
          <cell r="F36" t="str">
            <v>PP13076</v>
          </cell>
          <cell r="G36" t="str">
            <v>数量</v>
          </cell>
          <cell r="H36">
            <v>52</v>
          </cell>
          <cell r="I36">
            <v>41857</v>
          </cell>
          <cell r="J36">
            <v>54</v>
          </cell>
          <cell r="K36">
            <v>18196</v>
          </cell>
          <cell r="L36">
            <v>60107</v>
          </cell>
          <cell r="M36">
            <v>34129</v>
          </cell>
          <cell r="N36">
            <v>0</v>
          </cell>
          <cell r="O36">
            <v>94288</v>
          </cell>
          <cell r="P36" t="str">
            <v>金額</v>
          </cell>
          <cell r="Q36">
            <v>58240</v>
          </cell>
          <cell r="R36">
            <v>27585895</v>
          </cell>
          <cell r="S36">
            <v>34880</v>
          </cell>
          <cell r="T36">
            <v>11738440</v>
          </cell>
          <cell r="U36">
            <v>39359215</v>
          </cell>
          <cell r="V36">
            <v>9194485</v>
          </cell>
          <cell r="W36">
            <v>0</v>
          </cell>
          <cell r="X36">
            <v>48611940</v>
          </cell>
          <cell r="Y36" t="str">
            <v xml:space="preserve"> </v>
          </cell>
        </row>
        <row r="37">
          <cell r="E37" t="str">
            <v>イリデュアル</v>
          </cell>
          <cell r="F37" t="str">
            <v>PP13077</v>
          </cell>
          <cell r="G37" t="str">
            <v>数量</v>
          </cell>
          <cell r="H37">
            <v>0</v>
          </cell>
          <cell r="I37">
            <v>3000</v>
          </cell>
          <cell r="J37">
            <v>0</v>
          </cell>
          <cell r="K37">
            <v>0</v>
          </cell>
          <cell r="L37">
            <v>3000</v>
          </cell>
          <cell r="M37">
            <v>0</v>
          </cell>
          <cell r="N37">
            <v>0</v>
          </cell>
          <cell r="O37">
            <v>3000</v>
          </cell>
          <cell r="P37" t="str">
            <v>金額</v>
          </cell>
          <cell r="Q37">
            <v>0</v>
          </cell>
          <cell r="R37">
            <v>2355000</v>
          </cell>
          <cell r="S37">
            <v>0</v>
          </cell>
          <cell r="T37">
            <v>0</v>
          </cell>
          <cell r="U37">
            <v>2355000</v>
          </cell>
          <cell r="V37">
            <v>0</v>
          </cell>
          <cell r="W37">
            <v>0</v>
          </cell>
          <cell r="X37">
            <v>2355000</v>
          </cell>
          <cell r="Y37" t="str">
            <v xml:space="preserve"> </v>
          </cell>
        </row>
        <row r="38">
          <cell r="E38" t="str">
            <v>貴金属その他</v>
          </cell>
          <cell r="F38" t="str">
            <v>PP13090</v>
          </cell>
          <cell r="G38" t="str">
            <v>数量</v>
          </cell>
          <cell r="H38">
            <v>50916</v>
          </cell>
          <cell r="I38">
            <v>8013</v>
          </cell>
          <cell r="J38">
            <v>0</v>
          </cell>
          <cell r="K38">
            <v>5098</v>
          </cell>
          <cell r="L38">
            <v>13111</v>
          </cell>
          <cell r="M38">
            <v>479210</v>
          </cell>
          <cell r="N38">
            <v>383200</v>
          </cell>
          <cell r="O38">
            <v>543237</v>
          </cell>
          <cell r="P38" t="str">
            <v>金額</v>
          </cell>
          <cell r="Q38">
            <v>14593406</v>
          </cell>
          <cell r="R38">
            <v>6743400</v>
          </cell>
          <cell r="S38">
            <v>0</v>
          </cell>
          <cell r="T38">
            <v>4707420</v>
          </cell>
          <cell r="U38">
            <v>11450820</v>
          </cell>
          <cell r="V38">
            <v>110115270</v>
          </cell>
          <cell r="W38">
            <v>77750300</v>
          </cell>
          <cell r="X38">
            <v>136159496</v>
          </cell>
          <cell r="Y38" t="str">
            <v xml:space="preserve"> </v>
          </cell>
        </row>
        <row r="39">
          <cell r="E39" t="str">
            <v>貴金属タイプ</v>
          </cell>
          <cell r="F39" t="str">
            <v>PP130</v>
          </cell>
          <cell r="G39" t="str">
            <v>数量</v>
          </cell>
          <cell r="H39">
            <v>897763</v>
          </cell>
          <cell r="I39">
            <v>89555</v>
          </cell>
          <cell r="J39">
            <v>166</v>
          </cell>
          <cell r="K39">
            <v>126869</v>
          </cell>
          <cell r="L39">
            <v>216590</v>
          </cell>
          <cell r="M39">
            <v>2006348</v>
          </cell>
          <cell r="N39">
            <v>971258</v>
          </cell>
          <cell r="O39">
            <v>3120701</v>
          </cell>
          <cell r="P39" t="str">
            <v>金額</v>
          </cell>
          <cell r="Q39">
            <v>225181806</v>
          </cell>
          <cell r="R39">
            <v>66291975</v>
          </cell>
          <cell r="S39">
            <v>114300</v>
          </cell>
          <cell r="T39">
            <v>83200044</v>
          </cell>
          <cell r="U39">
            <v>149606319</v>
          </cell>
          <cell r="V39">
            <v>526188898</v>
          </cell>
          <cell r="W39">
            <v>200192823</v>
          </cell>
          <cell r="X39">
            <v>900977023</v>
          </cell>
          <cell r="Y39" t="str">
            <v xml:space="preserve"> </v>
          </cell>
        </row>
        <row r="40">
          <cell r="E40" t="str">
            <v>ＨＴＣ</v>
          </cell>
          <cell r="F40" t="str">
            <v>PP17904</v>
          </cell>
          <cell r="G40" t="str">
            <v>数量</v>
          </cell>
          <cell r="H40">
            <v>90212</v>
          </cell>
          <cell r="I40">
            <v>0</v>
          </cell>
          <cell r="J40">
            <v>0</v>
          </cell>
          <cell r="K40">
            <v>43</v>
          </cell>
          <cell r="L40">
            <v>43</v>
          </cell>
          <cell r="M40">
            <v>70</v>
          </cell>
          <cell r="N40">
            <v>0</v>
          </cell>
          <cell r="O40">
            <v>90325</v>
          </cell>
          <cell r="P40" t="str">
            <v>金額</v>
          </cell>
          <cell r="Q40">
            <v>49012360</v>
          </cell>
          <cell r="R40">
            <v>0</v>
          </cell>
          <cell r="S40">
            <v>0</v>
          </cell>
          <cell r="T40">
            <v>37453</v>
          </cell>
          <cell r="U40">
            <v>37453</v>
          </cell>
          <cell r="V40">
            <v>56000</v>
          </cell>
          <cell r="W40">
            <v>0</v>
          </cell>
          <cell r="X40">
            <v>49105813</v>
          </cell>
          <cell r="Y40" t="str">
            <v xml:space="preserve"> </v>
          </cell>
        </row>
        <row r="41">
          <cell r="E41" t="str">
            <v>自己制御　ＣＹ</v>
          </cell>
          <cell r="F41" t="str">
            <v>PP17905</v>
          </cell>
          <cell r="G41" t="str">
            <v>数量</v>
          </cell>
          <cell r="H41">
            <v>31677</v>
          </cell>
          <cell r="I41">
            <v>0</v>
          </cell>
          <cell r="J41">
            <v>0</v>
          </cell>
          <cell r="K41">
            <v>18774</v>
          </cell>
          <cell r="L41">
            <v>18774</v>
          </cell>
          <cell r="M41">
            <v>6263</v>
          </cell>
          <cell r="N41">
            <v>0</v>
          </cell>
          <cell r="O41">
            <v>56714</v>
          </cell>
          <cell r="P41" t="str">
            <v>金額</v>
          </cell>
          <cell r="Q41">
            <v>18988770</v>
          </cell>
          <cell r="R41">
            <v>0</v>
          </cell>
          <cell r="S41">
            <v>0</v>
          </cell>
          <cell r="T41">
            <v>28104590</v>
          </cell>
          <cell r="U41">
            <v>28104590</v>
          </cell>
          <cell r="V41">
            <v>5219230</v>
          </cell>
          <cell r="W41">
            <v>0</v>
          </cell>
          <cell r="X41">
            <v>52312590</v>
          </cell>
          <cell r="Y41" t="str">
            <v xml:space="preserve"> </v>
          </cell>
        </row>
        <row r="42">
          <cell r="E42" t="str">
            <v>両絶縁　ＣＸ</v>
          </cell>
          <cell r="F42" t="str">
            <v>PP17910</v>
          </cell>
          <cell r="G42" t="str">
            <v>数量</v>
          </cell>
          <cell r="H42">
            <v>30</v>
          </cell>
          <cell r="I42">
            <v>0</v>
          </cell>
          <cell r="J42">
            <v>0</v>
          </cell>
          <cell r="K42">
            <v>1290</v>
          </cell>
          <cell r="L42">
            <v>1290</v>
          </cell>
          <cell r="M42">
            <v>1304</v>
          </cell>
          <cell r="N42">
            <v>0</v>
          </cell>
          <cell r="O42">
            <v>2624</v>
          </cell>
          <cell r="P42" t="str">
            <v>金額</v>
          </cell>
          <cell r="Q42">
            <v>39000</v>
          </cell>
          <cell r="R42">
            <v>0</v>
          </cell>
          <cell r="S42">
            <v>0</v>
          </cell>
          <cell r="T42">
            <v>1657650</v>
          </cell>
          <cell r="U42">
            <v>1657650</v>
          </cell>
          <cell r="V42">
            <v>1675640</v>
          </cell>
          <cell r="W42">
            <v>0</v>
          </cell>
          <cell r="X42">
            <v>3372290</v>
          </cell>
          <cell r="Y42" t="str">
            <v xml:space="preserve"> </v>
          </cell>
        </row>
        <row r="43">
          <cell r="E43" t="str">
            <v>ボデーアースＣＺ</v>
          </cell>
          <cell r="F43" t="str">
            <v>PP17915</v>
          </cell>
          <cell r="G43" t="str">
            <v>数量</v>
          </cell>
          <cell r="H43">
            <v>0</v>
          </cell>
          <cell r="I43">
            <v>0</v>
          </cell>
          <cell r="J43">
            <v>0</v>
          </cell>
          <cell r="K43">
            <v>920</v>
          </cell>
          <cell r="L43">
            <v>920</v>
          </cell>
          <cell r="M43">
            <v>674</v>
          </cell>
          <cell r="N43">
            <v>0</v>
          </cell>
          <cell r="O43">
            <v>1594</v>
          </cell>
          <cell r="P43" t="str">
            <v>金額</v>
          </cell>
          <cell r="Q43">
            <v>0</v>
          </cell>
          <cell r="R43">
            <v>0</v>
          </cell>
          <cell r="S43">
            <v>0</v>
          </cell>
          <cell r="T43">
            <v>1168400</v>
          </cell>
          <cell r="U43">
            <v>1168400</v>
          </cell>
          <cell r="V43">
            <v>855980</v>
          </cell>
          <cell r="W43">
            <v>0</v>
          </cell>
          <cell r="X43">
            <v>2024380</v>
          </cell>
          <cell r="Y43" t="str">
            <v xml:space="preserve"> </v>
          </cell>
        </row>
        <row r="44">
          <cell r="E44" t="str">
            <v>試作</v>
          </cell>
          <cell r="F44" t="str">
            <v>PP17991</v>
          </cell>
          <cell r="G44" t="str">
            <v>数量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50</v>
          </cell>
          <cell r="N44">
            <v>0</v>
          </cell>
          <cell r="O44">
            <v>50</v>
          </cell>
          <cell r="P44" t="str">
            <v>金額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250000</v>
          </cell>
          <cell r="W44">
            <v>0</v>
          </cell>
          <cell r="X44">
            <v>250000</v>
          </cell>
          <cell r="Y44" t="str">
            <v xml:space="preserve"> </v>
          </cell>
        </row>
        <row r="45">
          <cell r="E45" t="str">
            <v>温測セラミツク</v>
          </cell>
          <cell r="F45" t="str">
            <v>PP17995</v>
          </cell>
          <cell r="G45" t="str">
            <v>数量</v>
          </cell>
          <cell r="H45">
            <v>8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8</v>
          </cell>
          <cell r="P45" t="str">
            <v>金額</v>
          </cell>
          <cell r="Q45">
            <v>400000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400000</v>
          </cell>
          <cell r="Y45" t="str">
            <v xml:space="preserve"> </v>
          </cell>
        </row>
        <row r="46">
          <cell r="E46" t="str">
            <v>セラミックグロー</v>
          </cell>
          <cell r="F46" t="str">
            <v>PP179</v>
          </cell>
          <cell r="G46" t="str">
            <v>数量</v>
          </cell>
          <cell r="H46">
            <v>121927</v>
          </cell>
          <cell r="I46">
            <v>0</v>
          </cell>
          <cell r="J46">
            <v>0</v>
          </cell>
          <cell r="K46">
            <v>21027</v>
          </cell>
          <cell r="L46">
            <v>21027</v>
          </cell>
          <cell r="M46">
            <v>8361</v>
          </cell>
          <cell r="N46">
            <v>0</v>
          </cell>
          <cell r="O46">
            <v>151315</v>
          </cell>
          <cell r="P46" t="str">
            <v>金額</v>
          </cell>
          <cell r="Q46">
            <v>68440130</v>
          </cell>
          <cell r="R46">
            <v>0</v>
          </cell>
          <cell r="S46">
            <v>0</v>
          </cell>
          <cell r="T46">
            <v>30968093</v>
          </cell>
          <cell r="U46">
            <v>30968093</v>
          </cell>
          <cell r="V46">
            <v>8056850</v>
          </cell>
          <cell r="W46">
            <v>0</v>
          </cell>
          <cell r="X46">
            <v>107465073</v>
          </cell>
          <cell r="Y46" t="str">
            <v xml:space="preserve"> </v>
          </cell>
        </row>
        <row r="47">
          <cell r="E47" t="str">
            <v>ＱＧＳグロー１材</v>
          </cell>
          <cell r="F47" t="str">
            <v>PP18005</v>
          </cell>
          <cell r="G47" t="str">
            <v>数量</v>
          </cell>
          <cell r="H47">
            <v>1000</v>
          </cell>
          <cell r="I47">
            <v>615</v>
          </cell>
          <cell r="J47">
            <v>0</v>
          </cell>
          <cell r="K47">
            <v>2032</v>
          </cell>
          <cell r="L47">
            <v>2647</v>
          </cell>
          <cell r="M47">
            <v>8363</v>
          </cell>
          <cell r="N47">
            <v>0</v>
          </cell>
          <cell r="O47">
            <v>12010</v>
          </cell>
          <cell r="P47" t="str">
            <v>金額</v>
          </cell>
          <cell r="Q47">
            <v>394000</v>
          </cell>
          <cell r="R47">
            <v>707020</v>
          </cell>
          <cell r="S47">
            <v>0</v>
          </cell>
          <cell r="T47">
            <v>1862910</v>
          </cell>
          <cell r="U47">
            <v>2569930</v>
          </cell>
          <cell r="V47">
            <v>4050178</v>
          </cell>
          <cell r="W47">
            <v>0</v>
          </cell>
          <cell r="X47">
            <v>7014108</v>
          </cell>
          <cell r="Y47" t="str">
            <v xml:space="preserve"> </v>
          </cell>
        </row>
        <row r="48">
          <cell r="E48" t="str">
            <v>ＱＧＳグロ－２材</v>
          </cell>
          <cell r="F48" t="str">
            <v>PP18008</v>
          </cell>
          <cell r="G48" t="str">
            <v>数量</v>
          </cell>
          <cell r="H48">
            <v>173233</v>
          </cell>
          <cell r="I48">
            <v>1754</v>
          </cell>
          <cell r="J48">
            <v>0</v>
          </cell>
          <cell r="K48">
            <v>14198</v>
          </cell>
          <cell r="L48">
            <v>15952</v>
          </cell>
          <cell r="M48">
            <v>25300</v>
          </cell>
          <cell r="N48">
            <v>0</v>
          </cell>
          <cell r="O48">
            <v>214485</v>
          </cell>
          <cell r="P48" t="str">
            <v>金額</v>
          </cell>
          <cell r="Q48">
            <v>60002809</v>
          </cell>
          <cell r="R48">
            <v>2693500</v>
          </cell>
          <cell r="S48">
            <v>0</v>
          </cell>
          <cell r="T48">
            <v>13772746</v>
          </cell>
          <cell r="U48">
            <v>16466246</v>
          </cell>
          <cell r="V48">
            <v>10686362</v>
          </cell>
          <cell r="W48">
            <v>0</v>
          </cell>
          <cell r="X48">
            <v>87155417</v>
          </cell>
          <cell r="Y48" t="str">
            <v xml:space="preserve"> </v>
          </cell>
        </row>
        <row r="49">
          <cell r="E49" t="str">
            <v>ＳＲＭ</v>
          </cell>
          <cell r="F49" t="str">
            <v>PP18009</v>
          </cell>
          <cell r="G49" t="str">
            <v>数量</v>
          </cell>
          <cell r="H49">
            <v>27520</v>
          </cell>
          <cell r="I49">
            <v>4</v>
          </cell>
          <cell r="J49">
            <v>0</v>
          </cell>
          <cell r="K49">
            <v>19992</v>
          </cell>
          <cell r="L49">
            <v>19996</v>
          </cell>
          <cell r="M49">
            <v>3290</v>
          </cell>
          <cell r="N49">
            <v>0</v>
          </cell>
          <cell r="O49">
            <v>50806</v>
          </cell>
          <cell r="P49" t="str">
            <v>金額</v>
          </cell>
          <cell r="Q49">
            <v>9632360</v>
          </cell>
          <cell r="R49">
            <v>4400</v>
          </cell>
          <cell r="S49">
            <v>0</v>
          </cell>
          <cell r="T49">
            <v>21173700</v>
          </cell>
          <cell r="U49">
            <v>21178100</v>
          </cell>
          <cell r="V49">
            <v>2040669</v>
          </cell>
          <cell r="W49">
            <v>0</v>
          </cell>
          <cell r="X49">
            <v>32851129</v>
          </cell>
          <cell r="Y49" t="str">
            <v xml:space="preserve"> </v>
          </cell>
        </row>
        <row r="50">
          <cell r="E50" t="str">
            <v>速熱グロー</v>
          </cell>
          <cell r="F50" t="str">
            <v>PP18011</v>
          </cell>
          <cell r="G50" t="str">
            <v>数量</v>
          </cell>
          <cell r="H50">
            <v>20552</v>
          </cell>
          <cell r="I50">
            <v>445</v>
          </cell>
          <cell r="J50">
            <v>0</v>
          </cell>
          <cell r="K50">
            <v>2523</v>
          </cell>
          <cell r="L50">
            <v>2968</v>
          </cell>
          <cell r="M50">
            <v>25942</v>
          </cell>
          <cell r="N50">
            <v>0</v>
          </cell>
          <cell r="O50">
            <v>49462</v>
          </cell>
          <cell r="P50" t="str">
            <v>金額</v>
          </cell>
          <cell r="Q50">
            <v>6207044</v>
          </cell>
          <cell r="R50">
            <v>373030</v>
          </cell>
          <cell r="S50">
            <v>0</v>
          </cell>
          <cell r="T50">
            <v>1469035</v>
          </cell>
          <cell r="U50">
            <v>1842065</v>
          </cell>
          <cell r="V50">
            <v>6095470</v>
          </cell>
          <cell r="W50">
            <v>0</v>
          </cell>
          <cell r="X50">
            <v>14144579</v>
          </cell>
          <cell r="Y50" t="str">
            <v xml:space="preserve"> </v>
          </cell>
        </row>
        <row r="51">
          <cell r="E51" t="str">
            <v>一般グロー</v>
          </cell>
          <cell r="F51" t="str">
            <v>PP18017</v>
          </cell>
          <cell r="G51" t="str">
            <v>数量</v>
          </cell>
          <cell r="H51">
            <v>4916</v>
          </cell>
          <cell r="I51">
            <v>896</v>
          </cell>
          <cell r="J51">
            <v>0</v>
          </cell>
          <cell r="K51">
            <v>1339</v>
          </cell>
          <cell r="L51">
            <v>2235</v>
          </cell>
          <cell r="M51">
            <v>5204</v>
          </cell>
          <cell r="N51">
            <v>0</v>
          </cell>
          <cell r="O51">
            <v>12355</v>
          </cell>
          <cell r="P51" t="str">
            <v>金額</v>
          </cell>
          <cell r="Q51">
            <v>2267124</v>
          </cell>
          <cell r="R51">
            <v>401920</v>
          </cell>
          <cell r="S51">
            <v>0</v>
          </cell>
          <cell r="T51">
            <v>829756</v>
          </cell>
          <cell r="U51">
            <v>1231676</v>
          </cell>
          <cell r="V51">
            <v>2008691</v>
          </cell>
          <cell r="W51">
            <v>0</v>
          </cell>
          <cell r="X51">
            <v>5507491</v>
          </cell>
          <cell r="Y51" t="str">
            <v xml:space="preserve"> </v>
          </cell>
        </row>
        <row r="52">
          <cell r="E52" t="str">
            <v>プラグ型ヒーター</v>
          </cell>
          <cell r="F52" t="str">
            <v>PP18025</v>
          </cell>
          <cell r="G52" t="str">
            <v>数量</v>
          </cell>
          <cell r="H52">
            <v>11300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30000</v>
          </cell>
          <cell r="N52">
            <v>30000</v>
          </cell>
          <cell r="O52">
            <v>41300</v>
          </cell>
          <cell r="P52" t="str">
            <v>金額</v>
          </cell>
          <cell r="Q52">
            <v>4639900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5886000</v>
          </cell>
          <cell r="W52">
            <v>5886000</v>
          </cell>
          <cell r="X52">
            <v>10525900</v>
          </cell>
          <cell r="Y52" t="str">
            <v xml:space="preserve"> </v>
          </cell>
        </row>
        <row r="53">
          <cell r="E53" t="str">
            <v>プラグ型レジスタ</v>
          </cell>
          <cell r="F53" t="str">
            <v>PP18070</v>
          </cell>
          <cell r="G53" t="str">
            <v>数量</v>
          </cell>
          <cell r="H53">
            <v>730</v>
          </cell>
          <cell r="I53">
            <v>0</v>
          </cell>
          <cell r="J53">
            <v>0</v>
          </cell>
          <cell r="K53">
            <v>10</v>
          </cell>
          <cell r="L53">
            <v>10</v>
          </cell>
          <cell r="M53">
            <v>44</v>
          </cell>
          <cell r="N53">
            <v>0</v>
          </cell>
          <cell r="O53">
            <v>784</v>
          </cell>
          <cell r="P53" t="str">
            <v>金額</v>
          </cell>
          <cell r="Q53">
            <v>575300</v>
          </cell>
          <cell r="R53">
            <v>0</v>
          </cell>
          <cell r="S53">
            <v>0</v>
          </cell>
          <cell r="T53">
            <v>19080</v>
          </cell>
          <cell r="U53">
            <v>19080</v>
          </cell>
          <cell r="V53">
            <v>48463</v>
          </cell>
          <cell r="W53">
            <v>0</v>
          </cell>
          <cell r="X53">
            <v>642843</v>
          </cell>
          <cell r="Y53" t="str">
            <v xml:space="preserve"> </v>
          </cell>
        </row>
        <row r="54">
          <cell r="E54" t="str">
            <v>両絶縁</v>
          </cell>
          <cell r="F54" t="str">
            <v>PP18072</v>
          </cell>
          <cell r="G54" t="str">
            <v>数量</v>
          </cell>
          <cell r="H54">
            <v>0</v>
          </cell>
          <cell r="I54">
            <v>0</v>
          </cell>
          <cell r="J54">
            <v>0</v>
          </cell>
          <cell r="K54">
            <v>11</v>
          </cell>
          <cell r="L54">
            <v>11</v>
          </cell>
          <cell r="M54">
            <v>0</v>
          </cell>
          <cell r="N54">
            <v>0</v>
          </cell>
          <cell r="O54">
            <v>11</v>
          </cell>
          <cell r="P54" t="str">
            <v>金額</v>
          </cell>
          <cell r="Q54">
            <v>0</v>
          </cell>
          <cell r="R54">
            <v>0</v>
          </cell>
          <cell r="S54">
            <v>0</v>
          </cell>
          <cell r="T54">
            <v>14400</v>
          </cell>
          <cell r="U54">
            <v>14400</v>
          </cell>
          <cell r="V54">
            <v>0</v>
          </cell>
          <cell r="W54">
            <v>0</v>
          </cell>
          <cell r="X54">
            <v>14400</v>
          </cell>
          <cell r="Y54" t="str">
            <v xml:space="preserve"> </v>
          </cell>
        </row>
        <row r="55">
          <cell r="E55" t="str">
            <v>コイル</v>
          </cell>
          <cell r="F55" t="str">
            <v>PP18080</v>
          </cell>
          <cell r="G55" t="str">
            <v>数量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20</v>
          </cell>
          <cell r="N55">
            <v>0</v>
          </cell>
          <cell r="O55">
            <v>20</v>
          </cell>
          <cell r="P55" t="str">
            <v>金額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2211</v>
          </cell>
          <cell r="W55">
            <v>0</v>
          </cell>
          <cell r="X55">
            <v>2211</v>
          </cell>
          <cell r="Y55" t="str">
            <v xml:space="preserve"> </v>
          </cell>
        </row>
        <row r="56">
          <cell r="E56" t="str">
            <v>その他</v>
          </cell>
          <cell r="F56" t="str">
            <v>PP18090</v>
          </cell>
          <cell r="G56" t="str">
            <v>数量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1</v>
          </cell>
          <cell r="N56">
            <v>0</v>
          </cell>
          <cell r="O56">
            <v>1</v>
          </cell>
          <cell r="P56" t="str">
            <v>金額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620984</v>
          </cell>
          <cell r="W56">
            <v>0</v>
          </cell>
          <cell r="X56">
            <v>620984</v>
          </cell>
          <cell r="Y56" t="str">
            <v xml:space="preserve"> </v>
          </cell>
        </row>
        <row r="57">
          <cell r="E57" t="str">
            <v>試作</v>
          </cell>
          <cell r="F57" t="str">
            <v>PP18091</v>
          </cell>
          <cell r="G57" t="str">
            <v>数量</v>
          </cell>
          <cell r="H57">
            <v>9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24</v>
          </cell>
          <cell r="N57">
            <v>0</v>
          </cell>
          <cell r="O57">
            <v>33</v>
          </cell>
          <cell r="P57" t="str">
            <v>金額</v>
          </cell>
          <cell r="Q57">
            <v>270000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48000</v>
          </cell>
          <cell r="W57">
            <v>0</v>
          </cell>
          <cell r="X57">
            <v>318000</v>
          </cell>
          <cell r="Y57" t="str">
            <v xml:space="preserve"> </v>
          </cell>
        </row>
        <row r="58">
          <cell r="E58" t="str">
            <v>温測グロー</v>
          </cell>
          <cell r="F58" t="str">
            <v>PP18095</v>
          </cell>
          <cell r="G58" t="str">
            <v>数量</v>
          </cell>
          <cell r="H58">
            <v>2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2</v>
          </cell>
          <cell r="P58" t="str">
            <v>金額</v>
          </cell>
          <cell r="Q58">
            <v>20000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20000</v>
          </cell>
          <cell r="Y58" t="str">
            <v xml:space="preserve"> </v>
          </cell>
        </row>
        <row r="59">
          <cell r="E59" t="str">
            <v>メタルグロー</v>
          </cell>
          <cell r="F59" t="str">
            <v>PP180</v>
          </cell>
          <cell r="G59" t="str">
            <v>数量</v>
          </cell>
          <cell r="H59">
            <v>239262</v>
          </cell>
          <cell r="I59">
            <v>3714</v>
          </cell>
          <cell r="J59">
            <v>0</v>
          </cell>
          <cell r="K59">
            <v>40105</v>
          </cell>
          <cell r="L59">
            <v>43819</v>
          </cell>
          <cell r="M59">
            <v>98188</v>
          </cell>
          <cell r="N59">
            <v>30000</v>
          </cell>
          <cell r="O59">
            <v>381269</v>
          </cell>
          <cell r="P59" t="str">
            <v>金額</v>
          </cell>
          <cell r="Q59">
            <v>84008537</v>
          </cell>
          <cell r="R59">
            <v>4179870</v>
          </cell>
          <cell r="S59">
            <v>0</v>
          </cell>
          <cell r="T59">
            <v>39141627</v>
          </cell>
          <cell r="U59">
            <v>43321497</v>
          </cell>
          <cell r="V59">
            <v>31487028</v>
          </cell>
          <cell r="W59">
            <v>5886000</v>
          </cell>
          <cell r="X59">
            <v>158817062</v>
          </cell>
          <cell r="Y59" t="str">
            <v xml:space="preserve"> </v>
          </cell>
        </row>
        <row r="60">
          <cell r="E60" t="str">
            <v>プラグ完成品</v>
          </cell>
          <cell r="F60" t="str">
            <v>PP1</v>
          </cell>
          <cell r="G60" t="str">
            <v>数量</v>
          </cell>
          <cell r="H60">
            <v>3815945</v>
          </cell>
          <cell r="I60">
            <v>905320</v>
          </cell>
          <cell r="J60">
            <v>3489</v>
          </cell>
          <cell r="K60">
            <v>1759476</v>
          </cell>
          <cell r="L60">
            <v>2668285</v>
          </cell>
          <cell r="M60">
            <v>23097635</v>
          </cell>
          <cell r="N60">
            <v>2346278</v>
          </cell>
          <cell r="O60">
            <v>29581865</v>
          </cell>
          <cell r="P60" t="str">
            <v>金額</v>
          </cell>
          <cell r="Q60">
            <v>563809272</v>
          </cell>
          <cell r="R60">
            <v>277423201</v>
          </cell>
          <cell r="S60">
            <v>855227</v>
          </cell>
          <cell r="T60">
            <v>495142914</v>
          </cell>
          <cell r="U60">
            <v>773421342</v>
          </cell>
          <cell r="V60">
            <v>2284636159</v>
          </cell>
          <cell r="W60">
            <v>272256044</v>
          </cell>
          <cell r="X60">
            <v>3621866773</v>
          </cell>
          <cell r="Y60" t="str">
            <v xml:space="preserve"> </v>
          </cell>
        </row>
        <row r="61">
          <cell r="E61" t="str">
            <v>中軸付絶縁体</v>
          </cell>
          <cell r="F61" t="str">
            <v>PP50102</v>
          </cell>
          <cell r="G61" t="str">
            <v>数量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7535731</v>
          </cell>
          <cell r="N61">
            <v>2112490</v>
          </cell>
          <cell r="O61">
            <v>7535731</v>
          </cell>
          <cell r="P61" t="str">
            <v>金額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384111683</v>
          </cell>
          <cell r="W61">
            <v>136668923</v>
          </cell>
          <cell r="X61">
            <v>384111683</v>
          </cell>
          <cell r="Y61" t="str">
            <v xml:space="preserve"> </v>
          </cell>
        </row>
        <row r="62">
          <cell r="E62" t="str">
            <v>中　軸</v>
          </cell>
          <cell r="F62" t="str">
            <v>PP50104</v>
          </cell>
          <cell r="G62" t="str">
            <v>数量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2745000</v>
          </cell>
          <cell r="N62">
            <v>350000</v>
          </cell>
          <cell r="O62">
            <v>2745000</v>
          </cell>
          <cell r="P62" t="str">
            <v>金額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18913250</v>
          </cell>
          <cell r="W62">
            <v>1435000</v>
          </cell>
          <cell r="X62">
            <v>18913250</v>
          </cell>
          <cell r="Y62" t="str">
            <v xml:space="preserve"> </v>
          </cell>
        </row>
        <row r="63">
          <cell r="E63" t="str">
            <v>主体金具</v>
          </cell>
          <cell r="F63" t="str">
            <v>PP50106</v>
          </cell>
          <cell r="G63" t="str">
            <v>数量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8590730</v>
          </cell>
          <cell r="N63">
            <v>1785920</v>
          </cell>
          <cell r="O63">
            <v>8590730</v>
          </cell>
          <cell r="P63" t="str">
            <v>金額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166109043</v>
          </cell>
          <cell r="W63">
            <v>67561952</v>
          </cell>
          <cell r="X63">
            <v>166109043</v>
          </cell>
          <cell r="Y63" t="str">
            <v xml:space="preserve"> </v>
          </cell>
        </row>
        <row r="64">
          <cell r="E64" t="str">
            <v>絶縁体</v>
          </cell>
          <cell r="F64" t="str">
            <v>PP50108</v>
          </cell>
          <cell r="G64" t="str">
            <v>数量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2691970</v>
          </cell>
          <cell r="N64">
            <v>326370</v>
          </cell>
          <cell r="O64">
            <v>2691970</v>
          </cell>
          <cell r="P64" t="str">
            <v>金額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49039246</v>
          </cell>
          <cell r="W64">
            <v>2952786</v>
          </cell>
          <cell r="X64">
            <v>49039246</v>
          </cell>
          <cell r="Y64" t="str">
            <v xml:space="preserve"> </v>
          </cell>
        </row>
        <row r="65">
          <cell r="E65" t="str">
            <v>端子ナット</v>
          </cell>
          <cell r="F65" t="str">
            <v>PP50110</v>
          </cell>
          <cell r="G65" t="str">
            <v>数量</v>
          </cell>
          <cell r="H65">
            <v>100</v>
          </cell>
          <cell r="I65">
            <v>1571</v>
          </cell>
          <cell r="J65">
            <v>0</v>
          </cell>
          <cell r="K65">
            <v>0</v>
          </cell>
          <cell r="L65">
            <v>1571</v>
          </cell>
          <cell r="M65">
            <v>1200000</v>
          </cell>
          <cell r="N65">
            <v>0</v>
          </cell>
          <cell r="O65">
            <v>1201671</v>
          </cell>
          <cell r="P65" t="str">
            <v>金額</v>
          </cell>
          <cell r="Q65">
            <v>1000</v>
          </cell>
          <cell r="R65">
            <v>15368</v>
          </cell>
          <cell r="S65">
            <v>0</v>
          </cell>
          <cell r="T65">
            <v>0</v>
          </cell>
          <cell r="U65">
            <v>15368</v>
          </cell>
          <cell r="V65">
            <v>672000</v>
          </cell>
          <cell r="W65">
            <v>0</v>
          </cell>
          <cell r="X65">
            <v>688368</v>
          </cell>
          <cell r="Y65" t="str">
            <v xml:space="preserve"> </v>
          </cell>
        </row>
        <row r="66">
          <cell r="E66" t="str">
            <v>雄ネジ</v>
          </cell>
          <cell r="F66" t="str">
            <v>PP50112</v>
          </cell>
          <cell r="G66" t="str">
            <v>数量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1235000</v>
          </cell>
          <cell r="N66">
            <v>0</v>
          </cell>
          <cell r="O66">
            <v>1235000</v>
          </cell>
          <cell r="P66" t="str">
            <v>金額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2761500</v>
          </cell>
          <cell r="W66">
            <v>0</v>
          </cell>
          <cell r="X66">
            <v>2761500</v>
          </cell>
          <cell r="Y66" t="str">
            <v xml:space="preserve"> </v>
          </cell>
        </row>
        <row r="67">
          <cell r="E67" t="str">
            <v>一体端子</v>
          </cell>
          <cell r="F67" t="str">
            <v>PP50114</v>
          </cell>
          <cell r="G67" t="str">
            <v>数量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1700000</v>
          </cell>
          <cell r="N67">
            <v>300000</v>
          </cell>
          <cell r="O67">
            <v>1700000</v>
          </cell>
          <cell r="P67" t="str">
            <v>金額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5470400</v>
          </cell>
          <cell r="W67">
            <v>870000</v>
          </cell>
          <cell r="X67">
            <v>5470400</v>
          </cell>
          <cell r="Y67" t="str">
            <v xml:space="preserve"> </v>
          </cell>
        </row>
        <row r="68">
          <cell r="E68" t="str">
            <v>板パッキン</v>
          </cell>
          <cell r="F68" t="str">
            <v>PP50120</v>
          </cell>
          <cell r="G68" t="str">
            <v>数量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2300000</v>
          </cell>
          <cell r="N68">
            <v>0</v>
          </cell>
          <cell r="O68">
            <v>2300000</v>
          </cell>
          <cell r="P68" t="str">
            <v>金額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184000</v>
          </cell>
          <cell r="W68">
            <v>0</v>
          </cell>
          <cell r="X68">
            <v>184000</v>
          </cell>
          <cell r="Y68" t="str">
            <v xml:space="preserve"> </v>
          </cell>
        </row>
        <row r="69">
          <cell r="E69" t="str">
            <v>線パッキン</v>
          </cell>
          <cell r="F69" t="str">
            <v>PP50122</v>
          </cell>
          <cell r="G69" t="str">
            <v>数量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4160000</v>
          </cell>
          <cell r="N69">
            <v>0</v>
          </cell>
          <cell r="O69">
            <v>4160000</v>
          </cell>
          <cell r="P69" t="str">
            <v>金額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332800</v>
          </cell>
          <cell r="W69">
            <v>0</v>
          </cell>
          <cell r="X69">
            <v>332800</v>
          </cell>
          <cell r="Y69" t="str">
            <v xml:space="preserve"> </v>
          </cell>
        </row>
        <row r="70">
          <cell r="E70" t="str">
            <v>ガスケット</v>
          </cell>
          <cell r="F70" t="str">
            <v>PP50125</v>
          </cell>
          <cell r="G70" t="str">
            <v>数量</v>
          </cell>
          <cell r="H70">
            <v>1237756</v>
          </cell>
          <cell r="I70">
            <v>50</v>
          </cell>
          <cell r="J70">
            <v>0</v>
          </cell>
          <cell r="K70">
            <v>331443</v>
          </cell>
          <cell r="L70">
            <v>331493</v>
          </cell>
          <cell r="M70">
            <v>5551206</v>
          </cell>
          <cell r="N70">
            <v>0</v>
          </cell>
          <cell r="O70">
            <v>7120455</v>
          </cell>
          <cell r="P70" t="str">
            <v>金額</v>
          </cell>
          <cell r="Q70">
            <v>4125122</v>
          </cell>
          <cell r="R70">
            <v>400</v>
          </cell>
          <cell r="S70">
            <v>0</v>
          </cell>
          <cell r="T70">
            <v>1336309</v>
          </cell>
          <cell r="U70">
            <v>1336709</v>
          </cell>
          <cell r="V70">
            <v>4338541</v>
          </cell>
          <cell r="W70">
            <v>0</v>
          </cell>
          <cell r="X70">
            <v>9800372</v>
          </cell>
          <cell r="Y70" t="str">
            <v xml:space="preserve"> </v>
          </cell>
        </row>
        <row r="71">
          <cell r="E71" t="str">
            <v>外測電極</v>
          </cell>
          <cell r="F71" t="str">
            <v>PP50127</v>
          </cell>
          <cell r="G71" t="str">
            <v>数量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196000</v>
          </cell>
          <cell r="N71">
            <v>196000</v>
          </cell>
          <cell r="O71">
            <v>196000</v>
          </cell>
          <cell r="P71" t="str">
            <v>金額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3332000</v>
          </cell>
          <cell r="W71">
            <v>3332000</v>
          </cell>
          <cell r="X71">
            <v>3332000</v>
          </cell>
          <cell r="Y71" t="str">
            <v xml:space="preserve"> </v>
          </cell>
        </row>
        <row r="72">
          <cell r="E72" t="str">
            <v>特殊中軸</v>
          </cell>
          <cell r="F72" t="str">
            <v>PP50142</v>
          </cell>
          <cell r="G72" t="str">
            <v>数量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500000</v>
          </cell>
          <cell r="N72">
            <v>0</v>
          </cell>
          <cell r="O72">
            <v>500000</v>
          </cell>
          <cell r="P72" t="str">
            <v>金額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3845000</v>
          </cell>
          <cell r="W72">
            <v>0</v>
          </cell>
          <cell r="X72">
            <v>3845000</v>
          </cell>
          <cell r="Y72" t="str">
            <v xml:space="preserve"> </v>
          </cell>
        </row>
        <row r="73">
          <cell r="E73" t="str">
            <v>滑　石</v>
          </cell>
          <cell r="F73" t="str">
            <v>PP50188</v>
          </cell>
          <cell r="G73" t="str">
            <v>数量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12020</v>
          </cell>
          <cell r="N73">
            <v>0</v>
          </cell>
          <cell r="O73">
            <v>12020</v>
          </cell>
          <cell r="P73" t="str">
            <v>金額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2711588</v>
          </cell>
          <cell r="W73">
            <v>0</v>
          </cell>
          <cell r="X73">
            <v>2711588</v>
          </cell>
          <cell r="Y73" t="str">
            <v xml:space="preserve"> </v>
          </cell>
        </row>
        <row r="74">
          <cell r="E74" t="str">
            <v>原材料・他</v>
          </cell>
          <cell r="F74" t="str">
            <v>PP50189</v>
          </cell>
          <cell r="G74" t="str">
            <v>数量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2128070</v>
          </cell>
          <cell r="N74">
            <v>0</v>
          </cell>
          <cell r="O74">
            <v>2128070</v>
          </cell>
          <cell r="P74" t="str">
            <v>金額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38058500</v>
          </cell>
          <cell r="W74">
            <v>0</v>
          </cell>
          <cell r="X74">
            <v>38058500</v>
          </cell>
          <cell r="Y74" t="str">
            <v xml:space="preserve"> </v>
          </cell>
        </row>
        <row r="75">
          <cell r="E75" t="str">
            <v>その他</v>
          </cell>
          <cell r="F75" t="str">
            <v>PP50190</v>
          </cell>
          <cell r="G75" t="str">
            <v>数量</v>
          </cell>
          <cell r="H75">
            <v>20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3429</v>
          </cell>
          <cell r="N75">
            <v>0</v>
          </cell>
          <cell r="O75">
            <v>3449</v>
          </cell>
          <cell r="P75" t="str">
            <v>金額</v>
          </cell>
          <cell r="Q75">
            <v>36000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11266215</v>
          </cell>
          <cell r="W75">
            <v>0</v>
          </cell>
          <cell r="X75">
            <v>11302215</v>
          </cell>
          <cell r="Y75" t="str">
            <v xml:space="preserve"> </v>
          </cell>
        </row>
        <row r="76">
          <cell r="E76" t="str">
            <v>スパ－クプラ部品</v>
          </cell>
          <cell r="F76" t="str">
            <v>PP501</v>
          </cell>
          <cell r="G76" t="str">
            <v>数量</v>
          </cell>
          <cell r="H76">
            <v>1237876</v>
          </cell>
          <cell r="I76">
            <v>1621</v>
          </cell>
          <cell r="J76">
            <v>0</v>
          </cell>
          <cell r="K76">
            <v>331443</v>
          </cell>
          <cell r="L76">
            <v>333064</v>
          </cell>
          <cell r="M76">
            <v>40549156</v>
          </cell>
          <cell r="N76">
            <v>5070780</v>
          </cell>
          <cell r="O76">
            <v>42120096</v>
          </cell>
          <cell r="P76" t="str">
            <v>金額</v>
          </cell>
          <cell r="Q76">
            <v>4162122</v>
          </cell>
          <cell r="R76">
            <v>15768</v>
          </cell>
          <cell r="S76">
            <v>0</v>
          </cell>
          <cell r="T76">
            <v>1336309</v>
          </cell>
          <cell r="U76">
            <v>1352077</v>
          </cell>
          <cell r="V76">
            <v>691145766</v>
          </cell>
          <cell r="W76">
            <v>212820661</v>
          </cell>
          <cell r="X76">
            <v>696659965</v>
          </cell>
          <cell r="Y76" t="str">
            <v xml:space="preserve"> </v>
          </cell>
        </row>
        <row r="77">
          <cell r="E77" t="str">
            <v>板パッキン</v>
          </cell>
          <cell r="F77" t="str">
            <v>PP50330</v>
          </cell>
          <cell r="G77" t="str">
            <v>数量</v>
          </cell>
          <cell r="H77">
            <v>120</v>
          </cell>
          <cell r="I77">
            <v>0</v>
          </cell>
          <cell r="J77">
            <v>0</v>
          </cell>
          <cell r="K77">
            <v>100</v>
          </cell>
          <cell r="L77">
            <v>100</v>
          </cell>
          <cell r="M77">
            <v>0</v>
          </cell>
          <cell r="N77">
            <v>0</v>
          </cell>
          <cell r="O77">
            <v>220</v>
          </cell>
          <cell r="P77" t="str">
            <v>金額</v>
          </cell>
          <cell r="Q77">
            <v>1200</v>
          </cell>
          <cell r="R77">
            <v>0</v>
          </cell>
          <cell r="S77">
            <v>0</v>
          </cell>
          <cell r="T77">
            <v>1000</v>
          </cell>
          <cell r="U77">
            <v>1000</v>
          </cell>
          <cell r="V77">
            <v>0</v>
          </cell>
          <cell r="W77">
            <v>0</v>
          </cell>
          <cell r="X77">
            <v>2200</v>
          </cell>
          <cell r="Y77" t="str">
            <v xml:space="preserve"> </v>
          </cell>
        </row>
        <row r="78">
          <cell r="E78" t="str">
            <v>スウェージャー品</v>
          </cell>
          <cell r="F78" t="str">
            <v>PP50343</v>
          </cell>
          <cell r="G78" t="str">
            <v>数量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-18821</v>
          </cell>
          <cell r="N78">
            <v>0</v>
          </cell>
          <cell r="O78">
            <v>-18821</v>
          </cell>
          <cell r="P78" t="str">
            <v>金額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-4235688</v>
          </cell>
          <cell r="W78">
            <v>0</v>
          </cell>
          <cell r="X78">
            <v>-4235688</v>
          </cell>
          <cell r="Y78" t="str">
            <v xml:space="preserve"> </v>
          </cell>
        </row>
        <row r="79">
          <cell r="E79" t="str">
            <v>その他</v>
          </cell>
          <cell r="F79" t="str">
            <v>PP50390</v>
          </cell>
          <cell r="G79" t="str">
            <v>数量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3410</v>
          </cell>
          <cell r="N79">
            <v>0</v>
          </cell>
          <cell r="O79">
            <v>3410</v>
          </cell>
          <cell r="P79" t="str">
            <v>金額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2549000</v>
          </cell>
          <cell r="W79">
            <v>0</v>
          </cell>
          <cell r="X79">
            <v>2549000</v>
          </cell>
          <cell r="Y79" t="str">
            <v xml:space="preserve"> </v>
          </cell>
        </row>
        <row r="80">
          <cell r="E80" t="str">
            <v>グロー部品</v>
          </cell>
          <cell r="F80" t="str">
            <v>PP503</v>
          </cell>
          <cell r="G80" t="str">
            <v>数量</v>
          </cell>
          <cell r="H80">
            <v>120</v>
          </cell>
          <cell r="I80">
            <v>0</v>
          </cell>
          <cell r="J80">
            <v>0</v>
          </cell>
          <cell r="K80">
            <v>100</v>
          </cell>
          <cell r="L80">
            <v>100</v>
          </cell>
          <cell r="M80">
            <v>-15411</v>
          </cell>
          <cell r="N80">
            <v>0</v>
          </cell>
          <cell r="O80">
            <v>-15191</v>
          </cell>
          <cell r="P80" t="str">
            <v>金額</v>
          </cell>
          <cell r="Q80">
            <v>1200</v>
          </cell>
          <cell r="R80">
            <v>0</v>
          </cell>
          <cell r="S80">
            <v>0</v>
          </cell>
          <cell r="T80">
            <v>1000</v>
          </cell>
          <cell r="U80">
            <v>1000</v>
          </cell>
          <cell r="V80">
            <v>-1686688</v>
          </cell>
          <cell r="W80">
            <v>0</v>
          </cell>
          <cell r="X80">
            <v>-1684488</v>
          </cell>
          <cell r="Y80" t="str">
            <v xml:space="preserve"> </v>
          </cell>
        </row>
        <row r="81">
          <cell r="E81" t="str">
            <v>ガラスパイプ</v>
          </cell>
          <cell r="F81" t="str">
            <v>PP50422</v>
          </cell>
          <cell r="G81" t="str">
            <v>数量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60000</v>
          </cell>
          <cell r="N81">
            <v>0</v>
          </cell>
          <cell r="O81">
            <v>60000</v>
          </cell>
          <cell r="P81" t="str">
            <v>金額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420000</v>
          </cell>
          <cell r="W81">
            <v>0</v>
          </cell>
          <cell r="X81">
            <v>420000</v>
          </cell>
          <cell r="Y81" t="str">
            <v xml:space="preserve"> </v>
          </cell>
        </row>
        <row r="82">
          <cell r="E82" t="str">
            <v>発熱体部品</v>
          </cell>
          <cell r="F82" t="str">
            <v>PP50442</v>
          </cell>
          <cell r="G82" t="str">
            <v>数量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50000</v>
          </cell>
          <cell r="N82">
            <v>0</v>
          </cell>
          <cell r="O82">
            <v>50000</v>
          </cell>
          <cell r="P82" t="str">
            <v>金額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25000000</v>
          </cell>
          <cell r="W82">
            <v>0</v>
          </cell>
          <cell r="X82">
            <v>25000000</v>
          </cell>
          <cell r="Y82" t="str">
            <v xml:space="preserve"> </v>
          </cell>
        </row>
        <row r="83">
          <cell r="E83" t="str">
            <v>Ｃグロー部品</v>
          </cell>
          <cell r="F83" t="str">
            <v>PP504</v>
          </cell>
          <cell r="G83" t="str">
            <v>数量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110000</v>
          </cell>
          <cell r="N83">
            <v>0</v>
          </cell>
          <cell r="O83">
            <v>110000</v>
          </cell>
          <cell r="P83" t="str">
            <v>金額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25420000</v>
          </cell>
          <cell r="W83">
            <v>0</v>
          </cell>
          <cell r="X83">
            <v>25420000</v>
          </cell>
          <cell r="Y83" t="str">
            <v xml:space="preserve"> </v>
          </cell>
        </row>
        <row r="84">
          <cell r="E84" t="str">
            <v>その他</v>
          </cell>
          <cell r="F84" t="str">
            <v>PP50790</v>
          </cell>
          <cell r="G84" t="str">
            <v>数量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2</v>
          </cell>
          <cell r="N84">
            <v>0</v>
          </cell>
          <cell r="O84">
            <v>2</v>
          </cell>
          <cell r="P84" t="str">
            <v>金額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76000</v>
          </cell>
          <cell r="W84">
            <v>0</v>
          </cell>
          <cell r="X84">
            <v>76000</v>
          </cell>
          <cell r="Y84" t="str">
            <v xml:space="preserve"> </v>
          </cell>
        </row>
        <row r="85">
          <cell r="E85" t="str">
            <v>ＧＬ部品</v>
          </cell>
          <cell r="F85" t="str">
            <v>PP507</v>
          </cell>
          <cell r="G85" t="str">
            <v>数量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2</v>
          </cell>
          <cell r="N85">
            <v>0</v>
          </cell>
          <cell r="O85">
            <v>2</v>
          </cell>
          <cell r="P85" t="str">
            <v>金額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76000</v>
          </cell>
          <cell r="W85">
            <v>0</v>
          </cell>
          <cell r="X85">
            <v>76000</v>
          </cell>
          <cell r="Y85" t="str">
            <v xml:space="preserve"> </v>
          </cell>
        </row>
        <row r="86">
          <cell r="E86" t="str">
            <v>プラグ部品</v>
          </cell>
          <cell r="F86" t="str">
            <v>PP5</v>
          </cell>
          <cell r="G86" t="str">
            <v>数量</v>
          </cell>
          <cell r="H86">
            <v>1237996</v>
          </cell>
          <cell r="I86">
            <v>1621</v>
          </cell>
          <cell r="J86">
            <v>0</v>
          </cell>
          <cell r="K86">
            <v>331543</v>
          </cell>
          <cell r="L86">
            <v>333164</v>
          </cell>
          <cell r="M86">
            <v>40643747</v>
          </cell>
          <cell r="N86">
            <v>5070780</v>
          </cell>
          <cell r="O86">
            <v>42214907</v>
          </cell>
          <cell r="P86" t="str">
            <v>金額</v>
          </cell>
          <cell r="Q86">
            <v>4163322</v>
          </cell>
          <cell r="R86">
            <v>15768</v>
          </cell>
          <cell r="S86">
            <v>0</v>
          </cell>
          <cell r="T86">
            <v>1337309</v>
          </cell>
          <cell r="U86">
            <v>1353077</v>
          </cell>
          <cell r="V86">
            <v>714955078</v>
          </cell>
          <cell r="W86">
            <v>212820661</v>
          </cell>
          <cell r="X86">
            <v>720471477</v>
          </cell>
          <cell r="Y86" t="str">
            <v xml:space="preserve"> </v>
          </cell>
        </row>
        <row r="87">
          <cell r="E87" t="str">
            <v>プラグ</v>
          </cell>
          <cell r="F87" t="str">
            <v>PP</v>
          </cell>
          <cell r="G87" t="str">
            <v>数量</v>
          </cell>
          <cell r="H87">
            <v>5053941</v>
          </cell>
          <cell r="I87">
            <v>906941</v>
          </cell>
          <cell r="J87">
            <v>3489</v>
          </cell>
          <cell r="K87">
            <v>2091019</v>
          </cell>
          <cell r="L87">
            <v>3001449</v>
          </cell>
          <cell r="M87">
            <v>63741382</v>
          </cell>
          <cell r="N87">
            <v>7417058</v>
          </cell>
          <cell r="O87">
            <v>71796772</v>
          </cell>
          <cell r="P87" t="str">
            <v>金額</v>
          </cell>
          <cell r="Q87">
            <v>567972594</v>
          </cell>
          <cell r="R87">
            <v>277438969</v>
          </cell>
          <cell r="S87">
            <v>855227</v>
          </cell>
          <cell r="T87">
            <v>496480223</v>
          </cell>
          <cell r="U87">
            <v>774774419</v>
          </cell>
          <cell r="V87">
            <v>2999591237</v>
          </cell>
          <cell r="W87">
            <v>485076705</v>
          </cell>
          <cell r="X87">
            <v>4342338250</v>
          </cell>
          <cell r="Y87" t="str">
            <v xml:space="preserve"> </v>
          </cell>
        </row>
        <row r="88">
          <cell r="E88" t="str">
            <v>サーミスター</v>
          </cell>
          <cell r="F88" t="str">
            <v>PX10101</v>
          </cell>
          <cell r="G88" t="str">
            <v>数量</v>
          </cell>
          <cell r="H88">
            <v>4890</v>
          </cell>
          <cell r="I88">
            <v>0</v>
          </cell>
          <cell r="J88">
            <v>0</v>
          </cell>
          <cell r="K88">
            <v>422</v>
          </cell>
          <cell r="L88">
            <v>422</v>
          </cell>
          <cell r="M88">
            <v>0</v>
          </cell>
          <cell r="N88">
            <v>0</v>
          </cell>
          <cell r="O88">
            <v>5312</v>
          </cell>
          <cell r="P88" t="str">
            <v>金額</v>
          </cell>
          <cell r="Q88">
            <v>8275810</v>
          </cell>
          <cell r="R88">
            <v>0</v>
          </cell>
          <cell r="S88">
            <v>0</v>
          </cell>
          <cell r="T88">
            <v>545725</v>
          </cell>
          <cell r="U88">
            <v>545725</v>
          </cell>
          <cell r="V88">
            <v>0</v>
          </cell>
          <cell r="W88">
            <v>0</v>
          </cell>
          <cell r="X88">
            <v>8821535</v>
          </cell>
          <cell r="Y88" t="str">
            <v xml:space="preserve"> </v>
          </cell>
        </row>
        <row r="89">
          <cell r="E89" t="str">
            <v>Ｃ　Ａ</v>
          </cell>
          <cell r="F89" t="str">
            <v>PX10104</v>
          </cell>
          <cell r="G89" t="str">
            <v>数量</v>
          </cell>
          <cell r="H89">
            <v>0</v>
          </cell>
          <cell r="I89">
            <v>0</v>
          </cell>
          <cell r="J89">
            <v>0</v>
          </cell>
          <cell r="K89">
            <v>9</v>
          </cell>
          <cell r="L89">
            <v>9</v>
          </cell>
          <cell r="M89">
            <v>0</v>
          </cell>
          <cell r="N89">
            <v>0</v>
          </cell>
          <cell r="O89">
            <v>9</v>
          </cell>
          <cell r="P89" t="str">
            <v>金額</v>
          </cell>
          <cell r="Q89">
            <v>0</v>
          </cell>
          <cell r="R89">
            <v>0</v>
          </cell>
          <cell r="S89">
            <v>0</v>
          </cell>
          <cell r="T89">
            <v>10630</v>
          </cell>
          <cell r="U89">
            <v>10630</v>
          </cell>
          <cell r="V89">
            <v>0</v>
          </cell>
          <cell r="W89">
            <v>0</v>
          </cell>
          <cell r="X89">
            <v>10630</v>
          </cell>
          <cell r="Y89" t="str">
            <v xml:space="preserve"> </v>
          </cell>
        </row>
        <row r="90">
          <cell r="E90" t="str">
            <v>ヒューズ</v>
          </cell>
          <cell r="F90" t="str">
            <v>PX10107</v>
          </cell>
          <cell r="G90" t="str">
            <v>数量</v>
          </cell>
          <cell r="H90">
            <v>17</v>
          </cell>
          <cell r="I90">
            <v>0</v>
          </cell>
          <cell r="J90">
            <v>0</v>
          </cell>
          <cell r="K90">
            <v>10868</v>
          </cell>
          <cell r="L90">
            <v>10868</v>
          </cell>
          <cell r="M90">
            <v>0</v>
          </cell>
          <cell r="N90">
            <v>0</v>
          </cell>
          <cell r="O90">
            <v>10885</v>
          </cell>
          <cell r="P90" t="str">
            <v>金額</v>
          </cell>
          <cell r="Q90">
            <v>21554</v>
          </cell>
          <cell r="R90">
            <v>0</v>
          </cell>
          <cell r="S90">
            <v>0</v>
          </cell>
          <cell r="T90">
            <v>9565317</v>
          </cell>
          <cell r="U90">
            <v>9565317</v>
          </cell>
          <cell r="V90">
            <v>0</v>
          </cell>
          <cell r="W90">
            <v>0</v>
          </cell>
          <cell r="X90">
            <v>9586871</v>
          </cell>
          <cell r="Y90" t="str">
            <v xml:space="preserve"> </v>
          </cell>
        </row>
        <row r="91">
          <cell r="E91" t="str">
            <v>ヒューズ　部品</v>
          </cell>
          <cell r="F91" t="str">
            <v>PX10108</v>
          </cell>
          <cell r="G91" t="str">
            <v>数量</v>
          </cell>
          <cell r="H91">
            <v>5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5</v>
          </cell>
          <cell r="P91" t="str">
            <v>金額</v>
          </cell>
          <cell r="Q91">
            <v>3625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3625</v>
          </cell>
          <cell r="Y91" t="str">
            <v xml:space="preserve"> </v>
          </cell>
        </row>
        <row r="92">
          <cell r="E92" t="str">
            <v>ヒューズ試作</v>
          </cell>
          <cell r="F92" t="str">
            <v>PX10109</v>
          </cell>
          <cell r="G92" t="str">
            <v>数量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60</v>
          </cell>
          <cell r="N92">
            <v>0</v>
          </cell>
          <cell r="O92">
            <v>60</v>
          </cell>
          <cell r="P92" t="str">
            <v>金額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240000</v>
          </cell>
          <cell r="W92">
            <v>0</v>
          </cell>
          <cell r="X92">
            <v>240000</v>
          </cell>
          <cell r="Y92" t="str">
            <v xml:space="preserve"> </v>
          </cell>
        </row>
        <row r="93">
          <cell r="E93" t="str">
            <v>シースＣＡ</v>
          </cell>
          <cell r="F93" t="str">
            <v>PX10110</v>
          </cell>
          <cell r="G93" t="str">
            <v>数量</v>
          </cell>
          <cell r="H93">
            <v>277</v>
          </cell>
          <cell r="I93">
            <v>0</v>
          </cell>
          <cell r="J93">
            <v>0</v>
          </cell>
          <cell r="K93">
            <v>16</v>
          </cell>
          <cell r="L93">
            <v>16</v>
          </cell>
          <cell r="M93">
            <v>0</v>
          </cell>
          <cell r="N93">
            <v>0</v>
          </cell>
          <cell r="O93">
            <v>293</v>
          </cell>
          <cell r="P93" t="str">
            <v>金額</v>
          </cell>
          <cell r="Q93">
            <v>623378</v>
          </cell>
          <cell r="R93">
            <v>0</v>
          </cell>
          <cell r="S93">
            <v>0</v>
          </cell>
          <cell r="T93">
            <v>17144</v>
          </cell>
          <cell r="U93">
            <v>17144</v>
          </cell>
          <cell r="V93">
            <v>0</v>
          </cell>
          <cell r="W93">
            <v>0</v>
          </cell>
          <cell r="X93">
            <v>640522</v>
          </cell>
          <cell r="Y93" t="str">
            <v xml:space="preserve"> </v>
          </cell>
        </row>
        <row r="94">
          <cell r="E94" t="str">
            <v>シースＣＡ試作</v>
          </cell>
          <cell r="F94" t="str">
            <v>PX10112</v>
          </cell>
          <cell r="G94" t="str">
            <v>数量</v>
          </cell>
          <cell r="H94">
            <v>355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355</v>
          </cell>
          <cell r="P94" t="str">
            <v>金額</v>
          </cell>
          <cell r="Q94">
            <v>547622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547622</v>
          </cell>
          <cell r="Y94" t="str">
            <v xml:space="preserve"> </v>
          </cell>
        </row>
        <row r="95">
          <cell r="E95" t="str">
            <v>回路　試作品</v>
          </cell>
          <cell r="F95" t="str">
            <v>PX10115</v>
          </cell>
          <cell r="G95" t="str">
            <v>数量</v>
          </cell>
          <cell r="H95">
            <v>3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3</v>
          </cell>
          <cell r="P95" t="str">
            <v>金額</v>
          </cell>
          <cell r="Q95">
            <v>16500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16500</v>
          </cell>
          <cell r="Y95" t="str">
            <v xml:space="preserve"> </v>
          </cell>
        </row>
        <row r="96">
          <cell r="E96" t="str">
            <v>ＶＣセンサー</v>
          </cell>
          <cell r="F96" t="str">
            <v>PX10120</v>
          </cell>
          <cell r="G96" t="str">
            <v>数量</v>
          </cell>
          <cell r="H96">
            <v>26451</v>
          </cell>
          <cell r="I96">
            <v>0</v>
          </cell>
          <cell r="J96">
            <v>0</v>
          </cell>
          <cell r="K96">
            <v>341</v>
          </cell>
          <cell r="L96">
            <v>341</v>
          </cell>
          <cell r="M96">
            <v>0</v>
          </cell>
          <cell r="N96">
            <v>0</v>
          </cell>
          <cell r="O96">
            <v>26792</v>
          </cell>
          <cell r="P96" t="str">
            <v>金額</v>
          </cell>
          <cell r="Q96">
            <v>18318099</v>
          </cell>
          <cell r="R96">
            <v>0</v>
          </cell>
          <cell r="S96">
            <v>0</v>
          </cell>
          <cell r="T96">
            <v>299229</v>
          </cell>
          <cell r="U96">
            <v>299229</v>
          </cell>
          <cell r="V96">
            <v>0</v>
          </cell>
          <cell r="W96">
            <v>0</v>
          </cell>
          <cell r="X96">
            <v>18617328</v>
          </cell>
          <cell r="Y96" t="str">
            <v xml:space="preserve"> </v>
          </cell>
        </row>
        <row r="97">
          <cell r="E97" t="str">
            <v>ＶＣセンサー試作</v>
          </cell>
          <cell r="F97" t="str">
            <v>PX10121</v>
          </cell>
          <cell r="G97" t="str">
            <v>数量</v>
          </cell>
          <cell r="H97">
            <v>1</v>
          </cell>
          <cell r="I97">
            <v>0</v>
          </cell>
          <cell r="J97">
            <v>0</v>
          </cell>
          <cell r="K97">
            <v>1</v>
          </cell>
          <cell r="L97">
            <v>1</v>
          </cell>
          <cell r="M97">
            <v>0</v>
          </cell>
          <cell r="N97">
            <v>0</v>
          </cell>
          <cell r="O97">
            <v>2</v>
          </cell>
          <cell r="P97" t="str">
            <v>金額</v>
          </cell>
          <cell r="Q97">
            <v>5000</v>
          </cell>
          <cell r="R97">
            <v>0</v>
          </cell>
          <cell r="S97">
            <v>0</v>
          </cell>
          <cell r="T97">
            <v>5000</v>
          </cell>
          <cell r="U97">
            <v>5000</v>
          </cell>
          <cell r="V97">
            <v>0</v>
          </cell>
          <cell r="W97">
            <v>0</v>
          </cell>
          <cell r="X97">
            <v>10000</v>
          </cell>
          <cell r="Y97" t="str">
            <v xml:space="preserve"> </v>
          </cell>
        </row>
        <row r="98">
          <cell r="E98" t="str">
            <v>温度センサ仕入品</v>
          </cell>
          <cell r="F98" t="str">
            <v>PX10190</v>
          </cell>
          <cell r="G98" t="str">
            <v>数量</v>
          </cell>
          <cell r="H98">
            <v>1200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1200</v>
          </cell>
          <cell r="P98" t="str">
            <v>金額</v>
          </cell>
          <cell r="Q98">
            <v>368000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368000</v>
          </cell>
          <cell r="Y98" t="str">
            <v xml:space="preserve"> </v>
          </cell>
        </row>
        <row r="99">
          <cell r="E99" t="str">
            <v>温度センサー</v>
          </cell>
          <cell r="F99" t="str">
            <v>PX101</v>
          </cell>
          <cell r="G99" t="str">
            <v>数量</v>
          </cell>
          <cell r="H99">
            <v>33199</v>
          </cell>
          <cell r="I99">
            <v>0</v>
          </cell>
          <cell r="J99">
            <v>0</v>
          </cell>
          <cell r="K99">
            <v>11657</v>
          </cell>
          <cell r="L99">
            <v>11657</v>
          </cell>
          <cell r="M99">
            <v>60</v>
          </cell>
          <cell r="N99">
            <v>0</v>
          </cell>
          <cell r="O99">
            <v>44916</v>
          </cell>
          <cell r="P99" t="str">
            <v>金額</v>
          </cell>
          <cell r="Q99">
            <v>28179588</v>
          </cell>
          <cell r="R99">
            <v>0</v>
          </cell>
          <cell r="S99">
            <v>0</v>
          </cell>
          <cell r="T99">
            <v>10443045</v>
          </cell>
          <cell r="U99">
            <v>10443045</v>
          </cell>
          <cell r="V99">
            <v>240000</v>
          </cell>
          <cell r="W99">
            <v>0</v>
          </cell>
          <cell r="X99">
            <v>38862633</v>
          </cell>
          <cell r="Y99" t="str">
            <v xml:space="preserve"> </v>
          </cell>
        </row>
        <row r="100">
          <cell r="E100" t="str">
            <v>ジルコニア半製品</v>
          </cell>
          <cell r="F100" t="str">
            <v>PX11100</v>
          </cell>
          <cell r="G100" t="str">
            <v>数量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119800</v>
          </cell>
          <cell r="N100">
            <v>1000</v>
          </cell>
          <cell r="O100">
            <v>119800</v>
          </cell>
          <cell r="P100" t="str">
            <v>金額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90687000</v>
          </cell>
          <cell r="W100">
            <v>561000</v>
          </cell>
          <cell r="X100">
            <v>90687000</v>
          </cell>
          <cell r="Y100" t="str">
            <v xml:space="preserve"> </v>
          </cell>
        </row>
        <row r="101">
          <cell r="E101" t="str">
            <v>ジルコニア完成品</v>
          </cell>
          <cell r="F101" t="str">
            <v>PX11101</v>
          </cell>
          <cell r="G101" t="str">
            <v>数量</v>
          </cell>
          <cell r="H101">
            <v>224500</v>
          </cell>
          <cell r="I101">
            <v>0</v>
          </cell>
          <cell r="J101">
            <v>0</v>
          </cell>
          <cell r="K101">
            <v>5376</v>
          </cell>
          <cell r="L101">
            <v>5376</v>
          </cell>
          <cell r="M101">
            <v>1849822</v>
          </cell>
          <cell r="N101">
            <v>1840826</v>
          </cell>
          <cell r="O101">
            <v>2079698</v>
          </cell>
          <cell r="P101" t="str">
            <v>金額</v>
          </cell>
          <cell r="Q101">
            <v>369681205</v>
          </cell>
          <cell r="R101">
            <v>0</v>
          </cell>
          <cell r="S101">
            <v>0</v>
          </cell>
          <cell r="T101">
            <v>11346703</v>
          </cell>
          <cell r="U101">
            <v>11346703</v>
          </cell>
          <cell r="V101">
            <v>2107698591</v>
          </cell>
          <cell r="W101">
            <v>2096557065</v>
          </cell>
          <cell r="X101">
            <v>2488726499</v>
          </cell>
          <cell r="Y101" t="str">
            <v xml:space="preserve"> </v>
          </cell>
        </row>
        <row r="102">
          <cell r="E102" t="str">
            <v>ジルコニア部品</v>
          </cell>
          <cell r="F102" t="str">
            <v>PX11102</v>
          </cell>
          <cell r="G102" t="str">
            <v>数量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3970879</v>
          </cell>
          <cell r="N102">
            <v>3293607</v>
          </cell>
          <cell r="O102">
            <v>3970879</v>
          </cell>
          <cell r="P102" t="str">
            <v>金額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222221713</v>
          </cell>
          <cell r="W102">
            <v>189425713</v>
          </cell>
          <cell r="X102">
            <v>222221713</v>
          </cell>
          <cell r="Y102" t="str">
            <v xml:space="preserve"> </v>
          </cell>
        </row>
        <row r="103">
          <cell r="E103" t="str">
            <v>ジルコニア試作</v>
          </cell>
          <cell r="F103" t="str">
            <v>PX11103</v>
          </cell>
          <cell r="G103" t="str">
            <v>数量</v>
          </cell>
          <cell r="H103">
            <v>461</v>
          </cell>
          <cell r="I103">
            <v>0</v>
          </cell>
          <cell r="J103">
            <v>0</v>
          </cell>
          <cell r="K103">
            <v>21</v>
          </cell>
          <cell r="L103">
            <v>21</v>
          </cell>
          <cell r="M103">
            <v>913</v>
          </cell>
          <cell r="N103">
            <v>0</v>
          </cell>
          <cell r="O103">
            <v>1395</v>
          </cell>
          <cell r="P103" t="str">
            <v>金額</v>
          </cell>
          <cell r="Q103">
            <v>5778367</v>
          </cell>
          <cell r="R103">
            <v>0</v>
          </cell>
          <cell r="S103">
            <v>0</v>
          </cell>
          <cell r="T103">
            <v>225000</v>
          </cell>
          <cell r="U103">
            <v>225000</v>
          </cell>
          <cell r="V103">
            <v>4204745</v>
          </cell>
          <cell r="W103">
            <v>0</v>
          </cell>
          <cell r="X103">
            <v>10208112</v>
          </cell>
          <cell r="Y103" t="str">
            <v xml:space="preserve"> </v>
          </cell>
        </row>
        <row r="104">
          <cell r="E104" t="str">
            <v>ジルコニア素子</v>
          </cell>
          <cell r="F104" t="str">
            <v>PX11104</v>
          </cell>
          <cell r="G104" t="str">
            <v>数量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702000</v>
          </cell>
          <cell r="N104">
            <v>702000</v>
          </cell>
          <cell r="O104">
            <v>702000</v>
          </cell>
          <cell r="P104" t="str">
            <v>金額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243072720</v>
          </cell>
          <cell r="W104">
            <v>243072720</v>
          </cell>
          <cell r="X104">
            <v>243072720</v>
          </cell>
          <cell r="Y104" t="str">
            <v xml:space="preserve"> </v>
          </cell>
        </row>
        <row r="105">
          <cell r="E105" t="str">
            <v>チタニア</v>
          </cell>
          <cell r="F105" t="str">
            <v>PX11105</v>
          </cell>
          <cell r="G105" t="str">
            <v>数量</v>
          </cell>
          <cell r="H105">
            <v>0</v>
          </cell>
          <cell r="I105">
            <v>0</v>
          </cell>
          <cell r="J105">
            <v>0</v>
          </cell>
          <cell r="K105">
            <v>5153</v>
          </cell>
          <cell r="L105">
            <v>5153</v>
          </cell>
          <cell r="M105">
            <v>41260</v>
          </cell>
          <cell r="N105">
            <v>15440</v>
          </cell>
          <cell r="O105">
            <v>46413</v>
          </cell>
          <cell r="P105" t="str">
            <v>金額</v>
          </cell>
          <cell r="Q105">
            <v>0</v>
          </cell>
          <cell r="R105">
            <v>0</v>
          </cell>
          <cell r="S105">
            <v>0</v>
          </cell>
          <cell r="T105">
            <v>11952282</v>
          </cell>
          <cell r="U105">
            <v>11952282</v>
          </cell>
          <cell r="V105">
            <v>66358820</v>
          </cell>
          <cell r="W105">
            <v>31519440</v>
          </cell>
          <cell r="X105">
            <v>78311102</v>
          </cell>
          <cell r="Y105" t="str">
            <v xml:space="preserve"> </v>
          </cell>
        </row>
        <row r="106">
          <cell r="E106" t="str">
            <v>Ａ／Ｆメーター</v>
          </cell>
          <cell r="F106" t="str">
            <v>PX11110</v>
          </cell>
          <cell r="G106" t="str">
            <v>数量</v>
          </cell>
          <cell r="H106">
            <v>0</v>
          </cell>
          <cell r="I106">
            <v>2</v>
          </cell>
          <cell r="J106">
            <v>0</v>
          </cell>
          <cell r="K106">
            <v>0</v>
          </cell>
          <cell r="L106">
            <v>2</v>
          </cell>
          <cell r="M106">
            <v>0</v>
          </cell>
          <cell r="N106">
            <v>0</v>
          </cell>
          <cell r="O106">
            <v>2</v>
          </cell>
          <cell r="P106" t="str">
            <v>金額</v>
          </cell>
          <cell r="Q106">
            <v>0</v>
          </cell>
          <cell r="R106">
            <v>126000</v>
          </cell>
          <cell r="S106">
            <v>0</v>
          </cell>
          <cell r="T106">
            <v>0</v>
          </cell>
          <cell r="U106">
            <v>126000</v>
          </cell>
          <cell r="V106">
            <v>0</v>
          </cell>
          <cell r="W106">
            <v>0</v>
          </cell>
          <cell r="X106">
            <v>126000</v>
          </cell>
          <cell r="Y106" t="str">
            <v xml:space="preserve"> </v>
          </cell>
        </row>
        <row r="107">
          <cell r="E107" t="str">
            <v>全領域センサ－</v>
          </cell>
          <cell r="F107" t="str">
            <v>PX11111</v>
          </cell>
          <cell r="G107" t="str">
            <v>数量</v>
          </cell>
          <cell r="H107">
            <v>2635</v>
          </cell>
          <cell r="I107">
            <v>0</v>
          </cell>
          <cell r="J107">
            <v>0</v>
          </cell>
          <cell r="K107">
            <v>545</v>
          </cell>
          <cell r="L107">
            <v>545</v>
          </cell>
          <cell r="M107">
            <v>45791</v>
          </cell>
          <cell r="N107">
            <v>0</v>
          </cell>
          <cell r="O107">
            <v>48971</v>
          </cell>
          <cell r="P107" t="str">
            <v>金額</v>
          </cell>
          <cell r="Q107">
            <v>12047149</v>
          </cell>
          <cell r="R107">
            <v>0</v>
          </cell>
          <cell r="S107">
            <v>0</v>
          </cell>
          <cell r="T107">
            <v>2144995</v>
          </cell>
          <cell r="U107">
            <v>2144995</v>
          </cell>
          <cell r="V107">
            <v>124147118</v>
          </cell>
          <cell r="W107">
            <v>0</v>
          </cell>
          <cell r="X107">
            <v>138339262</v>
          </cell>
          <cell r="Y107" t="str">
            <v xml:space="preserve"> </v>
          </cell>
        </row>
        <row r="108">
          <cell r="E108" t="str">
            <v>全領域部品</v>
          </cell>
          <cell r="F108" t="str">
            <v>PX11112</v>
          </cell>
          <cell r="G108" t="str">
            <v>数量</v>
          </cell>
          <cell r="H108">
            <v>259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290</v>
          </cell>
          <cell r="N108">
            <v>0</v>
          </cell>
          <cell r="O108">
            <v>549</v>
          </cell>
          <cell r="P108" t="str">
            <v>金額</v>
          </cell>
          <cell r="Q108">
            <v>4611336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6218400</v>
          </cell>
          <cell r="W108">
            <v>0</v>
          </cell>
          <cell r="X108">
            <v>10829736</v>
          </cell>
          <cell r="Y108" t="str">
            <v xml:space="preserve"> </v>
          </cell>
        </row>
        <row r="109">
          <cell r="E109" t="str">
            <v>全領域試作</v>
          </cell>
          <cell r="F109" t="str">
            <v>PX11113</v>
          </cell>
          <cell r="G109" t="str">
            <v>数量</v>
          </cell>
          <cell r="H109">
            <v>118</v>
          </cell>
          <cell r="I109">
            <v>0</v>
          </cell>
          <cell r="J109">
            <v>0</v>
          </cell>
          <cell r="K109">
            <v>5</v>
          </cell>
          <cell r="L109">
            <v>5</v>
          </cell>
          <cell r="M109">
            <v>150</v>
          </cell>
          <cell r="N109">
            <v>0</v>
          </cell>
          <cell r="O109">
            <v>273</v>
          </cell>
          <cell r="P109" t="str">
            <v>金額</v>
          </cell>
          <cell r="Q109">
            <v>3248740</v>
          </cell>
          <cell r="R109">
            <v>0</v>
          </cell>
          <cell r="S109">
            <v>0</v>
          </cell>
          <cell r="T109">
            <v>30000</v>
          </cell>
          <cell r="U109">
            <v>30000</v>
          </cell>
          <cell r="V109">
            <v>5454100</v>
          </cell>
          <cell r="W109">
            <v>0</v>
          </cell>
          <cell r="X109">
            <v>8732840</v>
          </cell>
          <cell r="Y109" t="str">
            <v xml:space="preserve"> </v>
          </cell>
        </row>
        <row r="110">
          <cell r="E110" t="str">
            <v>筒型センサＮＧＫ</v>
          </cell>
          <cell r="F110" t="str">
            <v>PX11121</v>
          </cell>
          <cell r="G110" t="str">
            <v>数量</v>
          </cell>
          <cell r="H110">
            <v>0</v>
          </cell>
          <cell r="I110">
            <v>0</v>
          </cell>
          <cell r="J110">
            <v>0</v>
          </cell>
          <cell r="K110">
            <v>284</v>
          </cell>
          <cell r="L110">
            <v>284</v>
          </cell>
          <cell r="M110">
            <v>0</v>
          </cell>
          <cell r="N110">
            <v>0</v>
          </cell>
          <cell r="O110">
            <v>284</v>
          </cell>
          <cell r="P110" t="str">
            <v>金額</v>
          </cell>
          <cell r="Q110">
            <v>0</v>
          </cell>
          <cell r="R110">
            <v>0</v>
          </cell>
          <cell r="S110">
            <v>0</v>
          </cell>
          <cell r="T110">
            <v>561883</v>
          </cell>
          <cell r="U110">
            <v>561883</v>
          </cell>
          <cell r="V110">
            <v>0</v>
          </cell>
          <cell r="W110">
            <v>0</v>
          </cell>
          <cell r="X110">
            <v>561883</v>
          </cell>
          <cell r="Y110" t="str">
            <v xml:space="preserve"> </v>
          </cell>
        </row>
        <row r="111">
          <cell r="E111" t="str">
            <v>厚膜センサＮＧＫ</v>
          </cell>
          <cell r="F111" t="str">
            <v>PX11125</v>
          </cell>
          <cell r="G111" t="str">
            <v>数量</v>
          </cell>
          <cell r="H111">
            <v>0</v>
          </cell>
          <cell r="I111">
            <v>0</v>
          </cell>
          <cell r="J111">
            <v>0</v>
          </cell>
          <cell r="K111">
            <v>1987</v>
          </cell>
          <cell r="L111">
            <v>1987</v>
          </cell>
          <cell r="M111">
            <v>700</v>
          </cell>
          <cell r="N111">
            <v>0</v>
          </cell>
          <cell r="O111">
            <v>2687</v>
          </cell>
          <cell r="P111" t="str">
            <v>金額</v>
          </cell>
          <cell r="Q111">
            <v>0</v>
          </cell>
          <cell r="R111">
            <v>0</v>
          </cell>
          <cell r="S111">
            <v>0</v>
          </cell>
          <cell r="T111">
            <v>3960322</v>
          </cell>
          <cell r="U111">
            <v>3960322</v>
          </cell>
          <cell r="V111">
            <v>2283400</v>
          </cell>
          <cell r="W111">
            <v>0</v>
          </cell>
          <cell r="X111">
            <v>6243722</v>
          </cell>
          <cell r="Y111" t="str">
            <v xml:space="preserve"> </v>
          </cell>
        </row>
        <row r="112">
          <cell r="E112" t="str">
            <v>酸素センサー</v>
          </cell>
          <cell r="F112" t="str">
            <v>PX111</v>
          </cell>
          <cell r="G112" t="str">
            <v>数量</v>
          </cell>
          <cell r="H112">
            <v>227973</v>
          </cell>
          <cell r="I112">
            <v>2</v>
          </cell>
          <cell r="J112">
            <v>0</v>
          </cell>
          <cell r="K112">
            <v>13371</v>
          </cell>
          <cell r="L112">
            <v>13373</v>
          </cell>
          <cell r="M112">
            <v>6731605</v>
          </cell>
          <cell r="N112">
            <v>5852873</v>
          </cell>
          <cell r="O112">
            <v>6972951</v>
          </cell>
          <cell r="P112" t="str">
            <v>金額</v>
          </cell>
          <cell r="Q112">
            <v>395366797</v>
          </cell>
          <cell r="R112">
            <v>126000</v>
          </cell>
          <cell r="S112">
            <v>0</v>
          </cell>
          <cell r="T112">
            <v>30221185</v>
          </cell>
          <cell r="U112">
            <v>30347185</v>
          </cell>
          <cell r="V112">
            <v>2872346607</v>
          </cell>
          <cell r="W112">
            <v>2561135938</v>
          </cell>
          <cell r="X112">
            <v>3298060589</v>
          </cell>
          <cell r="Y112" t="str">
            <v xml:space="preserve"> </v>
          </cell>
        </row>
        <row r="113">
          <cell r="E113" t="str">
            <v>ＮＯＸセンサー</v>
          </cell>
          <cell r="F113" t="str">
            <v>PX12101</v>
          </cell>
          <cell r="G113" t="str">
            <v>数量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847</v>
          </cell>
          <cell r="N113">
            <v>847</v>
          </cell>
          <cell r="O113">
            <v>847</v>
          </cell>
          <cell r="P113" t="str">
            <v>金額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2855237</v>
          </cell>
          <cell r="W113">
            <v>2855237</v>
          </cell>
          <cell r="X113">
            <v>2855237</v>
          </cell>
          <cell r="Y113" t="str">
            <v xml:space="preserve"> </v>
          </cell>
        </row>
        <row r="114">
          <cell r="E114" t="str">
            <v>ＮＯＸ回路</v>
          </cell>
          <cell r="F114" t="str">
            <v>PX12102</v>
          </cell>
          <cell r="G114" t="str">
            <v>数量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350</v>
          </cell>
          <cell r="N114">
            <v>350</v>
          </cell>
          <cell r="O114">
            <v>350</v>
          </cell>
          <cell r="P114" t="str">
            <v>金額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837200</v>
          </cell>
          <cell r="W114">
            <v>837200</v>
          </cell>
          <cell r="X114">
            <v>837200</v>
          </cell>
          <cell r="Y114" t="str">
            <v xml:space="preserve"> </v>
          </cell>
        </row>
        <row r="115">
          <cell r="E115" t="str">
            <v>ノックセンサー</v>
          </cell>
          <cell r="F115" t="str">
            <v>PX12105</v>
          </cell>
          <cell r="G115" t="str">
            <v>数量</v>
          </cell>
          <cell r="H115">
            <v>124635</v>
          </cell>
          <cell r="I115">
            <v>0</v>
          </cell>
          <cell r="J115">
            <v>0</v>
          </cell>
          <cell r="K115">
            <v>323</v>
          </cell>
          <cell r="L115">
            <v>323</v>
          </cell>
          <cell r="M115">
            <v>218904</v>
          </cell>
          <cell r="N115">
            <v>218904</v>
          </cell>
          <cell r="O115">
            <v>343862</v>
          </cell>
          <cell r="P115" t="str">
            <v>金額</v>
          </cell>
          <cell r="Q115">
            <v>50887512</v>
          </cell>
          <cell r="R115">
            <v>0</v>
          </cell>
          <cell r="S115">
            <v>0</v>
          </cell>
          <cell r="T115">
            <v>219976</v>
          </cell>
          <cell r="U115">
            <v>219976</v>
          </cell>
          <cell r="V115">
            <v>85140300</v>
          </cell>
          <cell r="W115">
            <v>85140300</v>
          </cell>
          <cell r="X115">
            <v>136247788</v>
          </cell>
          <cell r="Y115" t="str">
            <v xml:space="preserve"> </v>
          </cell>
        </row>
        <row r="116">
          <cell r="E116" t="str">
            <v>ノック　試作品</v>
          </cell>
          <cell r="F116" t="str">
            <v>PX12107</v>
          </cell>
          <cell r="G116" t="str">
            <v>数量</v>
          </cell>
          <cell r="H116">
            <v>15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500</v>
          </cell>
          <cell r="N116">
            <v>0</v>
          </cell>
          <cell r="O116">
            <v>515</v>
          </cell>
          <cell r="P116" t="str">
            <v>金額</v>
          </cell>
          <cell r="Q116">
            <v>214628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1350000</v>
          </cell>
          <cell r="W116">
            <v>0</v>
          </cell>
          <cell r="X116">
            <v>1564628</v>
          </cell>
          <cell r="Y116" t="str">
            <v xml:space="preserve"> </v>
          </cell>
        </row>
        <row r="117">
          <cell r="E117" t="str">
            <v>オイルセンサー</v>
          </cell>
          <cell r="F117" t="str">
            <v>PX12110</v>
          </cell>
          <cell r="G117" t="str">
            <v>数量</v>
          </cell>
          <cell r="H117">
            <v>3</v>
          </cell>
          <cell r="I117">
            <v>0</v>
          </cell>
          <cell r="J117">
            <v>0</v>
          </cell>
          <cell r="K117">
            <v>18</v>
          </cell>
          <cell r="L117">
            <v>18</v>
          </cell>
          <cell r="M117">
            <v>0</v>
          </cell>
          <cell r="N117">
            <v>0</v>
          </cell>
          <cell r="O117">
            <v>21</v>
          </cell>
          <cell r="P117" t="str">
            <v>金額</v>
          </cell>
          <cell r="Q117">
            <v>15400</v>
          </cell>
          <cell r="R117">
            <v>0</v>
          </cell>
          <cell r="S117">
            <v>0</v>
          </cell>
          <cell r="T117">
            <v>62040</v>
          </cell>
          <cell r="U117">
            <v>62040</v>
          </cell>
          <cell r="V117">
            <v>0</v>
          </cell>
          <cell r="W117">
            <v>0</v>
          </cell>
          <cell r="X117">
            <v>77440</v>
          </cell>
          <cell r="Y117" t="str">
            <v xml:space="preserve"> </v>
          </cell>
        </row>
        <row r="118">
          <cell r="E118" t="str">
            <v>荷重センサー</v>
          </cell>
          <cell r="F118" t="str">
            <v>PX12114</v>
          </cell>
          <cell r="G118" t="str">
            <v>数量</v>
          </cell>
          <cell r="H118">
            <v>400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400</v>
          </cell>
          <cell r="P118" t="str">
            <v>金額</v>
          </cell>
          <cell r="Q118">
            <v>1094832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1094832</v>
          </cell>
          <cell r="Y118" t="str">
            <v xml:space="preserve"> </v>
          </cell>
        </row>
        <row r="119">
          <cell r="E119" t="str">
            <v>荷重　試作品</v>
          </cell>
          <cell r="F119" t="str">
            <v>PX12116</v>
          </cell>
          <cell r="G119" t="str">
            <v>数量</v>
          </cell>
          <cell r="H119">
            <v>1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1</v>
          </cell>
          <cell r="P119" t="str">
            <v>金額</v>
          </cell>
          <cell r="Q119">
            <v>7376987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7376987</v>
          </cell>
          <cell r="Y119" t="str">
            <v xml:space="preserve"> </v>
          </cell>
        </row>
        <row r="120">
          <cell r="E120" t="str">
            <v>Ｚ－ＴＦセンサー</v>
          </cell>
          <cell r="F120" t="str">
            <v>PX12120</v>
          </cell>
          <cell r="G120" t="str">
            <v>数量</v>
          </cell>
          <cell r="H120">
            <v>7260</v>
          </cell>
          <cell r="I120">
            <v>0</v>
          </cell>
          <cell r="J120">
            <v>0</v>
          </cell>
          <cell r="K120">
            <v>20</v>
          </cell>
          <cell r="L120">
            <v>20</v>
          </cell>
          <cell r="M120">
            <v>0</v>
          </cell>
          <cell r="N120">
            <v>0</v>
          </cell>
          <cell r="O120">
            <v>7280</v>
          </cell>
          <cell r="P120" t="str">
            <v>金額</v>
          </cell>
          <cell r="Q120">
            <v>11979000</v>
          </cell>
          <cell r="R120">
            <v>0</v>
          </cell>
          <cell r="S120">
            <v>0</v>
          </cell>
          <cell r="T120">
            <v>42900</v>
          </cell>
          <cell r="U120">
            <v>42900</v>
          </cell>
          <cell r="V120">
            <v>0</v>
          </cell>
          <cell r="W120">
            <v>0</v>
          </cell>
          <cell r="X120">
            <v>12021900</v>
          </cell>
          <cell r="Y120" t="str">
            <v xml:space="preserve"> </v>
          </cell>
        </row>
        <row r="121">
          <cell r="E121" t="str">
            <v>筒内圧センサ－</v>
          </cell>
          <cell r="F121" t="str">
            <v>PX12130</v>
          </cell>
          <cell r="G121" t="str">
            <v>数量</v>
          </cell>
          <cell r="H121">
            <v>0</v>
          </cell>
          <cell r="I121">
            <v>0</v>
          </cell>
          <cell r="J121">
            <v>0</v>
          </cell>
          <cell r="K121">
            <v>32</v>
          </cell>
          <cell r="L121">
            <v>32</v>
          </cell>
          <cell r="M121">
            <v>0</v>
          </cell>
          <cell r="N121">
            <v>0</v>
          </cell>
          <cell r="O121">
            <v>32</v>
          </cell>
          <cell r="P121" t="str">
            <v>金額</v>
          </cell>
          <cell r="Q121">
            <v>0</v>
          </cell>
          <cell r="R121">
            <v>0</v>
          </cell>
          <cell r="S121">
            <v>0</v>
          </cell>
          <cell r="T121">
            <v>153450</v>
          </cell>
          <cell r="U121">
            <v>153450</v>
          </cell>
          <cell r="V121">
            <v>0</v>
          </cell>
          <cell r="W121">
            <v>0</v>
          </cell>
          <cell r="X121">
            <v>153450</v>
          </cell>
          <cell r="Y121" t="str">
            <v xml:space="preserve"> </v>
          </cell>
        </row>
        <row r="122">
          <cell r="E122" t="str">
            <v>筒内圧試作品</v>
          </cell>
          <cell r="F122" t="str">
            <v>PX12132</v>
          </cell>
          <cell r="G122" t="str">
            <v>数量</v>
          </cell>
          <cell r="H122">
            <v>499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499</v>
          </cell>
          <cell r="P122" t="str">
            <v>金額</v>
          </cell>
          <cell r="Q122">
            <v>4990000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4990000</v>
          </cell>
          <cell r="Y122" t="str">
            <v xml:space="preserve"> </v>
          </cell>
        </row>
        <row r="123">
          <cell r="E123" t="str">
            <v>失火検知</v>
          </cell>
          <cell r="F123" t="str">
            <v>PX12192</v>
          </cell>
          <cell r="G123" t="str">
            <v>数量</v>
          </cell>
          <cell r="H123">
            <v>456</v>
          </cell>
          <cell r="I123">
            <v>0</v>
          </cell>
          <cell r="J123">
            <v>0</v>
          </cell>
          <cell r="K123">
            <v>25</v>
          </cell>
          <cell r="L123">
            <v>25</v>
          </cell>
          <cell r="M123">
            <v>0</v>
          </cell>
          <cell r="N123">
            <v>0</v>
          </cell>
          <cell r="O123">
            <v>481</v>
          </cell>
          <cell r="P123" t="str">
            <v>金額</v>
          </cell>
          <cell r="Q123">
            <v>2366868</v>
          </cell>
          <cell r="R123">
            <v>0</v>
          </cell>
          <cell r="S123">
            <v>0</v>
          </cell>
          <cell r="T123">
            <v>167700</v>
          </cell>
          <cell r="U123">
            <v>167700</v>
          </cell>
          <cell r="V123">
            <v>0</v>
          </cell>
          <cell r="W123">
            <v>0</v>
          </cell>
          <cell r="X123">
            <v>2534568</v>
          </cell>
          <cell r="Y123" t="str">
            <v xml:space="preserve"> </v>
          </cell>
        </row>
        <row r="124">
          <cell r="E124" t="str">
            <v>その他　試作品</v>
          </cell>
          <cell r="F124" t="str">
            <v>PX12194</v>
          </cell>
          <cell r="G124" t="str">
            <v>数量</v>
          </cell>
          <cell r="H124">
            <v>91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91</v>
          </cell>
          <cell r="P124" t="str">
            <v>金額</v>
          </cell>
          <cell r="Q124">
            <v>3977200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3977200</v>
          </cell>
          <cell r="Y124" t="str">
            <v xml:space="preserve"> </v>
          </cell>
        </row>
        <row r="125">
          <cell r="E125" t="str">
            <v>その他　その他</v>
          </cell>
          <cell r="F125" t="str">
            <v>PX12196</v>
          </cell>
          <cell r="G125" t="str">
            <v>数量</v>
          </cell>
          <cell r="H125">
            <v>108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108</v>
          </cell>
          <cell r="P125" t="str">
            <v>金額</v>
          </cell>
          <cell r="Q125">
            <v>1620000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1620000</v>
          </cell>
          <cell r="Y125" t="str">
            <v xml:space="preserve"> </v>
          </cell>
        </row>
        <row r="126">
          <cell r="E126" t="str">
            <v>その他のセンサー</v>
          </cell>
          <cell r="F126" t="str">
            <v>PX121</v>
          </cell>
          <cell r="G126" t="str">
            <v>数量</v>
          </cell>
          <cell r="H126">
            <v>133468</v>
          </cell>
          <cell r="I126">
            <v>0</v>
          </cell>
          <cell r="J126">
            <v>0</v>
          </cell>
          <cell r="K126">
            <v>418</v>
          </cell>
          <cell r="L126">
            <v>418</v>
          </cell>
          <cell r="M126">
            <v>220601</v>
          </cell>
          <cell r="N126">
            <v>220101</v>
          </cell>
          <cell r="O126">
            <v>354487</v>
          </cell>
          <cell r="P126" t="str">
            <v>金額</v>
          </cell>
          <cell r="Q126">
            <v>84522427</v>
          </cell>
          <cell r="R126">
            <v>0</v>
          </cell>
          <cell r="S126">
            <v>0</v>
          </cell>
          <cell r="T126">
            <v>646066</v>
          </cell>
          <cell r="U126">
            <v>646066</v>
          </cell>
          <cell r="V126">
            <v>90182737</v>
          </cell>
          <cell r="W126">
            <v>88832737</v>
          </cell>
          <cell r="X126">
            <v>175351230</v>
          </cell>
          <cell r="Y126" t="str">
            <v xml:space="preserve"> </v>
          </cell>
        </row>
        <row r="127">
          <cell r="E127" t="str">
            <v>センサ－</v>
          </cell>
          <cell r="F127" t="str">
            <v>PX1</v>
          </cell>
          <cell r="G127" t="str">
            <v>数量</v>
          </cell>
          <cell r="H127">
            <v>394640</v>
          </cell>
          <cell r="I127">
            <v>2</v>
          </cell>
          <cell r="J127">
            <v>0</v>
          </cell>
          <cell r="K127">
            <v>25446</v>
          </cell>
          <cell r="L127">
            <v>25448</v>
          </cell>
          <cell r="M127">
            <v>6952266</v>
          </cell>
          <cell r="N127">
            <v>6072974</v>
          </cell>
          <cell r="O127">
            <v>7372354</v>
          </cell>
          <cell r="P127" t="str">
            <v>金額</v>
          </cell>
          <cell r="Q127">
            <v>508068812</v>
          </cell>
          <cell r="R127">
            <v>126000</v>
          </cell>
          <cell r="S127">
            <v>0</v>
          </cell>
          <cell r="T127">
            <v>41310296</v>
          </cell>
          <cell r="U127">
            <v>41436296</v>
          </cell>
          <cell r="V127">
            <v>2962769344</v>
          </cell>
          <cell r="W127">
            <v>2649968675</v>
          </cell>
          <cell r="X127">
            <v>3512274452</v>
          </cell>
          <cell r="Y127" t="str">
            <v xml:space="preserve"> </v>
          </cell>
        </row>
        <row r="128">
          <cell r="E128" t="str">
            <v>完成品</v>
          </cell>
          <cell r="F128" t="str">
            <v>PX30101</v>
          </cell>
          <cell r="G128" t="str">
            <v>数量</v>
          </cell>
          <cell r="H128">
            <v>500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500</v>
          </cell>
          <cell r="P128" t="str">
            <v>金額</v>
          </cell>
          <cell r="Q128">
            <v>115000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115000</v>
          </cell>
          <cell r="Y128" t="str">
            <v xml:space="preserve"> </v>
          </cell>
        </row>
        <row r="129">
          <cell r="E129" t="str">
            <v>オウヨウ　チップ</v>
          </cell>
          <cell r="F129" t="str">
            <v>PX301</v>
          </cell>
          <cell r="G129" t="str">
            <v>数量</v>
          </cell>
          <cell r="H129">
            <v>500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500</v>
          </cell>
          <cell r="P129" t="str">
            <v>金額</v>
          </cell>
          <cell r="Q129">
            <v>115000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115000</v>
          </cell>
          <cell r="Y129" t="str">
            <v xml:space="preserve"> </v>
          </cell>
        </row>
        <row r="130">
          <cell r="E130" t="str">
            <v>完成品</v>
          </cell>
          <cell r="F130" t="str">
            <v>PX30501</v>
          </cell>
          <cell r="G130" t="str">
            <v>数量</v>
          </cell>
          <cell r="H130">
            <v>24082</v>
          </cell>
          <cell r="I130">
            <v>0</v>
          </cell>
          <cell r="J130">
            <v>0</v>
          </cell>
          <cell r="K130">
            <v>565</v>
          </cell>
          <cell r="L130">
            <v>565</v>
          </cell>
          <cell r="M130">
            <v>0</v>
          </cell>
          <cell r="N130">
            <v>0</v>
          </cell>
          <cell r="O130">
            <v>24647</v>
          </cell>
          <cell r="P130" t="str">
            <v>金額</v>
          </cell>
          <cell r="Q130">
            <v>31587920</v>
          </cell>
          <cell r="R130">
            <v>0</v>
          </cell>
          <cell r="S130">
            <v>0</v>
          </cell>
          <cell r="T130">
            <v>1214105</v>
          </cell>
          <cell r="U130">
            <v>1214105</v>
          </cell>
          <cell r="V130">
            <v>0</v>
          </cell>
          <cell r="W130">
            <v>0</v>
          </cell>
          <cell r="X130">
            <v>32802025</v>
          </cell>
          <cell r="Y130" t="str">
            <v xml:space="preserve"> </v>
          </cell>
        </row>
        <row r="131">
          <cell r="E131" t="str">
            <v>オウヨウタペット</v>
          </cell>
          <cell r="F131" t="str">
            <v>PX305</v>
          </cell>
          <cell r="G131" t="str">
            <v>数量</v>
          </cell>
          <cell r="H131">
            <v>24082</v>
          </cell>
          <cell r="I131">
            <v>0</v>
          </cell>
          <cell r="J131">
            <v>0</v>
          </cell>
          <cell r="K131">
            <v>565</v>
          </cell>
          <cell r="L131">
            <v>565</v>
          </cell>
          <cell r="M131">
            <v>0</v>
          </cell>
          <cell r="N131">
            <v>0</v>
          </cell>
          <cell r="O131">
            <v>24647</v>
          </cell>
          <cell r="P131" t="str">
            <v>金額</v>
          </cell>
          <cell r="Q131">
            <v>31587920</v>
          </cell>
          <cell r="R131">
            <v>0</v>
          </cell>
          <cell r="S131">
            <v>0</v>
          </cell>
          <cell r="T131">
            <v>1214105</v>
          </cell>
          <cell r="U131">
            <v>1214105</v>
          </cell>
          <cell r="V131">
            <v>0</v>
          </cell>
          <cell r="W131">
            <v>0</v>
          </cell>
          <cell r="X131">
            <v>32802025</v>
          </cell>
          <cell r="Y131" t="str">
            <v xml:space="preserve"> </v>
          </cell>
        </row>
        <row r="132">
          <cell r="E132" t="str">
            <v>オウヨウ</v>
          </cell>
          <cell r="F132" t="str">
            <v>PX3</v>
          </cell>
          <cell r="G132" t="str">
            <v>数量</v>
          </cell>
          <cell r="H132">
            <v>24582</v>
          </cell>
          <cell r="I132">
            <v>0</v>
          </cell>
          <cell r="J132">
            <v>0</v>
          </cell>
          <cell r="K132">
            <v>565</v>
          </cell>
          <cell r="L132">
            <v>565</v>
          </cell>
          <cell r="M132">
            <v>0</v>
          </cell>
          <cell r="N132">
            <v>0</v>
          </cell>
          <cell r="O132">
            <v>25147</v>
          </cell>
          <cell r="P132" t="str">
            <v>金額</v>
          </cell>
          <cell r="Q132">
            <v>31702920</v>
          </cell>
          <cell r="R132">
            <v>0</v>
          </cell>
          <cell r="S132">
            <v>0</v>
          </cell>
          <cell r="T132">
            <v>1214105</v>
          </cell>
          <cell r="U132">
            <v>1214105</v>
          </cell>
          <cell r="V132">
            <v>0</v>
          </cell>
          <cell r="W132">
            <v>0</v>
          </cell>
          <cell r="X132">
            <v>32917025</v>
          </cell>
          <cell r="Y132" t="str">
            <v xml:space="preserve"> </v>
          </cell>
        </row>
        <row r="133">
          <cell r="E133" t="str">
            <v>コントロラー</v>
          </cell>
          <cell r="F133" t="str">
            <v>PX50101</v>
          </cell>
          <cell r="G133" t="str">
            <v>数量</v>
          </cell>
          <cell r="H133">
            <v>29964</v>
          </cell>
          <cell r="I133">
            <v>0</v>
          </cell>
          <cell r="J133">
            <v>0</v>
          </cell>
          <cell r="K133">
            <v>1963</v>
          </cell>
          <cell r="L133">
            <v>1963</v>
          </cell>
          <cell r="M133">
            <v>680</v>
          </cell>
          <cell r="N133">
            <v>680</v>
          </cell>
          <cell r="O133">
            <v>32607</v>
          </cell>
          <cell r="P133" t="str">
            <v>金額</v>
          </cell>
          <cell r="Q133">
            <v>63218850</v>
          </cell>
          <cell r="R133">
            <v>0</v>
          </cell>
          <cell r="S133">
            <v>0</v>
          </cell>
          <cell r="T133">
            <v>3377209</v>
          </cell>
          <cell r="U133">
            <v>3377209</v>
          </cell>
          <cell r="V133">
            <v>1236480</v>
          </cell>
          <cell r="W133">
            <v>1236480</v>
          </cell>
          <cell r="X133">
            <v>67832539</v>
          </cell>
          <cell r="Y133" t="str">
            <v xml:space="preserve"> </v>
          </cell>
        </row>
        <row r="134">
          <cell r="E134" t="str">
            <v>レジスター</v>
          </cell>
          <cell r="F134" t="str">
            <v>PX50105</v>
          </cell>
          <cell r="G134" t="str">
            <v>数量</v>
          </cell>
          <cell r="H134">
            <v>1145</v>
          </cell>
          <cell r="I134">
            <v>0</v>
          </cell>
          <cell r="J134">
            <v>0</v>
          </cell>
          <cell r="K134">
            <v>89</v>
          </cell>
          <cell r="L134">
            <v>89</v>
          </cell>
          <cell r="M134">
            <v>0</v>
          </cell>
          <cell r="N134">
            <v>0</v>
          </cell>
          <cell r="O134">
            <v>1234</v>
          </cell>
          <cell r="P134" t="str">
            <v>金額</v>
          </cell>
          <cell r="Q134">
            <v>711385</v>
          </cell>
          <cell r="R134">
            <v>0</v>
          </cell>
          <cell r="S134">
            <v>0</v>
          </cell>
          <cell r="T134">
            <v>88446</v>
          </cell>
          <cell r="U134">
            <v>88446</v>
          </cell>
          <cell r="V134">
            <v>0</v>
          </cell>
          <cell r="W134">
            <v>0</v>
          </cell>
          <cell r="X134">
            <v>799831</v>
          </cell>
          <cell r="Y134" t="str">
            <v xml:space="preserve"> </v>
          </cell>
        </row>
        <row r="135">
          <cell r="E135" t="str">
            <v>リレー</v>
          </cell>
          <cell r="F135" t="str">
            <v>PX50110</v>
          </cell>
          <cell r="G135" t="str">
            <v>数量</v>
          </cell>
          <cell r="H135">
            <v>30278</v>
          </cell>
          <cell r="I135">
            <v>0</v>
          </cell>
          <cell r="J135">
            <v>0</v>
          </cell>
          <cell r="K135">
            <v>1464</v>
          </cell>
          <cell r="L135">
            <v>1464</v>
          </cell>
          <cell r="M135">
            <v>300</v>
          </cell>
          <cell r="N135">
            <v>300</v>
          </cell>
          <cell r="O135">
            <v>32042</v>
          </cell>
          <cell r="P135" t="str">
            <v>金額</v>
          </cell>
          <cell r="Q135">
            <v>14187630</v>
          </cell>
          <cell r="R135">
            <v>0</v>
          </cell>
          <cell r="S135">
            <v>0</v>
          </cell>
          <cell r="T135">
            <v>913505</v>
          </cell>
          <cell r="U135">
            <v>913505</v>
          </cell>
          <cell r="V135">
            <v>320100</v>
          </cell>
          <cell r="W135">
            <v>320100</v>
          </cell>
          <cell r="X135">
            <v>15421235</v>
          </cell>
          <cell r="Y135" t="str">
            <v xml:space="preserve"> </v>
          </cell>
        </row>
        <row r="136">
          <cell r="E136" t="str">
            <v>エアーヒーター</v>
          </cell>
          <cell r="F136" t="str">
            <v>PX50113</v>
          </cell>
          <cell r="G136" t="str">
            <v>数量</v>
          </cell>
          <cell r="H136">
            <v>15117</v>
          </cell>
          <cell r="I136">
            <v>0</v>
          </cell>
          <cell r="J136">
            <v>0</v>
          </cell>
          <cell r="K136">
            <v>440</v>
          </cell>
          <cell r="L136">
            <v>440</v>
          </cell>
          <cell r="M136">
            <v>6700</v>
          </cell>
          <cell r="N136">
            <v>6700</v>
          </cell>
          <cell r="O136">
            <v>22257</v>
          </cell>
          <cell r="P136" t="str">
            <v>金額</v>
          </cell>
          <cell r="Q136">
            <v>20209803</v>
          </cell>
          <cell r="R136">
            <v>0</v>
          </cell>
          <cell r="S136">
            <v>0</v>
          </cell>
          <cell r="T136">
            <v>1365749</v>
          </cell>
          <cell r="U136">
            <v>1365749</v>
          </cell>
          <cell r="V136">
            <v>15968500</v>
          </cell>
          <cell r="W136">
            <v>15968500</v>
          </cell>
          <cell r="X136">
            <v>37544052</v>
          </cell>
          <cell r="Y136" t="str">
            <v xml:space="preserve"> </v>
          </cell>
        </row>
        <row r="137">
          <cell r="E137" t="str">
            <v>その他</v>
          </cell>
          <cell r="F137" t="str">
            <v>PX50190</v>
          </cell>
          <cell r="G137" t="str">
            <v>数量</v>
          </cell>
          <cell r="H137">
            <v>3096</v>
          </cell>
          <cell r="I137">
            <v>0</v>
          </cell>
          <cell r="J137">
            <v>0</v>
          </cell>
          <cell r="K137">
            <v>227</v>
          </cell>
          <cell r="L137">
            <v>227</v>
          </cell>
          <cell r="M137">
            <v>400</v>
          </cell>
          <cell r="N137">
            <v>400</v>
          </cell>
          <cell r="O137">
            <v>3723</v>
          </cell>
          <cell r="P137" t="str">
            <v>金額</v>
          </cell>
          <cell r="Q137">
            <v>2273575</v>
          </cell>
          <cell r="R137">
            <v>0</v>
          </cell>
          <cell r="S137">
            <v>0</v>
          </cell>
          <cell r="T137">
            <v>193712</v>
          </cell>
          <cell r="U137">
            <v>193712</v>
          </cell>
          <cell r="V137">
            <v>426000</v>
          </cell>
          <cell r="W137">
            <v>426000</v>
          </cell>
          <cell r="X137">
            <v>2893287</v>
          </cell>
          <cell r="Y137" t="str">
            <v xml:space="preserve"> </v>
          </cell>
        </row>
        <row r="138">
          <cell r="E138" t="str">
            <v>試作品</v>
          </cell>
          <cell r="F138" t="str">
            <v>PX50191</v>
          </cell>
          <cell r="G138" t="str">
            <v>数量</v>
          </cell>
          <cell r="H138">
            <v>37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37</v>
          </cell>
          <cell r="P138" t="str">
            <v>金額</v>
          </cell>
          <cell r="Q138">
            <v>1998700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1998700</v>
          </cell>
          <cell r="Y138" t="str">
            <v xml:space="preserve"> </v>
          </cell>
        </row>
        <row r="139">
          <cell r="E139" t="str">
            <v>Ｑ．Ｇ．Ｓ．</v>
          </cell>
          <cell r="F139" t="str">
            <v>PX501</v>
          </cell>
          <cell r="G139" t="str">
            <v>数量</v>
          </cell>
          <cell r="H139">
            <v>79637</v>
          </cell>
          <cell r="I139">
            <v>0</v>
          </cell>
          <cell r="J139">
            <v>0</v>
          </cell>
          <cell r="K139">
            <v>4183</v>
          </cell>
          <cell r="L139">
            <v>4183</v>
          </cell>
          <cell r="M139">
            <v>8080</v>
          </cell>
          <cell r="N139">
            <v>8080</v>
          </cell>
          <cell r="O139">
            <v>91900</v>
          </cell>
          <cell r="P139" t="str">
            <v>金額</v>
          </cell>
          <cell r="Q139">
            <v>102599943</v>
          </cell>
          <cell r="R139">
            <v>0</v>
          </cell>
          <cell r="S139">
            <v>0</v>
          </cell>
          <cell r="T139">
            <v>5938621</v>
          </cell>
          <cell r="U139">
            <v>5938621</v>
          </cell>
          <cell r="V139">
            <v>17951080</v>
          </cell>
          <cell r="W139">
            <v>17951080</v>
          </cell>
          <cell r="X139">
            <v>126489644</v>
          </cell>
          <cell r="Y139" t="str">
            <v xml:space="preserve"> </v>
          </cell>
        </row>
        <row r="140">
          <cell r="E140" t="str">
            <v>一　般キャップ</v>
          </cell>
          <cell r="F140" t="str">
            <v>PX51101</v>
          </cell>
          <cell r="G140" t="str">
            <v>数量</v>
          </cell>
          <cell r="H140">
            <v>1027</v>
          </cell>
          <cell r="I140">
            <v>5</v>
          </cell>
          <cell r="J140">
            <v>0</v>
          </cell>
          <cell r="K140">
            <v>0</v>
          </cell>
          <cell r="L140">
            <v>5</v>
          </cell>
          <cell r="M140">
            <v>16380</v>
          </cell>
          <cell r="N140">
            <v>0</v>
          </cell>
          <cell r="O140">
            <v>17412</v>
          </cell>
          <cell r="P140" t="str">
            <v>金額</v>
          </cell>
          <cell r="Q140">
            <v>112785</v>
          </cell>
          <cell r="R140">
            <v>1840</v>
          </cell>
          <cell r="S140">
            <v>0</v>
          </cell>
          <cell r="T140">
            <v>0</v>
          </cell>
          <cell r="U140">
            <v>1840</v>
          </cell>
          <cell r="V140">
            <v>572965</v>
          </cell>
          <cell r="W140">
            <v>0</v>
          </cell>
          <cell r="X140">
            <v>687590</v>
          </cell>
          <cell r="Y140" t="str">
            <v xml:space="preserve"> </v>
          </cell>
        </row>
        <row r="141">
          <cell r="E141" t="str">
            <v>抵抗入キャップ</v>
          </cell>
          <cell r="F141" t="str">
            <v>PX51105</v>
          </cell>
          <cell r="G141" t="str">
            <v>数量</v>
          </cell>
          <cell r="H141">
            <v>62642</v>
          </cell>
          <cell r="I141">
            <v>3445</v>
          </cell>
          <cell r="J141">
            <v>0</v>
          </cell>
          <cell r="K141">
            <v>2272</v>
          </cell>
          <cell r="L141">
            <v>5717</v>
          </cell>
          <cell r="M141">
            <v>213278</v>
          </cell>
          <cell r="N141">
            <v>71800</v>
          </cell>
          <cell r="O141">
            <v>281637</v>
          </cell>
          <cell r="P141" t="str">
            <v>金額</v>
          </cell>
          <cell r="Q141">
            <v>10125960</v>
          </cell>
          <cell r="R141">
            <v>1892660</v>
          </cell>
          <cell r="S141">
            <v>0</v>
          </cell>
          <cell r="T141">
            <v>303280</v>
          </cell>
          <cell r="U141">
            <v>2195940</v>
          </cell>
          <cell r="V141">
            <v>22846207</v>
          </cell>
          <cell r="W141">
            <v>10403150</v>
          </cell>
          <cell r="X141">
            <v>35168107</v>
          </cell>
          <cell r="Y141" t="str">
            <v xml:space="preserve"> </v>
          </cell>
        </row>
        <row r="142">
          <cell r="E142" t="str">
            <v>その他</v>
          </cell>
          <cell r="F142" t="str">
            <v>PX51190</v>
          </cell>
          <cell r="G142" t="str">
            <v>数量</v>
          </cell>
          <cell r="H142">
            <v>0</v>
          </cell>
          <cell r="I142">
            <v>1242</v>
          </cell>
          <cell r="J142">
            <v>0</v>
          </cell>
          <cell r="K142">
            <v>0</v>
          </cell>
          <cell r="L142">
            <v>1242</v>
          </cell>
          <cell r="M142">
            <v>1</v>
          </cell>
          <cell r="N142">
            <v>0</v>
          </cell>
          <cell r="O142">
            <v>1243</v>
          </cell>
          <cell r="P142" t="str">
            <v>金額</v>
          </cell>
          <cell r="Q142">
            <v>0</v>
          </cell>
          <cell r="R142">
            <v>248850</v>
          </cell>
          <cell r="S142">
            <v>0</v>
          </cell>
          <cell r="T142">
            <v>0</v>
          </cell>
          <cell r="U142">
            <v>248850</v>
          </cell>
          <cell r="V142">
            <v>21346</v>
          </cell>
          <cell r="W142">
            <v>0</v>
          </cell>
          <cell r="X142">
            <v>270196</v>
          </cell>
          <cell r="Y142" t="str">
            <v xml:space="preserve"> </v>
          </cell>
        </row>
        <row r="143">
          <cell r="E143" t="str">
            <v>試作品</v>
          </cell>
          <cell r="F143" t="str">
            <v>PX51191</v>
          </cell>
          <cell r="G143" t="str">
            <v>数量</v>
          </cell>
          <cell r="H143">
            <v>1380</v>
          </cell>
          <cell r="I143">
            <v>7</v>
          </cell>
          <cell r="J143">
            <v>0</v>
          </cell>
          <cell r="K143">
            <v>0</v>
          </cell>
          <cell r="L143">
            <v>7</v>
          </cell>
          <cell r="M143">
            <v>0</v>
          </cell>
          <cell r="N143">
            <v>0</v>
          </cell>
          <cell r="O143">
            <v>1387</v>
          </cell>
          <cell r="P143" t="str">
            <v>金額</v>
          </cell>
          <cell r="Q143">
            <v>3421640</v>
          </cell>
          <cell r="R143">
            <v>13500</v>
          </cell>
          <cell r="S143">
            <v>0</v>
          </cell>
          <cell r="T143">
            <v>0</v>
          </cell>
          <cell r="U143">
            <v>13500</v>
          </cell>
          <cell r="V143">
            <v>0</v>
          </cell>
          <cell r="W143">
            <v>0</v>
          </cell>
          <cell r="X143">
            <v>3435140</v>
          </cell>
          <cell r="Y143" t="str">
            <v xml:space="preserve"> </v>
          </cell>
        </row>
        <row r="144">
          <cell r="E144" t="str">
            <v>部　品</v>
          </cell>
          <cell r="F144" t="str">
            <v>PX51195</v>
          </cell>
          <cell r="G144" t="str">
            <v>数量</v>
          </cell>
          <cell r="H144">
            <v>1096</v>
          </cell>
          <cell r="I144">
            <v>0</v>
          </cell>
          <cell r="J144">
            <v>0</v>
          </cell>
          <cell r="K144">
            <v>60</v>
          </cell>
          <cell r="L144">
            <v>60</v>
          </cell>
          <cell r="M144">
            <v>960000</v>
          </cell>
          <cell r="N144">
            <v>960000</v>
          </cell>
          <cell r="O144">
            <v>961156</v>
          </cell>
          <cell r="P144" t="str">
            <v>金額</v>
          </cell>
          <cell r="Q144">
            <v>6576</v>
          </cell>
          <cell r="R144">
            <v>0</v>
          </cell>
          <cell r="S144">
            <v>0</v>
          </cell>
          <cell r="T144">
            <v>15000</v>
          </cell>
          <cell r="U144">
            <v>15000</v>
          </cell>
          <cell r="V144">
            <v>5811000</v>
          </cell>
          <cell r="W144">
            <v>5811000</v>
          </cell>
          <cell r="X144">
            <v>5832576</v>
          </cell>
          <cell r="Y144" t="str">
            <v xml:space="preserve"> </v>
          </cell>
        </row>
        <row r="145">
          <cell r="E145" t="str">
            <v>プラグキャップ</v>
          </cell>
          <cell r="F145" t="str">
            <v>PX511</v>
          </cell>
          <cell r="G145" t="str">
            <v>数量</v>
          </cell>
          <cell r="H145">
            <v>66145</v>
          </cell>
          <cell r="I145">
            <v>4699</v>
          </cell>
          <cell r="J145">
            <v>0</v>
          </cell>
          <cell r="K145">
            <v>2332</v>
          </cell>
          <cell r="L145">
            <v>7031</v>
          </cell>
          <cell r="M145">
            <v>1189659</v>
          </cell>
          <cell r="N145">
            <v>1031800</v>
          </cell>
          <cell r="O145">
            <v>1262835</v>
          </cell>
          <cell r="P145" t="str">
            <v>金額</v>
          </cell>
          <cell r="Q145">
            <v>13666961</v>
          </cell>
          <cell r="R145">
            <v>2156850</v>
          </cell>
          <cell r="S145">
            <v>0</v>
          </cell>
          <cell r="T145">
            <v>318280</v>
          </cell>
          <cell r="U145">
            <v>2475130</v>
          </cell>
          <cell r="V145">
            <v>29251518</v>
          </cell>
          <cell r="W145">
            <v>16214150</v>
          </cell>
          <cell r="X145">
            <v>45393609</v>
          </cell>
          <cell r="Y145" t="str">
            <v xml:space="preserve"> </v>
          </cell>
        </row>
        <row r="146">
          <cell r="E146" t="str">
            <v>プラグコード</v>
          </cell>
          <cell r="F146" t="str">
            <v>PX52101</v>
          </cell>
          <cell r="G146" t="str">
            <v>数量</v>
          </cell>
          <cell r="H146">
            <v>7130</v>
          </cell>
          <cell r="I146">
            <v>30109</v>
          </cell>
          <cell r="J146">
            <v>7</v>
          </cell>
          <cell r="K146">
            <v>0</v>
          </cell>
          <cell r="L146">
            <v>30116</v>
          </cell>
          <cell r="M146">
            <v>49319</v>
          </cell>
          <cell r="N146">
            <v>0</v>
          </cell>
          <cell r="O146">
            <v>86565</v>
          </cell>
          <cell r="P146" t="str">
            <v>金額</v>
          </cell>
          <cell r="Q146">
            <v>3208500</v>
          </cell>
          <cell r="R146">
            <v>59733662</v>
          </cell>
          <cell r="S146">
            <v>13400</v>
          </cell>
          <cell r="T146">
            <v>0</v>
          </cell>
          <cell r="U146">
            <v>59747062</v>
          </cell>
          <cell r="V146">
            <v>82766716</v>
          </cell>
          <cell r="W146">
            <v>0</v>
          </cell>
          <cell r="X146">
            <v>145722278</v>
          </cell>
          <cell r="Y146" t="str">
            <v xml:space="preserve"> </v>
          </cell>
        </row>
        <row r="147">
          <cell r="E147" t="str">
            <v>プラグコードバラ</v>
          </cell>
          <cell r="F147" t="str">
            <v>PX52126</v>
          </cell>
          <cell r="G147" t="str">
            <v>数量</v>
          </cell>
          <cell r="H147">
            <v>2389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10600</v>
          </cell>
          <cell r="N147">
            <v>0</v>
          </cell>
          <cell r="O147">
            <v>12989</v>
          </cell>
          <cell r="P147" t="str">
            <v>金額</v>
          </cell>
          <cell r="Q147">
            <v>778559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3102260</v>
          </cell>
          <cell r="W147">
            <v>0</v>
          </cell>
          <cell r="X147">
            <v>3880819</v>
          </cell>
          <cell r="Y147" t="str">
            <v xml:space="preserve"> </v>
          </cell>
        </row>
        <row r="148">
          <cell r="E148" t="str">
            <v>パワーケーブル</v>
          </cell>
          <cell r="F148" t="str">
            <v>PX52130</v>
          </cell>
          <cell r="G148" t="str">
            <v>数量</v>
          </cell>
          <cell r="H148">
            <v>0</v>
          </cell>
          <cell r="I148">
            <v>851</v>
          </cell>
          <cell r="J148">
            <v>1</v>
          </cell>
          <cell r="K148">
            <v>3</v>
          </cell>
          <cell r="L148">
            <v>855</v>
          </cell>
          <cell r="M148">
            <v>188</v>
          </cell>
          <cell r="N148">
            <v>0</v>
          </cell>
          <cell r="O148">
            <v>1043</v>
          </cell>
          <cell r="P148" t="str">
            <v>金額</v>
          </cell>
          <cell r="Q148">
            <v>0</v>
          </cell>
          <cell r="R148">
            <v>4748555</v>
          </cell>
          <cell r="S148">
            <v>5600</v>
          </cell>
          <cell r="T148">
            <v>24210</v>
          </cell>
          <cell r="U148">
            <v>4778365</v>
          </cell>
          <cell r="V148">
            <v>1270900</v>
          </cell>
          <cell r="W148">
            <v>0</v>
          </cell>
          <cell r="X148">
            <v>6049265</v>
          </cell>
          <cell r="Y148" t="str">
            <v xml:space="preserve"> </v>
          </cell>
        </row>
        <row r="149">
          <cell r="E149" t="str">
            <v>試作品</v>
          </cell>
          <cell r="F149" t="str">
            <v>PX52191</v>
          </cell>
          <cell r="G149" t="str">
            <v>数量</v>
          </cell>
          <cell r="H149">
            <v>507</v>
          </cell>
          <cell r="I149">
            <v>30</v>
          </cell>
          <cell r="J149">
            <v>0</v>
          </cell>
          <cell r="K149">
            <v>318</v>
          </cell>
          <cell r="L149">
            <v>348</v>
          </cell>
          <cell r="M149">
            <v>101</v>
          </cell>
          <cell r="N149">
            <v>0</v>
          </cell>
          <cell r="O149">
            <v>956</v>
          </cell>
          <cell r="P149" t="str">
            <v>金額</v>
          </cell>
          <cell r="Q149">
            <v>2298000</v>
          </cell>
          <cell r="R149">
            <v>181000</v>
          </cell>
          <cell r="S149">
            <v>0</v>
          </cell>
          <cell r="T149">
            <v>1414005</v>
          </cell>
          <cell r="U149">
            <v>1595005</v>
          </cell>
          <cell r="V149">
            <v>29353</v>
          </cell>
          <cell r="W149">
            <v>0</v>
          </cell>
          <cell r="X149">
            <v>3922358</v>
          </cell>
          <cell r="Y149" t="str">
            <v xml:space="preserve"> </v>
          </cell>
        </row>
        <row r="150">
          <cell r="E150" t="str">
            <v>部　品</v>
          </cell>
          <cell r="F150" t="str">
            <v>PX52195</v>
          </cell>
          <cell r="G150" t="str">
            <v>数量</v>
          </cell>
          <cell r="H150">
            <v>740</v>
          </cell>
          <cell r="I150">
            <v>0</v>
          </cell>
          <cell r="J150">
            <v>0</v>
          </cell>
          <cell r="K150">
            <v>249</v>
          </cell>
          <cell r="L150">
            <v>249</v>
          </cell>
          <cell r="M150">
            <v>90000</v>
          </cell>
          <cell r="N150">
            <v>0</v>
          </cell>
          <cell r="O150">
            <v>90989</v>
          </cell>
          <cell r="P150" t="str">
            <v>金額</v>
          </cell>
          <cell r="Q150">
            <v>267100</v>
          </cell>
          <cell r="R150">
            <v>0</v>
          </cell>
          <cell r="S150">
            <v>0</v>
          </cell>
          <cell r="T150">
            <v>252100</v>
          </cell>
          <cell r="U150">
            <v>252100</v>
          </cell>
          <cell r="V150">
            <v>7640000</v>
          </cell>
          <cell r="W150">
            <v>0</v>
          </cell>
          <cell r="X150">
            <v>8159200</v>
          </cell>
          <cell r="Y150" t="str">
            <v xml:space="preserve"> </v>
          </cell>
        </row>
        <row r="151">
          <cell r="E151" t="str">
            <v>プラグコード</v>
          </cell>
          <cell r="F151" t="str">
            <v>PX521</v>
          </cell>
          <cell r="G151" t="str">
            <v>数量</v>
          </cell>
          <cell r="H151">
            <v>10766</v>
          </cell>
          <cell r="I151">
            <v>30990</v>
          </cell>
          <cell r="J151">
            <v>8</v>
          </cell>
          <cell r="K151">
            <v>570</v>
          </cell>
          <cell r="L151">
            <v>31568</v>
          </cell>
          <cell r="M151">
            <v>150208</v>
          </cell>
          <cell r="N151">
            <v>0</v>
          </cell>
          <cell r="O151">
            <v>192542</v>
          </cell>
          <cell r="P151" t="str">
            <v>金額</v>
          </cell>
          <cell r="Q151">
            <v>6552159</v>
          </cell>
          <cell r="R151">
            <v>64663217</v>
          </cell>
          <cell r="S151">
            <v>19000</v>
          </cell>
          <cell r="T151">
            <v>1690315</v>
          </cell>
          <cell r="U151">
            <v>66372532</v>
          </cell>
          <cell r="V151">
            <v>94809229</v>
          </cell>
          <cell r="W151">
            <v>0</v>
          </cell>
          <cell r="X151">
            <v>167733920</v>
          </cell>
          <cell r="Y151" t="str">
            <v xml:space="preserve"> </v>
          </cell>
        </row>
        <row r="152">
          <cell r="E152" t="str">
            <v>本　体</v>
          </cell>
          <cell r="F152" t="str">
            <v>PX53101</v>
          </cell>
          <cell r="G152" t="str">
            <v>数量</v>
          </cell>
          <cell r="H152">
            <v>838</v>
          </cell>
          <cell r="I152">
            <v>0</v>
          </cell>
          <cell r="J152">
            <v>0</v>
          </cell>
          <cell r="K152">
            <v>582</v>
          </cell>
          <cell r="L152">
            <v>582</v>
          </cell>
          <cell r="M152">
            <v>75</v>
          </cell>
          <cell r="N152">
            <v>0</v>
          </cell>
          <cell r="O152">
            <v>1495</v>
          </cell>
          <cell r="P152" t="str">
            <v>金額</v>
          </cell>
          <cell r="Q152">
            <v>226100</v>
          </cell>
          <cell r="R152">
            <v>0</v>
          </cell>
          <cell r="S152">
            <v>0</v>
          </cell>
          <cell r="T152">
            <v>207360</v>
          </cell>
          <cell r="U152">
            <v>207360</v>
          </cell>
          <cell r="V152">
            <v>22630</v>
          </cell>
          <cell r="W152">
            <v>0</v>
          </cell>
          <cell r="X152">
            <v>456090</v>
          </cell>
          <cell r="Y152" t="str">
            <v xml:space="preserve"> </v>
          </cell>
        </row>
        <row r="153">
          <cell r="E153" t="str">
            <v>グローシグナル</v>
          </cell>
          <cell r="F153" t="str">
            <v>PX531</v>
          </cell>
          <cell r="G153" t="str">
            <v>数量</v>
          </cell>
          <cell r="H153">
            <v>838</v>
          </cell>
          <cell r="I153">
            <v>0</v>
          </cell>
          <cell r="J153">
            <v>0</v>
          </cell>
          <cell r="K153">
            <v>582</v>
          </cell>
          <cell r="L153">
            <v>582</v>
          </cell>
          <cell r="M153">
            <v>75</v>
          </cell>
          <cell r="N153">
            <v>0</v>
          </cell>
          <cell r="O153">
            <v>1495</v>
          </cell>
          <cell r="P153" t="str">
            <v>金額</v>
          </cell>
          <cell r="Q153">
            <v>226100</v>
          </cell>
          <cell r="R153">
            <v>0</v>
          </cell>
          <cell r="S153">
            <v>0</v>
          </cell>
          <cell r="T153">
            <v>207360</v>
          </cell>
          <cell r="U153">
            <v>207360</v>
          </cell>
          <cell r="V153">
            <v>22630</v>
          </cell>
          <cell r="W153">
            <v>0</v>
          </cell>
          <cell r="X153">
            <v>456090</v>
          </cell>
          <cell r="Y153" t="str">
            <v xml:space="preserve"> </v>
          </cell>
        </row>
        <row r="154">
          <cell r="E154" t="str">
            <v>その他</v>
          </cell>
          <cell r="F154" t="str">
            <v>PX59090</v>
          </cell>
          <cell r="G154" t="str">
            <v>数量</v>
          </cell>
          <cell r="H154">
            <v>80</v>
          </cell>
          <cell r="I154">
            <v>5</v>
          </cell>
          <cell r="J154">
            <v>0</v>
          </cell>
          <cell r="K154">
            <v>0</v>
          </cell>
          <cell r="L154">
            <v>5</v>
          </cell>
          <cell r="M154">
            <v>234000</v>
          </cell>
          <cell r="N154">
            <v>0</v>
          </cell>
          <cell r="O154">
            <v>234085</v>
          </cell>
          <cell r="P154" t="str">
            <v>金額</v>
          </cell>
          <cell r="Q154">
            <v>240000</v>
          </cell>
          <cell r="R154">
            <v>25000</v>
          </cell>
          <cell r="S154">
            <v>0</v>
          </cell>
          <cell r="T154">
            <v>0</v>
          </cell>
          <cell r="U154">
            <v>25000</v>
          </cell>
          <cell r="V154">
            <v>93600</v>
          </cell>
          <cell r="W154">
            <v>0</v>
          </cell>
          <cell r="X154">
            <v>358600</v>
          </cell>
          <cell r="Y154" t="str">
            <v xml:space="preserve"> </v>
          </cell>
        </row>
        <row r="155">
          <cell r="E155" t="str">
            <v>その他</v>
          </cell>
          <cell r="F155" t="str">
            <v>PX590</v>
          </cell>
          <cell r="G155" t="str">
            <v>数量</v>
          </cell>
          <cell r="H155">
            <v>80</v>
          </cell>
          <cell r="I155">
            <v>5</v>
          </cell>
          <cell r="J155">
            <v>0</v>
          </cell>
          <cell r="K155">
            <v>0</v>
          </cell>
          <cell r="L155">
            <v>5</v>
          </cell>
          <cell r="M155">
            <v>234000</v>
          </cell>
          <cell r="N155">
            <v>0</v>
          </cell>
          <cell r="O155">
            <v>234085</v>
          </cell>
          <cell r="P155" t="str">
            <v>金額</v>
          </cell>
          <cell r="Q155">
            <v>240000</v>
          </cell>
          <cell r="R155">
            <v>25000</v>
          </cell>
          <cell r="S155">
            <v>0</v>
          </cell>
          <cell r="T155">
            <v>0</v>
          </cell>
          <cell r="U155">
            <v>25000</v>
          </cell>
          <cell r="V155">
            <v>93600</v>
          </cell>
          <cell r="W155">
            <v>0</v>
          </cell>
          <cell r="X155">
            <v>358600</v>
          </cell>
          <cell r="Y155" t="str">
            <v xml:space="preserve"> </v>
          </cell>
        </row>
        <row r="156">
          <cell r="E156" t="str">
            <v>プ事機械設備</v>
          </cell>
          <cell r="F156" t="str">
            <v>PX59501</v>
          </cell>
          <cell r="G156" t="str">
            <v>数量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604</v>
          </cell>
          <cell r="N156">
            <v>0</v>
          </cell>
          <cell r="O156">
            <v>604</v>
          </cell>
          <cell r="P156" t="str">
            <v>金額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11047505</v>
          </cell>
          <cell r="W156">
            <v>0</v>
          </cell>
          <cell r="X156">
            <v>11047505</v>
          </cell>
          <cell r="Y156" t="str">
            <v xml:space="preserve"> </v>
          </cell>
        </row>
        <row r="157">
          <cell r="E157" t="str">
            <v>プ事部品</v>
          </cell>
          <cell r="F157" t="str">
            <v>PX59551</v>
          </cell>
          <cell r="G157" t="str">
            <v>数量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188</v>
          </cell>
          <cell r="N157">
            <v>0</v>
          </cell>
          <cell r="O157">
            <v>188</v>
          </cell>
          <cell r="P157" t="str">
            <v>金額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7395845</v>
          </cell>
          <cell r="W157">
            <v>0</v>
          </cell>
          <cell r="X157">
            <v>7395845</v>
          </cell>
          <cell r="Y157" t="str">
            <v xml:space="preserve"> </v>
          </cell>
        </row>
        <row r="158">
          <cell r="E158" t="str">
            <v>機械設備</v>
          </cell>
          <cell r="F158" t="str">
            <v>PX595</v>
          </cell>
          <cell r="G158" t="str">
            <v>数量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792</v>
          </cell>
          <cell r="N158">
            <v>0</v>
          </cell>
          <cell r="O158">
            <v>792</v>
          </cell>
          <cell r="P158" t="str">
            <v>金額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18443350</v>
          </cell>
          <cell r="W158">
            <v>0</v>
          </cell>
          <cell r="X158">
            <v>18443350</v>
          </cell>
          <cell r="Y158" t="str">
            <v xml:space="preserve"> </v>
          </cell>
        </row>
        <row r="159">
          <cell r="E159" t="str">
            <v>セ事機械設備</v>
          </cell>
          <cell r="F159" t="str">
            <v>PX59601</v>
          </cell>
          <cell r="G159" t="str">
            <v>数量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2</v>
          </cell>
          <cell r="N159">
            <v>0</v>
          </cell>
          <cell r="O159">
            <v>2</v>
          </cell>
          <cell r="P159" t="str">
            <v>金額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70448800</v>
          </cell>
          <cell r="W159">
            <v>0</v>
          </cell>
          <cell r="X159">
            <v>70448800</v>
          </cell>
          <cell r="Y159" t="str">
            <v xml:space="preserve"> </v>
          </cell>
        </row>
        <row r="160">
          <cell r="E160" t="str">
            <v>セ事部品</v>
          </cell>
          <cell r="F160" t="str">
            <v>PX59651</v>
          </cell>
          <cell r="G160" t="str">
            <v>数量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130</v>
          </cell>
          <cell r="N160">
            <v>0</v>
          </cell>
          <cell r="O160">
            <v>130</v>
          </cell>
          <cell r="P160" t="str">
            <v>金額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7050892</v>
          </cell>
          <cell r="W160">
            <v>0</v>
          </cell>
          <cell r="X160">
            <v>7050892</v>
          </cell>
          <cell r="Y160" t="str">
            <v xml:space="preserve"> </v>
          </cell>
        </row>
        <row r="161">
          <cell r="E161" t="str">
            <v>セ事機械設備</v>
          </cell>
          <cell r="F161" t="str">
            <v>PX596</v>
          </cell>
          <cell r="G161" t="str">
            <v>数量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132</v>
          </cell>
          <cell r="N161">
            <v>0</v>
          </cell>
          <cell r="O161">
            <v>132</v>
          </cell>
          <cell r="P161" t="str">
            <v>金額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77499692</v>
          </cell>
          <cell r="W161">
            <v>0</v>
          </cell>
          <cell r="X161">
            <v>77499692</v>
          </cell>
          <cell r="Y161" t="str">
            <v xml:space="preserve"> </v>
          </cell>
        </row>
        <row r="162">
          <cell r="E162" t="str">
            <v>関連品その他</v>
          </cell>
          <cell r="F162" t="str">
            <v>PX5</v>
          </cell>
          <cell r="G162" t="str">
            <v>数量</v>
          </cell>
          <cell r="H162">
            <v>157466</v>
          </cell>
          <cell r="I162">
            <v>35694</v>
          </cell>
          <cell r="J162">
            <v>8</v>
          </cell>
          <cell r="K162">
            <v>7667</v>
          </cell>
          <cell r="L162">
            <v>43369</v>
          </cell>
          <cell r="M162">
            <v>1582946</v>
          </cell>
          <cell r="N162">
            <v>1039880</v>
          </cell>
          <cell r="O162">
            <v>1783781</v>
          </cell>
          <cell r="P162" t="str">
            <v>金額</v>
          </cell>
          <cell r="Q162">
            <v>123285163</v>
          </cell>
          <cell r="R162">
            <v>66845067</v>
          </cell>
          <cell r="S162">
            <v>19000</v>
          </cell>
          <cell r="T162">
            <v>8154576</v>
          </cell>
          <cell r="U162">
            <v>75018643</v>
          </cell>
          <cell r="V162">
            <v>238071099</v>
          </cell>
          <cell r="W162">
            <v>34165230</v>
          </cell>
          <cell r="X162">
            <v>436374905</v>
          </cell>
          <cell r="Y162" t="str">
            <v xml:space="preserve"> </v>
          </cell>
        </row>
        <row r="163">
          <cell r="E163" t="str">
            <v>雨用セット</v>
          </cell>
          <cell r="F163" t="str">
            <v>PX90401</v>
          </cell>
          <cell r="G163" t="str">
            <v>数量</v>
          </cell>
          <cell r="H163">
            <v>0</v>
          </cell>
          <cell r="I163">
            <v>2838</v>
          </cell>
          <cell r="J163">
            <v>150</v>
          </cell>
          <cell r="K163">
            <v>0</v>
          </cell>
          <cell r="L163">
            <v>2988</v>
          </cell>
          <cell r="M163">
            <v>0</v>
          </cell>
          <cell r="N163">
            <v>0</v>
          </cell>
          <cell r="O163">
            <v>2988</v>
          </cell>
          <cell r="P163" t="str">
            <v>金額</v>
          </cell>
          <cell r="Q163">
            <v>0</v>
          </cell>
          <cell r="R163">
            <v>1643725</v>
          </cell>
          <cell r="S163">
            <v>88040</v>
          </cell>
          <cell r="T163">
            <v>0</v>
          </cell>
          <cell r="U163">
            <v>1731765</v>
          </cell>
          <cell r="V163">
            <v>0</v>
          </cell>
          <cell r="W163">
            <v>0</v>
          </cell>
          <cell r="X163">
            <v>1731765</v>
          </cell>
          <cell r="Y163" t="str">
            <v xml:space="preserve"> </v>
          </cell>
        </row>
        <row r="164">
          <cell r="E164" t="str">
            <v>雪用セット</v>
          </cell>
          <cell r="F164" t="str">
            <v>PX90402</v>
          </cell>
          <cell r="G164" t="str">
            <v>数量</v>
          </cell>
          <cell r="H164">
            <v>0</v>
          </cell>
          <cell r="I164">
            <v>36506</v>
          </cell>
          <cell r="J164">
            <v>0</v>
          </cell>
          <cell r="K164">
            <v>1257</v>
          </cell>
          <cell r="L164">
            <v>37763</v>
          </cell>
          <cell r="M164">
            <v>0</v>
          </cell>
          <cell r="N164">
            <v>0</v>
          </cell>
          <cell r="O164">
            <v>37763</v>
          </cell>
          <cell r="P164" t="str">
            <v>金額</v>
          </cell>
          <cell r="Q164">
            <v>0</v>
          </cell>
          <cell r="R164">
            <v>41073615</v>
          </cell>
          <cell r="S164">
            <v>0</v>
          </cell>
          <cell r="T164">
            <v>1150690</v>
          </cell>
          <cell r="U164">
            <v>42224305</v>
          </cell>
          <cell r="V164">
            <v>0</v>
          </cell>
          <cell r="W164">
            <v>0</v>
          </cell>
          <cell r="X164">
            <v>42224305</v>
          </cell>
          <cell r="Y164" t="str">
            <v xml:space="preserve"> </v>
          </cell>
        </row>
        <row r="165">
          <cell r="E165" t="str">
            <v>替ゴム</v>
          </cell>
          <cell r="F165" t="str">
            <v>PX90403</v>
          </cell>
          <cell r="G165" t="str">
            <v>数量</v>
          </cell>
          <cell r="H165">
            <v>0</v>
          </cell>
          <cell r="I165">
            <v>10258</v>
          </cell>
          <cell r="J165">
            <v>0</v>
          </cell>
          <cell r="K165">
            <v>5283</v>
          </cell>
          <cell r="L165">
            <v>15541</v>
          </cell>
          <cell r="M165">
            <v>0</v>
          </cell>
          <cell r="N165">
            <v>0</v>
          </cell>
          <cell r="O165">
            <v>15541</v>
          </cell>
          <cell r="P165" t="str">
            <v>金額</v>
          </cell>
          <cell r="Q165">
            <v>0</v>
          </cell>
          <cell r="R165">
            <v>2213010</v>
          </cell>
          <cell r="S165">
            <v>0</v>
          </cell>
          <cell r="T165">
            <v>947950</v>
          </cell>
          <cell r="U165">
            <v>3160960</v>
          </cell>
          <cell r="V165">
            <v>0</v>
          </cell>
          <cell r="W165">
            <v>0</v>
          </cell>
          <cell r="X165">
            <v>3160960</v>
          </cell>
          <cell r="Y165" t="str">
            <v xml:space="preserve"> </v>
          </cell>
        </row>
        <row r="166">
          <cell r="E166" t="str">
            <v>雨用バルク</v>
          </cell>
          <cell r="F166" t="str">
            <v>PX90405</v>
          </cell>
          <cell r="G166" t="str">
            <v>数量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1000</v>
          </cell>
          <cell r="N166">
            <v>0</v>
          </cell>
          <cell r="O166">
            <v>1000</v>
          </cell>
          <cell r="P166" t="str">
            <v>金額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321000</v>
          </cell>
          <cell r="W166">
            <v>0</v>
          </cell>
          <cell r="X166">
            <v>321000</v>
          </cell>
          <cell r="Y166" t="str">
            <v xml:space="preserve"> </v>
          </cell>
        </row>
        <row r="167">
          <cell r="E167" t="str">
            <v>アダプタクリップ</v>
          </cell>
          <cell r="F167" t="str">
            <v>PX90411</v>
          </cell>
          <cell r="G167" t="str">
            <v>数量</v>
          </cell>
          <cell r="H167">
            <v>0</v>
          </cell>
          <cell r="I167">
            <v>3061</v>
          </cell>
          <cell r="J167">
            <v>0</v>
          </cell>
          <cell r="K167">
            <v>0</v>
          </cell>
          <cell r="L167">
            <v>3061</v>
          </cell>
          <cell r="M167">
            <v>0</v>
          </cell>
          <cell r="N167">
            <v>0</v>
          </cell>
          <cell r="O167">
            <v>3061</v>
          </cell>
          <cell r="P167" t="str">
            <v>金額</v>
          </cell>
          <cell r="Q167">
            <v>0</v>
          </cell>
          <cell r="R167">
            <v>245020</v>
          </cell>
          <cell r="S167">
            <v>0</v>
          </cell>
          <cell r="T167">
            <v>0</v>
          </cell>
          <cell r="U167">
            <v>245020</v>
          </cell>
          <cell r="V167">
            <v>0</v>
          </cell>
          <cell r="W167">
            <v>0</v>
          </cell>
          <cell r="X167">
            <v>245020</v>
          </cell>
          <cell r="Y167" t="str">
            <v xml:space="preserve"> </v>
          </cell>
        </row>
        <row r="168">
          <cell r="E168" t="str">
            <v>ワイパーブレード</v>
          </cell>
          <cell r="F168" t="str">
            <v>PX904</v>
          </cell>
          <cell r="G168" t="str">
            <v>数量</v>
          </cell>
          <cell r="H168">
            <v>0</v>
          </cell>
          <cell r="I168">
            <v>52663</v>
          </cell>
          <cell r="J168">
            <v>150</v>
          </cell>
          <cell r="K168">
            <v>6540</v>
          </cell>
          <cell r="L168">
            <v>59353</v>
          </cell>
          <cell r="M168">
            <v>1000</v>
          </cell>
          <cell r="N168">
            <v>0</v>
          </cell>
          <cell r="O168">
            <v>60353</v>
          </cell>
          <cell r="P168" t="str">
            <v>金額</v>
          </cell>
          <cell r="Q168">
            <v>0</v>
          </cell>
          <cell r="R168">
            <v>45175370</v>
          </cell>
          <cell r="S168">
            <v>88040</v>
          </cell>
          <cell r="T168">
            <v>2098640</v>
          </cell>
          <cell r="U168">
            <v>47362050</v>
          </cell>
          <cell r="V168">
            <v>321000</v>
          </cell>
          <cell r="W168">
            <v>0</v>
          </cell>
          <cell r="X168">
            <v>47683050</v>
          </cell>
          <cell r="Y168" t="str">
            <v xml:space="preserve"> </v>
          </cell>
        </row>
        <row r="169">
          <cell r="E169" t="str">
            <v>標準セット</v>
          </cell>
          <cell r="F169" t="str">
            <v>PX90501</v>
          </cell>
          <cell r="G169" t="str">
            <v>数量</v>
          </cell>
          <cell r="H169">
            <v>0</v>
          </cell>
          <cell r="I169">
            <v>11</v>
          </cell>
          <cell r="J169">
            <v>0</v>
          </cell>
          <cell r="K169">
            <v>0</v>
          </cell>
          <cell r="L169">
            <v>11</v>
          </cell>
          <cell r="M169">
            <v>0</v>
          </cell>
          <cell r="N169">
            <v>0</v>
          </cell>
          <cell r="O169">
            <v>11</v>
          </cell>
          <cell r="P169" t="str">
            <v>金額</v>
          </cell>
          <cell r="Q169">
            <v>0</v>
          </cell>
          <cell r="R169">
            <v>417000</v>
          </cell>
          <cell r="S169">
            <v>0</v>
          </cell>
          <cell r="T169">
            <v>0</v>
          </cell>
          <cell r="U169">
            <v>417000</v>
          </cell>
          <cell r="V169">
            <v>0</v>
          </cell>
          <cell r="W169">
            <v>0</v>
          </cell>
          <cell r="X169">
            <v>417000</v>
          </cell>
          <cell r="Y169" t="str">
            <v xml:space="preserve"> </v>
          </cell>
        </row>
        <row r="170">
          <cell r="E170" t="str">
            <v>付属品単品</v>
          </cell>
          <cell r="F170" t="str">
            <v>PX90504</v>
          </cell>
          <cell r="G170" t="str">
            <v>数量</v>
          </cell>
          <cell r="H170">
            <v>0</v>
          </cell>
          <cell r="I170">
            <v>2</v>
          </cell>
          <cell r="J170">
            <v>0</v>
          </cell>
          <cell r="K170">
            <v>0</v>
          </cell>
          <cell r="L170">
            <v>2</v>
          </cell>
          <cell r="M170">
            <v>0</v>
          </cell>
          <cell r="N170">
            <v>0</v>
          </cell>
          <cell r="O170">
            <v>2</v>
          </cell>
          <cell r="P170" t="str">
            <v>金額</v>
          </cell>
          <cell r="Q170">
            <v>0</v>
          </cell>
          <cell r="R170">
            <v>8000</v>
          </cell>
          <cell r="S170">
            <v>0</v>
          </cell>
          <cell r="T170">
            <v>0</v>
          </cell>
          <cell r="U170">
            <v>8000</v>
          </cell>
          <cell r="V170">
            <v>0</v>
          </cell>
          <cell r="W170">
            <v>0</v>
          </cell>
          <cell r="X170">
            <v>8000</v>
          </cell>
          <cell r="Y170" t="str">
            <v xml:space="preserve"> </v>
          </cell>
        </row>
        <row r="171">
          <cell r="E171" t="str">
            <v>携帯電話</v>
          </cell>
          <cell r="F171" t="str">
            <v>PX905</v>
          </cell>
          <cell r="G171" t="str">
            <v>数量</v>
          </cell>
          <cell r="H171">
            <v>0</v>
          </cell>
          <cell r="I171">
            <v>13</v>
          </cell>
          <cell r="J171">
            <v>0</v>
          </cell>
          <cell r="K171">
            <v>0</v>
          </cell>
          <cell r="L171">
            <v>13</v>
          </cell>
          <cell r="M171">
            <v>0</v>
          </cell>
          <cell r="N171">
            <v>0</v>
          </cell>
          <cell r="O171">
            <v>13</v>
          </cell>
          <cell r="P171" t="str">
            <v>金額</v>
          </cell>
          <cell r="Q171">
            <v>0</v>
          </cell>
          <cell r="R171">
            <v>425000</v>
          </cell>
          <cell r="S171">
            <v>0</v>
          </cell>
          <cell r="T171">
            <v>0</v>
          </cell>
          <cell r="U171">
            <v>425000</v>
          </cell>
          <cell r="V171">
            <v>0</v>
          </cell>
          <cell r="W171">
            <v>0</v>
          </cell>
          <cell r="X171">
            <v>425000</v>
          </cell>
          <cell r="Y171" t="str">
            <v xml:space="preserve"> </v>
          </cell>
        </row>
        <row r="172">
          <cell r="E172" t="str">
            <v>本体セット</v>
          </cell>
          <cell r="F172" t="str">
            <v>PX90901</v>
          </cell>
          <cell r="G172" t="str">
            <v>数量</v>
          </cell>
          <cell r="H172">
            <v>0</v>
          </cell>
          <cell r="I172">
            <v>2</v>
          </cell>
          <cell r="J172">
            <v>0</v>
          </cell>
          <cell r="K172">
            <v>0</v>
          </cell>
          <cell r="L172">
            <v>2</v>
          </cell>
          <cell r="M172">
            <v>0</v>
          </cell>
          <cell r="N172">
            <v>0</v>
          </cell>
          <cell r="O172">
            <v>2</v>
          </cell>
          <cell r="P172" t="str">
            <v>金額</v>
          </cell>
          <cell r="Q172">
            <v>0</v>
          </cell>
          <cell r="R172">
            <v>2340</v>
          </cell>
          <cell r="S172">
            <v>0</v>
          </cell>
          <cell r="T172">
            <v>0</v>
          </cell>
          <cell r="U172">
            <v>2340</v>
          </cell>
          <cell r="V172">
            <v>0</v>
          </cell>
          <cell r="W172">
            <v>0</v>
          </cell>
          <cell r="X172">
            <v>2340</v>
          </cell>
          <cell r="Y172" t="str">
            <v xml:space="preserve"> </v>
          </cell>
        </row>
        <row r="173">
          <cell r="E173" t="str">
            <v>磁気治療器</v>
          </cell>
          <cell r="F173" t="str">
            <v>PX909</v>
          </cell>
          <cell r="G173" t="str">
            <v>数量</v>
          </cell>
          <cell r="H173">
            <v>0</v>
          </cell>
          <cell r="I173">
            <v>2</v>
          </cell>
          <cell r="J173">
            <v>0</v>
          </cell>
          <cell r="K173">
            <v>0</v>
          </cell>
          <cell r="L173">
            <v>2</v>
          </cell>
          <cell r="M173">
            <v>0</v>
          </cell>
          <cell r="N173">
            <v>0</v>
          </cell>
          <cell r="O173">
            <v>2</v>
          </cell>
          <cell r="P173" t="str">
            <v>金額</v>
          </cell>
          <cell r="Q173">
            <v>0</v>
          </cell>
          <cell r="R173">
            <v>2340</v>
          </cell>
          <cell r="S173">
            <v>0</v>
          </cell>
          <cell r="T173">
            <v>0</v>
          </cell>
          <cell r="U173">
            <v>2340</v>
          </cell>
          <cell r="V173">
            <v>0</v>
          </cell>
          <cell r="W173">
            <v>0</v>
          </cell>
          <cell r="X173">
            <v>2340</v>
          </cell>
          <cell r="Y173" t="str">
            <v xml:space="preserve"> </v>
          </cell>
        </row>
        <row r="174">
          <cell r="E174" t="str">
            <v>ツメクリン洗剤</v>
          </cell>
          <cell r="F174" t="str">
            <v>PX91002</v>
          </cell>
          <cell r="G174" t="str">
            <v>数量</v>
          </cell>
          <cell r="H174">
            <v>0</v>
          </cell>
          <cell r="I174">
            <v>6</v>
          </cell>
          <cell r="J174">
            <v>0</v>
          </cell>
          <cell r="K174">
            <v>0</v>
          </cell>
          <cell r="L174">
            <v>6</v>
          </cell>
          <cell r="M174">
            <v>0</v>
          </cell>
          <cell r="N174">
            <v>0</v>
          </cell>
          <cell r="O174">
            <v>6</v>
          </cell>
          <cell r="P174" t="str">
            <v>金額</v>
          </cell>
          <cell r="Q174">
            <v>0</v>
          </cell>
          <cell r="R174">
            <v>7500</v>
          </cell>
          <cell r="S174">
            <v>0</v>
          </cell>
          <cell r="T174">
            <v>0</v>
          </cell>
          <cell r="U174">
            <v>7500</v>
          </cell>
          <cell r="V174">
            <v>0</v>
          </cell>
          <cell r="W174">
            <v>0</v>
          </cell>
          <cell r="X174">
            <v>7500</v>
          </cell>
          <cell r="Y174" t="str">
            <v xml:space="preserve"> </v>
          </cell>
        </row>
        <row r="175">
          <cell r="E175" t="str">
            <v>ケミカル品</v>
          </cell>
          <cell r="F175" t="str">
            <v>PX910</v>
          </cell>
          <cell r="G175" t="str">
            <v>数量</v>
          </cell>
          <cell r="H175">
            <v>0</v>
          </cell>
          <cell r="I175">
            <v>6</v>
          </cell>
          <cell r="J175">
            <v>0</v>
          </cell>
          <cell r="K175">
            <v>0</v>
          </cell>
          <cell r="L175">
            <v>6</v>
          </cell>
          <cell r="M175">
            <v>0</v>
          </cell>
          <cell r="N175">
            <v>0</v>
          </cell>
          <cell r="O175">
            <v>6</v>
          </cell>
          <cell r="P175" t="str">
            <v>金額</v>
          </cell>
          <cell r="Q175">
            <v>0</v>
          </cell>
          <cell r="R175">
            <v>7500</v>
          </cell>
          <cell r="S175">
            <v>0</v>
          </cell>
          <cell r="T175">
            <v>0</v>
          </cell>
          <cell r="U175">
            <v>7500</v>
          </cell>
          <cell r="V175">
            <v>0</v>
          </cell>
          <cell r="W175">
            <v>0</v>
          </cell>
          <cell r="X175">
            <v>7500</v>
          </cell>
          <cell r="Y175" t="str">
            <v xml:space="preserve"> </v>
          </cell>
        </row>
        <row r="176">
          <cell r="E176" t="str">
            <v>ツメクリン</v>
          </cell>
          <cell r="F176" t="str">
            <v>PX91101</v>
          </cell>
          <cell r="G176" t="str">
            <v>数量</v>
          </cell>
          <cell r="H176">
            <v>0</v>
          </cell>
          <cell r="I176">
            <v>301</v>
          </cell>
          <cell r="J176">
            <v>0</v>
          </cell>
          <cell r="K176">
            <v>0</v>
          </cell>
          <cell r="L176">
            <v>301</v>
          </cell>
          <cell r="M176">
            <v>0</v>
          </cell>
          <cell r="N176">
            <v>0</v>
          </cell>
          <cell r="O176">
            <v>301</v>
          </cell>
          <cell r="P176" t="str">
            <v>金額</v>
          </cell>
          <cell r="Q176">
            <v>0</v>
          </cell>
          <cell r="R176">
            <v>324750</v>
          </cell>
          <cell r="S176">
            <v>0</v>
          </cell>
          <cell r="T176">
            <v>0</v>
          </cell>
          <cell r="U176">
            <v>324750</v>
          </cell>
          <cell r="V176">
            <v>0</v>
          </cell>
          <cell r="W176">
            <v>0</v>
          </cell>
          <cell r="X176">
            <v>324750</v>
          </cell>
          <cell r="Y176" t="str">
            <v xml:space="preserve"> </v>
          </cell>
        </row>
        <row r="177">
          <cell r="E177" t="str">
            <v>超音波洗浄器</v>
          </cell>
          <cell r="F177" t="str">
            <v>PX911</v>
          </cell>
          <cell r="G177" t="str">
            <v>数量</v>
          </cell>
          <cell r="H177">
            <v>0</v>
          </cell>
          <cell r="I177">
            <v>301</v>
          </cell>
          <cell r="J177">
            <v>0</v>
          </cell>
          <cell r="K177">
            <v>0</v>
          </cell>
          <cell r="L177">
            <v>301</v>
          </cell>
          <cell r="M177">
            <v>0</v>
          </cell>
          <cell r="N177">
            <v>0</v>
          </cell>
          <cell r="O177">
            <v>301</v>
          </cell>
          <cell r="P177" t="str">
            <v>金額</v>
          </cell>
          <cell r="Q177">
            <v>0</v>
          </cell>
          <cell r="R177">
            <v>324750</v>
          </cell>
          <cell r="S177">
            <v>0</v>
          </cell>
          <cell r="T177">
            <v>0</v>
          </cell>
          <cell r="U177">
            <v>324750</v>
          </cell>
          <cell r="V177">
            <v>0</v>
          </cell>
          <cell r="W177">
            <v>0</v>
          </cell>
          <cell r="X177">
            <v>324750</v>
          </cell>
          <cell r="Y177" t="str">
            <v xml:space="preserve"> </v>
          </cell>
        </row>
        <row r="178">
          <cell r="E178" t="str">
            <v>本体</v>
          </cell>
          <cell r="F178" t="str">
            <v>PX91301</v>
          </cell>
          <cell r="G178" t="str">
            <v>数量</v>
          </cell>
          <cell r="H178">
            <v>0</v>
          </cell>
          <cell r="I178">
            <v>16</v>
          </cell>
          <cell r="J178">
            <v>0</v>
          </cell>
          <cell r="K178">
            <v>26</v>
          </cell>
          <cell r="L178">
            <v>42</v>
          </cell>
          <cell r="M178">
            <v>0</v>
          </cell>
          <cell r="N178">
            <v>0</v>
          </cell>
          <cell r="O178">
            <v>42</v>
          </cell>
          <cell r="P178" t="str">
            <v>金額</v>
          </cell>
          <cell r="Q178">
            <v>0</v>
          </cell>
          <cell r="R178">
            <v>57600</v>
          </cell>
          <cell r="S178">
            <v>0</v>
          </cell>
          <cell r="T178">
            <v>93600</v>
          </cell>
          <cell r="U178">
            <v>151200</v>
          </cell>
          <cell r="V178">
            <v>0</v>
          </cell>
          <cell r="W178">
            <v>0</v>
          </cell>
          <cell r="X178">
            <v>151200</v>
          </cell>
          <cell r="Y178" t="str">
            <v xml:space="preserve"> </v>
          </cell>
        </row>
        <row r="179">
          <cell r="E179" t="str">
            <v>ＢＢライダー</v>
          </cell>
          <cell r="F179" t="str">
            <v>PX913</v>
          </cell>
          <cell r="G179" t="str">
            <v>数量</v>
          </cell>
          <cell r="H179">
            <v>0</v>
          </cell>
          <cell r="I179">
            <v>16</v>
          </cell>
          <cell r="J179">
            <v>0</v>
          </cell>
          <cell r="K179">
            <v>26</v>
          </cell>
          <cell r="L179">
            <v>42</v>
          </cell>
          <cell r="M179">
            <v>0</v>
          </cell>
          <cell r="N179">
            <v>0</v>
          </cell>
          <cell r="O179">
            <v>42</v>
          </cell>
          <cell r="P179" t="str">
            <v>金額</v>
          </cell>
          <cell r="Q179">
            <v>0</v>
          </cell>
          <cell r="R179">
            <v>57600</v>
          </cell>
          <cell r="S179">
            <v>0</v>
          </cell>
          <cell r="T179">
            <v>93600</v>
          </cell>
          <cell r="U179">
            <v>151200</v>
          </cell>
          <cell r="V179">
            <v>0</v>
          </cell>
          <cell r="W179">
            <v>0</v>
          </cell>
          <cell r="X179">
            <v>151200</v>
          </cell>
          <cell r="Y179" t="str">
            <v xml:space="preserve"> </v>
          </cell>
        </row>
        <row r="180">
          <cell r="E180" t="str">
            <v>レギュラータイプ</v>
          </cell>
          <cell r="F180" t="str">
            <v>PX91401</v>
          </cell>
          <cell r="G180" t="str">
            <v>数量</v>
          </cell>
          <cell r="H180">
            <v>0</v>
          </cell>
          <cell r="I180">
            <v>8063</v>
          </cell>
          <cell r="J180">
            <v>0</v>
          </cell>
          <cell r="K180">
            <v>0</v>
          </cell>
          <cell r="L180">
            <v>8063</v>
          </cell>
          <cell r="M180">
            <v>0</v>
          </cell>
          <cell r="N180">
            <v>0</v>
          </cell>
          <cell r="O180">
            <v>8063</v>
          </cell>
          <cell r="P180" t="str">
            <v>金額</v>
          </cell>
          <cell r="Q180">
            <v>0</v>
          </cell>
          <cell r="R180">
            <v>2515110</v>
          </cell>
          <cell r="S180">
            <v>0</v>
          </cell>
          <cell r="T180">
            <v>0</v>
          </cell>
          <cell r="U180">
            <v>2515110</v>
          </cell>
          <cell r="V180">
            <v>0</v>
          </cell>
          <cell r="W180">
            <v>0</v>
          </cell>
          <cell r="X180">
            <v>2515110</v>
          </cell>
          <cell r="Y180" t="str">
            <v xml:space="preserve"> </v>
          </cell>
        </row>
        <row r="181">
          <cell r="E181" t="str">
            <v>スポーツタイプ</v>
          </cell>
          <cell r="F181" t="str">
            <v>PX91402</v>
          </cell>
          <cell r="G181" t="str">
            <v>数量</v>
          </cell>
          <cell r="H181">
            <v>0</v>
          </cell>
          <cell r="I181">
            <v>404</v>
          </cell>
          <cell r="J181">
            <v>0</v>
          </cell>
          <cell r="K181">
            <v>0</v>
          </cell>
          <cell r="L181">
            <v>404</v>
          </cell>
          <cell r="M181">
            <v>0</v>
          </cell>
          <cell r="N181">
            <v>0</v>
          </cell>
          <cell r="O181">
            <v>404</v>
          </cell>
          <cell r="P181" t="str">
            <v>金額</v>
          </cell>
          <cell r="Q181">
            <v>0</v>
          </cell>
          <cell r="R181">
            <v>320160</v>
          </cell>
          <cell r="S181">
            <v>0</v>
          </cell>
          <cell r="T181">
            <v>0</v>
          </cell>
          <cell r="U181">
            <v>320160</v>
          </cell>
          <cell r="V181">
            <v>0</v>
          </cell>
          <cell r="W181">
            <v>0</v>
          </cell>
          <cell r="X181">
            <v>320160</v>
          </cell>
          <cell r="Y181" t="str">
            <v xml:space="preserve"> </v>
          </cell>
        </row>
        <row r="182">
          <cell r="E182" t="str">
            <v>ラジエタキャップ</v>
          </cell>
          <cell r="F182" t="str">
            <v>PX914</v>
          </cell>
          <cell r="G182" t="str">
            <v>数量</v>
          </cell>
          <cell r="H182">
            <v>0</v>
          </cell>
          <cell r="I182">
            <v>8467</v>
          </cell>
          <cell r="J182">
            <v>0</v>
          </cell>
          <cell r="K182">
            <v>0</v>
          </cell>
          <cell r="L182">
            <v>8467</v>
          </cell>
          <cell r="M182">
            <v>0</v>
          </cell>
          <cell r="N182">
            <v>0</v>
          </cell>
          <cell r="O182">
            <v>8467</v>
          </cell>
          <cell r="P182" t="str">
            <v>金額</v>
          </cell>
          <cell r="Q182">
            <v>0</v>
          </cell>
          <cell r="R182">
            <v>2835270</v>
          </cell>
          <cell r="S182">
            <v>0</v>
          </cell>
          <cell r="T182">
            <v>0</v>
          </cell>
          <cell r="U182">
            <v>2835270</v>
          </cell>
          <cell r="V182">
            <v>0</v>
          </cell>
          <cell r="W182">
            <v>0</v>
          </cell>
          <cell r="X182">
            <v>2835270</v>
          </cell>
          <cell r="Y182" t="str">
            <v xml:space="preserve"> </v>
          </cell>
        </row>
        <row r="183">
          <cell r="E183" t="str">
            <v>セット</v>
          </cell>
          <cell r="F183" t="str">
            <v>PX91501</v>
          </cell>
          <cell r="G183" t="str">
            <v>数量</v>
          </cell>
          <cell r="H183">
            <v>1</v>
          </cell>
          <cell r="I183">
            <v>9</v>
          </cell>
          <cell r="J183">
            <v>0</v>
          </cell>
          <cell r="K183">
            <v>0</v>
          </cell>
          <cell r="L183">
            <v>9</v>
          </cell>
          <cell r="M183">
            <v>0</v>
          </cell>
          <cell r="N183">
            <v>0</v>
          </cell>
          <cell r="O183">
            <v>10</v>
          </cell>
          <cell r="P183" t="str">
            <v>金額</v>
          </cell>
          <cell r="Q183">
            <v>107900</v>
          </cell>
          <cell r="R183">
            <v>1013600</v>
          </cell>
          <cell r="S183">
            <v>0</v>
          </cell>
          <cell r="T183">
            <v>0</v>
          </cell>
          <cell r="U183">
            <v>1013600</v>
          </cell>
          <cell r="V183">
            <v>0</v>
          </cell>
          <cell r="W183">
            <v>0</v>
          </cell>
          <cell r="X183">
            <v>1121500</v>
          </cell>
          <cell r="Y183" t="str">
            <v xml:space="preserve"> </v>
          </cell>
        </row>
        <row r="184">
          <cell r="E184" t="str">
            <v>単品</v>
          </cell>
          <cell r="F184" t="str">
            <v>PX91502</v>
          </cell>
          <cell r="G184" t="str">
            <v>数量</v>
          </cell>
          <cell r="H184">
            <v>0</v>
          </cell>
          <cell r="I184">
            <v>16</v>
          </cell>
          <cell r="J184">
            <v>0</v>
          </cell>
          <cell r="K184">
            <v>0</v>
          </cell>
          <cell r="L184">
            <v>16</v>
          </cell>
          <cell r="M184">
            <v>0</v>
          </cell>
          <cell r="N184">
            <v>0</v>
          </cell>
          <cell r="O184">
            <v>16</v>
          </cell>
          <cell r="P184" t="str">
            <v>金額</v>
          </cell>
          <cell r="Q184">
            <v>0</v>
          </cell>
          <cell r="R184">
            <v>388300</v>
          </cell>
          <cell r="S184">
            <v>0</v>
          </cell>
          <cell r="T184">
            <v>0</v>
          </cell>
          <cell r="U184">
            <v>388300</v>
          </cell>
          <cell r="V184">
            <v>0</v>
          </cell>
          <cell r="W184">
            <v>0</v>
          </cell>
          <cell r="X184">
            <v>388300</v>
          </cell>
          <cell r="Y184" t="str">
            <v xml:space="preserve"> </v>
          </cell>
        </row>
        <row r="185">
          <cell r="E185" t="str">
            <v>ＡＦ－ブーストＭ</v>
          </cell>
          <cell r="F185" t="str">
            <v>PX915</v>
          </cell>
          <cell r="G185" t="str">
            <v>数量</v>
          </cell>
          <cell r="H185">
            <v>1</v>
          </cell>
          <cell r="I185">
            <v>25</v>
          </cell>
          <cell r="J185">
            <v>0</v>
          </cell>
          <cell r="K185">
            <v>0</v>
          </cell>
          <cell r="L185">
            <v>25</v>
          </cell>
          <cell r="M185">
            <v>0</v>
          </cell>
          <cell r="N185">
            <v>0</v>
          </cell>
          <cell r="O185">
            <v>26</v>
          </cell>
          <cell r="P185" t="str">
            <v>金額</v>
          </cell>
          <cell r="Q185">
            <v>107900</v>
          </cell>
          <cell r="R185">
            <v>1401900</v>
          </cell>
          <cell r="S185">
            <v>0</v>
          </cell>
          <cell r="T185">
            <v>0</v>
          </cell>
          <cell r="U185">
            <v>1401900</v>
          </cell>
          <cell r="V185">
            <v>0</v>
          </cell>
          <cell r="W185">
            <v>0</v>
          </cell>
          <cell r="X185">
            <v>1509800</v>
          </cell>
          <cell r="Y185" t="str">
            <v xml:space="preserve"> </v>
          </cell>
        </row>
        <row r="186">
          <cell r="E186" t="str">
            <v>仕入商品</v>
          </cell>
          <cell r="F186" t="str">
            <v>PX9</v>
          </cell>
          <cell r="G186" t="str">
            <v>数量</v>
          </cell>
          <cell r="H186">
            <v>1</v>
          </cell>
          <cell r="I186">
            <v>61493</v>
          </cell>
          <cell r="J186">
            <v>150</v>
          </cell>
          <cell r="K186">
            <v>6566</v>
          </cell>
          <cell r="L186">
            <v>68209</v>
          </cell>
          <cell r="M186">
            <v>1000</v>
          </cell>
          <cell r="N186">
            <v>0</v>
          </cell>
          <cell r="O186">
            <v>69210</v>
          </cell>
          <cell r="P186" t="str">
            <v>金額</v>
          </cell>
          <cell r="Q186">
            <v>107900</v>
          </cell>
          <cell r="R186">
            <v>50229730</v>
          </cell>
          <cell r="S186">
            <v>88040</v>
          </cell>
          <cell r="T186">
            <v>2192240</v>
          </cell>
          <cell r="U186">
            <v>52510010</v>
          </cell>
          <cell r="V186">
            <v>321000</v>
          </cell>
          <cell r="W186">
            <v>0</v>
          </cell>
          <cell r="X186">
            <v>52938910</v>
          </cell>
          <cell r="Y186" t="str">
            <v xml:space="preserve"> </v>
          </cell>
        </row>
        <row r="187">
          <cell r="E187" t="str">
            <v>関連品</v>
          </cell>
          <cell r="F187" t="str">
            <v>PX</v>
          </cell>
          <cell r="G187" t="str">
            <v>数量</v>
          </cell>
          <cell r="H187">
            <v>576689</v>
          </cell>
          <cell r="I187">
            <v>97189</v>
          </cell>
          <cell r="J187">
            <v>158</v>
          </cell>
          <cell r="K187">
            <v>40244</v>
          </cell>
          <cell r="L187">
            <v>137591</v>
          </cell>
          <cell r="M187">
            <v>8536212</v>
          </cell>
          <cell r="N187">
            <v>7112854</v>
          </cell>
          <cell r="O187">
            <v>9250492</v>
          </cell>
          <cell r="P187" t="str">
            <v>金額</v>
          </cell>
          <cell r="Q187">
            <v>663164795</v>
          </cell>
          <cell r="R187">
            <v>117200797</v>
          </cell>
          <cell r="S187">
            <v>107040</v>
          </cell>
          <cell r="T187">
            <v>52871217</v>
          </cell>
          <cell r="U187">
            <v>170179054</v>
          </cell>
          <cell r="V187">
            <v>3201161443</v>
          </cell>
          <cell r="W187">
            <v>2684133905</v>
          </cell>
          <cell r="X187">
            <v>4034505292</v>
          </cell>
          <cell r="Y187" t="str">
            <v xml:space="preserve"> </v>
          </cell>
        </row>
        <row r="188">
          <cell r="F188" t="str">
            <v xml:space="preserve"> </v>
          </cell>
          <cell r="G188" t="str">
            <v>数量</v>
          </cell>
          <cell r="H188">
            <v>5630630</v>
          </cell>
          <cell r="I188">
            <v>1004130</v>
          </cell>
          <cell r="J188">
            <v>3647</v>
          </cell>
          <cell r="K188">
            <v>2131263</v>
          </cell>
          <cell r="L188">
            <v>3139040</v>
          </cell>
          <cell r="M188">
            <v>72277594</v>
          </cell>
          <cell r="N188">
            <v>14529912</v>
          </cell>
          <cell r="O188">
            <v>81047264</v>
          </cell>
          <cell r="P188" t="str">
            <v>金額</v>
          </cell>
          <cell r="Q188">
            <v>1231137389</v>
          </cell>
          <cell r="R188">
            <v>394639766</v>
          </cell>
          <cell r="S188">
            <v>962267</v>
          </cell>
          <cell r="T188">
            <v>549351440</v>
          </cell>
          <cell r="U188">
            <v>944953473</v>
          </cell>
          <cell r="V188">
            <v>6200752680</v>
          </cell>
          <cell r="W188">
            <v>3169210610</v>
          </cell>
          <cell r="X188">
            <v>8376843542</v>
          </cell>
          <cell r="Y188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設備投資詳細"/>
      <sheetName val="設備追加時のテンプレート"/>
      <sheetName val="リスト"/>
      <sheetName val="データ移植時の注意"/>
      <sheetName val="★記入時注意事項"/>
      <sheetName val="CODE-NAME"/>
      <sheetName val="COA"/>
      <sheetName val="Group Section"/>
      <sheetName val="ｺﾋﾟｰ用（直セ）"/>
      <sheetName val="ｺﾋﾟｰ用（海プ）"/>
      <sheetName val="ｺﾋﾟｰ用（全社）"/>
      <sheetName val="SJEXCE"/>
      <sheetName val="生産進捗表（機械別）（サンプル）"/>
      <sheetName val="Total"/>
      <sheetName val="BEX"/>
      <sheetName val="BIP CIP"/>
      <sheetName val="3165-00"/>
      <sheetName val="sheet1"/>
      <sheetName val="G8D Report"/>
      <sheetName val="KB,MOLD ESTIMATE.00"/>
      <sheetName val="COM"/>
      <sheetName val="IndirectCostAssessment"/>
      <sheetName val="TB"/>
    </sheetNames>
    <sheetDataSet>
      <sheetData sheetId="0" refreshError="1"/>
      <sheetData sheetId="1" refreshError="1"/>
      <sheetData sheetId="2" refreshError="1">
        <row r="1">
          <cell r="C1" t="str">
            <v>サポート_アプリ</v>
          </cell>
        </row>
        <row r="2">
          <cell r="C2" t="str">
            <v>サポート_Steinberg</v>
          </cell>
        </row>
        <row r="3">
          <cell r="C3" t="str">
            <v>サポート_商品開発推進室経費</v>
          </cell>
        </row>
        <row r="4">
          <cell r="C4" t="str">
            <v>技術開発_アンプ音質_SW電源</v>
          </cell>
        </row>
        <row r="5">
          <cell r="C5" t="str">
            <v>CA Series II in US_CMS8</v>
          </cell>
        </row>
        <row r="6">
          <cell r="C6" t="str">
            <v>技術開発_DSP8</v>
          </cell>
        </row>
        <row r="7">
          <cell r="C7" t="str">
            <v>技術開発_Atlantic UI</v>
          </cell>
        </row>
        <row r="8">
          <cell r="C8" t="str">
            <v>技術開発_技術開発G経費</v>
          </cell>
        </row>
        <row r="9">
          <cell r="C9" t="str">
            <v>_PM5D</v>
          </cell>
        </row>
        <row r="10">
          <cell r="C10" t="str">
            <v>_PM5D-RH</v>
          </cell>
        </row>
        <row r="11">
          <cell r="C11" t="str">
            <v>PC-L SERIES_PC2000L</v>
          </cell>
        </row>
        <row r="12">
          <cell r="C12" t="str">
            <v>PC-L SERIES_PC3000L</v>
          </cell>
        </row>
        <row r="13">
          <cell r="C13" t="str">
            <v>PC-L SERIES_PC4000L</v>
          </cell>
        </row>
        <row r="14">
          <cell r="C14" t="str">
            <v>PC-L SERIES_PC5500L</v>
          </cell>
        </row>
        <row r="15">
          <cell r="C15" t="str">
            <v>PC-L SERIES_PC7000L</v>
          </cell>
        </row>
        <row r="16">
          <cell r="C16" t="str">
            <v>PC-N SERIES Additional models_PC2000N</v>
          </cell>
        </row>
        <row r="17">
          <cell r="C17" t="str">
            <v>PC-N SERIES Additional models_PC3300N</v>
          </cell>
        </row>
        <row r="18">
          <cell r="C18" t="str">
            <v>PC-N SERIES Additional models_PC6500N</v>
          </cell>
        </row>
        <row r="19">
          <cell r="C19" t="str">
            <v>CA Series I in US_CA315/95/64</v>
          </cell>
        </row>
        <row r="20">
          <cell r="C20" t="str">
            <v>CA Series I in US_CA300/95/64</v>
          </cell>
        </row>
        <row r="21">
          <cell r="C21" t="str">
            <v>CA Series I in US_CA212H/95/64/99</v>
          </cell>
        </row>
        <row r="22">
          <cell r="C22" t="str">
            <v>CA Series I in US_CA212H/AS</v>
          </cell>
        </row>
        <row r="23">
          <cell r="C23" t="str">
            <v>CA Series I in US_CA215H/95/64/99</v>
          </cell>
        </row>
        <row r="24">
          <cell r="C24" t="str">
            <v>CA Series I in US_CA215H/AS</v>
          </cell>
        </row>
        <row r="25">
          <cell r="C25" t="str">
            <v>CA Series I in US_CA228</v>
          </cell>
        </row>
        <row r="26">
          <cell r="C26" t="str">
            <v>CA Series I in US_CA208</v>
          </cell>
        </row>
        <row r="27">
          <cell r="C27" t="str">
            <v>CA Series I in US_CA224</v>
          </cell>
        </row>
        <row r="28">
          <cell r="C28" t="str">
            <v>CA Series I in US_SW215</v>
          </cell>
        </row>
        <row r="29">
          <cell r="C29" t="str">
            <v>CA Series I in US_SW225</v>
          </cell>
        </row>
        <row r="30">
          <cell r="C30" t="str">
            <v>CA Series I in US_SW218</v>
          </cell>
        </row>
        <row r="31">
          <cell r="C31" t="str">
            <v>CA Series I in US_SW228</v>
          </cell>
        </row>
        <row r="32">
          <cell r="C32" t="str">
            <v>CA Series I in US_CA212/95/64/99</v>
          </cell>
        </row>
        <row r="33">
          <cell r="C33" t="str">
            <v>CA Series I in US_CA215/95/64/99</v>
          </cell>
        </row>
        <row r="34">
          <cell r="C34" t="str">
            <v>CA Series I in US_CAスピーカ金具</v>
          </cell>
        </row>
        <row r="35">
          <cell r="C35" t="str">
            <v>MONACO_MONACO 32ch</v>
          </cell>
        </row>
        <row r="36">
          <cell r="C36" t="str">
            <v>MONACO_MONACO 48ch</v>
          </cell>
        </row>
        <row r="37">
          <cell r="C37" t="str">
            <v>_DA824/96</v>
          </cell>
        </row>
        <row r="38">
          <cell r="C38" t="str">
            <v>_Talisman-C</v>
          </cell>
        </row>
        <row r="39">
          <cell r="C39" t="str">
            <v>_Talisman-SP</v>
          </cell>
        </row>
        <row r="40">
          <cell r="C40" t="str">
            <v>CA Series I in Eu and Japan_</v>
          </cell>
        </row>
        <row r="41">
          <cell r="C41" t="str">
            <v>CA Series II_</v>
          </cell>
        </row>
        <row r="42">
          <cell r="C42" t="str">
            <v>_MY8-ADDA</v>
          </cell>
        </row>
        <row r="43">
          <cell r="C43" t="str">
            <v>_TALISMAN Add Soft 1</v>
          </cell>
        </row>
        <row r="44">
          <cell r="C44" t="str">
            <v>_TALISMAN Add Soft 2</v>
          </cell>
        </row>
        <row r="45">
          <cell r="C45" t="str">
            <v>_Vegas3000 V2.0K</v>
          </cell>
        </row>
        <row r="46">
          <cell r="C46" t="str">
            <v>_DME64N</v>
          </cell>
        </row>
        <row r="47">
          <cell r="C47" t="str">
            <v>_DME24N</v>
          </cell>
        </row>
        <row r="48">
          <cell r="C48" t="str">
            <v>XM SERIES_XM4080</v>
          </cell>
        </row>
        <row r="49">
          <cell r="C49" t="str">
            <v>XM SERIES_XM4180</v>
          </cell>
        </row>
        <row r="50">
          <cell r="C50" t="str">
            <v>_AE041</v>
          </cell>
        </row>
        <row r="51">
          <cell r="C51" t="str">
            <v>_AE051</v>
          </cell>
        </row>
        <row r="52">
          <cell r="C52" t="str">
            <v>XH SERIES_XH180</v>
          </cell>
        </row>
        <row r="53">
          <cell r="C53" t="str">
            <v>_CP1SF</v>
          </cell>
        </row>
        <row r="54">
          <cell r="C54" t="str">
            <v>_CP4SF</v>
          </cell>
        </row>
        <row r="55">
          <cell r="C55" t="str">
            <v>_CP4SW</v>
          </cell>
        </row>
        <row r="56">
          <cell r="C56" t="str">
            <v>_ICP1</v>
          </cell>
        </row>
        <row r="57">
          <cell r="C57" t="str">
            <v>PC-N SERIES Additional models_PC9500N-II</v>
          </cell>
        </row>
        <row r="58">
          <cell r="C58" t="str">
            <v>PC-N SERIES Additional models_PC4800N-II</v>
          </cell>
        </row>
        <row r="59">
          <cell r="C59" t="str">
            <v>_AD8C</v>
          </cell>
        </row>
        <row r="60">
          <cell r="C60" t="str">
            <v>_DA8C</v>
          </cell>
        </row>
        <row r="61">
          <cell r="C61" t="str">
            <v>_ADA44C</v>
          </cell>
        </row>
        <row r="62">
          <cell r="C62" t="str">
            <v>miniYGDAI Series_MY8-AEBB</v>
          </cell>
        </row>
        <row r="63">
          <cell r="C63" t="str">
            <v>_ACOU</v>
          </cell>
        </row>
        <row r="64">
          <cell r="C64" t="str">
            <v>_GPI16N</v>
          </cell>
        </row>
        <row r="65">
          <cell r="C65" t="str">
            <v>PM1D_PM1D V2</v>
          </cell>
        </row>
        <row r="66">
          <cell r="C66" t="str">
            <v>MONACO_MONACO V2</v>
          </cell>
        </row>
        <row r="67">
          <cell r="C67" t="str">
            <v>DMM Series_DMM48</v>
          </cell>
        </row>
        <row r="68">
          <cell r="C68" t="str">
            <v>DMM Series_W-DMM</v>
          </cell>
        </row>
        <row r="69">
          <cell r="C69" t="str">
            <v>DMM Series_DMM-Rack</v>
          </cell>
        </row>
        <row r="70">
          <cell r="C70" t="str">
            <v>SR SERIES_PC12000H</v>
          </cell>
        </row>
        <row r="71">
          <cell r="C71" t="str">
            <v>SR SERIES_PC8000H</v>
          </cell>
        </row>
        <row r="72">
          <cell r="C72" t="str">
            <v>SR SERIES_PC5000H</v>
          </cell>
        </row>
        <row r="73">
          <cell r="C73" t="str">
            <v>SR SERIES_PC3000H</v>
          </cell>
        </row>
        <row r="74">
          <cell r="C74" t="str">
            <v>CA Series I in US_UB212(W)</v>
          </cell>
        </row>
        <row r="75">
          <cell r="C75" t="str">
            <v>CA Series I in US_UB212AS(W)</v>
          </cell>
        </row>
        <row r="76">
          <cell r="C76" t="str">
            <v>CA Series I in US_UB215(W)</v>
          </cell>
        </row>
        <row r="77">
          <cell r="C77" t="str">
            <v>CA Series I in US_UB215AS(W)</v>
          </cell>
        </row>
        <row r="78">
          <cell r="C78" t="str">
            <v>CA Series I in US_UB300(W)</v>
          </cell>
        </row>
        <row r="79">
          <cell r="C79" t="str">
            <v>CA Series I in US_UB228(W)</v>
          </cell>
        </row>
        <row r="80">
          <cell r="C80" t="str">
            <v>CA Series I in US_UB208(W)</v>
          </cell>
        </row>
        <row r="81">
          <cell r="C81" t="str">
            <v>CA Series I in US_UB224(W)</v>
          </cell>
        </row>
        <row r="82">
          <cell r="C82" t="str">
            <v>CA Series I in US_HAF2-212(W)</v>
          </cell>
        </row>
        <row r="83">
          <cell r="C83" t="str">
            <v>CA Series I in US_HAF2-215(W)</v>
          </cell>
        </row>
        <row r="84">
          <cell r="C84" t="str">
            <v>CA Series I in US_HAF2-315(W)</v>
          </cell>
        </row>
        <row r="85">
          <cell r="C85" t="str">
            <v>CA Series I in US_HAF3-212(W)</v>
          </cell>
        </row>
        <row r="86">
          <cell r="C86" t="str">
            <v>CA Series I in US_HAF3-215(W)</v>
          </cell>
        </row>
        <row r="87">
          <cell r="C87" t="str">
            <v>CA Series I in US_HAF3-315(W)</v>
          </cell>
        </row>
        <row r="88">
          <cell r="C88" t="str">
            <v>CA Series I in US_HAF3-18S(W)</v>
          </cell>
        </row>
        <row r="89">
          <cell r="C89" t="str">
            <v>CA Series I in US_VAF2-212(W)</v>
          </cell>
        </row>
        <row r="90">
          <cell r="C90" t="str">
            <v>_MB-MONACO</v>
          </cell>
        </row>
        <row r="91">
          <cell r="C91" t="str">
            <v>_PSL360</v>
          </cell>
        </row>
        <row r="92">
          <cell r="C92" t="str">
            <v>Waves_Y96K</v>
          </cell>
        </row>
        <row r="93">
          <cell r="C93" t="str">
            <v>技術開発_SR Series AMP</v>
          </cell>
        </row>
        <row r="94">
          <cell r="C94" t="str">
            <v>技術開発_DSPX</v>
          </cell>
        </row>
        <row r="95">
          <cell r="C95" t="str">
            <v>技術開発_CA Network</v>
          </cell>
        </row>
        <row r="96">
          <cell r="C96" t="str">
            <v>CA Series I in US_VAF2-215(W)</v>
          </cell>
        </row>
        <row r="97">
          <cell r="C97" t="str">
            <v>CA Series I in US_VAF2-315(W)</v>
          </cell>
        </row>
        <row r="98">
          <cell r="C98" t="str">
            <v>CA Series II in US_CMS4</v>
          </cell>
        </row>
        <row r="99">
          <cell r="C99" t="str">
            <v>CA Series II in US_CMS5</v>
          </cell>
        </row>
        <row r="100">
          <cell r="C100" t="str">
            <v>CA Series II in US_CMS6</v>
          </cell>
        </row>
        <row r="101">
          <cell r="C101" t="str">
            <v>CA Series II in US_CSW8</v>
          </cell>
        </row>
        <row r="102">
          <cell r="C102" t="str">
            <v>CA Series II in US_SMS4</v>
          </cell>
        </row>
        <row r="103">
          <cell r="C103" t="str">
            <v>CA Series II in US_SMS5</v>
          </cell>
        </row>
        <row r="104">
          <cell r="C104" t="str">
            <v>CA Series II in US_SMS6</v>
          </cell>
        </row>
        <row r="105">
          <cell r="C105" t="str">
            <v>miniYGDAI Series_MY16-C II</v>
          </cell>
        </row>
        <row r="106">
          <cell r="C106" t="str">
            <v>DME_Software Update</v>
          </cell>
        </row>
        <row r="107">
          <cell r="C107" t="str">
            <v>Pegasus_Base Frame</v>
          </cell>
        </row>
        <row r="108">
          <cell r="C108" t="str">
            <v>Pegasus_DSPX</v>
          </cell>
        </row>
        <row r="109">
          <cell r="C109" t="str">
            <v>Pegasus_CA Network</v>
          </cell>
        </row>
        <row r="110">
          <cell r="C110" t="str">
            <v>Pegasus_COM</v>
          </cell>
        </row>
        <row r="111">
          <cell r="C111" t="str">
            <v>Pegasus_AI4</v>
          </cell>
        </row>
        <row r="112">
          <cell r="C112" t="str">
            <v>Pegasus_AO4</v>
          </cell>
        </row>
        <row r="113">
          <cell r="C113" t="str">
            <v>Pegasus_AI8</v>
          </cell>
        </row>
        <row r="114">
          <cell r="C114" t="str">
            <v>Pegasus_AO8</v>
          </cell>
        </row>
        <row r="115">
          <cell r="C115" t="str">
            <v>Pegasus_AI4-e</v>
          </cell>
        </row>
        <row r="116">
          <cell r="C116" t="str">
            <v>Pegasus_AO4-e</v>
          </cell>
        </row>
        <row r="117">
          <cell r="C117" t="str">
            <v>Pegasus_AI8-e</v>
          </cell>
        </row>
        <row r="118">
          <cell r="C118" t="str">
            <v>Pegasus_AO8-e</v>
          </cell>
        </row>
        <row r="119">
          <cell r="C119" t="str">
            <v>Pegasus_AIO8-e</v>
          </cell>
        </row>
        <row r="120">
          <cell r="C120" t="str">
            <v>Pegasus_AES/EBU</v>
          </cell>
        </row>
        <row r="121">
          <cell r="C121" t="str">
            <v>Pegasus_CobraNet</v>
          </cell>
        </row>
        <row r="122">
          <cell r="C122" t="str">
            <v>Pegasus_System Designer</v>
          </cell>
        </row>
        <row r="123">
          <cell r="C123" t="str">
            <v>Pegasus_Router512x512</v>
          </cell>
        </row>
        <row r="124">
          <cell r="C124" t="str">
            <v>Pegasus_Router256x256</v>
          </cell>
        </row>
        <row r="125">
          <cell r="C125" t="str">
            <v>Pegasus_Router128x128</v>
          </cell>
        </row>
        <row r="126">
          <cell r="C126" t="str">
            <v>Pegasus_Router64x64</v>
          </cell>
        </row>
        <row r="127">
          <cell r="C127" t="str">
            <v>Pegasus_Digital Snake A</v>
          </cell>
        </row>
        <row r="128">
          <cell r="C128" t="str">
            <v>Pegasus_Digital Snake B</v>
          </cell>
        </row>
        <row r="129">
          <cell r="C129" t="str">
            <v>Pegasus_DME256</v>
          </cell>
        </row>
        <row r="130">
          <cell r="C130" t="str">
            <v>Pegasus_PM2D-192</v>
          </cell>
        </row>
        <row r="131">
          <cell r="C131" t="str">
            <v>Pegasus_PM2D-96</v>
          </cell>
        </row>
        <row r="132">
          <cell r="C132" t="str">
            <v>Pegasus_PM7D</v>
          </cell>
        </row>
        <row r="133">
          <cell r="C133" t="str">
            <v>Pegasus_DM5000</v>
          </cell>
        </row>
        <row r="134">
          <cell r="C134" t="str">
            <v>Pegasus_SHARC</v>
          </cell>
        </row>
        <row r="135">
          <cell r="C135" t="str">
            <v>Pegasus_GPI</v>
          </cell>
        </row>
        <row r="136">
          <cell r="C136" t="str">
            <v>Pegasus_MADI</v>
          </cell>
        </row>
        <row r="137">
          <cell r="C137" t="str">
            <v>Pegasus_EtherSound</v>
          </cell>
        </row>
        <row r="138">
          <cell r="C138" t="str">
            <v>Pegasus_AVIOM</v>
          </cell>
        </row>
        <row r="139">
          <cell r="C139" t="str">
            <v>Pegasus_SuperMac</v>
          </cell>
        </row>
        <row r="140">
          <cell r="C140" t="str">
            <v>Pegasus_Condole PM2D</v>
          </cell>
        </row>
        <row r="141">
          <cell r="C141" t="str">
            <v>Pegasus_Condole PM7D</v>
          </cell>
        </row>
        <row r="142">
          <cell r="C142" t="str">
            <v>Pegasus_Condole DM5000</v>
          </cell>
        </row>
        <row r="143">
          <cell r="C143" t="str">
            <v>サポート_アプリ183</v>
          </cell>
        </row>
        <row r="144">
          <cell r="C144" t="str">
            <v>サポート_Steinberg183</v>
          </cell>
        </row>
        <row r="145">
          <cell r="C145" t="str">
            <v>サポート_アプリ184</v>
          </cell>
        </row>
        <row r="146">
          <cell r="C146" t="str">
            <v>サポート_Steinberg184</v>
          </cell>
        </row>
        <row r="147">
          <cell r="C147" t="str">
            <v>_SP2060</v>
          </cell>
        </row>
        <row r="148">
          <cell r="C148" t="str">
            <v>_</v>
          </cell>
        </row>
        <row r="149">
          <cell r="C149" t="str">
            <v>_</v>
          </cell>
        </row>
        <row r="150">
          <cell r="C150" t="str">
            <v>_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>
        <row r="1">
          <cell r="C1" t="str">
            <v>Section Code (From)</v>
          </cell>
        </row>
      </sheetData>
      <sheetData sheetId="16"/>
      <sheetData sheetId="17" refreshError="1"/>
      <sheetData sheetId="18" refreshError="1"/>
      <sheetData sheetId="19" refreshError="1"/>
      <sheetData sheetId="20">
        <row r="1">
          <cell r="C1" t="str">
            <v>SectionID</v>
          </cell>
        </row>
      </sheetData>
      <sheetData sheetId="21"/>
      <sheetData sheetId="2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報告まとめ・０５"/>
      <sheetName val="支援計画・０５"/>
      <sheetName val="報告まとめ・０４"/>
      <sheetName val="計算シート"/>
      <sheetName val="2000_05PCD"/>
      <sheetName val="2000_05ACC"/>
      <sheetName val="2000_04PCD"/>
      <sheetName val="2000_04ACC"/>
      <sheetName val="CLAVINOVA &amp; EL_05"/>
      <sheetName val="Portable Keyboard_05"/>
      <sheetName val="CLAVINOVA &amp; EL_04"/>
      <sheetName val="Portable Keyboard_04"/>
      <sheetName val="在籍４月"/>
      <sheetName val="支援計画・０４"/>
      <sheetName val="2000予算"/>
      <sheetName val="2000_03ACC"/>
      <sheetName val="2000_02ACC"/>
      <sheetName val="2000_01ACC"/>
      <sheetName val="2000_03PCD"/>
      <sheetName val="2000_02PCD"/>
      <sheetName val="2000_01PCD"/>
      <sheetName val="在籍３月"/>
      <sheetName val="CODE-NAME"/>
      <sheetName val="リスト"/>
      <sheetName val="調達計画"/>
      <sheetName val="ｺﾋﾟｰ用（直セ）"/>
      <sheetName val="ｺﾋﾟｰ用（海プ）"/>
      <sheetName val="ｺﾋﾟｰ用（全社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4">
          <cell r="F4" t="str">
            <v>到着</v>
          </cell>
          <cell r="G4" t="str">
            <v>出発</v>
          </cell>
          <cell r="J4">
            <v>36586</v>
          </cell>
          <cell r="K4">
            <v>36587</v>
          </cell>
          <cell r="L4">
            <v>36588</v>
          </cell>
          <cell r="M4">
            <v>36589</v>
          </cell>
          <cell r="N4">
            <v>36590</v>
          </cell>
          <cell r="O4">
            <v>36591</v>
          </cell>
          <cell r="P4">
            <v>36592</v>
          </cell>
          <cell r="Q4">
            <v>36593</v>
          </cell>
          <cell r="R4">
            <v>36594</v>
          </cell>
          <cell r="S4">
            <v>36595</v>
          </cell>
          <cell r="T4">
            <v>36596</v>
          </cell>
          <cell r="U4">
            <v>36597</v>
          </cell>
          <cell r="V4">
            <v>36598</v>
          </cell>
          <cell r="W4">
            <v>36599</v>
          </cell>
          <cell r="X4">
            <v>36600</v>
          </cell>
          <cell r="Y4">
            <v>36601</v>
          </cell>
          <cell r="Z4">
            <v>36602</v>
          </cell>
          <cell r="AA4">
            <v>36603</v>
          </cell>
          <cell r="AB4">
            <v>36604</v>
          </cell>
          <cell r="AC4">
            <v>36605</v>
          </cell>
          <cell r="AD4">
            <v>36606</v>
          </cell>
          <cell r="AE4">
            <v>36607</v>
          </cell>
          <cell r="AF4">
            <v>36608</v>
          </cell>
          <cell r="AG4">
            <v>36609</v>
          </cell>
          <cell r="AH4">
            <v>36610</v>
          </cell>
          <cell r="AI4">
            <v>36611</v>
          </cell>
          <cell r="AJ4">
            <v>36612</v>
          </cell>
          <cell r="AK4">
            <v>36613</v>
          </cell>
          <cell r="AL4">
            <v>36614</v>
          </cell>
          <cell r="AM4">
            <v>36615</v>
          </cell>
          <cell r="AN4">
            <v>36616</v>
          </cell>
          <cell r="AO4">
            <v>36617</v>
          </cell>
          <cell r="AP4">
            <v>36618</v>
          </cell>
          <cell r="AQ4">
            <v>36619</v>
          </cell>
          <cell r="AR4">
            <v>36620</v>
          </cell>
          <cell r="AS4">
            <v>36621</v>
          </cell>
          <cell r="AT4">
            <v>36622</v>
          </cell>
          <cell r="AU4">
            <v>36623</v>
          </cell>
          <cell r="AV4">
            <v>36624</v>
          </cell>
          <cell r="AW4">
            <v>36625</v>
          </cell>
          <cell r="AX4">
            <v>36626</v>
          </cell>
          <cell r="AY4">
            <v>36627</v>
          </cell>
          <cell r="AZ4">
            <v>36628</v>
          </cell>
          <cell r="BA4">
            <v>36629</v>
          </cell>
          <cell r="BB4">
            <v>36630</v>
          </cell>
          <cell r="BC4">
            <v>36631</v>
          </cell>
          <cell r="BD4">
            <v>36632</v>
          </cell>
          <cell r="BE4">
            <v>36633</v>
          </cell>
          <cell r="BF4">
            <v>36634</v>
          </cell>
          <cell r="BG4">
            <v>36635</v>
          </cell>
          <cell r="BH4">
            <v>36636</v>
          </cell>
          <cell r="BI4">
            <v>36637</v>
          </cell>
          <cell r="BJ4">
            <v>36638</v>
          </cell>
          <cell r="BK4">
            <v>36639</v>
          </cell>
          <cell r="BL4">
            <v>36640</v>
          </cell>
          <cell r="BM4">
            <v>36641</v>
          </cell>
          <cell r="BN4">
            <v>36642</v>
          </cell>
          <cell r="BO4">
            <v>36643</v>
          </cell>
          <cell r="BP4">
            <v>36644</v>
          </cell>
          <cell r="BQ4">
            <v>36645</v>
          </cell>
          <cell r="BR4">
            <v>36646</v>
          </cell>
          <cell r="BS4">
            <v>36647</v>
          </cell>
          <cell r="BT4">
            <v>36648</v>
          </cell>
          <cell r="BU4">
            <v>36649</v>
          </cell>
          <cell r="BV4">
            <v>36650</v>
          </cell>
          <cell r="BW4">
            <v>36651</v>
          </cell>
          <cell r="BX4">
            <v>36652</v>
          </cell>
          <cell r="BY4">
            <v>36653</v>
          </cell>
          <cell r="BZ4">
            <v>36654</v>
          </cell>
          <cell r="CA4">
            <v>36655</v>
          </cell>
          <cell r="CB4">
            <v>36656</v>
          </cell>
          <cell r="CC4">
            <v>36657</v>
          </cell>
          <cell r="CD4">
            <v>36658</v>
          </cell>
          <cell r="CE4">
            <v>36659</v>
          </cell>
          <cell r="CF4">
            <v>36660</v>
          </cell>
          <cell r="CG4">
            <v>36661</v>
          </cell>
          <cell r="CH4">
            <v>36662</v>
          </cell>
          <cell r="CI4">
            <v>36663</v>
          </cell>
          <cell r="CJ4">
            <v>36664</v>
          </cell>
          <cell r="CK4">
            <v>36665</v>
          </cell>
          <cell r="CL4">
            <v>36666</v>
          </cell>
          <cell r="CM4">
            <v>36667</v>
          </cell>
          <cell r="CN4">
            <v>36668</v>
          </cell>
          <cell r="CO4">
            <v>36669</v>
          </cell>
          <cell r="CP4">
            <v>36670</v>
          </cell>
          <cell r="CQ4">
            <v>36671</v>
          </cell>
          <cell r="CR4">
            <v>36672</v>
          </cell>
          <cell r="CS4">
            <v>36673</v>
          </cell>
          <cell r="CT4">
            <v>36674</v>
          </cell>
          <cell r="CU4">
            <v>36675</v>
          </cell>
          <cell r="CV4">
            <v>36676</v>
          </cell>
          <cell r="CW4">
            <v>36677</v>
          </cell>
        </row>
        <row r="5">
          <cell r="F5">
            <v>36543</v>
          </cell>
          <cell r="G5">
            <v>36601</v>
          </cell>
        </row>
        <row r="6">
          <cell r="F6">
            <v>36579</v>
          </cell>
          <cell r="G6">
            <v>36602</v>
          </cell>
        </row>
        <row r="7">
          <cell r="F7">
            <v>36586</v>
          </cell>
          <cell r="G7">
            <v>36595</v>
          </cell>
        </row>
        <row r="8">
          <cell r="F8">
            <v>36605</v>
          </cell>
          <cell r="G8">
            <v>36644</v>
          </cell>
        </row>
        <row r="9">
          <cell r="F9">
            <v>36633</v>
          </cell>
          <cell r="G9">
            <v>36679</v>
          </cell>
        </row>
        <row r="10">
          <cell r="F10">
            <v>36647</v>
          </cell>
          <cell r="G10">
            <v>36705</v>
          </cell>
        </row>
        <row r="13">
          <cell r="F13">
            <v>36642</v>
          </cell>
          <cell r="G13">
            <v>36644</v>
          </cell>
        </row>
        <row r="14">
          <cell r="F14">
            <v>36642</v>
          </cell>
          <cell r="G14">
            <v>36644</v>
          </cell>
        </row>
        <row r="17">
          <cell r="F17">
            <v>36640</v>
          </cell>
          <cell r="G17">
            <v>36644</v>
          </cell>
        </row>
        <row r="18">
          <cell r="F18">
            <v>36640</v>
          </cell>
          <cell r="G18">
            <v>36644</v>
          </cell>
        </row>
        <row r="19">
          <cell r="F19">
            <v>36640</v>
          </cell>
          <cell r="G19">
            <v>36644</v>
          </cell>
        </row>
        <row r="20">
          <cell r="F20">
            <v>36667</v>
          </cell>
          <cell r="G20">
            <v>36674</v>
          </cell>
        </row>
        <row r="23">
          <cell r="F23">
            <v>36543</v>
          </cell>
          <cell r="G23">
            <v>36615</v>
          </cell>
        </row>
        <row r="24">
          <cell r="F24">
            <v>36556</v>
          </cell>
          <cell r="G24">
            <v>36602</v>
          </cell>
        </row>
        <row r="25">
          <cell r="F25">
            <v>36640</v>
          </cell>
          <cell r="G25">
            <v>36698</v>
          </cell>
        </row>
        <row r="26">
          <cell r="F26">
            <v>36667</v>
          </cell>
          <cell r="G26">
            <v>36684</v>
          </cell>
        </row>
        <row r="29">
          <cell r="F29">
            <v>36570</v>
          </cell>
          <cell r="G29">
            <v>36644</v>
          </cell>
        </row>
        <row r="30">
          <cell r="F30">
            <v>36654</v>
          </cell>
          <cell r="G30">
            <v>36665</v>
          </cell>
        </row>
        <row r="31">
          <cell r="F31">
            <v>36654</v>
          </cell>
          <cell r="G31">
            <v>36665</v>
          </cell>
        </row>
        <row r="32">
          <cell r="F32">
            <v>36654</v>
          </cell>
          <cell r="G32">
            <v>36686</v>
          </cell>
        </row>
        <row r="33">
          <cell r="F33">
            <v>36661</v>
          </cell>
          <cell r="G33">
            <v>36672</v>
          </cell>
        </row>
        <row r="34">
          <cell r="F34">
            <v>36668</v>
          </cell>
          <cell r="G34">
            <v>36672</v>
          </cell>
        </row>
        <row r="37">
          <cell r="F37">
            <v>36543</v>
          </cell>
          <cell r="G37">
            <v>36594</v>
          </cell>
        </row>
        <row r="38">
          <cell r="F38">
            <v>36543</v>
          </cell>
          <cell r="G38">
            <v>36601</v>
          </cell>
        </row>
        <row r="39">
          <cell r="F39">
            <v>36543</v>
          </cell>
          <cell r="G39">
            <v>36601</v>
          </cell>
        </row>
        <row r="40">
          <cell r="F40">
            <v>36591</v>
          </cell>
          <cell r="G40">
            <v>36644</v>
          </cell>
        </row>
        <row r="41">
          <cell r="F41">
            <v>36605</v>
          </cell>
          <cell r="G41">
            <v>36663</v>
          </cell>
        </row>
        <row r="42">
          <cell r="F42">
            <v>36612</v>
          </cell>
          <cell r="G42">
            <v>36644</v>
          </cell>
        </row>
        <row r="43">
          <cell r="F43">
            <v>36612</v>
          </cell>
          <cell r="G43">
            <v>36670</v>
          </cell>
        </row>
        <row r="44">
          <cell r="F44">
            <v>36640</v>
          </cell>
          <cell r="G44">
            <v>36693</v>
          </cell>
        </row>
        <row r="45">
          <cell r="F45">
            <v>36661</v>
          </cell>
          <cell r="G45">
            <v>36720</v>
          </cell>
        </row>
        <row r="46">
          <cell r="F46">
            <v>36668</v>
          </cell>
          <cell r="G46">
            <v>36727</v>
          </cell>
        </row>
        <row r="49">
          <cell r="F49">
            <v>36654</v>
          </cell>
          <cell r="G49">
            <v>36661</v>
          </cell>
        </row>
        <row r="50">
          <cell r="F50">
            <v>36654</v>
          </cell>
          <cell r="G50">
            <v>36661</v>
          </cell>
        </row>
        <row r="53">
          <cell r="F53">
            <v>36577</v>
          </cell>
          <cell r="G53">
            <v>36596</v>
          </cell>
        </row>
        <row r="54">
          <cell r="F54">
            <v>36593</v>
          </cell>
          <cell r="G54">
            <v>36602</v>
          </cell>
        </row>
        <row r="55">
          <cell r="F55">
            <v>36598</v>
          </cell>
          <cell r="G55">
            <v>36613</v>
          </cell>
        </row>
        <row r="56">
          <cell r="F56">
            <v>36605</v>
          </cell>
          <cell r="G56">
            <v>36616</v>
          </cell>
        </row>
        <row r="57">
          <cell r="F57">
            <v>36606</v>
          </cell>
          <cell r="G57">
            <v>36609</v>
          </cell>
        </row>
        <row r="58">
          <cell r="F58">
            <v>36606</v>
          </cell>
          <cell r="G58">
            <v>36609</v>
          </cell>
        </row>
        <row r="59">
          <cell r="F59">
            <v>36606</v>
          </cell>
          <cell r="G59">
            <v>36616</v>
          </cell>
        </row>
        <row r="60">
          <cell r="F60">
            <v>36633</v>
          </cell>
          <cell r="G60">
            <v>36636</v>
          </cell>
        </row>
        <row r="61">
          <cell r="F61">
            <v>36634</v>
          </cell>
          <cell r="G61">
            <v>36650</v>
          </cell>
        </row>
        <row r="64">
          <cell r="F64">
            <v>36577</v>
          </cell>
          <cell r="G64">
            <v>36596</v>
          </cell>
        </row>
        <row r="65">
          <cell r="F65">
            <v>36606</v>
          </cell>
          <cell r="G65">
            <v>36613</v>
          </cell>
        </row>
        <row r="66">
          <cell r="F66">
            <v>36606</v>
          </cell>
          <cell r="G66">
            <v>36616</v>
          </cell>
        </row>
        <row r="67">
          <cell r="F67">
            <v>36633</v>
          </cell>
          <cell r="G67">
            <v>36636</v>
          </cell>
        </row>
        <row r="68">
          <cell r="F68">
            <v>36661</v>
          </cell>
          <cell r="G68">
            <v>36672</v>
          </cell>
        </row>
        <row r="71">
          <cell r="F71">
            <v>36543</v>
          </cell>
          <cell r="G71">
            <v>36587</v>
          </cell>
        </row>
        <row r="72">
          <cell r="F72">
            <v>36543</v>
          </cell>
          <cell r="G72">
            <v>36594</v>
          </cell>
        </row>
        <row r="73">
          <cell r="F73">
            <v>36543</v>
          </cell>
          <cell r="G73">
            <v>36601</v>
          </cell>
        </row>
        <row r="74">
          <cell r="F74">
            <v>36577</v>
          </cell>
          <cell r="G74">
            <v>36609</v>
          </cell>
        </row>
        <row r="75">
          <cell r="F75">
            <v>36584</v>
          </cell>
          <cell r="G75">
            <v>36595</v>
          </cell>
        </row>
        <row r="76">
          <cell r="F76">
            <v>36598</v>
          </cell>
          <cell r="G76">
            <v>36656</v>
          </cell>
        </row>
        <row r="77">
          <cell r="F77">
            <v>36605</v>
          </cell>
          <cell r="G77">
            <v>36636</v>
          </cell>
        </row>
        <row r="78">
          <cell r="F78">
            <v>36623</v>
          </cell>
          <cell r="G78">
            <v>36644</v>
          </cell>
        </row>
        <row r="79">
          <cell r="F79">
            <v>36623</v>
          </cell>
          <cell r="G79">
            <v>36658</v>
          </cell>
        </row>
        <row r="80">
          <cell r="F80">
            <v>36623</v>
          </cell>
          <cell r="G80">
            <v>36679</v>
          </cell>
        </row>
        <row r="81">
          <cell r="F81">
            <v>36661</v>
          </cell>
          <cell r="G81">
            <v>36672</v>
          </cell>
        </row>
        <row r="82">
          <cell r="F82">
            <v>36668</v>
          </cell>
          <cell r="G82">
            <v>36700</v>
          </cell>
        </row>
        <row r="85">
          <cell r="F85">
            <v>36570</v>
          </cell>
          <cell r="G85">
            <v>36602</v>
          </cell>
        </row>
        <row r="86">
          <cell r="F86">
            <v>36586</v>
          </cell>
          <cell r="G86">
            <v>36616</v>
          </cell>
        </row>
        <row r="87">
          <cell r="F87">
            <v>36598</v>
          </cell>
          <cell r="G87">
            <v>36613</v>
          </cell>
        </row>
        <row r="88">
          <cell r="F88">
            <v>36605</v>
          </cell>
          <cell r="G88">
            <v>36616</v>
          </cell>
        </row>
        <row r="89">
          <cell r="F89">
            <v>36623</v>
          </cell>
          <cell r="G89">
            <v>36665</v>
          </cell>
        </row>
        <row r="92">
          <cell r="F92">
            <v>36543</v>
          </cell>
          <cell r="G92">
            <v>36601</v>
          </cell>
        </row>
        <row r="93">
          <cell r="F93">
            <v>36543</v>
          </cell>
          <cell r="G93">
            <v>36601</v>
          </cell>
        </row>
        <row r="94">
          <cell r="F94">
            <v>36550</v>
          </cell>
          <cell r="G94">
            <v>36601</v>
          </cell>
        </row>
        <row r="95">
          <cell r="F95">
            <v>36598</v>
          </cell>
          <cell r="G95">
            <v>36602</v>
          </cell>
        </row>
        <row r="96">
          <cell r="F96">
            <v>36623</v>
          </cell>
          <cell r="G96">
            <v>36644</v>
          </cell>
        </row>
        <row r="97">
          <cell r="F97">
            <v>36623</v>
          </cell>
          <cell r="G97">
            <v>36644</v>
          </cell>
        </row>
        <row r="98">
          <cell r="F98">
            <v>36628</v>
          </cell>
          <cell r="G98">
            <v>36658</v>
          </cell>
        </row>
        <row r="99">
          <cell r="F99">
            <v>36634</v>
          </cell>
          <cell r="G99">
            <v>36644</v>
          </cell>
        </row>
        <row r="100">
          <cell r="F100">
            <v>36661</v>
          </cell>
          <cell r="G100">
            <v>36721</v>
          </cell>
        </row>
        <row r="101">
          <cell r="F101">
            <v>36668</v>
          </cell>
          <cell r="G101">
            <v>36706</v>
          </cell>
        </row>
        <row r="104">
          <cell r="F104">
            <v>36543</v>
          </cell>
          <cell r="G104">
            <v>36601</v>
          </cell>
        </row>
        <row r="105">
          <cell r="F105">
            <v>36579</v>
          </cell>
          <cell r="G105">
            <v>36616</v>
          </cell>
        </row>
        <row r="106">
          <cell r="F106">
            <v>36586</v>
          </cell>
          <cell r="G106">
            <v>36616</v>
          </cell>
        </row>
        <row r="107">
          <cell r="F107">
            <v>36586</v>
          </cell>
          <cell r="G107">
            <v>36644</v>
          </cell>
        </row>
        <row r="108">
          <cell r="F108">
            <v>36598</v>
          </cell>
          <cell r="G108">
            <v>36644</v>
          </cell>
        </row>
        <row r="109">
          <cell r="F109">
            <v>36642</v>
          </cell>
          <cell r="G109">
            <v>36690</v>
          </cell>
        </row>
        <row r="112">
          <cell r="F112">
            <v>36543</v>
          </cell>
          <cell r="G112">
            <v>36614</v>
          </cell>
        </row>
        <row r="113">
          <cell r="F113">
            <v>36570</v>
          </cell>
          <cell r="G113">
            <v>36630</v>
          </cell>
        </row>
        <row r="114">
          <cell r="F114">
            <v>36623</v>
          </cell>
          <cell r="G114">
            <v>36679</v>
          </cell>
        </row>
        <row r="115">
          <cell r="F115">
            <v>36634</v>
          </cell>
          <cell r="G115">
            <v>36692</v>
          </cell>
        </row>
        <row r="116">
          <cell r="F116">
            <v>36661</v>
          </cell>
          <cell r="G116">
            <v>36700</v>
          </cell>
        </row>
        <row r="117">
          <cell r="F117">
            <v>36675</v>
          </cell>
          <cell r="G117">
            <v>36733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報告まとめ・０５"/>
      <sheetName val="支援計画・０５"/>
      <sheetName val="報告まとめ・０４"/>
      <sheetName val="計算シート"/>
      <sheetName val="2000_05PCD"/>
      <sheetName val="2000_05ACC"/>
      <sheetName val="2000_04PCD"/>
      <sheetName val="2000_04ACC"/>
      <sheetName val="CLAVINOVA &amp; EL_05"/>
      <sheetName val="Portable Keyboard_05"/>
      <sheetName val="CLAVINOVA &amp; EL_04"/>
      <sheetName val="Portable Keyboard_04"/>
      <sheetName val="在籍４月"/>
      <sheetName val="支援計画・０４"/>
      <sheetName val="2000予算"/>
      <sheetName val="2000_03ACC"/>
      <sheetName val="2000_02ACC"/>
      <sheetName val="2000_01ACC"/>
      <sheetName val="2000_03PCD"/>
      <sheetName val="2000_02PCD"/>
      <sheetName val="2000_01PCD"/>
      <sheetName val="在籍３月"/>
      <sheetName val="CODE-NAME"/>
      <sheetName val="リスト"/>
      <sheetName val="ｺﾋﾟｰ用（直セ）"/>
      <sheetName val="ｺﾋﾟｰ用（海プ）"/>
      <sheetName val="ｺﾋﾟｰ用（全社）"/>
      <sheetName val="出力②"/>
      <sheetName val="グラフ用"/>
      <sheetName val="Total"/>
      <sheetName val="BEX"/>
      <sheetName val="BIP CIP"/>
      <sheetName val="テーブル"/>
      <sheetName val="開発計画品番リス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4">
          <cell r="F4" t="str">
            <v>到着</v>
          </cell>
          <cell r="G4" t="str">
            <v>出発</v>
          </cell>
          <cell r="J4">
            <v>36586</v>
          </cell>
          <cell r="K4">
            <v>36587</v>
          </cell>
          <cell r="L4">
            <v>36588</v>
          </cell>
          <cell r="M4">
            <v>36589</v>
          </cell>
          <cell r="N4">
            <v>36590</v>
          </cell>
          <cell r="O4">
            <v>36591</v>
          </cell>
          <cell r="P4">
            <v>36592</v>
          </cell>
          <cell r="Q4">
            <v>36593</v>
          </cell>
          <cell r="R4">
            <v>36594</v>
          </cell>
          <cell r="S4">
            <v>36595</v>
          </cell>
          <cell r="T4">
            <v>36596</v>
          </cell>
          <cell r="U4">
            <v>36597</v>
          </cell>
          <cell r="V4">
            <v>36598</v>
          </cell>
          <cell r="W4">
            <v>36599</v>
          </cell>
          <cell r="X4">
            <v>36600</v>
          </cell>
          <cell r="Y4">
            <v>36601</v>
          </cell>
          <cell r="Z4">
            <v>36602</v>
          </cell>
          <cell r="AA4">
            <v>36603</v>
          </cell>
          <cell r="AB4">
            <v>36604</v>
          </cell>
          <cell r="AC4">
            <v>36605</v>
          </cell>
          <cell r="AD4">
            <v>36606</v>
          </cell>
          <cell r="AE4">
            <v>36607</v>
          </cell>
          <cell r="AF4">
            <v>36608</v>
          </cell>
          <cell r="AG4">
            <v>36609</v>
          </cell>
          <cell r="AH4">
            <v>36610</v>
          </cell>
          <cell r="AI4">
            <v>36611</v>
          </cell>
          <cell r="AJ4">
            <v>36612</v>
          </cell>
          <cell r="AK4">
            <v>36613</v>
          </cell>
          <cell r="AL4">
            <v>36614</v>
          </cell>
          <cell r="AM4">
            <v>36615</v>
          </cell>
          <cell r="AN4">
            <v>36616</v>
          </cell>
          <cell r="AO4">
            <v>36617</v>
          </cell>
          <cell r="AP4">
            <v>36618</v>
          </cell>
          <cell r="AQ4">
            <v>36619</v>
          </cell>
          <cell r="AR4">
            <v>36620</v>
          </cell>
          <cell r="AS4">
            <v>36621</v>
          </cell>
          <cell r="AT4">
            <v>36622</v>
          </cell>
          <cell r="AU4">
            <v>36623</v>
          </cell>
          <cell r="AV4">
            <v>36624</v>
          </cell>
          <cell r="AW4">
            <v>36625</v>
          </cell>
          <cell r="AX4">
            <v>36626</v>
          </cell>
          <cell r="AY4">
            <v>36627</v>
          </cell>
          <cell r="AZ4">
            <v>36628</v>
          </cell>
          <cell r="BA4">
            <v>36629</v>
          </cell>
          <cell r="BB4">
            <v>36630</v>
          </cell>
          <cell r="BC4">
            <v>36631</v>
          </cell>
          <cell r="BD4">
            <v>36632</v>
          </cell>
          <cell r="BE4">
            <v>36633</v>
          </cell>
          <cell r="BF4">
            <v>36634</v>
          </cell>
          <cell r="BG4">
            <v>36635</v>
          </cell>
          <cell r="BH4">
            <v>36636</v>
          </cell>
          <cell r="BI4">
            <v>36637</v>
          </cell>
          <cell r="BJ4">
            <v>36638</v>
          </cell>
          <cell r="BK4">
            <v>36639</v>
          </cell>
          <cell r="BL4">
            <v>36640</v>
          </cell>
          <cell r="BM4">
            <v>36641</v>
          </cell>
          <cell r="BN4">
            <v>36642</v>
          </cell>
          <cell r="BO4">
            <v>36643</v>
          </cell>
          <cell r="BP4">
            <v>36644</v>
          </cell>
          <cell r="BQ4">
            <v>36645</v>
          </cell>
          <cell r="BR4">
            <v>36646</v>
          </cell>
          <cell r="BS4">
            <v>36647</v>
          </cell>
          <cell r="BT4">
            <v>36648</v>
          </cell>
          <cell r="BU4">
            <v>36649</v>
          </cell>
          <cell r="BV4">
            <v>36650</v>
          </cell>
          <cell r="BW4">
            <v>36651</v>
          </cell>
          <cell r="BX4">
            <v>36652</v>
          </cell>
          <cell r="BY4">
            <v>36653</v>
          </cell>
          <cell r="BZ4">
            <v>36654</v>
          </cell>
          <cell r="CA4">
            <v>36655</v>
          </cell>
          <cell r="CB4">
            <v>36656</v>
          </cell>
          <cell r="CC4">
            <v>36657</v>
          </cell>
          <cell r="CD4">
            <v>36658</v>
          </cell>
          <cell r="CE4">
            <v>36659</v>
          </cell>
          <cell r="CF4">
            <v>36660</v>
          </cell>
          <cell r="CG4">
            <v>36661</v>
          </cell>
          <cell r="CH4">
            <v>36662</v>
          </cell>
          <cell r="CI4">
            <v>36663</v>
          </cell>
          <cell r="CJ4">
            <v>36664</v>
          </cell>
          <cell r="CK4">
            <v>36665</v>
          </cell>
          <cell r="CL4">
            <v>36666</v>
          </cell>
          <cell r="CM4">
            <v>36667</v>
          </cell>
          <cell r="CN4">
            <v>36668</v>
          </cell>
          <cell r="CO4">
            <v>36669</v>
          </cell>
          <cell r="CP4">
            <v>36670</v>
          </cell>
          <cell r="CQ4">
            <v>36671</v>
          </cell>
          <cell r="CR4">
            <v>36672</v>
          </cell>
          <cell r="CS4">
            <v>36673</v>
          </cell>
          <cell r="CT4">
            <v>36674</v>
          </cell>
          <cell r="CU4">
            <v>36675</v>
          </cell>
          <cell r="CV4">
            <v>36676</v>
          </cell>
          <cell r="CW4">
            <v>36677</v>
          </cell>
        </row>
        <row r="5">
          <cell r="F5">
            <v>36543</v>
          </cell>
          <cell r="G5">
            <v>36601</v>
          </cell>
        </row>
        <row r="6">
          <cell r="F6">
            <v>36579</v>
          </cell>
          <cell r="G6">
            <v>36602</v>
          </cell>
        </row>
        <row r="7">
          <cell r="F7">
            <v>36586</v>
          </cell>
          <cell r="G7">
            <v>36595</v>
          </cell>
        </row>
        <row r="8">
          <cell r="F8">
            <v>36605</v>
          </cell>
          <cell r="G8">
            <v>36644</v>
          </cell>
        </row>
        <row r="9">
          <cell r="F9">
            <v>36633</v>
          </cell>
          <cell r="G9">
            <v>36679</v>
          </cell>
        </row>
        <row r="10">
          <cell r="F10">
            <v>36647</v>
          </cell>
          <cell r="G10">
            <v>36705</v>
          </cell>
        </row>
        <row r="13">
          <cell r="F13">
            <v>36642</v>
          </cell>
          <cell r="G13">
            <v>36644</v>
          </cell>
        </row>
        <row r="14">
          <cell r="F14">
            <v>36642</v>
          </cell>
          <cell r="G14">
            <v>36644</v>
          </cell>
        </row>
        <row r="17">
          <cell r="F17">
            <v>36640</v>
          </cell>
          <cell r="G17">
            <v>36644</v>
          </cell>
        </row>
        <row r="18">
          <cell r="F18">
            <v>36640</v>
          </cell>
          <cell r="G18">
            <v>36644</v>
          </cell>
        </row>
        <row r="19">
          <cell r="F19">
            <v>36640</v>
          </cell>
          <cell r="G19">
            <v>36644</v>
          </cell>
        </row>
        <row r="20">
          <cell r="F20">
            <v>36667</v>
          </cell>
          <cell r="G20">
            <v>36674</v>
          </cell>
        </row>
        <row r="23">
          <cell r="F23">
            <v>36543</v>
          </cell>
          <cell r="G23">
            <v>36615</v>
          </cell>
        </row>
        <row r="24">
          <cell r="F24">
            <v>36556</v>
          </cell>
          <cell r="G24">
            <v>36602</v>
          </cell>
        </row>
        <row r="25">
          <cell r="F25">
            <v>36640</v>
          </cell>
          <cell r="G25">
            <v>36698</v>
          </cell>
        </row>
        <row r="26">
          <cell r="F26">
            <v>36667</v>
          </cell>
          <cell r="G26">
            <v>36684</v>
          </cell>
        </row>
        <row r="29">
          <cell r="F29">
            <v>36570</v>
          </cell>
          <cell r="G29">
            <v>36644</v>
          </cell>
        </row>
        <row r="30">
          <cell r="F30">
            <v>36654</v>
          </cell>
          <cell r="G30">
            <v>36665</v>
          </cell>
        </row>
        <row r="31">
          <cell r="F31">
            <v>36654</v>
          </cell>
          <cell r="G31">
            <v>36665</v>
          </cell>
        </row>
        <row r="32">
          <cell r="F32">
            <v>36654</v>
          </cell>
          <cell r="G32">
            <v>36686</v>
          </cell>
        </row>
        <row r="33">
          <cell r="F33">
            <v>36661</v>
          </cell>
          <cell r="G33">
            <v>36672</v>
          </cell>
        </row>
        <row r="34">
          <cell r="F34">
            <v>36668</v>
          </cell>
          <cell r="G34">
            <v>36672</v>
          </cell>
        </row>
        <row r="37">
          <cell r="F37">
            <v>36543</v>
          </cell>
          <cell r="G37">
            <v>36594</v>
          </cell>
        </row>
        <row r="38">
          <cell r="F38">
            <v>36543</v>
          </cell>
          <cell r="G38">
            <v>36601</v>
          </cell>
        </row>
        <row r="39">
          <cell r="F39">
            <v>36543</v>
          </cell>
          <cell r="G39">
            <v>36601</v>
          </cell>
        </row>
        <row r="40">
          <cell r="F40">
            <v>36591</v>
          </cell>
          <cell r="G40">
            <v>36644</v>
          </cell>
        </row>
        <row r="41">
          <cell r="F41">
            <v>36605</v>
          </cell>
          <cell r="G41">
            <v>36663</v>
          </cell>
        </row>
        <row r="42">
          <cell r="F42">
            <v>36612</v>
          </cell>
          <cell r="G42">
            <v>36644</v>
          </cell>
        </row>
        <row r="43">
          <cell r="F43">
            <v>36612</v>
          </cell>
          <cell r="G43">
            <v>36670</v>
          </cell>
        </row>
        <row r="44">
          <cell r="F44">
            <v>36640</v>
          </cell>
          <cell r="G44">
            <v>36693</v>
          </cell>
        </row>
        <row r="45">
          <cell r="F45">
            <v>36661</v>
          </cell>
          <cell r="G45">
            <v>36720</v>
          </cell>
        </row>
        <row r="46">
          <cell r="F46">
            <v>36668</v>
          </cell>
          <cell r="G46">
            <v>36727</v>
          </cell>
        </row>
        <row r="49">
          <cell r="F49">
            <v>36654</v>
          </cell>
          <cell r="G49">
            <v>36661</v>
          </cell>
        </row>
        <row r="50">
          <cell r="F50">
            <v>36654</v>
          </cell>
          <cell r="G50">
            <v>36661</v>
          </cell>
        </row>
        <row r="53">
          <cell r="F53">
            <v>36577</v>
          </cell>
          <cell r="G53">
            <v>36596</v>
          </cell>
        </row>
        <row r="54">
          <cell r="F54">
            <v>36593</v>
          </cell>
          <cell r="G54">
            <v>36602</v>
          </cell>
        </row>
        <row r="55">
          <cell r="F55">
            <v>36598</v>
          </cell>
          <cell r="G55">
            <v>36613</v>
          </cell>
        </row>
        <row r="56">
          <cell r="F56">
            <v>36605</v>
          </cell>
          <cell r="G56">
            <v>36616</v>
          </cell>
        </row>
        <row r="57">
          <cell r="F57">
            <v>36606</v>
          </cell>
          <cell r="G57">
            <v>36609</v>
          </cell>
        </row>
        <row r="58">
          <cell r="F58">
            <v>36606</v>
          </cell>
          <cell r="G58">
            <v>36609</v>
          </cell>
        </row>
        <row r="59">
          <cell r="F59">
            <v>36606</v>
          </cell>
          <cell r="G59">
            <v>36616</v>
          </cell>
        </row>
        <row r="60">
          <cell r="F60">
            <v>36633</v>
          </cell>
          <cell r="G60">
            <v>36636</v>
          </cell>
        </row>
        <row r="61">
          <cell r="F61">
            <v>36634</v>
          </cell>
          <cell r="G61">
            <v>36650</v>
          </cell>
        </row>
        <row r="64">
          <cell r="F64">
            <v>36577</v>
          </cell>
          <cell r="G64">
            <v>36596</v>
          </cell>
        </row>
        <row r="65">
          <cell r="F65">
            <v>36606</v>
          </cell>
          <cell r="G65">
            <v>36613</v>
          </cell>
        </row>
        <row r="66">
          <cell r="F66">
            <v>36606</v>
          </cell>
          <cell r="G66">
            <v>36616</v>
          </cell>
        </row>
        <row r="67">
          <cell r="F67">
            <v>36633</v>
          </cell>
          <cell r="G67">
            <v>36636</v>
          </cell>
        </row>
        <row r="68">
          <cell r="F68">
            <v>36661</v>
          </cell>
          <cell r="G68">
            <v>36672</v>
          </cell>
        </row>
        <row r="71">
          <cell r="F71">
            <v>36543</v>
          </cell>
          <cell r="G71">
            <v>36587</v>
          </cell>
        </row>
        <row r="72">
          <cell r="F72">
            <v>36543</v>
          </cell>
          <cell r="G72">
            <v>36594</v>
          </cell>
        </row>
        <row r="73">
          <cell r="F73">
            <v>36543</v>
          </cell>
          <cell r="G73">
            <v>36601</v>
          </cell>
        </row>
        <row r="74">
          <cell r="F74">
            <v>36577</v>
          </cell>
          <cell r="G74">
            <v>36609</v>
          </cell>
        </row>
        <row r="75">
          <cell r="F75">
            <v>36584</v>
          </cell>
          <cell r="G75">
            <v>36595</v>
          </cell>
        </row>
        <row r="76">
          <cell r="F76">
            <v>36598</v>
          </cell>
          <cell r="G76">
            <v>36656</v>
          </cell>
        </row>
        <row r="77">
          <cell r="F77">
            <v>36605</v>
          </cell>
          <cell r="G77">
            <v>36636</v>
          </cell>
        </row>
        <row r="78">
          <cell r="F78">
            <v>36623</v>
          </cell>
          <cell r="G78">
            <v>36644</v>
          </cell>
        </row>
        <row r="79">
          <cell r="F79">
            <v>36623</v>
          </cell>
          <cell r="G79">
            <v>36658</v>
          </cell>
        </row>
        <row r="80">
          <cell r="F80">
            <v>36623</v>
          </cell>
          <cell r="G80">
            <v>36679</v>
          </cell>
        </row>
        <row r="81">
          <cell r="F81">
            <v>36661</v>
          </cell>
          <cell r="G81">
            <v>36672</v>
          </cell>
        </row>
        <row r="82">
          <cell r="F82">
            <v>36668</v>
          </cell>
          <cell r="G82">
            <v>36700</v>
          </cell>
        </row>
        <row r="85">
          <cell r="F85">
            <v>36570</v>
          </cell>
          <cell r="G85">
            <v>36602</v>
          </cell>
        </row>
        <row r="86">
          <cell r="F86">
            <v>36586</v>
          </cell>
          <cell r="G86">
            <v>36616</v>
          </cell>
        </row>
        <row r="87">
          <cell r="F87">
            <v>36598</v>
          </cell>
          <cell r="G87">
            <v>36613</v>
          </cell>
        </row>
        <row r="88">
          <cell r="F88">
            <v>36605</v>
          </cell>
          <cell r="G88">
            <v>36616</v>
          </cell>
        </row>
        <row r="89">
          <cell r="F89">
            <v>36623</v>
          </cell>
          <cell r="G89">
            <v>36665</v>
          </cell>
        </row>
        <row r="92">
          <cell r="F92">
            <v>36543</v>
          </cell>
          <cell r="G92">
            <v>36601</v>
          </cell>
        </row>
        <row r="93">
          <cell r="F93">
            <v>36543</v>
          </cell>
          <cell r="G93">
            <v>36601</v>
          </cell>
        </row>
        <row r="94">
          <cell r="F94">
            <v>36550</v>
          </cell>
          <cell r="G94">
            <v>36601</v>
          </cell>
        </row>
        <row r="95">
          <cell r="F95">
            <v>36598</v>
          </cell>
          <cell r="G95">
            <v>36602</v>
          </cell>
        </row>
        <row r="96">
          <cell r="F96">
            <v>36623</v>
          </cell>
          <cell r="G96">
            <v>36644</v>
          </cell>
        </row>
        <row r="97">
          <cell r="F97">
            <v>36623</v>
          </cell>
          <cell r="G97">
            <v>36644</v>
          </cell>
        </row>
        <row r="98">
          <cell r="F98">
            <v>36628</v>
          </cell>
          <cell r="G98">
            <v>36658</v>
          </cell>
        </row>
        <row r="99">
          <cell r="F99">
            <v>36634</v>
          </cell>
          <cell r="G99">
            <v>36644</v>
          </cell>
        </row>
        <row r="100">
          <cell r="F100">
            <v>36661</v>
          </cell>
          <cell r="G100">
            <v>36721</v>
          </cell>
        </row>
        <row r="101">
          <cell r="F101">
            <v>36668</v>
          </cell>
          <cell r="G101">
            <v>36706</v>
          </cell>
        </row>
        <row r="104">
          <cell r="F104">
            <v>36543</v>
          </cell>
          <cell r="G104">
            <v>36601</v>
          </cell>
        </row>
        <row r="105">
          <cell r="F105">
            <v>36579</v>
          </cell>
          <cell r="G105">
            <v>36616</v>
          </cell>
        </row>
        <row r="106">
          <cell r="F106">
            <v>36586</v>
          </cell>
          <cell r="G106">
            <v>36616</v>
          </cell>
        </row>
        <row r="107">
          <cell r="F107">
            <v>36586</v>
          </cell>
          <cell r="G107">
            <v>36644</v>
          </cell>
        </row>
        <row r="108">
          <cell r="F108">
            <v>36598</v>
          </cell>
          <cell r="G108">
            <v>36644</v>
          </cell>
        </row>
        <row r="109">
          <cell r="F109">
            <v>36642</v>
          </cell>
          <cell r="G109">
            <v>36690</v>
          </cell>
        </row>
        <row r="112">
          <cell r="F112">
            <v>36543</v>
          </cell>
          <cell r="G112">
            <v>36614</v>
          </cell>
        </row>
        <row r="113">
          <cell r="F113">
            <v>36570</v>
          </cell>
          <cell r="G113">
            <v>36630</v>
          </cell>
        </row>
        <row r="114">
          <cell r="F114">
            <v>36623</v>
          </cell>
          <cell r="G114">
            <v>36679</v>
          </cell>
        </row>
        <row r="115">
          <cell r="F115">
            <v>36634</v>
          </cell>
          <cell r="G115">
            <v>36692</v>
          </cell>
        </row>
        <row r="116">
          <cell r="F116">
            <v>36661</v>
          </cell>
          <cell r="G116">
            <v>36700</v>
          </cell>
        </row>
        <row r="117">
          <cell r="F117">
            <v>36675</v>
          </cell>
          <cell r="G117">
            <v>36733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4">
          <cell r="F4" t="str">
            <v>ADM - HR</v>
          </cell>
        </row>
      </sheetData>
      <sheetData sheetId="30"/>
      <sheetData sheetId="31"/>
      <sheetData sheetId="32" refreshError="1"/>
      <sheetData sheetId="3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進捗CHECK"/>
      <sheetName val="テーブル"/>
      <sheetName val="支援計画・０４"/>
      <sheetName val="テンプレート"/>
      <sheetName val="リスト"/>
    </sheetNames>
    <sheetDataSet>
      <sheetData sheetId="0" refreshError="1"/>
      <sheetData sheetId="1" refreshError="1">
        <row r="2">
          <cell r="A2">
            <v>2006</v>
          </cell>
          <cell r="B2" t="str">
            <v>EL</v>
          </cell>
          <cell r="C2" t="str">
            <v>豊岡</v>
          </cell>
          <cell r="D2">
            <v>1</v>
          </cell>
          <cell r="F2" t="str">
            <v>加藤久</v>
          </cell>
        </row>
        <row r="3">
          <cell r="A3">
            <v>2007</v>
          </cell>
          <cell r="B3" t="str">
            <v>CL</v>
          </cell>
          <cell r="C3" t="str">
            <v>天津ﾔﾏﾊ</v>
          </cell>
          <cell r="D3">
            <v>2</v>
          </cell>
          <cell r="F3" t="str">
            <v>坪井</v>
          </cell>
        </row>
        <row r="4">
          <cell r="A4">
            <v>2008</v>
          </cell>
          <cell r="B4" t="str">
            <v>PK</v>
          </cell>
          <cell r="C4" t="str">
            <v>YMMA</v>
          </cell>
          <cell r="D4">
            <v>3</v>
          </cell>
          <cell r="F4" t="str">
            <v>川合</v>
          </cell>
        </row>
        <row r="5">
          <cell r="A5">
            <v>2009</v>
          </cell>
          <cell r="B5" t="str">
            <v>DE</v>
          </cell>
          <cell r="C5" t="str">
            <v>ﾌｫｽﾀｰ</v>
          </cell>
          <cell r="D5">
            <v>4</v>
          </cell>
          <cell r="F5" t="str">
            <v>平田</v>
          </cell>
        </row>
        <row r="6">
          <cell r="A6">
            <v>2010</v>
          </cell>
          <cell r="B6" t="str">
            <v>PA</v>
          </cell>
          <cell r="C6" t="str">
            <v>ｼﾝｶﾞﾄﾛ</v>
          </cell>
          <cell r="D6">
            <v>5</v>
          </cell>
          <cell r="F6" t="str">
            <v>大野</v>
          </cell>
        </row>
        <row r="7">
          <cell r="A7">
            <v>2011</v>
          </cell>
          <cell r="D7">
            <v>6</v>
          </cell>
          <cell r="F7" t="str">
            <v>松島</v>
          </cell>
        </row>
        <row r="8">
          <cell r="A8">
            <v>2012</v>
          </cell>
          <cell r="D8">
            <v>7</v>
          </cell>
          <cell r="F8" t="str">
            <v>深谷</v>
          </cell>
        </row>
        <row r="9">
          <cell r="A9">
            <v>2013</v>
          </cell>
          <cell r="D9">
            <v>8</v>
          </cell>
          <cell r="F9" t="str">
            <v>下向</v>
          </cell>
        </row>
        <row r="10">
          <cell r="A10">
            <v>2014</v>
          </cell>
          <cell r="D10">
            <v>9</v>
          </cell>
          <cell r="F10" t="str">
            <v>荻久保</v>
          </cell>
        </row>
        <row r="11">
          <cell r="A11">
            <v>2015</v>
          </cell>
          <cell r="D11">
            <v>10</v>
          </cell>
          <cell r="F11" t="str">
            <v>市川義</v>
          </cell>
        </row>
        <row r="12">
          <cell r="D12">
            <v>11</v>
          </cell>
          <cell r="F12" t="str">
            <v>加藤実</v>
          </cell>
        </row>
        <row r="13">
          <cell r="D13">
            <v>12</v>
          </cell>
          <cell r="F13" t="str">
            <v>稲垣</v>
          </cell>
        </row>
        <row r="14">
          <cell r="F14" t="str">
            <v>守本</v>
          </cell>
        </row>
        <row r="15">
          <cell r="F15" t="str">
            <v>岡野</v>
          </cell>
        </row>
        <row r="16">
          <cell r="F16" t="str">
            <v>大瀬</v>
          </cell>
        </row>
        <row r="17">
          <cell r="F17" t="str">
            <v>匂坂</v>
          </cell>
        </row>
        <row r="18">
          <cell r="F18" t="str">
            <v>西川</v>
          </cell>
        </row>
        <row r="19">
          <cell r="F19" t="str">
            <v>鈴木健</v>
          </cell>
        </row>
        <row r="20">
          <cell r="F20" t="str">
            <v>野中豊</v>
          </cell>
        </row>
        <row r="21">
          <cell r="F21" t="str">
            <v>鉄村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進捗CHECK"/>
      <sheetName val="テーブル"/>
      <sheetName val="支援計画・０４"/>
      <sheetName val="Sheet1"/>
      <sheetName val="直製(集計)"/>
    </sheetNames>
    <sheetDataSet>
      <sheetData sheetId="0" refreshError="1"/>
      <sheetData sheetId="1" refreshError="1">
        <row r="2">
          <cell r="A2">
            <v>2006</v>
          </cell>
          <cell r="B2" t="str">
            <v>EL</v>
          </cell>
          <cell r="C2" t="str">
            <v>豊岡</v>
          </cell>
          <cell r="D2">
            <v>1</v>
          </cell>
          <cell r="F2" t="str">
            <v>加藤久</v>
          </cell>
        </row>
        <row r="3">
          <cell r="A3">
            <v>2007</v>
          </cell>
          <cell r="B3" t="str">
            <v>CL</v>
          </cell>
          <cell r="C3" t="str">
            <v>天津ﾔﾏﾊ</v>
          </cell>
          <cell r="D3">
            <v>2</v>
          </cell>
          <cell r="F3" t="str">
            <v>坪井</v>
          </cell>
        </row>
        <row r="4">
          <cell r="A4">
            <v>2008</v>
          </cell>
          <cell r="B4" t="str">
            <v>PK</v>
          </cell>
          <cell r="C4" t="str">
            <v>YMMA</v>
          </cell>
          <cell r="D4">
            <v>3</v>
          </cell>
          <cell r="F4" t="str">
            <v>川合</v>
          </cell>
        </row>
        <row r="5">
          <cell r="A5">
            <v>2009</v>
          </cell>
          <cell r="B5" t="str">
            <v>DE</v>
          </cell>
          <cell r="C5" t="str">
            <v>ﾌｫｽﾀｰ</v>
          </cell>
          <cell r="D5">
            <v>4</v>
          </cell>
          <cell r="F5" t="str">
            <v>平田</v>
          </cell>
        </row>
        <row r="6">
          <cell r="A6">
            <v>2010</v>
          </cell>
          <cell r="B6" t="str">
            <v>PA</v>
          </cell>
          <cell r="C6" t="str">
            <v>ｼﾝｶﾞﾄﾛ</v>
          </cell>
          <cell r="D6">
            <v>5</v>
          </cell>
          <cell r="F6" t="str">
            <v>大野</v>
          </cell>
        </row>
        <row r="7">
          <cell r="A7">
            <v>2011</v>
          </cell>
          <cell r="D7">
            <v>6</v>
          </cell>
          <cell r="F7" t="str">
            <v>松島</v>
          </cell>
        </row>
        <row r="8">
          <cell r="A8">
            <v>2012</v>
          </cell>
          <cell r="D8">
            <v>7</v>
          </cell>
          <cell r="F8" t="str">
            <v>深谷</v>
          </cell>
        </row>
        <row r="9">
          <cell r="A9">
            <v>2013</v>
          </cell>
          <cell r="D9">
            <v>8</v>
          </cell>
          <cell r="F9" t="str">
            <v>下向</v>
          </cell>
        </row>
        <row r="10">
          <cell r="A10">
            <v>2014</v>
          </cell>
          <cell r="D10">
            <v>9</v>
          </cell>
          <cell r="F10" t="str">
            <v>荻久保</v>
          </cell>
        </row>
        <row r="11">
          <cell r="A11">
            <v>2015</v>
          </cell>
          <cell r="D11">
            <v>10</v>
          </cell>
          <cell r="F11" t="str">
            <v>市川義</v>
          </cell>
        </row>
        <row r="12">
          <cell r="D12">
            <v>11</v>
          </cell>
          <cell r="F12" t="str">
            <v>加藤実</v>
          </cell>
        </row>
        <row r="13">
          <cell r="D13">
            <v>12</v>
          </cell>
          <cell r="F13" t="str">
            <v>稲垣</v>
          </cell>
        </row>
        <row r="14">
          <cell r="F14" t="str">
            <v>守本</v>
          </cell>
        </row>
        <row r="15">
          <cell r="F15" t="str">
            <v>岡野</v>
          </cell>
        </row>
        <row r="16">
          <cell r="F16" t="str">
            <v>大瀬</v>
          </cell>
        </row>
        <row r="17">
          <cell r="F17" t="str">
            <v>匂坂</v>
          </cell>
        </row>
        <row r="18">
          <cell r="F18" t="str">
            <v>西川</v>
          </cell>
        </row>
        <row r="19">
          <cell r="F19" t="str">
            <v>鈴木健</v>
          </cell>
        </row>
        <row r="20">
          <cell r="F20" t="str">
            <v>野中豊</v>
          </cell>
        </row>
        <row r="21">
          <cell r="F21" t="str">
            <v>鉄村</v>
          </cell>
        </row>
      </sheetData>
      <sheetData sheetId="2" refreshError="1"/>
      <sheetData sheetId="3"/>
      <sheetData sheetId="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まとめ"/>
      <sheetName val="予定日別1-6"/>
      <sheetName val="予定日別7-12"/>
      <sheetName val="テーブル"/>
      <sheetName val="KB,MOLD ESTIMATE.00"/>
      <sheetName val="TS Foreman"/>
      <sheetName val="Mapping-cm"/>
      <sheetName val="Competensi Skill'Chaidir"/>
      <sheetName val="TS OP"/>
      <sheetName val="Competensi Skill'Novy A"/>
      <sheetName val="Competensi Skill'M.Mulyadi"/>
      <sheetName val="PK"/>
      <sheetName val="QCC PROGRESS"/>
      <sheetName val="Summary Foreman'FY120"/>
      <sheetName val="Effisiensi,Kousu &amp; PPM (2)"/>
      <sheetName val="CRESULT,FY119"/>
      <sheetName val="Technical Result FY119"/>
      <sheetName val="Grand PA"/>
      <sheetName val="Pn,Kerja Mulyadi"/>
      <sheetName val="PPK.M.Mulyadi"/>
      <sheetName val="COMPETENCY RESULT M.Mulyadi."/>
      <sheetName val="Pn,Kerja Eko"/>
      <sheetName val="PPK.Eko Margiono"/>
      <sheetName val="COMPETENCY RESULT Eko.M"/>
      <sheetName val="Pn,Kerja Suyuti."/>
      <sheetName val="PPK.Suyuti"/>
      <sheetName val="COMPETENCY RESULT Suyuti"/>
      <sheetName val="Pn,Kerja Yusup.E."/>
      <sheetName val="PPK.Yusup Efendi"/>
      <sheetName val="COMPETENCY RESULT Yusup E"/>
      <sheetName val="Pn Basroni"/>
      <sheetName val="PPK.Basroni"/>
      <sheetName val="COMPETENCY RESULT Basroni"/>
      <sheetName val="COMPETENCY RESULT Eka YL"/>
      <sheetName val="COMPETENCY RESULT Dudung A"/>
      <sheetName val="Pn,Kerja Eka"/>
      <sheetName val="Pn,Kerja Dudung"/>
      <sheetName val="Pn,Kerja Surahman,"/>
      <sheetName val="Pn,Kerja Samsul."/>
      <sheetName val="Pn,Kerja Agung mp."/>
      <sheetName val="Pn,Kerja Firman"/>
      <sheetName val="Pn,Kerja Candra A"/>
      <sheetName val="Pn,Kerja Irfan ."/>
      <sheetName val="PPK.Samsul M "/>
      <sheetName val="PPK.Surahman"/>
      <sheetName val="PPK.Agung MP"/>
      <sheetName val="PPK Irfan sw"/>
      <sheetName val="PPK Candra A."/>
      <sheetName val="PPK Firman J."/>
      <sheetName val="COMPETENCY RESULT Samsul.M."/>
      <sheetName val="COMPETENCY RESULT Surahman."/>
      <sheetName val="COMPETENCY RESULT Agung MP"/>
      <sheetName val="COMPETENCY RESULT Firman J"/>
      <sheetName val="COMPETENCY RESULT Irfan SW"/>
      <sheetName val="COMPETENCY RESULT Candra A"/>
      <sheetName val="Pn,Kerja Novy."/>
      <sheetName val="Pn,Kerja Agung R."/>
      <sheetName val="Pn,Kerja Sutriyono."/>
      <sheetName val="Pn,Kerja Agung S."/>
      <sheetName val="Pn,Kerja Wahyu S."/>
      <sheetName val="Pn,Kerja Jefrimar."/>
      <sheetName val="PPK.Novy Aryanto"/>
      <sheetName val="PPK.Agung R"/>
      <sheetName val="PPK.Sutriyono"/>
      <sheetName val="PPK.Agung S"/>
      <sheetName val="PPK.Jefrimar"/>
      <sheetName val="PPK.Wahyu Santoso"/>
      <sheetName val="COMPETENCY RESULT Novy A."/>
      <sheetName val="COMPETENCY RESULT Agung R"/>
      <sheetName val="COMPETENCY RESULT Sutriyono"/>
      <sheetName val="COMPETENCY RESULT Agung S"/>
      <sheetName val="COMPETENCY RESULT Wahyu S"/>
      <sheetName val="COMPETENCY RESULT Jefrimar"/>
      <sheetName val="出力②"/>
      <sheetName val="グラフ用"/>
      <sheetName val="Data"/>
      <sheetName val="支援計画・０４"/>
    </sheetNames>
    <sheetDataSet>
      <sheetData sheetId="0" refreshError="1"/>
      <sheetData sheetId="1" refreshError="1">
        <row r="4">
          <cell r="U4">
            <v>36708</v>
          </cell>
          <cell r="V4">
            <v>36709</v>
          </cell>
          <cell r="W4">
            <v>36710</v>
          </cell>
          <cell r="X4">
            <v>36711</v>
          </cell>
          <cell r="Y4">
            <v>36712</v>
          </cell>
          <cell r="Z4">
            <v>36713</v>
          </cell>
          <cell r="AA4">
            <v>36714</v>
          </cell>
          <cell r="AB4">
            <v>36715</v>
          </cell>
          <cell r="AC4">
            <v>36716</v>
          </cell>
          <cell r="AD4">
            <v>36717</v>
          </cell>
          <cell r="AE4">
            <v>36718</v>
          </cell>
          <cell r="AF4">
            <v>36719</v>
          </cell>
          <cell r="AG4">
            <v>36720</v>
          </cell>
          <cell r="AH4">
            <v>36721</v>
          </cell>
          <cell r="AI4">
            <v>36722</v>
          </cell>
          <cell r="AJ4">
            <v>36723</v>
          </cell>
          <cell r="AK4">
            <v>36724</v>
          </cell>
          <cell r="AL4">
            <v>36725</v>
          </cell>
          <cell r="AM4">
            <v>36726</v>
          </cell>
          <cell r="AN4">
            <v>36727</v>
          </cell>
          <cell r="AO4">
            <v>36728</v>
          </cell>
          <cell r="AP4">
            <v>36729</v>
          </cell>
          <cell r="AQ4">
            <v>36730</v>
          </cell>
          <cell r="AR4">
            <v>36731</v>
          </cell>
          <cell r="AS4">
            <v>36732</v>
          </cell>
          <cell r="AT4">
            <v>36733</v>
          </cell>
          <cell r="AU4">
            <v>36734</v>
          </cell>
          <cell r="AV4">
            <v>36735</v>
          </cell>
          <cell r="AW4">
            <v>36736</v>
          </cell>
          <cell r="AX4">
            <v>36737</v>
          </cell>
          <cell r="AY4">
            <v>36738</v>
          </cell>
          <cell r="AZ4">
            <v>36739</v>
          </cell>
          <cell r="BA4">
            <v>36740</v>
          </cell>
          <cell r="BB4">
            <v>36741</v>
          </cell>
          <cell r="BC4">
            <v>36742</v>
          </cell>
          <cell r="BD4">
            <v>36743</v>
          </cell>
          <cell r="BE4">
            <v>36744</v>
          </cell>
          <cell r="BF4">
            <v>36745</v>
          </cell>
          <cell r="BG4">
            <v>36746</v>
          </cell>
          <cell r="BH4">
            <v>36747</v>
          </cell>
          <cell r="BI4">
            <v>36748</v>
          </cell>
          <cell r="BJ4">
            <v>36749</v>
          </cell>
          <cell r="BK4">
            <v>36750</v>
          </cell>
          <cell r="BL4">
            <v>36751</v>
          </cell>
          <cell r="BM4">
            <v>36752</v>
          </cell>
          <cell r="BN4">
            <v>36753</v>
          </cell>
          <cell r="BO4">
            <v>36754</v>
          </cell>
          <cell r="BP4">
            <v>36755</v>
          </cell>
          <cell r="BQ4">
            <v>36756</v>
          </cell>
          <cell r="BR4">
            <v>36757</v>
          </cell>
          <cell r="BS4">
            <v>36758</v>
          </cell>
          <cell r="BT4">
            <v>36759</v>
          </cell>
          <cell r="BU4">
            <v>36760</v>
          </cell>
          <cell r="BV4">
            <v>36761</v>
          </cell>
          <cell r="BW4">
            <v>36762</v>
          </cell>
          <cell r="BX4">
            <v>36763</v>
          </cell>
          <cell r="BY4">
            <v>36764</v>
          </cell>
          <cell r="BZ4">
            <v>36765</v>
          </cell>
          <cell r="CA4">
            <v>36766</v>
          </cell>
          <cell r="CB4">
            <v>36767</v>
          </cell>
          <cell r="CC4">
            <v>36768</v>
          </cell>
          <cell r="CD4">
            <v>36769</v>
          </cell>
          <cell r="CE4">
            <v>36770</v>
          </cell>
          <cell r="CF4">
            <v>36771</v>
          </cell>
          <cell r="CG4">
            <v>36772</v>
          </cell>
          <cell r="CH4">
            <v>36773</v>
          </cell>
          <cell r="CI4">
            <v>36774</v>
          </cell>
          <cell r="CJ4">
            <v>36775</v>
          </cell>
          <cell r="CK4">
            <v>36776</v>
          </cell>
          <cell r="CL4">
            <v>36777</v>
          </cell>
          <cell r="CM4">
            <v>36778</v>
          </cell>
          <cell r="CN4">
            <v>36779</v>
          </cell>
          <cell r="CO4">
            <v>36780</v>
          </cell>
          <cell r="CP4">
            <v>36781</v>
          </cell>
          <cell r="CQ4">
            <v>36782</v>
          </cell>
          <cell r="CR4">
            <v>36783</v>
          </cell>
          <cell r="CS4">
            <v>36784</v>
          </cell>
          <cell r="CT4">
            <v>36785</v>
          </cell>
          <cell r="CU4">
            <v>36786</v>
          </cell>
          <cell r="CV4">
            <v>36787</v>
          </cell>
          <cell r="CW4">
            <v>36788</v>
          </cell>
          <cell r="CX4">
            <v>36789</v>
          </cell>
          <cell r="CY4">
            <v>36790</v>
          </cell>
          <cell r="CZ4">
            <v>36791</v>
          </cell>
          <cell r="DA4">
            <v>36792</v>
          </cell>
          <cell r="DB4">
            <v>36793</v>
          </cell>
          <cell r="DC4">
            <v>36794</v>
          </cell>
          <cell r="DD4">
            <v>36795</v>
          </cell>
          <cell r="DE4">
            <v>36796</v>
          </cell>
          <cell r="DF4">
            <v>36797</v>
          </cell>
          <cell r="DG4">
            <v>36798</v>
          </cell>
          <cell r="DH4">
            <v>36799</v>
          </cell>
          <cell r="DI4">
            <v>36800</v>
          </cell>
          <cell r="DJ4">
            <v>36801</v>
          </cell>
          <cell r="DK4">
            <v>36802</v>
          </cell>
          <cell r="DL4">
            <v>36803</v>
          </cell>
          <cell r="DM4">
            <v>36804</v>
          </cell>
          <cell r="DN4">
            <v>36805</v>
          </cell>
          <cell r="DO4">
            <v>36806</v>
          </cell>
          <cell r="DP4">
            <v>36807</v>
          </cell>
          <cell r="DQ4">
            <v>36808</v>
          </cell>
          <cell r="DR4">
            <v>36809</v>
          </cell>
          <cell r="DS4">
            <v>36810</v>
          </cell>
          <cell r="DT4">
            <v>36811</v>
          </cell>
          <cell r="DU4">
            <v>36812</v>
          </cell>
          <cell r="DV4">
            <v>36813</v>
          </cell>
          <cell r="DW4">
            <v>36814</v>
          </cell>
          <cell r="DX4">
            <v>36815</v>
          </cell>
          <cell r="DY4">
            <v>36816</v>
          </cell>
          <cell r="DZ4">
            <v>36817</v>
          </cell>
          <cell r="EA4">
            <v>36818</v>
          </cell>
          <cell r="EB4">
            <v>36819</v>
          </cell>
          <cell r="EC4">
            <v>36820</v>
          </cell>
          <cell r="ED4">
            <v>36821</v>
          </cell>
          <cell r="EE4">
            <v>36822</v>
          </cell>
          <cell r="EF4">
            <v>36823</v>
          </cell>
          <cell r="EG4">
            <v>36824</v>
          </cell>
          <cell r="EH4">
            <v>36825</v>
          </cell>
          <cell r="EI4">
            <v>36826</v>
          </cell>
          <cell r="EJ4">
            <v>36827</v>
          </cell>
          <cell r="EK4">
            <v>36828</v>
          </cell>
          <cell r="EL4">
            <v>36829</v>
          </cell>
          <cell r="EM4">
            <v>36830</v>
          </cell>
          <cell r="EN4">
            <v>36831</v>
          </cell>
          <cell r="EO4">
            <v>36832</v>
          </cell>
          <cell r="EP4">
            <v>36833</v>
          </cell>
          <cell r="EQ4">
            <v>36834</v>
          </cell>
          <cell r="ER4">
            <v>36835</v>
          </cell>
          <cell r="ES4">
            <v>36836</v>
          </cell>
          <cell r="ET4">
            <v>36837</v>
          </cell>
          <cell r="EU4">
            <v>36838</v>
          </cell>
          <cell r="EV4">
            <v>36839</v>
          </cell>
          <cell r="EW4">
            <v>36840</v>
          </cell>
          <cell r="EX4">
            <v>36841</v>
          </cell>
          <cell r="EY4">
            <v>36842</v>
          </cell>
          <cell r="EZ4">
            <v>36843</v>
          </cell>
          <cell r="FA4">
            <v>36844</v>
          </cell>
          <cell r="FB4">
            <v>36845</v>
          </cell>
          <cell r="FC4">
            <v>36846</v>
          </cell>
          <cell r="FD4">
            <v>36847</v>
          </cell>
          <cell r="FE4">
            <v>36848</v>
          </cell>
          <cell r="FF4">
            <v>36849</v>
          </cell>
          <cell r="FG4">
            <v>36850</v>
          </cell>
          <cell r="FH4">
            <v>36851</v>
          </cell>
          <cell r="FI4">
            <v>36852</v>
          </cell>
          <cell r="FJ4">
            <v>36853</v>
          </cell>
          <cell r="FK4">
            <v>36854</v>
          </cell>
          <cell r="FL4">
            <v>36855</v>
          </cell>
          <cell r="FM4">
            <v>36856</v>
          </cell>
          <cell r="FN4">
            <v>36857</v>
          </cell>
          <cell r="FO4">
            <v>36858</v>
          </cell>
          <cell r="FP4">
            <v>36859</v>
          </cell>
          <cell r="FQ4">
            <v>36860</v>
          </cell>
          <cell r="FR4">
            <v>36861</v>
          </cell>
          <cell r="FS4">
            <v>36862</v>
          </cell>
          <cell r="FT4">
            <v>36863</v>
          </cell>
          <cell r="FU4">
            <v>36864</v>
          </cell>
          <cell r="FV4">
            <v>36865</v>
          </cell>
          <cell r="FW4">
            <v>36866</v>
          </cell>
          <cell r="FX4">
            <v>36867</v>
          </cell>
          <cell r="FY4">
            <v>36868</v>
          </cell>
          <cell r="FZ4">
            <v>36869</v>
          </cell>
          <cell r="GA4">
            <v>36870</v>
          </cell>
          <cell r="GB4">
            <v>36871</v>
          </cell>
          <cell r="GC4">
            <v>36872</v>
          </cell>
          <cell r="GD4">
            <v>36873</v>
          </cell>
          <cell r="GE4">
            <v>36874</v>
          </cell>
          <cell r="GF4">
            <v>36875</v>
          </cell>
          <cell r="GG4">
            <v>36876</v>
          </cell>
          <cell r="GH4">
            <v>36877</v>
          </cell>
          <cell r="GI4">
            <v>36878</v>
          </cell>
          <cell r="GJ4">
            <v>36879</v>
          </cell>
          <cell r="GK4">
            <v>36880</v>
          </cell>
          <cell r="GL4">
            <v>36881</v>
          </cell>
          <cell r="GM4">
            <v>36882</v>
          </cell>
          <cell r="GN4">
            <v>36883</v>
          </cell>
          <cell r="GO4">
            <v>36884</v>
          </cell>
          <cell r="GP4">
            <v>36885</v>
          </cell>
          <cell r="GQ4">
            <v>36886</v>
          </cell>
          <cell r="GR4">
            <v>36887</v>
          </cell>
          <cell r="GS4">
            <v>36888</v>
          </cell>
          <cell r="GT4">
            <v>36889</v>
          </cell>
          <cell r="GU4">
            <v>36890</v>
          </cell>
          <cell r="GV4">
            <v>36891</v>
          </cell>
        </row>
      </sheetData>
      <sheetData sheetId="2" refreshError="1"/>
      <sheetData sheetId="3" refreshError="1"/>
      <sheetData sheetId="4" refreshError="1"/>
      <sheetData sheetId="5">
        <row r="4">
          <cell r="U4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B,MOLD ESTIMATE.00"/>
      <sheetName val="KB_MOLD ESTIMATE_00"/>
      <sheetName val="予定日別1-6"/>
      <sheetName val="テーブル"/>
      <sheetName val="Sheet1"/>
      <sheetName val="出力②"/>
      <sheetName val="グラフ用"/>
      <sheetName val="G8D Report"/>
    </sheetNames>
    <sheetDataSet>
      <sheetData sheetId="0" refreshError="1">
        <row r="13">
          <cell r="F13">
            <v>1.4</v>
          </cell>
          <cell r="G13">
            <v>1.4</v>
          </cell>
          <cell r="H13">
            <v>1.4</v>
          </cell>
          <cell r="I13">
            <v>1.4</v>
          </cell>
          <cell r="J13">
            <v>0.1</v>
          </cell>
          <cell r="K13">
            <v>0.1</v>
          </cell>
          <cell r="L13">
            <v>0.1</v>
          </cell>
          <cell r="M13">
            <v>0.1</v>
          </cell>
          <cell r="N13">
            <v>0.1</v>
          </cell>
          <cell r="O13">
            <v>0.1</v>
          </cell>
        </row>
      </sheetData>
      <sheetData sheetId="1"/>
      <sheetData sheetId="2" refreshError="1"/>
      <sheetData sheetId="3" refreshError="1"/>
      <sheetData sheetId="4"/>
      <sheetData sheetId="5"/>
      <sheetData sheetId="6"/>
      <sheetData sheetId="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このbookの利用ルール"/>
      <sheetName val="開発計画品番リスト"/>
      <sheetName val="KB,MOLD ESTIMATE.00"/>
      <sheetName val="予定日別1-6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中期計画・９８"/>
      <sheetName val="数値計画"/>
      <sheetName val="原価明細・資金計画"/>
      <sheetName val="製造品目明細"/>
      <sheetName val="要員計画"/>
      <sheetName val="投資計画"/>
      <sheetName val="調達計画"/>
      <sheetName val="スタッフ部門計画"/>
      <sheetName val="人材育成"/>
      <sheetName val="本社支援計画"/>
      <sheetName val="業務計画"/>
      <sheetName val="自立のイメージ"/>
      <sheetName val="Sheet1"/>
      <sheetName val="1998"/>
      <sheetName val="1999"/>
      <sheetName val="2000"/>
      <sheetName val="2001"/>
      <sheetName val="2002"/>
      <sheetName val="データ"/>
      <sheetName val="開発計画品番リスト"/>
      <sheetName val="KB,MOLD ESTIMATE.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50788-399E-4F4A-A0C3-8B94AA58D596}">
  <sheetPr>
    <tabColor rgb="FFFFFF00"/>
  </sheetPr>
  <dimension ref="A1:AI1500"/>
  <sheetViews>
    <sheetView tabSelected="1" zoomScale="130" zoomScaleNormal="130" workbookViewId="0">
      <selection activeCell="J3" sqref="J3"/>
    </sheetView>
  </sheetViews>
  <sheetFormatPr defaultColWidth="11.42578125" defaultRowHeight="15" customHeight="1"/>
  <cols>
    <col min="1" max="1" width="19.140625" style="44" customWidth="1"/>
    <col min="2" max="2" width="10" style="3" customWidth="1"/>
    <col min="3" max="3" width="21.42578125" style="44" customWidth="1"/>
    <col min="4" max="4" width="9.42578125" style="4" customWidth="1"/>
    <col min="5" max="5" width="30.42578125" style="44" bestFit="1" customWidth="1"/>
    <col min="6" max="6" width="10.42578125" style="4" customWidth="1"/>
    <col min="7" max="7" width="31" style="44" customWidth="1"/>
    <col min="8" max="8" width="37.5703125" style="44" customWidth="1"/>
    <col min="9" max="9" width="7.5703125" style="3" bestFit="1" customWidth="1"/>
    <col min="10" max="10" width="7.42578125" style="25" bestFit="1" customWidth="1"/>
    <col min="11" max="16" width="14.5703125" style="47" customWidth="1"/>
    <col min="17" max="17" width="17.5703125" style="47" customWidth="1"/>
    <col min="18" max="28" width="14.5703125" style="47" customWidth="1"/>
    <col min="29" max="29" width="14.5703125" style="26" customWidth="1"/>
    <col min="30" max="30" width="19" style="26" customWidth="1"/>
    <col min="31" max="31" width="15.5703125" style="47" customWidth="1"/>
    <col min="32" max="32" width="18.140625" style="47" customWidth="1"/>
    <col min="33" max="33" width="14.42578125" style="50" bestFit="1" customWidth="1"/>
    <col min="34" max="34" width="22.42578125" style="23" customWidth="1"/>
    <col min="35" max="35" width="11.42578125" style="2" customWidth="1"/>
    <col min="36" max="16384" width="11.42578125" style="2"/>
  </cols>
  <sheetData>
    <row r="1" spans="1:35" s="1" customFormat="1" ht="57.75" customHeight="1">
      <c r="A1" s="43" t="s">
        <v>0</v>
      </c>
      <c r="B1" s="27" t="s">
        <v>1</v>
      </c>
      <c r="C1" s="43" t="s">
        <v>2</v>
      </c>
      <c r="D1" s="28" t="s">
        <v>3</v>
      </c>
      <c r="E1" s="43" t="s">
        <v>4</v>
      </c>
      <c r="F1" s="28" t="s">
        <v>5</v>
      </c>
      <c r="G1" s="43" t="s">
        <v>6</v>
      </c>
      <c r="H1" s="43" t="s">
        <v>7</v>
      </c>
      <c r="I1" s="27" t="s">
        <v>8</v>
      </c>
      <c r="J1" s="29" t="s">
        <v>9</v>
      </c>
      <c r="K1" s="45" t="s">
        <v>10</v>
      </c>
      <c r="L1" s="45" t="s">
        <v>11</v>
      </c>
      <c r="M1" s="45" t="s">
        <v>12</v>
      </c>
      <c r="N1" s="45" t="s">
        <v>13</v>
      </c>
      <c r="O1" s="45" t="s">
        <v>14</v>
      </c>
      <c r="P1" s="45" t="s">
        <v>15</v>
      </c>
      <c r="Q1" s="46" t="s">
        <v>16</v>
      </c>
      <c r="R1" s="46" t="s">
        <v>17</v>
      </c>
      <c r="S1" s="46" t="s">
        <v>18</v>
      </c>
      <c r="T1" s="46" t="s">
        <v>19</v>
      </c>
      <c r="U1" s="46" t="s">
        <v>20</v>
      </c>
      <c r="V1" s="46" t="s">
        <v>21</v>
      </c>
      <c r="W1" s="46" t="s">
        <v>22</v>
      </c>
      <c r="X1" s="46" t="s">
        <v>23</v>
      </c>
      <c r="Y1" s="46" t="s">
        <v>24</v>
      </c>
      <c r="Z1" s="46" t="s">
        <v>25</v>
      </c>
      <c r="AA1" s="46" t="s">
        <v>26</v>
      </c>
      <c r="AB1" s="46" t="s">
        <v>27</v>
      </c>
      <c r="AC1" s="30" t="s">
        <v>28</v>
      </c>
      <c r="AD1" s="30" t="s">
        <v>29</v>
      </c>
      <c r="AE1" s="48" t="s">
        <v>30</v>
      </c>
      <c r="AF1" s="48" t="s">
        <v>31</v>
      </c>
      <c r="AG1" s="49" t="s">
        <v>32</v>
      </c>
      <c r="AH1" s="31" t="s">
        <v>33</v>
      </c>
      <c r="AI1" s="24"/>
    </row>
    <row r="2" spans="1:35" ht="15" customHeight="1">
      <c r="A2" s="44" t="s">
        <v>85</v>
      </c>
      <c r="B2" s="3" t="str">
        <f>IFERROR(VLOOKUP(C2,Master!$J:$K,2,0),"")</f>
        <v>B4410</v>
      </c>
      <c r="C2" s="44" t="s">
        <v>194</v>
      </c>
      <c r="D2" s="4" t="str">
        <f>IFERROR(VLOOKUP(E2,Master!$J:$K,2,0),"")</f>
        <v>B4410</v>
      </c>
      <c r="E2" s="44" t="s">
        <v>194</v>
      </c>
      <c r="F2" s="4">
        <f>IFERROR(VLOOKUP(G2,Master!B:C,2,0),"")</f>
        <v>7515402</v>
      </c>
      <c r="G2" s="44" t="s">
        <v>129</v>
      </c>
      <c r="H2" s="44" t="s">
        <v>534</v>
      </c>
      <c r="I2" s="3" t="str">
        <f>IFERROR(VLOOKUP(E2,Master!$J:$M,4,0),"")</f>
        <v>DIR</v>
      </c>
      <c r="J2" s="3" t="str">
        <f>IFERROR(VLOOKUP($E2,Master!$J:$M,3,0),"")</f>
        <v>MFG</v>
      </c>
      <c r="AC2" s="26">
        <f t="shared" ref="AC2:AC65" si="0">SUM(K2:P2)</f>
        <v>0</v>
      </c>
      <c r="AD2" s="26">
        <f t="shared" ref="AD2:AD65" si="1">SUM(Q2:AB2)</f>
        <v>0</v>
      </c>
    </row>
    <row r="3" spans="1:35" ht="15" customHeight="1">
      <c r="A3" s="44" t="s">
        <v>85</v>
      </c>
      <c r="B3" s="3" t="str">
        <f>IFERROR(VLOOKUP(C3,Master!$J:$K,2,0),"")</f>
        <v>B4410</v>
      </c>
      <c r="C3" s="44" t="s">
        <v>194</v>
      </c>
      <c r="D3" s="4" t="str">
        <f>IFERROR(VLOOKUP(E3,Master!$J:$K,2,0),"")</f>
        <v>B4410</v>
      </c>
      <c r="E3" s="44" t="s">
        <v>194</v>
      </c>
      <c r="F3" s="4">
        <f>IFERROR(VLOOKUP(G3,Master!B:C,2,0),"")</f>
        <v>7515403</v>
      </c>
      <c r="G3" s="44" t="s">
        <v>134</v>
      </c>
      <c r="H3" s="44" t="s">
        <v>535</v>
      </c>
      <c r="I3" s="3" t="str">
        <f>IFERROR(VLOOKUP(E3,Master!$J:$M,4,0),"")</f>
        <v>DIR</v>
      </c>
      <c r="J3" s="3" t="str">
        <f>IFERROR(VLOOKUP($E3,Master!$J:$M,3,0),"")</f>
        <v>MFG</v>
      </c>
      <c r="O3" s="47">
        <v>1000000</v>
      </c>
      <c r="W3" s="47">
        <v>1000000</v>
      </c>
      <c r="AC3" s="26">
        <f t="shared" si="0"/>
        <v>1000000</v>
      </c>
      <c r="AD3" s="26">
        <f t="shared" si="1"/>
        <v>1000000</v>
      </c>
    </row>
    <row r="4" spans="1:35" ht="15" customHeight="1">
      <c r="A4" s="44" t="s">
        <v>85</v>
      </c>
      <c r="B4" s="3" t="str">
        <f>IFERROR(VLOOKUP(C4,Master!$J:$K,2,0),"")</f>
        <v>B4410</v>
      </c>
      <c r="C4" s="44" t="s">
        <v>194</v>
      </c>
      <c r="D4" s="4" t="str">
        <f>IFERROR(VLOOKUP(E4,Master!$J:$K,2,0),"")</f>
        <v>B4410</v>
      </c>
      <c r="E4" s="44" t="s">
        <v>194</v>
      </c>
      <c r="F4" s="4">
        <f>IFERROR(VLOOKUP(G4,Master!B:C,2,0),"")</f>
        <v>7515404</v>
      </c>
      <c r="G4" s="44" t="s">
        <v>141</v>
      </c>
      <c r="H4" s="44" t="s">
        <v>536</v>
      </c>
      <c r="I4" s="3" t="str">
        <f>IFERROR(VLOOKUP(E4,Master!$J:$M,4,0),"")</f>
        <v>DIR</v>
      </c>
      <c r="J4" s="3" t="str">
        <f>IFERROR(VLOOKUP($E4,Master!$J:$M,3,0),"")</f>
        <v>MFG</v>
      </c>
      <c r="L4" s="47">
        <v>1000000</v>
      </c>
      <c r="R4" s="47">
        <v>1000000</v>
      </c>
      <c r="U4" s="47">
        <v>1000000</v>
      </c>
      <c r="Y4" s="47">
        <v>2000000</v>
      </c>
      <c r="AC4" s="26">
        <f t="shared" si="0"/>
        <v>1000000</v>
      </c>
      <c r="AD4" s="26">
        <f t="shared" si="1"/>
        <v>4000000</v>
      </c>
    </row>
    <row r="5" spans="1:35" ht="15" customHeight="1">
      <c r="A5" s="44" t="s">
        <v>85</v>
      </c>
      <c r="B5" s="3" t="str">
        <f>IFERROR(VLOOKUP(C5,Master!$J:$K,2,0),"")</f>
        <v>B4410</v>
      </c>
      <c r="C5" s="44" t="s">
        <v>194</v>
      </c>
      <c r="D5" s="4" t="str">
        <f>IFERROR(VLOOKUP(E5,Master!$J:$K,2,0),"")</f>
        <v>B4410</v>
      </c>
      <c r="E5" s="44" t="s">
        <v>194</v>
      </c>
      <c r="F5" s="4">
        <f>IFERROR(VLOOKUP(G5,Master!B:C,2,0),"")</f>
        <v>7641103</v>
      </c>
      <c r="G5" s="44" t="s">
        <v>279</v>
      </c>
      <c r="H5" s="44" t="s">
        <v>537</v>
      </c>
      <c r="I5" s="3" t="str">
        <f>IFERROR(VLOOKUP(E5,Master!$J:$M,4,0),"")</f>
        <v>DIR</v>
      </c>
      <c r="J5" s="3" t="str">
        <f>IFERROR(VLOOKUP($E5,Master!$J:$M,3,0),"")</f>
        <v>MFG</v>
      </c>
      <c r="K5" s="47">
        <v>3500000</v>
      </c>
      <c r="L5" s="47">
        <v>3500000</v>
      </c>
      <c r="M5" s="47">
        <v>3500000</v>
      </c>
      <c r="N5" s="47">
        <v>3500000</v>
      </c>
      <c r="O5" s="47">
        <v>3500000</v>
      </c>
      <c r="P5" s="47">
        <v>3500000</v>
      </c>
      <c r="Q5" s="47">
        <v>3500000</v>
      </c>
      <c r="R5" s="47">
        <v>3500000</v>
      </c>
      <c r="S5" s="47">
        <v>3500000</v>
      </c>
      <c r="T5" s="47">
        <v>3500000</v>
      </c>
      <c r="U5" s="47">
        <v>3500000</v>
      </c>
      <c r="V5" s="47">
        <v>3500000</v>
      </c>
      <c r="W5" s="47">
        <v>3500000</v>
      </c>
      <c r="X5" s="47">
        <v>3500000</v>
      </c>
      <c r="Y5" s="47">
        <v>3500000</v>
      </c>
      <c r="AC5" s="26">
        <f t="shared" si="0"/>
        <v>21000000</v>
      </c>
      <c r="AD5" s="26">
        <f t="shared" si="1"/>
        <v>31500000</v>
      </c>
    </row>
    <row r="6" spans="1:35" ht="15" customHeight="1">
      <c r="A6" s="44" t="s">
        <v>85</v>
      </c>
      <c r="B6" s="3" t="str">
        <f>IFERROR(VLOOKUP(C6,Master!$J:$K,2,0),"")</f>
        <v>B4410</v>
      </c>
      <c r="C6" s="44" t="s">
        <v>194</v>
      </c>
      <c r="D6" s="4" t="str">
        <f>IFERROR(VLOOKUP(E6,Master!$J:$K,2,0),"")</f>
        <v>B4410</v>
      </c>
      <c r="E6" s="44" t="s">
        <v>194</v>
      </c>
      <c r="F6" s="4">
        <f>IFERROR(VLOOKUP(G6,Master!B:C,2,0),"")</f>
        <v>7641103</v>
      </c>
      <c r="G6" s="44" t="s">
        <v>279</v>
      </c>
      <c r="H6" s="44" t="s">
        <v>538</v>
      </c>
      <c r="I6" s="3" t="str">
        <f>IFERROR(VLOOKUP(E6,Master!$J:$M,4,0),"")</f>
        <v>DIR</v>
      </c>
      <c r="J6" s="3" t="str">
        <f>IFERROR(VLOOKUP($E6,Master!$J:$M,3,0),"")</f>
        <v>MFG</v>
      </c>
      <c r="N6" s="47">
        <v>2000000</v>
      </c>
      <c r="S6" s="47">
        <v>2000000</v>
      </c>
      <c r="W6" s="47">
        <v>2000000</v>
      </c>
      <c r="AC6" s="26">
        <f t="shared" si="0"/>
        <v>2000000</v>
      </c>
      <c r="AD6" s="26">
        <f t="shared" si="1"/>
        <v>4000000</v>
      </c>
    </row>
    <row r="7" spans="1:35" ht="15" customHeight="1">
      <c r="A7" s="44" t="s">
        <v>85</v>
      </c>
      <c r="B7" s="3" t="str">
        <f>IFERROR(VLOOKUP(C7,Master!$J:$K,2,0),"")</f>
        <v>B4410</v>
      </c>
      <c r="C7" s="44" t="s">
        <v>194</v>
      </c>
      <c r="D7" s="4" t="str">
        <f>IFERROR(VLOOKUP(E7,Master!$J:$K,2,0),"")</f>
        <v>B4410</v>
      </c>
      <c r="E7" s="44" t="s">
        <v>194</v>
      </c>
      <c r="F7" s="4">
        <f>IFERROR(VLOOKUP(G7,Master!B:C,2,0),"")</f>
        <v>7641103</v>
      </c>
      <c r="G7" s="44" t="s">
        <v>279</v>
      </c>
      <c r="H7" s="44" t="s">
        <v>539</v>
      </c>
      <c r="I7" s="3" t="str">
        <f>IFERROR(VLOOKUP(E7,Master!$J:$M,4,0),"")</f>
        <v>DIR</v>
      </c>
      <c r="J7" s="3" t="str">
        <f>IFERROR(VLOOKUP($E7,Master!$J:$M,3,0),"")</f>
        <v>MFG</v>
      </c>
      <c r="M7" s="47">
        <v>1000000</v>
      </c>
      <c r="O7" s="47">
        <v>2000000</v>
      </c>
      <c r="R7" s="47">
        <v>3000000</v>
      </c>
      <c r="X7" s="47">
        <v>3000000</v>
      </c>
      <c r="AC7" s="26">
        <f t="shared" si="0"/>
        <v>3000000</v>
      </c>
      <c r="AD7" s="26">
        <f t="shared" si="1"/>
        <v>6000000</v>
      </c>
    </row>
    <row r="8" spans="1:35" ht="15" customHeight="1">
      <c r="A8" s="44" t="s">
        <v>85</v>
      </c>
      <c r="B8" s="3" t="str">
        <f>IFERROR(VLOOKUP(C8,Master!$J:$K,2,0),"")</f>
        <v>B4410</v>
      </c>
      <c r="C8" s="44" t="s">
        <v>194</v>
      </c>
      <c r="D8" s="4" t="str">
        <f>IFERROR(VLOOKUP(E8,Master!$J:$K,2,0),"")</f>
        <v>B4410</v>
      </c>
      <c r="E8" s="44" t="s">
        <v>194</v>
      </c>
      <c r="F8" s="4">
        <f>IFERROR(VLOOKUP(G8,Master!B:C,2,0),"")</f>
        <v>7641103</v>
      </c>
      <c r="G8" s="44" t="s">
        <v>279</v>
      </c>
      <c r="H8" s="44" t="s">
        <v>540</v>
      </c>
      <c r="I8" s="3" t="str">
        <f>IFERROR(VLOOKUP(E8,Master!$J:$M,4,0),"")</f>
        <v>DIR</v>
      </c>
      <c r="J8" s="3" t="str">
        <f>IFERROR(VLOOKUP($E8,Master!$J:$M,3,0),"")</f>
        <v>MFG</v>
      </c>
      <c r="M8" s="47">
        <v>1500000</v>
      </c>
      <c r="S8" s="47">
        <v>1000000</v>
      </c>
      <c r="W8" s="47">
        <v>500000</v>
      </c>
      <c r="AC8" s="26">
        <f t="shared" si="0"/>
        <v>1500000</v>
      </c>
      <c r="AD8" s="26">
        <f t="shared" si="1"/>
        <v>1500000</v>
      </c>
    </row>
    <row r="9" spans="1:35" ht="15" customHeight="1">
      <c r="A9" s="44" t="s">
        <v>85</v>
      </c>
      <c r="B9" s="3" t="str">
        <f>IFERROR(VLOOKUP(C9,Master!$J:$K,2,0),"")</f>
        <v>B4410</v>
      </c>
      <c r="C9" s="44" t="s">
        <v>194</v>
      </c>
      <c r="D9" s="4" t="str">
        <f>IFERROR(VLOOKUP(E9,Master!$J:$K,2,0),"")</f>
        <v>B4410</v>
      </c>
      <c r="E9" s="44" t="s">
        <v>194</v>
      </c>
      <c r="F9" s="4">
        <f>IFERROR(VLOOKUP(G9,Master!B:C,2,0),"")</f>
        <v>7641103</v>
      </c>
      <c r="G9" s="44" t="s">
        <v>279</v>
      </c>
      <c r="H9" s="44" t="s">
        <v>541</v>
      </c>
      <c r="I9" s="3" t="str">
        <f>IFERROR(VLOOKUP(E9,Master!$J:$M,4,0),"")</f>
        <v>DIR</v>
      </c>
      <c r="J9" s="3" t="str">
        <f>IFERROR(VLOOKUP($E9,Master!$J:$M,3,0),"")</f>
        <v>MFG</v>
      </c>
      <c r="N9" s="47">
        <v>1700000</v>
      </c>
      <c r="T9" s="47">
        <v>1000000</v>
      </c>
      <c r="X9" s="47">
        <v>1000000</v>
      </c>
      <c r="AC9" s="26">
        <f t="shared" si="0"/>
        <v>1700000</v>
      </c>
      <c r="AD9" s="26">
        <f t="shared" si="1"/>
        <v>2000000</v>
      </c>
    </row>
    <row r="10" spans="1:35" ht="15" customHeight="1">
      <c r="A10" s="44" t="s">
        <v>85</v>
      </c>
      <c r="B10" s="3" t="str">
        <f>IFERROR(VLOOKUP(C10,Master!$J:$K,2,0),"")</f>
        <v>B4410</v>
      </c>
      <c r="C10" s="44" t="s">
        <v>194</v>
      </c>
      <c r="D10" s="4" t="str">
        <f>IFERROR(VLOOKUP(E10,Master!$J:$K,2,0),"")</f>
        <v>B4410</v>
      </c>
      <c r="E10" s="44" t="s">
        <v>194</v>
      </c>
      <c r="F10" s="4">
        <f>IFERROR(VLOOKUP(G10,Master!B:C,2,0),"")</f>
        <v>7691000</v>
      </c>
      <c r="G10" s="44" t="s">
        <v>310</v>
      </c>
      <c r="H10" s="44" t="s">
        <v>542</v>
      </c>
      <c r="I10" s="3" t="str">
        <f>IFERROR(VLOOKUP(E10,Master!$J:$M,4,0),"")</f>
        <v>DIR</v>
      </c>
      <c r="J10" s="3" t="str">
        <f>IFERROR(VLOOKUP($E10,Master!$J:$M,3,0),"")</f>
        <v>MFG</v>
      </c>
      <c r="M10" s="47">
        <v>100000</v>
      </c>
      <c r="P10" s="47">
        <v>100000</v>
      </c>
      <c r="S10" s="47">
        <v>200000</v>
      </c>
      <c r="V10" s="47">
        <v>200000</v>
      </c>
      <c r="Y10" s="47">
        <v>200000</v>
      </c>
      <c r="AC10" s="26">
        <f t="shared" si="0"/>
        <v>200000</v>
      </c>
      <c r="AD10" s="26">
        <f t="shared" si="1"/>
        <v>600000</v>
      </c>
    </row>
    <row r="11" spans="1:35" ht="15" customHeight="1">
      <c r="A11" s="44" t="s">
        <v>85</v>
      </c>
      <c r="B11" s="3" t="str">
        <f>IFERROR(VLOOKUP(C11,Master!$J:$K,2,0),"")</f>
        <v>B4410</v>
      </c>
      <c r="C11" s="44" t="s">
        <v>194</v>
      </c>
      <c r="D11" s="4" t="str">
        <f>IFERROR(VLOOKUP(E11,Master!$J:$K,2,0),"")</f>
        <v>B4410</v>
      </c>
      <c r="E11" s="44" t="s">
        <v>194</v>
      </c>
      <c r="F11" s="4">
        <f>IFERROR(VLOOKUP(G11,Master!B:C,2,0),"")</f>
        <v>7711102</v>
      </c>
      <c r="G11" s="44" t="s">
        <v>316</v>
      </c>
      <c r="H11" s="44" t="s">
        <v>543</v>
      </c>
      <c r="I11" s="3" t="str">
        <f>IFERROR(VLOOKUP(E11,Master!$J:$M,4,0),"")</f>
        <v>DIR</v>
      </c>
      <c r="J11" s="3" t="str">
        <f>IFERROR(VLOOKUP($E11,Master!$J:$M,3,0),"")</f>
        <v>MFG</v>
      </c>
      <c r="N11" s="47">
        <v>500000</v>
      </c>
      <c r="R11" s="47">
        <v>1000000</v>
      </c>
      <c r="AC11" s="26">
        <f t="shared" si="0"/>
        <v>500000</v>
      </c>
      <c r="AD11" s="26">
        <f t="shared" si="1"/>
        <v>1000000</v>
      </c>
    </row>
    <row r="12" spans="1:35" ht="15" customHeight="1">
      <c r="A12" s="44" t="s">
        <v>85</v>
      </c>
      <c r="B12" s="3" t="str">
        <f>IFERROR(VLOOKUP(C12,Master!$J:$K,2,0),"")</f>
        <v>B4410</v>
      </c>
      <c r="C12" s="44" t="s">
        <v>194</v>
      </c>
      <c r="D12" s="4" t="str">
        <f>IFERROR(VLOOKUP(E12,Master!$J:$K,2,0),"")</f>
        <v>B4410</v>
      </c>
      <c r="E12" s="44" t="s">
        <v>194</v>
      </c>
      <c r="F12" s="4">
        <f>IFERROR(VLOOKUP(G12,Master!B:C,2,0),"")</f>
        <v>7781101</v>
      </c>
      <c r="G12" s="44" t="s">
        <v>337</v>
      </c>
      <c r="H12" s="44" t="s">
        <v>544</v>
      </c>
      <c r="I12" s="3" t="str">
        <f>IFERROR(VLOOKUP(E12,Master!$J:$M,4,0),"")</f>
        <v>DIR</v>
      </c>
      <c r="J12" s="3" t="str">
        <f>IFERROR(VLOOKUP($E12,Master!$J:$M,3,0),"")</f>
        <v>MFG</v>
      </c>
      <c r="M12" s="47">
        <v>3000000</v>
      </c>
      <c r="S12" s="47">
        <v>5000000</v>
      </c>
      <c r="W12" s="47">
        <v>4000000</v>
      </c>
      <c r="AC12" s="26">
        <f t="shared" si="0"/>
        <v>3000000</v>
      </c>
      <c r="AD12" s="26">
        <f t="shared" si="1"/>
        <v>9000000</v>
      </c>
    </row>
    <row r="13" spans="1:35" ht="15" customHeight="1">
      <c r="A13" s="44" t="s">
        <v>85</v>
      </c>
      <c r="B13" s="3" t="str">
        <f>IFERROR(VLOOKUP(C13,Master!$J:$K,2,0),"")</f>
        <v>B4430</v>
      </c>
      <c r="C13" s="44" t="s">
        <v>199</v>
      </c>
      <c r="D13" s="4" t="str">
        <f>IFERROR(VLOOKUP(E13,Master!$J:$K,2,0),"")</f>
        <v>B4430</v>
      </c>
      <c r="E13" s="44" t="s">
        <v>199</v>
      </c>
      <c r="F13" s="4">
        <f>IFERROR(VLOOKUP(G13,Master!B:C,2,0),"")</f>
        <v>7151101</v>
      </c>
      <c r="G13" s="44" t="s">
        <v>428</v>
      </c>
      <c r="H13" s="44" t="s">
        <v>545</v>
      </c>
      <c r="I13" s="3" t="str">
        <f>IFERROR(VLOOKUP(E13,Master!$J:$M,4,0),"")</f>
        <v>DIR</v>
      </c>
      <c r="J13" s="3" t="str">
        <f>IFERROR(VLOOKUP($E13,Master!$J:$M,3,0),"")</f>
        <v>MFG</v>
      </c>
      <c r="AC13" s="26">
        <f t="shared" si="0"/>
        <v>0</v>
      </c>
      <c r="AD13" s="26">
        <f t="shared" si="1"/>
        <v>0</v>
      </c>
    </row>
    <row r="14" spans="1:35" ht="15" customHeight="1">
      <c r="A14" s="44" t="s">
        <v>85</v>
      </c>
      <c r="B14" s="3" t="str">
        <f>IFERROR(VLOOKUP(C14,Master!$J:$K,2,0),"")</f>
        <v>B4430</v>
      </c>
      <c r="C14" s="44" t="s">
        <v>199</v>
      </c>
      <c r="D14" s="4" t="str">
        <f>IFERROR(VLOOKUP(E14,Master!$J:$K,2,0),"")</f>
        <v>B4430</v>
      </c>
      <c r="E14" s="44" t="s">
        <v>199</v>
      </c>
      <c r="F14" s="4">
        <f>IFERROR(VLOOKUP(G14,Master!B:C,2,0),"")</f>
        <v>7515402</v>
      </c>
      <c r="G14" s="44" t="s">
        <v>129</v>
      </c>
      <c r="H14" s="44" t="s">
        <v>546</v>
      </c>
      <c r="I14" s="3" t="str">
        <f>IFERROR(VLOOKUP(E14,Master!$J:$M,4,0),"")</f>
        <v>DIR</v>
      </c>
      <c r="J14" s="3" t="str">
        <f>IFERROR(VLOOKUP($E14,Master!$J:$M,3,0),"")</f>
        <v>MFG</v>
      </c>
      <c r="AC14" s="26">
        <f t="shared" si="0"/>
        <v>0</v>
      </c>
      <c r="AD14" s="26">
        <f t="shared" si="1"/>
        <v>0</v>
      </c>
    </row>
    <row r="15" spans="1:35" ht="15" customHeight="1">
      <c r="A15" s="44" t="s">
        <v>85</v>
      </c>
      <c r="B15" s="3" t="str">
        <f>IFERROR(VLOOKUP(C15,Master!$J:$K,2,0),"")</f>
        <v>B4430</v>
      </c>
      <c r="C15" s="44" t="s">
        <v>199</v>
      </c>
      <c r="D15" s="4" t="str">
        <f>IFERROR(VLOOKUP(E15,Master!$J:$K,2,0),"")</f>
        <v>B4430</v>
      </c>
      <c r="E15" s="44" t="s">
        <v>199</v>
      </c>
      <c r="F15" s="4">
        <f>IFERROR(VLOOKUP(G15,Master!B:C,2,0),"")</f>
        <v>7515403</v>
      </c>
      <c r="G15" s="44" t="s">
        <v>134</v>
      </c>
      <c r="H15" s="44" t="s">
        <v>547</v>
      </c>
      <c r="I15" s="3" t="str">
        <f>IFERROR(VLOOKUP(E15,Master!$J:$M,4,0),"")</f>
        <v>DIR</v>
      </c>
      <c r="J15" s="3" t="str">
        <f>IFERROR(VLOOKUP($E15,Master!$J:$M,3,0),"")</f>
        <v>MFG</v>
      </c>
      <c r="O15" s="47">
        <v>500000</v>
      </c>
      <c r="W15" s="47">
        <v>1200000</v>
      </c>
      <c r="AC15" s="26">
        <f t="shared" si="0"/>
        <v>500000</v>
      </c>
      <c r="AD15" s="26">
        <f t="shared" si="1"/>
        <v>1200000</v>
      </c>
    </row>
    <row r="16" spans="1:35" ht="15" customHeight="1">
      <c r="A16" s="44" t="s">
        <v>85</v>
      </c>
      <c r="B16" s="3" t="str">
        <f>IFERROR(VLOOKUP(C16,Master!$J:$K,2,0),"")</f>
        <v>B4430</v>
      </c>
      <c r="C16" s="44" t="s">
        <v>199</v>
      </c>
      <c r="D16" s="4" t="str">
        <f>IFERROR(VLOOKUP(E16,Master!$J:$K,2,0),"")</f>
        <v>B4430</v>
      </c>
      <c r="E16" s="44" t="s">
        <v>199</v>
      </c>
      <c r="F16" s="4">
        <f>IFERROR(VLOOKUP(G16,Master!B:C,2,0),"")</f>
        <v>7515404</v>
      </c>
      <c r="G16" s="44" t="s">
        <v>141</v>
      </c>
      <c r="H16" s="44" t="s">
        <v>548</v>
      </c>
      <c r="I16" s="3" t="str">
        <f>IFERROR(VLOOKUP(E16,Master!$J:$M,4,0),"")</f>
        <v>DIR</v>
      </c>
      <c r="J16" s="3" t="str">
        <f>IFERROR(VLOOKUP($E16,Master!$J:$M,3,0),"")</f>
        <v>MFG</v>
      </c>
      <c r="P16" s="47">
        <v>1000000</v>
      </c>
      <c r="R16" s="47">
        <v>1000000</v>
      </c>
      <c r="T16" s="47">
        <v>1000000</v>
      </c>
      <c r="V16" s="47">
        <v>1000000</v>
      </c>
      <c r="X16" s="47">
        <v>2000000</v>
      </c>
      <c r="AC16" s="26">
        <f t="shared" si="0"/>
        <v>1000000</v>
      </c>
      <c r="AD16" s="26">
        <f t="shared" si="1"/>
        <v>5000000</v>
      </c>
    </row>
    <row r="17" spans="1:30" ht="15" customHeight="1">
      <c r="A17" s="44" t="s">
        <v>85</v>
      </c>
      <c r="B17" s="3" t="str">
        <f>IFERROR(VLOOKUP(C17,Master!$J:$K,2,0),"")</f>
        <v>B4430</v>
      </c>
      <c r="C17" s="44" t="s">
        <v>199</v>
      </c>
      <c r="D17" s="4" t="str">
        <f>IFERROR(VLOOKUP(E17,Master!$J:$K,2,0),"")</f>
        <v>B4430</v>
      </c>
      <c r="E17" s="44" t="s">
        <v>199</v>
      </c>
      <c r="F17" s="4">
        <f>IFERROR(VLOOKUP(G17,Master!B:C,2,0),"")</f>
        <v>7641103</v>
      </c>
      <c r="G17" s="44" t="s">
        <v>279</v>
      </c>
      <c r="H17" s="44" t="s">
        <v>549</v>
      </c>
      <c r="I17" s="3" t="str">
        <f>IFERROR(VLOOKUP(E17,Master!$J:$M,4,0),"")</f>
        <v>DIR</v>
      </c>
      <c r="J17" s="3" t="str">
        <f>IFERROR(VLOOKUP($E17,Master!$J:$M,3,0),"")</f>
        <v>MFG</v>
      </c>
      <c r="K17" s="47">
        <v>7600000</v>
      </c>
      <c r="L17" s="47">
        <v>7600000</v>
      </c>
      <c r="M17" s="47">
        <v>7600000</v>
      </c>
      <c r="N17" s="47">
        <v>7600000</v>
      </c>
      <c r="O17" s="47">
        <v>7600000</v>
      </c>
      <c r="P17" s="47">
        <v>7600000</v>
      </c>
      <c r="Q17" s="47">
        <v>8000000</v>
      </c>
      <c r="R17" s="47">
        <v>8000000</v>
      </c>
      <c r="S17" s="47">
        <v>8000000</v>
      </c>
      <c r="T17" s="47">
        <v>8000000</v>
      </c>
      <c r="U17" s="47">
        <v>8000000</v>
      </c>
      <c r="V17" s="47">
        <v>8000000</v>
      </c>
      <c r="W17" s="47">
        <v>8000000</v>
      </c>
      <c r="X17" s="47">
        <v>8000000</v>
      </c>
      <c r="Y17" s="47">
        <v>8000000</v>
      </c>
      <c r="Z17" s="47">
        <v>8000000</v>
      </c>
      <c r="AC17" s="26">
        <f t="shared" si="0"/>
        <v>45600000</v>
      </c>
      <c r="AD17" s="26">
        <f t="shared" si="1"/>
        <v>80000000</v>
      </c>
    </row>
    <row r="18" spans="1:30" ht="15" customHeight="1">
      <c r="A18" s="44" t="s">
        <v>85</v>
      </c>
      <c r="B18" s="3" t="str">
        <f>IFERROR(VLOOKUP(C18,Master!$J:$K,2,0),"")</f>
        <v>B4430</v>
      </c>
      <c r="C18" s="44" t="s">
        <v>199</v>
      </c>
      <c r="D18" s="4" t="str">
        <f>IFERROR(VLOOKUP(E18,Master!$J:$K,2,0),"")</f>
        <v>B4430</v>
      </c>
      <c r="E18" s="44" t="s">
        <v>199</v>
      </c>
      <c r="F18" s="4">
        <f>IFERROR(VLOOKUP(G18,Master!B:C,2,0),"")</f>
        <v>7641103</v>
      </c>
      <c r="G18" s="44" t="s">
        <v>279</v>
      </c>
      <c r="H18" s="44" t="s">
        <v>550</v>
      </c>
      <c r="I18" s="3" t="str">
        <f>IFERROR(VLOOKUP(E18,Master!$J:$M,4,0),"")</f>
        <v>DIR</v>
      </c>
      <c r="J18" s="3" t="str">
        <f>IFERROR(VLOOKUP($E18,Master!$J:$M,3,0),"")</f>
        <v>MFG</v>
      </c>
      <c r="K18" s="47">
        <v>760000</v>
      </c>
      <c r="L18" s="47">
        <v>760000</v>
      </c>
      <c r="M18" s="47">
        <v>760000</v>
      </c>
      <c r="N18" s="47">
        <v>760000</v>
      </c>
      <c r="O18" s="47">
        <v>760000</v>
      </c>
      <c r="P18" s="47">
        <v>760000</v>
      </c>
      <c r="Q18" s="47">
        <v>1000000</v>
      </c>
      <c r="R18" s="47">
        <v>1000000</v>
      </c>
      <c r="S18" s="47">
        <v>1000000</v>
      </c>
      <c r="T18" s="47">
        <v>1000000</v>
      </c>
      <c r="U18" s="47">
        <v>1000000</v>
      </c>
      <c r="V18" s="47">
        <v>1000000</v>
      </c>
      <c r="W18" s="47">
        <v>1000000</v>
      </c>
      <c r="X18" s="47">
        <v>1000000</v>
      </c>
      <c r="Y18" s="47">
        <v>800000</v>
      </c>
      <c r="Z18" s="47">
        <v>800000</v>
      </c>
      <c r="AC18" s="26">
        <f t="shared" si="0"/>
        <v>4560000</v>
      </c>
      <c r="AD18" s="26">
        <f t="shared" si="1"/>
        <v>9600000</v>
      </c>
    </row>
    <row r="19" spans="1:30" ht="15" customHeight="1">
      <c r="A19" s="44" t="s">
        <v>85</v>
      </c>
      <c r="B19" s="3" t="str">
        <f>IFERROR(VLOOKUP(C19,Master!$J:$K,2,0),"")</f>
        <v>B4430</v>
      </c>
      <c r="C19" s="44" t="s">
        <v>199</v>
      </c>
      <c r="D19" s="4" t="str">
        <f>IFERROR(VLOOKUP(E19,Master!$J:$K,2,0),"")</f>
        <v>B4430</v>
      </c>
      <c r="E19" s="44" t="s">
        <v>199</v>
      </c>
      <c r="F19" s="4">
        <f>IFERROR(VLOOKUP(G19,Master!B:C,2,0),"")</f>
        <v>7641103</v>
      </c>
      <c r="G19" s="44" t="s">
        <v>279</v>
      </c>
      <c r="H19" s="44" t="s">
        <v>551</v>
      </c>
      <c r="I19" s="3" t="str">
        <f>IFERROR(VLOOKUP(E19,Master!$J:$M,4,0),"")</f>
        <v>DIR</v>
      </c>
      <c r="J19" s="3" t="str">
        <f>IFERROR(VLOOKUP($E19,Master!$J:$M,3,0),"")</f>
        <v>MFG</v>
      </c>
      <c r="M19" s="47">
        <v>2000000</v>
      </c>
      <c r="O19" s="47">
        <v>1000000</v>
      </c>
      <c r="R19" s="47">
        <v>6000000</v>
      </c>
      <c r="V19" s="47">
        <v>6000000</v>
      </c>
      <c r="AC19" s="26">
        <f t="shared" si="0"/>
        <v>3000000</v>
      </c>
      <c r="AD19" s="26">
        <f t="shared" si="1"/>
        <v>12000000</v>
      </c>
    </row>
    <row r="20" spans="1:30" ht="15" customHeight="1">
      <c r="A20" s="44" t="s">
        <v>85</v>
      </c>
      <c r="B20" s="3" t="str">
        <f>IFERROR(VLOOKUP(C20,Master!$J:$K,2,0),"")</f>
        <v>B4430</v>
      </c>
      <c r="C20" s="44" t="s">
        <v>199</v>
      </c>
      <c r="D20" s="4" t="str">
        <f>IFERROR(VLOOKUP(E20,Master!$J:$K,2,0),"")</f>
        <v>B4430</v>
      </c>
      <c r="E20" s="44" t="s">
        <v>199</v>
      </c>
      <c r="F20" s="4">
        <f>IFERROR(VLOOKUP(G20,Master!B:C,2,0),"")</f>
        <v>7691000</v>
      </c>
      <c r="G20" s="44" t="s">
        <v>310</v>
      </c>
      <c r="H20" s="44" t="s">
        <v>552</v>
      </c>
      <c r="I20" s="3" t="str">
        <f>IFERROR(VLOOKUP(E20,Master!$J:$M,4,0),"")</f>
        <v>DIR</v>
      </c>
      <c r="J20" s="3" t="str">
        <f>IFERROR(VLOOKUP($E20,Master!$J:$M,3,0),"")</f>
        <v>MFG</v>
      </c>
      <c r="K20" s="47">
        <v>50000</v>
      </c>
      <c r="L20" s="47">
        <v>50000</v>
      </c>
      <c r="M20" s="47">
        <v>50000</v>
      </c>
      <c r="N20" s="47">
        <v>50000</v>
      </c>
      <c r="O20" s="47">
        <v>50000</v>
      </c>
      <c r="P20" s="47">
        <v>50000</v>
      </c>
      <c r="Q20" s="47">
        <v>200000</v>
      </c>
      <c r="R20" s="47">
        <v>200000</v>
      </c>
      <c r="S20" s="47">
        <v>200000</v>
      </c>
      <c r="T20" s="47">
        <v>200000</v>
      </c>
      <c r="U20" s="47">
        <v>200000</v>
      </c>
      <c r="V20" s="47">
        <v>200000</v>
      </c>
      <c r="W20" s="47">
        <v>200000</v>
      </c>
      <c r="X20" s="47">
        <v>200000</v>
      </c>
      <c r="Y20" s="47">
        <v>200000</v>
      </c>
      <c r="Z20" s="47">
        <v>200000</v>
      </c>
      <c r="AC20" s="26">
        <f t="shared" si="0"/>
        <v>300000</v>
      </c>
      <c r="AD20" s="26">
        <f t="shared" si="1"/>
        <v>2000000</v>
      </c>
    </row>
    <row r="21" spans="1:30" ht="15" customHeight="1">
      <c r="A21" s="44" t="s">
        <v>85</v>
      </c>
      <c r="B21" s="3" t="str">
        <f>IFERROR(VLOOKUP(C21,Master!$J:$K,2,0),"")</f>
        <v>B4430</v>
      </c>
      <c r="C21" s="44" t="s">
        <v>199</v>
      </c>
      <c r="D21" s="4" t="str">
        <f>IFERROR(VLOOKUP(E21,Master!$J:$K,2,0),"")</f>
        <v>B4430</v>
      </c>
      <c r="E21" s="44" t="s">
        <v>199</v>
      </c>
      <c r="F21" s="4">
        <f>IFERROR(VLOOKUP(G21,Master!B:C,2,0),"")</f>
        <v>7711102</v>
      </c>
      <c r="G21" s="44" t="s">
        <v>316</v>
      </c>
      <c r="H21" s="44" t="s">
        <v>553</v>
      </c>
      <c r="I21" s="3" t="str">
        <f>IFERROR(VLOOKUP(E21,Master!$J:$M,4,0),"")</f>
        <v>DIR</v>
      </c>
      <c r="J21" s="3" t="str">
        <f>IFERROR(VLOOKUP($E21,Master!$J:$M,3,0),"")</f>
        <v>MFG</v>
      </c>
      <c r="O21" s="47">
        <v>800000</v>
      </c>
      <c r="T21" s="47">
        <v>1000000</v>
      </c>
      <c r="X21" s="47">
        <v>600000</v>
      </c>
      <c r="AC21" s="26">
        <f t="shared" si="0"/>
        <v>800000</v>
      </c>
      <c r="AD21" s="26">
        <f t="shared" si="1"/>
        <v>1600000</v>
      </c>
    </row>
    <row r="22" spans="1:30" ht="15" customHeight="1">
      <c r="A22" s="44" t="s">
        <v>85</v>
      </c>
      <c r="B22" s="3" t="str">
        <f>IFERROR(VLOOKUP(C22,Master!$J:$K,2,0),"")</f>
        <v>B4430</v>
      </c>
      <c r="C22" s="44" t="s">
        <v>199</v>
      </c>
      <c r="D22" s="4" t="str">
        <f>IFERROR(VLOOKUP(E22,Master!$J:$K,2,0),"")</f>
        <v>B4430</v>
      </c>
      <c r="E22" s="44" t="s">
        <v>199</v>
      </c>
      <c r="F22" s="4">
        <f>IFERROR(VLOOKUP(G22,Master!B:C,2,0),"")</f>
        <v>7781101</v>
      </c>
      <c r="G22" s="44" t="s">
        <v>337</v>
      </c>
      <c r="H22" s="44" t="s">
        <v>554</v>
      </c>
      <c r="I22" s="3" t="str">
        <f>IFERROR(VLOOKUP(E22,Master!$J:$M,4,0),"")</f>
        <v>DIR</v>
      </c>
      <c r="J22" s="3" t="str">
        <f>IFERROR(VLOOKUP($E22,Master!$J:$M,3,0),"")</f>
        <v>MFG</v>
      </c>
      <c r="M22" s="47">
        <v>5000000</v>
      </c>
      <c r="R22" s="47">
        <v>6000000</v>
      </c>
      <c r="V22" s="47">
        <v>6000000</v>
      </c>
      <c r="AC22" s="26">
        <f t="shared" si="0"/>
        <v>5000000</v>
      </c>
      <c r="AD22" s="26">
        <f t="shared" si="1"/>
        <v>12000000</v>
      </c>
    </row>
    <row r="23" spans="1:30" ht="15" customHeight="1">
      <c r="A23" s="44" t="s">
        <v>85</v>
      </c>
      <c r="B23" s="3" t="str">
        <f>IFERROR(VLOOKUP(C23,Master!$J:$K,2,0),"")</f>
        <v>B4430</v>
      </c>
      <c r="C23" s="44" t="s">
        <v>199</v>
      </c>
      <c r="D23" s="4" t="str">
        <f>IFERROR(VLOOKUP(E23,Master!$J:$K,2,0),"")</f>
        <v>B4430</v>
      </c>
      <c r="E23" s="44" t="s">
        <v>199</v>
      </c>
      <c r="F23" s="4">
        <f>IFERROR(VLOOKUP(G23,Master!B:C,2,0),"")</f>
        <v>7781101</v>
      </c>
      <c r="G23" s="44" t="s">
        <v>337</v>
      </c>
      <c r="H23" s="44" t="s">
        <v>555</v>
      </c>
      <c r="I23" s="3" t="str">
        <f>IFERROR(VLOOKUP(E23,Master!$J:$M,4,0),"")</f>
        <v>DIR</v>
      </c>
      <c r="J23" s="3" t="str">
        <f>IFERROR(VLOOKUP($E23,Master!$J:$M,3,0),"")</f>
        <v>MFG</v>
      </c>
      <c r="N23" s="47">
        <v>1200000</v>
      </c>
      <c r="Q23" s="47">
        <v>7000000</v>
      </c>
      <c r="AC23" s="26">
        <f t="shared" si="0"/>
        <v>1200000</v>
      </c>
      <c r="AD23" s="26">
        <f t="shared" si="1"/>
        <v>7000000</v>
      </c>
    </row>
    <row r="24" spans="1:30" ht="15" customHeight="1">
      <c r="A24" s="44" t="s">
        <v>85</v>
      </c>
      <c r="B24" s="3" t="str">
        <f>IFERROR(VLOOKUP(C24,Master!$J:$K,2,0),"")</f>
        <v>B4440</v>
      </c>
      <c r="C24" s="44" t="s">
        <v>205</v>
      </c>
      <c r="D24" s="4" t="str">
        <f>IFERROR(VLOOKUP(E24,Master!$J:$K,2,0),"")</f>
        <v>B4440</v>
      </c>
      <c r="E24" s="44" t="s">
        <v>205</v>
      </c>
      <c r="F24" s="4">
        <f>IFERROR(VLOOKUP(G24,Master!B:C,2,0),"")</f>
        <v>7211103</v>
      </c>
      <c r="G24" s="44" t="s">
        <v>437</v>
      </c>
      <c r="H24" s="44" t="s">
        <v>556</v>
      </c>
      <c r="I24" s="3" t="str">
        <f>IFERROR(VLOOKUP(E24,Master!$J:$M,4,0),"")</f>
        <v>DIR</v>
      </c>
      <c r="J24" s="3" t="str">
        <f>IFERROR(VLOOKUP($E24,Master!$J:$M,3,0),"")</f>
        <v>MFG</v>
      </c>
      <c r="AC24" s="26">
        <f t="shared" si="0"/>
        <v>0</v>
      </c>
      <c r="AD24" s="26">
        <f t="shared" si="1"/>
        <v>0</v>
      </c>
    </row>
    <row r="25" spans="1:30" ht="15" customHeight="1">
      <c r="A25" s="44" t="s">
        <v>85</v>
      </c>
      <c r="B25" s="3" t="str">
        <f>IFERROR(VLOOKUP(C25,Master!$J:$K,2,0),"")</f>
        <v>B4440</v>
      </c>
      <c r="C25" s="44" t="s">
        <v>205</v>
      </c>
      <c r="D25" s="4" t="str">
        <f>IFERROR(VLOOKUP(E25,Master!$J:$K,2,0),"")</f>
        <v>B4440</v>
      </c>
      <c r="E25" s="44" t="s">
        <v>205</v>
      </c>
      <c r="F25" s="4">
        <f>IFERROR(VLOOKUP(G25,Master!B:C,2,0),"")</f>
        <v>7515403</v>
      </c>
      <c r="G25" s="44" t="s">
        <v>134</v>
      </c>
      <c r="H25" s="44" t="s">
        <v>547</v>
      </c>
      <c r="I25" s="3" t="str">
        <f>IFERROR(VLOOKUP(E25,Master!$J:$M,4,0),"")</f>
        <v>DIR</v>
      </c>
      <c r="J25" s="3" t="str">
        <f>IFERROR(VLOOKUP($E25,Master!$J:$M,3,0),"")</f>
        <v>MFG</v>
      </c>
      <c r="M25" s="47">
        <v>1000000</v>
      </c>
      <c r="S25" s="47">
        <v>1000000</v>
      </c>
      <c r="Y25" s="47">
        <v>1000000</v>
      </c>
      <c r="AC25" s="26">
        <f t="shared" si="0"/>
        <v>1000000</v>
      </c>
      <c r="AD25" s="26">
        <f t="shared" si="1"/>
        <v>2000000</v>
      </c>
    </row>
    <row r="26" spans="1:30" ht="15" customHeight="1">
      <c r="A26" s="44" t="s">
        <v>85</v>
      </c>
      <c r="B26" s="3" t="str">
        <f>IFERROR(VLOOKUP(C26,Master!$J:$K,2,0),"")</f>
        <v>B4440</v>
      </c>
      <c r="C26" s="44" t="s">
        <v>205</v>
      </c>
      <c r="D26" s="4" t="str">
        <f>IFERROR(VLOOKUP(E26,Master!$J:$K,2,0),"")</f>
        <v>B4440</v>
      </c>
      <c r="E26" s="44" t="s">
        <v>205</v>
      </c>
      <c r="F26" s="4">
        <f>IFERROR(VLOOKUP(G26,Master!B:C,2,0),"")</f>
        <v>7515404</v>
      </c>
      <c r="G26" s="44" t="s">
        <v>141</v>
      </c>
      <c r="H26" s="44" t="s">
        <v>548</v>
      </c>
      <c r="I26" s="3" t="str">
        <f>IFERROR(VLOOKUP(E26,Master!$J:$M,4,0),"")</f>
        <v>DIR</v>
      </c>
      <c r="J26" s="3" t="str">
        <f>IFERROR(VLOOKUP($E26,Master!$J:$M,3,0),"")</f>
        <v>MFG</v>
      </c>
      <c r="N26" s="47">
        <v>1000000</v>
      </c>
      <c r="S26" s="47">
        <v>1500000</v>
      </c>
      <c r="V26" s="47">
        <v>1500000</v>
      </c>
      <c r="Y26" s="47">
        <v>1500000</v>
      </c>
      <c r="AC26" s="26">
        <f t="shared" si="0"/>
        <v>1000000</v>
      </c>
      <c r="AD26" s="26">
        <f t="shared" si="1"/>
        <v>4500000</v>
      </c>
    </row>
    <row r="27" spans="1:30" ht="15" customHeight="1">
      <c r="A27" s="44" t="s">
        <v>85</v>
      </c>
      <c r="B27" s="3" t="str">
        <f>IFERROR(VLOOKUP(C27,Master!$J:$K,2,0),"")</f>
        <v>B4440</v>
      </c>
      <c r="C27" s="44" t="s">
        <v>205</v>
      </c>
      <c r="D27" s="4" t="str">
        <f>IFERROR(VLOOKUP(E27,Master!$J:$K,2,0),"")</f>
        <v>B4440</v>
      </c>
      <c r="E27" s="44" t="s">
        <v>205</v>
      </c>
      <c r="F27" s="4">
        <f>IFERROR(VLOOKUP(G27,Master!B:C,2,0),"")</f>
        <v>7641103</v>
      </c>
      <c r="G27" s="44" t="s">
        <v>279</v>
      </c>
      <c r="H27" s="44" t="s">
        <v>557</v>
      </c>
      <c r="I27" s="3" t="str">
        <f>IFERROR(VLOOKUP(E27,Master!$J:$M,4,0),"")</f>
        <v>DIR</v>
      </c>
      <c r="J27" s="3" t="str">
        <f>IFERROR(VLOOKUP($E27,Master!$J:$M,3,0),"")</f>
        <v>MFG</v>
      </c>
      <c r="M27" s="47">
        <v>500000</v>
      </c>
      <c r="U27" s="47">
        <v>2000000</v>
      </c>
      <c r="AC27" s="26">
        <f t="shared" si="0"/>
        <v>500000</v>
      </c>
      <c r="AD27" s="26">
        <f t="shared" si="1"/>
        <v>2000000</v>
      </c>
    </row>
    <row r="28" spans="1:30" ht="15" customHeight="1">
      <c r="A28" s="44" t="s">
        <v>85</v>
      </c>
      <c r="B28" s="3" t="str">
        <f>IFERROR(VLOOKUP(C28,Master!$J:$K,2,0),"")</f>
        <v>B4440</v>
      </c>
      <c r="C28" s="44" t="s">
        <v>205</v>
      </c>
      <c r="D28" s="4" t="str">
        <f>IFERROR(VLOOKUP(E28,Master!$J:$K,2,0),"")</f>
        <v>B4440</v>
      </c>
      <c r="E28" s="44" t="s">
        <v>205</v>
      </c>
      <c r="F28" s="4">
        <f>IFERROR(VLOOKUP(G28,Master!B:C,2,0),"")</f>
        <v>7691000</v>
      </c>
      <c r="G28" s="44" t="s">
        <v>310</v>
      </c>
      <c r="H28" s="44" t="s">
        <v>552</v>
      </c>
      <c r="I28" s="3" t="str">
        <f>IFERROR(VLOOKUP(E28,Master!$J:$M,4,0),"")</f>
        <v>DIR</v>
      </c>
      <c r="J28" s="3" t="str">
        <f>IFERROR(VLOOKUP($E28,Master!$J:$M,3,0),"")</f>
        <v>MFG</v>
      </c>
      <c r="N28" s="47">
        <v>100000</v>
      </c>
      <c r="R28" s="47">
        <v>200000</v>
      </c>
      <c r="X28" s="47">
        <v>200000</v>
      </c>
      <c r="AC28" s="26">
        <f t="shared" si="0"/>
        <v>100000</v>
      </c>
      <c r="AD28" s="26">
        <f t="shared" si="1"/>
        <v>400000</v>
      </c>
    </row>
    <row r="29" spans="1:30" ht="15" customHeight="1">
      <c r="A29" s="44" t="s">
        <v>85</v>
      </c>
      <c r="B29" s="3" t="str">
        <f>IFERROR(VLOOKUP(C29,Master!$J:$K,2,0),"")</f>
        <v>B4440</v>
      </c>
      <c r="C29" s="44" t="s">
        <v>205</v>
      </c>
      <c r="D29" s="4" t="str">
        <f>IFERROR(VLOOKUP(E29,Master!$J:$K,2,0),"")</f>
        <v>B4440</v>
      </c>
      <c r="E29" s="44" t="s">
        <v>205</v>
      </c>
      <c r="F29" s="4">
        <f>IFERROR(VLOOKUP(G29,Master!B:C,2,0),"")</f>
        <v>7781101</v>
      </c>
      <c r="G29" s="44" t="s">
        <v>337</v>
      </c>
      <c r="H29" s="44" t="s">
        <v>558</v>
      </c>
      <c r="I29" s="3" t="str">
        <f>IFERROR(VLOOKUP(E29,Master!$J:$M,4,0),"")</f>
        <v>DIR</v>
      </c>
      <c r="J29" s="3" t="str">
        <f>IFERROR(VLOOKUP($E29,Master!$J:$M,3,0),"")</f>
        <v>MFG</v>
      </c>
      <c r="M29" s="47">
        <v>1000000</v>
      </c>
      <c r="S29" s="47">
        <v>2000000</v>
      </c>
      <c r="AC29" s="26">
        <f t="shared" si="0"/>
        <v>1000000</v>
      </c>
      <c r="AD29" s="26">
        <f t="shared" si="1"/>
        <v>2000000</v>
      </c>
    </row>
    <row r="30" spans="1:30" ht="15" customHeight="1">
      <c r="A30" s="44" t="s">
        <v>85</v>
      </c>
      <c r="B30" s="3" t="str">
        <f>IFERROR(VLOOKUP(C30,Master!$J:$K,2,0),"")</f>
        <v>B4440</v>
      </c>
      <c r="C30" s="44" t="s">
        <v>205</v>
      </c>
      <c r="D30" s="4" t="str">
        <f>IFERROR(VLOOKUP(E30,Master!$J:$K,2,0),"")</f>
        <v>B4440</v>
      </c>
      <c r="E30" s="44" t="s">
        <v>205</v>
      </c>
      <c r="F30" s="4">
        <f>IFERROR(VLOOKUP(G30,Master!B:C,2,0),"")</f>
        <v>7641103</v>
      </c>
      <c r="G30" s="44" t="s">
        <v>279</v>
      </c>
      <c r="H30" s="44" t="s">
        <v>559</v>
      </c>
      <c r="I30" s="3" t="str">
        <f>IFERROR(VLOOKUP(E30,Master!$J:$M,4,0),"")</f>
        <v>DIR</v>
      </c>
      <c r="J30" s="3" t="str">
        <f>IFERROR(VLOOKUP($E30,Master!$J:$M,3,0),"")</f>
        <v>MFG</v>
      </c>
      <c r="N30" s="47">
        <v>700000</v>
      </c>
      <c r="R30" s="47">
        <v>1500000</v>
      </c>
      <c r="X30" s="47">
        <v>1500000</v>
      </c>
      <c r="AC30" s="26">
        <f t="shared" si="0"/>
        <v>700000</v>
      </c>
      <c r="AD30" s="26">
        <f t="shared" si="1"/>
        <v>3000000</v>
      </c>
    </row>
    <row r="31" spans="1:30" ht="15" customHeight="1">
      <c r="B31" s="3" t="str">
        <f>IFERROR(VLOOKUP(C31,Master!$J:$K,2,0),"")</f>
        <v/>
      </c>
      <c r="D31" s="4" t="str">
        <f>IFERROR(VLOOKUP(E31,Master!$J:$K,2,0),"")</f>
        <v/>
      </c>
      <c r="F31" s="4" t="str">
        <f>IFERROR(VLOOKUP(G31,Master!B:C,2,0),"")</f>
        <v/>
      </c>
      <c r="I31" s="3" t="str">
        <f>IFERROR(VLOOKUP(E31,Master!$J:$M,4,0),"")</f>
        <v/>
      </c>
      <c r="J31" s="3" t="str">
        <f>IFERROR(VLOOKUP($E31,Master!$J:$M,3,0),"")</f>
        <v/>
      </c>
      <c r="AC31" s="26">
        <f t="shared" si="0"/>
        <v>0</v>
      </c>
      <c r="AD31" s="26">
        <f t="shared" si="1"/>
        <v>0</v>
      </c>
    </row>
    <row r="32" spans="1:30" ht="15" customHeight="1">
      <c r="B32" s="3" t="str">
        <f>IFERROR(VLOOKUP(C32,Master!$J:$K,2,0),"")</f>
        <v/>
      </c>
      <c r="D32" s="4" t="str">
        <f>IFERROR(VLOOKUP(E32,Master!$J:$K,2,0),"")</f>
        <v/>
      </c>
      <c r="F32" s="4" t="str">
        <f>IFERROR(VLOOKUP(G32,Master!B:C,2,0),"")</f>
        <v/>
      </c>
      <c r="I32" s="3" t="str">
        <f>IFERROR(VLOOKUP(E32,Master!$J:$M,4,0),"")</f>
        <v/>
      </c>
      <c r="J32" s="3" t="str">
        <f>IFERROR(VLOOKUP($E32,Master!$J:$M,3,0),"")</f>
        <v/>
      </c>
      <c r="AC32" s="26">
        <f t="shared" si="0"/>
        <v>0</v>
      </c>
      <c r="AD32" s="26">
        <f t="shared" si="1"/>
        <v>0</v>
      </c>
    </row>
    <row r="33" spans="2:30" ht="15" customHeight="1">
      <c r="B33" s="3" t="str">
        <f>IFERROR(VLOOKUP(C33,Master!$J:$K,2,0),"")</f>
        <v/>
      </c>
      <c r="D33" s="4" t="str">
        <f>IFERROR(VLOOKUP(E33,Master!$J:$K,2,0),"")</f>
        <v/>
      </c>
      <c r="F33" s="4" t="str">
        <f>IFERROR(VLOOKUP(G33,Master!B:C,2,0),"")</f>
        <v/>
      </c>
      <c r="I33" s="3" t="str">
        <f>IFERROR(VLOOKUP(E33,Master!$J:$M,4,0),"")</f>
        <v/>
      </c>
      <c r="J33" s="3" t="str">
        <f>IFERROR(VLOOKUP($E33,Master!$J:$M,3,0),"")</f>
        <v/>
      </c>
      <c r="AC33" s="26">
        <f t="shared" si="0"/>
        <v>0</v>
      </c>
      <c r="AD33" s="26">
        <f t="shared" si="1"/>
        <v>0</v>
      </c>
    </row>
    <row r="34" spans="2:30" ht="15" customHeight="1">
      <c r="B34" s="3" t="str">
        <f>IFERROR(VLOOKUP(C34,Master!$J:$K,2,0),"")</f>
        <v/>
      </c>
      <c r="D34" s="4" t="str">
        <f>IFERROR(VLOOKUP(E34,Master!$J:$K,2,0),"")</f>
        <v/>
      </c>
      <c r="F34" s="4" t="str">
        <f>IFERROR(VLOOKUP(G34,Master!B:C,2,0),"")</f>
        <v/>
      </c>
      <c r="I34" s="3" t="str">
        <f>IFERROR(VLOOKUP(E34,Master!$J:$M,4,0),"")</f>
        <v/>
      </c>
      <c r="J34" s="3" t="str">
        <f>IFERROR(VLOOKUP($E34,Master!$J:$M,3,0),"")</f>
        <v/>
      </c>
      <c r="AC34" s="26">
        <f t="shared" si="0"/>
        <v>0</v>
      </c>
      <c r="AD34" s="26">
        <f t="shared" si="1"/>
        <v>0</v>
      </c>
    </row>
    <row r="35" spans="2:30" ht="15" customHeight="1">
      <c r="B35" s="3" t="str">
        <f>IFERROR(VLOOKUP(C35,Master!$J:$K,2,0),"")</f>
        <v/>
      </c>
      <c r="D35" s="4" t="str">
        <f>IFERROR(VLOOKUP(E35,Master!$J:$K,2,0),"")</f>
        <v/>
      </c>
      <c r="F35" s="4" t="str">
        <f>IFERROR(VLOOKUP(G35,Master!B:C,2,0),"")</f>
        <v/>
      </c>
      <c r="I35" s="3" t="str">
        <f>IFERROR(VLOOKUP(E35,Master!$J:$M,4,0),"")</f>
        <v/>
      </c>
      <c r="J35" s="3" t="str">
        <f>IFERROR(VLOOKUP($E35,Master!$J:$M,3,0),"")</f>
        <v/>
      </c>
      <c r="AC35" s="26">
        <f t="shared" si="0"/>
        <v>0</v>
      </c>
      <c r="AD35" s="26">
        <f t="shared" si="1"/>
        <v>0</v>
      </c>
    </row>
    <row r="36" spans="2:30" ht="15" customHeight="1">
      <c r="B36" s="3" t="str">
        <f>IFERROR(VLOOKUP(C36,Master!$J:$K,2,0),"")</f>
        <v/>
      </c>
      <c r="D36" s="4" t="str">
        <f>IFERROR(VLOOKUP(E36,Master!$J:$K,2,0),"")</f>
        <v/>
      </c>
      <c r="F36" s="4" t="str">
        <f>IFERROR(VLOOKUP(G36,Master!B:C,2,0),"")</f>
        <v/>
      </c>
      <c r="I36" s="3" t="str">
        <f>IFERROR(VLOOKUP(E36,Master!$J:$M,4,0),"")</f>
        <v/>
      </c>
      <c r="J36" s="3" t="str">
        <f>IFERROR(VLOOKUP($E36,Master!$J:$M,3,0),"")</f>
        <v/>
      </c>
      <c r="AC36" s="26">
        <f t="shared" si="0"/>
        <v>0</v>
      </c>
      <c r="AD36" s="26">
        <f t="shared" si="1"/>
        <v>0</v>
      </c>
    </row>
    <row r="37" spans="2:30" ht="15" customHeight="1">
      <c r="B37" s="3" t="str">
        <f>IFERROR(VLOOKUP(C37,Master!$J:$K,2,0),"")</f>
        <v/>
      </c>
      <c r="D37" s="4" t="str">
        <f>IFERROR(VLOOKUP(E37,Master!$J:$K,2,0),"")</f>
        <v/>
      </c>
      <c r="F37" s="4" t="str">
        <f>IFERROR(VLOOKUP(G37,Master!B:C,2,0),"")</f>
        <v/>
      </c>
      <c r="I37" s="3" t="str">
        <f>IFERROR(VLOOKUP(E37,Master!$J:$M,4,0),"")</f>
        <v/>
      </c>
      <c r="J37" s="3" t="str">
        <f>IFERROR(VLOOKUP($E37,Master!$J:$M,3,0),"")</f>
        <v/>
      </c>
      <c r="AC37" s="26">
        <f t="shared" si="0"/>
        <v>0</v>
      </c>
      <c r="AD37" s="26">
        <f t="shared" si="1"/>
        <v>0</v>
      </c>
    </row>
    <row r="38" spans="2:30" ht="15" customHeight="1">
      <c r="B38" s="3" t="str">
        <f>IFERROR(VLOOKUP(C38,Master!$J:$K,2,0),"")</f>
        <v/>
      </c>
      <c r="D38" s="4" t="str">
        <f>IFERROR(VLOOKUP(E38,Master!$J:$K,2,0),"")</f>
        <v/>
      </c>
      <c r="F38" s="4" t="str">
        <f>IFERROR(VLOOKUP(G38,Master!B:C,2,0),"")</f>
        <v/>
      </c>
      <c r="I38" s="3" t="str">
        <f>IFERROR(VLOOKUP(E38,Master!$J:$M,4,0),"")</f>
        <v/>
      </c>
      <c r="J38" s="3" t="str">
        <f>IFERROR(VLOOKUP($E38,Master!$J:$M,3,0),"")</f>
        <v/>
      </c>
      <c r="AC38" s="26">
        <f t="shared" si="0"/>
        <v>0</v>
      </c>
      <c r="AD38" s="26">
        <f t="shared" si="1"/>
        <v>0</v>
      </c>
    </row>
    <row r="39" spans="2:30" ht="15" customHeight="1">
      <c r="B39" s="3" t="str">
        <f>IFERROR(VLOOKUP(C39,Master!$J:$K,2,0),"")</f>
        <v/>
      </c>
      <c r="D39" s="4" t="str">
        <f>IFERROR(VLOOKUP(E39,Master!$J:$K,2,0),"")</f>
        <v/>
      </c>
      <c r="F39" s="4" t="str">
        <f>IFERROR(VLOOKUP(G39,Master!B:C,2,0),"")</f>
        <v/>
      </c>
      <c r="I39" s="3" t="str">
        <f>IFERROR(VLOOKUP(E39,Master!$J:$M,4,0),"")</f>
        <v/>
      </c>
      <c r="J39" s="3" t="str">
        <f>IFERROR(VLOOKUP($E39,Master!$J:$M,3,0),"")</f>
        <v/>
      </c>
      <c r="AC39" s="26">
        <f t="shared" si="0"/>
        <v>0</v>
      </c>
      <c r="AD39" s="26">
        <f t="shared" si="1"/>
        <v>0</v>
      </c>
    </row>
    <row r="40" spans="2:30" ht="15" customHeight="1">
      <c r="B40" s="3" t="str">
        <f>IFERROR(VLOOKUP(C40,Master!$J:$K,2,0),"")</f>
        <v/>
      </c>
      <c r="D40" s="4" t="str">
        <f>IFERROR(VLOOKUP(E40,Master!$J:$K,2,0),"")</f>
        <v/>
      </c>
      <c r="F40" s="4" t="str">
        <f>IFERROR(VLOOKUP(G40,Master!B:C,2,0),"")</f>
        <v/>
      </c>
      <c r="I40" s="3" t="str">
        <f>IFERROR(VLOOKUP(E40,Master!$J:$M,4,0),"")</f>
        <v/>
      </c>
      <c r="J40" s="3" t="str">
        <f>IFERROR(VLOOKUP($E40,Master!$J:$M,3,0),"")</f>
        <v/>
      </c>
      <c r="AC40" s="26">
        <f t="shared" si="0"/>
        <v>0</v>
      </c>
      <c r="AD40" s="26">
        <f t="shared" si="1"/>
        <v>0</v>
      </c>
    </row>
    <row r="41" spans="2:30" ht="15" customHeight="1">
      <c r="B41" s="3" t="str">
        <f>IFERROR(VLOOKUP(C41,Master!$J:$K,2,0),"")</f>
        <v/>
      </c>
      <c r="D41" s="4" t="str">
        <f>IFERROR(VLOOKUP(E41,Master!$J:$K,2,0),"")</f>
        <v/>
      </c>
      <c r="F41" s="4" t="str">
        <f>IFERROR(VLOOKUP(G41,Master!B:C,2,0),"")</f>
        <v/>
      </c>
      <c r="I41" s="3" t="str">
        <f>IFERROR(VLOOKUP(E41,Master!$J:$M,4,0),"")</f>
        <v/>
      </c>
      <c r="J41" s="3" t="str">
        <f>IFERROR(VLOOKUP($E41,Master!$J:$M,3,0),"")</f>
        <v/>
      </c>
      <c r="AC41" s="26">
        <f t="shared" si="0"/>
        <v>0</v>
      </c>
      <c r="AD41" s="26">
        <f t="shared" si="1"/>
        <v>0</v>
      </c>
    </row>
    <row r="42" spans="2:30" ht="15" customHeight="1">
      <c r="B42" s="3" t="str">
        <f>IFERROR(VLOOKUP(C42,Master!$J:$K,2,0),"")</f>
        <v/>
      </c>
      <c r="D42" s="4" t="str">
        <f>IFERROR(VLOOKUP(E42,Master!$J:$K,2,0),"")</f>
        <v/>
      </c>
      <c r="F42" s="4" t="str">
        <f>IFERROR(VLOOKUP(G42,Master!B:C,2,0),"")</f>
        <v/>
      </c>
      <c r="I42" s="3" t="str">
        <f>IFERROR(VLOOKUP(E42,Master!$J:$M,4,0),"")</f>
        <v/>
      </c>
      <c r="J42" s="3" t="str">
        <f>IFERROR(VLOOKUP($E42,Master!$J:$M,3,0),"")</f>
        <v/>
      </c>
      <c r="AC42" s="26">
        <f t="shared" si="0"/>
        <v>0</v>
      </c>
      <c r="AD42" s="26">
        <f t="shared" si="1"/>
        <v>0</v>
      </c>
    </row>
    <row r="43" spans="2:30" ht="15" customHeight="1">
      <c r="B43" s="3" t="str">
        <f>IFERROR(VLOOKUP(C43,Master!$J:$K,2,0),"")</f>
        <v/>
      </c>
      <c r="D43" s="4" t="str">
        <f>IFERROR(VLOOKUP(E43,Master!$J:$K,2,0),"")</f>
        <v/>
      </c>
      <c r="F43" s="4" t="str">
        <f>IFERROR(VLOOKUP(G43,Master!B:C,2,0),"")</f>
        <v/>
      </c>
      <c r="I43" s="3" t="str">
        <f>IFERROR(VLOOKUP(E43,Master!$J:$M,4,0),"")</f>
        <v/>
      </c>
      <c r="J43" s="3" t="str">
        <f>IFERROR(VLOOKUP($E43,Master!$J:$M,3,0),"")</f>
        <v/>
      </c>
      <c r="AC43" s="26">
        <f t="shared" si="0"/>
        <v>0</v>
      </c>
      <c r="AD43" s="26">
        <f t="shared" si="1"/>
        <v>0</v>
      </c>
    </row>
    <row r="44" spans="2:30" ht="15" customHeight="1">
      <c r="B44" s="3" t="str">
        <f>IFERROR(VLOOKUP(C44,Master!$J:$K,2,0),"")</f>
        <v/>
      </c>
      <c r="D44" s="4" t="str">
        <f>IFERROR(VLOOKUP(E44,Master!$J:$K,2,0),"")</f>
        <v/>
      </c>
      <c r="F44" s="4" t="str">
        <f>IFERROR(VLOOKUP(G44,Master!B:C,2,0),"")</f>
        <v/>
      </c>
      <c r="I44" s="3" t="str">
        <f>IFERROR(VLOOKUP(E44,Master!$J:$M,4,0),"")</f>
        <v/>
      </c>
      <c r="J44" s="3" t="str">
        <f>IFERROR(VLOOKUP($E44,Master!$J:$M,3,0),"")</f>
        <v/>
      </c>
      <c r="AC44" s="26">
        <f t="shared" si="0"/>
        <v>0</v>
      </c>
      <c r="AD44" s="26">
        <f t="shared" si="1"/>
        <v>0</v>
      </c>
    </row>
    <row r="45" spans="2:30" ht="15" customHeight="1">
      <c r="B45" s="3" t="str">
        <f>IFERROR(VLOOKUP(C45,Master!$J:$K,2,0),"")</f>
        <v/>
      </c>
      <c r="D45" s="4" t="str">
        <f>IFERROR(VLOOKUP(E45,Master!$J:$K,2,0),"")</f>
        <v/>
      </c>
      <c r="F45" s="4" t="str">
        <f>IFERROR(VLOOKUP(G45,Master!B:C,2,0),"")</f>
        <v/>
      </c>
      <c r="I45" s="3" t="str">
        <f>IFERROR(VLOOKUP(E45,Master!$J:$M,4,0),"")</f>
        <v/>
      </c>
      <c r="J45" s="3" t="str">
        <f>IFERROR(VLOOKUP($E45,Master!$J:$M,3,0),"")</f>
        <v/>
      </c>
      <c r="AC45" s="26">
        <f t="shared" si="0"/>
        <v>0</v>
      </c>
      <c r="AD45" s="26">
        <f t="shared" si="1"/>
        <v>0</v>
      </c>
    </row>
    <row r="46" spans="2:30" ht="15" customHeight="1">
      <c r="B46" s="3" t="str">
        <f>IFERROR(VLOOKUP(C46,Master!$J:$K,2,0),"")</f>
        <v/>
      </c>
      <c r="D46" s="4" t="str">
        <f>IFERROR(VLOOKUP(E46,Master!$J:$K,2,0),"")</f>
        <v/>
      </c>
      <c r="F46" s="4" t="str">
        <f>IFERROR(VLOOKUP(G46,Master!B:C,2,0),"")</f>
        <v/>
      </c>
      <c r="I46" s="3" t="str">
        <f>IFERROR(VLOOKUP(E46,Master!$J:$M,4,0),"")</f>
        <v/>
      </c>
      <c r="J46" s="3" t="str">
        <f>IFERROR(VLOOKUP($E46,Master!$J:$M,3,0),"")</f>
        <v/>
      </c>
      <c r="AC46" s="26">
        <f t="shared" si="0"/>
        <v>0</v>
      </c>
      <c r="AD46" s="26">
        <f t="shared" si="1"/>
        <v>0</v>
      </c>
    </row>
    <row r="47" spans="2:30" ht="15" customHeight="1">
      <c r="B47" s="3" t="str">
        <f>IFERROR(VLOOKUP(C47,Master!$J:$K,2,0),"")</f>
        <v/>
      </c>
      <c r="D47" s="4" t="str">
        <f>IFERROR(VLOOKUP(E47,Master!$J:$K,2,0),"")</f>
        <v/>
      </c>
      <c r="F47" s="4" t="str">
        <f>IFERROR(VLOOKUP(G47,Master!B:C,2,0),"")</f>
        <v/>
      </c>
      <c r="I47" s="3" t="str">
        <f>IFERROR(VLOOKUP(E47,Master!$J:$M,4,0),"")</f>
        <v/>
      </c>
      <c r="J47" s="3" t="str">
        <f>IFERROR(VLOOKUP($E47,Master!$J:$M,3,0),"")</f>
        <v/>
      </c>
      <c r="AC47" s="26">
        <f t="shared" si="0"/>
        <v>0</v>
      </c>
      <c r="AD47" s="26">
        <f t="shared" si="1"/>
        <v>0</v>
      </c>
    </row>
    <row r="48" spans="2:30" ht="15" customHeight="1">
      <c r="B48" s="3" t="str">
        <f>IFERROR(VLOOKUP(C48,Master!$J:$K,2,0),"")</f>
        <v/>
      </c>
      <c r="D48" s="4" t="str">
        <f>IFERROR(VLOOKUP(E48,Master!$J:$K,2,0),"")</f>
        <v/>
      </c>
      <c r="F48" s="4" t="str">
        <f>IFERROR(VLOOKUP(G48,Master!B:C,2,0),"")</f>
        <v/>
      </c>
      <c r="I48" s="3" t="str">
        <f>IFERROR(VLOOKUP(E48,Master!$J:$M,4,0),"")</f>
        <v/>
      </c>
      <c r="J48" s="3" t="str">
        <f>IFERROR(VLOOKUP($E48,Master!$J:$M,3,0),"")</f>
        <v/>
      </c>
      <c r="AC48" s="26">
        <f t="shared" si="0"/>
        <v>0</v>
      </c>
      <c r="AD48" s="26">
        <f t="shared" si="1"/>
        <v>0</v>
      </c>
    </row>
    <row r="49" spans="2:30" ht="15" customHeight="1">
      <c r="B49" s="3" t="str">
        <f>IFERROR(VLOOKUP(C49,Master!$J:$K,2,0),"")</f>
        <v/>
      </c>
      <c r="D49" s="4" t="str">
        <f>IFERROR(VLOOKUP(E49,Master!$J:$K,2,0),"")</f>
        <v/>
      </c>
      <c r="F49" s="4" t="str">
        <f>IFERROR(VLOOKUP(G49,Master!B:C,2,0),"")</f>
        <v/>
      </c>
      <c r="I49" s="3" t="str">
        <f>IFERROR(VLOOKUP(E49,Master!$J:$M,4,0),"")</f>
        <v/>
      </c>
      <c r="J49" s="3" t="str">
        <f>IFERROR(VLOOKUP($E49,Master!$J:$M,3,0),"")</f>
        <v/>
      </c>
      <c r="AC49" s="26">
        <f t="shared" si="0"/>
        <v>0</v>
      </c>
      <c r="AD49" s="26">
        <f t="shared" si="1"/>
        <v>0</v>
      </c>
    </row>
    <row r="50" spans="2:30" ht="15" customHeight="1">
      <c r="B50" s="3" t="str">
        <f>IFERROR(VLOOKUP(C50,Master!$J:$K,2,0),"")</f>
        <v/>
      </c>
      <c r="D50" s="4" t="str">
        <f>IFERROR(VLOOKUP(E50,Master!$J:$K,2,0),"")</f>
        <v/>
      </c>
      <c r="F50" s="4" t="str">
        <f>IFERROR(VLOOKUP(G50,Master!B:C,2,0),"")</f>
        <v/>
      </c>
      <c r="I50" s="3" t="str">
        <f>IFERROR(VLOOKUP(E50,Master!$J:$M,4,0),"")</f>
        <v/>
      </c>
      <c r="J50" s="3" t="str">
        <f>IFERROR(VLOOKUP($E50,Master!$J:$M,3,0),"")</f>
        <v/>
      </c>
      <c r="AC50" s="26">
        <f t="shared" si="0"/>
        <v>0</v>
      </c>
      <c r="AD50" s="26">
        <f t="shared" si="1"/>
        <v>0</v>
      </c>
    </row>
    <row r="51" spans="2:30" ht="15" customHeight="1">
      <c r="B51" s="3" t="str">
        <f>IFERROR(VLOOKUP(C51,Master!$J:$K,2,0),"")</f>
        <v/>
      </c>
      <c r="D51" s="4" t="str">
        <f>IFERROR(VLOOKUP(E51,Master!$J:$K,2,0),"")</f>
        <v/>
      </c>
      <c r="F51" s="4" t="str">
        <f>IFERROR(VLOOKUP(G51,Master!B:C,2,0),"")</f>
        <v/>
      </c>
      <c r="I51" s="3" t="str">
        <f>IFERROR(VLOOKUP(E51,Master!$J:$M,4,0),"")</f>
        <v/>
      </c>
      <c r="J51" s="3" t="str">
        <f>IFERROR(VLOOKUP($E51,Master!$J:$M,3,0),"")</f>
        <v/>
      </c>
      <c r="AC51" s="26">
        <f t="shared" si="0"/>
        <v>0</v>
      </c>
      <c r="AD51" s="26">
        <f t="shared" si="1"/>
        <v>0</v>
      </c>
    </row>
    <row r="52" spans="2:30" ht="15" customHeight="1">
      <c r="B52" s="3" t="str">
        <f>IFERROR(VLOOKUP(C52,Master!$J:$K,2,0),"")</f>
        <v/>
      </c>
      <c r="D52" s="4" t="str">
        <f>IFERROR(VLOOKUP(E52,Master!$J:$K,2,0),"")</f>
        <v/>
      </c>
      <c r="F52" s="4" t="str">
        <f>IFERROR(VLOOKUP(G52,Master!B:C,2,0),"")</f>
        <v/>
      </c>
      <c r="I52" s="3" t="str">
        <f>IFERROR(VLOOKUP(E52,Master!$J:$M,4,0),"")</f>
        <v/>
      </c>
      <c r="J52" s="3" t="str">
        <f>IFERROR(VLOOKUP($E52,Master!$J:$M,3,0),"")</f>
        <v/>
      </c>
      <c r="AC52" s="26">
        <f t="shared" si="0"/>
        <v>0</v>
      </c>
      <c r="AD52" s="26">
        <f t="shared" si="1"/>
        <v>0</v>
      </c>
    </row>
    <row r="53" spans="2:30" ht="15" customHeight="1">
      <c r="B53" s="3" t="str">
        <f>IFERROR(VLOOKUP(C53,Master!$J:$K,2,0),"")</f>
        <v/>
      </c>
      <c r="D53" s="4" t="str">
        <f>IFERROR(VLOOKUP(E53,Master!$J:$K,2,0),"")</f>
        <v/>
      </c>
      <c r="F53" s="4" t="str">
        <f>IFERROR(VLOOKUP(G53,Master!B:C,2,0),"")</f>
        <v/>
      </c>
      <c r="I53" s="3" t="str">
        <f>IFERROR(VLOOKUP(E53,Master!$J:$M,4,0),"")</f>
        <v/>
      </c>
      <c r="J53" s="3" t="str">
        <f>IFERROR(VLOOKUP($E53,Master!$J:$M,3,0),"")</f>
        <v/>
      </c>
      <c r="AC53" s="26">
        <f t="shared" si="0"/>
        <v>0</v>
      </c>
      <c r="AD53" s="26">
        <f t="shared" si="1"/>
        <v>0</v>
      </c>
    </row>
    <row r="54" spans="2:30" ht="15" customHeight="1">
      <c r="B54" s="3" t="str">
        <f>IFERROR(VLOOKUP(C54,Master!$J:$K,2,0),"")</f>
        <v/>
      </c>
      <c r="D54" s="4" t="str">
        <f>IFERROR(VLOOKUP(E54,Master!$J:$K,2,0),"")</f>
        <v/>
      </c>
      <c r="F54" s="4" t="str">
        <f>IFERROR(VLOOKUP(G54,Master!B:C,2,0),"")</f>
        <v/>
      </c>
      <c r="I54" s="3" t="str">
        <f>IFERROR(VLOOKUP(E54,Master!$J:$M,4,0),"")</f>
        <v/>
      </c>
      <c r="J54" s="3" t="str">
        <f>IFERROR(VLOOKUP($E54,Master!$J:$M,3,0),"")</f>
        <v/>
      </c>
      <c r="AC54" s="26">
        <f t="shared" si="0"/>
        <v>0</v>
      </c>
      <c r="AD54" s="26">
        <f t="shared" si="1"/>
        <v>0</v>
      </c>
    </row>
    <row r="55" spans="2:30" ht="15" customHeight="1">
      <c r="B55" s="3" t="str">
        <f>IFERROR(VLOOKUP(C55,Master!$J:$K,2,0),"")</f>
        <v/>
      </c>
      <c r="D55" s="4" t="str">
        <f>IFERROR(VLOOKUP(E55,Master!$J:$K,2,0),"")</f>
        <v/>
      </c>
      <c r="F55" s="4" t="str">
        <f>IFERROR(VLOOKUP(G55,Master!B:C,2,0),"")</f>
        <v/>
      </c>
      <c r="I55" s="3" t="str">
        <f>IFERROR(VLOOKUP(E55,Master!$J:$M,4,0),"")</f>
        <v/>
      </c>
      <c r="J55" s="3" t="str">
        <f>IFERROR(VLOOKUP($E55,Master!$J:$M,3,0),"")</f>
        <v/>
      </c>
      <c r="AC55" s="26">
        <f t="shared" si="0"/>
        <v>0</v>
      </c>
      <c r="AD55" s="26">
        <f t="shared" si="1"/>
        <v>0</v>
      </c>
    </row>
    <row r="56" spans="2:30" ht="15" customHeight="1">
      <c r="B56" s="3" t="str">
        <f>IFERROR(VLOOKUP(C56,Master!$J:$K,2,0),"")</f>
        <v/>
      </c>
      <c r="D56" s="4" t="str">
        <f>IFERROR(VLOOKUP(E56,Master!$J:$K,2,0),"")</f>
        <v/>
      </c>
      <c r="F56" s="4" t="str">
        <f>IFERROR(VLOOKUP(G56,Master!B:C,2,0),"")</f>
        <v/>
      </c>
      <c r="I56" s="3" t="str">
        <f>IFERROR(VLOOKUP(E56,Master!$J:$M,4,0),"")</f>
        <v/>
      </c>
      <c r="J56" s="3" t="str">
        <f>IFERROR(VLOOKUP($E56,Master!$J:$M,3,0),"")</f>
        <v/>
      </c>
      <c r="AC56" s="26">
        <f t="shared" si="0"/>
        <v>0</v>
      </c>
      <c r="AD56" s="26">
        <f t="shared" si="1"/>
        <v>0</v>
      </c>
    </row>
    <row r="57" spans="2:30" ht="15" customHeight="1">
      <c r="B57" s="3" t="str">
        <f>IFERROR(VLOOKUP(C57,Master!$J:$K,2,0),"")</f>
        <v/>
      </c>
      <c r="D57" s="4" t="str">
        <f>IFERROR(VLOOKUP(E57,Master!$J:$K,2,0),"")</f>
        <v/>
      </c>
      <c r="F57" s="4" t="str">
        <f>IFERROR(VLOOKUP(G57,Master!B:C,2,0),"")</f>
        <v/>
      </c>
      <c r="I57" s="3" t="str">
        <f>IFERROR(VLOOKUP(E57,Master!$J:$M,4,0),"")</f>
        <v/>
      </c>
      <c r="J57" s="3" t="str">
        <f>IFERROR(VLOOKUP($E57,Master!$J:$M,3,0),"")</f>
        <v/>
      </c>
      <c r="AC57" s="26">
        <f t="shared" si="0"/>
        <v>0</v>
      </c>
      <c r="AD57" s="26">
        <f t="shared" si="1"/>
        <v>0</v>
      </c>
    </row>
    <row r="58" spans="2:30" ht="15" customHeight="1">
      <c r="B58" s="3" t="str">
        <f>IFERROR(VLOOKUP(C58,Master!$J:$K,2,0),"")</f>
        <v/>
      </c>
      <c r="D58" s="4" t="str">
        <f>IFERROR(VLOOKUP(E58,Master!$J:$K,2,0),"")</f>
        <v/>
      </c>
      <c r="F58" s="4" t="str">
        <f>IFERROR(VLOOKUP(G58,Master!B:C,2,0),"")</f>
        <v/>
      </c>
      <c r="I58" s="3" t="str">
        <f>IFERROR(VLOOKUP(E58,Master!$J:$M,4,0),"")</f>
        <v/>
      </c>
      <c r="J58" s="3" t="str">
        <f>IFERROR(VLOOKUP($E58,Master!$J:$M,3,0),"")</f>
        <v/>
      </c>
      <c r="AC58" s="26">
        <f t="shared" si="0"/>
        <v>0</v>
      </c>
      <c r="AD58" s="26">
        <f t="shared" si="1"/>
        <v>0</v>
      </c>
    </row>
    <row r="59" spans="2:30" ht="15" customHeight="1">
      <c r="B59" s="3" t="str">
        <f>IFERROR(VLOOKUP(C59,Master!$J:$K,2,0),"")</f>
        <v/>
      </c>
      <c r="D59" s="4" t="str">
        <f>IFERROR(VLOOKUP(E59,Master!$J:$K,2,0),"")</f>
        <v/>
      </c>
      <c r="F59" s="4" t="str">
        <f>IFERROR(VLOOKUP(G59,Master!B:C,2,0),"")</f>
        <v/>
      </c>
      <c r="I59" s="3" t="str">
        <f>IFERROR(VLOOKUP(E59,Master!$J:$M,4,0),"")</f>
        <v/>
      </c>
      <c r="J59" s="3" t="str">
        <f>IFERROR(VLOOKUP($E59,Master!$J:$M,3,0),"")</f>
        <v/>
      </c>
      <c r="AC59" s="26">
        <f t="shared" si="0"/>
        <v>0</v>
      </c>
      <c r="AD59" s="26">
        <f t="shared" si="1"/>
        <v>0</v>
      </c>
    </row>
    <row r="60" spans="2:30" ht="15" customHeight="1">
      <c r="B60" s="3" t="str">
        <f>IFERROR(VLOOKUP(C60,Master!$J:$K,2,0),"")</f>
        <v/>
      </c>
      <c r="D60" s="4" t="str">
        <f>IFERROR(VLOOKUP(E60,Master!$J:$K,2,0),"")</f>
        <v/>
      </c>
      <c r="F60" s="4" t="str">
        <f>IFERROR(VLOOKUP(G60,Master!B:C,2,0),"")</f>
        <v/>
      </c>
      <c r="I60" s="3" t="str">
        <f>IFERROR(VLOOKUP(E60,Master!$J:$M,4,0),"")</f>
        <v/>
      </c>
      <c r="J60" s="3" t="str">
        <f>IFERROR(VLOOKUP($E60,Master!$J:$M,3,0),"")</f>
        <v/>
      </c>
      <c r="AC60" s="26">
        <f t="shared" si="0"/>
        <v>0</v>
      </c>
      <c r="AD60" s="26">
        <f t="shared" si="1"/>
        <v>0</v>
      </c>
    </row>
    <row r="61" spans="2:30" ht="15" customHeight="1">
      <c r="B61" s="3" t="str">
        <f>IFERROR(VLOOKUP(C61,Master!$J:$K,2,0),"")</f>
        <v/>
      </c>
      <c r="D61" s="4" t="str">
        <f>IFERROR(VLOOKUP(E61,Master!$J:$K,2,0),"")</f>
        <v/>
      </c>
      <c r="F61" s="4" t="str">
        <f>IFERROR(VLOOKUP(G61,Master!B:C,2,0),"")</f>
        <v/>
      </c>
      <c r="I61" s="3" t="str">
        <f>IFERROR(VLOOKUP(E61,Master!$J:$M,4,0),"")</f>
        <v/>
      </c>
      <c r="J61" s="3" t="str">
        <f>IFERROR(VLOOKUP($E61,Master!$J:$M,3,0),"")</f>
        <v/>
      </c>
      <c r="AC61" s="26">
        <f t="shared" si="0"/>
        <v>0</v>
      </c>
      <c r="AD61" s="26">
        <f t="shared" si="1"/>
        <v>0</v>
      </c>
    </row>
    <row r="62" spans="2:30" ht="15" customHeight="1">
      <c r="B62" s="3" t="str">
        <f>IFERROR(VLOOKUP(C62,Master!$J:$K,2,0),"")</f>
        <v/>
      </c>
      <c r="D62" s="4" t="str">
        <f>IFERROR(VLOOKUP(E62,Master!$J:$K,2,0),"")</f>
        <v/>
      </c>
      <c r="F62" s="4" t="str">
        <f>IFERROR(VLOOKUP(G62,Master!B:C,2,0),"")</f>
        <v/>
      </c>
      <c r="I62" s="3" t="str">
        <f>IFERROR(VLOOKUP(E62,Master!$J:$M,4,0),"")</f>
        <v/>
      </c>
      <c r="J62" s="3" t="str">
        <f>IFERROR(VLOOKUP($E62,Master!$J:$M,3,0),"")</f>
        <v/>
      </c>
      <c r="AC62" s="26">
        <f t="shared" si="0"/>
        <v>0</v>
      </c>
      <c r="AD62" s="26">
        <f t="shared" si="1"/>
        <v>0</v>
      </c>
    </row>
    <row r="63" spans="2:30" ht="15" customHeight="1">
      <c r="B63" s="3" t="str">
        <f>IFERROR(VLOOKUP(C63,Master!$J:$K,2,0),"")</f>
        <v/>
      </c>
      <c r="D63" s="4" t="str">
        <f>IFERROR(VLOOKUP(E63,Master!$J:$K,2,0),"")</f>
        <v/>
      </c>
      <c r="F63" s="4" t="str">
        <f>IFERROR(VLOOKUP(G63,Master!B:C,2,0),"")</f>
        <v/>
      </c>
      <c r="I63" s="3" t="str">
        <f>IFERROR(VLOOKUP(E63,Master!$J:$M,4,0),"")</f>
        <v/>
      </c>
      <c r="J63" s="3" t="str">
        <f>IFERROR(VLOOKUP($E63,Master!$J:$M,3,0),"")</f>
        <v/>
      </c>
      <c r="AC63" s="26">
        <f t="shared" si="0"/>
        <v>0</v>
      </c>
      <c r="AD63" s="26">
        <f t="shared" si="1"/>
        <v>0</v>
      </c>
    </row>
    <row r="64" spans="2:30" ht="15" customHeight="1">
      <c r="B64" s="3" t="str">
        <f>IFERROR(VLOOKUP(C64,Master!$J:$K,2,0),"")</f>
        <v/>
      </c>
      <c r="D64" s="4" t="str">
        <f>IFERROR(VLOOKUP(E64,Master!$J:$K,2,0),"")</f>
        <v/>
      </c>
      <c r="F64" s="4" t="str">
        <f>IFERROR(VLOOKUP(G64,Master!B:C,2,0),"")</f>
        <v/>
      </c>
      <c r="I64" s="3" t="str">
        <f>IFERROR(VLOOKUP(E64,Master!$J:$M,4,0),"")</f>
        <v/>
      </c>
      <c r="J64" s="3" t="str">
        <f>IFERROR(VLOOKUP($E64,Master!$J:$M,3,0),"")</f>
        <v/>
      </c>
      <c r="AC64" s="26">
        <f t="shared" si="0"/>
        <v>0</v>
      </c>
      <c r="AD64" s="26">
        <f t="shared" si="1"/>
        <v>0</v>
      </c>
    </row>
    <row r="65" spans="2:30" ht="15" customHeight="1">
      <c r="B65" s="3" t="str">
        <f>IFERROR(VLOOKUP(C65,Master!$J:$K,2,0),"")</f>
        <v/>
      </c>
      <c r="D65" s="4" t="str">
        <f>IFERROR(VLOOKUP(E65,Master!$J:$K,2,0),"")</f>
        <v/>
      </c>
      <c r="F65" s="4" t="str">
        <f>IFERROR(VLOOKUP(G65,Master!B:C,2,0),"")</f>
        <v/>
      </c>
      <c r="I65" s="3" t="str">
        <f>IFERROR(VLOOKUP(E65,Master!$J:$M,4,0),"")</f>
        <v/>
      </c>
      <c r="J65" s="3" t="str">
        <f>IFERROR(VLOOKUP($E65,Master!$J:$M,3,0),"")</f>
        <v/>
      </c>
      <c r="AC65" s="26">
        <f t="shared" si="0"/>
        <v>0</v>
      </c>
      <c r="AD65" s="26">
        <f t="shared" si="1"/>
        <v>0</v>
      </c>
    </row>
    <row r="66" spans="2:30" ht="15" customHeight="1">
      <c r="B66" s="3" t="str">
        <f>IFERROR(VLOOKUP(C66,Master!$J:$K,2,0),"")</f>
        <v/>
      </c>
      <c r="D66" s="4" t="str">
        <f>IFERROR(VLOOKUP(E66,Master!$J:$K,2,0),"")</f>
        <v/>
      </c>
      <c r="F66" s="4" t="str">
        <f>IFERROR(VLOOKUP(G66,Master!B:C,2,0),"")</f>
        <v/>
      </c>
      <c r="I66" s="3" t="str">
        <f>IFERROR(VLOOKUP(E66,Master!$J:$M,4,0),"")</f>
        <v/>
      </c>
      <c r="J66" s="3" t="str">
        <f>IFERROR(VLOOKUP($E66,Master!$J:$M,3,0),"")</f>
        <v/>
      </c>
      <c r="AC66" s="26">
        <f t="shared" ref="AC66:AC129" si="2">SUM(K66:P66)</f>
        <v>0</v>
      </c>
      <c r="AD66" s="26">
        <f t="shared" ref="AD66:AD129" si="3">SUM(Q66:AB66)</f>
        <v>0</v>
      </c>
    </row>
    <row r="67" spans="2:30" ht="15" customHeight="1">
      <c r="B67" s="3" t="str">
        <f>IFERROR(VLOOKUP(C67,Master!$J:$K,2,0),"")</f>
        <v/>
      </c>
      <c r="D67" s="4" t="str">
        <f>IFERROR(VLOOKUP(E67,Master!$J:$K,2,0),"")</f>
        <v/>
      </c>
      <c r="F67" s="4" t="str">
        <f>IFERROR(VLOOKUP(G67,Master!B:C,2,0),"")</f>
        <v/>
      </c>
      <c r="I67" s="3" t="str">
        <f>IFERROR(VLOOKUP(E67,Master!$J:$M,4,0),"")</f>
        <v/>
      </c>
      <c r="J67" s="3" t="str">
        <f>IFERROR(VLOOKUP($E67,Master!$J:$M,3,0),"")</f>
        <v/>
      </c>
      <c r="AC67" s="26">
        <f t="shared" si="2"/>
        <v>0</v>
      </c>
      <c r="AD67" s="26">
        <f t="shared" si="3"/>
        <v>0</v>
      </c>
    </row>
    <row r="68" spans="2:30" ht="15" customHeight="1">
      <c r="B68" s="3" t="str">
        <f>IFERROR(VLOOKUP(C68,Master!$J:$K,2,0),"")</f>
        <v/>
      </c>
      <c r="D68" s="4" t="str">
        <f>IFERROR(VLOOKUP(E68,Master!$J:$K,2,0),"")</f>
        <v/>
      </c>
      <c r="F68" s="4" t="str">
        <f>IFERROR(VLOOKUP(G68,Master!B:C,2,0),"")</f>
        <v/>
      </c>
      <c r="I68" s="3" t="str">
        <f>IFERROR(VLOOKUP(E68,Master!$J:$M,4,0),"")</f>
        <v/>
      </c>
      <c r="J68" s="3" t="str">
        <f>IFERROR(VLOOKUP($E68,Master!$J:$M,3,0),"")</f>
        <v/>
      </c>
      <c r="AC68" s="26">
        <f t="shared" si="2"/>
        <v>0</v>
      </c>
      <c r="AD68" s="26">
        <f t="shared" si="3"/>
        <v>0</v>
      </c>
    </row>
    <row r="69" spans="2:30" ht="15" customHeight="1">
      <c r="B69" s="3" t="str">
        <f>IFERROR(VLOOKUP(C69,Master!$J:$K,2,0),"")</f>
        <v/>
      </c>
      <c r="D69" s="4" t="str">
        <f>IFERROR(VLOOKUP(E69,Master!$J:$K,2,0),"")</f>
        <v/>
      </c>
      <c r="F69" s="4" t="str">
        <f>IFERROR(VLOOKUP(G69,Master!B:C,2,0),"")</f>
        <v/>
      </c>
      <c r="I69" s="3" t="str">
        <f>IFERROR(VLOOKUP(E69,Master!$J:$M,4,0),"")</f>
        <v/>
      </c>
      <c r="J69" s="3" t="str">
        <f>IFERROR(VLOOKUP($E69,Master!$J:$M,3,0),"")</f>
        <v/>
      </c>
      <c r="AC69" s="26">
        <f t="shared" si="2"/>
        <v>0</v>
      </c>
      <c r="AD69" s="26">
        <f t="shared" si="3"/>
        <v>0</v>
      </c>
    </row>
    <row r="70" spans="2:30" ht="15" customHeight="1">
      <c r="B70" s="3" t="str">
        <f>IFERROR(VLOOKUP(C70,Master!$J:$K,2,0),"")</f>
        <v/>
      </c>
      <c r="D70" s="4" t="str">
        <f>IFERROR(VLOOKUP(E70,Master!$J:$K,2,0),"")</f>
        <v/>
      </c>
      <c r="F70" s="4" t="str">
        <f>IFERROR(VLOOKUP(G70,Master!B:C,2,0),"")</f>
        <v/>
      </c>
      <c r="I70" s="3" t="str">
        <f>IFERROR(VLOOKUP(E70,Master!$J:$M,4,0),"")</f>
        <v/>
      </c>
      <c r="J70" s="3" t="str">
        <f>IFERROR(VLOOKUP($E70,Master!$J:$M,3,0),"")</f>
        <v/>
      </c>
      <c r="AC70" s="26">
        <f t="shared" si="2"/>
        <v>0</v>
      </c>
      <c r="AD70" s="26">
        <f t="shared" si="3"/>
        <v>0</v>
      </c>
    </row>
    <row r="71" spans="2:30" ht="15" customHeight="1">
      <c r="B71" s="3" t="str">
        <f>IFERROR(VLOOKUP(C71,Master!$J:$K,2,0),"")</f>
        <v/>
      </c>
      <c r="D71" s="4" t="str">
        <f>IFERROR(VLOOKUP(E71,Master!$J:$K,2,0),"")</f>
        <v/>
      </c>
      <c r="F71" s="4" t="str">
        <f>IFERROR(VLOOKUP(G71,Master!B:C,2,0),"")</f>
        <v/>
      </c>
      <c r="I71" s="3" t="str">
        <f>IFERROR(VLOOKUP(E71,Master!$J:$M,4,0),"")</f>
        <v/>
      </c>
      <c r="J71" s="3" t="str">
        <f>IFERROR(VLOOKUP($E71,Master!$J:$M,3,0),"")</f>
        <v/>
      </c>
      <c r="AC71" s="26">
        <f t="shared" si="2"/>
        <v>0</v>
      </c>
      <c r="AD71" s="26">
        <f t="shared" si="3"/>
        <v>0</v>
      </c>
    </row>
    <row r="72" spans="2:30" ht="15" customHeight="1">
      <c r="B72" s="3" t="str">
        <f>IFERROR(VLOOKUP(C72,Master!$J:$K,2,0),"")</f>
        <v/>
      </c>
      <c r="D72" s="4" t="str">
        <f>IFERROR(VLOOKUP(E72,Master!$J:$K,2,0),"")</f>
        <v/>
      </c>
      <c r="F72" s="4" t="str">
        <f>IFERROR(VLOOKUP(G72,Master!B:C,2,0),"")</f>
        <v/>
      </c>
      <c r="I72" s="3" t="str">
        <f>IFERROR(VLOOKUP(E72,Master!$J:$M,4,0),"")</f>
        <v/>
      </c>
      <c r="J72" s="3" t="str">
        <f>IFERROR(VLOOKUP($E72,Master!$J:$M,3,0),"")</f>
        <v/>
      </c>
      <c r="AC72" s="26">
        <f t="shared" si="2"/>
        <v>0</v>
      </c>
      <c r="AD72" s="26">
        <f t="shared" si="3"/>
        <v>0</v>
      </c>
    </row>
    <row r="73" spans="2:30" ht="15" customHeight="1">
      <c r="B73" s="3" t="str">
        <f>IFERROR(VLOOKUP(C73,Master!$J:$K,2,0),"")</f>
        <v/>
      </c>
      <c r="D73" s="4" t="str">
        <f>IFERROR(VLOOKUP(E73,Master!$J:$K,2,0),"")</f>
        <v/>
      </c>
      <c r="F73" s="4" t="str">
        <f>IFERROR(VLOOKUP(G73,Master!B:C,2,0),"")</f>
        <v/>
      </c>
      <c r="I73" s="3" t="str">
        <f>IFERROR(VLOOKUP(E73,Master!$J:$M,4,0),"")</f>
        <v/>
      </c>
      <c r="J73" s="3" t="str">
        <f>IFERROR(VLOOKUP($E73,Master!$J:$M,3,0),"")</f>
        <v/>
      </c>
      <c r="AC73" s="26">
        <f t="shared" si="2"/>
        <v>0</v>
      </c>
      <c r="AD73" s="26">
        <f t="shared" si="3"/>
        <v>0</v>
      </c>
    </row>
    <row r="74" spans="2:30" ht="15" customHeight="1">
      <c r="B74" s="3" t="str">
        <f>IFERROR(VLOOKUP(C74,Master!$J:$K,2,0),"")</f>
        <v/>
      </c>
      <c r="D74" s="4" t="str">
        <f>IFERROR(VLOOKUP(E74,Master!$J:$K,2,0),"")</f>
        <v/>
      </c>
      <c r="F74" s="4" t="str">
        <f>IFERROR(VLOOKUP(G74,Master!B:C,2,0),"")</f>
        <v/>
      </c>
      <c r="I74" s="3" t="str">
        <f>IFERROR(VLOOKUP(E74,Master!$J:$M,4,0),"")</f>
        <v/>
      </c>
      <c r="J74" s="3" t="str">
        <f>IFERROR(VLOOKUP($E74,Master!$J:$M,3,0),"")</f>
        <v/>
      </c>
      <c r="AC74" s="26">
        <f t="shared" si="2"/>
        <v>0</v>
      </c>
      <c r="AD74" s="26">
        <f t="shared" si="3"/>
        <v>0</v>
      </c>
    </row>
    <row r="75" spans="2:30" ht="15" customHeight="1">
      <c r="B75" s="3" t="str">
        <f>IFERROR(VLOOKUP(C75,Master!$J:$K,2,0),"")</f>
        <v/>
      </c>
      <c r="D75" s="4" t="str">
        <f>IFERROR(VLOOKUP(E75,Master!$J:$K,2,0),"")</f>
        <v/>
      </c>
      <c r="F75" s="4" t="str">
        <f>IFERROR(VLOOKUP(G75,Master!B:C,2,0),"")</f>
        <v/>
      </c>
      <c r="I75" s="3" t="str">
        <f>IFERROR(VLOOKUP(E75,Master!$J:$M,4,0),"")</f>
        <v/>
      </c>
      <c r="J75" s="3" t="str">
        <f>IFERROR(VLOOKUP($E75,Master!$J:$M,3,0),"")</f>
        <v/>
      </c>
      <c r="AC75" s="26">
        <f t="shared" si="2"/>
        <v>0</v>
      </c>
      <c r="AD75" s="26">
        <f t="shared" si="3"/>
        <v>0</v>
      </c>
    </row>
    <row r="76" spans="2:30" ht="15" customHeight="1">
      <c r="B76" s="3" t="str">
        <f>IFERROR(VLOOKUP(C76,Master!$J:$K,2,0),"")</f>
        <v/>
      </c>
      <c r="D76" s="4" t="str">
        <f>IFERROR(VLOOKUP(E76,Master!$J:$K,2,0),"")</f>
        <v/>
      </c>
      <c r="F76" s="4" t="str">
        <f>IFERROR(VLOOKUP(G76,Master!B:C,2,0),"")</f>
        <v/>
      </c>
      <c r="I76" s="3" t="str">
        <f>IFERROR(VLOOKUP(E76,Master!$J:$M,4,0),"")</f>
        <v/>
      </c>
      <c r="J76" s="3" t="str">
        <f>IFERROR(VLOOKUP($E76,Master!$J:$M,3,0),"")</f>
        <v/>
      </c>
      <c r="AC76" s="26">
        <f t="shared" si="2"/>
        <v>0</v>
      </c>
      <c r="AD76" s="26">
        <f t="shared" si="3"/>
        <v>0</v>
      </c>
    </row>
    <row r="77" spans="2:30" ht="15" customHeight="1">
      <c r="B77" s="3" t="str">
        <f>IFERROR(VLOOKUP(C77,Master!$J:$K,2,0),"")</f>
        <v/>
      </c>
      <c r="D77" s="4" t="str">
        <f>IFERROR(VLOOKUP(E77,Master!$J:$K,2,0),"")</f>
        <v/>
      </c>
      <c r="F77" s="4" t="str">
        <f>IFERROR(VLOOKUP(G77,Master!B:C,2,0),"")</f>
        <v/>
      </c>
      <c r="I77" s="3" t="str">
        <f>IFERROR(VLOOKUP(E77,Master!$J:$M,4,0),"")</f>
        <v/>
      </c>
      <c r="J77" s="3" t="str">
        <f>IFERROR(VLOOKUP($E77,Master!$J:$M,3,0),"")</f>
        <v/>
      </c>
      <c r="AC77" s="26">
        <f t="shared" si="2"/>
        <v>0</v>
      </c>
      <c r="AD77" s="26">
        <f t="shared" si="3"/>
        <v>0</v>
      </c>
    </row>
    <row r="78" spans="2:30" ht="15" customHeight="1">
      <c r="B78" s="3" t="str">
        <f>IFERROR(VLOOKUP(C78,Master!$J:$K,2,0),"")</f>
        <v/>
      </c>
      <c r="D78" s="4" t="str">
        <f>IFERROR(VLOOKUP(E78,Master!$J:$K,2,0),"")</f>
        <v/>
      </c>
      <c r="F78" s="4" t="str">
        <f>IFERROR(VLOOKUP(G78,Master!B:C,2,0),"")</f>
        <v/>
      </c>
      <c r="I78" s="3" t="str">
        <f>IFERROR(VLOOKUP(E78,Master!$J:$M,4,0),"")</f>
        <v/>
      </c>
      <c r="J78" s="3" t="str">
        <f>IFERROR(VLOOKUP($E78,Master!$J:$M,3,0),"")</f>
        <v/>
      </c>
      <c r="AC78" s="26">
        <f t="shared" si="2"/>
        <v>0</v>
      </c>
      <c r="AD78" s="26">
        <f t="shared" si="3"/>
        <v>0</v>
      </c>
    </row>
    <row r="79" spans="2:30" ht="15" customHeight="1">
      <c r="B79" s="3" t="str">
        <f>IFERROR(VLOOKUP(C79,Master!$J:$K,2,0),"")</f>
        <v/>
      </c>
      <c r="D79" s="4" t="str">
        <f>IFERROR(VLOOKUP(E79,Master!$J:$K,2,0),"")</f>
        <v/>
      </c>
      <c r="F79" s="4" t="str">
        <f>IFERROR(VLOOKUP(G79,Master!B:C,2,0),"")</f>
        <v/>
      </c>
      <c r="I79" s="3" t="str">
        <f>IFERROR(VLOOKUP(E79,Master!$J:$M,4,0),"")</f>
        <v/>
      </c>
      <c r="J79" s="3" t="str">
        <f>IFERROR(VLOOKUP($E79,Master!$J:$M,3,0),"")</f>
        <v/>
      </c>
      <c r="AC79" s="26">
        <f t="shared" si="2"/>
        <v>0</v>
      </c>
      <c r="AD79" s="26">
        <f t="shared" si="3"/>
        <v>0</v>
      </c>
    </row>
    <row r="80" spans="2:30" ht="15" customHeight="1">
      <c r="B80" s="3" t="str">
        <f>IFERROR(VLOOKUP(C80,Master!$J:$K,2,0),"")</f>
        <v/>
      </c>
      <c r="D80" s="4" t="str">
        <f>IFERROR(VLOOKUP(E80,Master!$J:$K,2,0),"")</f>
        <v/>
      </c>
      <c r="F80" s="4" t="str">
        <f>IFERROR(VLOOKUP(G80,Master!B:C,2,0),"")</f>
        <v/>
      </c>
      <c r="I80" s="3" t="str">
        <f>IFERROR(VLOOKUP(E80,Master!$J:$M,4,0),"")</f>
        <v/>
      </c>
      <c r="J80" s="3" t="str">
        <f>IFERROR(VLOOKUP($E80,Master!$J:$M,3,0),"")</f>
        <v/>
      </c>
      <c r="AC80" s="26">
        <f t="shared" si="2"/>
        <v>0</v>
      </c>
      <c r="AD80" s="26">
        <f t="shared" si="3"/>
        <v>0</v>
      </c>
    </row>
    <row r="81" spans="2:30" ht="15" customHeight="1">
      <c r="B81" s="3" t="str">
        <f>IFERROR(VLOOKUP(C81,Master!$J:$K,2,0),"")</f>
        <v/>
      </c>
      <c r="D81" s="4" t="str">
        <f>IFERROR(VLOOKUP(E81,Master!$J:$K,2,0),"")</f>
        <v/>
      </c>
      <c r="F81" s="4" t="str">
        <f>IFERROR(VLOOKUP(G81,Master!B:C,2,0),"")</f>
        <v/>
      </c>
      <c r="I81" s="3" t="str">
        <f>IFERROR(VLOOKUP(E81,Master!$J:$M,4,0),"")</f>
        <v/>
      </c>
      <c r="J81" s="3" t="str">
        <f>IFERROR(VLOOKUP($E81,Master!$J:$M,3,0),"")</f>
        <v/>
      </c>
      <c r="AC81" s="26">
        <f t="shared" si="2"/>
        <v>0</v>
      </c>
      <c r="AD81" s="26">
        <f t="shared" si="3"/>
        <v>0</v>
      </c>
    </row>
    <row r="82" spans="2:30" ht="15" customHeight="1">
      <c r="B82" s="3" t="str">
        <f>IFERROR(VLOOKUP(C82,Master!$J:$K,2,0),"")</f>
        <v/>
      </c>
      <c r="D82" s="4" t="str">
        <f>IFERROR(VLOOKUP(E82,Master!$J:$K,2,0),"")</f>
        <v/>
      </c>
      <c r="F82" s="4" t="str">
        <f>IFERROR(VLOOKUP(G82,Master!B:C,2,0),"")</f>
        <v/>
      </c>
      <c r="I82" s="3" t="str">
        <f>IFERROR(VLOOKUP(E82,Master!$J:$M,4,0),"")</f>
        <v/>
      </c>
      <c r="J82" s="3" t="str">
        <f>IFERROR(VLOOKUP($E82,Master!$J:$M,3,0),"")</f>
        <v/>
      </c>
      <c r="AC82" s="26">
        <f t="shared" si="2"/>
        <v>0</v>
      </c>
      <c r="AD82" s="26">
        <f t="shared" si="3"/>
        <v>0</v>
      </c>
    </row>
    <row r="83" spans="2:30" ht="15" customHeight="1">
      <c r="B83" s="3" t="str">
        <f>IFERROR(VLOOKUP(C83,Master!$J:$K,2,0),"")</f>
        <v/>
      </c>
      <c r="D83" s="4" t="str">
        <f>IFERROR(VLOOKUP(E83,Master!$J:$K,2,0),"")</f>
        <v/>
      </c>
      <c r="F83" s="4" t="str">
        <f>IFERROR(VLOOKUP(G83,Master!B:C,2,0),"")</f>
        <v/>
      </c>
      <c r="I83" s="3" t="str">
        <f>IFERROR(VLOOKUP(E83,Master!$J:$M,4,0),"")</f>
        <v/>
      </c>
      <c r="J83" s="3" t="str">
        <f>IFERROR(VLOOKUP($E83,Master!$J:$M,3,0),"")</f>
        <v/>
      </c>
      <c r="AC83" s="26">
        <f t="shared" si="2"/>
        <v>0</v>
      </c>
      <c r="AD83" s="26">
        <f t="shared" si="3"/>
        <v>0</v>
      </c>
    </row>
    <row r="84" spans="2:30" ht="15" customHeight="1">
      <c r="B84" s="3" t="str">
        <f>IFERROR(VLOOKUP(C84,Master!$J:$K,2,0),"")</f>
        <v/>
      </c>
      <c r="D84" s="4" t="str">
        <f>IFERROR(VLOOKUP(E84,Master!$J:$K,2,0),"")</f>
        <v/>
      </c>
      <c r="F84" s="4" t="str">
        <f>IFERROR(VLOOKUP(G84,Master!B:C,2,0),"")</f>
        <v/>
      </c>
      <c r="I84" s="3" t="str">
        <f>IFERROR(VLOOKUP(E84,Master!$J:$M,4,0),"")</f>
        <v/>
      </c>
      <c r="J84" s="3" t="str">
        <f>IFERROR(VLOOKUP($E84,Master!$J:$M,3,0),"")</f>
        <v/>
      </c>
      <c r="AC84" s="26">
        <f t="shared" si="2"/>
        <v>0</v>
      </c>
      <c r="AD84" s="26">
        <f t="shared" si="3"/>
        <v>0</v>
      </c>
    </row>
    <row r="85" spans="2:30" ht="15" customHeight="1">
      <c r="B85" s="3" t="str">
        <f>IFERROR(VLOOKUP(C85,Master!$J:$K,2,0),"")</f>
        <v/>
      </c>
      <c r="D85" s="4" t="str">
        <f>IFERROR(VLOOKUP(E85,Master!$J:$K,2,0),"")</f>
        <v/>
      </c>
      <c r="F85" s="4" t="str">
        <f>IFERROR(VLOOKUP(G85,Master!B:C,2,0),"")</f>
        <v/>
      </c>
      <c r="I85" s="3" t="str">
        <f>IFERROR(VLOOKUP(E85,Master!$J:$M,4,0),"")</f>
        <v/>
      </c>
      <c r="J85" s="3" t="str">
        <f>IFERROR(VLOOKUP($E85,Master!$J:$M,3,0),"")</f>
        <v/>
      </c>
      <c r="AC85" s="26">
        <f t="shared" si="2"/>
        <v>0</v>
      </c>
      <c r="AD85" s="26">
        <f t="shared" si="3"/>
        <v>0</v>
      </c>
    </row>
    <row r="86" spans="2:30" ht="15" customHeight="1">
      <c r="B86" s="3" t="str">
        <f>IFERROR(VLOOKUP(C86,Master!$J:$K,2,0),"")</f>
        <v/>
      </c>
      <c r="D86" s="4" t="str">
        <f>IFERROR(VLOOKUP(E86,Master!$J:$K,2,0),"")</f>
        <v/>
      </c>
      <c r="F86" s="4" t="str">
        <f>IFERROR(VLOOKUP(G86,Master!B:C,2,0),"")</f>
        <v/>
      </c>
      <c r="I86" s="3" t="str">
        <f>IFERROR(VLOOKUP(E86,Master!$J:$M,4,0),"")</f>
        <v/>
      </c>
      <c r="J86" s="3" t="str">
        <f>IFERROR(VLOOKUP($E86,Master!$J:$M,3,0),"")</f>
        <v/>
      </c>
      <c r="AC86" s="26">
        <f t="shared" si="2"/>
        <v>0</v>
      </c>
      <c r="AD86" s="26">
        <f t="shared" si="3"/>
        <v>0</v>
      </c>
    </row>
    <row r="87" spans="2:30" ht="15" customHeight="1">
      <c r="B87" s="3" t="str">
        <f>IFERROR(VLOOKUP(C87,Master!$J:$K,2,0),"")</f>
        <v/>
      </c>
      <c r="D87" s="4" t="str">
        <f>IFERROR(VLOOKUP(E87,Master!$J:$K,2,0),"")</f>
        <v/>
      </c>
      <c r="F87" s="4" t="str">
        <f>IFERROR(VLOOKUP(G87,Master!B:C,2,0),"")</f>
        <v/>
      </c>
      <c r="I87" s="3" t="str">
        <f>IFERROR(VLOOKUP(E87,Master!$J:$M,4,0),"")</f>
        <v/>
      </c>
      <c r="J87" s="3" t="str">
        <f>IFERROR(VLOOKUP($E87,Master!$J:$M,3,0),"")</f>
        <v/>
      </c>
      <c r="AC87" s="26">
        <f t="shared" si="2"/>
        <v>0</v>
      </c>
      <c r="AD87" s="26">
        <f t="shared" si="3"/>
        <v>0</v>
      </c>
    </row>
    <row r="88" spans="2:30" ht="15" customHeight="1">
      <c r="B88" s="3" t="str">
        <f>IFERROR(VLOOKUP(C88,Master!$J:$K,2,0),"")</f>
        <v/>
      </c>
      <c r="D88" s="4" t="str">
        <f>IFERROR(VLOOKUP(E88,Master!$J:$K,2,0),"")</f>
        <v/>
      </c>
      <c r="F88" s="4" t="str">
        <f>IFERROR(VLOOKUP(G88,Master!B:C,2,0),"")</f>
        <v/>
      </c>
      <c r="I88" s="3" t="str">
        <f>IFERROR(VLOOKUP(E88,Master!$J:$M,4,0),"")</f>
        <v/>
      </c>
      <c r="J88" s="3" t="str">
        <f>IFERROR(VLOOKUP($E88,Master!$J:$M,3,0),"")</f>
        <v/>
      </c>
      <c r="AC88" s="26">
        <f t="shared" si="2"/>
        <v>0</v>
      </c>
      <c r="AD88" s="26">
        <f t="shared" si="3"/>
        <v>0</v>
      </c>
    </row>
    <row r="89" spans="2:30" ht="15" customHeight="1">
      <c r="B89" s="3" t="str">
        <f>IFERROR(VLOOKUP(C89,Master!$J:$K,2,0),"")</f>
        <v/>
      </c>
      <c r="D89" s="4" t="str">
        <f>IFERROR(VLOOKUP(E89,Master!$J:$K,2,0),"")</f>
        <v/>
      </c>
      <c r="F89" s="4" t="str">
        <f>IFERROR(VLOOKUP(G89,Master!B:C,2,0),"")</f>
        <v/>
      </c>
      <c r="I89" s="3" t="str">
        <f>IFERROR(VLOOKUP(E89,Master!$J:$M,4,0),"")</f>
        <v/>
      </c>
      <c r="J89" s="3" t="str">
        <f>IFERROR(VLOOKUP($E89,Master!$J:$M,3,0),"")</f>
        <v/>
      </c>
      <c r="AC89" s="26">
        <f t="shared" si="2"/>
        <v>0</v>
      </c>
      <c r="AD89" s="26">
        <f t="shared" si="3"/>
        <v>0</v>
      </c>
    </row>
    <row r="90" spans="2:30" ht="15" customHeight="1">
      <c r="B90" s="3" t="str">
        <f>IFERROR(VLOOKUP(C90,Master!$J:$K,2,0),"")</f>
        <v/>
      </c>
      <c r="D90" s="4" t="str">
        <f>IFERROR(VLOOKUP(E90,Master!$J:$K,2,0),"")</f>
        <v/>
      </c>
      <c r="F90" s="4" t="str">
        <f>IFERROR(VLOOKUP(G90,Master!B:C,2,0),"")</f>
        <v/>
      </c>
      <c r="I90" s="3" t="str">
        <f>IFERROR(VLOOKUP(E90,Master!$J:$M,4,0),"")</f>
        <v/>
      </c>
      <c r="J90" s="3" t="str">
        <f>IFERROR(VLOOKUP($E90,Master!$J:$M,3,0),"")</f>
        <v/>
      </c>
      <c r="AC90" s="26">
        <f t="shared" si="2"/>
        <v>0</v>
      </c>
      <c r="AD90" s="26">
        <f t="shared" si="3"/>
        <v>0</v>
      </c>
    </row>
    <row r="91" spans="2:30" ht="15" customHeight="1">
      <c r="B91" s="3" t="str">
        <f>IFERROR(VLOOKUP(C91,Master!$J:$K,2,0),"")</f>
        <v/>
      </c>
      <c r="D91" s="4" t="str">
        <f>IFERROR(VLOOKUP(E91,Master!$J:$K,2,0),"")</f>
        <v/>
      </c>
      <c r="F91" s="4" t="str">
        <f>IFERROR(VLOOKUP(G91,Master!B:C,2,0),"")</f>
        <v/>
      </c>
      <c r="I91" s="3" t="str">
        <f>IFERROR(VLOOKUP(E91,Master!$J:$M,4,0),"")</f>
        <v/>
      </c>
      <c r="J91" s="3" t="str">
        <f>IFERROR(VLOOKUP($E91,Master!$J:$M,3,0),"")</f>
        <v/>
      </c>
      <c r="AC91" s="26">
        <f t="shared" si="2"/>
        <v>0</v>
      </c>
      <c r="AD91" s="26">
        <f t="shared" si="3"/>
        <v>0</v>
      </c>
    </row>
    <row r="92" spans="2:30" ht="15" customHeight="1">
      <c r="B92" s="3" t="str">
        <f>IFERROR(VLOOKUP(C92,Master!$J:$K,2,0),"")</f>
        <v/>
      </c>
      <c r="D92" s="4" t="str">
        <f>IFERROR(VLOOKUP(E92,Master!$J:$K,2,0),"")</f>
        <v/>
      </c>
      <c r="F92" s="4" t="str">
        <f>IFERROR(VLOOKUP(G92,Master!B:C,2,0),"")</f>
        <v/>
      </c>
      <c r="I92" s="3" t="str">
        <f>IFERROR(VLOOKUP(E92,Master!$J:$M,4,0),"")</f>
        <v/>
      </c>
      <c r="J92" s="3" t="str">
        <f>IFERROR(VLOOKUP($E92,Master!$J:$M,3,0),"")</f>
        <v/>
      </c>
      <c r="AC92" s="26">
        <f t="shared" si="2"/>
        <v>0</v>
      </c>
      <c r="AD92" s="26">
        <f t="shared" si="3"/>
        <v>0</v>
      </c>
    </row>
    <row r="93" spans="2:30" ht="15" customHeight="1">
      <c r="B93" s="3" t="str">
        <f>IFERROR(VLOOKUP(C93,Master!$J:$K,2,0),"")</f>
        <v/>
      </c>
      <c r="D93" s="4" t="str">
        <f>IFERROR(VLOOKUP(E93,Master!$J:$K,2,0),"")</f>
        <v/>
      </c>
      <c r="F93" s="4" t="str">
        <f>IFERROR(VLOOKUP(G93,Master!B:C,2,0),"")</f>
        <v/>
      </c>
      <c r="I93" s="3" t="str">
        <f>IFERROR(VLOOKUP(E93,Master!$J:$M,4,0),"")</f>
        <v/>
      </c>
      <c r="J93" s="3" t="str">
        <f>IFERROR(VLOOKUP($E93,Master!$J:$M,3,0),"")</f>
        <v/>
      </c>
      <c r="AC93" s="26">
        <f t="shared" si="2"/>
        <v>0</v>
      </c>
      <c r="AD93" s="26">
        <f t="shared" si="3"/>
        <v>0</v>
      </c>
    </row>
    <row r="94" spans="2:30" ht="15" customHeight="1">
      <c r="B94" s="3" t="str">
        <f>IFERROR(VLOOKUP(C94,Master!$J:$K,2,0),"")</f>
        <v/>
      </c>
      <c r="D94" s="4" t="str">
        <f>IFERROR(VLOOKUP(E94,Master!$J:$K,2,0),"")</f>
        <v/>
      </c>
      <c r="F94" s="4" t="str">
        <f>IFERROR(VLOOKUP(G94,Master!B:C,2,0),"")</f>
        <v/>
      </c>
      <c r="I94" s="3" t="str">
        <f>IFERROR(VLOOKUP(E94,Master!$J:$M,4,0),"")</f>
        <v/>
      </c>
      <c r="J94" s="3" t="str">
        <f>IFERROR(VLOOKUP($E94,Master!$J:$M,3,0),"")</f>
        <v/>
      </c>
      <c r="AC94" s="26">
        <f t="shared" si="2"/>
        <v>0</v>
      </c>
      <c r="AD94" s="26">
        <f t="shared" si="3"/>
        <v>0</v>
      </c>
    </row>
    <row r="95" spans="2:30" ht="15" customHeight="1">
      <c r="B95" s="3" t="str">
        <f>IFERROR(VLOOKUP(C95,Master!$J:$K,2,0),"")</f>
        <v/>
      </c>
      <c r="D95" s="4" t="str">
        <f>IFERROR(VLOOKUP(E95,Master!$J:$K,2,0),"")</f>
        <v/>
      </c>
      <c r="F95" s="4" t="str">
        <f>IFERROR(VLOOKUP(G95,Master!B:C,2,0),"")</f>
        <v/>
      </c>
      <c r="I95" s="3" t="str">
        <f>IFERROR(VLOOKUP(E95,Master!$J:$M,4,0),"")</f>
        <v/>
      </c>
      <c r="J95" s="3" t="str">
        <f>IFERROR(VLOOKUP($E95,Master!$J:$M,3,0),"")</f>
        <v/>
      </c>
      <c r="AC95" s="26">
        <f t="shared" si="2"/>
        <v>0</v>
      </c>
      <c r="AD95" s="26">
        <f t="shared" si="3"/>
        <v>0</v>
      </c>
    </row>
    <row r="96" spans="2:30" ht="15" customHeight="1">
      <c r="B96" s="3" t="str">
        <f>IFERROR(VLOOKUP(C96,Master!$J:$K,2,0),"")</f>
        <v/>
      </c>
      <c r="D96" s="4" t="str">
        <f>IFERROR(VLOOKUP(E96,Master!$J:$K,2,0),"")</f>
        <v/>
      </c>
      <c r="F96" s="4" t="str">
        <f>IFERROR(VLOOKUP(G96,Master!B:C,2,0),"")</f>
        <v/>
      </c>
      <c r="I96" s="3" t="str">
        <f>IFERROR(VLOOKUP(E96,Master!$J:$M,4,0),"")</f>
        <v/>
      </c>
      <c r="J96" s="3" t="str">
        <f>IFERROR(VLOOKUP($E96,Master!$J:$M,3,0),"")</f>
        <v/>
      </c>
      <c r="AC96" s="26">
        <f t="shared" si="2"/>
        <v>0</v>
      </c>
      <c r="AD96" s="26">
        <f t="shared" si="3"/>
        <v>0</v>
      </c>
    </row>
    <row r="97" spans="2:30" ht="15" customHeight="1">
      <c r="B97" s="3" t="str">
        <f>IFERROR(VLOOKUP(C97,Master!$J:$K,2,0),"")</f>
        <v/>
      </c>
      <c r="D97" s="4" t="str">
        <f>IFERROR(VLOOKUP(E97,Master!$J:$K,2,0),"")</f>
        <v/>
      </c>
      <c r="F97" s="4" t="str">
        <f>IFERROR(VLOOKUP(G97,Master!B:C,2,0),"")</f>
        <v/>
      </c>
      <c r="I97" s="3" t="str">
        <f>IFERROR(VLOOKUP(E97,Master!$J:$M,4,0),"")</f>
        <v/>
      </c>
      <c r="J97" s="3" t="str">
        <f>IFERROR(VLOOKUP($E97,Master!$J:$M,3,0),"")</f>
        <v/>
      </c>
      <c r="AC97" s="26">
        <f t="shared" si="2"/>
        <v>0</v>
      </c>
      <c r="AD97" s="26">
        <f t="shared" si="3"/>
        <v>0</v>
      </c>
    </row>
    <row r="98" spans="2:30" ht="15" customHeight="1">
      <c r="B98" s="3" t="str">
        <f>IFERROR(VLOOKUP(C98,Master!$J:$K,2,0),"")</f>
        <v/>
      </c>
      <c r="D98" s="4" t="str">
        <f>IFERROR(VLOOKUP(E98,Master!$J:$K,2,0),"")</f>
        <v/>
      </c>
      <c r="F98" s="4" t="str">
        <f>IFERROR(VLOOKUP(G98,Master!B:C,2,0),"")</f>
        <v/>
      </c>
      <c r="I98" s="3" t="str">
        <f>IFERROR(VLOOKUP(E98,Master!$J:$M,4,0),"")</f>
        <v/>
      </c>
      <c r="J98" s="3" t="str">
        <f>IFERROR(VLOOKUP($E98,Master!$J:$M,3,0),"")</f>
        <v/>
      </c>
      <c r="AC98" s="26">
        <f t="shared" si="2"/>
        <v>0</v>
      </c>
      <c r="AD98" s="26">
        <f t="shared" si="3"/>
        <v>0</v>
      </c>
    </row>
    <row r="99" spans="2:30" ht="15" customHeight="1">
      <c r="B99" s="3" t="str">
        <f>IFERROR(VLOOKUP(C99,Master!$J:$K,2,0),"")</f>
        <v/>
      </c>
      <c r="D99" s="4" t="str">
        <f>IFERROR(VLOOKUP(E99,Master!$J:$K,2,0),"")</f>
        <v/>
      </c>
      <c r="F99" s="4" t="str">
        <f>IFERROR(VLOOKUP(G99,Master!B:C,2,0),"")</f>
        <v/>
      </c>
      <c r="I99" s="3" t="str">
        <f>IFERROR(VLOOKUP(E99,Master!$J:$M,4,0),"")</f>
        <v/>
      </c>
      <c r="J99" s="3" t="str">
        <f>IFERROR(VLOOKUP($E99,Master!$J:$M,3,0),"")</f>
        <v/>
      </c>
      <c r="AC99" s="26">
        <f t="shared" si="2"/>
        <v>0</v>
      </c>
      <c r="AD99" s="26">
        <f t="shared" si="3"/>
        <v>0</v>
      </c>
    </row>
    <row r="100" spans="2:30" ht="15" customHeight="1">
      <c r="B100" s="3" t="str">
        <f>IFERROR(VLOOKUP(C100,Master!$J:$K,2,0),"")</f>
        <v/>
      </c>
      <c r="D100" s="4" t="str">
        <f>IFERROR(VLOOKUP(E100,Master!$J:$K,2,0),"")</f>
        <v/>
      </c>
      <c r="F100" s="4" t="str">
        <f>IFERROR(VLOOKUP(G100,Master!B:C,2,0),"")</f>
        <v/>
      </c>
      <c r="I100" s="3" t="str">
        <f>IFERROR(VLOOKUP(E100,Master!$J:$M,4,0),"")</f>
        <v/>
      </c>
      <c r="J100" s="3" t="str">
        <f>IFERROR(VLOOKUP($E100,Master!$J:$M,3,0),"")</f>
        <v/>
      </c>
      <c r="AC100" s="26">
        <f t="shared" si="2"/>
        <v>0</v>
      </c>
      <c r="AD100" s="26">
        <f t="shared" si="3"/>
        <v>0</v>
      </c>
    </row>
    <row r="101" spans="2:30" ht="15" customHeight="1">
      <c r="B101" s="3" t="str">
        <f>IFERROR(VLOOKUP(C101,Master!$J:$K,2,0),"")</f>
        <v/>
      </c>
      <c r="D101" s="4" t="str">
        <f>IFERROR(VLOOKUP(E101,Master!$J:$K,2,0),"")</f>
        <v/>
      </c>
      <c r="F101" s="4" t="str">
        <f>IFERROR(VLOOKUP(G101,Master!B:C,2,0),"")</f>
        <v/>
      </c>
      <c r="I101" s="3" t="str">
        <f>IFERROR(VLOOKUP(E101,Master!$J:$M,4,0),"")</f>
        <v/>
      </c>
      <c r="J101" s="3" t="str">
        <f>IFERROR(VLOOKUP($E101,Master!$J:$M,3,0),"")</f>
        <v/>
      </c>
      <c r="AC101" s="26">
        <f t="shared" si="2"/>
        <v>0</v>
      </c>
      <c r="AD101" s="26">
        <f t="shared" si="3"/>
        <v>0</v>
      </c>
    </row>
    <row r="102" spans="2:30" ht="15" customHeight="1">
      <c r="B102" s="3" t="str">
        <f>IFERROR(VLOOKUP(C102,Master!$J:$K,2,0),"")</f>
        <v/>
      </c>
      <c r="D102" s="4" t="str">
        <f>IFERROR(VLOOKUP(E102,Master!$J:$K,2,0),"")</f>
        <v/>
      </c>
      <c r="F102" s="4" t="str">
        <f>IFERROR(VLOOKUP(G102,Master!B:C,2,0),"")</f>
        <v/>
      </c>
      <c r="I102" s="3" t="str">
        <f>IFERROR(VLOOKUP(E102,Master!$J:$M,4,0),"")</f>
        <v/>
      </c>
      <c r="J102" s="3" t="str">
        <f>IFERROR(VLOOKUP($E102,Master!$J:$M,3,0),"")</f>
        <v/>
      </c>
      <c r="AC102" s="26">
        <f t="shared" si="2"/>
        <v>0</v>
      </c>
      <c r="AD102" s="26">
        <f t="shared" si="3"/>
        <v>0</v>
      </c>
    </row>
    <row r="103" spans="2:30" ht="15" customHeight="1">
      <c r="B103" s="3" t="str">
        <f>IFERROR(VLOOKUP(C103,Master!$J:$K,2,0),"")</f>
        <v/>
      </c>
      <c r="D103" s="4" t="str">
        <f>IFERROR(VLOOKUP(E103,Master!$J:$K,2,0),"")</f>
        <v/>
      </c>
      <c r="F103" s="4" t="str">
        <f>IFERROR(VLOOKUP(G103,Master!B:C,2,0),"")</f>
        <v/>
      </c>
      <c r="I103" s="3" t="str">
        <f>IFERROR(VLOOKUP(E103,Master!$J:$M,4,0),"")</f>
        <v/>
      </c>
      <c r="J103" s="3" t="str">
        <f>IFERROR(VLOOKUP($E103,Master!$J:$M,3,0),"")</f>
        <v/>
      </c>
      <c r="AC103" s="26">
        <f t="shared" si="2"/>
        <v>0</v>
      </c>
      <c r="AD103" s="26">
        <f t="shared" si="3"/>
        <v>0</v>
      </c>
    </row>
    <row r="104" spans="2:30" ht="15" customHeight="1">
      <c r="B104" s="3" t="str">
        <f>IFERROR(VLOOKUP(C104,Master!$J:$K,2,0),"")</f>
        <v/>
      </c>
      <c r="D104" s="4" t="str">
        <f>IFERROR(VLOOKUP(E104,Master!$J:$K,2,0),"")</f>
        <v/>
      </c>
      <c r="F104" s="4" t="str">
        <f>IFERROR(VLOOKUP(G104,Master!B:C,2,0),"")</f>
        <v/>
      </c>
      <c r="I104" s="3" t="str">
        <f>IFERROR(VLOOKUP(E104,Master!$J:$M,4,0),"")</f>
        <v/>
      </c>
      <c r="J104" s="3" t="str">
        <f>IFERROR(VLOOKUP($E104,Master!$J:$M,3,0),"")</f>
        <v/>
      </c>
      <c r="AC104" s="26">
        <f t="shared" si="2"/>
        <v>0</v>
      </c>
      <c r="AD104" s="26">
        <f t="shared" si="3"/>
        <v>0</v>
      </c>
    </row>
    <row r="105" spans="2:30" ht="15" customHeight="1">
      <c r="B105" s="3" t="str">
        <f>IFERROR(VLOOKUP(C105,Master!$J:$K,2,0),"")</f>
        <v/>
      </c>
      <c r="D105" s="4" t="str">
        <f>IFERROR(VLOOKUP(E105,Master!$J:$K,2,0),"")</f>
        <v/>
      </c>
      <c r="F105" s="4" t="str">
        <f>IFERROR(VLOOKUP(G105,Master!B:C,2,0),"")</f>
        <v/>
      </c>
      <c r="I105" s="3" t="str">
        <f>IFERROR(VLOOKUP(E105,Master!$J:$M,4,0),"")</f>
        <v/>
      </c>
      <c r="J105" s="3" t="str">
        <f>IFERROR(VLOOKUP($E105,Master!$J:$M,3,0),"")</f>
        <v/>
      </c>
      <c r="AC105" s="26">
        <f t="shared" si="2"/>
        <v>0</v>
      </c>
      <c r="AD105" s="26">
        <f t="shared" si="3"/>
        <v>0</v>
      </c>
    </row>
    <row r="106" spans="2:30" ht="15" customHeight="1">
      <c r="B106" s="3" t="str">
        <f>IFERROR(VLOOKUP(C106,Master!$J:$K,2,0),"")</f>
        <v/>
      </c>
      <c r="D106" s="4" t="str">
        <f>IFERROR(VLOOKUP(E106,Master!$J:$K,2,0),"")</f>
        <v/>
      </c>
      <c r="F106" s="4" t="str">
        <f>IFERROR(VLOOKUP(G106,Master!B:C,2,0),"")</f>
        <v/>
      </c>
      <c r="I106" s="3" t="str">
        <f>IFERROR(VLOOKUP(E106,Master!$J:$M,4,0),"")</f>
        <v/>
      </c>
      <c r="J106" s="3" t="str">
        <f>IFERROR(VLOOKUP($E106,Master!$J:$M,3,0),"")</f>
        <v/>
      </c>
      <c r="AC106" s="26">
        <f t="shared" si="2"/>
        <v>0</v>
      </c>
      <c r="AD106" s="26">
        <f t="shared" si="3"/>
        <v>0</v>
      </c>
    </row>
    <row r="107" spans="2:30" ht="15" customHeight="1">
      <c r="B107" s="3" t="str">
        <f>IFERROR(VLOOKUP(C107,Master!$J:$K,2,0),"")</f>
        <v/>
      </c>
      <c r="D107" s="4" t="str">
        <f>IFERROR(VLOOKUP(E107,Master!$J:$K,2,0),"")</f>
        <v/>
      </c>
      <c r="F107" s="4" t="str">
        <f>IFERROR(VLOOKUP(G107,Master!B:C,2,0),"")</f>
        <v/>
      </c>
      <c r="I107" s="3" t="str">
        <f>IFERROR(VLOOKUP(E107,Master!$J:$M,4,0),"")</f>
        <v/>
      </c>
      <c r="J107" s="3" t="str">
        <f>IFERROR(VLOOKUP($E107,Master!$J:$M,3,0),"")</f>
        <v/>
      </c>
      <c r="AC107" s="26">
        <f t="shared" si="2"/>
        <v>0</v>
      </c>
      <c r="AD107" s="26">
        <f t="shared" si="3"/>
        <v>0</v>
      </c>
    </row>
    <row r="108" spans="2:30" ht="15" customHeight="1">
      <c r="B108" s="3" t="str">
        <f>IFERROR(VLOOKUP(C108,Master!$J:$K,2,0),"")</f>
        <v/>
      </c>
      <c r="D108" s="4" t="str">
        <f>IFERROR(VLOOKUP(E108,Master!$J:$K,2,0),"")</f>
        <v/>
      </c>
      <c r="F108" s="4" t="str">
        <f>IFERROR(VLOOKUP(G108,Master!B:C,2,0),"")</f>
        <v/>
      </c>
      <c r="I108" s="3" t="str">
        <f>IFERROR(VLOOKUP(E108,Master!$J:$M,4,0),"")</f>
        <v/>
      </c>
      <c r="J108" s="3" t="str">
        <f>IFERROR(VLOOKUP($E108,Master!$J:$M,3,0),"")</f>
        <v/>
      </c>
      <c r="AC108" s="26">
        <f t="shared" si="2"/>
        <v>0</v>
      </c>
      <c r="AD108" s="26">
        <f t="shared" si="3"/>
        <v>0</v>
      </c>
    </row>
    <row r="109" spans="2:30" ht="15" customHeight="1">
      <c r="B109" s="3" t="str">
        <f>IFERROR(VLOOKUP(C109,Master!$J:$K,2,0),"")</f>
        <v/>
      </c>
      <c r="D109" s="4" t="str">
        <f>IFERROR(VLOOKUP(E109,Master!$J:$K,2,0),"")</f>
        <v/>
      </c>
      <c r="F109" s="4" t="str">
        <f>IFERROR(VLOOKUP(G109,Master!B:C,2,0),"")</f>
        <v/>
      </c>
      <c r="I109" s="3" t="str">
        <f>IFERROR(VLOOKUP(E109,Master!$J:$M,4,0),"")</f>
        <v/>
      </c>
      <c r="J109" s="3" t="str">
        <f>IFERROR(VLOOKUP($E109,Master!$J:$M,3,0),"")</f>
        <v/>
      </c>
      <c r="AC109" s="26">
        <f t="shared" si="2"/>
        <v>0</v>
      </c>
      <c r="AD109" s="26">
        <f t="shared" si="3"/>
        <v>0</v>
      </c>
    </row>
    <row r="110" spans="2:30" ht="15" customHeight="1">
      <c r="B110" s="3" t="str">
        <f>IFERROR(VLOOKUP(C110,Master!$J:$K,2,0),"")</f>
        <v/>
      </c>
      <c r="D110" s="4" t="str">
        <f>IFERROR(VLOOKUP(E110,Master!$J:$K,2,0),"")</f>
        <v/>
      </c>
      <c r="F110" s="4" t="str">
        <f>IFERROR(VLOOKUP(G110,Master!B:C,2,0),"")</f>
        <v/>
      </c>
      <c r="I110" s="3" t="str">
        <f>IFERROR(VLOOKUP(E110,Master!$J:$M,4,0),"")</f>
        <v/>
      </c>
      <c r="J110" s="3" t="str">
        <f>IFERROR(VLOOKUP($E110,Master!$J:$M,3,0),"")</f>
        <v/>
      </c>
      <c r="AC110" s="26">
        <f t="shared" si="2"/>
        <v>0</v>
      </c>
      <c r="AD110" s="26">
        <f t="shared" si="3"/>
        <v>0</v>
      </c>
    </row>
    <row r="111" spans="2:30" ht="15" customHeight="1">
      <c r="B111" s="3" t="str">
        <f>IFERROR(VLOOKUP(C111,Master!$J:$K,2,0),"")</f>
        <v/>
      </c>
      <c r="D111" s="4" t="str">
        <f>IFERROR(VLOOKUP(E111,Master!$J:$K,2,0),"")</f>
        <v/>
      </c>
      <c r="F111" s="4" t="str">
        <f>IFERROR(VLOOKUP(G111,Master!B:C,2,0),"")</f>
        <v/>
      </c>
      <c r="I111" s="3" t="str">
        <f>IFERROR(VLOOKUP(E111,Master!$J:$M,4,0),"")</f>
        <v/>
      </c>
      <c r="J111" s="3" t="str">
        <f>IFERROR(VLOOKUP($E111,Master!$J:$M,3,0),"")</f>
        <v/>
      </c>
      <c r="AC111" s="26">
        <f t="shared" si="2"/>
        <v>0</v>
      </c>
      <c r="AD111" s="26">
        <f t="shared" si="3"/>
        <v>0</v>
      </c>
    </row>
    <row r="112" spans="2:30" ht="15" customHeight="1">
      <c r="B112" s="3" t="str">
        <f>IFERROR(VLOOKUP(C112,Master!$J:$K,2,0),"")</f>
        <v/>
      </c>
      <c r="D112" s="4" t="str">
        <f>IFERROR(VLOOKUP(E112,Master!$J:$K,2,0),"")</f>
        <v/>
      </c>
      <c r="F112" s="4" t="str">
        <f>IFERROR(VLOOKUP(G112,Master!B:C,2,0),"")</f>
        <v/>
      </c>
      <c r="I112" s="3" t="str">
        <f>IFERROR(VLOOKUP(E112,Master!$J:$M,4,0),"")</f>
        <v/>
      </c>
      <c r="J112" s="3" t="str">
        <f>IFERROR(VLOOKUP($E112,Master!$J:$M,3,0),"")</f>
        <v/>
      </c>
      <c r="AC112" s="26">
        <f t="shared" si="2"/>
        <v>0</v>
      </c>
      <c r="AD112" s="26">
        <f t="shared" si="3"/>
        <v>0</v>
      </c>
    </row>
    <row r="113" spans="2:30" ht="15" customHeight="1">
      <c r="B113" s="3" t="str">
        <f>IFERROR(VLOOKUP(C113,Master!$J:$K,2,0),"")</f>
        <v/>
      </c>
      <c r="D113" s="4" t="str">
        <f>IFERROR(VLOOKUP(E113,Master!$J:$K,2,0),"")</f>
        <v/>
      </c>
      <c r="F113" s="4" t="str">
        <f>IFERROR(VLOOKUP(G113,Master!B:C,2,0),"")</f>
        <v/>
      </c>
      <c r="I113" s="3" t="str">
        <f>IFERROR(VLOOKUP(E113,Master!$J:$M,4,0),"")</f>
        <v/>
      </c>
      <c r="J113" s="3" t="str">
        <f>IFERROR(VLOOKUP($E113,Master!$J:$M,3,0),"")</f>
        <v/>
      </c>
      <c r="AC113" s="26">
        <f t="shared" si="2"/>
        <v>0</v>
      </c>
      <c r="AD113" s="26">
        <f t="shared" si="3"/>
        <v>0</v>
      </c>
    </row>
    <row r="114" spans="2:30" ht="15" customHeight="1">
      <c r="B114" s="3" t="str">
        <f>IFERROR(VLOOKUP(C114,Master!$J:$K,2,0),"")</f>
        <v/>
      </c>
      <c r="D114" s="4" t="str">
        <f>IFERROR(VLOOKUP(E114,Master!$J:$K,2,0),"")</f>
        <v/>
      </c>
      <c r="F114" s="4" t="str">
        <f>IFERROR(VLOOKUP(G114,Master!B:C,2,0),"")</f>
        <v/>
      </c>
      <c r="I114" s="3" t="str">
        <f>IFERROR(VLOOKUP(E114,Master!$J:$M,4,0),"")</f>
        <v/>
      </c>
      <c r="J114" s="3" t="str">
        <f>IFERROR(VLOOKUP($E114,Master!$J:$M,3,0),"")</f>
        <v/>
      </c>
      <c r="AC114" s="26">
        <f t="shared" si="2"/>
        <v>0</v>
      </c>
      <c r="AD114" s="26">
        <f t="shared" si="3"/>
        <v>0</v>
      </c>
    </row>
    <row r="115" spans="2:30" ht="15" customHeight="1">
      <c r="B115" s="3" t="str">
        <f>IFERROR(VLOOKUP(C115,Master!$J:$K,2,0),"")</f>
        <v/>
      </c>
      <c r="D115" s="4" t="str">
        <f>IFERROR(VLOOKUP(E115,Master!$J:$K,2,0),"")</f>
        <v/>
      </c>
      <c r="F115" s="4" t="str">
        <f>IFERROR(VLOOKUP(G115,Master!B:C,2,0),"")</f>
        <v/>
      </c>
      <c r="I115" s="3" t="str">
        <f>IFERROR(VLOOKUP(E115,Master!$J:$M,4,0),"")</f>
        <v/>
      </c>
      <c r="J115" s="3" t="str">
        <f>IFERROR(VLOOKUP($E115,Master!$J:$M,3,0),"")</f>
        <v/>
      </c>
      <c r="AC115" s="26">
        <f t="shared" si="2"/>
        <v>0</v>
      </c>
      <c r="AD115" s="26">
        <f t="shared" si="3"/>
        <v>0</v>
      </c>
    </row>
    <row r="116" spans="2:30" ht="15" customHeight="1">
      <c r="B116" s="3" t="str">
        <f>IFERROR(VLOOKUP(C116,Master!$J:$K,2,0),"")</f>
        <v/>
      </c>
      <c r="D116" s="4" t="str">
        <f>IFERROR(VLOOKUP(E116,Master!$J:$K,2,0),"")</f>
        <v/>
      </c>
      <c r="F116" s="4" t="str">
        <f>IFERROR(VLOOKUP(G116,Master!B:C,2,0),"")</f>
        <v/>
      </c>
      <c r="I116" s="3" t="str">
        <f>IFERROR(VLOOKUP(E116,Master!$J:$M,4,0),"")</f>
        <v/>
      </c>
      <c r="J116" s="3" t="str">
        <f>IFERROR(VLOOKUP($E116,Master!$J:$M,3,0),"")</f>
        <v/>
      </c>
      <c r="AC116" s="26">
        <f t="shared" si="2"/>
        <v>0</v>
      </c>
      <c r="AD116" s="26">
        <f t="shared" si="3"/>
        <v>0</v>
      </c>
    </row>
    <row r="117" spans="2:30" ht="15" customHeight="1">
      <c r="B117" s="3" t="str">
        <f>IFERROR(VLOOKUP(C117,Master!$J:$K,2,0),"")</f>
        <v/>
      </c>
      <c r="D117" s="4" t="str">
        <f>IFERROR(VLOOKUP(E117,Master!$J:$K,2,0),"")</f>
        <v/>
      </c>
      <c r="F117" s="4" t="str">
        <f>IFERROR(VLOOKUP(G117,Master!B:C,2,0),"")</f>
        <v/>
      </c>
      <c r="I117" s="3" t="str">
        <f>IFERROR(VLOOKUP(E117,Master!$J:$M,4,0),"")</f>
        <v/>
      </c>
      <c r="J117" s="3" t="str">
        <f>IFERROR(VLOOKUP($E117,Master!$J:$M,3,0),"")</f>
        <v/>
      </c>
      <c r="AC117" s="26">
        <f t="shared" si="2"/>
        <v>0</v>
      </c>
      <c r="AD117" s="26">
        <f t="shared" si="3"/>
        <v>0</v>
      </c>
    </row>
    <row r="118" spans="2:30" ht="15" customHeight="1">
      <c r="B118" s="3" t="str">
        <f>IFERROR(VLOOKUP(C118,Master!$J:$K,2,0),"")</f>
        <v/>
      </c>
      <c r="D118" s="4" t="str">
        <f>IFERROR(VLOOKUP(E118,Master!$J:$K,2,0),"")</f>
        <v/>
      </c>
      <c r="F118" s="4" t="str">
        <f>IFERROR(VLOOKUP(G118,Master!B:C,2,0),"")</f>
        <v/>
      </c>
      <c r="I118" s="3" t="str">
        <f>IFERROR(VLOOKUP(E118,Master!$J:$M,4,0),"")</f>
        <v/>
      </c>
      <c r="J118" s="3" t="str">
        <f>IFERROR(VLOOKUP($E118,Master!$J:$M,3,0),"")</f>
        <v/>
      </c>
      <c r="AC118" s="26">
        <f t="shared" si="2"/>
        <v>0</v>
      </c>
      <c r="AD118" s="26">
        <f t="shared" si="3"/>
        <v>0</v>
      </c>
    </row>
    <row r="119" spans="2:30" ht="15" customHeight="1">
      <c r="B119" s="3" t="str">
        <f>IFERROR(VLOOKUP(C119,Master!$J:$K,2,0),"")</f>
        <v/>
      </c>
      <c r="D119" s="4" t="str">
        <f>IFERROR(VLOOKUP(E119,Master!$J:$K,2,0),"")</f>
        <v/>
      </c>
      <c r="F119" s="4" t="str">
        <f>IFERROR(VLOOKUP(G119,Master!B:C,2,0),"")</f>
        <v/>
      </c>
      <c r="I119" s="3" t="str">
        <f>IFERROR(VLOOKUP(E119,Master!$J:$M,4,0),"")</f>
        <v/>
      </c>
      <c r="J119" s="3" t="str">
        <f>IFERROR(VLOOKUP($E119,Master!$J:$M,3,0),"")</f>
        <v/>
      </c>
      <c r="AC119" s="26">
        <f t="shared" si="2"/>
        <v>0</v>
      </c>
      <c r="AD119" s="26">
        <f t="shared" si="3"/>
        <v>0</v>
      </c>
    </row>
    <row r="120" spans="2:30" ht="15" customHeight="1">
      <c r="B120" s="3" t="str">
        <f>IFERROR(VLOOKUP(C120,Master!$J:$K,2,0),"")</f>
        <v/>
      </c>
      <c r="D120" s="4" t="str">
        <f>IFERROR(VLOOKUP(E120,Master!$J:$K,2,0),"")</f>
        <v/>
      </c>
      <c r="F120" s="4" t="str">
        <f>IFERROR(VLOOKUP(G120,Master!B:C,2,0),"")</f>
        <v/>
      </c>
      <c r="I120" s="3" t="str">
        <f>IFERROR(VLOOKUP(E120,Master!$J:$M,4,0),"")</f>
        <v/>
      </c>
      <c r="J120" s="3" t="str">
        <f>IFERROR(VLOOKUP($E120,Master!$J:$M,3,0),"")</f>
        <v/>
      </c>
      <c r="AC120" s="26">
        <f t="shared" si="2"/>
        <v>0</v>
      </c>
      <c r="AD120" s="26">
        <f t="shared" si="3"/>
        <v>0</v>
      </c>
    </row>
    <row r="121" spans="2:30" ht="15" customHeight="1">
      <c r="B121" s="3" t="str">
        <f>IFERROR(VLOOKUP(C121,Master!$J:$K,2,0),"")</f>
        <v/>
      </c>
      <c r="D121" s="4" t="str">
        <f>IFERROR(VLOOKUP(E121,Master!$J:$K,2,0),"")</f>
        <v/>
      </c>
      <c r="F121" s="4" t="str">
        <f>IFERROR(VLOOKUP(G121,Master!B:C,2,0),"")</f>
        <v/>
      </c>
      <c r="I121" s="3" t="str">
        <f>IFERROR(VLOOKUP(E121,Master!$J:$M,4,0),"")</f>
        <v/>
      </c>
      <c r="J121" s="3" t="str">
        <f>IFERROR(VLOOKUP($E121,Master!$J:$M,3,0),"")</f>
        <v/>
      </c>
      <c r="AC121" s="26">
        <f t="shared" si="2"/>
        <v>0</v>
      </c>
      <c r="AD121" s="26">
        <f t="shared" si="3"/>
        <v>0</v>
      </c>
    </row>
    <row r="122" spans="2:30" ht="15" customHeight="1">
      <c r="B122" s="3" t="str">
        <f>IFERROR(VLOOKUP(C122,Master!$J:$K,2,0),"")</f>
        <v/>
      </c>
      <c r="D122" s="4" t="str">
        <f>IFERROR(VLOOKUP(E122,Master!$J:$K,2,0),"")</f>
        <v/>
      </c>
      <c r="F122" s="4" t="str">
        <f>IFERROR(VLOOKUP(G122,Master!B:C,2,0),"")</f>
        <v/>
      </c>
      <c r="I122" s="3" t="str">
        <f>IFERROR(VLOOKUP(E122,Master!$J:$M,4,0),"")</f>
        <v/>
      </c>
      <c r="J122" s="3" t="str">
        <f>IFERROR(VLOOKUP($E122,Master!$J:$M,3,0),"")</f>
        <v/>
      </c>
      <c r="AC122" s="26">
        <f t="shared" si="2"/>
        <v>0</v>
      </c>
      <c r="AD122" s="26">
        <f t="shared" si="3"/>
        <v>0</v>
      </c>
    </row>
    <row r="123" spans="2:30" ht="15" customHeight="1">
      <c r="B123" s="3" t="str">
        <f>IFERROR(VLOOKUP(C123,Master!$J:$K,2,0),"")</f>
        <v/>
      </c>
      <c r="D123" s="4" t="str">
        <f>IFERROR(VLOOKUP(E123,Master!$J:$K,2,0),"")</f>
        <v/>
      </c>
      <c r="F123" s="4" t="str">
        <f>IFERROR(VLOOKUP(G123,Master!B:C,2,0),"")</f>
        <v/>
      </c>
      <c r="I123" s="3" t="str">
        <f>IFERROR(VLOOKUP(E123,Master!$J:$M,4,0),"")</f>
        <v/>
      </c>
      <c r="J123" s="3" t="str">
        <f>IFERROR(VLOOKUP($E123,Master!$J:$M,3,0),"")</f>
        <v/>
      </c>
      <c r="AC123" s="26">
        <f t="shared" si="2"/>
        <v>0</v>
      </c>
      <c r="AD123" s="26">
        <f t="shared" si="3"/>
        <v>0</v>
      </c>
    </row>
    <row r="124" spans="2:30" ht="15" customHeight="1">
      <c r="B124" s="3" t="str">
        <f>IFERROR(VLOOKUP(C124,Master!$J:$K,2,0),"")</f>
        <v/>
      </c>
      <c r="D124" s="4" t="str">
        <f>IFERROR(VLOOKUP(E124,Master!$J:$K,2,0),"")</f>
        <v/>
      </c>
      <c r="F124" s="4" t="str">
        <f>IFERROR(VLOOKUP(G124,Master!B:C,2,0),"")</f>
        <v/>
      </c>
      <c r="I124" s="3" t="str">
        <f>IFERROR(VLOOKUP(E124,Master!$J:$M,4,0),"")</f>
        <v/>
      </c>
      <c r="J124" s="3" t="str">
        <f>IFERROR(VLOOKUP($E124,Master!$J:$M,3,0),"")</f>
        <v/>
      </c>
      <c r="AC124" s="26">
        <f t="shared" si="2"/>
        <v>0</v>
      </c>
      <c r="AD124" s="26">
        <f t="shared" si="3"/>
        <v>0</v>
      </c>
    </row>
    <row r="125" spans="2:30" ht="15" customHeight="1">
      <c r="B125" s="3" t="str">
        <f>IFERROR(VLOOKUP(C125,Master!$J:$K,2,0),"")</f>
        <v/>
      </c>
      <c r="D125" s="4" t="str">
        <f>IFERROR(VLOOKUP(E125,Master!$J:$K,2,0),"")</f>
        <v/>
      </c>
      <c r="F125" s="4" t="str">
        <f>IFERROR(VLOOKUP(G125,Master!B:C,2,0),"")</f>
        <v/>
      </c>
      <c r="I125" s="3" t="str">
        <f>IFERROR(VLOOKUP(E125,Master!$J:$M,4,0),"")</f>
        <v/>
      </c>
      <c r="J125" s="3" t="str">
        <f>IFERROR(VLOOKUP($E125,Master!$J:$M,3,0),"")</f>
        <v/>
      </c>
      <c r="AC125" s="26">
        <f t="shared" si="2"/>
        <v>0</v>
      </c>
      <c r="AD125" s="26">
        <f t="shared" si="3"/>
        <v>0</v>
      </c>
    </row>
    <row r="126" spans="2:30" ht="15" customHeight="1">
      <c r="B126" s="3" t="str">
        <f>IFERROR(VLOOKUP(C126,Master!$J:$K,2,0),"")</f>
        <v/>
      </c>
      <c r="D126" s="4" t="str">
        <f>IFERROR(VLOOKUP(E126,Master!$J:$K,2,0),"")</f>
        <v/>
      </c>
      <c r="F126" s="4" t="str">
        <f>IFERROR(VLOOKUP(G126,Master!B:C,2,0),"")</f>
        <v/>
      </c>
      <c r="I126" s="3" t="str">
        <f>IFERROR(VLOOKUP(E126,Master!$J:$M,4,0),"")</f>
        <v/>
      </c>
      <c r="J126" s="3" t="str">
        <f>IFERROR(VLOOKUP($E126,Master!$J:$M,3,0),"")</f>
        <v/>
      </c>
      <c r="AC126" s="26">
        <f t="shared" si="2"/>
        <v>0</v>
      </c>
      <c r="AD126" s="26">
        <f t="shared" si="3"/>
        <v>0</v>
      </c>
    </row>
    <row r="127" spans="2:30" ht="15" customHeight="1">
      <c r="B127" s="3" t="str">
        <f>IFERROR(VLOOKUP(C127,Master!$J:$K,2,0),"")</f>
        <v/>
      </c>
      <c r="D127" s="4" t="str">
        <f>IFERROR(VLOOKUP(E127,Master!$J:$K,2,0),"")</f>
        <v/>
      </c>
      <c r="F127" s="4" t="str">
        <f>IFERROR(VLOOKUP(G127,Master!B:C,2,0),"")</f>
        <v/>
      </c>
      <c r="I127" s="3" t="str">
        <f>IFERROR(VLOOKUP(E127,Master!$J:$M,4,0),"")</f>
        <v/>
      </c>
      <c r="J127" s="3" t="str">
        <f>IFERROR(VLOOKUP($E127,Master!$J:$M,3,0),"")</f>
        <v/>
      </c>
      <c r="AC127" s="26">
        <f t="shared" si="2"/>
        <v>0</v>
      </c>
      <c r="AD127" s="26">
        <f t="shared" si="3"/>
        <v>0</v>
      </c>
    </row>
    <row r="128" spans="2:30" ht="15" customHeight="1">
      <c r="B128" s="3" t="str">
        <f>IFERROR(VLOOKUP(C128,Master!$J:$K,2,0),"")</f>
        <v/>
      </c>
      <c r="D128" s="4" t="str">
        <f>IFERROR(VLOOKUP(E128,Master!$J:$K,2,0),"")</f>
        <v/>
      </c>
      <c r="F128" s="4" t="str">
        <f>IFERROR(VLOOKUP(G128,Master!B:C,2,0),"")</f>
        <v/>
      </c>
      <c r="I128" s="3" t="str">
        <f>IFERROR(VLOOKUP(E128,Master!$J:$M,4,0),"")</f>
        <v/>
      </c>
      <c r="J128" s="3" t="str">
        <f>IFERROR(VLOOKUP($E128,Master!$J:$M,3,0),"")</f>
        <v/>
      </c>
      <c r="AC128" s="26">
        <f t="shared" si="2"/>
        <v>0</v>
      </c>
      <c r="AD128" s="26">
        <f t="shared" si="3"/>
        <v>0</v>
      </c>
    </row>
    <row r="129" spans="2:30" ht="15" customHeight="1">
      <c r="B129" s="3" t="str">
        <f>IFERROR(VLOOKUP(C129,Master!$J:$K,2,0),"")</f>
        <v/>
      </c>
      <c r="D129" s="4" t="str">
        <f>IFERROR(VLOOKUP(E129,Master!$J:$K,2,0),"")</f>
        <v/>
      </c>
      <c r="F129" s="4" t="str">
        <f>IFERROR(VLOOKUP(G129,Master!B:C,2,0),"")</f>
        <v/>
      </c>
      <c r="I129" s="3" t="str">
        <f>IFERROR(VLOOKUP(E129,Master!$J:$M,4,0),"")</f>
        <v/>
      </c>
      <c r="J129" s="3" t="str">
        <f>IFERROR(VLOOKUP($E129,Master!$J:$M,3,0),"")</f>
        <v/>
      </c>
      <c r="AC129" s="26">
        <f t="shared" si="2"/>
        <v>0</v>
      </c>
      <c r="AD129" s="26">
        <f t="shared" si="3"/>
        <v>0</v>
      </c>
    </row>
    <row r="130" spans="2:30" ht="15" customHeight="1">
      <c r="B130" s="3" t="str">
        <f>IFERROR(VLOOKUP(C130,Master!$J:$K,2,0),"")</f>
        <v/>
      </c>
      <c r="D130" s="4" t="str">
        <f>IFERROR(VLOOKUP(E130,Master!$J:$K,2,0),"")</f>
        <v/>
      </c>
      <c r="F130" s="4" t="str">
        <f>IFERROR(VLOOKUP(G130,Master!B:C,2,0),"")</f>
        <v/>
      </c>
      <c r="I130" s="3" t="str">
        <f>IFERROR(VLOOKUP(E130,Master!$J:$M,4,0),"")</f>
        <v/>
      </c>
      <c r="J130" s="3" t="str">
        <f>IFERROR(VLOOKUP($E130,Master!$J:$M,3,0),"")</f>
        <v/>
      </c>
      <c r="AC130" s="26">
        <f t="shared" ref="AC130:AC193" si="4">SUM(K130:P130)</f>
        <v>0</v>
      </c>
      <c r="AD130" s="26">
        <f t="shared" ref="AD130:AD193" si="5">SUM(Q130:AB130)</f>
        <v>0</v>
      </c>
    </row>
    <row r="131" spans="2:30" ht="15" customHeight="1">
      <c r="B131" s="3" t="str">
        <f>IFERROR(VLOOKUP(C131,Master!$J:$K,2,0),"")</f>
        <v/>
      </c>
      <c r="D131" s="4" t="str">
        <f>IFERROR(VLOOKUP(E131,Master!$J:$K,2,0),"")</f>
        <v/>
      </c>
      <c r="F131" s="4" t="str">
        <f>IFERROR(VLOOKUP(G131,Master!B:C,2,0),"")</f>
        <v/>
      </c>
      <c r="I131" s="3" t="str">
        <f>IFERROR(VLOOKUP(E131,Master!$J:$M,4,0),"")</f>
        <v/>
      </c>
      <c r="J131" s="3" t="str">
        <f>IFERROR(VLOOKUP($E131,Master!$J:$M,3,0),"")</f>
        <v/>
      </c>
      <c r="AC131" s="26">
        <f t="shared" si="4"/>
        <v>0</v>
      </c>
      <c r="AD131" s="26">
        <f t="shared" si="5"/>
        <v>0</v>
      </c>
    </row>
    <row r="132" spans="2:30" ht="15" customHeight="1">
      <c r="B132" s="3" t="str">
        <f>IFERROR(VLOOKUP(C132,Master!$J:$K,2,0),"")</f>
        <v/>
      </c>
      <c r="D132" s="4" t="str">
        <f>IFERROR(VLOOKUP(E132,Master!$J:$K,2,0),"")</f>
        <v/>
      </c>
      <c r="F132" s="4" t="str">
        <f>IFERROR(VLOOKUP(G132,Master!B:C,2,0),"")</f>
        <v/>
      </c>
      <c r="I132" s="3" t="str">
        <f>IFERROR(VLOOKUP(E132,Master!$J:$M,4,0),"")</f>
        <v/>
      </c>
      <c r="J132" s="3" t="str">
        <f>IFERROR(VLOOKUP($E132,Master!$J:$M,3,0),"")</f>
        <v/>
      </c>
      <c r="AC132" s="26">
        <f t="shared" si="4"/>
        <v>0</v>
      </c>
      <c r="AD132" s="26">
        <f t="shared" si="5"/>
        <v>0</v>
      </c>
    </row>
    <row r="133" spans="2:30" ht="15" customHeight="1">
      <c r="B133" s="3" t="str">
        <f>IFERROR(VLOOKUP(C133,Master!$J:$K,2,0),"")</f>
        <v/>
      </c>
      <c r="D133" s="4" t="str">
        <f>IFERROR(VLOOKUP(E133,Master!$J:$K,2,0),"")</f>
        <v/>
      </c>
      <c r="F133" s="4" t="str">
        <f>IFERROR(VLOOKUP(G133,Master!B:C,2,0),"")</f>
        <v/>
      </c>
      <c r="I133" s="3" t="str">
        <f>IFERROR(VLOOKUP(E133,Master!$J:$M,4,0),"")</f>
        <v/>
      </c>
      <c r="J133" s="3" t="str">
        <f>IFERROR(VLOOKUP($E133,Master!$J:$M,3,0),"")</f>
        <v/>
      </c>
      <c r="AC133" s="26">
        <f t="shared" si="4"/>
        <v>0</v>
      </c>
      <c r="AD133" s="26">
        <f t="shared" si="5"/>
        <v>0</v>
      </c>
    </row>
    <row r="134" spans="2:30" ht="15" customHeight="1">
      <c r="B134" s="3" t="str">
        <f>IFERROR(VLOOKUP(C134,Master!$J:$K,2,0),"")</f>
        <v/>
      </c>
      <c r="D134" s="4" t="str">
        <f>IFERROR(VLOOKUP(E134,Master!$J:$K,2,0),"")</f>
        <v/>
      </c>
      <c r="F134" s="4" t="str">
        <f>IFERROR(VLOOKUP(G134,Master!B:C,2,0),"")</f>
        <v/>
      </c>
      <c r="I134" s="3" t="str">
        <f>IFERROR(VLOOKUP(E134,Master!$J:$M,4,0),"")</f>
        <v/>
      </c>
      <c r="J134" s="3" t="str">
        <f>IFERROR(VLOOKUP($E134,Master!$J:$M,3,0),"")</f>
        <v/>
      </c>
      <c r="AC134" s="26">
        <f t="shared" si="4"/>
        <v>0</v>
      </c>
      <c r="AD134" s="26">
        <f t="shared" si="5"/>
        <v>0</v>
      </c>
    </row>
    <row r="135" spans="2:30" ht="15" customHeight="1">
      <c r="B135" s="3" t="str">
        <f>IFERROR(VLOOKUP(C135,Master!$J:$K,2,0),"")</f>
        <v/>
      </c>
      <c r="D135" s="4" t="str">
        <f>IFERROR(VLOOKUP(E135,Master!$J:$K,2,0),"")</f>
        <v/>
      </c>
      <c r="F135" s="4" t="str">
        <f>IFERROR(VLOOKUP(G135,Master!B:C,2,0),"")</f>
        <v/>
      </c>
      <c r="I135" s="3" t="str">
        <f>IFERROR(VLOOKUP(E135,Master!$J:$M,4,0),"")</f>
        <v/>
      </c>
      <c r="J135" s="3" t="str">
        <f>IFERROR(VLOOKUP($E135,Master!$J:$M,3,0),"")</f>
        <v/>
      </c>
      <c r="AC135" s="26">
        <f t="shared" si="4"/>
        <v>0</v>
      </c>
      <c r="AD135" s="26">
        <f t="shared" si="5"/>
        <v>0</v>
      </c>
    </row>
    <row r="136" spans="2:30" ht="15" customHeight="1">
      <c r="B136" s="3" t="str">
        <f>IFERROR(VLOOKUP(C136,Master!$J:$K,2,0),"")</f>
        <v/>
      </c>
      <c r="D136" s="4" t="str">
        <f>IFERROR(VLOOKUP(E136,Master!$J:$K,2,0),"")</f>
        <v/>
      </c>
      <c r="F136" s="4" t="str">
        <f>IFERROR(VLOOKUP(G136,Master!B:C,2,0),"")</f>
        <v/>
      </c>
      <c r="I136" s="3" t="str">
        <f>IFERROR(VLOOKUP(E136,Master!$J:$M,4,0),"")</f>
        <v/>
      </c>
      <c r="J136" s="3" t="str">
        <f>IFERROR(VLOOKUP($E136,Master!$J:$M,3,0),"")</f>
        <v/>
      </c>
      <c r="AC136" s="26">
        <f t="shared" si="4"/>
        <v>0</v>
      </c>
      <c r="AD136" s="26">
        <f t="shared" si="5"/>
        <v>0</v>
      </c>
    </row>
    <row r="137" spans="2:30" ht="15" customHeight="1">
      <c r="B137" s="3" t="str">
        <f>IFERROR(VLOOKUP(C137,Master!$J:$K,2,0),"")</f>
        <v/>
      </c>
      <c r="D137" s="4" t="str">
        <f>IFERROR(VLOOKUP(E137,Master!$J:$K,2,0),"")</f>
        <v/>
      </c>
      <c r="F137" s="4" t="str">
        <f>IFERROR(VLOOKUP(G137,Master!B:C,2,0),"")</f>
        <v/>
      </c>
      <c r="I137" s="3" t="str">
        <f>IFERROR(VLOOKUP(E137,Master!$J:$M,4,0),"")</f>
        <v/>
      </c>
      <c r="J137" s="3" t="str">
        <f>IFERROR(VLOOKUP($E137,Master!$J:$M,3,0),"")</f>
        <v/>
      </c>
      <c r="AC137" s="26">
        <f t="shared" si="4"/>
        <v>0</v>
      </c>
      <c r="AD137" s="26">
        <f t="shared" si="5"/>
        <v>0</v>
      </c>
    </row>
    <row r="138" spans="2:30" ht="15" customHeight="1">
      <c r="B138" s="3" t="str">
        <f>IFERROR(VLOOKUP(C138,Master!$J:$K,2,0),"")</f>
        <v/>
      </c>
      <c r="D138" s="4" t="str">
        <f>IFERROR(VLOOKUP(E138,Master!$J:$K,2,0),"")</f>
        <v/>
      </c>
      <c r="F138" s="4" t="str">
        <f>IFERROR(VLOOKUP(G138,Master!B:C,2,0),"")</f>
        <v/>
      </c>
      <c r="I138" s="3" t="str">
        <f>IFERROR(VLOOKUP(E138,Master!$J:$M,4,0),"")</f>
        <v/>
      </c>
      <c r="J138" s="3" t="str">
        <f>IFERROR(VLOOKUP($E138,Master!$J:$M,3,0),"")</f>
        <v/>
      </c>
      <c r="AC138" s="26">
        <f t="shared" si="4"/>
        <v>0</v>
      </c>
      <c r="AD138" s="26">
        <f t="shared" si="5"/>
        <v>0</v>
      </c>
    </row>
    <row r="139" spans="2:30" ht="15" customHeight="1">
      <c r="B139" s="3" t="str">
        <f>IFERROR(VLOOKUP(C139,Master!$J:$K,2,0),"")</f>
        <v/>
      </c>
      <c r="D139" s="4" t="str">
        <f>IFERROR(VLOOKUP(E139,Master!$J:$K,2,0),"")</f>
        <v/>
      </c>
      <c r="F139" s="4" t="str">
        <f>IFERROR(VLOOKUP(G139,Master!B:C,2,0),"")</f>
        <v/>
      </c>
      <c r="I139" s="3" t="str">
        <f>IFERROR(VLOOKUP(E139,Master!$J:$M,4,0),"")</f>
        <v/>
      </c>
      <c r="J139" s="3" t="str">
        <f>IFERROR(VLOOKUP($E139,Master!$J:$M,3,0),"")</f>
        <v/>
      </c>
      <c r="AC139" s="26">
        <f t="shared" si="4"/>
        <v>0</v>
      </c>
      <c r="AD139" s="26">
        <f t="shared" si="5"/>
        <v>0</v>
      </c>
    </row>
    <row r="140" spans="2:30" ht="15" customHeight="1">
      <c r="B140" s="3" t="str">
        <f>IFERROR(VLOOKUP(C140,Master!$J:$K,2,0),"")</f>
        <v/>
      </c>
      <c r="D140" s="4" t="str">
        <f>IFERROR(VLOOKUP(E140,Master!$J:$K,2,0),"")</f>
        <v/>
      </c>
      <c r="F140" s="4" t="str">
        <f>IFERROR(VLOOKUP(G140,Master!B:C,2,0),"")</f>
        <v/>
      </c>
      <c r="I140" s="3" t="str">
        <f>IFERROR(VLOOKUP(E140,Master!$J:$M,4,0),"")</f>
        <v/>
      </c>
      <c r="J140" s="3" t="str">
        <f>IFERROR(VLOOKUP($E140,Master!$J:$M,3,0),"")</f>
        <v/>
      </c>
      <c r="AC140" s="26">
        <f t="shared" si="4"/>
        <v>0</v>
      </c>
      <c r="AD140" s="26">
        <f t="shared" si="5"/>
        <v>0</v>
      </c>
    </row>
    <row r="141" spans="2:30" ht="15" customHeight="1">
      <c r="B141" s="3" t="str">
        <f>IFERROR(VLOOKUP(C141,Master!$J:$K,2,0),"")</f>
        <v/>
      </c>
      <c r="D141" s="4" t="str">
        <f>IFERROR(VLOOKUP(E141,Master!$J:$K,2,0),"")</f>
        <v/>
      </c>
      <c r="F141" s="4" t="str">
        <f>IFERROR(VLOOKUP(G141,Master!B:C,2,0),"")</f>
        <v/>
      </c>
      <c r="I141" s="3" t="str">
        <f>IFERROR(VLOOKUP(E141,Master!$J:$M,4,0),"")</f>
        <v/>
      </c>
      <c r="J141" s="3" t="str">
        <f>IFERROR(VLOOKUP($E141,Master!$J:$M,3,0),"")</f>
        <v/>
      </c>
      <c r="AC141" s="26">
        <f t="shared" si="4"/>
        <v>0</v>
      </c>
      <c r="AD141" s="26">
        <f t="shared" si="5"/>
        <v>0</v>
      </c>
    </row>
    <row r="142" spans="2:30" ht="15" customHeight="1">
      <c r="B142" s="3" t="str">
        <f>IFERROR(VLOOKUP(C142,Master!$J:$K,2,0),"")</f>
        <v/>
      </c>
      <c r="D142" s="4" t="str">
        <f>IFERROR(VLOOKUP(E142,Master!$J:$K,2,0),"")</f>
        <v/>
      </c>
      <c r="F142" s="4" t="str">
        <f>IFERROR(VLOOKUP(G142,Master!B:C,2,0),"")</f>
        <v/>
      </c>
      <c r="I142" s="3" t="str">
        <f>IFERROR(VLOOKUP(E142,Master!$J:$M,4,0),"")</f>
        <v/>
      </c>
      <c r="J142" s="3" t="str">
        <f>IFERROR(VLOOKUP($E142,Master!$J:$M,3,0),"")</f>
        <v/>
      </c>
      <c r="AC142" s="26">
        <f t="shared" si="4"/>
        <v>0</v>
      </c>
      <c r="AD142" s="26">
        <f t="shared" si="5"/>
        <v>0</v>
      </c>
    </row>
    <row r="143" spans="2:30" ht="15" customHeight="1">
      <c r="B143" s="3" t="str">
        <f>IFERROR(VLOOKUP(C143,Master!$J:$K,2,0),"")</f>
        <v/>
      </c>
      <c r="D143" s="4" t="str">
        <f>IFERROR(VLOOKUP(E143,Master!$J:$K,2,0),"")</f>
        <v/>
      </c>
      <c r="F143" s="4" t="str">
        <f>IFERROR(VLOOKUP(G143,Master!B:C,2,0),"")</f>
        <v/>
      </c>
      <c r="I143" s="3" t="str">
        <f>IFERROR(VLOOKUP(E143,Master!$J:$M,4,0),"")</f>
        <v/>
      </c>
      <c r="J143" s="3" t="str">
        <f>IFERROR(VLOOKUP($E143,Master!$J:$M,3,0),"")</f>
        <v/>
      </c>
      <c r="AC143" s="26">
        <f t="shared" si="4"/>
        <v>0</v>
      </c>
      <c r="AD143" s="26">
        <f t="shared" si="5"/>
        <v>0</v>
      </c>
    </row>
    <row r="144" spans="2:30" ht="15" customHeight="1">
      <c r="B144" s="3" t="str">
        <f>IFERROR(VLOOKUP(C144,Master!$J:$K,2,0),"")</f>
        <v/>
      </c>
      <c r="D144" s="4" t="str">
        <f>IFERROR(VLOOKUP(E144,Master!$J:$K,2,0),"")</f>
        <v/>
      </c>
      <c r="F144" s="4" t="str">
        <f>IFERROR(VLOOKUP(G144,Master!B:C,2,0),"")</f>
        <v/>
      </c>
      <c r="I144" s="3" t="str">
        <f>IFERROR(VLOOKUP(E144,Master!$J:$M,4,0),"")</f>
        <v/>
      </c>
      <c r="J144" s="3" t="str">
        <f>IFERROR(VLOOKUP($E144,Master!$J:$M,3,0),"")</f>
        <v/>
      </c>
      <c r="AC144" s="26">
        <f t="shared" si="4"/>
        <v>0</v>
      </c>
      <c r="AD144" s="26">
        <f t="shared" si="5"/>
        <v>0</v>
      </c>
    </row>
    <row r="145" spans="2:30" ht="15" customHeight="1">
      <c r="B145" s="3" t="str">
        <f>IFERROR(VLOOKUP(C145,Master!$J:$K,2,0),"")</f>
        <v/>
      </c>
      <c r="D145" s="4" t="str">
        <f>IFERROR(VLOOKUP(E145,Master!$J:$K,2,0),"")</f>
        <v/>
      </c>
      <c r="F145" s="4" t="str">
        <f>IFERROR(VLOOKUP(G145,Master!B:C,2,0),"")</f>
        <v/>
      </c>
      <c r="I145" s="3" t="str">
        <f>IFERROR(VLOOKUP(E145,Master!$J:$M,4,0),"")</f>
        <v/>
      </c>
      <c r="J145" s="3" t="str">
        <f>IFERROR(VLOOKUP($E145,Master!$J:$M,3,0),"")</f>
        <v/>
      </c>
      <c r="AC145" s="26">
        <f t="shared" si="4"/>
        <v>0</v>
      </c>
      <c r="AD145" s="26">
        <f t="shared" si="5"/>
        <v>0</v>
      </c>
    </row>
    <row r="146" spans="2:30" ht="15" customHeight="1">
      <c r="B146" s="3" t="str">
        <f>IFERROR(VLOOKUP(C146,Master!$J:$K,2,0),"")</f>
        <v/>
      </c>
      <c r="D146" s="4" t="str">
        <f>IFERROR(VLOOKUP(E146,Master!$J:$K,2,0),"")</f>
        <v/>
      </c>
      <c r="F146" s="4" t="str">
        <f>IFERROR(VLOOKUP(G146,Master!B:C,2,0),"")</f>
        <v/>
      </c>
      <c r="I146" s="3" t="str">
        <f>IFERROR(VLOOKUP(E146,Master!$J:$M,4,0),"")</f>
        <v/>
      </c>
      <c r="J146" s="3" t="str">
        <f>IFERROR(VLOOKUP($E146,Master!$J:$M,3,0),"")</f>
        <v/>
      </c>
      <c r="AC146" s="26">
        <f t="shared" si="4"/>
        <v>0</v>
      </c>
      <c r="AD146" s="26">
        <f t="shared" si="5"/>
        <v>0</v>
      </c>
    </row>
    <row r="147" spans="2:30" ht="15" customHeight="1">
      <c r="B147" s="3" t="str">
        <f>IFERROR(VLOOKUP(C147,Master!$J:$K,2,0),"")</f>
        <v/>
      </c>
      <c r="D147" s="4" t="str">
        <f>IFERROR(VLOOKUP(E147,Master!$J:$K,2,0),"")</f>
        <v/>
      </c>
      <c r="F147" s="4" t="str">
        <f>IFERROR(VLOOKUP(G147,Master!B:C,2,0),"")</f>
        <v/>
      </c>
      <c r="I147" s="3" t="str">
        <f>IFERROR(VLOOKUP(E147,Master!$J:$M,4,0),"")</f>
        <v/>
      </c>
      <c r="J147" s="3" t="str">
        <f>IFERROR(VLOOKUP($E147,Master!$J:$M,3,0),"")</f>
        <v/>
      </c>
      <c r="AC147" s="26">
        <f t="shared" si="4"/>
        <v>0</v>
      </c>
      <c r="AD147" s="26">
        <f t="shared" si="5"/>
        <v>0</v>
      </c>
    </row>
    <row r="148" spans="2:30" ht="15" customHeight="1">
      <c r="B148" s="3" t="str">
        <f>IFERROR(VLOOKUP(C148,Master!$J:$K,2,0),"")</f>
        <v/>
      </c>
      <c r="D148" s="4" t="str">
        <f>IFERROR(VLOOKUP(E148,Master!$J:$K,2,0),"")</f>
        <v/>
      </c>
      <c r="F148" s="4" t="str">
        <f>IFERROR(VLOOKUP(G148,Master!B:C,2,0),"")</f>
        <v/>
      </c>
      <c r="I148" s="3" t="str">
        <f>IFERROR(VLOOKUP(E148,Master!$J:$M,4,0),"")</f>
        <v/>
      </c>
      <c r="J148" s="3" t="str">
        <f>IFERROR(VLOOKUP($E148,Master!$J:$M,3,0),"")</f>
        <v/>
      </c>
      <c r="AC148" s="26">
        <f t="shared" si="4"/>
        <v>0</v>
      </c>
      <c r="AD148" s="26">
        <f t="shared" si="5"/>
        <v>0</v>
      </c>
    </row>
    <row r="149" spans="2:30" ht="15" customHeight="1">
      <c r="B149" s="3" t="str">
        <f>IFERROR(VLOOKUP(C149,Master!$J:$K,2,0),"")</f>
        <v/>
      </c>
      <c r="D149" s="4" t="str">
        <f>IFERROR(VLOOKUP(E149,Master!$J:$K,2,0),"")</f>
        <v/>
      </c>
      <c r="F149" s="4" t="str">
        <f>IFERROR(VLOOKUP(G149,Master!B:C,2,0),"")</f>
        <v/>
      </c>
      <c r="I149" s="3" t="str">
        <f>IFERROR(VLOOKUP(E149,Master!$J:$M,4,0),"")</f>
        <v/>
      </c>
      <c r="J149" s="3" t="str">
        <f>IFERROR(VLOOKUP($E149,Master!$J:$M,3,0),"")</f>
        <v/>
      </c>
      <c r="AC149" s="26">
        <f t="shared" si="4"/>
        <v>0</v>
      </c>
      <c r="AD149" s="26">
        <f t="shared" si="5"/>
        <v>0</v>
      </c>
    </row>
    <row r="150" spans="2:30" ht="15" customHeight="1">
      <c r="B150" s="3" t="str">
        <f>IFERROR(VLOOKUP(C150,Master!$J:$K,2,0),"")</f>
        <v/>
      </c>
      <c r="D150" s="4" t="str">
        <f>IFERROR(VLOOKUP(E150,Master!$J:$K,2,0),"")</f>
        <v/>
      </c>
      <c r="F150" s="4" t="str">
        <f>IFERROR(VLOOKUP(G150,Master!B:C,2,0),"")</f>
        <v/>
      </c>
      <c r="I150" s="3" t="str">
        <f>IFERROR(VLOOKUP(E150,Master!$J:$M,4,0),"")</f>
        <v/>
      </c>
      <c r="J150" s="3" t="str">
        <f>IFERROR(VLOOKUP($E150,Master!$J:$M,3,0),"")</f>
        <v/>
      </c>
      <c r="AC150" s="26">
        <f t="shared" si="4"/>
        <v>0</v>
      </c>
      <c r="AD150" s="26">
        <f t="shared" si="5"/>
        <v>0</v>
      </c>
    </row>
    <row r="151" spans="2:30" ht="15" customHeight="1">
      <c r="B151" s="3" t="str">
        <f>IFERROR(VLOOKUP(C151,Master!$J:$K,2,0),"")</f>
        <v/>
      </c>
      <c r="D151" s="4" t="str">
        <f>IFERROR(VLOOKUP(E151,Master!$J:$K,2,0),"")</f>
        <v/>
      </c>
      <c r="F151" s="4" t="str">
        <f>IFERROR(VLOOKUP(G151,Master!B:C,2,0),"")</f>
        <v/>
      </c>
      <c r="I151" s="3" t="str">
        <f>IFERROR(VLOOKUP(E151,Master!$J:$M,4,0),"")</f>
        <v/>
      </c>
      <c r="J151" s="3" t="str">
        <f>IFERROR(VLOOKUP($E151,Master!$J:$M,3,0),"")</f>
        <v/>
      </c>
      <c r="AC151" s="26">
        <f t="shared" si="4"/>
        <v>0</v>
      </c>
      <c r="AD151" s="26">
        <f t="shared" si="5"/>
        <v>0</v>
      </c>
    </row>
    <row r="152" spans="2:30" ht="15" customHeight="1">
      <c r="B152" s="3" t="str">
        <f>IFERROR(VLOOKUP(C152,Master!$J:$K,2,0),"")</f>
        <v/>
      </c>
      <c r="D152" s="4" t="str">
        <f>IFERROR(VLOOKUP(E152,Master!$J:$K,2,0),"")</f>
        <v/>
      </c>
      <c r="F152" s="4" t="str">
        <f>IFERROR(VLOOKUP(G152,Master!B:C,2,0),"")</f>
        <v/>
      </c>
      <c r="I152" s="3" t="str">
        <f>IFERROR(VLOOKUP(E152,Master!$J:$M,4,0),"")</f>
        <v/>
      </c>
      <c r="J152" s="3" t="str">
        <f>IFERROR(VLOOKUP($E152,Master!$J:$M,3,0),"")</f>
        <v/>
      </c>
      <c r="AC152" s="26">
        <f t="shared" si="4"/>
        <v>0</v>
      </c>
      <c r="AD152" s="26">
        <f t="shared" si="5"/>
        <v>0</v>
      </c>
    </row>
    <row r="153" spans="2:30" ht="15" customHeight="1">
      <c r="B153" s="3" t="str">
        <f>IFERROR(VLOOKUP(C153,Master!$J:$K,2,0),"")</f>
        <v/>
      </c>
      <c r="D153" s="4" t="str">
        <f>IFERROR(VLOOKUP(E153,Master!$J:$K,2,0),"")</f>
        <v/>
      </c>
      <c r="F153" s="4" t="str">
        <f>IFERROR(VLOOKUP(G153,Master!B:C,2,0),"")</f>
        <v/>
      </c>
      <c r="I153" s="3" t="str">
        <f>IFERROR(VLOOKUP(E153,Master!$J:$M,4,0),"")</f>
        <v/>
      </c>
      <c r="J153" s="3" t="str">
        <f>IFERROR(VLOOKUP($E153,Master!$J:$M,3,0),"")</f>
        <v/>
      </c>
      <c r="AC153" s="26">
        <f t="shared" si="4"/>
        <v>0</v>
      </c>
      <c r="AD153" s="26">
        <f t="shared" si="5"/>
        <v>0</v>
      </c>
    </row>
    <row r="154" spans="2:30" ht="15" customHeight="1">
      <c r="B154" s="3" t="str">
        <f>IFERROR(VLOOKUP(C154,Master!$J:$K,2,0),"")</f>
        <v/>
      </c>
      <c r="D154" s="4" t="str">
        <f>IFERROR(VLOOKUP(E154,Master!$J:$K,2,0),"")</f>
        <v/>
      </c>
      <c r="F154" s="4" t="str">
        <f>IFERROR(VLOOKUP(G154,Master!B:C,2,0),"")</f>
        <v/>
      </c>
      <c r="I154" s="3" t="str">
        <f>IFERROR(VLOOKUP(E154,Master!$J:$M,4,0),"")</f>
        <v/>
      </c>
      <c r="J154" s="3" t="str">
        <f>IFERROR(VLOOKUP($E154,Master!$J:$M,3,0),"")</f>
        <v/>
      </c>
      <c r="AC154" s="26">
        <f t="shared" si="4"/>
        <v>0</v>
      </c>
      <c r="AD154" s="26">
        <f t="shared" si="5"/>
        <v>0</v>
      </c>
    </row>
    <row r="155" spans="2:30" ht="15" customHeight="1">
      <c r="B155" s="3" t="str">
        <f>IFERROR(VLOOKUP(C155,Master!$J:$K,2,0),"")</f>
        <v/>
      </c>
      <c r="D155" s="4" t="str">
        <f>IFERROR(VLOOKUP(E155,Master!$J:$K,2,0),"")</f>
        <v/>
      </c>
      <c r="F155" s="4" t="str">
        <f>IFERROR(VLOOKUP(G155,Master!B:C,2,0),"")</f>
        <v/>
      </c>
      <c r="I155" s="3" t="str">
        <f>IFERROR(VLOOKUP(E155,Master!$J:$M,4,0),"")</f>
        <v/>
      </c>
      <c r="J155" s="3" t="str">
        <f>IFERROR(VLOOKUP($E155,Master!$J:$M,3,0),"")</f>
        <v/>
      </c>
      <c r="AC155" s="26">
        <f t="shared" si="4"/>
        <v>0</v>
      </c>
      <c r="AD155" s="26">
        <f t="shared" si="5"/>
        <v>0</v>
      </c>
    </row>
    <row r="156" spans="2:30" ht="15" customHeight="1">
      <c r="B156" s="3" t="str">
        <f>IFERROR(VLOOKUP(C156,Master!$J:$K,2,0),"")</f>
        <v/>
      </c>
      <c r="D156" s="4" t="str">
        <f>IFERROR(VLOOKUP(E156,Master!$J:$K,2,0),"")</f>
        <v/>
      </c>
      <c r="F156" s="4" t="str">
        <f>IFERROR(VLOOKUP(G156,Master!B:C,2,0),"")</f>
        <v/>
      </c>
      <c r="I156" s="3" t="str">
        <f>IFERROR(VLOOKUP(E156,Master!$J:$M,4,0),"")</f>
        <v/>
      </c>
      <c r="J156" s="3" t="str">
        <f>IFERROR(VLOOKUP($E156,Master!$J:$M,3,0),"")</f>
        <v/>
      </c>
      <c r="AC156" s="26">
        <f t="shared" si="4"/>
        <v>0</v>
      </c>
      <c r="AD156" s="26">
        <f t="shared" si="5"/>
        <v>0</v>
      </c>
    </row>
    <row r="157" spans="2:30" ht="15" customHeight="1">
      <c r="B157" s="3" t="str">
        <f>IFERROR(VLOOKUP(C157,Master!$J:$K,2,0),"")</f>
        <v/>
      </c>
      <c r="D157" s="4" t="str">
        <f>IFERROR(VLOOKUP(E157,Master!$J:$K,2,0),"")</f>
        <v/>
      </c>
      <c r="F157" s="4" t="str">
        <f>IFERROR(VLOOKUP(G157,Master!B:C,2,0),"")</f>
        <v/>
      </c>
      <c r="I157" s="3" t="str">
        <f>IFERROR(VLOOKUP(E157,Master!$J:$M,4,0),"")</f>
        <v/>
      </c>
      <c r="J157" s="3" t="str">
        <f>IFERROR(VLOOKUP($E157,Master!$J:$M,3,0),"")</f>
        <v/>
      </c>
      <c r="AC157" s="26">
        <f t="shared" si="4"/>
        <v>0</v>
      </c>
      <c r="AD157" s="26">
        <f t="shared" si="5"/>
        <v>0</v>
      </c>
    </row>
    <row r="158" spans="2:30" ht="15" customHeight="1">
      <c r="B158" s="3" t="str">
        <f>IFERROR(VLOOKUP(C158,Master!$J:$K,2,0),"")</f>
        <v/>
      </c>
      <c r="D158" s="4" t="str">
        <f>IFERROR(VLOOKUP(E158,Master!$J:$K,2,0),"")</f>
        <v/>
      </c>
      <c r="F158" s="4" t="str">
        <f>IFERROR(VLOOKUP(G158,Master!B:C,2,0),"")</f>
        <v/>
      </c>
      <c r="I158" s="3" t="str">
        <f>IFERROR(VLOOKUP(E158,Master!$J:$M,4,0),"")</f>
        <v/>
      </c>
      <c r="J158" s="3" t="str">
        <f>IFERROR(VLOOKUP($E158,Master!$J:$M,3,0),"")</f>
        <v/>
      </c>
      <c r="AC158" s="26">
        <f t="shared" si="4"/>
        <v>0</v>
      </c>
      <c r="AD158" s="26">
        <f t="shared" si="5"/>
        <v>0</v>
      </c>
    </row>
    <row r="159" spans="2:30" ht="15" customHeight="1">
      <c r="B159" s="3" t="str">
        <f>IFERROR(VLOOKUP(C159,Master!$J:$K,2,0),"")</f>
        <v/>
      </c>
      <c r="D159" s="4" t="str">
        <f>IFERROR(VLOOKUP(E159,Master!$J:$K,2,0),"")</f>
        <v/>
      </c>
      <c r="F159" s="4" t="str">
        <f>IFERROR(VLOOKUP(G159,Master!B:C,2,0),"")</f>
        <v/>
      </c>
      <c r="I159" s="3" t="str">
        <f>IFERROR(VLOOKUP(E159,Master!$J:$M,4,0),"")</f>
        <v/>
      </c>
      <c r="J159" s="3" t="str">
        <f>IFERROR(VLOOKUP($E159,Master!$J:$M,3,0),"")</f>
        <v/>
      </c>
      <c r="AC159" s="26">
        <f t="shared" si="4"/>
        <v>0</v>
      </c>
      <c r="AD159" s="26">
        <f t="shared" si="5"/>
        <v>0</v>
      </c>
    </row>
    <row r="160" spans="2:30" ht="15" customHeight="1">
      <c r="B160" s="3" t="str">
        <f>IFERROR(VLOOKUP(C160,Master!$J:$K,2,0),"")</f>
        <v/>
      </c>
      <c r="D160" s="4" t="str">
        <f>IFERROR(VLOOKUP(E160,Master!$J:$K,2,0),"")</f>
        <v/>
      </c>
      <c r="F160" s="4" t="str">
        <f>IFERROR(VLOOKUP(G160,Master!B:C,2,0),"")</f>
        <v/>
      </c>
      <c r="I160" s="3" t="str">
        <f>IFERROR(VLOOKUP(E160,Master!$J:$M,4,0),"")</f>
        <v/>
      </c>
      <c r="J160" s="3" t="str">
        <f>IFERROR(VLOOKUP($E160,Master!$J:$M,3,0),"")</f>
        <v/>
      </c>
      <c r="AC160" s="26">
        <f t="shared" si="4"/>
        <v>0</v>
      </c>
      <c r="AD160" s="26">
        <f t="shared" si="5"/>
        <v>0</v>
      </c>
    </row>
    <row r="161" spans="2:30" ht="15" customHeight="1">
      <c r="B161" s="3" t="str">
        <f>IFERROR(VLOOKUP(C161,Master!$J:$K,2,0),"")</f>
        <v/>
      </c>
      <c r="D161" s="4" t="str">
        <f>IFERROR(VLOOKUP(E161,Master!$J:$K,2,0),"")</f>
        <v/>
      </c>
      <c r="F161" s="4" t="str">
        <f>IFERROR(VLOOKUP(G161,Master!B:C,2,0),"")</f>
        <v/>
      </c>
      <c r="I161" s="3" t="str">
        <f>IFERROR(VLOOKUP(E161,Master!$J:$M,4,0),"")</f>
        <v/>
      </c>
      <c r="J161" s="3" t="str">
        <f>IFERROR(VLOOKUP($E161,Master!$J:$M,3,0),"")</f>
        <v/>
      </c>
      <c r="AC161" s="26">
        <f t="shared" si="4"/>
        <v>0</v>
      </c>
      <c r="AD161" s="26">
        <f t="shared" si="5"/>
        <v>0</v>
      </c>
    </row>
    <row r="162" spans="2:30" ht="15" customHeight="1">
      <c r="B162" s="3" t="str">
        <f>IFERROR(VLOOKUP(C162,Master!$J:$K,2,0),"")</f>
        <v/>
      </c>
      <c r="D162" s="4" t="str">
        <f>IFERROR(VLOOKUP(E162,Master!$J:$K,2,0),"")</f>
        <v/>
      </c>
      <c r="F162" s="4" t="str">
        <f>IFERROR(VLOOKUP(G162,Master!B:C,2,0),"")</f>
        <v/>
      </c>
      <c r="I162" s="3" t="str">
        <f>IFERROR(VLOOKUP(E162,Master!$J:$M,4,0),"")</f>
        <v/>
      </c>
      <c r="J162" s="3" t="str">
        <f>IFERROR(VLOOKUP($E162,Master!$J:$M,3,0),"")</f>
        <v/>
      </c>
      <c r="AC162" s="26">
        <f t="shared" si="4"/>
        <v>0</v>
      </c>
      <c r="AD162" s="26">
        <f t="shared" si="5"/>
        <v>0</v>
      </c>
    </row>
    <row r="163" spans="2:30" ht="15" customHeight="1">
      <c r="B163" s="3" t="str">
        <f>IFERROR(VLOOKUP(C163,Master!$J:$K,2,0),"")</f>
        <v/>
      </c>
      <c r="D163" s="4" t="str">
        <f>IFERROR(VLOOKUP(E163,Master!$J:$K,2,0),"")</f>
        <v/>
      </c>
      <c r="F163" s="4" t="str">
        <f>IFERROR(VLOOKUP(G163,Master!B:C,2,0),"")</f>
        <v/>
      </c>
      <c r="I163" s="3" t="str">
        <f>IFERROR(VLOOKUP(E163,Master!$J:$M,4,0),"")</f>
        <v/>
      </c>
      <c r="J163" s="3" t="str">
        <f>IFERROR(VLOOKUP($E163,Master!$J:$M,3,0),"")</f>
        <v/>
      </c>
      <c r="AC163" s="26">
        <f t="shared" si="4"/>
        <v>0</v>
      </c>
      <c r="AD163" s="26">
        <f t="shared" si="5"/>
        <v>0</v>
      </c>
    </row>
    <row r="164" spans="2:30" ht="15" customHeight="1">
      <c r="B164" s="3" t="str">
        <f>IFERROR(VLOOKUP(C164,Master!$J:$K,2,0),"")</f>
        <v/>
      </c>
      <c r="D164" s="4" t="str">
        <f>IFERROR(VLOOKUP(E164,Master!$J:$K,2,0),"")</f>
        <v/>
      </c>
      <c r="F164" s="4" t="str">
        <f>IFERROR(VLOOKUP(G164,Master!B:C,2,0),"")</f>
        <v/>
      </c>
      <c r="I164" s="3" t="str">
        <f>IFERROR(VLOOKUP(E164,Master!$J:$M,4,0),"")</f>
        <v/>
      </c>
      <c r="J164" s="3" t="str">
        <f>IFERROR(VLOOKUP($E164,Master!$J:$M,3,0),"")</f>
        <v/>
      </c>
      <c r="AC164" s="26">
        <f t="shared" si="4"/>
        <v>0</v>
      </c>
      <c r="AD164" s="26">
        <f t="shared" si="5"/>
        <v>0</v>
      </c>
    </row>
    <row r="165" spans="2:30" ht="15" customHeight="1">
      <c r="B165" s="3" t="str">
        <f>IFERROR(VLOOKUP(C165,Master!$J:$K,2,0),"")</f>
        <v/>
      </c>
      <c r="D165" s="4" t="str">
        <f>IFERROR(VLOOKUP(E165,Master!$J:$K,2,0),"")</f>
        <v/>
      </c>
      <c r="F165" s="4" t="str">
        <f>IFERROR(VLOOKUP(G165,Master!B:C,2,0),"")</f>
        <v/>
      </c>
      <c r="I165" s="3" t="str">
        <f>IFERROR(VLOOKUP(E165,Master!$J:$M,4,0),"")</f>
        <v/>
      </c>
      <c r="J165" s="3" t="str">
        <f>IFERROR(VLOOKUP($E165,Master!$J:$M,3,0),"")</f>
        <v/>
      </c>
      <c r="AC165" s="26">
        <f t="shared" si="4"/>
        <v>0</v>
      </c>
      <c r="AD165" s="26">
        <f t="shared" si="5"/>
        <v>0</v>
      </c>
    </row>
    <row r="166" spans="2:30" ht="15" customHeight="1">
      <c r="B166" s="3" t="str">
        <f>IFERROR(VLOOKUP(C166,Master!$J:$K,2,0),"")</f>
        <v/>
      </c>
      <c r="D166" s="4" t="str">
        <f>IFERROR(VLOOKUP(E166,Master!$J:$K,2,0),"")</f>
        <v/>
      </c>
      <c r="F166" s="4" t="str">
        <f>IFERROR(VLOOKUP(G166,Master!B:C,2,0),"")</f>
        <v/>
      </c>
      <c r="I166" s="3" t="str">
        <f>IFERROR(VLOOKUP(E166,Master!$J:$M,4,0),"")</f>
        <v/>
      </c>
      <c r="J166" s="3" t="str">
        <f>IFERROR(VLOOKUP($E166,Master!$J:$M,3,0),"")</f>
        <v/>
      </c>
      <c r="AC166" s="26">
        <f t="shared" si="4"/>
        <v>0</v>
      </c>
      <c r="AD166" s="26">
        <f t="shared" si="5"/>
        <v>0</v>
      </c>
    </row>
    <row r="167" spans="2:30" ht="15" customHeight="1">
      <c r="B167" s="3" t="str">
        <f>IFERROR(VLOOKUP(C167,Master!$J:$K,2,0),"")</f>
        <v/>
      </c>
      <c r="D167" s="4" t="str">
        <f>IFERROR(VLOOKUP(E167,Master!$J:$K,2,0),"")</f>
        <v/>
      </c>
      <c r="F167" s="4" t="str">
        <f>IFERROR(VLOOKUP(G167,Master!B:C,2,0),"")</f>
        <v/>
      </c>
      <c r="I167" s="3" t="str">
        <f>IFERROR(VLOOKUP(E167,Master!$J:$M,4,0),"")</f>
        <v/>
      </c>
      <c r="J167" s="3" t="str">
        <f>IFERROR(VLOOKUP($E167,Master!$J:$M,3,0),"")</f>
        <v/>
      </c>
      <c r="AC167" s="26">
        <f t="shared" si="4"/>
        <v>0</v>
      </c>
      <c r="AD167" s="26">
        <f t="shared" si="5"/>
        <v>0</v>
      </c>
    </row>
    <row r="168" spans="2:30" ht="15" customHeight="1">
      <c r="B168" s="3" t="str">
        <f>IFERROR(VLOOKUP(C168,Master!$J:$K,2,0),"")</f>
        <v/>
      </c>
      <c r="D168" s="4" t="str">
        <f>IFERROR(VLOOKUP(E168,Master!$J:$K,2,0),"")</f>
        <v/>
      </c>
      <c r="F168" s="4" t="str">
        <f>IFERROR(VLOOKUP(G168,Master!B:C,2,0),"")</f>
        <v/>
      </c>
      <c r="I168" s="3" t="str">
        <f>IFERROR(VLOOKUP(E168,Master!$J:$M,4,0),"")</f>
        <v/>
      </c>
      <c r="J168" s="3" t="str">
        <f>IFERROR(VLOOKUP($E168,Master!$J:$M,3,0),"")</f>
        <v/>
      </c>
      <c r="AC168" s="26">
        <f t="shared" si="4"/>
        <v>0</v>
      </c>
      <c r="AD168" s="26">
        <f t="shared" si="5"/>
        <v>0</v>
      </c>
    </row>
    <row r="169" spans="2:30" ht="15" customHeight="1">
      <c r="B169" s="3" t="str">
        <f>IFERROR(VLOOKUP(C169,Master!$J:$K,2,0),"")</f>
        <v/>
      </c>
      <c r="D169" s="4" t="str">
        <f>IFERROR(VLOOKUP(E169,Master!$J:$K,2,0),"")</f>
        <v/>
      </c>
      <c r="F169" s="4" t="str">
        <f>IFERROR(VLOOKUP(G169,Master!B:C,2,0),"")</f>
        <v/>
      </c>
      <c r="I169" s="3" t="str">
        <f>IFERROR(VLOOKUP(E169,Master!$J:$M,4,0),"")</f>
        <v/>
      </c>
      <c r="J169" s="3" t="str">
        <f>IFERROR(VLOOKUP($E169,Master!$J:$M,3,0),"")</f>
        <v/>
      </c>
      <c r="AC169" s="26">
        <f t="shared" si="4"/>
        <v>0</v>
      </c>
      <c r="AD169" s="26">
        <f t="shared" si="5"/>
        <v>0</v>
      </c>
    </row>
    <row r="170" spans="2:30" ht="15" customHeight="1">
      <c r="B170" s="3" t="str">
        <f>IFERROR(VLOOKUP(C170,Master!$J:$K,2,0),"")</f>
        <v/>
      </c>
      <c r="D170" s="4" t="str">
        <f>IFERROR(VLOOKUP(E170,Master!$J:$K,2,0),"")</f>
        <v/>
      </c>
      <c r="F170" s="4" t="str">
        <f>IFERROR(VLOOKUP(G170,Master!B:C,2,0),"")</f>
        <v/>
      </c>
      <c r="I170" s="3" t="str">
        <f>IFERROR(VLOOKUP(E170,Master!$J:$M,4,0),"")</f>
        <v/>
      </c>
      <c r="J170" s="3" t="str">
        <f>IFERROR(VLOOKUP($E170,Master!$J:$M,3,0),"")</f>
        <v/>
      </c>
      <c r="AC170" s="26">
        <f t="shared" si="4"/>
        <v>0</v>
      </c>
      <c r="AD170" s="26">
        <f t="shared" si="5"/>
        <v>0</v>
      </c>
    </row>
    <row r="171" spans="2:30" ht="15" customHeight="1">
      <c r="B171" s="3" t="str">
        <f>IFERROR(VLOOKUP(C171,Master!$J:$K,2,0),"")</f>
        <v/>
      </c>
      <c r="D171" s="4" t="str">
        <f>IFERROR(VLOOKUP(E171,Master!$J:$K,2,0),"")</f>
        <v/>
      </c>
      <c r="F171" s="4" t="str">
        <f>IFERROR(VLOOKUP(G171,Master!B:C,2,0),"")</f>
        <v/>
      </c>
      <c r="I171" s="3" t="str">
        <f>IFERROR(VLOOKUP(E171,Master!$J:$M,4,0),"")</f>
        <v/>
      </c>
      <c r="J171" s="3" t="str">
        <f>IFERROR(VLOOKUP($E171,Master!$J:$M,3,0),"")</f>
        <v/>
      </c>
      <c r="AC171" s="26">
        <f t="shared" si="4"/>
        <v>0</v>
      </c>
      <c r="AD171" s="26">
        <f t="shared" si="5"/>
        <v>0</v>
      </c>
    </row>
    <row r="172" spans="2:30" ht="15" customHeight="1">
      <c r="B172" s="3" t="str">
        <f>IFERROR(VLOOKUP(C172,Master!$J:$K,2,0),"")</f>
        <v/>
      </c>
      <c r="D172" s="4" t="str">
        <f>IFERROR(VLOOKUP(E172,Master!$J:$K,2,0),"")</f>
        <v/>
      </c>
      <c r="F172" s="4" t="str">
        <f>IFERROR(VLOOKUP(G172,Master!B:C,2,0),"")</f>
        <v/>
      </c>
      <c r="I172" s="3" t="str">
        <f>IFERROR(VLOOKUP(E172,Master!$J:$M,4,0),"")</f>
        <v/>
      </c>
      <c r="J172" s="3" t="str">
        <f>IFERROR(VLOOKUP($E172,Master!$J:$M,3,0),"")</f>
        <v/>
      </c>
      <c r="AC172" s="26">
        <f t="shared" si="4"/>
        <v>0</v>
      </c>
      <c r="AD172" s="26">
        <f t="shared" si="5"/>
        <v>0</v>
      </c>
    </row>
    <row r="173" spans="2:30" ht="15" customHeight="1">
      <c r="B173" s="3" t="str">
        <f>IFERROR(VLOOKUP(C173,Master!$J:$K,2,0),"")</f>
        <v/>
      </c>
      <c r="D173" s="4" t="str">
        <f>IFERROR(VLOOKUP(E173,Master!$J:$K,2,0),"")</f>
        <v/>
      </c>
      <c r="F173" s="4" t="str">
        <f>IFERROR(VLOOKUP(G173,Master!B:C,2,0),"")</f>
        <v/>
      </c>
      <c r="I173" s="3" t="str">
        <f>IFERROR(VLOOKUP(E173,Master!$J:$M,4,0),"")</f>
        <v/>
      </c>
      <c r="J173" s="3" t="str">
        <f>IFERROR(VLOOKUP($E173,Master!$J:$M,3,0),"")</f>
        <v/>
      </c>
      <c r="AC173" s="26">
        <f t="shared" si="4"/>
        <v>0</v>
      </c>
      <c r="AD173" s="26">
        <f t="shared" si="5"/>
        <v>0</v>
      </c>
    </row>
    <row r="174" spans="2:30" ht="15" customHeight="1">
      <c r="B174" s="3" t="str">
        <f>IFERROR(VLOOKUP(C174,Master!$J:$K,2,0),"")</f>
        <v/>
      </c>
      <c r="D174" s="4" t="str">
        <f>IFERROR(VLOOKUP(E174,Master!$J:$K,2,0),"")</f>
        <v/>
      </c>
      <c r="F174" s="4" t="str">
        <f>IFERROR(VLOOKUP(G174,Master!B:C,2,0),"")</f>
        <v/>
      </c>
      <c r="I174" s="3" t="str">
        <f>IFERROR(VLOOKUP(E174,Master!$J:$M,4,0),"")</f>
        <v/>
      </c>
      <c r="J174" s="3" t="str">
        <f>IFERROR(VLOOKUP($E174,Master!$J:$M,3,0),"")</f>
        <v/>
      </c>
      <c r="AC174" s="26">
        <f t="shared" si="4"/>
        <v>0</v>
      </c>
      <c r="AD174" s="26">
        <f t="shared" si="5"/>
        <v>0</v>
      </c>
    </row>
    <row r="175" spans="2:30" ht="15" customHeight="1">
      <c r="B175" s="3" t="str">
        <f>IFERROR(VLOOKUP(C175,Master!$J:$K,2,0),"")</f>
        <v/>
      </c>
      <c r="D175" s="4" t="str">
        <f>IFERROR(VLOOKUP(E175,Master!$J:$K,2,0),"")</f>
        <v/>
      </c>
      <c r="F175" s="4" t="str">
        <f>IFERROR(VLOOKUP(G175,Master!B:C,2,0),"")</f>
        <v/>
      </c>
      <c r="I175" s="3" t="str">
        <f>IFERROR(VLOOKUP(E175,Master!$J:$M,4,0),"")</f>
        <v/>
      </c>
      <c r="J175" s="3" t="str">
        <f>IFERROR(VLOOKUP($E175,Master!$J:$M,3,0),"")</f>
        <v/>
      </c>
      <c r="AC175" s="26">
        <f t="shared" si="4"/>
        <v>0</v>
      </c>
      <c r="AD175" s="26">
        <f t="shared" si="5"/>
        <v>0</v>
      </c>
    </row>
    <row r="176" spans="2:30" ht="15" customHeight="1">
      <c r="B176" s="3" t="str">
        <f>IFERROR(VLOOKUP(C176,Master!$J:$K,2,0),"")</f>
        <v/>
      </c>
      <c r="D176" s="4" t="str">
        <f>IFERROR(VLOOKUP(E176,Master!$J:$K,2,0),"")</f>
        <v/>
      </c>
      <c r="F176" s="4" t="str">
        <f>IFERROR(VLOOKUP(G176,Master!B:C,2,0),"")</f>
        <v/>
      </c>
      <c r="I176" s="3" t="str">
        <f>IFERROR(VLOOKUP(E176,Master!$J:$M,4,0),"")</f>
        <v/>
      </c>
      <c r="J176" s="3" t="str">
        <f>IFERROR(VLOOKUP($E176,Master!$J:$M,3,0),"")</f>
        <v/>
      </c>
      <c r="AC176" s="26">
        <f t="shared" si="4"/>
        <v>0</v>
      </c>
      <c r="AD176" s="26">
        <f t="shared" si="5"/>
        <v>0</v>
      </c>
    </row>
    <row r="177" spans="2:30" ht="15" customHeight="1">
      <c r="B177" s="3" t="str">
        <f>IFERROR(VLOOKUP(C177,Master!$J:$K,2,0),"")</f>
        <v/>
      </c>
      <c r="D177" s="4" t="str">
        <f>IFERROR(VLOOKUP(E177,Master!$J:$K,2,0),"")</f>
        <v/>
      </c>
      <c r="F177" s="4" t="str">
        <f>IFERROR(VLOOKUP(G177,Master!B:C,2,0),"")</f>
        <v/>
      </c>
      <c r="I177" s="3" t="str">
        <f>IFERROR(VLOOKUP(E177,Master!$J:$M,4,0),"")</f>
        <v/>
      </c>
      <c r="J177" s="3" t="str">
        <f>IFERROR(VLOOKUP($E177,Master!$J:$M,3,0),"")</f>
        <v/>
      </c>
      <c r="AC177" s="26">
        <f t="shared" si="4"/>
        <v>0</v>
      </c>
      <c r="AD177" s="26">
        <f t="shared" si="5"/>
        <v>0</v>
      </c>
    </row>
    <row r="178" spans="2:30" ht="15" customHeight="1">
      <c r="B178" s="3" t="str">
        <f>IFERROR(VLOOKUP(C178,Master!$J:$K,2,0),"")</f>
        <v/>
      </c>
      <c r="D178" s="4" t="str">
        <f>IFERROR(VLOOKUP(E178,Master!$J:$K,2,0),"")</f>
        <v/>
      </c>
      <c r="F178" s="4" t="str">
        <f>IFERROR(VLOOKUP(G178,Master!B:C,2,0),"")</f>
        <v/>
      </c>
      <c r="I178" s="3" t="str">
        <f>IFERROR(VLOOKUP(E178,Master!$J:$M,4,0),"")</f>
        <v/>
      </c>
      <c r="J178" s="3" t="str">
        <f>IFERROR(VLOOKUP($E178,Master!$J:$M,3,0),"")</f>
        <v/>
      </c>
      <c r="AC178" s="26">
        <f t="shared" si="4"/>
        <v>0</v>
      </c>
      <c r="AD178" s="26">
        <f t="shared" si="5"/>
        <v>0</v>
      </c>
    </row>
    <row r="179" spans="2:30" ht="15" customHeight="1">
      <c r="B179" s="3" t="str">
        <f>IFERROR(VLOOKUP(C179,Master!$J:$K,2,0),"")</f>
        <v/>
      </c>
      <c r="D179" s="4" t="str">
        <f>IFERROR(VLOOKUP(E179,Master!$J:$K,2,0),"")</f>
        <v/>
      </c>
      <c r="F179" s="4" t="str">
        <f>IFERROR(VLOOKUP(G179,Master!B:C,2,0),"")</f>
        <v/>
      </c>
      <c r="I179" s="3" t="str">
        <f>IFERROR(VLOOKUP(E179,Master!$J:$M,4,0),"")</f>
        <v/>
      </c>
      <c r="J179" s="3" t="str">
        <f>IFERROR(VLOOKUP($E179,Master!$J:$M,3,0),"")</f>
        <v/>
      </c>
      <c r="AC179" s="26">
        <f t="shared" si="4"/>
        <v>0</v>
      </c>
      <c r="AD179" s="26">
        <f t="shared" si="5"/>
        <v>0</v>
      </c>
    </row>
    <row r="180" spans="2:30" ht="15" customHeight="1">
      <c r="B180" s="3" t="str">
        <f>IFERROR(VLOOKUP(C180,Master!$J:$K,2,0),"")</f>
        <v/>
      </c>
      <c r="D180" s="4" t="str">
        <f>IFERROR(VLOOKUP(E180,Master!$J:$K,2,0),"")</f>
        <v/>
      </c>
      <c r="F180" s="4" t="str">
        <f>IFERROR(VLOOKUP(G180,Master!B:C,2,0),"")</f>
        <v/>
      </c>
      <c r="I180" s="3" t="str">
        <f>IFERROR(VLOOKUP(E180,Master!$J:$M,4,0),"")</f>
        <v/>
      </c>
      <c r="J180" s="3" t="str">
        <f>IFERROR(VLOOKUP($E180,Master!$J:$M,3,0),"")</f>
        <v/>
      </c>
      <c r="AC180" s="26">
        <f t="shared" si="4"/>
        <v>0</v>
      </c>
      <c r="AD180" s="26">
        <f t="shared" si="5"/>
        <v>0</v>
      </c>
    </row>
    <row r="181" spans="2:30" ht="15" customHeight="1">
      <c r="B181" s="3" t="str">
        <f>IFERROR(VLOOKUP(C181,Master!$J:$K,2,0),"")</f>
        <v/>
      </c>
      <c r="D181" s="4" t="str">
        <f>IFERROR(VLOOKUP(E181,Master!$J:$K,2,0),"")</f>
        <v/>
      </c>
      <c r="F181" s="4" t="str">
        <f>IFERROR(VLOOKUP(G181,Master!B:C,2,0),"")</f>
        <v/>
      </c>
      <c r="I181" s="3" t="str">
        <f>IFERROR(VLOOKUP(E181,Master!$J:$M,4,0),"")</f>
        <v/>
      </c>
      <c r="J181" s="3" t="str">
        <f>IFERROR(VLOOKUP($E181,Master!$J:$M,3,0),"")</f>
        <v/>
      </c>
      <c r="AC181" s="26">
        <f t="shared" si="4"/>
        <v>0</v>
      </c>
      <c r="AD181" s="26">
        <f t="shared" si="5"/>
        <v>0</v>
      </c>
    </row>
    <row r="182" spans="2:30" ht="15" customHeight="1">
      <c r="B182" s="3" t="str">
        <f>IFERROR(VLOOKUP(C182,Master!$J:$K,2,0),"")</f>
        <v/>
      </c>
      <c r="D182" s="4" t="str">
        <f>IFERROR(VLOOKUP(E182,Master!$J:$K,2,0),"")</f>
        <v/>
      </c>
      <c r="F182" s="4" t="str">
        <f>IFERROR(VLOOKUP(G182,Master!B:C,2,0),"")</f>
        <v/>
      </c>
      <c r="I182" s="3" t="str">
        <f>IFERROR(VLOOKUP(E182,Master!$J:$M,4,0),"")</f>
        <v/>
      </c>
      <c r="J182" s="3" t="str">
        <f>IFERROR(VLOOKUP($E182,Master!$J:$M,3,0),"")</f>
        <v/>
      </c>
      <c r="AC182" s="26">
        <f t="shared" si="4"/>
        <v>0</v>
      </c>
      <c r="AD182" s="26">
        <f t="shared" si="5"/>
        <v>0</v>
      </c>
    </row>
    <row r="183" spans="2:30" ht="15" customHeight="1">
      <c r="B183" s="3" t="str">
        <f>IFERROR(VLOOKUP(C183,Master!$J:$K,2,0),"")</f>
        <v/>
      </c>
      <c r="D183" s="4" t="str">
        <f>IFERROR(VLOOKUP(E183,Master!$J:$K,2,0),"")</f>
        <v/>
      </c>
      <c r="F183" s="4" t="str">
        <f>IFERROR(VLOOKUP(G183,Master!B:C,2,0),"")</f>
        <v/>
      </c>
      <c r="I183" s="3" t="str">
        <f>IFERROR(VLOOKUP(E183,Master!$J:$M,4,0),"")</f>
        <v/>
      </c>
      <c r="J183" s="3" t="str">
        <f>IFERROR(VLOOKUP($E183,Master!$J:$M,3,0),"")</f>
        <v/>
      </c>
      <c r="AC183" s="26">
        <f t="shared" si="4"/>
        <v>0</v>
      </c>
      <c r="AD183" s="26">
        <f t="shared" si="5"/>
        <v>0</v>
      </c>
    </row>
    <row r="184" spans="2:30" ht="15" customHeight="1">
      <c r="B184" s="3" t="str">
        <f>IFERROR(VLOOKUP(C184,Master!$J:$K,2,0),"")</f>
        <v/>
      </c>
      <c r="D184" s="4" t="str">
        <f>IFERROR(VLOOKUP(E184,Master!$J:$K,2,0),"")</f>
        <v/>
      </c>
      <c r="F184" s="4" t="str">
        <f>IFERROR(VLOOKUP(G184,Master!B:C,2,0),"")</f>
        <v/>
      </c>
      <c r="I184" s="3" t="str">
        <f>IFERROR(VLOOKUP(E184,Master!$J:$M,4,0),"")</f>
        <v/>
      </c>
      <c r="J184" s="3" t="str">
        <f>IFERROR(VLOOKUP($E184,Master!$J:$M,3,0),"")</f>
        <v/>
      </c>
      <c r="AC184" s="26">
        <f t="shared" si="4"/>
        <v>0</v>
      </c>
      <c r="AD184" s="26">
        <f t="shared" si="5"/>
        <v>0</v>
      </c>
    </row>
    <row r="185" spans="2:30" ht="15" customHeight="1">
      <c r="B185" s="3" t="str">
        <f>IFERROR(VLOOKUP(C185,Master!$J:$K,2,0),"")</f>
        <v/>
      </c>
      <c r="D185" s="4" t="str">
        <f>IFERROR(VLOOKUP(E185,Master!$J:$K,2,0),"")</f>
        <v/>
      </c>
      <c r="F185" s="4" t="str">
        <f>IFERROR(VLOOKUP(G185,Master!B:C,2,0),"")</f>
        <v/>
      </c>
      <c r="I185" s="3" t="str">
        <f>IFERROR(VLOOKUP(E185,Master!$J:$M,4,0),"")</f>
        <v/>
      </c>
      <c r="J185" s="3" t="str">
        <f>IFERROR(VLOOKUP($E185,Master!$J:$M,3,0),"")</f>
        <v/>
      </c>
      <c r="AC185" s="26">
        <f t="shared" si="4"/>
        <v>0</v>
      </c>
      <c r="AD185" s="26">
        <f t="shared" si="5"/>
        <v>0</v>
      </c>
    </row>
    <row r="186" spans="2:30" ht="15" customHeight="1">
      <c r="B186" s="3" t="str">
        <f>IFERROR(VLOOKUP(C186,Master!$J:$K,2,0),"")</f>
        <v/>
      </c>
      <c r="D186" s="4" t="str">
        <f>IFERROR(VLOOKUP(E186,Master!$J:$K,2,0),"")</f>
        <v/>
      </c>
      <c r="F186" s="4" t="str">
        <f>IFERROR(VLOOKUP(G186,Master!B:C,2,0),"")</f>
        <v/>
      </c>
      <c r="I186" s="3" t="str">
        <f>IFERROR(VLOOKUP(E186,Master!$J:$M,4,0),"")</f>
        <v/>
      </c>
      <c r="J186" s="3" t="str">
        <f>IFERROR(VLOOKUP($E186,Master!$J:$M,3,0),"")</f>
        <v/>
      </c>
      <c r="AC186" s="26">
        <f t="shared" si="4"/>
        <v>0</v>
      </c>
      <c r="AD186" s="26">
        <f t="shared" si="5"/>
        <v>0</v>
      </c>
    </row>
    <row r="187" spans="2:30" ht="15" customHeight="1">
      <c r="B187" s="3" t="str">
        <f>IFERROR(VLOOKUP(C187,Master!$J:$K,2,0),"")</f>
        <v/>
      </c>
      <c r="D187" s="4" t="str">
        <f>IFERROR(VLOOKUP(E187,Master!$J:$K,2,0),"")</f>
        <v/>
      </c>
      <c r="F187" s="4" t="str">
        <f>IFERROR(VLOOKUP(G187,Master!B:C,2,0),"")</f>
        <v/>
      </c>
      <c r="I187" s="3" t="str">
        <f>IFERROR(VLOOKUP(E187,Master!$J:$M,4,0),"")</f>
        <v/>
      </c>
      <c r="J187" s="3" t="str">
        <f>IFERROR(VLOOKUP($E187,Master!$J:$M,3,0),"")</f>
        <v/>
      </c>
      <c r="AC187" s="26">
        <f t="shared" si="4"/>
        <v>0</v>
      </c>
      <c r="AD187" s="26">
        <f t="shared" si="5"/>
        <v>0</v>
      </c>
    </row>
    <row r="188" spans="2:30" ht="15" customHeight="1">
      <c r="B188" s="3" t="str">
        <f>IFERROR(VLOOKUP(C188,Master!$J:$K,2,0),"")</f>
        <v/>
      </c>
      <c r="D188" s="4" t="str">
        <f>IFERROR(VLOOKUP(E188,Master!$J:$K,2,0),"")</f>
        <v/>
      </c>
      <c r="F188" s="4" t="str">
        <f>IFERROR(VLOOKUP(G188,Master!B:C,2,0),"")</f>
        <v/>
      </c>
      <c r="I188" s="3" t="str">
        <f>IFERROR(VLOOKUP(E188,Master!$J:$M,4,0),"")</f>
        <v/>
      </c>
      <c r="J188" s="3" t="str">
        <f>IFERROR(VLOOKUP($E188,Master!$J:$M,3,0),"")</f>
        <v/>
      </c>
      <c r="AC188" s="26">
        <f t="shared" si="4"/>
        <v>0</v>
      </c>
      <c r="AD188" s="26">
        <f t="shared" si="5"/>
        <v>0</v>
      </c>
    </row>
    <row r="189" spans="2:30" ht="15" customHeight="1">
      <c r="B189" s="3" t="str">
        <f>IFERROR(VLOOKUP(C189,Master!$J:$K,2,0),"")</f>
        <v/>
      </c>
      <c r="D189" s="4" t="str">
        <f>IFERROR(VLOOKUP(E189,Master!$J:$K,2,0),"")</f>
        <v/>
      </c>
      <c r="F189" s="4" t="str">
        <f>IFERROR(VLOOKUP(G189,Master!B:C,2,0),"")</f>
        <v/>
      </c>
      <c r="I189" s="3" t="str">
        <f>IFERROR(VLOOKUP(E189,Master!$J:$M,4,0),"")</f>
        <v/>
      </c>
      <c r="J189" s="3" t="str">
        <f>IFERROR(VLOOKUP($E189,Master!$J:$M,3,0),"")</f>
        <v/>
      </c>
      <c r="AC189" s="26">
        <f t="shared" si="4"/>
        <v>0</v>
      </c>
      <c r="AD189" s="26">
        <f t="shared" si="5"/>
        <v>0</v>
      </c>
    </row>
    <row r="190" spans="2:30" ht="15" customHeight="1">
      <c r="B190" s="3" t="str">
        <f>IFERROR(VLOOKUP(C190,Master!$J:$K,2,0),"")</f>
        <v/>
      </c>
      <c r="D190" s="4" t="str">
        <f>IFERROR(VLOOKUP(E190,Master!$J:$K,2,0),"")</f>
        <v/>
      </c>
      <c r="F190" s="4" t="str">
        <f>IFERROR(VLOOKUP(G190,Master!B:C,2,0),"")</f>
        <v/>
      </c>
      <c r="I190" s="3" t="str">
        <f>IFERROR(VLOOKUP(E190,Master!$J:$M,4,0),"")</f>
        <v/>
      </c>
      <c r="J190" s="3" t="str">
        <f>IFERROR(VLOOKUP($E190,Master!$J:$M,3,0),"")</f>
        <v/>
      </c>
      <c r="AC190" s="26">
        <f t="shared" si="4"/>
        <v>0</v>
      </c>
      <c r="AD190" s="26">
        <f t="shared" si="5"/>
        <v>0</v>
      </c>
    </row>
    <row r="191" spans="2:30" ht="15" customHeight="1">
      <c r="B191" s="3" t="str">
        <f>IFERROR(VLOOKUP(C191,Master!$J:$K,2,0),"")</f>
        <v/>
      </c>
      <c r="D191" s="4" t="str">
        <f>IFERROR(VLOOKUP(E191,Master!$J:$K,2,0),"")</f>
        <v/>
      </c>
      <c r="F191" s="4" t="str">
        <f>IFERROR(VLOOKUP(G191,Master!B:C,2,0),"")</f>
        <v/>
      </c>
      <c r="I191" s="3" t="str">
        <f>IFERROR(VLOOKUP(E191,Master!$J:$M,4,0),"")</f>
        <v/>
      </c>
      <c r="J191" s="3" t="str">
        <f>IFERROR(VLOOKUP($E191,Master!$J:$M,3,0),"")</f>
        <v/>
      </c>
      <c r="AC191" s="26">
        <f t="shared" si="4"/>
        <v>0</v>
      </c>
      <c r="AD191" s="26">
        <f t="shared" si="5"/>
        <v>0</v>
      </c>
    </row>
    <row r="192" spans="2:30" ht="15" customHeight="1">
      <c r="B192" s="3" t="str">
        <f>IFERROR(VLOOKUP(C192,Master!$J:$K,2,0),"")</f>
        <v/>
      </c>
      <c r="D192" s="4" t="str">
        <f>IFERROR(VLOOKUP(E192,Master!$J:$K,2,0),"")</f>
        <v/>
      </c>
      <c r="F192" s="4" t="str">
        <f>IFERROR(VLOOKUP(G192,Master!B:C,2,0),"")</f>
        <v/>
      </c>
      <c r="I192" s="3" t="str">
        <f>IFERROR(VLOOKUP(E192,Master!$J:$M,4,0),"")</f>
        <v/>
      </c>
      <c r="J192" s="3" t="str">
        <f>IFERROR(VLOOKUP($E192,Master!$J:$M,3,0),"")</f>
        <v/>
      </c>
      <c r="AC192" s="26">
        <f t="shared" si="4"/>
        <v>0</v>
      </c>
      <c r="AD192" s="26">
        <f t="shared" si="5"/>
        <v>0</v>
      </c>
    </row>
    <row r="193" spans="2:30" ht="15" customHeight="1">
      <c r="B193" s="3" t="str">
        <f>IFERROR(VLOOKUP(C193,Master!$J:$K,2,0),"")</f>
        <v/>
      </c>
      <c r="D193" s="4" t="str">
        <f>IFERROR(VLOOKUP(E193,Master!$J:$K,2,0),"")</f>
        <v/>
      </c>
      <c r="F193" s="4" t="str">
        <f>IFERROR(VLOOKUP(G193,Master!B:C,2,0),"")</f>
        <v/>
      </c>
      <c r="I193" s="3" t="str">
        <f>IFERROR(VLOOKUP(E193,Master!$J:$M,4,0),"")</f>
        <v/>
      </c>
      <c r="J193" s="3" t="str">
        <f>IFERROR(VLOOKUP($E193,Master!$J:$M,3,0),"")</f>
        <v/>
      </c>
      <c r="AC193" s="26">
        <f t="shared" si="4"/>
        <v>0</v>
      </c>
      <c r="AD193" s="26">
        <f t="shared" si="5"/>
        <v>0</v>
      </c>
    </row>
    <row r="194" spans="2:30" ht="15" customHeight="1">
      <c r="B194" s="3" t="str">
        <f>IFERROR(VLOOKUP(C194,Master!$J:$K,2,0),"")</f>
        <v/>
      </c>
      <c r="D194" s="4" t="str">
        <f>IFERROR(VLOOKUP(E194,Master!$J:$K,2,0),"")</f>
        <v/>
      </c>
      <c r="F194" s="4" t="str">
        <f>IFERROR(VLOOKUP(G194,Master!B:C,2,0),"")</f>
        <v/>
      </c>
      <c r="I194" s="3" t="str">
        <f>IFERROR(VLOOKUP(E194,Master!$J:$M,4,0),"")</f>
        <v/>
      </c>
      <c r="J194" s="3" t="str">
        <f>IFERROR(VLOOKUP($E194,Master!$J:$M,3,0),"")</f>
        <v/>
      </c>
      <c r="AC194" s="26">
        <f t="shared" ref="AC194:AC257" si="6">SUM(K194:P194)</f>
        <v>0</v>
      </c>
      <c r="AD194" s="26">
        <f t="shared" ref="AD194:AD257" si="7">SUM(Q194:AB194)</f>
        <v>0</v>
      </c>
    </row>
    <row r="195" spans="2:30" ht="15" customHeight="1">
      <c r="B195" s="3" t="str">
        <f>IFERROR(VLOOKUP(C195,Master!$J:$K,2,0),"")</f>
        <v/>
      </c>
      <c r="D195" s="4" t="str">
        <f>IFERROR(VLOOKUP(E195,Master!$J:$K,2,0),"")</f>
        <v/>
      </c>
      <c r="F195" s="4" t="str">
        <f>IFERROR(VLOOKUP(G195,Master!B:C,2,0),"")</f>
        <v/>
      </c>
      <c r="I195" s="3" t="str">
        <f>IFERROR(VLOOKUP(E195,Master!$J:$M,4,0),"")</f>
        <v/>
      </c>
      <c r="J195" s="3" t="str">
        <f>IFERROR(VLOOKUP($E195,Master!$J:$M,3,0),"")</f>
        <v/>
      </c>
      <c r="AC195" s="26">
        <f t="shared" si="6"/>
        <v>0</v>
      </c>
      <c r="AD195" s="26">
        <f t="shared" si="7"/>
        <v>0</v>
      </c>
    </row>
    <row r="196" spans="2:30" ht="15" customHeight="1">
      <c r="B196" s="3" t="str">
        <f>IFERROR(VLOOKUP(C196,Master!$J:$K,2,0),"")</f>
        <v/>
      </c>
      <c r="D196" s="4" t="str">
        <f>IFERROR(VLOOKUP(E196,Master!$J:$K,2,0),"")</f>
        <v/>
      </c>
      <c r="F196" s="4" t="str">
        <f>IFERROR(VLOOKUP(G196,Master!B:C,2,0),"")</f>
        <v/>
      </c>
      <c r="I196" s="3" t="str">
        <f>IFERROR(VLOOKUP(E196,Master!$J:$M,4,0),"")</f>
        <v/>
      </c>
      <c r="J196" s="3" t="str">
        <f>IFERROR(VLOOKUP($E196,Master!$J:$M,3,0),"")</f>
        <v/>
      </c>
      <c r="AC196" s="26">
        <f t="shared" si="6"/>
        <v>0</v>
      </c>
      <c r="AD196" s="26">
        <f t="shared" si="7"/>
        <v>0</v>
      </c>
    </row>
    <row r="197" spans="2:30" ht="15" customHeight="1">
      <c r="B197" s="3" t="str">
        <f>IFERROR(VLOOKUP(C197,Master!$J:$K,2,0),"")</f>
        <v/>
      </c>
      <c r="D197" s="4" t="str">
        <f>IFERROR(VLOOKUP(E197,Master!$J:$K,2,0),"")</f>
        <v/>
      </c>
      <c r="F197" s="4" t="str">
        <f>IFERROR(VLOOKUP(G197,Master!B:C,2,0),"")</f>
        <v/>
      </c>
      <c r="I197" s="3" t="str">
        <f>IFERROR(VLOOKUP(E197,Master!$J:$M,4,0),"")</f>
        <v/>
      </c>
      <c r="J197" s="3" t="str">
        <f>IFERROR(VLOOKUP($E197,Master!$J:$M,3,0),"")</f>
        <v/>
      </c>
      <c r="AC197" s="26">
        <f t="shared" si="6"/>
        <v>0</v>
      </c>
      <c r="AD197" s="26">
        <f t="shared" si="7"/>
        <v>0</v>
      </c>
    </row>
    <row r="198" spans="2:30" ht="15" customHeight="1">
      <c r="B198" s="3" t="str">
        <f>IFERROR(VLOOKUP(C198,Master!$J:$K,2,0),"")</f>
        <v/>
      </c>
      <c r="D198" s="4" t="str">
        <f>IFERROR(VLOOKUP(E198,Master!$J:$K,2,0),"")</f>
        <v/>
      </c>
      <c r="F198" s="4" t="str">
        <f>IFERROR(VLOOKUP(G198,Master!B:C,2,0),"")</f>
        <v/>
      </c>
      <c r="I198" s="3" t="str">
        <f>IFERROR(VLOOKUP(E198,Master!$J:$M,4,0),"")</f>
        <v/>
      </c>
      <c r="J198" s="3" t="str">
        <f>IFERROR(VLOOKUP($E198,Master!$J:$M,3,0),"")</f>
        <v/>
      </c>
      <c r="AC198" s="26">
        <f t="shared" si="6"/>
        <v>0</v>
      </c>
      <c r="AD198" s="26">
        <f t="shared" si="7"/>
        <v>0</v>
      </c>
    </row>
    <row r="199" spans="2:30" ht="15" customHeight="1">
      <c r="B199" s="3" t="str">
        <f>IFERROR(VLOOKUP(C199,Master!$J:$K,2,0),"")</f>
        <v/>
      </c>
      <c r="D199" s="4" t="str">
        <f>IFERROR(VLOOKUP(E199,Master!$J:$K,2,0),"")</f>
        <v/>
      </c>
      <c r="F199" s="4" t="str">
        <f>IFERROR(VLOOKUP(G199,Master!B:C,2,0),"")</f>
        <v/>
      </c>
      <c r="I199" s="3" t="str">
        <f>IFERROR(VLOOKUP(E199,Master!$J:$M,4,0),"")</f>
        <v/>
      </c>
      <c r="J199" s="3" t="str">
        <f>IFERROR(VLOOKUP($E199,Master!$J:$M,3,0),"")</f>
        <v/>
      </c>
      <c r="AC199" s="26">
        <f t="shared" si="6"/>
        <v>0</v>
      </c>
      <c r="AD199" s="26">
        <f t="shared" si="7"/>
        <v>0</v>
      </c>
    </row>
    <row r="200" spans="2:30" ht="15" customHeight="1">
      <c r="B200" s="3" t="str">
        <f>IFERROR(VLOOKUP(C200,Master!$J:$K,2,0),"")</f>
        <v/>
      </c>
      <c r="D200" s="4" t="str">
        <f>IFERROR(VLOOKUP(E200,Master!$J:$K,2,0),"")</f>
        <v/>
      </c>
      <c r="F200" s="4" t="str">
        <f>IFERROR(VLOOKUP(G200,Master!B:C,2,0),"")</f>
        <v/>
      </c>
      <c r="I200" s="3" t="str">
        <f>IFERROR(VLOOKUP(E200,Master!$J:$M,4,0),"")</f>
        <v/>
      </c>
      <c r="J200" s="3" t="str">
        <f>IFERROR(VLOOKUP($E200,Master!$J:$M,3,0),"")</f>
        <v/>
      </c>
      <c r="AC200" s="26">
        <f t="shared" si="6"/>
        <v>0</v>
      </c>
      <c r="AD200" s="26">
        <f t="shared" si="7"/>
        <v>0</v>
      </c>
    </row>
    <row r="201" spans="2:30" ht="15" customHeight="1">
      <c r="B201" s="3" t="str">
        <f>IFERROR(VLOOKUP(C201,Master!$J:$K,2,0),"")</f>
        <v/>
      </c>
      <c r="D201" s="4" t="str">
        <f>IFERROR(VLOOKUP(E201,Master!$J:$K,2,0),"")</f>
        <v/>
      </c>
      <c r="F201" s="4" t="str">
        <f>IFERROR(VLOOKUP(G201,Master!B:C,2,0),"")</f>
        <v/>
      </c>
      <c r="I201" s="3" t="str">
        <f>IFERROR(VLOOKUP(E201,Master!$J:$M,4,0),"")</f>
        <v/>
      </c>
      <c r="J201" s="3" t="str">
        <f>IFERROR(VLOOKUP($E201,Master!$J:$M,3,0),"")</f>
        <v/>
      </c>
      <c r="AC201" s="26">
        <f t="shared" si="6"/>
        <v>0</v>
      </c>
      <c r="AD201" s="26">
        <f t="shared" si="7"/>
        <v>0</v>
      </c>
    </row>
    <row r="202" spans="2:30" ht="15" customHeight="1">
      <c r="B202" s="3" t="str">
        <f>IFERROR(VLOOKUP(C202,Master!$J:$K,2,0),"")</f>
        <v/>
      </c>
      <c r="D202" s="4" t="str">
        <f>IFERROR(VLOOKUP(E202,Master!$J:$K,2,0),"")</f>
        <v/>
      </c>
      <c r="F202" s="4" t="str">
        <f>IFERROR(VLOOKUP(G202,Master!B:C,2,0),"")</f>
        <v/>
      </c>
      <c r="I202" s="3" t="str">
        <f>IFERROR(VLOOKUP(E202,Master!$J:$M,4,0),"")</f>
        <v/>
      </c>
      <c r="J202" s="3" t="str">
        <f>IFERROR(VLOOKUP($E202,Master!$J:$M,3,0),"")</f>
        <v/>
      </c>
      <c r="AC202" s="26">
        <f t="shared" si="6"/>
        <v>0</v>
      </c>
      <c r="AD202" s="26">
        <f t="shared" si="7"/>
        <v>0</v>
      </c>
    </row>
    <row r="203" spans="2:30" ht="15" customHeight="1">
      <c r="B203" s="3" t="str">
        <f>IFERROR(VLOOKUP(C203,Master!$J:$K,2,0),"")</f>
        <v/>
      </c>
      <c r="D203" s="4" t="str">
        <f>IFERROR(VLOOKUP(E203,Master!$J:$K,2,0),"")</f>
        <v/>
      </c>
      <c r="F203" s="4" t="str">
        <f>IFERROR(VLOOKUP(G203,Master!B:C,2,0),"")</f>
        <v/>
      </c>
      <c r="I203" s="3" t="str">
        <f>IFERROR(VLOOKUP(E203,Master!$J:$M,4,0),"")</f>
        <v/>
      </c>
      <c r="J203" s="3" t="str">
        <f>IFERROR(VLOOKUP($E203,Master!$J:$M,3,0),"")</f>
        <v/>
      </c>
      <c r="AC203" s="26">
        <f t="shared" si="6"/>
        <v>0</v>
      </c>
      <c r="AD203" s="26">
        <f t="shared" si="7"/>
        <v>0</v>
      </c>
    </row>
    <row r="204" spans="2:30" ht="15" customHeight="1">
      <c r="B204" s="3" t="str">
        <f>IFERROR(VLOOKUP(C204,Master!$J:$K,2,0),"")</f>
        <v/>
      </c>
      <c r="D204" s="4" t="str">
        <f>IFERROR(VLOOKUP(E204,Master!$J:$K,2,0),"")</f>
        <v/>
      </c>
      <c r="F204" s="4" t="str">
        <f>IFERROR(VLOOKUP(G204,Master!B:C,2,0),"")</f>
        <v/>
      </c>
      <c r="I204" s="3" t="str">
        <f>IFERROR(VLOOKUP(E204,Master!$J:$M,4,0),"")</f>
        <v/>
      </c>
      <c r="J204" s="3" t="str">
        <f>IFERROR(VLOOKUP($E204,Master!$J:$M,3,0),"")</f>
        <v/>
      </c>
      <c r="AC204" s="26">
        <f t="shared" si="6"/>
        <v>0</v>
      </c>
      <c r="AD204" s="26">
        <f t="shared" si="7"/>
        <v>0</v>
      </c>
    </row>
    <row r="205" spans="2:30" ht="15" customHeight="1">
      <c r="B205" s="3" t="str">
        <f>IFERROR(VLOOKUP(C205,Master!$J:$K,2,0),"")</f>
        <v/>
      </c>
      <c r="D205" s="4" t="str">
        <f>IFERROR(VLOOKUP(E205,Master!$J:$K,2,0),"")</f>
        <v/>
      </c>
      <c r="F205" s="4" t="str">
        <f>IFERROR(VLOOKUP(G205,Master!B:C,2,0),"")</f>
        <v/>
      </c>
      <c r="I205" s="3" t="str">
        <f>IFERROR(VLOOKUP(E205,Master!$J:$M,4,0),"")</f>
        <v/>
      </c>
      <c r="J205" s="3" t="str">
        <f>IFERROR(VLOOKUP($E205,Master!$J:$M,3,0),"")</f>
        <v/>
      </c>
      <c r="AC205" s="26">
        <f t="shared" si="6"/>
        <v>0</v>
      </c>
      <c r="AD205" s="26">
        <f t="shared" si="7"/>
        <v>0</v>
      </c>
    </row>
    <row r="206" spans="2:30" ht="15" customHeight="1">
      <c r="B206" s="3" t="str">
        <f>IFERROR(VLOOKUP(C206,Master!$J:$K,2,0),"")</f>
        <v/>
      </c>
      <c r="D206" s="4" t="str">
        <f>IFERROR(VLOOKUP(E206,Master!$J:$K,2,0),"")</f>
        <v/>
      </c>
      <c r="F206" s="4" t="str">
        <f>IFERROR(VLOOKUP(G206,Master!B:C,2,0),"")</f>
        <v/>
      </c>
      <c r="I206" s="3" t="str">
        <f>IFERROR(VLOOKUP(E206,Master!$J:$M,4,0),"")</f>
        <v/>
      </c>
      <c r="J206" s="3" t="str">
        <f>IFERROR(VLOOKUP($E206,Master!$J:$M,3,0),"")</f>
        <v/>
      </c>
      <c r="AC206" s="26">
        <f t="shared" si="6"/>
        <v>0</v>
      </c>
      <c r="AD206" s="26">
        <f t="shared" si="7"/>
        <v>0</v>
      </c>
    </row>
    <row r="207" spans="2:30" ht="15" customHeight="1">
      <c r="B207" s="3" t="str">
        <f>IFERROR(VLOOKUP(C207,Master!$J:$K,2,0),"")</f>
        <v/>
      </c>
      <c r="D207" s="4" t="str">
        <f>IFERROR(VLOOKUP(E207,Master!$J:$K,2,0),"")</f>
        <v/>
      </c>
      <c r="F207" s="4" t="str">
        <f>IFERROR(VLOOKUP(G207,Master!B:C,2,0),"")</f>
        <v/>
      </c>
      <c r="I207" s="3" t="str">
        <f>IFERROR(VLOOKUP(E207,Master!$J:$M,4,0),"")</f>
        <v/>
      </c>
      <c r="J207" s="3" t="str">
        <f>IFERROR(VLOOKUP($E207,Master!$J:$M,3,0),"")</f>
        <v/>
      </c>
      <c r="AC207" s="26">
        <f t="shared" si="6"/>
        <v>0</v>
      </c>
      <c r="AD207" s="26">
        <f t="shared" si="7"/>
        <v>0</v>
      </c>
    </row>
    <row r="208" spans="2:30" ht="15" customHeight="1">
      <c r="B208" s="3" t="str">
        <f>IFERROR(VLOOKUP(C208,Master!$J:$K,2,0),"")</f>
        <v/>
      </c>
      <c r="D208" s="4" t="str">
        <f>IFERROR(VLOOKUP(E208,Master!$J:$K,2,0),"")</f>
        <v/>
      </c>
      <c r="F208" s="4" t="str">
        <f>IFERROR(VLOOKUP(G208,Master!B:C,2,0),"")</f>
        <v/>
      </c>
      <c r="I208" s="3" t="str">
        <f>IFERROR(VLOOKUP(E208,Master!$J:$M,4,0),"")</f>
        <v/>
      </c>
      <c r="J208" s="3" t="str">
        <f>IFERROR(VLOOKUP($E208,Master!$J:$M,3,0),"")</f>
        <v/>
      </c>
      <c r="AC208" s="26">
        <f t="shared" si="6"/>
        <v>0</v>
      </c>
      <c r="AD208" s="26">
        <f t="shared" si="7"/>
        <v>0</v>
      </c>
    </row>
    <row r="209" spans="2:30" ht="15" customHeight="1">
      <c r="B209" s="3" t="str">
        <f>IFERROR(VLOOKUP(C209,Master!$J:$K,2,0),"")</f>
        <v/>
      </c>
      <c r="D209" s="4" t="str">
        <f>IFERROR(VLOOKUP(E209,Master!$J:$K,2,0),"")</f>
        <v/>
      </c>
      <c r="F209" s="4" t="str">
        <f>IFERROR(VLOOKUP(G209,Master!B:C,2,0),"")</f>
        <v/>
      </c>
      <c r="I209" s="3" t="str">
        <f>IFERROR(VLOOKUP(E209,Master!$J:$M,4,0),"")</f>
        <v/>
      </c>
      <c r="J209" s="3" t="str">
        <f>IFERROR(VLOOKUP($E209,Master!$J:$M,3,0),"")</f>
        <v/>
      </c>
      <c r="AC209" s="26">
        <f t="shared" si="6"/>
        <v>0</v>
      </c>
      <c r="AD209" s="26">
        <f t="shared" si="7"/>
        <v>0</v>
      </c>
    </row>
    <row r="210" spans="2:30" ht="15" customHeight="1">
      <c r="B210" s="3" t="str">
        <f>IFERROR(VLOOKUP(C210,Master!$J:$K,2,0),"")</f>
        <v/>
      </c>
      <c r="D210" s="4" t="str">
        <f>IFERROR(VLOOKUP(E210,Master!$J:$K,2,0),"")</f>
        <v/>
      </c>
      <c r="F210" s="4" t="str">
        <f>IFERROR(VLOOKUP(G210,Master!B:C,2,0),"")</f>
        <v/>
      </c>
      <c r="I210" s="3" t="str">
        <f>IFERROR(VLOOKUP(E210,Master!$J:$M,4,0),"")</f>
        <v/>
      </c>
      <c r="J210" s="3" t="str">
        <f>IFERROR(VLOOKUP($E210,Master!$J:$M,3,0),"")</f>
        <v/>
      </c>
      <c r="AC210" s="26">
        <f t="shared" si="6"/>
        <v>0</v>
      </c>
      <c r="AD210" s="26">
        <f t="shared" si="7"/>
        <v>0</v>
      </c>
    </row>
    <row r="211" spans="2:30" ht="15" customHeight="1">
      <c r="B211" s="3" t="str">
        <f>IFERROR(VLOOKUP(C211,Master!$J:$K,2,0),"")</f>
        <v/>
      </c>
      <c r="D211" s="4" t="str">
        <f>IFERROR(VLOOKUP(E211,Master!$J:$K,2,0),"")</f>
        <v/>
      </c>
      <c r="F211" s="4" t="str">
        <f>IFERROR(VLOOKUP(G211,Master!B:C,2,0),"")</f>
        <v/>
      </c>
      <c r="I211" s="3" t="str">
        <f>IFERROR(VLOOKUP(E211,Master!$J:$M,4,0),"")</f>
        <v/>
      </c>
      <c r="J211" s="3" t="str">
        <f>IFERROR(VLOOKUP($E211,Master!$J:$M,3,0),"")</f>
        <v/>
      </c>
      <c r="AC211" s="26">
        <f t="shared" si="6"/>
        <v>0</v>
      </c>
      <c r="AD211" s="26">
        <f t="shared" si="7"/>
        <v>0</v>
      </c>
    </row>
    <row r="212" spans="2:30" ht="15" customHeight="1">
      <c r="B212" s="3" t="str">
        <f>IFERROR(VLOOKUP(C212,Master!$J:$K,2,0),"")</f>
        <v/>
      </c>
      <c r="D212" s="4" t="str">
        <f>IFERROR(VLOOKUP(E212,Master!$J:$K,2,0),"")</f>
        <v/>
      </c>
      <c r="F212" s="4" t="str">
        <f>IFERROR(VLOOKUP(G212,Master!B:C,2,0),"")</f>
        <v/>
      </c>
      <c r="I212" s="3" t="str">
        <f>IFERROR(VLOOKUP(E212,Master!$J:$M,4,0),"")</f>
        <v/>
      </c>
      <c r="J212" s="3" t="str">
        <f>IFERROR(VLOOKUP($E212,Master!$J:$M,3,0),"")</f>
        <v/>
      </c>
      <c r="AC212" s="26">
        <f t="shared" si="6"/>
        <v>0</v>
      </c>
      <c r="AD212" s="26">
        <f t="shared" si="7"/>
        <v>0</v>
      </c>
    </row>
    <row r="213" spans="2:30" ht="15" customHeight="1">
      <c r="B213" s="3" t="str">
        <f>IFERROR(VLOOKUP(C213,Master!$J:$K,2,0),"")</f>
        <v/>
      </c>
      <c r="D213" s="4" t="str">
        <f>IFERROR(VLOOKUP(E213,Master!$J:$K,2,0),"")</f>
        <v/>
      </c>
      <c r="F213" s="4" t="str">
        <f>IFERROR(VLOOKUP(G213,Master!B:C,2,0),"")</f>
        <v/>
      </c>
      <c r="I213" s="3" t="str">
        <f>IFERROR(VLOOKUP(E213,Master!$J:$M,4,0),"")</f>
        <v/>
      </c>
      <c r="J213" s="3" t="str">
        <f>IFERROR(VLOOKUP($E213,Master!$J:$M,3,0),"")</f>
        <v/>
      </c>
      <c r="AC213" s="26">
        <f t="shared" si="6"/>
        <v>0</v>
      </c>
      <c r="AD213" s="26">
        <f t="shared" si="7"/>
        <v>0</v>
      </c>
    </row>
    <row r="214" spans="2:30" ht="15" customHeight="1">
      <c r="B214" s="3" t="str">
        <f>IFERROR(VLOOKUP(C214,Master!$J:$K,2,0),"")</f>
        <v/>
      </c>
      <c r="D214" s="4" t="str">
        <f>IFERROR(VLOOKUP(E214,Master!$J:$K,2,0),"")</f>
        <v/>
      </c>
      <c r="F214" s="4" t="str">
        <f>IFERROR(VLOOKUP(G214,Master!B:C,2,0),"")</f>
        <v/>
      </c>
      <c r="I214" s="3" t="str">
        <f>IFERROR(VLOOKUP(E214,Master!$J:$M,4,0),"")</f>
        <v/>
      </c>
      <c r="J214" s="3" t="str">
        <f>IFERROR(VLOOKUP($E214,Master!$J:$M,3,0),"")</f>
        <v/>
      </c>
      <c r="AC214" s="26">
        <f t="shared" si="6"/>
        <v>0</v>
      </c>
      <c r="AD214" s="26">
        <f t="shared" si="7"/>
        <v>0</v>
      </c>
    </row>
    <row r="215" spans="2:30" ht="15" customHeight="1">
      <c r="B215" s="3" t="str">
        <f>IFERROR(VLOOKUP(C215,Master!$J:$K,2,0),"")</f>
        <v/>
      </c>
      <c r="D215" s="4" t="str">
        <f>IFERROR(VLOOKUP(E215,Master!$J:$K,2,0),"")</f>
        <v/>
      </c>
      <c r="F215" s="4" t="str">
        <f>IFERROR(VLOOKUP(G215,Master!B:C,2,0),"")</f>
        <v/>
      </c>
      <c r="I215" s="3" t="str">
        <f>IFERROR(VLOOKUP(E215,Master!$J:$M,4,0),"")</f>
        <v/>
      </c>
      <c r="J215" s="3" t="str">
        <f>IFERROR(VLOOKUP($E215,Master!$J:$M,3,0),"")</f>
        <v/>
      </c>
      <c r="AC215" s="26">
        <f t="shared" si="6"/>
        <v>0</v>
      </c>
      <c r="AD215" s="26">
        <f t="shared" si="7"/>
        <v>0</v>
      </c>
    </row>
    <row r="216" spans="2:30" ht="15" customHeight="1">
      <c r="B216" s="3" t="str">
        <f>IFERROR(VLOOKUP(C216,Master!$J:$K,2,0),"")</f>
        <v/>
      </c>
      <c r="D216" s="4" t="str">
        <f>IFERROR(VLOOKUP(E216,Master!$J:$K,2,0),"")</f>
        <v/>
      </c>
      <c r="F216" s="4" t="str">
        <f>IFERROR(VLOOKUP(G216,Master!B:C,2,0),"")</f>
        <v/>
      </c>
      <c r="I216" s="3" t="str">
        <f>IFERROR(VLOOKUP(E216,Master!$J:$M,4,0),"")</f>
        <v/>
      </c>
      <c r="J216" s="3" t="str">
        <f>IFERROR(VLOOKUP($E216,Master!$J:$M,3,0),"")</f>
        <v/>
      </c>
      <c r="AC216" s="26">
        <f t="shared" si="6"/>
        <v>0</v>
      </c>
      <c r="AD216" s="26">
        <f t="shared" si="7"/>
        <v>0</v>
      </c>
    </row>
    <row r="217" spans="2:30" ht="15" customHeight="1">
      <c r="B217" s="3" t="str">
        <f>IFERROR(VLOOKUP(C217,Master!$J:$K,2,0),"")</f>
        <v/>
      </c>
      <c r="D217" s="4" t="str">
        <f>IFERROR(VLOOKUP(E217,Master!$J:$K,2,0),"")</f>
        <v/>
      </c>
      <c r="F217" s="4" t="str">
        <f>IFERROR(VLOOKUP(G217,Master!B:C,2,0),"")</f>
        <v/>
      </c>
      <c r="I217" s="3" t="str">
        <f>IFERROR(VLOOKUP(E217,Master!$J:$M,4,0),"")</f>
        <v/>
      </c>
      <c r="J217" s="3" t="str">
        <f>IFERROR(VLOOKUP($E217,Master!$J:$M,3,0),"")</f>
        <v/>
      </c>
      <c r="AC217" s="26">
        <f t="shared" si="6"/>
        <v>0</v>
      </c>
      <c r="AD217" s="26">
        <f t="shared" si="7"/>
        <v>0</v>
      </c>
    </row>
    <row r="218" spans="2:30" ht="15" customHeight="1">
      <c r="B218" s="3" t="str">
        <f>IFERROR(VLOOKUP(C218,Master!$J:$K,2,0),"")</f>
        <v/>
      </c>
      <c r="D218" s="4" t="str">
        <f>IFERROR(VLOOKUP(E218,Master!$J:$K,2,0),"")</f>
        <v/>
      </c>
      <c r="F218" s="4" t="str">
        <f>IFERROR(VLOOKUP(G218,Master!B:C,2,0),"")</f>
        <v/>
      </c>
      <c r="I218" s="3" t="str">
        <f>IFERROR(VLOOKUP(E218,Master!$J:$M,4,0),"")</f>
        <v/>
      </c>
      <c r="J218" s="3" t="str">
        <f>IFERROR(VLOOKUP($E218,Master!$J:$M,3,0),"")</f>
        <v/>
      </c>
      <c r="AC218" s="26">
        <f t="shared" si="6"/>
        <v>0</v>
      </c>
      <c r="AD218" s="26">
        <f t="shared" si="7"/>
        <v>0</v>
      </c>
    </row>
    <row r="219" spans="2:30" ht="15" customHeight="1">
      <c r="B219" s="3" t="str">
        <f>IFERROR(VLOOKUP(C219,Master!$J:$K,2,0),"")</f>
        <v/>
      </c>
      <c r="D219" s="4" t="str">
        <f>IFERROR(VLOOKUP(E219,Master!$J:$K,2,0),"")</f>
        <v/>
      </c>
      <c r="F219" s="4" t="str">
        <f>IFERROR(VLOOKUP(G219,Master!B:C,2,0),"")</f>
        <v/>
      </c>
      <c r="I219" s="3" t="str">
        <f>IFERROR(VLOOKUP(E219,Master!$J:$M,4,0),"")</f>
        <v/>
      </c>
      <c r="J219" s="3" t="str">
        <f>IFERROR(VLOOKUP($E219,Master!$J:$M,3,0),"")</f>
        <v/>
      </c>
      <c r="AC219" s="26">
        <f t="shared" si="6"/>
        <v>0</v>
      </c>
      <c r="AD219" s="26">
        <f t="shared" si="7"/>
        <v>0</v>
      </c>
    </row>
    <row r="220" spans="2:30" ht="15" customHeight="1">
      <c r="B220" s="3" t="str">
        <f>IFERROR(VLOOKUP(C220,Master!$J:$K,2,0),"")</f>
        <v/>
      </c>
      <c r="D220" s="4" t="str">
        <f>IFERROR(VLOOKUP(E220,Master!$J:$K,2,0),"")</f>
        <v/>
      </c>
      <c r="F220" s="4" t="str">
        <f>IFERROR(VLOOKUP(G220,Master!B:C,2,0),"")</f>
        <v/>
      </c>
      <c r="I220" s="3" t="str">
        <f>IFERROR(VLOOKUP(E220,Master!$J:$M,4,0),"")</f>
        <v/>
      </c>
      <c r="J220" s="3" t="str">
        <f>IFERROR(VLOOKUP($E220,Master!$J:$M,3,0),"")</f>
        <v/>
      </c>
      <c r="AC220" s="26">
        <f t="shared" si="6"/>
        <v>0</v>
      </c>
      <c r="AD220" s="26">
        <f t="shared" si="7"/>
        <v>0</v>
      </c>
    </row>
    <row r="221" spans="2:30" ht="15" customHeight="1">
      <c r="B221" s="3" t="str">
        <f>IFERROR(VLOOKUP(C221,Master!$J:$K,2,0),"")</f>
        <v/>
      </c>
      <c r="D221" s="4" t="str">
        <f>IFERROR(VLOOKUP(E221,Master!$J:$K,2,0),"")</f>
        <v/>
      </c>
      <c r="F221" s="4" t="str">
        <f>IFERROR(VLOOKUP(G221,Master!B:C,2,0),"")</f>
        <v/>
      </c>
      <c r="I221" s="3" t="str">
        <f>IFERROR(VLOOKUP(E221,Master!$J:$M,4,0),"")</f>
        <v/>
      </c>
      <c r="J221" s="3" t="str">
        <f>IFERROR(VLOOKUP($E221,Master!$J:$M,3,0),"")</f>
        <v/>
      </c>
      <c r="AC221" s="26">
        <f t="shared" si="6"/>
        <v>0</v>
      </c>
      <c r="AD221" s="26">
        <f t="shared" si="7"/>
        <v>0</v>
      </c>
    </row>
    <row r="222" spans="2:30" ht="15" customHeight="1">
      <c r="B222" s="3" t="str">
        <f>IFERROR(VLOOKUP(C222,Master!$J:$K,2,0),"")</f>
        <v/>
      </c>
      <c r="D222" s="4" t="str">
        <f>IFERROR(VLOOKUP(E222,Master!$J:$K,2,0),"")</f>
        <v/>
      </c>
      <c r="F222" s="4" t="str">
        <f>IFERROR(VLOOKUP(G222,Master!B:C,2,0),"")</f>
        <v/>
      </c>
      <c r="I222" s="3" t="str">
        <f>IFERROR(VLOOKUP(E222,Master!$J:$M,4,0),"")</f>
        <v/>
      </c>
      <c r="J222" s="3" t="str">
        <f>IFERROR(VLOOKUP($E222,Master!$J:$M,3,0),"")</f>
        <v/>
      </c>
      <c r="AC222" s="26">
        <f t="shared" si="6"/>
        <v>0</v>
      </c>
      <c r="AD222" s="26">
        <f t="shared" si="7"/>
        <v>0</v>
      </c>
    </row>
    <row r="223" spans="2:30" ht="15" customHeight="1">
      <c r="B223" s="3" t="str">
        <f>IFERROR(VLOOKUP(C223,Master!$J:$K,2,0),"")</f>
        <v/>
      </c>
      <c r="D223" s="4" t="str">
        <f>IFERROR(VLOOKUP(E223,Master!$J:$K,2,0),"")</f>
        <v/>
      </c>
      <c r="F223" s="4" t="str">
        <f>IFERROR(VLOOKUP(G223,Master!B:C,2,0),"")</f>
        <v/>
      </c>
      <c r="I223" s="3" t="str">
        <f>IFERROR(VLOOKUP(E223,Master!$J:$M,4,0),"")</f>
        <v/>
      </c>
      <c r="J223" s="3" t="str">
        <f>IFERROR(VLOOKUP($E223,Master!$J:$M,3,0),"")</f>
        <v/>
      </c>
      <c r="AC223" s="26">
        <f t="shared" si="6"/>
        <v>0</v>
      </c>
      <c r="AD223" s="26">
        <f t="shared" si="7"/>
        <v>0</v>
      </c>
    </row>
    <row r="224" spans="2:30" ht="15" customHeight="1">
      <c r="B224" s="3" t="str">
        <f>IFERROR(VLOOKUP(C224,Master!$J:$K,2,0),"")</f>
        <v/>
      </c>
      <c r="D224" s="4" t="str">
        <f>IFERROR(VLOOKUP(E224,Master!$J:$K,2,0),"")</f>
        <v/>
      </c>
      <c r="F224" s="4" t="str">
        <f>IFERROR(VLOOKUP(G224,Master!B:C,2,0),"")</f>
        <v/>
      </c>
      <c r="I224" s="3" t="str">
        <f>IFERROR(VLOOKUP(E224,Master!$J:$M,4,0),"")</f>
        <v/>
      </c>
      <c r="J224" s="3" t="str">
        <f>IFERROR(VLOOKUP($E224,Master!$J:$M,3,0),"")</f>
        <v/>
      </c>
      <c r="AC224" s="26">
        <f t="shared" si="6"/>
        <v>0</v>
      </c>
      <c r="AD224" s="26">
        <f t="shared" si="7"/>
        <v>0</v>
      </c>
    </row>
    <row r="225" spans="2:30" ht="15" customHeight="1">
      <c r="B225" s="3" t="str">
        <f>IFERROR(VLOOKUP(C225,Master!$J:$K,2,0),"")</f>
        <v/>
      </c>
      <c r="D225" s="4" t="str">
        <f>IFERROR(VLOOKUP(E225,Master!$J:$K,2,0),"")</f>
        <v/>
      </c>
      <c r="F225" s="4" t="str">
        <f>IFERROR(VLOOKUP(G225,Master!B:C,2,0),"")</f>
        <v/>
      </c>
      <c r="I225" s="3" t="str">
        <f>IFERROR(VLOOKUP(E225,Master!$J:$M,4,0),"")</f>
        <v/>
      </c>
      <c r="J225" s="3" t="str">
        <f>IFERROR(VLOOKUP($E225,Master!$J:$M,3,0),"")</f>
        <v/>
      </c>
      <c r="AC225" s="26">
        <f t="shared" si="6"/>
        <v>0</v>
      </c>
      <c r="AD225" s="26">
        <f t="shared" si="7"/>
        <v>0</v>
      </c>
    </row>
    <row r="226" spans="2:30" ht="15" customHeight="1">
      <c r="B226" s="3" t="str">
        <f>IFERROR(VLOOKUP(C226,Master!$J:$K,2,0),"")</f>
        <v/>
      </c>
      <c r="D226" s="4" t="str">
        <f>IFERROR(VLOOKUP(E226,Master!$J:$K,2,0),"")</f>
        <v/>
      </c>
      <c r="F226" s="4" t="str">
        <f>IFERROR(VLOOKUP(G226,Master!B:C,2,0),"")</f>
        <v/>
      </c>
      <c r="I226" s="3" t="str">
        <f>IFERROR(VLOOKUP(E226,Master!$J:$M,4,0),"")</f>
        <v/>
      </c>
      <c r="J226" s="3" t="str">
        <f>IFERROR(VLOOKUP($E226,Master!$J:$M,3,0),"")</f>
        <v/>
      </c>
      <c r="AC226" s="26">
        <f t="shared" si="6"/>
        <v>0</v>
      </c>
      <c r="AD226" s="26">
        <f t="shared" si="7"/>
        <v>0</v>
      </c>
    </row>
    <row r="227" spans="2:30" ht="15" customHeight="1">
      <c r="B227" s="3" t="str">
        <f>IFERROR(VLOOKUP(C227,Master!$J:$K,2,0),"")</f>
        <v/>
      </c>
      <c r="D227" s="4" t="str">
        <f>IFERROR(VLOOKUP(E227,Master!$J:$K,2,0),"")</f>
        <v/>
      </c>
      <c r="F227" s="4" t="str">
        <f>IFERROR(VLOOKUP(G227,Master!B:C,2,0),"")</f>
        <v/>
      </c>
      <c r="I227" s="3" t="str">
        <f>IFERROR(VLOOKUP(E227,Master!$J:$M,4,0),"")</f>
        <v/>
      </c>
      <c r="J227" s="3" t="str">
        <f>IFERROR(VLOOKUP($E227,Master!$J:$M,3,0),"")</f>
        <v/>
      </c>
      <c r="AC227" s="26">
        <f t="shared" si="6"/>
        <v>0</v>
      </c>
      <c r="AD227" s="26">
        <f t="shared" si="7"/>
        <v>0</v>
      </c>
    </row>
    <row r="228" spans="2:30" ht="15" customHeight="1">
      <c r="B228" s="3" t="str">
        <f>IFERROR(VLOOKUP(C228,Master!$J:$K,2,0),"")</f>
        <v/>
      </c>
      <c r="D228" s="4" t="str">
        <f>IFERROR(VLOOKUP(E228,Master!$J:$K,2,0),"")</f>
        <v/>
      </c>
      <c r="F228" s="4" t="str">
        <f>IFERROR(VLOOKUP(G228,Master!B:C,2,0),"")</f>
        <v/>
      </c>
      <c r="I228" s="3" t="str">
        <f>IFERROR(VLOOKUP(E228,Master!$J:$M,4,0),"")</f>
        <v/>
      </c>
      <c r="J228" s="3" t="str">
        <f>IFERROR(VLOOKUP($E228,Master!$J:$M,3,0),"")</f>
        <v/>
      </c>
      <c r="AC228" s="26">
        <f t="shared" si="6"/>
        <v>0</v>
      </c>
      <c r="AD228" s="26">
        <f t="shared" si="7"/>
        <v>0</v>
      </c>
    </row>
    <row r="229" spans="2:30" ht="15" customHeight="1">
      <c r="B229" s="3" t="str">
        <f>IFERROR(VLOOKUP(C229,Master!$J:$K,2,0),"")</f>
        <v/>
      </c>
      <c r="D229" s="4" t="str">
        <f>IFERROR(VLOOKUP(E229,Master!$J:$K,2,0),"")</f>
        <v/>
      </c>
      <c r="F229" s="4" t="str">
        <f>IFERROR(VLOOKUP(G229,Master!B:C,2,0),"")</f>
        <v/>
      </c>
      <c r="I229" s="3" t="str">
        <f>IFERROR(VLOOKUP(E229,Master!$J:$M,4,0),"")</f>
        <v/>
      </c>
      <c r="J229" s="3" t="str">
        <f>IFERROR(VLOOKUP($E229,Master!$J:$M,3,0),"")</f>
        <v/>
      </c>
      <c r="AC229" s="26">
        <f t="shared" si="6"/>
        <v>0</v>
      </c>
      <c r="AD229" s="26">
        <f t="shared" si="7"/>
        <v>0</v>
      </c>
    </row>
    <row r="230" spans="2:30" ht="15" customHeight="1">
      <c r="B230" s="3" t="str">
        <f>IFERROR(VLOOKUP(C230,Master!$J:$K,2,0),"")</f>
        <v/>
      </c>
      <c r="D230" s="4" t="str">
        <f>IFERROR(VLOOKUP(E230,Master!$J:$K,2,0),"")</f>
        <v/>
      </c>
      <c r="F230" s="4" t="str">
        <f>IFERROR(VLOOKUP(G230,Master!B:C,2,0),"")</f>
        <v/>
      </c>
      <c r="I230" s="3" t="str">
        <f>IFERROR(VLOOKUP(E230,Master!$J:$M,4,0),"")</f>
        <v/>
      </c>
      <c r="J230" s="3" t="str">
        <f>IFERROR(VLOOKUP($E230,Master!$J:$M,3,0),"")</f>
        <v/>
      </c>
      <c r="AC230" s="26">
        <f t="shared" si="6"/>
        <v>0</v>
      </c>
      <c r="AD230" s="26">
        <f t="shared" si="7"/>
        <v>0</v>
      </c>
    </row>
    <row r="231" spans="2:30" ht="15" customHeight="1">
      <c r="B231" s="3" t="str">
        <f>IFERROR(VLOOKUP(C231,Master!$J:$K,2,0),"")</f>
        <v/>
      </c>
      <c r="D231" s="4" t="str">
        <f>IFERROR(VLOOKUP(E231,Master!$J:$K,2,0),"")</f>
        <v/>
      </c>
      <c r="F231" s="4" t="str">
        <f>IFERROR(VLOOKUP(G231,Master!B:C,2,0),"")</f>
        <v/>
      </c>
      <c r="I231" s="3" t="str">
        <f>IFERROR(VLOOKUP(E231,Master!$J:$M,4,0),"")</f>
        <v/>
      </c>
      <c r="J231" s="3" t="str">
        <f>IFERROR(VLOOKUP($E231,Master!$J:$M,3,0),"")</f>
        <v/>
      </c>
      <c r="AC231" s="26">
        <f t="shared" si="6"/>
        <v>0</v>
      </c>
      <c r="AD231" s="26">
        <f t="shared" si="7"/>
        <v>0</v>
      </c>
    </row>
    <row r="232" spans="2:30" ht="15" customHeight="1">
      <c r="B232" s="3" t="str">
        <f>IFERROR(VLOOKUP(C232,Master!$J:$K,2,0),"")</f>
        <v/>
      </c>
      <c r="D232" s="4" t="str">
        <f>IFERROR(VLOOKUP(E232,Master!$J:$K,2,0),"")</f>
        <v/>
      </c>
      <c r="F232" s="4" t="str">
        <f>IFERROR(VLOOKUP(G232,Master!B:C,2,0),"")</f>
        <v/>
      </c>
      <c r="I232" s="3" t="str">
        <f>IFERROR(VLOOKUP(E232,Master!$J:$M,4,0),"")</f>
        <v/>
      </c>
      <c r="J232" s="3" t="str">
        <f>IFERROR(VLOOKUP($E232,Master!$J:$M,3,0),"")</f>
        <v/>
      </c>
      <c r="AC232" s="26">
        <f t="shared" si="6"/>
        <v>0</v>
      </c>
      <c r="AD232" s="26">
        <f t="shared" si="7"/>
        <v>0</v>
      </c>
    </row>
    <row r="233" spans="2:30" ht="15" customHeight="1">
      <c r="B233" s="3" t="str">
        <f>IFERROR(VLOOKUP(C233,Master!$J:$K,2,0),"")</f>
        <v/>
      </c>
      <c r="D233" s="4" t="str">
        <f>IFERROR(VLOOKUP(E233,Master!$J:$K,2,0),"")</f>
        <v/>
      </c>
      <c r="F233" s="4" t="str">
        <f>IFERROR(VLOOKUP(G233,Master!B:C,2,0),"")</f>
        <v/>
      </c>
      <c r="I233" s="3" t="str">
        <f>IFERROR(VLOOKUP(E233,Master!$J:$M,4,0),"")</f>
        <v/>
      </c>
      <c r="J233" s="3" t="str">
        <f>IFERROR(VLOOKUP($E233,Master!$J:$M,3,0),"")</f>
        <v/>
      </c>
      <c r="AC233" s="26">
        <f t="shared" si="6"/>
        <v>0</v>
      </c>
      <c r="AD233" s="26">
        <f t="shared" si="7"/>
        <v>0</v>
      </c>
    </row>
    <row r="234" spans="2:30" ht="15" customHeight="1">
      <c r="B234" s="3" t="str">
        <f>IFERROR(VLOOKUP(C234,Master!$J:$K,2,0),"")</f>
        <v/>
      </c>
      <c r="D234" s="4" t="str">
        <f>IFERROR(VLOOKUP(E234,Master!$J:$K,2,0),"")</f>
        <v/>
      </c>
      <c r="F234" s="4" t="str">
        <f>IFERROR(VLOOKUP(G234,Master!B:C,2,0),"")</f>
        <v/>
      </c>
      <c r="I234" s="3" t="str">
        <f>IFERROR(VLOOKUP(E234,Master!$J:$M,4,0),"")</f>
        <v/>
      </c>
      <c r="J234" s="3" t="str">
        <f>IFERROR(VLOOKUP($E234,Master!$J:$M,3,0),"")</f>
        <v/>
      </c>
      <c r="AC234" s="26">
        <f t="shared" si="6"/>
        <v>0</v>
      </c>
      <c r="AD234" s="26">
        <f t="shared" si="7"/>
        <v>0</v>
      </c>
    </row>
    <row r="235" spans="2:30" ht="15" customHeight="1">
      <c r="B235" s="3" t="str">
        <f>IFERROR(VLOOKUP(C235,Master!$J:$K,2,0),"")</f>
        <v/>
      </c>
      <c r="D235" s="4" t="str">
        <f>IFERROR(VLOOKUP(E235,Master!$J:$K,2,0),"")</f>
        <v/>
      </c>
      <c r="F235" s="4" t="str">
        <f>IFERROR(VLOOKUP(G235,Master!B:C,2,0),"")</f>
        <v/>
      </c>
      <c r="I235" s="3" t="str">
        <f>IFERROR(VLOOKUP(E235,Master!$J:$M,4,0),"")</f>
        <v/>
      </c>
      <c r="J235" s="3" t="str">
        <f>IFERROR(VLOOKUP($E235,Master!$J:$M,3,0),"")</f>
        <v/>
      </c>
      <c r="AC235" s="26">
        <f t="shared" si="6"/>
        <v>0</v>
      </c>
      <c r="AD235" s="26">
        <f t="shared" si="7"/>
        <v>0</v>
      </c>
    </row>
    <row r="236" spans="2:30" ht="15" customHeight="1">
      <c r="B236" s="3" t="str">
        <f>IFERROR(VLOOKUP(C236,Master!$J:$K,2,0),"")</f>
        <v/>
      </c>
      <c r="D236" s="4" t="str">
        <f>IFERROR(VLOOKUP(E236,Master!$J:$K,2,0),"")</f>
        <v/>
      </c>
      <c r="F236" s="4" t="str">
        <f>IFERROR(VLOOKUP(G236,Master!B:C,2,0),"")</f>
        <v/>
      </c>
      <c r="I236" s="3" t="str">
        <f>IFERROR(VLOOKUP(E236,Master!$J:$M,4,0),"")</f>
        <v/>
      </c>
      <c r="J236" s="3" t="str">
        <f>IFERROR(VLOOKUP($E236,Master!$J:$M,3,0),"")</f>
        <v/>
      </c>
      <c r="AC236" s="26">
        <f t="shared" si="6"/>
        <v>0</v>
      </c>
      <c r="AD236" s="26">
        <f t="shared" si="7"/>
        <v>0</v>
      </c>
    </row>
    <row r="237" spans="2:30" ht="15" customHeight="1">
      <c r="B237" s="3" t="str">
        <f>IFERROR(VLOOKUP(C237,Master!$J:$K,2,0),"")</f>
        <v/>
      </c>
      <c r="D237" s="4" t="str">
        <f>IFERROR(VLOOKUP(E237,Master!$J:$K,2,0),"")</f>
        <v/>
      </c>
      <c r="F237" s="4" t="str">
        <f>IFERROR(VLOOKUP(G237,Master!B:C,2,0),"")</f>
        <v/>
      </c>
      <c r="I237" s="3" t="str">
        <f>IFERROR(VLOOKUP(E237,Master!$J:$M,4,0),"")</f>
        <v/>
      </c>
      <c r="J237" s="3" t="str">
        <f>IFERROR(VLOOKUP($E237,Master!$J:$M,3,0),"")</f>
        <v/>
      </c>
      <c r="AC237" s="26">
        <f t="shared" si="6"/>
        <v>0</v>
      </c>
      <c r="AD237" s="26">
        <f t="shared" si="7"/>
        <v>0</v>
      </c>
    </row>
    <row r="238" spans="2:30" ht="15" customHeight="1">
      <c r="B238" s="3" t="str">
        <f>IFERROR(VLOOKUP(C238,Master!$J:$K,2,0),"")</f>
        <v/>
      </c>
      <c r="D238" s="4" t="str">
        <f>IFERROR(VLOOKUP(E238,Master!$J:$K,2,0),"")</f>
        <v/>
      </c>
      <c r="F238" s="4" t="str">
        <f>IFERROR(VLOOKUP(G238,Master!B:C,2,0),"")</f>
        <v/>
      </c>
      <c r="I238" s="3" t="str">
        <f>IFERROR(VLOOKUP(E238,Master!$J:$M,4,0),"")</f>
        <v/>
      </c>
      <c r="J238" s="3" t="str">
        <f>IFERROR(VLOOKUP($E238,Master!$J:$M,3,0),"")</f>
        <v/>
      </c>
      <c r="AC238" s="26">
        <f t="shared" si="6"/>
        <v>0</v>
      </c>
      <c r="AD238" s="26">
        <f t="shared" si="7"/>
        <v>0</v>
      </c>
    </row>
    <row r="239" spans="2:30" ht="15" customHeight="1">
      <c r="B239" s="3" t="str">
        <f>IFERROR(VLOOKUP(C239,Master!$J:$K,2,0),"")</f>
        <v/>
      </c>
      <c r="D239" s="4" t="str">
        <f>IFERROR(VLOOKUP(E239,Master!$J:$K,2,0),"")</f>
        <v/>
      </c>
      <c r="F239" s="4" t="str">
        <f>IFERROR(VLOOKUP(G239,Master!B:C,2,0),"")</f>
        <v/>
      </c>
      <c r="I239" s="3" t="str">
        <f>IFERROR(VLOOKUP(E239,Master!$J:$M,4,0),"")</f>
        <v/>
      </c>
      <c r="J239" s="3" t="str">
        <f>IFERROR(VLOOKUP($E239,Master!$J:$M,3,0),"")</f>
        <v/>
      </c>
      <c r="AC239" s="26">
        <f t="shared" si="6"/>
        <v>0</v>
      </c>
      <c r="AD239" s="26">
        <f t="shared" si="7"/>
        <v>0</v>
      </c>
    </row>
    <row r="240" spans="2:30" ht="15" customHeight="1">
      <c r="B240" s="3" t="str">
        <f>IFERROR(VLOOKUP(C240,Master!$J:$K,2,0),"")</f>
        <v/>
      </c>
      <c r="D240" s="4" t="str">
        <f>IFERROR(VLOOKUP(E240,Master!$J:$K,2,0),"")</f>
        <v/>
      </c>
      <c r="F240" s="4" t="str">
        <f>IFERROR(VLOOKUP(G240,Master!B:C,2,0),"")</f>
        <v/>
      </c>
      <c r="I240" s="3" t="str">
        <f>IFERROR(VLOOKUP(E240,Master!$J:$M,4,0),"")</f>
        <v/>
      </c>
      <c r="J240" s="3" t="str">
        <f>IFERROR(VLOOKUP($E240,Master!$J:$M,3,0),"")</f>
        <v/>
      </c>
      <c r="AC240" s="26">
        <f t="shared" si="6"/>
        <v>0</v>
      </c>
      <c r="AD240" s="26">
        <f t="shared" si="7"/>
        <v>0</v>
      </c>
    </row>
    <row r="241" spans="2:30" ht="15" customHeight="1">
      <c r="B241" s="3" t="str">
        <f>IFERROR(VLOOKUP(C241,Master!$J:$K,2,0),"")</f>
        <v/>
      </c>
      <c r="D241" s="4" t="str">
        <f>IFERROR(VLOOKUP(E241,Master!$J:$K,2,0),"")</f>
        <v/>
      </c>
      <c r="F241" s="4" t="str">
        <f>IFERROR(VLOOKUP(G241,Master!B:C,2,0),"")</f>
        <v/>
      </c>
      <c r="I241" s="3" t="str">
        <f>IFERROR(VLOOKUP(E241,Master!$J:$M,4,0),"")</f>
        <v/>
      </c>
      <c r="J241" s="3" t="str">
        <f>IFERROR(VLOOKUP($E241,Master!$J:$M,3,0),"")</f>
        <v/>
      </c>
      <c r="AC241" s="26">
        <f t="shared" si="6"/>
        <v>0</v>
      </c>
      <c r="AD241" s="26">
        <f t="shared" si="7"/>
        <v>0</v>
      </c>
    </row>
    <row r="242" spans="2:30" ht="15" customHeight="1">
      <c r="B242" s="3" t="str">
        <f>IFERROR(VLOOKUP(C242,Master!$J:$K,2,0),"")</f>
        <v/>
      </c>
      <c r="D242" s="4" t="str">
        <f>IFERROR(VLOOKUP(E242,Master!$J:$K,2,0),"")</f>
        <v/>
      </c>
      <c r="F242" s="4" t="str">
        <f>IFERROR(VLOOKUP(G242,Master!B:C,2,0),"")</f>
        <v/>
      </c>
      <c r="I242" s="3" t="str">
        <f>IFERROR(VLOOKUP(E242,Master!$J:$M,4,0),"")</f>
        <v/>
      </c>
      <c r="J242" s="3" t="str">
        <f>IFERROR(VLOOKUP($E242,Master!$J:$M,3,0),"")</f>
        <v/>
      </c>
      <c r="AC242" s="26">
        <f t="shared" si="6"/>
        <v>0</v>
      </c>
      <c r="AD242" s="26">
        <f t="shared" si="7"/>
        <v>0</v>
      </c>
    </row>
    <row r="243" spans="2:30" ht="15" customHeight="1">
      <c r="B243" s="3" t="str">
        <f>IFERROR(VLOOKUP(C243,Master!$J:$K,2,0),"")</f>
        <v/>
      </c>
      <c r="D243" s="4" t="str">
        <f>IFERROR(VLOOKUP(E243,Master!$J:$K,2,0),"")</f>
        <v/>
      </c>
      <c r="F243" s="4" t="str">
        <f>IFERROR(VLOOKUP(G243,Master!B:C,2,0),"")</f>
        <v/>
      </c>
      <c r="I243" s="3" t="str">
        <f>IFERROR(VLOOKUP(E243,Master!$J:$M,4,0),"")</f>
        <v/>
      </c>
      <c r="J243" s="3" t="str">
        <f>IFERROR(VLOOKUP($E243,Master!$J:$M,3,0),"")</f>
        <v/>
      </c>
      <c r="AC243" s="26">
        <f t="shared" si="6"/>
        <v>0</v>
      </c>
      <c r="AD243" s="26">
        <f t="shared" si="7"/>
        <v>0</v>
      </c>
    </row>
    <row r="244" spans="2:30" ht="15" customHeight="1">
      <c r="B244" s="3" t="str">
        <f>IFERROR(VLOOKUP(C244,Master!$J:$K,2,0),"")</f>
        <v/>
      </c>
      <c r="D244" s="4" t="str">
        <f>IFERROR(VLOOKUP(E244,Master!$J:$K,2,0),"")</f>
        <v/>
      </c>
      <c r="F244" s="4" t="str">
        <f>IFERROR(VLOOKUP(G244,Master!B:C,2,0),"")</f>
        <v/>
      </c>
      <c r="I244" s="3" t="str">
        <f>IFERROR(VLOOKUP(E244,Master!$J:$M,4,0),"")</f>
        <v/>
      </c>
      <c r="J244" s="3" t="str">
        <f>IFERROR(VLOOKUP($E244,Master!$J:$M,3,0),"")</f>
        <v/>
      </c>
      <c r="AC244" s="26">
        <f t="shared" si="6"/>
        <v>0</v>
      </c>
      <c r="AD244" s="26">
        <f t="shared" si="7"/>
        <v>0</v>
      </c>
    </row>
    <row r="245" spans="2:30" ht="15" customHeight="1">
      <c r="B245" s="3" t="str">
        <f>IFERROR(VLOOKUP(C245,Master!$J:$K,2,0),"")</f>
        <v/>
      </c>
      <c r="D245" s="4" t="str">
        <f>IFERROR(VLOOKUP(E245,Master!$J:$K,2,0),"")</f>
        <v/>
      </c>
      <c r="F245" s="4" t="str">
        <f>IFERROR(VLOOKUP(G245,Master!B:C,2,0),"")</f>
        <v/>
      </c>
      <c r="I245" s="3" t="str">
        <f>IFERROR(VLOOKUP(E245,Master!$J:$M,4,0),"")</f>
        <v/>
      </c>
      <c r="J245" s="3" t="str">
        <f>IFERROR(VLOOKUP($E245,Master!$J:$M,3,0),"")</f>
        <v/>
      </c>
      <c r="AC245" s="26">
        <f t="shared" si="6"/>
        <v>0</v>
      </c>
      <c r="AD245" s="26">
        <f t="shared" si="7"/>
        <v>0</v>
      </c>
    </row>
    <row r="246" spans="2:30" ht="15" customHeight="1">
      <c r="B246" s="3" t="str">
        <f>IFERROR(VLOOKUP(C246,Master!$J:$K,2,0),"")</f>
        <v/>
      </c>
      <c r="D246" s="4" t="str">
        <f>IFERROR(VLOOKUP(E246,Master!$J:$K,2,0),"")</f>
        <v/>
      </c>
      <c r="F246" s="4" t="str">
        <f>IFERROR(VLOOKUP(G246,Master!B:C,2,0),"")</f>
        <v/>
      </c>
      <c r="I246" s="3" t="str">
        <f>IFERROR(VLOOKUP(E246,Master!$J:$M,4,0),"")</f>
        <v/>
      </c>
      <c r="J246" s="3" t="str">
        <f>IFERROR(VLOOKUP($E246,Master!$J:$M,3,0),"")</f>
        <v/>
      </c>
      <c r="AC246" s="26">
        <f t="shared" si="6"/>
        <v>0</v>
      </c>
      <c r="AD246" s="26">
        <f t="shared" si="7"/>
        <v>0</v>
      </c>
    </row>
    <row r="247" spans="2:30" ht="15" customHeight="1">
      <c r="B247" s="3" t="str">
        <f>IFERROR(VLOOKUP(C247,Master!$J:$K,2,0),"")</f>
        <v/>
      </c>
      <c r="D247" s="4" t="str">
        <f>IFERROR(VLOOKUP(E247,Master!$J:$K,2,0),"")</f>
        <v/>
      </c>
      <c r="F247" s="4" t="str">
        <f>IFERROR(VLOOKUP(G247,Master!B:C,2,0),"")</f>
        <v/>
      </c>
      <c r="I247" s="3" t="str">
        <f>IFERROR(VLOOKUP(E247,Master!$J:$M,4,0),"")</f>
        <v/>
      </c>
      <c r="J247" s="3" t="str">
        <f>IFERROR(VLOOKUP($E247,Master!$J:$M,3,0),"")</f>
        <v/>
      </c>
      <c r="AC247" s="26">
        <f t="shared" si="6"/>
        <v>0</v>
      </c>
      <c r="AD247" s="26">
        <f t="shared" si="7"/>
        <v>0</v>
      </c>
    </row>
    <row r="248" spans="2:30" ht="15" customHeight="1">
      <c r="B248" s="3" t="str">
        <f>IFERROR(VLOOKUP(C248,Master!$J:$K,2,0),"")</f>
        <v/>
      </c>
      <c r="D248" s="4" t="str">
        <f>IFERROR(VLOOKUP(E248,Master!$J:$K,2,0),"")</f>
        <v/>
      </c>
      <c r="F248" s="4" t="str">
        <f>IFERROR(VLOOKUP(G248,Master!B:C,2,0),"")</f>
        <v/>
      </c>
      <c r="I248" s="3" t="str">
        <f>IFERROR(VLOOKUP(E248,Master!$J:$M,4,0),"")</f>
        <v/>
      </c>
      <c r="J248" s="3" t="str">
        <f>IFERROR(VLOOKUP($E248,Master!$J:$M,3,0),"")</f>
        <v/>
      </c>
      <c r="AC248" s="26">
        <f t="shared" si="6"/>
        <v>0</v>
      </c>
      <c r="AD248" s="26">
        <f t="shared" si="7"/>
        <v>0</v>
      </c>
    </row>
    <row r="249" spans="2:30" ht="15" customHeight="1">
      <c r="B249" s="3" t="str">
        <f>IFERROR(VLOOKUP(C249,Master!$J:$K,2,0),"")</f>
        <v/>
      </c>
      <c r="D249" s="4" t="str">
        <f>IFERROR(VLOOKUP(E249,Master!$J:$K,2,0),"")</f>
        <v/>
      </c>
      <c r="F249" s="4" t="str">
        <f>IFERROR(VLOOKUP(G249,Master!B:C,2,0),"")</f>
        <v/>
      </c>
      <c r="I249" s="3" t="str">
        <f>IFERROR(VLOOKUP(E249,Master!$J:$M,4,0),"")</f>
        <v/>
      </c>
      <c r="J249" s="3" t="str">
        <f>IFERROR(VLOOKUP($E249,Master!$J:$M,3,0),"")</f>
        <v/>
      </c>
      <c r="AC249" s="26">
        <f t="shared" si="6"/>
        <v>0</v>
      </c>
      <c r="AD249" s="26">
        <f t="shared" si="7"/>
        <v>0</v>
      </c>
    </row>
    <row r="250" spans="2:30" ht="15" customHeight="1">
      <c r="B250" s="3" t="str">
        <f>IFERROR(VLOOKUP(C250,Master!$J:$K,2,0),"")</f>
        <v/>
      </c>
      <c r="D250" s="4" t="str">
        <f>IFERROR(VLOOKUP(E250,Master!$J:$K,2,0),"")</f>
        <v/>
      </c>
      <c r="F250" s="4" t="str">
        <f>IFERROR(VLOOKUP(G250,Master!B:C,2,0),"")</f>
        <v/>
      </c>
      <c r="I250" s="3" t="str">
        <f>IFERROR(VLOOKUP(E250,Master!$J:$M,4,0),"")</f>
        <v/>
      </c>
      <c r="J250" s="3" t="str">
        <f>IFERROR(VLOOKUP($E250,Master!$J:$M,3,0),"")</f>
        <v/>
      </c>
      <c r="AC250" s="26">
        <f t="shared" si="6"/>
        <v>0</v>
      </c>
      <c r="AD250" s="26">
        <f t="shared" si="7"/>
        <v>0</v>
      </c>
    </row>
    <row r="251" spans="2:30" ht="15" customHeight="1">
      <c r="B251" s="3" t="str">
        <f>IFERROR(VLOOKUP(C251,Master!$J:$K,2,0),"")</f>
        <v/>
      </c>
      <c r="D251" s="4" t="str">
        <f>IFERROR(VLOOKUP(E251,Master!$J:$K,2,0),"")</f>
        <v/>
      </c>
      <c r="F251" s="4" t="str">
        <f>IFERROR(VLOOKUP(G251,Master!B:C,2,0),"")</f>
        <v/>
      </c>
      <c r="I251" s="3" t="str">
        <f>IFERROR(VLOOKUP(E251,Master!$J:$M,4,0),"")</f>
        <v/>
      </c>
      <c r="J251" s="3" t="str">
        <f>IFERROR(VLOOKUP($E251,Master!$J:$M,3,0),"")</f>
        <v/>
      </c>
      <c r="AC251" s="26">
        <f t="shared" si="6"/>
        <v>0</v>
      </c>
      <c r="AD251" s="26">
        <f t="shared" si="7"/>
        <v>0</v>
      </c>
    </row>
    <row r="252" spans="2:30" ht="15" customHeight="1">
      <c r="B252" s="3" t="str">
        <f>IFERROR(VLOOKUP(C252,Master!$J:$K,2,0),"")</f>
        <v/>
      </c>
      <c r="D252" s="4" t="str">
        <f>IFERROR(VLOOKUP(E252,Master!$J:$K,2,0),"")</f>
        <v/>
      </c>
      <c r="F252" s="4" t="str">
        <f>IFERROR(VLOOKUP(G252,Master!B:C,2,0),"")</f>
        <v/>
      </c>
      <c r="I252" s="3" t="str">
        <f>IFERROR(VLOOKUP(E252,Master!$J:$M,4,0),"")</f>
        <v/>
      </c>
      <c r="J252" s="3" t="str">
        <f>IFERROR(VLOOKUP($E252,Master!$J:$M,3,0),"")</f>
        <v/>
      </c>
      <c r="AC252" s="26">
        <f t="shared" si="6"/>
        <v>0</v>
      </c>
      <c r="AD252" s="26">
        <f t="shared" si="7"/>
        <v>0</v>
      </c>
    </row>
    <row r="253" spans="2:30" ht="15" customHeight="1">
      <c r="B253" s="3" t="str">
        <f>IFERROR(VLOOKUP(C253,Master!$J:$K,2,0),"")</f>
        <v/>
      </c>
      <c r="D253" s="4" t="str">
        <f>IFERROR(VLOOKUP(E253,Master!$J:$K,2,0),"")</f>
        <v/>
      </c>
      <c r="F253" s="4" t="str">
        <f>IFERROR(VLOOKUP(G253,Master!B:C,2,0),"")</f>
        <v/>
      </c>
      <c r="I253" s="3" t="str">
        <f>IFERROR(VLOOKUP(E253,Master!$J:$M,4,0),"")</f>
        <v/>
      </c>
      <c r="J253" s="3" t="str">
        <f>IFERROR(VLOOKUP($E253,Master!$J:$M,3,0),"")</f>
        <v/>
      </c>
      <c r="AC253" s="26">
        <f t="shared" si="6"/>
        <v>0</v>
      </c>
      <c r="AD253" s="26">
        <f t="shared" si="7"/>
        <v>0</v>
      </c>
    </row>
    <row r="254" spans="2:30" ht="15" customHeight="1">
      <c r="B254" s="3" t="str">
        <f>IFERROR(VLOOKUP(C254,Master!$J:$K,2,0),"")</f>
        <v/>
      </c>
      <c r="D254" s="4" t="str">
        <f>IFERROR(VLOOKUP(E254,Master!$J:$K,2,0),"")</f>
        <v/>
      </c>
      <c r="F254" s="4" t="str">
        <f>IFERROR(VLOOKUP(G254,Master!B:C,2,0),"")</f>
        <v/>
      </c>
      <c r="I254" s="3" t="str">
        <f>IFERROR(VLOOKUP(E254,Master!$J:$M,4,0),"")</f>
        <v/>
      </c>
      <c r="J254" s="3" t="str">
        <f>IFERROR(VLOOKUP($E254,Master!$J:$M,3,0),"")</f>
        <v/>
      </c>
      <c r="AC254" s="26">
        <f t="shared" si="6"/>
        <v>0</v>
      </c>
      <c r="AD254" s="26">
        <f t="shared" si="7"/>
        <v>0</v>
      </c>
    </row>
    <row r="255" spans="2:30" ht="15" customHeight="1">
      <c r="B255" s="3" t="str">
        <f>IFERROR(VLOOKUP(C255,Master!$J:$K,2,0),"")</f>
        <v/>
      </c>
      <c r="D255" s="4" t="str">
        <f>IFERROR(VLOOKUP(E255,Master!$J:$K,2,0),"")</f>
        <v/>
      </c>
      <c r="F255" s="4" t="str">
        <f>IFERROR(VLOOKUP(G255,Master!B:C,2,0),"")</f>
        <v/>
      </c>
      <c r="I255" s="3" t="str">
        <f>IFERROR(VLOOKUP(E255,Master!$J:$M,4,0),"")</f>
        <v/>
      </c>
      <c r="J255" s="3" t="str">
        <f>IFERROR(VLOOKUP($E255,Master!$J:$M,3,0),"")</f>
        <v/>
      </c>
      <c r="AC255" s="26">
        <f t="shared" si="6"/>
        <v>0</v>
      </c>
      <c r="AD255" s="26">
        <f t="shared" si="7"/>
        <v>0</v>
      </c>
    </row>
    <row r="256" spans="2:30" ht="15" customHeight="1">
      <c r="B256" s="3" t="str">
        <f>IFERROR(VLOOKUP(C256,Master!$J:$K,2,0),"")</f>
        <v/>
      </c>
      <c r="D256" s="4" t="str">
        <f>IFERROR(VLOOKUP(E256,Master!$J:$K,2,0),"")</f>
        <v/>
      </c>
      <c r="F256" s="4" t="str">
        <f>IFERROR(VLOOKUP(G256,Master!B:C,2,0),"")</f>
        <v/>
      </c>
      <c r="I256" s="3" t="str">
        <f>IFERROR(VLOOKUP(E256,Master!$J:$M,4,0),"")</f>
        <v/>
      </c>
      <c r="J256" s="3" t="str">
        <f>IFERROR(VLOOKUP($E256,Master!$J:$M,3,0),"")</f>
        <v/>
      </c>
      <c r="AC256" s="26">
        <f t="shared" si="6"/>
        <v>0</v>
      </c>
      <c r="AD256" s="26">
        <f t="shared" si="7"/>
        <v>0</v>
      </c>
    </row>
    <row r="257" spans="2:30" ht="15" customHeight="1">
      <c r="B257" s="3" t="str">
        <f>IFERROR(VLOOKUP(C257,Master!$J:$K,2,0),"")</f>
        <v/>
      </c>
      <c r="D257" s="4" t="str">
        <f>IFERROR(VLOOKUP(E257,Master!$J:$K,2,0),"")</f>
        <v/>
      </c>
      <c r="F257" s="4" t="str">
        <f>IFERROR(VLOOKUP(G257,Master!B:C,2,0),"")</f>
        <v/>
      </c>
      <c r="I257" s="3" t="str">
        <f>IFERROR(VLOOKUP(E257,Master!$J:$M,4,0),"")</f>
        <v/>
      </c>
      <c r="J257" s="3" t="str">
        <f>IFERROR(VLOOKUP($E257,Master!$J:$M,3,0),"")</f>
        <v/>
      </c>
      <c r="AC257" s="26">
        <f t="shared" si="6"/>
        <v>0</v>
      </c>
      <c r="AD257" s="26">
        <f t="shared" si="7"/>
        <v>0</v>
      </c>
    </row>
    <row r="258" spans="2:30" ht="15" customHeight="1">
      <c r="B258" s="3" t="str">
        <f>IFERROR(VLOOKUP(C258,Master!$J:$K,2,0),"")</f>
        <v/>
      </c>
      <c r="D258" s="4" t="str">
        <f>IFERROR(VLOOKUP(E258,Master!$J:$K,2,0),"")</f>
        <v/>
      </c>
      <c r="F258" s="4" t="str">
        <f>IFERROR(VLOOKUP(G258,Master!B:C,2,0),"")</f>
        <v/>
      </c>
      <c r="I258" s="3" t="str">
        <f>IFERROR(VLOOKUP(E258,Master!$J:$M,4,0),"")</f>
        <v/>
      </c>
      <c r="J258" s="3" t="str">
        <f>IFERROR(VLOOKUP($E258,Master!$J:$M,3,0),"")</f>
        <v/>
      </c>
      <c r="AC258" s="26">
        <f t="shared" ref="AC258:AC321" si="8">SUM(K258:P258)</f>
        <v>0</v>
      </c>
      <c r="AD258" s="26">
        <f t="shared" ref="AD258:AD321" si="9">SUM(Q258:AB258)</f>
        <v>0</v>
      </c>
    </row>
    <row r="259" spans="2:30" ht="15" customHeight="1">
      <c r="B259" s="3" t="str">
        <f>IFERROR(VLOOKUP(C259,Master!$J:$K,2,0),"")</f>
        <v/>
      </c>
      <c r="D259" s="4" t="str">
        <f>IFERROR(VLOOKUP(E259,Master!$J:$K,2,0),"")</f>
        <v/>
      </c>
      <c r="F259" s="4" t="str">
        <f>IFERROR(VLOOKUP(G259,Master!B:C,2,0),"")</f>
        <v/>
      </c>
      <c r="I259" s="3" t="str">
        <f>IFERROR(VLOOKUP(E259,Master!$J:$M,4,0),"")</f>
        <v/>
      </c>
      <c r="J259" s="3" t="str">
        <f>IFERROR(VLOOKUP($E259,Master!$J:$M,3,0),"")</f>
        <v/>
      </c>
      <c r="AC259" s="26">
        <f t="shared" si="8"/>
        <v>0</v>
      </c>
      <c r="AD259" s="26">
        <f t="shared" si="9"/>
        <v>0</v>
      </c>
    </row>
    <row r="260" spans="2:30" ht="15" customHeight="1">
      <c r="B260" s="3" t="str">
        <f>IFERROR(VLOOKUP(C260,Master!$J:$K,2,0),"")</f>
        <v/>
      </c>
      <c r="D260" s="4" t="str">
        <f>IFERROR(VLOOKUP(E260,Master!$J:$K,2,0),"")</f>
        <v/>
      </c>
      <c r="F260" s="4" t="str">
        <f>IFERROR(VLOOKUP(G260,Master!B:C,2,0),"")</f>
        <v/>
      </c>
      <c r="I260" s="3" t="str">
        <f>IFERROR(VLOOKUP(E260,Master!$J:$M,4,0),"")</f>
        <v/>
      </c>
      <c r="J260" s="3" t="str">
        <f>IFERROR(VLOOKUP($E260,Master!$J:$M,3,0),"")</f>
        <v/>
      </c>
      <c r="AC260" s="26">
        <f t="shared" si="8"/>
        <v>0</v>
      </c>
      <c r="AD260" s="26">
        <f t="shared" si="9"/>
        <v>0</v>
      </c>
    </row>
    <row r="261" spans="2:30" ht="15" customHeight="1">
      <c r="B261" s="3" t="str">
        <f>IFERROR(VLOOKUP(C261,Master!$J:$K,2,0),"")</f>
        <v/>
      </c>
      <c r="D261" s="4" t="str">
        <f>IFERROR(VLOOKUP(E261,Master!$J:$K,2,0),"")</f>
        <v/>
      </c>
      <c r="F261" s="4" t="str">
        <f>IFERROR(VLOOKUP(G261,Master!B:C,2,0),"")</f>
        <v/>
      </c>
      <c r="I261" s="3" t="str">
        <f>IFERROR(VLOOKUP(E261,Master!$J:$M,4,0),"")</f>
        <v/>
      </c>
      <c r="J261" s="3" t="str">
        <f>IFERROR(VLOOKUP($E261,Master!$J:$M,3,0),"")</f>
        <v/>
      </c>
      <c r="AC261" s="26">
        <f t="shared" si="8"/>
        <v>0</v>
      </c>
      <c r="AD261" s="26">
        <f t="shared" si="9"/>
        <v>0</v>
      </c>
    </row>
    <row r="262" spans="2:30" ht="15" customHeight="1">
      <c r="B262" s="3" t="str">
        <f>IFERROR(VLOOKUP(C262,Master!$J:$K,2,0),"")</f>
        <v/>
      </c>
      <c r="D262" s="4" t="str">
        <f>IFERROR(VLOOKUP(E262,Master!$J:$K,2,0),"")</f>
        <v/>
      </c>
      <c r="F262" s="4" t="str">
        <f>IFERROR(VLOOKUP(G262,Master!B:C,2,0),"")</f>
        <v/>
      </c>
      <c r="I262" s="3" t="str">
        <f>IFERROR(VLOOKUP(E262,Master!$J:$M,4,0),"")</f>
        <v/>
      </c>
      <c r="J262" s="3" t="str">
        <f>IFERROR(VLOOKUP($E262,Master!$J:$M,3,0),"")</f>
        <v/>
      </c>
      <c r="AC262" s="26">
        <f t="shared" si="8"/>
        <v>0</v>
      </c>
      <c r="AD262" s="26">
        <f t="shared" si="9"/>
        <v>0</v>
      </c>
    </row>
    <row r="263" spans="2:30" ht="15" customHeight="1">
      <c r="B263" s="3" t="str">
        <f>IFERROR(VLOOKUP(C263,Master!$J:$K,2,0),"")</f>
        <v/>
      </c>
      <c r="D263" s="4" t="str">
        <f>IFERROR(VLOOKUP(E263,Master!$J:$K,2,0),"")</f>
        <v/>
      </c>
      <c r="F263" s="4" t="str">
        <f>IFERROR(VLOOKUP(G263,Master!B:C,2,0),"")</f>
        <v/>
      </c>
      <c r="I263" s="3" t="str">
        <f>IFERROR(VLOOKUP(E263,Master!$J:$M,4,0),"")</f>
        <v/>
      </c>
      <c r="J263" s="3" t="str">
        <f>IFERROR(VLOOKUP($E263,Master!$J:$M,3,0),"")</f>
        <v/>
      </c>
      <c r="AC263" s="26">
        <f t="shared" si="8"/>
        <v>0</v>
      </c>
      <c r="AD263" s="26">
        <f t="shared" si="9"/>
        <v>0</v>
      </c>
    </row>
    <row r="264" spans="2:30" ht="15" customHeight="1">
      <c r="B264" s="3" t="str">
        <f>IFERROR(VLOOKUP(C264,Master!$J:$K,2,0),"")</f>
        <v/>
      </c>
      <c r="D264" s="4" t="str">
        <f>IFERROR(VLOOKUP(E264,Master!$J:$K,2,0),"")</f>
        <v/>
      </c>
      <c r="F264" s="4" t="str">
        <f>IFERROR(VLOOKUP(G264,Master!B:C,2,0),"")</f>
        <v/>
      </c>
      <c r="I264" s="3" t="str">
        <f>IFERROR(VLOOKUP(E264,Master!$J:$M,4,0),"")</f>
        <v/>
      </c>
      <c r="J264" s="3" t="str">
        <f>IFERROR(VLOOKUP($E264,Master!$J:$M,3,0),"")</f>
        <v/>
      </c>
      <c r="AC264" s="26">
        <f t="shared" si="8"/>
        <v>0</v>
      </c>
      <c r="AD264" s="26">
        <f t="shared" si="9"/>
        <v>0</v>
      </c>
    </row>
    <row r="265" spans="2:30" ht="15" customHeight="1">
      <c r="B265" s="3" t="str">
        <f>IFERROR(VLOOKUP(C265,Master!$J:$K,2,0),"")</f>
        <v/>
      </c>
      <c r="D265" s="4" t="str">
        <f>IFERROR(VLOOKUP(E265,Master!$J:$K,2,0),"")</f>
        <v/>
      </c>
      <c r="F265" s="4" t="str">
        <f>IFERROR(VLOOKUP(G265,Master!B:C,2,0),"")</f>
        <v/>
      </c>
      <c r="I265" s="3" t="str">
        <f>IFERROR(VLOOKUP(E265,Master!$J:$M,4,0),"")</f>
        <v/>
      </c>
      <c r="J265" s="3" t="str">
        <f>IFERROR(VLOOKUP($E265,Master!$J:$M,3,0),"")</f>
        <v/>
      </c>
      <c r="AC265" s="26">
        <f t="shared" si="8"/>
        <v>0</v>
      </c>
      <c r="AD265" s="26">
        <f t="shared" si="9"/>
        <v>0</v>
      </c>
    </row>
    <row r="266" spans="2:30" ht="15" customHeight="1">
      <c r="B266" s="3" t="str">
        <f>IFERROR(VLOOKUP(C266,Master!$J:$K,2,0),"")</f>
        <v/>
      </c>
      <c r="D266" s="4" t="str">
        <f>IFERROR(VLOOKUP(E266,Master!$J:$K,2,0),"")</f>
        <v/>
      </c>
      <c r="F266" s="4" t="str">
        <f>IFERROR(VLOOKUP(G266,Master!B:C,2,0),"")</f>
        <v/>
      </c>
      <c r="I266" s="3" t="str">
        <f>IFERROR(VLOOKUP(E266,Master!$J:$M,4,0),"")</f>
        <v/>
      </c>
      <c r="J266" s="3" t="str">
        <f>IFERROR(VLOOKUP($E266,Master!$J:$M,3,0),"")</f>
        <v/>
      </c>
      <c r="AC266" s="26">
        <f t="shared" si="8"/>
        <v>0</v>
      </c>
      <c r="AD266" s="26">
        <f t="shared" si="9"/>
        <v>0</v>
      </c>
    </row>
    <row r="267" spans="2:30" ht="15" customHeight="1">
      <c r="B267" s="3" t="str">
        <f>IFERROR(VLOOKUP(C267,Master!$J:$K,2,0),"")</f>
        <v/>
      </c>
      <c r="D267" s="4" t="str">
        <f>IFERROR(VLOOKUP(E267,Master!$J:$K,2,0),"")</f>
        <v/>
      </c>
      <c r="F267" s="4" t="str">
        <f>IFERROR(VLOOKUP(G267,Master!B:C,2,0),"")</f>
        <v/>
      </c>
      <c r="I267" s="3" t="str">
        <f>IFERROR(VLOOKUP(E267,Master!$J:$M,4,0),"")</f>
        <v/>
      </c>
      <c r="J267" s="3" t="str">
        <f>IFERROR(VLOOKUP($E267,Master!$J:$M,3,0),"")</f>
        <v/>
      </c>
      <c r="AC267" s="26">
        <f t="shared" si="8"/>
        <v>0</v>
      </c>
      <c r="AD267" s="26">
        <f t="shared" si="9"/>
        <v>0</v>
      </c>
    </row>
    <row r="268" spans="2:30" ht="15" customHeight="1">
      <c r="B268" s="3" t="str">
        <f>IFERROR(VLOOKUP(C268,Master!$J:$K,2,0),"")</f>
        <v/>
      </c>
      <c r="D268" s="4" t="str">
        <f>IFERROR(VLOOKUP(E268,Master!$J:$K,2,0),"")</f>
        <v/>
      </c>
      <c r="F268" s="4" t="str">
        <f>IFERROR(VLOOKUP(G268,Master!B:C,2,0),"")</f>
        <v/>
      </c>
      <c r="I268" s="3" t="str">
        <f>IFERROR(VLOOKUP(E268,Master!$J:$M,4,0),"")</f>
        <v/>
      </c>
      <c r="J268" s="3" t="str">
        <f>IFERROR(VLOOKUP($E268,Master!$J:$M,3,0),"")</f>
        <v/>
      </c>
      <c r="AC268" s="26">
        <f t="shared" si="8"/>
        <v>0</v>
      </c>
      <c r="AD268" s="26">
        <f t="shared" si="9"/>
        <v>0</v>
      </c>
    </row>
    <row r="269" spans="2:30" ht="15" customHeight="1">
      <c r="B269" s="3" t="str">
        <f>IFERROR(VLOOKUP(C269,Master!$J:$K,2,0),"")</f>
        <v/>
      </c>
      <c r="D269" s="4" t="str">
        <f>IFERROR(VLOOKUP(E269,Master!$J:$K,2,0),"")</f>
        <v/>
      </c>
      <c r="F269" s="4" t="str">
        <f>IFERROR(VLOOKUP(G269,Master!B:C,2,0),"")</f>
        <v/>
      </c>
      <c r="I269" s="3" t="str">
        <f>IFERROR(VLOOKUP(E269,Master!$J:$M,4,0),"")</f>
        <v/>
      </c>
      <c r="J269" s="3" t="str">
        <f>IFERROR(VLOOKUP($E269,Master!$J:$M,3,0),"")</f>
        <v/>
      </c>
      <c r="AC269" s="26">
        <f t="shared" si="8"/>
        <v>0</v>
      </c>
      <c r="AD269" s="26">
        <f t="shared" si="9"/>
        <v>0</v>
      </c>
    </row>
    <row r="270" spans="2:30" ht="15" customHeight="1">
      <c r="B270" s="3" t="str">
        <f>IFERROR(VLOOKUP(C270,Master!$J:$K,2,0),"")</f>
        <v/>
      </c>
      <c r="D270" s="4" t="str">
        <f>IFERROR(VLOOKUP(E270,Master!$J:$K,2,0),"")</f>
        <v/>
      </c>
      <c r="F270" s="4" t="str">
        <f>IFERROR(VLOOKUP(G270,Master!B:C,2,0),"")</f>
        <v/>
      </c>
      <c r="I270" s="3" t="str">
        <f>IFERROR(VLOOKUP(E270,Master!$J:$M,4,0),"")</f>
        <v/>
      </c>
      <c r="J270" s="3" t="str">
        <f>IFERROR(VLOOKUP($E270,Master!$J:$M,3,0),"")</f>
        <v/>
      </c>
      <c r="AC270" s="26">
        <f t="shared" si="8"/>
        <v>0</v>
      </c>
      <c r="AD270" s="26">
        <f t="shared" si="9"/>
        <v>0</v>
      </c>
    </row>
    <row r="271" spans="2:30" ht="15" customHeight="1">
      <c r="B271" s="3" t="str">
        <f>IFERROR(VLOOKUP(C271,Master!$J:$K,2,0),"")</f>
        <v/>
      </c>
      <c r="D271" s="4" t="str">
        <f>IFERROR(VLOOKUP(E271,Master!$J:$K,2,0),"")</f>
        <v/>
      </c>
      <c r="F271" s="4" t="str">
        <f>IFERROR(VLOOKUP(G271,Master!B:C,2,0),"")</f>
        <v/>
      </c>
      <c r="I271" s="3" t="str">
        <f>IFERROR(VLOOKUP(E271,Master!$J:$M,4,0),"")</f>
        <v/>
      </c>
      <c r="J271" s="3" t="str">
        <f>IFERROR(VLOOKUP($E271,Master!$J:$M,3,0),"")</f>
        <v/>
      </c>
      <c r="AC271" s="26">
        <f t="shared" si="8"/>
        <v>0</v>
      </c>
      <c r="AD271" s="26">
        <f t="shared" si="9"/>
        <v>0</v>
      </c>
    </row>
    <row r="272" spans="2:30" ht="15" customHeight="1">
      <c r="B272" s="3" t="str">
        <f>IFERROR(VLOOKUP(C272,Master!$J:$K,2,0),"")</f>
        <v/>
      </c>
      <c r="D272" s="4" t="str">
        <f>IFERROR(VLOOKUP(E272,Master!$J:$K,2,0),"")</f>
        <v/>
      </c>
      <c r="F272" s="4" t="str">
        <f>IFERROR(VLOOKUP(G272,Master!B:C,2,0),"")</f>
        <v/>
      </c>
      <c r="I272" s="3" t="str">
        <f>IFERROR(VLOOKUP(E272,Master!$J:$M,4,0),"")</f>
        <v/>
      </c>
      <c r="J272" s="3" t="str">
        <f>IFERROR(VLOOKUP($E272,Master!$J:$M,3,0),"")</f>
        <v/>
      </c>
      <c r="AC272" s="26">
        <f t="shared" si="8"/>
        <v>0</v>
      </c>
      <c r="AD272" s="26">
        <f t="shared" si="9"/>
        <v>0</v>
      </c>
    </row>
    <row r="273" spans="2:30" ht="15" customHeight="1">
      <c r="B273" s="3" t="str">
        <f>IFERROR(VLOOKUP(C273,Master!$J:$K,2,0),"")</f>
        <v/>
      </c>
      <c r="D273" s="4" t="str">
        <f>IFERROR(VLOOKUP(E273,Master!$J:$K,2,0),"")</f>
        <v/>
      </c>
      <c r="F273" s="4" t="str">
        <f>IFERROR(VLOOKUP(G273,Master!B:C,2,0),"")</f>
        <v/>
      </c>
      <c r="I273" s="3" t="str">
        <f>IFERROR(VLOOKUP(E273,Master!$J:$M,4,0),"")</f>
        <v/>
      </c>
      <c r="J273" s="3" t="str">
        <f>IFERROR(VLOOKUP($E273,Master!$J:$M,3,0),"")</f>
        <v/>
      </c>
      <c r="AC273" s="26">
        <f t="shared" si="8"/>
        <v>0</v>
      </c>
      <c r="AD273" s="26">
        <f t="shared" si="9"/>
        <v>0</v>
      </c>
    </row>
    <row r="274" spans="2:30" ht="15" customHeight="1">
      <c r="B274" s="3" t="str">
        <f>IFERROR(VLOOKUP(C274,Master!$J:$K,2,0),"")</f>
        <v/>
      </c>
      <c r="D274" s="4" t="str">
        <f>IFERROR(VLOOKUP(E274,Master!$J:$K,2,0),"")</f>
        <v/>
      </c>
      <c r="F274" s="4" t="str">
        <f>IFERROR(VLOOKUP(G274,Master!B:C,2,0),"")</f>
        <v/>
      </c>
      <c r="I274" s="3" t="str">
        <f>IFERROR(VLOOKUP(E274,Master!$J:$M,4,0),"")</f>
        <v/>
      </c>
      <c r="J274" s="3" t="str">
        <f>IFERROR(VLOOKUP($E274,Master!$J:$M,3,0),"")</f>
        <v/>
      </c>
      <c r="AC274" s="26">
        <f t="shared" si="8"/>
        <v>0</v>
      </c>
      <c r="AD274" s="26">
        <f t="shared" si="9"/>
        <v>0</v>
      </c>
    </row>
    <row r="275" spans="2:30" ht="15" customHeight="1">
      <c r="B275" s="3" t="str">
        <f>IFERROR(VLOOKUP(C275,Master!$J:$K,2,0),"")</f>
        <v/>
      </c>
      <c r="D275" s="4" t="str">
        <f>IFERROR(VLOOKUP(E275,Master!$J:$K,2,0),"")</f>
        <v/>
      </c>
      <c r="F275" s="4" t="str">
        <f>IFERROR(VLOOKUP(G275,Master!B:C,2,0),"")</f>
        <v/>
      </c>
      <c r="I275" s="3" t="str">
        <f>IFERROR(VLOOKUP(E275,Master!$J:$M,4,0),"")</f>
        <v/>
      </c>
      <c r="J275" s="3" t="str">
        <f>IFERROR(VLOOKUP($E275,Master!$J:$M,3,0),"")</f>
        <v/>
      </c>
      <c r="AC275" s="26">
        <f t="shared" si="8"/>
        <v>0</v>
      </c>
      <c r="AD275" s="26">
        <f t="shared" si="9"/>
        <v>0</v>
      </c>
    </row>
    <row r="276" spans="2:30" ht="15" customHeight="1">
      <c r="B276" s="3" t="str">
        <f>IFERROR(VLOOKUP(C276,Master!$J:$K,2,0),"")</f>
        <v/>
      </c>
      <c r="D276" s="4" t="str">
        <f>IFERROR(VLOOKUP(E276,Master!$J:$K,2,0),"")</f>
        <v/>
      </c>
      <c r="F276" s="4" t="str">
        <f>IFERROR(VLOOKUP(G276,Master!B:C,2,0),"")</f>
        <v/>
      </c>
      <c r="I276" s="3" t="str">
        <f>IFERROR(VLOOKUP(E276,Master!$J:$M,4,0),"")</f>
        <v/>
      </c>
      <c r="J276" s="3" t="str">
        <f>IFERROR(VLOOKUP($E276,Master!$J:$M,3,0),"")</f>
        <v/>
      </c>
      <c r="AC276" s="26">
        <f t="shared" si="8"/>
        <v>0</v>
      </c>
      <c r="AD276" s="26">
        <f t="shared" si="9"/>
        <v>0</v>
      </c>
    </row>
    <row r="277" spans="2:30" ht="15" customHeight="1">
      <c r="B277" s="3" t="str">
        <f>IFERROR(VLOOKUP(C277,Master!$J:$K,2,0),"")</f>
        <v/>
      </c>
      <c r="D277" s="4" t="str">
        <f>IFERROR(VLOOKUP(E277,Master!$J:$K,2,0),"")</f>
        <v/>
      </c>
      <c r="F277" s="4" t="str">
        <f>IFERROR(VLOOKUP(G277,Master!B:C,2,0),"")</f>
        <v/>
      </c>
      <c r="I277" s="3" t="str">
        <f>IFERROR(VLOOKUP(E277,Master!$J:$M,4,0),"")</f>
        <v/>
      </c>
      <c r="J277" s="3" t="str">
        <f>IFERROR(VLOOKUP($E277,Master!$J:$M,3,0),"")</f>
        <v/>
      </c>
      <c r="AC277" s="26">
        <f t="shared" si="8"/>
        <v>0</v>
      </c>
      <c r="AD277" s="26">
        <f t="shared" si="9"/>
        <v>0</v>
      </c>
    </row>
    <row r="278" spans="2:30" ht="15" customHeight="1">
      <c r="B278" s="3" t="str">
        <f>IFERROR(VLOOKUP(C278,Master!$J:$K,2,0),"")</f>
        <v/>
      </c>
      <c r="D278" s="4" t="str">
        <f>IFERROR(VLOOKUP(E278,Master!$J:$K,2,0),"")</f>
        <v/>
      </c>
      <c r="F278" s="4" t="str">
        <f>IFERROR(VLOOKUP(G278,Master!B:C,2,0),"")</f>
        <v/>
      </c>
      <c r="I278" s="3" t="str">
        <f>IFERROR(VLOOKUP(E278,Master!$J:$M,4,0),"")</f>
        <v/>
      </c>
      <c r="J278" s="3" t="str">
        <f>IFERROR(VLOOKUP($E278,Master!$J:$M,3,0),"")</f>
        <v/>
      </c>
      <c r="AC278" s="26">
        <f t="shared" si="8"/>
        <v>0</v>
      </c>
      <c r="AD278" s="26">
        <f t="shared" si="9"/>
        <v>0</v>
      </c>
    </row>
    <row r="279" spans="2:30" ht="15" customHeight="1">
      <c r="B279" s="3" t="str">
        <f>IFERROR(VLOOKUP(C279,Master!$J:$K,2,0),"")</f>
        <v/>
      </c>
      <c r="D279" s="4" t="str">
        <f>IFERROR(VLOOKUP(E279,Master!$J:$K,2,0),"")</f>
        <v/>
      </c>
      <c r="F279" s="4" t="str">
        <f>IFERROR(VLOOKUP(G279,Master!B:C,2,0),"")</f>
        <v/>
      </c>
      <c r="I279" s="3" t="str">
        <f>IFERROR(VLOOKUP(E279,Master!$J:$M,4,0),"")</f>
        <v/>
      </c>
      <c r="J279" s="3" t="str">
        <f>IFERROR(VLOOKUP($E279,Master!$J:$M,3,0),"")</f>
        <v/>
      </c>
      <c r="AC279" s="26">
        <f t="shared" si="8"/>
        <v>0</v>
      </c>
      <c r="AD279" s="26">
        <f t="shared" si="9"/>
        <v>0</v>
      </c>
    </row>
    <row r="280" spans="2:30" ht="15" customHeight="1">
      <c r="B280" s="3" t="str">
        <f>IFERROR(VLOOKUP(C280,Master!$J:$K,2,0),"")</f>
        <v/>
      </c>
      <c r="D280" s="4" t="str">
        <f>IFERROR(VLOOKUP(E280,Master!$J:$K,2,0),"")</f>
        <v/>
      </c>
      <c r="F280" s="4" t="str">
        <f>IFERROR(VLOOKUP(G280,Master!B:C,2,0),"")</f>
        <v/>
      </c>
      <c r="I280" s="3" t="str">
        <f>IFERROR(VLOOKUP(E280,Master!$J:$M,4,0),"")</f>
        <v/>
      </c>
      <c r="J280" s="3" t="str">
        <f>IFERROR(VLOOKUP($E280,Master!$J:$M,3,0),"")</f>
        <v/>
      </c>
      <c r="AC280" s="26">
        <f t="shared" si="8"/>
        <v>0</v>
      </c>
      <c r="AD280" s="26">
        <f t="shared" si="9"/>
        <v>0</v>
      </c>
    </row>
    <row r="281" spans="2:30" ht="15" customHeight="1">
      <c r="B281" s="3" t="str">
        <f>IFERROR(VLOOKUP(C281,Master!$J:$K,2,0),"")</f>
        <v/>
      </c>
      <c r="D281" s="4" t="str">
        <f>IFERROR(VLOOKUP(E281,Master!$J:$K,2,0),"")</f>
        <v/>
      </c>
      <c r="F281" s="4" t="str">
        <f>IFERROR(VLOOKUP(G281,Master!B:C,2,0),"")</f>
        <v/>
      </c>
      <c r="I281" s="3" t="str">
        <f>IFERROR(VLOOKUP(E281,Master!$J:$M,4,0),"")</f>
        <v/>
      </c>
      <c r="J281" s="3" t="str">
        <f>IFERROR(VLOOKUP($E281,Master!$J:$M,3,0),"")</f>
        <v/>
      </c>
      <c r="AC281" s="26">
        <f t="shared" si="8"/>
        <v>0</v>
      </c>
      <c r="AD281" s="26">
        <f t="shared" si="9"/>
        <v>0</v>
      </c>
    </row>
    <row r="282" spans="2:30" ht="15" customHeight="1">
      <c r="B282" s="3" t="str">
        <f>IFERROR(VLOOKUP(C282,Master!$J:$K,2,0),"")</f>
        <v/>
      </c>
      <c r="D282" s="4" t="str">
        <f>IFERROR(VLOOKUP(E282,Master!$J:$K,2,0),"")</f>
        <v/>
      </c>
      <c r="F282" s="4" t="str">
        <f>IFERROR(VLOOKUP(G282,Master!B:C,2,0),"")</f>
        <v/>
      </c>
      <c r="I282" s="3" t="str">
        <f>IFERROR(VLOOKUP(E282,Master!$J:$M,4,0),"")</f>
        <v/>
      </c>
      <c r="J282" s="3" t="str">
        <f>IFERROR(VLOOKUP($E282,Master!$J:$M,3,0),"")</f>
        <v/>
      </c>
      <c r="AC282" s="26">
        <f t="shared" si="8"/>
        <v>0</v>
      </c>
      <c r="AD282" s="26">
        <f t="shared" si="9"/>
        <v>0</v>
      </c>
    </row>
    <row r="283" spans="2:30" ht="15" customHeight="1">
      <c r="B283" s="3" t="str">
        <f>IFERROR(VLOOKUP(C283,Master!$J:$K,2,0),"")</f>
        <v/>
      </c>
      <c r="D283" s="4" t="str">
        <f>IFERROR(VLOOKUP(E283,Master!$J:$K,2,0),"")</f>
        <v/>
      </c>
      <c r="F283" s="4" t="str">
        <f>IFERROR(VLOOKUP(G283,Master!B:C,2,0),"")</f>
        <v/>
      </c>
      <c r="I283" s="3" t="str">
        <f>IFERROR(VLOOKUP(E283,Master!$J:$M,4,0),"")</f>
        <v/>
      </c>
      <c r="J283" s="3" t="str">
        <f>IFERROR(VLOOKUP($E283,Master!$J:$M,3,0),"")</f>
        <v/>
      </c>
      <c r="AC283" s="26">
        <f t="shared" si="8"/>
        <v>0</v>
      </c>
      <c r="AD283" s="26">
        <f t="shared" si="9"/>
        <v>0</v>
      </c>
    </row>
    <row r="284" spans="2:30" ht="15" customHeight="1">
      <c r="B284" s="3" t="str">
        <f>IFERROR(VLOOKUP(C284,Master!$J:$K,2,0),"")</f>
        <v/>
      </c>
      <c r="D284" s="4" t="str">
        <f>IFERROR(VLOOKUP(E284,Master!$J:$K,2,0),"")</f>
        <v/>
      </c>
      <c r="F284" s="4" t="str">
        <f>IFERROR(VLOOKUP(G284,Master!B:C,2,0),"")</f>
        <v/>
      </c>
      <c r="I284" s="3" t="str">
        <f>IFERROR(VLOOKUP(E284,Master!$J:$M,4,0),"")</f>
        <v/>
      </c>
      <c r="J284" s="3" t="str">
        <f>IFERROR(VLOOKUP($E284,Master!$J:$M,3,0),"")</f>
        <v/>
      </c>
      <c r="AC284" s="26">
        <f t="shared" si="8"/>
        <v>0</v>
      </c>
      <c r="AD284" s="26">
        <f t="shared" si="9"/>
        <v>0</v>
      </c>
    </row>
    <row r="285" spans="2:30" ht="15" customHeight="1">
      <c r="B285" s="3" t="str">
        <f>IFERROR(VLOOKUP(C285,Master!$J:$K,2,0),"")</f>
        <v/>
      </c>
      <c r="D285" s="4" t="str">
        <f>IFERROR(VLOOKUP(E285,Master!$J:$K,2,0),"")</f>
        <v/>
      </c>
      <c r="F285" s="4" t="str">
        <f>IFERROR(VLOOKUP(G285,Master!B:C,2,0),"")</f>
        <v/>
      </c>
      <c r="I285" s="3" t="str">
        <f>IFERROR(VLOOKUP(E285,Master!$J:$M,4,0),"")</f>
        <v/>
      </c>
      <c r="J285" s="3" t="str">
        <f>IFERROR(VLOOKUP($E285,Master!$J:$M,3,0),"")</f>
        <v/>
      </c>
      <c r="AC285" s="26">
        <f t="shared" si="8"/>
        <v>0</v>
      </c>
      <c r="AD285" s="26">
        <f t="shared" si="9"/>
        <v>0</v>
      </c>
    </row>
    <row r="286" spans="2:30" ht="15" customHeight="1">
      <c r="B286" s="3" t="str">
        <f>IFERROR(VLOOKUP(C286,Master!$J:$K,2,0),"")</f>
        <v/>
      </c>
      <c r="D286" s="4" t="str">
        <f>IFERROR(VLOOKUP(E286,Master!$J:$K,2,0),"")</f>
        <v/>
      </c>
      <c r="F286" s="4" t="str">
        <f>IFERROR(VLOOKUP(G286,Master!B:C,2,0),"")</f>
        <v/>
      </c>
      <c r="I286" s="3" t="str">
        <f>IFERROR(VLOOKUP(E286,Master!$J:$M,4,0),"")</f>
        <v/>
      </c>
      <c r="J286" s="3" t="str">
        <f>IFERROR(VLOOKUP($E286,Master!$J:$M,3,0),"")</f>
        <v/>
      </c>
      <c r="AC286" s="26">
        <f t="shared" si="8"/>
        <v>0</v>
      </c>
      <c r="AD286" s="26">
        <f t="shared" si="9"/>
        <v>0</v>
      </c>
    </row>
    <row r="287" spans="2:30" ht="15" customHeight="1">
      <c r="B287" s="3" t="str">
        <f>IFERROR(VLOOKUP(C287,Master!$J:$K,2,0),"")</f>
        <v/>
      </c>
      <c r="D287" s="4" t="str">
        <f>IFERROR(VLOOKUP(E287,Master!$J:$K,2,0),"")</f>
        <v/>
      </c>
      <c r="F287" s="4" t="str">
        <f>IFERROR(VLOOKUP(G287,Master!B:C,2,0),"")</f>
        <v/>
      </c>
      <c r="I287" s="3" t="str">
        <f>IFERROR(VLOOKUP(E287,Master!$J:$M,4,0),"")</f>
        <v/>
      </c>
      <c r="J287" s="3" t="str">
        <f>IFERROR(VLOOKUP($E287,Master!$J:$M,3,0),"")</f>
        <v/>
      </c>
      <c r="AC287" s="26">
        <f t="shared" si="8"/>
        <v>0</v>
      </c>
      <c r="AD287" s="26">
        <f t="shared" si="9"/>
        <v>0</v>
      </c>
    </row>
    <row r="288" spans="2:30" ht="15" customHeight="1">
      <c r="B288" s="3" t="str">
        <f>IFERROR(VLOOKUP(C288,Master!$J:$K,2,0),"")</f>
        <v/>
      </c>
      <c r="D288" s="4" t="str">
        <f>IFERROR(VLOOKUP(E288,Master!$J:$K,2,0),"")</f>
        <v/>
      </c>
      <c r="F288" s="4" t="str">
        <f>IFERROR(VLOOKUP(G288,Master!B:C,2,0),"")</f>
        <v/>
      </c>
      <c r="I288" s="3" t="str">
        <f>IFERROR(VLOOKUP(E288,Master!$J:$M,4,0),"")</f>
        <v/>
      </c>
      <c r="J288" s="3" t="str">
        <f>IFERROR(VLOOKUP($E288,Master!$J:$M,3,0),"")</f>
        <v/>
      </c>
      <c r="AC288" s="26">
        <f t="shared" si="8"/>
        <v>0</v>
      </c>
      <c r="AD288" s="26">
        <f t="shared" si="9"/>
        <v>0</v>
      </c>
    </row>
    <row r="289" spans="2:30" ht="15" customHeight="1">
      <c r="B289" s="3" t="str">
        <f>IFERROR(VLOOKUP(C289,Master!$J:$K,2,0),"")</f>
        <v/>
      </c>
      <c r="D289" s="4" t="str">
        <f>IFERROR(VLOOKUP(E289,Master!$J:$K,2,0),"")</f>
        <v/>
      </c>
      <c r="F289" s="4" t="str">
        <f>IFERROR(VLOOKUP(G289,Master!B:C,2,0),"")</f>
        <v/>
      </c>
      <c r="I289" s="3" t="str">
        <f>IFERROR(VLOOKUP(E289,Master!$J:$M,4,0),"")</f>
        <v/>
      </c>
      <c r="J289" s="3" t="str">
        <f>IFERROR(VLOOKUP($E289,Master!$J:$M,3,0),"")</f>
        <v/>
      </c>
      <c r="AC289" s="26">
        <f t="shared" si="8"/>
        <v>0</v>
      </c>
      <c r="AD289" s="26">
        <f t="shared" si="9"/>
        <v>0</v>
      </c>
    </row>
    <row r="290" spans="2:30" ht="15" customHeight="1">
      <c r="B290" s="3" t="str">
        <f>IFERROR(VLOOKUP(C290,Master!$J:$K,2,0),"")</f>
        <v/>
      </c>
      <c r="D290" s="4" t="str">
        <f>IFERROR(VLOOKUP(E290,Master!$J:$K,2,0),"")</f>
        <v/>
      </c>
      <c r="F290" s="4" t="str">
        <f>IFERROR(VLOOKUP(G290,Master!B:C,2,0),"")</f>
        <v/>
      </c>
      <c r="I290" s="3" t="str">
        <f>IFERROR(VLOOKUP(E290,Master!$J:$M,4,0),"")</f>
        <v/>
      </c>
      <c r="J290" s="3" t="str">
        <f>IFERROR(VLOOKUP($E290,Master!$J:$M,3,0),"")</f>
        <v/>
      </c>
      <c r="AC290" s="26">
        <f t="shared" si="8"/>
        <v>0</v>
      </c>
      <c r="AD290" s="26">
        <f t="shared" si="9"/>
        <v>0</v>
      </c>
    </row>
    <row r="291" spans="2:30" ht="15" customHeight="1">
      <c r="B291" s="3" t="str">
        <f>IFERROR(VLOOKUP(C291,Master!$J:$K,2,0),"")</f>
        <v/>
      </c>
      <c r="D291" s="4" t="str">
        <f>IFERROR(VLOOKUP(E291,Master!$J:$K,2,0),"")</f>
        <v/>
      </c>
      <c r="F291" s="4" t="str">
        <f>IFERROR(VLOOKUP(G291,Master!B:C,2,0),"")</f>
        <v/>
      </c>
      <c r="I291" s="3" t="str">
        <f>IFERROR(VLOOKUP(E291,Master!$J:$M,4,0),"")</f>
        <v/>
      </c>
      <c r="J291" s="3" t="str">
        <f>IFERROR(VLOOKUP($E291,Master!$J:$M,3,0),"")</f>
        <v/>
      </c>
      <c r="AC291" s="26">
        <f t="shared" si="8"/>
        <v>0</v>
      </c>
      <c r="AD291" s="26">
        <f t="shared" si="9"/>
        <v>0</v>
      </c>
    </row>
    <row r="292" spans="2:30" ht="15" customHeight="1">
      <c r="B292" s="3" t="str">
        <f>IFERROR(VLOOKUP(C292,Master!$J:$K,2,0),"")</f>
        <v/>
      </c>
      <c r="D292" s="4" t="str">
        <f>IFERROR(VLOOKUP(E292,Master!$J:$K,2,0),"")</f>
        <v/>
      </c>
      <c r="F292" s="4" t="str">
        <f>IFERROR(VLOOKUP(G292,Master!B:C,2,0),"")</f>
        <v/>
      </c>
      <c r="I292" s="3" t="str">
        <f>IFERROR(VLOOKUP(E292,Master!$J:$M,4,0),"")</f>
        <v/>
      </c>
      <c r="J292" s="3" t="str">
        <f>IFERROR(VLOOKUP($E292,Master!$J:$M,3,0),"")</f>
        <v/>
      </c>
      <c r="AC292" s="26">
        <f t="shared" si="8"/>
        <v>0</v>
      </c>
      <c r="AD292" s="26">
        <f t="shared" si="9"/>
        <v>0</v>
      </c>
    </row>
    <row r="293" spans="2:30" ht="15" customHeight="1">
      <c r="B293" s="3" t="str">
        <f>IFERROR(VLOOKUP(C293,Master!$J:$K,2,0),"")</f>
        <v/>
      </c>
      <c r="D293" s="4" t="str">
        <f>IFERROR(VLOOKUP(E293,Master!$J:$K,2,0),"")</f>
        <v/>
      </c>
      <c r="F293" s="4" t="str">
        <f>IFERROR(VLOOKUP(G293,Master!B:C,2,0),"")</f>
        <v/>
      </c>
      <c r="I293" s="3" t="str">
        <f>IFERROR(VLOOKUP(E293,Master!$J:$M,4,0),"")</f>
        <v/>
      </c>
      <c r="J293" s="3" t="str">
        <f>IFERROR(VLOOKUP($E293,Master!$J:$M,3,0),"")</f>
        <v/>
      </c>
      <c r="AC293" s="26">
        <f t="shared" si="8"/>
        <v>0</v>
      </c>
      <c r="AD293" s="26">
        <f t="shared" si="9"/>
        <v>0</v>
      </c>
    </row>
    <row r="294" spans="2:30" ht="15" customHeight="1">
      <c r="B294" s="3" t="str">
        <f>IFERROR(VLOOKUP(C294,Master!$J:$K,2,0),"")</f>
        <v/>
      </c>
      <c r="D294" s="4" t="str">
        <f>IFERROR(VLOOKUP(E294,Master!$J:$K,2,0),"")</f>
        <v/>
      </c>
      <c r="F294" s="4" t="str">
        <f>IFERROR(VLOOKUP(G294,Master!B:C,2,0),"")</f>
        <v/>
      </c>
      <c r="I294" s="3" t="str">
        <f>IFERROR(VLOOKUP(E294,Master!$J:$M,4,0),"")</f>
        <v/>
      </c>
      <c r="J294" s="3" t="str">
        <f>IFERROR(VLOOKUP($E294,Master!$J:$M,3,0),"")</f>
        <v/>
      </c>
      <c r="AC294" s="26">
        <f t="shared" si="8"/>
        <v>0</v>
      </c>
      <c r="AD294" s="26">
        <f t="shared" si="9"/>
        <v>0</v>
      </c>
    </row>
    <row r="295" spans="2:30" ht="15" customHeight="1">
      <c r="B295" s="3" t="str">
        <f>IFERROR(VLOOKUP(C295,Master!$J:$K,2,0),"")</f>
        <v/>
      </c>
      <c r="D295" s="4" t="str">
        <f>IFERROR(VLOOKUP(E295,Master!$J:$K,2,0),"")</f>
        <v/>
      </c>
      <c r="F295" s="4" t="str">
        <f>IFERROR(VLOOKUP(G295,Master!B:C,2,0),"")</f>
        <v/>
      </c>
      <c r="I295" s="3" t="str">
        <f>IFERROR(VLOOKUP(E295,Master!$J:$M,4,0),"")</f>
        <v/>
      </c>
      <c r="J295" s="3" t="str">
        <f>IFERROR(VLOOKUP($E295,Master!$J:$M,3,0),"")</f>
        <v/>
      </c>
      <c r="AC295" s="26">
        <f t="shared" si="8"/>
        <v>0</v>
      </c>
      <c r="AD295" s="26">
        <f t="shared" si="9"/>
        <v>0</v>
      </c>
    </row>
    <row r="296" spans="2:30" ht="15" customHeight="1">
      <c r="B296" s="3" t="str">
        <f>IFERROR(VLOOKUP(C296,Master!$J:$K,2,0),"")</f>
        <v/>
      </c>
      <c r="D296" s="4" t="str">
        <f>IFERROR(VLOOKUP(E296,Master!$J:$K,2,0),"")</f>
        <v/>
      </c>
      <c r="F296" s="4" t="str">
        <f>IFERROR(VLOOKUP(G296,Master!B:C,2,0),"")</f>
        <v/>
      </c>
      <c r="I296" s="3" t="str">
        <f>IFERROR(VLOOKUP(E296,Master!$J:$M,4,0),"")</f>
        <v/>
      </c>
      <c r="J296" s="3" t="str">
        <f>IFERROR(VLOOKUP($E296,Master!$J:$M,3,0),"")</f>
        <v/>
      </c>
      <c r="AC296" s="26">
        <f t="shared" si="8"/>
        <v>0</v>
      </c>
      <c r="AD296" s="26">
        <f t="shared" si="9"/>
        <v>0</v>
      </c>
    </row>
    <row r="297" spans="2:30" ht="15" customHeight="1">
      <c r="B297" s="3" t="str">
        <f>IFERROR(VLOOKUP(C297,Master!$J:$K,2,0),"")</f>
        <v/>
      </c>
      <c r="D297" s="4" t="str">
        <f>IFERROR(VLOOKUP(E297,Master!$J:$K,2,0),"")</f>
        <v/>
      </c>
      <c r="F297" s="4" t="str">
        <f>IFERROR(VLOOKUP(G297,Master!B:C,2,0),"")</f>
        <v/>
      </c>
      <c r="I297" s="3" t="str">
        <f>IFERROR(VLOOKUP(E297,Master!$J:$M,4,0),"")</f>
        <v/>
      </c>
      <c r="J297" s="3" t="str">
        <f>IFERROR(VLOOKUP($E297,Master!$J:$M,3,0),"")</f>
        <v/>
      </c>
      <c r="AC297" s="26">
        <f t="shared" si="8"/>
        <v>0</v>
      </c>
      <c r="AD297" s="26">
        <f t="shared" si="9"/>
        <v>0</v>
      </c>
    </row>
    <row r="298" spans="2:30" ht="15" customHeight="1">
      <c r="B298" s="3" t="str">
        <f>IFERROR(VLOOKUP(C298,Master!$J:$K,2,0),"")</f>
        <v/>
      </c>
      <c r="D298" s="4" t="str">
        <f>IFERROR(VLOOKUP(E298,Master!$J:$K,2,0),"")</f>
        <v/>
      </c>
      <c r="F298" s="4" t="str">
        <f>IFERROR(VLOOKUP(G298,Master!B:C,2,0),"")</f>
        <v/>
      </c>
      <c r="I298" s="3" t="str">
        <f>IFERROR(VLOOKUP(E298,Master!$J:$M,4,0),"")</f>
        <v/>
      </c>
      <c r="J298" s="3" t="str">
        <f>IFERROR(VLOOKUP($E298,Master!$J:$M,3,0),"")</f>
        <v/>
      </c>
      <c r="AC298" s="26">
        <f t="shared" si="8"/>
        <v>0</v>
      </c>
      <c r="AD298" s="26">
        <f t="shared" si="9"/>
        <v>0</v>
      </c>
    </row>
    <row r="299" spans="2:30" ht="15" customHeight="1">
      <c r="B299" s="3" t="str">
        <f>IFERROR(VLOOKUP(C299,Master!$J:$K,2,0),"")</f>
        <v/>
      </c>
      <c r="D299" s="4" t="str">
        <f>IFERROR(VLOOKUP(E299,Master!$J:$K,2,0),"")</f>
        <v/>
      </c>
      <c r="F299" s="4" t="str">
        <f>IFERROR(VLOOKUP(G299,Master!B:C,2,0),"")</f>
        <v/>
      </c>
      <c r="I299" s="3" t="str">
        <f>IFERROR(VLOOKUP(E299,Master!$J:$M,4,0),"")</f>
        <v/>
      </c>
      <c r="J299" s="3" t="str">
        <f>IFERROR(VLOOKUP($E299,Master!$J:$M,3,0),"")</f>
        <v/>
      </c>
      <c r="AC299" s="26">
        <f t="shared" si="8"/>
        <v>0</v>
      </c>
      <c r="AD299" s="26">
        <f t="shared" si="9"/>
        <v>0</v>
      </c>
    </row>
    <row r="300" spans="2:30" ht="15" customHeight="1">
      <c r="B300" s="3" t="str">
        <f>IFERROR(VLOOKUP(C300,Master!$J:$K,2,0),"")</f>
        <v/>
      </c>
      <c r="D300" s="4" t="str">
        <f>IFERROR(VLOOKUP(E300,Master!$J:$K,2,0),"")</f>
        <v/>
      </c>
      <c r="F300" s="4" t="str">
        <f>IFERROR(VLOOKUP(G300,Master!B:C,2,0),"")</f>
        <v/>
      </c>
      <c r="I300" s="3" t="str">
        <f>IFERROR(VLOOKUP(E300,Master!$J:$M,4,0),"")</f>
        <v/>
      </c>
      <c r="J300" s="3" t="str">
        <f>IFERROR(VLOOKUP($E300,Master!$J:$M,3,0),"")</f>
        <v/>
      </c>
      <c r="AC300" s="26">
        <f t="shared" si="8"/>
        <v>0</v>
      </c>
      <c r="AD300" s="26">
        <f t="shared" si="9"/>
        <v>0</v>
      </c>
    </row>
    <row r="301" spans="2:30" ht="15" customHeight="1">
      <c r="B301" s="3" t="str">
        <f>IFERROR(VLOOKUP(C301,Master!$J:$K,2,0),"")</f>
        <v/>
      </c>
      <c r="D301" s="4" t="str">
        <f>IFERROR(VLOOKUP(E301,Master!$J:$K,2,0),"")</f>
        <v/>
      </c>
      <c r="F301" s="4" t="str">
        <f>IFERROR(VLOOKUP(G301,Master!B:C,2,0),"")</f>
        <v/>
      </c>
      <c r="I301" s="3" t="str">
        <f>IFERROR(VLOOKUP(E301,Master!$J:$M,4,0),"")</f>
        <v/>
      </c>
      <c r="J301" s="3" t="str">
        <f>IFERROR(VLOOKUP($E301,Master!$J:$M,3,0),"")</f>
        <v/>
      </c>
      <c r="AC301" s="26">
        <f t="shared" si="8"/>
        <v>0</v>
      </c>
      <c r="AD301" s="26">
        <f t="shared" si="9"/>
        <v>0</v>
      </c>
    </row>
    <row r="302" spans="2:30" ht="15" customHeight="1">
      <c r="B302" s="3" t="str">
        <f>IFERROR(VLOOKUP(C302,Master!$J:$K,2,0),"")</f>
        <v/>
      </c>
      <c r="D302" s="4" t="str">
        <f>IFERROR(VLOOKUP(E302,Master!$J:$K,2,0),"")</f>
        <v/>
      </c>
      <c r="F302" s="4" t="str">
        <f>IFERROR(VLOOKUP(G302,Master!B:C,2,0),"")</f>
        <v/>
      </c>
      <c r="I302" s="3" t="str">
        <f>IFERROR(VLOOKUP(E302,Master!$J:$M,4,0),"")</f>
        <v/>
      </c>
      <c r="J302" s="3" t="str">
        <f>IFERROR(VLOOKUP($E302,Master!$J:$M,3,0),"")</f>
        <v/>
      </c>
      <c r="AC302" s="26">
        <f t="shared" si="8"/>
        <v>0</v>
      </c>
      <c r="AD302" s="26">
        <f t="shared" si="9"/>
        <v>0</v>
      </c>
    </row>
    <row r="303" spans="2:30" ht="15" customHeight="1">
      <c r="B303" s="3" t="str">
        <f>IFERROR(VLOOKUP(C303,Master!$J:$K,2,0),"")</f>
        <v/>
      </c>
      <c r="D303" s="4" t="str">
        <f>IFERROR(VLOOKUP(E303,Master!$J:$K,2,0),"")</f>
        <v/>
      </c>
      <c r="F303" s="4" t="str">
        <f>IFERROR(VLOOKUP(G303,Master!B:C,2,0),"")</f>
        <v/>
      </c>
      <c r="I303" s="3" t="str">
        <f>IFERROR(VLOOKUP(E303,Master!$J:$M,4,0),"")</f>
        <v/>
      </c>
      <c r="J303" s="3" t="str">
        <f>IFERROR(VLOOKUP($E303,Master!$J:$M,3,0),"")</f>
        <v/>
      </c>
      <c r="AC303" s="26">
        <f t="shared" si="8"/>
        <v>0</v>
      </c>
      <c r="AD303" s="26">
        <f t="shared" si="9"/>
        <v>0</v>
      </c>
    </row>
    <row r="304" spans="2:30" ht="15" customHeight="1">
      <c r="B304" s="3" t="str">
        <f>IFERROR(VLOOKUP(C304,Master!$J:$K,2,0),"")</f>
        <v/>
      </c>
      <c r="D304" s="4" t="str">
        <f>IFERROR(VLOOKUP(E304,Master!$J:$K,2,0),"")</f>
        <v/>
      </c>
      <c r="F304" s="4" t="str">
        <f>IFERROR(VLOOKUP(G304,Master!B:C,2,0),"")</f>
        <v/>
      </c>
      <c r="I304" s="3" t="str">
        <f>IFERROR(VLOOKUP(E304,Master!$J:$M,4,0),"")</f>
        <v/>
      </c>
      <c r="J304" s="3" t="str">
        <f>IFERROR(VLOOKUP($E304,Master!$J:$M,3,0),"")</f>
        <v/>
      </c>
      <c r="AC304" s="26">
        <f t="shared" si="8"/>
        <v>0</v>
      </c>
      <c r="AD304" s="26">
        <f t="shared" si="9"/>
        <v>0</v>
      </c>
    </row>
    <row r="305" spans="2:30" ht="15" customHeight="1">
      <c r="B305" s="3" t="str">
        <f>IFERROR(VLOOKUP(C305,Master!$J:$K,2,0),"")</f>
        <v/>
      </c>
      <c r="D305" s="4" t="str">
        <f>IFERROR(VLOOKUP(E305,Master!$J:$K,2,0),"")</f>
        <v/>
      </c>
      <c r="F305" s="4" t="str">
        <f>IFERROR(VLOOKUP(G305,Master!B:C,2,0),"")</f>
        <v/>
      </c>
      <c r="I305" s="3" t="str">
        <f>IFERROR(VLOOKUP(E305,Master!$J:$M,4,0),"")</f>
        <v/>
      </c>
      <c r="J305" s="3" t="str">
        <f>IFERROR(VLOOKUP($E305,Master!$J:$M,3,0),"")</f>
        <v/>
      </c>
      <c r="AC305" s="26">
        <f t="shared" si="8"/>
        <v>0</v>
      </c>
      <c r="AD305" s="26">
        <f t="shared" si="9"/>
        <v>0</v>
      </c>
    </row>
    <row r="306" spans="2:30" ht="15" customHeight="1">
      <c r="B306" s="3" t="str">
        <f>IFERROR(VLOOKUP(C306,Master!$J:$K,2,0),"")</f>
        <v/>
      </c>
      <c r="D306" s="4" t="str">
        <f>IFERROR(VLOOKUP(E306,Master!$J:$K,2,0),"")</f>
        <v/>
      </c>
      <c r="F306" s="4" t="str">
        <f>IFERROR(VLOOKUP(G306,Master!B:C,2,0),"")</f>
        <v/>
      </c>
      <c r="I306" s="3" t="str">
        <f>IFERROR(VLOOKUP(E306,Master!$J:$M,4,0),"")</f>
        <v/>
      </c>
      <c r="J306" s="3" t="str">
        <f>IFERROR(VLOOKUP($E306,Master!$J:$M,3,0),"")</f>
        <v/>
      </c>
      <c r="AC306" s="26">
        <f t="shared" si="8"/>
        <v>0</v>
      </c>
      <c r="AD306" s="26">
        <f t="shared" si="9"/>
        <v>0</v>
      </c>
    </row>
    <row r="307" spans="2:30" ht="15" customHeight="1">
      <c r="B307" s="3" t="str">
        <f>IFERROR(VLOOKUP(C307,Master!$J:$K,2,0),"")</f>
        <v/>
      </c>
      <c r="D307" s="4" t="str">
        <f>IFERROR(VLOOKUP(E307,Master!$J:$K,2,0),"")</f>
        <v/>
      </c>
      <c r="F307" s="4" t="str">
        <f>IFERROR(VLOOKUP(G307,Master!B:C,2,0),"")</f>
        <v/>
      </c>
      <c r="I307" s="3" t="str">
        <f>IFERROR(VLOOKUP(E307,Master!$J:$M,4,0),"")</f>
        <v/>
      </c>
      <c r="J307" s="3" t="str">
        <f>IFERROR(VLOOKUP($E307,Master!$J:$M,3,0),"")</f>
        <v/>
      </c>
      <c r="AC307" s="26">
        <f t="shared" si="8"/>
        <v>0</v>
      </c>
      <c r="AD307" s="26">
        <f t="shared" si="9"/>
        <v>0</v>
      </c>
    </row>
    <row r="308" spans="2:30" ht="15" customHeight="1">
      <c r="B308" s="3" t="str">
        <f>IFERROR(VLOOKUP(C308,Master!$J:$K,2,0),"")</f>
        <v/>
      </c>
      <c r="D308" s="4" t="str">
        <f>IFERROR(VLOOKUP(E308,Master!$J:$K,2,0),"")</f>
        <v/>
      </c>
      <c r="F308" s="4" t="str">
        <f>IFERROR(VLOOKUP(G308,Master!B:C,2,0),"")</f>
        <v/>
      </c>
      <c r="I308" s="3" t="str">
        <f>IFERROR(VLOOKUP(E308,Master!$J:$M,4,0),"")</f>
        <v/>
      </c>
      <c r="J308" s="3" t="str">
        <f>IFERROR(VLOOKUP($E308,Master!$J:$M,3,0),"")</f>
        <v/>
      </c>
      <c r="AC308" s="26">
        <f t="shared" si="8"/>
        <v>0</v>
      </c>
      <c r="AD308" s="26">
        <f t="shared" si="9"/>
        <v>0</v>
      </c>
    </row>
    <row r="309" spans="2:30" ht="15" customHeight="1">
      <c r="B309" s="3" t="str">
        <f>IFERROR(VLOOKUP(C309,Master!$J:$K,2,0),"")</f>
        <v/>
      </c>
      <c r="D309" s="4" t="str">
        <f>IFERROR(VLOOKUP(E309,Master!$J:$K,2,0),"")</f>
        <v/>
      </c>
      <c r="F309" s="4" t="str">
        <f>IFERROR(VLOOKUP(G309,Master!B:C,2,0),"")</f>
        <v/>
      </c>
      <c r="I309" s="3" t="str">
        <f>IFERROR(VLOOKUP(E309,Master!$J:$M,4,0),"")</f>
        <v/>
      </c>
      <c r="J309" s="3" t="str">
        <f>IFERROR(VLOOKUP($E309,Master!$J:$M,3,0),"")</f>
        <v/>
      </c>
      <c r="AC309" s="26">
        <f t="shared" si="8"/>
        <v>0</v>
      </c>
      <c r="AD309" s="26">
        <f t="shared" si="9"/>
        <v>0</v>
      </c>
    </row>
    <row r="310" spans="2:30" ht="15" customHeight="1">
      <c r="B310" s="3" t="str">
        <f>IFERROR(VLOOKUP(C310,Master!$J:$K,2,0),"")</f>
        <v/>
      </c>
      <c r="D310" s="4" t="str">
        <f>IFERROR(VLOOKUP(E310,Master!$J:$K,2,0),"")</f>
        <v/>
      </c>
      <c r="F310" s="4" t="str">
        <f>IFERROR(VLOOKUP(G310,Master!B:C,2,0),"")</f>
        <v/>
      </c>
      <c r="I310" s="3" t="str">
        <f>IFERROR(VLOOKUP(E310,Master!$J:$M,4,0),"")</f>
        <v/>
      </c>
      <c r="J310" s="3" t="str">
        <f>IFERROR(VLOOKUP($E310,Master!$J:$M,3,0),"")</f>
        <v/>
      </c>
      <c r="AC310" s="26">
        <f t="shared" si="8"/>
        <v>0</v>
      </c>
      <c r="AD310" s="26">
        <f t="shared" si="9"/>
        <v>0</v>
      </c>
    </row>
    <row r="311" spans="2:30" ht="15" customHeight="1">
      <c r="B311" s="3" t="str">
        <f>IFERROR(VLOOKUP(C311,Master!$J:$K,2,0),"")</f>
        <v/>
      </c>
      <c r="D311" s="4" t="str">
        <f>IFERROR(VLOOKUP(E311,Master!$J:$K,2,0),"")</f>
        <v/>
      </c>
      <c r="F311" s="4" t="str">
        <f>IFERROR(VLOOKUP(G311,Master!B:C,2,0),"")</f>
        <v/>
      </c>
      <c r="I311" s="3" t="str">
        <f>IFERROR(VLOOKUP(E311,Master!$J:$M,4,0),"")</f>
        <v/>
      </c>
      <c r="J311" s="3" t="str">
        <f>IFERROR(VLOOKUP($E311,Master!$J:$M,3,0),"")</f>
        <v/>
      </c>
      <c r="AC311" s="26">
        <f t="shared" si="8"/>
        <v>0</v>
      </c>
      <c r="AD311" s="26">
        <f t="shared" si="9"/>
        <v>0</v>
      </c>
    </row>
    <row r="312" spans="2:30" ht="15" customHeight="1">
      <c r="B312" s="3" t="str">
        <f>IFERROR(VLOOKUP(C312,Master!$J:$K,2,0),"")</f>
        <v/>
      </c>
      <c r="D312" s="4" t="str">
        <f>IFERROR(VLOOKUP(E312,Master!$J:$K,2,0),"")</f>
        <v/>
      </c>
      <c r="F312" s="4" t="str">
        <f>IFERROR(VLOOKUP(G312,Master!B:C,2,0),"")</f>
        <v/>
      </c>
      <c r="I312" s="3" t="str">
        <f>IFERROR(VLOOKUP(E312,Master!$J:$M,4,0),"")</f>
        <v/>
      </c>
      <c r="J312" s="3" t="str">
        <f>IFERROR(VLOOKUP($E312,Master!$J:$M,3,0),"")</f>
        <v/>
      </c>
      <c r="AC312" s="26">
        <f t="shared" si="8"/>
        <v>0</v>
      </c>
      <c r="AD312" s="26">
        <f t="shared" si="9"/>
        <v>0</v>
      </c>
    </row>
    <row r="313" spans="2:30" ht="15" customHeight="1">
      <c r="B313" s="3" t="str">
        <f>IFERROR(VLOOKUP(C313,Master!$J:$K,2,0),"")</f>
        <v/>
      </c>
      <c r="D313" s="4" t="str">
        <f>IFERROR(VLOOKUP(E313,Master!$J:$K,2,0),"")</f>
        <v/>
      </c>
      <c r="F313" s="4" t="str">
        <f>IFERROR(VLOOKUP(G313,Master!B:C,2,0),"")</f>
        <v/>
      </c>
      <c r="I313" s="3" t="str">
        <f>IFERROR(VLOOKUP(E313,Master!$J:$M,4,0),"")</f>
        <v/>
      </c>
      <c r="J313" s="3" t="str">
        <f>IFERROR(VLOOKUP($E313,Master!$J:$M,3,0),"")</f>
        <v/>
      </c>
      <c r="AC313" s="26">
        <f t="shared" si="8"/>
        <v>0</v>
      </c>
      <c r="AD313" s="26">
        <f t="shared" si="9"/>
        <v>0</v>
      </c>
    </row>
    <row r="314" spans="2:30" ht="15" customHeight="1">
      <c r="B314" s="3" t="str">
        <f>IFERROR(VLOOKUP(C314,Master!$J:$K,2,0),"")</f>
        <v/>
      </c>
      <c r="D314" s="4" t="str">
        <f>IFERROR(VLOOKUP(E314,Master!$J:$K,2,0),"")</f>
        <v/>
      </c>
      <c r="F314" s="4" t="str">
        <f>IFERROR(VLOOKUP(G314,Master!B:C,2,0),"")</f>
        <v/>
      </c>
      <c r="I314" s="3" t="str">
        <f>IFERROR(VLOOKUP(E314,Master!$J:$M,4,0),"")</f>
        <v/>
      </c>
      <c r="J314" s="3" t="str">
        <f>IFERROR(VLOOKUP($E314,Master!$J:$M,3,0),"")</f>
        <v/>
      </c>
      <c r="AC314" s="26">
        <f t="shared" si="8"/>
        <v>0</v>
      </c>
      <c r="AD314" s="26">
        <f t="shared" si="9"/>
        <v>0</v>
      </c>
    </row>
    <row r="315" spans="2:30" ht="15" customHeight="1">
      <c r="B315" s="3" t="str">
        <f>IFERROR(VLOOKUP(C315,Master!$J:$K,2,0),"")</f>
        <v/>
      </c>
      <c r="D315" s="4" t="str">
        <f>IFERROR(VLOOKUP(E315,Master!$J:$K,2,0),"")</f>
        <v/>
      </c>
      <c r="F315" s="4" t="str">
        <f>IFERROR(VLOOKUP(G315,Master!B:C,2,0),"")</f>
        <v/>
      </c>
      <c r="I315" s="3" t="str">
        <f>IFERROR(VLOOKUP(E315,Master!$J:$M,4,0),"")</f>
        <v/>
      </c>
      <c r="J315" s="3" t="str">
        <f>IFERROR(VLOOKUP($E315,Master!$J:$M,3,0),"")</f>
        <v/>
      </c>
      <c r="AC315" s="26">
        <f t="shared" si="8"/>
        <v>0</v>
      </c>
      <c r="AD315" s="26">
        <f t="shared" si="9"/>
        <v>0</v>
      </c>
    </row>
    <row r="316" spans="2:30" ht="15" customHeight="1">
      <c r="B316" s="3" t="str">
        <f>IFERROR(VLOOKUP(C316,Master!$J:$K,2,0),"")</f>
        <v/>
      </c>
      <c r="D316" s="4" t="str">
        <f>IFERROR(VLOOKUP(E316,Master!$J:$K,2,0),"")</f>
        <v/>
      </c>
      <c r="F316" s="4" t="str">
        <f>IFERROR(VLOOKUP(G316,Master!B:C,2,0),"")</f>
        <v/>
      </c>
      <c r="I316" s="3" t="str">
        <f>IFERROR(VLOOKUP(E316,Master!$J:$M,4,0),"")</f>
        <v/>
      </c>
      <c r="J316" s="3" t="str">
        <f>IFERROR(VLOOKUP($E316,Master!$J:$M,3,0),"")</f>
        <v/>
      </c>
      <c r="AC316" s="26">
        <f t="shared" si="8"/>
        <v>0</v>
      </c>
      <c r="AD316" s="26">
        <f t="shared" si="9"/>
        <v>0</v>
      </c>
    </row>
    <row r="317" spans="2:30" ht="15" customHeight="1">
      <c r="B317" s="3" t="str">
        <f>IFERROR(VLOOKUP(C317,Master!$J:$K,2,0),"")</f>
        <v/>
      </c>
      <c r="D317" s="4" t="str">
        <f>IFERROR(VLOOKUP(E317,Master!$J:$K,2,0),"")</f>
        <v/>
      </c>
      <c r="F317" s="4" t="str">
        <f>IFERROR(VLOOKUP(G317,Master!B:C,2,0),"")</f>
        <v/>
      </c>
      <c r="I317" s="3" t="str">
        <f>IFERROR(VLOOKUP(E317,Master!$J:$M,4,0),"")</f>
        <v/>
      </c>
      <c r="J317" s="3" t="str">
        <f>IFERROR(VLOOKUP($E317,Master!$J:$M,3,0),"")</f>
        <v/>
      </c>
      <c r="AC317" s="26">
        <f t="shared" si="8"/>
        <v>0</v>
      </c>
      <c r="AD317" s="26">
        <f t="shared" si="9"/>
        <v>0</v>
      </c>
    </row>
    <row r="318" spans="2:30" ht="15" customHeight="1">
      <c r="B318" s="3" t="str">
        <f>IFERROR(VLOOKUP(C318,Master!$J:$K,2,0),"")</f>
        <v/>
      </c>
      <c r="D318" s="4" t="str">
        <f>IFERROR(VLOOKUP(E318,Master!$J:$K,2,0),"")</f>
        <v/>
      </c>
      <c r="F318" s="4" t="str">
        <f>IFERROR(VLOOKUP(G318,Master!B:C,2,0),"")</f>
        <v/>
      </c>
      <c r="I318" s="3" t="str">
        <f>IFERROR(VLOOKUP(E318,Master!$J:$M,4,0),"")</f>
        <v/>
      </c>
      <c r="J318" s="3" t="str">
        <f>IFERROR(VLOOKUP($E318,Master!$J:$M,3,0),"")</f>
        <v/>
      </c>
      <c r="AC318" s="26">
        <f t="shared" si="8"/>
        <v>0</v>
      </c>
      <c r="AD318" s="26">
        <f t="shared" si="9"/>
        <v>0</v>
      </c>
    </row>
    <row r="319" spans="2:30" ht="15" customHeight="1">
      <c r="B319" s="3" t="str">
        <f>IFERROR(VLOOKUP(C319,Master!$J:$K,2,0),"")</f>
        <v/>
      </c>
      <c r="D319" s="4" t="str">
        <f>IFERROR(VLOOKUP(E319,Master!$J:$K,2,0),"")</f>
        <v/>
      </c>
      <c r="F319" s="4" t="str">
        <f>IFERROR(VLOOKUP(G319,Master!B:C,2,0),"")</f>
        <v/>
      </c>
      <c r="I319" s="3" t="str">
        <f>IFERROR(VLOOKUP(E319,Master!$J:$M,4,0),"")</f>
        <v/>
      </c>
      <c r="J319" s="3" t="str">
        <f>IFERROR(VLOOKUP($E319,Master!$J:$M,3,0),"")</f>
        <v/>
      </c>
      <c r="AC319" s="26">
        <f t="shared" si="8"/>
        <v>0</v>
      </c>
      <c r="AD319" s="26">
        <f t="shared" si="9"/>
        <v>0</v>
      </c>
    </row>
    <row r="320" spans="2:30" ht="15" customHeight="1">
      <c r="B320" s="3" t="str">
        <f>IFERROR(VLOOKUP(C320,Master!$J:$K,2,0),"")</f>
        <v/>
      </c>
      <c r="D320" s="4" t="str">
        <f>IFERROR(VLOOKUP(E320,Master!$J:$K,2,0),"")</f>
        <v/>
      </c>
      <c r="F320" s="4" t="str">
        <f>IFERROR(VLOOKUP(G320,Master!B:C,2,0),"")</f>
        <v/>
      </c>
      <c r="I320" s="3" t="str">
        <f>IFERROR(VLOOKUP(E320,Master!$J:$M,4,0),"")</f>
        <v/>
      </c>
      <c r="J320" s="3" t="str">
        <f>IFERROR(VLOOKUP($E320,Master!$J:$M,3,0),"")</f>
        <v/>
      </c>
      <c r="AC320" s="26">
        <f t="shared" si="8"/>
        <v>0</v>
      </c>
      <c r="AD320" s="26">
        <f t="shared" si="9"/>
        <v>0</v>
      </c>
    </row>
    <row r="321" spans="2:30" ht="15" customHeight="1">
      <c r="B321" s="3" t="str">
        <f>IFERROR(VLOOKUP(C321,Master!$J:$K,2,0),"")</f>
        <v/>
      </c>
      <c r="D321" s="4" t="str">
        <f>IFERROR(VLOOKUP(E321,Master!$J:$K,2,0),"")</f>
        <v/>
      </c>
      <c r="F321" s="4" t="str">
        <f>IFERROR(VLOOKUP(G321,Master!B:C,2,0),"")</f>
        <v/>
      </c>
      <c r="I321" s="3" t="str">
        <f>IFERROR(VLOOKUP(E321,Master!$J:$M,4,0),"")</f>
        <v/>
      </c>
      <c r="J321" s="3" t="str">
        <f>IFERROR(VLOOKUP($E321,Master!$J:$M,3,0),"")</f>
        <v/>
      </c>
      <c r="AC321" s="26">
        <f t="shared" si="8"/>
        <v>0</v>
      </c>
      <c r="AD321" s="26">
        <f t="shared" si="9"/>
        <v>0</v>
      </c>
    </row>
    <row r="322" spans="2:30" ht="15" customHeight="1">
      <c r="B322" s="3" t="str">
        <f>IFERROR(VLOOKUP(C322,Master!$J:$K,2,0),"")</f>
        <v/>
      </c>
      <c r="D322" s="4" t="str">
        <f>IFERROR(VLOOKUP(E322,Master!$J:$K,2,0),"")</f>
        <v/>
      </c>
      <c r="F322" s="4" t="str">
        <f>IFERROR(VLOOKUP(G322,Master!B:C,2,0),"")</f>
        <v/>
      </c>
      <c r="I322" s="3" t="str">
        <f>IFERROR(VLOOKUP(E322,Master!$J:$M,4,0),"")</f>
        <v/>
      </c>
      <c r="J322" s="3" t="str">
        <f>IFERROR(VLOOKUP($E322,Master!$J:$M,3,0),"")</f>
        <v/>
      </c>
      <c r="AC322" s="26">
        <f t="shared" ref="AC322:AC385" si="10">SUM(K322:P322)</f>
        <v>0</v>
      </c>
      <c r="AD322" s="26">
        <f t="shared" ref="AD322:AD385" si="11">SUM(Q322:AB322)</f>
        <v>0</v>
      </c>
    </row>
    <row r="323" spans="2:30" ht="15" customHeight="1">
      <c r="B323" s="3" t="str">
        <f>IFERROR(VLOOKUP(C323,Master!$J:$K,2,0),"")</f>
        <v/>
      </c>
      <c r="D323" s="4" t="str">
        <f>IFERROR(VLOOKUP(E323,Master!$J:$K,2,0),"")</f>
        <v/>
      </c>
      <c r="F323" s="4" t="str">
        <f>IFERROR(VLOOKUP(G323,Master!B:C,2,0),"")</f>
        <v/>
      </c>
      <c r="I323" s="3" t="str">
        <f>IFERROR(VLOOKUP(E323,Master!$J:$M,4,0),"")</f>
        <v/>
      </c>
      <c r="J323" s="3" t="str">
        <f>IFERROR(VLOOKUP($E323,Master!$J:$M,3,0),"")</f>
        <v/>
      </c>
      <c r="AC323" s="26">
        <f t="shared" si="10"/>
        <v>0</v>
      </c>
      <c r="AD323" s="26">
        <f t="shared" si="11"/>
        <v>0</v>
      </c>
    </row>
    <row r="324" spans="2:30" ht="15" customHeight="1">
      <c r="B324" s="3" t="str">
        <f>IFERROR(VLOOKUP(C324,Master!$J:$K,2,0),"")</f>
        <v/>
      </c>
      <c r="D324" s="4" t="str">
        <f>IFERROR(VLOOKUP(E324,Master!$J:$K,2,0),"")</f>
        <v/>
      </c>
      <c r="F324" s="4" t="str">
        <f>IFERROR(VLOOKUP(G324,Master!B:C,2,0),"")</f>
        <v/>
      </c>
      <c r="I324" s="3" t="str">
        <f>IFERROR(VLOOKUP(E324,Master!$J:$M,4,0),"")</f>
        <v/>
      </c>
      <c r="J324" s="3" t="str">
        <f>IFERROR(VLOOKUP($E324,Master!$J:$M,3,0),"")</f>
        <v/>
      </c>
      <c r="AC324" s="26">
        <f t="shared" si="10"/>
        <v>0</v>
      </c>
      <c r="AD324" s="26">
        <f t="shared" si="11"/>
        <v>0</v>
      </c>
    </row>
    <row r="325" spans="2:30" ht="15" customHeight="1">
      <c r="B325" s="3" t="str">
        <f>IFERROR(VLOOKUP(C325,Master!$J:$K,2,0),"")</f>
        <v/>
      </c>
      <c r="D325" s="4" t="str">
        <f>IFERROR(VLOOKUP(E325,Master!$J:$K,2,0),"")</f>
        <v/>
      </c>
      <c r="F325" s="4" t="str">
        <f>IFERROR(VLOOKUP(G325,Master!B:C,2,0),"")</f>
        <v/>
      </c>
      <c r="I325" s="3" t="str">
        <f>IFERROR(VLOOKUP(E325,Master!$J:$M,4,0),"")</f>
        <v/>
      </c>
      <c r="J325" s="3" t="str">
        <f>IFERROR(VLOOKUP($E325,Master!$J:$M,3,0),"")</f>
        <v/>
      </c>
      <c r="AC325" s="26">
        <f t="shared" si="10"/>
        <v>0</v>
      </c>
      <c r="AD325" s="26">
        <f t="shared" si="11"/>
        <v>0</v>
      </c>
    </row>
    <row r="326" spans="2:30" ht="15" customHeight="1">
      <c r="B326" s="3" t="str">
        <f>IFERROR(VLOOKUP(C326,Master!$J:$K,2,0),"")</f>
        <v/>
      </c>
      <c r="D326" s="4" t="str">
        <f>IFERROR(VLOOKUP(E326,Master!$J:$K,2,0),"")</f>
        <v/>
      </c>
      <c r="F326" s="4" t="str">
        <f>IFERROR(VLOOKUP(G326,Master!B:C,2,0),"")</f>
        <v/>
      </c>
      <c r="I326" s="3" t="str">
        <f>IFERROR(VLOOKUP(E326,Master!$J:$M,4,0),"")</f>
        <v/>
      </c>
      <c r="J326" s="3" t="str">
        <f>IFERROR(VLOOKUP($E326,Master!$J:$M,3,0),"")</f>
        <v/>
      </c>
      <c r="AC326" s="26">
        <f t="shared" si="10"/>
        <v>0</v>
      </c>
      <c r="AD326" s="26">
        <f t="shared" si="11"/>
        <v>0</v>
      </c>
    </row>
    <row r="327" spans="2:30" ht="15" customHeight="1">
      <c r="B327" s="3" t="str">
        <f>IFERROR(VLOOKUP(C327,Master!$J:$K,2,0),"")</f>
        <v/>
      </c>
      <c r="D327" s="4" t="str">
        <f>IFERROR(VLOOKUP(E327,Master!$J:$K,2,0),"")</f>
        <v/>
      </c>
      <c r="F327" s="4" t="str">
        <f>IFERROR(VLOOKUP(G327,Master!B:C,2,0),"")</f>
        <v/>
      </c>
      <c r="I327" s="3" t="str">
        <f>IFERROR(VLOOKUP(E327,Master!$J:$M,4,0),"")</f>
        <v/>
      </c>
      <c r="J327" s="3" t="str">
        <f>IFERROR(VLOOKUP($E327,Master!$J:$M,3,0),"")</f>
        <v/>
      </c>
      <c r="AC327" s="26">
        <f t="shared" si="10"/>
        <v>0</v>
      </c>
      <c r="AD327" s="26">
        <f t="shared" si="11"/>
        <v>0</v>
      </c>
    </row>
    <row r="328" spans="2:30" ht="15" customHeight="1">
      <c r="B328" s="3" t="str">
        <f>IFERROR(VLOOKUP(C328,Master!$J:$K,2,0),"")</f>
        <v/>
      </c>
      <c r="D328" s="4" t="str">
        <f>IFERROR(VLOOKUP(E328,Master!$J:$K,2,0),"")</f>
        <v/>
      </c>
      <c r="F328" s="4" t="str">
        <f>IFERROR(VLOOKUP(G328,Master!B:C,2,0),"")</f>
        <v/>
      </c>
      <c r="I328" s="3" t="str">
        <f>IFERROR(VLOOKUP(E328,Master!$J:$M,4,0),"")</f>
        <v/>
      </c>
      <c r="J328" s="3" t="str">
        <f>IFERROR(VLOOKUP($E328,Master!$J:$M,3,0),"")</f>
        <v/>
      </c>
      <c r="AC328" s="26">
        <f t="shared" si="10"/>
        <v>0</v>
      </c>
      <c r="AD328" s="26">
        <f t="shared" si="11"/>
        <v>0</v>
      </c>
    </row>
    <row r="329" spans="2:30" ht="15" customHeight="1">
      <c r="B329" s="3" t="str">
        <f>IFERROR(VLOOKUP(C329,Master!$J:$K,2,0),"")</f>
        <v/>
      </c>
      <c r="D329" s="4" t="str">
        <f>IFERROR(VLOOKUP(E329,Master!$J:$K,2,0),"")</f>
        <v/>
      </c>
      <c r="F329" s="4" t="str">
        <f>IFERROR(VLOOKUP(G329,Master!B:C,2,0),"")</f>
        <v/>
      </c>
      <c r="I329" s="3" t="str">
        <f>IFERROR(VLOOKUP(E329,Master!$J:$M,4,0),"")</f>
        <v/>
      </c>
      <c r="J329" s="3" t="str">
        <f>IFERROR(VLOOKUP($E329,Master!$J:$M,3,0),"")</f>
        <v/>
      </c>
      <c r="AC329" s="26">
        <f t="shared" si="10"/>
        <v>0</v>
      </c>
      <c r="AD329" s="26">
        <f t="shared" si="11"/>
        <v>0</v>
      </c>
    </row>
    <row r="330" spans="2:30" ht="15" customHeight="1">
      <c r="B330" s="3" t="str">
        <f>IFERROR(VLOOKUP(C330,Master!$J:$K,2,0),"")</f>
        <v/>
      </c>
      <c r="D330" s="4" t="str">
        <f>IFERROR(VLOOKUP(E330,Master!$J:$K,2,0),"")</f>
        <v/>
      </c>
      <c r="F330" s="4" t="str">
        <f>IFERROR(VLOOKUP(G330,Master!B:C,2,0),"")</f>
        <v/>
      </c>
      <c r="I330" s="3" t="str">
        <f>IFERROR(VLOOKUP(E330,Master!$J:$M,4,0),"")</f>
        <v/>
      </c>
      <c r="J330" s="3" t="str">
        <f>IFERROR(VLOOKUP($E330,Master!$J:$M,3,0),"")</f>
        <v/>
      </c>
      <c r="AC330" s="26">
        <f t="shared" si="10"/>
        <v>0</v>
      </c>
      <c r="AD330" s="26">
        <f t="shared" si="11"/>
        <v>0</v>
      </c>
    </row>
    <row r="331" spans="2:30" ht="15" customHeight="1">
      <c r="B331" s="3" t="str">
        <f>IFERROR(VLOOKUP(C331,Master!$J:$K,2,0),"")</f>
        <v/>
      </c>
      <c r="D331" s="4" t="str">
        <f>IFERROR(VLOOKUP(E331,Master!$J:$K,2,0),"")</f>
        <v/>
      </c>
      <c r="F331" s="4" t="str">
        <f>IFERROR(VLOOKUP(G331,Master!B:C,2,0),"")</f>
        <v/>
      </c>
      <c r="I331" s="3" t="str">
        <f>IFERROR(VLOOKUP(E331,Master!$J:$M,4,0),"")</f>
        <v/>
      </c>
      <c r="J331" s="3" t="str">
        <f>IFERROR(VLOOKUP($E331,Master!$J:$M,3,0),"")</f>
        <v/>
      </c>
      <c r="AC331" s="26">
        <f t="shared" si="10"/>
        <v>0</v>
      </c>
      <c r="AD331" s="26">
        <f t="shared" si="11"/>
        <v>0</v>
      </c>
    </row>
    <row r="332" spans="2:30" ht="15" customHeight="1">
      <c r="B332" s="3" t="str">
        <f>IFERROR(VLOOKUP(C332,Master!$J:$K,2,0),"")</f>
        <v/>
      </c>
      <c r="D332" s="4" t="str">
        <f>IFERROR(VLOOKUP(E332,Master!$J:$K,2,0),"")</f>
        <v/>
      </c>
      <c r="F332" s="4" t="str">
        <f>IFERROR(VLOOKUP(G332,Master!B:C,2,0),"")</f>
        <v/>
      </c>
      <c r="I332" s="3" t="str">
        <f>IFERROR(VLOOKUP(E332,Master!$J:$M,4,0),"")</f>
        <v/>
      </c>
      <c r="J332" s="3" t="str">
        <f>IFERROR(VLOOKUP($E332,Master!$J:$M,3,0),"")</f>
        <v/>
      </c>
      <c r="AC332" s="26">
        <f t="shared" si="10"/>
        <v>0</v>
      </c>
      <c r="AD332" s="26">
        <f t="shared" si="11"/>
        <v>0</v>
      </c>
    </row>
    <row r="333" spans="2:30" ht="15" customHeight="1">
      <c r="B333" s="3" t="str">
        <f>IFERROR(VLOOKUP(C333,Master!$J:$K,2,0),"")</f>
        <v/>
      </c>
      <c r="D333" s="4" t="str">
        <f>IFERROR(VLOOKUP(E333,Master!$J:$K,2,0),"")</f>
        <v/>
      </c>
      <c r="F333" s="4" t="str">
        <f>IFERROR(VLOOKUP(G333,Master!B:C,2,0),"")</f>
        <v/>
      </c>
      <c r="I333" s="3" t="str">
        <f>IFERROR(VLOOKUP(E333,Master!$J:$M,4,0),"")</f>
        <v/>
      </c>
      <c r="J333" s="3" t="str">
        <f>IFERROR(VLOOKUP($E333,Master!$J:$M,3,0),"")</f>
        <v/>
      </c>
      <c r="AC333" s="26">
        <f t="shared" si="10"/>
        <v>0</v>
      </c>
      <c r="AD333" s="26">
        <f t="shared" si="11"/>
        <v>0</v>
      </c>
    </row>
    <row r="334" spans="2:30" ht="15" customHeight="1">
      <c r="B334" s="3" t="str">
        <f>IFERROR(VLOOKUP(C334,Master!$J:$K,2,0),"")</f>
        <v/>
      </c>
      <c r="D334" s="4" t="str">
        <f>IFERROR(VLOOKUP(E334,Master!$J:$K,2,0),"")</f>
        <v/>
      </c>
      <c r="F334" s="4" t="str">
        <f>IFERROR(VLOOKUP(G334,Master!B:C,2,0),"")</f>
        <v/>
      </c>
      <c r="I334" s="3" t="str">
        <f>IFERROR(VLOOKUP(E334,Master!$J:$M,4,0),"")</f>
        <v/>
      </c>
      <c r="J334" s="3" t="str">
        <f>IFERROR(VLOOKUP($E334,Master!$J:$M,3,0),"")</f>
        <v/>
      </c>
      <c r="AC334" s="26">
        <f t="shared" si="10"/>
        <v>0</v>
      </c>
      <c r="AD334" s="26">
        <f t="shared" si="11"/>
        <v>0</v>
      </c>
    </row>
    <row r="335" spans="2:30" ht="15" customHeight="1">
      <c r="B335" s="3" t="str">
        <f>IFERROR(VLOOKUP(C335,Master!$J:$K,2,0),"")</f>
        <v/>
      </c>
      <c r="D335" s="4" t="str">
        <f>IFERROR(VLOOKUP(E335,Master!$J:$K,2,0),"")</f>
        <v/>
      </c>
      <c r="F335" s="4" t="str">
        <f>IFERROR(VLOOKUP(G335,Master!B:C,2,0),"")</f>
        <v/>
      </c>
      <c r="I335" s="3" t="str">
        <f>IFERROR(VLOOKUP(E335,Master!$J:$M,4,0),"")</f>
        <v/>
      </c>
      <c r="J335" s="3" t="str">
        <f>IFERROR(VLOOKUP($E335,Master!$J:$M,3,0),"")</f>
        <v/>
      </c>
      <c r="AC335" s="26">
        <f t="shared" si="10"/>
        <v>0</v>
      </c>
      <c r="AD335" s="26">
        <f t="shared" si="11"/>
        <v>0</v>
      </c>
    </row>
    <row r="336" spans="2:30" ht="15" customHeight="1">
      <c r="B336" s="3" t="str">
        <f>IFERROR(VLOOKUP(C336,Master!$J:$K,2,0),"")</f>
        <v/>
      </c>
      <c r="D336" s="4" t="str">
        <f>IFERROR(VLOOKUP(E336,Master!$J:$K,2,0),"")</f>
        <v/>
      </c>
      <c r="F336" s="4" t="str">
        <f>IFERROR(VLOOKUP(G336,Master!B:C,2,0),"")</f>
        <v/>
      </c>
      <c r="I336" s="3" t="str">
        <f>IFERROR(VLOOKUP(E336,Master!$J:$M,4,0),"")</f>
        <v/>
      </c>
      <c r="J336" s="3" t="str">
        <f>IFERROR(VLOOKUP($E336,Master!$J:$M,3,0),"")</f>
        <v/>
      </c>
      <c r="AC336" s="26">
        <f t="shared" si="10"/>
        <v>0</v>
      </c>
      <c r="AD336" s="26">
        <f t="shared" si="11"/>
        <v>0</v>
      </c>
    </row>
    <row r="337" spans="2:30" ht="15" customHeight="1">
      <c r="B337" s="3" t="str">
        <f>IFERROR(VLOOKUP(C337,Master!$J:$K,2,0),"")</f>
        <v/>
      </c>
      <c r="D337" s="4" t="str">
        <f>IFERROR(VLOOKUP(E337,Master!$J:$K,2,0),"")</f>
        <v/>
      </c>
      <c r="F337" s="4" t="str">
        <f>IFERROR(VLOOKUP(G337,Master!B:C,2,0),"")</f>
        <v/>
      </c>
      <c r="I337" s="3" t="str">
        <f>IFERROR(VLOOKUP(E337,Master!$J:$M,4,0),"")</f>
        <v/>
      </c>
      <c r="J337" s="3" t="str">
        <f>IFERROR(VLOOKUP($E337,Master!$J:$M,3,0),"")</f>
        <v/>
      </c>
      <c r="AC337" s="26">
        <f t="shared" si="10"/>
        <v>0</v>
      </c>
      <c r="AD337" s="26">
        <f t="shared" si="11"/>
        <v>0</v>
      </c>
    </row>
    <row r="338" spans="2:30" ht="15" customHeight="1">
      <c r="B338" s="3" t="str">
        <f>IFERROR(VLOOKUP(C338,Master!$J:$K,2,0),"")</f>
        <v/>
      </c>
      <c r="D338" s="4" t="str">
        <f>IFERROR(VLOOKUP(E338,Master!$J:$K,2,0),"")</f>
        <v/>
      </c>
      <c r="F338" s="4" t="str">
        <f>IFERROR(VLOOKUP(G338,Master!B:C,2,0),"")</f>
        <v/>
      </c>
      <c r="I338" s="3" t="str">
        <f>IFERROR(VLOOKUP(E338,Master!$J:$M,4,0),"")</f>
        <v/>
      </c>
      <c r="J338" s="3" t="str">
        <f>IFERROR(VLOOKUP($E338,Master!$J:$M,3,0),"")</f>
        <v/>
      </c>
      <c r="AC338" s="26">
        <f t="shared" si="10"/>
        <v>0</v>
      </c>
      <c r="AD338" s="26">
        <f t="shared" si="11"/>
        <v>0</v>
      </c>
    </row>
    <row r="339" spans="2:30" ht="15" customHeight="1">
      <c r="B339" s="3" t="str">
        <f>IFERROR(VLOOKUP(C339,Master!$J:$K,2,0),"")</f>
        <v/>
      </c>
      <c r="D339" s="4" t="str">
        <f>IFERROR(VLOOKUP(E339,Master!$J:$K,2,0),"")</f>
        <v/>
      </c>
      <c r="F339" s="4" t="str">
        <f>IFERROR(VLOOKUP(G339,Master!B:C,2,0),"")</f>
        <v/>
      </c>
      <c r="I339" s="3" t="str">
        <f>IFERROR(VLOOKUP(E339,Master!$J:$M,4,0),"")</f>
        <v/>
      </c>
      <c r="J339" s="3" t="str">
        <f>IFERROR(VLOOKUP($E339,Master!$J:$M,3,0),"")</f>
        <v/>
      </c>
      <c r="AC339" s="26">
        <f t="shared" si="10"/>
        <v>0</v>
      </c>
      <c r="AD339" s="26">
        <f t="shared" si="11"/>
        <v>0</v>
      </c>
    </row>
    <row r="340" spans="2:30" ht="15" customHeight="1">
      <c r="B340" s="3" t="str">
        <f>IFERROR(VLOOKUP(C340,Master!$J:$K,2,0),"")</f>
        <v/>
      </c>
      <c r="D340" s="4" t="str">
        <f>IFERROR(VLOOKUP(E340,Master!$J:$K,2,0),"")</f>
        <v/>
      </c>
      <c r="F340" s="4" t="str">
        <f>IFERROR(VLOOKUP(G340,Master!B:C,2,0),"")</f>
        <v/>
      </c>
      <c r="I340" s="3" t="str">
        <f>IFERROR(VLOOKUP(E340,Master!$J:$M,4,0),"")</f>
        <v/>
      </c>
      <c r="J340" s="3" t="str">
        <f>IFERROR(VLOOKUP($E340,Master!$J:$M,3,0),"")</f>
        <v/>
      </c>
      <c r="AC340" s="26">
        <f t="shared" si="10"/>
        <v>0</v>
      </c>
      <c r="AD340" s="26">
        <f t="shared" si="11"/>
        <v>0</v>
      </c>
    </row>
    <row r="341" spans="2:30" ht="15" customHeight="1">
      <c r="B341" s="3" t="str">
        <f>IFERROR(VLOOKUP(C341,Master!$J:$K,2,0),"")</f>
        <v/>
      </c>
      <c r="D341" s="4" t="str">
        <f>IFERROR(VLOOKUP(E341,Master!$J:$K,2,0),"")</f>
        <v/>
      </c>
      <c r="F341" s="4" t="str">
        <f>IFERROR(VLOOKUP(G341,Master!B:C,2,0),"")</f>
        <v/>
      </c>
      <c r="I341" s="3" t="str">
        <f>IFERROR(VLOOKUP(E341,Master!$J:$M,4,0),"")</f>
        <v/>
      </c>
      <c r="J341" s="3" t="str">
        <f>IFERROR(VLOOKUP($E341,Master!$J:$M,3,0),"")</f>
        <v/>
      </c>
      <c r="AC341" s="26">
        <f t="shared" si="10"/>
        <v>0</v>
      </c>
      <c r="AD341" s="26">
        <f t="shared" si="11"/>
        <v>0</v>
      </c>
    </row>
    <row r="342" spans="2:30" ht="15" customHeight="1">
      <c r="B342" s="3" t="str">
        <f>IFERROR(VLOOKUP(C342,Master!$J:$K,2,0),"")</f>
        <v/>
      </c>
      <c r="D342" s="4" t="str">
        <f>IFERROR(VLOOKUP(E342,Master!$J:$K,2,0),"")</f>
        <v/>
      </c>
      <c r="F342" s="4" t="str">
        <f>IFERROR(VLOOKUP(G342,Master!B:C,2,0),"")</f>
        <v/>
      </c>
      <c r="I342" s="3" t="str">
        <f>IFERROR(VLOOKUP(E342,Master!$J:$M,4,0),"")</f>
        <v/>
      </c>
      <c r="J342" s="3" t="str">
        <f>IFERROR(VLOOKUP($E342,Master!$J:$M,3,0),"")</f>
        <v/>
      </c>
      <c r="AC342" s="26">
        <f t="shared" si="10"/>
        <v>0</v>
      </c>
      <c r="AD342" s="26">
        <f t="shared" si="11"/>
        <v>0</v>
      </c>
    </row>
    <row r="343" spans="2:30" ht="15" customHeight="1">
      <c r="B343" s="3" t="str">
        <f>IFERROR(VLOOKUP(C343,Master!$J:$K,2,0),"")</f>
        <v/>
      </c>
      <c r="D343" s="4" t="str">
        <f>IFERROR(VLOOKUP(E343,Master!$J:$K,2,0),"")</f>
        <v/>
      </c>
      <c r="F343" s="4" t="str">
        <f>IFERROR(VLOOKUP(G343,Master!B:C,2,0),"")</f>
        <v/>
      </c>
      <c r="I343" s="3" t="str">
        <f>IFERROR(VLOOKUP(E343,Master!$J:$M,4,0),"")</f>
        <v/>
      </c>
      <c r="J343" s="3" t="str">
        <f>IFERROR(VLOOKUP($E343,Master!$J:$M,3,0),"")</f>
        <v/>
      </c>
      <c r="AC343" s="26">
        <f t="shared" si="10"/>
        <v>0</v>
      </c>
      <c r="AD343" s="26">
        <f t="shared" si="11"/>
        <v>0</v>
      </c>
    </row>
    <row r="344" spans="2:30" ht="15" customHeight="1">
      <c r="B344" s="3" t="str">
        <f>IFERROR(VLOOKUP(C344,Master!$J:$K,2,0),"")</f>
        <v/>
      </c>
      <c r="D344" s="4" t="str">
        <f>IFERROR(VLOOKUP(E344,Master!$J:$K,2,0),"")</f>
        <v/>
      </c>
      <c r="F344" s="4" t="str">
        <f>IFERROR(VLOOKUP(G344,Master!B:C,2,0),"")</f>
        <v/>
      </c>
      <c r="I344" s="3" t="str">
        <f>IFERROR(VLOOKUP(E344,Master!$J:$M,4,0),"")</f>
        <v/>
      </c>
      <c r="J344" s="3" t="str">
        <f>IFERROR(VLOOKUP($E344,Master!$J:$M,3,0),"")</f>
        <v/>
      </c>
      <c r="AC344" s="26">
        <f t="shared" si="10"/>
        <v>0</v>
      </c>
      <c r="AD344" s="26">
        <f t="shared" si="11"/>
        <v>0</v>
      </c>
    </row>
    <row r="345" spans="2:30" ht="15" customHeight="1">
      <c r="B345" s="3" t="str">
        <f>IFERROR(VLOOKUP(C345,Master!$J:$K,2,0),"")</f>
        <v/>
      </c>
      <c r="D345" s="4" t="str">
        <f>IFERROR(VLOOKUP(E345,Master!$J:$K,2,0),"")</f>
        <v/>
      </c>
      <c r="F345" s="4" t="str">
        <f>IFERROR(VLOOKUP(G345,Master!B:C,2,0),"")</f>
        <v/>
      </c>
      <c r="I345" s="3" t="str">
        <f>IFERROR(VLOOKUP(E345,Master!$J:$M,4,0),"")</f>
        <v/>
      </c>
      <c r="J345" s="3" t="str">
        <f>IFERROR(VLOOKUP($E345,Master!$J:$M,3,0),"")</f>
        <v/>
      </c>
      <c r="AC345" s="26">
        <f t="shared" si="10"/>
        <v>0</v>
      </c>
      <c r="AD345" s="26">
        <f t="shared" si="11"/>
        <v>0</v>
      </c>
    </row>
    <row r="346" spans="2:30" ht="15" customHeight="1">
      <c r="B346" s="3" t="str">
        <f>IFERROR(VLOOKUP(C346,Master!$J:$K,2,0),"")</f>
        <v/>
      </c>
      <c r="D346" s="4" t="str">
        <f>IFERROR(VLOOKUP(E346,Master!$J:$K,2,0),"")</f>
        <v/>
      </c>
      <c r="F346" s="4" t="str">
        <f>IFERROR(VLOOKUP(G346,Master!B:C,2,0),"")</f>
        <v/>
      </c>
      <c r="I346" s="3" t="str">
        <f>IFERROR(VLOOKUP(E346,Master!$J:$M,4,0),"")</f>
        <v/>
      </c>
      <c r="J346" s="3" t="str">
        <f>IFERROR(VLOOKUP($E346,Master!$J:$M,3,0),"")</f>
        <v/>
      </c>
      <c r="AC346" s="26">
        <f t="shared" si="10"/>
        <v>0</v>
      </c>
      <c r="AD346" s="26">
        <f t="shared" si="11"/>
        <v>0</v>
      </c>
    </row>
    <row r="347" spans="2:30" ht="15" customHeight="1">
      <c r="B347" s="3" t="str">
        <f>IFERROR(VLOOKUP(C347,Master!$J:$K,2,0),"")</f>
        <v/>
      </c>
      <c r="D347" s="4" t="str">
        <f>IFERROR(VLOOKUP(E347,Master!$J:$K,2,0),"")</f>
        <v/>
      </c>
      <c r="F347" s="4" t="str">
        <f>IFERROR(VLOOKUP(G347,Master!B:C,2,0),"")</f>
        <v/>
      </c>
      <c r="I347" s="3" t="str">
        <f>IFERROR(VLOOKUP(E347,Master!$J:$M,4,0),"")</f>
        <v/>
      </c>
      <c r="J347" s="3" t="str">
        <f>IFERROR(VLOOKUP($E347,Master!$J:$M,3,0),"")</f>
        <v/>
      </c>
      <c r="AC347" s="26">
        <f t="shared" si="10"/>
        <v>0</v>
      </c>
      <c r="AD347" s="26">
        <f t="shared" si="11"/>
        <v>0</v>
      </c>
    </row>
    <row r="348" spans="2:30" ht="15" customHeight="1">
      <c r="B348" s="3" t="str">
        <f>IFERROR(VLOOKUP(C348,Master!$J:$K,2,0),"")</f>
        <v/>
      </c>
      <c r="D348" s="4" t="str">
        <f>IFERROR(VLOOKUP(E348,Master!$J:$K,2,0),"")</f>
        <v/>
      </c>
      <c r="F348" s="4" t="str">
        <f>IFERROR(VLOOKUP(G348,Master!B:C,2,0),"")</f>
        <v/>
      </c>
      <c r="I348" s="3" t="str">
        <f>IFERROR(VLOOKUP(E348,Master!$J:$M,4,0),"")</f>
        <v/>
      </c>
      <c r="J348" s="3" t="str">
        <f>IFERROR(VLOOKUP($E348,Master!$J:$M,3,0),"")</f>
        <v/>
      </c>
      <c r="AC348" s="26">
        <f t="shared" si="10"/>
        <v>0</v>
      </c>
      <c r="AD348" s="26">
        <f t="shared" si="11"/>
        <v>0</v>
      </c>
    </row>
    <row r="349" spans="2:30" ht="15" customHeight="1">
      <c r="B349" s="3" t="str">
        <f>IFERROR(VLOOKUP(C349,Master!$J:$K,2,0),"")</f>
        <v/>
      </c>
      <c r="D349" s="4" t="str">
        <f>IFERROR(VLOOKUP(E349,Master!$J:$K,2,0),"")</f>
        <v/>
      </c>
      <c r="F349" s="4" t="str">
        <f>IFERROR(VLOOKUP(G349,Master!B:C,2,0),"")</f>
        <v/>
      </c>
      <c r="I349" s="3" t="str">
        <f>IFERROR(VLOOKUP(E349,Master!$J:$M,4,0),"")</f>
        <v/>
      </c>
      <c r="J349" s="3" t="str">
        <f>IFERROR(VLOOKUP($E349,Master!$J:$M,3,0),"")</f>
        <v/>
      </c>
      <c r="AC349" s="26">
        <f t="shared" si="10"/>
        <v>0</v>
      </c>
      <c r="AD349" s="26">
        <f t="shared" si="11"/>
        <v>0</v>
      </c>
    </row>
    <row r="350" spans="2:30" ht="15" customHeight="1">
      <c r="B350" s="3" t="str">
        <f>IFERROR(VLOOKUP(C350,Master!$J:$K,2,0),"")</f>
        <v/>
      </c>
      <c r="D350" s="4" t="str">
        <f>IFERROR(VLOOKUP(E350,Master!$J:$K,2,0),"")</f>
        <v/>
      </c>
      <c r="F350" s="4" t="str">
        <f>IFERROR(VLOOKUP(G350,Master!B:C,2,0),"")</f>
        <v/>
      </c>
      <c r="I350" s="3" t="str">
        <f>IFERROR(VLOOKUP(E350,Master!$J:$M,4,0),"")</f>
        <v/>
      </c>
      <c r="J350" s="3" t="str">
        <f>IFERROR(VLOOKUP($E350,Master!$J:$M,3,0),"")</f>
        <v/>
      </c>
      <c r="AC350" s="26">
        <f t="shared" si="10"/>
        <v>0</v>
      </c>
      <c r="AD350" s="26">
        <f t="shared" si="11"/>
        <v>0</v>
      </c>
    </row>
    <row r="351" spans="2:30" ht="15" customHeight="1">
      <c r="B351" s="3" t="str">
        <f>IFERROR(VLOOKUP(C351,Master!$J:$K,2,0),"")</f>
        <v/>
      </c>
      <c r="D351" s="4" t="str">
        <f>IFERROR(VLOOKUP(E351,Master!$J:$K,2,0),"")</f>
        <v/>
      </c>
      <c r="F351" s="4" t="str">
        <f>IFERROR(VLOOKUP(G351,Master!B:C,2,0),"")</f>
        <v/>
      </c>
      <c r="I351" s="3" t="str">
        <f>IFERROR(VLOOKUP(E351,Master!$J:$M,4,0),"")</f>
        <v/>
      </c>
      <c r="J351" s="3" t="str">
        <f>IFERROR(VLOOKUP($E351,Master!$J:$M,3,0),"")</f>
        <v/>
      </c>
      <c r="AC351" s="26">
        <f t="shared" si="10"/>
        <v>0</v>
      </c>
      <c r="AD351" s="26">
        <f t="shared" si="11"/>
        <v>0</v>
      </c>
    </row>
    <row r="352" spans="2:30" ht="15" customHeight="1">
      <c r="B352" s="3" t="str">
        <f>IFERROR(VLOOKUP(C352,Master!$J:$K,2,0),"")</f>
        <v/>
      </c>
      <c r="D352" s="4" t="str">
        <f>IFERROR(VLOOKUP(E352,Master!$J:$K,2,0),"")</f>
        <v/>
      </c>
      <c r="F352" s="4" t="str">
        <f>IFERROR(VLOOKUP(G352,Master!B:C,2,0),"")</f>
        <v/>
      </c>
      <c r="I352" s="3" t="str">
        <f>IFERROR(VLOOKUP(E352,Master!$J:$M,4,0),"")</f>
        <v/>
      </c>
      <c r="J352" s="3" t="str">
        <f>IFERROR(VLOOKUP($E352,Master!$J:$M,3,0),"")</f>
        <v/>
      </c>
      <c r="AC352" s="26">
        <f t="shared" si="10"/>
        <v>0</v>
      </c>
      <c r="AD352" s="26">
        <f t="shared" si="11"/>
        <v>0</v>
      </c>
    </row>
    <row r="353" spans="2:30" ht="15" customHeight="1">
      <c r="B353" s="3" t="str">
        <f>IFERROR(VLOOKUP(C353,Master!$J:$K,2,0),"")</f>
        <v/>
      </c>
      <c r="D353" s="4" t="str">
        <f>IFERROR(VLOOKUP(E353,Master!$J:$K,2,0),"")</f>
        <v/>
      </c>
      <c r="F353" s="4" t="str">
        <f>IFERROR(VLOOKUP(G353,Master!B:C,2,0),"")</f>
        <v/>
      </c>
      <c r="I353" s="3" t="str">
        <f>IFERROR(VLOOKUP(E353,Master!$J:$M,4,0),"")</f>
        <v/>
      </c>
      <c r="J353" s="3" t="str">
        <f>IFERROR(VLOOKUP($E353,Master!$J:$M,3,0),"")</f>
        <v/>
      </c>
      <c r="AC353" s="26">
        <f t="shared" si="10"/>
        <v>0</v>
      </c>
      <c r="AD353" s="26">
        <f t="shared" si="11"/>
        <v>0</v>
      </c>
    </row>
    <row r="354" spans="2:30" ht="15" customHeight="1">
      <c r="B354" s="3" t="str">
        <f>IFERROR(VLOOKUP(C354,Master!$J:$K,2,0),"")</f>
        <v/>
      </c>
      <c r="D354" s="4" t="str">
        <f>IFERROR(VLOOKUP(E354,Master!$J:$K,2,0),"")</f>
        <v/>
      </c>
      <c r="F354" s="4" t="str">
        <f>IFERROR(VLOOKUP(G354,Master!B:C,2,0),"")</f>
        <v/>
      </c>
      <c r="I354" s="3" t="str">
        <f>IFERROR(VLOOKUP(E354,Master!$J:$M,4,0),"")</f>
        <v/>
      </c>
      <c r="J354" s="3" t="str">
        <f>IFERROR(VLOOKUP($E354,Master!$J:$M,3,0),"")</f>
        <v/>
      </c>
      <c r="AC354" s="26">
        <f t="shared" si="10"/>
        <v>0</v>
      </c>
      <c r="AD354" s="26">
        <f t="shared" si="11"/>
        <v>0</v>
      </c>
    </row>
    <row r="355" spans="2:30" ht="15" customHeight="1">
      <c r="B355" s="3" t="str">
        <f>IFERROR(VLOOKUP(C355,Master!$J:$K,2,0),"")</f>
        <v/>
      </c>
      <c r="D355" s="4" t="str">
        <f>IFERROR(VLOOKUP(E355,Master!$J:$K,2,0),"")</f>
        <v/>
      </c>
      <c r="F355" s="4" t="str">
        <f>IFERROR(VLOOKUP(G355,Master!B:C,2,0),"")</f>
        <v/>
      </c>
      <c r="I355" s="3" t="str">
        <f>IFERROR(VLOOKUP(E355,Master!$J:$M,4,0),"")</f>
        <v/>
      </c>
      <c r="J355" s="3" t="str">
        <f>IFERROR(VLOOKUP($E355,Master!$J:$M,3,0),"")</f>
        <v/>
      </c>
      <c r="AC355" s="26">
        <f t="shared" si="10"/>
        <v>0</v>
      </c>
      <c r="AD355" s="26">
        <f t="shared" si="11"/>
        <v>0</v>
      </c>
    </row>
    <row r="356" spans="2:30" ht="15" customHeight="1">
      <c r="B356" s="3" t="str">
        <f>IFERROR(VLOOKUP(C356,Master!$J:$K,2,0),"")</f>
        <v/>
      </c>
      <c r="D356" s="4" t="str">
        <f>IFERROR(VLOOKUP(E356,Master!$J:$K,2,0),"")</f>
        <v/>
      </c>
      <c r="F356" s="4" t="str">
        <f>IFERROR(VLOOKUP(G356,Master!B:C,2,0),"")</f>
        <v/>
      </c>
      <c r="I356" s="3" t="str">
        <f>IFERROR(VLOOKUP(E356,Master!$J:$M,4,0),"")</f>
        <v/>
      </c>
      <c r="J356" s="3" t="str">
        <f>IFERROR(VLOOKUP($E356,Master!$J:$M,3,0),"")</f>
        <v/>
      </c>
      <c r="AC356" s="26">
        <f t="shared" si="10"/>
        <v>0</v>
      </c>
      <c r="AD356" s="26">
        <f t="shared" si="11"/>
        <v>0</v>
      </c>
    </row>
    <row r="357" spans="2:30" ht="15" customHeight="1">
      <c r="B357" s="3" t="str">
        <f>IFERROR(VLOOKUP(C357,Master!$J:$K,2,0),"")</f>
        <v/>
      </c>
      <c r="D357" s="4" t="str">
        <f>IFERROR(VLOOKUP(E357,Master!$J:$K,2,0),"")</f>
        <v/>
      </c>
      <c r="F357" s="4" t="str">
        <f>IFERROR(VLOOKUP(G357,Master!B:C,2,0),"")</f>
        <v/>
      </c>
      <c r="I357" s="3" t="str">
        <f>IFERROR(VLOOKUP(E357,Master!$J:$M,4,0),"")</f>
        <v/>
      </c>
      <c r="J357" s="3" t="str">
        <f>IFERROR(VLOOKUP($E357,Master!$J:$M,3,0),"")</f>
        <v/>
      </c>
      <c r="AC357" s="26">
        <f t="shared" si="10"/>
        <v>0</v>
      </c>
      <c r="AD357" s="26">
        <f t="shared" si="11"/>
        <v>0</v>
      </c>
    </row>
    <row r="358" spans="2:30" ht="15" customHeight="1">
      <c r="B358" s="3" t="str">
        <f>IFERROR(VLOOKUP(C358,Master!$J:$K,2,0),"")</f>
        <v/>
      </c>
      <c r="D358" s="4" t="str">
        <f>IFERROR(VLOOKUP(E358,Master!$J:$K,2,0),"")</f>
        <v/>
      </c>
      <c r="F358" s="4" t="str">
        <f>IFERROR(VLOOKUP(G358,Master!B:C,2,0),"")</f>
        <v/>
      </c>
      <c r="I358" s="3" t="str">
        <f>IFERROR(VLOOKUP(E358,Master!$J:$M,4,0),"")</f>
        <v/>
      </c>
      <c r="J358" s="3" t="str">
        <f>IFERROR(VLOOKUP($E358,Master!$J:$M,3,0),"")</f>
        <v/>
      </c>
      <c r="AC358" s="26">
        <f t="shared" si="10"/>
        <v>0</v>
      </c>
      <c r="AD358" s="26">
        <f t="shared" si="11"/>
        <v>0</v>
      </c>
    </row>
    <row r="359" spans="2:30" ht="15" customHeight="1">
      <c r="B359" s="3" t="str">
        <f>IFERROR(VLOOKUP(C359,Master!$J:$K,2,0),"")</f>
        <v/>
      </c>
      <c r="D359" s="4" t="str">
        <f>IFERROR(VLOOKUP(E359,Master!$J:$K,2,0),"")</f>
        <v/>
      </c>
      <c r="F359" s="4" t="str">
        <f>IFERROR(VLOOKUP(G359,Master!B:C,2,0),"")</f>
        <v/>
      </c>
      <c r="I359" s="3" t="str">
        <f>IFERROR(VLOOKUP(E359,Master!$J:$M,4,0),"")</f>
        <v/>
      </c>
      <c r="J359" s="3" t="str">
        <f>IFERROR(VLOOKUP($E359,Master!$J:$M,3,0),"")</f>
        <v/>
      </c>
      <c r="AC359" s="26">
        <f t="shared" si="10"/>
        <v>0</v>
      </c>
      <c r="AD359" s="26">
        <f t="shared" si="11"/>
        <v>0</v>
      </c>
    </row>
    <row r="360" spans="2:30" ht="15" customHeight="1">
      <c r="B360" s="3" t="str">
        <f>IFERROR(VLOOKUP(C360,Master!$J:$K,2,0),"")</f>
        <v/>
      </c>
      <c r="D360" s="4" t="str">
        <f>IFERROR(VLOOKUP(E360,Master!$J:$K,2,0),"")</f>
        <v/>
      </c>
      <c r="F360" s="4" t="str">
        <f>IFERROR(VLOOKUP(G360,Master!B:C,2,0),"")</f>
        <v/>
      </c>
      <c r="I360" s="3" t="str">
        <f>IFERROR(VLOOKUP(E360,Master!$J:$M,4,0),"")</f>
        <v/>
      </c>
      <c r="J360" s="3" t="str">
        <f>IFERROR(VLOOKUP($E360,Master!$J:$M,3,0),"")</f>
        <v/>
      </c>
      <c r="AC360" s="26">
        <f t="shared" si="10"/>
        <v>0</v>
      </c>
      <c r="AD360" s="26">
        <f t="shared" si="11"/>
        <v>0</v>
      </c>
    </row>
    <row r="361" spans="2:30" ht="15" customHeight="1">
      <c r="B361" s="3" t="str">
        <f>IFERROR(VLOOKUP(C361,Master!$J:$K,2,0),"")</f>
        <v/>
      </c>
      <c r="D361" s="4" t="str">
        <f>IFERROR(VLOOKUP(E361,Master!$J:$K,2,0),"")</f>
        <v/>
      </c>
      <c r="F361" s="4" t="str">
        <f>IFERROR(VLOOKUP(G361,Master!B:C,2,0),"")</f>
        <v/>
      </c>
      <c r="I361" s="3" t="str">
        <f>IFERROR(VLOOKUP(E361,Master!$J:$M,4,0),"")</f>
        <v/>
      </c>
      <c r="J361" s="3" t="str">
        <f>IFERROR(VLOOKUP($E361,Master!$J:$M,3,0),"")</f>
        <v/>
      </c>
      <c r="AC361" s="26">
        <f t="shared" si="10"/>
        <v>0</v>
      </c>
      <c r="AD361" s="26">
        <f t="shared" si="11"/>
        <v>0</v>
      </c>
    </row>
    <row r="362" spans="2:30" ht="15" customHeight="1">
      <c r="B362" s="3" t="str">
        <f>IFERROR(VLOOKUP(C362,Master!$J:$K,2,0),"")</f>
        <v/>
      </c>
      <c r="D362" s="4" t="str">
        <f>IFERROR(VLOOKUP(E362,Master!$J:$K,2,0),"")</f>
        <v/>
      </c>
      <c r="F362" s="4" t="str">
        <f>IFERROR(VLOOKUP(G362,Master!B:C,2,0),"")</f>
        <v/>
      </c>
      <c r="I362" s="3" t="str">
        <f>IFERROR(VLOOKUP(E362,Master!$J:$M,4,0),"")</f>
        <v/>
      </c>
      <c r="J362" s="3" t="str">
        <f>IFERROR(VLOOKUP($E362,Master!$J:$M,3,0),"")</f>
        <v/>
      </c>
      <c r="AC362" s="26">
        <f t="shared" si="10"/>
        <v>0</v>
      </c>
      <c r="AD362" s="26">
        <f t="shared" si="11"/>
        <v>0</v>
      </c>
    </row>
    <row r="363" spans="2:30" ht="15" customHeight="1">
      <c r="B363" s="3" t="str">
        <f>IFERROR(VLOOKUP(C363,Master!$J:$K,2,0),"")</f>
        <v/>
      </c>
      <c r="D363" s="4" t="str">
        <f>IFERROR(VLOOKUP(E363,Master!$J:$K,2,0),"")</f>
        <v/>
      </c>
      <c r="F363" s="4" t="str">
        <f>IFERROR(VLOOKUP(G363,Master!B:C,2,0),"")</f>
        <v/>
      </c>
      <c r="I363" s="3" t="str">
        <f>IFERROR(VLOOKUP(E363,Master!$J:$M,4,0),"")</f>
        <v/>
      </c>
      <c r="J363" s="3" t="str">
        <f>IFERROR(VLOOKUP($E363,Master!$J:$M,3,0),"")</f>
        <v/>
      </c>
      <c r="AC363" s="26">
        <f t="shared" si="10"/>
        <v>0</v>
      </c>
      <c r="AD363" s="26">
        <f t="shared" si="11"/>
        <v>0</v>
      </c>
    </row>
    <row r="364" spans="2:30" ht="15" customHeight="1">
      <c r="B364" s="3" t="str">
        <f>IFERROR(VLOOKUP(C364,Master!$J:$K,2,0),"")</f>
        <v/>
      </c>
      <c r="D364" s="4" t="str">
        <f>IFERROR(VLOOKUP(E364,Master!$J:$K,2,0),"")</f>
        <v/>
      </c>
      <c r="F364" s="4" t="str">
        <f>IFERROR(VLOOKUP(G364,Master!B:C,2,0),"")</f>
        <v/>
      </c>
      <c r="I364" s="3" t="str">
        <f>IFERROR(VLOOKUP(E364,Master!$J:$M,4,0),"")</f>
        <v/>
      </c>
      <c r="J364" s="3" t="str">
        <f>IFERROR(VLOOKUP($E364,Master!$J:$M,3,0),"")</f>
        <v/>
      </c>
      <c r="AC364" s="26">
        <f t="shared" si="10"/>
        <v>0</v>
      </c>
      <c r="AD364" s="26">
        <f t="shared" si="11"/>
        <v>0</v>
      </c>
    </row>
    <row r="365" spans="2:30" ht="15" customHeight="1">
      <c r="B365" s="3" t="str">
        <f>IFERROR(VLOOKUP(C365,Master!$J:$K,2,0),"")</f>
        <v/>
      </c>
      <c r="D365" s="4" t="str">
        <f>IFERROR(VLOOKUP(E365,Master!$J:$K,2,0),"")</f>
        <v/>
      </c>
      <c r="F365" s="4" t="str">
        <f>IFERROR(VLOOKUP(G365,Master!B:C,2,0),"")</f>
        <v/>
      </c>
      <c r="I365" s="3" t="str">
        <f>IFERROR(VLOOKUP(E365,Master!$J:$M,4,0),"")</f>
        <v/>
      </c>
      <c r="J365" s="3" t="str">
        <f>IFERROR(VLOOKUP($E365,Master!$J:$M,3,0),"")</f>
        <v/>
      </c>
      <c r="AC365" s="26">
        <f t="shared" si="10"/>
        <v>0</v>
      </c>
      <c r="AD365" s="26">
        <f t="shared" si="11"/>
        <v>0</v>
      </c>
    </row>
    <row r="366" spans="2:30" ht="15" customHeight="1">
      <c r="B366" s="3" t="str">
        <f>IFERROR(VLOOKUP(C366,Master!$J:$K,2,0),"")</f>
        <v/>
      </c>
      <c r="D366" s="4" t="str">
        <f>IFERROR(VLOOKUP(E366,Master!$J:$K,2,0),"")</f>
        <v/>
      </c>
      <c r="F366" s="4" t="str">
        <f>IFERROR(VLOOKUP(G366,Master!B:C,2,0),"")</f>
        <v/>
      </c>
      <c r="I366" s="3" t="str">
        <f>IFERROR(VLOOKUP(E366,Master!$J:$M,4,0),"")</f>
        <v/>
      </c>
      <c r="J366" s="3" t="str">
        <f>IFERROR(VLOOKUP($E366,Master!$J:$M,3,0),"")</f>
        <v/>
      </c>
      <c r="AC366" s="26">
        <f t="shared" si="10"/>
        <v>0</v>
      </c>
      <c r="AD366" s="26">
        <f t="shared" si="11"/>
        <v>0</v>
      </c>
    </row>
    <row r="367" spans="2:30" ht="15" customHeight="1">
      <c r="B367" s="3" t="str">
        <f>IFERROR(VLOOKUP(C367,Master!$J:$K,2,0),"")</f>
        <v/>
      </c>
      <c r="D367" s="4" t="str">
        <f>IFERROR(VLOOKUP(E367,Master!$J:$K,2,0),"")</f>
        <v/>
      </c>
      <c r="F367" s="4" t="str">
        <f>IFERROR(VLOOKUP(G367,Master!B:C,2,0),"")</f>
        <v/>
      </c>
      <c r="I367" s="3" t="str">
        <f>IFERROR(VLOOKUP(E367,Master!$J:$M,4,0),"")</f>
        <v/>
      </c>
      <c r="J367" s="3" t="str">
        <f>IFERROR(VLOOKUP($E367,Master!$J:$M,3,0),"")</f>
        <v/>
      </c>
      <c r="AC367" s="26">
        <f t="shared" si="10"/>
        <v>0</v>
      </c>
      <c r="AD367" s="26">
        <f t="shared" si="11"/>
        <v>0</v>
      </c>
    </row>
    <row r="368" spans="2:30" ht="15" customHeight="1">
      <c r="B368" s="3" t="str">
        <f>IFERROR(VLOOKUP(C368,Master!$J:$K,2,0),"")</f>
        <v/>
      </c>
      <c r="D368" s="4" t="str">
        <f>IFERROR(VLOOKUP(E368,Master!$J:$K,2,0),"")</f>
        <v/>
      </c>
      <c r="F368" s="4" t="str">
        <f>IFERROR(VLOOKUP(G368,Master!B:C,2,0),"")</f>
        <v/>
      </c>
      <c r="I368" s="3" t="str">
        <f>IFERROR(VLOOKUP(E368,Master!$J:$M,4,0),"")</f>
        <v/>
      </c>
      <c r="J368" s="3" t="str">
        <f>IFERROR(VLOOKUP($E368,Master!$J:$M,3,0),"")</f>
        <v/>
      </c>
      <c r="AC368" s="26">
        <f t="shared" si="10"/>
        <v>0</v>
      </c>
      <c r="AD368" s="26">
        <f t="shared" si="11"/>
        <v>0</v>
      </c>
    </row>
    <row r="369" spans="2:30" ht="15" customHeight="1">
      <c r="B369" s="3" t="str">
        <f>IFERROR(VLOOKUP(C369,Master!$J:$K,2,0),"")</f>
        <v/>
      </c>
      <c r="D369" s="4" t="str">
        <f>IFERROR(VLOOKUP(E369,Master!$J:$K,2,0),"")</f>
        <v/>
      </c>
      <c r="F369" s="4" t="str">
        <f>IFERROR(VLOOKUP(G369,Master!B:C,2,0),"")</f>
        <v/>
      </c>
      <c r="I369" s="3" t="str">
        <f>IFERROR(VLOOKUP(E369,Master!$J:$M,4,0),"")</f>
        <v/>
      </c>
      <c r="J369" s="3" t="str">
        <f>IFERROR(VLOOKUP($E369,Master!$J:$M,3,0),"")</f>
        <v/>
      </c>
      <c r="AC369" s="26">
        <f t="shared" si="10"/>
        <v>0</v>
      </c>
      <c r="AD369" s="26">
        <f t="shared" si="11"/>
        <v>0</v>
      </c>
    </row>
    <row r="370" spans="2:30" ht="15" customHeight="1">
      <c r="B370" s="3" t="str">
        <f>IFERROR(VLOOKUP(C370,Master!$J:$K,2,0),"")</f>
        <v/>
      </c>
      <c r="D370" s="4" t="str">
        <f>IFERROR(VLOOKUP(E370,Master!$J:$K,2,0),"")</f>
        <v/>
      </c>
      <c r="F370" s="4" t="str">
        <f>IFERROR(VLOOKUP(G370,Master!B:C,2,0),"")</f>
        <v/>
      </c>
      <c r="I370" s="3" t="str">
        <f>IFERROR(VLOOKUP(E370,Master!$J:$M,4,0),"")</f>
        <v/>
      </c>
      <c r="J370" s="3" t="str">
        <f>IFERROR(VLOOKUP($E370,Master!$J:$M,3,0),"")</f>
        <v/>
      </c>
      <c r="AC370" s="26">
        <f t="shared" si="10"/>
        <v>0</v>
      </c>
      <c r="AD370" s="26">
        <f t="shared" si="11"/>
        <v>0</v>
      </c>
    </row>
    <row r="371" spans="2:30" ht="15" customHeight="1">
      <c r="B371" s="3" t="str">
        <f>IFERROR(VLOOKUP(C371,Master!$J:$K,2,0),"")</f>
        <v/>
      </c>
      <c r="D371" s="4" t="str">
        <f>IFERROR(VLOOKUP(E371,Master!$J:$K,2,0),"")</f>
        <v/>
      </c>
      <c r="F371" s="4" t="str">
        <f>IFERROR(VLOOKUP(G371,Master!B:C,2,0),"")</f>
        <v/>
      </c>
      <c r="I371" s="3" t="str">
        <f>IFERROR(VLOOKUP(E371,Master!$J:$M,4,0),"")</f>
        <v/>
      </c>
      <c r="J371" s="3" t="str">
        <f>IFERROR(VLOOKUP($E371,Master!$J:$M,3,0),"")</f>
        <v/>
      </c>
      <c r="AC371" s="26">
        <f t="shared" si="10"/>
        <v>0</v>
      </c>
      <c r="AD371" s="26">
        <f t="shared" si="11"/>
        <v>0</v>
      </c>
    </row>
    <row r="372" spans="2:30" ht="15" customHeight="1">
      <c r="B372" s="3" t="str">
        <f>IFERROR(VLOOKUP(C372,Master!$J:$K,2,0),"")</f>
        <v/>
      </c>
      <c r="D372" s="4" t="str">
        <f>IFERROR(VLOOKUP(E372,Master!$J:$K,2,0),"")</f>
        <v/>
      </c>
      <c r="F372" s="4" t="str">
        <f>IFERROR(VLOOKUP(G372,Master!B:C,2,0),"")</f>
        <v/>
      </c>
      <c r="I372" s="3" t="str">
        <f>IFERROR(VLOOKUP(E372,Master!$J:$M,4,0),"")</f>
        <v/>
      </c>
      <c r="J372" s="3" t="str">
        <f>IFERROR(VLOOKUP($E372,Master!$J:$M,3,0),"")</f>
        <v/>
      </c>
      <c r="AC372" s="26">
        <f t="shared" si="10"/>
        <v>0</v>
      </c>
      <c r="AD372" s="26">
        <f t="shared" si="11"/>
        <v>0</v>
      </c>
    </row>
    <row r="373" spans="2:30" ht="15" customHeight="1">
      <c r="B373" s="3" t="str">
        <f>IFERROR(VLOOKUP(C373,Master!$J:$K,2,0),"")</f>
        <v/>
      </c>
      <c r="D373" s="4" t="str">
        <f>IFERROR(VLOOKUP(E373,Master!$J:$K,2,0),"")</f>
        <v/>
      </c>
      <c r="F373" s="4" t="str">
        <f>IFERROR(VLOOKUP(G373,Master!B:C,2,0),"")</f>
        <v/>
      </c>
      <c r="I373" s="3" t="str">
        <f>IFERROR(VLOOKUP(E373,Master!$J:$M,4,0),"")</f>
        <v/>
      </c>
      <c r="J373" s="3" t="str">
        <f>IFERROR(VLOOKUP($E373,Master!$J:$M,3,0),"")</f>
        <v/>
      </c>
      <c r="AC373" s="26">
        <f t="shared" si="10"/>
        <v>0</v>
      </c>
      <c r="AD373" s="26">
        <f t="shared" si="11"/>
        <v>0</v>
      </c>
    </row>
    <row r="374" spans="2:30" ht="15" customHeight="1">
      <c r="B374" s="3" t="str">
        <f>IFERROR(VLOOKUP(C374,Master!$J:$K,2,0),"")</f>
        <v/>
      </c>
      <c r="D374" s="4" t="str">
        <f>IFERROR(VLOOKUP(E374,Master!$J:$K,2,0),"")</f>
        <v/>
      </c>
      <c r="F374" s="4" t="str">
        <f>IFERROR(VLOOKUP(G374,Master!B:C,2,0),"")</f>
        <v/>
      </c>
      <c r="I374" s="3" t="str">
        <f>IFERROR(VLOOKUP(E374,Master!$J:$M,4,0),"")</f>
        <v/>
      </c>
      <c r="J374" s="3" t="str">
        <f>IFERROR(VLOOKUP($E374,Master!$J:$M,3,0),"")</f>
        <v/>
      </c>
      <c r="AC374" s="26">
        <f t="shared" si="10"/>
        <v>0</v>
      </c>
      <c r="AD374" s="26">
        <f t="shared" si="11"/>
        <v>0</v>
      </c>
    </row>
    <row r="375" spans="2:30" ht="15" customHeight="1">
      <c r="B375" s="3" t="str">
        <f>IFERROR(VLOOKUP(C375,Master!$J:$K,2,0),"")</f>
        <v/>
      </c>
      <c r="D375" s="4" t="str">
        <f>IFERROR(VLOOKUP(E375,Master!$J:$K,2,0),"")</f>
        <v/>
      </c>
      <c r="F375" s="4" t="str">
        <f>IFERROR(VLOOKUP(G375,Master!B:C,2,0),"")</f>
        <v/>
      </c>
      <c r="I375" s="3" t="str">
        <f>IFERROR(VLOOKUP(E375,Master!$J:$M,4,0),"")</f>
        <v/>
      </c>
      <c r="J375" s="3" t="str">
        <f>IFERROR(VLOOKUP($E375,Master!$J:$M,3,0),"")</f>
        <v/>
      </c>
      <c r="AC375" s="26">
        <f t="shared" si="10"/>
        <v>0</v>
      </c>
      <c r="AD375" s="26">
        <f t="shared" si="11"/>
        <v>0</v>
      </c>
    </row>
    <row r="376" spans="2:30" ht="15" customHeight="1">
      <c r="B376" s="3" t="str">
        <f>IFERROR(VLOOKUP(C376,Master!$J:$K,2,0),"")</f>
        <v/>
      </c>
      <c r="D376" s="4" t="str">
        <f>IFERROR(VLOOKUP(E376,Master!$J:$K,2,0),"")</f>
        <v/>
      </c>
      <c r="F376" s="4" t="str">
        <f>IFERROR(VLOOKUP(G376,Master!B:C,2,0),"")</f>
        <v/>
      </c>
      <c r="I376" s="3" t="str">
        <f>IFERROR(VLOOKUP(E376,Master!$J:$M,4,0),"")</f>
        <v/>
      </c>
      <c r="J376" s="3" t="str">
        <f>IFERROR(VLOOKUP($E376,Master!$J:$M,3,0),"")</f>
        <v/>
      </c>
      <c r="AC376" s="26">
        <f t="shared" si="10"/>
        <v>0</v>
      </c>
      <c r="AD376" s="26">
        <f t="shared" si="11"/>
        <v>0</v>
      </c>
    </row>
    <row r="377" spans="2:30" ht="15" customHeight="1">
      <c r="B377" s="3" t="str">
        <f>IFERROR(VLOOKUP(C377,Master!$J:$K,2,0),"")</f>
        <v/>
      </c>
      <c r="D377" s="4" t="str">
        <f>IFERROR(VLOOKUP(E377,Master!$J:$K,2,0),"")</f>
        <v/>
      </c>
      <c r="F377" s="4" t="str">
        <f>IFERROR(VLOOKUP(G377,Master!B:C,2,0),"")</f>
        <v/>
      </c>
      <c r="I377" s="3" t="str">
        <f>IFERROR(VLOOKUP(E377,Master!$J:$M,4,0),"")</f>
        <v/>
      </c>
      <c r="J377" s="3" t="str">
        <f>IFERROR(VLOOKUP($E377,Master!$J:$M,3,0),"")</f>
        <v/>
      </c>
      <c r="AC377" s="26">
        <f t="shared" si="10"/>
        <v>0</v>
      </c>
      <c r="AD377" s="26">
        <f t="shared" si="11"/>
        <v>0</v>
      </c>
    </row>
    <row r="378" spans="2:30" ht="15" customHeight="1">
      <c r="B378" s="3" t="str">
        <f>IFERROR(VLOOKUP(C378,Master!$J:$K,2,0),"")</f>
        <v/>
      </c>
      <c r="D378" s="4" t="str">
        <f>IFERROR(VLOOKUP(E378,Master!$J:$K,2,0),"")</f>
        <v/>
      </c>
      <c r="F378" s="4" t="str">
        <f>IFERROR(VLOOKUP(G378,Master!B:C,2,0),"")</f>
        <v/>
      </c>
      <c r="I378" s="3" t="str">
        <f>IFERROR(VLOOKUP(E378,Master!$J:$M,4,0),"")</f>
        <v/>
      </c>
      <c r="J378" s="3" t="str">
        <f>IFERROR(VLOOKUP($E378,Master!$J:$M,3,0),"")</f>
        <v/>
      </c>
      <c r="AC378" s="26">
        <f t="shared" si="10"/>
        <v>0</v>
      </c>
      <c r="AD378" s="26">
        <f t="shared" si="11"/>
        <v>0</v>
      </c>
    </row>
    <row r="379" spans="2:30" ht="15" customHeight="1">
      <c r="B379" s="3" t="str">
        <f>IFERROR(VLOOKUP(C379,Master!$J:$K,2,0),"")</f>
        <v/>
      </c>
      <c r="D379" s="4" t="str">
        <f>IFERROR(VLOOKUP(E379,Master!$J:$K,2,0),"")</f>
        <v/>
      </c>
      <c r="F379" s="4" t="str">
        <f>IFERROR(VLOOKUP(G379,Master!B:C,2,0),"")</f>
        <v/>
      </c>
      <c r="I379" s="3" t="str">
        <f>IFERROR(VLOOKUP(E379,Master!$J:$M,4,0),"")</f>
        <v/>
      </c>
      <c r="J379" s="3" t="str">
        <f>IFERROR(VLOOKUP($E379,Master!$J:$M,3,0),"")</f>
        <v/>
      </c>
      <c r="AC379" s="26">
        <f t="shared" si="10"/>
        <v>0</v>
      </c>
      <c r="AD379" s="26">
        <f t="shared" si="11"/>
        <v>0</v>
      </c>
    </row>
    <row r="380" spans="2:30" ht="15" customHeight="1">
      <c r="B380" s="3" t="str">
        <f>IFERROR(VLOOKUP(C380,Master!$J:$K,2,0),"")</f>
        <v/>
      </c>
      <c r="D380" s="4" t="str">
        <f>IFERROR(VLOOKUP(E380,Master!$J:$K,2,0),"")</f>
        <v/>
      </c>
      <c r="F380" s="4" t="str">
        <f>IFERROR(VLOOKUP(G380,Master!B:C,2,0),"")</f>
        <v/>
      </c>
      <c r="I380" s="3" t="str">
        <f>IFERROR(VLOOKUP(E380,Master!$J:$M,4,0),"")</f>
        <v/>
      </c>
      <c r="J380" s="3" t="str">
        <f>IFERROR(VLOOKUP($E380,Master!$J:$M,3,0),"")</f>
        <v/>
      </c>
      <c r="AC380" s="26">
        <f t="shared" si="10"/>
        <v>0</v>
      </c>
      <c r="AD380" s="26">
        <f t="shared" si="11"/>
        <v>0</v>
      </c>
    </row>
    <row r="381" spans="2:30" ht="15" customHeight="1">
      <c r="B381" s="3" t="str">
        <f>IFERROR(VLOOKUP(C381,Master!$J:$K,2,0),"")</f>
        <v/>
      </c>
      <c r="D381" s="4" t="str">
        <f>IFERROR(VLOOKUP(E381,Master!$J:$K,2,0),"")</f>
        <v/>
      </c>
      <c r="F381" s="4" t="str">
        <f>IFERROR(VLOOKUP(G381,Master!B:C,2,0),"")</f>
        <v/>
      </c>
      <c r="I381" s="3" t="str">
        <f>IFERROR(VLOOKUP(E381,Master!$J:$M,4,0),"")</f>
        <v/>
      </c>
      <c r="J381" s="3" t="str">
        <f>IFERROR(VLOOKUP($E381,Master!$J:$M,3,0),"")</f>
        <v/>
      </c>
      <c r="AC381" s="26">
        <f t="shared" si="10"/>
        <v>0</v>
      </c>
      <c r="AD381" s="26">
        <f t="shared" si="11"/>
        <v>0</v>
      </c>
    </row>
    <row r="382" spans="2:30" ht="15" customHeight="1">
      <c r="B382" s="3" t="str">
        <f>IFERROR(VLOOKUP(C382,Master!$J:$K,2,0),"")</f>
        <v/>
      </c>
      <c r="D382" s="4" t="str">
        <f>IFERROR(VLOOKUP(E382,Master!$J:$K,2,0),"")</f>
        <v/>
      </c>
      <c r="F382" s="4" t="str">
        <f>IFERROR(VLOOKUP(G382,Master!B:C,2,0),"")</f>
        <v/>
      </c>
      <c r="I382" s="3" t="str">
        <f>IFERROR(VLOOKUP(E382,Master!$J:$M,4,0),"")</f>
        <v/>
      </c>
      <c r="J382" s="3" t="str">
        <f>IFERROR(VLOOKUP($E382,Master!$J:$M,3,0),"")</f>
        <v/>
      </c>
      <c r="AC382" s="26">
        <f t="shared" si="10"/>
        <v>0</v>
      </c>
      <c r="AD382" s="26">
        <f t="shared" si="11"/>
        <v>0</v>
      </c>
    </row>
    <row r="383" spans="2:30" ht="15" customHeight="1">
      <c r="B383" s="3" t="str">
        <f>IFERROR(VLOOKUP(C383,Master!$J:$K,2,0),"")</f>
        <v/>
      </c>
      <c r="D383" s="4" t="str">
        <f>IFERROR(VLOOKUP(E383,Master!$J:$K,2,0),"")</f>
        <v/>
      </c>
      <c r="F383" s="4" t="str">
        <f>IFERROR(VLOOKUP(G383,Master!B:C,2,0),"")</f>
        <v/>
      </c>
      <c r="I383" s="3" t="str">
        <f>IFERROR(VLOOKUP(E383,Master!$J:$M,4,0),"")</f>
        <v/>
      </c>
      <c r="J383" s="3" t="str">
        <f>IFERROR(VLOOKUP($E383,Master!$J:$M,3,0),"")</f>
        <v/>
      </c>
      <c r="AC383" s="26">
        <f t="shared" si="10"/>
        <v>0</v>
      </c>
      <c r="AD383" s="26">
        <f t="shared" si="11"/>
        <v>0</v>
      </c>
    </row>
    <row r="384" spans="2:30" ht="15" customHeight="1">
      <c r="B384" s="3" t="str">
        <f>IFERROR(VLOOKUP(C384,Master!$J:$K,2,0),"")</f>
        <v/>
      </c>
      <c r="D384" s="4" t="str">
        <f>IFERROR(VLOOKUP(E384,Master!$J:$K,2,0),"")</f>
        <v/>
      </c>
      <c r="F384" s="4" t="str">
        <f>IFERROR(VLOOKUP(G384,Master!B:C,2,0),"")</f>
        <v/>
      </c>
      <c r="I384" s="3" t="str">
        <f>IFERROR(VLOOKUP(E384,Master!$J:$M,4,0),"")</f>
        <v/>
      </c>
      <c r="J384" s="3" t="str">
        <f>IFERROR(VLOOKUP($E384,Master!$J:$M,3,0),"")</f>
        <v/>
      </c>
      <c r="AC384" s="26">
        <f t="shared" si="10"/>
        <v>0</v>
      </c>
      <c r="AD384" s="26">
        <f t="shared" si="11"/>
        <v>0</v>
      </c>
    </row>
    <row r="385" spans="2:30" ht="15" customHeight="1">
      <c r="B385" s="3" t="str">
        <f>IFERROR(VLOOKUP(C385,Master!$J:$K,2,0),"")</f>
        <v/>
      </c>
      <c r="D385" s="4" t="str">
        <f>IFERROR(VLOOKUP(E385,Master!$J:$K,2,0),"")</f>
        <v/>
      </c>
      <c r="F385" s="4" t="str">
        <f>IFERROR(VLOOKUP(G385,Master!B:C,2,0),"")</f>
        <v/>
      </c>
      <c r="I385" s="3" t="str">
        <f>IFERROR(VLOOKUP(E385,Master!$J:$M,4,0),"")</f>
        <v/>
      </c>
      <c r="J385" s="3" t="str">
        <f>IFERROR(VLOOKUP($E385,Master!$J:$M,3,0),"")</f>
        <v/>
      </c>
      <c r="AC385" s="26">
        <f t="shared" si="10"/>
        <v>0</v>
      </c>
      <c r="AD385" s="26">
        <f t="shared" si="11"/>
        <v>0</v>
      </c>
    </row>
    <row r="386" spans="2:30" ht="15" customHeight="1">
      <c r="B386" s="3" t="str">
        <f>IFERROR(VLOOKUP(C386,Master!$J:$K,2,0),"")</f>
        <v/>
      </c>
      <c r="D386" s="4" t="str">
        <f>IFERROR(VLOOKUP(E386,Master!$J:$K,2,0),"")</f>
        <v/>
      </c>
      <c r="F386" s="4" t="str">
        <f>IFERROR(VLOOKUP(G386,Master!B:C,2,0),"")</f>
        <v/>
      </c>
      <c r="I386" s="3" t="str">
        <f>IFERROR(VLOOKUP(E386,Master!$J:$M,4,0),"")</f>
        <v/>
      </c>
      <c r="J386" s="3" t="str">
        <f>IFERROR(VLOOKUP($E386,Master!$J:$M,3,0),"")</f>
        <v/>
      </c>
      <c r="AC386" s="26">
        <f t="shared" ref="AC386:AC449" si="12">SUM(K386:P386)</f>
        <v>0</v>
      </c>
      <c r="AD386" s="26">
        <f t="shared" ref="AD386:AD449" si="13">SUM(Q386:AB386)</f>
        <v>0</v>
      </c>
    </row>
    <row r="387" spans="2:30" ht="15" customHeight="1">
      <c r="B387" s="3" t="str">
        <f>IFERROR(VLOOKUP(C387,Master!$J:$K,2,0),"")</f>
        <v/>
      </c>
      <c r="D387" s="4" t="str">
        <f>IFERROR(VLOOKUP(E387,Master!$J:$K,2,0),"")</f>
        <v/>
      </c>
      <c r="F387" s="4" t="str">
        <f>IFERROR(VLOOKUP(G387,Master!B:C,2,0),"")</f>
        <v/>
      </c>
      <c r="I387" s="3" t="str">
        <f>IFERROR(VLOOKUP(E387,Master!$J:$M,4,0),"")</f>
        <v/>
      </c>
      <c r="J387" s="3" t="str">
        <f>IFERROR(VLOOKUP($E387,Master!$J:$M,3,0),"")</f>
        <v/>
      </c>
      <c r="AC387" s="26">
        <f t="shared" si="12"/>
        <v>0</v>
      </c>
      <c r="AD387" s="26">
        <f t="shared" si="13"/>
        <v>0</v>
      </c>
    </row>
    <row r="388" spans="2:30" ht="15" customHeight="1">
      <c r="B388" s="3" t="str">
        <f>IFERROR(VLOOKUP(C388,Master!$J:$K,2,0),"")</f>
        <v/>
      </c>
      <c r="D388" s="4" t="str">
        <f>IFERROR(VLOOKUP(E388,Master!$J:$K,2,0),"")</f>
        <v/>
      </c>
      <c r="F388" s="4" t="str">
        <f>IFERROR(VLOOKUP(G388,Master!B:C,2,0),"")</f>
        <v/>
      </c>
      <c r="I388" s="3" t="str">
        <f>IFERROR(VLOOKUP(E388,Master!$J:$M,4,0),"")</f>
        <v/>
      </c>
      <c r="J388" s="3" t="str">
        <f>IFERROR(VLOOKUP($E388,Master!$J:$M,3,0),"")</f>
        <v/>
      </c>
      <c r="AC388" s="26">
        <f t="shared" si="12"/>
        <v>0</v>
      </c>
      <c r="AD388" s="26">
        <f t="shared" si="13"/>
        <v>0</v>
      </c>
    </row>
    <row r="389" spans="2:30" ht="15" customHeight="1">
      <c r="B389" s="3" t="str">
        <f>IFERROR(VLOOKUP(C389,Master!$J:$K,2,0),"")</f>
        <v/>
      </c>
      <c r="D389" s="4" t="str">
        <f>IFERROR(VLOOKUP(E389,Master!$J:$K,2,0),"")</f>
        <v/>
      </c>
      <c r="F389" s="4" t="str">
        <f>IFERROR(VLOOKUP(G389,Master!B:C,2,0),"")</f>
        <v/>
      </c>
      <c r="I389" s="3" t="str">
        <f>IFERROR(VLOOKUP(E389,Master!$J:$M,4,0),"")</f>
        <v/>
      </c>
      <c r="J389" s="3" t="str">
        <f>IFERROR(VLOOKUP($E389,Master!$J:$M,3,0),"")</f>
        <v/>
      </c>
      <c r="AC389" s="26">
        <f t="shared" si="12"/>
        <v>0</v>
      </c>
      <c r="AD389" s="26">
        <f t="shared" si="13"/>
        <v>0</v>
      </c>
    </row>
    <row r="390" spans="2:30" ht="15" customHeight="1">
      <c r="B390" s="3" t="str">
        <f>IFERROR(VLOOKUP(C390,Master!$J:$K,2,0),"")</f>
        <v/>
      </c>
      <c r="D390" s="4" t="str">
        <f>IFERROR(VLOOKUP(E390,Master!$J:$K,2,0),"")</f>
        <v/>
      </c>
      <c r="F390" s="4" t="str">
        <f>IFERROR(VLOOKUP(G390,Master!B:C,2,0),"")</f>
        <v/>
      </c>
      <c r="I390" s="3" t="str">
        <f>IFERROR(VLOOKUP(E390,Master!$J:$M,4,0),"")</f>
        <v/>
      </c>
      <c r="J390" s="3" t="str">
        <f>IFERROR(VLOOKUP($E390,Master!$J:$M,3,0),"")</f>
        <v/>
      </c>
      <c r="AC390" s="26">
        <f t="shared" si="12"/>
        <v>0</v>
      </c>
      <c r="AD390" s="26">
        <f t="shared" si="13"/>
        <v>0</v>
      </c>
    </row>
    <row r="391" spans="2:30" ht="15" customHeight="1">
      <c r="B391" s="3" t="str">
        <f>IFERROR(VLOOKUP(C391,Master!$J:$K,2,0),"")</f>
        <v/>
      </c>
      <c r="D391" s="4" t="str">
        <f>IFERROR(VLOOKUP(E391,Master!$J:$K,2,0),"")</f>
        <v/>
      </c>
      <c r="F391" s="4" t="str">
        <f>IFERROR(VLOOKUP(G391,Master!B:C,2,0),"")</f>
        <v/>
      </c>
      <c r="I391" s="3" t="str">
        <f>IFERROR(VLOOKUP(E391,Master!$J:$M,4,0),"")</f>
        <v/>
      </c>
      <c r="J391" s="3" t="str">
        <f>IFERROR(VLOOKUP($E391,Master!$J:$M,3,0),"")</f>
        <v/>
      </c>
      <c r="AC391" s="26">
        <f t="shared" si="12"/>
        <v>0</v>
      </c>
      <c r="AD391" s="26">
        <f t="shared" si="13"/>
        <v>0</v>
      </c>
    </row>
    <row r="392" spans="2:30" ht="15" customHeight="1">
      <c r="B392" s="3" t="str">
        <f>IFERROR(VLOOKUP(C392,Master!$J:$K,2,0),"")</f>
        <v/>
      </c>
      <c r="D392" s="4" t="str">
        <f>IFERROR(VLOOKUP(E392,Master!$J:$K,2,0),"")</f>
        <v/>
      </c>
      <c r="F392" s="4" t="str">
        <f>IFERROR(VLOOKUP(G392,Master!B:C,2,0),"")</f>
        <v/>
      </c>
      <c r="I392" s="3" t="str">
        <f>IFERROR(VLOOKUP(E392,Master!$J:$M,4,0),"")</f>
        <v/>
      </c>
      <c r="J392" s="3" t="str">
        <f>IFERROR(VLOOKUP($E392,Master!$J:$M,3,0),"")</f>
        <v/>
      </c>
      <c r="AC392" s="26">
        <f t="shared" si="12"/>
        <v>0</v>
      </c>
      <c r="AD392" s="26">
        <f t="shared" si="13"/>
        <v>0</v>
      </c>
    </row>
    <row r="393" spans="2:30" ht="15" customHeight="1">
      <c r="B393" s="3" t="str">
        <f>IFERROR(VLOOKUP(C393,Master!$J:$K,2,0),"")</f>
        <v/>
      </c>
      <c r="D393" s="4" t="str">
        <f>IFERROR(VLOOKUP(E393,Master!$J:$K,2,0),"")</f>
        <v/>
      </c>
      <c r="F393" s="4" t="str">
        <f>IFERROR(VLOOKUP(G393,Master!B:C,2,0),"")</f>
        <v/>
      </c>
      <c r="I393" s="3" t="str">
        <f>IFERROR(VLOOKUP(E393,Master!$J:$M,4,0),"")</f>
        <v/>
      </c>
      <c r="J393" s="3" t="str">
        <f>IFERROR(VLOOKUP($E393,Master!$J:$M,3,0),"")</f>
        <v/>
      </c>
      <c r="AC393" s="26">
        <f t="shared" si="12"/>
        <v>0</v>
      </c>
      <c r="AD393" s="26">
        <f t="shared" si="13"/>
        <v>0</v>
      </c>
    </row>
    <row r="394" spans="2:30" ht="15" customHeight="1">
      <c r="B394" s="3" t="str">
        <f>IFERROR(VLOOKUP(C394,Master!$J:$K,2,0),"")</f>
        <v/>
      </c>
      <c r="D394" s="4" t="str">
        <f>IFERROR(VLOOKUP(E394,Master!$J:$K,2,0),"")</f>
        <v/>
      </c>
      <c r="F394" s="4" t="str">
        <f>IFERROR(VLOOKUP(G394,Master!B:C,2,0),"")</f>
        <v/>
      </c>
      <c r="I394" s="3" t="str">
        <f>IFERROR(VLOOKUP(E394,Master!$J:$M,4,0),"")</f>
        <v/>
      </c>
      <c r="J394" s="3" t="str">
        <f>IFERROR(VLOOKUP($E394,Master!$J:$M,3,0),"")</f>
        <v/>
      </c>
      <c r="AC394" s="26">
        <f t="shared" si="12"/>
        <v>0</v>
      </c>
      <c r="AD394" s="26">
        <f t="shared" si="13"/>
        <v>0</v>
      </c>
    </row>
    <row r="395" spans="2:30" ht="15" customHeight="1">
      <c r="B395" s="3" t="str">
        <f>IFERROR(VLOOKUP(C395,Master!$J:$K,2,0),"")</f>
        <v/>
      </c>
      <c r="D395" s="4" t="str">
        <f>IFERROR(VLOOKUP(E395,Master!$J:$K,2,0),"")</f>
        <v/>
      </c>
      <c r="F395" s="4" t="str">
        <f>IFERROR(VLOOKUP(G395,Master!B:C,2,0),"")</f>
        <v/>
      </c>
      <c r="I395" s="3" t="str">
        <f>IFERROR(VLOOKUP(E395,Master!$J:$M,4,0),"")</f>
        <v/>
      </c>
      <c r="J395" s="3" t="str">
        <f>IFERROR(VLOOKUP($E395,Master!$J:$M,3,0),"")</f>
        <v/>
      </c>
      <c r="AC395" s="26">
        <f t="shared" si="12"/>
        <v>0</v>
      </c>
      <c r="AD395" s="26">
        <f t="shared" si="13"/>
        <v>0</v>
      </c>
    </row>
    <row r="396" spans="2:30" ht="15" customHeight="1">
      <c r="B396" s="3" t="str">
        <f>IFERROR(VLOOKUP(C396,Master!$J:$K,2,0),"")</f>
        <v/>
      </c>
      <c r="D396" s="4" t="str">
        <f>IFERROR(VLOOKUP(E396,Master!$J:$K,2,0),"")</f>
        <v/>
      </c>
      <c r="F396" s="4" t="str">
        <f>IFERROR(VLOOKUP(G396,Master!B:C,2,0),"")</f>
        <v/>
      </c>
      <c r="I396" s="3" t="str">
        <f>IFERROR(VLOOKUP(E396,Master!$J:$M,4,0),"")</f>
        <v/>
      </c>
      <c r="J396" s="3" t="str">
        <f>IFERROR(VLOOKUP($E396,Master!$J:$M,3,0),"")</f>
        <v/>
      </c>
      <c r="AC396" s="26">
        <f t="shared" si="12"/>
        <v>0</v>
      </c>
      <c r="AD396" s="26">
        <f t="shared" si="13"/>
        <v>0</v>
      </c>
    </row>
    <row r="397" spans="2:30" ht="15" customHeight="1">
      <c r="B397" s="3" t="str">
        <f>IFERROR(VLOOKUP(C397,Master!$J:$K,2,0),"")</f>
        <v/>
      </c>
      <c r="D397" s="4" t="str">
        <f>IFERROR(VLOOKUP(E397,Master!$J:$K,2,0),"")</f>
        <v/>
      </c>
      <c r="F397" s="4" t="str">
        <f>IFERROR(VLOOKUP(G397,Master!B:C,2,0),"")</f>
        <v/>
      </c>
      <c r="I397" s="3" t="str">
        <f>IFERROR(VLOOKUP(E397,Master!$J:$M,4,0),"")</f>
        <v/>
      </c>
      <c r="J397" s="3" t="str">
        <f>IFERROR(VLOOKUP($E397,Master!$J:$M,3,0),"")</f>
        <v/>
      </c>
      <c r="AC397" s="26">
        <f t="shared" si="12"/>
        <v>0</v>
      </c>
      <c r="AD397" s="26">
        <f t="shared" si="13"/>
        <v>0</v>
      </c>
    </row>
    <row r="398" spans="2:30" ht="15" customHeight="1">
      <c r="B398" s="3" t="str">
        <f>IFERROR(VLOOKUP(C398,Master!$J:$K,2,0),"")</f>
        <v/>
      </c>
      <c r="D398" s="4" t="str">
        <f>IFERROR(VLOOKUP(E398,Master!$J:$K,2,0),"")</f>
        <v/>
      </c>
      <c r="F398" s="4" t="str">
        <f>IFERROR(VLOOKUP(G398,Master!B:C,2,0),"")</f>
        <v/>
      </c>
      <c r="I398" s="3" t="str">
        <f>IFERROR(VLOOKUP(E398,Master!$J:$M,4,0),"")</f>
        <v/>
      </c>
      <c r="J398" s="3" t="str">
        <f>IFERROR(VLOOKUP($E398,Master!$J:$M,3,0),"")</f>
        <v/>
      </c>
      <c r="AC398" s="26">
        <f t="shared" si="12"/>
        <v>0</v>
      </c>
      <c r="AD398" s="26">
        <f t="shared" si="13"/>
        <v>0</v>
      </c>
    </row>
    <row r="399" spans="2:30" ht="15" customHeight="1">
      <c r="B399" s="3" t="str">
        <f>IFERROR(VLOOKUP(C399,Master!$J:$K,2,0),"")</f>
        <v/>
      </c>
      <c r="D399" s="4" t="str">
        <f>IFERROR(VLOOKUP(E399,Master!$J:$K,2,0),"")</f>
        <v/>
      </c>
      <c r="F399" s="4" t="str">
        <f>IFERROR(VLOOKUP(G399,Master!B:C,2,0),"")</f>
        <v/>
      </c>
      <c r="I399" s="3" t="str">
        <f>IFERROR(VLOOKUP(E399,Master!$J:$M,4,0),"")</f>
        <v/>
      </c>
      <c r="J399" s="3" t="str">
        <f>IFERROR(VLOOKUP($E399,Master!$J:$M,3,0),"")</f>
        <v/>
      </c>
      <c r="AC399" s="26">
        <f t="shared" si="12"/>
        <v>0</v>
      </c>
      <c r="AD399" s="26">
        <f t="shared" si="13"/>
        <v>0</v>
      </c>
    </row>
    <row r="400" spans="2:30" ht="15" customHeight="1">
      <c r="B400" s="3" t="str">
        <f>IFERROR(VLOOKUP(C400,Master!$J:$K,2,0),"")</f>
        <v/>
      </c>
      <c r="D400" s="4" t="str">
        <f>IFERROR(VLOOKUP(E400,Master!$J:$K,2,0),"")</f>
        <v/>
      </c>
      <c r="F400" s="4" t="str">
        <f>IFERROR(VLOOKUP(G400,Master!B:C,2,0),"")</f>
        <v/>
      </c>
      <c r="I400" s="3" t="str">
        <f>IFERROR(VLOOKUP(E400,Master!$J:$M,4,0),"")</f>
        <v/>
      </c>
      <c r="J400" s="3" t="str">
        <f>IFERROR(VLOOKUP($E400,Master!$J:$M,3,0),"")</f>
        <v/>
      </c>
      <c r="AC400" s="26">
        <f t="shared" si="12"/>
        <v>0</v>
      </c>
      <c r="AD400" s="26">
        <f t="shared" si="13"/>
        <v>0</v>
      </c>
    </row>
    <row r="401" spans="2:30" ht="15" customHeight="1">
      <c r="B401" s="3" t="str">
        <f>IFERROR(VLOOKUP(C401,Master!$J:$K,2,0),"")</f>
        <v/>
      </c>
      <c r="D401" s="4" t="str">
        <f>IFERROR(VLOOKUP(E401,Master!$J:$K,2,0),"")</f>
        <v/>
      </c>
      <c r="F401" s="4" t="str">
        <f>IFERROR(VLOOKUP(G401,Master!B:C,2,0),"")</f>
        <v/>
      </c>
      <c r="I401" s="3" t="str">
        <f>IFERROR(VLOOKUP(E401,Master!$J:$M,4,0),"")</f>
        <v/>
      </c>
      <c r="J401" s="3" t="str">
        <f>IFERROR(VLOOKUP($E401,Master!$J:$M,3,0),"")</f>
        <v/>
      </c>
      <c r="AC401" s="26">
        <f t="shared" si="12"/>
        <v>0</v>
      </c>
      <c r="AD401" s="26">
        <f t="shared" si="13"/>
        <v>0</v>
      </c>
    </row>
    <row r="402" spans="2:30" ht="15" customHeight="1">
      <c r="B402" s="3" t="str">
        <f>IFERROR(VLOOKUP(C402,Master!$J:$K,2,0),"")</f>
        <v/>
      </c>
      <c r="D402" s="4" t="str">
        <f>IFERROR(VLOOKUP(E402,Master!$J:$K,2,0),"")</f>
        <v/>
      </c>
      <c r="F402" s="4" t="str">
        <f>IFERROR(VLOOKUP(G402,Master!B:C,2,0),"")</f>
        <v/>
      </c>
      <c r="I402" s="3" t="str">
        <f>IFERROR(VLOOKUP(E402,Master!$J:$M,4,0),"")</f>
        <v/>
      </c>
      <c r="J402" s="3" t="str">
        <f>IFERROR(VLOOKUP($E402,Master!$J:$M,3,0),"")</f>
        <v/>
      </c>
      <c r="AC402" s="26">
        <f t="shared" si="12"/>
        <v>0</v>
      </c>
      <c r="AD402" s="26">
        <f t="shared" si="13"/>
        <v>0</v>
      </c>
    </row>
    <row r="403" spans="2:30" ht="15" customHeight="1">
      <c r="B403" s="3" t="str">
        <f>IFERROR(VLOOKUP(C403,Master!$J:$K,2,0),"")</f>
        <v/>
      </c>
      <c r="D403" s="4" t="str">
        <f>IFERROR(VLOOKUP(E403,Master!$J:$K,2,0),"")</f>
        <v/>
      </c>
      <c r="F403" s="4" t="str">
        <f>IFERROR(VLOOKUP(G403,Master!B:C,2,0),"")</f>
        <v/>
      </c>
      <c r="I403" s="3" t="str">
        <f>IFERROR(VLOOKUP(E403,Master!$J:$M,4,0),"")</f>
        <v/>
      </c>
      <c r="J403" s="3" t="str">
        <f>IFERROR(VLOOKUP($E403,Master!$J:$M,3,0),"")</f>
        <v/>
      </c>
      <c r="AC403" s="26">
        <f t="shared" si="12"/>
        <v>0</v>
      </c>
      <c r="AD403" s="26">
        <f t="shared" si="13"/>
        <v>0</v>
      </c>
    </row>
    <row r="404" spans="2:30" ht="15" customHeight="1">
      <c r="B404" s="3" t="str">
        <f>IFERROR(VLOOKUP(C404,Master!$J:$K,2,0),"")</f>
        <v/>
      </c>
      <c r="D404" s="4" t="str">
        <f>IFERROR(VLOOKUP(E404,Master!$J:$K,2,0),"")</f>
        <v/>
      </c>
      <c r="F404" s="4" t="str">
        <f>IFERROR(VLOOKUP(G404,Master!B:C,2,0),"")</f>
        <v/>
      </c>
      <c r="I404" s="3" t="str">
        <f>IFERROR(VLOOKUP(E404,Master!$J:$M,4,0),"")</f>
        <v/>
      </c>
      <c r="J404" s="3" t="str">
        <f>IFERROR(VLOOKUP($E404,Master!$J:$M,3,0),"")</f>
        <v/>
      </c>
      <c r="AC404" s="26">
        <f t="shared" si="12"/>
        <v>0</v>
      </c>
      <c r="AD404" s="26">
        <f t="shared" si="13"/>
        <v>0</v>
      </c>
    </row>
    <row r="405" spans="2:30" ht="15" customHeight="1">
      <c r="B405" s="3" t="str">
        <f>IFERROR(VLOOKUP(C405,Master!$J:$K,2,0),"")</f>
        <v/>
      </c>
      <c r="D405" s="4" t="str">
        <f>IFERROR(VLOOKUP(E405,Master!$J:$K,2,0),"")</f>
        <v/>
      </c>
      <c r="F405" s="4" t="str">
        <f>IFERROR(VLOOKUP(G405,Master!B:C,2,0),"")</f>
        <v/>
      </c>
      <c r="I405" s="3" t="str">
        <f>IFERROR(VLOOKUP(E405,Master!$J:$M,4,0),"")</f>
        <v/>
      </c>
      <c r="J405" s="3" t="str">
        <f>IFERROR(VLOOKUP($E405,Master!$J:$M,3,0),"")</f>
        <v/>
      </c>
      <c r="AC405" s="26">
        <f t="shared" si="12"/>
        <v>0</v>
      </c>
      <c r="AD405" s="26">
        <f t="shared" si="13"/>
        <v>0</v>
      </c>
    </row>
    <row r="406" spans="2:30" ht="15" customHeight="1">
      <c r="B406" s="3" t="str">
        <f>IFERROR(VLOOKUP(C406,Master!$J:$K,2,0),"")</f>
        <v/>
      </c>
      <c r="D406" s="4" t="str">
        <f>IFERROR(VLOOKUP(E406,Master!$J:$K,2,0),"")</f>
        <v/>
      </c>
      <c r="F406" s="4" t="str">
        <f>IFERROR(VLOOKUP(G406,Master!B:C,2,0),"")</f>
        <v/>
      </c>
      <c r="I406" s="3" t="str">
        <f>IFERROR(VLOOKUP(E406,Master!$J:$M,4,0),"")</f>
        <v/>
      </c>
      <c r="J406" s="3" t="str">
        <f>IFERROR(VLOOKUP($E406,Master!$J:$M,3,0),"")</f>
        <v/>
      </c>
      <c r="AC406" s="26">
        <f t="shared" si="12"/>
        <v>0</v>
      </c>
      <c r="AD406" s="26">
        <f t="shared" si="13"/>
        <v>0</v>
      </c>
    </row>
    <row r="407" spans="2:30" ht="15" customHeight="1">
      <c r="B407" s="3" t="str">
        <f>IFERROR(VLOOKUP(C407,Master!$J:$K,2,0),"")</f>
        <v/>
      </c>
      <c r="D407" s="4" t="str">
        <f>IFERROR(VLOOKUP(E407,Master!$J:$K,2,0),"")</f>
        <v/>
      </c>
      <c r="F407" s="4" t="str">
        <f>IFERROR(VLOOKUP(G407,Master!B:C,2,0),"")</f>
        <v/>
      </c>
      <c r="I407" s="3" t="str">
        <f>IFERROR(VLOOKUP(E407,Master!$J:$M,4,0),"")</f>
        <v/>
      </c>
      <c r="J407" s="3" t="str">
        <f>IFERROR(VLOOKUP($E407,Master!$J:$M,3,0),"")</f>
        <v/>
      </c>
      <c r="AC407" s="26">
        <f t="shared" si="12"/>
        <v>0</v>
      </c>
      <c r="AD407" s="26">
        <f t="shared" si="13"/>
        <v>0</v>
      </c>
    </row>
    <row r="408" spans="2:30" ht="15" customHeight="1">
      <c r="B408" s="3" t="str">
        <f>IFERROR(VLOOKUP(C408,Master!$J:$K,2,0),"")</f>
        <v/>
      </c>
      <c r="D408" s="4" t="str">
        <f>IFERROR(VLOOKUP(E408,Master!$J:$K,2,0),"")</f>
        <v/>
      </c>
      <c r="F408" s="4" t="str">
        <f>IFERROR(VLOOKUP(G408,Master!B:C,2,0),"")</f>
        <v/>
      </c>
      <c r="I408" s="3" t="str">
        <f>IFERROR(VLOOKUP(E408,Master!$J:$M,4,0),"")</f>
        <v/>
      </c>
      <c r="J408" s="3" t="str">
        <f>IFERROR(VLOOKUP($E408,Master!$J:$M,3,0),"")</f>
        <v/>
      </c>
      <c r="AC408" s="26">
        <f t="shared" si="12"/>
        <v>0</v>
      </c>
      <c r="AD408" s="26">
        <f t="shared" si="13"/>
        <v>0</v>
      </c>
    </row>
    <row r="409" spans="2:30" ht="15" customHeight="1">
      <c r="B409" s="3" t="str">
        <f>IFERROR(VLOOKUP(C409,Master!$J:$K,2,0),"")</f>
        <v/>
      </c>
      <c r="D409" s="4" t="str">
        <f>IFERROR(VLOOKUP(E409,Master!$J:$K,2,0),"")</f>
        <v/>
      </c>
      <c r="F409" s="4" t="str">
        <f>IFERROR(VLOOKUP(G409,Master!B:C,2,0),"")</f>
        <v/>
      </c>
      <c r="I409" s="3" t="str">
        <f>IFERROR(VLOOKUP(E409,Master!$J:$M,4,0),"")</f>
        <v/>
      </c>
      <c r="J409" s="3" t="str">
        <f>IFERROR(VLOOKUP($E409,Master!$J:$M,3,0),"")</f>
        <v/>
      </c>
      <c r="AC409" s="26">
        <f t="shared" si="12"/>
        <v>0</v>
      </c>
      <c r="AD409" s="26">
        <f t="shared" si="13"/>
        <v>0</v>
      </c>
    </row>
    <row r="410" spans="2:30" ht="15" customHeight="1">
      <c r="B410" s="3" t="str">
        <f>IFERROR(VLOOKUP(C410,Master!$J:$K,2,0),"")</f>
        <v/>
      </c>
      <c r="D410" s="4" t="str">
        <f>IFERROR(VLOOKUP(E410,Master!$J:$K,2,0),"")</f>
        <v/>
      </c>
      <c r="F410" s="4" t="str">
        <f>IFERROR(VLOOKUP(G410,Master!B:C,2,0),"")</f>
        <v/>
      </c>
      <c r="I410" s="3" t="str">
        <f>IFERROR(VLOOKUP(E410,Master!$J:$M,4,0),"")</f>
        <v/>
      </c>
      <c r="J410" s="3" t="str">
        <f>IFERROR(VLOOKUP($E410,Master!$J:$M,3,0),"")</f>
        <v/>
      </c>
      <c r="AC410" s="26">
        <f t="shared" si="12"/>
        <v>0</v>
      </c>
      <c r="AD410" s="26">
        <f t="shared" si="13"/>
        <v>0</v>
      </c>
    </row>
    <row r="411" spans="2:30" ht="15" customHeight="1">
      <c r="B411" s="3" t="str">
        <f>IFERROR(VLOOKUP(C411,Master!$J:$K,2,0),"")</f>
        <v/>
      </c>
      <c r="D411" s="4" t="str">
        <f>IFERROR(VLOOKUP(E411,Master!$J:$K,2,0),"")</f>
        <v/>
      </c>
      <c r="F411" s="4" t="str">
        <f>IFERROR(VLOOKUP(G411,Master!B:C,2,0),"")</f>
        <v/>
      </c>
      <c r="I411" s="3" t="str">
        <f>IFERROR(VLOOKUP(E411,Master!$J:$M,4,0),"")</f>
        <v/>
      </c>
      <c r="J411" s="3" t="str">
        <f>IFERROR(VLOOKUP($E411,Master!$J:$M,3,0),"")</f>
        <v/>
      </c>
      <c r="AC411" s="26">
        <f t="shared" si="12"/>
        <v>0</v>
      </c>
      <c r="AD411" s="26">
        <f t="shared" si="13"/>
        <v>0</v>
      </c>
    </row>
    <row r="412" spans="2:30" ht="15" customHeight="1">
      <c r="B412" s="3" t="str">
        <f>IFERROR(VLOOKUP(C412,Master!$J:$K,2,0),"")</f>
        <v/>
      </c>
      <c r="D412" s="4" t="str">
        <f>IFERROR(VLOOKUP(E412,Master!$J:$K,2,0),"")</f>
        <v/>
      </c>
      <c r="F412" s="4" t="str">
        <f>IFERROR(VLOOKUP(G412,Master!B:C,2,0),"")</f>
        <v/>
      </c>
      <c r="I412" s="3" t="str">
        <f>IFERROR(VLOOKUP(E412,Master!$J:$M,4,0),"")</f>
        <v/>
      </c>
      <c r="J412" s="3" t="str">
        <f>IFERROR(VLOOKUP($E412,Master!$J:$M,3,0),"")</f>
        <v/>
      </c>
      <c r="AC412" s="26">
        <f t="shared" si="12"/>
        <v>0</v>
      </c>
      <c r="AD412" s="26">
        <f t="shared" si="13"/>
        <v>0</v>
      </c>
    </row>
    <row r="413" spans="2:30" ht="15" customHeight="1">
      <c r="B413" s="3" t="str">
        <f>IFERROR(VLOOKUP(C413,Master!$J:$K,2,0),"")</f>
        <v/>
      </c>
      <c r="D413" s="4" t="str">
        <f>IFERROR(VLOOKUP(E413,Master!$J:$K,2,0),"")</f>
        <v/>
      </c>
      <c r="F413" s="4" t="str">
        <f>IFERROR(VLOOKUP(G413,Master!B:C,2,0),"")</f>
        <v/>
      </c>
      <c r="I413" s="3" t="str">
        <f>IFERROR(VLOOKUP(E413,Master!$J:$M,4,0),"")</f>
        <v/>
      </c>
      <c r="J413" s="3" t="str">
        <f>IFERROR(VLOOKUP($E413,Master!$J:$M,3,0),"")</f>
        <v/>
      </c>
      <c r="AC413" s="26">
        <f t="shared" si="12"/>
        <v>0</v>
      </c>
      <c r="AD413" s="26">
        <f t="shared" si="13"/>
        <v>0</v>
      </c>
    </row>
    <row r="414" spans="2:30" ht="15" customHeight="1">
      <c r="B414" s="3" t="str">
        <f>IFERROR(VLOOKUP(C414,Master!$J:$K,2,0),"")</f>
        <v/>
      </c>
      <c r="D414" s="4" t="str">
        <f>IFERROR(VLOOKUP(E414,Master!$J:$K,2,0),"")</f>
        <v/>
      </c>
      <c r="F414" s="4" t="str">
        <f>IFERROR(VLOOKUP(G414,Master!B:C,2,0),"")</f>
        <v/>
      </c>
      <c r="I414" s="3" t="str">
        <f>IFERROR(VLOOKUP(E414,Master!$J:$M,4,0),"")</f>
        <v/>
      </c>
      <c r="J414" s="3" t="str">
        <f>IFERROR(VLOOKUP($E414,Master!$J:$M,3,0),"")</f>
        <v/>
      </c>
      <c r="AC414" s="26">
        <f t="shared" si="12"/>
        <v>0</v>
      </c>
      <c r="AD414" s="26">
        <f t="shared" si="13"/>
        <v>0</v>
      </c>
    </row>
    <row r="415" spans="2:30" ht="15" customHeight="1">
      <c r="B415" s="3" t="str">
        <f>IFERROR(VLOOKUP(C415,Master!$J:$K,2,0),"")</f>
        <v/>
      </c>
      <c r="D415" s="4" t="str">
        <f>IFERROR(VLOOKUP(E415,Master!$J:$K,2,0),"")</f>
        <v/>
      </c>
      <c r="F415" s="4" t="str">
        <f>IFERROR(VLOOKUP(G415,Master!B:C,2,0),"")</f>
        <v/>
      </c>
      <c r="I415" s="3" t="str">
        <f>IFERROR(VLOOKUP(E415,Master!$J:$M,4,0),"")</f>
        <v/>
      </c>
      <c r="J415" s="3" t="str">
        <f>IFERROR(VLOOKUP($E415,Master!$J:$M,3,0),"")</f>
        <v/>
      </c>
      <c r="AC415" s="26">
        <f t="shared" si="12"/>
        <v>0</v>
      </c>
      <c r="AD415" s="26">
        <f t="shared" si="13"/>
        <v>0</v>
      </c>
    </row>
    <row r="416" spans="2:30" ht="15" customHeight="1">
      <c r="B416" s="3" t="str">
        <f>IFERROR(VLOOKUP(C416,Master!$J:$K,2,0),"")</f>
        <v/>
      </c>
      <c r="D416" s="4" t="str">
        <f>IFERROR(VLOOKUP(E416,Master!$J:$K,2,0),"")</f>
        <v/>
      </c>
      <c r="F416" s="4" t="str">
        <f>IFERROR(VLOOKUP(G416,Master!B:C,2,0),"")</f>
        <v/>
      </c>
      <c r="I416" s="3" t="str">
        <f>IFERROR(VLOOKUP(E416,Master!$J:$M,4,0),"")</f>
        <v/>
      </c>
      <c r="J416" s="3" t="str">
        <f>IFERROR(VLOOKUP($E416,Master!$J:$M,3,0),"")</f>
        <v/>
      </c>
      <c r="AC416" s="26">
        <f t="shared" si="12"/>
        <v>0</v>
      </c>
      <c r="AD416" s="26">
        <f t="shared" si="13"/>
        <v>0</v>
      </c>
    </row>
    <row r="417" spans="2:30" ht="15" customHeight="1">
      <c r="B417" s="3" t="str">
        <f>IFERROR(VLOOKUP(C417,Master!$J:$K,2,0),"")</f>
        <v/>
      </c>
      <c r="D417" s="4" t="str">
        <f>IFERROR(VLOOKUP(E417,Master!$J:$K,2,0),"")</f>
        <v/>
      </c>
      <c r="F417" s="4" t="str">
        <f>IFERROR(VLOOKUP(G417,Master!B:C,2,0),"")</f>
        <v/>
      </c>
      <c r="I417" s="3" t="str">
        <f>IFERROR(VLOOKUP(E417,Master!$J:$M,4,0),"")</f>
        <v/>
      </c>
      <c r="J417" s="3" t="str">
        <f>IFERROR(VLOOKUP($E417,Master!$J:$M,3,0),"")</f>
        <v/>
      </c>
      <c r="AC417" s="26">
        <f t="shared" si="12"/>
        <v>0</v>
      </c>
      <c r="AD417" s="26">
        <f t="shared" si="13"/>
        <v>0</v>
      </c>
    </row>
    <row r="418" spans="2:30" ht="15" customHeight="1">
      <c r="B418" s="3" t="str">
        <f>IFERROR(VLOOKUP(C418,Master!$J:$K,2,0),"")</f>
        <v/>
      </c>
      <c r="D418" s="4" t="str">
        <f>IFERROR(VLOOKUP(E418,Master!$J:$K,2,0),"")</f>
        <v/>
      </c>
      <c r="F418" s="4" t="str">
        <f>IFERROR(VLOOKUP(G418,Master!B:C,2,0),"")</f>
        <v/>
      </c>
      <c r="I418" s="3" t="str">
        <f>IFERROR(VLOOKUP(E418,Master!$J:$M,4,0),"")</f>
        <v/>
      </c>
      <c r="J418" s="3" t="str">
        <f>IFERROR(VLOOKUP($E418,Master!$J:$M,3,0),"")</f>
        <v/>
      </c>
      <c r="AC418" s="26">
        <f t="shared" si="12"/>
        <v>0</v>
      </c>
      <c r="AD418" s="26">
        <f t="shared" si="13"/>
        <v>0</v>
      </c>
    </row>
    <row r="419" spans="2:30" ht="15" customHeight="1">
      <c r="B419" s="3" t="str">
        <f>IFERROR(VLOOKUP(C419,Master!$J:$K,2,0),"")</f>
        <v/>
      </c>
      <c r="D419" s="4" t="str">
        <f>IFERROR(VLOOKUP(E419,Master!$J:$K,2,0),"")</f>
        <v/>
      </c>
      <c r="F419" s="4" t="str">
        <f>IFERROR(VLOOKUP(G419,Master!B:C,2,0),"")</f>
        <v/>
      </c>
      <c r="I419" s="3" t="str">
        <f>IFERROR(VLOOKUP(E419,Master!$J:$M,4,0),"")</f>
        <v/>
      </c>
      <c r="J419" s="3" t="str">
        <f>IFERROR(VLOOKUP($E419,Master!$J:$M,3,0),"")</f>
        <v/>
      </c>
      <c r="AC419" s="26">
        <f t="shared" si="12"/>
        <v>0</v>
      </c>
      <c r="AD419" s="26">
        <f t="shared" si="13"/>
        <v>0</v>
      </c>
    </row>
    <row r="420" spans="2:30" ht="15" customHeight="1">
      <c r="B420" s="3" t="str">
        <f>IFERROR(VLOOKUP(C420,Master!$J:$K,2,0),"")</f>
        <v/>
      </c>
      <c r="D420" s="4" t="str">
        <f>IFERROR(VLOOKUP(E420,Master!$J:$K,2,0),"")</f>
        <v/>
      </c>
      <c r="F420" s="4" t="str">
        <f>IFERROR(VLOOKUP(G420,Master!B:C,2,0),"")</f>
        <v/>
      </c>
      <c r="I420" s="3" t="str">
        <f>IFERROR(VLOOKUP(E420,Master!$J:$M,4,0),"")</f>
        <v/>
      </c>
      <c r="J420" s="3" t="str">
        <f>IFERROR(VLOOKUP($E420,Master!$J:$M,3,0),"")</f>
        <v/>
      </c>
      <c r="AC420" s="26">
        <f t="shared" si="12"/>
        <v>0</v>
      </c>
      <c r="AD420" s="26">
        <f t="shared" si="13"/>
        <v>0</v>
      </c>
    </row>
    <row r="421" spans="2:30" ht="15" customHeight="1">
      <c r="B421" s="3" t="str">
        <f>IFERROR(VLOOKUP(C421,Master!$J:$K,2,0),"")</f>
        <v/>
      </c>
      <c r="D421" s="4" t="str">
        <f>IFERROR(VLOOKUP(E421,Master!$J:$K,2,0),"")</f>
        <v/>
      </c>
      <c r="F421" s="4" t="str">
        <f>IFERROR(VLOOKUP(G421,Master!B:C,2,0),"")</f>
        <v/>
      </c>
      <c r="I421" s="3" t="str">
        <f>IFERROR(VLOOKUP(E421,Master!$J:$M,4,0),"")</f>
        <v/>
      </c>
      <c r="J421" s="3" t="str">
        <f>IFERROR(VLOOKUP($E421,Master!$J:$M,3,0),"")</f>
        <v/>
      </c>
      <c r="AC421" s="26">
        <f t="shared" si="12"/>
        <v>0</v>
      </c>
      <c r="AD421" s="26">
        <f t="shared" si="13"/>
        <v>0</v>
      </c>
    </row>
    <row r="422" spans="2:30" ht="15" customHeight="1">
      <c r="B422" s="3" t="str">
        <f>IFERROR(VLOOKUP(C422,Master!$J:$K,2,0),"")</f>
        <v/>
      </c>
      <c r="D422" s="4" t="str">
        <f>IFERROR(VLOOKUP(E422,Master!$J:$K,2,0),"")</f>
        <v/>
      </c>
      <c r="F422" s="4" t="str">
        <f>IFERROR(VLOOKUP(G422,Master!B:C,2,0),"")</f>
        <v/>
      </c>
      <c r="I422" s="3" t="str">
        <f>IFERROR(VLOOKUP(E422,Master!$J:$M,4,0),"")</f>
        <v/>
      </c>
      <c r="J422" s="3" t="str">
        <f>IFERROR(VLOOKUP($E422,Master!$J:$M,3,0),"")</f>
        <v/>
      </c>
      <c r="AC422" s="26">
        <f t="shared" si="12"/>
        <v>0</v>
      </c>
      <c r="AD422" s="26">
        <f t="shared" si="13"/>
        <v>0</v>
      </c>
    </row>
    <row r="423" spans="2:30" ht="15" customHeight="1">
      <c r="B423" s="3" t="str">
        <f>IFERROR(VLOOKUP(C423,Master!$J:$K,2,0),"")</f>
        <v/>
      </c>
      <c r="D423" s="4" t="str">
        <f>IFERROR(VLOOKUP(E423,Master!$J:$K,2,0),"")</f>
        <v/>
      </c>
      <c r="F423" s="4" t="str">
        <f>IFERROR(VLOOKUP(G423,Master!B:C,2,0),"")</f>
        <v/>
      </c>
      <c r="I423" s="3" t="str">
        <f>IFERROR(VLOOKUP(E423,Master!$J:$M,4,0),"")</f>
        <v/>
      </c>
      <c r="J423" s="3" t="str">
        <f>IFERROR(VLOOKUP($E423,Master!$J:$M,3,0),"")</f>
        <v/>
      </c>
      <c r="AC423" s="26">
        <f t="shared" si="12"/>
        <v>0</v>
      </c>
      <c r="AD423" s="26">
        <f t="shared" si="13"/>
        <v>0</v>
      </c>
    </row>
    <row r="424" spans="2:30" ht="15" customHeight="1">
      <c r="B424" s="3" t="str">
        <f>IFERROR(VLOOKUP(C424,Master!$J:$K,2,0),"")</f>
        <v/>
      </c>
      <c r="D424" s="4" t="str">
        <f>IFERROR(VLOOKUP(E424,Master!$J:$K,2,0),"")</f>
        <v/>
      </c>
      <c r="F424" s="4" t="str">
        <f>IFERROR(VLOOKUP(G424,Master!B:C,2,0),"")</f>
        <v/>
      </c>
      <c r="I424" s="3" t="str">
        <f>IFERROR(VLOOKUP(E424,Master!$J:$M,4,0),"")</f>
        <v/>
      </c>
      <c r="J424" s="3" t="str">
        <f>IFERROR(VLOOKUP($E424,Master!$J:$M,3,0),"")</f>
        <v/>
      </c>
      <c r="AC424" s="26">
        <f t="shared" si="12"/>
        <v>0</v>
      </c>
      <c r="AD424" s="26">
        <f t="shared" si="13"/>
        <v>0</v>
      </c>
    </row>
    <row r="425" spans="2:30" ht="15" customHeight="1">
      <c r="B425" s="3" t="str">
        <f>IFERROR(VLOOKUP(C425,Master!$J:$K,2,0),"")</f>
        <v/>
      </c>
      <c r="D425" s="4" t="str">
        <f>IFERROR(VLOOKUP(E425,Master!$J:$K,2,0),"")</f>
        <v/>
      </c>
      <c r="F425" s="4" t="str">
        <f>IFERROR(VLOOKUP(G425,Master!B:C,2,0),"")</f>
        <v/>
      </c>
      <c r="I425" s="3" t="str">
        <f>IFERROR(VLOOKUP(E425,Master!$J:$M,4,0),"")</f>
        <v/>
      </c>
      <c r="J425" s="3" t="str">
        <f>IFERROR(VLOOKUP($E425,Master!$J:$M,3,0),"")</f>
        <v/>
      </c>
      <c r="AC425" s="26">
        <f t="shared" si="12"/>
        <v>0</v>
      </c>
      <c r="AD425" s="26">
        <f t="shared" si="13"/>
        <v>0</v>
      </c>
    </row>
    <row r="426" spans="2:30" ht="15" customHeight="1">
      <c r="B426" s="3" t="str">
        <f>IFERROR(VLOOKUP(C426,Master!$J:$K,2,0),"")</f>
        <v/>
      </c>
      <c r="D426" s="4" t="str">
        <f>IFERROR(VLOOKUP(E426,Master!$J:$K,2,0),"")</f>
        <v/>
      </c>
      <c r="F426" s="4" t="str">
        <f>IFERROR(VLOOKUP(G426,Master!B:C,2,0),"")</f>
        <v/>
      </c>
      <c r="I426" s="3" t="str">
        <f>IFERROR(VLOOKUP(E426,Master!$J:$M,4,0),"")</f>
        <v/>
      </c>
      <c r="J426" s="3" t="str">
        <f>IFERROR(VLOOKUP($E426,Master!$J:$M,3,0),"")</f>
        <v/>
      </c>
      <c r="AC426" s="26">
        <f t="shared" si="12"/>
        <v>0</v>
      </c>
      <c r="AD426" s="26">
        <f t="shared" si="13"/>
        <v>0</v>
      </c>
    </row>
    <row r="427" spans="2:30" ht="15" customHeight="1">
      <c r="B427" s="3" t="str">
        <f>IFERROR(VLOOKUP(C427,Master!$J:$K,2,0),"")</f>
        <v/>
      </c>
      <c r="D427" s="4" t="str">
        <f>IFERROR(VLOOKUP(E427,Master!$J:$K,2,0),"")</f>
        <v/>
      </c>
      <c r="F427" s="4" t="str">
        <f>IFERROR(VLOOKUP(G427,Master!B:C,2,0),"")</f>
        <v/>
      </c>
      <c r="I427" s="3" t="str">
        <f>IFERROR(VLOOKUP(E427,Master!$J:$M,4,0),"")</f>
        <v/>
      </c>
      <c r="J427" s="3" t="str">
        <f>IFERROR(VLOOKUP($E427,Master!$J:$M,3,0),"")</f>
        <v/>
      </c>
      <c r="AC427" s="26">
        <f t="shared" si="12"/>
        <v>0</v>
      </c>
      <c r="AD427" s="26">
        <f t="shared" si="13"/>
        <v>0</v>
      </c>
    </row>
    <row r="428" spans="2:30" ht="15" customHeight="1">
      <c r="B428" s="3" t="str">
        <f>IFERROR(VLOOKUP(C428,Master!$J:$K,2,0),"")</f>
        <v/>
      </c>
      <c r="D428" s="4" t="str">
        <f>IFERROR(VLOOKUP(E428,Master!$J:$K,2,0),"")</f>
        <v/>
      </c>
      <c r="F428" s="4" t="str">
        <f>IFERROR(VLOOKUP(G428,Master!B:C,2,0),"")</f>
        <v/>
      </c>
      <c r="I428" s="3" t="str">
        <f>IFERROR(VLOOKUP(E428,Master!$J:$M,4,0),"")</f>
        <v/>
      </c>
      <c r="J428" s="3" t="str">
        <f>IFERROR(VLOOKUP($E428,Master!$J:$M,3,0),"")</f>
        <v/>
      </c>
      <c r="AC428" s="26">
        <f t="shared" si="12"/>
        <v>0</v>
      </c>
      <c r="AD428" s="26">
        <f t="shared" si="13"/>
        <v>0</v>
      </c>
    </row>
    <row r="429" spans="2:30" ht="15" customHeight="1">
      <c r="B429" s="3" t="str">
        <f>IFERROR(VLOOKUP(C429,Master!$J:$K,2,0),"")</f>
        <v/>
      </c>
      <c r="D429" s="4" t="str">
        <f>IFERROR(VLOOKUP(E429,Master!$J:$K,2,0),"")</f>
        <v/>
      </c>
      <c r="F429" s="4" t="str">
        <f>IFERROR(VLOOKUP(G429,Master!B:C,2,0),"")</f>
        <v/>
      </c>
      <c r="I429" s="3" t="str">
        <f>IFERROR(VLOOKUP(E429,Master!$J:$M,4,0),"")</f>
        <v/>
      </c>
      <c r="J429" s="3" t="str">
        <f>IFERROR(VLOOKUP($E429,Master!$J:$M,3,0),"")</f>
        <v/>
      </c>
      <c r="AC429" s="26">
        <f t="shared" si="12"/>
        <v>0</v>
      </c>
      <c r="AD429" s="26">
        <f t="shared" si="13"/>
        <v>0</v>
      </c>
    </row>
    <row r="430" spans="2:30" ht="15" customHeight="1">
      <c r="B430" s="3" t="str">
        <f>IFERROR(VLOOKUP(C430,Master!$J:$K,2,0),"")</f>
        <v/>
      </c>
      <c r="D430" s="4" t="str">
        <f>IFERROR(VLOOKUP(E430,Master!$J:$K,2,0),"")</f>
        <v/>
      </c>
      <c r="F430" s="4" t="str">
        <f>IFERROR(VLOOKUP(G430,Master!B:C,2,0),"")</f>
        <v/>
      </c>
      <c r="I430" s="3" t="str">
        <f>IFERROR(VLOOKUP(E430,Master!$J:$M,4,0),"")</f>
        <v/>
      </c>
      <c r="J430" s="3" t="str">
        <f>IFERROR(VLOOKUP($E430,Master!$J:$M,3,0),"")</f>
        <v/>
      </c>
      <c r="AC430" s="26">
        <f t="shared" si="12"/>
        <v>0</v>
      </c>
      <c r="AD430" s="26">
        <f t="shared" si="13"/>
        <v>0</v>
      </c>
    </row>
    <row r="431" spans="2:30" ht="15" customHeight="1">
      <c r="B431" s="3" t="str">
        <f>IFERROR(VLOOKUP(C431,Master!$J:$K,2,0),"")</f>
        <v/>
      </c>
      <c r="D431" s="4" t="str">
        <f>IFERROR(VLOOKUP(E431,Master!$J:$K,2,0),"")</f>
        <v/>
      </c>
      <c r="F431" s="4" t="str">
        <f>IFERROR(VLOOKUP(G431,Master!B:C,2,0),"")</f>
        <v/>
      </c>
      <c r="I431" s="3" t="str">
        <f>IFERROR(VLOOKUP(E431,Master!$J:$M,4,0),"")</f>
        <v/>
      </c>
      <c r="J431" s="3" t="str">
        <f>IFERROR(VLOOKUP($E431,Master!$J:$M,3,0),"")</f>
        <v/>
      </c>
      <c r="AC431" s="26">
        <f t="shared" si="12"/>
        <v>0</v>
      </c>
      <c r="AD431" s="26">
        <f t="shared" si="13"/>
        <v>0</v>
      </c>
    </row>
    <row r="432" spans="2:30" ht="15" customHeight="1">
      <c r="B432" s="3" t="str">
        <f>IFERROR(VLOOKUP(C432,Master!$J:$K,2,0),"")</f>
        <v/>
      </c>
      <c r="D432" s="4" t="str">
        <f>IFERROR(VLOOKUP(E432,Master!$J:$K,2,0),"")</f>
        <v/>
      </c>
      <c r="F432" s="4" t="str">
        <f>IFERROR(VLOOKUP(G432,Master!B:C,2,0),"")</f>
        <v/>
      </c>
      <c r="I432" s="3" t="str">
        <f>IFERROR(VLOOKUP(E432,Master!$J:$M,4,0),"")</f>
        <v/>
      </c>
      <c r="J432" s="3" t="str">
        <f>IFERROR(VLOOKUP($E432,Master!$J:$M,3,0),"")</f>
        <v/>
      </c>
      <c r="AC432" s="26">
        <f t="shared" si="12"/>
        <v>0</v>
      </c>
      <c r="AD432" s="26">
        <f t="shared" si="13"/>
        <v>0</v>
      </c>
    </row>
    <row r="433" spans="2:30" ht="15" customHeight="1">
      <c r="B433" s="3" t="str">
        <f>IFERROR(VLOOKUP(C433,Master!$J:$K,2,0),"")</f>
        <v/>
      </c>
      <c r="D433" s="4" t="str">
        <f>IFERROR(VLOOKUP(E433,Master!$J:$K,2,0),"")</f>
        <v/>
      </c>
      <c r="F433" s="4" t="str">
        <f>IFERROR(VLOOKUP(G433,Master!B:C,2,0),"")</f>
        <v/>
      </c>
      <c r="I433" s="3" t="str">
        <f>IFERROR(VLOOKUP(E433,Master!$J:$M,4,0),"")</f>
        <v/>
      </c>
      <c r="J433" s="3" t="str">
        <f>IFERROR(VLOOKUP($E433,Master!$J:$M,3,0),"")</f>
        <v/>
      </c>
      <c r="AC433" s="26">
        <f t="shared" si="12"/>
        <v>0</v>
      </c>
      <c r="AD433" s="26">
        <f t="shared" si="13"/>
        <v>0</v>
      </c>
    </row>
    <row r="434" spans="2:30" ht="15" customHeight="1">
      <c r="B434" s="3" t="str">
        <f>IFERROR(VLOOKUP(C434,Master!$J:$K,2,0),"")</f>
        <v/>
      </c>
      <c r="D434" s="4" t="str">
        <f>IFERROR(VLOOKUP(E434,Master!$J:$K,2,0),"")</f>
        <v/>
      </c>
      <c r="F434" s="4" t="str">
        <f>IFERROR(VLOOKUP(G434,Master!B:C,2,0),"")</f>
        <v/>
      </c>
      <c r="I434" s="3" t="str">
        <f>IFERROR(VLOOKUP(E434,Master!$J:$M,4,0),"")</f>
        <v/>
      </c>
      <c r="J434" s="3" t="str">
        <f>IFERROR(VLOOKUP($E434,Master!$J:$M,3,0),"")</f>
        <v/>
      </c>
      <c r="AC434" s="26">
        <f t="shared" si="12"/>
        <v>0</v>
      </c>
      <c r="AD434" s="26">
        <f t="shared" si="13"/>
        <v>0</v>
      </c>
    </row>
    <row r="435" spans="2:30" ht="15" customHeight="1">
      <c r="B435" s="3" t="str">
        <f>IFERROR(VLOOKUP(C435,Master!$J:$K,2,0),"")</f>
        <v/>
      </c>
      <c r="D435" s="4" t="str">
        <f>IFERROR(VLOOKUP(E435,Master!$J:$K,2,0),"")</f>
        <v/>
      </c>
      <c r="F435" s="4" t="str">
        <f>IFERROR(VLOOKUP(G435,Master!B:C,2,0),"")</f>
        <v/>
      </c>
      <c r="I435" s="3" t="str">
        <f>IFERROR(VLOOKUP(E435,Master!$J:$M,4,0),"")</f>
        <v/>
      </c>
      <c r="J435" s="3" t="str">
        <f>IFERROR(VLOOKUP($E435,Master!$J:$M,3,0),"")</f>
        <v/>
      </c>
      <c r="AC435" s="26">
        <f t="shared" si="12"/>
        <v>0</v>
      </c>
      <c r="AD435" s="26">
        <f t="shared" si="13"/>
        <v>0</v>
      </c>
    </row>
    <row r="436" spans="2:30" ht="15" customHeight="1">
      <c r="B436" s="3" t="str">
        <f>IFERROR(VLOOKUP(C436,Master!$J:$K,2,0),"")</f>
        <v/>
      </c>
      <c r="D436" s="4" t="str">
        <f>IFERROR(VLOOKUP(E436,Master!$J:$K,2,0),"")</f>
        <v/>
      </c>
      <c r="F436" s="4" t="str">
        <f>IFERROR(VLOOKUP(G436,Master!B:C,2,0),"")</f>
        <v/>
      </c>
      <c r="I436" s="3" t="str">
        <f>IFERROR(VLOOKUP(E436,Master!$J:$M,4,0),"")</f>
        <v/>
      </c>
      <c r="J436" s="3" t="str">
        <f>IFERROR(VLOOKUP($E436,Master!$J:$M,3,0),"")</f>
        <v/>
      </c>
      <c r="AC436" s="26">
        <f t="shared" si="12"/>
        <v>0</v>
      </c>
      <c r="AD436" s="26">
        <f t="shared" si="13"/>
        <v>0</v>
      </c>
    </row>
    <row r="437" spans="2:30" ht="15" customHeight="1">
      <c r="B437" s="3" t="str">
        <f>IFERROR(VLOOKUP(C437,Master!$J:$K,2,0),"")</f>
        <v/>
      </c>
      <c r="D437" s="4" t="str">
        <f>IFERROR(VLOOKUP(E437,Master!$J:$K,2,0),"")</f>
        <v/>
      </c>
      <c r="F437" s="4" t="str">
        <f>IFERROR(VLOOKUP(G437,Master!B:C,2,0),"")</f>
        <v/>
      </c>
      <c r="I437" s="3" t="str">
        <f>IFERROR(VLOOKUP(E437,Master!$J:$M,4,0),"")</f>
        <v/>
      </c>
      <c r="J437" s="3" t="str">
        <f>IFERROR(VLOOKUP($E437,Master!$J:$M,3,0),"")</f>
        <v/>
      </c>
      <c r="AC437" s="26">
        <f t="shared" si="12"/>
        <v>0</v>
      </c>
      <c r="AD437" s="26">
        <f t="shared" si="13"/>
        <v>0</v>
      </c>
    </row>
    <row r="438" spans="2:30" ht="15" customHeight="1">
      <c r="B438" s="3" t="str">
        <f>IFERROR(VLOOKUP(C438,Master!$J:$K,2,0),"")</f>
        <v/>
      </c>
      <c r="D438" s="4" t="str">
        <f>IFERROR(VLOOKUP(E438,Master!$J:$K,2,0),"")</f>
        <v/>
      </c>
      <c r="F438" s="4" t="str">
        <f>IFERROR(VLOOKUP(G438,Master!B:C,2,0),"")</f>
        <v/>
      </c>
      <c r="I438" s="3" t="str">
        <f>IFERROR(VLOOKUP(E438,Master!$J:$M,4,0),"")</f>
        <v/>
      </c>
      <c r="J438" s="3" t="str">
        <f>IFERROR(VLOOKUP($E438,Master!$J:$M,3,0),"")</f>
        <v/>
      </c>
      <c r="AC438" s="26">
        <f t="shared" si="12"/>
        <v>0</v>
      </c>
      <c r="AD438" s="26">
        <f t="shared" si="13"/>
        <v>0</v>
      </c>
    </row>
    <row r="439" spans="2:30" ht="15" customHeight="1">
      <c r="B439" s="3" t="str">
        <f>IFERROR(VLOOKUP(C439,Master!$J:$K,2,0),"")</f>
        <v/>
      </c>
      <c r="D439" s="4" t="str">
        <f>IFERROR(VLOOKUP(E439,Master!$J:$K,2,0),"")</f>
        <v/>
      </c>
      <c r="F439" s="4" t="str">
        <f>IFERROR(VLOOKUP(G439,Master!B:C,2,0),"")</f>
        <v/>
      </c>
      <c r="I439" s="3" t="str">
        <f>IFERROR(VLOOKUP(E439,Master!$J:$M,4,0),"")</f>
        <v/>
      </c>
      <c r="J439" s="3" t="str">
        <f>IFERROR(VLOOKUP($E439,Master!$J:$M,3,0),"")</f>
        <v/>
      </c>
      <c r="AC439" s="26">
        <f t="shared" si="12"/>
        <v>0</v>
      </c>
      <c r="AD439" s="26">
        <f t="shared" si="13"/>
        <v>0</v>
      </c>
    </row>
    <row r="440" spans="2:30" ht="15" customHeight="1">
      <c r="B440" s="3" t="str">
        <f>IFERROR(VLOOKUP(C440,Master!$J:$K,2,0),"")</f>
        <v/>
      </c>
      <c r="D440" s="4" t="str">
        <f>IFERROR(VLOOKUP(E440,Master!$J:$K,2,0),"")</f>
        <v/>
      </c>
      <c r="F440" s="4" t="str">
        <f>IFERROR(VLOOKUP(G440,Master!B:C,2,0),"")</f>
        <v/>
      </c>
      <c r="I440" s="3" t="str">
        <f>IFERROR(VLOOKUP(E440,Master!$J:$M,4,0),"")</f>
        <v/>
      </c>
      <c r="J440" s="3" t="str">
        <f>IFERROR(VLOOKUP($E440,Master!$J:$M,3,0),"")</f>
        <v/>
      </c>
      <c r="AC440" s="26">
        <f t="shared" si="12"/>
        <v>0</v>
      </c>
      <c r="AD440" s="26">
        <f t="shared" si="13"/>
        <v>0</v>
      </c>
    </row>
    <row r="441" spans="2:30" ht="15" customHeight="1">
      <c r="B441" s="3" t="str">
        <f>IFERROR(VLOOKUP(C441,Master!$J:$K,2,0),"")</f>
        <v/>
      </c>
      <c r="D441" s="4" t="str">
        <f>IFERROR(VLOOKUP(E441,Master!$J:$K,2,0),"")</f>
        <v/>
      </c>
      <c r="F441" s="4" t="str">
        <f>IFERROR(VLOOKUP(G441,Master!B:C,2,0),"")</f>
        <v/>
      </c>
      <c r="I441" s="3" t="str">
        <f>IFERROR(VLOOKUP(E441,Master!$J:$M,4,0),"")</f>
        <v/>
      </c>
      <c r="J441" s="3" t="str">
        <f>IFERROR(VLOOKUP($E441,Master!$J:$M,3,0),"")</f>
        <v/>
      </c>
      <c r="AC441" s="26">
        <f t="shared" si="12"/>
        <v>0</v>
      </c>
      <c r="AD441" s="26">
        <f t="shared" si="13"/>
        <v>0</v>
      </c>
    </row>
    <row r="442" spans="2:30" ht="15" customHeight="1">
      <c r="B442" s="3" t="str">
        <f>IFERROR(VLOOKUP(C442,Master!$J:$K,2,0),"")</f>
        <v/>
      </c>
      <c r="D442" s="4" t="str">
        <f>IFERROR(VLOOKUP(E442,Master!$J:$K,2,0),"")</f>
        <v/>
      </c>
      <c r="F442" s="4" t="str">
        <f>IFERROR(VLOOKUP(G442,Master!B:C,2,0),"")</f>
        <v/>
      </c>
      <c r="I442" s="3" t="str">
        <f>IFERROR(VLOOKUP(E442,Master!$J:$M,4,0),"")</f>
        <v/>
      </c>
      <c r="J442" s="3" t="str">
        <f>IFERROR(VLOOKUP($E442,Master!$J:$M,3,0),"")</f>
        <v/>
      </c>
      <c r="AC442" s="26">
        <f t="shared" si="12"/>
        <v>0</v>
      </c>
      <c r="AD442" s="26">
        <f t="shared" si="13"/>
        <v>0</v>
      </c>
    </row>
    <row r="443" spans="2:30" ht="15" customHeight="1">
      <c r="B443" s="3" t="str">
        <f>IFERROR(VLOOKUP(C443,Master!$J:$K,2,0),"")</f>
        <v/>
      </c>
      <c r="D443" s="4" t="str">
        <f>IFERROR(VLOOKUP(E443,Master!$J:$K,2,0),"")</f>
        <v/>
      </c>
      <c r="F443" s="4" t="str">
        <f>IFERROR(VLOOKUP(G443,Master!B:C,2,0),"")</f>
        <v/>
      </c>
      <c r="I443" s="3" t="str">
        <f>IFERROR(VLOOKUP(E443,Master!$J:$M,4,0),"")</f>
        <v/>
      </c>
      <c r="J443" s="3" t="str">
        <f>IFERROR(VLOOKUP($E443,Master!$J:$M,3,0),"")</f>
        <v/>
      </c>
      <c r="AC443" s="26">
        <f t="shared" si="12"/>
        <v>0</v>
      </c>
      <c r="AD443" s="26">
        <f t="shared" si="13"/>
        <v>0</v>
      </c>
    </row>
    <row r="444" spans="2:30" ht="15" customHeight="1">
      <c r="B444" s="3" t="str">
        <f>IFERROR(VLOOKUP(C444,Master!$J:$K,2,0),"")</f>
        <v/>
      </c>
      <c r="D444" s="4" t="str">
        <f>IFERROR(VLOOKUP(E444,Master!$J:$K,2,0),"")</f>
        <v/>
      </c>
      <c r="F444" s="4" t="str">
        <f>IFERROR(VLOOKUP(G444,Master!B:C,2,0),"")</f>
        <v/>
      </c>
      <c r="I444" s="3" t="str">
        <f>IFERROR(VLOOKUP(E444,Master!$J:$M,4,0),"")</f>
        <v/>
      </c>
      <c r="J444" s="3" t="str">
        <f>IFERROR(VLOOKUP($E444,Master!$J:$M,3,0),"")</f>
        <v/>
      </c>
      <c r="AC444" s="26">
        <f t="shared" si="12"/>
        <v>0</v>
      </c>
      <c r="AD444" s="26">
        <f t="shared" si="13"/>
        <v>0</v>
      </c>
    </row>
    <row r="445" spans="2:30" ht="15" customHeight="1">
      <c r="B445" s="3" t="str">
        <f>IFERROR(VLOOKUP(C445,Master!$J:$K,2,0),"")</f>
        <v/>
      </c>
      <c r="D445" s="4" t="str">
        <f>IFERROR(VLOOKUP(E445,Master!$J:$K,2,0),"")</f>
        <v/>
      </c>
      <c r="F445" s="4" t="str">
        <f>IFERROR(VLOOKUP(G445,Master!B:C,2,0),"")</f>
        <v/>
      </c>
      <c r="I445" s="3" t="str">
        <f>IFERROR(VLOOKUP(E445,Master!$J:$M,4,0),"")</f>
        <v/>
      </c>
      <c r="J445" s="3" t="str">
        <f>IFERROR(VLOOKUP($E445,Master!$J:$M,3,0),"")</f>
        <v/>
      </c>
      <c r="AC445" s="26">
        <f t="shared" si="12"/>
        <v>0</v>
      </c>
      <c r="AD445" s="26">
        <f t="shared" si="13"/>
        <v>0</v>
      </c>
    </row>
    <row r="446" spans="2:30" ht="15" customHeight="1">
      <c r="B446" s="3" t="str">
        <f>IFERROR(VLOOKUP(C446,Master!$J:$K,2,0),"")</f>
        <v/>
      </c>
      <c r="D446" s="4" t="str">
        <f>IFERROR(VLOOKUP(E446,Master!$J:$K,2,0),"")</f>
        <v/>
      </c>
      <c r="F446" s="4" t="str">
        <f>IFERROR(VLOOKUP(G446,Master!B:C,2,0),"")</f>
        <v/>
      </c>
      <c r="I446" s="3" t="str">
        <f>IFERROR(VLOOKUP(E446,Master!$J:$M,4,0),"")</f>
        <v/>
      </c>
      <c r="J446" s="3" t="str">
        <f>IFERROR(VLOOKUP($E446,Master!$J:$M,3,0),"")</f>
        <v/>
      </c>
      <c r="AC446" s="26">
        <f t="shared" si="12"/>
        <v>0</v>
      </c>
      <c r="AD446" s="26">
        <f t="shared" si="13"/>
        <v>0</v>
      </c>
    </row>
    <row r="447" spans="2:30" ht="15" customHeight="1">
      <c r="B447" s="3" t="str">
        <f>IFERROR(VLOOKUP(C447,Master!$J:$K,2,0),"")</f>
        <v/>
      </c>
      <c r="D447" s="4" t="str">
        <f>IFERROR(VLOOKUP(E447,Master!$J:$K,2,0),"")</f>
        <v/>
      </c>
      <c r="F447" s="4" t="str">
        <f>IFERROR(VLOOKUP(G447,Master!B:C,2,0),"")</f>
        <v/>
      </c>
      <c r="I447" s="3" t="str">
        <f>IFERROR(VLOOKUP(E447,Master!$J:$M,4,0),"")</f>
        <v/>
      </c>
      <c r="J447" s="3" t="str">
        <f>IFERROR(VLOOKUP($E447,Master!$J:$M,3,0),"")</f>
        <v/>
      </c>
      <c r="AC447" s="26">
        <f t="shared" si="12"/>
        <v>0</v>
      </c>
      <c r="AD447" s="26">
        <f t="shared" si="13"/>
        <v>0</v>
      </c>
    </row>
    <row r="448" spans="2:30" ht="15" customHeight="1">
      <c r="B448" s="3" t="str">
        <f>IFERROR(VLOOKUP(C448,Master!$J:$K,2,0),"")</f>
        <v/>
      </c>
      <c r="D448" s="4" t="str">
        <f>IFERROR(VLOOKUP(E448,Master!$J:$K,2,0),"")</f>
        <v/>
      </c>
      <c r="F448" s="4" t="str">
        <f>IFERROR(VLOOKUP(G448,Master!B:C,2,0),"")</f>
        <v/>
      </c>
      <c r="I448" s="3" t="str">
        <f>IFERROR(VLOOKUP(E448,Master!$J:$M,4,0),"")</f>
        <v/>
      </c>
      <c r="J448" s="3" t="str">
        <f>IFERROR(VLOOKUP($E448,Master!$J:$M,3,0),"")</f>
        <v/>
      </c>
      <c r="AC448" s="26">
        <f t="shared" si="12"/>
        <v>0</v>
      </c>
      <c r="AD448" s="26">
        <f t="shared" si="13"/>
        <v>0</v>
      </c>
    </row>
    <row r="449" spans="2:30" ht="15" customHeight="1">
      <c r="B449" s="3" t="str">
        <f>IFERROR(VLOOKUP(C449,Master!$J:$K,2,0),"")</f>
        <v/>
      </c>
      <c r="D449" s="4" t="str">
        <f>IFERROR(VLOOKUP(E449,Master!$J:$K,2,0),"")</f>
        <v/>
      </c>
      <c r="F449" s="4" t="str">
        <f>IFERROR(VLOOKUP(G449,Master!B:C,2,0),"")</f>
        <v/>
      </c>
      <c r="I449" s="3" t="str">
        <f>IFERROR(VLOOKUP(E449,Master!$J:$M,4,0),"")</f>
        <v/>
      </c>
      <c r="J449" s="3" t="str">
        <f>IFERROR(VLOOKUP($E449,Master!$J:$M,3,0),"")</f>
        <v/>
      </c>
      <c r="AC449" s="26">
        <f t="shared" si="12"/>
        <v>0</v>
      </c>
      <c r="AD449" s="26">
        <f t="shared" si="13"/>
        <v>0</v>
      </c>
    </row>
    <row r="450" spans="2:30" ht="15" customHeight="1">
      <c r="B450" s="3" t="str">
        <f>IFERROR(VLOOKUP(C450,Master!$J:$K,2,0),"")</f>
        <v/>
      </c>
      <c r="D450" s="4" t="str">
        <f>IFERROR(VLOOKUP(E450,Master!$J:$K,2,0),"")</f>
        <v/>
      </c>
      <c r="F450" s="4" t="str">
        <f>IFERROR(VLOOKUP(G450,Master!B:C,2,0),"")</f>
        <v/>
      </c>
      <c r="I450" s="3" t="str">
        <f>IFERROR(VLOOKUP(E450,Master!$J:$M,4,0),"")</f>
        <v/>
      </c>
      <c r="J450" s="3" t="str">
        <f>IFERROR(VLOOKUP($E450,Master!$J:$M,3,0),"")</f>
        <v/>
      </c>
      <c r="AC450" s="26">
        <f t="shared" ref="AC450:AC513" si="14">SUM(K450:P450)</f>
        <v>0</v>
      </c>
      <c r="AD450" s="26">
        <f t="shared" ref="AD450:AD513" si="15">SUM(Q450:AB450)</f>
        <v>0</v>
      </c>
    </row>
    <row r="451" spans="2:30" ht="15" customHeight="1">
      <c r="B451" s="3" t="str">
        <f>IFERROR(VLOOKUP(C451,Master!$J:$K,2,0),"")</f>
        <v/>
      </c>
      <c r="D451" s="4" t="str">
        <f>IFERROR(VLOOKUP(E451,Master!$J:$K,2,0),"")</f>
        <v/>
      </c>
      <c r="F451" s="4" t="str">
        <f>IFERROR(VLOOKUP(G451,Master!B:C,2,0),"")</f>
        <v/>
      </c>
      <c r="I451" s="3" t="str">
        <f>IFERROR(VLOOKUP(E451,Master!$J:$M,4,0),"")</f>
        <v/>
      </c>
      <c r="J451" s="3" t="str">
        <f>IFERROR(VLOOKUP($E451,Master!$J:$M,3,0),"")</f>
        <v/>
      </c>
      <c r="AC451" s="26">
        <f t="shared" si="14"/>
        <v>0</v>
      </c>
      <c r="AD451" s="26">
        <f t="shared" si="15"/>
        <v>0</v>
      </c>
    </row>
    <row r="452" spans="2:30" ht="15" customHeight="1">
      <c r="B452" s="3" t="str">
        <f>IFERROR(VLOOKUP(C452,Master!$J:$K,2,0),"")</f>
        <v/>
      </c>
      <c r="D452" s="4" t="str">
        <f>IFERROR(VLOOKUP(E452,Master!$J:$K,2,0),"")</f>
        <v/>
      </c>
      <c r="F452" s="4" t="str">
        <f>IFERROR(VLOOKUP(G452,Master!B:C,2,0),"")</f>
        <v/>
      </c>
      <c r="I452" s="3" t="str">
        <f>IFERROR(VLOOKUP(E452,Master!$J:$M,4,0),"")</f>
        <v/>
      </c>
      <c r="J452" s="3" t="str">
        <f>IFERROR(VLOOKUP($E452,Master!$J:$M,3,0),"")</f>
        <v/>
      </c>
      <c r="AC452" s="26">
        <f t="shared" si="14"/>
        <v>0</v>
      </c>
      <c r="AD452" s="26">
        <f t="shared" si="15"/>
        <v>0</v>
      </c>
    </row>
    <row r="453" spans="2:30" ht="15" customHeight="1">
      <c r="B453" s="3" t="str">
        <f>IFERROR(VLOOKUP(C453,Master!$J:$K,2,0),"")</f>
        <v/>
      </c>
      <c r="D453" s="4" t="str">
        <f>IFERROR(VLOOKUP(E453,Master!$J:$K,2,0),"")</f>
        <v/>
      </c>
      <c r="F453" s="4" t="str">
        <f>IFERROR(VLOOKUP(G453,Master!B:C,2,0),"")</f>
        <v/>
      </c>
      <c r="I453" s="3" t="str">
        <f>IFERROR(VLOOKUP(E453,Master!$J:$M,4,0),"")</f>
        <v/>
      </c>
      <c r="J453" s="3" t="str">
        <f>IFERROR(VLOOKUP($E453,Master!$J:$M,3,0),"")</f>
        <v/>
      </c>
      <c r="AC453" s="26">
        <f t="shared" si="14"/>
        <v>0</v>
      </c>
      <c r="AD453" s="26">
        <f t="shared" si="15"/>
        <v>0</v>
      </c>
    </row>
    <row r="454" spans="2:30" ht="15" customHeight="1">
      <c r="B454" s="3" t="str">
        <f>IFERROR(VLOOKUP(C454,Master!$J:$K,2,0),"")</f>
        <v/>
      </c>
      <c r="D454" s="4" t="str">
        <f>IFERROR(VLOOKUP(E454,Master!$J:$K,2,0),"")</f>
        <v/>
      </c>
      <c r="F454" s="4" t="str">
        <f>IFERROR(VLOOKUP(G454,Master!B:C,2,0),"")</f>
        <v/>
      </c>
      <c r="I454" s="3" t="str">
        <f>IFERROR(VLOOKUP(E454,Master!$J:$M,4,0),"")</f>
        <v/>
      </c>
      <c r="J454" s="3" t="str">
        <f>IFERROR(VLOOKUP($E454,Master!$J:$M,3,0),"")</f>
        <v/>
      </c>
      <c r="AC454" s="26">
        <f t="shared" si="14"/>
        <v>0</v>
      </c>
      <c r="AD454" s="26">
        <f t="shared" si="15"/>
        <v>0</v>
      </c>
    </row>
    <row r="455" spans="2:30" ht="15" customHeight="1">
      <c r="B455" s="3" t="str">
        <f>IFERROR(VLOOKUP(C455,Master!$J:$K,2,0),"")</f>
        <v/>
      </c>
      <c r="D455" s="4" t="str">
        <f>IFERROR(VLOOKUP(E455,Master!$J:$K,2,0),"")</f>
        <v/>
      </c>
      <c r="F455" s="4" t="str">
        <f>IFERROR(VLOOKUP(G455,Master!B:C,2,0),"")</f>
        <v/>
      </c>
      <c r="I455" s="3" t="str">
        <f>IFERROR(VLOOKUP(E455,Master!$J:$M,4,0),"")</f>
        <v/>
      </c>
      <c r="J455" s="3" t="str">
        <f>IFERROR(VLOOKUP($E455,Master!$J:$M,3,0),"")</f>
        <v/>
      </c>
      <c r="AC455" s="26">
        <f t="shared" si="14"/>
        <v>0</v>
      </c>
      <c r="AD455" s="26">
        <f t="shared" si="15"/>
        <v>0</v>
      </c>
    </row>
    <row r="456" spans="2:30" ht="15" customHeight="1">
      <c r="B456" s="3" t="str">
        <f>IFERROR(VLOOKUP(C456,Master!$J:$K,2,0),"")</f>
        <v/>
      </c>
      <c r="D456" s="4" t="str">
        <f>IFERROR(VLOOKUP(E456,Master!$J:$K,2,0),"")</f>
        <v/>
      </c>
      <c r="F456" s="4" t="str">
        <f>IFERROR(VLOOKUP(G456,Master!B:C,2,0),"")</f>
        <v/>
      </c>
      <c r="I456" s="3" t="str">
        <f>IFERROR(VLOOKUP(E456,Master!$J:$M,4,0),"")</f>
        <v/>
      </c>
      <c r="J456" s="3" t="str">
        <f>IFERROR(VLOOKUP($E456,Master!$J:$M,3,0),"")</f>
        <v/>
      </c>
      <c r="AC456" s="26">
        <f t="shared" si="14"/>
        <v>0</v>
      </c>
      <c r="AD456" s="26">
        <f t="shared" si="15"/>
        <v>0</v>
      </c>
    </row>
    <row r="457" spans="2:30" ht="15" customHeight="1">
      <c r="B457" s="3" t="str">
        <f>IFERROR(VLOOKUP(C457,Master!$J:$K,2,0),"")</f>
        <v/>
      </c>
      <c r="D457" s="4" t="str">
        <f>IFERROR(VLOOKUP(E457,Master!$J:$K,2,0),"")</f>
        <v/>
      </c>
      <c r="F457" s="4" t="str">
        <f>IFERROR(VLOOKUP(G457,Master!B:C,2,0),"")</f>
        <v/>
      </c>
      <c r="I457" s="3" t="str">
        <f>IFERROR(VLOOKUP(E457,Master!$J:$M,4,0),"")</f>
        <v/>
      </c>
      <c r="J457" s="3" t="str">
        <f>IFERROR(VLOOKUP($E457,Master!$J:$M,3,0),"")</f>
        <v/>
      </c>
      <c r="AC457" s="26">
        <f t="shared" si="14"/>
        <v>0</v>
      </c>
      <c r="AD457" s="26">
        <f t="shared" si="15"/>
        <v>0</v>
      </c>
    </row>
    <row r="458" spans="2:30" ht="15" customHeight="1">
      <c r="B458" s="3" t="str">
        <f>IFERROR(VLOOKUP(C458,Master!$J:$K,2,0),"")</f>
        <v/>
      </c>
      <c r="D458" s="4" t="str">
        <f>IFERROR(VLOOKUP(E458,Master!$J:$K,2,0),"")</f>
        <v/>
      </c>
      <c r="F458" s="4" t="str">
        <f>IFERROR(VLOOKUP(G458,Master!B:C,2,0),"")</f>
        <v/>
      </c>
      <c r="I458" s="3" t="str">
        <f>IFERROR(VLOOKUP(E458,Master!$J:$M,4,0),"")</f>
        <v/>
      </c>
      <c r="J458" s="3" t="str">
        <f>IFERROR(VLOOKUP($E458,Master!$J:$M,3,0),"")</f>
        <v/>
      </c>
      <c r="AC458" s="26">
        <f t="shared" si="14"/>
        <v>0</v>
      </c>
      <c r="AD458" s="26">
        <f t="shared" si="15"/>
        <v>0</v>
      </c>
    </row>
    <row r="459" spans="2:30" ht="15" customHeight="1">
      <c r="B459" s="3" t="str">
        <f>IFERROR(VLOOKUP(C459,Master!$J:$K,2,0),"")</f>
        <v/>
      </c>
      <c r="D459" s="4" t="str">
        <f>IFERROR(VLOOKUP(E459,Master!$J:$K,2,0),"")</f>
        <v/>
      </c>
      <c r="F459" s="4" t="str">
        <f>IFERROR(VLOOKUP(G459,Master!B:C,2,0),"")</f>
        <v/>
      </c>
      <c r="I459" s="3" t="str">
        <f>IFERROR(VLOOKUP(E459,Master!$J:$M,4,0),"")</f>
        <v/>
      </c>
      <c r="J459" s="3" t="str">
        <f>IFERROR(VLOOKUP($E459,Master!$J:$M,3,0),"")</f>
        <v/>
      </c>
      <c r="AC459" s="26">
        <f t="shared" si="14"/>
        <v>0</v>
      </c>
      <c r="AD459" s="26">
        <f t="shared" si="15"/>
        <v>0</v>
      </c>
    </row>
    <row r="460" spans="2:30" ht="15" customHeight="1">
      <c r="B460" s="3" t="str">
        <f>IFERROR(VLOOKUP(C460,Master!$J:$K,2,0),"")</f>
        <v/>
      </c>
      <c r="D460" s="4" t="str">
        <f>IFERROR(VLOOKUP(E460,Master!$J:$K,2,0),"")</f>
        <v/>
      </c>
      <c r="F460" s="4" t="str">
        <f>IFERROR(VLOOKUP(G460,Master!B:C,2,0),"")</f>
        <v/>
      </c>
      <c r="I460" s="3" t="str">
        <f>IFERROR(VLOOKUP(E460,Master!$J:$M,4,0),"")</f>
        <v/>
      </c>
      <c r="J460" s="3" t="str">
        <f>IFERROR(VLOOKUP($E460,Master!$J:$M,3,0),"")</f>
        <v/>
      </c>
      <c r="AC460" s="26">
        <f t="shared" si="14"/>
        <v>0</v>
      </c>
      <c r="AD460" s="26">
        <f t="shared" si="15"/>
        <v>0</v>
      </c>
    </row>
    <row r="461" spans="2:30" ht="15" customHeight="1">
      <c r="B461" s="3" t="str">
        <f>IFERROR(VLOOKUP(C461,Master!$J:$K,2,0),"")</f>
        <v/>
      </c>
      <c r="D461" s="4" t="str">
        <f>IFERROR(VLOOKUP(E461,Master!$J:$K,2,0),"")</f>
        <v/>
      </c>
      <c r="F461" s="4" t="str">
        <f>IFERROR(VLOOKUP(G461,Master!B:C,2,0),"")</f>
        <v/>
      </c>
      <c r="I461" s="3" t="str">
        <f>IFERROR(VLOOKUP(E461,Master!$J:$M,4,0),"")</f>
        <v/>
      </c>
      <c r="J461" s="3" t="str">
        <f>IFERROR(VLOOKUP($E461,Master!$J:$M,3,0),"")</f>
        <v/>
      </c>
      <c r="AC461" s="26">
        <f t="shared" si="14"/>
        <v>0</v>
      </c>
      <c r="AD461" s="26">
        <f t="shared" si="15"/>
        <v>0</v>
      </c>
    </row>
    <row r="462" spans="2:30" ht="15" customHeight="1">
      <c r="B462" s="3" t="str">
        <f>IFERROR(VLOOKUP(C462,Master!$J:$K,2,0),"")</f>
        <v/>
      </c>
      <c r="D462" s="4" t="str">
        <f>IFERROR(VLOOKUP(E462,Master!$J:$K,2,0),"")</f>
        <v/>
      </c>
      <c r="F462" s="4" t="str">
        <f>IFERROR(VLOOKUP(G462,Master!B:C,2,0),"")</f>
        <v/>
      </c>
      <c r="I462" s="3" t="str">
        <f>IFERROR(VLOOKUP(E462,Master!$J:$M,4,0),"")</f>
        <v/>
      </c>
      <c r="J462" s="3" t="str">
        <f>IFERROR(VLOOKUP($E462,Master!$J:$M,3,0),"")</f>
        <v/>
      </c>
      <c r="AC462" s="26">
        <f t="shared" si="14"/>
        <v>0</v>
      </c>
      <c r="AD462" s="26">
        <f t="shared" si="15"/>
        <v>0</v>
      </c>
    </row>
    <row r="463" spans="2:30" ht="15" customHeight="1">
      <c r="B463" s="3" t="str">
        <f>IFERROR(VLOOKUP(C463,Master!$J:$K,2,0),"")</f>
        <v/>
      </c>
      <c r="D463" s="4" t="str">
        <f>IFERROR(VLOOKUP(E463,Master!$J:$K,2,0),"")</f>
        <v/>
      </c>
      <c r="F463" s="4" t="str">
        <f>IFERROR(VLOOKUP(G463,Master!B:C,2,0),"")</f>
        <v/>
      </c>
      <c r="I463" s="3" t="str">
        <f>IFERROR(VLOOKUP(E463,Master!$J:$M,4,0),"")</f>
        <v/>
      </c>
      <c r="J463" s="3" t="str">
        <f>IFERROR(VLOOKUP($E463,Master!$J:$M,3,0),"")</f>
        <v/>
      </c>
      <c r="AC463" s="26">
        <f t="shared" si="14"/>
        <v>0</v>
      </c>
      <c r="AD463" s="26">
        <f t="shared" si="15"/>
        <v>0</v>
      </c>
    </row>
    <row r="464" spans="2:30" ht="15" customHeight="1">
      <c r="B464" s="3" t="str">
        <f>IFERROR(VLOOKUP(C464,Master!$J:$K,2,0),"")</f>
        <v/>
      </c>
      <c r="D464" s="4" t="str">
        <f>IFERROR(VLOOKUP(E464,Master!$J:$K,2,0),"")</f>
        <v/>
      </c>
      <c r="F464" s="4" t="str">
        <f>IFERROR(VLOOKUP(G464,Master!B:C,2,0),"")</f>
        <v/>
      </c>
      <c r="I464" s="3" t="str">
        <f>IFERROR(VLOOKUP(E464,Master!$J:$M,4,0),"")</f>
        <v/>
      </c>
      <c r="J464" s="3" t="str">
        <f>IFERROR(VLOOKUP($E464,Master!$J:$M,3,0),"")</f>
        <v/>
      </c>
      <c r="AC464" s="26">
        <f t="shared" si="14"/>
        <v>0</v>
      </c>
      <c r="AD464" s="26">
        <f t="shared" si="15"/>
        <v>0</v>
      </c>
    </row>
    <row r="465" spans="2:30" ht="15" customHeight="1">
      <c r="B465" s="3" t="str">
        <f>IFERROR(VLOOKUP(C465,Master!$J:$K,2,0),"")</f>
        <v/>
      </c>
      <c r="D465" s="4" t="str">
        <f>IFERROR(VLOOKUP(E465,Master!$J:$K,2,0),"")</f>
        <v/>
      </c>
      <c r="F465" s="4" t="str">
        <f>IFERROR(VLOOKUP(G465,Master!B:C,2,0),"")</f>
        <v/>
      </c>
      <c r="I465" s="3" t="str">
        <f>IFERROR(VLOOKUP(E465,Master!$J:$M,4,0),"")</f>
        <v/>
      </c>
      <c r="J465" s="3" t="str">
        <f>IFERROR(VLOOKUP($E465,Master!$J:$M,3,0),"")</f>
        <v/>
      </c>
      <c r="AC465" s="26">
        <f t="shared" si="14"/>
        <v>0</v>
      </c>
      <c r="AD465" s="26">
        <f t="shared" si="15"/>
        <v>0</v>
      </c>
    </row>
    <row r="466" spans="2:30" ht="15" customHeight="1">
      <c r="B466" s="3" t="str">
        <f>IFERROR(VLOOKUP(C466,Master!$J:$K,2,0),"")</f>
        <v/>
      </c>
      <c r="D466" s="4" t="str">
        <f>IFERROR(VLOOKUP(E466,Master!$J:$K,2,0),"")</f>
        <v/>
      </c>
      <c r="F466" s="4" t="str">
        <f>IFERROR(VLOOKUP(G466,Master!B:C,2,0),"")</f>
        <v/>
      </c>
      <c r="I466" s="3" t="str">
        <f>IFERROR(VLOOKUP(E466,Master!$J:$M,4,0),"")</f>
        <v/>
      </c>
      <c r="J466" s="3" t="str">
        <f>IFERROR(VLOOKUP($E466,Master!$J:$M,3,0),"")</f>
        <v/>
      </c>
      <c r="AC466" s="26">
        <f t="shared" si="14"/>
        <v>0</v>
      </c>
      <c r="AD466" s="26">
        <f t="shared" si="15"/>
        <v>0</v>
      </c>
    </row>
    <row r="467" spans="2:30" ht="15" customHeight="1">
      <c r="B467" s="3" t="str">
        <f>IFERROR(VLOOKUP(C467,Master!$J:$K,2,0),"")</f>
        <v/>
      </c>
      <c r="D467" s="4" t="str">
        <f>IFERROR(VLOOKUP(E467,Master!$J:$K,2,0),"")</f>
        <v/>
      </c>
      <c r="F467" s="4" t="str">
        <f>IFERROR(VLOOKUP(G467,Master!B:C,2,0),"")</f>
        <v/>
      </c>
      <c r="I467" s="3" t="str">
        <f>IFERROR(VLOOKUP(E467,Master!$J:$M,4,0),"")</f>
        <v/>
      </c>
      <c r="J467" s="3" t="str">
        <f>IFERROR(VLOOKUP($E467,Master!$J:$M,3,0),"")</f>
        <v/>
      </c>
      <c r="AC467" s="26">
        <f t="shared" si="14"/>
        <v>0</v>
      </c>
      <c r="AD467" s="26">
        <f t="shared" si="15"/>
        <v>0</v>
      </c>
    </row>
    <row r="468" spans="2:30" ht="15" customHeight="1">
      <c r="B468" s="3" t="str">
        <f>IFERROR(VLOOKUP(C468,Master!$J:$K,2,0),"")</f>
        <v/>
      </c>
      <c r="D468" s="4" t="str">
        <f>IFERROR(VLOOKUP(E468,Master!$J:$K,2,0),"")</f>
        <v/>
      </c>
      <c r="F468" s="4" t="str">
        <f>IFERROR(VLOOKUP(G468,Master!B:C,2,0),"")</f>
        <v/>
      </c>
      <c r="I468" s="3" t="str">
        <f>IFERROR(VLOOKUP(E468,Master!$J:$M,4,0),"")</f>
        <v/>
      </c>
      <c r="J468" s="3" t="str">
        <f>IFERROR(VLOOKUP($E468,Master!$J:$M,3,0),"")</f>
        <v/>
      </c>
      <c r="AC468" s="26">
        <f t="shared" si="14"/>
        <v>0</v>
      </c>
      <c r="AD468" s="26">
        <f t="shared" si="15"/>
        <v>0</v>
      </c>
    </row>
    <row r="469" spans="2:30" ht="15" customHeight="1">
      <c r="B469" s="3" t="str">
        <f>IFERROR(VLOOKUP(C469,Master!$J:$K,2,0),"")</f>
        <v/>
      </c>
      <c r="D469" s="4" t="str">
        <f>IFERROR(VLOOKUP(E469,Master!$J:$K,2,0),"")</f>
        <v/>
      </c>
      <c r="F469" s="4" t="str">
        <f>IFERROR(VLOOKUP(G469,Master!B:C,2,0),"")</f>
        <v/>
      </c>
      <c r="I469" s="3" t="str">
        <f>IFERROR(VLOOKUP(E469,Master!$J:$M,4,0),"")</f>
        <v/>
      </c>
      <c r="J469" s="3" t="str">
        <f>IFERROR(VLOOKUP($E469,Master!$J:$M,3,0),"")</f>
        <v/>
      </c>
      <c r="AC469" s="26">
        <f t="shared" si="14"/>
        <v>0</v>
      </c>
      <c r="AD469" s="26">
        <f t="shared" si="15"/>
        <v>0</v>
      </c>
    </row>
    <row r="470" spans="2:30" ht="15" customHeight="1">
      <c r="B470" s="3" t="str">
        <f>IFERROR(VLOOKUP(C470,Master!$J:$K,2,0),"")</f>
        <v/>
      </c>
      <c r="D470" s="4" t="str">
        <f>IFERROR(VLOOKUP(E470,Master!$J:$K,2,0),"")</f>
        <v/>
      </c>
      <c r="F470" s="4" t="str">
        <f>IFERROR(VLOOKUP(G470,Master!B:C,2,0),"")</f>
        <v/>
      </c>
      <c r="I470" s="3" t="str">
        <f>IFERROR(VLOOKUP(E470,Master!$J:$M,4,0),"")</f>
        <v/>
      </c>
      <c r="J470" s="3" t="str">
        <f>IFERROR(VLOOKUP($E470,Master!$J:$M,3,0),"")</f>
        <v/>
      </c>
      <c r="AC470" s="26">
        <f t="shared" si="14"/>
        <v>0</v>
      </c>
      <c r="AD470" s="26">
        <f t="shared" si="15"/>
        <v>0</v>
      </c>
    </row>
    <row r="471" spans="2:30" ht="15" customHeight="1">
      <c r="B471" s="3" t="str">
        <f>IFERROR(VLOOKUP(C471,Master!$J:$K,2,0),"")</f>
        <v/>
      </c>
      <c r="D471" s="4" t="str">
        <f>IFERROR(VLOOKUP(E471,Master!$J:$K,2,0),"")</f>
        <v/>
      </c>
      <c r="F471" s="4" t="str">
        <f>IFERROR(VLOOKUP(G471,Master!B:C,2,0),"")</f>
        <v/>
      </c>
      <c r="I471" s="3" t="str">
        <f>IFERROR(VLOOKUP(E471,Master!$J:$M,4,0),"")</f>
        <v/>
      </c>
      <c r="J471" s="3" t="str">
        <f>IFERROR(VLOOKUP($E471,Master!$J:$M,3,0),"")</f>
        <v/>
      </c>
      <c r="AC471" s="26">
        <f t="shared" si="14"/>
        <v>0</v>
      </c>
      <c r="AD471" s="26">
        <f t="shared" si="15"/>
        <v>0</v>
      </c>
    </row>
    <row r="472" spans="2:30" ht="15" customHeight="1">
      <c r="B472" s="3" t="str">
        <f>IFERROR(VLOOKUP(C472,Master!$J:$K,2,0),"")</f>
        <v/>
      </c>
      <c r="D472" s="4" t="str">
        <f>IFERROR(VLOOKUP(E472,Master!$J:$K,2,0),"")</f>
        <v/>
      </c>
      <c r="F472" s="4" t="str">
        <f>IFERROR(VLOOKUP(G472,Master!B:C,2,0),"")</f>
        <v/>
      </c>
      <c r="I472" s="3" t="str">
        <f>IFERROR(VLOOKUP(E472,Master!$J:$M,4,0),"")</f>
        <v/>
      </c>
      <c r="J472" s="3" t="str">
        <f>IFERROR(VLOOKUP($E472,Master!$J:$M,3,0),"")</f>
        <v/>
      </c>
      <c r="AC472" s="26">
        <f t="shared" si="14"/>
        <v>0</v>
      </c>
      <c r="AD472" s="26">
        <f t="shared" si="15"/>
        <v>0</v>
      </c>
    </row>
    <row r="473" spans="2:30" ht="15" customHeight="1">
      <c r="B473" s="3" t="str">
        <f>IFERROR(VLOOKUP(C473,Master!$J:$K,2,0),"")</f>
        <v/>
      </c>
      <c r="D473" s="4" t="str">
        <f>IFERROR(VLOOKUP(E473,Master!$J:$K,2,0),"")</f>
        <v/>
      </c>
      <c r="F473" s="4" t="str">
        <f>IFERROR(VLOOKUP(G473,Master!B:C,2,0),"")</f>
        <v/>
      </c>
      <c r="I473" s="3" t="str">
        <f>IFERROR(VLOOKUP(E473,Master!$J:$M,4,0),"")</f>
        <v/>
      </c>
      <c r="J473" s="3" t="str">
        <f>IFERROR(VLOOKUP($E473,Master!$J:$M,3,0),"")</f>
        <v/>
      </c>
      <c r="AC473" s="26">
        <f t="shared" si="14"/>
        <v>0</v>
      </c>
      <c r="AD473" s="26">
        <f t="shared" si="15"/>
        <v>0</v>
      </c>
    </row>
    <row r="474" spans="2:30" ht="15" customHeight="1">
      <c r="B474" s="3" t="str">
        <f>IFERROR(VLOOKUP(C474,Master!$J:$K,2,0),"")</f>
        <v/>
      </c>
      <c r="D474" s="4" t="str">
        <f>IFERROR(VLOOKUP(E474,Master!$J:$K,2,0),"")</f>
        <v/>
      </c>
      <c r="F474" s="4" t="str">
        <f>IFERROR(VLOOKUP(G474,Master!B:C,2,0),"")</f>
        <v/>
      </c>
      <c r="I474" s="3" t="str">
        <f>IFERROR(VLOOKUP(E474,Master!$J:$M,4,0),"")</f>
        <v/>
      </c>
      <c r="J474" s="3" t="str">
        <f>IFERROR(VLOOKUP($E474,Master!$J:$M,3,0),"")</f>
        <v/>
      </c>
      <c r="AC474" s="26">
        <f t="shared" si="14"/>
        <v>0</v>
      </c>
      <c r="AD474" s="26">
        <f t="shared" si="15"/>
        <v>0</v>
      </c>
    </row>
    <row r="475" spans="2:30" ht="15" customHeight="1">
      <c r="B475" s="3" t="str">
        <f>IFERROR(VLOOKUP(C475,Master!$J:$K,2,0),"")</f>
        <v/>
      </c>
      <c r="D475" s="4" t="str">
        <f>IFERROR(VLOOKUP(E475,Master!$J:$K,2,0),"")</f>
        <v/>
      </c>
      <c r="F475" s="4" t="str">
        <f>IFERROR(VLOOKUP(G475,Master!B:C,2,0),"")</f>
        <v/>
      </c>
      <c r="I475" s="3" t="str">
        <f>IFERROR(VLOOKUP(E475,Master!$J:$M,4,0),"")</f>
        <v/>
      </c>
      <c r="J475" s="3" t="str">
        <f>IFERROR(VLOOKUP($E475,Master!$J:$M,3,0),"")</f>
        <v/>
      </c>
      <c r="AC475" s="26">
        <f t="shared" si="14"/>
        <v>0</v>
      </c>
      <c r="AD475" s="26">
        <f t="shared" si="15"/>
        <v>0</v>
      </c>
    </row>
    <row r="476" spans="2:30" ht="15" customHeight="1">
      <c r="B476" s="3" t="str">
        <f>IFERROR(VLOOKUP(C476,Master!$J:$K,2,0),"")</f>
        <v/>
      </c>
      <c r="D476" s="4" t="str">
        <f>IFERROR(VLOOKUP(E476,Master!$J:$K,2,0),"")</f>
        <v/>
      </c>
      <c r="F476" s="4" t="str">
        <f>IFERROR(VLOOKUP(G476,Master!B:C,2,0),"")</f>
        <v/>
      </c>
      <c r="I476" s="3" t="str">
        <f>IFERROR(VLOOKUP(E476,Master!$J:$M,4,0),"")</f>
        <v/>
      </c>
      <c r="J476" s="3" t="str">
        <f>IFERROR(VLOOKUP($E476,Master!$J:$M,3,0),"")</f>
        <v/>
      </c>
      <c r="AC476" s="26">
        <f t="shared" si="14"/>
        <v>0</v>
      </c>
      <c r="AD476" s="26">
        <f t="shared" si="15"/>
        <v>0</v>
      </c>
    </row>
    <row r="477" spans="2:30" ht="15" customHeight="1">
      <c r="B477" s="3" t="str">
        <f>IFERROR(VLOOKUP(C477,Master!$J:$K,2,0),"")</f>
        <v/>
      </c>
      <c r="D477" s="4" t="str">
        <f>IFERROR(VLOOKUP(E477,Master!$J:$K,2,0),"")</f>
        <v/>
      </c>
      <c r="F477" s="4" t="str">
        <f>IFERROR(VLOOKUP(G477,Master!B:C,2,0),"")</f>
        <v/>
      </c>
      <c r="I477" s="3" t="str">
        <f>IFERROR(VLOOKUP(E477,Master!$J:$M,4,0),"")</f>
        <v/>
      </c>
      <c r="J477" s="3" t="str">
        <f>IFERROR(VLOOKUP($E477,Master!$J:$M,3,0),"")</f>
        <v/>
      </c>
      <c r="AC477" s="26">
        <f t="shared" si="14"/>
        <v>0</v>
      </c>
      <c r="AD477" s="26">
        <f t="shared" si="15"/>
        <v>0</v>
      </c>
    </row>
    <row r="478" spans="2:30" ht="15" customHeight="1">
      <c r="B478" s="3" t="str">
        <f>IFERROR(VLOOKUP(C478,Master!$J:$K,2,0),"")</f>
        <v/>
      </c>
      <c r="D478" s="4" t="str">
        <f>IFERROR(VLOOKUP(E478,Master!$J:$K,2,0),"")</f>
        <v/>
      </c>
      <c r="F478" s="4" t="str">
        <f>IFERROR(VLOOKUP(G478,Master!B:C,2,0),"")</f>
        <v/>
      </c>
      <c r="I478" s="3" t="str">
        <f>IFERROR(VLOOKUP(E478,Master!$J:$M,4,0),"")</f>
        <v/>
      </c>
      <c r="J478" s="3" t="str">
        <f>IFERROR(VLOOKUP($E478,Master!$J:$M,3,0),"")</f>
        <v/>
      </c>
      <c r="AC478" s="26">
        <f t="shared" si="14"/>
        <v>0</v>
      </c>
      <c r="AD478" s="26">
        <f t="shared" si="15"/>
        <v>0</v>
      </c>
    </row>
    <row r="479" spans="2:30" ht="15" customHeight="1">
      <c r="B479" s="3" t="str">
        <f>IFERROR(VLOOKUP(C479,Master!$J:$K,2,0),"")</f>
        <v/>
      </c>
      <c r="D479" s="4" t="str">
        <f>IFERROR(VLOOKUP(E479,Master!$J:$K,2,0),"")</f>
        <v/>
      </c>
      <c r="F479" s="4" t="str">
        <f>IFERROR(VLOOKUP(G479,Master!B:C,2,0),"")</f>
        <v/>
      </c>
      <c r="I479" s="3" t="str">
        <f>IFERROR(VLOOKUP(E479,Master!$J:$M,4,0),"")</f>
        <v/>
      </c>
      <c r="J479" s="3" t="str">
        <f>IFERROR(VLOOKUP($E479,Master!$J:$M,3,0),"")</f>
        <v/>
      </c>
      <c r="AC479" s="26">
        <f t="shared" si="14"/>
        <v>0</v>
      </c>
      <c r="AD479" s="26">
        <f t="shared" si="15"/>
        <v>0</v>
      </c>
    </row>
    <row r="480" spans="2:30" ht="15" customHeight="1">
      <c r="B480" s="3" t="str">
        <f>IFERROR(VLOOKUP(C480,Master!$J:$K,2,0),"")</f>
        <v/>
      </c>
      <c r="D480" s="4" t="str">
        <f>IFERROR(VLOOKUP(E480,Master!$J:$K,2,0),"")</f>
        <v/>
      </c>
      <c r="F480" s="4" t="str">
        <f>IFERROR(VLOOKUP(G480,Master!B:C,2,0),"")</f>
        <v/>
      </c>
      <c r="I480" s="3" t="str">
        <f>IFERROR(VLOOKUP(E480,Master!$J:$M,4,0),"")</f>
        <v/>
      </c>
      <c r="J480" s="3" t="str">
        <f>IFERROR(VLOOKUP($E480,Master!$J:$M,3,0),"")</f>
        <v/>
      </c>
      <c r="AC480" s="26">
        <f t="shared" si="14"/>
        <v>0</v>
      </c>
      <c r="AD480" s="26">
        <f t="shared" si="15"/>
        <v>0</v>
      </c>
    </row>
    <row r="481" spans="2:30" ht="15" customHeight="1">
      <c r="B481" s="3" t="str">
        <f>IFERROR(VLOOKUP(C481,Master!$J:$K,2,0),"")</f>
        <v/>
      </c>
      <c r="D481" s="4" t="str">
        <f>IFERROR(VLOOKUP(E481,Master!$J:$K,2,0),"")</f>
        <v/>
      </c>
      <c r="F481" s="4" t="str">
        <f>IFERROR(VLOOKUP(G481,Master!B:C,2,0),"")</f>
        <v/>
      </c>
      <c r="I481" s="3" t="str">
        <f>IFERROR(VLOOKUP(E481,Master!$J:$M,4,0),"")</f>
        <v/>
      </c>
      <c r="J481" s="3" t="str">
        <f>IFERROR(VLOOKUP($E481,Master!$J:$M,3,0),"")</f>
        <v/>
      </c>
      <c r="AC481" s="26">
        <f t="shared" si="14"/>
        <v>0</v>
      </c>
      <c r="AD481" s="26">
        <f t="shared" si="15"/>
        <v>0</v>
      </c>
    </row>
    <row r="482" spans="2:30" ht="15" customHeight="1">
      <c r="B482" s="3" t="str">
        <f>IFERROR(VLOOKUP(C482,Master!$J:$K,2,0),"")</f>
        <v/>
      </c>
      <c r="D482" s="4" t="str">
        <f>IFERROR(VLOOKUP(E482,Master!$J:$K,2,0),"")</f>
        <v/>
      </c>
      <c r="F482" s="4" t="str">
        <f>IFERROR(VLOOKUP(G482,Master!B:C,2,0),"")</f>
        <v/>
      </c>
      <c r="I482" s="3" t="str">
        <f>IFERROR(VLOOKUP(E482,Master!$J:$M,4,0),"")</f>
        <v/>
      </c>
      <c r="J482" s="3" t="str">
        <f>IFERROR(VLOOKUP($E482,Master!$J:$M,3,0),"")</f>
        <v/>
      </c>
      <c r="AC482" s="26">
        <f t="shared" si="14"/>
        <v>0</v>
      </c>
      <c r="AD482" s="26">
        <f t="shared" si="15"/>
        <v>0</v>
      </c>
    </row>
    <row r="483" spans="2:30" ht="15" customHeight="1">
      <c r="B483" s="3" t="str">
        <f>IFERROR(VLOOKUP(C483,Master!$J:$K,2,0),"")</f>
        <v/>
      </c>
      <c r="D483" s="4" t="str">
        <f>IFERROR(VLOOKUP(E483,Master!$J:$K,2,0),"")</f>
        <v/>
      </c>
      <c r="F483" s="4" t="str">
        <f>IFERROR(VLOOKUP(G483,Master!B:C,2,0),"")</f>
        <v/>
      </c>
      <c r="I483" s="3" t="str">
        <f>IFERROR(VLOOKUP(E483,Master!$J:$M,4,0),"")</f>
        <v/>
      </c>
      <c r="J483" s="3" t="str">
        <f>IFERROR(VLOOKUP($E483,Master!$J:$M,3,0),"")</f>
        <v/>
      </c>
      <c r="AC483" s="26">
        <f t="shared" si="14"/>
        <v>0</v>
      </c>
      <c r="AD483" s="26">
        <f t="shared" si="15"/>
        <v>0</v>
      </c>
    </row>
    <row r="484" spans="2:30" ht="15" customHeight="1">
      <c r="B484" s="3" t="str">
        <f>IFERROR(VLOOKUP(C484,Master!$J:$K,2,0),"")</f>
        <v/>
      </c>
      <c r="D484" s="4" t="str">
        <f>IFERROR(VLOOKUP(E484,Master!$J:$K,2,0),"")</f>
        <v/>
      </c>
      <c r="F484" s="4" t="str">
        <f>IFERROR(VLOOKUP(G484,Master!B:C,2,0),"")</f>
        <v/>
      </c>
      <c r="I484" s="3" t="str">
        <f>IFERROR(VLOOKUP(E484,Master!$J:$M,4,0),"")</f>
        <v/>
      </c>
      <c r="J484" s="3" t="str">
        <f>IFERROR(VLOOKUP($E484,Master!$J:$M,3,0),"")</f>
        <v/>
      </c>
      <c r="AC484" s="26">
        <f t="shared" si="14"/>
        <v>0</v>
      </c>
      <c r="AD484" s="26">
        <f t="shared" si="15"/>
        <v>0</v>
      </c>
    </row>
    <row r="485" spans="2:30" ht="15" customHeight="1">
      <c r="B485" s="3" t="str">
        <f>IFERROR(VLOOKUP(C485,Master!$J:$K,2,0),"")</f>
        <v/>
      </c>
      <c r="D485" s="4" t="str">
        <f>IFERROR(VLOOKUP(E485,Master!$J:$K,2,0),"")</f>
        <v/>
      </c>
      <c r="F485" s="4" t="str">
        <f>IFERROR(VLOOKUP(G485,Master!B:C,2,0),"")</f>
        <v/>
      </c>
      <c r="I485" s="3" t="str">
        <f>IFERROR(VLOOKUP(E485,Master!$J:$M,4,0),"")</f>
        <v/>
      </c>
      <c r="J485" s="3" t="str">
        <f>IFERROR(VLOOKUP($E485,Master!$J:$M,3,0),"")</f>
        <v/>
      </c>
      <c r="AC485" s="26">
        <f t="shared" si="14"/>
        <v>0</v>
      </c>
      <c r="AD485" s="26">
        <f t="shared" si="15"/>
        <v>0</v>
      </c>
    </row>
    <row r="486" spans="2:30" ht="15" customHeight="1">
      <c r="B486" s="3" t="str">
        <f>IFERROR(VLOOKUP(C486,Master!$J:$K,2,0),"")</f>
        <v/>
      </c>
      <c r="D486" s="4" t="str">
        <f>IFERROR(VLOOKUP(E486,Master!$J:$K,2,0),"")</f>
        <v/>
      </c>
      <c r="F486" s="4" t="str">
        <f>IFERROR(VLOOKUP(G486,Master!B:C,2,0),"")</f>
        <v/>
      </c>
      <c r="I486" s="3" t="str">
        <f>IFERROR(VLOOKUP(E486,Master!$J:$M,4,0),"")</f>
        <v/>
      </c>
      <c r="J486" s="3" t="str">
        <f>IFERROR(VLOOKUP($E486,Master!$J:$M,3,0),"")</f>
        <v/>
      </c>
      <c r="AC486" s="26">
        <f t="shared" si="14"/>
        <v>0</v>
      </c>
      <c r="AD486" s="26">
        <f t="shared" si="15"/>
        <v>0</v>
      </c>
    </row>
    <row r="487" spans="2:30" ht="15" customHeight="1">
      <c r="B487" s="3" t="str">
        <f>IFERROR(VLOOKUP(C487,Master!$J:$K,2,0),"")</f>
        <v/>
      </c>
      <c r="D487" s="4" t="str">
        <f>IFERROR(VLOOKUP(E487,Master!$J:$K,2,0),"")</f>
        <v/>
      </c>
      <c r="F487" s="4" t="str">
        <f>IFERROR(VLOOKUP(G487,Master!B:C,2,0),"")</f>
        <v/>
      </c>
      <c r="I487" s="3" t="str">
        <f>IFERROR(VLOOKUP(E487,Master!$J:$M,4,0),"")</f>
        <v/>
      </c>
      <c r="J487" s="3" t="str">
        <f>IFERROR(VLOOKUP($E487,Master!$J:$M,3,0),"")</f>
        <v/>
      </c>
      <c r="AC487" s="26">
        <f t="shared" si="14"/>
        <v>0</v>
      </c>
      <c r="AD487" s="26">
        <f t="shared" si="15"/>
        <v>0</v>
      </c>
    </row>
    <row r="488" spans="2:30" ht="15" customHeight="1">
      <c r="B488" s="3" t="str">
        <f>IFERROR(VLOOKUP(C488,Master!$J:$K,2,0),"")</f>
        <v/>
      </c>
      <c r="D488" s="4" t="str">
        <f>IFERROR(VLOOKUP(E488,Master!$J:$K,2,0),"")</f>
        <v/>
      </c>
      <c r="F488" s="4" t="str">
        <f>IFERROR(VLOOKUP(G488,Master!B:C,2,0),"")</f>
        <v/>
      </c>
      <c r="I488" s="3" t="str">
        <f>IFERROR(VLOOKUP(E488,Master!$J:$M,4,0),"")</f>
        <v/>
      </c>
      <c r="J488" s="3" t="str">
        <f>IFERROR(VLOOKUP($E488,Master!$J:$M,3,0),"")</f>
        <v/>
      </c>
      <c r="AC488" s="26">
        <f t="shared" si="14"/>
        <v>0</v>
      </c>
      <c r="AD488" s="26">
        <f t="shared" si="15"/>
        <v>0</v>
      </c>
    </row>
    <row r="489" spans="2:30" ht="15" customHeight="1">
      <c r="B489" s="3" t="str">
        <f>IFERROR(VLOOKUP(C489,Master!$J:$K,2,0),"")</f>
        <v/>
      </c>
      <c r="D489" s="4" t="str">
        <f>IFERROR(VLOOKUP(E489,Master!$J:$K,2,0),"")</f>
        <v/>
      </c>
      <c r="F489" s="4" t="str">
        <f>IFERROR(VLOOKUP(G489,Master!B:C,2,0),"")</f>
        <v/>
      </c>
      <c r="I489" s="3" t="str">
        <f>IFERROR(VLOOKUP(E489,Master!$J:$M,4,0),"")</f>
        <v/>
      </c>
      <c r="J489" s="3" t="str">
        <f>IFERROR(VLOOKUP($E489,Master!$J:$M,3,0),"")</f>
        <v/>
      </c>
      <c r="AC489" s="26">
        <f t="shared" si="14"/>
        <v>0</v>
      </c>
      <c r="AD489" s="26">
        <f t="shared" si="15"/>
        <v>0</v>
      </c>
    </row>
    <row r="490" spans="2:30" ht="15" customHeight="1">
      <c r="B490" s="3" t="str">
        <f>IFERROR(VLOOKUP(C490,Master!$J:$K,2,0),"")</f>
        <v/>
      </c>
      <c r="D490" s="4" t="str">
        <f>IFERROR(VLOOKUP(E490,Master!$J:$K,2,0),"")</f>
        <v/>
      </c>
      <c r="F490" s="4" t="str">
        <f>IFERROR(VLOOKUP(G490,Master!B:C,2,0),"")</f>
        <v/>
      </c>
      <c r="I490" s="3" t="str">
        <f>IFERROR(VLOOKUP(E490,Master!$J:$M,4,0),"")</f>
        <v/>
      </c>
      <c r="J490" s="3" t="str">
        <f>IFERROR(VLOOKUP($E490,Master!$J:$M,3,0),"")</f>
        <v/>
      </c>
      <c r="AC490" s="26">
        <f t="shared" si="14"/>
        <v>0</v>
      </c>
      <c r="AD490" s="26">
        <f t="shared" si="15"/>
        <v>0</v>
      </c>
    </row>
    <row r="491" spans="2:30" ht="15" customHeight="1">
      <c r="B491" s="3" t="str">
        <f>IFERROR(VLOOKUP(C491,Master!$J:$K,2,0),"")</f>
        <v/>
      </c>
      <c r="D491" s="4" t="str">
        <f>IFERROR(VLOOKUP(E491,Master!$J:$K,2,0),"")</f>
        <v/>
      </c>
      <c r="F491" s="4" t="str">
        <f>IFERROR(VLOOKUP(G491,Master!B:C,2,0),"")</f>
        <v/>
      </c>
      <c r="I491" s="3" t="str">
        <f>IFERROR(VLOOKUP(E491,Master!$J:$M,4,0),"")</f>
        <v/>
      </c>
      <c r="J491" s="3" t="str">
        <f>IFERROR(VLOOKUP($E491,Master!$J:$M,3,0),"")</f>
        <v/>
      </c>
      <c r="AC491" s="26">
        <f t="shared" si="14"/>
        <v>0</v>
      </c>
      <c r="AD491" s="26">
        <f t="shared" si="15"/>
        <v>0</v>
      </c>
    </row>
    <row r="492" spans="2:30" ht="15" customHeight="1">
      <c r="B492" s="3" t="str">
        <f>IFERROR(VLOOKUP(C492,Master!$J:$K,2,0),"")</f>
        <v/>
      </c>
      <c r="D492" s="4" t="str">
        <f>IFERROR(VLOOKUP(E492,Master!$J:$K,2,0),"")</f>
        <v/>
      </c>
      <c r="F492" s="4" t="str">
        <f>IFERROR(VLOOKUP(G492,Master!B:C,2,0),"")</f>
        <v/>
      </c>
      <c r="I492" s="3" t="str">
        <f>IFERROR(VLOOKUP(E492,Master!$J:$M,4,0),"")</f>
        <v/>
      </c>
      <c r="J492" s="3" t="str">
        <f>IFERROR(VLOOKUP($E492,Master!$J:$M,3,0),"")</f>
        <v/>
      </c>
      <c r="AC492" s="26">
        <f t="shared" si="14"/>
        <v>0</v>
      </c>
      <c r="AD492" s="26">
        <f t="shared" si="15"/>
        <v>0</v>
      </c>
    </row>
    <row r="493" spans="2:30" ht="15" customHeight="1">
      <c r="B493" s="3" t="str">
        <f>IFERROR(VLOOKUP(C493,Master!$J:$K,2,0),"")</f>
        <v/>
      </c>
      <c r="D493" s="4" t="str">
        <f>IFERROR(VLOOKUP(E493,Master!$J:$K,2,0),"")</f>
        <v/>
      </c>
      <c r="F493" s="4" t="str">
        <f>IFERROR(VLOOKUP(G493,Master!B:C,2,0),"")</f>
        <v/>
      </c>
      <c r="I493" s="3" t="str">
        <f>IFERROR(VLOOKUP(E493,Master!$J:$M,4,0),"")</f>
        <v/>
      </c>
      <c r="J493" s="3" t="str">
        <f>IFERROR(VLOOKUP($E493,Master!$J:$M,3,0),"")</f>
        <v/>
      </c>
      <c r="AC493" s="26">
        <f t="shared" si="14"/>
        <v>0</v>
      </c>
      <c r="AD493" s="26">
        <f t="shared" si="15"/>
        <v>0</v>
      </c>
    </row>
    <row r="494" spans="2:30" ht="15" customHeight="1">
      <c r="B494" s="3" t="str">
        <f>IFERROR(VLOOKUP(C494,Master!$J:$K,2,0),"")</f>
        <v/>
      </c>
      <c r="D494" s="4" t="str">
        <f>IFERROR(VLOOKUP(E494,Master!$J:$K,2,0),"")</f>
        <v/>
      </c>
      <c r="F494" s="4" t="str">
        <f>IFERROR(VLOOKUP(G494,Master!B:C,2,0),"")</f>
        <v/>
      </c>
      <c r="I494" s="3" t="str">
        <f>IFERROR(VLOOKUP(E494,Master!$J:$M,4,0),"")</f>
        <v/>
      </c>
      <c r="J494" s="3" t="str">
        <f>IFERROR(VLOOKUP($E494,Master!$J:$M,3,0),"")</f>
        <v/>
      </c>
      <c r="AC494" s="26">
        <f t="shared" si="14"/>
        <v>0</v>
      </c>
      <c r="AD494" s="26">
        <f t="shared" si="15"/>
        <v>0</v>
      </c>
    </row>
    <row r="495" spans="2:30" ht="15" customHeight="1">
      <c r="B495" s="3" t="str">
        <f>IFERROR(VLOOKUP(C495,Master!$J:$K,2,0),"")</f>
        <v/>
      </c>
      <c r="D495" s="4" t="str">
        <f>IFERROR(VLOOKUP(E495,Master!$J:$K,2,0),"")</f>
        <v/>
      </c>
      <c r="F495" s="4" t="str">
        <f>IFERROR(VLOOKUP(G495,Master!B:C,2,0),"")</f>
        <v/>
      </c>
      <c r="I495" s="3" t="str">
        <f>IFERROR(VLOOKUP(E495,Master!$J:$M,4,0),"")</f>
        <v/>
      </c>
      <c r="J495" s="3" t="str">
        <f>IFERROR(VLOOKUP($E495,Master!$J:$M,3,0),"")</f>
        <v/>
      </c>
      <c r="AC495" s="26">
        <f t="shared" si="14"/>
        <v>0</v>
      </c>
      <c r="AD495" s="26">
        <f t="shared" si="15"/>
        <v>0</v>
      </c>
    </row>
    <row r="496" spans="2:30" ht="15" customHeight="1">
      <c r="B496" s="3" t="str">
        <f>IFERROR(VLOOKUP(C496,Master!$J:$K,2,0),"")</f>
        <v/>
      </c>
      <c r="D496" s="4" t="str">
        <f>IFERROR(VLOOKUP(E496,Master!$J:$K,2,0),"")</f>
        <v/>
      </c>
      <c r="F496" s="4" t="str">
        <f>IFERROR(VLOOKUP(G496,Master!B:C,2,0),"")</f>
        <v/>
      </c>
      <c r="I496" s="3" t="str">
        <f>IFERROR(VLOOKUP(E496,Master!$J:$M,4,0),"")</f>
        <v/>
      </c>
      <c r="J496" s="3" t="str">
        <f>IFERROR(VLOOKUP($E496,Master!$J:$M,3,0),"")</f>
        <v/>
      </c>
      <c r="AC496" s="26">
        <f t="shared" si="14"/>
        <v>0</v>
      </c>
      <c r="AD496" s="26">
        <f t="shared" si="15"/>
        <v>0</v>
      </c>
    </row>
    <row r="497" spans="2:30" ht="15" customHeight="1">
      <c r="B497" s="3" t="str">
        <f>IFERROR(VLOOKUP(C497,Master!$J:$K,2,0),"")</f>
        <v/>
      </c>
      <c r="D497" s="4" t="str">
        <f>IFERROR(VLOOKUP(E497,Master!$J:$K,2,0),"")</f>
        <v/>
      </c>
      <c r="F497" s="4" t="str">
        <f>IFERROR(VLOOKUP(G497,Master!B:C,2,0),"")</f>
        <v/>
      </c>
      <c r="I497" s="3" t="str">
        <f>IFERROR(VLOOKUP(E497,Master!$J:$M,4,0),"")</f>
        <v/>
      </c>
      <c r="J497" s="3" t="str">
        <f>IFERROR(VLOOKUP($E497,Master!$J:$M,3,0),"")</f>
        <v/>
      </c>
      <c r="AC497" s="26">
        <f t="shared" si="14"/>
        <v>0</v>
      </c>
      <c r="AD497" s="26">
        <f t="shared" si="15"/>
        <v>0</v>
      </c>
    </row>
    <row r="498" spans="2:30" ht="15" customHeight="1">
      <c r="B498" s="3" t="str">
        <f>IFERROR(VLOOKUP(C498,Master!$J:$K,2,0),"")</f>
        <v/>
      </c>
      <c r="D498" s="4" t="str">
        <f>IFERROR(VLOOKUP(E498,Master!$J:$K,2,0),"")</f>
        <v/>
      </c>
      <c r="F498" s="4" t="str">
        <f>IFERROR(VLOOKUP(G498,Master!B:C,2,0),"")</f>
        <v/>
      </c>
      <c r="I498" s="3" t="str">
        <f>IFERROR(VLOOKUP(E498,Master!$J:$M,4,0),"")</f>
        <v/>
      </c>
      <c r="J498" s="3" t="str">
        <f>IFERROR(VLOOKUP($E498,Master!$J:$M,3,0),"")</f>
        <v/>
      </c>
      <c r="AC498" s="26">
        <f t="shared" si="14"/>
        <v>0</v>
      </c>
      <c r="AD498" s="26">
        <f t="shared" si="15"/>
        <v>0</v>
      </c>
    </row>
    <row r="499" spans="2:30" ht="15" customHeight="1">
      <c r="B499" s="3" t="str">
        <f>IFERROR(VLOOKUP(C499,Master!$J:$K,2,0),"")</f>
        <v/>
      </c>
      <c r="D499" s="4" t="str">
        <f>IFERROR(VLOOKUP(E499,Master!$J:$K,2,0),"")</f>
        <v/>
      </c>
      <c r="F499" s="4" t="str">
        <f>IFERROR(VLOOKUP(G499,Master!B:C,2,0),"")</f>
        <v/>
      </c>
      <c r="I499" s="3" t="str">
        <f>IFERROR(VLOOKUP(E499,Master!$J:$M,4,0),"")</f>
        <v/>
      </c>
      <c r="J499" s="3" t="str">
        <f>IFERROR(VLOOKUP($E499,Master!$J:$M,3,0),"")</f>
        <v/>
      </c>
      <c r="AC499" s="26">
        <f t="shared" si="14"/>
        <v>0</v>
      </c>
      <c r="AD499" s="26">
        <f t="shared" si="15"/>
        <v>0</v>
      </c>
    </row>
    <row r="500" spans="2:30" ht="15" customHeight="1">
      <c r="B500" s="3" t="str">
        <f>IFERROR(VLOOKUP(C500,Master!$J:$K,2,0),"")</f>
        <v/>
      </c>
      <c r="D500" s="4" t="str">
        <f>IFERROR(VLOOKUP(E500,Master!$J:$K,2,0),"")</f>
        <v/>
      </c>
      <c r="F500" s="4" t="str">
        <f>IFERROR(VLOOKUP(G500,Master!B:C,2,0),"")</f>
        <v/>
      </c>
      <c r="I500" s="3" t="str">
        <f>IFERROR(VLOOKUP(E500,Master!$J:$M,4,0),"")</f>
        <v/>
      </c>
      <c r="J500" s="3" t="str">
        <f>IFERROR(VLOOKUP($E500,Master!$J:$M,3,0),"")</f>
        <v/>
      </c>
      <c r="AC500" s="26">
        <f t="shared" si="14"/>
        <v>0</v>
      </c>
      <c r="AD500" s="26">
        <f t="shared" si="15"/>
        <v>0</v>
      </c>
    </row>
    <row r="501" spans="2:30" ht="15" customHeight="1">
      <c r="B501" s="3" t="str">
        <f>IFERROR(VLOOKUP(C501,Master!$J:$K,2,0),"")</f>
        <v/>
      </c>
      <c r="D501" s="4" t="str">
        <f>IFERROR(VLOOKUP(E501,Master!$J:$K,2,0),"")</f>
        <v/>
      </c>
      <c r="F501" s="4" t="str">
        <f>IFERROR(VLOOKUP(G501,Master!B:C,2,0),"")</f>
        <v/>
      </c>
      <c r="I501" s="3" t="str">
        <f>IFERROR(VLOOKUP(E501,Master!$J:$M,4,0),"")</f>
        <v/>
      </c>
      <c r="J501" s="3" t="str">
        <f>IFERROR(VLOOKUP($E501,Master!$J:$M,3,0),"")</f>
        <v/>
      </c>
      <c r="AC501" s="26">
        <f t="shared" si="14"/>
        <v>0</v>
      </c>
      <c r="AD501" s="26">
        <f t="shared" si="15"/>
        <v>0</v>
      </c>
    </row>
    <row r="502" spans="2:30" ht="15" customHeight="1">
      <c r="B502" s="3" t="str">
        <f>IFERROR(VLOOKUP(C502,Master!$J:$K,2,0),"")</f>
        <v/>
      </c>
      <c r="D502" s="4" t="str">
        <f>IFERROR(VLOOKUP(E502,Master!$J:$K,2,0),"")</f>
        <v/>
      </c>
      <c r="F502" s="4" t="str">
        <f>IFERROR(VLOOKUP(G502,Master!B:C,2,0),"")</f>
        <v/>
      </c>
      <c r="I502" s="3" t="str">
        <f>IFERROR(VLOOKUP(E502,Master!$J:$M,4,0),"")</f>
        <v/>
      </c>
      <c r="J502" s="3" t="str">
        <f>IFERROR(VLOOKUP($E502,Master!$J:$M,3,0),"")</f>
        <v/>
      </c>
      <c r="AC502" s="26">
        <f t="shared" si="14"/>
        <v>0</v>
      </c>
      <c r="AD502" s="26">
        <f t="shared" si="15"/>
        <v>0</v>
      </c>
    </row>
    <row r="503" spans="2:30" ht="15" customHeight="1">
      <c r="B503" s="3" t="str">
        <f>IFERROR(VLOOKUP(C503,Master!$J:$K,2,0),"")</f>
        <v/>
      </c>
      <c r="D503" s="4" t="str">
        <f>IFERROR(VLOOKUP(E503,Master!$J:$K,2,0),"")</f>
        <v/>
      </c>
      <c r="F503" s="4" t="str">
        <f>IFERROR(VLOOKUP(G503,Master!B:C,2,0),"")</f>
        <v/>
      </c>
      <c r="I503" s="3" t="str">
        <f>IFERROR(VLOOKUP(E503,Master!$J:$M,4,0),"")</f>
        <v/>
      </c>
      <c r="J503" s="3" t="str">
        <f>IFERROR(VLOOKUP($E503,Master!$J:$M,3,0),"")</f>
        <v/>
      </c>
      <c r="AC503" s="26">
        <f t="shared" si="14"/>
        <v>0</v>
      </c>
      <c r="AD503" s="26">
        <f t="shared" si="15"/>
        <v>0</v>
      </c>
    </row>
    <row r="504" spans="2:30" ht="15" customHeight="1">
      <c r="B504" s="3" t="str">
        <f>IFERROR(VLOOKUP(C504,Master!$J:$K,2,0),"")</f>
        <v/>
      </c>
      <c r="D504" s="4" t="str">
        <f>IFERROR(VLOOKUP(E504,Master!$J:$K,2,0),"")</f>
        <v/>
      </c>
      <c r="F504" s="4" t="str">
        <f>IFERROR(VLOOKUP(G504,Master!B:C,2,0),"")</f>
        <v/>
      </c>
      <c r="I504" s="3" t="str">
        <f>IFERROR(VLOOKUP(E504,Master!$J:$M,4,0),"")</f>
        <v/>
      </c>
      <c r="J504" s="3" t="str">
        <f>IFERROR(VLOOKUP($E504,Master!$J:$M,3,0),"")</f>
        <v/>
      </c>
      <c r="AC504" s="26">
        <f t="shared" si="14"/>
        <v>0</v>
      </c>
      <c r="AD504" s="26">
        <f t="shared" si="15"/>
        <v>0</v>
      </c>
    </row>
    <row r="505" spans="2:30" ht="15" customHeight="1">
      <c r="B505" s="3" t="str">
        <f>IFERROR(VLOOKUP(C505,Master!$J:$K,2,0),"")</f>
        <v/>
      </c>
      <c r="D505" s="4" t="str">
        <f>IFERROR(VLOOKUP(E505,Master!$J:$K,2,0),"")</f>
        <v/>
      </c>
      <c r="F505" s="4" t="str">
        <f>IFERROR(VLOOKUP(G505,Master!B:C,2,0),"")</f>
        <v/>
      </c>
      <c r="I505" s="3" t="str">
        <f>IFERROR(VLOOKUP(E505,Master!$J:$M,4,0),"")</f>
        <v/>
      </c>
      <c r="J505" s="3" t="str">
        <f>IFERROR(VLOOKUP($E505,Master!$J:$M,3,0),"")</f>
        <v/>
      </c>
      <c r="AC505" s="26">
        <f t="shared" si="14"/>
        <v>0</v>
      </c>
      <c r="AD505" s="26">
        <f t="shared" si="15"/>
        <v>0</v>
      </c>
    </row>
    <row r="506" spans="2:30" ht="15" customHeight="1">
      <c r="B506" s="3" t="str">
        <f>IFERROR(VLOOKUP(C506,Master!$J:$K,2,0),"")</f>
        <v/>
      </c>
      <c r="D506" s="4" t="str">
        <f>IFERROR(VLOOKUP(E506,Master!$J:$K,2,0),"")</f>
        <v/>
      </c>
      <c r="F506" s="4" t="str">
        <f>IFERROR(VLOOKUP(G506,Master!B:C,2,0),"")</f>
        <v/>
      </c>
      <c r="I506" s="3" t="str">
        <f>IFERROR(VLOOKUP(E506,Master!$J:$M,4,0),"")</f>
        <v/>
      </c>
      <c r="J506" s="3" t="str">
        <f>IFERROR(VLOOKUP($E506,Master!$J:$M,3,0),"")</f>
        <v/>
      </c>
      <c r="AC506" s="26">
        <f t="shared" si="14"/>
        <v>0</v>
      </c>
      <c r="AD506" s="26">
        <f t="shared" si="15"/>
        <v>0</v>
      </c>
    </row>
    <row r="507" spans="2:30" ht="15" customHeight="1">
      <c r="B507" s="3" t="str">
        <f>IFERROR(VLOOKUP(C507,Master!$J:$K,2,0),"")</f>
        <v/>
      </c>
      <c r="D507" s="4" t="str">
        <f>IFERROR(VLOOKUP(E507,Master!$J:$K,2,0),"")</f>
        <v/>
      </c>
      <c r="F507" s="4" t="str">
        <f>IFERROR(VLOOKUP(G507,Master!B:C,2,0),"")</f>
        <v/>
      </c>
      <c r="I507" s="3" t="str">
        <f>IFERROR(VLOOKUP(E507,Master!$J:$M,4,0),"")</f>
        <v/>
      </c>
      <c r="J507" s="3" t="str">
        <f>IFERROR(VLOOKUP($E507,Master!$J:$M,3,0),"")</f>
        <v/>
      </c>
      <c r="AC507" s="26">
        <f t="shared" si="14"/>
        <v>0</v>
      </c>
      <c r="AD507" s="26">
        <f t="shared" si="15"/>
        <v>0</v>
      </c>
    </row>
    <row r="508" spans="2:30" ht="15" customHeight="1">
      <c r="B508" s="3" t="str">
        <f>IFERROR(VLOOKUP(C508,Master!$J:$K,2,0),"")</f>
        <v/>
      </c>
      <c r="D508" s="4" t="str">
        <f>IFERROR(VLOOKUP(E508,Master!$J:$K,2,0),"")</f>
        <v/>
      </c>
      <c r="F508" s="4" t="str">
        <f>IFERROR(VLOOKUP(G508,Master!B:C,2,0),"")</f>
        <v/>
      </c>
      <c r="I508" s="3" t="str">
        <f>IFERROR(VLOOKUP(E508,Master!$J:$M,4,0),"")</f>
        <v/>
      </c>
      <c r="J508" s="3" t="str">
        <f>IFERROR(VLOOKUP($E508,Master!$J:$M,3,0),"")</f>
        <v/>
      </c>
      <c r="AC508" s="26">
        <f t="shared" si="14"/>
        <v>0</v>
      </c>
      <c r="AD508" s="26">
        <f t="shared" si="15"/>
        <v>0</v>
      </c>
    </row>
    <row r="509" spans="2:30" ht="15" customHeight="1">
      <c r="B509" s="3" t="str">
        <f>IFERROR(VLOOKUP(C509,Master!$J:$K,2,0),"")</f>
        <v/>
      </c>
      <c r="D509" s="4" t="str">
        <f>IFERROR(VLOOKUP(E509,Master!$J:$K,2,0),"")</f>
        <v/>
      </c>
      <c r="F509" s="4" t="str">
        <f>IFERROR(VLOOKUP(G509,Master!B:C,2,0),"")</f>
        <v/>
      </c>
      <c r="I509" s="3" t="str">
        <f>IFERROR(VLOOKUP(E509,Master!$J:$M,4,0),"")</f>
        <v/>
      </c>
      <c r="J509" s="3" t="str">
        <f>IFERROR(VLOOKUP($E509,Master!$J:$M,3,0),"")</f>
        <v/>
      </c>
      <c r="AC509" s="26">
        <f t="shared" si="14"/>
        <v>0</v>
      </c>
      <c r="AD509" s="26">
        <f t="shared" si="15"/>
        <v>0</v>
      </c>
    </row>
    <row r="510" spans="2:30" ht="15" customHeight="1">
      <c r="B510" s="3" t="str">
        <f>IFERROR(VLOOKUP(C510,Master!$J:$K,2,0),"")</f>
        <v/>
      </c>
      <c r="D510" s="4" t="str">
        <f>IFERROR(VLOOKUP(E510,Master!$J:$K,2,0),"")</f>
        <v/>
      </c>
      <c r="F510" s="4" t="str">
        <f>IFERROR(VLOOKUP(G510,Master!B:C,2,0),"")</f>
        <v/>
      </c>
      <c r="I510" s="3" t="str">
        <f>IFERROR(VLOOKUP(E510,Master!$J:$M,4,0),"")</f>
        <v/>
      </c>
      <c r="J510" s="3" t="str">
        <f>IFERROR(VLOOKUP($E510,Master!$J:$M,3,0),"")</f>
        <v/>
      </c>
      <c r="AC510" s="26">
        <f t="shared" si="14"/>
        <v>0</v>
      </c>
      <c r="AD510" s="26">
        <f t="shared" si="15"/>
        <v>0</v>
      </c>
    </row>
    <row r="511" spans="2:30" ht="15" customHeight="1">
      <c r="B511" s="3" t="str">
        <f>IFERROR(VLOOKUP(C511,Master!$J:$K,2,0),"")</f>
        <v/>
      </c>
      <c r="D511" s="4" t="str">
        <f>IFERROR(VLOOKUP(E511,Master!$J:$K,2,0),"")</f>
        <v/>
      </c>
      <c r="F511" s="4" t="str">
        <f>IFERROR(VLOOKUP(G511,Master!B:C,2,0),"")</f>
        <v/>
      </c>
      <c r="I511" s="3" t="str">
        <f>IFERROR(VLOOKUP(E511,Master!$J:$M,4,0),"")</f>
        <v/>
      </c>
      <c r="J511" s="3" t="str">
        <f>IFERROR(VLOOKUP($E511,Master!$J:$M,3,0),"")</f>
        <v/>
      </c>
      <c r="AC511" s="26">
        <f t="shared" si="14"/>
        <v>0</v>
      </c>
      <c r="AD511" s="26">
        <f t="shared" si="15"/>
        <v>0</v>
      </c>
    </row>
    <row r="512" spans="2:30" ht="15" customHeight="1">
      <c r="B512" s="3" t="str">
        <f>IFERROR(VLOOKUP(C512,Master!$J:$K,2,0),"")</f>
        <v/>
      </c>
      <c r="D512" s="4" t="str">
        <f>IFERROR(VLOOKUP(E512,Master!$J:$K,2,0),"")</f>
        <v/>
      </c>
      <c r="F512" s="4" t="str">
        <f>IFERROR(VLOOKUP(G512,Master!B:C,2,0),"")</f>
        <v/>
      </c>
      <c r="I512" s="3" t="str">
        <f>IFERROR(VLOOKUP(E512,Master!$J:$M,4,0),"")</f>
        <v/>
      </c>
      <c r="J512" s="3" t="str">
        <f>IFERROR(VLOOKUP($E512,Master!$J:$M,3,0),"")</f>
        <v/>
      </c>
      <c r="AC512" s="26">
        <f t="shared" si="14"/>
        <v>0</v>
      </c>
      <c r="AD512" s="26">
        <f t="shared" si="15"/>
        <v>0</v>
      </c>
    </row>
    <row r="513" spans="2:30" ht="15" customHeight="1">
      <c r="B513" s="3" t="str">
        <f>IFERROR(VLOOKUP(C513,Master!$J:$K,2,0),"")</f>
        <v/>
      </c>
      <c r="D513" s="4" t="str">
        <f>IFERROR(VLOOKUP(E513,Master!$J:$K,2,0),"")</f>
        <v/>
      </c>
      <c r="F513" s="4" t="str">
        <f>IFERROR(VLOOKUP(G513,Master!B:C,2,0),"")</f>
        <v/>
      </c>
      <c r="I513" s="3" t="str">
        <f>IFERROR(VLOOKUP(E513,Master!$J:$M,4,0),"")</f>
        <v/>
      </c>
      <c r="J513" s="3" t="str">
        <f>IFERROR(VLOOKUP($E513,Master!$J:$M,3,0),"")</f>
        <v/>
      </c>
      <c r="AC513" s="26">
        <f t="shared" si="14"/>
        <v>0</v>
      </c>
      <c r="AD513" s="26">
        <f t="shared" si="15"/>
        <v>0</v>
      </c>
    </row>
    <row r="514" spans="2:30" ht="15" customHeight="1">
      <c r="B514" s="3" t="str">
        <f>IFERROR(VLOOKUP(C514,Master!$J:$K,2,0),"")</f>
        <v/>
      </c>
      <c r="D514" s="4" t="str">
        <f>IFERROR(VLOOKUP(E514,Master!$J:$K,2,0),"")</f>
        <v/>
      </c>
      <c r="F514" s="4" t="str">
        <f>IFERROR(VLOOKUP(G514,Master!B:C,2,0),"")</f>
        <v/>
      </c>
      <c r="I514" s="3" t="str">
        <f>IFERROR(VLOOKUP(E514,Master!$J:$M,4,0),"")</f>
        <v/>
      </c>
      <c r="J514" s="3" t="str">
        <f>IFERROR(VLOOKUP($E514,Master!$J:$M,3,0),"")</f>
        <v/>
      </c>
      <c r="AC514" s="26">
        <f t="shared" ref="AC514:AC577" si="16">SUM(K514:P514)</f>
        <v>0</v>
      </c>
      <c r="AD514" s="26">
        <f t="shared" ref="AD514:AD577" si="17">SUM(Q514:AB514)</f>
        <v>0</v>
      </c>
    </row>
    <row r="515" spans="2:30" ht="15" customHeight="1">
      <c r="B515" s="3" t="str">
        <f>IFERROR(VLOOKUP(C515,Master!$J:$K,2,0),"")</f>
        <v/>
      </c>
      <c r="D515" s="4" t="str">
        <f>IFERROR(VLOOKUP(E515,Master!$J:$K,2,0),"")</f>
        <v/>
      </c>
      <c r="F515" s="4" t="str">
        <f>IFERROR(VLOOKUP(G515,Master!B:C,2,0),"")</f>
        <v/>
      </c>
      <c r="I515" s="3" t="str">
        <f>IFERROR(VLOOKUP(E515,Master!$J:$M,4,0),"")</f>
        <v/>
      </c>
      <c r="J515" s="3" t="str">
        <f>IFERROR(VLOOKUP($E515,Master!$J:$M,3,0),"")</f>
        <v/>
      </c>
      <c r="AC515" s="26">
        <f t="shared" si="16"/>
        <v>0</v>
      </c>
      <c r="AD515" s="26">
        <f t="shared" si="17"/>
        <v>0</v>
      </c>
    </row>
    <row r="516" spans="2:30" ht="15" customHeight="1">
      <c r="B516" s="3" t="str">
        <f>IFERROR(VLOOKUP(C516,Master!$J:$K,2,0),"")</f>
        <v/>
      </c>
      <c r="D516" s="4" t="str">
        <f>IFERROR(VLOOKUP(E516,Master!$J:$K,2,0),"")</f>
        <v/>
      </c>
      <c r="F516" s="4" t="str">
        <f>IFERROR(VLOOKUP(G516,Master!B:C,2,0),"")</f>
        <v/>
      </c>
      <c r="I516" s="3" t="str">
        <f>IFERROR(VLOOKUP(E516,Master!$J:$M,4,0),"")</f>
        <v/>
      </c>
      <c r="J516" s="3" t="str">
        <f>IFERROR(VLOOKUP($E516,Master!$J:$M,3,0),"")</f>
        <v/>
      </c>
      <c r="AC516" s="26">
        <f t="shared" si="16"/>
        <v>0</v>
      </c>
      <c r="AD516" s="26">
        <f t="shared" si="17"/>
        <v>0</v>
      </c>
    </row>
    <row r="517" spans="2:30" ht="15" customHeight="1">
      <c r="B517" s="3" t="str">
        <f>IFERROR(VLOOKUP(C517,Master!$J:$K,2,0),"")</f>
        <v/>
      </c>
      <c r="D517" s="4" t="str">
        <f>IFERROR(VLOOKUP(E517,Master!$J:$K,2,0),"")</f>
        <v/>
      </c>
      <c r="F517" s="4" t="str">
        <f>IFERROR(VLOOKUP(G517,Master!B:C,2,0),"")</f>
        <v/>
      </c>
      <c r="I517" s="3" t="str">
        <f>IFERROR(VLOOKUP(E517,Master!$J:$M,4,0),"")</f>
        <v/>
      </c>
      <c r="J517" s="3" t="str">
        <f>IFERROR(VLOOKUP($E517,Master!$J:$M,3,0),"")</f>
        <v/>
      </c>
      <c r="AC517" s="26">
        <f t="shared" si="16"/>
        <v>0</v>
      </c>
      <c r="AD517" s="26">
        <f t="shared" si="17"/>
        <v>0</v>
      </c>
    </row>
    <row r="518" spans="2:30" ht="15" customHeight="1">
      <c r="B518" s="3" t="str">
        <f>IFERROR(VLOOKUP(C518,Master!$J:$K,2,0),"")</f>
        <v/>
      </c>
      <c r="D518" s="4" t="str">
        <f>IFERROR(VLOOKUP(E518,Master!$J:$K,2,0),"")</f>
        <v/>
      </c>
      <c r="F518" s="4" t="str">
        <f>IFERROR(VLOOKUP(G518,Master!B:C,2,0),"")</f>
        <v/>
      </c>
      <c r="I518" s="3" t="str">
        <f>IFERROR(VLOOKUP(E518,Master!$J:$M,4,0),"")</f>
        <v/>
      </c>
      <c r="J518" s="3" t="str">
        <f>IFERROR(VLOOKUP($E518,Master!$J:$M,3,0),"")</f>
        <v/>
      </c>
      <c r="AC518" s="26">
        <f t="shared" si="16"/>
        <v>0</v>
      </c>
      <c r="AD518" s="26">
        <f t="shared" si="17"/>
        <v>0</v>
      </c>
    </row>
    <row r="519" spans="2:30" ht="15" customHeight="1">
      <c r="B519" s="3" t="str">
        <f>IFERROR(VLOOKUP(C519,Master!$J:$K,2,0),"")</f>
        <v/>
      </c>
      <c r="D519" s="4" t="str">
        <f>IFERROR(VLOOKUP(E519,Master!$J:$K,2,0),"")</f>
        <v/>
      </c>
      <c r="F519" s="4" t="str">
        <f>IFERROR(VLOOKUP(G519,Master!B:C,2,0),"")</f>
        <v/>
      </c>
      <c r="I519" s="3" t="str">
        <f>IFERROR(VLOOKUP(E519,Master!$J:$M,4,0),"")</f>
        <v/>
      </c>
      <c r="J519" s="3" t="str">
        <f>IFERROR(VLOOKUP($E519,Master!$J:$M,3,0),"")</f>
        <v/>
      </c>
      <c r="AC519" s="26">
        <f t="shared" si="16"/>
        <v>0</v>
      </c>
      <c r="AD519" s="26">
        <f t="shared" si="17"/>
        <v>0</v>
      </c>
    </row>
    <row r="520" spans="2:30" ht="15" customHeight="1">
      <c r="B520" s="3" t="str">
        <f>IFERROR(VLOOKUP(C520,Master!$J:$K,2,0),"")</f>
        <v/>
      </c>
      <c r="D520" s="4" t="str">
        <f>IFERROR(VLOOKUP(E520,Master!$J:$K,2,0),"")</f>
        <v/>
      </c>
      <c r="F520" s="4" t="str">
        <f>IFERROR(VLOOKUP(G520,Master!B:C,2,0),"")</f>
        <v/>
      </c>
      <c r="I520" s="3" t="str">
        <f>IFERROR(VLOOKUP(E520,Master!$J:$M,4,0),"")</f>
        <v/>
      </c>
      <c r="J520" s="3" t="str">
        <f>IFERROR(VLOOKUP($E520,Master!$J:$M,3,0),"")</f>
        <v/>
      </c>
      <c r="AC520" s="26">
        <f t="shared" si="16"/>
        <v>0</v>
      </c>
      <c r="AD520" s="26">
        <f t="shared" si="17"/>
        <v>0</v>
      </c>
    </row>
    <row r="521" spans="2:30" ht="15" customHeight="1">
      <c r="B521" s="3" t="str">
        <f>IFERROR(VLOOKUP(C521,Master!$J:$K,2,0),"")</f>
        <v/>
      </c>
      <c r="D521" s="4" t="str">
        <f>IFERROR(VLOOKUP(E521,Master!$J:$K,2,0),"")</f>
        <v/>
      </c>
      <c r="F521" s="4" t="str">
        <f>IFERROR(VLOOKUP(G521,Master!B:C,2,0),"")</f>
        <v/>
      </c>
      <c r="I521" s="3" t="str">
        <f>IFERROR(VLOOKUP(E521,Master!$J:$M,4,0),"")</f>
        <v/>
      </c>
      <c r="J521" s="3" t="str">
        <f>IFERROR(VLOOKUP($E521,Master!$J:$M,3,0),"")</f>
        <v/>
      </c>
      <c r="AC521" s="26">
        <f t="shared" si="16"/>
        <v>0</v>
      </c>
      <c r="AD521" s="26">
        <f t="shared" si="17"/>
        <v>0</v>
      </c>
    </row>
    <row r="522" spans="2:30" ht="15" customHeight="1">
      <c r="B522" s="3" t="str">
        <f>IFERROR(VLOOKUP(C522,Master!$J:$K,2,0),"")</f>
        <v/>
      </c>
      <c r="D522" s="4" t="str">
        <f>IFERROR(VLOOKUP(E522,Master!$J:$K,2,0),"")</f>
        <v/>
      </c>
      <c r="F522" s="4" t="str">
        <f>IFERROR(VLOOKUP(G522,Master!B:C,2,0),"")</f>
        <v/>
      </c>
      <c r="I522" s="3" t="str">
        <f>IFERROR(VLOOKUP(E522,Master!$J:$M,4,0),"")</f>
        <v/>
      </c>
      <c r="J522" s="3" t="str">
        <f>IFERROR(VLOOKUP($E522,Master!$J:$M,3,0),"")</f>
        <v/>
      </c>
      <c r="AC522" s="26">
        <f t="shared" si="16"/>
        <v>0</v>
      </c>
      <c r="AD522" s="26">
        <f t="shared" si="17"/>
        <v>0</v>
      </c>
    </row>
    <row r="523" spans="2:30" ht="15" customHeight="1">
      <c r="B523" s="3" t="str">
        <f>IFERROR(VLOOKUP(C523,Master!$J:$K,2,0),"")</f>
        <v/>
      </c>
      <c r="D523" s="4" t="str">
        <f>IFERROR(VLOOKUP(E523,Master!$J:$K,2,0),"")</f>
        <v/>
      </c>
      <c r="F523" s="4" t="str">
        <f>IFERROR(VLOOKUP(G523,Master!B:C,2,0),"")</f>
        <v/>
      </c>
      <c r="I523" s="3" t="str">
        <f>IFERROR(VLOOKUP(E523,Master!$J:$M,4,0),"")</f>
        <v/>
      </c>
      <c r="J523" s="3" t="str">
        <f>IFERROR(VLOOKUP($E523,Master!$J:$M,3,0),"")</f>
        <v/>
      </c>
      <c r="AC523" s="26">
        <f t="shared" si="16"/>
        <v>0</v>
      </c>
      <c r="AD523" s="26">
        <f t="shared" si="17"/>
        <v>0</v>
      </c>
    </row>
    <row r="524" spans="2:30" ht="15" customHeight="1">
      <c r="B524" s="3" t="str">
        <f>IFERROR(VLOOKUP(C524,Master!$J:$K,2,0),"")</f>
        <v/>
      </c>
      <c r="D524" s="4" t="str">
        <f>IFERROR(VLOOKUP(E524,Master!$J:$K,2,0),"")</f>
        <v/>
      </c>
      <c r="F524" s="4" t="str">
        <f>IFERROR(VLOOKUP(G524,Master!B:C,2,0),"")</f>
        <v/>
      </c>
      <c r="I524" s="3" t="str">
        <f>IFERROR(VLOOKUP(E524,Master!$J:$M,4,0),"")</f>
        <v/>
      </c>
      <c r="J524" s="3" t="str">
        <f>IFERROR(VLOOKUP($E524,Master!$J:$M,3,0),"")</f>
        <v/>
      </c>
      <c r="AC524" s="26">
        <f t="shared" si="16"/>
        <v>0</v>
      </c>
      <c r="AD524" s="26">
        <f t="shared" si="17"/>
        <v>0</v>
      </c>
    </row>
    <row r="525" spans="2:30" ht="15" customHeight="1">
      <c r="B525" s="3" t="str">
        <f>IFERROR(VLOOKUP(C525,Master!$J:$K,2,0),"")</f>
        <v/>
      </c>
      <c r="D525" s="4" t="str">
        <f>IFERROR(VLOOKUP(E525,Master!$J:$K,2,0),"")</f>
        <v/>
      </c>
      <c r="F525" s="4" t="str">
        <f>IFERROR(VLOOKUP(G525,Master!B:C,2,0),"")</f>
        <v/>
      </c>
      <c r="I525" s="3" t="str">
        <f>IFERROR(VLOOKUP(E525,Master!$J:$M,4,0),"")</f>
        <v/>
      </c>
      <c r="J525" s="3" t="str">
        <f>IFERROR(VLOOKUP($E525,Master!$J:$M,3,0),"")</f>
        <v/>
      </c>
      <c r="AC525" s="26">
        <f t="shared" si="16"/>
        <v>0</v>
      </c>
      <c r="AD525" s="26">
        <f t="shared" si="17"/>
        <v>0</v>
      </c>
    </row>
    <row r="526" spans="2:30" ht="15" customHeight="1">
      <c r="B526" s="3" t="str">
        <f>IFERROR(VLOOKUP(C526,Master!$J:$K,2,0),"")</f>
        <v/>
      </c>
      <c r="D526" s="4" t="str">
        <f>IFERROR(VLOOKUP(E526,Master!$J:$K,2,0),"")</f>
        <v/>
      </c>
      <c r="F526" s="4" t="str">
        <f>IFERROR(VLOOKUP(G526,Master!B:C,2,0),"")</f>
        <v/>
      </c>
      <c r="I526" s="3" t="str">
        <f>IFERROR(VLOOKUP(E526,Master!$J:$M,4,0),"")</f>
        <v/>
      </c>
      <c r="J526" s="3" t="str">
        <f>IFERROR(VLOOKUP($E526,Master!$J:$M,3,0),"")</f>
        <v/>
      </c>
      <c r="AC526" s="26">
        <f t="shared" si="16"/>
        <v>0</v>
      </c>
      <c r="AD526" s="26">
        <f t="shared" si="17"/>
        <v>0</v>
      </c>
    </row>
    <row r="527" spans="2:30" ht="15" customHeight="1">
      <c r="B527" s="3" t="str">
        <f>IFERROR(VLOOKUP(C527,Master!$J:$K,2,0),"")</f>
        <v/>
      </c>
      <c r="D527" s="4" t="str">
        <f>IFERROR(VLOOKUP(E527,Master!$J:$K,2,0),"")</f>
        <v/>
      </c>
      <c r="F527" s="4" t="str">
        <f>IFERROR(VLOOKUP(G527,Master!B:C,2,0),"")</f>
        <v/>
      </c>
      <c r="I527" s="3" t="str">
        <f>IFERROR(VLOOKUP(E527,Master!$J:$M,4,0),"")</f>
        <v/>
      </c>
      <c r="J527" s="3" t="str">
        <f>IFERROR(VLOOKUP($E527,Master!$J:$M,3,0),"")</f>
        <v/>
      </c>
      <c r="AC527" s="26">
        <f t="shared" si="16"/>
        <v>0</v>
      </c>
      <c r="AD527" s="26">
        <f t="shared" si="17"/>
        <v>0</v>
      </c>
    </row>
    <row r="528" spans="2:30" ht="15" customHeight="1">
      <c r="B528" s="3" t="str">
        <f>IFERROR(VLOOKUP(C528,Master!$J:$K,2,0),"")</f>
        <v/>
      </c>
      <c r="D528" s="4" t="str">
        <f>IFERROR(VLOOKUP(E528,Master!$J:$K,2,0),"")</f>
        <v/>
      </c>
      <c r="F528" s="4" t="str">
        <f>IFERROR(VLOOKUP(G528,Master!B:C,2,0),"")</f>
        <v/>
      </c>
      <c r="I528" s="3" t="str">
        <f>IFERROR(VLOOKUP(E528,Master!$J:$M,4,0),"")</f>
        <v/>
      </c>
      <c r="J528" s="3" t="str">
        <f>IFERROR(VLOOKUP($E528,Master!$J:$M,3,0),"")</f>
        <v/>
      </c>
      <c r="AC528" s="26">
        <f t="shared" si="16"/>
        <v>0</v>
      </c>
      <c r="AD528" s="26">
        <f t="shared" si="17"/>
        <v>0</v>
      </c>
    </row>
    <row r="529" spans="2:30" ht="15" customHeight="1">
      <c r="B529" s="3" t="str">
        <f>IFERROR(VLOOKUP(C529,Master!$J:$K,2,0),"")</f>
        <v/>
      </c>
      <c r="D529" s="4" t="str">
        <f>IFERROR(VLOOKUP(E529,Master!$J:$K,2,0),"")</f>
        <v/>
      </c>
      <c r="F529" s="4" t="str">
        <f>IFERROR(VLOOKUP(G529,Master!B:C,2,0),"")</f>
        <v/>
      </c>
      <c r="I529" s="3" t="str">
        <f>IFERROR(VLOOKUP(E529,Master!$J:$M,4,0),"")</f>
        <v/>
      </c>
      <c r="J529" s="3" t="str">
        <f>IFERROR(VLOOKUP($E529,Master!$J:$M,3,0),"")</f>
        <v/>
      </c>
      <c r="AC529" s="26">
        <f t="shared" si="16"/>
        <v>0</v>
      </c>
      <c r="AD529" s="26">
        <f t="shared" si="17"/>
        <v>0</v>
      </c>
    </row>
    <row r="530" spans="2:30" ht="15" customHeight="1">
      <c r="B530" s="3" t="str">
        <f>IFERROR(VLOOKUP(C530,Master!$J:$K,2,0),"")</f>
        <v/>
      </c>
      <c r="D530" s="4" t="str">
        <f>IFERROR(VLOOKUP(E530,Master!$J:$K,2,0),"")</f>
        <v/>
      </c>
      <c r="F530" s="4" t="str">
        <f>IFERROR(VLOOKUP(G530,Master!B:C,2,0),"")</f>
        <v/>
      </c>
      <c r="I530" s="3" t="str">
        <f>IFERROR(VLOOKUP(E530,Master!$J:$M,4,0),"")</f>
        <v/>
      </c>
      <c r="J530" s="3" t="str">
        <f>IFERROR(VLOOKUP($E530,Master!$J:$M,3,0),"")</f>
        <v/>
      </c>
      <c r="AC530" s="26">
        <f t="shared" si="16"/>
        <v>0</v>
      </c>
      <c r="AD530" s="26">
        <f t="shared" si="17"/>
        <v>0</v>
      </c>
    </row>
    <row r="531" spans="2:30" ht="15" customHeight="1">
      <c r="B531" s="3" t="str">
        <f>IFERROR(VLOOKUP(C531,Master!$J:$K,2,0),"")</f>
        <v/>
      </c>
      <c r="D531" s="4" t="str">
        <f>IFERROR(VLOOKUP(E531,Master!$J:$K,2,0),"")</f>
        <v/>
      </c>
      <c r="F531" s="4" t="str">
        <f>IFERROR(VLOOKUP(G531,Master!B:C,2,0),"")</f>
        <v/>
      </c>
      <c r="I531" s="3" t="str">
        <f>IFERROR(VLOOKUP(E531,Master!$J:$M,4,0),"")</f>
        <v/>
      </c>
      <c r="J531" s="3" t="str">
        <f>IFERROR(VLOOKUP($E531,Master!$J:$M,3,0),"")</f>
        <v/>
      </c>
      <c r="AC531" s="26">
        <f t="shared" si="16"/>
        <v>0</v>
      </c>
      <c r="AD531" s="26">
        <f t="shared" si="17"/>
        <v>0</v>
      </c>
    </row>
    <row r="532" spans="2:30" ht="15" customHeight="1">
      <c r="B532" s="3" t="str">
        <f>IFERROR(VLOOKUP(C532,Master!$J:$K,2,0),"")</f>
        <v/>
      </c>
      <c r="D532" s="4" t="str">
        <f>IFERROR(VLOOKUP(E532,Master!$J:$K,2,0),"")</f>
        <v/>
      </c>
      <c r="F532" s="4" t="str">
        <f>IFERROR(VLOOKUP(G532,Master!B:C,2,0),"")</f>
        <v/>
      </c>
      <c r="I532" s="3" t="str">
        <f>IFERROR(VLOOKUP(E532,Master!$J:$M,4,0),"")</f>
        <v/>
      </c>
      <c r="J532" s="3" t="str">
        <f>IFERROR(VLOOKUP($E532,Master!$J:$M,3,0),"")</f>
        <v/>
      </c>
      <c r="AC532" s="26">
        <f t="shared" si="16"/>
        <v>0</v>
      </c>
      <c r="AD532" s="26">
        <f t="shared" si="17"/>
        <v>0</v>
      </c>
    </row>
    <row r="533" spans="2:30" ht="15" customHeight="1">
      <c r="B533" s="3" t="str">
        <f>IFERROR(VLOOKUP(C533,Master!$J:$K,2,0),"")</f>
        <v/>
      </c>
      <c r="D533" s="4" t="str">
        <f>IFERROR(VLOOKUP(E533,Master!$J:$K,2,0),"")</f>
        <v/>
      </c>
      <c r="F533" s="4" t="str">
        <f>IFERROR(VLOOKUP(G533,Master!B:C,2,0),"")</f>
        <v/>
      </c>
      <c r="I533" s="3" t="str">
        <f>IFERROR(VLOOKUP(E533,Master!$J:$M,4,0),"")</f>
        <v/>
      </c>
      <c r="J533" s="3" t="str">
        <f>IFERROR(VLOOKUP($E533,Master!$J:$M,3,0),"")</f>
        <v/>
      </c>
      <c r="AC533" s="26">
        <f t="shared" si="16"/>
        <v>0</v>
      </c>
      <c r="AD533" s="26">
        <f t="shared" si="17"/>
        <v>0</v>
      </c>
    </row>
    <row r="534" spans="2:30" ht="15" customHeight="1">
      <c r="B534" s="3" t="str">
        <f>IFERROR(VLOOKUP(C534,Master!$J:$K,2,0),"")</f>
        <v/>
      </c>
      <c r="D534" s="4" t="str">
        <f>IFERROR(VLOOKUP(E534,Master!$J:$K,2,0),"")</f>
        <v/>
      </c>
      <c r="F534" s="4" t="str">
        <f>IFERROR(VLOOKUP(G534,Master!B:C,2,0),"")</f>
        <v/>
      </c>
      <c r="I534" s="3" t="str">
        <f>IFERROR(VLOOKUP(E534,Master!$J:$M,4,0),"")</f>
        <v/>
      </c>
      <c r="J534" s="3" t="str">
        <f>IFERROR(VLOOKUP($E534,Master!$J:$M,3,0),"")</f>
        <v/>
      </c>
      <c r="AC534" s="26">
        <f t="shared" si="16"/>
        <v>0</v>
      </c>
      <c r="AD534" s="26">
        <f t="shared" si="17"/>
        <v>0</v>
      </c>
    </row>
    <row r="535" spans="2:30" ht="15" customHeight="1">
      <c r="B535" s="3" t="str">
        <f>IFERROR(VLOOKUP(C535,Master!$J:$K,2,0),"")</f>
        <v/>
      </c>
      <c r="D535" s="4" t="str">
        <f>IFERROR(VLOOKUP(E535,Master!$J:$K,2,0),"")</f>
        <v/>
      </c>
      <c r="F535" s="4" t="str">
        <f>IFERROR(VLOOKUP(G535,Master!B:C,2,0),"")</f>
        <v/>
      </c>
      <c r="I535" s="3" t="str">
        <f>IFERROR(VLOOKUP(E535,Master!$J:$M,4,0),"")</f>
        <v/>
      </c>
      <c r="J535" s="3" t="str">
        <f>IFERROR(VLOOKUP($E535,Master!$J:$M,3,0),"")</f>
        <v/>
      </c>
      <c r="AC535" s="26">
        <f t="shared" si="16"/>
        <v>0</v>
      </c>
      <c r="AD535" s="26">
        <f t="shared" si="17"/>
        <v>0</v>
      </c>
    </row>
    <row r="536" spans="2:30" ht="15" customHeight="1">
      <c r="B536" s="3" t="str">
        <f>IFERROR(VLOOKUP(C536,Master!$J:$K,2,0),"")</f>
        <v/>
      </c>
      <c r="D536" s="4" t="str">
        <f>IFERROR(VLOOKUP(E536,Master!$J:$K,2,0),"")</f>
        <v/>
      </c>
      <c r="F536" s="4" t="str">
        <f>IFERROR(VLOOKUP(G536,Master!B:C,2,0),"")</f>
        <v/>
      </c>
      <c r="I536" s="3" t="str">
        <f>IFERROR(VLOOKUP(E536,Master!$J:$M,4,0),"")</f>
        <v/>
      </c>
      <c r="J536" s="3" t="str">
        <f>IFERROR(VLOOKUP($E536,Master!$J:$M,3,0),"")</f>
        <v/>
      </c>
      <c r="AC536" s="26">
        <f t="shared" si="16"/>
        <v>0</v>
      </c>
      <c r="AD536" s="26">
        <f t="shared" si="17"/>
        <v>0</v>
      </c>
    </row>
    <row r="537" spans="2:30" ht="15" customHeight="1">
      <c r="B537" s="3" t="str">
        <f>IFERROR(VLOOKUP(C537,Master!$J:$K,2,0),"")</f>
        <v/>
      </c>
      <c r="D537" s="4" t="str">
        <f>IFERROR(VLOOKUP(E537,Master!$J:$K,2,0),"")</f>
        <v/>
      </c>
      <c r="F537" s="4" t="str">
        <f>IFERROR(VLOOKUP(G537,Master!B:C,2,0),"")</f>
        <v/>
      </c>
      <c r="I537" s="3" t="str">
        <f>IFERROR(VLOOKUP(E537,Master!$J:$M,4,0),"")</f>
        <v/>
      </c>
      <c r="J537" s="3" t="str">
        <f>IFERROR(VLOOKUP($E537,Master!$J:$M,3,0),"")</f>
        <v/>
      </c>
      <c r="AC537" s="26">
        <f t="shared" si="16"/>
        <v>0</v>
      </c>
      <c r="AD537" s="26">
        <f t="shared" si="17"/>
        <v>0</v>
      </c>
    </row>
    <row r="538" spans="2:30" ht="15" customHeight="1">
      <c r="B538" s="3" t="str">
        <f>IFERROR(VLOOKUP(C538,Master!$J:$K,2,0),"")</f>
        <v/>
      </c>
      <c r="D538" s="4" t="str">
        <f>IFERROR(VLOOKUP(E538,Master!$J:$K,2,0),"")</f>
        <v/>
      </c>
      <c r="F538" s="4" t="str">
        <f>IFERROR(VLOOKUP(G538,Master!B:C,2,0),"")</f>
        <v/>
      </c>
      <c r="I538" s="3" t="str">
        <f>IFERROR(VLOOKUP(E538,Master!$J:$M,4,0),"")</f>
        <v/>
      </c>
      <c r="J538" s="3" t="str">
        <f>IFERROR(VLOOKUP($E538,Master!$J:$M,3,0),"")</f>
        <v/>
      </c>
      <c r="AC538" s="26">
        <f t="shared" si="16"/>
        <v>0</v>
      </c>
      <c r="AD538" s="26">
        <f t="shared" si="17"/>
        <v>0</v>
      </c>
    </row>
    <row r="539" spans="2:30" ht="15" customHeight="1">
      <c r="B539" s="3" t="str">
        <f>IFERROR(VLOOKUP(C539,Master!$J:$K,2,0),"")</f>
        <v/>
      </c>
      <c r="D539" s="4" t="str">
        <f>IFERROR(VLOOKUP(E539,Master!$J:$K,2,0),"")</f>
        <v/>
      </c>
      <c r="F539" s="4" t="str">
        <f>IFERROR(VLOOKUP(G539,Master!B:C,2,0),"")</f>
        <v/>
      </c>
      <c r="I539" s="3" t="str">
        <f>IFERROR(VLOOKUP(E539,Master!$J:$M,4,0),"")</f>
        <v/>
      </c>
      <c r="J539" s="3" t="str">
        <f>IFERROR(VLOOKUP($E539,Master!$J:$M,3,0),"")</f>
        <v/>
      </c>
      <c r="AC539" s="26">
        <f t="shared" si="16"/>
        <v>0</v>
      </c>
      <c r="AD539" s="26">
        <f t="shared" si="17"/>
        <v>0</v>
      </c>
    </row>
    <row r="540" spans="2:30" ht="15" customHeight="1">
      <c r="B540" s="3" t="str">
        <f>IFERROR(VLOOKUP(C540,Master!$J:$K,2,0),"")</f>
        <v/>
      </c>
      <c r="D540" s="4" t="str">
        <f>IFERROR(VLOOKUP(E540,Master!$J:$K,2,0),"")</f>
        <v/>
      </c>
      <c r="F540" s="4" t="str">
        <f>IFERROR(VLOOKUP(G540,Master!B:C,2,0),"")</f>
        <v/>
      </c>
      <c r="I540" s="3" t="str">
        <f>IFERROR(VLOOKUP(E540,Master!$J:$M,4,0),"")</f>
        <v/>
      </c>
      <c r="J540" s="3" t="str">
        <f>IFERROR(VLOOKUP($E540,Master!$J:$M,3,0),"")</f>
        <v/>
      </c>
      <c r="AC540" s="26">
        <f t="shared" si="16"/>
        <v>0</v>
      </c>
      <c r="AD540" s="26">
        <f t="shared" si="17"/>
        <v>0</v>
      </c>
    </row>
    <row r="541" spans="2:30" ht="15" customHeight="1">
      <c r="B541" s="3" t="str">
        <f>IFERROR(VLOOKUP(C541,Master!$J:$K,2,0),"")</f>
        <v/>
      </c>
      <c r="D541" s="4" t="str">
        <f>IFERROR(VLOOKUP(E541,Master!$J:$K,2,0),"")</f>
        <v/>
      </c>
      <c r="F541" s="4" t="str">
        <f>IFERROR(VLOOKUP(G541,Master!B:C,2,0),"")</f>
        <v/>
      </c>
      <c r="I541" s="3" t="str">
        <f>IFERROR(VLOOKUP(E541,Master!$J:$M,4,0),"")</f>
        <v/>
      </c>
      <c r="J541" s="3" t="str">
        <f>IFERROR(VLOOKUP($E541,Master!$J:$M,3,0),"")</f>
        <v/>
      </c>
      <c r="AC541" s="26">
        <f t="shared" si="16"/>
        <v>0</v>
      </c>
      <c r="AD541" s="26">
        <f t="shared" si="17"/>
        <v>0</v>
      </c>
    </row>
    <row r="542" spans="2:30" ht="15" customHeight="1">
      <c r="B542" s="3" t="str">
        <f>IFERROR(VLOOKUP(C542,Master!$J:$K,2,0),"")</f>
        <v/>
      </c>
      <c r="D542" s="4" t="str">
        <f>IFERROR(VLOOKUP(E542,Master!$J:$K,2,0),"")</f>
        <v/>
      </c>
      <c r="F542" s="4" t="str">
        <f>IFERROR(VLOOKUP(G542,Master!B:C,2,0),"")</f>
        <v/>
      </c>
      <c r="I542" s="3" t="str">
        <f>IFERROR(VLOOKUP(E542,Master!$J:$M,4,0),"")</f>
        <v/>
      </c>
      <c r="J542" s="3" t="str">
        <f>IFERROR(VLOOKUP($E542,Master!$J:$M,3,0),"")</f>
        <v/>
      </c>
      <c r="AC542" s="26">
        <f t="shared" si="16"/>
        <v>0</v>
      </c>
      <c r="AD542" s="26">
        <f t="shared" si="17"/>
        <v>0</v>
      </c>
    </row>
    <row r="543" spans="2:30" ht="15" customHeight="1">
      <c r="B543" s="3" t="str">
        <f>IFERROR(VLOOKUP(C543,Master!$J:$K,2,0),"")</f>
        <v/>
      </c>
      <c r="D543" s="4" t="str">
        <f>IFERROR(VLOOKUP(E543,Master!$J:$K,2,0),"")</f>
        <v/>
      </c>
      <c r="F543" s="4" t="str">
        <f>IFERROR(VLOOKUP(G543,Master!B:C,2,0),"")</f>
        <v/>
      </c>
      <c r="I543" s="3" t="str">
        <f>IFERROR(VLOOKUP(E543,Master!$J:$M,4,0),"")</f>
        <v/>
      </c>
      <c r="J543" s="3" t="str">
        <f>IFERROR(VLOOKUP($E543,Master!$J:$M,3,0),"")</f>
        <v/>
      </c>
      <c r="AC543" s="26">
        <f t="shared" si="16"/>
        <v>0</v>
      </c>
      <c r="AD543" s="26">
        <f t="shared" si="17"/>
        <v>0</v>
      </c>
    </row>
    <row r="544" spans="2:30" ht="15" customHeight="1">
      <c r="B544" s="3" t="str">
        <f>IFERROR(VLOOKUP(C544,Master!$J:$K,2,0),"")</f>
        <v/>
      </c>
      <c r="D544" s="4" t="str">
        <f>IFERROR(VLOOKUP(E544,Master!$J:$K,2,0),"")</f>
        <v/>
      </c>
      <c r="F544" s="4" t="str">
        <f>IFERROR(VLOOKUP(G544,Master!B:C,2,0),"")</f>
        <v/>
      </c>
      <c r="I544" s="3" t="str">
        <f>IFERROR(VLOOKUP(E544,Master!$J:$M,4,0),"")</f>
        <v/>
      </c>
      <c r="J544" s="3" t="str">
        <f>IFERROR(VLOOKUP($E544,Master!$J:$M,3,0),"")</f>
        <v/>
      </c>
      <c r="AC544" s="26">
        <f t="shared" si="16"/>
        <v>0</v>
      </c>
      <c r="AD544" s="26">
        <f t="shared" si="17"/>
        <v>0</v>
      </c>
    </row>
    <row r="545" spans="2:30" ht="15" customHeight="1">
      <c r="B545" s="3" t="str">
        <f>IFERROR(VLOOKUP(C545,Master!$J:$K,2,0),"")</f>
        <v/>
      </c>
      <c r="D545" s="4" t="str">
        <f>IFERROR(VLOOKUP(E545,Master!$J:$K,2,0),"")</f>
        <v/>
      </c>
      <c r="F545" s="4" t="str">
        <f>IFERROR(VLOOKUP(G545,Master!B:C,2,0),"")</f>
        <v/>
      </c>
      <c r="I545" s="3" t="str">
        <f>IFERROR(VLOOKUP(E545,Master!$J:$M,4,0),"")</f>
        <v/>
      </c>
      <c r="J545" s="3" t="str">
        <f>IFERROR(VLOOKUP($E545,Master!$J:$M,3,0),"")</f>
        <v/>
      </c>
      <c r="AC545" s="26">
        <f t="shared" si="16"/>
        <v>0</v>
      </c>
      <c r="AD545" s="26">
        <f t="shared" si="17"/>
        <v>0</v>
      </c>
    </row>
    <row r="546" spans="2:30" ht="15" customHeight="1">
      <c r="B546" s="3" t="str">
        <f>IFERROR(VLOOKUP(C546,Master!$J:$K,2,0),"")</f>
        <v/>
      </c>
      <c r="D546" s="4" t="str">
        <f>IFERROR(VLOOKUP(E546,Master!$J:$K,2,0),"")</f>
        <v/>
      </c>
      <c r="F546" s="4" t="str">
        <f>IFERROR(VLOOKUP(G546,Master!B:C,2,0),"")</f>
        <v/>
      </c>
      <c r="I546" s="3" t="str">
        <f>IFERROR(VLOOKUP(E546,Master!$J:$M,4,0),"")</f>
        <v/>
      </c>
      <c r="J546" s="3" t="str">
        <f>IFERROR(VLOOKUP($E546,Master!$J:$M,3,0),"")</f>
        <v/>
      </c>
      <c r="AC546" s="26">
        <f t="shared" si="16"/>
        <v>0</v>
      </c>
      <c r="AD546" s="26">
        <f t="shared" si="17"/>
        <v>0</v>
      </c>
    </row>
    <row r="547" spans="2:30" ht="15" customHeight="1">
      <c r="B547" s="3" t="str">
        <f>IFERROR(VLOOKUP(C547,Master!$J:$K,2,0),"")</f>
        <v/>
      </c>
      <c r="D547" s="4" t="str">
        <f>IFERROR(VLOOKUP(E547,Master!$J:$K,2,0),"")</f>
        <v/>
      </c>
      <c r="F547" s="4" t="str">
        <f>IFERROR(VLOOKUP(G547,Master!B:C,2,0),"")</f>
        <v/>
      </c>
      <c r="I547" s="3" t="str">
        <f>IFERROR(VLOOKUP(E547,Master!$J:$M,4,0),"")</f>
        <v/>
      </c>
      <c r="J547" s="3" t="str">
        <f>IFERROR(VLOOKUP($E547,Master!$J:$M,3,0),"")</f>
        <v/>
      </c>
      <c r="AC547" s="26">
        <f t="shared" si="16"/>
        <v>0</v>
      </c>
      <c r="AD547" s="26">
        <f t="shared" si="17"/>
        <v>0</v>
      </c>
    </row>
    <row r="548" spans="2:30" ht="15" customHeight="1">
      <c r="B548" s="3" t="str">
        <f>IFERROR(VLOOKUP(C548,Master!$J:$K,2,0),"")</f>
        <v/>
      </c>
      <c r="D548" s="4" t="str">
        <f>IFERROR(VLOOKUP(E548,Master!$J:$K,2,0),"")</f>
        <v/>
      </c>
      <c r="F548" s="4" t="str">
        <f>IFERROR(VLOOKUP(G548,Master!B:C,2,0),"")</f>
        <v/>
      </c>
      <c r="I548" s="3" t="str">
        <f>IFERROR(VLOOKUP(E548,Master!$J:$M,4,0),"")</f>
        <v/>
      </c>
      <c r="J548" s="3" t="str">
        <f>IFERROR(VLOOKUP($E548,Master!$J:$M,3,0),"")</f>
        <v/>
      </c>
      <c r="AC548" s="26">
        <f t="shared" si="16"/>
        <v>0</v>
      </c>
      <c r="AD548" s="26">
        <f t="shared" si="17"/>
        <v>0</v>
      </c>
    </row>
    <row r="549" spans="2:30" ht="15" customHeight="1">
      <c r="B549" s="3" t="str">
        <f>IFERROR(VLOOKUP(C549,Master!$J:$K,2,0),"")</f>
        <v/>
      </c>
      <c r="D549" s="4" t="str">
        <f>IFERROR(VLOOKUP(E549,Master!$J:$K,2,0),"")</f>
        <v/>
      </c>
      <c r="F549" s="4" t="str">
        <f>IFERROR(VLOOKUP(G549,Master!B:C,2,0),"")</f>
        <v/>
      </c>
      <c r="I549" s="3" t="str">
        <f>IFERROR(VLOOKUP(E549,Master!$J:$M,4,0),"")</f>
        <v/>
      </c>
      <c r="J549" s="3" t="str">
        <f>IFERROR(VLOOKUP($E549,Master!$J:$M,3,0),"")</f>
        <v/>
      </c>
      <c r="AC549" s="26">
        <f t="shared" si="16"/>
        <v>0</v>
      </c>
      <c r="AD549" s="26">
        <f t="shared" si="17"/>
        <v>0</v>
      </c>
    </row>
    <row r="550" spans="2:30" ht="15" customHeight="1">
      <c r="B550" s="3" t="str">
        <f>IFERROR(VLOOKUP(C550,Master!$J:$K,2,0),"")</f>
        <v/>
      </c>
      <c r="D550" s="4" t="str">
        <f>IFERROR(VLOOKUP(E550,Master!$J:$K,2,0),"")</f>
        <v/>
      </c>
      <c r="F550" s="4" t="str">
        <f>IFERROR(VLOOKUP(G550,Master!B:C,2,0),"")</f>
        <v/>
      </c>
      <c r="I550" s="3" t="str">
        <f>IFERROR(VLOOKUP(E550,Master!$J:$M,4,0),"")</f>
        <v/>
      </c>
      <c r="J550" s="3" t="str">
        <f>IFERROR(VLOOKUP($E550,Master!$J:$M,3,0),"")</f>
        <v/>
      </c>
      <c r="AC550" s="26">
        <f t="shared" si="16"/>
        <v>0</v>
      </c>
      <c r="AD550" s="26">
        <f t="shared" si="17"/>
        <v>0</v>
      </c>
    </row>
    <row r="551" spans="2:30" ht="15" customHeight="1">
      <c r="B551" s="3" t="str">
        <f>IFERROR(VLOOKUP(C551,Master!$J:$K,2,0),"")</f>
        <v/>
      </c>
      <c r="D551" s="4" t="str">
        <f>IFERROR(VLOOKUP(E551,Master!$J:$K,2,0),"")</f>
        <v/>
      </c>
      <c r="F551" s="4" t="str">
        <f>IFERROR(VLOOKUP(G551,Master!B:C,2,0),"")</f>
        <v/>
      </c>
      <c r="I551" s="3" t="str">
        <f>IFERROR(VLOOKUP(E551,Master!$J:$M,4,0),"")</f>
        <v/>
      </c>
      <c r="J551" s="3" t="str">
        <f>IFERROR(VLOOKUP($E551,Master!$J:$M,3,0),"")</f>
        <v/>
      </c>
      <c r="AC551" s="26">
        <f t="shared" si="16"/>
        <v>0</v>
      </c>
      <c r="AD551" s="26">
        <f t="shared" si="17"/>
        <v>0</v>
      </c>
    </row>
    <row r="552" spans="2:30" ht="15" customHeight="1">
      <c r="B552" s="3" t="str">
        <f>IFERROR(VLOOKUP(C552,Master!$J:$K,2,0),"")</f>
        <v/>
      </c>
      <c r="D552" s="4" t="str">
        <f>IFERROR(VLOOKUP(E552,Master!$J:$K,2,0),"")</f>
        <v/>
      </c>
      <c r="F552" s="4" t="str">
        <f>IFERROR(VLOOKUP(G552,Master!B:C,2,0),"")</f>
        <v/>
      </c>
      <c r="I552" s="3" t="str">
        <f>IFERROR(VLOOKUP(E552,Master!$J:$M,4,0),"")</f>
        <v/>
      </c>
      <c r="J552" s="3" t="str">
        <f>IFERROR(VLOOKUP($E552,Master!$J:$M,3,0),"")</f>
        <v/>
      </c>
      <c r="AC552" s="26">
        <f t="shared" si="16"/>
        <v>0</v>
      </c>
      <c r="AD552" s="26">
        <f t="shared" si="17"/>
        <v>0</v>
      </c>
    </row>
    <row r="553" spans="2:30" ht="15" customHeight="1">
      <c r="B553" s="3" t="str">
        <f>IFERROR(VLOOKUP(C553,Master!$J:$K,2,0),"")</f>
        <v/>
      </c>
      <c r="D553" s="4" t="str">
        <f>IFERROR(VLOOKUP(E553,Master!$J:$K,2,0),"")</f>
        <v/>
      </c>
      <c r="F553" s="4" t="str">
        <f>IFERROR(VLOOKUP(G553,Master!B:C,2,0),"")</f>
        <v/>
      </c>
      <c r="I553" s="3" t="str">
        <f>IFERROR(VLOOKUP(E553,Master!$J:$M,4,0),"")</f>
        <v/>
      </c>
      <c r="J553" s="3" t="str">
        <f>IFERROR(VLOOKUP($E553,Master!$J:$M,3,0),"")</f>
        <v/>
      </c>
      <c r="AC553" s="26">
        <f t="shared" si="16"/>
        <v>0</v>
      </c>
      <c r="AD553" s="26">
        <f t="shared" si="17"/>
        <v>0</v>
      </c>
    </row>
    <row r="554" spans="2:30" ht="15" customHeight="1">
      <c r="B554" s="3" t="str">
        <f>IFERROR(VLOOKUP(C554,Master!$J:$K,2,0),"")</f>
        <v/>
      </c>
      <c r="D554" s="4" t="str">
        <f>IFERROR(VLOOKUP(E554,Master!$J:$K,2,0),"")</f>
        <v/>
      </c>
      <c r="F554" s="4" t="str">
        <f>IFERROR(VLOOKUP(G554,Master!B:C,2,0),"")</f>
        <v/>
      </c>
      <c r="I554" s="3" t="str">
        <f>IFERROR(VLOOKUP(E554,Master!$J:$M,4,0),"")</f>
        <v/>
      </c>
      <c r="J554" s="3" t="str">
        <f>IFERROR(VLOOKUP($E554,Master!$J:$M,3,0),"")</f>
        <v/>
      </c>
      <c r="AC554" s="26">
        <f t="shared" si="16"/>
        <v>0</v>
      </c>
      <c r="AD554" s="26">
        <f t="shared" si="17"/>
        <v>0</v>
      </c>
    </row>
    <row r="555" spans="2:30" ht="15" customHeight="1">
      <c r="B555" s="3" t="str">
        <f>IFERROR(VLOOKUP(C555,Master!$J:$K,2,0),"")</f>
        <v/>
      </c>
      <c r="D555" s="4" t="str">
        <f>IFERROR(VLOOKUP(E555,Master!$J:$K,2,0),"")</f>
        <v/>
      </c>
      <c r="F555" s="4" t="str">
        <f>IFERROR(VLOOKUP(G555,Master!B:C,2,0),"")</f>
        <v/>
      </c>
      <c r="I555" s="3" t="str">
        <f>IFERROR(VLOOKUP(E555,Master!$J:$M,4,0),"")</f>
        <v/>
      </c>
      <c r="J555" s="3" t="str">
        <f>IFERROR(VLOOKUP($E555,Master!$J:$M,3,0),"")</f>
        <v/>
      </c>
      <c r="AC555" s="26">
        <f t="shared" si="16"/>
        <v>0</v>
      </c>
      <c r="AD555" s="26">
        <f t="shared" si="17"/>
        <v>0</v>
      </c>
    </row>
    <row r="556" spans="2:30" ht="15" customHeight="1">
      <c r="B556" s="3" t="str">
        <f>IFERROR(VLOOKUP(C556,Master!$J:$K,2,0),"")</f>
        <v/>
      </c>
      <c r="D556" s="4" t="str">
        <f>IFERROR(VLOOKUP(E556,Master!$J:$K,2,0),"")</f>
        <v/>
      </c>
      <c r="F556" s="4" t="str">
        <f>IFERROR(VLOOKUP(G556,Master!B:C,2,0),"")</f>
        <v/>
      </c>
      <c r="I556" s="3" t="str">
        <f>IFERROR(VLOOKUP(E556,Master!$J:$M,4,0),"")</f>
        <v/>
      </c>
      <c r="J556" s="3" t="str">
        <f>IFERROR(VLOOKUP($E556,Master!$J:$M,3,0),"")</f>
        <v/>
      </c>
      <c r="AC556" s="26">
        <f t="shared" si="16"/>
        <v>0</v>
      </c>
      <c r="AD556" s="26">
        <f t="shared" si="17"/>
        <v>0</v>
      </c>
    </row>
    <row r="557" spans="2:30" ht="15" customHeight="1">
      <c r="B557" s="3" t="str">
        <f>IFERROR(VLOOKUP(C557,Master!$J:$K,2,0),"")</f>
        <v/>
      </c>
      <c r="D557" s="4" t="str">
        <f>IFERROR(VLOOKUP(E557,Master!$J:$K,2,0),"")</f>
        <v/>
      </c>
      <c r="F557" s="4" t="str">
        <f>IFERROR(VLOOKUP(G557,Master!B:C,2,0),"")</f>
        <v/>
      </c>
      <c r="I557" s="3" t="str">
        <f>IFERROR(VLOOKUP(E557,Master!$J:$M,4,0),"")</f>
        <v/>
      </c>
      <c r="J557" s="3" t="str">
        <f>IFERROR(VLOOKUP($E557,Master!$J:$M,3,0),"")</f>
        <v/>
      </c>
      <c r="AC557" s="26">
        <f t="shared" si="16"/>
        <v>0</v>
      </c>
      <c r="AD557" s="26">
        <f t="shared" si="17"/>
        <v>0</v>
      </c>
    </row>
    <row r="558" spans="2:30" ht="15" customHeight="1">
      <c r="B558" s="3" t="str">
        <f>IFERROR(VLOOKUP(C558,Master!$J:$K,2,0),"")</f>
        <v/>
      </c>
      <c r="D558" s="4" t="str">
        <f>IFERROR(VLOOKUP(E558,Master!$J:$K,2,0),"")</f>
        <v/>
      </c>
      <c r="F558" s="4" t="str">
        <f>IFERROR(VLOOKUP(G558,Master!B:C,2,0),"")</f>
        <v/>
      </c>
      <c r="I558" s="3" t="str">
        <f>IFERROR(VLOOKUP(E558,Master!$J:$M,4,0),"")</f>
        <v/>
      </c>
      <c r="J558" s="3" t="str">
        <f>IFERROR(VLOOKUP($E558,Master!$J:$M,3,0),"")</f>
        <v/>
      </c>
      <c r="AC558" s="26">
        <f t="shared" si="16"/>
        <v>0</v>
      </c>
      <c r="AD558" s="26">
        <f t="shared" si="17"/>
        <v>0</v>
      </c>
    </row>
    <row r="559" spans="2:30" ht="15" customHeight="1">
      <c r="B559" s="3" t="str">
        <f>IFERROR(VLOOKUP(C559,Master!$J:$K,2,0),"")</f>
        <v/>
      </c>
      <c r="D559" s="4" t="str">
        <f>IFERROR(VLOOKUP(E559,Master!$J:$K,2,0),"")</f>
        <v/>
      </c>
      <c r="F559" s="4" t="str">
        <f>IFERROR(VLOOKUP(G559,Master!B:C,2,0),"")</f>
        <v/>
      </c>
      <c r="I559" s="3" t="str">
        <f>IFERROR(VLOOKUP(E559,Master!$J:$M,4,0),"")</f>
        <v/>
      </c>
      <c r="J559" s="3" t="str">
        <f>IFERROR(VLOOKUP($E559,Master!$J:$M,3,0),"")</f>
        <v/>
      </c>
      <c r="AC559" s="26">
        <f t="shared" si="16"/>
        <v>0</v>
      </c>
      <c r="AD559" s="26">
        <f t="shared" si="17"/>
        <v>0</v>
      </c>
    </row>
    <row r="560" spans="2:30" ht="15" customHeight="1">
      <c r="B560" s="3" t="str">
        <f>IFERROR(VLOOKUP(C560,Master!$J:$K,2,0),"")</f>
        <v/>
      </c>
      <c r="D560" s="4" t="str">
        <f>IFERROR(VLOOKUP(E560,Master!$J:$K,2,0),"")</f>
        <v/>
      </c>
      <c r="F560" s="4" t="str">
        <f>IFERROR(VLOOKUP(G560,Master!B:C,2,0),"")</f>
        <v/>
      </c>
      <c r="I560" s="3" t="str">
        <f>IFERROR(VLOOKUP(E560,Master!$J:$M,4,0),"")</f>
        <v/>
      </c>
      <c r="J560" s="3" t="str">
        <f>IFERROR(VLOOKUP($E560,Master!$J:$M,3,0),"")</f>
        <v/>
      </c>
      <c r="AC560" s="26">
        <f t="shared" si="16"/>
        <v>0</v>
      </c>
      <c r="AD560" s="26">
        <f t="shared" si="17"/>
        <v>0</v>
      </c>
    </row>
    <row r="561" spans="2:30" ht="15" customHeight="1">
      <c r="B561" s="3" t="str">
        <f>IFERROR(VLOOKUP(C561,Master!$J:$K,2,0),"")</f>
        <v/>
      </c>
      <c r="D561" s="4" t="str">
        <f>IFERROR(VLOOKUP(E561,Master!$J:$K,2,0),"")</f>
        <v/>
      </c>
      <c r="F561" s="4" t="str">
        <f>IFERROR(VLOOKUP(G561,Master!B:C,2,0),"")</f>
        <v/>
      </c>
      <c r="I561" s="3" t="str">
        <f>IFERROR(VLOOKUP(E561,Master!$J:$M,4,0),"")</f>
        <v/>
      </c>
      <c r="J561" s="3" t="str">
        <f>IFERROR(VLOOKUP($E561,Master!$J:$M,3,0),"")</f>
        <v/>
      </c>
      <c r="AC561" s="26">
        <f t="shared" si="16"/>
        <v>0</v>
      </c>
      <c r="AD561" s="26">
        <f t="shared" si="17"/>
        <v>0</v>
      </c>
    </row>
    <row r="562" spans="2:30" ht="15" customHeight="1">
      <c r="B562" s="3" t="str">
        <f>IFERROR(VLOOKUP(C562,Master!$J:$K,2,0),"")</f>
        <v/>
      </c>
      <c r="D562" s="4" t="str">
        <f>IFERROR(VLOOKUP(E562,Master!$J:$K,2,0),"")</f>
        <v/>
      </c>
      <c r="F562" s="4" t="str">
        <f>IFERROR(VLOOKUP(G562,Master!B:C,2,0),"")</f>
        <v/>
      </c>
      <c r="I562" s="3" t="str">
        <f>IFERROR(VLOOKUP(E562,Master!$J:$M,4,0),"")</f>
        <v/>
      </c>
      <c r="J562" s="3" t="str">
        <f>IFERROR(VLOOKUP($E562,Master!$J:$M,3,0),"")</f>
        <v/>
      </c>
      <c r="AC562" s="26">
        <f t="shared" si="16"/>
        <v>0</v>
      </c>
      <c r="AD562" s="26">
        <f t="shared" si="17"/>
        <v>0</v>
      </c>
    </row>
    <row r="563" spans="2:30" ht="15" customHeight="1">
      <c r="B563" s="3" t="str">
        <f>IFERROR(VLOOKUP(C563,Master!$J:$K,2,0),"")</f>
        <v/>
      </c>
      <c r="D563" s="4" t="str">
        <f>IFERROR(VLOOKUP(E563,Master!$J:$K,2,0),"")</f>
        <v/>
      </c>
      <c r="F563" s="4" t="str">
        <f>IFERROR(VLOOKUP(G563,Master!B:C,2,0),"")</f>
        <v/>
      </c>
      <c r="I563" s="3" t="str">
        <f>IFERROR(VLOOKUP(E563,Master!$J:$M,4,0),"")</f>
        <v/>
      </c>
      <c r="J563" s="3" t="str">
        <f>IFERROR(VLOOKUP($E563,Master!$J:$M,3,0),"")</f>
        <v/>
      </c>
      <c r="AC563" s="26">
        <f t="shared" si="16"/>
        <v>0</v>
      </c>
      <c r="AD563" s="26">
        <f t="shared" si="17"/>
        <v>0</v>
      </c>
    </row>
    <row r="564" spans="2:30" ht="15" customHeight="1">
      <c r="B564" s="3" t="str">
        <f>IFERROR(VLOOKUP(C564,Master!$J:$K,2,0),"")</f>
        <v/>
      </c>
      <c r="D564" s="4" t="str">
        <f>IFERROR(VLOOKUP(E564,Master!$J:$K,2,0),"")</f>
        <v/>
      </c>
      <c r="F564" s="4" t="str">
        <f>IFERROR(VLOOKUP(G564,Master!B:C,2,0),"")</f>
        <v/>
      </c>
      <c r="I564" s="3" t="str">
        <f>IFERROR(VLOOKUP(E564,Master!$J:$M,4,0),"")</f>
        <v/>
      </c>
      <c r="J564" s="3" t="str">
        <f>IFERROR(VLOOKUP($E564,Master!$J:$M,3,0),"")</f>
        <v/>
      </c>
      <c r="AC564" s="26">
        <f t="shared" si="16"/>
        <v>0</v>
      </c>
      <c r="AD564" s="26">
        <f t="shared" si="17"/>
        <v>0</v>
      </c>
    </row>
    <row r="565" spans="2:30" ht="15" customHeight="1">
      <c r="B565" s="3" t="str">
        <f>IFERROR(VLOOKUP(C565,Master!$J:$K,2,0),"")</f>
        <v/>
      </c>
      <c r="D565" s="4" t="str">
        <f>IFERROR(VLOOKUP(E565,Master!$J:$K,2,0),"")</f>
        <v/>
      </c>
      <c r="F565" s="4" t="str">
        <f>IFERROR(VLOOKUP(G565,Master!B:C,2,0),"")</f>
        <v/>
      </c>
      <c r="I565" s="3" t="str">
        <f>IFERROR(VLOOKUP(E565,Master!$J:$M,4,0),"")</f>
        <v/>
      </c>
      <c r="J565" s="3" t="str">
        <f>IFERROR(VLOOKUP($E565,Master!$J:$M,3,0),"")</f>
        <v/>
      </c>
      <c r="AC565" s="26">
        <f t="shared" si="16"/>
        <v>0</v>
      </c>
      <c r="AD565" s="26">
        <f t="shared" si="17"/>
        <v>0</v>
      </c>
    </row>
    <row r="566" spans="2:30" ht="15" customHeight="1">
      <c r="B566" s="3" t="str">
        <f>IFERROR(VLOOKUP(C566,Master!$J:$K,2,0),"")</f>
        <v/>
      </c>
      <c r="D566" s="4" t="str">
        <f>IFERROR(VLOOKUP(E566,Master!$J:$K,2,0),"")</f>
        <v/>
      </c>
      <c r="F566" s="4" t="str">
        <f>IFERROR(VLOOKUP(G566,Master!B:C,2,0),"")</f>
        <v/>
      </c>
      <c r="I566" s="3" t="str">
        <f>IFERROR(VLOOKUP(E566,Master!$J:$M,4,0),"")</f>
        <v/>
      </c>
      <c r="J566" s="3" t="str">
        <f>IFERROR(VLOOKUP($E566,Master!$J:$M,3,0),"")</f>
        <v/>
      </c>
      <c r="AC566" s="26">
        <f t="shared" si="16"/>
        <v>0</v>
      </c>
      <c r="AD566" s="26">
        <f t="shared" si="17"/>
        <v>0</v>
      </c>
    </row>
    <row r="567" spans="2:30" ht="15" customHeight="1">
      <c r="B567" s="3" t="str">
        <f>IFERROR(VLOOKUP(C567,Master!$J:$K,2,0),"")</f>
        <v/>
      </c>
      <c r="D567" s="4" t="str">
        <f>IFERROR(VLOOKUP(E567,Master!$J:$K,2,0),"")</f>
        <v/>
      </c>
      <c r="F567" s="4" t="str">
        <f>IFERROR(VLOOKUP(G567,Master!B:C,2,0),"")</f>
        <v/>
      </c>
      <c r="I567" s="3" t="str">
        <f>IFERROR(VLOOKUP(E567,Master!$J:$M,4,0),"")</f>
        <v/>
      </c>
      <c r="J567" s="3" t="str">
        <f>IFERROR(VLOOKUP($E567,Master!$J:$M,3,0),"")</f>
        <v/>
      </c>
      <c r="AC567" s="26">
        <f t="shared" si="16"/>
        <v>0</v>
      </c>
      <c r="AD567" s="26">
        <f t="shared" si="17"/>
        <v>0</v>
      </c>
    </row>
    <row r="568" spans="2:30" ht="15" customHeight="1">
      <c r="B568" s="3" t="str">
        <f>IFERROR(VLOOKUP(C568,Master!$J:$K,2,0),"")</f>
        <v/>
      </c>
      <c r="D568" s="4" t="str">
        <f>IFERROR(VLOOKUP(E568,Master!$J:$K,2,0),"")</f>
        <v/>
      </c>
      <c r="F568" s="4" t="str">
        <f>IFERROR(VLOOKUP(G568,Master!B:C,2,0),"")</f>
        <v/>
      </c>
      <c r="I568" s="3" t="str">
        <f>IFERROR(VLOOKUP(E568,Master!$J:$M,4,0),"")</f>
        <v/>
      </c>
      <c r="J568" s="3" t="str">
        <f>IFERROR(VLOOKUP($E568,Master!$J:$M,3,0),"")</f>
        <v/>
      </c>
      <c r="AC568" s="26">
        <f t="shared" si="16"/>
        <v>0</v>
      </c>
      <c r="AD568" s="26">
        <f t="shared" si="17"/>
        <v>0</v>
      </c>
    </row>
    <row r="569" spans="2:30" ht="15" customHeight="1">
      <c r="B569" s="3" t="str">
        <f>IFERROR(VLOOKUP(C569,Master!$J:$K,2,0),"")</f>
        <v/>
      </c>
      <c r="D569" s="4" t="str">
        <f>IFERROR(VLOOKUP(E569,Master!$J:$K,2,0),"")</f>
        <v/>
      </c>
      <c r="F569" s="4" t="str">
        <f>IFERROR(VLOOKUP(G569,Master!B:C,2,0),"")</f>
        <v/>
      </c>
      <c r="I569" s="3" t="str">
        <f>IFERROR(VLOOKUP(E569,Master!$J:$M,4,0),"")</f>
        <v/>
      </c>
      <c r="J569" s="3" t="str">
        <f>IFERROR(VLOOKUP($E569,Master!$J:$M,3,0),"")</f>
        <v/>
      </c>
      <c r="AC569" s="26">
        <f t="shared" si="16"/>
        <v>0</v>
      </c>
      <c r="AD569" s="26">
        <f t="shared" si="17"/>
        <v>0</v>
      </c>
    </row>
    <row r="570" spans="2:30" ht="15" customHeight="1">
      <c r="B570" s="3" t="str">
        <f>IFERROR(VLOOKUP(C570,Master!$J:$K,2,0),"")</f>
        <v/>
      </c>
      <c r="D570" s="4" t="str">
        <f>IFERROR(VLOOKUP(E570,Master!$J:$K,2,0),"")</f>
        <v/>
      </c>
      <c r="F570" s="4" t="str">
        <f>IFERROR(VLOOKUP(G570,Master!B:C,2,0),"")</f>
        <v/>
      </c>
      <c r="I570" s="3" t="str">
        <f>IFERROR(VLOOKUP(E570,Master!$J:$M,4,0),"")</f>
        <v/>
      </c>
      <c r="J570" s="3" t="str">
        <f>IFERROR(VLOOKUP($E570,Master!$J:$M,3,0),"")</f>
        <v/>
      </c>
      <c r="AC570" s="26">
        <f t="shared" si="16"/>
        <v>0</v>
      </c>
      <c r="AD570" s="26">
        <f t="shared" si="17"/>
        <v>0</v>
      </c>
    </row>
    <row r="571" spans="2:30" ht="15" customHeight="1">
      <c r="B571" s="3" t="str">
        <f>IFERROR(VLOOKUP(C571,Master!$J:$K,2,0),"")</f>
        <v/>
      </c>
      <c r="D571" s="4" t="str">
        <f>IFERROR(VLOOKUP(E571,Master!$J:$K,2,0),"")</f>
        <v/>
      </c>
      <c r="F571" s="4" t="str">
        <f>IFERROR(VLOOKUP(G571,Master!B:C,2,0),"")</f>
        <v/>
      </c>
      <c r="I571" s="3" t="str">
        <f>IFERROR(VLOOKUP(E571,Master!$J:$M,4,0),"")</f>
        <v/>
      </c>
      <c r="J571" s="3" t="str">
        <f>IFERROR(VLOOKUP($E571,Master!$J:$M,3,0),"")</f>
        <v/>
      </c>
      <c r="AC571" s="26">
        <f t="shared" si="16"/>
        <v>0</v>
      </c>
      <c r="AD571" s="26">
        <f t="shared" si="17"/>
        <v>0</v>
      </c>
    </row>
    <row r="572" spans="2:30" ht="15" customHeight="1">
      <c r="B572" s="3" t="str">
        <f>IFERROR(VLOOKUP(C572,Master!$J:$K,2,0),"")</f>
        <v/>
      </c>
      <c r="D572" s="4" t="str">
        <f>IFERROR(VLOOKUP(E572,Master!$J:$K,2,0),"")</f>
        <v/>
      </c>
      <c r="F572" s="4" t="str">
        <f>IFERROR(VLOOKUP(G572,Master!B:C,2,0),"")</f>
        <v/>
      </c>
      <c r="I572" s="3" t="str">
        <f>IFERROR(VLOOKUP(E572,Master!$J:$M,4,0),"")</f>
        <v/>
      </c>
      <c r="J572" s="3" t="str">
        <f>IFERROR(VLOOKUP($E572,Master!$J:$M,3,0),"")</f>
        <v/>
      </c>
      <c r="AC572" s="26">
        <f t="shared" si="16"/>
        <v>0</v>
      </c>
      <c r="AD572" s="26">
        <f t="shared" si="17"/>
        <v>0</v>
      </c>
    </row>
    <row r="573" spans="2:30" ht="15" customHeight="1">
      <c r="B573" s="3" t="str">
        <f>IFERROR(VLOOKUP(C573,Master!$J:$K,2,0),"")</f>
        <v/>
      </c>
      <c r="D573" s="4" t="str">
        <f>IFERROR(VLOOKUP(E573,Master!$J:$K,2,0),"")</f>
        <v/>
      </c>
      <c r="F573" s="4" t="str">
        <f>IFERROR(VLOOKUP(G573,Master!B:C,2,0),"")</f>
        <v/>
      </c>
      <c r="I573" s="3" t="str">
        <f>IFERROR(VLOOKUP(E573,Master!$J:$M,4,0),"")</f>
        <v/>
      </c>
      <c r="J573" s="3" t="str">
        <f>IFERROR(VLOOKUP($E573,Master!$J:$M,3,0),"")</f>
        <v/>
      </c>
      <c r="AC573" s="26">
        <f t="shared" si="16"/>
        <v>0</v>
      </c>
      <c r="AD573" s="26">
        <f t="shared" si="17"/>
        <v>0</v>
      </c>
    </row>
    <row r="574" spans="2:30" ht="15" customHeight="1">
      <c r="B574" s="3" t="str">
        <f>IFERROR(VLOOKUP(C574,Master!$J:$K,2,0),"")</f>
        <v/>
      </c>
      <c r="D574" s="4" t="str">
        <f>IFERROR(VLOOKUP(E574,Master!$J:$K,2,0),"")</f>
        <v/>
      </c>
      <c r="F574" s="4" t="str">
        <f>IFERROR(VLOOKUP(G574,Master!B:C,2,0),"")</f>
        <v/>
      </c>
      <c r="I574" s="3" t="str">
        <f>IFERROR(VLOOKUP(E574,Master!$J:$M,4,0),"")</f>
        <v/>
      </c>
      <c r="J574" s="3" t="str">
        <f>IFERROR(VLOOKUP($E574,Master!$J:$M,3,0),"")</f>
        <v/>
      </c>
      <c r="AC574" s="26">
        <f t="shared" si="16"/>
        <v>0</v>
      </c>
      <c r="AD574" s="26">
        <f t="shared" si="17"/>
        <v>0</v>
      </c>
    </row>
    <row r="575" spans="2:30" ht="15" customHeight="1">
      <c r="B575" s="3" t="str">
        <f>IFERROR(VLOOKUP(C575,Master!$J:$K,2,0),"")</f>
        <v/>
      </c>
      <c r="D575" s="4" t="str">
        <f>IFERROR(VLOOKUP(E575,Master!$J:$K,2,0),"")</f>
        <v/>
      </c>
      <c r="F575" s="4" t="str">
        <f>IFERROR(VLOOKUP(G575,Master!B:C,2,0),"")</f>
        <v/>
      </c>
      <c r="I575" s="3" t="str">
        <f>IFERROR(VLOOKUP(E575,Master!$J:$M,4,0),"")</f>
        <v/>
      </c>
      <c r="J575" s="3" t="str">
        <f>IFERROR(VLOOKUP($E575,Master!$J:$M,3,0),"")</f>
        <v/>
      </c>
      <c r="AC575" s="26">
        <f t="shared" si="16"/>
        <v>0</v>
      </c>
      <c r="AD575" s="26">
        <f t="shared" si="17"/>
        <v>0</v>
      </c>
    </row>
    <row r="576" spans="2:30" ht="15" customHeight="1">
      <c r="B576" s="3" t="str">
        <f>IFERROR(VLOOKUP(C576,Master!$J:$K,2,0),"")</f>
        <v/>
      </c>
      <c r="D576" s="4" t="str">
        <f>IFERROR(VLOOKUP(E576,Master!$J:$K,2,0),"")</f>
        <v/>
      </c>
      <c r="F576" s="4" t="str">
        <f>IFERROR(VLOOKUP(G576,Master!B:C,2,0),"")</f>
        <v/>
      </c>
      <c r="I576" s="3" t="str">
        <f>IFERROR(VLOOKUP(E576,Master!$J:$M,4,0),"")</f>
        <v/>
      </c>
      <c r="J576" s="3" t="str">
        <f>IFERROR(VLOOKUP($E576,Master!$J:$M,3,0),"")</f>
        <v/>
      </c>
      <c r="AC576" s="26">
        <f t="shared" si="16"/>
        <v>0</v>
      </c>
      <c r="AD576" s="26">
        <f t="shared" si="17"/>
        <v>0</v>
      </c>
    </row>
    <row r="577" spans="2:30" ht="15" customHeight="1">
      <c r="B577" s="3" t="str">
        <f>IFERROR(VLOOKUP(C577,Master!$J:$K,2,0),"")</f>
        <v/>
      </c>
      <c r="D577" s="4" t="str">
        <f>IFERROR(VLOOKUP(E577,Master!$J:$K,2,0),"")</f>
        <v/>
      </c>
      <c r="F577" s="4" t="str">
        <f>IFERROR(VLOOKUP(G577,Master!B:C,2,0),"")</f>
        <v/>
      </c>
      <c r="I577" s="3" t="str">
        <f>IFERROR(VLOOKUP(E577,Master!$J:$M,4,0),"")</f>
        <v/>
      </c>
      <c r="J577" s="3" t="str">
        <f>IFERROR(VLOOKUP($E577,Master!$J:$M,3,0),"")</f>
        <v/>
      </c>
      <c r="AC577" s="26">
        <f t="shared" si="16"/>
        <v>0</v>
      </c>
      <c r="AD577" s="26">
        <f t="shared" si="17"/>
        <v>0</v>
      </c>
    </row>
    <row r="578" spans="2:30" ht="15" customHeight="1">
      <c r="B578" s="3" t="str">
        <f>IFERROR(VLOOKUP(C578,Master!$J:$K,2,0),"")</f>
        <v/>
      </c>
      <c r="D578" s="4" t="str">
        <f>IFERROR(VLOOKUP(E578,Master!$J:$K,2,0),"")</f>
        <v/>
      </c>
      <c r="F578" s="4" t="str">
        <f>IFERROR(VLOOKUP(G578,Master!B:C,2,0),"")</f>
        <v/>
      </c>
      <c r="I578" s="3" t="str">
        <f>IFERROR(VLOOKUP(E578,Master!$J:$M,4,0),"")</f>
        <v/>
      </c>
      <c r="J578" s="3" t="str">
        <f>IFERROR(VLOOKUP($E578,Master!$J:$M,3,0),"")</f>
        <v/>
      </c>
      <c r="AC578" s="26">
        <f t="shared" ref="AC578:AC641" si="18">SUM(K578:P578)</f>
        <v>0</v>
      </c>
      <c r="AD578" s="26">
        <f t="shared" ref="AD578:AD641" si="19">SUM(Q578:AB578)</f>
        <v>0</v>
      </c>
    </row>
    <row r="579" spans="2:30" ht="15" customHeight="1">
      <c r="B579" s="3" t="str">
        <f>IFERROR(VLOOKUP(C579,Master!$J:$K,2,0),"")</f>
        <v/>
      </c>
      <c r="D579" s="4" t="str">
        <f>IFERROR(VLOOKUP(E579,Master!$J:$K,2,0),"")</f>
        <v/>
      </c>
      <c r="F579" s="4" t="str">
        <f>IFERROR(VLOOKUP(G579,Master!B:C,2,0),"")</f>
        <v/>
      </c>
      <c r="I579" s="3" t="str">
        <f>IFERROR(VLOOKUP(E579,Master!$J:$M,4,0),"")</f>
        <v/>
      </c>
      <c r="J579" s="3" t="str">
        <f>IFERROR(VLOOKUP($E579,Master!$J:$M,3,0),"")</f>
        <v/>
      </c>
      <c r="AC579" s="26">
        <f t="shared" si="18"/>
        <v>0</v>
      </c>
      <c r="AD579" s="26">
        <f t="shared" si="19"/>
        <v>0</v>
      </c>
    </row>
    <row r="580" spans="2:30" ht="15" customHeight="1">
      <c r="B580" s="3" t="str">
        <f>IFERROR(VLOOKUP(C580,Master!$J:$K,2,0),"")</f>
        <v/>
      </c>
      <c r="D580" s="4" t="str">
        <f>IFERROR(VLOOKUP(E580,Master!$J:$K,2,0),"")</f>
        <v/>
      </c>
      <c r="F580" s="4" t="str">
        <f>IFERROR(VLOOKUP(G580,Master!B:C,2,0),"")</f>
        <v/>
      </c>
      <c r="I580" s="3" t="str">
        <f>IFERROR(VLOOKUP(E580,Master!$J:$M,4,0),"")</f>
        <v/>
      </c>
      <c r="J580" s="3" t="str">
        <f>IFERROR(VLOOKUP($E580,Master!$J:$M,3,0),"")</f>
        <v/>
      </c>
      <c r="AC580" s="26">
        <f t="shared" si="18"/>
        <v>0</v>
      </c>
      <c r="AD580" s="26">
        <f t="shared" si="19"/>
        <v>0</v>
      </c>
    </row>
    <row r="581" spans="2:30" ht="15" customHeight="1">
      <c r="B581" s="3" t="str">
        <f>IFERROR(VLOOKUP(C581,Master!$J:$K,2,0),"")</f>
        <v/>
      </c>
      <c r="D581" s="4" t="str">
        <f>IFERROR(VLOOKUP(E581,Master!$J:$K,2,0),"")</f>
        <v/>
      </c>
      <c r="F581" s="4" t="str">
        <f>IFERROR(VLOOKUP(G581,Master!B:C,2,0),"")</f>
        <v/>
      </c>
      <c r="I581" s="3" t="str">
        <f>IFERROR(VLOOKUP(E581,Master!$J:$M,4,0),"")</f>
        <v/>
      </c>
      <c r="J581" s="3" t="str">
        <f>IFERROR(VLOOKUP($E581,Master!$J:$M,3,0),"")</f>
        <v/>
      </c>
      <c r="AC581" s="26">
        <f t="shared" si="18"/>
        <v>0</v>
      </c>
      <c r="AD581" s="26">
        <f t="shared" si="19"/>
        <v>0</v>
      </c>
    </row>
    <row r="582" spans="2:30" ht="15" customHeight="1">
      <c r="B582" s="3" t="str">
        <f>IFERROR(VLOOKUP(C582,Master!$J:$K,2,0),"")</f>
        <v/>
      </c>
      <c r="D582" s="4" t="str">
        <f>IFERROR(VLOOKUP(E582,Master!$J:$K,2,0),"")</f>
        <v/>
      </c>
      <c r="F582" s="4" t="str">
        <f>IFERROR(VLOOKUP(G582,Master!B:C,2,0),"")</f>
        <v/>
      </c>
      <c r="I582" s="3" t="str">
        <f>IFERROR(VLOOKUP(E582,Master!$J:$M,4,0),"")</f>
        <v/>
      </c>
      <c r="J582" s="3" t="str">
        <f>IFERROR(VLOOKUP($E582,Master!$J:$M,3,0),"")</f>
        <v/>
      </c>
      <c r="AC582" s="26">
        <f t="shared" si="18"/>
        <v>0</v>
      </c>
      <c r="AD582" s="26">
        <f t="shared" si="19"/>
        <v>0</v>
      </c>
    </row>
    <row r="583" spans="2:30" ht="15" customHeight="1">
      <c r="B583" s="3" t="str">
        <f>IFERROR(VLOOKUP(C583,Master!$J:$K,2,0),"")</f>
        <v/>
      </c>
      <c r="D583" s="4" t="str">
        <f>IFERROR(VLOOKUP(E583,Master!$J:$K,2,0),"")</f>
        <v/>
      </c>
      <c r="F583" s="4" t="str">
        <f>IFERROR(VLOOKUP(G583,Master!B:C,2,0),"")</f>
        <v/>
      </c>
      <c r="I583" s="3" t="str">
        <f>IFERROR(VLOOKUP(E583,Master!$J:$M,4,0),"")</f>
        <v/>
      </c>
      <c r="J583" s="3" t="str">
        <f>IFERROR(VLOOKUP($E583,Master!$J:$M,3,0),"")</f>
        <v/>
      </c>
      <c r="AC583" s="26">
        <f t="shared" si="18"/>
        <v>0</v>
      </c>
      <c r="AD583" s="26">
        <f t="shared" si="19"/>
        <v>0</v>
      </c>
    </row>
    <row r="584" spans="2:30" ht="15" customHeight="1">
      <c r="B584" s="3" t="str">
        <f>IFERROR(VLOOKUP(C584,Master!$J:$K,2,0),"")</f>
        <v/>
      </c>
      <c r="D584" s="4" t="str">
        <f>IFERROR(VLOOKUP(E584,Master!$J:$K,2,0),"")</f>
        <v/>
      </c>
      <c r="F584" s="4" t="str">
        <f>IFERROR(VLOOKUP(G584,Master!B:C,2,0),"")</f>
        <v/>
      </c>
      <c r="I584" s="3" t="str">
        <f>IFERROR(VLOOKUP(E584,Master!$J:$M,4,0),"")</f>
        <v/>
      </c>
      <c r="J584" s="3" t="str">
        <f>IFERROR(VLOOKUP($E584,Master!$J:$M,3,0),"")</f>
        <v/>
      </c>
      <c r="AC584" s="26">
        <f t="shared" si="18"/>
        <v>0</v>
      </c>
      <c r="AD584" s="26">
        <f t="shared" si="19"/>
        <v>0</v>
      </c>
    </row>
    <row r="585" spans="2:30" ht="15" customHeight="1">
      <c r="B585" s="3" t="str">
        <f>IFERROR(VLOOKUP(C585,Master!$J:$K,2,0),"")</f>
        <v/>
      </c>
      <c r="D585" s="4" t="str">
        <f>IFERROR(VLOOKUP(E585,Master!$J:$K,2,0),"")</f>
        <v/>
      </c>
      <c r="F585" s="4" t="str">
        <f>IFERROR(VLOOKUP(G585,Master!B:C,2,0),"")</f>
        <v/>
      </c>
      <c r="I585" s="3" t="str">
        <f>IFERROR(VLOOKUP(E585,Master!$J:$M,4,0),"")</f>
        <v/>
      </c>
      <c r="J585" s="3" t="str">
        <f>IFERROR(VLOOKUP($E585,Master!$J:$M,3,0),"")</f>
        <v/>
      </c>
      <c r="AC585" s="26">
        <f t="shared" si="18"/>
        <v>0</v>
      </c>
      <c r="AD585" s="26">
        <f t="shared" si="19"/>
        <v>0</v>
      </c>
    </row>
    <row r="586" spans="2:30" ht="15" customHeight="1">
      <c r="B586" s="3" t="str">
        <f>IFERROR(VLOOKUP(C586,Master!$J:$K,2,0),"")</f>
        <v/>
      </c>
      <c r="D586" s="4" t="str">
        <f>IFERROR(VLOOKUP(E586,Master!$J:$K,2,0),"")</f>
        <v/>
      </c>
      <c r="F586" s="4" t="str">
        <f>IFERROR(VLOOKUP(G586,Master!B:C,2,0),"")</f>
        <v/>
      </c>
      <c r="I586" s="3" t="str">
        <f>IFERROR(VLOOKUP(E586,Master!$J:$M,4,0),"")</f>
        <v/>
      </c>
      <c r="J586" s="3" t="str">
        <f>IFERROR(VLOOKUP($E586,Master!$J:$M,3,0),"")</f>
        <v/>
      </c>
      <c r="AC586" s="26">
        <f t="shared" si="18"/>
        <v>0</v>
      </c>
      <c r="AD586" s="26">
        <f t="shared" si="19"/>
        <v>0</v>
      </c>
    </row>
    <row r="587" spans="2:30" ht="15" customHeight="1">
      <c r="B587" s="3" t="str">
        <f>IFERROR(VLOOKUP(C587,Master!$J:$K,2,0),"")</f>
        <v/>
      </c>
      <c r="D587" s="4" t="str">
        <f>IFERROR(VLOOKUP(E587,Master!$J:$K,2,0),"")</f>
        <v/>
      </c>
      <c r="F587" s="4" t="str">
        <f>IFERROR(VLOOKUP(G587,Master!B:C,2,0),"")</f>
        <v/>
      </c>
      <c r="I587" s="3" t="str">
        <f>IFERROR(VLOOKUP(E587,Master!$J:$M,4,0),"")</f>
        <v/>
      </c>
      <c r="J587" s="3" t="str">
        <f>IFERROR(VLOOKUP($E587,Master!$J:$M,3,0),"")</f>
        <v/>
      </c>
      <c r="AC587" s="26">
        <f t="shared" si="18"/>
        <v>0</v>
      </c>
      <c r="AD587" s="26">
        <f t="shared" si="19"/>
        <v>0</v>
      </c>
    </row>
    <row r="588" spans="2:30" ht="15" customHeight="1">
      <c r="B588" s="3" t="str">
        <f>IFERROR(VLOOKUP(C588,Master!$J:$K,2,0),"")</f>
        <v/>
      </c>
      <c r="D588" s="4" t="str">
        <f>IFERROR(VLOOKUP(E588,Master!$J:$K,2,0),"")</f>
        <v/>
      </c>
      <c r="F588" s="4" t="str">
        <f>IFERROR(VLOOKUP(G588,Master!B:C,2,0),"")</f>
        <v/>
      </c>
      <c r="I588" s="3" t="str">
        <f>IFERROR(VLOOKUP(E588,Master!$J:$M,4,0),"")</f>
        <v/>
      </c>
      <c r="J588" s="3" t="str">
        <f>IFERROR(VLOOKUP($E588,Master!$J:$M,3,0),"")</f>
        <v/>
      </c>
      <c r="AC588" s="26">
        <f t="shared" si="18"/>
        <v>0</v>
      </c>
      <c r="AD588" s="26">
        <f t="shared" si="19"/>
        <v>0</v>
      </c>
    </row>
    <row r="589" spans="2:30" ht="15" customHeight="1">
      <c r="B589" s="3" t="str">
        <f>IFERROR(VLOOKUP(C589,Master!$J:$K,2,0),"")</f>
        <v/>
      </c>
      <c r="D589" s="4" t="str">
        <f>IFERROR(VLOOKUP(E589,Master!$J:$K,2,0),"")</f>
        <v/>
      </c>
      <c r="F589" s="4" t="str">
        <f>IFERROR(VLOOKUP(G589,Master!B:C,2,0),"")</f>
        <v/>
      </c>
      <c r="I589" s="3" t="str">
        <f>IFERROR(VLOOKUP(E589,Master!$J:$M,4,0),"")</f>
        <v/>
      </c>
      <c r="J589" s="3" t="str">
        <f>IFERROR(VLOOKUP($E589,Master!$J:$M,3,0),"")</f>
        <v/>
      </c>
      <c r="AC589" s="26">
        <f t="shared" si="18"/>
        <v>0</v>
      </c>
      <c r="AD589" s="26">
        <f t="shared" si="19"/>
        <v>0</v>
      </c>
    </row>
    <row r="590" spans="2:30" ht="15" customHeight="1">
      <c r="B590" s="3" t="str">
        <f>IFERROR(VLOOKUP(C590,Master!$J:$K,2,0),"")</f>
        <v/>
      </c>
      <c r="D590" s="4" t="str">
        <f>IFERROR(VLOOKUP(E590,Master!$J:$K,2,0),"")</f>
        <v/>
      </c>
      <c r="F590" s="4" t="str">
        <f>IFERROR(VLOOKUP(G590,Master!B:C,2,0),"")</f>
        <v/>
      </c>
      <c r="I590" s="3" t="str">
        <f>IFERROR(VLOOKUP(E590,Master!$J:$M,4,0),"")</f>
        <v/>
      </c>
      <c r="J590" s="3" t="str">
        <f>IFERROR(VLOOKUP($E590,Master!$J:$M,3,0),"")</f>
        <v/>
      </c>
      <c r="AC590" s="26">
        <f t="shared" si="18"/>
        <v>0</v>
      </c>
      <c r="AD590" s="26">
        <f t="shared" si="19"/>
        <v>0</v>
      </c>
    </row>
    <row r="591" spans="2:30" ht="15" customHeight="1">
      <c r="B591" s="3" t="str">
        <f>IFERROR(VLOOKUP(C591,Master!$J:$K,2,0),"")</f>
        <v/>
      </c>
      <c r="D591" s="4" t="str">
        <f>IFERROR(VLOOKUP(E591,Master!$J:$K,2,0),"")</f>
        <v/>
      </c>
      <c r="F591" s="4" t="str">
        <f>IFERROR(VLOOKUP(G591,Master!B:C,2,0),"")</f>
        <v/>
      </c>
      <c r="I591" s="3" t="str">
        <f>IFERROR(VLOOKUP(E591,Master!$J:$M,4,0),"")</f>
        <v/>
      </c>
      <c r="J591" s="3" t="str">
        <f>IFERROR(VLOOKUP($E591,Master!$J:$M,3,0),"")</f>
        <v/>
      </c>
      <c r="AC591" s="26">
        <f t="shared" si="18"/>
        <v>0</v>
      </c>
      <c r="AD591" s="26">
        <f t="shared" si="19"/>
        <v>0</v>
      </c>
    </row>
    <row r="592" spans="2:30" ht="15" customHeight="1">
      <c r="B592" s="3" t="str">
        <f>IFERROR(VLOOKUP(C592,Master!$J:$K,2,0),"")</f>
        <v/>
      </c>
      <c r="D592" s="4" t="str">
        <f>IFERROR(VLOOKUP(E592,Master!$J:$K,2,0),"")</f>
        <v/>
      </c>
      <c r="F592" s="4" t="str">
        <f>IFERROR(VLOOKUP(G592,Master!B:C,2,0),"")</f>
        <v/>
      </c>
      <c r="I592" s="3" t="str">
        <f>IFERROR(VLOOKUP(E592,Master!$J:$M,4,0),"")</f>
        <v/>
      </c>
      <c r="J592" s="3" t="str">
        <f>IFERROR(VLOOKUP($E592,Master!$J:$M,3,0),"")</f>
        <v/>
      </c>
      <c r="AC592" s="26">
        <f t="shared" si="18"/>
        <v>0</v>
      </c>
      <c r="AD592" s="26">
        <f t="shared" si="19"/>
        <v>0</v>
      </c>
    </row>
    <row r="593" spans="2:30" ht="15" customHeight="1">
      <c r="B593" s="3" t="str">
        <f>IFERROR(VLOOKUP(C593,Master!$J:$K,2,0),"")</f>
        <v/>
      </c>
      <c r="D593" s="4" t="str">
        <f>IFERROR(VLOOKUP(E593,Master!$J:$K,2,0),"")</f>
        <v/>
      </c>
      <c r="F593" s="4" t="str">
        <f>IFERROR(VLOOKUP(G593,Master!B:C,2,0),"")</f>
        <v/>
      </c>
      <c r="I593" s="3" t="str">
        <f>IFERROR(VLOOKUP(E593,Master!$J:$M,4,0),"")</f>
        <v/>
      </c>
      <c r="J593" s="3" t="str">
        <f>IFERROR(VLOOKUP($E593,Master!$J:$M,3,0),"")</f>
        <v/>
      </c>
      <c r="AC593" s="26">
        <f t="shared" si="18"/>
        <v>0</v>
      </c>
      <c r="AD593" s="26">
        <f t="shared" si="19"/>
        <v>0</v>
      </c>
    </row>
    <row r="594" spans="2:30" ht="15" customHeight="1">
      <c r="B594" s="3" t="str">
        <f>IFERROR(VLOOKUP(C594,Master!$J:$K,2,0),"")</f>
        <v/>
      </c>
      <c r="D594" s="4" t="str">
        <f>IFERROR(VLOOKUP(E594,Master!$J:$K,2,0),"")</f>
        <v/>
      </c>
      <c r="F594" s="4" t="str">
        <f>IFERROR(VLOOKUP(G594,Master!B:C,2,0),"")</f>
        <v/>
      </c>
      <c r="I594" s="3" t="str">
        <f>IFERROR(VLOOKUP(E594,Master!$J:$M,4,0),"")</f>
        <v/>
      </c>
      <c r="J594" s="3" t="str">
        <f>IFERROR(VLOOKUP($E594,Master!$J:$M,3,0),"")</f>
        <v/>
      </c>
      <c r="AC594" s="26">
        <f t="shared" si="18"/>
        <v>0</v>
      </c>
      <c r="AD594" s="26">
        <f t="shared" si="19"/>
        <v>0</v>
      </c>
    </row>
    <row r="595" spans="2:30" ht="15" customHeight="1">
      <c r="B595" s="3" t="str">
        <f>IFERROR(VLOOKUP(C595,Master!$J:$K,2,0),"")</f>
        <v/>
      </c>
      <c r="D595" s="4" t="str">
        <f>IFERROR(VLOOKUP(E595,Master!$J:$K,2,0),"")</f>
        <v/>
      </c>
      <c r="F595" s="4" t="str">
        <f>IFERROR(VLOOKUP(G595,Master!B:C,2,0),"")</f>
        <v/>
      </c>
      <c r="I595" s="3" t="str">
        <f>IFERROR(VLOOKUP(E595,Master!$J:$M,4,0),"")</f>
        <v/>
      </c>
      <c r="J595" s="3" t="str">
        <f>IFERROR(VLOOKUP($E595,Master!$J:$M,3,0),"")</f>
        <v/>
      </c>
      <c r="AC595" s="26">
        <f t="shared" si="18"/>
        <v>0</v>
      </c>
      <c r="AD595" s="26">
        <f t="shared" si="19"/>
        <v>0</v>
      </c>
    </row>
    <row r="596" spans="2:30" ht="15" customHeight="1">
      <c r="B596" s="3" t="str">
        <f>IFERROR(VLOOKUP(C596,Master!$J:$K,2,0),"")</f>
        <v/>
      </c>
      <c r="D596" s="4" t="str">
        <f>IFERROR(VLOOKUP(E596,Master!$J:$K,2,0),"")</f>
        <v/>
      </c>
      <c r="F596" s="4" t="str">
        <f>IFERROR(VLOOKUP(G596,Master!B:C,2,0),"")</f>
        <v/>
      </c>
      <c r="I596" s="3" t="str">
        <f>IFERROR(VLOOKUP(E596,Master!$J:$M,4,0),"")</f>
        <v/>
      </c>
      <c r="J596" s="3" t="str">
        <f>IFERROR(VLOOKUP($E596,Master!$J:$M,3,0),"")</f>
        <v/>
      </c>
      <c r="AC596" s="26">
        <f t="shared" si="18"/>
        <v>0</v>
      </c>
      <c r="AD596" s="26">
        <f t="shared" si="19"/>
        <v>0</v>
      </c>
    </row>
    <row r="597" spans="2:30" ht="15" customHeight="1">
      <c r="B597" s="3" t="str">
        <f>IFERROR(VLOOKUP(C597,Master!$J:$K,2,0),"")</f>
        <v/>
      </c>
      <c r="D597" s="4" t="str">
        <f>IFERROR(VLOOKUP(E597,Master!$J:$K,2,0),"")</f>
        <v/>
      </c>
      <c r="F597" s="4" t="str">
        <f>IFERROR(VLOOKUP(G597,Master!B:C,2,0),"")</f>
        <v/>
      </c>
      <c r="I597" s="3" t="str">
        <f>IFERROR(VLOOKUP(E597,Master!$J:$M,4,0),"")</f>
        <v/>
      </c>
      <c r="J597" s="3" t="str">
        <f>IFERROR(VLOOKUP($E597,Master!$J:$M,3,0),"")</f>
        <v/>
      </c>
      <c r="AC597" s="26">
        <f t="shared" si="18"/>
        <v>0</v>
      </c>
      <c r="AD597" s="26">
        <f t="shared" si="19"/>
        <v>0</v>
      </c>
    </row>
    <row r="598" spans="2:30" ht="15" customHeight="1">
      <c r="B598" s="3" t="str">
        <f>IFERROR(VLOOKUP(C598,Master!$J:$K,2,0),"")</f>
        <v/>
      </c>
      <c r="D598" s="4" t="str">
        <f>IFERROR(VLOOKUP(E598,Master!$J:$K,2,0),"")</f>
        <v/>
      </c>
      <c r="F598" s="4" t="str">
        <f>IFERROR(VLOOKUP(G598,Master!B:C,2,0),"")</f>
        <v/>
      </c>
      <c r="I598" s="3" t="str">
        <f>IFERROR(VLOOKUP(E598,Master!$J:$M,4,0),"")</f>
        <v/>
      </c>
      <c r="J598" s="3" t="str">
        <f>IFERROR(VLOOKUP($E598,Master!$J:$M,3,0),"")</f>
        <v/>
      </c>
      <c r="AC598" s="26">
        <f t="shared" si="18"/>
        <v>0</v>
      </c>
      <c r="AD598" s="26">
        <f t="shared" si="19"/>
        <v>0</v>
      </c>
    </row>
    <row r="599" spans="2:30" ht="15" customHeight="1">
      <c r="B599" s="3" t="str">
        <f>IFERROR(VLOOKUP(C599,Master!$J:$K,2,0),"")</f>
        <v/>
      </c>
      <c r="D599" s="4" t="str">
        <f>IFERROR(VLOOKUP(E599,Master!$J:$K,2,0),"")</f>
        <v/>
      </c>
      <c r="F599" s="4" t="str">
        <f>IFERROR(VLOOKUP(G599,Master!B:C,2,0),"")</f>
        <v/>
      </c>
      <c r="I599" s="3" t="str">
        <f>IFERROR(VLOOKUP(E599,Master!$J:$M,4,0),"")</f>
        <v/>
      </c>
      <c r="J599" s="3" t="str">
        <f>IFERROR(VLOOKUP($E599,Master!$J:$M,3,0),"")</f>
        <v/>
      </c>
      <c r="AC599" s="26">
        <f t="shared" si="18"/>
        <v>0</v>
      </c>
      <c r="AD599" s="26">
        <f t="shared" si="19"/>
        <v>0</v>
      </c>
    </row>
    <row r="600" spans="2:30" ht="15" customHeight="1">
      <c r="B600" s="3" t="str">
        <f>IFERROR(VLOOKUP(C600,Master!$J:$K,2,0),"")</f>
        <v/>
      </c>
      <c r="D600" s="4" t="str">
        <f>IFERROR(VLOOKUP(E600,Master!$J:$K,2,0),"")</f>
        <v/>
      </c>
      <c r="F600" s="4" t="str">
        <f>IFERROR(VLOOKUP(G600,Master!B:C,2,0),"")</f>
        <v/>
      </c>
      <c r="I600" s="3" t="str">
        <f>IFERROR(VLOOKUP(E600,Master!$J:$M,4,0),"")</f>
        <v/>
      </c>
      <c r="J600" s="3" t="str">
        <f>IFERROR(VLOOKUP($E600,Master!$J:$M,3,0),"")</f>
        <v/>
      </c>
      <c r="AC600" s="26">
        <f t="shared" si="18"/>
        <v>0</v>
      </c>
      <c r="AD600" s="26">
        <f t="shared" si="19"/>
        <v>0</v>
      </c>
    </row>
    <row r="601" spans="2:30" ht="15" customHeight="1">
      <c r="B601" s="3" t="str">
        <f>IFERROR(VLOOKUP(C601,Master!$J:$K,2,0),"")</f>
        <v/>
      </c>
      <c r="D601" s="4" t="str">
        <f>IFERROR(VLOOKUP(E601,Master!$J:$K,2,0),"")</f>
        <v/>
      </c>
      <c r="F601" s="4" t="str">
        <f>IFERROR(VLOOKUP(G601,Master!B:C,2,0),"")</f>
        <v/>
      </c>
      <c r="I601" s="3" t="str">
        <f>IFERROR(VLOOKUP(E601,Master!$J:$M,4,0),"")</f>
        <v/>
      </c>
      <c r="J601" s="3" t="str">
        <f>IFERROR(VLOOKUP($E601,Master!$J:$M,3,0),"")</f>
        <v/>
      </c>
      <c r="AC601" s="26">
        <f t="shared" si="18"/>
        <v>0</v>
      </c>
      <c r="AD601" s="26">
        <f t="shared" si="19"/>
        <v>0</v>
      </c>
    </row>
    <row r="602" spans="2:30" ht="15" customHeight="1">
      <c r="B602" s="3" t="str">
        <f>IFERROR(VLOOKUP(C602,Master!$J:$K,2,0),"")</f>
        <v/>
      </c>
      <c r="D602" s="4" t="str">
        <f>IFERROR(VLOOKUP(E602,Master!$J:$K,2,0),"")</f>
        <v/>
      </c>
      <c r="F602" s="4" t="str">
        <f>IFERROR(VLOOKUP(G602,Master!B:C,2,0),"")</f>
        <v/>
      </c>
      <c r="I602" s="3" t="str">
        <f>IFERROR(VLOOKUP(E602,Master!$J:$M,4,0),"")</f>
        <v/>
      </c>
      <c r="J602" s="3" t="str">
        <f>IFERROR(VLOOKUP($E602,Master!$J:$M,3,0),"")</f>
        <v/>
      </c>
      <c r="AC602" s="26">
        <f t="shared" si="18"/>
        <v>0</v>
      </c>
      <c r="AD602" s="26">
        <f t="shared" si="19"/>
        <v>0</v>
      </c>
    </row>
    <row r="603" spans="2:30" ht="15" customHeight="1">
      <c r="B603" s="3" t="str">
        <f>IFERROR(VLOOKUP(C603,Master!$J:$K,2,0),"")</f>
        <v/>
      </c>
      <c r="D603" s="4" t="str">
        <f>IFERROR(VLOOKUP(E603,Master!$J:$K,2,0),"")</f>
        <v/>
      </c>
      <c r="F603" s="4" t="str">
        <f>IFERROR(VLOOKUP(G603,Master!B:C,2,0),"")</f>
        <v/>
      </c>
      <c r="I603" s="3" t="str">
        <f>IFERROR(VLOOKUP(E603,Master!$J:$M,4,0),"")</f>
        <v/>
      </c>
      <c r="J603" s="3" t="str">
        <f>IFERROR(VLOOKUP($E603,Master!$J:$M,3,0),"")</f>
        <v/>
      </c>
      <c r="AC603" s="26">
        <f t="shared" si="18"/>
        <v>0</v>
      </c>
      <c r="AD603" s="26">
        <f t="shared" si="19"/>
        <v>0</v>
      </c>
    </row>
    <row r="604" spans="2:30" ht="15" customHeight="1">
      <c r="B604" s="3" t="str">
        <f>IFERROR(VLOOKUP(C604,Master!$J:$K,2,0),"")</f>
        <v/>
      </c>
      <c r="D604" s="4" t="str">
        <f>IFERROR(VLOOKUP(E604,Master!$J:$K,2,0),"")</f>
        <v/>
      </c>
      <c r="F604" s="4" t="str">
        <f>IFERROR(VLOOKUP(G604,Master!B:C,2,0),"")</f>
        <v/>
      </c>
      <c r="I604" s="3" t="str">
        <f>IFERROR(VLOOKUP(E604,Master!$J:$M,4,0),"")</f>
        <v/>
      </c>
      <c r="J604" s="3" t="str">
        <f>IFERROR(VLOOKUP($E604,Master!$J:$M,3,0),"")</f>
        <v/>
      </c>
      <c r="AC604" s="26">
        <f t="shared" si="18"/>
        <v>0</v>
      </c>
      <c r="AD604" s="26">
        <f t="shared" si="19"/>
        <v>0</v>
      </c>
    </row>
    <row r="605" spans="2:30" ht="15" customHeight="1">
      <c r="B605" s="3" t="str">
        <f>IFERROR(VLOOKUP(C605,Master!$J:$K,2,0),"")</f>
        <v/>
      </c>
      <c r="D605" s="4" t="str">
        <f>IFERROR(VLOOKUP(E605,Master!$J:$K,2,0),"")</f>
        <v/>
      </c>
      <c r="F605" s="4" t="str">
        <f>IFERROR(VLOOKUP(G605,Master!B:C,2,0),"")</f>
        <v/>
      </c>
      <c r="I605" s="3" t="str">
        <f>IFERROR(VLOOKUP(E605,Master!$J:$M,4,0),"")</f>
        <v/>
      </c>
      <c r="J605" s="3" t="str">
        <f>IFERROR(VLOOKUP($E605,Master!$J:$M,3,0),"")</f>
        <v/>
      </c>
      <c r="AC605" s="26">
        <f t="shared" si="18"/>
        <v>0</v>
      </c>
      <c r="AD605" s="26">
        <f t="shared" si="19"/>
        <v>0</v>
      </c>
    </row>
    <row r="606" spans="2:30" ht="15" customHeight="1">
      <c r="B606" s="3" t="str">
        <f>IFERROR(VLOOKUP(C606,Master!$J:$K,2,0),"")</f>
        <v/>
      </c>
      <c r="D606" s="4" t="str">
        <f>IFERROR(VLOOKUP(E606,Master!$J:$K,2,0),"")</f>
        <v/>
      </c>
      <c r="F606" s="4" t="str">
        <f>IFERROR(VLOOKUP(G606,Master!B:C,2,0),"")</f>
        <v/>
      </c>
      <c r="I606" s="3" t="str">
        <f>IFERROR(VLOOKUP(E606,Master!$J:$M,4,0),"")</f>
        <v/>
      </c>
      <c r="J606" s="3" t="str">
        <f>IFERROR(VLOOKUP($E606,Master!$J:$M,3,0),"")</f>
        <v/>
      </c>
      <c r="AC606" s="26">
        <f t="shared" si="18"/>
        <v>0</v>
      </c>
      <c r="AD606" s="26">
        <f t="shared" si="19"/>
        <v>0</v>
      </c>
    </row>
    <row r="607" spans="2:30" ht="15" customHeight="1">
      <c r="B607" s="3" t="str">
        <f>IFERROR(VLOOKUP(C607,Master!$J:$K,2,0),"")</f>
        <v/>
      </c>
      <c r="D607" s="4" t="str">
        <f>IFERROR(VLOOKUP(E607,Master!$J:$K,2,0),"")</f>
        <v/>
      </c>
      <c r="F607" s="4" t="str">
        <f>IFERROR(VLOOKUP(G607,Master!B:C,2,0),"")</f>
        <v/>
      </c>
      <c r="I607" s="3" t="str">
        <f>IFERROR(VLOOKUP(E607,Master!$J:$M,4,0),"")</f>
        <v/>
      </c>
      <c r="J607" s="3" t="str">
        <f>IFERROR(VLOOKUP($E607,Master!$J:$M,3,0),"")</f>
        <v/>
      </c>
      <c r="AC607" s="26">
        <f t="shared" si="18"/>
        <v>0</v>
      </c>
      <c r="AD607" s="26">
        <f t="shared" si="19"/>
        <v>0</v>
      </c>
    </row>
    <row r="608" spans="2:30" ht="15" customHeight="1">
      <c r="B608" s="3" t="str">
        <f>IFERROR(VLOOKUP(C608,Master!$J:$K,2,0),"")</f>
        <v/>
      </c>
      <c r="D608" s="4" t="str">
        <f>IFERROR(VLOOKUP(E608,Master!$J:$K,2,0),"")</f>
        <v/>
      </c>
      <c r="F608" s="4" t="str">
        <f>IFERROR(VLOOKUP(G608,Master!B:C,2,0),"")</f>
        <v/>
      </c>
      <c r="I608" s="3" t="str">
        <f>IFERROR(VLOOKUP(E608,Master!$J:$M,4,0),"")</f>
        <v/>
      </c>
      <c r="J608" s="3" t="str">
        <f>IFERROR(VLOOKUP($E608,Master!$J:$M,3,0),"")</f>
        <v/>
      </c>
      <c r="AC608" s="26">
        <f t="shared" si="18"/>
        <v>0</v>
      </c>
      <c r="AD608" s="26">
        <f t="shared" si="19"/>
        <v>0</v>
      </c>
    </row>
    <row r="609" spans="2:30" ht="15" customHeight="1">
      <c r="B609" s="3" t="str">
        <f>IFERROR(VLOOKUP(C609,Master!$J:$K,2,0),"")</f>
        <v/>
      </c>
      <c r="D609" s="4" t="str">
        <f>IFERROR(VLOOKUP(E609,Master!$J:$K,2,0),"")</f>
        <v/>
      </c>
      <c r="F609" s="4" t="str">
        <f>IFERROR(VLOOKUP(G609,Master!B:C,2,0),"")</f>
        <v/>
      </c>
      <c r="I609" s="3" t="str">
        <f>IFERROR(VLOOKUP(E609,Master!$J:$M,4,0),"")</f>
        <v/>
      </c>
      <c r="J609" s="3" t="str">
        <f>IFERROR(VLOOKUP($E609,Master!$J:$M,3,0),"")</f>
        <v/>
      </c>
      <c r="AC609" s="26">
        <f t="shared" si="18"/>
        <v>0</v>
      </c>
      <c r="AD609" s="26">
        <f t="shared" si="19"/>
        <v>0</v>
      </c>
    </row>
    <row r="610" spans="2:30" ht="15" customHeight="1">
      <c r="B610" s="3" t="str">
        <f>IFERROR(VLOOKUP(C610,Master!$J:$K,2,0),"")</f>
        <v/>
      </c>
      <c r="D610" s="4" t="str">
        <f>IFERROR(VLOOKUP(E610,Master!$J:$K,2,0),"")</f>
        <v/>
      </c>
      <c r="F610" s="4" t="str">
        <f>IFERROR(VLOOKUP(G610,Master!B:C,2,0),"")</f>
        <v/>
      </c>
      <c r="I610" s="3" t="str">
        <f>IFERROR(VLOOKUP(E610,Master!$J:$M,4,0),"")</f>
        <v/>
      </c>
      <c r="J610" s="3" t="str">
        <f>IFERROR(VLOOKUP($E610,Master!$J:$M,3,0),"")</f>
        <v/>
      </c>
      <c r="AC610" s="26">
        <f t="shared" si="18"/>
        <v>0</v>
      </c>
      <c r="AD610" s="26">
        <f t="shared" si="19"/>
        <v>0</v>
      </c>
    </row>
    <row r="611" spans="2:30" ht="15" customHeight="1">
      <c r="B611" s="3" t="str">
        <f>IFERROR(VLOOKUP(C611,Master!$J:$K,2,0),"")</f>
        <v/>
      </c>
      <c r="D611" s="4" t="str">
        <f>IFERROR(VLOOKUP(E611,Master!$J:$K,2,0),"")</f>
        <v/>
      </c>
      <c r="F611" s="4" t="str">
        <f>IFERROR(VLOOKUP(G611,Master!B:C,2,0),"")</f>
        <v/>
      </c>
      <c r="I611" s="3" t="str">
        <f>IFERROR(VLOOKUP(E611,Master!$J:$M,4,0),"")</f>
        <v/>
      </c>
      <c r="J611" s="3" t="str">
        <f>IFERROR(VLOOKUP($E611,Master!$J:$M,3,0),"")</f>
        <v/>
      </c>
      <c r="AC611" s="26">
        <f t="shared" si="18"/>
        <v>0</v>
      </c>
      <c r="AD611" s="26">
        <f t="shared" si="19"/>
        <v>0</v>
      </c>
    </row>
    <row r="612" spans="2:30" ht="15" customHeight="1">
      <c r="B612" s="3" t="str">
        <f>IFERROR(VLOOKUP(C612,Master!$J:$K,2,0),"")</f>
        <v/>
      </c>
      <c r="D612" s="4" t="str">
        <f>IFERROR(VLOOKUP(E612,Master!$J:$K,2,0),"")</f>
        <v/>
      </c>
      <c r="F612" s="4" t="str">
        <f>IFERROR(VLOOKUP(G612,Master!B:C,2,0),"")</f>
        <v/>
      </c>
      <c r="I612" s="3" t="str">
        <f>IFERROR(VLOOKUP(E612,Master!$J:$M,4,0),"")</f>
        <v/>
      </c>
      <c r="J612" s="3" t="str">
        <f>IFERROR(VLOOKUP($E612,Master!$J:$M,3,0),"")</f>
        <v/>
      </c>
      <c r="AC612" s="26">
        <f t="shared" si="18"/>
        <v>0</v>
      </c>
      <c r="AD612" s="26">
        <f t="shared" si="19"/>
        <v>0</v>
      </c>
    </row>
    <row r="613" spans="2:30" ht="15" customHeight="1">
      <c r="B613" s="3" t="str">
        <f>IFERROR(VLOOKUP(C613,Master!$J:$K,2,0),"")</f>
        <v/>
      </c>
      <c r="D613" s="4" t="str">
        <f>IFERROR(VLOOKUP(E613,Master!$J:$K,2,0),"")</f>
        <v/>
      </c>
      <c r="F613" s="4" t="str">
        <f>IFERROR(VLOOKUP(G613,Master!B:C,2,0),"")</f>
        <v/>
      </c>
      <c r="I613" s="3" t="str">
        <f>IFERROR(VLOOKUP(E613,Master!$J:$M,4,0),"")</f>
        <v/>
      </c>
      <c r="J613" s="3" t="str">
        <f>IFERROR(VLOOKUP($E613,Master!$J:$M,3,0),"")</f>
        <v/>
      </c>
      <c r="AC613" s="26">
        <f t="shared" si="18"/>
        <v>0</v>
      </c>
      <c r="AD613" s="26">
        <f t="shared" si="19"/>
        <v>0</v>
      </c>
    </row>
    <row r="614" spans="2:30" ht="15" customHeight="1">
      <c r="B614" s="3" t="str">
        <f>IFERROR(VLOOKUP(C614,Master!$J:$K,2,0),"")</f>
        <v/>
      </c>
      <c r="D614" s="4" t="str">
        <f>IFERROR(VLOOKUP(E614,Master!$J:$K,2,0),"")</f>
        <v/>
      </c>
      <c r="F614" s="4" t="str">
        <f>IFERROR(VLOOKUP(G614,Master!B:C,2,0),"")</f>
        <v/>
      </c>
      <c r="I614" s="3" t="str">
        <f>IFERROR(VLOOKUP(E614,Master!$J:$M,4,0),"")</f>
        <v/>
      </c>
      <c r="J614" s="3" t="str">
        <f>IFERROR(VLOOKUP($E614,Master!$J:$M,3,0),"")</f>
        <v/>
      </c>
      <c r="AC614" s="26">
        <f t="shared" si="18"/>
        <v>0</v>
      </c>
      <c r="AD614" s="26">
        <f t="shared" si="19"/>
        <v>0</v>
      </c>
    </row>
    <row r="615" spans="2:30" ht="15" customHeight="1">
      <c r="B615" s="3" t="str">
        <f>IFERROR(VLOOKUP(C615,Master!$J:$K,2,0),"")</f>
        <v/>
      </c>
      <c r="D615" s="4" t="str">
        <f>IFERROR(VLOOKUP(E615,Master!$J:$K,2,0),"")</f>
        <v/>
      </c>
      <c r="F615" s="4" t="str">
        <f>IFERROR(VLOOKUP(G615,Master!B:C,2,0),"")</f>
        <v/>
      </c>
      <c r="I615" s="3" t="str">
        <f>IFERROR(VLOOKUP(E615,Master!$J:$M,4,0),"")</f>
        <v/>
      </c>
      <c r="J615" s="3" t="str">
        <f>IFERROR(VLOOKUP($E615,Master!$J:$M,3,0),"")</f>
        <v/>
      </c>
      <c r="AC615" s="26">
        <f t="shared" si="18"/>
        <v>0</v>
      </c>
      <c r="AD615" s="26">
        <f t="shared" si="19"/>
        <v>0</v>
      </c>
    </row>
    <row r="616" spans="2:30" ht="15" customHeight="1">
      <c r="B616" s="3" t="str">
        <f>IFERROR(VLOOKUP(C616,Master!$J:$K,2,0),"")</f>
        <v/>
      </c>
      <c r="D616" s="4" t="str">
        <f>IFERROR(VLOOKUP(E616,Master!$J:$K,2,0),"")</f>
        <v/>
      </c>
      <c r="F616" s="4" t="str">
        <f>IFERROR(VLOOKUP(G616,Master!B:C,2,0),"")</f>
        <v/>
      </c>
      <c r="I616" s="3" t="str">
        <f>IFERROR(VLOOKUP(E616,Master!$J:$M,4,0),"")</f>
        <v/>
      </c>
      <c r="J616" s="3" t="str">
        <f>IFERROR(VLOOKUP($E616,Master!$J:$M,3,0),"")</f>
        <v/>
      </c>
      <c r="AC616" s="26">
        <f t="shared" si="18"/>
        <v>0</v>
      </c>
      <c r="AD616" s="26">
        <f t="shared" si="19"/>
        <v>0</v>
      </c>
    </row>
    <row r="617" spans="2:30" ht="15" customHeight="1">
      <c r="B617" s="3" t="str">
        <f>IFERROR(VLOOKUP(C617,Master!$J:$K,2,0),"")</f>
        <v/>
      </c>
      <c r="D617" s="4" t="str">
        <f>IFERROR(VLOOKUP(E617,Master!$J:$K,2,0),"")</f>
        <v/>
      </c>
      <c r="F617" s="4" t="str">
        <f>IFERROR(VLOOKUP(G617,Master!B:C,2,0),"")</f>
        <v/>
      </c>
      <c r="I617" s="3" t="str">
        <f>IFERROR(VLOOKUP(E617,Master!$J:$M,4,0),"")</f>
        <v/>
      </c>
      <c r="J617" s="3" t="str">
        <f>IFERROR(VLOOKUP($E617,Master!$J:$M,3,0),"")</f>
        <v/>
      </c>
      <c r="AC617" s="26">
        <f t="shared" si="18"/>
        <v>0</v>
      </c>
      <c r="AD617" s="26">
        <f t="shared" si="19"/>
        <v>0</v>
      </c>
    </row>
    <row r="618" spans="2:30" ht="15" customHeight="1">
      <c r="B618" s="3" t="str">
        <f>IFERROR(VLOOKUP(C618,Master!$J:$K,2,0),"")</f>
        <v/>
      </c>
      <c r="D618" s="4" t="str">
        <f>IFERROR(VLOOKUP(E618,Master!$J:$K,2,0),"")</f>
        <v/>
      </c>
      <c r="F618" s="4" t="str">
        <f>IFERROR(VLOOKUP(G618,Master!B:C,2,0),"")</f>
        <v/>
      </c>
      <c r="I618" s="3" t="str">
        <f>IFERROR(VLOOKUP(E618,Master!$J:$M,4,0),"")</f>
        <v/>
      </c>
      <c r="J618" s="3" t="str">
        <f>IFERROR(VLOOKUP($E618,Master!$J:$M,3,0),"")</f>
        <v/>
      </c>
      <c r="AC618" s="26">
        <f t="shared" si="18"/>
        <v>0</v>
      </c>
      <c r="AD618" s="26">
        <f t="shared" si="19"/>
        <v>0</v>
      </c>
    </row>
    <row r="619" spans="2:30" ht="15" customHeight="1">
      <c r="B619" s="3" t="str">
        <f>IFERROR(VLOOKUP(C619,Master!$J:$K,2,0),"")</f>
        <v/>
      </c>
      <c r="D619" s="4" t="str">
        <f>IFERROR(VLOOKUP(E619,Master!$J:$K,2,0),"")</f>
        <v/>
      </c>
      <c r="F619" s="4" t="str">
        <f>IFERROR(VLOOKUP(G619,Master!B:C,2,0),"")</f>
        <v/>
      </c>
      <c r="I619" s="3" t="str">
        <f>IFERROR(VLOOKUP(E619,Master!$J:$M,4,0),"")</f>
        <v/>
      </c>
      <c r="J619" s="3" t="str">
        <f>IFERROR(VLOOKUP($E619,Master!$J:$M,3,0),"")</f>
        <v/>
      </c>
      <c r="AC619" s="26">
        <f t="shared" si="18"/>
        <v>0</v>
      </c>
      <c r="AD619" s="26">
        <f t="shared" si="19"/>
        <v>0</v>
      </c>
    </row>
    <row r="620" spans="2:30" ht="15" customHeight="1">
      <c r="B620" s="3" t="str">
        <f>IFERROR(VLOOKUP(C620,Master!$J:$K,2,0),"")</f>
        <v/>
      </c>
      <c r="D620" s="4" t="str">
        <f>IFERROR(VLOOKUP(E620,Master!$J:$K,2,0),"")</f>
        <v/>
      </c>
      <c r="F620" s="4" t="str">
        <f>IFERROR(VLOOKUP(G620,Master!B:C,2,0),"")</f>
        <v/>
      </c>
      <c r="I620" s="3" t="str">
        <f>IFERROR(VLOOKUP(E620,Master!$J:$M,4,0),"")</f>
        <v/>
      </c>
      <c r="J620" s="3" t="str">
        <f>IFERROR(VLOOKUP($E620,Master!$J:$M,3,0),"")</f>
        <v/>
      </c>
      <c r="AC620" s="26">
        <f t="shared" si="18"/>
        <v>0</v>
      </c>
      <c r="AD620" s="26">
        <f t="shared" si="19"/>
        <v>0</v>
      </c>
    </row>
    <row r="621" spans="2:30" ht="15" customHeight="1">
      <c r="B621" s="3" t="str">
        <f>IFERROR(VLOOKUP(C621,Master!$J:$K,2,0),"")</f>
        <v/>
      </c>
      <c r="D621" s="4" t="str">
        <f>IFERROR(VLOOKUP(E621,Master!$J:$K,2,0),"")</f>
        <v/>
      </c>
      <c r="F621" s="4" t="str">
        <f>IFERROR(VLOOKUP(G621,Master!B:C,2,0),"")</f>
        <v/>
      </c>
      <c r="I621" s="3" t="str">
        <f>IFERROR(VLOOKUP(E621,Master!$J:$M,4,0),"")</f>
        <v/>
      </c>
      <c r="J621" s="3" t="str">
        <f>IFERROR(VLOOKUP($E621,Master!$J:$M,3,0),"")</f>
        <v/>
      </c>
      <c r="AC621" s="26">
        <f t="shared" si="18"/>
        <v>0</v>
      </c>
      <c r="AD621" s="26">
        <f t="shared" si="19"/>
        <v>0</v>
      </c>
    </row>
    <row r="622" spans="2:30" ht="15" customHeight="1">
      <c r="B622" s="3" t="str">
        <f>IFERROR(VLOOKUP(C622,Master!$J:$K,2,0),"")</f>
        <v/>
      </c>
      <c r="D622" s="4" t="str">
        <f>IFERROR(VLOOKUP(E622,Master!$J:$K,2,0),"")</f>
        <v/>
      </c>
      <c r="F622" s="4" t="str">
        <f>IFERROR(VLOOKUP(G622,Master!B:C,2,0),"")</f>
        <v/>
      </c>
      <c r="I622" s="3" t="str">
        <f>IFERROR(VLOOKUP(E622,Master!$J:$M,4,0),"")</f>
        <v/>
      </c>
      <c r="J622" s="3" t="str">
        <f>IFERROR(VLOOKUP($E622,Master!$J:$M,3,0),"")</f>
        <v/>
      </c>
      <c r="AC622" s="26">
        <f t="shared" si="18"/>
        <v>0</v>
      </c>
      <c r="AD622" s="26">
        <f t="shared" si="19"/>
        <v>0</v>
      </c>
    </row>
    <row r="623" spans="2:30" ht="15" customHeight="1">
      <c r="B623" s="3" t="str">
        <f>IFERROR(VLOOKUP(C623,Master!$J:$K,2,0),"")</f>
        <v/>
      </c>
      <c r="D623" s="4" t="str">
        <f>IFERROR(VLOOKUP(E623,Master!$J:$K,2,0),"")</f>
        <v/>
      </c>
      <c r="F623" s="4" t="str">
        <f>IFERROR(VLOOKUP(G623,Master!B:C,2,0),"")</f>
        <v/>
      </c>
      <c r="I623" s="3" t="str">
        <f>IFERROR(VLOOKUP(E623,Master!$J:$M,4,0),"")</f>
        <v/>
      </c>
      <c r="J623" s="3" t="str">
        <f>IFERROR(VLOOKUP($E623,Master!$J:$M,3,0),"")</f>
        <v/>
      </c>
      <c r="AC623" s="26">
        <f t="shared" si="18"/>
        <v>0</v>
      </c>
      <c r="AD623" s="26">
        <f t="shared" si="19"/>
        <v>0</v>
      </c>
    </row>
    <row r="624" spans="2:30" ht="15" customHeight="1">
      <c r="B624" s="3" t="str">
        <f>IFERROR(VLOOKUP(C624,Master!$J:$K,2,0),"")</f>
        <v/>
      </c>
      <c r="D624" s="4" t="str">
        <f>IFERROR(VLOOKUP(E624,Master!$J:$K,2,0),"")</f>
        <v/>
      </c>
      <c r="F624" s="4" t="str">
        <f>IFERROR(VLOOKUP(G624,Master!B:C,2,0),"")</f>
        <v/>
      </c>
      <c r="I624" s="3" t="str">
        <f>IFERROR(VLOOKUP(E624,Master!$J:$M,4,0),"")</f>
        <v/>
      </c>
      <c r="J624" s="3" t="str">
        <f>IFERROR(VLOOKUP($E624,Master!$J:$M,3,0),"")</f>
        <v/>
      </c>
      <c r="AC624" s="26">
        <f t="shared" si="18"/>
        <v>0</v>
      </c>
      <c r="AD624" s="26">
        <f t="shared" si="19"/>
        <v>0</v>
      </c>
    </row>
    <row r="625" spans="2:30" ht="15" customHeight="1">
      <c r="B625" s="3" t="str">
        <f>IFERROR(VLOOKUP(C625,Master!$J:$K,2,0),"")</f>
        <v/>
      </c>
      <c r="D625" s="4" t="str">
        <f>IFERROR(VLOOKUP(E625,Master!$J:$K,2,0),"")</f>
        <v/>
      </c>
      <c r="F625" s="4" t="str">
        <f>IFERROR(VLOOKUP(G625,Master!B:C,2,0),"")</f>
        <v/>
      </c>
      <c r="I625" s="3" t="str">
        <f>IFERROR(VLOOKUP(E625,Master!$J:$M,4,0),"")</f>
        <v/>
      </c>
      <c r="J625" s="3" t="str">
        <f>IFERROR(VLOOKUP($E625,Master!$J:$M,3,0),"")</f>
        <v/>
      </c>
      <c r="AC625" s="26">
        <f t="shared" si="18"/>
        <v>0</v>
      </c>
      <c r="AD625" s="26">
        <f t="shared" si="19"/>
        <v>0</v>
      </c>
    </row>
    <row r="626" spans="2:30" ht="15" customHeight="1">
      <c r="B626" s="3" t="str">
        <f>IFERROR(VLOOKUP(C626,Master!$J:$K,2,0),"")</f>
        <v/>
      </c>
      <c r="D626" s="4" t="str">
        <f>IFERROR(VLOOKUP(E626,Master!$J:$K,2,0),"")</f>
        <v/>
      </c>
      <c r="F626" s="4" t="str">
        <f>IFERROR(VLOOKUP(G626,Master!B:C,2,0),"")</f>
        <v/>
      </c>
      <c r="I626" s="3" t="str">
        <f>IFERROR(VLOOKUP(E626,Master!$J:$M,4,0),"")</f>
        <v/>
      </c>
      <c r="J626" s="3" t="str">
        <f>IFERROR(VLOOKUP($E626,Master!$J:$M,3,0),"")</f>
        <v/>
      </c>
      <c r="AC626" s="26">
        <f t="shared" si="18"/>
        <v>0</v>
      </c>
      <c r="AD626" s="26">
        <f t="shared" si="19"/>
        <v>0</v>
      </c>
    </row>
    <row r="627" spans="2:30" ht="15" customHeight="1">
      <c r="B627" s="3" t="str">
        <f>IFERROR(VLOOKUP(C627,Master!$J:$K,2,0),"")</f>
        <v/>
      </c>
      <c r="D627" s="4" t="str">
        <f>IFERROR(VLOOKUP(E627,Master!$J:$K,2,0),"")</f>
        <v/>
      </c>
      <c r="F627" s="4" t="str">
        <f>IFERROR(VLOOKUP(G627,Master!B:C,2,0),"")</f>
        <v/>
      </c>
      <c r="I627" s="3" t="str">
        <f>IFERROR(VLOOKUP(E627,Master!$J:$M,4,0),"")</f>
        <v/>
      </c>
      <c r="J627" s="3" t="str">
        <f>IFERROR(VLOOKUP($E627,Master!$J:$M,3,0),"")</f>
        <v/>
      </c>
      <c r="AC627" s="26">
        <f t="shared" si="18"/>
        <v>0</v>
      </c>
      <c r="AD627" s="26">
        <f t="shared" si="19"/>
        <v>0</v>
      </c>
    </row>
    <row r="628" spans="2:30" ht="15" customHeight="1">
      <c r="B628" s="3" t="str">
        <f>IFERROR(VLOOKUP(C628,Master!$J:$K,2,0),"")</f>
        <v/>
      </c>
      <c r="D628" s="4" t="str">
        <f>IFERROR(VLOOKUP(E628,Master!$J:$K,2,0),"")</f>
        <v/>
      </c>
      <c r="F628" s="4" t="str">
        <f>IFERROR(VLOOKUP(G628,Master!B:C,2,0),"")</f>
        <v/>
      </c>
      <c r="I628" s="3" t="str">
        <f>IFERROR(VLOOKUP(E628,Master!$J:$M,4,0),"")</f>
        <v/>
      </c>
      <c r="J628" s="3" t="str">
        <f>IFERROR(VLOOKUP($E628,Master!$J:$M,3,0),"")</f>
        <v/>
      </c>
      <c r="AC628" s="26">
        <f t="shared" si="18"/>
        <v>0</v>
      </c>
      <c r="AD628" s="26">
        <f t="shared" si="19"/>
        <v>0</v>
      </c>
    </row>
    <row r="629" spans="2:30" ht="15" customHeight="1">
      <c r="B629" s="3" t="str">
        <f>IFERROR(VLOOKUP(C629,Master!$J:$K,2,0),"")</f>
        <v/>
      </c>
      <c r="D629" s="4" t="str">
        <f>IFERROR(VLOOKUP(E629,Master!$J:$K,2,0),"")</f>
        <v/>
      </c>
      <c r="F629" s="4" t="str">
        <f>IFERROR(VLOOKUP(G629,Master!B:C,2,0),"")</f>
        <v/>
      </c>
      <c r="I629" s="3" t="str">
        <f>IFERROR(VLOOKUP(E629,Master!$J:$M,4,0),"")</f>
        <v/>
      </c>
      <c r="J629" s="3" t="str">
        <f>IFERROR(VLOOKUP($E629,Master!$J:$M,3,0),"")</f>
        <v/>
      </c>
      <c r="AC629" s="26">
        <f t="shared" si="18"/>
        <v>0</v>
      </c>
      <c r="AD629" s="26">
        <f t="shared" si="19"/>
        <v>0</v>
      </c>
    </row>
    <row r="630" spans="2:30" ht="15" customHeight="1">
      <c r="B630" s="3" t="str">
        <f>IFERROR(VLOOKUP(C630,Master!$J:$K,2,0),"")</f>
        <v/>
      </c>
      <c r="D630" s="4" t="str">
        <f>IFERROR(VLOOKUP(E630,Master!$J:$K,2,0),"")</f>
        <v/>
      </c>
      <c r="F630" s="4" t="str">
        <f>IFERROR(VLOOKUP(G630,Master!B:C,2,0),"")</f>
        <v/>
      </c>
      <c r="I630" s="3" t="str">
        <f>IFERROR(VLOOKUP(E630,Master!$J:$M,4,0),"")</f>
        <v/>
      </c>
      <c r="J630" s="3" t="str">
        <f>IFERROR(VLOOKUP($E630,Master!$J:$M,3,0),"")</f>
        <v/>
      </c>
      <c r="AC630" s="26">
        <f t="shared" si="18"/>
        <v>0</v>
      </c>
      <c r="AD630" s="26">
        <f t="shared" si="19"/>
        <v>0</v>
      </c>
    </row>
    <row r="631" spans="2:30" ht="15" customHeight="1">
      <c r="B631" s="3" t="str">
        <f>IFERROR(VLOOKUP(C631,Master!$J:$K,2,0),"")</f>
        <v/>
      </c>
      <c r="D631" s="4" t="str">
        <f>IFERROR(VLOOKUP(E631,Master!$J:$K,2,0),"")</f>
        <v/>
      </c>
      <c r="F631" s="4" t="str">
        <f>IFERROR(VLOOKUP(G631,Master!B:C,2,0),"")</f>
        <v/>
      </c>
      <c r="I631" s="3" t="str">
        <f>IFERROR(VLOOKUP(E631,Master!$J:$M,4,0),"")</f>
        <v/>
      </c>
      <c r="J631" s="3" t="str">
        <f>IFERROR(VLOOKUP($E631,Master!$J:$M,3,0),"")</f>
        <v/>
      </c>
      <c r="AC631" s="26">
        <f t="shared" si="18"/>
        <v>0</v>
      </c>
      <c r="AD631" s="26">
        <f t="shared" si="19"/>
        <v>0</v>
      </c>
    </row>
    <row r="632" spans="2:30" ht="15" customHeight="1">
      <c r="B632" s="3" t="str">
        <f>IFERROR(VLOOKUP(C632,Master!$J:$K,2,0),"")</f>
        <v/>
      </c>
      <c r="D632" s="4" t="str">
        <f>IFERROR(VLOOKUP(E632,Master!$J:$K,2,0),"")</f>
        <v/>
      </c>
      <c r="F632" s="4" t="str">
        <f>IFERROR(VLOOKUP(G632,Master!B:C,2,0),"")</f>
        <v/>
      </c>
      <c r="I632" s="3" t="str">
        <f>IFERROR(VLOOKUP(E632,Master!$J:$M,4,0),"")</f>
        <v/>
      </c>
      <c r="J632" s="3" t="str">
        <f>IFERROR(VLOOKUP($E632,Master!$J:$M,3,0),"")</f>
        <v/>
      </c>
      <c r="AC632" s="26">
        <f t="shared" si="18"/>
        <v>0</v>
      </c>
      <c r="AD632" s="26">
        <f t="shared" si="19"/>
        <v>0</v>
      </c>
    </row>
    <row r="633" spans="2:30" ht="15" customHeight="1">
      <c r="B633" s="3" t="str">
        <f>IFERROR(VLOOKUP(C633,Master!$J:$K,2,0),"")</f>
        <v/>
      </c>
      <c r="D633" s="4" t="str">
        <f>IFERROR(VLOOKUP(E633,Master!$J:$K,2,0),"")</f>
        <v/>
      </c>
      <c r="F633" s="4" t="str">
        <f>IFERROR(VLOOKUP(G633,Master!B:C,2,0),"")</f>
        <v/>
      </c>
      <c r="I633" s="3" t="str">
        <f>IFERROR(VLOOKUP(E633,Master!$J:$M,4,0),"")</f>
        <v/>
      </c>
      <c r="J633" s="3" t="str">
        <f>IFERROR(VLOOKUP($E633,Master!$J:$M,3,0),"")</f>
        <v/>
      </c>
      <c r="AC633" s="26">
        <f t="shared" si="18"/>
        <v>0</v>
      </c>
      <c r="AD633" s="26">
        <f t="shared" si="19"/>
        <v>0</v>
      </c>
    </row>
    <row r="634" spans="2:30" ht="15" customHeight="1">
      <c r="B634" s="3" t="str">
        <f>IFERROR(VLOOKUP(C634,Master!$J:$K,2,0),"")</f>
        <v/>
      </c>
      <c r="D634" s="4" t="str">
        <f>IFERROR(VLOOKUP(E634,Master!$J:$K,2,0),"")</f>
        <v/>
      </c>
      <c r="F634" s="4" t="str">
        <f>IFERROR(VLOOKUP(G634,Master!B:C,2,0),"")</f>
        <v/>
      </c>
      <c r="I634" s="3" t="str">
        <f>IFERROR(VLOOKUP(E634,Master!$J:$M,4,0),"")</f>
        <v/>
      </c>
      <c r="J634" s="3" t="str">
        <f>IFERROR(VLOOKUP($E634,Master!$J:$M,3,0),"")</f>
        <v/>
      </c>
      <c r="AC634" s="26">
        <f t="shared" si="18"/>
        <v>0</v>
      </c>
      <c r="AD634" s="26">
        <f t="shared" si="19"/>
        <v>0</v>
      </c>
    </row>
    <row r="635" spans="2:30" ht="15" customHeight="1">
      <c r="B635" s="3" t="str">
        <f>IFERROR(VLOOKUP(C635,Master!$J:$K,2,0),"")</f>
        <v/>
      </c>
      <c r="D635" s="4" t="str">
        <f>IFERROR(VLOOKUP(E635,Master!$J:$K,2,0),"")</f>
        <v/>
      </c>
      <c r="F635" s="4" t="str">
        <f>IFERROR(VLOOKUP(G635,Master!B:C,2,0),"")</f>
        <v/>
      </c>
      <c r="I635" s="3" t="str">
        <f>IFERROR(VLOOKUP(E635,Master!$J:$M,4,0),"")</f>
        <v/>
      </c>
      <c r="J635" s="3" t="str">
        <f>IFERROR(VLOOKUP($E635,Master!$J:$M,3,0),"")</f>
        <v/>
      </c>
      <c r="AC635" s="26">
        <f t="shared" si="18"/>
        <v>0</v>
      </c>
      <c r="AD635" s="26">
        <f t="shared" si="19"/>
        <v>0</v>
      </c>
    </row>
    <row r="636" spans="2:30" ht="15" customHeight="1">
      <c r="B636" s="3" t="str">
        <f>IFERROR(VLOOKUP(C636,Master!$J:$K,2,0),"")</f>
        <v/>
      </c>
      <c r="D636" s="4" t="str">
        <f>IFERROR(VLOOKUP(E636,Master!$J:$K,2,0),"")</f>
        <v/>
      </c>
      <c r="F636" s="4" t="str">
        <f>IFERROR(VLOOKUP(G636,Master!B:C,2,0),"")</f>
        <v/>
      </c>
      <c r="I636" s="3" t="str">
        <f>IFERROR(VLOOKUP(E636,Master!$J:$M,4,0),"")</f>
        <v/>
      </c>
      <c r="J636" s="3" t="str">
        <f>IFERROR(VLOOKUP($E636,Master!$J:$M,3,0),"")</f>
        <v/>
      </c>
      <c r="AC636" s="26">
        <f t="shared" si="18"/>
        <v>0</v>
      </c>
      <c r="AD636" s="26">
        <f t="shared" si="19"/>
        <v>0</v>
      </c>
    </row>
    <row r="637" spans="2:30" ht="15" customHeight="1">
      <c r="B637" s="3" t="str">
        <f>IFERROR(VLOOKUP(C637,Master!$J:$K,2,0),"")</f>
        <v/>
      </c>
      <c r="D637" s="4" t="str">
        <f>IFERROR(VLOOKUP(E637,Master!$J:$K,2,0),"")</f>
        <v/>
      </c>
      <c r="F637" s="4" t="str">
        <f>IFERROR(VLOOKUP(G637,Master!B:C,2,0),"")</f>
        <v/>
      </c>
      <c r="I637" s="3" t="str">
        <f>IFERROR(VLOOKUP(E637,Master!$J:$M,4,0),"")</f>
        <v/>
      </c>
      <c r="J637" s="3" t="str">
        <f>IFERROR(VLOOKUP($E637,Master!$J:$M,3,0),"")</f>
        <v/>
      </c>
      <c r="AC637" s="26">
        <f t="shared" si="18"/>
        <v>0</v>
      </c>
      <c r="AD637" s="26">
        <f t="shared" si="19"/>
        <v>0</v>
      </c>
    </row>
    <row r="638" spans="2:30" ht="15" customHeight="1">
      <c r="B638" s="3" t="str">
        <f>IFERROR(VLOOKUP(C638,Master!$J:$K,2,0),"")</f>
        <v/>
      </c>
      <c r="D638" s="4" t="str">
        <f>IFERROR(VLOOKUP(E638,Master!$J:$K,2,0),"")</f>
        <v/>
      </c>
      <c r="F638" s="4" t="str">
        <f>IFERROR(VLOOKUP(G638,Master!B:C,2,0),"")</f>
        <v/>
      </c>
      <c r="I638" s="3" t="str">
        <f>IFERROR(VLOOKUP(E638,Master!$J:$M,4,0),"")</f>
        <v/>
      </c>
      <c r="J638" s="3" t="str">
        <f>IFERROR(VLOOKUP($E638,Master!$J:$M,3,0),"")</f>
        <v/>
      </c>
      <c r="AC638" s="26">
        <f t="shared" si="18"/>
        <v>0</v>
      </c>
      <c r="AD638" s="26">
        <f t="shared" si="19"/>
        <v>0</v>
      </c>
    </row>
    <row r="639" spans="2:30" ht="15" customHeight="1">
      <c r="B639" s="3" t="str">
        <f>IFERROR(VLOOKUP(C639,Master!$J:$K,2,0),"")</f>
        <v/>
      </c>
      <c r="D639" s="4" t="str">
        <f>IFERROR(VLOOKUP(E639,Master!$J:$K,2,0),"")</f>
        <v/>
      </c>
      <c r="F639" s="4" t="str">
        <f>IFERROR(VLOOKUP(G639,Master!B:C,2,0),"")</f>
        <v/>
      </c>
      <c r="I639" s="3" t="str">
        <f>IFERROR(VLOOKUP(E639,Master!$J:$M,4,0),"")</f>
        <v/>
      </c>
      <c r="J639" s="3" t="str">
        <f>IFERROR(VLOOKUP($E639,Master!$J:$M,3,0),"")</f>
        <v/>
      </c>
      <c r="AC639" s="26">
        <f t="shared" si="18"/>
        <v>0</v>
      </c>
      <c r="AD639" s="26">
        <f t="shared" si="19"/>
        <v>0</v>
      </c>
    </row>
    <row r="640" spans="2:30" ht="15" customHeight="1">
      <c r="B640" s="3" t="str">
        <f>IFERROR(VLOOKUP(C640,Master!$J:$K,2,0),"")</f>
        <v/>
      </c>
      <c r="D640" s="4" t="str">
        <f>IFERROR(VLOOKUP(E640,Master!$J:$K,2,0),"")</f>
        <v/>
      </c>
      <c r="F640" s="4" t="str">
        <f>IFERROR(VLOOKUP(G640,Master!B:C,2,0),"")</f>
        <v/>
      </c>
      <c r="I640" s="3" t="str">
        <f>IFERROR(VLOOKUP(E640,Master!$J:$M,4,0),"")</f>
        <v/>
      </c>
      <c r="J640" s="3" t="str">
        <f>IFERROR(VLOOKUP($E640,Master!$J:$M,3,0),"")</f>
        <v/>
      </c>
      <c r="AC640" s="26">
        <f t="shared" si="18"/>
        <v>0</v>
      </c>
      <c r="AD640" s="26">
        <f t="shared" si="19"/>
        <v>0</v>
      </c>
    </row>
    <row r="641" spans="2:30" ht="15" customHeight="1">
      <c r="B641" s="3" t="str">
        <f>IFERROR(VLOOKUP(C641,Master!$J:$K,2,0),"")</f>
        <v/>
      </c>
      <c r="D641" s="4" t="str">
        <f>IFERROR(VLOOKUP(E641,Master!$J:$K,2,0),"")</f>
        <v/>
      </c>
      <c r="F641" s="4" t="str">
        <f>IFERROR(VLOOKUP(G641,Master!B:C,2,0),"")</f>
        <v/>
      </c>
      <c r="I641" s="3" t="str">
        <f>IFERROR(VLOOKUP(E641,Master!$J:$M,4,0),"")</f>
        <v/>
      </c>
      <c r="J641" s="3" t="str">
        <f>IFERROR(VLOOKUP($E641,Master!$J:$M,3,0),"")</f>
        <v/>
      </c>
      <c r="AC641" s="26">
        <f t="shared" si="18"/>
        <v>0</v>
      </c>
      <c r="AD641" s="26">
        <f t="shared" si="19"/>
        <v>0</v>
      </c>
    </row>
    <row r="642" spans="2:30" ht="15" customHeight="1">
      <c r="B642" s="3" t="str">
        <f>IFERROR(VLOOKUP(C642,Master!$J:$K,2,0),"")</f>
        <v/>
      </c>
      <c r="D642" s="4" t="str">
        <f>IFERROR(VLOOKUP(E642,Master!$J:$K,2,0),"")</f>
        <v/>
      </c>
      <c r="F642" s="4" t="str">
        <f>IFERROR(VLOOKUP(G642,Master!B:C,2,0),"")</f>
        <v/>
      </c>
      <c r="I642" s="3" t="str">
        <f>IFERROR(VLOOKUP(E642,Master!$J:$M,4,0),"")</f>
        <v/>
      </c>
      <c r="J642" s="3" t="str">
        <f>IFERROR(VLOOKUP($E642,Master!$J:$M,3,0),"")</f>
        <v/>
      </c>
      <c r="AC642" s="26">
        <f t="shared" ref="AC642:AC705" si="20">SUM(K642:P642)</f>
        <v>0</v>
      </c>
      <c r="AD642" s="26">
        <f t="shared" ref="AD642:AD705" si="21">SUM(Q642:AB642)</f>
        <v>0</v>
      </c>
    </row>
    <row r="643" spans="2:30" ht="15" customHeight="1">
      <c r="B643" s="3" t="str">
        <f>IFERROR(VLOOKUP(C643,Master!$J:$K,2,0),"")</f>
        <v/>
      </c>
      <c r="D643" s="4" t="str">
        <f>IFERROR(VLOOKUP(E643,Master!$J:$K,2,0),"")</f>
        <v/>
      </c>
      <c r="F643" s="4" t="str">
        <f>IFERROR(VLOOKUP(G643,Master!B:C,2,0),"")</f>
        <v/>
      </c>
      <c r="I643" s="3" t="str">
        <f>IFERROR(VLOOKUP(E643,Master!$J:$M,4,0),"")</f>
        <v/>
      </c>
      <c r="J643" s="3" t="str">
        <f>IFERROR(VLOOKUP($E643,Master!$J:$M,3,0),"")</f>
        <v/>
      </c>
      <c r="AC643" s="26">
        <f t="shared" si="20"/>
        <v>0</v>
      </c>
      <c r="AD643" s="26">
        <f t="shared" si="21"/>
        <v>0</v>
      </c>
    </row>
    <row r="644" spans="2:30" ht="15" customHeight="1">
      <c r="B644" s="3" t="str">
        <f>IFERROR(VLOOKUP(C644,Master!$J:$K,2,0),"")</f>
        <v/>
      </c>
      <c r="D644" s="4" t="str">
        <f>IFERROR(VLOOKUP(E644,Master!$J:$K,2,0),"")</f>
        <v/>
      </c>
      <c r="F644" s="4" t="str">
        <f>IFERROR(VLOOKUP(G644,Master!B:C,2,0),"")</f>
        <v/>
      </c>
      <c r="I644" s="3" t="str">
        <f>IFERROR(VLOOKUP(E644,Master!$J:$M,4,0),"")</f>
        <v/>
      </c>
      <c r="J644" s="3" t="str">
        <f>IFERROR(VLOOKUP($E644,Master!$J:$M,3,0),"")</f>
        <v/>
      </c>
      <c r="AC644" s="26">
        <f t="shared" si="20"/>
        <v>0</v>
      </c>
      <c r="AD644" s="26">
        <f t="shared" si="21"/>
        <v>0</v>
      </c>
    </row>
    <row r="645" spans="2:30" ht="15" customHeight="1">
      <c r="B645" s="3" t="str">
        <f>IFERROR(VLOOKUP(C645,Master!$J:$K,2,0),"")</f>
        <v/>
      </c>
      <c r="D645" s="4" t="str">
        <f>IFERROR(VLOOKUP(E645,Master!$J:$K,2,0),"")</f>
        <v/>
      </c>
      <c r="F645" s="4" t="str">
        <f>IFERROR(VLOOKUP(G645,Master!B:C,2,0),"")</f>
        <v/>
      </c>
      <c r="I645" s="3" t="str">
        <f>IFERROR(VLOOKUP(E645,Master!$J:$M,4,0),"")</f>
        <v/>
      </c>
      <c r="J645" s="3" t="str">
        <f>IFERROR(VLOOKUP($E645,Master!$J:$M,3,0),"")</f>
        <v/>
      </c>
      <c r="AC645" s="26">
        <f t="shared" si="20"/>
        <v>0</v>
      </c>
      <c r="AD645" s="26">
        <f t="shared" si="21"/>
        <v>0</v>
      </c>
    </row>
    <row r="646" spans="2:30" ht="15" customHeight="1">
      <c r="B646" s="3" t="str">
        <f>IFERROR(VLOOKUP(C646,Master!$J:$K,2,0),"")</f>
        <v/>
      </c>
      <c r="D646" s="4" t="str">
        <f>IFERROR(VLOOKUP(E646,Master!$J:$K,2,0),"")</f>
        <v/>
      </c>
      <c r="F646" s="4" t="str">
        <f>IFERROR(VLOOKUP(G646,Master!B:C,2,0),"")</f>
        <v/>
      </c>
      <c r="I646" s="3" t="str">
        <f>IFERROR(VLOOKUP(E646,Master!$J:$M,4,0),"")</f>
        <v/>
      </c>
      <c r="J646" s="3" t="str">
        <f>IFERROR(VLOOKUP($E646,Master!$J:$M,3,0),"")</f>
        <v/>
      </c>
      <c r="AC646" s="26">
        <f t="shared" si="20"/>
        <v>0</v>
      </c>
      <c r="AD646" s="26">
        <f t="shared" si="21"/>
        <v>0</v>
      </c>
    </row>
    <row r="647" spans="2:30" ht="15" customHeight="1">
      <c r="B647" s="3" t="str">
        <f>IFERROR(VLOOKUP(C647,Master!$J:$K,2,0),"")</f>
        <v/>
      </c>
      <c r="D647" s="4" t="str">
        <f>IFERROR(VLOOKUP(E647,Master!$J:$K,2,0),"")</f>
        <v/>
      </c>
      <c r="F647" s="4" t="str">
        <f>IFERROR(VLOOKUP(G647,Master!B:C,2,0),"")</f>
        <v/>
      </c>
      <c r="I647" s="3" t="str">
        <f>IFERROR(VLOOKUP(E647,Master!$J:$M,4,0),"")</f>
        <v/>
      </c>
      <c r="J647" s="3" t="str">
        <f>IFERROR(VLOOKUP($E647,Master!$J:$M,3,0),"")</f>
        <v/>
      </c>
      <c r="AC647" s="26">
        <f t="shared" si="20"/>
        <v>0</v>
      </c>
      <c r="AD647" s="26">
        <f t="shared" si="21"/>
        <v>0</v>
      </c>
    </row>
    <row r="648" spans="2:30" ht="15" customHeight="1">
      <c r="B648" s="3" t="str">
        <f>IFERROR(VLOOKUP(C648,Master!$J:$K,2,0),"")</f>
        <v/>
      </c>
      <c r="D648" s="4" t="str">
        <f>IFERROR(VLOOKUP(E648,Master!$J:$K,2,0),"")</f>
        <v/>
      </c>
      <c r="F648" s="4" t="str">
        <f>IFERROR(VLOOKUP(G648,Master!B:C,2,0),"")</f>
        <v/>
      </c>
      <c r="I648" s="3" t="str">
        <f>IFERROR(VLOOKUP(E648,Master!$J:$M,4,0),"")</f>
        <v/>
      </c>
      <c r="J648" s="3" t="str">
        <f>IFERROR(VLOOKUP($E648,Master!$J:$M,3,0),"")</f>
        <v/>
      </c>
      <c r="AC648" s="26">
        <f t="shared" si="20"/>
        <v>0</v>
      </c>
      <c r="AD648" s="26">
        <f t="shared" si="21"/>
        <v>0</v>
      </c>
    </row>
    <row r="649" spans="2:30" ht="15" customHeight="1">
      <c r="B649" s="3" t="str">
        <f>IFERROR(VLOOKUP(C649,Master!$J:$K,2,0),"")</f>
        <v/>
      </c>
      <c r="D649" s="4" t="str">
        <f>IFERROR(VLOOKUP(E649,Master!$J:$K,2,0),"")</f>
        <v/>
      </c>
      <c r="F649" s="4" t="str">
        <f>IFERROR(VLOOKUP(G649,Master!B:C,2,0),"")</f>
        <v/>
      </c>
      <c r="I649" s="3" t="str">
        <f>IFERROR(VLOOKUP(E649,Master!$J:$M,4,0),"")</f>
        <v/>
      </c>
      <c r="J649" s="3" t="str">
        <f>IFERROR(VLOOKUP($E649,Master!$J:$M,3,0),"")</f>
        <v/>
      </c>
      <c r="AC649" s="26">
        <f t="shared" si="20"/>
        <v>0</v>
      </c>
      <c r="AD649" s="26">
        <f t="shared" si="21"/>
        <v>0</v>
      </c>
    </row>
    <row r="650" spans="2:30" ht="15" customHeight="1">
      <c r="B650" s="3" t="str">
        <f>IFERROR(VLOOKUP(C650,Master!$J:$K,2,0),"")</f>
        <v/>
      </c>
      <c r="D650" s="4" t="str">
        <f>IFERROR(VLOOKUP(E650,Master!$J:$K,2,0),"")</f>
        <v/>
      </c>
      <c r="F650" s="4" t="str">
        <f>IFERROR(VLOOKUP(G650,Master!B:C,2,0),"")</f>
        <v/>
      </c>
      <c r="I650" s="3" t="str">
        <f>IFERROR(VLOOKUP(E650,Master!$J:$M,4,0),"")</f>
        <v/>
      </c>
      <c r="J650" s="3" t="str">
        <f>IFERROR(VLOOKUP($E650,Master!$J:$M,3,0),"")</f>
        <v/>
      </c>
      <c r="AC650" s="26">
        <f t="shared" si="20"/>
        <v>0</v>
      </c>
      <c r="AD650" s="26">
        <f t="shared" si="21"/>
        <v>0</v>
      </c>
    </row>
    <row r="651" spans="2:30" ht="15" customHeight="1">
      <c r="B651" s="3" t="str">
        <f>IFERROR(VLOOKUP(C651,Master!$J:$K,2,0),"")</f>
        <v/>
      </c>
      <c r="D651" s="4" t="str">
        <f>IFERROR(VLOOKUP(E651,Master!$J:$K,2,0),"")</f>
        <v/>
      </c>
      <c r="F651" s="4" t="str">
        <f>IFERROR(VLOOKUP(G651,Master!B:C,2,0),"")</f>
        <v/>
      </c>
      <c r="I651" s="3" t="str">
        <f>IFERROR(VLOOKUP(E651,Master!$J:$M,4,0),"")</f>
        <v/>
      </c>
      <c r="J651" s="3" t="str">
        <f>IFERROR(VLOOKUP($E651,Master!$J:$M,3,0),"")</f>
        <v/>
      </c>
      <c r="AC651" s="26">
        <f t="shared" si="20"/>
        <v>0</v>
      </c>
      <c r="AD651" s="26">
        <f t="shared" si="21"/>
        <v>0</v>
      </c>
    </row>
    <row r="652" spans="2:30" ht="15" customHeight="1">
      <c r="B652" s="3" t="str">
        <f>IFERROR(VLOOKUP(C652,Master!$J:$K,2,0),"")</f>
        <v/>
      </c>
      <c r="D652" s="4" t="str">
        <f>IFERROR(VLOOKUP(E652,Master!$J:$K,2,0),"")</f>
        <v/>
      </c>
      <c r="F652" s="4" t="str">
        <f>IFERROR(VLOOKUP(G652,Master!B:C,2,0),"")</f>
        <v/>
      </c>
      <c r="I652" s="3" t="str">
        <f>IFERROR(VLOOKUP(E652,Master!$J:$M,4,0),"")</f>
        <v/>
      </c>
      <c r="J652" s="3" t="str">
        <f>IFERROR(VLOOKUP($E652,Master!$J:$M,3,0),"")</f>
        <v/>
      </c>
      <c r="AC652" s="26">
        <f t="shared" si="20"/>
        <v>0</v>
      </c>
      <c r="AD652" s="26">
        <f t="shared" si="21"/>
        <v>0</v>
      </c>
    </row>
    <row r="653" spans="2:30" ht="15" customHeight="1">
      <c r="B653" s="3" t="str">
        <f>IFERROR(VLOOKUP(C653,Master!$J:$K,2,0),"")</f>
        <v/>
      </c>
      <c r="D653" s="4" t="str">
        <f>IFERROR(VLOOKUP(E653,Master!$J:$K,2,0),"")</f>
        <v/>
      </c>
      <c r="F653" s="4" t="str">
        <f>IFERROR(VLOOKUP(G653,Master!B:C,2,0),"")</f>
        <v/>
      </c>
      <c r="I653" s="3" t="str">
        <f>IFERROR(VLOOKUP(E653,Master!$J:$M,4,0),"")</f>
        <v/>
      </c>
      <c r="J653" s="3" t="str">
        <f>IFERROR(VLOOKUP($E653,Master!$J:$M,3,0),"")</f>
        <v/>
      </c>
      <c r="AC653" s="26">
        <f t="shared" si="20"/>
        <v>0</v>
      </c>
      <c r="AD653" s="26">
        <f t="shared" si="21"/>
        <v>0</v>
      </c>
    </row>
    <row r="654" spans="2:30" ht="15" customHeight="1">
      <c r="B654" s="3" t="str">
        <f>IFERROR(VLOOKUP(C654,Master!$J:$K,2,0),"")</f>
        <v/>
      </c>
      <c r="D654" s="4" t="str">
        <f>IFERROR(VLOOKUP(E654,Master!$J:$K,2,0),"")</f>
        <v/>
      </c>
      <c r="F654" s="4" t="str">
        <f>IFERROR(VLOOKUP(G654,Master!B:C,2,0),"")</f>
        <v/>
      </c>
      <c r="I654" s="3" t="str">
        <f>IFERROR(VLOOKUP(E654,Master!$J:$M,4,0),"")</f>
        <v/>
      </c>
      <c r="J654" s="3" t="str">
        <f>IFERROR(VLOOKUP($E654,Master!$J:$M,3,0),"")</f>
        <v/>
      </c>
      <c r="AC654" s="26">
        <f t="shared" si="20"/>
        <v>0</v>
      </c>
      <c r="AD654" s="26">
        <f t="shared" si="21"/>
        <v>0</v>
      </c>
    </row>
    <row r="655" spans="2:30" ht="15" customHeight="1">
      <c r="B655" s="3" t="str">
        <f>IFERROR(VLOOKUP(C655,Master!$J:$K,2,0),"")</f>
        <v/>
      </c>
      <c r="D655" s="4" t="str">
        <f>IFERROR(VLOOKUP(E655,Master!$J:$K,2,0),"")</f>
        <v/>
      </c>
      <c r="F655" s="4" t="str">
        <f>IFERROR(VLOOKUP(G655,Master!B:C,2,0),"")</f>
        <v/>
      </c>
      <c r="I655" s="3" t="str">
        <f>IFERROR(VLOOKUP(E655,Master!$J:$M,4,0),"")</f>
        <v/>
      </c>
      <c r="J655" s="3" t="str">
        <f>IFERROR(VLOOKUP($E655,Master!$J:$M,3,0),"")</f>
        <v/>
      </c>
      <c r="AC655" s="26">
        <f t="shared" si="20"/>
        <v>0</v>
      </c>
      <c r="AD655" s="26">
        <f t="shared" si="21"/>
        <v>0</v>
      </c>
    </row>
    <row r="656" spans="2:30" ht="15" customHeight="1">
      <c r="B656" s="3" t="str">
        <f>IFERROR(VLOOKUP(C656,Master!$J:$K,2,0),"")</f>
        <v/>
      </c>
      <c r="D656" s="4" t="str">
        <f>IFERROR(VLOOKUP(E656,Master!$J:$K,2,0),"")</f>
        <v/>
      </c>
      <c r="F656" s="4" t="str">
        <f>IFERROR(VLOOKUP(G656,Master!B:C,2,0),"")</f>
        <v/>
      </c>
      <c r="I656" s="3" t="str">
        <f>IFERROR(VLOOKUP(E656,Master!$J:$M,4,0),"")</f>
        <v/>
      </c>
      <c r="J656" s="3" t="str">
        <f>IFERROR(VLOOKUP($E656,Master!$J:$M,3,0),"")</f>
        <v/>
      </c>
      <c r="AC656" s="26">
        <f t="shared" si="20"/>
        <v>0</v>
      </c>
      <c r="AD656" s="26">
        <f t="shared" si="21"/>
        <v>0</v>
      </c>
    </row>
    <row r="657" spans="2:30" ht="15" customHeight="1">
      <c r="B657" s="3" t="str">
        <f>IFERROR(VLOOKUP(C657,Master!$J:$K,2,0),"")</f>
        <v/>
      </c>
      <c r="D657" s="4" t="str">
        <f>IFERROR(VLOOKUP(E657,Master!$J:$K,2,0),"")</f>
        <v/>
      </c>
      <c r="F657" s="4" t="str">
        <f>IFERROR(VLOOKUP(G657,Master!B:C,2,0),"")</f>
        <v/>
      </c>
      <c r="I657" s="3" t="str">
        <f>IFERROR(VLOOKUP(E657,Master!$J:$M,4,0),"")</f>
        <v/>
      </c>
      <c r="J657" s="3" t="str">
        <f>IFERROR(VLOOKUP($E657,Master!$J:$M,3,0),"")</f>
        <v/>
      </c>
      <c r="AC657" s="26">
        <f t="shared" si="20"/>
        <v>0</v>
      </c>
      <c r="AD657" s="26">
        <f t="shared" si="21"/>
        <v>0</v>
      </c>
    </row>
    <row r="658" spans="2:30" ht="15" customHeight="1">
      <c r="B658" s="3" t="str">
        <f>IFERROR(VLOOKUP(C658,Master!$J:$K,2,0),"")</f>
        <v/>
      </c>
      <c r="D658" s="4" t="str">
        <f>IFERROR(VLOOKUP(E658,Master!$J:$K,2,0),"")</f>
        <v/>
      </c>
      <c r="F658" s="4" t="str">
        <f>IFERROR(VLOOKUP(G658,Master!B:C,2,0),"")</f>
        <v/>
      </c>
      <c r="I658" s="3" t="str">
        <f>IFERROR(VLOOKUP(E658,Master!$J:$M,4,0),"")</f>
        <v/>
      </c>
      <c r="J658" s="3" t="str">
        <f>IFERROR(VLOOKUP($E658,Master!$J:$M,3,0),"")</f>
        <v/>
      </c>
      <c r="AC658" s="26">
        <f t="shared" si="20"/>
        <v>0</v>
      </c>
      <c r="AD658" s="26">
        <f t="shared" si="21"/>
        <v>0</v>
      </c>
    </row>
    <row r="659" spans="2:30" ht="15" customHeight="1">
      <c r="B659" s="3" t="str">
        <f>IFERROR(VLOOKUP(C659,Master!$J:$K,2,0),"")</f>
        <v/>
      </c>
      <c r="D659" s="4" t="str">
        <f>IFERROR(VLOOKUP(E659,Master!$J:$K,2,0),"")</f>
        <v/>
      </c>
      <c r="F659" s="4" t="str">
        <f>IFERROR(VLOOKUP(G659,Master!B:C,2,0),"")</f>
        <v/>
      </c>
      <c r="I659" s="3" t="str">
        <f>IFERROR(VLOOKUP(E659,Master!$J:$M,4,0),"")</f>
        <v/>
      </c>
      <c r="J659" s="3" t="str">
        <f>IFERROR(VLOOKUP($E659,Master!$J:$M,3,0),"")</f>
        <v/>
      </c>
      <c r="AC659" s="26">
        <f t="shared" si="20"/>
        <v>0</v>
      </c>
      <c r="AD659" s="26">
        <f t="shared" si="21"/>
        <v>0</v>
      </c>
    </row>
    <row r="660" spans="2:30" ht="15" customHeight="1">
      <c r="B660" s="3" t="str">
        <f>IFERROR(VLOOKUP(C660,Master!$J:$K,2,0),"")</f>
        <v/>
      </c>
      <c r="D660" s="4" t="str">
        <f>IFERROR(VLOOKUP(E660,Master!$J:$K,2,0),"")</f>
        <v/>
      </c>
      <c r="F660" s="4" t="str">
        <f>IFERROR(VLOOKUP(G660,Master!B:C,2,0),"")</f>
        <v/>
      </c>
      <c r="I660" s="3" t="str">
        <f>IFERROR(VLOOKUP(E660,Master!$J:$M,4,0),"")</f>
        <v/>
      </c>
      <c r="J660" s="3" t="str">
        <f>IFERROR(VLOOKUP($E660,Master!$J:$M,3,0),"")</f>
        <v/>
      </c>
      <c r="AC660" s="26">
        <f t="shared" si="20"/>
        <v>0</v>
      </c>
      <c r="AD660" s="26">
        <f t="shared" si="21"/>
        <v>0</v>
      </c>
    </row>
    <row r="661" spans="2:30" ht="15" customHeight="1">
      <c r="B661" s="3" t="str">
        <f>IFERROR(VLOOKUP(C661,Master!$J:$K,2,0),"")</f>
        <v/>
      </c>
      <c r="D661" s="4" t="str">
        <f>IFERROR(VLOOKUP(E661,Master!$J:$K,2,0),"")</f>
        <v/>
      </c>
      <c r="F661" s="4" t="str">
        <f>IFERROR(VLOOKUP(G661,Master!B:C,2,0),"")</f>
        <v/>
      </c>
      <c r="I661" s="3" t="str">
        <f>IFERROR(VLOOKUP(E661,Master!$J:$M,4,0),"")</f>
        <v/>
      </c>
      <c r="J661" s="3" t="str">
        <f>IFERROR(VLOOKUP($E661,Master!$J:$M,3,0),"")</f>
        <v/>
      </c>
      <c r="AC661" s="26">
        <f t="shared" si="20"/>
        <v>0</v>
      </c>
      <c r="AD661" s="26">
        <f t="shared" si="21"/>
        <v>0</v>
      </c>
    </row>
    <row r="662" spans="2:30" ht="15" customHeight="1">
      <c r="B662" s="3" t="str">
        <f>IFERROR(VLOOKUP(C662,Master!$J:$K,2,0),"")</f>
        <v/>
      </c>
      <c r="D662" s="4" t="str">
        <f>IFERROR(VLOOKUP(E662,Master!$J:$K,2,0),"")</f>
        <v/>
      </c>
      <c r="F662" s="4" t="str">
        <f>IFERROR(VLOOKUP(G662,Master!B:C,2,0),"")</f>
        <v/>
      </c>
      <c r="I662" s="3" t="str">
        <f>IFERROR(VLOOKUP(E662,Master!$J:$M,4,0),"")</f>
        <v/>
      </c>
      <c r="J662" s="3" t="str">
        <f>IFERROR(VLOOKUP($E662,Master!$J:$M,3,0),"")</f>
        <v/>
      </c>
      <c r="AC662" s="26">
        <f t="shared" si="20"/>
        <v>0</v>
      </c>
      <c r="AD662" s="26">
        <f t="shared" si="21"/>
        <v>0</v>
      </c>
    </row>
    <row r="663" spans="2:30" ht="15" customHeight="1">
      <c r="B663" s="3" t="str">
        <f>IFERROR(VLOOKUP(C663,Master!$J:$K,2,0),"")</f>
        <v/>
      </c>
      <c r="D663" s="4" t="str">
        <f>IFERROR(VLOOKUP(E663,Master!$J:$K,2,0),"")</f>
        <v/>
      </c>
      <c r="F663" s="4" t="str">
        <f>IFERROR(VLOOKUP(G663,Master!B:C,2,0),"")</f>
        <v/>
      </c>
      <c r="I663" s="3" t="str">
        <f>IFERROR(VLOOKUP(E663,Master!$J:$M,4,0),"")</f>
        <v/>
      </c>
      <c r="J663" s="3" t="str">
        <f>IFERROR(VLOOKUP($E663,Master!$J:$M,3,0),"")</f>
        <v/>
      </c>
      <c r="AC663" s="26">
        <f t="shared" si="20"/>
        <v>0</v>
      </c>
      <c r="AD663" s="26">
        <f t="shared" si="21"/>
        <v>0</v>
      </c>
    </row>
    <row r="664" spans="2:30" ht="15" customHeight="1">
      <c r="B664" s="3" t="str">
        <f>IFERROR(VLOOKUP(C664,Master!$J:$K,2,0),"")</f>
        <v/>
      </c>
      <c r="D664" s="4" t="str">
        <f>IFERROR(VLOOKUP(E664,Master!$J:$K,2,0),"")</f>
        <v/>
      </c>
      <c r="F664" s="4" t="str">
        <f>IFERROR(VLOOKUP(G664,Master!B:C,2,0),"")</f>
        <v/>
      </c>
      <c r="I664" s="3" t="str">
        <f>IFERROR(VLOOKUP(E664,Master!$J:$M,4,0),"")</f>
        <v/>
      </c>
      <c r="J664" s="3" t="str">
        <f>IFERROR(VLOOKUP($E664,Master!$J:$M,3,0),"")</f>
        <v/>
      </c>
      <c r="AC664" s="26">
        <f t="shared" si="20"/>
        <v>0</v>
      </c>
      <c r="AD664" s="26">
        <f t="shared" si="21"/>
        <v>0</v>
      </c>
    </row>
    <row r="665" spans="2:30" ht="15" customHeight="1">
      <c r="B665" s="3" t="str">
        <f>IFERROR(VLOOKUP(C665,Master!$J:$K,2,0),"")</f>
        <v/>
      </c>
      <c r="D665" s="4" t="str">
        <f>IFERROR(VLOOKUP(E665,Master!$J:$K,2,0),"")</f>
        <v/>
      </c>
      <c r="F665" s="4" t="str">
        <f>IFERROR(VLOOKUP(G665,Master!B:C,2,0),"")</f>
        <v/>
      </c>
      <c r="I665" s="3" t="str">
        <f>IFERROR(VLOOKUP(E665,Master!$J:$M,4,0),"")</f>
        <v/>
      </c>
      <c r="J665" s="3" t="str">
        <f>IFERROR(VLOOKUP($E665,Master!$J:$M,3,0),"")</f>
        <v/>
      </c>
      <c r="AC665" s="26">
        <f t="shared" si="20"/>
        <v>0</v>
      </c>
      <c r="AD665" s="26">
        <f t="shared" si="21"/>
        <v>0</v>
      </c>
    </row>
    <row r="666" spans="2:30" ht="15" customHeight="1">
      <c r="B666" s="3" t="str">
        <f>IFERROR(VLOOKUP(C666,Master!$J:$K,2,0),"")</f>
        <v/>
      </c>
      <c r="D666" s="4" t="str">
        <f>IFERROR(VLOOKUP(E666,Master!$J:$K,2,0),"")</f>
        <v/>
      </c>
      <c r="F666" s="4" t="str">
        <f>IFERROR(VLOOKUP(G666,Master!B:C,2,0),"")</f>
        <v/>
      </c>
      <c r="I666" s="3" t="str">
        <f>IFERROR(VLOOKUP(E666,Master!$J:$M,4,0),"")</f>
        <v/>
      </c>
      <c r="J666" s="3" t="str">
        <f>IFERROR(VLOOKUP($E666,Master!$J:$M,3,0),"")</f>
        <v/>
      </c>
      <c r="AC666" s="26">
        <f t="shared" si="20"/>
        <v>0</v>
      </c>
      <c r="AD666" s="26">
        <f t="shared" si="21"/>
        <v>0</v>
      </c>
    </row>
    <row r="667" spans="2:30" ht="15" customHeight="1">
      <c r="B667" s="3" t="str">
        <f>IFERROR(VLOOKUP(C667,Master!$J:$K,2,0),"")</f>
        <v/>
      </c>
      <c r="D667" s="4" t="str">
        <f>IFERROR(VLOOKUP(E667,Master!$J:$K,2,0),"")</f>
        <v/>
      </c>
      <c r="F667" s="4" t="str">
        <f>IFERROR(VLOOKUP(G667,Master!B:C,2,0),"")</f>
        <v/>
      </c>
      <c r="I667" s="3" t="str">
        <f>IFERROR(VLOOKUP(E667,Master!$J:$M,4,0),"")</f>
        <v/>
      </c>
      <c r="J667" s="3" t="str">
        <f>IFERROR(VLOOKUP($E667,Master!$J:$M,3,0),"")</f>
        <v/>
      </c>
      <c r="AC667" s="26">
        <f t="shared" si="20"/>
        <v>0</v>
      </c>
      <c r="AD667" s="26">
        <f t="shared" si="21"/>
        <v>0</v>
      </c>
    </row>
    <row r="668" spans="2:30" ht="15" customHeight="1">
      <c r="B668" s="3" t="str">
        <f>IFERROR(VLOOKUP(C668,Master!$J:$K,2,0),"")</f>
        <v/>
      </c>
      <c r="D668" s="4" t="str">
        <f>IFERROR(VLOOKUP(E668,Master!$J:$K,2,0),"")</f>
        <v/>
      </c>
      <c r="F668" s="4" t="str">
        <f>IFERROR(VLOOKUP(G668,Master!B:C,2,0),"")</f>
        <v/>
      </c>
      <c r="I668" s="3" t="str">
        <f>IFERROR(VLOOKUP(E668,Master!$J:$M,4,0),"")</f>
        <v/>
      </c>
      <c r="J668" s="3" t="str">
        <f>IFERROR(VLOOKUP($E668,Master!$J:$M,3,0),"")</f>
        <v/>
      </c>
      <c r="AC668" s="26">
        <f t="shared" si="20"/>
        <v>0</v>
      </c>
      <c r="AD668" s="26">
        <f t="shared" si="21"/>
        <v>0</v>
      </c>
    </row>
    <row r="669" spans="2:30" ht="15" customHeight="1">
      <c r="B669" s="3" t="str">
        <f>IFERROR(VLOOKUP(C669,Master!$J:$K,2,0),"")</f>
        <v/>
      </c>
      <c r="D669" s="4" t="str">
        <f>IFERROR(VLOOKUP(E669,Master!$J:$K,2,0),"")</f>
        <v/>
      </c>
      <c r="F669" s="4" t="str">
        <f>IFERROR(VLOOKUP(G669,Master!B:C,2,0),"")</f>
        <v/>
      </c>
      <c r="I669" s="3" t="str">
        <f>IFERROR(VLOOKUP(E669,Master!$J:$M,4,0),"")</f>
        <v/>
      </c>
      <c r="J669" s="3" t="str">
        <f>IFERROR(VLOOKUP($E669,Master!$J:$M,3,0),"")</f>
        <v/>
      </c>
      <c r="AC669" s="26">
        <f t="shared" si="20"/>
        <v>0</v>
      </c>
      <c r="AD669" s="26">
        <f t="shared" si="21"/>
        <v>0</v>
      </c>
    </row>
    <row r="670" spans="2:30" ht="15" customHeight="1">
      <c r="B670" s="3" t="str">
        <f>IFERROR(VLOOKUP(C670,Master!$J:$K,2,0),"")</f>
        <v/>
      </c>
      <c r="D670" s="4" t="str">
        <f>IFERROR(VLOOKUP(E670,Master!$J:$K,2,0),"")</f>
        <v/>
      </c>
      <c r="F670" s="4" t="str">
        <f>IFERROR(VLOOKUP(G670,Master!B:C,2,0),"")</f>
        <v/>
      </c>
      <c r="I670" s="3" t="str">
        <f>IFERROR(VLOOKUP(E670,Master!$J:$M,4,0),"")</f>
        <v/>
      </c>
      <c r="J670" s="3" t="str">
        <f>IFERROR(VLOOKUP($E670,Master!$J:$M,3,0),"")</f>
        <v/>
      </c>
      <c r="AC670" s="26">
        <f t="shared" si="20"/>
        <v>0</v>
      </c>
      <c r="AD670" s="26">
        <f t="shared" si="21"/>
        <v>0</v>
      </c>
    </row>
    <row r="671" spans="2:30" ht="15" customHeight="1">
      <c r="B671" s="3" t="str">
        <f>IFERROR(VLOOKUP(C671,Master!$J:$K,2,0),"")</f>
        <v/>
      </c>
      <c r="D671" s="4" t="str">
        <f>IFERROR(VLOOKUP(E671,Master!$J:$K,2,0),"")</f>
        <v/>
      </c>
      <c r="F671" s="4" t="str">
        <f>IFERROR(VLOOKUP(G671,Master!B:C,2,0),"")</f>
        <v/>
      </c>
      <c r="I671" s="3" t="str">
        <f>IFERROR(VLOOKUP(E671,Master!$J:$M,4,0),"")</f>
        <v/>
      </c>
      <c r="J671" s="3" t="str">
        <f>IFERROR(VLOOKUP($E671,Master!$J:$M,3,0),"")</f>
        <v/>
      </c>
      <c r="AC671" s="26">
        <f t="shared" si="20"/>
        <v>0</v>
      </c>
      <c r="AD671" s="26">
        <f t="shared" si="21"/>
        <v>0</v>
      </c>
    </row>
    <row r="672" spans="2:30" ht="15" customHeight="1">
      <c r="B672" s="3" t="str">
        <f>IFERROR(VLOOKUP(C672,Master!$J:$K,2,0),"")</f>
        <v/>
      </c>
      <c r="D672" s="4" t="str">
        <f>IFERROR(VLOOKUP(E672,Master!$J:$K,2,0),"")</f>
        <v/>
      </c>
      <c r="F672" s="4" t="str">
        <f>IFERROR(VLOOKUP(G672,Master!B:C,2,0),"")</f>
        <v/>
      </c>
      <c r="I672" s="3" t="str">
        <f>IFERROR(VLOOKUP(E672,Master!$J:$M,4,0),"")</f>
        <v/>
      </c>
      <c r="J672" s="3" t="str">
        <f>IFERROR(VLOOKUP($E672,Master!$J:$M,3,0),"")</f>
        <v/>
      </c>
      <c r="AC672" s="26">
        <f t="shared" si="20"/>
        <v>0</v>
      </c>
      <c r="AD672" s="26">
        <f t="shared" si="21"/>
        <v>0</v>
      </c>
    </row>
    <row r="673" spans="2:30" ht="15" customHeight="1">
      <c r="B673" s="3" t="str">
        <f>IFERROR(VLOOKUP(C673,Master!$J:$K,2,0),"")</f>
        <v/>
      </c>
      <c r="D673" s="4" t="str">
        <f>IFERROR(VLOOKUP(E673,Master!$J:$K,2,0),"")</f>
        <v/>
      </c>
      <c r="F673" s="4" t="str">
        <f>IFERROR(VLOOKUP(G673,Master!B:C,2,0),"")</f>
        <v/>
      </c>
      <c r="I673" s="3" t="str">
        <f>IFERROR(VLOOKUP(E673,Master!$J:$M,4,0),"")</f>
        <v/>
      </c>
      <c r="J673" s="3" t="str">
        <f>IFERROR(VLOOKUP($E673,Master!$J:$M,3,0),"")</f>
        <v/>
      </c>
      <c r="AC673" s="26">
        <f t="shared" si="20"/>
        <v>0</v>
      </c>
      <c r="AD673" s="26">
        <f t="shared" si="21"/>
        <v>0</v>
      </c>
    </row>
    <row r="674" spans="2:30" ht="15" customHeight="1">
      <c r="B674" s="3" t="str">
        <f>IFERROR(VLOOKUP(C674,Master!$J:$K,2,0),"")</f>
        <v/>
      </c>
      <c r="D674" s="4" t="str">
        <f>IFERROR(VLOOKUP(E674,Master!$J:$K,2,0),"")</f>
        <v/>
      </c>
      <c r="F674" s="4" t="str">
        <f>IFERROR(VLOOKUP(G674,Master!B:C,2,0),"")</f>
        <v/>
      </c>
      <c r="I674" s="3" t="str">
        <f>IFERROR(VLOOKUP(E674,Master!$J:$M,4,0),"")</f>
        <v/>
      </c>
      <c r="J674" s="3" t="str">
        <f>IFERROR(VLOOKUP($E674,Master!$J:$M,3,0),"")</f>
        <v/>
      </c>
      <c r="AC674" s="26">
        <f t="shared" si="20"/>
        <v>0</v>
      </c>
      <c r="AD674" s="26">
        <f t="shared" si="21"/>
        <v>0</v>
      </c>
    </row>
    <row r="675" spans="2:30" ht="15" customHeight="1">
      <c r="B675" s="3" t="str">
        <f>IFERROR(VLOOKUP(C675,Master!$J:$K,2,0),"")</f>
        <v/>
      </c>
      <c r="D675" s="4" t="str">
        <f>IFERROR(VLOOKUP(E675,Master!$J:$K,2,0),"")</f>
        <v/>
      </c>
      <c r="F675" s="4" t="str">
        <f>IFERROR(VLOOKUP(G675,Master!B:C,2,0),"")</f>
        <v/>
      </c>
      <c r="I675" s="3" t="str">
        <f>IFERROR(VLOOKUP(E675,Master!$J:$M,4,0),"")</f>
        <v/>
      </c>
      <c r="J675" s="3" t="str">
        <f>IFERROR(VLOOKUP($E675,Master!$J:$M,3,0),"")</f>
        <v/>
      </c>
      <c r="AC675" s="26">
        <f t="shared" si="20"/>
        <v>0</v>
      </c>
      <c r="AD675" s="26">
        <f t="shared" si="21"/>
        <v>0</v>
      </c>
    </row>
    <row r="676" spans="2:30" ht="15" customHeight="1">
      <c r="B676" s="3" t="str">
        <f>IFERROR(VLOOKUP(C676,Master!$J:$K,2,0),"")</f>
        <v/>
      </c>
      <c r="D676" s="4" t="str">
        <f>IFERROR(VLOOKUP(E676,Master!$J:$K,2,0),"")</f>
        <v/>
      </c>
      <c r="F676" s="4" t="str">
        <f>IFERROR(VLOOKUP(G676,Master!B:C,2,0),"")</f>
        <v/>
      </c>
      <c r="I676" s="3" t="str">
        <f>IFERROR(VLOOKUP(E676,Master!$J:$M,4,0),"")</f>
        <v/>
      </c>
      <c r="J676" s="3" t="str">
        <f>IFERROR(VLOOKUP($E676,Master!$J:$M,3,0),"")</f>
        <v/>
      </c>
      <c r="AC676" s="26">
        <f t="shared" si="20"/>
        <v>0</v>
      </c>
      <c r="AD676" s="26">
        <f t="shared" si="21"/>
        <v>0</v>
      </c>
    </row>
    <row r="677" spans="2:30" ht="15" customHeight="1">
      <c r="B677" s="3" t="str">
        <f>IFERROR(VLOOKUP(C677,Master!$J:$K,2,0),"")</f>
        <v/>
      </c>
      <c r="D677" s="4" t="str">
        <f>IFERROR(VLOOKUP(E677,Master!$J:$K,2,0),"")</f>
        <v/>
      </c>
      <c r="F677" s="4" t="str">
        <f>IFERROR(VLOOKUP(G677,Master!B:C,2,0),"")</f>
        <v/>
      </c>
      <c r="I677" s="3" t="str">
        <f>IFERROR(VLOOKUP(E677,Master!$J:$M,4,0),"")</f>
        <v/>
      </c>
      <c r="J677" s="3" t="str">
        <f>IFERROR(VLOOKUP($E677,Master!$J:$M,3,0),"")</f>
        <v/>
      </c>
      <c r="AC677" s="26">
        <f t="shared" si="20"/>
        <v>0</v>
      </c>
      <c r="AD677" s="26">
        <f t="shared" si="21"/>
        <v>0</v>
      </c>
    </row>
    <row r="678" spans="2:30" ht="15" customHeight="1">
      <c r="B678" s="3" t="str">
        <f>IFERROR(VLOOKUP(C678,Master!$J:$K,2,0),"")</f>
        <v/>
      </c>
      <c r="D678" s="4" t="str">
        <f>IFERROR(VLOOKUP(E678,Master!$J:$K,2,0),"")</f>
        <v/>
      </c>
      <c r="F678" s="4" t="str">
        <f>IFERROR(VLOOKUP(G678,Master!B:C,2,0),"")</f>
        <v/>
      </c>
      <c r="I678" s="3" t="str">
        <f>IFERROR(VLOOKUP(E678,Master!$J:$M,4,0),"")</f>
        <v/>
      </c>
      <c r="J678" s="3" t="str">
        <f>IFERROR(VLOOKUP($E678,Master!$J:$M,3,0),"")</f>
        <v/>
      </c>
      <c r="AC678" s="26">
        <f t="shared" si="20"/>
        <v>0</v>
      </c>
      <c r="AD678" s="26">
        <f t="shared" si="21"/>
        <v>0</v>
      </c>
    </row>
    <row r="679" spans="2:30" ht="15" customHeight="1">
      <c r="B679" s="3" t="str">
        <f>IFERROR(VLOOKUP(C679,Master!$J:$K,2,0),"")</f>
        <v/>
      </c>
      <c r="D679" s="4" t="str">
        <f>IFERROR(VLOOKUP(E679,Master!$J:$K,2,0),"")</f>
        <v/>
      </c>
      <c r="F679" s="4" t="str">
        <f>IFERROR(VLOOKUP(G679,Master!B:C,2,0),"")</f>
        <v/>
      </c>
      <c r="I679" s="3" t="str">
        <f>IFERROR(VLOOKUP(E679,Master!$J:$M,4,0),"")</f>
        <v/>
      </c>
      <c r="J679" s="3" t="str">
        <f>IFERROR(VLOOKUP($E679,Master!$J:$M,3,0),"")</f>
        <v/>
      </c>
      <c r="AC679" s="26">
        <f t="shared" si="20"/>
        <v>0</v>
      </c>
      <c r="AD679" s="26">
        <f t="shared" si="21"/>
        <v>0</v>
      </c>
    </row>
    <row r="680" spans="2:30" ht="15" customHeight="1">
      <c r="B680" s="3" t="str">
        <f>IFERROR(VLOOKUP(C680,Master!$J:$K,2,0),"")</f>
        <v/>
      </c>
      <c r="D680" s="4" t="str">
        <f>IFERROR(VLOOKUP(E680,Master!$J:$K,2,0),"")</f>
        <v/>
      </c>
      <c r="F680" s="4" t="str">
        <f>IFERROR(VLOOKUP(G680,Master!B:C,2,0),"")</f>
        <v/>
      </c>
      <c r="I680" s="3" t="str">
        <f>IFERROR(VLOOKUP(E680,Master!$J:$M,4,0),"")</f>
        <v/>
      </c>
      <c r="J680" s="3" t="str">
        <f>IFERROR(VLOOKUP($E680,Master!$J:$M,3,0),"")</f>
        <v/>
      </c>
      <c r="AC680" s="26">
        <f t="shared" si="20"/>
        <v>0</v>
      </c>
      <c r="AD680" s="26">
        <f t="shared" si="21"/>
        <v>0</v>
      </c>
    </row>
    <row r="681" spans="2:30" ht="15" customHeight="1">
      <c r="B681" s="3" t="str">
        <f>IFERROR(VLOOKUP(C681,Master!$J:$K,2,0),"")</f>
        <v/>
      </c>
      <c r="D681" s="4" t="str">
        <f>IFERROR(VLOOKUP(E681,Master!$J:$K,2,0),"")</f>
        <v/>
      </c>
      <c r="F681" s="4" t="str">
        <f>IFERROR(VLOOKUP(G681,Master!B:C,2,0),"")</f>
        <v/>
      </c>
      <c r="I681" s="3" t="str">
        <f>IFERROR(VLOOKUP(E681,Master!$J:$M,4,0),"")</f>
        <v/>
      </c>
      <c r="J681" s="3" t="str">
        <f>IFERROR(VLOOKUP($E681,Master!$J:$M,3,0),"")</f>
        <v/>
      </c>
      <c r="AC681" s="26">
        <f t="shared" si="20"/>
        <v>0</v>
      </c>
      <c r="AD681" s="26">
        <f t="shared" si="21"/>
        <v>0</v>
      </c>
    </row>
    <row r="682" spans="2:30" ht="15" customHeight="1">
      <c r="B682" s="3" t="str">
        <f>IFERROR(VLOOKUP(C682,Master!$J:$K,2,0),"")</f>
        <v/>
      </c>
      <c r="D682" s="4" t="str">
        <f>IFERROR(VLOOKUP(E682,Master!$J:$K,2,0),"")</f>
        <v/>
      </c>
      <c r="F682" s="4" t="str">
        <f>IFERROR(VLOOKUP(G682,Master!B:C,2,0),"")</f>
        <v/>
      </c>
      <c r="I682" s="3" t="str">
        <f>IFERROR(VLOOKUP(E682,Master!$J:$M,4,0),"")</f>
        <v/>
      </c>
      <c r="J682" s="3" t="str">
        <f>IFERROR(VLOOKUP($E682,Master!$J:$M,3,0),"")</f>
        <v/>
      </c>
      <c r="AC682" s="26">
        <f t="shared" si="20"/>
        <v>0</v>
      </c>
      <c r="AD682" s="26">
        <f t="shared" si="21"/>
        <v>0</v>
      </c>
    </row>
    <row r="683" spans="2:30" ht="15" customHeight="1">
      <c r="B683" s="3" t="str">
        <f>IFERROR(VLOOKUP(C683,Master!$J:$K,2,0),"")</f>
        <v/>
      </c>
      <c r="D683" s="4" t="str">
        <f>IFERROR(VLOOKUP(E683,Master!$J:$K,2,0),"")</f>
        <v/>
      </c>
      <c r="F683" s="4" t="str">
        <f>IFERROR(VLOOKUP(G683,Master!B:C,2,0),"")</f>
        <v/>
      </c>
      <c r="I683" s="3" t="str">
        <f>IFERROR(VLOOKUP(E683,Master!$J:$M,4,0),"")</f>
        <v/>
      </c>
      <c r="J683" s="3" t="str">
        <f>IFERROR(VLOOKUP($E683,Master!$J:$M,3,0),"")</f>
        <v/>
      </c>
      <c r="AC683" s="26">
        <f t="shared" si="20"/>
        <v>0</v>
      </c>
      <c r="AD683" s="26">
        <f t="shared" si="21"/>
        <v>0</v>
      </c>
    </row>
    <row r="684" spans="2:30" ht="15" customHeight="1">
      <c r="B684" s="3" t="str">
        <f>IFERROR(VLOOKUP(C684,Master!$J:$K,2,0),"")</f>
        <v/>
      </c>
      <c r="D684" s="4" t="str">
        <f>IFERROR(VLOOKUP(E684,Master!$J:$K,2,0),"")</f>
        <v/>
      </c>
      <c r="F684" s="4" t="str">
        <f>IFERROR(VLOOKUP(G684,Master!B:C,2,0),"")</f>
        <v/>
      </c>
      <c r="I684" s="3" t="str">
        <f>IFERROR(VLOOKUP(E684,Master!$J:$M,4,0),"")</f>
        <v/>
      </c>
      <c r="J684" s="3" t="str">
        <f>IFERROR(VLOOKUP($E684,Master!$J:$M,3,0),"")</f>
        <v/>
      </c>
      <c r="AC684" s="26">
        <f t="shared" si="20"/>
        <v>0</v>
      </c>
      <c r="AD684" s="26">
        <f t="shared" si="21"/>
        <v>0</v>
      </c>
    </row>
    <row r="685" spans="2:30" ht="15" customHeight="1">
      <c r="B685" s="3" t="str">
        <f>IFERROR(VLOOKUP(C685,Master!$J:$K,2,0),"")</f>
        <v/>
      </c>
      <c r="D685" s="4" t="str">
        <f>IFERROR(VLOOKUP(E685,Master!$J:$K,2,0),"")</f>
        <v/>
      </c>
      <c r="F685" s="4" t="str">
        <f>IFERROR(VLOOKUP(G685,Master!B:C,2,0),"")</f>
        <v/>
      </c>
      <c r="I685" s="3" t="str">
        <f>IFERROR(VLOOKUP(E685,Master!$J:$M,4,0),"")</f>
        <v/>
      </c>
      <c r="J685" s="3" t="str">
        <f>IFERROR(VLOOKUP($E685,Master!$J:$M,3,0),"")</f>
        <v/>
      </c>
      <c r="AC685" s="26">
        <f t="shared" si="20"/>
        <v>0</v>
      </c>
      <c r="AD685" s="26">
        <f t="shared" si="21"/>
        <v>0</v>
      </c>
    </row>
    <row r="686" spans="2:30" ht="15" customHeight="1">
      <c r="B686" s="3" t="str">
        <f>IFERROR(VLOOKUP(C686,Master!$J:$K,2,0),"")</f>
        <v/>
      </c>
      <c r="D686" s="4" t="str">
        <f>IFERROR(VLOOKUP(E686,Master!$J:$K,2,0),"")</f>
        <v/>
      </c>
      <c r="F686" s="4" t="str">
        <f>IFERROR(VLOOKUP(G686,Master!B:C,2,0),"")</f>
        <v/>
      </c>
      <c r="I686" s="3" t="str">
        <f>IFERROR(VLOOKUP(E686,Master!$J:$M,4,0),"")</f>
        <v/>
      </c>
      <c r="J686" s="3" t="str">
        <f>IFERROR(VLOOKUP($E686,Master!$J:$M,3,0),"")</f>
        <v/>
      </c>
      <c r="AC686" s="26">
        <f t="shared" si="20"/>
        <v>0</v>
      </c>
      <c r="AD686" s="26">
        <f t="shared" si="21"/>
        <v>0</v>
      </c>
    </row>
    <row r="687" spans="2:30" ht="15" customHeight="1">
      <c r="B687" s="3" t="str">
        <f>IFERROR(VLOOKUP(C687,Master!$J:$K,2,0),"")</f>
        <v/>
      </c>
      <c r="D687" s="4" t="str">
        <f>IFERROR(VLOOKUP(E687,Master!$J:$K,2,0),"")</f>
        <v/>
      </c>
      <c r="F687" s="4" t="str">
        <f>IFERROR(VLOOKUP(G687,Master!B:C,2,0),"")</f>
        <v/>
      </c>
      <c r="I687" s="3" t="str">
        <f>IFERROR(VLOOKUP(E687,Master!$J:$M,4,0),"")</f>
        <v/>
      </c>
      <c r="J687" s="3" t="str">
        <f>IFERROR(VLOOKUP($E687,Master!$J:$M,3,0),"")</f>
        <v/>
      </c>
      <c r="AC687" s="26">
        <f t="shared" si="20"/>
        <v>0</v>
      </c>
      <c r="AD687" s="26">
        <f t="shared" si="21"/>
        <v>0</v>
      </c>
    </row>
    <row r="688" spans="2:30" ht="15" customHeight="1">
      <c r="B688" s="3" t="str">
        <f>IFERROR(VLOOKUP(C688,Master!$J:$K,2,0),"")</f>
        <v/>
      </c>
      <c r="D688" s="4" t="str">
        <f>IFERROR(VLOOKUP(E688,Master!$J:$K,2,0),"")</f>
        <v/>
      </c>
      <c r="F688" s="4" t="str">
        <f>IFERROR(VLOOKUP(G688,Master!B:C,2,0),"")</f>
        <v/>
      </c>
      <c r="I688" s="3" t="str">
        <f>IFERROR(VLOOKUP(E688,Master!$J:$M,4,0),"")</f>
        <v/>
      </c>
      <c r="J688" s="3" t="str">
        <f>IFERROR(VLOOKUP($E688,Master!$J:$M,3,0),"")</f>
        <v/>
      </c>
      <c r="AC688" s="26">
        <f t="shared" si="20"/>
        <v>0</v>
      </c>
      <c r="AD688" s="26">
        <f t="shared" si="21"/>
        <v>0</v>
      </c>
    </row>
    <row r="689" spans="2:30" ht="15" customHeight="1">
      <c r="B689" s="3" t="str">
        <f>IFERROR(VLOOKUP(C689,Master!$J:$K,2,0),"")</f>
        <v/>
      </c>
      <c r="D689" s="4" t="str">
        <f>IFERROR(VLOOKUP(E689,Master!$J:$K,2,0),"")</f>
        <v/>
      </c>
      <c r="F689" s="4" t="str">
        <f>IFERROR(VLOOKUP(G689,Master!B:C,2,0),"")</f>
        <v/>
      </c>
      <c r="I689" s="3" t="str">
        <f>IFERROR(VLOOKUP(E689,Master!$J:$M,4,0),"")</f>
        <v/>
      </c>
      <c r="J689" s="3" t="str">
        <f>IFERROR(VLOOKUP($E689,Master!$J:$M,3,0),"")</f>
        <v/>
      </c>
      <c r="AC689" s="26">
        <f t="shared" si="20"/>
        <v>0</v>
      </c>
      <c r="AD689" s="26">
        <f t="shared" si="21"/>
        <v>0</v>
      </c>
    </row>
    <row r="690" spans="2:30" ht="15" customHeight="1">
      <c r="B690" s="3" t="str">
        <f>IFERROR(VLOOKUP(C690,Master!$J:$K,2,0),"")</f>
        <v/>
      </c>
      <c r="D690" s="4" t="str">
        <f>IFERROR(VLOOKUP(E690,Master!$J:$K,2,0),"")</f>
        <v/>
      </c>
      <c r="F690" s="4" t="str">
        <f>IFERROR(VLOOKUP(G690,Master!B:C,2,0),"")</f>
        <v/>
      </c>
      <c r="I690" s="3" t="str">
        <f>IFERROR(VLOOKUP(E690,Master!$J:$M,4,0),"")</f>
        <v/>
      </c>
      <c r="J690" s="3" t="str">
        <f>IFERROR(VLOOKUP($E690,Master!$J:$M,3,0),"")</f>
        <v/>
      </c>
      <c r="AC690" s="26">
        <f t="shared" si="20"/>
        <v>0</v>
      </c>
      <c r="AD690" s="26">
        <f t="shared" si="21"/>
        <v>0</v>
      </c>
    </row>
    <row r="691" spans="2:30" ht="15" customHeight="1">
      <c r="B691" s="3" t="str">
        <f>IFERROR(VLOOKUP(C691,Master!$J:$K,2,0),"")</f>
        <v/>
      </c>
      <c r="D691" s="4" t="str">
        <f>IFERROR(VLOOKUP(E691,Master!$J:$K,2,0),"")</f>
        <v/>
      </c>
      <c r="F691" s="4" t="str">
        <f>IFERROR(VLOOKUP(G691,Master!B:C,2,0),"")</f>
        <v/>
      </c>
      <c r="I691" s="3" t="str">
        <f>IFERROR(VLOOKUP(E691,Master!$J:$M,4,0),"")</f>
        <v/>
      </c>
      <c r="J691" s="3" t="str">
        <f>IFERROR(VLOOKUP($E691,Master!$J:$M,3,0),"")</f>
        <v/>
      </c>
      <c r="AC691" s="26">
        <f t="shared" si="20"/>
        <v>0</v>
      </c>
      <c r="AD691" s="26">
        <f t="shared" si="21"/>
        <v>0</v>
      </c>
    </row>
    <row r="692" spans="2:30" ht="15" customHeight="1">
      <c r="B692" s="3" t="str">
        <f>IFERROR(VLOOKUP(C692,Master!$J:$K,2,0),"")</f>
        <v/>
      </c>
      <c r="D692" s="4" t="str">
        <f>IFERROR(VLOOKUP(E692,Master!$J:$K,2,0),"")</f>
        <v/>
      </c>
      <c r="F692" s="4" t="str">
        <f>IFERROR(VLOOKUP(G692,Master!B:C,2,0),"")</f>
        <v/>
      </c>
      <c r="I692" s="3" t="str">
        <f>IFERROR(VLOOKUP(E692,Master!$J:$M,4,0),"")</f>
        <v/>
      </c>
      <c r="J692" s="3" t="str">
        <f>IFERROR(VLOOKUP($E692,Master!$J:$M,3,0),"")</f>
        <v/>
      </c>
      <c r="AC692" s="26">
        <f t="shared" si="20"/>
        <v>0</v>
      </c>
      <c r="AD692" s="26">
        <f t="shared" si="21"/>
        <v>0</v>
      </c>
    </row>
    <row r="693" spans="2:30" ht="15" customHeight="1">
      <c r="B693" s="3" t="str">
        <f>IFERROR(VLOOKUP(C693,Master!$J:$K,2,0),"")</f>
        <v/>
      </c>
      <c r="D693" s="4" t="str">
        <f>IFERROR(VLOOKUP(E693,Master!$J:$K,2,0),"")</f>
        <v/>
      </c>
      <c r="F693" s="4" t="str">
        <f>IFERROR(VLOOKUP(G693,Master!B:C,2,0),"")</f>
        <v/>
      </c>
      <c r="I693" s="3" t="str">
        <f>IFERROR(VLOOKUP(E693,Master!$J:$M,4,0),"")</f>
        <v/>
      </c>
      <c r="J693" s="3" t="str">
        <f>IFERROR(VLOOKUP($E693,Master!$J:$M,3,0),"")</f>
        <v/>
      </c>
      <c r="AC693" s="26">
        <f t="shared" si="20"/>
        <v>0</v>
      </c>
      <c r="AD693" s="26">
        <f t="shared" si="21"/>
        <v>0</v>
      </c>
    </row>
    <row r="694" spans="2:30" ht="15" customHeight="1">
      <c r="B694" s="3" t="str">
        <f>IFERROR(VLOOKUP(C694,Master!$J:$K,2,0),"")</f>
        <v/>
      </c>
      <c r="D694" s="4" t="str">
        <f>IFERROR(VLOOKUP(E694,Master!$J:$K,2,0),"")</f>
        <v/>
      </c>
      <c r="F694" s="4" t="str">
        <f>IFERROR(VLOOKUP(G694,Master!B:C,2,0),"")</f>
        <v/>
      </c>
      <c r="I694" s="3" t="str">
        <f>IFERROR(VLOOKUP(E694,Master!$J:$M,4,0),"")</f>
        <v/>
      </c>
      <c r="J694" s="3" t="str">
        <f>IFERROR(VLOOKUP($E694,Master!$J:$M,3,0),"")</f>
        <v/>
      </c>
      <c r="AC694" s="26">
        <f t="shared" si="20"/>
        <v>0</v>
      </c>
      <c r="AD694" s="26">
        <f t="shared" si="21"/>
        <v>0</v>
      </c>
    </row>
    <row r="695" spans="2:30" ht="15" customHeight="1">
      <c r="B695" s="3" t="str">
        <f>IFERROR(VLOOKUP(C695,Master!$J:$K,2,0),"")</f>
        <v/>
      </c>
      <c r="D695" s="4" t="str">
        <f>IFERROR(VLOOKUP(E695,Master!$J:$K,2,0),"")</f>
        <v/>
      </c>
      <c r="F695" s="4" t="str">
        <f>IFERROR(VLOOKUP(G695,Master!B:C,2,0),"")</f>
        <v/>
      </c>
      <c r="I695" s="3" t="str">
        <f>IFERROR(VLOOKUP(E695,Master!$J:$M,4,0),"")</f>
        <v/>
      </c>
      <c r="J695" s="3" t="str">
        <f>IFERROR(VLOOKUP($E695,Master!$J:$M,3,0),"")</f>
        <v/>
      </c>
      <c r="AC695" s="26">
        <f t="shared" si="20"/>
        <v>0</v>
      </c>
      <c r="AD695" s="26">
        <f t="shared" si="21"/>
        <v>0</v>
      </c>
    </row>
    <row r="696" spans="2:30" ht="15" customHeight="1">
      <c r="B696" s="3" t="str">
        <f>IFERROR(VLOOKUP(C696,Master!$J:$K,2,0),"")</f>
        <v/>
      </c>
      <c r="D696" s="4" t="str">
        <f>IFERROR(VLOOKUP(E696,Master!$J:$K,2,0),"")</f>
        <v/>
      </c>
      <c r="F696" s="4" t="str">
        <f>IFERROR(VLOOKUP(G696,Master!B:C,2,0),"")</f>
        <v/>
      </c>
      <c r="I696" s="3" t="str">
        <f>IFERROR(VLOOKUP(E696,Master!$J:$M,4,0),"")</f>
        <v/>
      </c>
      <c r="J696" s="3" t="str">
        <f>IFERROR(VLOOKUP($E696,Master!$J:$M,3,0),"")</f>
        <v/>
      </c>
      <c r="AC696" s="26">
        <f t="shared" si="20"/>
        <v>0</v>
      </c>
      <c r="AD696" s="26">
        <f t="shared" si="21"/>
        <v>0</v>
      </c>
    </row>
    <row r="697" spans="2:30" ht="15" customHeight="1">
      <c r="B697" s="3" t="str">
        <f>IFERROR(VLOOKUP(C697,Master!$J:$K,2,0),"")</f>
        <v/>
      </c>
      <c r="D697" s="4" t="str">
        <f>IFERROR(VLOOKUP(E697,Master!$J:$K,2,0),"")</f>
        <v/>
      </c>
      <c r="F697" s="4" t="str">
        <f>IFERROR(VLOOKUP(G697,Master!B:C,2,0),"")</f>
        <v/>
      </c>
      <c r="I697" s="3" t="str">
        <f>IFERROR(VLOOKUP(E697,Master!$J:$M,4,0),"")</f>
        <v/>
      </c>
      <c r="J697" s="3" t="str">
        <f>IFERROR(VLOOKUP($E697,Master!$J:$M,3,0),"")</f>
        <v/>
      </c>
      <c r="AC697" s="26">
        <f t="shared" si="20"/>
        <v>0</v>
      </c>
      <c r="AD697" s="26">
        <f t="shared" si="21"/>
        <v>0</v>
      </c>
    </row>
    <row r="698" spans="2:30" ht="15" customHeight="1">
      <c r="B698" s="3" t="str">
        <f>IFERROR(VLOOKUP(C698,Master!$J:$K,2,0),"")</f>
        <v/>
      </c>
      <c r="D698" s="4" t="str">
        <f>IFERROR(VLOOKUP(E698,Master!$J:$K,2,0),"")</f>
        <v/>
      </c>
      <c r="F698" s="4" t="str">
        <f>IFERROR(VLOOKUP(G698,Master!B:C,2,0),"")</f>
        <v/>
      </c>
      <c r="I698" s="3" t="str">
        <f>IFERROR(VLOOKUP(E698,Master!$J:$M,4,0),"")</f>
        <v/>
      </c>
      <c r="J698" s="3" t="str">
        <f>IFERROR(VLOOKUP($E698,Master!$J:$M,3,0),"")</f>
        <v/>
      </c>
      <c r="AC698" s="26">
        <f t="shared" si="20"/>
        <v>0</v>
      </c>
      <c r="AD698" s="26">
        <f t="shared" si="21"/>
        <v>0</v>
      </c>
    </row>
    <row r="699" spans="2:30" ht="15" customHeight="1">
      <c r="B699" s="3" t="str">
        <f>IFERROR(VLOOKUP(C699,Master!$J:$K,2,0),"")</f>
        <v/>
      </c>
      <c r="D699" s="4" t="str">
        <f>IFERROR(VLOOKUP(E699,Master!$J:$K,2,0),"")</f>
        <v/>
      </c>
      <c r="F699" s="4" t="str">
        <f>IFERROR(VLOOKUP(G699,Master!B:C,2,0),"")</f>
        <v/>
      </c>
      <c r="I699" s="3" t="str">
        <f>IFERROR(VLOOKUP(E699,Master!$J:$M,4,0),"")</f>
        <v/>
      </c>
      <c r="J699" s="3" t="str">
        <f>IFERROR(VLOOKUP($E699,Master!$J:$M,3,0),"")</f>
        <v/>
      </c>
      <c r="AC699" s="26">
        <f t="shared" si="20"/>
        <v>0</v>
      </c>
      <c r="AD699" s="26">
        <f t="shared" si="21"/>
        <v>0</v>
      </c>
    </row>
    <row r="700" spans="2:30" ht="15" customHeight="1">
      <c r="B700" s="3" t="str">
        <f>IFERROR(VLOOKUP(C700,Master!$J:$K,2,0),"")</f>
        <v/>
      </c>
      <c r="D700" s="4" t="str">
        <f>IFERROR(VLOOKUP(E700,Master!$J:$K,2,0),"")</f>
        <v/>
      </c>
      <c r="F700" s="4" t="str">
        <f>IFERROR(VLOOKUP(G700,Master!B:C,2,0),"")</f>
        <v/>
      </c>
      <c r="I700" s="3" t="str">
        <f>IFERROR(VLOOKUP(E700,Master!$J:$M,4,0),"")</f>
        <v/>
      </c>
      <c r="J700" s="3" t="str">
        <f>IFERROR(VLOOKUP($E700,Master!$J:$M,3,0),"")</f>
        <v/>
      </c>
      <c r="AC700" s="26">
        <f t="shared" si="20"/>
        <v>0</v>
      </c>
      <c r="AD700" s="26">
        <f t="shared" si="21"/>
        <v>0</v>
      </c>
    </row>
    <row r="701" spans="2:30" ht="15" customHeight="1">
      <c r="B701" s="3" t="str">
        <f>IFERROR(VLOOKUP(C701,Master!$J:$K,2,0),"")</f>
        <v/>
      </c>
      <c r="D701" s="4" t="str">
        <f>IFERROR(VLOOKUP(E701,Master!$J:$K,2,0),"")</f>
        <v/>
      </c>
      <c r="F701" s="4" t="str">
        <f>IFERROR(VLOOKUP(G701,Master!B:C,2,0),"")</f>
        <v/>
      </c>
      <c r="I701" s="3" t="str">
        <f>IFERROR(VLOOKUP(E701,Master!$J:$M,4,0),"")</f>
        <v/>
      </c>
      <c r="J701" s="3" t="str">
        <f>IFERROR(VLOOKUP($E701,Master!$J:$M,3,0),"")</f>
        <v/>
      </c>
      <c r="AC701" s="26">
        <f t="shared" si="20"/>
        <v>0</v>
      </c>
      <c r="AD701" s="26">
        <f t="shared" si="21"/>
        <v>0</v>
      </c>
    </row>
    <row r="702" spans="2:30" ht="15" customHeight="1">
      <c r="B702" s="3" t="str">
        <f>IFERROR(VLOOKUP(C702,Master!$J:$K,2,0),"")</f>
        <v/>
      </c>
      <c r="D702" s="4" t="str">
        <f>IFERROR(VLOOKUP(E702,Master!$J:$K,2,0),"")</f>
        <v/>
      </c>
      <c r="F702" s="4" t="str">
        <f>IFERROR(VLOOKUP(G702,Master!B:C,2,0),"")</f>
        <v/>
      </c>
      <c r="I702" s="3" t="str">
        <f>IFERROR(VLOOKUP(E702,Master!$J:$M,4,0),"")</f>
        <v/>
      </c>
      <c r="J702" s="3" t="str">
        <f>IFERROR(VLOOKUP($E702,Master!$J:$M,3,0),"")</f>
        <v/>
      </c>
      <c r="AC702" s="26">
        <f t="shared" si="20"/>
        <v>0</v>
      </c>
      <c r="AD702" s="26">
        <f t="shared" si="21"/>
        <v>0</v>
      </c>
    </row>
    <row r="703" spans="2:30" ht="15" customHeight="1">
      <c r="B703" s="3" t="str">
        <f>IFERROR(VLOOKUP(C703,Master!$J:$K,2,0),"")</f>
        <v/>
      </c>
      <c r="D703" s="4" t="str">
        <f>IFERROR(VLOOKUP(E703,Master!$J:$K,2,0),"")</f>
        <v/>
      </c>
      <c r="F703" s="4" t="str">
        <f>IFERROR(VLOOKUP(G703,Master!B:C,2,0),"")</f>
        <v/>
      </c>
      <c r="I703" s="3" t="str">
        <f>IFERROR(VLOOKUP(E703,Master!$J:$M,4,0),"")</f>
        <v/>
      </c>
      <c r="J703" s="3" t="str">
        <f>IFERROR(VLOOKUP($E703,Master!$J:$M,3,0),"")</f>
        <v/>
      </c>
      <c r="AC703" s="26">
        <f t="shared" si="20"/>
        <v>0</v>
      </c>
      <c r="AD703" s="26">
        <f t="shared" si="21"/>
        <v>0</v>
      </c>
    </row>
    <row r="704" spans="2:30" ht="15" customHeight="1">
      <c r="B704" s="3" t="str">
        <f>IFERROR(VLOOKUP(C704,Master!$J:$K,2,0),"")</f>
        <v/>
      </c>
      <c r="D704" s="4" t="str">
        <f>IFERROR(VLOOKUP(E704,Master!$J:$K,2,0),"")</f>
        <v/>
      </c>
      <c r="F704" s="4" t="str">
        <f>IFERROR(VLOOKUP(G704,Master!B:C,2,0),"")</f>
        <v/>
      </c>
      <c r="I704" s="3" t="str">
        <f>IFERROR(VLOOKUP(E704,Master!$J:$M,4,0),"")</f>
        <v/>
      </c>
      <c r="J704" s="3" t="str">
        <f>IFERROR(VLOOKUP($E704,Master!$J:$M,3,0),"")</f>
        <v/>
      </c>
      <c r="AC704" s="26">
        <f t="shared" si="20"/>
        <v>0</v>
      </c>
      <c r="AD704" s="26">
        <f t="shared" si="21"/>
        <v>0</v>
      </c>
    </row>
    <row r="705" spans="2:30" ht="15" customHeight="1">
      <c r="B705" s="3" t="str">
        <f>IFERROR(VLOOKUP(C705,Master!$J:$K,2,0),"")</f>
        <v/>
      </c>
      <c r="D705" s="4" t="str">
        <f>IFERROR(VLOOKUP(E705,Master!$J:$K,2,0),"")</f>
        <v/>
      </c>
      <c r="F705" s="4" t="str">
        <f>IFERROR(VLOOKUP(G705,Master!B:C,2,0),"")</f>
        <v/>
      </c>
      <c r="I705" s="3" t="str">
        <f>IFERROR(VLOOKUP(E705,Master!$J:$M,4,0),"")</f>
        <v/>
      </c>
      <c r="J705" s="3" t="str">
        <f>IFERROR(VLOOKUP($E705,Master!$J:$M,3,0),"")</f>
        <v/>
      </c>
      <c r="AC705" s="26">
        <f t="shared" si="20"/>
        <v>0</v>
      </c>
      <c r="AD705" s="26">
        <f t="shared" si="21"/>
        <v>0</v>
      </c>
    </row>
    <row r="706" spans="2:30" ht="15" customHeight="1">
      <c r="B706" s="3" t="str">
        <f>IFERROR(VLOOKUP(C706,Master!$J:$K,2,0),"")</f>
        <v/>
      </c>
      <c r="D706" s="4" t="str">
        <f>IFERROR(VLOOKUP(E706,Master!$J:$K,2,0),"")</f>
        <v/>
      </c>
      <c r="F706" s="4" t="str">
        <f>IFERROR(VLOOKUP(G706,Master!B:C,2,0),"")</f>
        <v/>
      </c>
      <c r="I706" s="3" t="str">
        <f>IFERROR(VLOOKUP(E706,Master!$J:$M,4,0),"")</f>
        <v/>
      </c>
      <c r="J706" s="3" t="str">
        <f>IFERROR(VLOOKUP($E706,Master!$J:$M,3,0),"")</f>
        <v/>
      </c>
      <c r="AC706" s="26">
        <f t="shared" ref="AC706:AC769" si="22">SUM(K706:P706)</f>
        <v>0</v>
      </c>
      <c r="AD706" s="26">
        <f t="shared" ref="AD706:AD769" si="23">SUM(Q706:AB706)</f>
        <v>0</v>
      </c>
    </row>
    <row r="707" spans="2:30" ht="15" customHeight="1">
      <c r="B707" s="3" t="str">
        <f>IFERROR(VLOOKUP(C707,Master!$J:$K,2,0),"")</f>
        <v/>
      </c>
      <c r="D707" s="4" t="str">
        <f>IFERROR(VLOOKUP(E707,Master!$J:$K,2,0),"")</f>
        <v/>
      </c>
      <c r="F707" s="4" t="str">
        <f>IFERROR(VLOOKUP(G707,Master!B:C,2,0),"")</f>
        <v/>
      </c>
      <c r="I707" s="3" t="str">
        <f>IFERROR(VLOOKUP(E707,Master!$J:$M,4,0),"")</f>
        <v/>
      </c>
      <c r="J707" s="3" t="str">
        <f>IFERROR(VLOOKUP($E707,Master!$J:$M,3,0),"")</f>
        <v/>
      </c>
      <c r="AC707" s="26">
        <f t="shared" si="22"/>
        <v>0</v>
      </c>
      <c r="AD707" s="26">
        <f t="shared" si="23"/>
        <v>0</v>
      </c>
    </row>
    <row r="708" spans="2:30" ht="15" customHeight="1">
      <c r="B708" s="3" t="str">
        <f>IFERROR(VLOOKUP(C708,Master!$J:$K,2,0),"")</f>
        <v/>
      </c>
      <c r="D708" s="4" t="str">
        <f>IFERROR(VLOOKUP(E708,Master!$J:$K,2,0),"")</f>
        <v/>
      </c>
      <c r="F708" s="4" t="str">
        <f>IFERROR(VLOOKUP(G708,Master!B:C,2,0),"")</f>
        <v/>
      </c>
      <c r="I708" s="3" t="str">
        <f>IFERROR(VLOOKUP(E708,Master!$J:$M,4,0),"")</f>
        <v/>
      </c>
      <c r="J708" s="3" t="str">
        <f>IFERROR(VLOOKUP($E708,Master!$J:$M,3,0),"")</f>
        <v/>
      </c>
      <c r="AC708" s="26">
        <f t="shared" si="22"/>
        <v>0</v>
      </c>
      <c r="AD708" s="26">
        <f t="shared" si="23"/>
        <v>0</v>
      </c>
    </row>
    <row r="709" spans="2:30" ht="15" customHeight="1">
      <c r="B709" s="3" t="str">
        <f>IFERROR(VLOOKUP(C709,Master!$J:$K,2,0),"")</f>
        <v/>
      </c>
      <c r="D709" s="4" t="str">
        <f>IFERROR(VLOOKUP(E709,Master!$J:$K,2,0),"")</f>
        <v/>
      </c>
      <c r="F709" s="4" t="str">
        <f>IFERROR(VLOOKUP(G709,Master!B:C,2,0),"")</f>
        <v/>
      </c>
      <c r="I709" s="3" t="str">
        <f>IFERROR(VLOOKUP(E709,Master!$J:$M,4,0),"")</f>
        <v/>
      </c>
      <c r="J709" s="3" t="str">
        <f>IFERROR(VLOOKUP($E709,Master!$J:$M,3,0),"")</f>
        <v/>
      </c>
      <c r="AC709" s="26">
        <f t="shared" si="22"/>
        <v>0</v>
      </c>
      <c r="AD709" s="26">
        <f t="shared" si="23"/>
        <v>0</v>
      </c>
    </row>
    <row r="710" spans="2:30" ht="15" customHeight="1">
      <c r="B710" s="3" t="str">
        <f>IFERROR(VLOOKUP(C710,Master!$J:$K,2,0),"")</f>
        <v/>
      </c>
      <c r="D710" s="4" t="str">
        <f>IFERROR(VLOOKUP(E710,Master!$J:$K,2,0),"")</f>
        <v/>
      </c>
      <c r="F710" s="4" t="str">
        <f>IFERROR(VLOOKUP(G710,Master!B:C,2,0),"")</f>
        <v/>
      </c>
      <c r="I710" s="3" t="str">
        <f>IFERROR(VLOOKUP(E710,Master!$J:$M,4,0),"")</f>
        <v/>
      </c>
      <c r="J710" s="3" t="str">
        <f>IFERROR(VLOOKUP($E710,Master!$J:$M,3,0),"")</f>
        <v/>
      </c>
      <c r="AC710" s="26">
        <f t="shared" si="22"/>
        <v>0</v>
      </c>
      <c r="AD710" s="26">
        <f t="shared" si="23"/>
        <v>0</v>
      </c>
    </row>
    <row r="711" spans="2:30" ht="15" customHeight="1">
      <c r="B711" s="3" t="str">
        <f>IFERROR(VLOOKUP(C711,Master!$J:$K,2,0),"")</f>
        <v/>
      </c>
      <c r="D711" s="4" t="str">
        <f>IFERROR(VLOOKUP(E711,Master!$J:$K,2,0),"")</f>
        <v/>
      </c>
      <c r="F711" s="4" t="str">
        <f>IFERROR(VLOOKUP(G711,Master!B:C,2,0),"")</f>
        <v/>
      </c>
      <c r="I711" s="3" t="str">
        <f>IFERROR(VLOOKUP(E711,Master!$J:$M,4,0),"")</f>
        <v/>
      </c>
      <c r="J711" s="3" t="str">
        <f>IFERROR(VLOOKUP($E711,Master!$J:$M,3,0),"")</f>
        <v/>
      </c>
      <c r="AC711" s="26">
        <f t="shared" si="22"/>
        <v>0</v>
      </c>
      <c r="AD711" s="26">
        <f t="shared" si="23"/>
        <v>0</v>
      </c>
    </row>
    <row r="712" spans="2:30" ht="15" customHeight="1">
      <c r="B712" s="3" t="str">
        <f>IFERROR(VLOOKUP(C712,Master!$J:$K,2,0),"")</f>
        <v/>
      </c>
      <c r="D712" s="4" t="str">
        <f>IFERROR(VLOOKUP(E712,Master!$J:$K,2,0),"")</f>
        <v/>
      </c>
      <c r="F712" s="4" t="str">
        <f>IFERROR(VLOOKUP(G712,Master!B:C,2,0),"")</f>
        <v/>
      </c>
      <c r="I712" s="3" t="str">
        <f>IFERROR(VLOOKUP(E712,Master!$J:$M,4,0),"")</f>
        <v/>
      </c>
      <c r="J712" s="3" t="str">
        <f>IFERROR(VLOOKUP($E712,Master!$J:$M,3,0),"")</f>
        <v/>
      </c>
      <c r="AC712" s="26">
        <f t="shared" si="22"/>
        <v>0</v>
      </c>
      <c r="AD712" s="26">
        <f t="shared" si="23"/>
        <v>0</v>
      </c>
    </row>
    <row r="713" spans="2:30" ht="15" customHeight="1">
      <c r="B713" s="3" t="str">
        <f>IFERROR(VLOOKUP(C713,Master!$J:$K,2,0),"")</f>
        <v/>
      </c>
      <c r="D713" s="4" t="str">
        <f>IFERROR(VLOOKUP(E713,Master!$J:$K,2,0),"")</f>
        <v/>
      </c>
      <c r="F713" s="4" t="str">
        <f>IFERROR(VLOOKUP(G713,Master!B:C,2,0),"")</f>
        <v/>
      </c>
      <c r="I713" s="3" t="str">
        <f>IFERROR(VLOOKUP(E713,Master!$J:$M,4,0),"")</f>
        <v/>
      </c>
      <c r="J713" s="3" t="str">
        <f>IFERROR(VLOOKUP($E713,Master!$J:$M,3,0),"")</f>
        <v/>
      </c>
      <c r="AC713" s="26">
        <f t="shared" si="22"/>
        <v>0</v>
      </c>
      <c r="AD713" s="26">
        <f t="shared" si="23"/>
        <v>0</v>
      </c>
    </row>
    <row r="714" spans="2:30" ht="15" customHeight="1">
      <c r="B714" s="3" t="str">
        <f>IFERROR(VLOOKUP(C714,Master!$J:$K,2,0),"")</f>
        <v/>
      </c>
      <c r="D714" s="4" t="str">
        <f>IFERROR(VLOOKUP(E714,Master!$J:$K,2,0),"")</f>
        <v/>
      </c>
      <c r="F714" s="4" t="str">
        <f>IFERROR(VLOOKUP(G714,Master!B:C,2,0),"")</f>
        <v/>
      </c>
      <c r="I714" s="3" t="str">
        <f>IFERROR(VLOOKUP(E714,Master!$J:$M,4,0),"")</f>
        <v/>
      </c>
      <c r="J714" s="3" t="str">
        <f>IFERROR(VLOOKUP($E714,Master!$J:$M,3,0),"")</f>
        <v/>
      </c>
      <c r="AC714" s="26">
        <f t="shared" si="22"/>
        <v>0</v>
      </c>
      <c r="AD714" s="26">
        <f t="shared" si="23"/>
        <v>0</v>
      </c>
    </row>
    <row r="715" spans="2:30" ht="15" customHeight="1">
      <c r="B715" s="3" t="str">
        <f>IFERROR(VLOOKUP(C715,Master!$J:$K,2,0),"")</f>
        <v/>
      </c>
      <c r="D715" s="4" t="str">
        <f>IFERROR(VLOOKUP(E715,Master!$J:$K,2,0),"")</f>
        <v/>
      </c>
      <c r="F715" s="4" t="str">
        <f>IFERROR(VLOOKUP(G715,Master!B:C,2,0),"")</f>
        <v/>
      </c>
      <c r="I715" s="3" t="str">
        <f>IFERROR(VLOOKUP(E715,Master!$J:$M,4,0),"")</f>
        <v/>
      </c>
      <c r="J715" s="3" t="str">
        <f>IFERROR(VLOOKUP($E715,Master!$J:$M,3,0),"")</f>
        <v/>
      </c>
      <c r="AC715" s="26">
        <f t="shared" si="22"/>
        <v>0</v>
      </c>
      <c r="AD715" s="26">
        <f t="shared" si="23"/>
        <v>0</v>
      </c>
    </row>
    <row r="716" spans="2:30" ht="15" customHeight="1">
      <c r="B716" s="3" t="str">
        <f>IFERROR(VLOOKUP(C716,Master!$J:$K,2,0),"")</f>
        <v/>
      </c>
      <c r="D716" s="4" t="str">
        <f>IFERROR(VLOOKUP(E716,Master!$J:$K,2,0),"")</f>
        <v/>
      </c>
      <c r="F716" s="4" t="str">
        <f>IFERROR(VLOOKUP(G716,Master!B:C,2,0),"")</f>
        <v/>
      </c>
      <c r="I716" s="3" t="str">
        <f>IFERROR(VLOOKUP(E716,Master!$J:$M,4,0),"")</f>
        <v/>
      </c>
      <c r="J716" s="3" t="str">
        <f>IFERROR(VLOOKUP($E716,Master!$J:$M,3,0),"")</f>
        <v/>
      </c>
      <c r="AC716" s="26">
        <f t="shared" si="22"/>
        <v>0</v>
      </c>
      <c r="AD716" s="26">
        <f t="shared" si="23"/>
        <v>0</v>
      </c>
    </row>
    <row r="717" spans="2:30" ht="15" customHeight="1">
      <c r="B717" s="3" t="str">
        <f>IFERROR(VLOOKUP(C717,Master!$J:$K,2,0),"")</f>
        <v/>
      </c>
      <c r="D717" s="4" t="str">
        <f>IFERROR(VLOOKUP(E717,Master!$J:$K,2,0),"")</f>
        <v/>
      </c>
      <c r="F717" s="4" t="str">
        <f>IFERROR(VLOOKUP(G717,Master!B:C,2,0),"")</f>
        <v/>
      </c>
      <c r="I717" s="3" t="str">
        <f>IFERROR(VLOOKUP(E717,Master!$J:$M,4,0),"")</f>
        <v/>
      </c>
      <c r="J717" s="3" t="str">
        <f>IFERROR(VLOOKUP($E717,Master!$J:$M,3,0),"")</f>
        <v/>
      </c>
      <c r="AC717" s="26">
        <f t="shared" si="22"/>
        <v>0</v>
      </c>
      <c r="AD717" s="26">
        <f t="shared" si="23"/>
        <v>0</v>
      </c>
    </row>
    <row r="718" spans="2:30" ht="15" customHeight="1">
      <c r="B718" s="3" t="str">
        <f>IFERROR(VLOOKUP(C718,Master!$J:$K,2,0),"")</f>
        <v/>
      </c>
      <c r="D718" s="4" t="str">
        <f>IFERROR(VLOOKUP(E718,Master!$J:$K,2,0),"")</f>
        <v/>
      </c>
      <c r="F718" s="4" t="str">
        <f>IFERROR(VLOOKUP(G718,Master!B:C,2,0),"")</f>
        <v/>
      </c>
      <c r="I718" s="3" t="str">
        <f>IFERROR(VLOOKUP(E718,Master!$J:$M,4,0),"")</f>
        <v/>
      </c>
      <c r="J718" s="3" t="str">
        <f>IFERROR(VLOOKUP($E718,Master!$J:$M,3,0),"")</f>
        <v/>
      </c>
      <c r="AC718" s="26">
        <f t="shared" si="22"/>
        <v>0</v>
      </c>
      <c r="AD718" s="26">
        <f t="shared" si="23"/>
        <v>0</v>
      </c>
    </row>
    <row r="719" spans="2:30" ht="15" customHeight="1">
      <c r="B719" s="3" t="str">
        <f>IFERROR(VLOOKUP(C719,Master!$J:$K,2,0),"")</f>
        <v/>
      </c>
      <c r="D719" s="4" t="str">
        <f>IFERROR(VLOOKUP(E719,Master!$J:$K,2,0),"")</f>
        <v/>
      </c>
      <c r="F719" s="4" t="str">
        <f>IFERROR(VLOOKUP(G719,Master!B:C,2,0),"")</f>
        <v/>
      </c>
      <c r="I719" s="3" t="str">
        <f>IFERROR(VLOOKUP(E719,Master!$J:$M,4,0),"")</f>
        <v/>
      </c>
      <c r="J719" s="3" t="str">
        <f>IFERROR(VLOOKUP($E719,Master!$J:$M,3,0),"")</f>
        <v/>
      </c>
      <c r="AC719" s="26">
        <f t="shared" si="22"/>
        <v>0</v>
      </c>
      <c r="AD719" s="26">
        <f t="shared" si="23"/>
        <v>0</v>
      </c>
    </row>
    <row r="720" spans="2:30" ht="15" customHeight="1">
      <c r="B720" s="3" t="str">
        <f>IFERROR(VLOOKUP(C720,Master!$J:$K,2,0),"")</f>
        <v/>
      </c>
      <c r="D720" s="4" t="str">
        <f>IFERROR(VLOOKUP(E720,Master!$J:$K,2,0),"")</f>
        <v/>
      </c>
      <c r="F720" s="4" t="str">
        <f>IFERROR(VLOOKUP(G720,Master!B:C,2,0),"")</f>
        <v/>
      </c>
      <c r="I720" s="3" t="str">
        <f>IFERROR(VLOOKUP(E720,Master!$J:$M,4,0),"")</f>
        <v/>
      </c>
      <c r="J720" s="3" t="str">
        <f>IFERROR(VLOOKUP($E720,Master!$J:$M,3,0),"")</f>
        <v/>
      </c>
      <c r="AC720" s="26">
        <f t="shared" si="22"/>
        <v>0</v>
      </c>
      <c r="AD720" s="26">
        <f t="shared" si="23"/>
        <v>0</v>
      </c>
    </row>
    <row r="721" spans="2:30" ht="15" customHeight="1">
      <c r="B721" s="3" t="str">
        <f>IFERROR(VLOOKUP(C721,Master!$J:$K,2,0),"")</f>
        <v/>
      </c>
      <c r="D721" s="4" t="str">
        <f>IFERROR(VLOOKUP(E721,Master!$J:$K,2,0),"")</f>
        <v/>
      </c>
      <c r="F721" s="4" t="str">
        <f>IFERROR(VLOOKUP(G721,Master!B:C,2,0),"")</f>
        <v/>
      </c>
      <c r="I721" s="3" t="str">
        <f>IFERROR(VLOOKUP(E721,Master!$J:$M,4,0),"")</f>
        <v/>
      </c>
      <c r="J721" s="3" t="str">
        <f>IFERROR(VLOOKUP($E721,Master!$J:$M,3,0),"")</f>
        <v/>
      </c>
      <c r="AC721" s="26">
        <f t="shared" si="22"/>
        <v>0</v>
      </c>
      <c r="AD721" s="26">
        <f t="shared" si="23"/>
        <v>0</v>
      </c>
    </row>
    <row r="722" spans="2:30" ht="15" customHeight="1">
      <c r="B722" s="3" t="str">
        <f>IFERROR(VLOOKUP(C722,Master!$J:$K,2,0),"")</f>
        <v/>
      </c>
      <c r="D722" s="4" t="str">
        <f>IFERROR(VLOOKUP(E722,Master!$J:$K,2,0),"")</f>
        <v/>
      </c>
      <c r="F722" s="4" t="str">
        <f>IFERROR(VLOOKUP(G722,Master!B:C,2,0),"")</f>
        <v/>
      </c>
      <c r="I722" s="3" t="str">
        <f>IFERROR(VLOOKUP(E722,Master!$J:$M,4,0),"")</f>
        <v/>
      </c>
      <c r="J722" s="3" t="str">
        <f>IFERROR(VLOOKUP($E722,Master!$J:$M,3,0),"")</f>
        <v/>
      </c>
      <c r="AC722" s="26">
        <f t="shared" si="22"/>
        <v>0</v>
      </c>
      <c r="AD722" s="26">
        <f t="shared" si="23"/>
        <v>0</v>
      </c>
    </row>
    <row r="723" spans="2:30" ht="15" customHeight="1">
      <c r="B723" s="3" t="str">
        <f>IFERROR(VLOOKUP(C723,Master!$J:$K,2,0),"")</f>
        <v/>
      </c>
      <c r="D723" s="4" t="str">
        <f>IFERROR(VLOOKUP(E723,Master!$J:$K,2,0),"")</f>
        <v/>
      </c>
      <c r="F723" s="4" t="str">
        <f>IFERROR(VLOOKUP(G723,Master!B:C,2,0),"")</f>
        <v/>
      </c>
      <c r="I723" s="3" t="str">
        <f>IFERROR(VLOOKUP(E723,Master!$J:$M,4,0),"")</f>
        <v/>
      </c>
      <c r="J723" s="3" t="str">
        <f>IFERROR(VLOOKUP($E723,Master!$J:$M,3,0),"")</f>
        <v/>
      </c>
      <c r="AC723" s="26">
        <f t="shared" si="22"/>
        <v>0</v>
      </c>
      <c r="AD723" s="26">
        <f t="shared" si="23"/>
        <v>0</v>
      </c>
    </row>
    <row r="724" spans="2:30" ht="15" customHeight="1">
      <c r="B724" s="3" t="str">
        <f>IFERROR(VLOOKUP(C724,Master!$J:$K,2,0),"")</f>
        <v/>
      </c>
      <c r="D724" s="4" t="str">
        <f>IFERROR(VLOOKUP(E724,Master!$J:$K,2,0),"")</f>
        <v/>
      </c>
      <c r="F724" s="4" t="str">
        <f>IFERROR(VLOOKUP(G724,Master!B:C,2,0),"")</f>
        <v/>
      </c>
      <c r="I724" s="3" t="str">
        <f>IFERROR(VLOOKUP(E724,Master!$J:$M,4,0),"")</f>
        <v/>
      </c>
      <c r="J724" s="3" t="str">
        <f>IFERROR(VLOOKUP($E724,Master!$J:$M,3,0),"")</f>
        <v/>
      </c>
      <c r="AC724" s="26">
        <f t="shared" si="22"/>
        <v>0</v>
      </c>
      <c r="AD724" s="26">
        <f t="shared" si="23"/>
        <v>0</v>
      </c>
    </row>
    <row r="725" spans="2:30" ht="15" customHeight="1">
      <c r="B725" s="3" t="str">
        <f>IFERROR(VLOOKUP(C725,Master!$J:$K,2,0),"")</f>
        <v/>
      </c>
      <c r="D725" s="4" t="str">
        <f>IFERROR(VLOOKUP(E725,Master!$J:$K,2,0),"")</f>
        <v/>
      </c>
      <c r="F725" s="4" t="str">
        <f>IFERROR(VLOOKUP(G725,Master!B:C,2,0),"")</f>
        <v/>
      </c>
      <c r="I725" s="3" t="str">
        <f>IFERROR(VLOOKUP(E725,Master!$J:$M,4,0),"")</f>
        <v/>
      </c>
      <c r="J725" s="3" t="str">
        <f>IFERROR(VLOOKUP($E725,Master!$J:$M,3,0),"")</f>
        <v/>
      </c>
      <c r="AC725" s="26">
        <f t="shared" si="22"/>
        <v>0</v>
      </c>
      <c r="AD725" s="26">
        <f t="shared" si="23"/>
        <v>0</v>
      </c>
    </row>
    <row r="726" spans="2:30" ht="15" customHeight="1">
      <c r="B726" s="3" t="str">
        <f>IFERROR(VLOOKUP(C726,Master!$J:$K,2,0),"")</f>
        <v/>
      </c>
      <c r="D726" s="4" t="str">
        <f>IFERROR(VLOOKUP(E726,Master!$J:$K,2,0),"")</f>
        <v/>
      </c>
      <c r="F726" s="4" t="str">
        <f>IFERROR(VLOOKUP(G726,Master!B:C,2,0),"")</f>
        <v/>
      </c>
      <c r="I726" s="3" t="str">
        <f>IFERROR(VLOOKUP(E726,Master!$J:$M,4,0),"")</f>
        <v/>
      </c>
      <c r="J726" s="3" t="str">
        <f>IFERROR(VLOOKUP($E726,Master!$J:$M,3,0),"")</f>
        <v/>
      </c>
      <c r="AC726" s="26">
        <f t="shared" si="22"/>
        <v>0</v>
      </c>
      <c r="AD726" s="26">
        <f t="shared" si="23"/>
        <v>0</v>
      </c>
    </row>
    <row r="727" spans="2:30" ht="15" customHeight="1">
      <c r="B727" s="3" t="str">
        <f>IFERROR(VLOOKUP(C727,Master!$J:$K,2,0),"")</f>
        <v/>
      </c>
      <c r="D727" s="4" t="str">
        <f>IFERROR(VLOOKUP(E727,Master!$J:$K,2,0),"")</f>
        <v/>
      </c>
      <c r="F727" s="4" t="str">
        <f>IFERROR(VLOOKUP(G727,Master!B:C,2,0),"")</f>
        <v/>
      </c>
      <c r="I727" s="3" t="str">
        <f>IFERROR(VLOOKUP(E727,Master!$J:$M,4,0),"")</f>
        <v/>
      </c>
      <c r="J727" s="3" t="str">
        <f>IFERROR(VLOOKUP($E727,Master!$J:$M,3,0),"")</f>
        <v/>
      </c>
      <c r="AC727" s="26">
        <f t="shared" si="22"/>
        <v>0</v>
      </c>
      <c r="AD727" s="26">
        <f t="shared" si="23"/>
        <v>0</v>
      </c>
    </row>
    <row r="728" spans="2:30" ht="15" customHeight="1">
      <c r="B728" s="3" t="str">
        <f>IFERROR(VLOOKUP(C728,Master!$J:$K,2,0),"")</f>
        <v/>
      </c>
      <c r="D728" s="4" t="str">
        <f>IFERROR(VLOOKUP(E728,Master!$J:$K,2,0),"")</f>
        <v/>
      </c>
      <c r="F728" s="4" t="str">
        <f>IFERROR(VLOOKUP(G728,Master!B:C,2,0),"")</f>
        <v/>
      </c>
      <c r="I728" s="3" t="str">
        <f>IFERROR(VLOOKUP(E728,Master!$J:$M,4,0),"")</f>
        <v/>
      </c>
      <c r="J728" s="3" t="str">
        <f>IFERROR(VLOOKUP($E728,Master!$J:$M,3,0),"")</f>
        <v/>
      </c>
      <c r="AC728" s="26">
        <f t="shared" si="22"/>
        <v>0</v>
      </c>
      <c r="AD728" s="26">
        <f t="shared" si="23"/>
        <v>0</v>
      </c>
    </row>
    <row r="729" spans="2:30" ht="15" customHeight="1">
      <c r="B729" s="3" t="str">
        <f>IFERROR(VLOOKUP(C729,Master!$J:$K,2,0),"")</f>
        <v/>
      </c>
      <c r="D729" s="4" t="str">
        <f>IFERROR(VLOOKUP(E729,Master!$J:$K,2,0),"")</f>
        <v/>
      </c>
      <c r="F729" s="4" t="str">
        <f>IFERROR(VLOOKUP(G729,Master!B:C,2,0),"")</f>
        <v/>
      </c>
      <c r="I729" s="3" t="str">
        <f>IFERROR(VLOOKUP(E729,Master!$J:$M,4,0),"")</f>
        <v/>
      </c>
      <c r="J729" s="3" t="str">
        <f>IFERROR(VLOOKUP($E729,Master!$J:$M,3,0),"")</f>
        <v/>
      </c>
      <c r="AC729" s="26">
        <f t="shared" si="22"/>
        <v>0</v>
      </c>
      <c r="AD729" s="26">
        <f t="shared" si="23"/>
        <v>0</v>
      </c>
    </row>
    <row r="730" spans="2:30" ht="15" customHeight="1">
      <c r="B730" s="3" t="str">
        <f>IFERROR(VLOOKUP(C730,Master!$J:$K,2,0),"")</f>
        <v/>
      </c>
      <c r="D730" s="4" t="str">
        <f>IFERROR(VLOOKUP(E730,Master!$J:$K,2,0),"")</f>
        <v/>
      </c>
      <c r="F730" s="4" t="str">
        <f>IFERROR(VLOOKUP(G730,Master!B:C,2,0),"")</f>
        <v/>
      </c>
      <c r="I730" s="3" t="str">
        <f>IFERROR(VLOOKUP(E730,Master!$J:$M,4,0),"")</f>
        <v/>
      </c>
      <c r="J730" s="3" t="str">
        <f>IFERROR(VLOOKUP($E730,Master!$J:$M,3,0),"")</f>
        <v/>
      </c>
      <c r="AC730" s="26">
        <f t="shared" si="22"/>
        <v>0</v>
      </c>
      <c r="AD730" s="26">
        <f t="shared" si="23"/>
        <v>0</v>
      </c>
    </row>
    <row r="731" spans="2:30" ht="15" customHeight="1">
      <c r="B731" s="3" t="str">
        <f>IFERROR(VLOOKUP(C731,Master!$J:$K,2,0),"")</f>
        <v/>
      </c>
      <c r="D731" s="4" t="str">
        <f>IFERROR(VLOOKUP(E731,Master!$J:$K,2,0),"")</f>
        <v/>
      </c>
      <c r="F731" s="4" t="str">
        <f>IFERROR(VLOOKUP(G731,Master!B:C,2,0),"")</f>
        <v/>
      </c>
      <c r="I731" s="3" t="str">
        <f>IFERROR(VLOOKUP(E731,Master!$J:$M,4,0),"")</f>
        <v/>
      </c>
      <c r="J731" s="3" t="str">
        <f>IFERROR(VLOOKUP($E731,Master!$J:$M,3,0),"")</f>
        <v/>
      </c>
      <c r="AC731" s="26">
        <f t="shared" si="22"/>
        <v>0</v>
      </c>
      <c r="AD731" s="26">
        <f t="shared" si="23"/>
        <v>0</v>
      </c>
    </row>
    <row r="732" spans="2:30" ht="15" customHeight="1">
      <c r="B732" s="3" t="str">
        <f>IFERROR(VLOOKUP(C732,Master!$J:$K,2,0),"")</f>
        <v/>
      </c>
      <c r="D732" s="4" t="str">
        <f>IFERROR(VLOOKUP(E732,Master!$J:$K,2,0),"")</f>
        <v/>
      </c>
      <c r="F732" s="4" t="str">
        <f>IFERROR(VLOOKUP(G732,Master!B:C,2,0),"")</f>
        <v/>
      </c>
      <c r="I732" s="3" t="str">
        <f>IFERROR(VLOOKUP(E732,Master!$J:$M,4,0),"")</f>
        <v/>
      </c>
      <c r="J732" s="3" t="str">
        <f>IFERROR(VLOOKUP($E732,Master!$J:$M,3,0),"")</f>
        <v/>
      </c>
      <c r="AC732" s="26">
        <f t="shared" si="22"/>
        <v>0</v>
      </c>
      <c r="AD732" s="26">
        <f t="shared" si="23"/>
        <v>0</v>
      </c>
    </row>
    <row r="733" spans="2:30" ht="15" customHeight="1">
      <c r="B733" s="3" t="str">
        <f>IFERROR(VLOOKUP(C733,Master!$J:$K,2,0),"")</f>
        <v/>
      </c>
      <c r="D733" s="4" t="str">
        <f>IFERROR(VLOOKUP(E733,Master!$J:$K,2,0),"")</f>
        <v/>
      </c>
      <c r="F733" s="4" t="str">
        <f>IFERROR(VLOOKUP(G733,Master!B:C,2,0),"")</f>
        <v/>
      </c>
      <c r="I733" s="3" t="str">
        <f>IFERROR(VLOOKUP(E733,Master!$J:$M,4,0),"")</f>
        <v/>
      </c>
      <c r="J733" s="3" t="str">
        <f>IFERROR(VLOOKUP($E733,Master!$J:$M,3,0),"")</f>
        <v/>
      </c>
      <c r="AC733" s="26">
        <f t="shared" si="22"/>
        <v>0</v>
      </c>
      <c r="AD733" s="26">
        <f t="shared" si="23"/>
        <v>0</v>
      </c>
    </row>
    <row r="734" spans="2:30" ht="15" customHeight="1">
      <c r="B734" s="3" t="str">
        <f>IFERROR(VLOOKUP(C734,Master!$J:$K,2,0),"")</f>
        <v/>
      </c>
      <c r="D734" s="4" t="str">
        <f>IFERROR(VLOOKUP(E734,Master!$J:$K,2,0),"")</f>
        <v/>
      </c>
      <c r="F734" s="4" t="str">
        <f>IFERROR(VLOOKUP(G734,Master!B:C,2,0),"")</f>
        <v/>
      </c>
      <c r="I734" s="3" t="str">
        <f>IFERROR(VLOOKUP(E734,Master!$J:$M,4,0),"")</f>
        <v/>
      </c>
      <c r="J734" s="3" t="str">
        <f>IFERROR(VLOOKUP($E734,Master!$J:$M,3,0),"")</f>
        <v/>
      </c>
      <c r="AC734" s="26">
        <f t="shared" si="22"/>
        <v>0</v>
      </c>
      <c r="AD734" s="26">
        <f t="shared" si="23"/>
        <v>0</v>
      </c>
    </row>
    <row r="735" spans="2:30" ht="15" customHeight="1">
      <c r="B735" s="3" t="str">
        <f>IFERROR(VLOOKUP(C735,Master!$J:$K,2,0),"")</f>
        <v/>
      </c>
      <c r="D735" s="4" t="str">
        <f>IFERROR(VLOOKUP(E735,Master!$J:$K,2,0),"")</f>
        <v/>
      </c>
      <c r="F735" s="4" t="str">
        <f>IFERROR(VLOOKUP(G735,Master!B:C,2,0),"")</f>
        <v/>
      </c>
      <c r="I735" s="3" t="str">
        <f>IFERROR(VLOOKUP(E735,Master!$J:$M,4,0),"")</f>
        <v/>
      </c>
      <c r="J735" s="3" t="str">
        <f>IFERROR(VLOOKUP($E735,Master!$J:$M,3,0),"")</f>
        <v/>
      </c>
      <c r="AC735" s="26">
        <f t="shared" si="22"/>
        <v>0</v>
      </c>
      <c r="AD735" s="26">
        <f t="shared" si="23"/>
        <v>0</v>
      </c>
    </row>
    <row r="736" spans="2:30" ht="15" customHeight="1">
      <c r="B736" s="3" t="str">
        <f>IFERROR(VLOOKUP(C736,Master!$J:$K,2,0),"")</f>
        <v/>
      </c>
      <c r="D736" s="4" t="str">
        <f>IFERROR(VLOOKUP(E736,Master!$J:$K,2,0),"")</f>
        <v/>
      </c>
      <c r="F736" s="4" t="str">
        <f>IFERROR(VLOOKUP(G736,Master!B:C,2,0),"")</f>
        <v/>
      </c>
      <c r="I736" s="3" t="str">
        <f>IFERROR(VLOOKUP(E736,Master!$J:$M,4,0),"")</f>
        <v/>
      </c>
      <c r="J736" s="3" t="str">
        <f>IFERROR(VLOOKUP($E736,Master!$J:$M,3,0),"")</f>
        <v/>
      </c>
      <c r="AC736" s="26">
        <f t="shared" si="22"/>
        <v>0</v>
      </c>
      <c r="AD736" s="26">
        <f t="shared" si="23"/>
        <v>0</v>
      </c>
    </row>
    <row r="737" spans="2:30" ht="15" customHeight="1">
      <c r="B737" s="3" t="str">
        <f>IFERROR(VLOOKUP(C737,Master!$J:$K,2,0),"")</f>
        <v/>
      </c>
      <c r="D737" s="4" t="str">
        <f>IFERROR(VLOOKUP(E737,Master!$J:$K,2,0),"")</f>
        <v/>
      </c>
      <c r="F737" s="4" t="str">
        <f>IFERROR(VLOOKUP(G737,Master!B:C,2,0),"")</f>
        <v/>
      </c>
      <c r="I737" s="3" t="str">
        <f>IFERROR(VLOOKUP(E737,Master!$J:$M,4,0),"")</f>
        <v/>
      </c>
      <c r="J737" s="3" t="str">
        <f>IFERROR(VLOOKUP($E737,Master!$J:$M,3,0),"")</f>
        <v/>
      </c>
      <c r="AC737" s="26">
        <f t="shared" si="22"/>
        <v>0</v>
      </c>
      <c r="AD737" s="26">
        <f t="shared" si="23"/>
        <v>0</v>
      </c>
    </row>
    <row r="738" spans="2:30" ht="15" customHeight="1">
      <c r="B738" s="3" t="str">
        <f>IFERROR(VLOOKUP(C738,Master!$J:$K,2,0),"")</f>
        <v/>
      </c>
      <c r="D738" s="4" t="str">
        <f>IFERROR(VLOOKUP(E738,Master!$J:$K,2,0),"")</f>
        <v/>
      </c>
      <c r="F738" s="4" t="str">
        <f>IFERROR(VLOOKUP(G738,Master!B:C,2,0),"")</f>
        <v/>
      </c>
      <c r="I738" s="3" t="str">
        <f>IFERROR(VLOOKUP(E738,Master!$J:$M,4,0),"")</f>
        <v/>
      </c>
      <c r="J738" s="3" t="str">
        <f>IFERROR(VLOOKUP($E738,Master!$J:$M,3,0),"")</f>
        <v/>
      </c>
      <c r="AC738" s="26">
        <f t="shared" si="22"/>
        <v>0</v>
      </c>
      <c r="AD738" s="26">
        <f t="shared" si="23"/>
        <v>0</v>
      </c>
    </row>
    <row r="739" spans="2:30" ht="15" customHeight="1">
      <c r="B739" s="3" t="str">
        <f>IFERROR(VLOOKUP(C739,Master!$J:$K,2,0),"")</f>
        <v/>
      </c>
      <c r="D739" s="4" t="str">
        <f>IFERROR(VLOOKUP(E739,Master!$J:$K,2,0),"")</f>
        <v/>
      </c>
      <c r="F739" s="4" t="str">
        <f>IFERROR(VLOOKUP(G739,Master!B:C,2,0),"")</f>
        <v/>
      </c>
      <c r="I739" s="3" t="str">
        <f>IFERROR(VLOOKUP(E739,Master!$J:$M,4,0),"")</f>
        <v/>
      </c>
      <c r="J739" s="3" t="str">
        <f>IFERROR(VLOOKUP($E739,Master!$J:$M,3,0),"")</f>
        <v/>
      </c>
      <c r="AC739" s="26">
        <f t="shared" si="22"/>
        <v>0</v>
      </c>
      <c r="AD739" s="26">
        <f t="shared" si="23"/>
        <v>0</v>
      </c>
    </row>
    <row r="740" spans="2:30" ht="15" customHeight="1">
      <c r="B740" s="3" t="str">
        <f>IFERROR(VLOOKUP(C740,Master!$J:$K,2,0),"")</f>
        <v/>
      </c>
      <c r="D740" s="4" t="str">
        <f>IFERROR(VLOOKUP(E740,Master!$J:$K,2,0),"")</f>
        <v/>
      </c>
      <c r="F740" s="4" t="str">
        <f>IFERROR(VLOOKUP(G740,Master!B:C,2,0),"")</f>
        <v/>
      </c>
      <c r="I740" s="3" t="str">
        <f>IFERROR(VLOOKUP(E740,Master!$J:$M,4,0),"")</f>
        <v/>
      </c>
      <c r="J740" s="3" t="str">
        <f>IFERROR(VLOOKUP($E740,Master!$J:$M,3,0),"")</f>
        <v/>
      </c>
      <c r="AC740" s="26">
        <f t="shared" si="22"/>
        <v>0</v>
      </c>
      <c r="AD740" s="26">
        <f t="shared" si="23"/>
        <v>0</v>
      </c>
    </row>
    <row r="741" spans="2:30" ht="15" customHeight="1">
      <c r="B741" s="3" t="str">
        <f>IFERROR(VLOOKUP(C741,Master!$J:$K,2,0),"")</f>
        <v/>
      </c>
      <c r="D741" s="4" t="str">
        <f>IFERROR(VLOOKUP(E741,Master!$J:$K,2,0),"")</f>
        <v/>
      </c>
      <c r="F741" s="4" t="str">
        <f>IFERROR(VLOOKUP(G741,Master!B:C,2,0),"")</f>
        <v/>
      </c>
      <c r="I741" s="3" t="str">
        <f>IFERROR(VLOOKUP(E741,Master!$J:$M,4,0),"")</f>
        <v/>
      </c>
      <c r="J741" s="3" t="str">
        <f>IFERROR(VLOOKUP($E741,Master!$J:$M,3,0),"")</f>
        <v/>
      </c>
      <c r="AC741" s="26">
        <f t="shared" si="22"/>
        <v>0</v>
      </c>
      <c r="AD741" s="26">
        <f t="shared" si="23"/>
        <v>0</v>
      </c>
    </row>
    <row r="742" spans="2:30" ht="15" customHeight="1">
      <c r="B742" s="3" t="str">
        <f>IFERROR(VLOOKUP(C742,Master!$J:$K,2,0),"")</f>
        <v/>
      </c>
      <c r="D742" s="4" t="str">
        <f>IFERROR(VLOOKUP(E742,Master!$J:$K,2,0),"")</f>
        <v/>
      </c>
      <c r="F742" s="4" t="str">
        <f>IFERROR(VLOOKUP(G742,Master!B:C,2,0),"")</f>
        <v/>
      </c>
      <c r="I742" s="3" t="str">
        <f>IFERROR(VLOOKUP(E742,Master!$J:$M,4,0),"")</f>
        <v/>
      </c>
      <c r="J742" s="3" t="str">
        <f>IFERROR(VLOOKUP($E742,Master!$J:$M,3,0),"")</f>
        <v/>
      </c>
      <c r="AC742" s="26">
        <f t="shared" si="22"/>
        <v>0</v>
      </c>
      <c r="AD742" s="26">
        <f t="shared" si="23"/>
        <v>0</v>
      </c>
    </row>
    <row r="743" spans="2:30" ht="15" customHeight="1">
      <c r="B743" s="3" t="str">
        <f>IFERROR(VLOOKUP(C743,Master!$J:$K,2,0),"")</f>
        <v/>
      </c>
      <c r="D743" s="4" t="str">
        <f>IFERROR(VLOOKUP(E743,Master!$J:$K,2,0),"")</f>
        <v/>
      </c>
      <c r="F743" s="4" t="str">
        <f>IFERROR(VLOOKUP(G743,Master!B:C,2,0),"")</f>
        <v/>
      </c>
      <c r="I743" s="3" t="str">
        <f>IFERROR(VLOOKUP(E743,Master!$J:$M,4,0),"")</f>
        <v/>
      </c>
      <c r="J743" s="3" t="str">
        <f>IFERROR(VLOOKUP($E743,Master!$J:$M,3,0),"")</f>
        <v/>
      </c>
      <c r="AC743" s="26">
        <f t="shared" si="22"/>
        <v>0</v>
      </c>
      <c r="AD743" s="26">
        <f t="shared" si="23"/>
        <v>0</v>
      </c>
    </row>
    <row r="744" spans="2:30" ht="15" customHeight="1">
      <c r="B744" s="3" t="str">
        <f>IFERROR(VLOOKUP(C744,Master!$J:$K,2,0),"")</f>
        <v/>
      </c>
      <c r="D744" s="4" t="str">
        <f>IFERROR(VLOOKUP(E744,Master!$J:$K,2,0),"")</f>
        <v/>
      </c>
      <c r="F744" s="4" t="str">
        <f>IFERROR(VLOOKUP(G744,Master!B:C,2,0),"")</f>
        <v/>
      </c>
      <c r="I744" s="3" t="str">
        <f>IFERROR(VLOOKUP(E744,Master!$J:$M,4,0),"")</f>
        <v/>
      </c>
      <c r="J744" s="3" t="str">
        <f>IFERROR(VLOOKUP($E744,Master!$J:$M,3,0),"")</f>
        <v/>
      </c>
      <c r="AC744" s="26">
        <f t="shared" si="22"/>
        <v>0</v>
      </c>
      <c r="AD744" s="26">
        <f t="shared" si="23"/>
        <v>0</v>
      </c>
    </row>
    <row r="745" spans="2:30" ht="15" customHeight="1">
      <c r="B745" s="3" t="str">
        <f>IFERROR(VLOOKUP(C745,Master!$J:$K,2,0),"")</f>
        <v/>
      </c>
      <c r="D745" s="4" t="str">
        <f>IFERROR(VLOOKUP(E745,Master!$J:$K,2,0),"")</f>
        <v/>
      </c>
      <c r="F745" s="4" t="str">
        <f>IFERROR(VLOOKUP(G745,Master!B:C,2,0),"")</f>
        <v/>
      </c>
      <c r="I745" s="3" t="str">
        <f>IFERROR(VLOOKUP(E745,Master!$J:$M,4,0),"")</f>
        <v/>
      </c>
      <c r="J745" s="3" t="str">
        <f>IFERROR(VLOOKUP($E745,Master!$J:$M,3,0),"")</f>
        <v/>
      </c>
      <c r="AC745" s="26">
        <f t="shared" si="22"/>
        <v>0</v>
      </c>
      <c r="AD745" s="26">
        <f t="shared" si="23"/>
        <v>0</v>
      </c>
    </row>
    <row r="746" spans="2:30" ht="15" customHeight="1">
      <c r="B746" s="3" t="str">
        <f>IFERROR(VLOOKUP(C746,Master!$J:$K,2,0),"")</f>
        <v/>
      </c>
      <c r="D746" s="4" t="str">
        <f>IFERROR(VLOOKUP(E746,Master!$J:$K,2,0),"")</f>
        <v/>
      </c>
      <c r="F746" s="4" t="str">
        <f>IFERROR(VLOOKUP(G746,Master!B:C,2,0),"")</f>
        <v/>
      </c>
      <c r="I746" s="3" t="str">
        <f>IFERROR(VLOOKUP(E746,Master!$J:$M,4,0),"")</f>
        <v/>
      </c>
      <c r="J746" s="3" t="str">
        <f>IFERROR(VLOOKUP($E746,Master!$J:$M,3,0),"")</f>
        <v/>
      </c>
      <c r="AC746" s="26">
        <f t="shared" si="22"/>
        <v>0</v>
      </c>
      <c r="AD746" s="26">
        <f t="shared" si="23"/>
        <v>0</v>
      </c>
    </row>
    <row r="747" spans="2:30" ht="15" customHeight="1">
      <c r="B747" s="3" t="str">
        <f>IFERROR(VLOOKUP(C747,Master!$J:$K,2,0),"")</f>
        <v/>
      </c>
      <c r="D747" s="4" t="str">
        <f>IFERROR(VLOOKUP(E747,Master!$J:$K,2,0),"")</f>
        <v/>
      </c>
      <c r="F747" s="4" t="str">
        <f>IFERROR(VLOOKUP(G747,Master!B:C,2,0),"")</f>
        <v/>
      </c>
      <c r="I747" s="3" t="str">
        <f>IFERROR(VLOOKUP(E747,Master!$J:$M,4,0),"")</f>
        <v/>
      </c>
      <c r="J747" s="3" t="str">
        <f>IFERROR(VLOOKUP($E747,Master!$J:$M,3,0),"")</f>
        <v/>
      </c>
      <c r="AC747" s="26">
        <f t="shared" si="22"/>
        <v>0</v>
      </c>
      <c r="AD747" s="26">
        <f t="shared" si="23"/>
        <v>0</v>
      </c>
    </row>
    <row r="748" spans="2:30" ht="15" customHeight="1">
      <c r="B748" s="3" t="str">
        <f>IFERROR(VLOOKUP(C748,Master!$J:$K,2,0),"")</f>
        <v/>
      </c>
      <c r="D748" s="4" t="str">
        <f>IFERROR(VLOOKUP(E748,Master!$J:$K,2,0),"")</f>
        <v/>
      </c>
      <c r="F748" s="4" t="str">
        <f>IFERROR(VLOOKUP(G748,Master!B:C,2,0),"")</f>
        <v/>
      </c>
      <c r="I748" s="3" t="str">
        <f>IFERROR(VLOOKUP(E748,Master!$J:$M,4,0),"")</f>
        <v/>
      </c>
      <c r="J748" s="3" t="str">
        <f>IFERROR(VLOOKUP($E748,Master!$J:$M,3,0),"")</f>
        <v/>
      </c>
      <c r="AC748" s="26">
        <f t="shared" si="22"/>
        <v>0</v>
      </c>
      <c r="AD748" s="26">
        <f t="shared" si="23"/>
        <v>0</v>
      </c>
    </row>
    <row r="749" spans="2:30" ht="15" customHeight="1">
      <c r="B749" s="3" t="str">
        <f>IFERROR(VLOOKUP(C749,Master!$J:$K,2,0),"")</f>
        <v/>
      </c>
      <c r="D749" s="4" t="str">
        <f>IFERROR(VLOOKUP(E749,Master!$J:$K,2,0),"")</f>
        <v/>
      </c>
      <c r="F749" s="4" t="str">
        <f>IFERROR(VLOOKUP(G749,Master!B:C,2,0),"")</f>
        <v/>
      </c>
      <c r="I749" s="3" t="str">
        <f>IFERROR(VLOOKUP(E749,Master!$J:$M,4,0),"")</f>
        <v/>
      </c>
      <c r="J749" s="3" t="str">
        <f>IFERROR(VLOOKUP($E749,Master!$J:$M,3,0),"")</f>
        <v/>
      </c>
      <c r="AC749" s="26">
        <f t="shared" si="22"/>
        <v>0</v>
      </c>
      <c r="AD749" s="26">
        <f t="shared" si="23"/>
        <v>0</v>
      </c>
    </row>
    <row r="750" spans="2:30" ht="15" customHeight="1">
      <c r="B750" s="3" t="str">
        <f>IFERROR(VLOOKUP(C750,Master!$J:$K,2,0),"")</f>
        <v/>
      </c>
      <c r="D750" s="4" t="str">
        <f>IFERROR(VLOOKUP(E750,Master!$J:$K,2,0),"")</f>
        <v/>
      </c>
      <c r="F750" s="4" t="str">
        <f>IFERROR(VLOOKUP(G750,Master!B:C,2,0),"")</f>
        <v/>
      </c>
      <c r="I750" s="3" t="str">
        <f>IFERROR(VLOOKUP(E750,Master!$J:$M,4,0),"")</f>
        <v/>
      </c>
      <c r="J750" s="3" t="str">
        <f>IFERROR(VLOOKUP($E750,Master!$J:$M,3,0),"")</f>
        <v/>
      </c>
      <c r="AC750" s="26">
        <f t="shared" si="22"/>
        <v>0</v>
      </c>
      <c r="AD750" s="26">
        <f t="shared" si="23"/>
        <v>0</v>
      </c>
    </row>
    <row r="751" spans="2:30" ht="15" customHeight="1">
      <c r="B751" s="3" t="str">
        <f>IFERROR(VLOOKUP(C751,Master!$J:$K,2,0),"")</f>
        <v/>
      </c>
      <c r="D751" s="4" t="str">
        <f>IFERROR(VLOOKUP(E751,Master!$J:$K,2,0),"")</f>
        <v/>
      </c>
      <c r="F751" s="4" t="str">
        <f>IFERROR(VLOOKUP(G751,Master!B:C,2,0),"")</f>
        <v/>
      </c>
      <c r="I751" s="3" t="str">
        <f>IFERROR(VLOOKUP(E751,Master!$J:$M,4,0),"")</f>
        <v/>
      </c>
      <c r="J751" s="3" t="str">
        <f>IFERROR(VLOOKUP($E751,Master!$J:$M,3,0),"")</f>
        <v/>
      </c>
      <c r="AC751" s="26">
        <f t="shared" si="22"/>
        <v>0</v>
      </c>
      <c r="AD751" s="26">
        <f t="shared" si="23"/>
        <v>0</v>
      </c>
    </row>
    <row r="752" spans="2:30" ht="15" customHeight="1">
      <c r="B752" s="3" t="str">
        <f>IFERROR(VLOOKUP(C752,Master!$J:$K,2,0),"")</f>
        <v/>
      </c>
      <c r="D752" s="4" t="str">
        <f>IFERROR(VLOOKUP(E752,Master!$J:$K,2,0),"")</f>
        <v/>
      </c>
      <c r="F752" s="4" t="str">
        <f>IFERROR(VLOOKUP(G752,Master!B:C,2,0),"")</f>
        <v/>
      </c>
      <c r="I752" s="3" t="str">
        <f>IFERROR(VLOOKUP(E752,Master!$J:$M,4,0),"")</f>
        <v/>
      </c>
      <c r="J752" s="3" t="str">
        <f>IFERROR(VLOOKUP($E752,Master!$J:$M,3,0),"")</f>
        <v/>
      </c>
      <c r="AC752" s="26">
        <f t="shared" si="22"/>
        <v>0</v>
      </c>
      <c r="AD752" s="26">
        <f t="shared" si="23"/>
        <v>0</v>
      </c>
    </row>
    <row r="753" spans="2:30" ht="15" customHeight="1">
      <c r="B753" s="3" t="str">
        <f>IFERROR(VLOOKUP(C753,Master!$J:$K,2,0),"")</f>
        <v/>
      </c>
      <c r="D753" s="4" t="str">
        <f>IFERROR(VLOOKUP(E753,Master!$J:$K,2,0),"")</f>
        <v/>
      </c>
      <c r="F753" s="4" t="str">
        <f>IFERROR(VLOOKUP(G753,Master!B:C,2,0),"")</f>
        <v/>
      </c>
      <c r="I753" s="3" t="str">
        <f>IFERROR(VLOOKUP(E753,Master!$J:$M,4,0),"")</f>
        <v/>
      </c>
      <c r="J753" s="3" t="str">
        <f>IFERROR(VLOOKUP($E753,Master!$J:$M,3,0),"")</f>
        <v/>
      </c>
      <c r="AC753" s="26">
        <f t="shared" si="22"/>
        <v>0</v>
      </c>
      <c r="AD753" s="26">
        <f t="shared" si="23"/>
        <v>0</v>
      </c>
    </row>
    <row r="754" spans="2:30" ht="15" customHeight="1">
      <c r="B754" s="3" t="str">
        <f>IFERROR(VLOOKUP(C754,Master!$J:$K,2,0),"")</f>
        <v/>
      </c>
      <c r="D754" s="4" t="str">
        <f>IFERROR(VLOOKUP(E754,Master!$J:$K,2,0),"")</f>
        <v/>
      </c>
      <c r="F754" s="4" t="str">
        <f>IFERROR(VLOOKUP(G754,Master!B:C,2,0),"")</f>
        <v/>
      </c>
      <c r="I754" s="3" t="str">
        <f>IFERROR(VLOOKUP(E754,Master!$J:$M,4,0),"")</f>
        <v/>
      </c>
      <c r="J754" s="3" t="str">
        <f>IFERROR(VLOOKUP($E754,Master!$J:$M,3,0),"")</f>
        <v/>
      </c>
      <c r="AC754" s="26">
        <f t="shared" si="22"/>
        <v>0</v>
      </c>
      <c r="AD754" s="26">
        <f t="shared" si="23"/>
        <v>0</v>
      </c>
    </row>
    <row r="755" spans="2:30" ht="15" customHeight="1">
      <c r="B755" s="3" t="str">
        <f>IFERROR(VLOOKUP(C755,Master!$J:$K,2,0),"")</f>
        <v/>
      </c>
      <c r="D755" s="4" t="str">
        <f>IFERROR(VLOOKUP(E755,Master!$J:$K,2,0),"")</f>
        <v/>
      </c>
      <c r="F755" s="4" t="str">
        <f>IFERROR(VLOOKUP(G755,Master!B:C,2,0),"")</f>
        <v/>
      </c>
      <c r="I755" s="3" t="str">
        <f>IFERROR(VLOOKUP(E755,Master!$J:$M,4,0),"")</f>
        <v/>
      </c>
      <c r="J755" s="3" t="str">
        <f>IFERROR(VLOOKUP($E755,Master!$J:$M,3,0),"")</f>
        <v/>
      </c>
      <c r="AC755" s="26">
        <f t="shared" si="22"/>
        <v>0</v>
      </c>
      <c r="AD755" s="26">
        <f t="shared" si="23"/>
        <v>0</v>
      </c>
    </row>
    <row r="756" spans="2:30" ht="15" customHeight="1">
      <c r="B756" s="3" t="str">
        <f>IFERROR(VLOOKUP(C756,Master!$J:$K,2,0),"")</f>
        <v/>
      </c>
      <c r="D756" s="4" t="str">
        <f>IFERROR(VLOOKUP(E756,Master!$J:$K,2,0),"")</f>
        <v/>
      </c>
      <c r="F756" s="4" t="str">
        <f>IFERROR(VLOOKUP(G756,Master!B:C,2,0),"")</f>
        <v/>
      </c>
      <c r="I756" s="3" t="str">
        <f>IFERROR(VLOOKUP(E756,Master!$J:$M,4,0),"")</f>
        <v/>
      </c>
      <c r="J756" s="3" t="str">
        <f>IFERROR(VLOOKUP($E756,Master!$J:$M,3,0),"")</f>
        <v/>
      </c>
      <c r="AC756" s="26">
        <f t="shared" si="22"/>
        <v>0</v>
      </c>
      <c r="AD756" s="26">
        <f t="shared" si="23"/>
        <v>0</v>
      </c>
    </row>
    <row r="757" spans="2:30" ht="15" customHeight="1">
      <c r="B757" s="3" t="str">
        <f>IFERROR(VLOOKUP(C757,Master!$J:$K,2,0),"")</f>
        <v/>
      </c>
      <c r="D757" s="4" t="str">
        <f>IFERROR(VLOOKUP(E757,Master!$J:$K,2,0),"")</f>
        <v/>
      </c>
      <c r="F757" s="4" t="str">
        <f>IFERROR(VLOOKUP(G757,Master!B:C,2,0),"")</f>
        <v/>
      </c>
      <c r="I757" s="3" t="str">
        <f>IFERROR(VLOOKUP(E757,Master!$J:$M,4,0),"")</f>
        <v/>
      </c>
      <c r="J757" s="3" t="str">
        <f>IFERROR(VLOOKUP($E757,Master!$J:$M,3,0),"")</f>
        <v/>
      </c>
      <c r="AC757" s="26">
        <f t="shared" si="22"/>
        <v>0</v>
      </c>
      <c r="AD757" s="26">
        <f t="shared" si="23"/>
        <v>0</v>
      </c>
    </row>
    <row r="758" spans="2:30" ht="15" customHeight="1">
      <c r="B758" s="3" t="str">
        <f>IFERROR(VLOOKUP(C758,Master!$J:$K,2,0),"")</f>
        <v/>
      </c>
      <c r="D758" s="4" t="str">
        <f>IFERROR(VLOOKUP(E758,Master!$J:$K,2,0),"")</f>
        <v/>
      </c>
      <c r="F758" s="4" t="str">
        <f>IFERROR(VLOOKUP(G758,Master!B:C,2,0),"")</f>
        <v/>
      </c>
      <c r="I758" s="3" t="str">
        <f>IFERROR(VLOOKUP(E758,Master!$J:$M,4,0),"")</f>
        <v/>
      </c>
      <c r="J758" s="3" t="str">
        <f>IFERROR(VLOOKUP($E758,Master!$J:$M,3,0),"")</f>
        <v/>
      </c>
      <c r="AC758" s="26">
        <f t="shared" si="22"/>
        <v>0</v>
      </c>
      <c r="AD758" s="26">
        <f t="shared" si="23"/>
        <v>0</v>
      </c>
    </row>
    <row r="759" spans="2:30" ht="15" customHeight="1">
      <c r="B759" s="3" t="str">
        <f>IFERROR(VLOOKUP(C759,Master!$J:$K,2,0),"")</f>
        <v/>
      </c>
      <c r="D759" s="4" t="str">
        <f>IFERROR(VLOOKUP(E759,Master!$J:$K,2,0),"")</f>
        <v/>
      </c>
      <c r="F759" s="4" t="str">
        <f>IFERROR(VLOOKUP(G759,Master!B:C,2,0),"")</f>
        <v/>
      </c>
      <c r="I759" s="3" t="str">
        <f>IFERROR(VLOOKUP(E759,Master!$J:$M,4,0),"")</f>
        <v/>
      </c>
      <c r="J759" s="3" t="str">
        <f>IFERROR(VLOOKUP($E759,Master!$J:$M,3,0),"")</f>
        <v/>
      </c>
      <c r="AC759" s="26">
        <f t="shared" si="22"/>
        <v>0</v>
      </c>
      <c r="AD759" s="26">
        <f t="shared" si="23"/>
        <v>0</v>
      </c>
    </row>
    <row r="760" spans="2:30" ht="15" customHeight="1">
      <c r="B760" s="3" t="str">
        <f>IFERROR(VLOOKUP(C760,Master!$J:$K,2,0),"")</f>
        <v/>
      </c>
      <c r="D760" s="4" t="str">
        <f>IFERROR(VLOOKUP(E760,Master!$J:$K,2,0),"")</f>
        <v/>
      </c>
      <c r="F760" s="4" t="str">
        <f>IFERROR(VLOOKUP(G760,Master!B:C,2,0),"")</f>
        <v/>
      </c>
      <c r="I760" s="3" t="str">
        <f>IFERROR(VLOOKUP(E760,Master!$J:$M,4,0),"")</f>
        <v/>
      </c>
      <c r="J760" s="3" t="str">
        <f>IFERROR(VLOOKUP($E760,Master!$J:$M,3,0),"")</f>
        <v/>
      </c>
      <c r="AC760" s="26">
        <f t="shared" si="22"/>
        <v>0</v>
      </c>
      <c r="AD760" s="26">
        <f t="shared" si="23"/>
        <v>0</v>
      </c>
    </row>
    <row r="761" spans="2:30" ht="15" customHeight="1">
      <c r="B761" s="3" t="str">
        <f>IFERROR(VLOOKUP(C761,Master!$J:$K,2,0),"")</f>
        <v/>
      </c>
      <c r="D761" s="4" t="str">
        <f>IFERROR(VLOOKUP(E761,Master!$J:$K,2,0),"")</f>
        <v/>
      </c>
      <c r="F761" s="4" t="str">
        <f>IFERROR(VLOOKUP(G761,Master!B:C,2,0),"")</f>
        <v/>
      </c>
      <c r="I761" s="3" t="str">
        <f>IFERROR(VLOOKUP(E761,Master!$J:$M,4,0),"")</f>
        <v/>
      </c>
      <c r="J761" s="3" t="str">
        <f>IFERROR(VLOOKUP($E761,Master!$J:$M,3,0),"")</f>
        <v/>
      </c>
      <c r="AC761" s="26">
        <f t="shared" si="22"/>
        <v>0</v>
      </c>
      <c r="AD761" s="26">
        <f t="shared" si="23"/>
        <v>0</v>
      </c>
    </row>
    <row r="762" spans="2:30" ht="15" customHeight="1">
      <c r="B762" s="3" t="str">
        <f>IFERROR(VLOOKUP(C762,Master!$J:$K,2,0),"")</f>
        <v/>
      </c>
      <c r="D762" s="4" t="str">
        <f>IFERROR(VLOOKUP(E762,Master!$J:$K,2,0),"")</f>
        <v/>
      </c>
      <c r="F762" s="4" t="str">
        <f>IFERROR(VLOOKUP(G762,Master!B:C,2,0),"")</f>
        <v/>
      </c>
      <c r="I762" s="3" t="str">
        <f>IFERROR(VLOOKUP(E762,Master!$J:$M,4,0),"")</f>
        <v/>
      </c>
      <c r="J762" s="3" t="str">
        <f>IFERROR(VLOOKUP($E762,Master!$J:$M,3,0),"")</f>
        <v/>
      </c>
      <c r="AC762" s="26">
        <f t="shared" si="22"/>
        <v>0</v>
      </c>
      <c r="AD762" s="26">
        <f t="shared" si="23"/>
        <v>0</v>
      </c>
    </row>
    <row r="763" spans="2:30" ht="15" customHeight="1">
      <c r="B763" s="3" t="str">
        <f>IFERROR(VLOOKUP(C763,Master!$J:$K,2,0),"")</f>
        <v/>
      </c>
      <c r="D763" s="4" t="str">
        <f>IFERROR(VLOOKUP(E763,Master!$J:$K,2,0),"")</f>
        <v/>
      </c>
      <c r="F763" s="4" t="str">
        <f>IFERROR(VLOOKUP(G763,Master!B:C,2,0),"")</f>
        <v/>
      </c>
      <c r="I763" s="3" t="str">
        <f>IFERROR(VLOOKUP(E763,Master!$J:$M,4,0),"")</f>
        <v/>
      </c>
      <c r="J763" s="3" t="str">
        <f>IFERROR(VLOOKUP($E763,Master!$J:$M,3,0),"")</f>
        <v/>
      </c>
      <c r="AC763" s="26">
        <f t="shared" si="22"/>
        <v>0</v>
      </c>
      <c r="AD763" s="26">
        <f t="shared" si="23"/>
        <v>0</v>
      </c>
    </row>
    <row r="764" spans="2:30" ht="15" customHeight="1">
      <c r="B764" s="3" t="str">
        <f>IFERROR(VLOOKUP(C764,Master!$J:$K,2,0),"")</f>
        <v/>
      </c>
      <c r="D764" s="4" t="str">
        <f>IFERROR(VLOOKUP(E764,Master!$J:$K,2,0),"")</f>
        <v/>
      </c>
      <c r="F764" s="4" t="str">
        <f>IFERROR(VLOOKUP(G764,Master!B:C,2,0),"")</f>
        <v/>
      </c>
      <c r="I764" s="3" t="str">
        <f>IFERROR(VLOOKUP(E764,Master!$J:$M,4,0),"")</f>
        <v/>
      </c>
      <c r="J764" s="3" t="str">
        <f>IFERROR(VLOOKUP($E764,Master!$J:$M,3,0),"")</f>
        <v/>
      </c>
      <c r="AC764" s="26">
        <f t="shared" si="22"/>
        <v>0</v>
      </c>
      <c r="AD764" s="26">
        <f t="shared" si="23"/>
        <v>0</v>
      </c>
    </row>
    <row r="765" spans="2:30" ht="15" customHeight="1">
      <c r="B765" s="3" t="str">
        <f>IFERROR(VLOOKUP(C765,Master!$J:$K,2,0),"")</f>
        <v/>
      </c>
      <c r="D765" s="4" t="str">
        <f>IFERROR(VLOOKUP(E765,Master!$J:$K,2,0),"")</f>
        <v/>
      </c>
      <c r="F765" s="4" t="str">
        <f>IFERROR(VLOOKUP(G765,Master!B:C,2,0),"")</f>
        <v/>
      </c>
      <c r="I765" s="3" t="str">
        <f>IFERROR(VLOOKUP(E765,Master!$J:$M,4,0),"")</f>
        <v/>
      </c>
      <c r="J765" s="3" t="str">
        <f>IFERROR(VLOOKUP($E765,Master!$J:$M,3,0),"")</f>
        <v/>
      </c>
      <c r="AC765" s="26">
        <f t="shared" si="22"/>
        <v>0</v>
      </c>
      <c r="AD765" s="26">
        <f t="shared" si="23"/>
        <v>0</v>
      </c>
    </row>
    <row r="766" spans="2:30" ht="15" customHeight="1">
      <c r="B766" s="3" t="str">
        <f>IFERROR(VLOOKUP(C766,Master!$J:$K,2,0),"")</f>
        <v/>
      </c>
      <c r="D766" s="4" t="str">
        <f>IFERROR(VLOOKUP(E766,Master!$J:$K,2,0),"")</f>
        <v/>
      </c>
      <c r="F766" s="4" t="str">
        <f>IFERROR(VLOOKUP(G766,Master!B:C,2,0),"")</f>
        <v/>
      </c>
      <c r="I766" s="3" t="str">
        <f>IFERROR(VLOOKUP(E766,Master!$J:$M,4,0),"")</f>
        <v/>
      </c>
      <c r="J766" s="3" t="str">
        <f>IFERROR(VLOOKUP($E766,Master!$J:$M,3,0),"")</f>
        <v/>
      </c>
      <c r="AC766" s="26">
        <f t="shared" si="22"/>
        <v>0</v>
      </c>
      <c r="AD766" s="26">
        <f t="shared" si="23"/>
        <v>0</v>
      </c>
    </row>
    <row r="767" spans="2:30" ht="15" customHeight="1">
      <c r="B767" s="3" t="str">
        <f>IFERROR(VLOOKUP(C767,Master!$J:$K,2,0),"")</f>
        <v/>
      </c>
      <c r="D767" s="4" t="str">
        <f>IFERROR(VLOOKUP(E767,Master!$J:$K,2,0),"")</f>
        <v/>
      </c>
      <c r="F767" s="4" t="str">
        <f>IFERROR(VLOOKUP(G767,Master!B:C,2,0),"")</f>
        <v/>
      </c>
      <c r="I767" s="3" t="str">
        <f>IFERROR(VLOOKUP(E767,Master!$J:$M,4,0),"")</f>
        <v/>
      </c>
      <c r="J767" s="3" t="str">
        <f>IFERROR(VLOOKUP($E767,Master!$J:$M,3,0),"")</f>
        <v/>
      </c>
      <c r="AC767" s="26">
        <f t="shared" si="22"/>
        <v>0</v>
      </c>
      <c r="AD767" s="26">
        <f t="shared" si="23"/>
        <v>0</v>
      </c>
    </row>
    <row r="768" spans="2:30" ht="15" customHeight="1">
      <c r="B768" s="3" t="str">
        <f>IFERROR(VLOOKUP(C768,Master!$J:$K,2,0),"")</f>
        <v/>
      </c>
      <c r="D768" s="4" t="str">
        <f>IFERROR(VLOOKUP(E768,Master!$J:$K,2,0),"")</f>
        <v/>
      </c>
      <c r="F768" s="4" t="str">
        <f>IFERROR(VLOOKUP(G768,Master!B:C,2,0),"")</f>
        <v/>
      </c>
      <c r="I768" s="3" t="str">
        <f>IFERROR(VLOOKUP(E768,Master!$J:$M,4,0),"")</f>
        <v/>
      </c>
      <c r="J768" s="3" t="str">
        <f>IFERROR(VLOOKUP($E768,Master!$J:$M,3,0),"")</f>
        <v/>
      </c>
      <c r="AC768" s="26">
        <f t="shared" si="22"/>
        <v>0</v>
      </c>
      <c r="AD768" s="26">
        <f t="shared" si="23"/>
        <v>0</v>
      </c>
    </row>
    <row r="769" spans="2:30" ht="15" customHeight="1">
      <c r="B769" s="3" t="str">
        <f>IFERROR(VLOOKUP(C769,Master!$J:$K,2,0),"")</f>
        <v/>
      </c>
      <c r="D769" s="4" t="str">
        <f>IFERROR(VLOOKUP(E769,Master!$J:$K,2,0),"")</f>
        <v/>
      </c>
      <c r="F769" s="4" t="str">
        <f>IFERROR(VLOOKUP(G769,Master!B:C,2,0),"")</f>
        <v/>
      </c>
      <c r="I769" s="3" t="str">
        <f>IFERROR(VLOOKUP(E769,Master!$J:$M,4,0),"")</f>
        <v/>
      </c>
      <c r="J769" s="3" t="str">
        <f>IFERROR(VLOOKUP($E769,Master!$J:$M,3,0),"")</f>
        <v/>
      </c>
      <c r="AC769" s="26">
        <f t="shared" si="22"/>
        <v>0</v>
      </c>
      <c r="AD769" s="26">
        <f t="shared" si="23"/>
        <v>0</v>
      </c>
    </row>
    <row r="770" spans="2:30" ht="15" customHeight="1">
      <c r="B770" s="3" t="str">
        <f>IFERROR(VLOOKUP(C770,Master!$J:$K,2,0),"")</f>
        <v/>
      </c>
      <c r="D770" s="4" t="str">
        <f>IFERROR(VLOOKUP(E770,Master!$J:$K,2,0),"")</f>
        <v/>
      </c>
      <c r="F770" s="4" t="str">
        <f>IFERROR(VLOOKUP(G770,Master!B:C,2,0),"")</f>
        <v/>
      </c>
      <c r="I770" s="3" t="str">
        <f>IFERROR(VLOOKUP(E770,Master!$J:$M,4,0),"")</f>
        <v/>
      </c>
      <c r="J770" s="3" t="str">
        <f>IFERROR(VLOOKUP($E770,Master!$J:$M,3,0),"")</f>
        <v/>
      </c>
      <c r="AC770" s="26">
        <f t="shared" ref="AC770:AC833" si="24">SUM(K770:P770)</f>
        <v>0</v>
      </c>
      <c r="AD770" s="26">
        <f t="shared" ref="AD770:AD833" si="25">SUM(Q770:AB770)</f>
        <v>0</v>
      </c>
    </row>
    <row r="771" spans="2:30" ht="15" customHeight="1">
      <c r="B771" s="3" t="str">
        <f>IFERROR(VLOOKUP(C771,Master!$J:$K,2,0),"")</f>
        <v/>
      </c>
      <c r="D771" s="4" t="str">
        <f>IFERROR(VLOOKUP(E771,Master!$J:$K,2,0),"")</f>
        <v/>
      </c>
      <c r="F771" s="4" t="str">
        <f>IFERROR(VLOOKUP(G771,Master!B:C,2,0),"")</f>
        <v/>
      </c>
      <c r="I771" s="3" t="str">
        <f>IFERROR(VLOOKUP(E771,Master!$J:$M,4,0),"")</f>
        <v/>
      </c>
      <c r="J771" s="3" t="str">
        <f>IFERROR(VLOOKUP($E771,Master!$J:$M,3,0),"")</f>
        <v/>
      </c>
      <c r="AC771" s="26">
        <f t="shared" si="24"/>
        <v>0</v>
      </c>
      <c r="AD771" s="26">
        <f t="shared" si="25"/>
        <v>0</v>
      </c>
    </row>
    <row r="772" spans="2:30" ht="15" customHeight="1">
      <c r="B772" s="3" t="str">
        <f>IFERROR(VLOOKUP(C772,Master!$J:$K,2,0),"")</f>
        <v/>
      </c>
      <c r="D772" s="4" t="str">
        <f>IFERROR(VLOOKUP(E772,Master!$J:$K,2,0),"")</f>
        <v/>
      </c>
      <c r="F772" s="4" t="str">
        <f>IFERROR(VLOOKUP(G772,Master!B:C,2,0),"")</f>
        <v/>
      </c>
      <c r="I772" s="3" t="str">
        <f>IFERROR(VLOOKUP(E772,Master!$J:$M,4,0),"")</f>
        <v/>
      </c>
      <c r="J772" s="3" t="str">
        <f>IFERROR(VLOOKUP($E772,Master!$J:$M,3,0),"")</f>
        <v/>
      </c>
      <c r="AC772" s="26">
        <f t="shared" si="24"/>
        <v>0</v>
      </c>
      <c r="AD772" s="26">
        <f t="shared" si="25"/>
        <v>0</v>
      </c>
    </row>
    <row r="773" spans="2:30" ht="15" customHeight="1">
      <c r="B773" s="3" t="str">
        <f>IFERROR(VLOOKUP(C773,Master!$J:$K,2,0),"")</f>
        <v/>
      </c>
      <c r="D773" s="4" t="str">
        <f>IFERROR(VLOOKUP(E773,Master!$J:$K,2,0),"")</f>
        <v/>
      </c>
      <c r="F773" s="4" t="str">
        <f>IFERROR(VLOOKUP(G773,Master!B:C,2,0),"")</f>
        <v/>
      </c>
      <c r="I773" s="3" t="str">
        <f>IFERROR(VLOOKUP(E773,Master!$J:$M,4,0),"")</f>
        <v/>
      </c>
      <c r="J773" s="3" t="str">
        <f>IFERROR(VLOOKUP($E773,Master!$J:$M,3,0),"")</f>
        <v/>
      </c>
      <c r="AC773" s="26">
        <f t="shared" si="24"/>
        <v>0</v>
      </c>
      <c r="AD773" s="26">
        <f t="shared" si="25"/>
        <v>0</v>
      </c>
    </row>
    <row r="774" spans="2:30" ht="15" customHeight="1">
      <c r="B774" s="3" t="str">
        <f>IFERROR(VLOOKUP(C774,Master!$J:$K,2,0),"")</f>
        <v/>
      </c>
      <c r="D774" s="4" t="str">
        <f>IFERROR(VLOOKUP(E774,Master!$J:$K,2,0),"")</f>
        <v/>
      </c>
      <c r="F774" s="4" t="str">
        <f>IFERROR(VLOOKUP(G774,Master!B:C,2,0),"")</f>
        <v/>
      </c>
      <c r="I774" s="3" t="str">
        <f>IFERROR(VLOOKUP(E774,Master!$J:$M,4,0),"")</f>
        <v/>
      </c>
      <c r="J774" s="3" t="str">
        <f>IFERROR(VLOOKUP($E774,Master!$J:$M,3,0),"")</f>
        <v/>
      </c>
      <c r="AC774" s="26">
        <f t="shared" si="24"/>
        <v>0</v>
      </c>
      <c r="AD774" s="26">
        <f t="shared" si="25"/>
        <v>0</v>
      </c>
    </row>
    <row r="775" spans="2:30" ht="15" customHeight="1">
      <c r="B775" s="3" t="str">
        <f>IFERROR(VLOOKUP(C775,Master!$J:$K,2,0),"")</f>
        <v/>
      </c>
      <c r="D775" s="4" t="str">
        <f>IFERROR(VLOOKUP(E775,Master!$J:$K,2,0),"")</f>
        <v/>
      </c>
      <c r="F775" s="4" t="str">
        <f>IFERROR(VLOOKUP(G775,Master!B:C,2,0),"")</f>
        <v/>
      </c>
      <c r="I775" s="3" t="str">
        <f>IFERROR(VLOOKUP(E775,Master!$J:$M,4,0),"")</f>
        <v/>
      </c>
      <c r="J775" s="3" t="str">
        <f>IFERROR(VLOOKUP($E775,Master!$J:$M,3,0),"")</f>
        <v/>
      </c>
      <c r="AC775" s="26">
        <f t="shared" si="24"/>
        <v>0</v>
      </c>
      <c r="AD775" s="26">
        <f t="shared" si="25"/>
        <v>0</v>
      </c>
    </row>
    <row r="776" spans="2:30" ht="15" customHeight="1">
      <c r="B776" s="3" t="str">
        <f>IFERROR(VLOOKUP(C776,Master!$J:$K,2,0),"")</f>
        <v/>
      </c>
      <c r="D776" s="4" t="str">
        <f>IFERROR(VLOOKUP(E776,Master!$J:$K,2,0),"")</f>
        <v/>
      </c>
      <c r="F776" s="4" t="str">
        <f>IFERROR(VLOOKUP(G776,Master!B:C,2,0),"")</f>
        <v/>
      </c>
      <c r="I776" s="3" t="str">
        <f>IFERROR(VLOOKUP(E776,Master!$J:$M,4,0),"")</f>
        <v/>
      </c>
      <c r="J776" s="3" t="str">
        <f>IFERROR(VLOOKUP($E776,Master!$J:$M,3,0),"")</f>
        <v/>
      </c>
      <c r="AC776" s="26">
        <f t="shared" si="24"/>
        <v>0</v>
      </c>
      <c r="AD776" s="26">
        <f t="shared" si="25"/>
        <v>0</v>
      </c>
    </row>
    <row r="777" spans="2:30" ht="15" customHeight="1">
      <c r="B777" s="3" t="str">
        <f>IFERROR(VLOOKUP(C777,Master!$J:$K,2,0),"")</f>
        <v/>
      </c>
      <c r="D777" s="4" t="str">
        <f>IFERROR(VLOOKUP(E777,Master!$J:$K,2,0),"")</f>
        <v/>
      </c>
      <c r="F777" s="4" t="str">
        <f>IFERROR(VLOOKUP(G777,Master!B:C,2,0),"")</f>
        <v/>
      </c>
      <c r="I777" s="3" t="str">
        <f>IFERROR(VLOOKUP(E777,Master!$J:$M,4,0),"")</f>
        <v/>
      </c>
      <c r="J777" s="3" t="str">
        <f>IFERROR(VLOOKUP($E777,Master!$J:$M,3,0),"")</f>
        <v/>
      </c>
      <c r="AC777" s="26">
        <f t="shared" si="24"/>
        <v>0</v>
      </c>
      <c r="AD777" s="26">
        <f t="shared" si="25"/>
        <v>0</v>
      </c>
    </row>
    <row r="778" spans="2:30" ht="15" customHeight="1">
      <c r="B778" s="3" t="str">
        <f>IFERROR(VLOOKUP(C778,Master!$J:$K,2,0),"")</f>
        <v/>
      </c>
      <c r="D778" s="4" t="str">
        <f>IFERROR(VLOOKUP(E778,Master!$J:$K,2,0),"")</f>
        <v/>
      </c>
      <c r="F778" s="4" t="str">
        <f>IFERROR(VLOOKUP(G778,Master!B:C,2,0),"")</f>
        <v/>
      </c>
      <c r="I778" s="3" t="str">
        <f>IFERROR(VLOOKUP(E778,Master!$J:$M,4,0),"")</f>
        <v/>
      </c>
      <c r="J778" s="3" t="str">
        <f>IFERROR(VLOOKUP($E778,Master!$J:$M,3,0),"")</f>
        <v/>
      </c>
      <c r="AC778" s="26">
        <f t="shared" si="24"/>
        <v>0</v>
      </c>
      <c r="AD778" s="26">
        <f t="shared" si="25"/>
        <v>0</v>
      </c>
    </row>
    <row r="779" spans="2:30" ht="15" customHeight="1">
      <c r="B779" s="3" t="str">
        <f>IFERROR(VLOOKUP(C779,Master!$J:$K,2,0),"")</f>
        <v/>
      </c>
      <c r="D779" s="4" t="str">
        <f>IFERROR(VLOOKUP(E779,Master!$J:$K,2,0),"")</f>
        <v/>
      </c>
      <c r="F779" s="4" t="str">
        <f>IFERROR(VLOOKUP(G779,Master!B:C,2,0),"")</f>
        <v/>
      </c>
      <c r="I779" s="3" t="str">
        <f>IFERROR(VLOOKUP(E779,Master!$J:$M,4,0),"")</f>
        <v/>
      </c>
      <c r="J779" s="3" t="str">
        <f>IFERROR(VLOOKUP($E779,Master!$J:$M,3,0),"")</f>
        <v/>
      </c>
      <c r="AC779" s="26">
        <f t="shared" si="24"/>
        <v>0</v>
      </c>
      <c r="AD779" s="26">
        <f t="shared" si="25"/>
        <v>0</v>
      </c>
    </row>
    <row r="780" spans="2:30" ht="15" customHeight="1">
      <c r="B780" s="3" t="str">
        <f>IFERROR(VLOOKUP(C780,Master!$J:$K,2,0),"")</f>
        <v/>
      </c>
      <c r="D780" s="4" t="str">
        <f>IFERROR(VLOOKUP(E780,Master!$J:$K,2,0),"")</f>
        <v/>
      </c>
      <c r="F780" s="4" t="str">
        <f>IFERROR(VLOOKUP(G780,Master!B:C,2,0),"")</f>
        <v/>
      </c>
      <c r="I780" s="3" t="str">
        <f>IFERROR(VLOOKUP(E780,Master!$J:$M,4,0),"")</f>
        <v/>
      </c>
      <c r="J780" s="3" t="str">
        <f>IFERROR(VLOOKUP($E780,Master!$J:$M,3,0),"")</f>
        <v/>
      </c>
      <c r="AC780" s="26">
        <f t="shared" si="24"/>
        <v>0</v>
      </c>
      <c r="AD780" s="26">
        <f t="shared" si="25"/>
        <v>0</v>
      </c>
    </row>
    <row r="781" spans="2:30" ht="15" customHeight="1">
      <c r="B781" s="3" t="str">
        <f>IFERROR(VLOOKUP(C781,Master!$J:$K,2,0),"")</f>
        <v/>
      </c>
      <c r="D781" s="4" t="str">
        <f>IFERROR(VLOOKUP(E781,Master!$J:$K,2,0),"")</f>
        <v/>
      </c>
      <c r="F781" s="4" t="str">
        <f>IFERROR(VLOOKUP(G781,Master!B:C,2,0),"")</f>
        <v/>
      </c>
      <c r="I781" s="3" t="str">
        <f>IFERROR(VLOOKUP(E781,Master!$J:$M,4,0),"")</f>
        <v/>
      </c>
      <c r="J781" s="3" t="str">
        <f>IFERROR(VLOOKUP($E781,Master!$J:$M,3,0),"")</f>
        <v/>
      </c>
      <c r="AC781" s="26">
        <f t="shared" si="24"/>
        <v>0</v>
      </c>
      <c r="AD781" s="26">
        <f t="shared" si="25"/>
        <v>0</v>
      </c>
    </row>
    <row r="782" spans="2:30" ht="15" customHeight="1">
      <c r="B782" s="3" t="str">
        <f>IFERROR(VLOOKUP(C782,Master!$J:$K,2,0),"")</f>
        <v/>
      </c>
      <c r="D782" s="4" t="str">
        <f>IFERROR(VLOOKUP(E782,Master!$J:$K,2,0),"")</f>
        <v/>
      </c>
      <c r="F782" s="4" t="str">
        <f>IFERROR(VLOOKUP(G782,Master!B:C,2,0),"")</f>
        <v/>
      </c>
      <c r="I782" s="3" t="str">
        <f>IFERROR(VLOOKUP(E782,Master!$J:$M,4,0),"")</f>
        <v/>
      </c>
      <c r="J782" s="3" t="str">
        <f>IFERROR(VLOOKUP($E782,Master!$J:$M,3,0),"")</f>
        <v/>
      </c>
      <c r="AC782" s="26">
        <f t="shared" si="24"/>
        <v>0</v>
      </c>
      <c r="AD782" s="26">
        <f t="shared" si="25"/>
        <v>0</v>
      </c>
    </row>
    <row r="783" spans="2:30" ht="15" customHeight="1">
      <c r="B783" s="3" t="str">
        <f>IFERROR(VLOOKUP(C783,Master!$J:$K,2,0),"")</f>
        <v/>
      </c>
      <c r="D783" s="4" t="str">
        <f>IFERROR(VLOOKUP(E783,Master!$J:$K,2,0),"")</f>
        <v/>
      </c>
      <c r="F783" s="4" t="str">
        <f>IFERROR(VLOOKUP(G783,Master!B:C,2,0),"")</f>
        <v/>
      </c>
      <c r="I783" s="3" t="str">
        <f>IFERROR(VLOOKUP(E783,Master!$J:$M,4,0),"")</f>
        <v/>
      </c>
      <c r="J783" s="3" t="str">
        <f>IFERROR(VLOOKUP($E783,Master!$J:$M,3,0),"")</f>
        <v/>
      </c>
      <c r="AC783" s="26">
        <f t="shared" si="24"/>
        <v>0</v>
      </c>
      <c r="AD783" s="26">
        <f t="shared" si="25"/>
        <v>0</v>
      </c>
    </row>
    <row r="784" spans="2:30" ht="15" customHeight="1">
      <c r="B784" s="3" t="str">
        <f>IFERROR(VLOOKUP(C784,Master!$J:$K,2,0),"")</f>
        <v/>
      </c>
      <c r="D784" s="4" t="str">
        <f>IFERROR(VLOOKUP(E784,Master!$J:$K,2,0),"")</f>
        <v/>
      </c>
      <c r="F784" s="4" t="str">
        <f>IFERROR(VLOOKUP(G784,Master!B:C,2,0),"")</f>
        <v/>
      </c>
      <c r="I784" s="3" t="str">
        <f>IFERROR(VLOOKUP(E784,Master!$J:$M,4,0),"")</f>
        <v/>
      </c>
      <c r="J784" s="3" t="str">
        <f>IFERROR(VLOOKUP($E784,Master!$J:$M,3,0),"")</f>
        <v/>
      </c>
      <c r="AC784" s="26">
        <f t="shared" si="24"/>
        <v>0</v>
      </c>
      <c r="AD784" s="26">
        <f t="shared" si="25"/>
        <v>0</v>
      </c>
    </row>
    <row r="785" spans="2:30" ht="15" customHeight="1">
      <c r="B785" s="3" t="str">
        <f>IFERROR(VLOOKUP(C785,Master!$J:$K,2,0),"")</f>
        <v/>
      </c>
      <c r="D785" s="4" t="str">
        <f>IFERROR(VLOOKUP(E785,Master!$J:$K,2,0),"")</f>
        <v/>
      </c>
      <c r="F785" s="4" t="str">
        <f>IFERROR(VLOOKUP(G785,Master!B:C,2,0),"")</f>
        <v/>
      </c>
      <c r="I785" s="3" t="str">
        <f>IFERROR(VLOOKUP(E785,Master!$J:$M,4,0),"")</f>
        <v/>
      </c>
      <c r="J785" s="3" t="str">
        <f>IFERROR(VLOOKUP($E785,Master!$J:$M,3,0),"")</f>
        <v/>
      </c>
      <c r="AC785" s="26">
        <f t="shared" si="24"/>
        <v>0</v>
      </c>
      <c r="AD785" s="26">
        <f t="shared" si="25"/>
        <v>0</v>
      </c>
    </row>
    <row r="786" spans="2:30" ht="15" customHeight="1">
      <c r="B786" s="3" t="str">
        <f>IFERROR(VLOOKUP(C786,Master!$J:$K,2,0),"")</f>
        <v/>
      </c>
      <c r="D786" s="4" t="str">
        <f>IFERROR(VLOOKUP(E786,Master!$J:$K,2,0),"")</f>
        <v/>
      </c>
      <c r="F786" s="4" t="str">
        <f>IFERROR(VLOOKUP(G786,Master!B:C,2,0),"")</f>
        <v/>
      </c>
      <c r="I786" s="3" t="str">
        <f>IFERROR(VLOOKUP(E786,Master!$J:$M,4,0),"")</f>
        <v/>
      </c>
      <c r="J786" s="3" t="str">
        <f>IFERROR(VLOOKUP($E786,Master!$J:$M,3,0),"")</f>
        <v/>
      </c>
      <c r="AC786" s="26">
        <f t="shared" si="24"/>
        <v>0</v>
      </c>
      <c r="AD786" s="26">
        <f t="shared" si="25"/>
        <v>0</v>
      </c>
    </row>
    <row r="787" spans="2:30" ht="15" customHeight="1">
      <c r="B787" s="3" t="str">
        <f>IFERROR(VLOOKUP(C787,Master!$J:$K,2,0),"")</f>
        <v/>
      </c>
      <c r="D787" s="4" t="str">
        <f>IFERROR(VLOOKUP(E787,Master!$J:$K,2,0),"")</f>
        <v/>
      </c>
      <c r="F787" s="4" t="str">
        <f>IFERROR(VLOOKUP(G787,Master!B:C,2,0),"")</f>
        <v/>
      </c>
      <c r="I787" s="3" t="str">
        <f>IFERROR(VLOOKUP(E787,Master!$J:$M,4,0),"")</f>
        <v/>
      </c>
      <c r="J787" s="3" t="str">
        <f>IFERROR(VLOOKUP($E787,Master!$J:$M,3,0),"")</f>
        <v/>
      </c>
      <c r="AC787" s="26">
        <f t="shared" si="24"/>
        <v>0</v>
      </c>
      <c r="AD787" s="26">
        <f t="shared" si="25"/>
        <v>0</v>
      </c>
    </row>
    <row r="788" spans="2:30" ht="15" customHeight="1">
      <c r="B788" s="3" t="str">
        <f>IFERROR(VLOOKUP(C788,Master!$J:$K,2,0),"")</f>
        <v/>
      </c>
      <c r="D788" s="4" t="str">
        <f>IFERROR(VLOOKUP(E788,Master!$J:$K,2,0),"")</f>
        <v/>
      </c>
      <c r="F788" s="4" t="str">
        <f>IFERROR(VLOOKUP(G788,Master!B:C,2,0),"")</f>
        <v/>
      </c>
      <c r="I788" s="3" t="str">
        <f>IFERROR(VLOOKUP(E788,Master!$J:$M,4,0),"")</f>
        <v/>
      </c>
      <c r="J788" s="3" t="str">
        <f>IFERROR(VLOOKUP($E788,Master!$J:$M,3,0),"")</f>
        <v/>
      </c>
      <c r="AC788" s="26">
        <f t="shared" si="24"/>
        <v>0</v>
      </c>
      <c r="AD788" s="26">
        <f t="shared" si="25"/>
        <v>0</v>
      </c>
    </row>
    <row r="789" spans="2:30" ht="15" customHeight="1">
      <c r="B789" s="3" t="str">
        <f>IFERROR(VLOOKUP(C789,Master!$J:$K,2,0),"")</f>
        <v/>
      </c>
      <c r="D789" s="4" t="str">
        <f>IFERROR(VLOOKUP(E789,Master!$J:$K,2,0),"")</f>
        <v/>
      </c>
      <c r="F789" s="4" t="str">
        <f>IFERROR(VLOOKUP(G789,Master!B:C,2,0),"")</f>
        <v/>
      </c>
      <c r="I789" s="3" t="str">
        <f>IFERROR(VLOOKUP(E789,Master!$J:$M,4,0),"")</f>
        <v/>
      </c>
      <c r="J789" s="3" t="str">
        <f>IFERROR(VLOOKUP($E789,Master!$J:$M,3,0),"")</f>
        <v/>
      </c>
      <c r="AC789" s="26">
        <f t="shared" si="24"/>
        <v>0</v>
      </c>
      <c r="AD789" s="26">
        <f t="shared" si="25"/>
        <v>0</v>
      </c>
    </row>
    <row r="790" spans="2:30" ht="15" customHeight="1">
      <c r="B790" s="3" t="str">
        <f>IFERROR(VLOOKUP(C790,Master!$J:$K,2,0),"")</f>
        <v/>
      </c>
      <c r="D790" s="4" t="str">
        <f>IFERROR(VLOOKUP(E790,Master!$J:$K,2,0),"")</f>
        <v/>
      </c>
      <c r="F790" s="4" t="str">
        <f>IFERROR(VLOOKUP(G790,Master!B:C,2,0),"")</f>
        <v/>
      </c>
      <c r="I790" s="3" t="str">
        <f>IFERROR(VLOOKUP(E790,Master!$J:$M,4,0),"")</f>
        <v/>
      </c>
      <c r="J790" s="3" t="str">
        <f>IFERROR(VLOOKUP($E790,Master!$J:$M,3,0),"")</f>
        <v/>
      </c>
      <c r="AC790" s="26">
        <f t="shared" si="24"/>
        <v>0</v>
      </c>
      <c r="AD790" s="26">
        <f t="shared" si="25"/>
        <v>0</v>
      </c>
    </row>
    <row r="791" spans="2:30" ht="15" customHeight="1">
      <c r="B791" s="3" t="str">
        <f>IFERROR(VLOOKUP(C791,Master!$J:$K,2,0),"")</f>
        <v/>
      </c>
      <c r="D791" s="4" t="str">
        <f>IFERROR(VLOOKUP(E791,Master!$J:$K,2,0),"")</f>
        <v/>
      </c>
      <c r="F791" s="4" t="str">
        <f>IFERROR(VLOOKUP(G791,Master!B:C,2,0),"")</f>
        <v/>
      </c>
      <c r="I791" s="3" t="str">
        <f>IFERROR(VLOOKUP(E791,Master!$J:$M,4,0),"")</f>
        <v/>
      </c>
      <c r="J791" s="3" t="str">
        <f>IFERROR(VLOOKUP($E791,Master!$J:$M,3,0),"")</f>
        <v/>
      </c>
      <c r="AC791" s="26">
        <f t="shared" si="24"/>
        <v>0</v>
      </c>
      <c r="AD791" s="26">
        <f t="shared" si="25"/>
        <v>0</v>
      </c>
    </row>
    <row r="792" spans="2:30" ht="15" customHeight="1">
      <c r="B792" s="3" t="str">
        <f>IFERROR(VLOOKUP(C792,Master!$J:$K,2,0),"")</f>
        <v/>
      </c>
      <c r="D792" s="4" t="str">
        <f>IFERROR(VLOOKUP(E792,Master!$J:$K,2,0),"")</f>
        <v/>
      </c>
      <c r="F792" s="4" t="str">
        <f>IFERROR(VLOOKUP(G792,Master!B:C,2,0),"")</f>
        <v/>
      </c>
      <c r="I792" s="3" t="str">
        <f>IFERROR(VLOOKUP(E792,Master!$J:$M,4,0),"")</f>
        <v/>
      </c>
      <c r="J792" s="3" t="str">
        <f>IFERROR(VLOOKUP($E792,Master!$J:$M,3,0),"")</f>
        <v/>
      </c>
      <c r="AC792" s="26">
        <f t="shared" si="24"/>
        <v>0</v>
      </c>
      <c r="AD792" s="26">
        <f t="shared" si="25"/>
        <v>0</v>
      </c>
    </row>
    <row r="793" spans="2:30" ht="15" customHeight="1">
      <c r="B793" s="3" t="str">
        <f>IFERROR(VLOOKUP(C793,Master!$J:$K,2,0),"")</f>
        <v/>
      </c>
      <c r="D793" s="4" t="str">
        <f>IFERROR(VLOOKUP(E793,Master!$J:$K,2,0),"")</f>
        <v/>
      </c>
      <c r="F793" s="4" t="str">
        <f>IFERROR(VLOOKUP(G793,Master!B:C,2,0),"")</f>
        <v/>
      </c>
      <c r="I793" s="3" t="str">
        <f>IFERROR(VLOOKUP(E793,Master!$J:$M,4,0),"")</f>
        <v/>
      </c>
      <c r="J793" s="3" t="str">
        <f>IFERROR(VLOOKUP($E793,Master!$J:$M,3,0),"")</f>
        <v/>
      </c>
      <c r="AC793" s="26">
        <f t="shared" si="24"/>
        <v>0</v>
      </c>
      <c r="AD793" s="26">
        <f t="shared" si="25"/>
        <v>0</v>
      </c>
    </row>
    <row r="794" spans="2:30" ht="15" customHeight="1">
      <c r="B794" s="3" t="str">
        <f>IFERROR(VLOOKUP(C794,Master!$J:$K,2,0),"")</f>
        <v/>
      </c>
      <c r="D794" s="4" t="str">
        <f>IFERROR(VLOOKUP(E794,Master!$J:$K,2,0),"")</f>
        <v/>
      </c>
      <c r="F794" s="4" t="str">
        <f>IFERROR(VLOOKUP(G794,Master!B:C,2,0),"")</f>
        <v/>
      </c>
      <c r="I794" s="3" t="str">
        <f>IFERROR(VLOOKUP(E794,Master!$J:$M,4,0),"")</f>
        <v/>
      </c>
      <c r="J794" s="3" t="str">
        <f>IFERROR(VLOOKUP($E794,Master!$J:$M,3,0),"")</f>
        <v/>
      </c>
      <c r="AC794" s="26">
        <f t="shared" si="24"/>
        <v>0</v>
      </c>
      <c r="AD794" s="26">
        <f t="shared" si="25"/>
        <v>0</v>
      </c>
    </row>
    <row r="795" spans="2:30" ht="15" customHeight="1">
      <c r="B795" s="3" t="str">
        <f>IFERROR(VLOOKUP(C795,Master!$J:$K,2,0),"")</f>
        <v/>
      </c>
      <c r="D795" s="4" t="str">
        <f>IFERROR(VLOOKUP(E795,Master!$J:$K,2,0),"")</f>
        <v/>
      </c>
      <c r="F795" s="4" t="str">
        <f>IFERROR(VLOOKUP(G795,Master!B:C,2,0),"")</f>
        <v/>
      </c>
      <c r="I795" s="3" t="str">
        <f>IFERROR(VLOOKUP(E795,Master!$J:$M,4,0),"")</f>
        <v/>
      </c>
      <c r="J795" s="3" t="str">
        <f>IFERROR(VLOOKUP($E795,Master!$J:$M,3,0),"")</f>
        <v/>
      </c>
      <c r="AC795" s="26">
        <f t="shared" si="24"/>
        <v>0</v>
      </c>
      <c r="AD795" s="26">
        <f t="shared" si="25"/>
        <v>0</v>
      </c>
    </row>
    <row r="796" spans="2:30" ht="15" customHeight="1">
      <c r="B796" s="3" t="str">
        <f>IFERROR(VLOOKUP(C796,Master!$J:$K,2,0),"")</f>
        <v/>
      </c>
      <c r="D796" s="4" t="str">
        <f>IFERROR(VLOOKUP(E796,Master!$J:$K,2,0),"")</f>
        <v/>
      </c>
      <c r="F796" s="4" t="str">
        <f>IFERROR(VLOOKUP(G796,Master!B:C,2,0),"")</f>
        <v/>
      </c>
      <c r="I796" s="3" t="str">
        <f>IFERROR(VLOOKUP(E796,Master!$J:$M,4,0),"")</f>
        <v/>
      </c>
      <c r="J796" s="3" t="str">
        <f>IFERROR(VLOOKUP($E796,Master!$J:$M,3,0),"")</f>
        <v/>
      </c>
      <c r="AC796" s="26">
        <f t="shared" si="24"/>
        <v>0</v>
      </c>
      <c r="AD796" s="26">
        <f t="shared" si="25"/>
        <v>0</v>
      </c>
    </row>
    <row r="797" spans="2:30" ht="15" customHeight="1">
      <c r="B797" s="3" t="str">
        <f>IFERROR(VLOOKUP(C797,Master!$J:$K,2,0),"")</f>
        <v/>
      </c>
      <c r="D797" s="4" t="str">
        <f>IFERROR(VLOOKUP(E797,Master!$J:$K,2,0),"")</f>
        <v/>
      </c>
      <c r="F797" s="4" t="str">
        <f>IFERROR(VLOOKUP(G797,Master!B:C,2,0),"")</f>
        <v/>
      </c>
      <c r="I797" s="3" t="str">
        <f>IFERROR(VLOOKUP(E797,Master!$J:$M,4,0),"")</f>
        <v/>
      </c>
      <c r="J797" s="3" t="str">
        <f>IFERROR(VLOOKUP($E797,Master!$J:$M,3,0),"")</f>
        <v/>
      </c>
      <c r="AC797" s="26">
        <f t="shared" si="24"/>
        <v>0</v>
      </c>
      <c r="AD797" s="26">
        <f t="shared" si="25"/>
        <v>0</v>
      </c>
    </row>
    <row r="798" spans="2:30" ht="15" customHeight="1">
      <c r="B798" s="3" t="str">
        <f>IFERROR(VLOOKUP(C798,Master!$J:$K,2,0),"")</f>
        <v/>
      </c>
      <c r="D798" s="4" t="str">
        <f>IFERROR(VLOOKUP(E798,Master!$J:$K,2,0),"")</f>
        <v/>
      </c>
      <c r="F798" s="4" t="str">
        <f>IFERROR(VLOOKUP(G798,Master!B:C,2,0),"")</f>
        <v/>
      </c>
      <c r="I798" s="3" t="str">
        <f>IFERROR(VLOOKUP(E798,Master!$J:$M,4,0),"")</f>
        <v/>
      </c>
      <c r="J798" s="3" t="str">
        <f>IFERROR(VLOOKUP($E798,Master!$J:$M,3,0),"")</f>
        <v/>
      </c>
      <c r="AC798" s="26">
        <f t="shared" si="24"/>
        <v>0</v>
      </c>
      <c r="AD798" s="26">
        <f t="shared" si="25"/>
        <v>0</v>
      </c>
    </row>
    <row r="799" spans="2:30" ht="15" customHeight="1">
      <c r="B799" s="3" t="str">
        <f>IFERROR(VLOOKUP(C799,Master!$J:$K,2,0),"")</f>
        <v/>
      </c>
      <c r="D799" s="4" t="str">
        <f>IFERROR(VLOOKUP(E799,Master!$J:$K,2,0),"")</f>
        <v/>
      </c>
      <c r="F799" s="4" t="str">
        <f>IFERROR(VLOOKUP(G799,Master!B:C,2,0),"")</f>
        <v/>
      </c>
      <c r="I799" s="3" t="str">
        <f>IFERROR(VLOOKUP(E799,Master!$J:$M,4,0),"")</f>
        <v/>
      </c>
      <c r="J799" s="3" t="str">
        <f>IFERROR(VLOOKUP($E799,Master!$J:$M,3,0),"")</f>
        <v/>
      </c>
      <c r="AC799" s="26">
        <f t="shared" si="24"/>
        <v>0</v>
      </c>
      <c r="AD799" s="26">
        <f t="shared" si="25"/>
        <v>0</v>
      </c>
    </row>
    <row r="800" spans="2:30" ht="15" customHeight="1">
      <c r="B800" s="3" t="str">
        <f>IFERROR(VLOOKUP(C800,Master!$J:$K,2,0),"")</f>
        <v/>
      </c>
      <c r="D800" s="4" t="str">
        <f>IFERROR(VLOOKUP(E800,Master!$J:$K,2,0),"")</f>
        <v/>
      </c>
      <c r="F800" s="4" t="str">
        <f>IFERROR(VLOOKUP(G800,Master!B:C,2,0),"")</f>
        <v/>
      </c>
      <c r="I800" s="3" t="str">
        <f>IFERROR(VLOOKUP(E800,Master!$J:$M,4,0),"")</f>
        <v/>
      </c>
      <c r="J800" s="3" t="str">
        <f>IFERROR(VLOOKUP($E800,Master!$J:$M,3,0),"")</f>
        <v/>
      </c>
      <c r="AC800" s="26">
        <f t="shared" si="24"/>
        <v>0</v>
      </c>
      <c r="AD800" s="26">
        <f t="shared" si="25"/>
        <v>0</v>
      </c>
    </row>
    <row r="801" spans="2:30" ht="15" customHeight="1">
      <c r="B801" s="3" t="str">
        <f>IFERROR(VLOOKUP(C801,Master!$J:$K,2,0),"")</f>
        <v/>
      </c>
      <c r="D801" s="4" t="str">
        <f>IFERROR(VLOOKUP(E801,Master!$J:$K,2,0),"")</f>
        <v/>
      </c>
      <c r="F801" s="4" t="str">
        <f>IFERROR(VLOOKUP(G801,Master!B:C,2,0),"")</f>
        <v/>
      </c>
      <c r="I801" s="3" t="str">
        <f>IFERROR(VLOOKUP(E801,Master!$J:$M,4,0),"")</f>
        <v/>
      </c>
      <c r="J801" s="3" t="str">
        <f>IFERROR(VLOOKUP($E801,Master!$J:$M,3,0),"")</f>
        <v/>
      </c>
      <c r="AC801" s="26">
        <f t="shared" si="24"/>
        <v>0</v>
      </c>
      <c r="AD801" s="26">
        <f t="shared" si="25"/>
        <v>0</v>
      </c>
    </row>
    <row r="802" spans="2:30" ht="15" customHeight="1">
      <c r="B802" s="3" t="str">
        <f>IFERROR(VLOOKUP(C802,Master!$J:$K,2,0),"")</f>
        <v/>
      </c>
      <c r="D802" s="4" t="str">
        <f>IFERROR(VLOOKUP(E802,Master!$J:$K,2,0),"")</f>
        <v/>
      </c>
      <c r="F802" s="4" t="str">
        <f>IFERROR(VLOOKUP(G802,Master!B:C,2,0),"")</f>
        <v/>
      </c>
      <c r="I802" s="3" t="str">
        <f>IFERROR(VLOOKUP(E802,Master!$J:$M,4,0),"")</f>
        <v/>
      </c>
      <c r="J802" s="3" t="str">
        <f>IFERROR(VLOOKUP($E802,Master!$J:$M,3,0),"")</f>
        <v/>
      </c>
      <c r="AC802" s="26">
        <f t="shared" si="24"/>
        <v>0</v>
      </c>
      <c r="AD802" s="26">
        <f t="shared" si="25"/>
        <v>0</v>
      </c>
    </row>
    <row r="803" spans="2:30" ht="15" customHeight="1">
      <c r="B803" s="3" t="str">
        <f>IFERROR(VLOOKUP(C803,Master!$J:$K,2,0),"")</f>
        <v/>
      </c>
      <c r="D803" s="4" t="str">
        <f>IFERROR(VLOOKUP(E803,Master!$J:$K,2,0),"")</f>
        <v/>
      </c>
      <c r="F803" s="4" t="str">
        <f>IFERROR(VLOOKUP(G803,Master!B:C,2,0),"")</f>
        <v/>
      </c>
      <c r="I803" s="3" t="str">
        <f>IFERROR(VLOOKUP(E803,Master!$J:$M,4,0),"")</f>
        <v/>
      </c>
      <c r="J803" s="3" t="str">
        <f>IFERROR(VLOOKUP($E803,Master!$J:$M,3,0),"")</f>
        <v/>
      </c>
      <c r="AC803" s="26">
        <f t="shared" si="24"/>
        <v>0</v>
      </c>
      <c r="AD803" s="26">
        <f t="shared" si="25"/>
        <v>0</v>
      </c>
    </row>
    <row r="804" spans="2:30" ht="15" customHeight="1">
      <c r="B804" s="3" t="str">
        <f>IFERROR(VLOOKUP(C804,Master!$J:$K,2,0),"")</f>
        <v/>
      </c>
      <c r="D804" s="4" t="str">
        <f>IFERROR(VLOOKUP(E804,Master!$J:$K,2,0),"")</f>
        <v/>
      </c>
      <c r="F804" s="4" t="str">
        <f>IFERROR(VLOOKUP(G804,Master!B:C,2,0),"")</f>
        <v/>
      </c>
      <c r="I804" s="3" t="str">
        <f>IFERROR(VLOOKUP(E804,Master!$J:$M,4,0),"")</f>
        <v/>
      </c>
      <c r="J804" s="3" t="str">
        <f>IFERROR(VLOOKUP($E804,Master!$J:$M,3,0),"")</f>
        <v/>
      </c>
      <c r="AC804" s="26">
        <f t="shared" si="24"/>
        <v>0</v>
      </c>
      <c r="AD804" s="26">
        <f t="shared" si="25"/>
        <v>0</v>
      </c>
    </row>
    <row r="805" spans="2:30" ht="15" customHeight="1">
      <c r="B805" s="3" t="str">
        <f>IFERROR(VLOOKUP(C805,Master!$J:$K,2,0),"")</f>
        <v/>
      </c>
      <c r="D805" s="4" t="str">
        <f>IFERROR(VLOOKUP(E805,Master!$J:$K,2,0),"")</f>
        <v/>
      </c>
      <c r="F805" s="4" t="str">
        <f>IFERROR(VLOOKUP(G805,Master!B:C,2,0),"")</f>
        <v/>
      </c>
      <c r="I805" s="3" t="str">
        <f>IFERROR(VLOOKUP(E805,Master!$J:$M,4,0),"")</f>
        <v/>
      </c>
      <c r="J805" s="3" t="str">
        <f>IFERROR(VLOOKUP($E805,Master!$J:$M,3,0),"")</f>
        <v/>
      </c>
      <c r="AC805" s="26">
        <f t="shared" si="24"/>
        <v>0</v>
      </c>
      <c r="AD805" s="26">
        <f t="shared" si="25"/>
        <v>0</v>
      </c>
    </row>
    <row r="806" spans="2:30" ht="15" customHeight="1">
      <c r="B806" s="3" t="str">
        <f>IFERROR(VLOOKUP(C806,Master!$J:$K,2,0),"")</f>
        <v/>
      </c>
      <c r="D806" s="4" t="str">
        <f>IFERROR(VLOOKUP(E806,Master!$J:$K,2,0),"")</f>
        <v/>
      </c>
      <c r="F806" s="4" t="str">
        <f>IFERROR(VLOOKUP(G806,Master!B:C,2,0),"")</f>
        <v/>
      </c>
      <c r="I806" s="3" t="str">
        <f>IFERROR(VLOOKUP(E806,Master!$J:$M,4,0),"")</f>
        <v/>
      </c>
      <c r="J806" s="3" t="str">
        <f>IFERROR(VLOOKUP($E806,Master!$J:$M,3,0),"")</f>
        <v/>
      </c>
      <c r="AC806" s="26">
        <f t="shared" si="24"/>
        <v>0</v>
      </c>
      <c r="AD806" s="26">
        <f t="shared" si="25"/>
        <v>0</v>
      </c>
    </row>
    <row r="807" spans="2:30" ht="15" customHeight="1">
      <c r="B807" s="3" t="str">
        <f>IFERROR(VLOOKUP(C807,Master!$J:$K,2,0),"")</f>
        <v/>
      </c>
      <c r="D807" s="4" t="str">
        <f>IFERROR(VLOOKUP(E807,Master!$J:$K,2,0),"")</f>
        <v/>
      </c>
      <c r="F807" s="4" t="str">
        <f>IFERROR(VLOOKUP(G807,Master!B:C,2,0),"")</f>
        <v/>
      </c>
      <c r="I807" s="3" t="str">
        <f>IFERROR(VLOOKUP(E807,Master!$J:$M,4,0),"")</f>
        <v/>
      </c>
      <c r="J807" s="3" t="str">
        <f>IFERROR(VLOOKUP($E807,Master!$J:$M,3,0),"")</f>
        <v/>
      </c>
      <c r="AC807" s="26">
        <f t="shared" si="24"/>
        <v>0</v>
      </c>
      <c r="AD807" s="26">
        <f t="shared" si="25"/>
        <v>0</v>
      </c>
    </row>
    <row r="808" spans="2:30" ht="15" customHeight="1">
      <c r="B808" s="3" t="str">
        <f>IFERROR(VLOOKUP(C808,Master!$J:$K,2,0),"")</f>
        <v/>
      </c>
      <c r="D808" s="4" t="str">
        <f>IFERROR(VLOOKUP(E808,Master!$J:$K,2,0),"")</f>
        <v/>
      </c>
      <c r="F808" s="4" t="str">
        <f>IFERROR(VLOOKUP(G808,Master!B:C,2,0),"")</f>
        <v/>
      </c>
      <c r="I808" s="3" t="str">
        <f>IFERROR(VLOOKUP(E808,Master!$J:$M,4,0),"")</f>
        <v/>
      </c>
      <c r="J808" s="3" t="str">
        <f>IFERROR(VLOOKUP($E808,Master!$J:$M,3,0),"")</f>
        <v/>
      </c>
      <c r="AC808" s="26">
        <f t="shared" si="24"/>
        <v>0</v>
      </c>
      <c r="AD808" s="26">
        <f t="shared" si="25"/>
        <v>0</v>
      </c>
    </row>
    <row r="809" spans="2:30" ht="15" customHeight="1">
      <c r="B809" s="3" t="str">
        <f>IFERROR(VLOOKUP(C809,Master!$J:$K,2,0),"")</f>
        <v/>
      </c>
      <c r="D809" s="4" t="str">
        <f>IFERROR(VLOOKUP(E809,Master!$J:$K,2,0),"")</f>
        <v/>
      </c>
      <c r="F809" s="4" t="str">
        <f>IFERROR(VLOOKUP(G809,Master!B:C,2,0),"")</f>
        <v/>
      </c>
      <c r="I809" s="3" t="str">
        <f>IFERROR(VLOOKUP(E809,Master!$J:$M,4,0),"")</f>
        <v/>
      </c>
      <c r="J809" s="3" t="str">
        <f>IFERROR(VLOOKUP($E809,Master!$J:$M,3,0),"")</f>
        <v/>
      </c>
      <c r="AC809" s="26">
        <f t="shared" si="24"/>
        <v>0</v>
      </c>
      <c r="AD809" s="26">
        <f t="shared" si="25"/>
        <v>0</v>
      </c>
    </row>
    <row r="810" spans="2:30" ht="15" customHeight="1">
      <c r="B810" s="3" t="str">
        <f>IFERROR(VLOOKUP(C810,Master!$J:$K,2,0),"")</f>
        <v/>
      </c>
      <c r="D810" s="4" t="str">
        <f>IFERROR(VLOOKUP(E810,Master!$J:$K,2,0),"")</f>
        <v/>
      </c>
      <c r="F810" s="4" t="str">
        <f>IFERROR(VLOOKUP(G810,Master!B:C,2,0),"")</f>
        <v/>
      </c>
      <c r="I810" s="3" t="str">
        <f>IFERROR(VLOOKUP(E810,Master!$J:$M,4,0),"")</f>
        <v/>
      </c>
      <c r="J810" s="3" t="str">
        <f>IFERROR(VLOOKUP($E810,Master!$J:$M,3,0),"")</f>
        <v/>
      </c>
      <c r="AC810" s="26">
        <f t="shared" si="24"/>
        <v>0</v>
      </c>
      <c r="AD810" s="26">
        <f t="shared" si="25"/>
        <v>0</v>
      </c>
    </row>
    <row r="811" spans="2:30" ht="15" customHeight="1">
      <c r="B811" s="3" t="str">
        <f>IFERROR(VLOOKUP(C811,Master!$J:$K,2,0),"")</f>
        <v/>
      </c>
      <c r="D811" s="4" t="str">
        <f>IFERROR(VLOOKUP(E811,Master!$J:$K,2,0),"")</f>
        <v/>
      </c>
      <c r="F811" s="4" t="str">
        <f>IFERROR(VLOOKUP(G811,Master!B:C,2,0),"")</f>
        <v/>
      </c>
      <c r="I811" s="3" t="str">
        <f>IFERROR(VLOOKUP(E811,Master!$J:$M,4,0),"")</f>
        <v/>
      </c>
      <c r="J811" s="3" t="str">
        <f>IFERROR(VLOOKUP($E811,Master!$J:$M,3,0),"")</f>
        <v/>
      </c>
      <c r="AC811" s="26">
        <f t="shared" si="24"/>
        <v>0</v>
      </c>
      <c r="AD811" s="26">
        <f t="shared" si="25"/>
        <v>0</v>
      </c>
    </row>
    <row r="812" spans="2:30" ht="15" customHeight="1">
      <c r="B812" s="3" t="str">
        <f>IFERROR(VLOOKUP(C812,Master!$J:$K,2,0),"")</f>
        <v/>
      </c>
      <c r="D812" s="4" t="str">
        <f>IFERROR(VLOOKUP(E812,Master!$J:$K,2,0),"")</f>
        <v/>
      </c>
      <c r="F812" s="4" t="str">
        <f>IFERROR(VLOOKUP(G812,Master!B:C,2,0),"")</f>
        <v/>
      </c>
      <c r="I812" s="3" t="str">
        <f>IFERROR(VLOOKUP(E812,Master!$J:$M,4,0),"")</f>
        <v/>
      </c>
      <c r="J812" s="3" t="str">
        <f>IFERROR(VLOOKUP($E812,Master!$J:$M,3,0),"")</f>
        <v/>
      </c>
      <c r="AC812" s="26">
        <f t="shared" si="24"/>
        <v>0</v>
      </c>
      <c r="AD812" s="26">
        <f t="shared" si="25"/>
        <v>0</v>
      </c>
    </row>
    <row r="813" spans="2:30" ht="15" customHeight="1">
      <c r="B813" s="3" t="str">
        <f>IFERROR(VLOOKUP(C813,Master!$J:$K,2,0),"")</f>
        <v/>
      </c>
      <c r="D813" s="4" t="str">
        <f>IFERROR(VLOOKUP(E813,Master!$J:$K,2,0),"")</f>
        <v/>
      </c>
      <c r="F813" s="4" t="str">
        <f>IFERROR(VLOOKUP(G813,Master!B:C,2,0),"")</f>
        <v/>
      </c>
      <c r="I813" s="3" t="str">
        <f>IFERROR(VLOOKUP(E813,Master!$J:$M,4,0),"")</f>
        <v/>
      </c>
      <c r="J813" s="3" t="str">
        <f>IFERROR(VLOOKUP($E813,Master!$J:$M,3,0),"")</f>
        <v/>
      </c>
      <c r="AC813" s="26">
        <f t="shared" si="24"/>
        <v>0</v>
      </c>
      <c r="AD813" s="26">
        <f t="shared" si="25"/>
        <v>0</v>
      </c>
    </row>
    <row r="814" spans="2:30" ht="15" customHeight="1">
      <c r="B814" s="3" t="str">
        <f>IFERROR(VLOOKUP(C814,Master!$J:$K,2,0),"")</f>
        <v/>
      </c>
      <c r="D814" s="4" t="str">
        <f>IFERROR(VLOOKUP(E814,Master!$J:$K,2,0),"")</f>
        <v/>
      </c>
      <c r="F814" s="4" t="str">
        <f>IFERROR(VLOOKUP(G814,Master!B:C,2,0),"")</f>
        <v/>
      </c>
      <c r="I814" s="3" t="str">
        <f>IFERROR(VLOOKUP(E814,Master!$J:$M,4,0),"")</f>
        <v/>
      </c>
      <c r="J814" s="3" t="str">
        <f>IFERROR(VLOOKUP($E814,Master!$J:$M,3,0),"")</f>
        <v/>
      </c>
      <c r="AC814" s="26">
        <f t="shared" si="24"/>
        <v>0</v>
      </c>
      <c r="AD814" s="26">
        <f t="shared" si="25"/>
        <v>0</v>
      </c>
    </row>
    <row r="815" spans="2:30" ht="15" customHeight="1">
      <c r="B815" s="3" t="str">
        <f>IFERROR(VLOOKUP(C815,Master!$J:$K,2,0),"")</f>
        <v/>
      </c>
      <c r="D815" s="4" t="str">
        <f>IFERROR(VLOOKUP(E815,Master!$J:$K,2,0),"")</f>
        <v/>
      </c>
      <c r="F815" s="4" t="str">
        <f>IFERROR(VLOOKUP(G815,Master!B:C,2,0),"")</f>
        <v/>
      </c>
      <c r="I815" s="3" t="str">
        <f>IFERROR(VLOOKUP(E815,Master!$J:$M,4,0),"")</f>
        <v/>
      </c>
      <c r="J815" s="3" t="str">
        <f>IFERROR(VLOOKUP($E815,Master!$J:$M,3,0),"")</f>
        <v/>
      </c>
      <c r="AC815" s="26">
        <f t="shared" si="24"/>
        <v>0</v>
      </c>
      <c r="AD815" s="26">
        <f t="shared" si="25"/>
        <v>0</v>
      </c>
    </row>
    <row r="816" spans="2:30" ht="15" customHeight="1">
      <c r="B816" s="3" t="str">
        <f>IFERROR(VLOOKUP(C816,Master!$J:$K,2,0),"")</f>
        <v/>
      </c>
      <c r="D816" s="4" t="str">
        <f>IFERROR(VLOOKUP(E816,Master!$J:$K,2,0),"")</f>
        <v/>
      </c>
      <c r="F816" s="4" t="str">
        <f>IFERROR(VLOOKUP(G816,Master!B:C,2,0),"")</f>
        <v/>
      </c>
      <c r="I816" s="3" t="str">
        <f>IFERROR(VLOOKUP(E816,Master!$J:$M,4,0),"")</f>
        <v/>
      </c>
      <c r="J816" s="3" t="str">
        <f>IFERROR(VLOOKUP($E816,Master!$J:$M,3,0),"")</f>
        <v/>
      </c>
      <c r="AC816" s="26">
        <f t="shared" si="24"/>
        <v>0</v>
      </c>
      <c r="AD816" s="26">
        <f t="shared" si="25"/>
        <v>0</v>
      </c>
    </row>
    <row r="817" spans="2:30" ht="15" customHeight="1">
      <c r="B817" s="3" t="str">
        <f>IFERROR(VLOOKUP(C817,Master!$J:$K,2,0),"")</f>
        <v/>
      </c>
      <c r="D817" s="4" t="str">
        <f>IFERROR(VLOOKUP(E817,Master!$J:$K,2,0),"")</f>
        <v/>
      </c>
      <c r="F817" s="4" t="str">
        <f>IFERROR(VLOOKUP(G817,Master!B:C,2,0),"")</f>
        <v/>
      </c>
      <c r="I817" s="3" t="str">
        <f>IFERROR(VLOOKUP(E817,Master!$J:$M,4,0),"")</f>
        <v/>
      </c>
      <c r="J817" s="3" t="str">
        <f>IFERROR(VLOOKUP($E817,Master!$J:$M,3,0),"")</f>
        <v/>
      </c>
      <c r="AC817" s="26">
        <f t="shared" si="24"/>
        <v>0</v>
      </c>
      <c r="AD817" s="26">
        <f t="shared" si="25"/>
        <v>0</v>
      </c>
    </row>
    <row r="818" spans="2:30" ht="15" customHeight="1">
      <c r="B818" s="3" t="str">
        <f>IFERROR(VLOOKUP(C818,Master!$J:$K,2,0),"")</f>
        <v/>
      </c>
      <c r="D818" s="4" t="str">
        <f>IFERROR(VLOOKUP(E818,Master!$J:$K,2,0),"")</f>
        <v/>
      </c>
      <c r="F818" s="4" t="str">
        <f>IFERROR(VLOOKUP(G818,Master!B:C,2,0),"")</f>
        <v/>
      </c>
      <c r="I818" s="3" t="str">
        <f>IFERROR(VLOOKUP(E818,Master!$J:$M,4,0),"")</f>
        <v/>
      </c>
      <c r="J818" s="3" t="str">
        <f>IFERROR(VLOOKUP($E818,Master!$J:$M,3,0),"")</f>
        <v/>
      </c>
      <c r="AC818" s="26">
        <f t="shared" si="24"/>
        <v>0</v>
      </c>
      <c r="AD818" s="26">
        <f t="shared" si="25"/>
        <v>0</v>
      </c>
    </row>
    <row r="819" spans="2:30" ht="15" customHeight="1">
      <c r="B819" s="3" t="str">
        <f>IFERROR(VLOOKUP(C819,Master!$J:$K,2,0),"")</f>
        <v/>
      </c>
      <c r="D819" s="4" t="str">
        <f>IFERROR(VLOOKUP(E819,Master!$J:$K,2,0),"")</f>
        <v/>
      </c>
      <c r="F819" s="4" t="str">
        <f>IFERROR(VLOOKUP(G819,Master!B:C,2,0),"")</f>
        <v/>
      </c>
      <c r="I819" s="3" t="str">
        <f>IFERROR(VLOOKUP(E819,Master!$J:$M,4,0),"")</f>
        <v/>
      </c>
      <c r="J819" s="3" t="str">
        <f>IFERROR(VLOOKUP($E819,Master!$J:$M,3,0),"")</f>
        <v/>
      </c>
      <c r="AC819" s="26">
        <f t="shared" si="24"/>
        <v>0</v>
      </c>
      <c r="AD819" s="26">
        <f t="shared" si="25"/>
        <v>0</v>
      </c>
    </row>
    <row r="820" spans="2:30" ht="15" customHeight="1">
      <c r="B820" s="3" t="str">
        <f>IFERROR(VLOOKUP(C820,Master!$J:$K,2,0),"")</f>
        <v/>
      </c>
      <c r="D820" s="4" t="str">
        <f>IFERROR(VLOOKUP(E820,Master!$J:$K,2,0),"")</f>
        <v/>
      </c>
      <c r="F820" s="4" t="str">
        <f>IFERROR(VLOOKUP(G820,Master!B:C,2,0),"")</f>
        <v/>
      </c>
      <c r="I820" s="3" t="str">
        <f>IFERROR(VLOOKUP(E820,Master!$J:$M,4,0),"")</f>
        <v/>
      </c>
      <c r="J820" s="3" t="str">
        <f>IFERROR(VLOOKUP($E820,Master!$J:$M,3,0),"")</f>
        <v/>
      </c>
      <c r="AC820" s="26">
        <f t="shared" si="24"/>
        <v>0</v>
      </c>
      <c r="AD820" s="26">
        <f t="shared" si="25"/>
        <v>0</v>
      </c>
    </row>
    <row r="821" spans="2:30" ht="15" customHeight="1">
      <c r="B821" s="3" t="str">
        <f>IFERROR(VLOOKUP(C821,Master!$J:$K,2,0),"")</f>
        <v/>
      </c>
      <c r="D821" s="4" t="str">
        <f>IFERROR(VLOOKUP(E821,Master!$J:$K,2,0),"")</f>
        <v/>
      </c>
      <c r="F821" s="4" t="str">
        <f>IFERROR(VLOOKUP(G821,Master!B:C,2,0),"")</f>
        <v/>
      </c>
      <c r="I821" s="3" t="str">
        <f>IFERROR(VLOOKUP(E821,Master!$J:$M,4,0),"")</f>
        <v/>
      </c>
      <c r="J821" s="3" t="str">
        <f>IFERROR(VLOOKUP($E821,Master!$J:$M,3,0),"")</f>
        <v/>
      </c>
      <c r="AC821" s="26">
        <f t="shared" si="24"/>
        <v>0</v>
      </c>
      <c r="AD821" s="26">
        <f t="shared" si="25"/>
        <v>0</v>
      </c>
    </row>
    <row r="822" spans="2:30" ht="15" customHeight="1">
      <c r="B822" s="3" t="str">
        <f>IFERROR(VLOOKUP(C822,Master!$J:$K,2,0),"")</f>
        <v/>
      </c>
      <c r="D822" s="4" t="str">
        <f>IFERROR(VLOOKUP(E822,Master!$J:$K,2,0),"")</f>
        <v/>
      </c>
      <c r="F822" s="4" t="str">
        <f>IFERROR(VLOOKUP(G822,Master!B:C,2,0),"")</f>
        <v/>
      </c>
      <c r="I822" s="3" t="str">
        <f>IFERROR(VLOOKUP(E822,Master!$J:$M,4,0),"")</f>
        <v/>
      </c>
      <c r="J822" s="3" t="str">
        <f>IFERROR(VLOOKUP($E822,Master!$J:$M,3,0),"")</f>
        <v/>
      </c>
      <c r="AC822" s="26">
        <f t="shared" si="24"/>
        <v>0</v>
      </c>
      <c r="AD822" s="26">
        <f t="shared" si="25"/>
        <v>0</v>
      </c>
    </row>
    <row r="823" spans="2:30" ht="15" customHeight="1">
      <c r="B823" s="3" t="str">
        <f>IFERROR(VLOOKUP(C823,Master!$J:$K,2,0),"")</f>
        <v/>
      </c>
      <c r="D823" s="4" t="str">
        <f>IFERROR(VLOOKUP(E823,Master!$J:$K,2,0),"")</f>
        <v/>
      </c>
      <c r="F823" s="4" t="str">
        <f>IFERROR(VLOOKUP(G823,Master!B:C,2,0),"")</f>
        <v/>
      </c>
      <c r="I823" s="3" t="str">
        <f>IFERROR(VLOOKUP(E823,Master!$J:$M,4,0),"")</f>
        <v/>
      </c>
      <c r="J823" s="3" t="str">
        <f>IFERROR(VLOOKUP($E823,Master!$J:$M,3,0),"")</f>
        <v/>
      </c>
      <c r="AC823" s="26">
        <f t="shared" si="24"/>
        <v>0</v>
      </c>
      <c r="AD823" s="26">
        <f t="shared" si="25"/>
        <v>0</v>
      </c>
    </row>
    <row r="824" spans="2:30" ht="15" customHeight="1">
      <c r="B824" s="3" t="str">
        <f>IFERROR(VLOOKUP(C824,Master!$J:$K,2,0),"")</f>
        <v/>
      </c>
      <c r="D824" s="4" t="str">
        <f>IFERROR(VLOOKUP(E824,Master!$J:$K,2,0),"")</f>
        <v/>
      </c>
      <c r="F824" s="4" t="str">
        <f>IFERROR(VLOOKUP(G824,Master!B:C,2,0),"")</f>
        <v/>
      </c>
      <c r="I824" s="3" t="str">
        <f>IFERROR(VLOOKUP(E824,Master!$J:$M,4,0),"")</f>
        <v/>
      </c>
      <c r="J824" s="3" t="str">
        <f>IFERROR(VLOOKUP($E824,Master!$J:$M,3,0),"")</f>
        <v/>
      </c>
      <c r="AC824" s="26">
        <f t="shared" si="24"/>
        <v>0</v>
      </c>
      <c r="AD824" s="26">
        <f t="shared" si="25"/>
        <v>0</v>
      </c>
    </row>
    <row r="825" spans="2:30" ht="15" customHeight="1">
      <c r="B825" s="3" t="str">
        <f>IFERROR(VLOOKUP(C825,Master!$J:$K,2,0),"")</f>
        <v/>
      </c>
      <c r="D825" s="4" t="str">
        <f>IFERROR(VLOOKUP(E825,Master!$J:$K,2,0),"")</f>
        <v/>
      </c>
      <c r="F825" s="4" t="str">
        <f>IFERROR(VLOOKUP(G825,Master!B:C,2,0),"")</f>
        <v/>
      </c>
      <c r="I825" s="3" t="str">
        <f>IFERROR(VLOOKUP(E825,Master!$J:$M,4,0),"")</f>
        <v/>
      </c>
      <c r="J825" s="3" t="str">
        <f>IFERROR(VLOOKUP($E825,Master!$J:$M,3,0),"")</f>
        <v/>
      </c>
      <c r="AC825" s="26">
        <f t="shared" si="24"/>
        <v>0</v>
      </c>
      <c r="AD825" s="26">
        <f t="shared" si="25"/>
        <v>0</v>
      </c>
    </row>
    <row r="826" spans="2:30" ht="15" customHeight="1">
      <c r="B826" s="3" t="str">
        <f>IFERROR(VLOOKUP(C826,Master!$J:$K,2,0),"")</f>
        <v/>
      </c>
      <c r="D826" s="4" t="str">
        <f>IFERROR(VLOOKUP(E826,Master!$J:$K,2,0),"")</f>
        <v/>
      </c>
      <c r="F826" s="4" t="str">
        <f>IFERROR(VLOOKUP(G826,Master!B:C,2,0),"")</f>
        <v/>
      </c>
      <c r="I826" s="3" t="str">
        <f>IFERROR(VLOOKUP(E826,Master!$J:$M,4,0),"")</f>
        <v/>
      </c>
      <c r="J826" s="3" t="str">
        <f>IFERROR(VLOOKUP($E826,Master!$J:$M,3,0),"")</f>
        <v/>
      </c>
      <c r="AC826" s="26">
        <f t="shared" si="24"/>
        <v>0</v>
      </c>
      <c r="AD826" s="26">
        <f t="shared" si="25"/>
        <v>0</v>
      </c>
    </row>
    <row r="827" spans="2:30" ht="15" customHeight="1">
      <c r="B827" s="3" t="str">
        <f>IFERROR(VLOOKUP(C827,Master!$J:$K,2,0),"")</f>
        <v/>
      </c>
      <c r="D827" s="4" t="str">
        <f>IFERROR(VLOOKUP(E827,Master!$J:$K,2,0),"")</f>
        <v/>
      </c>
      <c r="F827" s="4" t="str">
        <f>IFERROR(VLOOKUP(G827,Master!B:C,2,0),"")</f>
        <v/>
      </c>
      <c r="I827" s="3" t="str">
        <f>IFERROR(VLOOKUP(E827,Master!$J:$M,4,0),"")</f>
        <v/>
      </c>
      <c r="J827" s="3" t="str">
        <f>IFERROR(VLOOKUP($E827,Master!$J:$M,3,0),"")</f>
        <v/>
      </c>
      <c r="AC827" s="26">
        <f t="shared" si="24"/>
        <v>0</v>
      </c>
      <c r="AD827" s="26">
        <f t="shared" si="25"/>
        <v>0</v>
      </c>
    </row>
    <row r="828" spans="2:30" ht="15" customHeight="1">
      <c r="B828" s="3" t="str">
        <f>IFERROR(VLOOKUP(C828,Master!$J:$K,2,0),"")</f>
        <v/>
      </c>
      <c r="D828" s="4" t="str">
        <f>IFERROR(VLOOKUP(E828,Master!$J:$K,2,0),"")</f>
        <v/>
      </c>
      <c r="F828" s="4" t="str">
        <f>IFERROR(VLOOKUP(G828,Master!B:C,2,0),"")</f>
        <v/>
      </c>
      <c r="I828" s="3" t="str">
        <f>IFERROR(VLOOKUP(E828,Master!$J:$M,4,0),"")</f>
        <v/>
      </c>
      <c r="J828" s="3" t="str">
        <f>IFERROR(VLOOKUP($E828,Master!$J:$M,3,0),"")</f>
        <v/>
      </c>
      <c r="AC828" s="26">
        <f t="shared" si="24"/>
        <v>0</v>
      </c>
      <c r="AD828" s="26">
        <f t="shared" si="25"/>
        <v>0</v>
      </c>
    </row>
    <row r="829" spans="2:30" ht="15" customHeight="1">
      <c r="B829" s="3" t="str">
        <f>IFERROR(VLOOKUP(C829,Master!$J:$K,2,0),"")</f>
        <v/>
      </c>
      <c r="D829" s="4" t="str">
        <f>IFERROR(VLOOKUP(E829,Master!$J:$K,2,0),"")</f>
        <v/>
      </c>
      <c r="F829" s="4" t="str">
        <f>IFERROR(VLOOKUP(G829,Master!B:C,2,0),"")</f>
        <v/>
      </c>
      <c r="I829" s="3" t="str">
        <f>IFERROR(VLOOKUP(E829,Master!$J:$M,4,0),"")</f>
        <v/>
      </c>
      <c r="J829" s="3" t="str">
        <f>IFERROR(VLOOKUP($E829,Master!$J:$M,3,0),"")</f>
        <v/>
      </c>
      <c r="AC829" s="26">
        <f t="shared" si="24"/>
        <v>0</v>
      </c>
      <c r="AD829" s="26">
        <f t="shared" si="25"/>
        <v>0</v>
      </c>
    </row>
    <row r="830" spans="2:30" ht="15" customHeight="1">
      <c r="B830" s="3" t="str">
        <f>IFERROR(VLOOKUP(C830,Master!$J:$K,2,0),"")</f>
        <v/>
      </c>
      <c r="D830" s="4" t="str">
        <f>IFERROR(VLOOKUP(E830,Master!$J:$K,2,0),"")</f>
        <v/>
      </c>
      <c r="F830" s="4" t="str">
        <f>IFERROR(VLOOKUP(G830,Master!B:C,2,0),"")</f>
        <v/>
      </c>
      <c r="I830" s="3" t="str">
        <f>IFERROR(VLOOKUP(E830,Master!$J:$M,4,0),"")</f>
        <v/>
      </c>
      <c r="J830" s="3" t="str">
        <f>IFERROR(VLOOKUP($E830,Master!$J:$M,3,0),"")</f>
        <v/>
      </c>
      <c r="AC830" s="26">
        <f t="shared" si="24"/>
        <v>0</v>
      </c>
      <c r="AD830" s="26">
        <f t="shared" si="25"/>
        <v>0</v>
      </c>
    </row>
    <row r="831" spans="2:30" ht="15" customHeight="1">
      <c r="B831" s="3" t="str">
        <f>IFERROR(VLOOKUP(C831,Master!$J:$K,2,0),"")</f>
        <v/>
      </c>
      <c r="D831" s="4" t="str">
        <f>IFERROR(VLOOKUP(E831,Master!$J:$K,2,0),"")</f>
        <v/>
      </c>
      <c r="F831" s="4" t="str">
        <f>IFERROR(VLOOKUP(G831,Master!B:C,2,0),"")</f>
        <v/>
      </c>
      <c r="I831" s="3" t="str">
        <f>IFERROR(VLOOKUP(E831,Master!$J:$M,4,0),"")</f>
        <v/>
      </c>
      <c r="J831" s="3" t="str">
        <f>IFERROR(VLOOKUP($E831,Master!$J:$M,3,0),"")</f>
        <v/>
      </c>
      <c r="AC831" s="26">
        <f t="shared" si="24"/>
        <v>0</v>
      </c>
      <c r="AD831" s="26">
        <f t="shared" si="25"/>
        <v>0</v>
      </c>
    </row>
    <row r="832" spans="2:30" ht="15" customHeight="1">
      <c r="B832" s="3" t="str">
        <f>IFERROR(VLOOKUP(C832,Master!$J:$K,2,0),"")</f>
        <v/>
      </c>
      <c r="D832" s="4" t="str">
        <f>IFERROR(VLOOKUP(E832,Master!$J:$K,2,0),"")</f>
        <v/>
      </c>
      <c r="F832" s="4" t="str">
        <f>IFERROR(VLOOKUP(G832,Master!B:C,2,0),"")</f>
        <v/>
      </c>
      <c r="I832" s="3" t="str">
        <f>IFERROR(VLOOKUP(E832,Master!$J:$M,4,0),"")</f>
        <v/>
      </c>
      <c r="J832" s="3" t="str">
        <f>IFERROR(VLOOKUP($E832,Master!$J:$M,3,0),"")</f>
        <v/>
      </c>
      <c r="AC832" s="26">
        <f t="shared" si="24"/>
        <v>0</v>
      </c>
      <c r="AD832" s="26">
        <f t="shared" si="25"/>
        <v>0</v>
      </c>
    </row>
    <row r="833" spans="2:30" ht="15" customHeight="1">
      <c r="B833" s="3" t="str">
        <f>IFERROR(VLOOKUP(C833,Master!$J:$K,2,0),"")</f>
        <v/>
      </c>
      <c r="D833" s="4" t="str">
        <f>IFERROR(VLOOKUP(E833,Master!$J:$K,2,0),"")</f>
        <v/>
      </c>
      <c r="F833" s="4" t="str">
        <f>IFERROR(VLOOKUP(G833,Master!B:C,2,0),"")</f>
        <v/>
      </c>
      <c r="I833" s="3" t="str">
        <f>IFERROR(VLOOKUP(E833,Master!$J:$M,4,0),"")</f>
        <v/>
      </c>
      <c r="J833" s="3" t="str">
        <f>IFERROR(VLOOKUP($E833,Master!$J:$M,3,0),"")</f>
        <v/>
      </c>
      <c r="AC833" s="26">
        <f t="shared" si="24"/>
        <v>0</v>
      </c>
      <c r="AD833" s="26">
        <f t="shared" si="25"/>
        <v>0</v>
      </c>
    </row>
    <row r="834" spans="2:30" ht="15" customHeight="1">
      <c r="B834" s="3" t="str">
        <f>IFERROR(VLOOKUP(C834,Master!$J:$K,2,0),"")</f>
        <v/>
      </c>
      <c r="D834" s="4" t="str">
        <f>IFERROR(VLOOKUP(E834,Master!$J:$K,2,0),"")</f>
        <v/>
      </c>
      <c r="F834" s="4" t="str">
        <f>IFERROR(VLOOKUP(G834,Master!B:C,2,0),"")</f>
        <v/>
      </c>
      <c r="I834" s="3" t="str">
        <f>IFERROR(VLOOKUP(E834,Master!$J:$M,4,0),"")</f>
        <v/>
      </c>
      <c r="J834" s="3" t="str">
        <f>IFERROR(VLOOKUP($E834,Master!$J:$M,3,0),"")</f>
        <v/>
      </c>
      <c r="AC834" s="26">
        <f t="shared" ref="AC834:AC897" si="26">SUM(K834:P834)</f>
        <v>0</v>
      </c>
      <c r="AD834" s="26">
        <f t="shared" ref="AD834:AD897" si="27">SUM(Q834:AB834)</f>
        <v>0</v>
      </c>
    </row>
    <row r="835" spans="2:30" ht="15" customHeight="1">
      <c r="B835" s="3" t="str">
        <f>IFERROR(VLOOKUP(C835,Master!$J:$K,2,0),"")</f>
        <v/>
      </c>
      <c r="D835" s="4" t="str">
        <f>IFERROR(VLOOKUP(E835,Master!$J:$K,2,0),"")</f>
        <v/>
      </c>
      <c r="F835" s="4" t="str">
        <f>IFERROR(VLOOKUP(G835,Master!B:C,2,0),"")</f>
        <v/>
      </c>
      <c r="I835" s="3" t="str">
        <f>IFERROR(VLOOKUP(E835,Master!$J:$M,4,0),"")</f>
        <v/>
      </c>
      <c r="J835" s="3" t="str">
        <f>IFERROR(VLOOKUP($E835,Master!$J:$M,3,0),"")</f>
        <v/>
      </c>
      <c r="AC835" s="26">
        <f t="shared" si="26"/>
        <v>0</v>
      </c>
      <c r="AD835" s="26">
        <f t="shared" si="27"/>
        <v>0</v>
      </c>
    </row>
    <row r="836" spans="2:30" ht="15" customHeight="1">
      <c r="B836" s="3" t="str">
        <f>IFERROR(VLOOKUP(C836,Master!$J:$K,2,0),"")</f>
        <v/>
      </c>
      <c r="D836" s="4" t="str">
        <f>IFERROR(VLOOKUP(E836,Master!$J:$K,2,0),"")</f>
        <v/>
      </c>
      <c r="F836" s="4" t="str">
        <f>IFERROR(VLOOKUP(G836,Master!B:C,2,0),"")</f>
        <v/>
      </c>
      <c r="I836" s="3" t="str">
        <f>IFERROR(VLOOKUP(E836,Master!$J:$M,4,0),"")</f>
        <v/>
      </c>
      <c r="J836" s="3" t="str">
        <f>IFERROR(VLOOKUP($E836,Master!$J:$M,3,0),"")</f>
        <v/>
      </c>
      <c r="AC836" s="26">
        <f t="shared" si="26"/>
        <v>0</v>
      </c>
      <c r="AD836" s="26">
        <f t="shared" si="27"/>
        <v>0</v>
      </c>
    </row>
    <row r="837" spans="2:30" ht="15" customHeight="1">
      <c r="B837" s="3" t="str">
        <f>IFERROR(VLOOKUP(C837,Master!$J:$K,2,0),"")</f>
        <v/>
      </c>
      <c r="D837" s="4" t="str">
        <f>IFERROR(VLOOKUP(E837,Master!$J:$K,2,0),"")</f>
        <v/>
      </c>
      <c r="F837" s="4" t="str">
        <f>IFERROR(VLOOKUP(G837,Master!B:C,2,0),"")</f>
        <v/>
      </c>
      <c r="I837" s="3" t="str">
        <f>IFERROR(VLOOKUP(E837,Master!$J:$M,4,0),"")</f>
        <v/>
      </c>
      <c r="J837" s="3" t="str">
        <f>IFERROR(VLOOKUP($E837,Master!$J:$M,3,0),"")</f>
        <v/>
      </c>
      <c r="AC837" s="26">
        <f t="shared" si="26"/>
        <v>0</v>
      </c>
      <c r="AD837" s="26">
        <f t="shared" si="27"/>
        <v>0</v>
      </c>
    </row>
    <row r="838" spans="2:30" ht="15" customHeight="1">
      <c r="B838" s="3" t="str">
        <f>IFERROR(VLOOKUP(C838,Master!$J:$K,2,0),"")</f>
        <v/>
      </c>
      <c r="D838" s="4" t="str">
        <f>IFERROR(VLOOKUP(E838,Master!$J:$K,2,0),"")</f>
        <v/>
      </c>
      <c r="F838" s="4" t="str">
        <f>IFERROR(VLOOKUP(G838,Master!B:C,2,0),"")</f>
        <v/>
      </c>
      <c r="I838" s="3" t="str">
        <f>IFERROR(VLOOKUP(E838,Master!$J:$M,4,0),"")</f>
        <v/>
      </c>
      <c r="J838" s="3" t="str">
        <f>IFERROR(VLOOKUP($E838,Master!$J:$M,3,0),"")</f>
        <v/>
      </c>
      <c r="AC838" s="26">
        <f t="shared" si="26"/>
        <v>0</v>
      </c>
      <c r="AD838" s="26">
        <f t="shared" si="27"/>
        <v>0</v>
      </c>
    </row>
    <row r="839" spans="2:30" ht="15" customHeight="1">
      <c r="B839" s="3" t="str">
        <f>IFERROR(VLOOKUP(C839,Master!$J:$K,2,0),"")</f>
        <v/>
      </c>
      <c r="D839" s="4" t="str">
        <f>IFERROR(VLOOKUP(E839,Master!$J:$K,2,0),"")</f>
        <v/>
      </c>
      <c r="F839" s="4" t="str">
        <f>IFERROR(VLOOKUP(G839,Master!B:C,2,0),"")</f>
        <v/>
      </c>
      <c r="I839" s="3" t="str">
        <f>IFERROR(VLOOKUP(E839,Master!$J:$M,4,0),"")</f>
        <v/>
      </c>
      <c r="J839" s="3" t="str">
        <f>IFERROR(VLOOKUP($E839,Master!$J:$M,3,0),"")</f>
        <v/>
      </c>
      <c r="AC839" s="26">
        <f t="shared" si="26"/>
        <v>0</v>
      </c>
      <c r="AD839" s="26">
        <f t="shared" si="27"/>
        <v>0</v>
      </c>
    </row>
    <row r="840" spans="2:30" ht="15" customHeight="1">
      <c r="B840" s="3" t="str">
        <f>IFERROR(VLOOKUP(C840,Master!$J:$K,2,0),"")</f>
        <v/>
      </c>
      <c r="D840" s="4" t="str">
        <f>IFERROR(VLOOKUP(E840,Master!$J:$K,2,0),"")</f>
        <v/>
      </c>
      <c r="F840" s="4" t="str">
        <f>IFERROR(VLOOKUP(G840,Master!B:C,2,0),"")</f>
        <v/>
      </c>
      <c r="I840" s="3" t="str">
        <f>IFERROR(VLOOKUP(E840,Master!$J:$M,4,0),"")</f>
        <v/>
      </c>
      <c r="J840" s="3" t="str">
        <f>IFERROR(VLOOKUP($E840,Master!$J:$M,3,0),"")</f>
        <v/>
      </c>
      <c r="AC840" s="26">
        <f t="shared" si="26"/>
        <v>0</v>
      </c>
      <c r="AD840" s="26">
        <f t="shared" si="27"/>
        <v>0</v>
      </c>
    </row>
    <row r="841" spans="2:30" ht="15" customHeight="1">
      <c r="B841" s="3" t="str">
        <f>IFERROR(VLOOKUP(C841,Master!$J:$K,2,0),"")</f>
        <v/>
      </c>
      <c r="D841" s="4" t="str">
        <f>IFERROR(VLOOKUP(E841,Master!$J:$K,2,0),"")</f>
        <v/>
      </c>
      <c r="F841" s="4" t="str">
        <f>IFERROR(VLOOKUP(G841,Master!B:C,2,0),"")</f>
        <v/>
      </c>
      <c r="I841" s="3" t="str">
        <f>IFERROR(VLOOKUP(E841,Master!$J:$M,4,0),"")</f>
        <v/>
      </c>
      <c r="J841" s="3" t="str">
        <f>IFERROR(VLOOKUP($E841,Master!$J:$M,3,0),"")</f>
        <v/>
      </c>
      <c r="AC841" s="26">
        <f t="shared" si="26"/>
        <v>0</v>
      </c>
      <c r="AD841" s="26">
        <f t="shared" si="27"/>
        <v>0</v>
      </c>
    </row>
    <row r="842" spans="2:30" ht="15" customHeight="1">
      <c r="B842" s="3" t="str">
        <f>IFERROR(VLOOKUP(C842,Master!$J:$K,2,0),"")</f>
        <v/>
      </c>
      <c r="D842" s="4" t="str">
        <f>IFERROR(VLOOKUP(E842,Master!$J:$K,2,0),"")</f>
        <v/>
      </c>
      <c r="F842" s="4" t="str">
        <f>IFERROR(VLOOKUP(G842,Master!B:C,2,0),"")</f>
        <v/>
      </c>
      <c r="I842" s="3" t="str">
        <f>IFERROR(VLOOKUP(E842,Master!$J:$M,4,0),"")</f>
        <v/>
      </c>
      <c r="J842" s="3" t="str">
        <f>IFERROR(VLOOKUP($E842,Master!$J:$M,3,0),"")</f>
        <v/>
      </c>
      <c r="AC842" s="26">
        <f t="shared" si="26"/>
        <v>0</v>
      </c>
      <c r="AD842" s="26">
        <f t="shared" si="27"/>
        <v>0</v>
      </c>
    </row>
    <row r="843" spans="2:30" ht="15" customHeight="1">
      <c r="B843" s="3" t="str">
        <f>IFERROR(VLOOKUP(C843,Master!$J:$K,2,0),"")</f>
        <v/>
      </c>
      <c r="D843" s="4" t="str">
        <f>IFERROR(VLOOKUP(E843,Master!$J:$K,2,0),"")</f>
        <v/>
      </c>
      <c r="F843" s="4" t="str">
        <f>IFERROR(VLOOKUP(G843,Master!B:C,2,0),"")</f>
        <v/>
      </c>
      <c r="I843" s="3" t="str">
        <f>IFERROR(VLOOKUP(E843,Master!$J:$M,4,0),"")</f>
        <v/>
      </c>
      <c r="J843" s="3" t="str">
        <f>IFERROR(VLOOKUP($E843,Master!$J:$M,3,0),"")</f>
        <v/>
      </c>
      <c r="AC843" s="26">
        <f t="shared" si="26"/>
        <v>0</v>
      </c>
      <c r="AD843" s="26">
        <f t="shared" si="27"/>
        <v>0</v>
      </c>
    </row>
    <row r="844" spans="2:30" ht="15" customHeight="1">
      <c r="B844" s="3" t="str">
        <f>IFERROR(VLOOKUP(C844,Master!$J:$K,2,0),"")</f>
        <v/>
      </c>
      <c r="D844" s="4" t="str">
        <f>IFERROR(VLOOKUP(E844,Master!$J:$K,2,0),"")</f>
        <v/>
      </c>
      <c r="F844" s="4" t="str">
        <f>IFERROR(VLOOKUP(G844,Master!B:C,2,0),"")</f>
        <v/>
      </c>
      <c r="I844" s="3" t="str">
        <f>IFERROR(VLOOKUP(E844,Master!$J:$M,4,0),"")</f>
        <v/>
      </c>
      <c r="J844" s="3" t="str">
        <f>IFERROR(VLOOKUP($E844,Master!$J:$M,3,0),"")</f>
        <v/>
      </c>
      <c r="AC844" s="26">
        <f t="shared" si="26"/>
        <v>0</v>
      </c>
      <c r="AD844" s="26">
        <f t="shared" si="27"/>
        <v>0</v>
      </c>
    </row>
    <row r="845" spans="2:30" ht="15" customHeight="1">
      <c r="B845" s="3" t="str">
        <f>IFERROR(VLOOKUP(C845,Master!$J:$K,2,0),"")</f>
        <v/>
      </c>
      <c r="D845" s="4" t="str">
        <f>IFERROR(VLOOKUP(E845,Master!$J:$K,2,0),"")</f>
        <v/>
      </c>
      <c r="F845" s="4" t="str">
        <f>IFERROR(VLOOKUP(G845,Master!B:C,2,0),"")</f>
        <v/>
      </c>
      <c r="I845" s="3" t="str">
        <f>IFERROR(VLOOKUP(E845,Master!$J:$M,4,0),"")</f>
        <v/>
      </c>
      <c r="J845" s="3" t="str">
        <f>IFERROR(VLOOKUP($E845,Master!$J:$M,3,0),"")</f>
        <v/>
      </c>
      <c r="AC845" s="26">
        <f t="shared" si="26"/>
        <v>0</v>
      </c>
      <c r="AD845" s="26">
        <f t="shared" si="27"/>
        <v>0</v>
      </c>
    </row>
    <row r="846" spans="2:30" ht="15" customHeight="1">
      <c r="B846" s="3" t="str">
        <f>IFERROR(VLOOKUP(C846,Master!$J:$K,2,0),"")</f>
        <v/>
      </c>
      <c r="D846" s="4" t="str">
        <f>IFERROR(VLOOKUP(E846,Master!$J:$K,2,0),"")</f>
        <v/>
      </c>
      <c r="F846" s="4" t="str">
        <f>IFERROR(VLOOKUP(G846,Master!B:C,2,0),"")</f>
        <v/>
      </c>
      <c r="I846" s="3" t="str">
        <f>IFERROR(VLOOKUP(E846,Master!$J:$M,4,0),"")</f>
        <v/>
      </c>
      <c r="J846" s="3" t="str">
        <f>IFERROR(VLOOKUP($E846,Master!$J:$M,3,0),"")</f>
        <v/>
      </c>
      <c r="AC846" s="26">
        <f t="shared" si="26"/>
        <v>0</v>
      </c>
      <c r="AD846" s="26">
        <f t="shared" si="27"/>
        <v>0</v>
      </c>
    </row>
    <row r="847" spans="2:30" ht="15" customHeight="1">
      <c r="B847" s="3" t="str">
        <f>IFERROR(VLOOKUP(C847,Master!$J:$K,2,0),"")</f>
        <v/>
      </c>
      <c r="D847" s="4" t="str">
        <f>IFERROR(VLOOKUP(E847,Master!$J:$K,2,0),"")</f>
        <v/>
      </c>
      <c r="F847" s="4" t="str">
        <f>IFERROR(VLOOKUP(G847,Master!B:C,2,0),"")</f>
        <v/>
      </c>
      <c r="I847" s="3" t="str">
        <f>IFERROR(VLOOKUP(E847,Master!$J:$M,4,0),"")</f>
        <v/>
      </c>
      <c r="J847" s="3" t="str">
        <f>IFERROR(VLOOKUP($E847,Master!$J:$M,3,0),"")</f>
        <v/>
      </c>
      <c r="AC847" s="26">
        <f t="shared" si="26"/>
        <v>0</v>
      </c>
      <c r="AD847" s="26">
        <f t="shared" si="27"/>
        <v>0</v>
      </c>
    </row>
    <row r="848" spans="2:30" ht="15" customHeight="1">
      <c r="B848" s="3" t="str">
        <f>IFERROR(VLOOKUP(C848,Master!$J:$K,2,0),"")</f>
        <v/>
      </c>
      <c r="D848" s="4" t="str">
        <f>IFERROR(VLOOKUP(E848,Master!$J:$K,2,0),"")</f>
        <v/>
      </c>
      <c r="F848" s="4" t="str">
        <f>IFERROR(VLOOKUP(G848,Master!B:C,2,0),"")</f>
        <v/>
      </c>
      <c r="I848" s="3" t="str">
        <f>IFERROR(VLOOKUP(E848,Master!$J:$M,4,0),"")</f>
        <v/>
      </c>
      <c r="J848" s="3" t="str">
        <f>IFERROR(VLOOKUP($E848,Master!$J:$M,3,0),"")</f>
        <v/>
      </c>
      <c r="AC848" s="26">
        <f t="shared" si="26"/>
        <v>0</v>
      </c>
      <c r="AD848" s="26">
        <f t="shared" si="27"/>
        <v>0</v>
      </c>
    </row>
    <row r="849" spans="2:30" ht="15" customHeight="1">
      <c r="B849" s="3" t="str">
        <f>IFERROR(VLOOKUP(C849,Master!$J:$K,2,0),"")</f>
        <v/>
      </c>
      <c r="D849" s="4" t="str">
        <f>IFERROR(VLOOKUP(E849,Master!$J:$K,2,0),"")</f>
        <v/>
      </c>
      <c r="F849" s="4" t="str">
        <f>IFERROR(VLOOKUP(G849,Master!B:C,2,0),"")</f>
        <v/>
      </c>
      <c r="I849" s="3" t="str">
        <f>IFERROR(VLOOKUP(E849,Master!$J:$M,4,0),"")</f>
        <v/>
      </c>
      <c r="J849" s="3" t="str">
        <f>IFERROR(VLOOKUP($E849,Master!$J:$M,3,0),"")</f>
        <v/>
      </c>
      <c r="AC849" s="26">
        <f t="shared" si="26"/>
        <v>0</v>
      </c>
      <c r="AD849" s="26">
        <f t="shared" si="27"/>
        <v>0</v>
      </c>
    </row>
    <row r="850" spans="2:30" ht="15" customHeight="1">
      <c r="B850" s="3" t="str">
        <f>IFERROR(VLOOKUP(C850,Master!$J:$K,2,0),"")</f>
        <v/>
      </c>
      <c r="D850" s="4" t="str">
        <f>IFERROR(VLOOKUP(E850,Master!$J:$K,2,0),"")</f>
        <v/>
      </c>
      <c r="F850" s="4" t="str">
        <f>IFERROR(VLOOKUP(G850,Master!B:C,2,0),"")</f>
        <v/>
      </c>
      <c r="I850" s="3" t="str">
        <f>IFERROR(VLOOKUP(E850,Master!$J:$M,4,0),"")</f>
        <v/>
      </c>
      <c r="J850" s="3" t="str">
        <f>IFERROR(VLOOKUP($E850,Master!$J:$M,3,0),"")</f>
        <v/>
      </c>
      <c r="AC850" s="26">
        <f t="shared" si="26"/>
        <v>0</v>
      </c>
      <c r="AD850" s="26">
        <f t="shared" si="27"/>
        <v>0</v>
      </c>
    </row>
    <row r="851" spans="2:30" ht="15" customHeight="1">
      <c r="B851" s="3" t="str">
        <f>IFERROR(VLOOKUP(C851,Master!$J:$K,2,0),"")</f>
        <v/>
      </c>
      <c r="D851" s="4" t="str">
        <f>IFERROR(VLOOKUP(E851,Master!$J:$K,2,0),"")</f>
        <v/>
      </c>
      <c r="F851" s="4" t="str">
        <f>IFERROR(VLOOKUP(G851,Master!B:C,2,0),"")</f>
        <v/>
      </c>
      <c r="I851" s="3" t="str">
        <f>IFERROR(VLOOKUP(E851,Master!$J:$M,4,0),"")</f>
        <v/>
      </c>
      <c r="J851" s="3" t="str">
        <f>IFERROR(VLOOKUP($E851,Master!$J:$M,3,0),"")</f>
        <v/>
      </c>
      <c r="AC851" s="26">
        <f t="shared" si="26"/>
        <v>0</v>
      </c>
      <c r="AD851" s="26">
        <f t="shared" si="27"/>
        <v>0</v>
      </c>
    </row>
    <row r="852" spans="2:30" ht="15" customHeight="1">
      <c r="B852" s="3" t="str">
        <f>IFERROR(VLOOKUP(C852,Master!$J:$K,2,0),"")</f>
        <v/>
      </c>
      <c r="D852" s="4" t="str">
        <f>IFERROR(VLOOKUP(E852,Master!$J:$K,2,0),"")</f>
        <v/>
      </c>
      <c r="F852" s="4" t="str">
        <f>IFERROR(VLOOKUP(G852,Master!B:C,2,0),"")</f>
        <v/>
      </c>
      <c r="I852" s="3" t="str">
        <f>IFERROR(VLOOKUP(E852,Master!$J:$M,4,0),"")</f>
        <v/>
      </c>
      <c r="J852" s="3" t="str">
        <f>IFERROR(VLOOKUP($E852,Master!$J:$M,3,0),"")</f>
        <v/>
      </c>
      <c r="AC852" s="26">
        <f t="shared" si="26"/>
        <v>0</v>
      </c>
      <c r="AD852" s="26">
        <f t="shared" si="27"/>
        <v>0</v>
      </c>
    </row>
    <row r="853" spans="2:30" ht="15" customHeight="1">
      <c r="B853" s="3" t="str">
        <f>IFERROR(VLOOKUP(C853,Master!$J:$K,2,0),"")</f>
        <v/>
      </c>
      <c r="D853" s="4" t="str">
        <f>IFERROR(VLOOKUP(E853,Master!$J:$K,2,0),"")</f>
        <v/>
      </c>
      <c r="F853" s="4" t="str">
        <f>IFERROR(VLOOKUP(G853,Master!B:C,2,0),"")</f>
        <v/>
      </c>
      <c r="I853" s="3" t="str">
        <f>IFERROR(VLOOKUP(E853,Master!$J:$M,4,0),"")</f>
        <v/>
      </c>
      <c r="J853" s="3" t="str">
        <f>IFERROR(VLOOKUP($E853,Master!$J:$M,3,0),"")</f>
        <v/>
      </c>
      <c r="AC853" s="26">
        <f t="shared" si="26"/>
        <v>0</v>
      </c>
      <c r="AD853" s="26">
        <f t="shared" si="27"/>
        <v>0</v>
      </c>
    </row>
    <row r="854" spans="2:30" ht="15" customHeight="1">
      <c r="B854" s="3" t="str">
        <f>IFERROR(VLOOKUP(C854,Master!$J:$K,2,0),"")</f>
        <v/>
      </c>
      <c r="D854" s="4" t="str">
        <f>IFERROR(VLOOKUP(E854,Master!$J:$K,2,0),"")</f>
        <v/>
      </c>
      <c r="F854" s="4" t="str">
        <f>IFERROR(VLOOKUP(G854,Master!B:C,2,0),"")</f>
        <v/>
      </c>
      <c r="I854" s="3" t="str">
        <f>IFERROR(VLOOKUP(E854,Master!$J:$M,4,0),"")</f>
        <v/>
      </c>
      <c r="J854" s="3" t="str">
        <f>IFERROR(VLOOKUP($E854,Master!$J:$M,3,0),"")</f>
        <v/>
      </c>
      <c r="AC854" s="26">
        <f t="shared" si="26"/>
        <v>0</v>
      </c>
      <c r="AD854" s="26">
        <f t="shared" si="27"/>
        <v>0</v>
      </c>
    </row>
    <row r="855" spans="2:30" ht="15" customHeight="1">
      <c r="B855" s="3" t="str">
        <f>IFERROR(VLOOKUP(C855,Master!$J:$K,2,0),"")</f>
        <v/>
      </c>
      <c r="D855" s="4" t="str">
        <f>IFERROR(VLOOKUP(E855,Master!$J:$K,2,0),"")</f>
        <v/>
      </c>
      <c r="F855" s="4" t="str">
        <f>IFERROR(VLOOKUP(G855,Master!B:C,2,0),"")</f>
        <v/>
      </c>
      <c r="I855" s="3" t="str">
        <f>IFERROR(VLOOKUP(E855,Master!$J:$M,4,0),"")</f>
        <v/>
      </c>
      <c r="J855" s="3" t="str">
        <f>IFERROR(VLOOKUP($E855,Master!$J:$M,3,0),"")</f>
        <v/>
      </c>
      <c r="AC855" s="26">
        <f t="shared" si="26"/>
        <v>0</v>
      </c>
      <c r="AD855" s="26">
        <f t="shared" si="27"/>
        <v>0</v>
      </c>
    </row>
    <row r="856" spans="2:30" ht="15" customHeight="1">
      <c r="B856" s="3" t="str">
        <f>IFERROR(VLOOKUP(C856,Master!$J:$K,2,0),"")</f>
        <v/>
      </c>
      <c r="D856" s="4" t="str">
        <f>IFERROR(VLOOKUP(E856,Master!$J:$K,2,0),"")</f>
        <v/>
      </c>
      <c r="F856" s="4" t="str">
        <f>IFERROR(VLOOKUP(G856,Master!B:C,2,0),"")</f>
        <v/>
      </c>
      <c r="I856" s="3" t="str">
        <f>IFERROR(VLOOKUP(E856,Master!$J:$M,4,0),"")</f>
        <v/>
      </c>
      <c r="J856" s="3" t="str">
        <f>IFERROR(VLOOKUP($E856,Master!$J:$M,3,0),"")</f>
        <v/>
      </c>
      <c r="AC856" s="26">
        <f t="shared" si="26"/>
        <v>0</v>
      </c>
      <c r="AD856" s="26">
        <f t="shared" si="27"/>
        <v>0</v>
      </c>
    </row>
    <row r="857" spans="2:30" ht="15" customHeight="1">
      <c r="B857" s="3" t="str">
        <f>IFERROR(VLOOKUP(C857,Master!$J:$K,2,0),"")</f>
        <v/>
      </c>
      <c r="D857" s="4" t="str">
        <f>IFERROR(VLOOKUP(E857,Master!$J:$K,2,0),"")</f>
        <v/>
      </c>
      <c r="F857" s="4" t="str">
        <f>IFERROR(VLOOKUP(G857,Master!B:C,2,0),"")</f>
        <v/>
      </c>
      <c r="I857" s="3" t="str">
        <f>IFERROR(VLOOKUP(E857,Master!$J:$M,4,0),"")</f>
        <v/>
      </c>
      <c r="J857" s="3" t="str">
        <f>IFERROR(VLOOKUP($E857,Master!$J:$M,3,0),"")</f>
        <v/>
      </c>
      <c r="AC857" s="26">
        <f t="shared" si="26"/>
        <v>0</v>
      </c>
      <c r="AD857" s="26">
        <f t="shared" si="27"/>
        <v>0</v>
      </c>
    </row>
    <row r="858" spans="2:30" ht="15" customHeight="1">
      <c r="B858" s="3" t="str">
        <f>IFERROR(VLOOKUP(C858,Master!$J:$K,2,0),"")</f>
        <v/>
      </c>
      <c r="D858" s="4" t="str">
        <f>IFERROR(VLOOKUP(E858,Master!$J:$K,2,0),"")</f>
        <v/>
      </c>
      <c r="F858" s="4" t="str">
        <f>IFERROR(VLOOKUP(G858,Master!B:C,2,0),"")</f>
        <v/>
      </c>
      <c r="I858" s="3" t="str">
        <f>IFERROR(VLOOKUP(E858,Master!$J:$M,4,0),"")</f>
        <v/>
      </c>
      <c r="J858" s="3" t="str">
        <f>IFERROR(VLOOKUP($E858,Master!$J:$M,3,0),"")</f>
        <v/>
      </c>
      <c r="AC858" s="26">
        <f t="shared" si="26"/>
        <v>0</v>
      </c>
      <c r="AD858" s="26">
        <f t="shared" si="27"/>
        <v>0</v>
      </c>
    </row>
    <row r="859" spans="2:30" ht="15" customHeight="1">
      <c r="B859" s="3" t="str">
        <f>IFERROR(VLOOKUP(C859,Master!$J:$K,2,0),"")</f>
        <v/>
      </c>
      <c r="D859" s="4" t="str">
        <f>IFERROR(VLOOKUP(E859,Master!$J:$K,2,0),"")</f>
        <v/>
      </c>
      <c r="F859" s="4" t="str">
        <f>IFERROR(VLOOKUP(G859,Master!B:C,2,0),"")</f>
        <v/>
      </c>
      <c r="I859" s="3" t="str">
        <f>IFERROR(VLOOKUP(E859,Master!$J:$M,4,0),"")</f>
        <v/>
      </c>
      <c r="J859" s="3" t="str">
        <f>IFERROR(VLOOKUP($E859,Master!$J:$M,3,0),"")</f>
        <v/>
      </c>
      <c r="AC859" s="26">
        <f t="shared" si="26"/>
        <v>0</v>
      </c>
      <c r="AD859" s="26">
        <f t="shared" si="27"/>
        <v>0</v>
      </c>
    </row>
    <row r="860" spans="2:30" ht="15" customHeight="1">
      <c r="B860" s="3" t="str">
        <f>IFERROR(VLOOKUP(C860,Master!$J:$K,2,0),"")</f>
        <v/>
      </c>
      <c r="D860" s="4" t="str">
        <f>IFERROR(VLOOKUP(E860,Master!$J:$K,2,0),"")</f>
        <v/>
      </c>
      <c r="F860" s="4" t="str">
        <f>IFERROR(VLOOKUP(G860,Master!B:C,2,0),"")</f>
        <v/>
      </c>
      <c r="I860" s="3" t="str">
        <f>IFERROR(VLOOKUP(E860,Master!$J:$M,4,0),"")</f>
        <v/>
      </c>
      <c r="J860" s="3" t="str">
        <f>IFERROR(VLOOKUP($E860,Master!$J:$M,3,0),"")</f>
        <v/>
      </c>
      <c r="AC860" s="26">
        <f t="shared" si="26"/>
        <v>0</v>
      </c>
      <c r="AD860" s="26">
        <f t="shared" si="27"/>
        <v>0</v>
      </c>
    </row>
    <row r="861" spans="2:30" ht="15" customHeight="1">
      <c r="B861" s="3" t="str">
        <f>IFERROR(VLOOKUP(C861,Master!$J:$K,2,0),"")</f>
        <v/>
      </c>
      <c r="D861" s="4" t="str">
        <f>IFERROR(VLOOKUP(E861,Master!$J:$K,2,0),"")</f>
        <v/>
      </c>
      <c r="F861" s="4" t="str">
        <f>IFERROR(VLOOKUP(G861,Master!B:C,2,0),"")</f>
        <v/>
      </c>
      <c r="I861" s="3" t="str">
        <f>IFERROR(VLOOKUP(E861,Master!$J:$M,4,0),"")</f>
        <v/>
      </c>
      <c r="J861" s="3" t="str">
        <f>IFERROR(VLOOKUP($E861,Master!$J:$M,3,0),"")</f>
        <v/>
      </c>
      <c r="AC861" s="26">
        <f t="shared" si="26"/>
        <v>0</v>
      </c>
      <c r="AD861" s="26">
        <f t="shared" si="27"/>
        <v>0</v>
      </c>
    </row>
    <row r="862" spans="2:30" ht="15" customHeight="1">
      <c r="B862" s="3" t="str">
        <f>IFERROR(VLOOKUP(C862,Master!$J:$K,2,0),"")</f>
        <v/>
      </c>
      <c r="D862" s="4" t="str">
        <f>IFERROR(VLOOKUP(E862,Master!$J:$K,2,0),"")</f>
        <v/>
      </c>
      <c r="F862" s="4" t="str">
        <f>IFERROR(VLOOKUP(G862,Master!B:C,2,0),"")</f>
        <v/>
      </c>
      <c r="I862" s="3" t="str">
        <f>IFERROR(VLOOKUP(E862,Master!$J:$M,4,0),"")</f>
        <v/>
      </c>
      <c r="J862" s="3" t="str">
        <f>IFERROR(VLOOKUP($E862,Master!$J:$M,3,0),"")</f>
        <v/>
      </c>
      <c r="AC862" s="26">
        <f t="shared" si="26"/>
        <v>0</v>
      </c>
      <c r="AD862" s="26">
        <f t="shared" si="27"/>
        <v>0</v>
      </c>
    </row>
    <row r="863" spans="2:30" ht="15" customHeight="1">
      <c r="B863" s="3" t="str">
        <f>IFERROR(VLOOKUP(C863,Master!$J:$K,2,0),"")</f>
        <v/>
      </c>
      <c r="D863" s="4" t="str">
        <f>IFERROR(VLOOKUP(E863,Master!$J:$K,2,0),"")</f>
        <v/>
      </c>
      <c r="F863" s="4" t="str">
        <f>IFERROR(VLOOKUP(G863,Master!B:C,2,0),"")</f>
        <v/>
      </c>
      <c r="I863" s="3" t="str">
        <f>IFERROR(VLOOKUP(E863,Master!$J:$M,4,0),"")</f>
        <v/>
      </c>
      <c r="J863" s="3" t="str">
        <f>IFERROR(VLOOKUP($E863,Master!$J:$M,3,0),"")</f>
        <v/>
      </c>
      <c r="AC863" s="26">
        <f t="shared" si="26"/>
        <v>0</v>
      </c>
      <c r="AD863" s="26">
        <f t="shared" si="27"/>
        <v>0</v>
      </c>
    </row>
    <row r="864" spans="2:30" ht="15" customHeight="1">
      <c r="B864" s="3" t="str">
        <f>IFERROR(VLOOKUP(C864,Master!$J:$K,2,0),"")</f>
        <v/>
      </c>
      <c r="D864" s="4" t="str">
        <f>IFERROR(VLOOKUP(E864,Master!$J:$K,2,0),"")</f>
        <v/>
      </c>
      <c r="F864" s="4" t="str">
        <f>IFERROR(VLOOKUP(G864,Master!B:C,2,0),"")</f>
        <v/>
      </c>
      <c r="I864" s="3" t="str">
        <f>IFERROR(VLOOKUP(E864,Master!$J:$M,4,0),"")</f>
        <v/>
      </c>
      <c r="J864" s="3" t="str">
        <f>IFERROR(VLOOKUP($E864,Master!$J:$M,3,0),"")</f>
        <v/>
      </c>
      <c r="AC864" s="26">
        <f t="shared" si="26"/>
        <v>0</v>
      </c>
      <c r="AD864" s="26">
        <f t="shared" si="27"/>
        <v>0</v>
      </c>
    </row>
    <row r="865" spans="2:30" ht="15" customHeight="1">
      <c r="B865" s="3" t="str">
        <f>IFERROR(VLOOKUP(C865,Master!$J:$K,2,0),"")</f>
        <v/>
      </c>
      <c r="D865" s="4" t="str">
        <f>IFERROR(VLOOKUP(E865,Master!$J:$K,2,0),"")</f>
        <v/>
      </c>
      <c r="F865" s="4" t="str">
        <f>IFERROR(VLOOKUP(G865,Master!B:C,2,0),"")</f>
        <v/>
      </c>
      <c r="I865" s="3" t="str">
        <f>IFERROR(VLOOKUP(E865,Master!$J:$M,4,0),"")</f>
        <v/>
      </c>
      <c r="J865" s="3" t="str">
        <f>IFERROR(VLOOKUP($E865,Master!$J:$M,3,0),"")</f>
        <v/>
      </c>
      <c r="AC865" s="26">
        <f t="shared" si="26"/>
        <v>0</v>
      </c>
      <c r="AD865" s="26">
        <f t="shared" si="27"/>
        <v>0</v>
      </c>
    </row>
    <row r="866" spans="2:30" ht="15" customHeight="1">
      <c r="B866" s="3" t="str">
        <f>IFERROR(VLOOKUP(C866,Master!$J:$K,2,0),"")</f>
        <v/>
      </c>
      <c r="D866" s="4" t="str">
        <f>IFERROR(VLOOKUP(E866,Master!$J:$K,2,0),"")</f>
        <v/>
      </c>
      <c r="F866" s="4" t="str">
        <f>IFERROR(VLOOKUP(G866,Master!B:C,2,0),"")</f>
        <v/>
      </c>
      <c r="I866" s="3" t="str">
        <f>IFERROR(VLOOKUP(E866,Master!$J:$M,4,0),"")</f>
        <v/>
      </c>
      <c r="J866" s="3" t="str">
        <f>IFERROR(VLOOKUP($E866,Master!$J:$M,3,0),"")</f>
        <v/>
      </c>
      <c r="AC866" s="26">
        <f t="shared" si="26"/>
        <v>0</v>
      </c>
      <c r="AD866" s="26">
        <f t="shared" si="27"/>
        <v>0</v>
      </c>
    </row>
    <row r="867" spans="2:30" ht="15" customHeight="1">
      <c r="B867" s="3" t="str">
        <f>IFERROR(VLOOKUP(C867,Master!$J:$K,2,0),"")</f>
        <v/>
      </c>
      <c r="D867" s="4" t="str">
        <f>IFERROR(VLOOKUP(E867,Master!$J:$K,2,0),"")</f>
        <v/>
      </c>
      <c r="F867" s="4" t="str">
        <f>IFERROR(VLOOKUP(G867,Master!B:C,2,0),"")</f>
        <v/>
      </c>
      <c r="I867" s="3" t="str">
        <f>IFERROR(VLOOKUP(E867,Master!$J:$M,4,0),"")</f>
        <v/>
      </c>
      <c r="J867" s="3" t="str">
        <f>IFERROR(VLOOKUP($E867,Master!$J:$M,3,0),"")</f>
        <v/>
      </c>
      <c r="AC867" s="26">
        <f t="shared" si="26"/>
        <v>0</v>
      </c>
      <c r="AD867" s="26">
        <f t="shared" si="27"/>
        <v>0</v>
      </c>
    </row>
    <row r="868" spans="2:30" ht="15" customHeight="1">
      <c r="B868" s="3" t="str">
        <f>IFERROR(VLOOKUP(C868,Master!$J:$K,2,0),"")</f>
        <v/>
      </c>
      <c r="D868" s="4" t="str">
        <f>IFERROR(VLOOKUP(E868,Master!$J:$K,2,0),"")</f>
        <v/>
      </c>
      <c r="F868" s="4" t="str">
        <f>IFERROR(VLOOKUP(G868,Master!B:C,2,0),"")</f>
        <v/>
      </c>
      <c r="I868" s="3" t="str">
        <f>IFERROR(VLOOKUP(E868,Master!$J:$M,4,0),"")</f>
        <v/>
      </c>
      <c r="J868" s="3" t="str">
        <f>IFERROR(VLOOKUP($E868,Master!$J:$M,3,0),"")</f>
        <v/>
      </c>
      <c r="AC868" s="26">
        <f t="shared" si="26"/>
        <v>0</v>
      </c>
      <c r="AD868" s="26">
        <f t="shared" si="27"/>
        <v>0</v>
      </c>
    </row>
    <row r="869" spans="2:30" ht="15" customHeight="1">
      <c r="B869" s="3" t="str">
        <f>IFERROR(VLOOKUP(C869,Master!$J:$K,2,0),"")</f>
        <v/>
      </c>
      <c r="D869" s="4" t="str">
        <f>IFERROR(VLOOKUP(E869,Master!$J:$K,2,0),"")</f>
        <v/>
      </c>
      <c r="F869" s="4" t="str">
        <f>IFERROR(VLOOKUP(G869,Master!B:C,2,0),"")</f>
        <v/>
      </c>
      <c r="I869" s="3" t="str">
        <f>IFERROR(VLOOKUP(E869,Master!$J:$M,4,0),"")</f>
        <v/>
      </c>
      <c r="J869" s="3" t="str">
        <f>IFERROR(VLOOKUP($E869,Master!$J:$M,3,0),"")</f>
        <v/>
      </c>
      <c r="AC869" s="26">
        <f t="shared" si="26"/>
        <v>0</v>
      </c>
      <c r="AD869" s="26">
        <f t="shared" si="27"/>
        <v>0</v>
      </c>
    </row>
    <row r="870" spans="2:30" ht="15" customHeight="1">
      <c r="B870" s="3" t="str">
        <f>IFERROR(VLOOKUP(C870,Master!$J:$K,2,0),"")</f>
        <v/>
      </c>
      <c r="D870" s="4" t="str">
        <f>IFERROR(VLOOKUP(E870,Master!$J:$K,2,0),"")</f>
        <v/>
      </c>
      <c r="F870" s="4" t="str">
        <f>IFERROR(VLOOKUP(G870,Master!B:C,2,0),"")</f>
        <v/>
      </c>
      <c r="I870" s="3" t="str">
        <f>IFERROR(VLOOKUP(E870,Master!$J:$M,4,0),"")</f>
        <v/>
      </c>
      <c r="J870" s="3" t="str">
        <f>IFERROR(VLOOKUP($E870,Master!$J:$M,3,0),"")</f>
        <v/>
      </c>
      <c r="AC870" s="26">
        <f t="shared" si="26"/>
        <v>0</v>
      </c>
      <c r="AD870" s="26">
        <f t="shared" si="27"/>
        <v>0</v>
      </c>
    </row>
    <row r="871" spans="2:30" ht="15" customHeight="1">
      <c r="B871" s="3" t="str">
        <f>IFERROR(VLOOKUP(C871,Master!$J:$K,2,0),"")</f>
        <v/>
      </c>
      <c r="D871" s="4" t="str">
        <f>IFERROR(VLOOKUP(E871,Master!$J:$K,2,0),"")</f>
        <v/>
      </c>
      <c r="F871" s="4" t="str">
        <f>IFERROR(VLOOKUP(G871,Master!B:C,2,0),"")</f>
        <v/>
      </c>
      <c r="I871" s="3" t="str">
        <f>IFERROR(VLOOKUP(E871,Master!$J:$M,4,0),"")</f>
        <v/>
      </c>
      <c r="J871" s="3" t="str">
        <f>IFERROR(VLOOKUP($E871,Master!$J:$M,3,0),"")</f>
        <v/>
      </c>
      <c r="AC871" s="26">
        <f t="shared" si="26"/>
        <v>0</v>
      </c>
      <c r="AD871" s="26">
        <f t="shared" si="27"/>
        <v>0</v>
      </c>
    </row>
    <row r="872" spans="2:30" ht="15" customHeight="1">
      <c r="B872" s="3" t="str">
        <f>IFERROR(VLOOKUP(C872,Master!$J:$K,2,0),"")</f>
        <v/>
      </c>
      <c r="D872" s="4" t="str">
        <f>IFERROR(VLOOKUP(E872,Master!$J:$K,2,0),"")</f>
        <v/>
      </c>
      <c r="F872" s="4" t="str">
        <f>IFERROR(VLOOKUP(G872,Master!B:C,2,0),"")</f>
        <v/>
      </c>
      <c r="I872" s="3" t="str">
        <f>IFERROR(VLOOKUP(E872,Master!$J:$M,4,0),"")</f>
        <v/>
      </c>
      <c r="J872" s="3" t="str">
        <f>IFERROR(VLOOKUP($E872,Master!$J:$M,3,0),"")</f>
        <v/>
      </c>
      <c r="AC872" s="26">
        <f t="shared" si="26"/>
        <v>0</v>
      </c>
      <c r="AD872" s="26">
        <f t="shared" si="27"/>
        <v>0</v>
      </c>
    </row>
    <row r="873" spans="2:30" ht="15" customHeight="1">
      <c r="B873" s="3" t="str">
        <f>IFERROR(VLOOKUP(C873,Master!$J:$K,2,0),"")</f>
        <v/>
      </c>
      <c r="D873" s="4" t="str">
        <f>IFERROR(VLOOKUP(E873,Master!$J:$K,2,0),"")</f>
        <v/>
      </c>
      <c r="F873" s="4" t="str">
        <f>IFERROR(VLOOKUP(G873,Master!B:C,2,0),"")</f>
        <v/>
      </c>
      <c r="I873" s="3" t="str">
        <f>IFERROR(VLOOKUP(E873,Master!$J:$M,4,0),"")</f>
        <v/>
      </c>
      <c r="J873" s="3" t="str">
        <f>IFERROR(VLOOKUP($E873,Master!$J:$M,3,0),"")</f>
        <v/>
      </c>
      <c r="AC873" s="26">
        <f t="shared" si="26"/>
        <v>0</v>
      </c>
      <c r="AD873" s="26">
        <f t="shared" si="27"/>
        <v>0</v>
      </c>
    </row>
    <row r="874" spans="2:30" ht="15" customHeight="1">
      <c r="B874" s="3" t="str">
        <f>IFERROR(VLOOKUP(C874,Master!$J:$K,2,0),"")</f>
        <v/>
      </c>
      <c r="D874" s="4" t="str">
        <f>IFERROR(VLOOKUP(E874,Master!$J:$K,2,0),"")</f>
        <v/>
      </c>
      <c r="F874" s="4" t="str">
        <f>IFERROR(VLOOKUP(G874,Master!B:C,2,0),"")</f>
        <v/>
      </c>
      <c r="I874" s="3" t="str">
        <f>IFERROR(VLOOKUP(E874,Master!$J:$M,4,0),"")</f>
        <v/>
      </c>
      <c r="J874" s="3" t="str">
        <f>IFERROR(VLOOKUP($E874,Master!$J:$M,3,0),"")</f>
        <v/>
      </c>
      <c r="AC874" s="26">
        <f t="shared" si="26"/>
        <v>0</v>
      </c>
      <c r="AD874" s="26">
        <f t="shared" si="27"/>
        <v>0</v>
      </c>
    </row>
    <row r="875" spans="2:30" ht="15" customHeight="1">
      <c r="B875" s="3" t="str">
        <f>IFERROR(VLOOKUP(C875,Master!$J:$K,2,0),"")</f>
        <v/>
      </c>
      <c r="D875" s="4" t="str">
        <f>IFERROR(VLOOKUP(E875,Master!$J:$K,2,0),"")</f>
        <v/>
      </c>
      <c r="F875" s="4" t="str">
        <f>IFERROR(VLOOKUP(G875,Master!B:C,2,0),"")</f>
        <v/>
      </c>
      <c r="I875" s="3" t="str">
        <f>IFERROR(VLOOKUP(E875,Master!$J:$M,4,0),"")</f>
        <v/>
      </c>
      <c r="J875" s="3" t="str">
        <f>IFERROR(VLOOKUP($E875,Master!$J:$M,3,0),"")</f>
        <v/>
      </c>
      <c r="AC875" s="26">
        <f t="shared" si="26"/>
        <v>0</v>
      </c>
      <c r="AD875" s="26">
        <f t="shared" si="27"/>
        <v>0</v>
      </c>
    </row>
    <row r="876" spans="2:30" ht="15" customHeight="1">
      <c r="B876" s="3" t="str">
        <f>IFERROR(VLOOKUP(C876,Master!$J:$K,2,0),"")</f>
        <v/>
      </c>
      <c r="D876" s="4" t="str">
        <f>IFERROR(VLOOKUP(E876,Master!$J:$K,2,0),"")</f>
        <v/>
      </c>
      <c r="F876" s="4" t="str">
        <f>IFERROR(VLOOKUP(G876,Master!B:C,2,0),"")</f>
        <v/>
      </c>
      <c r="I876" s="3" t="str">
        <f>IFERROR(VLOOKUP(E876,Master!$J:$M,4,0),"")</f>
        <v/>
      </c>
      <c r="J876" s="3" t="str">
        <f>IFERROR(VLOOKUP($E876,Master!$J:$M,3,0),"")</f>
        <v/>
      </c>
      <c r="AC876" s="26">
        <f t="shared" si="26"/>
        <v>0</v>
      </c>
      <c r="AD876" s="26">
        <f t="shared" si="27"/>
        <v>0</v>
      </c>
    </row>
    <row r="877" spans="2:30" ht="15" customHeight="1">
      <c r="B877" s="3" t="str">
        <f>IFERROR(VLOOKUP(C877,Master!$J:$K,2,0),"")</f>
        <v/>
      </c>
      <c r="D877" s="4" t="str">
        <f>IFERROR(VLOOKUP(E877,Master!$J:$K,2,0),"")</f>
        <v/>
      </c>
      <c r="F877" s="4" t="str">
        <f>IFERROR(VLOOKUP(G877,Master!B:C,2,0),"")</f>
        <v/>
      </c>
      <c r="I877" s="3" t="str">
        <f>IFERROR(VLOOKUP(E877,Master!$J:$M,4,0),"")</f>
        <v/>
      </c>
      <c r="J877" s="3" t="str">
        <f>IFERROR(VLOOKUP($E877,Master!$J:$M,3,0),"")</f>
        <v/>
      </c>
      <c r="AC877" s="26">
        <f t="shared" si="26"/>
        <v>0</v>
      </c>
      <c r="AD877" s="26">
        <f t="shared" si="27"/>
        <v>0</v>
      </c>
    </row>
    <row r="878" spans="2:30" ht="15" customHeight="1">
      <c r="B878" s="3" t="str">
        <f>IFERROR(VLOOKUP(C878,Master!$J:$K,2,0),"")</f>
        <v/>
      </c>
      <c r="D878" s="4" t="str">
        <f>IFERROR(VLOOKUP(E878,Master!$J:$K,2,0),"")</f>
        <v/>
      </c>
      <c r="F878" s="4" t="str">
        <f>IFERROR(VLOOKUP(G878,Master!B:C,2,0),"")</f>
        <v/>
      </c>
      <c r="I878" s="3" t="str">
        <f>IFERROR(VLOOKUP(E878,Master!$J:$M,4,0),"")</f>
        <v/>
      </c>
      <c r="J878" s="3" t="str">
        <f>IFERROR(VLOOKUP($E878,Master!$J:$M,3,0),"")</f>
        <v/>
      </c>
      <c r="AC878" s="26">
        <f t="shared" si="26"/>
        <v>0</v>
      </c>
      <c r="AD878" s="26">
        <f t="shared" si="27"/>
        <v>0</v>
      </c>
    </row>
    <row r="879" spans="2:30" ht="15" customHeight="1">
      <c r="B879" s="3" t="str">
        <f>IFERROR(VLOOKUP(C879,Master!$J:$K,2,0),"")</f>
        <v/>
      </c>
      <c r="D879" s="4" t="str">
        <f>IFERROR(VLOOKUP(E879,Master!$J:$K,2,0),"")</f>
        <v/>
      </c>
      <c r="F879" s="4" t="str">
        <f>IFERROR(VLOOKUP(G879,Master!B:C,2,0),"")</f>
        <v/>
      </c>
      <c r="I879" s="3" t="str">
        <f>IFERROR(VLOOKUP(E879,Master!$J:$M,4,0),"")</f>
        <v/>
      </c>
      <c r="J879" s="3" t="str">
        <f>IFERROR(VLOOKUP($E879,Master!$J:$M,3,0),"")</f>
        <v/>
      </c>
      <c r="AC879" s="26">
        <f t="shared" si="26"/>
        <v>0</v>
      </c>
      <c r="AD879" s="26">
        <f t="shared" si="27"/>
        <v>0</v>
      </c>
    </row>
    <row r="880" spans="2:30" ht="15" customHeight="1">
      <c r="B880" s="3" t="str">
        <f>IFERROR(VLOOKUP(C880,Master!$J:$K,2,0),"")</f>
        <v/>
      </c>
      <c r="D880" s="4" t="str">
        <f>IFERROR(VLOOKUP(E880,Master!$J:$K,2,0),"")</f>
        <v/>
      </c>
      <c r="F880" s="4" t="str">
        <f>IFERROR(VLOOKUP(G880,Master!B:C,2,0),"")</f>
        <v/>
      </c>
      <c r="I880" s="3" t="str">
        <f>IFERROR(VLOOKUP(E880,Master!$J:$M,4,0),"")</f>
        <v/>
      </c>
      <c r="J880" s="3" t="str">
        <f>IFERROR(VLOOKUP($E880,Master!$J:$M,3,0),"")</f>
        <v/>
      </c>
      <c r="AC880" s="26">
        <f t="shared" si="26"/>
        <v>0</v>
      </c>
      <c r="AD880" s="26">
        <f t="shared" si="27"/>
        <v>0</v>
      </c>
    </row>
    <row r="881" spans="2:30" ht="15" customHeight="1">
      <c r="B881" s="3" t="str">
        <f>IFERROR(VLOOKUP(C881,Master!$J:$K,2,0),"")</f>
        <v/>
      </c>
      <c r="D881" s="4" t="str">
        <f>IFERROR(VLOOKUP(E881,Master!$J:$K,2,0),"")</f>
        <v/>
      </c>
      <c r="F881" s="4" t="str">
        <f>IFERROR(VLOOKUP(G881,Master!B:C,2,0),"")</f>
        <v/>
      </c>
      <c r="I881" s="3" t="str">
        <f>IFERROR(VLOOKUP(E881,Master!$J:$M,4,0),"")</f>
        <v/>
      </c>
      <c r="J881" s="3" t="str">
        <f>IFERROR(VLOOKUP($E881,Master!$J:$M,3,0),"")</f>
        <v/>
      </c>
      <c r="AC881" s="26">
        <f t="shared" si="26"/>
        <v>0</v>
      </c>
      <c r="AD881" s="26">
        <f t="shared" si="27"/>
        <v>0</v>
      </c>
    </row>
    <row r="882" spans="2:30" ht="15" customHeight="1">
      <c r="B882" s="3" t="str">
        <f>IFERROR(VLOOKUP(C882,Master!$J:$K,2,0),"")</f>
        <v/>
      </c>
      <c r="D882" s="4" t="str">
        <f>IFERROR(VLOOKUP(E882,Master!$J:$K,2,0),"")</f>
        <v/>
      </c>
      <c r="F882" s="4" t="str">
        <f>IFERROR(VLOOKUP(G882,Master!B:C,2,0),"")</f>
        <v/>
      </c>
      <c r="I882" s="3" t="str">
        <f>IFERROR(VLOOKUP(E882,Master!$J:$M,4,0),"")</f>
        <v/>
      </c>
      <c r="J882" s="3" t="str">
        <f>IFERROR(VLOOKUP($E882,Master!$J:$M,3,0),"")</f>
        <v/>
      </c>
      <c r="AC882" s="26">
        <f t="shared" si="26"/>
        <v>0</v>
      </c>
      <c r="AD882" s="26">
        <f t="shared" si="27"/>
        <v>0</v>
      </c>
    </row>
    <row r="883" spans="2:30" ht="15" customHeight="1">
      <c r="B883" s="3" t="str">
        <f>IFERROR(VLOOKUP(C883,Master!$J:$K,2,0),"")</f>
        <v/>
      </c>
      <c r="D883" s="4" t="str">
        <f>IFERROR(VLOOKUP(E883,Master!$J:$K,2,0),"")</f>
        <v/>
      </c>
      <c r="F883" s="4" t="str">
        <f>IFERROR(VLOOKUP(G883,Master!B:C,2,0),"")</f>
        <v/>
      </c>
      <c r="I883" s="3" t="str">
        <f>IFERROR(VLOOKUP(E883,Master!$J:$M,4,0),"")</f>
        <v/>
      </c>
      <c r="J883" s="3" t="str">
        <f>IFERROR(VLOOKUP($E883,Master!$J:$M,3,0),"")</f>
        <v/>
      </c>
      <c r="AC883" s="26">
        <f t="shared" si="26"/>
        <v>0</v>
      </c>
      <c r="AD883" s="26">
        <f t="shared" si="27"/>
        <v>0</v>
      </c>
    </row>
    <row r="884" spans="2:30" ht="15" customHeight="1">
      <c r="B884" s="3" t="str">
        <f>IFERROR(VLOOKUP(C884,Master!$J:$K,2,0),"")</f>
        <v/>
      </c>
      <c r="D884" s="4" t="str">
        <f>IFERROR(VLOOKUP(E884,Master!$J:$K,2,0),"")</f>
        <v/>
      </c>
      <c r="F884" s="4" t="str">
        <f>IFERROR(VLOOKUP(G884,Master!B:C,2,0),"")</f>
        <v/>
      </c>
      <c r="I884" s="3" t="str">
        <f>IFERROR(VLOOKUP(E884,Master!$J:$M,4,0),"")</f>
        <v/>
      </c>
      <c r="J884" s="3" t="str">
        <f>IFERROR(VLOOKUP($E884,Master!$J:$M,3,0),"")</f>
        <v/>
      </c>
      <c r="AC884" s="26">
        <f t="shared" si="26"/>
        <v>0</v>
      </c>
      <c r="AD884" s="26">
        <f t="shared" si="27"/>
        <v>0</v>
      </c>
    </row>
    <row r="885" spans="2:30" ht="15" customHeight="1">
      <c r="B885" s="3" t="str">
        <f>IFERROR(VLOOKUP(C885,Master!$J:$K,2,0),"")</f>
        <v/>
      </c>
      <c r="D885" s="4" t="str">
        <f>IFERROR(VLOOKUP(E885,Master!$J:$K,2,0),"")</f>
        <v/>
      </c>
      <c r="F885" s="4" t="str">
        <f>IFERROR(VLOOKUP(G885,Master!B:C,2,0),"")</f>
        <v/>
      </c>
      <c r="I885" s="3" t="str">
        <f>IFERROR(VLOOKUP(E885,Master!$J:$M,4,0),"")</f>
        <v/>
      </c>
      <c r="J885" s="3" t="str">
        <f>IFERROR(VLOOKUP($E885,Master!$J:$M,3,0),"")</f>
        <v/>
      </c>
      <c r="AC885" s="26">
        <f t="shared" si="26"/>
        <v>0</v>
      </c>
      <c r="AD885" s="26">
        <f t="shared" si="27"/>
        <v>0</v>
      </c>
    </row>
    <row r="886" spans="2:30" ht="15" customHeight="1">
      <c r="B886" s="3" t="str">
        <f>IFERROR(VLOOKUP(C886,Master!$J:$K,2,0),"")</f>
        <v/>
      </c>
      <c r="D886" s="4" t="str">
        <f>IFERROR(VLOOKUP(E886,Master!$J:$K,2,0),"")</f>
        <v/>
      </c>
      <c r="F886" s="4" t="str">
        <f>IFERROR(VLOOKUP(G886,Master!B:C,2,0),"")</f>
        <v/>
      </c>
      <c r="I886" s="3" t="str">
        <f>IFERROR(VLOOKUP(E886,Master!$J:$M,4,0),"")</f>
        <v/>
      </c>
      <c r="J886" s="3" t="str">
        <f>IFERROR(VLOOKUP($E886,Master!$J:$M,3,0),"")</f>
        <v/>
      </c>
      <c r="AC886" s="26">
        <f t="shared" si="26"/>
        <v>0</v>
      </c>
      <c r="AD886" s="26">
        <f t="shared" si="27"/>
        <v>0</v>
      </c>
    </row>
    <row r="887" spans="2:30" ht="15" customHeight="1">
      <c r="B887" s="3" t="str">
        <f>IFERROR(VLOOKUP(C887,Master!$J:$K,2,0),"")</f>
        <v/>
      </c>
      <c r="D887" s="4" t="str">
        <f>IFERROR(VLOOKUP(E887,Master!$J:$K,2,0),"")</f>
        <v/>
      </c>
      <c r="F887" s="4" t="str">
        <f>IFERROR(VLOOKUP(G887,Master!B:C,2,0),"")</f>
        <v/>
      </c>
      <c r="I887" s="3" t="str">
        <f>IFERROR(VLOOKUP(E887,Master!$J:$M,4,0),"")</f>
        <v/>
      </c>
      <c r="J887" s="3" t="str">
        <f>IFERROR(VLOOKUP($E887,Master!$J:$M,3,0),"")</f>
        <v/>
      </c>
      <c r="AC887" s="26">
        <f t="shared" si="26"/>
        <v>0</v>
      </c>
      <c r="AD887" s="26">
        <f t="shared" si="27"/>
        <v>0</v>
      </c>
    </row>
    <row r="888" spans="2:30" ht="15" customHeight="1">
      <c r="B888" s="3" t="str">
        <f>IFERROR(VLOOKUP(C888,Master!$J:$K,2,0),"")</f>
        <v/>
      </c>
      <c r="D888" s="4" t="str">
        <f>IFERROR(VLOOKUP(E888,Master!$J:$K,2,0),"")</f>
        <v/>
      </c>
      <c r="F888" s="4" t="str">
        <f>IFERROR(VLOOKUP(G888,Master!B:C,2,0),"")</f>
        <v/>
      </c>
      <c r="I888" s="3" t="str">
        <f>IFERROR(VLOOKUP(E888,Master!$J:$M,4,0),"")</f>
        <v/>
      </c>
      <c r="J888" s="3" t="str">
        <f>IFERROR(VLOOKUP($E888,Master!$J:$M,3,0),"")</f>
        <v/>
      </c>
      <c r="AC888" s="26">
        <f t="shared" si="26"/>
        <v>0</v>
      </c>
      <c r="AD888" s="26">
        <f t="shared" si="27"/>
        <v>0</v>
      </c>
    </row>
    <row r="889" spans="2:30" ht="15" customHeight="1">
      <c r="B889" s="3" t="str">
        <f>IFERROR(VLOOKUP(C889,Master!$J:$K,2,0),"")</f>
        <v/>
      </c>
      <c r="D889" s="4" t="str">
        <f>IFERROR(VLOOKUP(E889,Master!$J:$K,2,0),"")</f>
        <v/>
      </c>
      <c r="F889" s="4" t="str">
        <f>IFERROR(VLOOKUP(G889,Master!B:C,2,0),"")</f>
        <v/>
      </c>
      <c r="I889" s="3" t="str">
        <f>IFERROR(VLOOKUP(E889,Master!$J:$M,4,0),"")</f>
        <v/>
      </c>
      <c r="J889" s="3" t="str">
        <f>IFERROR(VLOOKUP($E889,Master!$J:$M,3,0),"")</f>
        <v/>
      </c>
      <c r="AC889" s="26">
        <f t="shared" si="26"/>
        <v>0</v>
      </c>
      <c r="AD889" s="26">
        <f t="shared" si="27"/>
        <v>0</v>
      </c>
    </row>
    <row r="890" spans="2:30" ht="15" customHeight="1">
      <c r="B890" s="3" t="str">
        <f>IFERROR(VLOOKUP(C890,Master!$J:$K,2,0),"")</f>
        <v/>
      </c>
      <c r="D890" s="4" t="str">
        <f>IFERROR(VLOOKUP(E890,Master!$J:$K,2,0),"")</f>
        <v/>
      </c>
      <c r="F890" s="4" t="str">
        <f>IFERROR(VLOOKUP(G890,Master!B:C,2,0),"")</f>
        <v/>
      </c>
      <c r="I890" s="3" t="str">
        <f>IFERROR(VLOOKUP(E890,Master!$J:$M,4,0),"")</f>
        <v/>
      </c>
      <c r="J890" s="3" t="str">
        <f>IFERROR(VLOOKUP($E890,Master!$J:$M,3,0),"")</f>
        <v/>
      </c>
      <c r="AC890" s="26">
        <f t="shared" si="26"/>
        <v>0</v>
      </c>
      <c r="AD890" s="26">
        <f t="shared" si="27"/>
        <v>0</v>
      </c>
    </row>
    <row r="891" spans="2:30" ht="15" customHeight="1">
      <c r="B891" s="3" t="str">
        <f>IFERROR(VLOOKUP(C891,Master!$J:$K,2,0),"")</f>
        <v/>
      </c>
      <c r="D891" s="4" t="str">
        <f>IFERROR(VLOOKUP(E891,Master!$J:$K,2,0),"")</f>
        <v/>
      </c>
      <c r="F891" s="4" t="str">
        <f>IFERROR(VLOOKUP(G891,Master!B:C,2,0),"")</f>
        <v/>
      </c>
      <c r="I891" s="3" t="str">
        <f>IFERROR(VLOOKUP(E891,Master!$J:$M,4,0),"")</f>
        <v/>
      </c>
      <c r="J891" s="3" t="str">
        <f>IFERROR(VLOOKUP($E891,Master!$J:$M,3,0),"")</f>
        <v/>
      </c>
      <c r="AC891" s="26">
        <f t="shared" si="26"/>
        <v>0</v>
      </c>
      <c r="AD891" s="26">
        <f t="shared" si="27"/>
        <v>0</v>
      </c>
    </row>
    <row r="892" spans="2:30" ht="15" customHeight="1">
      <c r="B892" s="3" t="str">
        <f>IFERROR(VLOOKUP(C892,Master!$J:$K,2,0),"")</f>
        <v/>
      </c>
      <c r="D892" s="4" t="str">
        <f>IFERROR(VLOOKUP(E892,Master!$J:$K,2,0),"")</f>
        <v/>
      </c>
      <c r="F892" s="4" t="str">
        <f>IFERROR(VLOOKUP(G892,Master!B:C,2,0),"")</f>
        <v/>
      </c>
      <c r="I892" s="3" t="str">
        <f>IFERROR(VLOOKUP(E892,Master!$J:$M,4,0),"")</f>
        <v/>
      </c>
      <c r="J892" s="3" t="str">
        <f>IFERROR(VLOOKUP($E892,Master!$J:$M,3,0),"")</f>
        <v/>
      </c>
      <c r="AC892" s="26">
        <f t="shared" si="26"/>
        <v>0</v>
      </c>
      <c r="AD892" s="26">
        <f t="shared" si="27"/>
        <v>0</v>
      </c>
    </row>
    <row r="893" spans="2:30" ht="15" customHeight="1">
      <c r="B893" s="3" t="str">
        <f>IFERROR(VLOOKUP(C893,Master!$J:$K,2,0),"")</f>
        <v/>
      </c>
      <c r="D893" s="4" t="str">
        <f>IFERROR(VLOOKUP(E893,Master!$J:$K,2,0),"")</f>
        <v/>
      </c>
      <c r="F893" s="4" t="str">
        <f>IFERROR(VLOOKUP(G893,Master!B:C,2,0),"")</f>
        <v/>
      </c>
      <c r="I893" s="3" t="str">
        <f>IFERROR(VLOOKUP(E893,Master!$J:$M,4,0),"")</f>
        <v/>
      </c>
      <c r="J893" s="3" t="str">
        <f>IFERROR(VLOOKUP($E893,Master!$J:$M,3,0),"")</f>
        <v/>
      </c>
      <c r="AC893" s="26">
        <f t="shared" si="26"/>
        <v>0</v>
      </c>
      <c r="AD893" s="26">
        <f t="shared" si="27"/>
        <v>0</v>
      </c>
    </row>
    <row r="894" spans="2:30" ht="15" customHeight="1">
      <c r="B894" s="3" t="str">
        <f>IFERROR(VLOOKUP(C894,Master!$J:$K,2,0),"")</f>
        <v/>
      </c>
      <c r="D894" s="4" t="str">
        <f>IFERROR(VLOOKUP(E894,Master!$J:$K,2,0),"")</f>
        <v/>
      </c>
      <c r="F894" s="4" t="str">
        <f>IFERROR(VLOOKUP(G894,Master!B:C,2,0),"")</f>
        <v/>
      </c>
      <c r="I894" s="3" t="str">
        <f>IFERROR(VLOOKUP(E894,Master!$J:$M,4,0),"")</f>
        <v/>
      </c>
      <c r="J894" s="3" t="str">
        <f>IFERROR(VLOOKUP($E894,Master!$J:$M,3,0),"")</f>
        <v/>
      </c>
      <c r="AC894" s="26">
        <f t="shared" si="26"/>
        <v>0</v>
      </c>
      <c r="AD894" s="26">
        <f t="shared" si="27"/>
        <v>0</v>
      </c>
    </row>
    <row r="895" spans="2:30" ht="15" customHeight="1">
      <c r="B895" s="3" t="str">
        <f>IFERROR(VLOOKUP(C895,Master!$J:$K,2,0),"")</f>
        <v/>
      </c>
      <c r="D895" s="4" t="str">
        <f>IFERROR(VLOOKUP(E895,Master!$J:$K,2,0),"")</f>
        <v/>
      </c>
      <c r="F895" s="4" t="str">
        <f>IFERROR(VLOOKUP(G895,Master!B:C,2,0),"")</f>
        <v/>
      </c>
      <c r="I895" s="3" t="str">
        <f>IFERROR(VLOOKUP(E895,Master!$J:$M,4,0),"")</f>
        <v/>
      </c>
      <c r="J895" s="3" t="str">
        <f>IFERROR(VLOOKUP($E895,Master!$J:$M,3,0),"")</f>
        <v/>
      </c>
      <c r="AC895" s="26">
        <f t="shared" si="26"/>
        <v>0</v>
      </c>
      <c r="AD895" s="26">
        <f t="shared" si="27"/>
        <v>0</v>
      </c>
    </row>
    <row r="896" spans="2:30" ht="15" customHeight="1">
      <c r="B896" s="3" t="str">
        <f>IFERROR(VLOOKUP(C896,Master!$J:$K,2,0),"")</f>
        <v/>
      </c>
      <c r="D896" s="4" t="str">
        <f>IFERROR(VLOOKUP(E896,Master!$J:$K,2,0),"")</f>
        <v/>
      </c>
      <c r="F896" s="4" t="str">
        <f>IFERROR(VLOOKUP(G896,Master!B:C,2,0),"")</f>
        <v/>
      </c>
      <c r="I896" s="3" t="str">
        <f>IFERROR(VLOOKUP(E896,Master!$J:$M,4,0),"")</f>
        <v/>
      </c>
      <c r="J896" s="3" t="str">
        <f>IFERROR(VLOOKUP($E896,Master!$J:$M,3,0),"")</f>
        <v/>
      </c>
      <c r="AC896" s="26">
        <f t="shared" si="26"/>
        <v>0</v>
      </c>
      <c r="AD896" s="26">
        <f t="shared" si="27"/>
        <v>0</v>
      </c>
    </row>
    <row r="897" spans="2:30" ht="15" customHeight="1">
      <c r="B897" s="3" t="str">
        <f>IFERROR(VLOOKUP(C897,Master!$J:$K,2,0),"")</f>
        <v/>
      </c>
      <c r="D897" s="4" t="str">
        <f>IFERROR(VLOOKUP(E897,Master!$J:$K,2,0),"")</f>
        <v/>
      </c>
      <c r="F897" s="4" t="str">
        <f>IFERROR(VLOOKUP(G897,Master!B:C,2,0),"")</f>
        <v/>
      </c>
      <c r="I897" s="3" t="str">
        <f>IFERROR(VLOOKUP(E897,Master!$J:$M,4,0),"")</f>
        <v/>
      </c>
      <c r="J897" s="3" t="str">
        <f>IFERROR(VLOOKUP($E897,Master!$J:$M,3,0),"")</f>
        <v/>
      </c>
      <c r="AC897" s="26">
        <f t="shared" si="26"/>
        <v>0</v>
      </c>
      <c r="AD897" s="26">
        <f t="shared" si="27"/>
        <v>0</v>
      </c>
    </row>
    <row r="898" spans="2:30" ht="15" customHeight="1">
      <c r="B898" s="3" t="str">
        <f>IFERROR(VLOOKUP(C898,Master!$J:$K,2,0),"")</f>
        <v/>
      </c>
      <c r="D898" s="4" t="str">
        <f>IFERROR(VLOOKUP(E898,Master!$J:$K,2,0),"")</f>
        <v/>
      </c>
      <c r="F898" s="4" t="str">
        <f>IFERROR(VLOOKUP(G898,Master!B:C,2,0),"")</f>
        <v/>
      </c>
      <c r="I898" s="3" t="str">
        <f>IFERROR(VLOOKUP(E898,Master!$J:$M,4,0),"")</f>
        <v/>
      </c>
      <c r="J898" s="3" t="str">
        <f>IFERROR(VLOOKUP($E898,Master!$J:$M,3,0),"")</f>
        <v/>
      </c>
      <c r="AC898" s="26">
        <f t="shared" ref="AC898:AC961" si="28">SUM(K898:P898)</f>
        <v>0</v>
      </c>
      <c r="AD898" s="26">
        <f t="shared" ref="AD898:AD961" si="29">SUM(Q898:AB898)</f>
        <v>0</v>
      </c>
    </row>
    <row r="899" spans="2:30" ht="15" customHeight="1">
      <c r="B899" s="3" t="str">
        <f>IFERROR(VLOOKUP(C899,Master!$J:$K,2,0),"")</f>
        <v/>
      </c>
      <c r="D899" s="4" t="str">
        <f>IFERROR(VLOOKUP(E899,Master!$J:$K,2,0),"")</f>
        <v/>
      </c>
      <c r="F899" s="4" t="str">
        <f>IFERROR(VLOOKUP(G899,Master!B:C,2,0),"")</f>
        <v/>
      </c>
      <c r="I899" s="3" t="str">
        <f>IFERROR(VLOOKUP(E899,Master!$J:$M,4,0),"")</f>
        <v/>
      </c>
      <c r="J899" s="3" t="str">
        <f>IFERROR(VLOOKUP($E899,Master!$J:$M,3,0),"")</f>
        <v/>
      </c>
      <c r="AC899" s="26">
        <f t="shared" si="28"/>
        <v>0</v>
      </c>
      <c r="AD899" s="26">
        <f t="shared" si="29"/>
        <v>0</v>
      </c>
    </row>
    <row r="900" spans="2:30" ht="15" customHeight="1">
      <c r="B900" s="3" t="str">
        <f>IFERROR(VLOOKUP(C900,Master!$J:$K,2,0),"")</f>
        <v/>
      </c>
      <c r="D900" s="4" t="str">
        <f>IFERROR(VLOOKUP(E900,Master!$J:$K,2,0),"")</f>
        <v/>
      </c>
      <c r="F900" s="4" t="str">
        <f>IFERROR(VLOOKUP(G900,Master!B:C,2,0),"")</f>
        <v/>
      </c>
      <c r="I900" s="3" t="str">
        <f>IFERROR(VLOOKUP(E900,Master!$J:$M,4,0),"")</f>
        <v/>
      </c>
      <c r="J900" s="3" t="str">
        <f>IFERROR(VLOOKUP($E900,Master!$J:$M,3,0),"")</f>
        <v/>
      </c>
      <c r="AC900" s="26">
        <f t="shared" si="28"/>
        <v>0</v>
      </c>
      <c r="AD900" s="26">
        <f t="shared" si="29"/>
        <v>0</v>
      </c>
    </row>
    <row r="901" spans="2:30" ht="15" customHeight="1">
      <c r="B901" s="3" t="str">
        <f>IFERROR(VLOOKUP(C901,Master!$J:$K,2,0),"")</f>
        <v/>
      </c>
      <c r="D901" s="4" t="str">
        <f>IFERROR(VLOOKUP(E901,Master!$J:$K,2,0),"")</f>
        <v/>
      </c>
      <c r="F901" s="4" t="str">
        <f>IFERROR(VLOOKUP(G901,Master!B:C,2,0),"")</f>
        <v/>
      </c>
      <c r="I901" s="3" t="str">
        <f>IFERROR(VLOOKUP(E901,Master!$J:$M,4,0),"")</f>
        <v/>
      </c>
      <c r="J901" s="3" t="str">
        <f>IFERROR(VLOOKUP($E901,Master!$J:$M,3,0),"")</f>
        <v/>
      </c>
      <c r="AC901" s="26">
        <f t="shared" si="28"/>
        <v>0</v>
      </c>
      <c r="AD901" s="26">
        <f t="shared" si="29"/>
        <v>0</v>
      </c>
    </row>
    <row r="902" spans="2:30" ht="15" customHeight="1">
      <c r="B902" s="3" t="str">
        <f>IFERROR(VLOOKUP(C902,Master!$J:$K,2,0),"")</f>
        <v/>
      </c>
      <c r="D902" s="4" t="str">
        <f>IFERROR(VLOOKUP(E902,Master!$J:$K,2,0),"")</f>
        <v/>
      </c>
      <c r="F902" s="4" t="str">
        <f>IFERROR(VLOOKUP(G902,Master!B:C,2,0),"")</f>
        <v/>
      </c>
      <c r="I902" s="3" t="str">
        <f>IFERROR(VLOOKUP(E902,Master!$J:$M,4,0),"")</f>
        <v/>
      </c>
      <c r="J902" s="3" t="str">
        <f>IFERROR(VLOOKUP($E902,Master!$J:$M,3,0),"")</f>
        <v/>
      </c>
      <c r="AC902" s="26">
        <f t="shared" si="28"/>
        <v>0</v>
      </c>
      <c r="AD902" s="26">
        <f t="shared" si="29"/>
        <v>0</v>
      </c>
    </row>
    <row r="903" spans="2:30" ht="15" customHeight="1">
      <c r="B903" s="3" t="str">
        <f>IFERROR(VLOOKUP(C903,Master!$J:$K,2,0),"")</f>
        <v/>
      </c>
      <c r="D903" s="4" t="str">
        <f>IFERROR(VLOOKUP(E903,Master!$J:$K,2,0),"")</f>
        <v/>
      </c>
      <c r="F903" s="4" t="str">
        <f>IFERROR(VLOOKUP(G903,Master!B:C,2,0),"")</f>
        <v/>
      </c>
      <c r="I903" s="3" t="str">
        <f>IFERROR(VLOOKUP(E903,Master!$J:$M,4,0),"")</f>
        <v/>
      </c>
      <c r="J903" s="3" t="str">
        <f>IFERROR(VLOOKUP($E903,Master!$J:$M,3,0),"")</f>
        <v/>
      </c>
      <c r="AC903" s="26">
        <f t="shared" si="28"/>
        <v>0</v>
      </c>
      <c r="AD903" s="26">
        <f t="shared" si="29"/>
        <v>0</v>
      </c>
    </row>
    <row r="904" spans="2:30" ht="15" customHeight="1">
      <c r="B904" s="3" t="str">
        <f>IFERROR(VLOOKUP(C904,Master!$J:$K,2,0),"")</f>
        <v/>
      </c>
      <c r="D904" s="4" t="str">
        <f>IFERROR(VLOOKUP(E904,Master!$J:$K,2,0),"")</f>
        <v/>
      </c>
      <c r="F904" s="4" t="str">
        <f>IFERROR(VLOOKUP(G904,Master!B:C,2,0),"")</f>
        <v/>
      </c>
      <c r="I904" s="3" t="str">
        <f>IFERROR(VLOOKUP(E904,Master!$J:$M,4,0),"")</f>
        <v/>
      </c>
      <c r="J904" s="3" t="str">
        <f>IFERROR(VLOOKUP($E904,Master!$J:$M,3,0),"")</f>
        <v/>
      </c>
      <c r="AC904" s="26">
        <f t="shared" si="28"/>
        <v>0</v>
      </c>
      <c r="AD904" s="26">
        <f t="shared" si="29"/>
        <v>0</v>
      </c>
    </row>
    <row r="905" spans="2:30" ht="15" customHeight="1">
      <c r="B905" s="3" t="str">
        <f>IFERROR(VLOOKUP(C905,Master!$J:$K,2,0),"")</f>
        <v/>
      </c>
      <c r="D905" s="4" t="str">
        <f>IFERROR(VLOOKUP(E905,Master!$J:$K,2,0),"")</f>
        <v/>
      </c>
      <c r="F905" s="4" t="str">
        <f>IFERROR(VLOOKUP(G905,Master!B:C,2,0),"")</f>
        <v/>
      </c>
      <c r="I905" s="3" t="str">
        <f>IFERROR(VLOOKUP(E905,Master!$J:$M,4,0),"")</f>
        <v/>
      </c>
      <c r="J905" s="3" t="str">
        <f>IFERROR(VLOOKUP($E905,Master!$J:$M,3,0),"")</f>
        <v/>
      </c>
      <c r="AC905" s="26">
        <f t="shared" si="28"/>
        <v>0</v>
      </c>
      <c r="AD905" s="26">
        <f t="shared" si="29"/>
        <v>0</v>
      </c>
    </row>
    <row r="906" spans="2:30" ht="15" customHeight="1">
      <c r="B906" s="3" t="str">
        <f>IFERROR(VLOOKUP(C906,Master!$J:$K,2,0),"")</f>
        <v/>
      </c>
      <c r="D906" s="4" t="str">
        <f>IFERROR(VLOOKUP(E906,Master!$J:$K,2,0),"")</f>
        <v/>
      </c>
      <c r="F906" s="4" t="str">
        <f>IFERROR(VLOOKUP(G906,Master!B:C,2,0),"")</f>
        <v/>
      </c>
      <c r="I906" s="3" t="str">
        <f>IFERROR(VLOOKUP(E906,Master!$J:$M,4,0),"")</f>
        <v/>
      </c>
      <c r="J906" s="3" t="str">
        <f>IFERROR(VLOOKUP($E906,Master!$J:$M,3,0),"")</f>
        <v/>
      </c>
      <c r="AC906" s="26">
        <f t="shared" si="28"/>
        <v>0</v>
      </c>
      <c r="AD906" s="26">
        <f t="shared" si="29"/>
        <v>0</v>
      </c>
    </row>
    <row r="907" spans="2:30" ht="15" customHeight="1">
      <c r="B907" s="3" t="str">
        <f>IFERROR(VLOOKUP(C907,Master!$J:$K,2,0),"")</f>
        <v/>
      </c>
      <c r="D907" s="4" t="str">
        <f>IFERROR(VLOOKUP(E907,Master!$J:$K,2,0),"")</f>
        <v/>
      </c>
      <c r="F907" s="4" t="str">
        <f>IFERROR(VLOOKUP(G907,Master!B:C,2,0),"")</f>
        <v/>
      </c>
      <c r="I907" s="3" t="str">
        <f>IFERROR(VLOOKUP(E907,Master!$J:$M,4,0),"")</f>
        <v/>
      </c>
      <c r="J907" s="3" t="str">
        <f>IFERROR(VLOOKUP($E907,Master!$J:$M,3,0),"")</f>
        <v/>
      </c>
      <c r="AC907" s="26">
        <f t="shared" si="28"/>
        <v>0</v>
      </c>
      <c r="AD907" s="26">
        <f t="shared" si="29"/>
        <v>0</v>
      </c>
    </row>
    <row r="908" spans="2:30" ht="15" customHeight="1">
      <c r="B908" s="3" t="str">
        <f>IFERROR(VLOOKUP(C908,Master!$J:$K,2,0),"")</f>
        <v/>
      </c>
      <c r="D908" s="4" t="str">
        <f>IFERROR(VLOOKUP(E908,Master!$J:$K,2,0),"")</f>
        <v/>
      </c>
      <c r="F908" s="4" t="str">
        <f>IFERROR(VLOOKUP(G908,Master!B:C,2,0),"")</f>
        <v/>
      </c>
      <c r="I908" s="3" t="str">
        <f>IFERROR(VLOOKUP(E908,Master!$J:$M,4,0),"")</f>
        <v/>
      </c>
      <c r="J908" s="3" t="str">
        <f>IFERROR(VLOOKUP($E908,Master!$J:$M,3,0),"")</f>
        <v/>
      </c>
      <c r="AC908" s="26">
        <f t="shared" si="28"/>
        <v>0</v>
      </c>
      <c r="AD908" s="26">
        <f t="shared" si="29"/>
        <v>0</v>
      </c>
    </row>
    <row r="909" spans="2:30" ht="15" customHeight="1">
      <c r="B909" s="3" t="str">
        <f>IFERROR(VLOOKUP(C909,Master!$J:$K,2,0),"")</f>
        <v/>
      </c>
      <c r="D909" s="4" t="str">
        <f>IFERROR(VLOOKUP(E909,Master!$J:$K,2,0),"")</f>
        <v/>
      </c>
      <c r="F909" s="4" t="str">
        <f>IFERROR(VLOOKUP(G909,Master!B:C,2,0),"")</f>
        <v/>
      </c>
      <c r="I909" s="3" t="str">
        <f>IFERROR(VLOOKUP(E909,Master!$J:$M,4,0),"")</f>
        <v/>
      </c>
      <c r="J909" s="3" t="str">
        <f>IFERROR(VLOOKUP($E909,Master!$J:$M,3,0),"")</f>
        <v/>
      </c>
      <c r="AC909" s="26">
        <f t="shared" si="28"/>
        <v>0</v>
      </c>
      <c r="AD909" s="26">
        <f t="shared" si="29"/>
        <v>0</v>
      </c>
    </row>
    <row r="910" spans="2:30" ht="15" customHeight="1">
      <c r="B910" s="3" t="str">
        <f>IFERROR(VLOOKUP(C910,Master!$J:$K,2,0),"")</f>
        <v/>
      </c>
      <c r="D910" s="4" t="str">
        <f>IFERROR(VLOOKUP(E910,Master!$J:$K,2,0),"")</f>
        <v/>
      </c>
      <c r="F910" s="4" t="str">
        <f>IFERROR(VLOOKUP(G910,Master!B:C,2,0),"")</f>
        <v/>
      </c>
      <c r="I910" s="3" t="str">
        <f>IFERROR(VLOOKUP(E910,Master!$J:$M,4,0),"")</f>
        <v/>
      </c>
      <c r="J910" s="3" t="str">
        <f>IFERROR(VLOOKUP($E910,Master!$J:$M,3,0),"")</f>
        <v/>
      </c>
      <c r="AC910" s="26">
        <f t="shared" si="28"/>
        <v>0</v>
      </c>
      <c r="AD910" s="26">
        <f t="shared" si="29"/>
        <v>0</v>
      </c>
    </row>
    <row r="911" spans="2:30" ht="15" customHeight="1">
      <c r="B911" s="3" t="str">
        <f>IFERROR(VLOOKUP(C911,Master!$J:$K,2,0),"")</f>
        <v/>
      </c>
      <c r="D911" s="4" t="str">
        <f>IFERROR(VLOOKUP(E911,Master!$J:$K,2,0),"")</f>
        <v/>
      </c>
      <c r="F911" s="4" t="str">
        <f>IFERROR(VLOOKUP(G911,Master!B:C,2,0),"")</f>
        <v/>
      </c>
      <c r="I911" s="3" t="str">
        <f>IFERROR(VLOOKUP(E911,Master!$J:$M,4,0),"")</f>
        <v/>
      </c>
      <c r="J911" s="3" t="str">
        <f>IFERROR(VLOOKUP($E911,Master!$J:$M,3,0),"")</f>
        <v/>
      </c>
      <c r="AC911" s="26">
        <f t="shared" si="28"/>
        <v>0</v>
      </c>
      <c r="AD911" s="26">
        <f t="shared" si="29"/>
        <v>0</v>
      </c>
    </row>
    <row r="912" spans="2:30" ht="15" customHeight="1">
      <c r="B912" s="3" t="str">
        <f>IFERROR(VLOOKUP(C912,Master!$J:$K,2,0),"")</f>
        <v/>
      </c>
      <c r="D912" s="4" t="str">
        <f>IFERROR(VLOOKUP(E912,Master!$J:$K,2,0),"")</f>
        <v/>
      </c>
      <c r="F912" s="4" t="str">
        <f>IFERROR(VLOOKUP(G912,Master!B:C,2,0),"")</f>
        <v/>
      </c>
      <c r="I912" s="3" t="str">
        <f>IFERROR(VLOOKUP(E912,Master!$J:$M,4,0),"")</f>
        <v/>
      </c>
      <c r="J912" s="3" t="str">
        <f>IFERROR(VLOOKUP($E912,Master!$J:$M,3,0),"")</f>
        <v/>
      </c>
      <c r="AC912" s="26">
        <f t="shared" si="28"/>
        <v>0</v>
      </c>
      <c r="AD912" s="26">
        <f t="shared" si="29"/>
        <v>0</v>
      </c>
    </row>
    <row r="913" spans="2:30" ht="15" customHeight="1">
      <c r="B913" s="3" t="str">
        <f>IFERROR(VLOOKUP(C913,Master!$J:$K,2,0),"")</f>
        <v/>
      </c>
      <c r="D913" s="4" t="str">
        <f>IFERROR(VLOOKUP(E913,Master!$J:$K,2,0),"")</f>
        <v/>
      </c>
      <c r="F913" s="4" t="str">
        <f>IFERROR(VLOOKUP(G913,Master!B:C,2,0),"")</f>
        <v/>
      </c>
      <c r="I913" s="3" t="str">
        <f>IFERROR(VLOOKUP(E913,Master!$J:$M,4,0),"")</f>
        <v/>
      </c>
      <c r="J913" s="3" t="str">
        <f>IFERROR(VLOOKUP($E913,Master!$J:$M,3,0),"")</f>
        <v/>
      </c>
      <c r="AC913" s="26">
        <f t="shared" si="28"/>
        <v>0</v>
      </c>
      <c r="AD913" s="26">
        <f t="shared" si="29"/>
        <v>0</v>
      </c>
    </row>
    <row r="914" spans="2:30" ht="15" customHeight="1">
      <c r="B914" s="3" t="str">
        <f>IFERROR(VLOOKUP(C914,Master!$J:$K,2,0),"")</f>
        <v/>
      </c>
      <c r="D914" s="4" t="str">
        <f>IFERROR(VLOOKUP(E914,Master!$J:$K,2,0),"")</f>
        <v/>
      </c>
      <c r="F914" s="4" t="str">
        <f>IFERROR(VLOOKUP(G914,Master!B:C,2,0),"")</f>
        <v/>
      </c>
      <c r="I914" s="3" t="str">
        <f>IFERROR(VLOOKUP(E914,Master!$J:$M,4,0),"")</f>
        <v/>
      </c>
      <c r="J914" s="3" t="str">
        <f>IFERROR(VLOOKUP($E914,Master!$J:$M,3,0),"")</f>
        <v/>
      </c>
      <c r="AC914" s="26">
        <f t="shared" si="28"/>
        <v>0</v>
      </c>
      <c r="AD914" s="26">
        <f t="shared" si="29"/>
        <v>0</v>
      </c>
    </row>
    <row r="915" spans="2:30" ht="15" customHeight="1">
      <c r="B915" s="3" t="str">
        <f>IFERROR(VLOOKUP(C915,Master!$J:$K,2,0),"")</f>
        <v/>
      </c>
      <c r="D915" s="4" t="str">
        <f>IFERROR(VLOOKUP(E915,Master!$J:$K,2,0),"")</f>
        <v/>
      </c>
      <c r="F915" s="4" t="str">
        <f>IFERROR(VLOOKUP(G915,Master!B:C,2,0),"")</f>
        <v/>
      </c>
      <c r="I915" s="3" t="str">
        <f>IFERROR(VLOOKUP(E915,Master!$J:$M,4,0),"")</f>
        <v/>
      </c>
      <c r="J915" s="3" t="str">
        <f>IFERROR(VLOOKUP($E915,Master!$J:$M,3,0),"")</f>
        <v/>
      </c>
      <c r="AC915" s="26">
        <f t="shared" si="28"/>
        <v>0</v>
      </c>
      <c r="AD915" s="26">
        <f t="shared" si="29"/>
        <v>0</v>
      </c>
    </row>
    <row r="916" spans="2:30" ht="15" customHeight="1">
      <c r="B916" s="3" t="str">
        <f>IFERROR(VLOOKUP(C916,Master!$J:$K,2,0),"")</f>
        <v/>
      </c>
      <c r="D916" s="4" t="str">
        <f>IFERROR(VLOOKUP(E916,Master!$J:$K,2,0),"")</f>
        <v/>
      </c>
      <c r="F916" s="4" t="str">
        <f>IFERROR(VLOOKUP(G916,Master!B:C,2,0),"")</f>
        <v/>
      </c>
      <c r="I916" s="3" t="str">
        <f>IFERROR(VLOOKUP(E916,Master!$J:$M,4,0),"")</f>
        <v/>
      </c>
      <c r="J916" s="3" t="str">
        <f>IFERROR(VLOOKUP($E916,Master!$J:$M,3,0),"")</f>
        <v/>
      </c>
      <c r="AC916" s="26">
        <f t="shared" si="28"/>
        <v>0</v>
      </c>
      <c r="AD916" s="26">
        <f t="shared" si="29"/>
        <v>0</v>
      </c>
    </row>
    <row r="917" spans="2:30" ht="15" customHeight="1">
      <c r="B917" s="3" t="str">
        <f>IFERROR(VLOOKUP(C917,Master!$J:$K,2,0),"")</f>
        <v/>
      </c>
      <c r="D917" s="4" t="str">
        <f>IFERROR(VLOOKUP(E917,Master!$J:$K,2,0),"")</f>
        <v/>
      </c>
      <c r="F917" s="4" t="str">
        <f>IFERROR(VLOOKUP(G917,Master!B:C,2,0),"")</f>
        <v/>
      </c>
      <c r="I917" s="3" t="str">
        <f>IFERROR(VLOOKUP(E917,Master!$J:$M,4,0),"")</f>
        <v/>
      </c>
      <c r="J917" s="3" t="str">
        <f>IFERROR(VLOOKUP($E917,Master!$J:$M,3,0),"")</f>
        <v/>
      </c>
      <c r="AC917" s="26">
        <f t="shared" si="28"/>
        <v>0</v>
      </c>
      <c r="AD917" s="26">
        <f t="shared" si="29"/>
        <v>0</v>
      </c>
    </row>
    <row r="918" spans="2:30" ht="15" customHeight="1">
      <c r="B918" s="3" t="str">
        <f>IFERROR(VLOOKUP(C918,Master!$J:$K,2,0),"")</f>
        <v/>
      </c>
      <c r="D918" s="4" t="str">
        <f>IFERROR(VLOOKUP(E918,Master!$J:$K,2,0),"")</f>
        <v/>
      </c>
      <c r="F918" s="4" t="str">
        <f>IFERROR(VLOOKUP(G918,Master!B:C,2,0),"")</f>
        <v/>
      </c>
      <c r="I918" s="3" t="str">
        <f>IFERROR(VLOOKUP(E918,Master!$J:$M,4,0),"")</f>
        <v/>
      </c>
      <c r="J918" s="3" t="str">
        <f>IFERROR(VLOOKUP($E918,Master!$J:$M,3,0),"")</f>
        <v/>
      </c>
      <c r="AC918" s="26">
        <f t="shared" si="28"/>
        <v>0</v>
      </c>
      <c r="AD918" s="26">
        <f t="shared" si="29"/>
        <v>0</v>
      </c>
    </row>
    <row r="919" spans="2:30" ht="15" customHeight="1">
      <c r="B919" s="3" t="str">
        <f>IFERROR(VLOOKUP(C919,Master!$J:$K,2,0),"")</f>
        <v/>
      </c>
      <c r="D919" s="4" t="str">
        <f>IFERROR(VLOOKUP(E919,Master!$J:$K,2,0),"")</f>
        <v/>
      </c>
      <c r="F919" s="4" t="str">
        <f>IFERROR(VLOOKUP(G919,Master!B:C,2,0),"")</f>
        <v/>
      </c>
      <c r="I919" s="3" t="str">
        <f>IFERROR(VLOOKUP(E919,Master!$J:$M,4,0),"")</f>
        <v/>
      </c>
      <c r="J919" s="3" t="str">
        <f>IFERROR(VLOOKUP($E919,Master!$J:$M,3,0),"")</f>
        <v/>
      </c>
      <c r="AC919" s="26">
        <f t="shared" si="28"/>
        <v>0</v>
      </c>
      <c r="AD919" s="26">
        <f t="shared" si="29"/>
        <v>0</v>
      </c>
    </row>
    <row r="920" spans="2:30" ht="15" customHeight="1">
      <c r="B920" s="3" t="str">
        <f>IFERROR(VLOOKUP(C920,Master!$J:$K,2,0),"")</f>
        <v/>
      </c>
      <c r="D920" s="4" t="str">
        <f>IFERROR(VLOOKUP(E920,Master!$J:$K,2,0),"")</f>
        <v/>
      </c>
      <c r="F920" s="4" t="str">
        <f>IFERROR(VLOOKUP(G920,Master!B:C,2,0),"")</f>
        <v/>
      </c>
      <c r="I920" s="3" t="str">
        <f>IFERROR(VLOOKUP(E920,Master!$J:$M,4,0),"")</f>
        <v/>
      </c>
      <c r="J920" s="3" t="str">
        <f>IFERROR(VLOOKUP($E920,Master!$J:$M,3,0),"")</f>
        <v/>
      </c>
      <c r="AC920" s="26">
        <f t="shared" si="28"/>
        <v>0</v>
      </c>
      <c r="AD920" s="26">
        <f t="shared" si="29"/>
        <v>0</v>
      </c>
    </row>
    <row r="921" spans="2:30" ht="15" customHeight="1">
      <c r="B921" s="3" t="str">
        <f>IFERROR(VLOOKUP(C921,Master!$J:$K,2,0),"")</f>
        <v/>
      </c>
      <c r="D921" s="4" t="str">
        <f>IFERROR(VLOOKUP(E921,Master!$J:$K,2,0),"")</f>
        <v/>
      </c>
      <c r="F921" s="4" t="str">
        <f>IFERROR(VLOOKUP(G921,Master!B:C,2,0),"")</f>
        <v/>
      </c>
      <c r="I921" s="3" t="str">
        <f>IFERROR(VLOOKUP(E921,Master!$J:$M,4,0),"")</f>
        <v/>
      </c>
      <c r="J921" s="3" t="str">
        <f>IFERROR(VLOOKUP($E921,Master!$J:$M,3,0),"")</f>
        <v/>
      </c>
      <c r="AC921" s="26">
        <f t="shared" si="28"/>
        <v>0</v>
      </c>
      <c r="AD921" s="26">
        <f t="shared" si="29"/>
        <v>0</v>
      </c>
    </row>
    <row r="922" spans="2:30" ht="15" customHeight="1">
      <c r="B922" s="3" t="str">
        <f>IFERROR(VLOOKUP(C922,Master!$J:$K,2,0),"")</f>
        <v/>
      </c>
      <c r="D922" s="4" t="str">
        <f>IFERROR(VLOOKUP(E922,Master!$J:$K,2,0),"")</f>
        <v/>
      </c>
      <c r="F922" s="4" t="str">
        <f>IFERROR(VLOOKUP(G922,Master!B:C,2,0),"")</f>
        <v/>
      </c>
      <c r="I922" s="3" t="str">
        <f>IFERROR(VLOOKUP(E922,Master!$J:$M,4,0),"")</f>
        <v/>
      </c>
      <c r="J922" s="3" t="str">
        <f>IFERROR(VLOOKUP($E922,Master!$J:$M,3,0),"")</f>
        <v/>
      </c>
      <c r="AC922" s="26">
        <f t="shared" si="28"/>
        <v>0</v>
      </c>
      <c r="AD922" s="26">
        <f t="shared" si="29"/>
        <v>0</v>
      </c>
    </row>
    <row r="923" spans="2:30" ht="15" customHeight="1">
      <c r="B923" s="3" t="str">
        <f>IFERROR(VLOOKUP(C923,Master!$J:$K,2,0),"")</f>
        <v/>
      </c>
      <c r="D923" s="4" t="str">
        <f>IFERROR(VLOOKUP(E923,Master!$J:$K,2,0),"")</f>
        <v/>
      </c>
      <c r="F923" s="4" t="str">
        <f>IFERROR(VLOOKUP(G923,Master!B:C,2,0),"")</f>
        <v/>
      </c>
      <c r="I923" s="3" t="str">
        <f>IFERROR(VLOOKUP(E923,Master!$J:$M,4,0),"")</f>
        <v/>
      </c>
      <c r="J923" s="3" t="str">
        <f>IFERROR(VLOOKUP($E923,Master!$J:$M,3,0),"")</f>
        <v/>
      </c>
      <c r="AC923" s="26">
        <f t="shared" si="28"/>
        <v>0</v>
      </c>
      <c r="AD923" s="26">
        <f t="shared" si="29"/>
        <v>0</v>
      </c>
    </row>
    <row r="924" spans="2:30" ht="15" customHeight="1">
      <c r="B924" s="3" t="str">
        <f>IFERROR(VLOOKUP(C924,Master!$J:$K,2,0),"")</f>
        <v/>
      </c>
      <c r="D924" s="4" t="str">
        <f>IFERROR(VLOOKUP(E924,Master!$J:$K,2,0),"")</f>
        <v/>
      </c>
      <c r="F924" s="4" t="str">
        <f>IFERROR(VLOOKUP(G924,Master!B:C,2,0),"")</f>
        <v/>
      </c>
      <c r="I924" s="3" t="str">
        <f>IFERROR(VLOOKUP(E924,Master!$J:$M,4,0),"")</f>
        <v/>
      </c>
      <c r="J924" s="3" t="str">
        <f>IFERROR(VLOOKUP($E924,Master!$J:$M,3,0),"")</f>
        <v/>
      </c>
      <c r="AC924" s="26">
        <f t="shared" si="28"/>
        <v>0</v>
      </c>
      <c r="AD924" s="26">
        <f t="shared" si="29"/>
        <v>0</v>
      </c>
    </row>
    <row r="925" spans="2:30" ht="15" customHeight="1">
      <c r="B925" s="3" t="str">
        <f>IFERROR(VLOOKUP(C925,Master!$J:$K,2,0),"")</f>
        <v/>
      </c>
      <c r="D925" s="4" t="str">
        <f>IFERROR(VLOOKUP(E925,Master!$J:$K,2,0),"")</f>
        <v/>
      </c>
      <c r="F925" s="4" t="str">
        <f>IFERROR(VLOOKUP(G925,Master!B:C,2,0),"")</f>
        <v/>
      </c>
      <c r="I925" s="3" t="str">
        <f>IFERROR(VLOOKUP(E925,Master!$J:$M,4,0),"")</f>
        <v/>
      </c>
      <c r="J925" s="3" t="str">
        <f>IFERROR(VLOOKUP($E925,Master!$J:$M,3,0),"")</f>
        <v/>
      </c>
      <c r="AC925" s="26">
        <f t="shared" si="28"/>
        <v>0</v>
      </c>
      <c r="AD925" s="26">
        <f t="shared" si="29"/>
        <v>0</v>
      </c>
    </row>
    <row r="926" spans="2:30" ht="15" customHeight="1">
      <c r="B926" s="3" t="str">
        <f>IFERROR(VLOOKUP(C926,Master!$J:$K,2,0),"")</f>
        <v/>
      </c>
      <c r="D926" s="4" t="str">
        <f>IFERROR(VLOOKUP(E926,Master!$J:$K,2,0),"")</f>
        <v/>
      </c>
      <c r="F926" s="4" t="str">
        <f>IFERROR(VLOOKUP(G926,Master!B:C,2,0),"")</f>
        <v/>
      </c>
      <c r="I926" s="3" t="str">
        <f>IFERROR(VLOOKUP(E926,Master!$J:$M,4,0),"")</f>
        <v/>
      </c>
      <c r="J926" s="3" t="str">
        <f>IFERROR(VLOOKUP($E926,Master!$J:$M,3,0),"")</f>
        <v/>
      </c>
      <c r="AC926" s="26">
        <f t="shared" si="28"/>
        <v>0</v>
      </c>
      <c r="AD926" s="26">
        <f t="shared" si="29"/>
        <v>0</v>
      </c>
    </row>
    <row r="927" spans="2:30" ht="15" customHeight="1">
      <c r="B927" s="3" t="str">
        <f>IFERROR(VLOOKUP(C927,Master!$J:$K,2,0),"")</f>
        <v/>
      </c>
      <c r="D927" s="4" t="str">
        <f>IFERROR(VLOOKUP(E927,Master!$J:$K,2,0),"")</f>
        <v/>
      </c>
      <c r="F927" s="4" t="str">
        <f>IFERROR(VLOOKUP(G927,Master!B:C,2,0),"")</f>
        <v/>
      </c>
      <c r="I927" s="3" t="str">
        <f>IFERROR(VLOOKUP(E927,Master!$J:$M,4,0),"")</f>
        <v/>
      </c>
      <c r="J927" s="3" t="str">
        <f>IFERROR(VLOOKUP($E927,Master!$J:$M,3,0),"")</f>
        <v/>
      </c>
      <c r="AC927" s="26">
        <f t="shared" si="28"/>
        <v>0</v>
      </c>
      <c r="AD927" s="26">
        <f t="shared" si="29"/>
        <v>0</v>
      </c>
    </row>
    <row r="928" spans="2:30" ht="15" customHeight="1">
      <c r="B928" s="3" t="str">
        <f>IFERROR(VLOOKUP(C928,Master!$J:$K,2,0),"")</f>
        <v/>
      </c>
      <c r="D928" s="4" t="str">
        <f>IFERROR(VLOOKUP(E928,Master!$J:$K,2,0),"")</f>
        <v/>
      </c>
      <c r="F928" s="4" t="str">
        <f>IFERROR(VLOOKUP(G928,Master!B:C,2,0),"")</f>
        <v/>
      </c>
      <c r="I928" s="3" t="str">
        <f>IFERROR(VLOOKUP(E928,Master!$J:$M,4,0),"")</f>
        <v/>
      </c>
      <c r="J928" s="3" t="str">
        <f>IFERROR(VLOOKUP($E928,Master!$J:$M,3,0),"")</f>
        <v/>
      </c>
      <c r="AC928" s="26">
        <f t="shared" si="28"/>
        <v>0</v>
      </c>
      <c r="AD928" s="26">
        <f t="shared" si="29"/>
        <v>0</v>
      </c>
    </row>
    <row r="929" spans="2:30" ht="15" customHeight="1">
      <c r="B929" s="3" t="str">
        <f>IFERROR(VLOOKUP(C929,Master!$J:$K,2,0),"")</f>
        <v/>
      </c>
      <c r="D929" s="4" t="str">
        <f>IFERROR(VLOOKUP(E929,Master!$J:$K,2,0),"")</f>
        <v/>
      </c>
      <c r="F929" s="4" t="str">
        <f>IFERROR(VLOOKUP(G929,Master!B:C,2,0),"")</f>
        <v/>
      </c>
      <c r="I929" s="3" t="str">
        <f>IFERROR(VLOOKUP(E929,Master!$J:$M,4,0),"")</f>
        <v/>
      </c>
      <c r="J929" s="3" t="str">
        <f>IFERROR(VLOOKUP($E929,Master!$J:$M,3,0),"")</f>
        <v/>
      </c>
      <c r="AC929" s="26">
        <f t="shared" si="28"/>
        <v>0</v>
      </c>
      <c r="AD929" s="26">
        <f t="shared" si="29"/>
        <v>0</v>
      </c>
    </row>
    <row r="930" spans="2:30" ht="15" customHeight="1">
      <c r="B930" s="3" t="str">
        <f>IFERROR(VLOOKUP(C930,Master!$J:$K,2,0),"")</f>
        <v/>
      </c>
      <c r="D930" s="4" t="str">
        <f>IFERROR(VLOOKUP(E930,Master!$J:$K,2,0),"")</f>
        <v/>
      </c>
      <c r="F930" s="4" t="str">
        <f>IFERROR(VLOOKUP(G930,Master!B:C,2,0),"")</f>
        <v/>
      </c>
      <c r="I930" s="3" t="str">
        <f>IFERROR(VLOOKUP(E930,Master!$J:$M,4,0),"")</f>
        <v/>
      </c>
      <c r="J930" s="3" t="str">
        <f>IFERROR(VLOOKUP($E930,Master!$J:$M,3,0),"")</f>
        <v/>
      </c>
      <c r="AC930" s="26">
        <f t="shared" si="28"/>
        <v>0</v>
      </c>
      <c r="AD930" s="26">
        <f t="shared" si="29"/>
        <v>0</v>
      </c>
    </row>
    <row r="931" spans="2:30" ht="15" customHeight="1">
      <c r="B931" s="3" t="str">
        <f>IFERROR(VLOOKUP(C931,Master!$J:$K,2,0),"")</f>
        <v/>
      </c>
      <c r="D931" s="4" t="str">
        <f>IFERROR(VLOOKUP(E931,Master!$J:$K,2,0),"")</f>
        <v/>
      </c>
      <c r="F931" s="4" t="str">
        <f>IFERROR(VLOOKUP(G931,Master!B:C,2,0),"")</f>
        <v/>
      </c>
      <c r="I931" s="3" t="str">
        <f>IFERROR(VLOOKUP(E931,Master!$J:$M,4,0),"")</f>
        <v/>
      </c>
      <c r="J931" s="3" t="str">
        <f>IFERROR(VLOOKUP($E931,Master!$J:$M,3,0),"")</f>
        <v/>
      </c>
      <c r="AC931" s="26">
        <f t="shared" si="28"/>
        <v>0</v>
      </c>
      <c r="AD931" s="26">
        <f t="shared" si="29"/>
        <v>0</v>
      </c>
    </row>
    <row r="932" spans="2:30" ht="15" customHeight="1">
      <c r="B932" s="3" t="str">
        <f>IFERROR(VLOOKUP(C932,Master!$J:$K,2,0),"")</f>
        <v/>
      </c>
      <c r="D932" s="4" t="str">
        <f>IFERROR(VLOOKUP(E932,Master!$J:$K,2,0),"")</f>
        <v/>
      </c>
      <c r="F932" s="4" t="str">
        <f>IFERROR(VLOOKUP(G932,Master!B:C,2,0),"")</f>
        <v/>
      </c>
      <c r="I932" s="3" t="str">
        <f>IFERROR(VLOOKUP(E932,Master!$J:$M,4,0),"")</f>
        <v/>
      </c>
      <c r="J932" s="3" t="str">
        <f>IFERROR(VLOOKUP($E932,Master!$J:$M,3,0),"")</f>
        <v/>
      </c>
      <c r="AC932" s="26">
        <f t="shared" si="28"/>
        <v>0</v>
      </c>
      <c r="AD932" s="26">
        <f t="shared" si="29"/>
        <v>0</v>
      </c>
    </row>
    <row r="933" spans="2:30" ht="15" customHeight="1">
      <c r="B933" s="3" t="str">
        <f>IFERROR(VLOOKUP(C933,Master!$J:$K,2,0),"")</f>
        <v/>
      </c>
      <c r="D933" s="4" t="str">
        <f>IFERROR(VLOOKUP(E933,Master!$J:$K,2,0),"")</f>
        <v/>
      </c>
      <c r="F933" s="4" t="str">
        <f>IFERROR(VLOOKUP(G933,Master!B:C,2,0),"")</f>
        <v/>
      </c>
      <c r="I933" s="3" t="str">
        <f>IFERROR(VLOOKUP(E933,Master!$J:$M,4,0),"")</f>
        <v/>
      </c>
      <c r="J933" s="3" t="str">
        <f>IFERROR(VLOOKUP($E933,Master!$J:$M,3,0),"")</f>
        <v/>
      </c>
      <c r="AC933" s="26">
        <f t="shared" si="28"/>
        <v>0</v>
      </c>
      <c r="AD933" s="26">
        <f t="shared" si="29"/>
        <v>0</v>
      </c>
    </row>
    <row r="934" spans="2:30" ht="15" customHeight="1">
      <c r="B934" s="3" t="str">
        <f>IFERROR(VLOOKUP(C934,Master!$J:$K,2,0),"")</f>
        <v/>
      </c>
      <c r="D934" s="4" t="str">
        <f>IFERROR(VLOOKUP(E934,Master!$J:$K,2,0),"")</f>
        <v/>
      </c>
      <c r="F934" s="4" t="str">
        <f>IFERROR(VLOOKUP(G934,Master!B:C,2,0),"")</f>
        <v/>
      </c>
      <c r="I934" s="3" t="str">
        <f>IFERROR(VLOOKUP(E934,Master!$J:$M,4,0),"")</f>
        <v/>
      </c>
      <c r="J934" s="3" t="str">
        <f>IFERROR(VLOOKUP($E934,Master!$J:$M,3,0),"")</f>
        <v/>
      </c>
      <c r="AC934" s="26">
        <f t="shared" si="28"/>
        <v>0</v>
      </c>
      <c r="AD934" s="26">
        <f t="shared" si="29"/>
        <v>0</v>
      </c>
    </row>
    <row r="935" spans="2:30" ht="15" customHeight="1">
      <c r="B935" s="3" t="str">
        <f>IFERROR(VLOOKUP(C935,Master!$J:$K,2,0),"")</f>
        <v/>
      </c>
      <c r="D935" s="4" t="str">
        <f>IFERROR(VLOOKUP(E935,Master!$J:$K,2,0),"")</f>
        <v/>
      </c>
      <c r="F935" s="4" t="str">
        <f>IFERROR(VLOOKUP(G935,Master!B:C,2,0),"")</f>
        <v/>
      </c>
      <c r="I935" s="3" t="str">
        <f>IFERROR(VLOOKUP(E935,Master!$J:$M,4,0),"")</f>
        <v/>
      </c>
      <c r="J935" s="3" t="str">
        <f>IFERROR(VLOOKUP($E935,Master!$J:$M,3,0),"")</f>
        <v/>
      </c>
      <c r="AC935" s="26">
        <f t="shared" si="28"/>
        <v>0</v>
      </c>
      <c r="AD935" s="26">
        <f t="shared" si="29"/>
        <v>0</v>
      </c>
    </row>
    <row r="936" spans="2:30" ht="15" customHeight="1">
      <c r="B936" s="3" t="str">
        <f>IFERROR(VLOOKUP(C936,Master!$J:$K,2,0),"")</f>
        <v/>
      </c>
      <c r="D936" s="4" t="str">
        <f>IFERROR(VLOOKUP(E936,Master!$J:$K,2,0),"")</f>
        <v/>
      </c>
      <c r="F936" s="4" t="str">
        <f>IFERROR(VLOOKUP(G936,Master!B:C,2,0),"")</f>
        <v/>
      </c>
      <c r="I936" s="3" t="str">
        <f>IFERROR(VLOOKUP(E936,Master!$J:$M,4,0),"")</f>
        <v/>
      </c>
      <c r="J936" s="3" t="str">
        <f>IFERROR(VLOOKUP($E936,Master!$J:$M,3,0),"")</f>
        <v/>
      </c>
      <c r="AC936" s="26">
        <f t="shared" si="28"/>
        <v>0</v>
      </c>
      <c r="AD936" s="26">
        <f t="shared" si="29"/>
        <v>0</v>
      </c>
    </row>
    <row r="937" spans="2:30" ht="15" customHeight="1">
      <c r="B937" s="3" t="str">
        <f>IFERROR(VLOOKUP(C937,Master!$J:$K,2,0),"")</f>
        <v/>
      </c>
      <c r="D937" s="4" t="str">
        <f>IFERROR(VLOOKUP(E937,Master!$J:$K,2,0),"")</f>
        <v/>
      </c>
      <c r="F937" s="4" t="str">
        <f>IFERROR(VLOOKUP(G937,Master!B:C,2,0),"")</f>
        <v/>
      </c>
      <c r="I937" s="3" t="str">
        <f>IFERROR(VLOOKUP(E937,Master!$J:$M,4,0),"")</f>
        <v/>
      </c>
      <c r="J937" s="3" t="str">
        <f>IFERROR(VLOOKUP($E937,Master!$J:$M,3,0),"")</f>
        <v/>
      </c>
      <c r="AC937" s="26">
        <f t="shared" si="28"/>
        <v>0</v>
      </c>
      <c r="AD937" s="26">
        <f t="shared" si="29"/>
        <v>0</v>
      </c>
    </row>
    <row r="938" spans="2:30" ht="15" customHeight="1">
      <c r="B938" s="3" t="str">
        <f>IFERROR(VLOOKUP(C938,Master!$J:$K,2,0),"")</f>
        <v/>
      </c>
      <c r="D938" s="4" t="str">
        <f>IFERROR(VLOOKUP(E938,Master!$J:$K,2,0),"")</f>
        <v/>
      </c>
      <c r="F938" s="4" t="str">
        <f>IFERROR(VLOOKUP(G938,Master!B:C,2,0),"")</f>
        <v/>
      </c>
      <c r="I938" s="3" t="str">
        <f>IFERROR(VLOOKUP(E938,Master!$J:$M,4,0),"")</f>
        <v/>
      </c>
      <c r="J938" s="3" t="str">
        <f>IFERROR(VLOOKUP($E938,Master!$J:$M,3,0),"")</f>
        <v/>
      </c>
      <c r="AC938" s="26">
        <f t="shared" si="28"/>
        <v>0</v>
      </c>
      <c r="AD938" s="26">
        <f t="shared" si="29"/>
        <v>0</v>
      </c>
    </row>
    <row r="939" spans="2:30" ht="15" customHeight="1">
      <c r="B939" s="3" t="str">
        <f>IFERROR(VLOOKUP(C939,Master!$J:$K,2,0),"")</f>
        <v/>
      </c>
      <c r="D939" s="4" t="str">
        <f>IFERROR(VLOOKUP(E939,Master!$J:$K,2,0),"")</f>
        <v/>
      </c>
      <c r="F939" s="4" t="str">
        <f>IFERROR(VLOOKUP(G939,Master!B:C,2,0),"")</f>
        <v/>
      </c>
      <c r="I939" s="3" t="str">
        <f>IFERROR(VLOOKUP(E939,Master!$J:$M,4,0),"")</f>
        <v/>
      </c>
      <c r="J939" s="3" t="str">
        <f>IFERROR(VLOOKUP($E939,Master!$J:$M,3,0),"")</f>
        <v/>
      </c>
      <c r="AC939" s="26">
        <f t="shared" si="28"/>
        <v>0</v>
      </c>
      <c r="AD939" s="26">
        <f t="shared" si="29"/>
        <v>0</v>
      </c>
    </row>
    <row r="940" spans="2:30" ht="15" customHeight="1">
      <c r="B940" s="3" t="str">
        <f>IFERROR(VLOOKUP(C940,Master!$J:$K,2,0),"")</f>
        <v/>
      </c>
      <c r="D940" s="4" t="str">
        <f>IFERROR(VLOOKUP(E940,Master!$J:$K,2,0),"")</f>
        <v/>
      </c>
      <c r="F940" s="4" t="str">
        <f>IFERROR(VLOOKUP(G940,Master!B:C,2,0),"")</f>
        <v/>
      </c>
      <c r="I940" s="3" t="str">
        <f>IFERROR(VLOOKUP(E940,Master!$J:$M,4,0),"")</f>
        <v/>
      </c>
      <c r="J940" s="3" t="str">
        <f>IFERROR(VLOOKUP($E940,Master!$J:$M,3,0),"")</f>
        <v/>
      </c>
      <c r="AC940" s="26">
        <f t="shared" si="28"/>
        <v>0</v>
      </c>
      <c r="AD940" s="26">
        <f t="shared" si="29"/>
        <v>0</v>
      </c>
    </row>
    <row r="941" spans="2:30" ht="15" customHeight="1">
      <c r="B941" s="3" t="str">
        <f>IFERROR(VLOOKUP(C941,Master!$J:$K,2,0),"")</f>
        <v/>
      </c>
      <c r="D941" s="4" t="str">
        <f>IFERROR(VLOOKUP(E941,Master!$J:$K,2,0),"")</f>
        <v/>
      </c>
      <c r="F941" s="4" t="str">
        <f>IFERROR(VLOOKUP(G941,Master!B:C,2,0),"")</f>
        <v/>
      </c>
      <c r="I941" s="3" t="str">
        <f>IFERROR(VLOOKUP(E941,Master!$J:$M,4,0),"")</f>
        <v/>
      </c>
      <c r="J941" s="3" t="str">
        <f>IFERROR(VLOOKUP($E941,Master!$J:$M,3,0),"")</f>
        <v/>
      </c>
      <c r="AC941" s="26">
        <f t="shared" si="28"/>
        <v>0</v>
      </c>
      <c r="AD941" s="26">
        <f t="shared" si="29"/>
        <v>0</v>
      </c>
    </row>
    <row r="942" spans="2:30" ht="15" customHeight="1">
      <c r="B942" s="3" t="str">
        <f>IFERROR(VLOOKUP(C942,Master!$J:$K,2,0),"")</f>
        <v/>
      </c>
      <c r="D942" s="4" t="str">
        <f>IFERROR(VLOOKUP(E942,Master!$J:$K,2,0),"")</f>
        <v/>
      </c>
      <c r="F942" s="4" t="str">
        <f>IFERROR(VLOOKUP(G942,Master!B:C,2,0),"")</f>
        <v/>
      </c>
      <c r="I942" s="3" t="str">
        <f>IFERROR(VLOOKUP(E942,Master!$J:$M,4,0),"")</f>
        <v/>
      </c>
      <c r="J942" s="3" t="str">
        <f>IFERROR(VLOOKUP($E942,Master!$J:$M,3,0),"")</f>
        <v/>
      </c>
      <c r="AC942" s="26">
        <f t="shared" si="28"/>
        <v>0</v>
      </c>
      <c r="AD942" s="26">
        <f t="shared" si="29"/>
        <v>0</v>
      </c>
    </row>
    <row r="943" spans="2:30" ht="15" customHeight="1">
      <c r="B943" s="3" t="str">
        <f>IFERROR(VLOOKUP(C943,Master!$J:$K,2,0),"")</f>
        <v/>
      </c>
      <c r="D943" s="4" t="str">
        <f>IFERROR(VLOOKUP(E943,Master!$J:$K,2,0),"")</f>
        <v/>
      </c>
      <c r="F943" s="4" t="str">
        <f>IFERROR(VLOOKUP(G943,Master!B:C,2,0),"")</f>
        <v/>
      </c>
      <c r="I943" s="3" t="str">
        <f>IFERROR(VLOOKUP(E943,Master!$J:$M,4,0),"")</f>
        <v/>
      </c>
      <c r="J943" s="3" t="str">
        <f>IFERROR(VLOOKUP($E943,Master!$J:$M,3,0),"")</f>
        <v/>
      </c>
      <c r="AC943" s="26">
        <f t="shared" si="28"/>
        <v>0</v>
      </c>
      <c r="AD943" s="26">
        <f t="shared" si="29"/>
        <v>0</v>
      </c>
    </row>
    <row r="944" spans="2:30" ht="15" customHeight="1">
      <c r="B944" s="3" t="str">
        <f>IFERROR(VLOOKUP(C944,Master!$J:$K,2,0),"")</f>
        <v/>
      </c>
      <c r="D944" s="4" t="str">
        <f>IFERROR(VLOOKUP(E944,Master!$J:$K,2,0),"")</f>
        <v/>
      </c>
      <c r="F944" s="4" t="str">
        <f>IFERROR(VLOOKUP(G944,Master!B:C,2,0),"")</f>
        <v/>
      </c>
      <c r="I944" s="3" t="str">
        <f>IFERROR(VLOOKUP(E944,Master!$J:$M,4,0),"")</f>
        <v/>
      </c>
      <c r="J944" s="3" t="str">
        <f>IFERROR(VLOOKUP($E944,Master!$J:$M,3,0),"")</f>
        <v/>
      </c>
      <c r="AC944" s="26">
        <f t="shared" si="28"/>
        <v>0</v>
      </c>
      <c r="AD944" s="26">
        <f t="shared" si="29"/>
        <v>0</v>
      </c>
    </row>
    <row r="945" spans="2:30" ht="15" customHeight="1">
      <c r="B945" s="3" t="str">
        <f>IFERROR(VLOOKUP(C945,Master!$J:$K,2,0),"")</f>
        <v/>
      </c>
      <c r="D945" s="4" t="str">
        <f>IFERROR(VLOOKUP(E945,Master!$J:$K,2,0),"")</f>
        <v/>
      </c>
      <c r="F945" s="4" t="str">
        <f>IFERROR(VLOOKUP(G945,Master!B:C,2,0),"")</f>
        <v/>
      </c>
      <c r="I945" s="3" t="str">
        <f>IFERROR(VLOOKUP(E945,Master!$J:$M,4,0),"")</f>
        <v/>
      </c>
      <c r="J945" s="3" t="str">
        <f>IFERROR(VLOOKUP($E945,Master!$J:$M,3,0),"")</f>
        <v/>
      </c>
      <c r="AC945" s="26">
        <f t="shared" si="28"/>
        <v>0</v>
      </c>
      <c r="AD945" s="26">
        <f t="shared" si="29"/>
        <v>0</v>
      </c>
    </row>
    <row r="946" spans="2:30" ht="15" customHeight="1">
      <c r="B946" s="3" t="str">
        <f>IFERROR(VLOOKUP(C946,Master!$J:$K,2,0),"")</f>
        <v/>
      </c>
      <c r="D946" s="4" t="str">
        <f>IFERROR(VLOOKUP(E946,Master!$J:$K,2,0),"")</f>
        <v/>
      </c>
      <c r="F946" s="4" t="str">
        <f>IFERROR(VLOOKUP(G946,Master!B:C,2,0),"")</f>
        <v/>
      </c>
      <c r="I946" s="3" t="str">
        <f>IFERROR(VLOOKUP(E946,Master!$J:$M,4,0),"")</f>
        <v/>
      </c>
      <c r="J946" s="3" t="str">
        <f>IFERROR(VLOOKUP($E946,Master!$J:$M,3,0),"")</f>
        <v/>
      </c>
      <c r="AC946" s="26">
        <f t="shared" si="28"/>
        <v>0</v>
      </c>
      <c r="AD946" s="26">
        <f t="shared" si="29"/>
        <v>0</v>
      </c>
    </row>
    <row r="947" spans="2:30" ht="15" customHeight="1">
      <c r="B947" s="3" t="str">
        <f>IFERROR(VLOOKUP(C947,Master!$J:$K,2,0),"")</f>
        <v/>
      </c>
      <c r="D947" s="4" t="str">
        <f>IFERROR(VLOOKUP(E947,Master!$J:$K,2,0),"")</f>
        <v/>
      </c>
      <c r="F947" s="4" t="str">
        <f>IFERROR(VLOOKUP(G947,Master!B:C,2,0),"")</f>
        <v/>
      </c>
      <c r="I947" s="3" t="str">
        <f>IFERROR(VLOOKUP(E947,Master!$J:$M,4,0),"")</f>
        <v/>
      </c>
      <c r="J947" s="3" t="str">
        <f>IFERROR(VLOOKUP($E947,Master!$J:$M,3,0),"")</f>
        <v/>
      </c>
      <c r="AC947" s="26">
        <f t="shared" si="28"/>
        <v>0</v>
      </c>
      <c r="AD947" s="26">
        <f t="shared" si="29"/>
        <v>0</v>
      </c>
    </row>
    <row r="948" spans="2:30" ht="15" customHeight="1">
      <c r="B948" s="3" t="str">
        <f>IFERROR(VLOOKUP(C948,Master!$J:$K,2,0),"")</f>
        <v/>
      </c>
      <c r="D948" s="4" t="str">
        <f>IFERROR(VLOOKUP(E948,Master!$J:$K,2,0),"")</f>
        <v/>
      </c>
      <c r="F948" s="4" t="str">
        <f>IFERROR(VLOOKUP(G948,Master!B:C,2,0),"")</f>
        <v/>
      </c>
      <c r="I948" s="3" t="str">
        <f>IFERROR(VLOOKUP(E948,Master!$J:$M,4,0),"")</f>
        <v/>
      </c>
      <c r="J948" s="3" t="str">
        <f>IFERROR(VLOOKUP($E948,Master!$J:$M,3,0),"")</f>
        <v/>
      </c>
      <c r="AC948" s="26">
        <f t="shared" si="28"/>
        <v>0</v>
      </c>
      <c r="AD948" s="26">
        <f t="shared" si="29"/>
        <v>0</v>
      </c>
    </row>
    <row r="949" spans="2:30" ht="15" customHeight="1">
      <c r="B949" s="3" t="str">
        <f>IFERROR(VLOOKUP(C949,Master!$J:$K,2,0),"")</f>
        <v/>
      </c>
      <c r="D949" s="4" t="str">
        <f>IFERROR(VLOOKUP(E949,Master!$J:$K,2,0),"")</f>
        <v/>
      </c>
      <c r="F949" s="4" t="str">
        <f>IFERROR(VLOOKUP(G949,Master!B:C,2,0),"")</f>
        <v/>
      </c>
      <c r="I949" s="3" t="str">
        <f>IFERROR(VLOOKUP(E949,Master!$J:$M,4,0),"")</f>
        <v/>
      </c>
      <c r="J949" s="3" t="str">
        <f>IFERROR(VLOOKUP($E949,Master!$J:$M,3,0),"")</f>
        <v/>
      </c>
      <c r="AC949" s="26">
        <f t="shared" si="28"/>
        <v>0</v>
      </c>
      <c r="AD949" s="26">
        <f t="shared" si="29"/>
        <v>0</v>
      </c>
    </row>
    <row r="950" spans="2:30" ht="15" customHeight="1">
      <c r="B950" s="3" t="str">
        <f>IFERROR(VLOOKUP(C950,Master!$J:$K,2,0),"")</f>
        <v/>
      </c>
      <c r="D950" s="4" t="str">
        <f>IFERROR(VLOOKUP(E950,Master!$J:$K,2,0),"")</f>
        <v/>
      </c>
      <c r="F950" s="4" t="str">
        <f>IFERROR(VLOOKUP(G950,Master!B:C,2,0),"")</f>
        <v/>
      </c>
      <c r="I950" s="3" t="str">
        <f>IFERROR(VLOOKUP(E950,Master!$J:$M,4,0),"")</f>
        <v/>
      </c>
      <c r="J950" s="3" t="str">
        <f>IFERROR(VLOOKUP($E950,Master!$J:$M,3,0),"")</f>
        <v/>
      </c>
      <c r="AC950" s="26">
        <f t="shared" si="28"/>
        <v>0</v>
      </c>
      <c r="AD950" s="26">
        <f t="shared" si="29"/>
        <v>0</v>
      </c>
    </row>
    <row r="951" spans="2:30" ht="15" customHeight="1">
      <c r="B951" s="3" t="str">
        <f>IFERROR(VLOOKUP(C951,Master!$J:$K,2,0),"")</f>
        <v/>
      </c>
      <c r="D951" s="4" t="str">
        <f>IFERROR(VLOOKUP(E951,Master!$J:$K,2,0),"")</f>
        <v/>
      </c>
      <c r="F951" s="4" t="str">
        <f>IFERROR(VLOOKUP(G951,Master!B:C,2,0),"")</f>
        <v/>
      </c>
      <c r="I951" s="3" t="str">
        <f>IFERROR(VLOOKUP(E951,Master!$J:$M,4,0),"")</f>
        <v/>
      </c>
      <c r="J951" s="3" t="str">
        <f>IFERROR(VLOOKUP($E951,Master!$J:$M,3,0),"")</f>
        <v/>
      </c>
      <c r="AC951" s="26">
        <f t="shared" si="28"/>
        <v>0</v>
      </c>
      <c r="AD951" s="26">
        <f t="shared" si="29"/>
        <v>0</v>
      </c>
    </row>
    <row r="952" spans="2:30" ht="15" customHeight="1">
      <c r="B952" s="3" t="str">
        <f>IFERROR(VLOOKUP(C952,Master!$J:$K,2,0),"")</f>
        <v/>
      </c>
      <c r="D952" s="4" t="str">
        <f>IFERROR(VLOOKUP(E952,Master!$J:$K,2,0),"")</f>
        <v/>
      </c>
      <c r="F952" s="4" t="str">
        <f>IFERROR(VLOOKUP(G952,Master!B:C,2,0),"")</f>
        <v/>
      </c>
      <c r="I952" s="3" t="str">
        <f>IFERROR(VLOOKUP(E952,Master!$J:$M,4,0),"")</f>
        <v/>
      </c>
      <c r="J952" s="3" t="str">
        <f>IFERROR(VLOOKUP($E952,Master!$J:$M,3,0),"")</f>
        <v/>
      </c>
      <c r="AC952" s="26">
        <f t="shared" si="28"/>
        <v>0</v>
      </c>
      <c r="AD952" s="26">
        <f t="shared" si="29"/>
        <v>0</v>
      </c>
    </row>
    <row r="953" spans="2:30" ht="15" customHeight="1">
      <c r="B953" s="3" t="str">
        <f>IFERROR(VLOOKUP(C953,Master!$J:$K,2,0),"")</f>
        <v/>
      </c>
      <c r="D953" s="4" t="str">
        <f>IFERROR(VLOOKUP(E953,Master!$J:$K,2,0),"")</f>
        <v/>
      </c>
      <c r="F953" s="4" t="str">
        <f>IFERROR(VLOOKUP(G953,Master!B:C,2,0),"")</f>
        <v/>
      </c>
      <c r="I953" s="3" t="str">
        <f>IFERROR(VLOOKUP(E953,Master!$J:$M,4,0),"")</f>
        <v/>
      </c>
      <c r="J953" s="3" t="str">
        <f>IFERROR(VLOOKUP($E953,Master!$J:$M,3,0),"")</f>
        <v/>
      </c>
      <c r="AC953" s="26">
        <f t="shared" si="28"/>
        <v>0</v>
      </c>
      <c r="AD953" s="26">
        <f t="shared" si="29"/>
        <v>0</v>
      </c>
    </row>
    <row r="954" spans="2:30" ht="15" customHeight="1">
      <c r="B954" s="3" t="str">
        <f>IFERROR(VLOOKUP(C954,Master!$J:$K,2,0),"")</f>
        <v/>
      </c>
      <c r="D954" s="4" t="str">
        <f>IFERROR(VLOOKUP(E954,Master!$J:$K,2,0),"")</f>
        <v/>
      </c>
      <c r="F954" s="4" t="str">
        <f>IFERROR(VLOOKUP(G954,Master!B:C,2,0),"")</f>
        <v/>
      </c>
      <c r="I954" s="3" t="str">
        <f>IFERROR(VLOOKUP(E954,Master!$J:$M,4,0),"")</f>
        <v/>
      </c>
      <c r="J954" s="3" t="str">
        <f>IFERROR(VLOOKUP($E954,Master!$J:$M,3,0),"")</f>
        <v/>
      </c>
      <c r="AC954" s="26">
        <f t="shared" si="28"/>
        <v>0</v>
      </c>
      <c r="AD954" s="26">
        <f t="shared" si="29"/>
        <v>0</v>
      </c>
    </row>
    <row r="955" spans="2:30" ht="15" customHeight="1">
      <c r="B955" s="3" t="str">
        <f>IFERROR(VLOOKUP(C955,Master!$J:$K,2,0),"")</f>
        <v/>
      </c>
      <c r="D955" s="4" t="str">
        <f>IFERROR(VLOOKUP(E955,Master!$J:$K,2,0),"")</f>
        <v/>
      </c>
      <c r="F955" s="4" t="str">
        <f>IFERROR(VLOOKUP(G955,Master!B:C,2,0),"")</f>
        <v/>
      </c>
      <c r="I955" s="3" t="str">
        <f>IFERROR(VLOOKUP(E955,Master!$J:$M,4,0),"")</f>
        <v/>
      </c>
      <c r="J955" s="3" t="str">
        <f>IFERROR(VLOOKUP($E955,Master!$J:$M,3,0),"")</f>
        <v/>
      </c>
      <c r="AC955" s="26">
        <f t="shared" si="28"/>
        <v>0</v>
      </c>
      <c r="AD955" s="26">
        <f t="shared" si="29"/>
        <v>0</v>
      </c>
    </row>
    <row r="956" spans="2:30" ht="15" customHeight="1">
      <c r="B956" s="3" t="str">
        <f>IFERROR(VLOOKUP(C956,Master!$J:$K,2,0),"")</f>
        <v/>
      </c>
      <c r="D956" s="4" t="str">
        <f>IFERROR(VLOOKUP(E956,Master!$J:$K,2,0),"")</f>
        <v/>
      </c>
      <c r="F956" s="4" t="str">
        <f>IFERROR(VLOOKUP(G956,Master!B:C,2,0),"")</f>
        <v/>
      </c>
      <c r="I956" s="3" t="str">
        <f>IFERROR(VLOOKUP(E956,Master!$J:$M,4,0),"")</f>
        <v/>
      </c>
      <c r="J956" s="3" t="str">
        <f>IFERROR(VLOOKUP($E956,Master!$J:$M,3,0),"")</f>
        <v/>
      </c>
      <c r="AC956" s="26">
        <f t="shared" si="28"/>
        <v>0</v>
      </c>
      <c r="AD956" s="26">
        <f t="shared" si="29"/>
        <v>0</v>
      </c>
    </row>
    <row r="957" spans="2:30" ht="15" customHeight="1">
      <c r="B957" s="3" t="str">
        <f>IFERROR(VLOOKUP(C957,Master!$J:$K,2,0),"")</f>
        <v/>
      </c>
      <c r="D957" s="4" t="str">
        <f>IFERROR(VLOOKUP(E957,Master!$J:$K,2,0),"")</f>
        <v/>
      </c>
      <c r="F957" s="4" t="str">
        <f>IFERROR(VLOOKUP(G957,Master!B:C,2,0),"")</f>
        <v/>
      </c>
      <c r="I957" s="3" t="str">
        <f>IFERROR(VLOOKUP(E957,Master!$J:$M,4,0),"")</f>
        <v/>
      </c>
      <c r="J957" s="3" t="str">
        <f>IFERROR(VLOOKUP($E957,Master!$J:$M,3,0),"")</f>
        <v/>
      </c>
      <c r="AC957" s="26">
        <f t="shared" si="28"/>
        <v>0</v>
      </c>
      <c r="AD957" s="26">
        <f t="shared" si="29"/>
        <v>0</v>
      </c>
    </row>
    <row r="958" spans="2:30" ht="15" customHeight="1">
      <c r="B958" s="3" t="str">
        <f>IFERROR(VLOOKUP(C958,Master!$J:$K,2,0),"")</f>
        <v/>
      </c>
      <c r="D958" s="4" t="str">
        <f>IFERROR(VLOOKUP(E958,Master!$J:$K,2,0),"")</f>
        <v/>
      </c>
      <c r="F958" s="4" t="str">
        <f>IFERROR(VLOOKUP(G958,Master!B:C,2,0),"")</f>
        <v/>
      </c>
      <c r="I958" s="3" t="str">
        <f>IFERROR(VLOOKUP(E958,Master!$J:$M,4,0),"")</f>
        <v/>
      </c>
      <c r="J958" s="3" t="str">
        <f>IFERROR(VLOOKUP($E958,Master!$J:$M,3,0),"")</f>
        <v/>
      </c>
      <c r="AC958" s="26">
        <f t="shared" si="28"/>
        <v>0</v>
      </c>
      <c r="AD958" s="26">
        <f t="shared" si="29"/>
        <v>0</v>
      </c>
    </row>
    <row r="959" spans="2:30" ht="15" customHeight="1">
      <c r="B959" s="3" t="str">
        <f>IFERROR(VLOOKUP(C959,Master!$J:$K,2,0),"")</f>
        <v/>
      </c>
      <c r="D959" s="4" t="str">
        <f>IFERROR(VLOOKUP(E959,Master!$J:$K,2,0),"")</f>
        <v/>
      </c>
      <c r="F959" s="4" t="str">
        <f>IFERROR(VLOOKUP(G959,Master!B:C,2,0),"")</f>
        <v/>
      </c>
      <c r="I959" s="3" t="str">
        <f>IFERROR(VLOOKUP(E959,Master!$J:$M,4,0),"")</f>
        <v/>
      </c>
      <c r="J959" s="3" t="str">
        <f>IFERROR(VLOOKUP($E959,Master!$J:$M,3,0),"")</f>
        <v/>
      </c>
      <c r="AC959" s="26">
        <f t="shared" si="28"/>
        <v>0</v>
      </c>
      <c r="AD959" s="26">
        <f t="shared" si="29"/>
        <v>0</v>
      </c>
    </row>
    <row r="960" spans="2:30" ht="15" customHeight="1">
      <c r="B960" s="3" t="str">
        <f>IFERROR(VLOOKUP(C960,Master!$J:$K,2,0),"")</f>
        <v/>
      </c>
      <c r="D960" s="4" t="str">
        <f>IFERROR(VLOOKUP(E960,Master!$J:$K,2,0),"")</f>
        <v/>
      </c>
      <c r="F960" s="4" t="str">
        <f>IFERROR(VLOOKUP(G960,Master!B:C,2,0),"")</f>
        <v/>
      </c>
      <c r="I960" s="3" t="str">
        <f>IFERROR(VLOOKUP(E960,Master!$J:$M,4,0),"")</f>
        <v/>
      </c>
      <c r="J960" s="3" t="str">
        <f>IFERROR(VLOOKUP($E960,Master!$J:$M,3,0),"")</f>
        <v/>
      </c>
      <c r="AC960" s="26">
        <f t="shared" si="28"/>
        <v>0</v>
      </c>
      <c r="AD960" s="26">
        <f t="shared" si="29"/>
        <v>0</v>
      </c>
    </row>
    <row r="961" spans="2:30" ht="15" customHeight="1">
      <c r="B961" s="3" t="str">
        <f>IFERROR(VLOOKUP(C961,Master!$J:$K,2,0),"")</f>
        <v/>
      </c>
      <c r="D961" s="4" t="str">
        <f>IFERROR(VLOOKUP(E961,Master!$J:$K,2,0),"")</f>
        <v/>
      </c>
      <c r="F961" s="4" t="str">
        <f>IFERROR(VLOOKUP(G961,Master!B:C,2,0),"")</f>
        <v/>
      </c>
      <c r="I961" s="3" t="str">
        <f>IFERROR(VLOOKUP(E961,Master!$J:$M,4,0),"")</f>
        <v/>
      </c>
      <c r="J961" s="3" t="str">
        <f>IFERROR(VLOOKUP($E961,Master!$J:$M,3,0),"")</f>
        <v/>
      </c>
      <c r="AC961" s="26">
        <f t="shared" si="28"/>
        <v>0</v>
      </c>
      <c r="AD961" s="26">
        <f t="shared" si="29"/>
        <v>0</v>
      </c>
    </row>
    <row r="962" spans="2:30" ht="15" customHeight="1">
      <c r="B962" s="3" t="str">
        <f>IFERROR(VLOOKUP(C962,Master!$J:$K,2,0),"")</f>
        <v/>
      </c>
      <c r="D962" s="4" t="str">
        <f>IFERROR(VLOOKUP(E962,Master!$J:$K,2,0),"")</f>
        <v/>
      </c>
      <c r="F962" s="4" t="str">
        <f>IFERROR(VLOOKUP(G962,Master!B:C,2,0),"")</f>
        <v/>
      </c>
      <c r="I962" s="3" t="str">
        <f>IFERROR(VLOOKUP(E962,Master!$J:$M,4,0),"")</f>
        <v/>
      </c>
      <c r="J962" s="3" t="str">
        <f>IFERROR(VLOOKUP($E962,Master!$J:$M,3,0),"")</f>
        <v/>
      </c>
      <c r="AC962" s="26">
        <f t="shared" ref="AC962:AC1000" si="30">SUM(K962:P962)</f>
        <v>0</v>
      </c>
      <c r="AD962" s="26">
        <f t="shared" ref="AD962:AD1000" si="31">SUM(Q962:AB962)</f>
        <v>0</v>
      </c>
    </row>
    <row r="963" spans="2:30" ht="15" customHeight="1">
      <c r="B963" s="3" t="str">
        <f>IFERROR(VLOOKUP(C963,Master!$J:$K,2,0),"")</f>
        <v/>
      </c>
      <c r="D963" s="4" t="str">
        <f>IFERROR(VLOOKUP(E963,Master!$J:$K,2,0),"")</f>
        <v/>
      </c>
      <c r="F963" s="4" t="str">
        <f>IFERROR(VLOOKUP(G963,Master!B:C,2,0),"")</f>
        <v/>
      </c>
      <c r="I963" s="3" t="str">
        <f>IFERROR(VLOOKUP(E963,Master!$J:$M,4,0),"")</f>
        <v/>
      </c>
      <c r="J963" s="3" t="str">
        <f>IFERROR(VLOOKUP($E963,Master!$J:$M,3,0),"")</f>
        <v/>
      </c>
      <c r="AC963" s="26">
        <f t="shared" si="30"/>
        <v>0</v>
      </c>
      <c r="AD963" s="26">
        <f t="shared" si="31"/>
        <v>0</v>
      </c>
    </row>
    <row r="964" spans="2:30" ht="15" customHeight="1">
      <c r="B964" s="3" t="str">
        <f>IFERROR(VLOOKUP(C964,Master!$J:$K,2,0),"")</f>
        <v/>
      </c>
      <c r="D964" s="4" t="str">
        <f>IFERROR(VLOOKUP(E964,Master!$J:$K,2,0),"")</f>
        <v/>
      </c>
      <c r="F964" s="4" t="str">
        <f>IFERROR(VLOOKUP(G964,Master!B:C,2,0),"")</f>
        <v/>
      </c>
      <c r="I964" s="3" t="str">
        <f>IFERROR(VLOOKUP(E964,Master!$J:$M,4,0),"")</f>
        <v/>
      </c>
      <c r="J964" s="3" t="str">
        <f>IFERROR(VLOOKUP($E964,Master!$J:$M,3,0),"")</f>
        <v/>
      </c>
      <c r="AC964" s="26">
        <f t="shared" si="30"/>
        <v>0</v>
      </c>
      <c r="AD964" s="26">
        <f t="shared" si="31"/>
        <v>0</v>
      </c>
    </row>
    <row r="965" spans="2:30" ht="15" customHeight="1">
      <c r="B965" s="3" t="str">
        <f>IFERROR(VLOOKUP(C965,Master!$J:$K,2,0),"")</f>
        <v/>
      </c>
      <c r="D965" s="4" t="str">
        <f>IFERROR(VLOOKUP(E965,Master!$J:$K,2,0),"")</f>
        <v/>
      </c>
      <c r="F965" s="4" t="str">
        <f>IFERROR(VLOOKUP(G965,Master!B:C,2,0),"")</f>
        <v/>
      </c>
      <c r="I965" s="3" t="str">
        <f>IFERROR(VLOOKUP(E965,Master!$J:$M,4,0),"")</f>
        <v/>
      </c>
      <c r="J965" s="3" t="str">
        <f>IFERROR(VLOOKUP($E965,Master!$J:$M,3,0),"")</f>
        <v/>
      </c>
      <c r="AC965" s="26">
        <f t="shared" si="30"/>
        <v>0</v>
      </c>
      <c r="AD965" s="26">
        <f t="shared" si="31"/>
        <v>0</v>
      </c>
    </row>
    <row r="966" spans="2:30" ht="15" customHeight="1">
      <c r="B966" s="3" t="str">
        <f>IFERROR(VLOOKUP(C966,Master!$J:$K,2,0),"")</f>
        <v/>
      </c>
      <c r="D966" s="4" t="str">
        <f>IFERROR(VLOOKUP(E966,Master!$J:$K,2,0),"")</f>
        <v/>
      </c>
      <c r="F966" s="4" t="str">
        <f>IFERROR(VLOOKUP(G966,Master!B:C,2,0),"")</f>
        <v/>
      </c>
      <c r="I966" s="3" t="str">
        <f>IFERROR(VLOOKUP(E966,Master!$J:$M,4,0),"")</f>
        <v/>
      </c>
      <c r="J966" s="3" t="str">
        <f>IFERROR(VLOOKUP($E966,Master!$J:$M,3,0),"")</f>
        <v/>
      </c>
      <c r="AC966" s="26">
        <f t="shared" si="30"/>
        <v>0</v>
      </c>
      <c r="AD966" s="26">
        <f t="shared" si="31"/>
        <v>0</v>
      </c>
    </row>
    <row r="967" spans="2:30" ht="15" customHeight="1">
      <c r="B967" s="3" t="str">
        <f>IFERROR(VLOOKUP(C967,Master!$J:$K,2,0),"")</f>
        <v/>
      </c>
      <c r="D967" s="4" t="str">
        <f>IFERROR(VLOOKUP(E967,Master!$J:$K,2,0),"")</f>
        <v/>
      </c>
      <c r="F967" s="4" t="str">
        <f>IFERROR(VLOOKUP(G967,Master!B:C,2,0),"")</f>
        <v/>
      </c>
      <c r="I967" s="3" t="str">
        <f>IFERROR(VLOOKUP(E967,Master!$J:$M,4,0),"")</f>
        <v/>
      </c>
      <c r="J967" s="3" t="str">
        <f>IFERROR(VLOOKUP($E967,Master!$J:$M,3,0),"")</f>
        <v/>
      </c>
      <c r="AC967" s="26">
        <f t="shared" si="30"/>
        <v>0</v>
      </c>
      <c r="AD967" s="26">
        <f t="shared" si="31"/>
        <v>0</v>
      </c>
    </row>
    <row r="968" spans="2:30" ht="15" customHeight="1">
      <c r="B968" s="3" t="str">
        <f>IFERROR(VLOOKUP(C968,Master!$J:$K,2,0),"")</f>
        <v/>
      </c>
      <c r="D968" s="4" t="str">
        <f>IFERROR(VLOOKUP(E968,Master!$J:$K,2,0),"")</f>
        <v/>
      </c>
      <c r="F968" s="4" t="str">
        <f>IFERROR(VLOOKUP(G968,Master!B:C,2,0),"")</f>
        <v/>
      </c>
      <c r="I968" s="3" t="str">
        <f>IFERROR(VLOOKUP(E968,Master!$J:$M,4,0),"")</f>
        <v/>
      </c>
      <c r="J968" s="3" t="str">
        <f>IFERROR(VLOOKUP($E968,Master!$J:$M,3,0),"")</f>
        <v/>
      </c>
      <c r="AC968" s="26">
        <f t="shared" si="30"/>
        <v>0</v>
      </c>
      <c r="AD968" s="26">
        <f t="shared" si="31"/>
        <v>0</v>
      </c>
    </row>
    <row r="969" spans="2:30" ht="15" customHeight="1">
      <c r="B969" s="3" t="str">
        <f>IFERROR(VLOOKUP(C969,Master!$J:$K,2,0),"")</f>
        <v/>
      </c>
      <c r="D969" s="4" t="str">
        <f>IFERROR(VLOOKUP(E969,Master!$J:$K,2,0),"")</f>
        <v/>
      </c>
      <c r="F969" s="4" t="str">
        <f>IFERROR(VLOOKUP(G969,Master!B:C,2,0),"")</f>
        <v/>
      </c>
      <c r="I969" s="3" t="str">
        <f>IFERROR(VLOOKUP(E969,Master!$J:$M,4,0),"")</f>
        <v/>
      </c>
      <c r="J969" s="3" t="str">
        <f>IFERROR(VLOOKUP($E969,Master!$J:$M,3,0),"")</f>
        <v/>
      </c>
      <c r="AC969" s="26">
        <f t="shared" si="30"/>
        <v>0</v>
      </c>
      <c r="AD969" s="26">
        <f t="shared" si="31"/>
        <v>0</v>
      </c>
    </row>
    <row r="970" spans="2:30" ht="15" customHeight="1">
      <c r="B970" s="3" t="str">
        <f>IFERROR(VLOOKUP(C970,Master!$J:$K,2,0),"")</f>
        <v/>
      </c>
      <c r="D970" s="4" t="str">
        <f>IFERROR(VLOOKUP(E970,Master!$J:$K,2,0),"")</f>
        <v/>
      </c>
      <c r="F970" s="4" t="str">
        <f>IFERROR(VLOOKUP(G970,Master!B:C,2,0),"")</f>
        <v/>
      </c>
      <c r="I970" s="3" t="str">
        <f>IFERROR(VLOOKUP(E970,Master!$J:$M,4,0),"")</f>
        <v/>
      </c>
      <c r="J970" s="3" t="str">
        <f>IFERROR(VLOOKUP($E970,Master!$J:$M,3,0),"")</f>
        <v/>
      </c>
      <c r="AC970" s="26">
        <f t="shared" si="30"/>
        <v>0</v>
      </c>
      <c r="AD970" s="26">
        <f t="shared" si="31"/>
        <v>0</v>
      </c>
    </row>
    <row r="971" spans="2:30" ht="15" customHeight="1">
      <c r="B971" s="3" t="str">
        <f>IFERROR(VLOOKUP(C971,Master!$J:$K,2,0),"")</f>
        <v/>
      </c>
      <c r="D971" s="4" t="str">
        <f>IFERROR(VLOOKUP(E971,Master!$J:$K,2,0),"")</f>
        <v/>
      </c>
      <c r="F971" s="4" t="str">
        <f>IFERROR(VLOOKUP(G971,Master!B:C,2,0),"")</f>
        <v/>
      </c>
      <c r="I971" s="3" t="str">
        <f>IFERROR(VLOOKUP(E971,Master!$J:$M,4,0),"")</f>
        <v/>
      </c>
      <c r="J971" s="3" t="str">
        <f>IFERROR(VLOOKUP($E971,Master!$J:$M,3,0),"")</f>
        <v/>
      </c>
      <c r="AC971" s="26">
        <f t="shared" si="30"/>
        <v>0</v>
      </c>
      <c r="AD971" s="26">
        <f t="shared" si="31"/>
        <v>0</v>
      </c>
    </row>
    <row r="972" spans="2:30" ht="15" customHeight="1">
      <c r="B972" s="3" t="str">
        <f>IFERROR(VLOOKUP(C972,Master!$J:$K,2,0),"")</f>
        <v/>
      </c>
      <c r="D972" s="4" t="str">
        <f>IFERROR(VLOOKUP(E972,Master!$J:$K,2,0),"")</f>
        <v/>
      </c>
      <c r="F972" s="4" t="str">
        <f>IFERROR(VLOOKUP(G972,Master!B:C,2,0),"")</f>
        <v/>
      </c>
      <c r="I972" s="3" t="str">
        <f>IFERROR(VLOOKUP(E972,Master!$J:$M,4,0),"")</f>
        <v/>
      </c>
      <c r="J972" s="3" t="str">
        <f>IFERROR(VLOOKUP($E972,Master!$J:$M,3,0),"")</f>
        <v/>
      </c>
      <c r="AC972" s="26">
        <f t="shared" si="30"/>
        <v>0</v>
      </c>
      <c r="AD972" s="26">
        <f t="shared" si="31"/>
        <v>0</v>
      </c>
    </row>
    <row r="973" spans="2:30" ht="15" customHeight="1">
      <c r="B973" s="3" t="str">
        <f>IFERROR(VLOOKUP(C973,Master!$J:$K,2,0),"")</f>
        <v/>
      </c>
      <c r="D973" s="4" t="str">
        <f>IFERROR(VLOOKUP(E973,Master!$J:$K,2,0),"")</f>
        <v/>
      </c>
      <c r="F973" s="4" t="str">
        <f>IFERROR(VLOOKUP(G973,Master!B:C,2,0),"")</f>
        <v/>
      </c>
      <c r="I973" s="3" t="str">
        <f>IFERROR(VLOOKUP(E973,Master!$J:$M,4,0),"")</f>
        <v/>
      </c>
      <c r="J973" s="3" t="str">
        <f>IFERROR(VLOOKUP($E973,Master!$J:$M,3,0),"")</f>
        <v/>
      </c>
      <c r="AC973" s="26">
        <f t="shared" si="30"/>
        <v>0</v>
      </c>
      <c r="AD973" s="26">
        <f t="shared" si="31"/>
        <v>0</v>
      </c>
    </row>
    <row r="974" spans="2:30" ht="15" customHeight="1">
      <c r="B974" s="3" t="str">
        <f>IFERROR(VLOOKUP(C974,Master!$J:$K,2,0),"")</f>
        <v/>
      </c>
      <c r="D974" s="4" t="str">
        <f>IFERROR(VLOOKUP(E974,Master!$J:$K,2,0),"")</f>
        <v/>
      </c>
      <c r="F974" s="4" t="str">
        <f>IFERROR(VLOOKUP(G974,Master!B:C,2,0),"")</f>
        <v/>
      </c>
      <c r="I974" s="3" t="str">
        <f>IFERROR(VLOOKUP(E974,Master!$J:$M,4,0),"")</f>
        <v/>
      </c>
      <c r="J974" s="3" t="str">
        <f>IFERROR(VLOOKUP($E974,Master!$J:$M,3,0),"")</f>
        <v/>
      </c>
      <c r="AC974" s="26">
        <f t="shared" si="30"/>
        <v>0</v>
      </c>
      <c r="AD974" s="26">
        <f t="shared" si="31"/>
        <v>0</v>
      </c>
    </row>
    <row r="975" spans="2:30" ht="15" customHeight="1">
      <c r="B975" s="3" t="str">
        <f>IFERROR(VLOOKUP(C975,Master!$J:$K,2,0),"")</f>
        <v/>
      </c>
      <c r="D975" s="4" t="str">
        <f>IFERROR(VLOOKUP(E975,Master!$J:$K,2,0),"")</f>
        <v/>
      </c>
      <c r="F975" s="4" t="str">
        <f>IFERROR(VLOOKUP(G975,Master!B:C,2,0),"")</f>
        <v/>
      </c>
      <c r="I975" s="3" t="str">
        <f>IFERROR(VLOOKUP(E975,Master!$J:$M,4,0),"")</f>
        <v/>
      </c>
      <c r="J975" s="3" t="str">
        <f>IFERROR(VLOOKUP($E975,Master!$J:$M,3,0),"")</f>
        <v/>
      </c>
      <c r="AC975" s="26">
        <f t="shared" si="30"/>
        <v>0</v>
      </c>
      <c r="AD975" s="26">
        <f t="shared" si="31"/>
        <v>0</v>
      </c>
    </row>
    <row r="976" spans="2:30" ht="15" customHeight="1">
      <c r="B976" s="3" t="str">
        <f>IFERROR(VLOOKUP(C976,Master!$J:$K,2,0),"")</f>
        <v/>
      </c>
      <c r="D976" s="4" t="str">
        <f>IFERROR(VLOOKUP(E976,Master!$J:$K,2,0),"")</f>
        <v/>
      </c>
      <c r="F976" s="4" t="str">
        <f>IFERROR(VLOOKUP(G976,Master!B:C,2,0),"")</f>
        <v/>
      </c>
      <c r="I976" s="3" t="str">
        <f>IFERROR(VLOOKUP(E976,Master!$J:$M,4,0),"")</f>
        <v/>
      </c>
      <c r="J976" s="3" t="str">
        <f>IFERROR(VLOOKUP($E976,Master!$J:$M,3,0),"")</f>
        <v/>
      </c>
      <c r="AC976" s="26">
        <f t="shared" si="30"/>
        <v>0</v>
      </c>
      <c r="AD976" s="26">
        <f t="shared" si="31"/>
        <v>0</v>
      </c>
    </row>
    <row r="977" spans="2:30" ht="15" customHeight="1">
      <c r="B977" s="3" t="str">
        <f>IFERROR(VLOOKUP(C977,Master!$J:$K,2,0),"")</f>
        <v/>
      </c>
      <c r="D977" s="4" t="str">
        <f>IFERROR(VLOOKUP(E977,Master!$J:$K,2,0),"")</f>
        <v/>
      </c>
      <c r="F977" s="4" t="str">
        <f>IFERROR(VLOOKUP(G977,Master!B:C,2,0),"")</f>
        <v/>
      </c>
      <c r="I977" s="3" t="str">
        <f>IFERROR(VLOOKUP(E977,Master!$J:$M,4,0),"")</f>
        <v/>
      </c>
      <c r="J977" s="3" t="str">
        <f>IFERROR(VLOOKUP($E977,Master!$J:$M,3,0),"")</f>
        <v/>
      </c>
      <c r="AC977" s="26">
        <f t="shared" si="30"/>
        <v>0</v>
      </c>
      <c r="AD977" s="26">
        <f t="shared" si="31"/>
        <v>0</v>
      </c>
    </row>
    <row r="978" spans="2:30" ht="15" customHeight="1">
      <c r="B978" s="3" t="str">
        <f>IFERROR(VLOOKUP(C978,Master!$J:$K,2,0),"")</f>
        <v/>
      </c>
      <c r="D978" s="4" t="str">
        <f>IFERROR(VLOOKUP(E978,Master!$J:$K,2,0),"")</f>
        <v/>
      </c>
      <c r="F978" s="4" t="str">
        <f>IFERROR(VLOOKUP(G978,Master!B:C,2,0),"")</f>
        <v/>
      </c>
      <c r="I978" s="3" t="str">
        <f>IFERROR(VLOOKUP(E978,Master!$J:$M,4,0),"")</f>
        <v/>
      </c>
      <c r="J978" s="3" t="str">
        <f>IFERROR(VLOOKUP($E978,Master!$J:$M,3,0),"")</f>
        <v/>
      </c>
      <c r="AC978" s="26">
        <f t="shared" si="30"/>
        <v>0</v>
      </c>
      <c r="AD978" s="26">
        <f t="shared" si="31"/>
        <v>0</v>
      </c>
    </row>
    <row r="979" spans="2:30" ht="15" customHeight="1">
      <c r="B979" s="3" t="str">
        <f>IFERROR(VLOOKUP(C979,Master!$J:$K,2,0),"")</f>
        <v/>
      </c>
      <c r="D979" s="4" t="str">
        <f>IFERROR(VLOOKUP(E979,Master!$J:$K,2,0),"")</f>
        <v/>
      </c>
      <c r="F979" s="4" t="str">
        <f>IFERROR(VLOOKUP(G979,Master!B:C,2,0),"")</f>
        <v/>
      </c>
      <c r="I979" s="3" t="str">
        <f>IFERROR(VLOOKUP(E979,Master!$J:$M,4,0),"")</f>
        <v/>
      </c>
      <c r="J979" s="3" t="str">
        <f>IFERROR(VLOOKUP($E979,Master!$J:$M,3,0),"")</f>
        <v/>
      </c>
      <c r="AC979" s="26">
        <f t="shared" si="30"/>
        <v>0</v>
      </c>
      <c r="AD979" s="26">
        <f t="shared" si="31"/>
        <v>0</v>
      </c>
    </row>
    <row r="980" spans="2:30" ht="15" customHeight="1">
      <c r="B980" s="3" t="str">
        <f>IFERROR(VLOOKUP(C980,Master!$J:$K,2,0),"")</f>
        <v/>
      </c>
      <c r="D980" s="4" t="str">
        <f>IFERROR(VLOOKUP(E980,Master!$J:$K,2,0),"")</f>
        <v/>
      </c>
      <c r="F980" s="4" t="str">
        <f>IFERROR(VLOOKUP(G980,Master!B:C,2,0),"")</f>
        <v/>
      </c>
      <c r="I980" s="3" t="str">
        <f>IFERROR(VLOOKUP(E980,Master!$J:$M,4,0),"")</f>
        <v/>
      </c>
      <c r="J980" s="3" t="str">
        <f>IFERROR(VLOOKUP($E980,Master!$J:$M,3,0),"")</f>
        <v/>
      </c>
      <c r="AC980" s="26">
        <f t="shared" si="30"/>
        <v>0</v>
      </c>
      <c r="AD980" s="26">
        <f t="shared" si="31"/>
        <v>0</v>
      </c>
    </row>
    <row r="981" spans="2:30" ht="15" customHeight="1">
      <c r="B981" s="3" t="str">
        <f>IFERROR(VLOOKUP(C981,Master!$J:$K,2,0),"")</f>
        <v/>
      </c>
      <c r="D981" s="4" t="str">
        <f>IFERROR(VLOOKUP(E981,Master!$J:$K,2,0),"")</f>
        <v/>
      </c>
      <c r="F981" s="4" t="str">
        <f>IFERROR(VLOOKUP(G981,Master!B:C,2,0),"")</f>
        <v/>
      </c>
      <c r="I981" s="3" t="str">
        <f>IFERROR(VLOOKUP(E981,Master!$J:$M,4,0),"")</f>
        <v/>
      </c>
      <c r="J981" s="3" t="str">
        <f>IFERROR(VLOOKUP($E981,Master!$J:$M,3,0),"")</f>
        <v/>
      </c>
      <c r="AC981" s="26">
        <f t="shared" si="30"/>
        <v>0</v>
      </c>
      <c r="AD981" s="26">
        <f t="shared" si="31"/>
        <v>0</v>
      </c>
    </row>
    <row r="982" spans="2:30" ht="15" customHeight="1">
      <c r="B982" s="3" t="str">
        <f>IFERROR(VLOOKUP(C982,Master!$J:$K,2,0),"")</f>
        <v/>
      </c>
      <c r="D982" s="4" t="str">
        <f>IFERROR(VLOOKUP(E982,Master!$J:$K,2,0),"")</f>
        <v/>
      </c>
      <c r="F982" s="4" t="str">
        <f>IFERROR(VLOOKUP(G982,Master!B:C,2,0),"")</f>
        <v/>
      </c>
      <c r="I982" s="3" t="str">
        <f>IFERROR(VLOOKUP(E982,Master!$J:$M,4,0),"")</f>
        <v/>
      </c>
      <c r="J982" s="3" t="str">
        <f>IFERROR(VLOOKUP($E982,Master!$J:$M,3,0),"")</f>
        <v/>
      </c>
      <c r="AC982" s="26">
        <f t="shared" si="30"/>
        <v>0</v>
      </c>
      <c r="AD982" s="26">
        <f t="shared" si="31"/>
        <v>0</v>
      </c>
    </row>
    <row r="983" spans="2:30" ht="15" customHeight="1">
      <c r="B983" s="3" t="str">
        <f>IFERROR(VLOOKUP(C983,Master!$J:$K,2,0),"")</f>
        <v/>
      </c>
      <c r="D983" s="4" t="str">
        <f>IFERROR(VLOOKUP(E983,Master!$J:$K,2,0),"")</f>
        <v/>
      </c>
      <c r="F983" s="4" t="str">
        <f>IFERROR(VLOOKUP(G983,Master!B:C,2,0),"")</f>
        <v/>
      </c>
      <c r="I983" s="3" t="str">
        <f>IFERROR(VLOOKUP(E983,Master!$J:$M,4,0),"")</f>
        <v/>
      </c>
      <c r="J983" s="3" t="str">
        <f>IFERROR(VLOOKUP($E983,Master!$J:$M,3,0),"")</f>
        <v/>
      </c>
      <c r="AC983" s="26">
        <f t="shared" si="30"/>
        <v>0</v>
      </c>
      <c r="AD983" s="26">
        <f t="shared" si="31"/>
        <v>0</v>
      </c>
    </row>
    <row r="984" spans="2:30" ht="15" customHeight="1">
      <c r="B984" s="3" t="str">
        <f>IFERROR(VLOOKUP(C984,Master!$J:$K,2,0),"")</f>
        <v/>
      </c>
      <c r="D984" s="4" t="str">
        <f>IFERROR(VLOOKUP(E984,Master!$J:$K,2,0),"")</f>
        <v/>
      </c>
      <c r="F984" s="4" t="str">
        <f>IFERROR(VLOOKUP(G984,Master!B:C,2,0),"")</f>
        <v/>
      </c>
      <c r="I984" s="3" t="str">
        <f>IFERROR(VLOOKUP(E984,Master!$J:$M,4,0),"")</f>
        <v/>
      </c>
      <c r="J984" s="3" t="str">
        <f>IFERROR(VLOOKUP($E984,Master!$J:$M,3,0),"")</f>
        <v/>
      </c>
      <c r="AC984" s="26">
        <f t="shared" si="30"/>
        <v>0</v>
      </c>
      <c r="AD984" s="26">
        <f t="shared" si="31"/>
        <v>0</v>
      </c>
    </row>
    <row r="985" spans="2:30" ht="15" customHeight="1">
      <c r="B985" s="3" t="str">
        <f>IFERROR(VLOOKUP(C985,Master!$J:$K,2,0),"")</f>
        <v/>
      </c>
      <c r="D985" s="4" t="str">
        <f>IFERROR(VLOOKUP(E985,Master!$J:$K,2,0),"")</f>
        <v/>
      </c>
      <c r="F985" s="4" t="str">
        <f>IFERROR(VLOOKUP(G985,Master!B:C,2,0),"")</f>
        <v/>
      </c>
      <c r="I985" s="3" t="str">
        <f>IFERROR(VLOOKUP(E985,Master!$J:$M,4,0),"")</f>
        <v/>
      </c>
      <c r="J985" s="3" t="str">
        <f>IFERROR(VLOOKUP($E985,Master!$J:$M,3,0),"")</f>
        <v/>
      </c>
      <c r="AC985" s="26">
        <f t="shared" si="30"/>
        <v>0</v>
      </c>
      <c r="AD985" s="26">
        <f t="shared" si="31"/>
        <v>0</v>
      </c>
    </row>
    <row r="986" spans="2:30" ht="15" customHeight="1">
      <c r="B986" s="3" t="str">
        <f>IFERROR(VLOOKUP(C986,Master!$J:$K,2,0),"")</f>
        <v/>
      </c>
      <c r="D986" s="4" t="str">
        <f>IFERROR(VLOOKUP(E986,Master!$J:$K,2,0),"")</f>
        <v/>
      </c>
      <c r="F986" s="4" t="str">
        <f>IFERROR(VLOOKUP(G986,Master!B:C,2,0),"")</f>
        <v/>
      </c>
      <c r="I986" s="3" t="str">
        <f>IFERROR(VLOOKUP(E986,Master!$J:$M,4,0),"")</f>
        <v/>
      </c>
      <c r="J986" s="3" t="str">
        <f>IFERROR(VLOOKUP($E986,Master!$J:$M,3,0),"")</f>
        <v/>
      </c>
      <c r="AC986" s="26">
        <f t="shared" si="30"/>
        <v>0</v>
      </c>
      <c r="AD986" s="26">
        <f t="shared" si="31"/>
        <v>0</v>
      </c>
    </row>
    <row r="987" spans="2:30" ht="15" customHeight="1">
      <c r="B987" s="3" t="str">
        <f>IFERROR(VLOOKUP(C987,Master!$J:$K,2,0),"")</f>
        <v/>
      </c>
      <c r="D987" s="4" t="str">
        <f>IFERROR(VLOOKUP(E987,Master!$J:$K,2,0),"")</f>
        <v/>
      </c>
      <c r="F987" s="4" t="str">
        <f>IFERROR(VLOOKUP(G987,Master!B:C,2,0),"")</f>
        <v/>
      </c>
      <c r="I987" s="3" t="str">
        <f>IFERROR(VLOOKUP(E987,Master!$J:$M,4,0),"")</f>
        <v/>
      </c>
      <c r="J987" s="3" t="str">
        <f>IFERROR(VLOOKUP($E987,Master!$J:$M,3,0),"")</f>
        <v/>
      </c>
      <c r="AC987" s="26">
        <f t="shared" si="30"/>
        <v>0</v>
      </c>
      <c r="AD987" s="26">
        <f t="shared" si="31"/>
        <v>0</v>
      </c>
    </row>
    <row r="988" spans="2:30" ht="15" customHeight="1">
      <c r="B988" s="3" t="str">
        <f>IFERROR(VLOOKUP(C988,Master!$J:$K,2,0),"")</f>
        <v/>
      </c>
      <c r="D988" s="4" t="str">
        <f>IFERROR(VLOOKUP(E988,Master!$J:$K,2,0),"")</f>
        <v/>
      </c>
      <c r="F988" s="4" t="str">
        <f>IFERROR(VLOOKUP(G988,Master!B:C,2,0),"")</f>
        <v/>
      </c>
      <c r="I988" s="3" t="str">
        <f>IFERROR(VLOOKUP(E988,Master!$J:$M,4,0),"")</f>
        <v/>
      </c>
      <c r="J988" s="3" t="str">
        <f>IFERROR(VLOOKUP($E988,Master!$J:$M,3,0),"")</f>
        <v/>
      </c>
      <c r="AC988" s="26">
        <f t="shared" si="30"/>
        <v>0</v>
      </c>
      <c r="AD988" s="26">
        <f t="shared" si="31"/>
        <v>0</v>
      </c>
    </row>
    <row r="989" spans="2:30" ht="15" customHeight="1">
      <c r="B989" s="3" t="str">
        <f>IFERROR(VLOOKUP(C989,Master!$J:$K,2,0),"")</f>
        <v/>
      </c>
      <c r="D989" s="4" t="str">
        <f>IFERROR(VLOOKUP(E989,Master!$J:$K,2,0),"")</f>
        <v/>
      </c>
      <c r="F989" s="4" t="str">
        <f>IFERROR(VLOOKUP(G989,Master!B:C,2,0),"")</f>
        <v/>
      </c>
      <c r="I989" s="3" t="str">
        <f>IFERROR(VLOOKUP(E989,Master!$J:$M,4,0),"")</f>
        <v/>
      </c>
      <c r="J989" s="3" t="str">
        <f>IFERROR(VLOOKUP($E989,Master!$J:$M,3,0),"")</f>
        <v/>
      </c>
      <c r="AC989" s="26">
        <f t="shared" si="30"/>
        <v>0</v>
      </c>
      <c r="AD989" s="26">
        <f t="shared" si="31"/>
        <v>0</v>
      </c>
    </row>
    <row r="990" spans="2:30" ht="15" customHeight="1">
      <c r="B990" s="3" t="str">
        <f>IFERROR(VLOOKUP(C990,Master!$J:$K,2,0),"")</f>
        <v/>
      </c>
      <c r="D990" s="4" t="str">
        <f>IFERROR(VLOOKUP(E990,Master!$J:$K,2,0),"")</f>
        <v/>
      </c>
      <c r="F990" s="4" t="str">
        <f>IFERROR(VLOOKUP(G990,Master!B:C,2,0),"")</f>
        <v/>
      </c>
      <c r="I990" s="3" t="str">
        <f>IFERROR(VLOOKUP(E990,Master!$J:$M,4,0),"")</f>
        <v/>
      </c>
      <c r="J990" s="3" t="str">
        <f>IFERROR(VLOOKUP($E990,Master!$J:$M,3,0),"")</f>
        <v/>
      </c>
      <c r="AC990" s="26">
        <f t="shared" si="30"/>
        <v>0</v>
      </c>
      <c r="AD990" s="26">
        <f t="shared" si="31"/>
        <v>0</v>
      </c>
    </row>
    <row r="991" spans="2:30" ht="15" customHeight="1">
      <c r="B991" s="3" t="str">
        <f>IFERROR(VLOOKUP(C991,Master!$J:$K,2,0),"")</f>
        <v/>
      </c>
      <c r="D991" s="4" t="str">
        <f>IFERROR(VLOOKUP(E991,Master!$J:$K,2,0),"")</f>
        <v/>
      </c>
      <c r="F991" s="4" t="str">
        <f>IFERROR(VLOOKUP(G991,Master!B:C,2,0),"")</f>
        <v/>
      </c>
      <c r="I991" s="3" t="str">
        <f>IFERROR(VLOOKUP(E991,Master!$J:$M,4,0),"")</f>
        <v/>
      </c>
      <c r="J991" s="3" t="str">
        <f>IFERROR(VLOOKUP($E991,Master!$J:$M,3,0),"")</f>
        <v/>
      </c>
      <c r="AC991" s="26">
        <f t="shared" si="30"/>
        <v>0</v>
      </c>
      <c r="AD991" s="26">
        <f t="shared" si="31"/>
        <v>0</v>
      </c>
    </row>
    <row r="992" spans="2:30" ht="15" customHeight="1">
      <c r="B992" s="3" t="str">
        <f>IFERROR(VLOOKUP(C992,Master!$J:$K,2,0),"")</f>
        <v/>
      </c>
      <c r="D992" s="4" t="str">
        <f>IFERROR(VLOOKUP(E992,Master!$J:$K,2,0),"")</f>
        <v/>
      </c>
      <c r="F992" s="4" t="str">
        <f>IFERROR(VLOOKUP(G992,Master!B:C,2,0),"")</f>
        <v/>
      </c>
      <c r="I992" s="3" t="str">
        <f>IFERROR(VLOOKUP(E992,Master!$J:$M,4,0),"")</f>
        <v/>
      </c>
      <c r="J992" s="3" t="str">
        <f>IFERROR(VLOOKUP($E992,Master!$J:$M,3,0),"")</f>
        <v/>
      </c>
      <c r="AC992" s="26">
        <f t="shared" si="30"/>
        <v>0</v>
      </c>
      <c r="AD992" s="26">
        <f t="shared" si="31"/>
        <v>0</v>
      </c>
    </row>
    <row r="993" spans="2:30" ht="15" customHeight="1">
      <c r="B993" s="3" t="str">
        <f>IFERROR(VLOOKUP(C993,Master!$J:$K,2,0),"")</f>
        <v/>
      </c>
      <c r="D993" s="4" t="str">
        <f>IFERROR(VLOOKUP(E993,Master!$J:$K,2,0),"")</f>
        <v/>
      </c>
      <c r="F993" s="4" t="str">
        <f>IFERROR(VLOOKUP(G993,Master!B:C,2,0),"")</f>
        <v/>
      </c>
      <c r="I993" s="3" t="str">
        <f>IFERROR(VLOOKUP(E993,Master!$J:$M,4,0),"")</f>
        <v/>
      </c>
      <c r="J993" s="3" t="str">
        <f>IFERROR(VLOOKUP($E993,Master!$J:$M,3,0),"")</f>
        <v/>
      </c>
      <c r="AC993" s="26">
        <f t="shared" si="30"/>
        <v>0</v>
      </c>
      <c r="AD993" s="26">
        <f t="shared" si="31"/>
        <v>0</v>
      </c>
    </row>
    <row r="994" spans="2:30" ht="15" customHeight="1">
      <c r="B994" s="3" t="str">
        <f>IFERROR(VLOOKUP(C994,Master!$J:$K,2,0),"")</f>
        <v/>
      </c>
      <c r="D994" s="4" t="str">
        <f>IFERROR(VLOOKUP(E994,Master!$J:$K,2,0),"")</f>
        <v/>
      </c>
      <c r="F994" s="4" t="str">
        <f>IFERROR(VLOOKUP(G994,Master!B:C,2,0),"")</f>
        <v/>
      </c>
      <c r="I994" s="3" t="str">
        <f>IFERROR(VLOOKUP(E994,Master!$J:$M,4,0),"")</f>
        <v/>
      </c>
      <c r="J994" s="3" t="str">
        <f>IFERROR(VLOOKUP($E994,Master!$J:$M,3,0),"")</f>
        <v/>
      </c>
      <c r="AC994" s="26">
        <f t="shared" si="30"/>
        <v>0</v>
      </c>
      <c r="AD994" s="26">
        <f t="shared" si="31"/>
        <v>0</v>
      </c>
    </row>
    <row r="995" spans="2:30" ht="15" customHeight="1">
      <c r="B995" s="3" t="str">
        <f>IFERROR(VLOOKUP(C995,Master!$J:$K,2,0),"")</f>
        <v/>
      </c>
      <c r="D995" s="4" t="str">
        <f>IFERROR(VLOOKUP(E995,Master!$J:$K,2,0),"")</f>
        <v/>
      </c>
      <c r="F995" s="4" t="str">
        <f>IFERROR(VLOOKUP(G995,Master!B:C,2,0),"")</f>
        <v/>
      </c>
      <c r="I995" s="3" t="str">
        <f>IFERROR(VLOOKUP(E995,Master!$J:$M,4,0),"")</f>
        <v/>
      </c>
      <c r="J995" s="3" t="str">
        <f>IFERROR(VLOOKUP($E995,Master!$J:$M,3,0),"")</f>
        <v/>
      </c>
      <c r="AC995" s="26">
        <f t="shared" si="30"/>
        <v>0</v>
      </c>
      <c r="AD995" s="26">
        <f t="shared" si="31"/>
        <v>0</v>
      </c>
    </row>
    <row r="996" spans="2:30" ht="15" customHeight="1">
      <c r="B996" s="3" t="str">
        <f>IFERROR(VLOOKUP(C996,Master!$J:$K,2,0),"")</f>
        <v/>
      </c>
      <c r="D996" s="4" t="str">
        <f>IFERROR(VLOOKUP(E996,Master!$J:$K,2,0),"")</f>
        <v/>
      </c>
      <c r="F996" s="4" t="str">
        <f>IFERROR(VLOOKUP(G996,Master!B:C,2,0),"")</f>
        <v/>
      </c>
      <c r="I996" s="3" t="str">
        <f>IFERROR(VLOOKUP(E996,Master!$J:$M,4,0),"")</f>
        <v/>
      </c>
      <c r="J996" s="3" t="str">
        <f>IFERROR(VLOOKUP($E996,Master!$J:$M,3,0),"")</f>
        <v/>
      </c>
      <c r="AC996" s="26">
        <f t="shared" si="30"/>
        <v>0</v>
      </c>
      <c r="AD996" s="26">
        <f t="shared" si="31"/>
        <v>0</v>
      </c>
    </row>
    <row r="997" spans="2:30" ht="15" customHeight="1">
      <c r="B997" s="3" t="str">
        <f>IFERROR(VLOOKUP(C997,Master!$J:$K,2,0),"")</f>
        <v/>
      </c>
      <c r="D997" s="4" t="str">
        <f>IFERROR(VLOOKUP(E997,Master!$J:$K,2,0),"")</f>
        <v/>
      </c>
      <c r="F997" s="4" t="str">
        <f>IFERROR(VLOOKUP(G997,Master!B:C,2,0),"")</f>
        <v/>
      </c>
      <c r="I997" s="3" t="str">
        <f>IFERROR(VLOOKUP(E997,Master!$J:$M,4,0),"")</f>
        <v/>
      </c>
      <c r="J997" s="3" t="str">
        <f>IFERROR(VLOOKUP($E997,Master!$J:$M,3,0),"")</f>
        <v/>
      </c>
      <c r="AC997" s="26">
        <f t="shared" si="30"/>
        <v>0</v>
      </c>
      <c r="AD997" s="26">
        <f t="shared" si="31"/>
        <v>0</v>
      </c>
    </row>
    <row r="998" spans="2:30" ht="15" customHeight="1">
      <c r="B998" s="3" t="str">
        <f>IFERROR(VLOOKUP(C998,Master!$J:$K,2,0),"")</f>
        <v/>
      </c>
      <c r="D998" s="4" t="str">
        <f>IFERROR(VLOOKUP(E998,Master!$J:$K,2,0),"")</f>
        <v/>
      </c>
      <c r="F998" s="4" t="str">
        <f>IFERROR(VLOOKUP(G998,Master!B:C,2,0),"")</f>
        <v/>
      </c>
      <c r="I998" s="3" t="str">
        <f>IFERROR(VLOOKUP(E998,Master!$J:$M,4,0),"")</f>
        <v/>
      </c>
      <c r="J998" s="3" t="str">
        <f>IFERROR(VLOOKUP($E998,Master!$J:$M,3,0),"")</f>
        <v/>
      </c>
      <c r="AC998" s="26">
        <f t="shared" si="30"/>
        <v>0</v>
      </c>
      <c r="AD998" s="26">
        <f t="shared" si="31"/>
        <v>0</v>
      </c>
    </row>
    <row r="999" spans="2:30" ht="15" customHeight="1">
      <c r="B999" s="3" t="str">
        <f>IFERROR(VLOOKUP(C999,Master!$J:$K,2,0),"")</f>
        <v/>
      </c>
      <c r="D999" s="4" t="str">
        <f>IFERROR(VLOOKUP(E999,Master!$J:$K,2,0),"")</f>
        <v/>
      </c>
      <c r="F999" s="4" t="str">
        <f>IFERROR(VLOOKUP(G999,Master!B:C,2,0),"")</f>
        <v/>
      </c>
      <c r="I999" s="3" t="str">
        <f>IFERROR(VLOOKUP(E999,Master!$J:$M,4,0),"")</f>
        <v/>
      </c>
      <c r="J999" s="3" t="str">
        <f>IFERROR(VLOOKUP($E999,Master!$J:$M,3,0),"")</f>
        <v/>
      </c>
      <c r="AC999" s="26">
        <f t="shared" si="30"/>
        <v>0</v>
      </c>
      <c r="AD999" s="26">
        <f t="shared" si="31"/>
        <v>0</v>
      </c>
    </row>
    <row r="1000" spans="2:30" ht="15" customHeight="1">
      <c r="B1000" s="3" t="str">
        <f>IFERROR(VLOOKUP(C1000,Master!$J:$K,2,0),"")</f>
        <v/>
      </c>
      <c r="D1000" s="4" t="str">
        <f>IFERROR(VLOOKUP(E1000,Master!$J:$K,2,0),"")</f>
        <v/>
      </c>
      <c r="F1000" s="4" t="str">
        <f>IFERROR(VLOOKUP(G1000,Master!B:C,2,0),"")</f>
        <v/>
      </c>
      <c r="I1000" s="3" t="str">
        <f>IFERROR(VLOOKUP(E1000,Master!$J:$M,4,0),"")</f>
        <v/>
      </c>
      <c r="J1000" s="3" t="str">
        <f>IFERROR(VLOOKUP($E1000,Master!$J:$M,3,0),"")</f>
        <v/>
      </c>
      <c r="AC1000" s="26">
        <f t="shared" si="30"/>
        <v>0</v>
      </c>
      <c r="AD1000" s="26">
        <f t="shared" si="31"/>
        <v>0</v>
      </c>
    </row>
    <row r="1001" spans="2:30" ht="15" customHeight="1">
      <c r="B1001" s="3" t="str">
        <f>IFERROR(VLOOKUP(C1001,Master!$J:$K,2,0),"")</f>
        <v/>
      </c>
      <c r="D1001" s="4" t="str">
        <f>IFERROR(VLOOKUP(E1001,Master!$J:$K,2,0),"")</f>
        <v/>
      </c>
      <c r="F1001" s="4" t="str">
        <f>IFERROR(VLOOKUP(G1001,Master!B:C,2,0),"")</f>
        <v/>
      </c>
      <c r="I1001" s="3" t="str">
        <f>IFERROR(VLOOKUP(E1001,Master!$J:$M,4,0),"")</f>
        <v/>
      </c>
      <c r="J1001" s="3" t="str">
        <f>IFERROR(VLOOKUP($E1001,Master!$J:$M,3,0),"")</f>
        <v/>
      </c>
      <c r="AC1001" s="26">
        <f t="shared" ref="AC1001:AC1064" si="32">SUM(K1001:P1001)</f>
        <v>0</v>
      </c>
      <c r="AD1001" s="26">
        <f t="shared" ref="AD1001:AD1064" si="33">SUM(Q1001:AB1001)</f>
        <v>0</v>
      </c>
    </row>
    <row r="1002" spans="2:30" ht="15" customHeight="1">
      <c r="B1002" s="3" t="str">
        <f>IFERROR(VLOOKUP(C1002,Master!$J:$K,2,0),"")</f>
        <v/>
      </c>
      <c r="D1002" s="4" t="str">
        <f>IFERROR(VLOOKUP(E1002,Master!$J:$K,2,0),"")</f>
        <v/>
      </c>
      <c r="F1002" s="4" t="str">
        <f>IFERROR(VLOOKUP(G1002,Master!B:C,2,0),"")</f>
        <v/>
      </c>
      <c r="I1002" s="3" t="str">
        <f>IFERROR(VLOOKUP(E1002,Master!$J:$M,4,0),"")</f>
        <v/>
      </c>
      <c r="J1002" s="3" t="str">
        <f>IFERROR(VLOOKUP($E1002,Master!$J:$M,3,0),"")</f>
        <v/>
      </c>
      <c r="AC1002" s="26">
        <f t="shared" si="32"/>
        <v>0</v>
      </c>
      <c r="AD1002" s="26">
        <f t="shared" si="33"/>
        <v>0</v>
      </c>
    </row>
    <row r="1003" spans="2:30" ht="15" customHeight="1">
      <c r="B1003" s="3" t="str">
        <f>IFERROR(VLOOKUP(C1003,Master!$J:$K,2,0),"")</f>
        <v/>
      </c>
      <c r="D1003" s="4" t="str">
        <f>IFERROR(VLOOKUP(E1003,Master!$J:$K,2,0),"")</f>
        <v/>
      </c>
      <c r="F1003" s="4" t="str">
        <f>IFERROR(VLOOKUP(G1003,Master!B:C,2,0),"")</f>
        <v/>
      </c>
      <c r="I1003" s="3" t="str">
        <f>IFERROR(VLOOKUP(E1003,Master!$J:$M,4,0),"")</f>
        <v/>
      </c>
      <c r="J1003" s="3" t="str">
        <f>IFERROR(VLOOKUP($E1003,Master!$J:$M,3,0),"")</f>
        <v/>
      </c>
      <c r="AC1003" s="26">
        <f t="shared" si="32"/>
        <v>0</v>
      </c>
      <c r="AD1003" s="26">
        <f t="shared" si="33"/>
        <v>0</v>
      </c>
    </row>
    <row r="1004" spans="2:30" ht="15" customHeight="1">
      <c r="B1004" s="3" t="str">
        <f>IFERROR(VLOOKUP(C1004,Master!$J:$K,2,0),"")</f>
        <v/>
      </c>
      <c r="D1004" s="4" t="str">
        <f>IFERROR(VLOOKUP(E1004,Master!$J:$K,2,0),"")</f>
        <v/>
      </c>
      <c r="F1004" s="4" t="str">
        <f>IFERROR(VLOOKUP(G1004,Master!B:C,2,0),"")</f>
        <v/>
      </c>
      <c r="I1004" s="3" t="str">
        <f>IFERROR(VLOOKUP(E1004,Master!$J:$M,4,0),"")</f>
        <v/>
      </c>
      <c r="J1004" s="3" t="str">
        <f>IFERROR(VLOOKUP($E1004,Master!$J:$M,3,0),"")</f>
        <v/>
      </c>
      <c r="AC1004" s="26">
        <f t="shared" si="32"/>
        <v>0</v>
      </c>
      <c r="AD1004" s="26">
        <f t="shared" si="33"/>
        <v>0</v>
      </c>
    </row>
    <row r="1005" spans="2:30" ht="15" customHeight="1">
      <c r="B1005" s="3" t="str">
        <f>IFERROR(VLOOKUP(C1005,Master!$J:$K,2,0),"")</f>
        <v/>
      </c>
      <c r="D1005" s="4" t="str">
        <f>IFERROR(VLOOKUP(E1005,Master!$J:$K,2,0),"")</f>
        <v/>
      </c>
      <c r="F1005" s="4" t="str">
        <f>IFERROR(VLOOKUP(G1005,Master!B:C,2,0),"")</f>
        <v/>
      </c>
      <c r="I1005" s="3" t="str">
        <f>IFERROR(VLOOKUP(E1005,Master!$J:$M,4,0),"")</f>
        <v/>
      </c>
      <c r="J1005" s="3" t="str">
        <f>IFERROR(VLOOKUP($E1005,Master!$J:$M,3,0),"")</f>
        <v/>
      </c>
      <c r="AC1005" s="26">
        <f t="shared" si="32"/>
        <v>0</v>
      </c>
      <c r="AD1005" s="26">
        <f t="shared" si="33"/>
        <v>0</v>
      </c>
    </row>
    <row r="1006" spans="2:30" ht="15" customHeight="1">
      <c r="B1006" s="3" t="str">
        <f>IFERROR(VLOOKUP(C1006,Master!$J:$K,2,0),"")</f>
        <v/>
      </c>
      <c r="D1006" s="4" t="str">
        <f>IFERROR(VLOOKUP(E1006,Master!$J:$K,2,0),"")</f>
        <v/>
      </c>
      <c r="F1006" s="4" t="str">
        <f>IFERROR(VLOOKUP(G1006,Master!B:C,2,0),"")</f>
        <v/>
      </c>
      <c r="I1006" s="3" t="str">
        <f>IFERROR(VLOOKUP(E1006,Master!$J:$M,4,0),"")</f>
        <v/>
      </c>
      <c r="J1006" s="3" t="str">
        <f>IFERROR(VLOOKUP($E1006,Master!$J:$M,3,0),"")</f>
        <v/>
      </c>
      <c r="AC1006" s="26">
        <f t="shared" si="32"/>
        <v>0</v>
      </c>
      <c r="AD1006" s="26">
        <f t="shared" si="33"/>
        <v>0</v>
      </c>
    </row>
    <row r="1007" spans="2:30" ht="15" customHeight="1">
      <c r="B1007" s="3" t="str">
        <f>IFERROR(VLOOKUP(C1007,Master!$J:$K,2,0),"")</f>
        <v/>
      </c>
      <c r="D1007" s="4" t="str">
        <f>IFERROR(VLOOKUP(E1007,Master!$J:$K,2,0),"")</f>
        <v/>
      </c>
      <c r="F1007" s="4" t="str">
        <f>IFERROR(VLOOKUP(G1007,Master!B:C,2,0),"")</f>
        <v/>
      </c>
      <c r="I1007" s="3" t="str">
        <f>IFERROR(VLOOKUP(E1007,Master!$J:$M,4,0),"")</f>
        <v/>
      </c>
      <c r="J1007" s="3" t="str">
        <f>IFERROR(VLOOKUP($E1007,Master!$J:$M,3,0),"")</f>
        <v/>
      </c>
      <c r="AC1007" s="26">
        <f t="shared" si="32"/>
        <v>0</v>
      </c>
      <c r="AD1007" s="26">
        <f t="shared" si="33"/>
        <v>0</v>
      </c>
    </row>
    <row r="1008" spans="2:30" ht="15" customHeight="1">
      <c r="B1008" s="3" t="str">
        <f>IFERROR(VLOOKUP(C1008,Master!$J:$K,2,0),"")</f>
        <v/>
      </c>
      <c r="D1008" s="4" t="str">
        <f>IFERROR(VLOOKUP(E1008,Master!$J:$K,2,0),"")</f>
        <v/>
      </c>
      <c r="F1008" s="4" t="str">
        <f>IFERROR(VLOOKUP(G1008,Master!B:C,2,0),"")</f>
        <v/>
      </c>
      <c r="I1008" s="3" t="str">
        <f>IFERROR(VLOOKUP(E1008,Master!$J:$M,4,0),"")</f>
        <v/>
      </c>
      <c r="J1008" s="3" t="str">
        <f>IFERROR(VLOOKUP($E1008,Master!$J:$M,3,0),"")</f>
        <v/>
      </c>
      <c r="AC1008" s="26">
        <f t="shared" si="32"/>
        <v>0</v>
      </c>
      <c r="AD1008" s="26">
        <f t="shared" si="33"/>
        <v>0</v>
      </c>
    </row>
    <row r="1009" spans="2:30" ht="15" customHeight="1">
      <c r="B1009" s="3" t="str">
        <f>IFERROR(VLOOKUP(C1009,Master!$J:$K,2,0),"")</f>
        <v/>
      </c>
      <c r="D1009" s="4" t="str">
        <f>IFERROR(VLOOKUP(E1009,Master!$J:$K,2,0),"")</f>
        <v/>
      </c>
      <c r="F1009" s="4" t="str">
        <f>IFERROR(VLOOKUP(G1009,Master!B:C,2,0),"")</f>
        <v/>
      </c>
      <c r="I1009" s="3" t="str">
        <f>IFERROR(VLOOKUP(E1009,Master!$J:$M,4,0),"")</f>
        <v/>
      </c>
      <c r="J1009" s="3" t="str">
        <f>IFERROR(VLOOKUP($E1009,Master!$J:$M,3,0),"")</f>
        <v/>
      </c>
      <c r="AC1009" s="26">
        <f t="shared" si="32"/>
        <v>0</v>
      </c>
      <c r="AD1009" s="26">
        <f t="shared" si="33"/>
        <v>0</v>
      </c>
    </row>
    <row r="1010" spans="2:30" ht="15" customHeight="1">
      <c r="B1010" s="3" t="str">
        <f>IFERROR(VLOOKUP(C1010,Master!$J:$K,2,0),"")</f>
        <v/>
      </c>
      <c r="D1010" s="4" t="str">
        <f>IFERROR(VLOOKUP(E1010,Master!$J:$K,2,0),"")</f>
        <v/>
      </c>
      <c r="F1010" s="4" t="str">
        <f>IFERROR(VLOOKUP(G1010,Master!B:C,2,0),"")</f>
        <v/>
      </c>
      <c r="I1010" s="3" t="str">
        <f>IFERROR(VLOOKUP(E1010,Master!$J:$M,4,0),"")</f>
        <v/>
      </c>
      <c r="J1010" s="3" t="str">
        <f>IFERROR(VLOOKUP($E1010,Master!$J:$M,3,0),"")</f>
        <v/>
      </c>
      <c r="AC1010" s="26">
        <f t="shared" si="32"/>
        <v>0</v>
      </c>
      <c r="AD1010" s="26">
        <f t="shared" si="33"/>
        <v>0</v>
      </c>
    </row>
    <row r="1011" spans="2:30" ht="15" customHeight="1">
      <c r="B1011" s="3" t="str">
        <f>IFERROR(VLOOKUP(C1011,Master!$J:$K,2,0),"")</f>
        <v/>
      </c>
      <c r="D1011" s="4" t="str">
        <f>IFERROR(VLOOKUP(E1011,Master!$J:$K,2,0),"")</f>
        <v/>
      </c>
      <c r="F1011" s="4" t="str">
        <f>IFERROR(VLOOKUP(G1011,Master!B:C,2,0),"")</f>
        <v/>
      </c>
      <c r="I1011" s="3" t="str">
        <f>IFERROR(VLOOKUP(E1011,Master!$J:$M,4,0),"")</f>
        <v/>
      </c>
      <c r="J1011" s="3" t="str">
        <f>IFERROR(VLOOKUP($E1011,Master!$J:$M,3,0),"")</f>
        <v/>
      </c>
      <c r="AC1011" s="26">
        <f t="shared" si="32"/>
        <v>0</v>
      </c>
      <c r="AD1011" s="26">
        <f t="shared" si="33"/>
        <v>0</v>
      </c>
    </row>
    <row r="1012" spans="2:30" ht="15" customHeight="1">
      <c r="B1012" s="3" t="str">
        <f>IFERROR(VLOOKUP(C1012,Master!$J:$K,2,0),"")</f>
        <v/>
      </c>
      <c r="D1012" s="4" t="str">
        <f>IFERROR(VLOOKUP(E1012,Master!$J:$K,2,0),"")</f>
        <v/>
      </c>
      <c r="F1012" s="4" t="str">
        <f>IFERROR(VLOOKUP(G1012,Master!B:C,2,0),"")</f>
        <v/>
      </c>
      <c r="I1012" s="3" t="str">
        <f>IFERROR(VLOOKUP(E1012,Master!$J:$M,4,0),"")</f>
        <v/>
      </c>
      <c r="J1012" s="3" t="str">
        <f>IFERROR(VLOOKUP($E1012,Master!$J:$M,3,0),"")</f>
        <v/>
      </c>
      <c r="AC1012" s="26">
        <f t="shared" si="32"/>
        <v>0</v>
      </c>
      <c r="AD1012" s="26">
        <f t="shared" si="33"/>
        <v>0</v>
      </c>
    </row>
    <row r="1013" spans="2:30" ht="15" customHeight="1">
      <c r="B1013" s="3" t="str">
        <f>IFERROR(VLOOKUP(C1013,Master!$J:$K,2,0),"")</f>
        <v/>
      </c>
      <c r="D1013" s="4" t="str">
        <f>IFERROR(VLOOKUP(E1013,Master!$J:$K,2,0),"")</f>
        <v/>
      </c>
      <c r="F1013" s="4" t="str">
        <f>IFERROR(VLOOKUP(G1013,Master!B:C,2,0),"")</f>
        <v/>
      </c>
      <c r="I1013" s="3" t="str">
        <f>IFERROR(VLOOKUP(E1013,Master!$J:$M,4,0),"")</f>
        <v/>
      </c>
      <c r="J1013" s="3" t="str">
        <f>IFERROR(VLOOKUP($E1013,Master!$J:$M,3,0),"")</f>
        <v/>
      </c>
      <c r="AC1013" s="26">
        <f t="shared" si="32"/>
        <v>0</v>
      </c>
      <c r="AD1013" s="26">
        <f t="shared" si="33"/>
        <v>0</v>
      </c>
    </row>
    <row r="1014" spans="2:30" ht="15" customHeight="1">
      <c r="B1014" s="3" t="str">
        <f>IFERROR(VLOOKUP(C1014,Master!$J:$K,2,0),"")</f>
        <v/>
      </c>
      <c r="D1014" s="4" t="str">
        <f>IFERROR(VLOOKUP(E1014,Master!$J:$K,2,0),"")</f>
        <v/>
      </c>
      <c r="F1014" s="4" t="str">
        <f>IFERROR(VLOOKUP(G1014,Master!B:C,2,0),"")</f>
        <v/>
      </c>
      <c r="I1014" s="3" t="str">
        <f>IFERROR(VLOOKUP(E1014,Master!$J:$M,4,0),"")</f>
        <v/>
      </c>
      <c r="J1014" s="3" t="str">
        <f>IFERROR(VLOOKUP($E1014,Master!$J:$M,3,0),"")</f>
        <v/>
      </c>
      <c r="AC1014" s="26">
        <f t="shared" si="32"/>
        <v>0</v>
      </c>
      <c r="AD1014" s="26">
        <f t="shared" si="33"/>
        <v>0</v>
      </c>
    </row>
    <row r="1015" spans="2:30" ht="15" customHeight="1">
      <c r="B1015" s="3" t="str">
        <f>IFERROR(VLOOKUP(C1015,Master!$J:$K,2,0),"")</f>
        <v/>
      </c>
      <c r="D1015" s="4" t="str">
        <f>IFERROR(VLOOKUP(E1015,Master!$J:$K,2,0),"")</f>
        <v/>
      </c>
      <c r="F1015" s="4" t="str">
        <f>IFERROR(VLOOKUP(G1015,Master!B:C,2,0),"")</f>
        <v/>
      </c>
      <c r="I1015" s="3" t="str">
        <f>IFERROR(VLOOKUP(E1015,Master!$J:$M,4,0),"")</f>
        <v/>
      </c>
      <c r="J1015" s="3" t="str">
        <f>IFERROR(VLOOKUP($E1015,Master!$J:$M,3,0),"")</f>
        <v/>
      </c>
      <c r="AC1015" s="26">
        <f t="shared" si="32"/>
        <v>0</v>
      </c>
      <c r="AD1015" s="26">
        <f t="shared" si="33"/>
        <v>0</v>
      </c>
    </row>
    <row r="1016" spans="2:30" ht="15" customHeight="1">
      <c r="B1016" s="3" t="str">
        <f>IFERROR(VLOOKUP(C1016,Master!$J:$K,2,0),"")</f>
        <v/>
      </c>
      <c r="D1016" s="4" t="str">
        <f>IFERROR(VLOOKUP(E1016,Master!$J:$K,2,0),"")</f>
        <v/>
      </c>
      <c r="F1016" s="4" t="str">
        <f>IFERROR(VLOOKUP(G1016,Master!B:C,2,0),"")</f>
        <v/>
      </c>
      <c r="I1016" s="3" t="str">
        <f>IFERROR(VLOOKUP(E1016,Master!$J:$M,4,0),"")</f>
        <v/>
      </c>
      <c r="J1016" s="3" t="str">
        <f>IFERROR(VLOOKUP($E1016,Master!$J:$M,3,0),"")</f>
        <v/>
      </c>
      <c r="AC1016" s="26">
        <f t="shared" si="32"/>
        <v>0</v>
      </c>
      <c r="AD1016" s="26">
        <f t="shared" si="33"/>
        <v>0</v>
      </c>
    </row>
    <row r="1017" spans="2:30" ht="15" customHeight="1">
      <c r="B1017" s="3" t="str">
        <f>IFERROR(VLOOKUP(C1017,Master!$J:$K,2,0),"")</f>
        <v/>
      </c>
      <c r="D1017" s="4" t="str">
        <f>IFERROR(VLOOKUP(E1017,Master!$J:$K,2,0),"")</f>
        <v/>
      </c>
      <c r="F1017" s="4" t="str">
        <f>IFERROR(VLOOKUP(G1017,Master!B:C,2,0),"")</f>
        <v/>
      </c>
      <c r="I1017" s="3" t="str">
        <f>IFERROR(VLOOKUP(E1017,Master!$J:$M,4,0),"")</f>
        <v/>
      </c>
      <c r="J1017" s="3" t="str">
        <f>IFERROR(VLOOKUP($E1017,Master!$J:$M,3,0),"")</f>
        <v/>
      </c>
      <c r="AC1017" s="26">
        <f t="shared" si="32"/>
        <v>0</v>
      </c>
      <c r="AD1017" s="26">
        <f t="shared" si="33"/>
        <v>0</v>
      </c>
    </row>
    <row r="1018" spans="2:30" ht="15" customHeight="1">
      <c r="B1018" s="3" t="str">
        <f>IFERROR(VLOOKUP(C1018,Master!$J:$K,2,0),"")</f>
        <v/>
      </c>
      <c r="D1018" s="4" t="str">
        <f>IFERROR(VLOOKUP(E1018,Master!$J:$K,2,0),"")</f>
        <v/>
      </c>
      <c r="F1018" s="4" t="str">
        <f>IFERROR(VLOOKUP(G1018,Master!B:C,2,0),"")</f>
        <v/>
      </c>
      <c r="I1018" s="3" t="str">
        <f>IFERROR(VLOOKUP(E1018,Master!$J:$M,4,0),"")</f>
        <v/>
      </c>
      <c r="J1018" s="3" t="str">
        <f>IFERROR(VLOOKUP($E1018,Master!$J:$M,3,0),"")</f>
        <v/>
      </c>
      <c r="AC1018" s="26">
        <f t="shared" si="32"/>
        <v>0</v>
      </c>
      <c r="AD1018" s="26">
        <f t="shared" si="33"/>
        <v>0</v>
      </c>
    </row>
    <row r="1019" spans="2:30" ht="15" customHeight="1">
      <c r="B1019" s="3" t="str">
        <f>IFERROR(VLOOKUP(C1019,Master!$J:$K,2,0),"")</f>
        <v/>
      </c>
      <c r="D1019" s="4" t="str">
        <f>IFERROR(VLOOKUP(E1019,Master!$J:$K,2,0),"")</f>
        <v/>
      </c>
      <c r="F1019" s="4" t="str">
        <f>IFERROR(VLOOKUP(G1019,Master!B:C,2,0),"")</f>
        <v/>
      </c>
      <c r="I1019" s="3" t="str">
        <f>IFERROR(VLOOKUP(E1019,Master!$J:$M,4,0),"")</f>
        <v/>
      </c>
      <c r="J1019" s="3" t="str">
        <f>IFERROR(VLOOKUP($E1019,Master!$J:$M,3,0),"")</f>
        <v/>
      </c>
      <c r="AC1019" s="26">
        <f t="shared" si="32"/>
        <v>0</v>
      </c>
      <c r="AD1019" s="26">
        <f t="shared" si="33"/>
        <v>0</v>
      </c>
    </row>
    <row r="1020" spans="2:30" ht="15" customHeight="1">
      <c r="B1020" s="3" t="str">
        <f>IFERROR(VLOOKUP(C1020,Master!$J:$K,2,0),"")</f>
        <v/>
      </c>
      <c r="D1020" s="4" t="str">
        <f>IFERROR(VLOOKUP(E1020,Master!$J:$K,2,0),"")</f>
        <v/>
      </c>
      <c r="F1020" s="4" t="str">
        <f>IFERROR(VLOOKUP(G1020,Master!B:C,2,0),"")</f>
        <v/>
      </c>
      <c r="I1020" s="3" t="str">
        <f>IFERROR(VLOOKUP(E1020,Master!$J:$M,4,0),"")</f>
        <v/>
      </c>
      <c r="J1020" s="3" t="str">
        <f>IFERROR(VLOOKUP($E1020,Master!$J:$M,3,0),"")</f>
        <v/>
      </c>
      <c r="AC1020" s="26">
        <f t="shared" si="32"/>
        <v>0</v>
      </c>
      <c r="AD1020" s="26">
        <f t="shared" si="33"/>
        <v>0</v>
      </c>
    </row>
    <row r="1021" spans="2:30" ht="15" customHeight="1">
      <c r="B1021" s="3" t="str">
        <f>IFERROR(VLOOKUP(C1021,Master!$J:$K,2,0),"")</f>
        <v/>
      </c>
      <c r="D1021" s="4" t="str">
        <f>IFERROR(VLOOKUP(E1021,Master!$J:$K,2,0),"")</f>
        <v/>
      </c>
      <c r="F1021" s="4" t="str">
        <f>IFERROR(VLOOKUP(G1021,Master!B:C,2,0),"")</f>
        <v/>
      </c>
      <c r="I1021" s="3" t="str">
        <f>IFERROR(VLOOKUP(E1021,Master!$J:$M,4,0),"")</f>
        <v/>
      </c>
      <c r="J1021" s="3" t="str">
        <f>IFERROR(VLOOKUP($E1021,Master!$J:$M,3,0),"")</f>
        <v/>
      </c>
      <c r="AC1021" s="26">
        <f t="shared" si="32"/>
        <v>0</v>
      </c>
      <c r="AD1021" s="26">
        <f t="shared" si="33"/>
        <v>0</v>
      </c>
    </row>
    <row r="1022" spans="2:30" ht="15" customHeight="1">
      <c r="B1022" s="3" t="str">
        <f>IFERROR(VLOOKUP(C1022,Master!$J:$K,2,0),"")</f>
        <v/>
      </c>
      <c r="D1022" s="4" t="str">
        <f>IFERROR(VLOOKUP(E1022,Master!$J:$K,2,0),"")</f>
        <v/>
      </c>
      <c r="F1022" s="4" t="str">
        <f>IFERROR(VLOOKUP(G1022,Master!B:C,2,0),"")</f>
        <v/>
      </c>
      <c r="I1022" s="3" t="str">
        <f>IFERROR(VLOOKUP(E1022,Master!$J:$M,4,0),"")</f>
        <v/>
      </c>
      <c r="J1022" s="3" t="str">
        <f>IFERROR(VLOOKUP($E1022,Master!$J:$M,3,0),"")</f>
        <v/>
      </c>
      <c r="AC1022" s="26">
        <f t="shared" si="32"/>
        <v>0</v>
      </c>
      <c r="AD1022" s="26">
        <f t="shared" si="33"/>
        <v>0</v>
      </c>
    </row>
    <row r="1023" spans="2:30" ht="15" customHeight="1">
      <c r="B1023" s="3" t="str">
        <f>IFERROR(VLOOKUP(C1023,Master!$J:$K,2,0),"")</f>
        <v/>
      </c>
      <c r="D1023" s="4" t="str">
        <f>IFERROR(VLOOKUP(E1023,Master!$J:$K,2,0),"")</f>
        <v/>
      </c>
      <c r="F1023" s="4" t="str">
        <f>IFERROR(VLOOKUP(G1023,Master!B:C,2,0),"")</f>
        <v/>
      </c>
      <c r="I1023" s="3" t="str">
        <f>IFERROR(VLOOKUP(E1023,Master!$J:$M,4,0),"")</f>
        <v/>
      </c>
      <c r="J1023" s="3" t="str">
        <f>IFERROR(VLOOKUP($E1023,Master!$J:$M,3,0),"")</f>
        <v/>
      </c>
      <c r="AC1023" s="26">
        <f t="shared" si="32"/>
        <v>0</v>
      </c>
      <c r="AD1023" s="26">
        <f t="shared" si="33"/>
        <v>0</v>
      </c>
    </row>
    <row r="1024" spans="2:30" ht="15" customHeight="1">
      <c r="B1024" s="3" t="str">
        <f>IFERROR(VLOOKUP(C1024,Master!$J:$K,2,0),"")</f>
        <v/>
      </c>
      <c r="D1024" s="4" t="str">
        <f>IFERROR(VLOOKUP(E1024,Master!$J:$K,2,0),"")</f>
        <v/>
      </c>
      <c r="F1024" s="4" t="str">
        <f>IFERROR(VLOOKUP(G1024,Master!B:C,2,0),"")</f>
        <v/>
      </c>
      <c r="I1024" s="3" t="str">
        <f>IFERROR(VLOOKUP(E1024,Master!$J:$M,4,0),"")</f>
        <v/>
      </c>
      <c r="J1024" s="3" t="str">
        <f>IFERROR(VLOOKUP($E1024,Master!$J:$M,3,0),"")</f>
        <v/>
      </c>
      <c r="AC1024" s="26">
        <f t="shared" si="32"/>
        <v>0</v>
      </c>
      <c r="AD1024" s="26">
        <f t="shared" si="33"/>
        <v>0</v>
      </c>
    </row>
    <row r="1025" spans="2:30" ht="15" customHeight="1">
      <c r="B1025" s="3" t="str">
        <f>IFERROR(VLOOKUP(C1025,Master!$J:$K,2,0),"")</f>
        <v/>
      </c>
      <c r="D1025" s="4" t="str">
        <f>IFERROR(VLOOKUP(E1025,Master!$J:$K,2,0),"")</f>
        <v/>
      </c>
      <c r="F1025" s="4" t="str">
        <f>IFERROR(VLOOKUP(G1025,Master!B:C,2,0),"")</f>
        <v/>
      </c>
      <c r="I1025" s="3" t="str">
        <f>IFERROR(VLOOKUP(E1025,Master!$J:$M,4,0),"")</f>
        <v/>
      </c>
      <c r="J1025" s="3" t="str">
        <f>IFERROR(VLOOKUP($E1025,Master!$J:$M,3,0),"")</f>
        <v/>
      </c>
      <c r="AC1025" s="26">
        <f t="shared" si="32"/>
        <v>0</v>
      </c>
      <c r="AD1025" s="26">
        <f t="shared" si="33"/>
        <v>0</v>
      </c>
    </row>
    <row r="1026" spans="2:30" ht="15" customHeight="1">
      <c r="B1026" s="3" t="str">
        <f>IFERROR(VLOOKUP(C1026,Master!$J:$K,2,0),"")</f>
        <v/>
      </c>
      <c r="D1026" s="4" t="str">
        <f>IFERROR(VLOOKUP(E1026,Master!$J:$K,2,0),"")</f>
        <v/>
      </c>
      <c r="F1026" s="4" t="str">
        <f>IFERROR(VLOOKUP(G1026,Master!B:C,2,0),"")</f>
        <v/>
      </c>
      <c r="I1026" s="3" t="str">
        <f>IFERROR(VLOOKUP(E1026,Master!$J:$M,4,0),"")</f>
        <v/>
      </c>
      <c r="J1026" s="3" t="str">
        <f>IFERROR(VLOOKUP($E1026,Master!$J:$M,3,0),"")</f>
        <v/>
      </c>
      <c r="AC1026" s="26">
        <f t="shared" si="32"/>
        <v>0</v>
      </c>
      <c r="AD1026" s="26">
        <f t="shared" si="33"/>
        <v>0</v>
      </c>
    </row>
    <row r="1027" spans="2:30" ht="15" customHeight="1">
      <c r="B1027" s="3" t="str">
        <f>IFERROR(VLOOKUP(C1027,Master!$J:$K,2,0),"")</f>
        <v/>
      </c>
      <c r="D1027" s="4" t="str">
        <f>IFERROR(VLOOKUP(E1027,Master!$J:$K,2,0),"")</f>
        <v/>
      </c>
      <c r="F1027" s="4" t="str">
        <f>IFERROR(VLOOKUP(G1027,Master!B:C,2,0),"")</f>
        <v/>
      </c>
      <c r="I1027" s="3" t="str">
        <f>IFERROR(VLOOKUP(E1027,Master!$J:$M,4,0),"")</f>
        <v/>
      </c>
      <c r="J1027" s="3" t="str">
        <f>IFERROR(VLOOKUP($E1027,Master!$J:$M,3,0),"")</f>
        <v/>
      </c>
      <c r="AC1027" s="26">
        <f t="shared" si="32"/>
        <v>0</v>
      </c>
      <c r="AD1027" s="26">
        <f t="shared" si="33"/>
        <v>0</v>
      </c>
    </row>
    <row r="1028" spans="2:30" ht="15" customHeight="1">
      <c r="B1028" s="3" t="str">
        <f>IFERROR(VLOOKUP(C1028,Master!$J:$K,2,0),"")</f>
        <v/>
      </c>
      <c r="D1028" s="4" t="str">
        <f>IFERROR(VLOOKUP(E1028,Master!$J:$K,2,0),"")</f>
        <v/>
      </c>
      <c r="F1028" s="4" t="str">
        <f>IFERROR(VLOOKUP(G1028,Master!B:C,2,0),"")</f>
        <v/>
      </c>
      <c r="I1028" s="3" t="str">
        <f>IFERROR(VLOOKUP(E1028,Master!$J:$M,4,0),"")</f>
        <v/>
      </c>
      <c r="J1028" s="3" t="str">
        <f>IFERROR(VLOOKUP($E1028,Master!$J:$M,3,0),"")</f>
        <v/>
      </c>
      <c r="AC1028" s="26">
        <f t="shared" si="32"/>
        <v>0</v>
      </c>
      <c r="AD1028" s="26">
        <f t="shared" si="33"/>
        <v>0</v>
      </c>
    </row>
    <row r="1029" spans="2:30" ht="15" customHeight="1">
      <c r="B1029" s="3" t="str">
        <f>IFERROR(VLOOKUP(C1029,Master!$J:$K,2,0),"")</f>
        <v/>
      </c>
      <c r="D1029" s="4" t="str">
        <f>IFERROR(VLOOKUP(E1029,Master!$J:$K,2,0),"")</f>
        <v/>
      </c>
      <c r="F1029" s="4" t="str">
        <f>IFERROR(VLOOKUP(G1029,Master!B:C,2,0),"")</f>
        <v/>
      </c>
      <c r="I1029" s="3" t="str">
        <f>IFERROR(VLOOKUP(E1029,Master!$J:$M,4,0),"")</f>
        <v/>
      </c>
      <c r="J1029" s="3" t="str">
        <f>IFERROR(VLOOKUP($E1029,Master!$J:$M,3,0),"")</f>
        <v/>
      </c>
      <c r="AC1029" s="26">
        <f t="shared" si="32"/>
        <v>0</v>
      </c>
      <c r="AD1029" s="26">
        <f t="shared" si="33"/>
        <v>0</v>
      </c>
    </row>
    <row r="1030" spans="2:30" ht="15" customHeight="1">
      <c r="B1030" s="3" t="str">
        <f>IFERROR(VLOOKUP(C1030,Master!$J:$K,2,0),"")</f>
        <v/>
      </c>
      <c r="D1030" s="4" t="str">
        <f>IFERROR(VLOOKUP(E1030,Master!$J:$K,2,0),"")</f>
        <v/>
      </c>
      <c r="F1030" s="4" t="str">
        <f>IFERROR(VLOOKUP(G1030,Master!B:C,2,0),"")</f>
        <v/>
      </c>
      <c r="I1030" s="3" t="str">
        <f>IFERROR(VLOOKUP(E1030,Master!$J:$M,4,0),"")</f>
        <v/>
      </c>
      <c r="J1030" s="3" t="str">
        <f>IFERROR(VLOOKUP($E1030,Master!$J:$M,3,0),"")</f>
        <v/>
      </c>
      <c r="AC1030" s="26">
        <f t="shared" si="32"/>
        <v>0</v>
      </c>
      <c r="AD1030" s="26">
        <f t="shared" si="33"/>
        <v>0</v>
      </c>
    </row>
    <row r="1031" spans="2:30" ht="15" customHeight="1">
      <c r="B1031" s="3" t="str">
        <f>IFERROR(VLOOKUP(C1031,Master!$J:$K,2,0),"")</f>
        <v/>
      </c>
      <c r="D1031" s="4" t="str">
        <f>IFERROR(VLOOKUP(E1031,Master!$J:$K,2,0),"")</f>
        <v/>
      </c>
      <c r="F1031" s="4" t="str">
        <f>IFERROR(VLOOKUP(G1031,Master!B:C,2,0),"")</f>
        <v/>
      </c>
      <c r="I1031" s="3" t="str">
        <f>IFERROR(VLOOKUP(E1031,Master!$J:$M,4,0),"")</f>
        <v/>
      </c>
      <c r="J1031" s="3" t="str">
        <f>IFERROR(VLOOKUP($E1031,Master!$J:$M,3,0),"")</f>
        <v/>
      </c>
      <c r="AC1031" s="26">
        <f t="shared" si="32"/>
        <v>0</v>
      </c>
      <c r="AD1031" s="26">
        <f t="shared" si="33"/>
        <v>0</v>
      </c>
    </row>
    <row r="1032" spans="2:30" ht="15" customHeight="1">
      <c r="B1032" s="3" t="str">
        <f>IFERROR(VLOOKUP(C1032,Master!$J:$K,2,0),"")</f>
        <v/>
      </c>
      <c r="D1032" s="4" t="str">
        <f>IFERROR(VLOOKUP(E1032,Master!$J:$K,2,0),"")</f>
        <v/>
      </c>
      <c r="F1032" s="4" t="str">
        <f>IFERROR(VLOOKUP(G1032,Master!B:C,2,0),"")</f>
        <v/>
      </c>
      <c r="I1032" s="3" t="str">
        <f>IFERROR(VLOOKUP(E1032,Master!$J:$M,4,0),"")</f>
        <v/>
      </c>
      <c r="J1032" s="3" t="str">
        <f>IFERROR(VLOOKUP($E1032,Master!$J:$M,3,0),"")</f>
        <v/>
      </c>
      <c r="AC1032" s="26">
        <f t="shared" si="32"/>
        <v>0</v>
      </c>
      <c r="AD1032" s="26">
        <f t="shared" si="33"/>
        <v>0</v>
      </c>
    </row>
    <row r="1033" spans="2:30" ht="15" customHeight="1">
      <c r="B1033" s="3" t="str">
        <f>IFERROR(VLOOKUP(C1033,Master!$J:$K,2,0),"")</f>
        <v/>
      </c>
      <c r="D1033" s="4" t="str">
        <f>IFERROR(VLOOKUP(E1033,Master!$J:$K,2,0),"")</f>
        <v/>
      </c>
      <c r="F1033" s="4" t="str">
        <f>IFERROR(VLOOKUP(G1033,Master!B:C,2,0),"")</f>
        <v/>
      </c>
      <c r="I1033" s="3" t="str">
        <f>IFERROR(VLOOKUP(E1033,Master!$J:$M,4,0),"")</f>
        <v/>
      </c>
      <c r="J1033" s="3" t="str">
        <f>IFERROR(VLOOKUP($E1033,Master!$J:$M,3,0),"")</f>
        <v/>
      </c>
      <c r="AC1033" s="26">
        <f t="shared" si="32"/>
        <v>0</v>
      </c>
      <c r="AD1033" s="26">
        <f t="shared" si="33"/>
        <v>0</v>
      </c>
    </row>
    <row r="1034" spans="2:30" ht="15" customHeight="1">
      <c r="B1034" s="3" t="str">
        <f>IFERROR(VLOOKUP(C1034,Master!$J:$K,2,0),"")</f>
        <v/>
      </c>
      <c r="D1034" s="4" t="str">
        <f>IFERROR(VLOOKUP(E1034,Master!$J:$K,2,0),"")</f>
        <v/>
      </c>
      <c r="F1034" s="4" t="str">
        <f>IFERROR(VLOOKUP(G1034,Master!B:C,2,0),"")</f>
        <v/>
      </c>
      <c r="I1034" s="3" t="str">
        <f>IFERROR(VLOOKUP(E1034,Master!$J:$M,4,0),"")</f>
        <v/>
      </c>
      <c r="J1034" s="3" t="str">
        <f>IFERROR(VLOOKUP($E1034,Master!$J:$M,3,0),"")</f>
        <v/>
      </c>
      <c r="AC1034" s="26">
        <f t="shared" si="32"/>
        <v>0</v>
      </c>
      <c r="AD1034" s="26">
        <f t="shared" si="33"/>
        <v>0</v>
      </c>
    </row>
    <row r="1035" spans="2:30" ht="15" customHeight="1">
      <c r="B1035" s="3" t="str">
        <f>IFERROR(VLOOKUP(C1035,Master!$J:$K,2,0),"")</f>
        <v/>
      </c>
      <c r="D1035" s="4" t="str">
        <f>IFERROR(VLOOKUP(E1035,Master!$J:$K,2,0),"")</f>
        <v/>
      </c>
      <c r="F1035" s="4" t="str">
        <f>IFERROR(VLOOKUP(G1035,Master!B:C,2,0),"")</f>
        <v/>
      </c>
      <c r="I1035" s="3" t="str">
        <f>IFERROR(VLOOKUP(E1035,Master!$J:$M,4,0),"")</f>
        <v/>
      </c>
      <c r="J1035" s="3" t="str">
        <f>IFERROR(VLOOKUP($E1035,Master!$J:$M,3,0),"")</f>
        <v/>
      </c>
      <c r="AC1035" s="26">
        <f t="shared" si="32"/>
        <v>0</v>
      </c>
      <c r="AD1035" s="26">
        <f t="shared" si="33"/>
        <v>0</v>
      </c>
    </row>
    <row r="1036" spans="2:30" ht="15" customHeight="1">
      <c r="B1036" s="3" t="str">
        <f>IFERROR(VLOOKUP(C1036,Master!$J:$K,2,0),"")</f>
        <v/>
      </c>
      <c r="D1036" s="4" t="str">
        <f>IFERROR(VLOOKUP(E1036,Master!$J:$K,2,0),"")</f>
        <v/>
      </c>
      <c r="F1036" s="4" t="str">
        <f>IFERROR(VLOOKUP(G1036,Master!B:C,2,0),"")</f>
        <v/>
      </c>
      <c r="I1036" s="3" t="str">
        <f>IFERROR(VLOOKUP(E1036,Master!$J:$M,4,0),"")</f>
        <v/>
      </c>
      <c r="J1036" s="3" t="str">
        <f>IFERROR(VLOOKUP($E1036,Master!$J:$M,3,0),"")</f>
        <v/>
      </c>
      <c r="AC1036" s="26">
        <f t="shared" si="32"/>
        <v>0</v>
      </c>
      <c r="AD1036" s="26">
        <f t="shared" si="33"/>
        <v>0</v>
      </c>
    </row>
    <row r="1037" spans="2:30" ht="15" customHeight="1">
      <c r="B1037" s="3" t="str">
        <f>IFERROR(VLOOKUP(C1037,Master!$J:$K,2,0),"")</f>
        <v/>
      </c>
      <c r="D1037" s="4" t="str">
        <f>IFERROR(VLOOKUP(E1037,Master!$J:$K,2,0),"")</f>
        <v/>
      </c>
      <c r="F1037" s="4" t="str">
        <f>IFERROR(VLOOKUP(G1037,Master!B:C,2,0),"")</f>
        <v/>
      </c>
      <c r="I1037" s="3" t="str">
        <f>IFERROR(VLOOKUP(E1037,Master!$J:$M,4,0),"")</f>
        <v/>
      </c>
      <c r="J1037" s="3" t="str">
        <f>IFERROR(VLOOKUP($E1037,Master!$J:$M,3,0),"")</f>
        <v/>
      </c>
      <c r="AC1037" s="26">
        <f t="shared" si="32"/>
        <v>0</v>
      </c>
      <c r="AD1037" s="26">
        <f t="shared" si="33"/>
        <v>0</v>
      </c>
    </row>
    <row r="1038" spans="2:30" ht="15" customHeight="1">
      <c r="B1038" s="3" t="str">
        <f>IFERROR(VLOOKUP(C1038,Master!$J:$K,2,0),"")</f>
        <v/>
      </c>
      <c r="D1038" s="4" t="str">
        <f>IFERROR(VLOOKUP(E1038,Master!$J:$K,2,0),"")</f>
        <v/>
      </c>
      <c r="F1038" s="4" t="str">
        <f>IFERROR(VLOOKUP(G1038,Master!B:C,2,0),"")</f>
        <v/>
      </c>
      <c r="I1038" s="3" t="str">
        <f>IFERROR(VLOOKUP(E1038,Master!$J:$M,4,0),"")</f>
        <v/>
      </c>
      <c r="J1038" s="3" t="str">
        <f>IFERROR(VLOOKUP($E1038,Master!$J:$M,3,0),"")</f>
        <v/>
      </c>
      <c r="AC1038" s="26">
        <f t="shared" si="32"/>
        <v>0</v>
      </c>
      <c r="AD1038" s="26">
        <f t="shared" si="33"/>
        <v>0</v>
      </c>
    </row>
    <row r="1039" spans="2:30" ht="15" customHeight="1">
      <c r="B1039" s="3" t="str">
        <f>IFERROR(VLOOKUP(C1039,Master!$J:$K,2,0),"")</f>
        <v/>
      </c>
      <c r="D1039" s="4" t="str">
        <f>IFERROR(VLOOKUP(E1039,Master!$J:$K,2,0),"")</f>
        <v/>
      </c>
      <c r="F1039" s="4" t="str">
        <f>IFERROR(VLOOKUP(G1039,Master!B:C,2,0),"")</f>
        <v/>
      </c>
      <c r="I1039" s="3" t="str">
        <f>IFERROR(VLOOKUP(E1039,Master!$J:$M,4,0),"")</f>
        <v/>
      </c>
      <c r="J1039" s="3" t="str">
        <f>IFERROR(VLOOKUP($E1039,Master!$J:$M,3,0),"")</f>
        <v/>
      </c>
      <c r="AC1039" s="26">
        <f t="shared" si="32"/>
        <v>0</v>
      </c>
      <c r="AD1039" s="26">
        <f t="shared" si="33"/>
        <v>0</v>
      </c>
    </row>
    <row r="1040" spans="2:30" ht="15" customHeight="1">
      <c r="B1040" s="3" t="str">
        <f>IFERROR(VLOOKUP(C1040,Master!$J:$K,2,0),"")</f>
        <v/>
      </c>
      <c r="D1040" s="4" t="str">
        <f>IFERROR(VLOOKUP(E1040,Master!$J:$K,2,0),"")</f>
        <v/>
      </c>
      <c r="F1040" s="4" t="str">
        <f>IFERROR(VLOOKUP(G1040,Master!B:C,2,0),"")</f>
        <v/>
      </c>
      <c r="I1040" s="3" t="str">
        <f>IFERROR(VLOOKUP(E1040,Master!$J:$M,4,0),"")</f>
        <v/>
      </c>
      <c r="J1040" s="3" t="str">
        <f>IFERROR(VLOOKUP($E1040,Master!$J:$M,3,0),"")</f>
        <v/>
      </c>
      <c r="AC1040" s="26">
        <f t="shared" si="32"/>
        <v>0</v>
      </c>
      <c r="AD1040" s="26">
        <f t="shared" si="33"/>
        <v>0</v>
      </c>
    </row>
    <row r="1041" spans="2:30" ht="15" customHeight="1">
      <c r="B1041" s="3" t="str">
        <f>IFERROR(VLOOKUP(C1041,Master!$J:$K,2,0),"")</f>
        <v/>
      </c>
      <c r="D1041" s="4" t="str">
        <f>IFERROR(VLOOKUP(E1041,Master!$J:$K,2,0),"")</f>
        <v/>
      </c>
      <c r="F1041" s="4" t="str">
        <f>IFERROR(VLOOKUP(G1041,Master!B:C,2,0),"")</f>
        <v/>
      </c>
      <c r="I1041" s="3" t="str">
        <f>IFERROR(VLOOKUP(E1041,Master!$J:$M,4,0),"")</f>
        <v/>
      </c>
      <c r="J1041" s="3" t="str">
        <f>IFERROR(VLOOKUP($E1041,Master!$J:$M,3,0),"")</f>
        <v/>
      </c>
      <c r="AC1041" s="26">
        <f t="shared" si="32"/>
        <v>0</v>
      </c>
      <c r="AD1041" s="26">
        <f t="shared" si="33"/>
        <v>0</v>
      </c>
    </row>
    <row r="1042" spans="2:30" ht="15" customHeight="1">
      <c r="B1042" s="3" t="str">
        <f>IFERROR(VLOOKUP(C1042,Master!$J:$K,2,0),"")</f>
        <v/>
      </c>
      <c r="D1042" s="4" t="str">
        <f>IFERROR(VLOOKUP(E1042,Master!$J:$K,2,0),"")</f>
        <v/>
      </c>
      <c r="F1042" s="4" t="str">
        <f>IFERROR(VLOOKUP(G1042,Master!B:C,2,0),"")</f>
        <v/>
      </c>
      <c r="I1042" s="3" t="str">
        <f>IFERROR(VLOOKUP(E1042,Master!$J:$M,4,0),"")</f>
        <v/>
      </c>
      <c r="J1042" s="3" t="str">
        <f>IFERROR(VLOOKUP($E1042,Master!$J:$M,3,0),"")</f>
        <v/>
      </c>
      <c r="AC1042" s="26">
        <f t="shared" si="32"/>
        <v>0</v>
      </c>
      <c r="AD1042" s="26">
        <f t="shared" si="33"/>
        <v>0</v>
      </c>
    </row>
    <row r="1043" spans="2:30" ht="15" customHeight="1">
      <c r="B1043" s="3" t="str">
        <f>IFERROR(VLOOKUP(C1043,Master!$J:$K,2,0),"")</f>
        <v/>
      </c>
      <c r="D1043" s="4" t="str">
        <f>IFERROR(VLOOKUP(E1043,Master!$J:$K,2,0),"")</f>
        <v/>
      </c>
      <c r="F1043" s="4" t="str">
        <f>IFERROR(VLOOKUP(G1043,Master!B:C,2,0),"")</f>
        <v/>
      </c>
      <c r="I1043" s="3" t="str">
        <f>IFERROR(VLOOKUP(E1043,Master!$J:$M,4,0),"")</f>
        <v/>
      </c>
      <c r="J1043" s="3" t="str">
        <f>IFERROR(VLOOKUP($E1043,Master!$J:$M,3,0),"")</f>
        <v/>
      </c>
      <c r="AC1043" s="26">
        <f t="shared" si="32"/>
        <v>0</v>
      </c>
      <c r="AD1043" s="26">
        <f t="shared" si="33"/>
        <v>0</v>
      </c>
    </row>
    <row r="1044" spans="2:30" ht="15" customHeight="1">
      <c r="B1044" s="3" t="str">
        <f>IFERROR(VLOOKUP(C1044,Master!$J:$K,2,0),"")</f>
        <v/>
      </c>
      <c r="D1044" s="4" t="str">
        <f>IFERROR(VLOOKUP(E1044,Master!$J:$K,2,0),"")</f>
        <v/>
      </c>
      <c r="F1044" s="4" t="str">
        <f>IFERROR(VLOOKUP(G1044,Master!B:C,2,0),"")</f>
        <v/>
      </c>
      <c r="I1044" s="3" t="str">
        <f>IFERROR(VLOOKUP(E1044,Master!$J:$M,4,0),"")</f>
        <v/>
      </c>
      <c r="J1044" s="3" t="str">
        <f>IFERROR(VLOOKUP($E1044,Master!$J:$M,3,0),"")</f>
        <v/>
      </c>
      <c r="AC1044" s="26">
        <f t="shared" si="32"/>
        <v>0</v>
      </c>
      <c r="AD1044" s="26">
        <f t="shared" si="33"/>
        <v>0</v>
      </c>
    </row>
    <row r="1045" spans="2:30" ht="15" customHeight="1">
      <c r="B1045" s="3" t="str">
        <f>IFERROR(VLOOKUP(C1045,Master!$J:$K,2,0),"")</f>
        <v/>
      </c>
      <c r="D1045" s="4" t="str">
        <f>IFERROR(VLOOKUP(E1045,Master!$J:$K,2,0),"")</f>
        <v/>
      </c>
      <c r="F1045" s="4" t="str">
        <f>IFERROR(VLOOKUP(G1045,Master!B:C,2,0),"")</f>
        <v/>
      </c>
      <c r="I1045" s="3" t="str">
        <f>IFERROR(VLOOKUP(E1045,Master!$J:$M,4,0),"")</f>
        <v/>
      </c>
      <c r="J1045" s="3" t="str">
        <f>IFERROR(VLOOKUP($E1045,Master!$J:$M,3,0),"")</f>
        <v/>
      </c>
      <c r="AC1045" s="26">
        <f t="shared" si="32"/>
        <v>0</v>
      </c>
      <c r="AD1045" s="26">
        <f t="shared" si="33"/>
        <v>0</v>
      </c>
    </row>
    <row r="1046" spans="2:30" ht="15" customHeight="1">
      <c r="B1046" s="3" t="str">
        <f>IFERROR(VLOOKUP(C1046,Master!$J:$K,2,0),"")</f>
        <v/>
      </c>
      <c r="D1046" s="4" t="str">
        <f>IFERROR(VLOOKUP(E1046,Master!$J:$K,2,0),"")</f>
        <v/>
      </c>
      <c r="F1046" s="4" t="str">
        <f>IFERROR(VLOOKUP(G1046,Master!B:C,2,0),"")</f>
        <v/>
      </c>
      <c r="I1046" s="3" t="str">
        <f>IFERROR(VLOOKUP(E1046,Master!$J:$M,4,0),"")</f>
        <v/>
      </c>
      <c r="J1046" s="3" t="str">
        <f>IFERROR(VLOOKUP($E1046,Master!$J:$M,3,0),"")</f>
        <v/>
      </c>
      <c r="AC1046" s="26">
        <f t="shared" si="32"/>
        <v>0</v>
      </c>
      <c r="AD1046" s="26">
        <f t="shared" si="33"/>
        <v>0</v>
      </c>
    </row>
    <row r="1047" spans="2:30" ht="15" customHeight="1">
      <c r="B1047" s="3" t="str">
        <f>IFERROR(VLOOKUP(C1047,Master!$J:$K,2,0),"")</f>
        <v/>
      </c>
      <c r="D1047" s="4" t="str">
        <f>IFERROR(VLOOKUP(E1047,Master!$J:$K,2,0),"")</f>
        <v/>
      </c>
      <c r="F1047" s="4" t="str">
        <f>IFERROR(VLOOKUP(G1047,Master!B:C,2,0),"")</f>
        <v/>
      </c>
      <c r="I1047" s="3" t="str">
        <f>IFERROR(VLOOKUP(E1047,Master!$J:$M,4,0),"")</f>
        <v/>
      </c>
      <c r="J1047" s="3" t="str">
        <f>IFERROR(VLOOKUP($E1047,Master!$J:$M,3,0),"")</f>
        <v/>
      </c>
      <c r="AC1047" s="26">
        <f t="shared" si="32"/>
        <v>0</v>
      </c>
      <c r="AD1047" s="26">
        <f t="shared" si="33"/>
        <v>0</v>
      </c>
    </row>
    <row r="1048" spans="2:30" ht="15" customHeight="1">
      <c r="B1048" s="3" t="str">
        <f>IFERROR(VLOOKUP(C1048,Master!$J:$K,2,0),"")</f>
        <v/>
      </c>
      <c r="D1048" s="4" t="str">
        <f>IFERROR(VLOOKUP(E1048,Master!$J:$K,2,0),"")</f>
        <v/>
      </c>
      <c r="F1048" s="4" t="str">
        <f>IFERROR(VLOOKUP(G1048,Master!B:C,2,0),"")</f>
        <v/>
      </c>
      <c r="I1048" s="3" t="str">
        <f>IFERROR(VLOOKUP(E1048,Master!$J:$M,4,0),"")</f>
        <v/>
      </c>
      <c r="J1048" s="3" t="str">
        <f>IFERROR(VLOOKUP($E1048,Master!$J:$M,3,0),"")</f>
        <v/>
      </c>
      <c r="AC1048" s="26">
        <f t="shared" si="32"/>
        <v>0</v>
      </c>
      <c r="AD1048" s="26">
        <f t="shared" si="33"/>
        <v>0</v>
      </c>
    </row>
    <row r="1049" spans="2:30" ht="15" customHeight="1">
      <c r="B1049" s="3" t="str">
        <f>IFERROR(VLOOKUP(C1049,Master!$J:$K,2,0),"")</f>
        <v/>
      </c>
      <c r="D1049" s="4" t="str">
        <f>IFERROR(VLOOKUP(E1049,Master!$J:$K,2,0),"")</f>
        <v/>
      </c>
      <c r="F1049" s="4" t="str">
        <f>IFERROR(VLOOKUP(G1049,Master!B:C,2,0),"")</f>
        <v/>
      </c>
      <c r="I1049" s="3" t="str">
        <f>IFERROR(VLOOKUP(E1049,Master!$J:$M,4,0),"")</f>
        <v/>
      </c>
      <c r="J1049" s="3" t="str">
        <f>IFERROR(VLOOKUP($E1049,Master!$J:$M,3,0),"")</f>
        <v/>
      </c>
      <c r="AC1049" s="26">
        <f t="shared" si="32"/>
        <v>0</v>
      </c>
      <c r="AD1049" s="26">
        <f t="shared" si="33"/>
        <v>0</v>
      </c>
    </row>
    <row r="1050" spans="2:30" ht="15" customHeight="1">
      <c r="B1050" s="3" t="str">
        <f>IFERROR(VLOOKUP(C1050,Master!$J:$K,2,0),"")</f>
        <v/>
      </c>
      <c r="D1050" s="4" t="str">
        <f>IFERROR(VLOOKUP(E1050,Master!$J:$K,2,0),"")</f>
        <v/>
      </c>
      <c r="F1050" s="4" t="str">
        <f>IFERROR(VLOOKUP(G1050,Master!B:C,2,0),"")</f>
        <v/>
      </c>
      <c r="I1050" s="3" t="str">
        <f>IFERROR(VLOOKUP(E1050,Master!$J:$M,4,0),"")</f>
        <v/>
      </c>
      <c r="J1050" s="3" t="str">
        <f>IFERROR(VLOOKUP($E1050,Master!$J:$M,3,0),"")</f>
        <v/>
      </c>
      <c r="AC1050" s="26">
        <f t="shared" si="32"/>
        <v>0</v>
      </c>
      <c r="AD1050" s="26">
        <f t="shared" si="33"/>
        <v>0</v>
      </c>
    </row>
    <row r="1051" spans="2:30" ht="15" customHeight="1">
      <c r="B1051" s="3" t="str">
        <f>IFERROR(VLOOKUP(C1051,Master!$J:$K,2,0),"")</f>
        <v/>
      </c>
      <c r="D1051" s="4" t="str">
        <f>IFERROR(VLOOKUP(E1051,Master!$J:$K,2,0),"")</f>
        <v/>
      </c>
      <c r="F1051" s="4" t="str">
        <f>IFERROR(VLOOKUP(G1051,Master!B:C,2,0),"")</f>
        <v/>
      </c>
      <c r="I1051" s="3" t="str">
        <f>IFERROR(VLOOKUP(E1051,Master!$J:$M,4,0),"")</f>
        <v/>
      </c>
      <c r="J1051" s="3" t="str">
        <f>IFERROR(VLOOKUP($E1051,Master!$J:$M,3,0),"")</f>
        <v/>
      </c>
      <c r="AC1051" s="26">
        <f t="shared" si="32"/>
        <v>0</v>
      </c>
      <c r="AD1051" s="26">
        <f t="shared" si="33"/>
        <v>0</v>
      </c>
    </row>
    <row r="1052" spans="2:30" ht="15" customHeight="1">
      <c r="B1052" s="3" t="str">
        <f>IFERROR(VLOOKUP(C1052,Master!$J:$K,2,0),"")</f>
        <v/>
      </c>
      <c r="D1052" s="4" t="str">
        <f>IFERROR(VLOOKUP(E1052,Master!$J:$K,2,0),"")</f>
        <v/>
      </c>
      <c r="F1052" s="4" t="str">
        <f>IFERROR(VLOOKUP(G1052,Master!B:C,2,0),"")</f>
        <v/>
      </c>
      <c r="I1052" s="3" t="str">
        <f>IFERROR(VLOOKUP(E1052,Master!$J:$M,4,0),"")</f>
        <v/>
      </c>
      <c r="J1052" s="3" t="str">
        <f>IFERROR(VLOOKUP($E1052,Master!$J:$M,3,0),"")</f>
        <v/>
      </c>
      <c r="AC1052" s="26">
        <f t="shared" si="32"/>
        <v>0</v>
      </c>
      <c r="AD1052" s="26">
        <f t="shared" si="33"/>
        <v>0</v>
      </c>
    </row>
    <row r="1053" spans="2:30" ht="15" customHeight="1">
      <c r="B1053" s="3" t="str">
        <f>IFERROR(VLOOKUP(C1053,Master!$J:$K,2,0),"")</f>
        <v/>
      </c>
      <c r="D1053" s="4" t="str">
        <f>IFERROR(VLOOKUP(E1053,Master!$J:$K,2,0),"")</f>
        <v/>
      </c>
      <c r="F1053" s="4" t="str">
        <f>IFERROR(VLOOKUP(G1053,Master!B:C,2,0),"")</f>
        <v/>
      </c>
      <c r="I1053" s="3" t="str">
        <f>IFERROR(VLOOKUP(E1053,Master!$J:$M,4,0),"")</f>
        <v/>
      </c>
      <c r="J1053" s="3" t="str">
        <f>IFERROR(VLOOKUP($E1053,Master!$J:$M,3,0),"")</f>
        <v/>
      </c>
      <c r="AC1053" s="26">
        <f t="shared" si="32"/>
        <v>0</v>
      </c>
      <c r="AD1053" s="26">
        <f t="shared" si="33"/>
        <v>0</v>
      </c>
    </row>
    <row r="1054" spans="2:30" ht="15" customHeight="1">
      <c r="B1054" s="3" t="str">
        <f>IFERROR(VLOOKUP(C1054,Master!$J:$K,2,0),"")</f>
        <v/>
      </c>
      <c r="D1054" s="4" t="str">
        <f>IFERROR(VLOOKUP(E1054,Master!$J:$K,2,0),"")</f>
        <v/>
      </c>
      <c r="F1054" s="4" t="str">
        <f>IFERROR(VLOOKUP(G1054,Master!B:C,2,0),"")</f>
        <v/>
      </c>
      <c r="I1054" s="3" t="str">
        <f>IFERROR(VLOOKUP(E1054,Master!$J:$M,4,0),"")</f>
        <v/>
      </c>
      <c r="J1054" s="3" t="str">
        <f>IFERROR(VLOOKUP($E1054,Master!$J:$M,3,0),"")</f>
        <v/>
      </c>
      <c r="AC1054" s="26">
        <f t="shared" si="32"/>
        <v>0</v>
      </c>
      <c r="AD1054" s="26">
        <f t="shared" si="33"/>
        <v>0</v>
      </c>
    </row>
    <row r="1055" spans="2:30" ht="15" customHeight="1">
      <c r="B1055" s="3" t="str">
        <f>IFERROR(VLOOKUP(C1055,Master!$J:$K,2,0),"")</f>
        <v/>
      </c>
      <c r="D1055" s="4" t="str">
        <f>IFERROR(VLOOKUP(E1055,Master!$J:$K,2,0),"")</f>
        <v/>
      </c>
      <c r="F1055" s="4" t="str">
        <f>IFERROR(VLOOKUP(G1055,Master!B:C,2,0),"")</f>
        <v/>
      </c>
      <c r="I1055" s="3" t="str">
        <f>IFERROR(VLOOKUP(E1055,Master!$J:$M,4,0),"")</f>
        <v/>
      </c>
      <c r="J1055" s="3" t="str">
        <f>IFERROR(VLOOKUP($E1055,Master!$J:$M,3,0),"")</f>
        <v/>
      </c>
      <c r="AC1055" s="26">
        <f t="shared" si="32"/>
        <v>0</v>
      </c>
      <c r="AD1055" s="26">
        <f t="shared" si="33"/>
        <v>0</v>
      </c>
    </row>
    <row r="1056" spans="2:30" ht="15" customHeight="1">
      <c r="B1056" s="3" t="str">
        <f>IFERROR(VLOOKUP(C1056,Master!$J:$K,2,0),"")</f>
        <v/>
      </c>
      <c r="D1056" s="4" t="str">
        <f>IFERROR(VLOOKUP(E1056,Master!$J:$K,2,0),"")</f>
        <v/>
      </c>
      <c r="F1056" s="4" t="str">
        <f>IFERROR(VLOOKUP(G1056,Master!B:C,2,0),"")</f>
        <v/>
      </c>
      <c r="I1056" s="3" t="str">
        <f>IFERROR(VLOOKUP(E1056,Master!$J:$M,4,0),"")</f>
        <v/>
      </c>
      <c r="J1056" s="3" t="str">
        <f>IFERROR(VLOOKUP($E1056,Master!$J:$M,3,0),"")</f>
        <v/>
      </c>
      <c r="AC1056" s="26">
        <f t="shared" si="32"/>
        <v>0</v>
      </c>
      <c r="AD1056" s="26">
        <f t="shared" si="33"/>
        <v>0</v>
      </c>
    </row>
    <row r="1057" spans="2:30" ht="15" customHeight="1">
      <c r="B1057" s="3" t="str">
        <f>IFERROR(VLOOKUP(C1057,Master!$J:$K,2,0),"")</f>
        <v/>
      </c>
      <c r="D1057" s="4" t="str">
        <f>IFERROR(VLOOKUP(E1057,Master!$J:$K,2,0),"")</f>
        <v/>
      </c>
      <c r="F1057" s="4" t="str">
        <f>IFERROR(VLOOKUP(G1057,Master!B:C,2,0),"")</f>
        <v/>
      </c>
      <c r="I1057" s="3" t="str">
        <f>IFERROR(VLOOKUP(E1057,Master!$J:$M,4,0),"")</f>
        <v/>
      </c>
      <c r="J1057" s="3" t="str">
        <f>IFERROR(VLOOKUP($E1057,Master!$J:$M,3,0),"")</f>
        <v/>
      </c>
      <c r="AC1057" s="26">
        <f t="shared" si="32"/>
        <v>0</v>
      </c>
      <c r="AD1057" s="26">
        <f t="shared" si="33"/>
        <v>0</v>
      </c>
    </row>
    <row r="1058" spans="2:30" ht="15" customHeight="1">
      <c r="B1058" s="3" t="str">
        <f>IFERROR(VLOOKUP(C1058,Master!$J:$K,2,0),"")</f>
        <v/>
      </c>
      <c r="D1058" s="4" t="str">
        <f>IFERROR(VLOOKUP(E1058,Master!$J:$K,2,0),"")</f>
        <v/>
      </c>
      <c r="F1058" s="4" t="str">
        <f>IFERROR(VLOOKUP(G1058,Master!B:C,2,0),"")</f>
        <v/>
      </c>
      <c r="I1058" s="3" t="str">
        <f>IFERROR(VLOOKUP(E1058,Master!$J:$M,4,0),"")</f>
        <v/>
      </c>
      <c r="J1058" s="3" t="str">
        <f>IFERROR(VLOOKUP($E1058,Master!$J:$M,3,0),"")</f>
        <v/>
      </c>
      <c r="AC1058" s="26">
        <f t="shared" si="32"/>
        <v>0</v>
      </c>
      <c r="AD1058" s="26">
        <f t="shared" si="33"/>
        <v>0</v>
      </c>
    </row>
    <row r="1059" spans="2:30" ht="15" customHeight="1">
      <c r="B1059" s="3" t="str">
        <f>IFERROR(VLOOKUP(C1059,Master!$J:$K,2,0),"")</f>
        <v/>
      </c>
      <c r="D1059" s="4" t="str">
        <f>IFERROR(VLOOKUP(E1059,Master!$J:$K,2,0),"")</f>
        <v/>
      </c>
      <c r="F1059" s="4" t="str">
        <f>IFERROR(VLOOKUP(G1059,Master!B:C,2,0),"")</f>
        <v/>
      </c>
      <c r="I1059" s="3" t="str">
        <f>IFERROR(VLOOKUP(E1059,Master!$J:$M,4,0),"")</f>
        <v/>
      </c>
      <c r="J1059" s="3" t="str">
        <f>IFERROR(VLOOKUP($E1059,Master!$J:$M,3,0),"")</f>
        <v/>
      </c>
      <c r="AC1059" s="26">
        <f t="shared" si="32"/>
        <v>0</v>
      </c>
      <c r="AD1059" s="26">
        <f t="shared" si="33"/>
        <v>0</v>
      </c>
    </row>
    <row r="1060" spans="2:30" ht="15" customHeight="1">
      <c r="B1060" s="3" t="str">
        <f>IFERROR(VLOOKUP(C1060,Master!$J:$K,2,0),"")</f>
        <v/>
      </c>
      <c r="D1060" s="4" t="str">
        <f>IFERROR(VLOOKUP(E1060,Master!$J:$K,2,0),"")</f>
        <v/>
      </c>
      <c r="F1060" s="4" t="str">
        <f>IFERROR(VLOOKUP(G1060,Master!B:C,2,0),"")</f>
        <v/>
      </c>
      <c r="I1060" s="3" t="str">
        <f>IFERROR(VLOOKUP(E1060,Master!$J:$M,4,0),"")</f>
        <v/>
      </c>
      <c r="J1060" s="3" t="str">
        <f>IFERROR(VLOOKUP($E1060,Master!$J:$M,3,0),"")</f>
        <v/>
      </c>
      <c r="AC1060" s="26">
        <f t="shared" si="32"/>
        <v>0</v>
      </c>
      <c r="AD1060" s="26">
        <f t="shared" si="33"/>
        <v>0</v>
      </c>
    </row>
    <row r="1061" spans="2:30" ht="15" customHeight="1">
      <c r="B1061" s="3" t="str">
        <f>IFERROR(VLOOKUP(C1061,Master!$J:$K,2,0),"")</f>
        <v/>
      </c>
      <c r="D1061" s="4" t="str">
        <f>IFERROR(VLOOKUP(E1061,Master!$J:$K,2,0),"")</f>
        <v/>
      </c>
      <c r="F1061" s="4" t="str">
        <f>IFERROR(VLOOKUP(G1061,Master!B:C,2,0),"")</f>
        <v/>
      </c>
      <c r="I1061" s="3" t="str">
        <f>IFERROR(VLOOKUP(E1061,Master!$J:$M,4,0),"")</f>
        <v/>
      </c>
      <c r="J1061" s="3" t="str">
        <f>IFERROR(VLOOKUP($E1061,Master!$J:$M,3,0),"")</f>
        <v/>
      </c>
      <c r="AC1061" s="26">
        <f t="shared" si="32"/>
        <v>0</v>
      </c>
      <c r="AD1061" s="26">
        <f t="shared" si="33"/>
        <v>0</v>
      </c>
    </row>
    <row r="1062" spans="2:30" ht="15" customHeight="1">
      <c r="B1062" s="3" t="str">
        <f>IFERROR(VLOOKUP(C1062,Master!$J:$K,2,0),"")</f>
        <v/>
      </c>
      <c r="D1062" s="4" t="str">
        <f>IFERROR(VLOOKUP(E1062,Master!$J:$K,2,0),"")</f>
        <v/>
      </c>
      <c r="F1062" s="4" t="str">
        <f>IFERROR(VLOOKUP(G1062,Master!B:C,2,0),"")</f>
        <v/>
      </c>
      <c r="I1062" s="3" t="str">
        <f>IFERROR(VLOOKUP(E1062,Master!$J:$M,4,0),"")</f>
        <v/>
      </c>
      <c r="J1062" s="3" t="str">
        <f>IFERROR(VLOOKUP($E1062,Master!$J:$M,3,0),"")</f>
        <v/>
      </c>
      <c r="AC1062" s="26">
        <f t="shared" si="32"/>
        <v>0</v>
      </c>
      <c r="AD1062" s="26">
        <f t="shared" si="33"/>
        <v>0</v>
      </c>
    </row>
    <row r="1063" spans="2:30" ht="15" customHeight="1">
      <c r="B1063" s="3" t="str">
        <f>IFERROR(VLOOKUP(C1063,Master!$J:$K,2,0),"")</f>
        <v/>
      </c>
      <c r="D1063" s="4" t="str">
        <f>IFERROR(VLOOKUP(E1063,Master!$J:$K,2,0),"")</f>
        <v/>
      </c>
      <c r="F1063" s="4" t="str">
        <f>IFERROR(VLOOKUP(G1063,Master!B:C,2,0),"")</f>
        <v/>
      </c>
      <c r="I1063" s="3" t="str">
        <f>IFERROR(VLOOKUP(E1063,Master!$J:$M,4,0),"")</f>
        <v/>
      </c>
      <c r="J1063" s="3" t="str">
        <f>IFERROR(VLOOKUP($E1063,Master!$J:$M,3,0),"")</f>
        <v/>
      </c>
      <c r="AC1063" s="26">
        <f t="shared" si="32"/>
        <v>0</v>
      </c>
      <c r="AD1063" s="26">
        <f t="shared" si="33"/>
        <v>0</v>
      </c>
    </row>
    <row r="1064" spans="2:30" ht="15" customHeight="1">
      <c r="B1064" s="3" t="str">
        <f>IFERROR(VLOOKUP(C1064,Master!$J:$K,2,0),"")</f>
        <v/>
      </c>
      <c r="D1064" s="4" t="str">
        <f>IFERROR(VLOOKUP(E1064,Master!$J:$K,2,0),"")</f>
        <v/>
      </c>
      <c r="F1064" s="4" t="str">
        <f>IFERROR(VLOOKUP(G1064,Master!B:C,2,0),"")</f>
        <v/>
      </c>
      <c r="I1064" s="3" t="str">
        <f>IFERROR(VLOOKUP(E1064,Master!$J:$M,4,0),"")</f>
        <v/>
      </c>
      <c r="J1064" s="3" t="str">
        <f>IFERROR(VLOOKUP($E1064,Master!$J:$M,3,0),"")</f>
        <v/>
      </c>
      <c r="AC1064" s="26">
        <f t="shared" si="32"/>
        <v>0</v>
      </c>
      <c r="AD1064" s="26">
        <f t="shared" si="33"/>
        <v>0</v>
      </c>
    </row>
    <row r="1065" spans="2:30" ht="15" customHeight="1">
      <c r="B1065" s="3" t="str">
        <f>IFERROR(VLOOKUP(C1065,Master!$J:$K,2,0),"")</f>
        <v/>
      </c>
      <c r="D1065" s="4" t="str">
        <f>IFERROR(VLOOKUP(E1065,Master!$J:$K,2,0),"")</f>
        <v/>
      </c>
      <c r="F1065" s="4" t="str">
        <f>IFERROR(VLOOKUP(G1065,Master!B:C,2,0),"")</f>
        <v/>
      </c>
      <c r="I1065" s="3" t="str">
        <f>IFERROR(VLOOKUP(E1065,Master!$J:$M,4,0),"")</f>
        <v/>
      </c>
      <c r="J1065" s="3" t="str">
        <f>IFERROR(VLOOKUP($E1065,Master!$J:$M,3,0),"")</f>
        <v/>
      </c>
      <c r="AC1065" s="26">
        <f t="shared" ref="AC1065:AC1128" si="34">SUM(K1065:P1065)</f>
        <v>0</v>
      </c>
      <c r="AD1065" s="26">
        <f t="shared" ref="AD1065:AD1128" si="35">SUM(Q1065:AB1065)</f>
        <v>0</v>
      </c>
    </row>
    <row r="1066" spans="2:30" ht="15" customHeight="1">
      <c r="B1066" s="3" t="str">
        <f>IFERROR(VLOOKUP(C1066,Master!$J:$K,2,0),"")</f>
        <v/>
      </c>
      <c r="D1066" s="4" t="str">
        <f>IFERROR(VLOOKUP(E1066,Master!$J:$K,2,0),"")</f>
        <v/>
      </c>
      <c r="F1066" s="4" t="str">
        <f>IFERROR(VLOOKUP(G1066,Master!B:C,2,0),"")</f>
        <v/>
      </c>
      <c r="I1066" s="3" t="str">
        <f>IFERROR(VLOOKUP(E1066,Master!$J:$M,4,0),"")</f>
        <v/>
      </c>
      <c r="J1066" s="3" t="str">
        <f>IFERROR(VLOOKUP($E1066,Master!$J:$M,3,0),"")</f>
        <v/>
      </c>
      <c r="AC1066" s="26">
        <f t="shared" si="34"/>
        <v>0</v>
      </c>
      <c r="AD1066" s="26">
        <f t="shared" si="35"/>
        <v>0</v>
      </c>
    </row>
    <row r="1067" spans="2:30" ht="15" customHeight="1">
      <c r="B1067" s="3" t="str">
        <f>IFERROR(VLOOKUP(C1067,Master!$J:$K,2,0),"")</f>
        <v/>
      </c>
      <c r="D1067" s="4" t="str">
        <f>IFERROR(VLOOKUP(E1067,Master!$J:$K,2,0),"")</f>
        <v/>
      </c>
      <c r="F1067" s="4" t="str">
        <f>IFERROR(VLOOKUP(G1067,Master!B:C,2,0),"")</f>
        <v/>
      </c>
      <c r="I1067" s="3" t="str">
        <f>IFERROR(VLOOKUP(E1067,Master!$J:$M,4,0),"")</f>
        <v/>
      </c>
      <c r="J1067" s="3" t="str">
        <f>IFERROR(VLOOKUP($E1067,Master!$J:$M,3,0),"")</f>
        <v/>
      </c>
      <c r="AC1067" s="26">
        <f t="shared" si="34"/>
        <v>0</v>
      </c>
      <c r="AD1067" s="26">
        <f t="shared" si="35"/>
        <v>0</v>
      </c>
    </row>
    <row r="1068" spans="2:30" ht="15" customHeight="1">
      <c r="B1068" s="3" t="str">
        <f>IFERROR(VLOOKUP(C1068,Master!$J:$K,2,0),"")</f>
        <v/>
      </c>
      <c r="D1068" s="4" t="str">
        <f>IFERROR(VLOOKUP(E1068,Master!$J:$K,2,0),"")</f>
        <v/>
      </c>
      <c r="F1068" s="4" t="str">
        <f>IFERROR(VLOOKUP(G1068,Master!B:C,2,0),"")</f>
        <v/>
      </c>
      <c r="I1068" s="3" t="str">
        <f>IFERROR(VLOOKUP(E1068,Master!$J:$M,4,0),"")</f>
        <v/>
      </c>
      <c r="J1068" s="3" t="str">
        <f>IFERROR(VLOOKUP($E1068,Master!$J:$M,3,0),"")</f>
        <v/>
      </c>
      <c r="AC1068" s="26">
        <f t="shared" si="34"/>
        <v>0</v>
      </c>
      <c r="AD1068" s="26">
        <f t="shared" si="35"/>
        <v>0</v>
      </c>
    </row>
    <row r="1069" spans="2:30" ht="15" customHeight="1">
      <c r="B1069" s="3" t="str">
        <f>IFERROR(VLOOKUP(C1069,Master!$J:$K,2,0),"")</f>
        <v/>
      </c>
      <c r="D1069" s="4" t="str">
        <f>IFERROR(VLOOKUP(E1069,Master!$J:$K,2,0),"")</f>
        <v/>
      </c>
      <c r="F1069" s="4" t="str">
        <f>IFERROR(VLOOKUP(G1069,Master!B:C,2,0),"")</f>
        <v/>
      </c>
      <c r="I1069" s="3" t="str">
        <f>IFERROR(VLOOKUP(E1069,Master!$J:$M,4,0),"")</f>
        <v/>
      </c>
      <c r="J1069" s="3" t="str">
        <f>IFERROR(VLOOKUP($E1069,Master!$J:$M,3,0),"")</f>
        <v/>
      </c>
      <c r="AC1069" s="26">
        <f t="shared" si="34"/>
        <v>0</v>
      </c>
      <c r="AD1069" s="26">
        <f t="shared" si="35"/>
        <v>0</v>
      </c>
    </row>
    <row r="1070" spans="2:30" ht="15" customHeight="1">
      <c r="B1070" s="3" t="str">
        <f>IFERROR(VLOOKUP(C1070,Master!$J:$K,2,0),"")</f>
        <v/>
      </c>
      <c r="D1070" s="4" t="str">
        <f>IFERROR(VLOOKUP(E1070,Master!$J:$K,2,0),"")</f>
        <v/>
      </c>
      <c r="F1070" s="4" t="str">
        <f>IFERROR(VLOOKUP(G1070,Master!B:C,2,0),"")</f>
        <v/>
      </c>
      <c r="I1070" s="3" t="str">
        <f>IFERROR(VLOOKUP(E1070,Master!$J:$M,4,0),"")</f>
        <v/>
      </c>
      <c r="J1070" s="3" t="str">
        <f>IFERROR(VLOOKUP($E1070,Master!$J:$M,3,0),"")</f>
        <v/>
      </c>
      <c r="AC1070" s="26">
        <f t="shared" si="34"/>
        <v>0</v>
      </c>
      <c r="AD1070" s="26">
        <f t="shared" si="35"/>
        <v>0</v>
      </c>
    </row>
    <row r="1071" spans="2:30" ht="15" customHeight="1">
      <c r="B1071" s="3" t="str">
        <f>IFERROR(VLOOKUP(C1071,Master!$J:$K,2,0),"")</f>
        <v/>
      </c>
      <c r="D1071" s="4" t="str">
        <f>IFERROR(VLOOKUP(E1071,Master!$J:$K,2,0),"")</f>
        <v/>
      </c>
      <c r="F1071" s="4" t="str">
        <f>IFERROR(VLOOKUP(G1071,Master!B:C,2,0),"")</f>
        <v/>
      </c>
      <c r="I1071" s="3" t="str">
        <f>IFERROR(VLOOKUP(E1071,Master!$J:$M,4,0),"")</f>
        <v/>
      </c>
      <c r="J1071" s="3" t="str">
        <f>IFERROR(VLOOKUP($E1071,Master!$J:$M,3,0),"")</f>
        <v/>
      </c>
      <c r="AC1071" s="26">
        <f t="shared" si="34"/>
        <v>0</v>
      </c>
      <c r="AD1071" s="26">
        <f t="shared" si="35"/>
        <v>0</v>
      </c>
    </row>
    <row r="1072" spans="2:30" ht="15" customHeight="1">
      <c r="B1072" s="3" t="str">
        <f>IFERROR(VLOOKUP(C1072,Master!$J:$K,2,0),"")</f>
        <v/>
      </c>
      <c r="D1072" s="4" t="str">
        <f>IFERROR(VLOOKUP(E1072,Master!$J:$K,2,0),"")</f>
        <v/>
      </c>
      <c r="F1072" s="4" t="str">
        <f>IFERROR(VLOOKUP(G1072,Master!B:C,2,0),"")</f>
        <v/>
      </c>
      <c r="I1072" s="3" t="str">
        <f>IFERROR(VLOOKUP(E1072,Master!$J:$M,4,0),"")</f>
        <v/>
      </c>
      <c r="J1072" s="3" t="str">
        <f>IFERROR(VLOOKUP($E1072,Master!$J:$M,3,0),"")</f>
        <v/>
      </c>
      <c r="AC1072" s="26">
        <f t="shared" si="34"/>
        <v>0</v>
      </c>
      <c r="AD1072" s="26">
        <f t="shared" si="35"/>
        <v>0</v>
      </c>
    </row>
    <row r="1073" spans="2:30" ht="15" customHeight="1">
      <c r="B1073" s="3" t="str">
        <f>IFERROR(VLOOKUP(C1073,Master!$J:$K,2,0),"")</f>
        <v/>
      </c>
      <c r="D1073" s="4" t="str">
        <f>IFERROR(VLOOKUP(E1073,Master!$J:$K,2,0),"")</f>
        <v/>
      </c>
      <c r="F1073" s="4" t="str">
        <f>IFERROR(VLOOKUP(G1073,Master!B:C,2,0),"")</f>
        <v/>
      </c>
      <c r="I1073" s="3" t="str">
        <f>IFERROR(VLOOKUP(E1073,Master!$J:$M,4,0),"")</f>
        <v/>
      </c>
      <c r="J1073" s="3" t="str">
        <f>IFERROR(VLOOKUP($E1073,Master!$J:$M,3,0),"")</f>
        <v/>
      </c>
      <c r="AC1073" s="26">
        <f t="shared" si="34"/>
        <v>0</v>
      </c>
      <c r="AD1073" s="26">
        <f t="shared" si="35"/>
        <v>0</v>
      </c>
    </row>
    <row r="1074" spans="2:30" ht="15" customHeight="1">
      <c r="B1074" s="3" t="str">
        <f>IFERROR(VLOOKUP(C1074,Master!$J:$K,2,0),"")</f>
        <v/>
      </c>
      <c r="D1074" s="4" t="str">
        <f>IFERROR(VLOOKUP(E1074,Master!$J:$K,2,0),"")</f>
        <v/>
      </c>
      <c r="F1074" s="4" t="str">
        <f>IFERROR(VLOOKUP(G1074,Master!B:C,2,0),"")</f>
        <v/>
      </c>
      <c r="I1074" s="3" t="str">
        <f>IFERROR(VLOOKUP(E1074,Master!$J:$M,4,0),"")</f>
        <v/>
      </c>
      <c r="J1074" s="3" t="str">
        <f>IFERROR(VLOOKUP($E1074,Master!$J:$M,3,0),"")</f>
        <v/>
      </c>
      <c r="AC1074" s="26">
        <f t="shared" si="34"/>
        <v>0</v>
      </c>
      <c r="AD1074" s="26">
        <f t="shared" si="35"/>
        <v>0</v>
      </c>
    </row>
    <row r="1075" spans="2:30" ht="15" customHeight="1">
      <c r="B1075" s="3" t="str">
        <f>IFERROR(VLOOKUP(C1075,Master!$J:$K,2,0),"")</f>
        <v/>
      </c>
      <c r="D1075" s="4" t="str">
        <f>IFERROR(VLOOKUP(E1075,Master!$J:$K,2,0),"")</f>
        <v/>
      </c>
      <c r="F1075" s="4" t="str">
        <f>IFERROR(VLOOKUP(G1075,Master!B:C,2,0),"")</f>
        <v/>
      </c>
      <c r="I1075" s="3" t="str">
        <f>IFERROR(VLOOKUP(E1075,Master!$J:$M,4,0),"")</f>
        <v/>
      </c>
      <c r="J1075" s="3" t="str">
        <f>IFERROR(VLOOKUP($E1075,Master!$J:$M,3,0),"")</f>
        <v/>
      </c>
      <c r="AC1075" s="26">
        <f t="shared" si="34"/>
        <v>0</v>
      </c>
      <c r="AD1075" s="26">
        <f t="shared" si="35"/>
        <v>0</v>
      </c>
    </row>
    <row r="1076" spans="2:30" ht="15" customHeight="1">
      <c r="B1076" s="3" t="str">
        <f>IFERROR(VLOOKUP(C1076,Master!$J:$K,2,0),"")</f>
        <v/>
      </c>
      <c r="D1076" s="4" t="str">
        <f>IFERROR(VLOOKUP(E1076,Master!$J:$K,2,0),"")</f>
        <v/>
      </c>
      <c r="F1076" s="4" t="str">
        <f>IFERROR(VLOOKUP(G1076,Master!B:C,2,0),"")</f>
        <v/>
      </c>
      <c r="I1076" s="3" t="str">
        <f>IFERROR(VLOOKUP(E1076,Master!$J:$M,4,0),"")</f>
        <v/>
      </c>
      <c r="J1076" s="3" t="str">
        <f>IFERROR(VLOOKUP($E1076,Master!$J:$M,3,0),"")</f>
        <v/>
      </c>
      <c r="AC1076" s="26">
        <f t="shared" si="34"/>
        <v>0</v>
      </c>
      <c r="AD1076" s="26">
        <f t="shared" si="35"/>
        <v>0</v>
      </c>
    </row>
    <row r="1077" spans="2:30" ht="15" customHeight="1">
      <c r="B1077" s="3" t="str">
        <f>IFERROR(VLOOKUP(C1077,Master!$J:$K,2,0),"")</f>
        <v/>
      </c>
      <c r="D1077" s="4" t="str">
        <f>IFERROR(VLOOKUP(E1077,Master!$J:$K,2,0),"")</f>
        <v/>
      </c>
      <c r="F1077" s="4" t="str">
        <f>IFERROR(VLOOKUP(G1077,Master!B:C,2,0),"")</f>
        <v/>
      </c>
      <c r="I1077" s="3" t="str">
        <f>IFERROR(VLOOKUP(E1077,Master!$J:$M,4,0),"")</f>
        <v/>
      </c>
      <c r="J1077" s="3" t="str">
        <f>IFERROR(VLOOKUP($E1077,Master!$J:$M,3,0),"")</f>
        <v/>
      </c>
      <c r="AC1077" s="26">
        <f t="shared" si="34"/>
        <v>0</v>
      </c>
      <c r="AD1077" s="26">
        <f t="shared" si="35"/>
        <v>0</v>
      </c>
    </row>
    <row r="1078" spans="2:30" ht="15" customHeight="1">
      <c r="B1078" s="3" t="str">
        <f>IFERROR(VLOOKUP(C1078,Master!$J:$K,2,0),"")</f>
        <v/>
      </c>
      <c r="D1078" s="4" t="str">
        <f>IFERROR(VLOOKUP(E1078,Master!$J:$K,2,0),"")</f>
        <v/>
      </c>
      <c r="F1078" s="4" t="str">
        <f>IFERROR(VLOOKUP(G1078,Master!B:C,2,0),"")</f>
        <v/>
      </c>
      <c r="I1078" s="3" t="str">
        <f>IFERROR(VLOOKUP(E1078,Master!$J:$M,4,0),"")</f>
        <v/>
      </c>
      <c r="J1078" s="3" t="str">
        <f>IFERROR(VLOOKUP($E1078,Master!$J:$M,3,0),"")</f>
        <v/>
      </c>
      <c r="AC1078" s="26">
        <f t="shared" si="34"/>
        <v>0</v>
      </c>
      <c r="AD1078" s="26">
        <f t="shared" si="35"/>
        <v>0</v>
      </c>
    </row>
    <row r="1079" spans="2:30" ht="15" customHeight="1">
      <c r="B1079" s="3" t="str">
        <f>IFERROR(VLOOKUP(C1079,Master!$J:$K,2,0),"")</f>
        <v/>
      </c>
      <c r="D1079" s="4" t="str">
        <f>IFERROR(VLOOKUP(E1079,Master!$J:$K,2,0),"")</f>
        <v/>
      </c>
      <c r="F1079" s="4" t="str">
        <f>IFERROR(VLOOKUP(G1079,Master!B:C,2,0),"")</f>
        <v/>
      </c>
      <c r="I1079" s="3" t="str">
        <f>IFERROR(VLOOKUP(E1079,Master!$J:$M,4,0),"")</f>
        <v/>
      </c>
      <c r="J1079" s="3" t="str">
        <f>IFERROR(VLOOKUP($E1079,Master!$J:$M,3,0),"")</f>
        <v/>
      </c>
      <c r="AC1079" s="26">
        <f t="shared" si="34"/>
        <v>0</v>
      </c>
      <c r="AD1079" s="26">
        <f t="shared" si="35"/>
        <v>0</v>
      </c>
    </row>
    <row r="1080" spans="2:30" ht="15" customHeight="1">
      <c r="B1080" s="3" t="str">
        <f>IFERROR(VLOOKUP(C1080,Master!$J:$K,2,0),"")</f>
        <v/>
      </c>
      <c r="D1080" s="4" t="str">
        <f>IFERROR(VLOOKUP(E1080,Master!$J:$K,2,0),"")</f>
        <v/>
      </c>
      <c r="F1080" s="4" t="str">
        <f>IFERROR(VLOOKUP(G1080,Master!B:C,2,0),"")</f>
        <v/>
      </c>
      <c r="I1080" s="3" t="str">
        <f>IFERROR(VLOOKUP(E1080,Master!$J:$M,4,0),"")</f>
        <v/>
      </c>
      <c r="J1080" s="3" t="str">
        <f>IFERROR(VLOOKUP($E1080,Master!$J:$M,3,0),"")</f>
        <v/>
      </c>
      <c r="AC1080" s="26">
        <f t="shared" si="34"/>
        <v>0</v>
      </c>
      <c r="AD1080" s="26">
        <f t="shared" si="35"/>
        <v>0</v>
      </c>
    </row>
    <row r="1081" spans="2:30" ht="15" customHeight="1">
      <c r="B1081" s="3" t="str">
        <f>IFERROR(VLOOKUP(C1081,Master!$J:$K,2,0),"")</f>
        <v/>
      </c>
      <c r="D1081" s="4" t="str">
        <f>IFERROR(VLOOKUP(E1081,Master!$J:$K,2,0),"")</f>
        <v/>
      </c>
      <c r="F1081" s="4" t="str">
        <f>IFERROR(VLOOKUP(G1081,Master!B:C,2,0),"")</f>
        <v/>
      </c>
      <c r="I1081" s="3" t="str">
        <f>IFERROR(VLOOKUP(E1081,Master!$J:$M,4,0),"")</f>
        <v/>
      </c>
      <c r="J1081" s="3" t="str">
        <f>IFERROR(VLOOKUP($E1081,Master!$J:$M,3,0),"")</f>
        <v/>
      </c>
      <c r="AC1081" s="26">
        <f t="shared" si="34"/>
        <v>0</v>
      </c>
      <c r="AD1081" s="26">
        <f t="shared" si="35"/>
        <v>0</v>
      </c>
    </row>
    <row r="1082" spans="2:30" ht="15" customHeight="1">
      <c r="B1082" s="3" t="str">
        <f>IFERROR(VLOOKUP(C1082,Master!$J:$K,2,0),"")</f>
        <v/>
      </c>
      <c r="D1082" s="4" t="str">
        <f>IFERROR(VLOOKUP(E1082,Master!$J:$K,2,0),"")</f>
        <v/>
      </c>
      <c r="F1082" s="4" t="str">
        <f>IFERROR(VLOOKUP(G1082,Master!B:C,2,0),"")</f>
        <v/>
      </c>
      <c r="I1082" s="3" t="str">
        <f>IFERROR(VLOOKUP(E1082,Master!$J:$M,4,0),"")</f>
        <v/>
      </c>
      <c r="J1082" s="3" t="str">
        <f>IFERROR(VLOOKUP($E1082,Master!$J:$M,3,0),"")</f>
        <v/>
      </c>
      <c r="AC1082" s="26">
        <f t="shared" si="34"/>
        <v>0</v>
      </c>
      <c r="AD1082" s="26">
        <f t="shared" si="35"/>
        <v>0</v>
      </c>
    </row>
    <row r="1083" spans="2:30" ht="15" customHeight="1">
      <c r="B1083" s="3" t="str">
        <f>IFERROR(VLOOKUP(C1083,Master!$J:$K,2,0),"")</f>
        <v/>
      </c>
      <c r="D1083" s="4" t="str">
        <f>IFERROR(VLOOKUP(E1083,Master!$J:$K,2,0),"")</f>
        <v/>
      </c>
      <c r="F1083" s="4" t="str">
        <f>IFERROR(VLOOKUP(G1083,Master!B:C,2,0),"")</f>
        <v/>
      </c>
      <c r="I1083" s="3" t="str">
        <f>IFERROR(VLOOKUP(E1083,Master!$J:$M,4,0),"")</f>
        <v/>
      </c>
      <c r="J1083" s="3" t="str">
        <f>IFERROR(VLOOKUP($E1083,Master!$J:$M,3,0),"")</f>
        <v/>
      </c>
      <c r="AC1083" s="26">
        <f t="shared" si="34"/>
        <v>0</v>
      </c>
      <c r="AD1083" s="26">
        <f t="shared" si="35"/>
        <v>0</v>
      </c>
    </row>
    <row r="1084" spans="2:30" ht="15" customHeight="1">
      <c r="B1084" s="3" t="str">
        <f>IFERROR(VLOOKUP(C1084,Master!$J:$K,2,0),"")</f>
        <v/>
      </c>
      <c r="D1084" s="4" t="str">
        <f>IFERROR(VLOOKUP(E1084,Master!$J:$K,2,0),"")</f>
        <v/>
      </c>
      <c r="F1084" s="4" t="str">
        <f>IFERROR(VLOOKUP(G1084,Master!B:C,2,0),"")</f>
        <v/>
      </c>
      <c r="I1084" s="3" t="str">
        <f>IFERROR(VLOOKUP(E1084,Master!$J:$M,4,0),"")</f>
        <v/>
      </c>
      <c r="J1084" s="3" t="str">
        <f>IFERROR(VLOOKUP($E1084,Master!$J:$M,3,0),"")</f>
        <v/>
      </c>
      <c r="AC1084" s="26">
        <f t="shared" si="34"/>
        <v>0</v>
      </c>
      <c r="AD1084" s="26">
        <f t="shared" si="35"/>
        <v>0</v>
      </c>
    </row>
    <row r="1085" spans="2:30" ht="15" customHeight="1">
      <c r="B1085" s="3" t="str">
        <f>IFERROR(VLOOKUP(C1085,Master!$J:$K,2,0),"")</f>
        <v/>
      </c>
      <c r="D1085" s="4" t="str">
        <f>IFERROR(VLOOKUP(E1085,Master!$J:$K,2,0),"")</f>
        <v/>
      </c>
      <c r="F1085" s="4" t="str">
        <f>IFERROR(VLOOKUP(G1085,Master!B:C,2,0),"")</f>
        <v/>
      </c>
      <c r="I1085" s="3" t="str">
        <f>IFERROR(VLOOKUP(E1085,Master!$J:$M,4,0),"")</f>
        <v/>
      </c>
      <c r="J1085" s="3" t="str">
        <f>IFERROR(VLOOKUP($E1085,Master!$J:$M,3,0),"")</f>
        <v/>
      </c>
      <c r="AC1085" s="26">
        <f t="shared" si="34"/>
        <v>0</v>
      </c>
      <c r="AD1085" s="26">
        <f t="shared" si="35"/>
        <v>0</v>
      </c>
    </row>
    <row r="1086" spans="2:30" ht="15" customHeight="1">
      <c r="B1086" s="3" t="str">
        <f>IFERROR(VLOOKUP(C1086,Master!$J:$K,2,0),"")</f>
        <v/>
      </c>
      <c r="D1086" s="4" t="str">
        <f>IFERROR(VLOOKUP(E1086,Master!$J:$K,2,0),"")</f>
        <v/>
      </c>
      <c r="F1086" s="4" t="str">
        <f>IFERROR(VLOOKUP(G1086,Master!B:C,2,0),"")</f>
        <v/>
      </c>
      <c r="I1086" s="3" t="str">
        <f>IFERROR(VLOOKUP(E1086,Master!$J:$M,4,0),"")</f>
        <v/>
      </c>
      <c r="J1086" s="3" t="str">
        <f>IFERROR(VLOOKUP($E1086,Master!$J:$M,3,0),"")</f>
        <v/>
      </c>
      <c r="AC1086" s="26">
        <f t="shared" si="34"/>
        <v>0</v>
      </c>
      <c r="AD1086" s="26">
        <f t="shared" si="35"/>
        <v>0</v>
      </c>
    </row>
    <row r="1087" spans="2:30" ht="15" customHeight="1">
      <c r="B1087" s="3" t="str">
        <f>IFERROR(VLOOKUP(C1087,Master!$J:$K,2,0),"")</f>
        <v/>
      </c>
      <c r="D1087" s="4" t="str">
        <f>IFERROR(VLOOKUP(E1087,Master!$J:$K,2,0),"")</f>
        <v/>
      </c>
      <c r="F1087" s="4" t="str">
        <f>IFERROR(VLOOKUP(G1087,Master!B:C,2,0),"")</f>
        <v/>
      </c>
      <c r="I1087" s="3" t="str">
        <f>IFERROR(VLOOKUP(E1087,Master!$J:$M,4,0),"")</f>
        <v/>
      </c>
      <c r="J1087" s="3" t="str">
        <f>IFERROR(VLOOKUP($E1087,Master!$J:$M,3,0),"")</f>
        <v/>
      </c>
      <c r="AC1087" s="26">
        <f t="shared" si="34"/>
        <v>0</v>
      </c>
      <c r="AD1087" s="26">
        <f t="shared" si="35"/>
        <v>0</v>
      </c>
    </row>
    <row r="1088" spans="2:30" ht="15" customHeight="1">
      <c r="B1088" s="3" t="str">
        <f>IFERROR(VLOOKUP(C1088,Master!$J:$K,2,0),"")</f>
        <v/>
      </c>
      <c r="D1088" s="4" t="str">
        <f>IFERROR(VLOOKUP(E1088,Master!$J:$K,2,0),"")</f>
        <v/>
      </c>
      <c r="F1088" s="4" t="str">
        <f>IFERROR(VLOOKUP(G1088,Master!B:C,2,0),"")</f>
        <v/>
      </c>
      <c r="I1088" s="3" t="str">
        <f>IFERROR(VLOOKUP(E1088,Master!$J:$M,4,0),"")</f>
        <v/>
      </c>
      <c r="J1088" s="3" t="str">
        <f>IFERROR(VLOOKUP($E1088,Master!$J:$M,3,0),"")</f>
        <v/>
      </c>
      <c r="AC1088" s="26">
        <f t="shared" si="34"/>
        <v>0</v>
      </c>
      <c r="AD1088" s="26">
        <f t="shared" si="35"/>
        <v>0</v>
      </c>
    </row>
    <row r="1089" spans="2:30" ht="15" customHeight="1">
      <c r="B1089" s="3" t="str">
        <f>IFERROR(VLOOKUP(C1089,Master!$J:$K,2,0),"")</f>
        <v/>
      </c>
      <c r="D1089" s="4" t="str">
        <f>IFERROR(VLOOKUP(E1089,Master!$J:$K,2,0),"")</f>
        <v/>
      </c>
      <c r="F1089" s="4" t="str">
        <f>IFERROR(VLOOKUP(G1089,Master!B:C,2,0),"")</f>
        <v/>
      </c>
      <c r="I1089" s="3" t="str">
        <f>IFERROR(VLOOKUP(E1089,Master!$J:$M,4,0),"")</f>
        <v/>
      </c>
      <c r="J1089" s="3" t="str">
        <f>IFERROR(VLOOKUP($E1089,Master!$J:$M,3,0),"")</f>
        <v/>
      </c>
      <c r="AC1089" s="26">
        <f t="shared" si="34"/>
        <v>0</v>
      </c>
      <c r="AD1089" s="26">
        <f t="shared" si="35"/>
        <v>0</v>
      </c>
    </row>
    <row r="1090" spans="2:30" ht="15" customHeight="1">
      <c r="B1090" s="3" t="str">
        <f>IFERROR(VLOOKUP(C1090,Master!$J:$K,2,0),"")</f>
        <v/>
      </c>
      <c r="D1090" s="4" t="str">
        <f>IFERROR(VLOOKUP(E1090,Master!$J:$K,2,0),"")</f>
        <v/>
      </c>
      <c r="F1090" s="4" t="str">
        <f>IFERROR(VLOOKUP(G1090,Master!B:C,2,0),"")</f>
        <v/>
      </c>
      <c r="I1090" s="3" t="str">
        <f>IFERROR(VLOOKUP(E1090,Master!$J:$M,4,0),"")</f>
        <v/>
      </c>
      <c r="J1090" s="3" t="str">
        <f>IFERROR(VLOOKUP($E1090,Master!$J:$M,3,0),"")</f>
        <v/>
      </c>
      <c r="AC1090" s="26">
        <f t="shared" si="34"/>
        <v>0</v>
      </c>
      <c r="AD1090" s="26">
        <f t="shared" si="35"/>
        <v>0</v>
      </c>
    </row>
    <row r="1091" spans="2:30" ht="15" customHeight="1">
      <c r="B1091" s="3" t="str">
        <f>IFERROR(VLOOKUP(C1091,Master!$J:$K,2,0),"")</f>
        <v/>
      </c>
      <c r="D1091" s="4" t="str">
        <f>IFERROR(VLOOKUP(E1091,Master!$J:$K,2,0),"")</f>
        <v/>
      </c>
      <c r="F1091" s="4" t="str">
        <f>IFERROR(VLOOKUP(G1091,Master!B:C,2,0),"")</f>
        <v/>
      </c>
      <c r="I1091" s="3" t="str">
        <f>IFERROR(VLOOKUP(E1091,Master!$J:$M,4,0),"")</f>
        <v/>
      </c>
      <c r="J1091" s="3" t="str">
        <f>IFERROR(VLOOKUP($E1091,Master!$J:$M,3,0),"")</f>
        <v/>
      </c>
      <c r="AC1091" s="26">
        <f t="shared" si="34"/>
        <v>0</v>
      </c>
      <c r="AD1091" s="26">
        <f t="shared" si="35"/>
        <v>0</v>
      </c>
    </row>
    <row r="1092" spans="2:30" ht="15" customHeight="1">
      <c r="B1092" s="3" t="str">
        <f>IFERROR(VLOOKUP(C1092,Master!$J:$K,2,0),"")</f>
        <v/>
      </c>
      <c r="D1092" s="4" t="str">
        <f>IFERROR(VLOOKUP(E1092,Master!$J:$K,2,0),"")</f>
        <v/>
      </c>
      <c r="F1092" s="4" t="str">
        <f>IFERROR(VLOOKUP(G1092,Master!B:C,2,0),"")</f>
        <v/>
      </c>
      <c r="I1092" s="3" t="str">
        <f>IFERROR(VLOOKUP(E1092,Master!$J:$M,4,0),"")</f>
        <v/>
      </c>
      <c r="J1092" s="3" t="str">
        <f>IFERROR(VLOOKUP($E1092,Master!$J:$M,3,0),"")</f>
        <v/>
      </c>
      <c r="AC1092" s="26">
        <f t="shared" si="34"/>
        <v>0</v>
      </c>
      <c r="AD1092" s="26">
        <f t="shared" si="35"/>
        <v>0</v>
      </c>
    </row>
    <row r="1093" spans="2:30" ht="15" customHeight="1">
      <c r="B1093" s="3" t="str">
        <f>IFERROR(VLOOKUP(C1093,Master!$J:$K,2,0),"")</f>
        <v/>
      </c>
      <c r="D1093" s="4" t="str">
        <f>IFERROR(VLOOKUP(E1093,Master!$J:$K,2,0),"")</f>
        <v/>
      </c>
      <c r="F1093" s="4" t="str">
        <f>IFERROR(VLOOKUP(G1093,Master!B:C,2,0),"")</f>
        <v/>
      </c>
      <c r="I1093" s="3" t="str">
        <f>IFERROR(VLOOKUP(E1093,Master!$J:$M,4,0),"")</f>
        <v/>
      </c>
      <c r="J1093" s="3" t="str">
        <f>IFERROR(VLOOKUP($E1093,Master!$J:$M,3,0),"")</f>
        <v/>
      </c>
      <c r="AC1093" s="26">
        <f t="shared" si="34"/>
        <v>0</v>
      </c>
      <c r="AD1093" s="26">
        <f t="shared" si="35"/>
        <v>0</v>
      </c>
    </row>
    <row r="1094" spans="2:30" ht="15" customHeight="1">
      <c r="B1094" s="3" t="str">
        <f>IFERROR(VLOOKUP(C1094,Master!$J:$K,2,0),"")</f>
        <v/>
      </c>
      <c r="D1094" s="4" t="str">
        <f>IFERROR(VLOOKUP(E1094,Master!$J:$K,2,0),"")</f>
        <v/>
      </c>
      <c r="F1094" s="4" t="str">
        <f>IFERROR(VLOOKUP(G1094,Master!B:C,2,0),"")</f>
        <v/>
      </c>
      <c r="I1094" s="3" t="str">
        <f>IFERROR(VLOOKUP(E1094,Master!$J:$M,4,0),"")</f>
        <v/>
      </c>
      <c r="J1094" s="3" t="str">
        <f>IFERROR(VLOOKUP($E1094,Master!$J:$M,3,0),"")</f>
        <v/>
      </c>
      <c r="AC1094" s="26">
        <f t="shared" si="34"/>
        <v>0</v>
      </c>
      <c r="AD1094" s="26">
        <f t="shared" si="35"/>
        <v>0</v>
      </c>
    </row>
    <row r="1095" spans="2:30" ht="15" customHeight="1">
      <c r="B1095" s="3" t="str">
        <f>IFERROR(VLOOKUP(C1095,Master!$J:$K,2,0),"")</f>
        <v/>
      </c>
      <c r="D1095" s="4" t="str">
        <f>IFERROR(VLOOKUP(E1095,Master!$J:$K,2,0),"")</f>
        <v/>
      </c>
      <c r="F1095" s="4" t="str">
        <f>IFERROR(VLOOKUP(G1095,Master!B:C,2,0),"")</f>
        <v/>
      </c>
      <c r="I1095" s="3" t="str">
        <f>IFERROR(VLOOKUP(E1095,Master!$J:$M,4,0),"")</f>
        <v/>
      </c>
      <c r="J1095" s="3" t="str">
        <f>IFERROR(VLOOKUP($E1095,Master!$J:$M,3,0),"")</f>
        <v/>
      </c>
      <c r="AC1095" s="26">
        <f t="shared" si="34"/>
        <v>0</v>
      </c>
      <c r="AD1095" s="26">
        <f t="shared" si="35"/>
        <v>0</v>
      </c>
    </row>
    <row r="1096" spans="2:30" ht="15" customHeight="1">
      <c r="B1096" s="3" t="str">
        <f>IFERROR(VLOOKUP(C1096,Master!$J:$K,2,0),"")</f>
        <v/>
      </c>
      <c r="D1096" s="4" t="str">
        <f>IFERROR(VLOOKUP(E1096,Master!$J:$K,2,0),"")</f>
        <v/>
      </c>
      <c r="F1096" s="4" t="str">
        <f>IFERROR(VLOOKUP(G1096,Master!B:C,2,0),"")</f>
        <v/>
      </c>
      <c r="I1096" s="3" t="str">
        <f>IFERROR(VLOOKUP(E1096,Master!$J:$M,4,0),"")</f>
        <v/>
      </c>
      <c r="J1096" s="3" t="str">
        <f>IFERROR(VLOOKUP($E1096,Master!$J:$M,3,0),"")</f>
        <v/>
      </c>
      <c r="AC1096" s="26">
        <f t="shared" si="34"/>
        <v>0</v>
      </c>
      <c r="AD1096" s="26">
        <f t="shared" si="35"/>
        <v>0</v>
      </c>
    </row>
    <row r="1097" spans="2:30" ht="15" customHeight="1">
      <c r="B1097" s="3" t="str">
        <f>IFERROR(VLOOKUP(C1097,Master!$J:$K,2,0),"")</f>
        <v/>
      </c>
      <c r="D1097" s="4" t="str">
        <f>IFERROR(VLOOKUP(E1097,Master!$J:$K,2,0),"")</f>
        <v/>
      </c>
      <c r="F1097" s="4" t="str">
        <f>IFERROR(VLOOKUP(G1097,Master!B:C,2,0),"")</f>
        <v/>
      </c>
      <c r="I1097" s="3" t="str">
        <f>IFERROR(VLOOKUP(E1097,Master!$J:$M,4,0),"")</f>
        <v/>
      </c>
      <c r="J1097" s="3" t="str">
        <f>IFERROR(VLOOKUP($E1097,Master!$J:$M,3,0),"")</f>
        <v/>
      </c>
      <c r="AC1097" s="26">
        <f t="shared" si="34"/>
        <v>0</v>
      </c>
      <c r="AD1097" s="26">
        <f t="shared" si="35"/>
        <v>0</v>
      </c>
    </row>
    <row r="1098" spans="2:30" ht="15" customHeight="1">
      <c r="B1098" s="3" t="str">
        <f>IFERROR(VLOOKUP(C1098,Master!$J:$K,2,0),"")</f>
        <v/>
      </c>
      <c r="D1098" s="4" t="str">
        <f>IFERROR(VLOOKUP(E1098,Master!$J:$K,2,0),"")</f>
        <v/>
      </c>
      <c r="F1098" s="4" t="str">
        <f>IFERROR(VLOOKUP(G1098,Master!B:C,2,0),"")</f>
        <v/>
      </c>
      <c r="I1098" s="3" t="str">
        <f>IFERROR(VLOOKUP(E1098,Master!$J:$M,4,0),"")</f>
        <v/>
      </c>
      <c r="J1098" s="3" t="str">
        <f>IFERROR(VLOOKUP($E1098,Master!$J:$M,3,0),"")</f>
        <v/>
      </c>
      <c r="AC1098" s="26">
        <f t="shared" si="34"/>
        <v>0</v>
      </c>
      <c r="AD1098" s="26">
        <f t="shared" si="35"/>
        <v>0</v>
      </c>
    </row>
    <row r="1099" spans="2:30" ht="15" customHeight="1">
      <c r="B1099" s="3" t="str">
        <f>IFERROR(VLOOKUP(C1099,Master!$J:$K,2,0),"")</f>
        <v/>
      </c>
      <c r="D1099" s="4" t="str">
        <f>IFERROR(VLOOKUP(E1099,Master!$J:$K,2,0),"")</f>
        <v/>
      </c>
      <c r="F1099" s="4" t="str">
        <f>IFERROR(VLOOKUP(G1099,Master!B:C,2,0),"")</f>
        <v/>
      </c>
      <c r="I1099" s="3" t="str">
        <f>IFERROR(VLOOKUP(E1099,Master!$J:$M,4,0),"")</f>
        <v/>
      </c>
      <c r="J1099" s="3" t="str">
        <f>IFERROR(VLOOKUP($E1099,Master!$J:$M,3,0),"")</f>
        <v/>
      </c>
      <c r="AC1099" s="26">
        <f t="shared" si="34"/>
        <v>0</v>
      </c>
      <c r="AD1099" s="26">
        <f t="shared" si="35"/>
        <v>0</v>
      </c>
    </row>
    <row r="1100" spans="2:30" ht="15" customHeight="1">
      <c r="B1100" s="3" t="str">
        <f>IFERROR(VLOOKUP(C1100,Master!$J:$K,2,0),"")</f>
        <v/>
      </c>
      <c r="D1100" s="4" t="str">
        <f>IFERROR(VLOOKUP(E1100,Master!$J:$K,2,0),"")</f>
        <v/>
      </c>
      <c r="F1100" s="4" t="str">
        <f>IFERROR(VLOOKUP(G1100,Master!B:C,2,0),"")</f>
        <v/>
      </c>
      <c r="I1100" s="3" t="str">
        <f>IFERROR(VLOOKUP(E1100,Master!$J:$M,4,0),"")</f>
        <v/>
      </c>
      <c r="J1100" s="3" t="str">
        <f>IFERROR(VLOOKUP($E1100,Master!$J:$M,3,0),"")</f>
        <v/>
      </c>
      <c r="AC1100" s="26">
        <f t="shared" si="34"/>
        <v>0</v>
      </c>
      <c r="AD1100" s="26">
        <f t="shared" si="35"/>
        <v>0</v>
      </c>
    </row>
    <row r="1101" spans="2:30" ht="15" customHeight="1">
      <c r="B1101" s="3" t="str">
        <f>IFERROR(VLOOKUP(C1101,Master!$J:$K,2,0),"")</f>
        <v/>
      </c>
      <c r="D1101" s="4" t="str">
        <f>IFERROR(VLOOKUP(E1101,Master!$J:$K,2,0),"")</f>
        <v/>
      </c>
      <c r="F1101" s="4" t="str">
        <f>IFERROR(VLOOKUP(G1101,Master!B:C,2,0),"")</f>
        <v/>
      </c>
      <c r="I1101" s="3" t="str">
        <f>IFERROR(VLOOKUP(E1101,Master!$J:$M,4,0),"")</f>
        <v/>
      </c>
      <c r="J1101" s="3" t="str">
        <f>IFERROR(VLOOKUP($E1101,Master!$J:$M,3,0),"")</f>
        <v/>
      </c>
      <c r="AC1101" s="26">
        <f t="shared" si="34"/>
        <v>0</v>
      </c>
      <c r="AD1101" s="26">
        <f t="shared" si="35"/>
        <v>0</v>
      </c>
    </row>
    <row r="1102" spans="2:30" ht="15" customHeight="1">
      <c r="B1102" s="3" t="str">
        <f>IFERROR(VLOOKUP(C1102,Master!$J:$K,2,0),"")</f>
        <v/>
      </c>
      <c r="D1102" s="4" t="str">
        <f>IFERROR(VLOOKUP(E1102,Master!$J:$K,2,0),"")</f>
        <v/>
      </c>
      <c r="F1102" s="4" t="str">
        <f>IFERROR(VLOOKUP(G1102,Master!B:C,2,0),"")</f>
        <v/>
      </c>
      <c r="I1102" s="3" t="str">
        <f>IFERROR(VLOOKUP(E1102,Master!$J:$M,4,0),"")</f>
        <v/>
      </c>
      <c r="J1102" s="3" t="str">
        <f>IFERROR(VLOOKUP($E1102,Master!$J:$M,3,0),"")</f>
        <v/>
      </c>
      <c r="AC1102" s="26">
        <f t="shared" si="34"/>
        <v>0</v>
      </c>
      <c r="AD1102" s="26">
        <f t="shared" si="35"/>
        <v>0</v>
      </c>
    </row>
    <row r="1103" spans="2:30" ht="15" customHeight="1">
      <c r="B1103" s="3" t="str">
        <f>IFERROR(VLOOKUP(C1103,Master!$J:$K,2,0),"")</f>
        <v/>
      </c>
      <c r="D1103" s="4" t="str">
        <f>IFERROR(VLOOKUP(E1103,Master!$J:$K,2,0),"")</f>
        <v/>
      </c>
      <c r="F1103" s="4" t="str">
        <f>IFERROR(VLOOKUP(G1103,Master!B:C,2,0),"")</f>
        <v/>
      </c>
      <c r="I1103" s="3" t="str">
        <f>IFERROR(VLOOKUP(E1103,Master!$J:$M,4,0),"")</f>
        <v/>
      </c>
      <c r="J1103" s="3" t="str">
        <f>IFERROR(VLOOKUP($E1103,Master!$J:$M,3,0),"")</f>
        <v/>
      </c>
      <c r="AC1103" s="26">
        <f t="shared" si="34"/>
        <v>0</v>
      </c>
      <c r="AD1103" s="26">
        <f t="shared" si="35"/>
        <v>0</v>
      </c>
    </row>
    <row r="1104" spans="2:30" ht="15" customHeight="1">
      <c r="B1104" s="3" t="str">
        <f>IFERROR(VLOOKUP(C1104,Master!$J:$K,2,0),"")</f>
        <v/>
      </c>
      <c r="D1104" s="4" t="str">
        <f>IFERROR(VLOOKUP(E1104,Master!$J:$K,2,0),"")</f>
        <v/>
      </c>
      <c r="F1104" s="4" t="str">
        <f>IFERROR(VLOOKUP(G1104,Master!B:C,2,0),"")</f>
        <v/>
      </c>
      <c r="I1104" s="3" t="str">
        <f>IFERROR(VLOOKUP(E1104,Master!$J:$M,4,0),"")</f>
        <v/>
      </c>
      <c r="J1104" s="3" t="str">
        <f>IFERROR(VLOOKUP($E1104,Master!$J:$M,3,0),"")</f>
        <v/>
      </c>
      <c r="AC1104" s="26">
        <f t="shared" si="34"/>
        <v>0</v>
      </c>
      <c r="AD1104" s="26">
        <f t="shared" si="35"/>
        <v>0</v>
      </c>
    </row>
    <row r="1105" spans="2:30" ht="15" customHeight="1">
      <c r="B1105" s="3" t="str">
        <f>IFERROR(VLOOKUP(C1105,Master!$J:$K,2,0),"")</f>
        <v/>
      </c>
      <c r="D1105" s="4" t="str">
        <f>IFERROR(VLOOKUP(E1105,Master!$J:$K,2,0),"")</f>
        <v/>
      </c>
      <c r="F1105" s="4" t="str">
        <f>IFERROR(VLOOKUP(G1105,Master!B:C,2,0),"")</f>
        <v/>
      </c>
      <c r="I1105" s="3" t="str">
        <f>IFERROR(VLOOKUP(E1105,Master!$J:$M,4,0),"")</f>
        <v/>
      </c>
      <c r="J1105" s="3" t="str">
        <f>IFERROR(VLOOKUP($E1105,Master!$J:$M,3,0),"")</f>
        <v/>
      </c>
      <c r="AC1105" s="26">
        <f t="shared" si="34"/>
        <v>0</v>
      </c>
      <c r="AD1105" s="26">
        <f t="shared" si="35"/>
        <v>0</v>
      </c>
    </row>
    <row r="1106" spans="2:30" ht="15" customHeight="1">
      <c r="B1106" s="3" t="str">
        <f>IFERROR(VLOOKUP(C1106,Master!$J:$K,2,0),"")</f>
        <v/>
      </c>
      <c r="D1106" s="4" t="str">
        <f>IFERROR(VLOOKUP(E1106,Master!$J:$K,2,0),"")</f>
        <v/>
      </c>
      <c r="F1106" s="4" t="str">
        <f>IFERROR(VLOOKUP(G1106,Master!B:C,2,0),"")</f>
        <v/>
      </c>
      <c r="I1106" s="3" t="str">
        <f>IFERROR(VLOOKUP(E1106,Master!$J:$M,4,0),"")</f>
        <v/>
      </c>
      <c r="J1106" s="3" t="str">
        <f>IFERROR(VLOOKUP($E1106,Master!$J:$M,3,0),"")</f>
        <v/>
      </c>
      <c r="AC1106" s="26">
        <f t="shared" si="34"/>
        <v>0</v>
      </c>
      <c r="AD1106" s="26">
        <f t="shared" si="35"/>
        <v>0</v>
      </c>
    </row>
    <row r="1107" spans="2:30" ht="15" customHeight="1">
      <c r="B1107" s="3" t="str">
        <f>IFERROR(VLOOKUP(C1107,Master!$J:$K,2,0),"")</f>
        <v/>
      </c>
      <c r="D1107" s="4" t="str">
        <f>IFERROR(VLOOKUP(E1107,Master!$J:$K,2,0),"")</f>
        <v/>
      </c>
      <c r="F1107" s="4" t="str">
        <f>IFERROR(VLOOKUP(G1107,Master!B:C,2,0),"")</f>
        <v/>
      </c>
      <c r="I1107" s="3" t="str">
        <f>IFERROR(VLOOKUP(E1107,Master!$J:$M,4,0),"")</f>
        <v/>
      </c>
      <c r="J1107" s="3" t="str">
        <f>IFERROR(VLOOKUP($E1107,Master!$J:$M,3,0),"")</f>
        <v/>
      </c>
      <c r="AC1107" s="26">
        <f t="shared" si="34"/>
        <v>0</v>
      </c>
      <c r="AD1107" s="26">
        <f t="shared" si="35"/>
        <v>0</v>
      </c>
    </row>
    <row r="1108" spans="2:30" ht="15" customHeight="1">
      <c r="B1108" s="3" t="str">
        <f>IFERROR(VLOOKUP(C1108,Master!$J:$K,2,0),"")</f>
        <v/>
      </c>
      <c r="D1108" s="4" t="str">
        <f>IFERROR(VLOOKUP(E1108,Master!$J:$K,2,0),"")</f>
        <v/>
      </c>
      <c r="F1108" s="4" t="str">
        <f>IFERROR(VLOOKUP(G1108,Master!B:C,2,0),"")</f>
        <v/>
      </c>
      <c r="I1108" s="3" t="str">
        <f>IFERROR(VLOOKUP(E1108,Master!$J:$M,4,0),"")</f>
        <v/>
      </c>
      <c r="J1108" s="3" t="str">
        <f>IFERROR(VLOOKUP($E1108,Master!$J:$M,3,0),"")</f>
        <v/>
      </c>
      <c r="AC1108" s="26">
        <f t="shared" si="34"/>
        <v>0</v>
      </c>
      <c r="AD1108" s="26">
        <f t="shared" si="35"/>
        <v>0</v>
      </c>
    </row>
    <row r="1109" spans="2:30" ht="15" customHeight="1">
      <c r="B1109" s="3" t="str">
        <f>IFERROR(VLOOKUP(C1109,Master!$J:$K,2,0),"")</f>
        <v/>
      </c>
      <c r="D1109" s="4" t="str">
        <f>IFERROR(VLOOKUP(E1109,Master!$J:$K,2,0),"")</f>
        <v/>
      </c>
      <c r="F1109" s="4" t="str">
        <f>IFERROR(VLOOKUP(G1109,Master!B:C,2,0),"")</f>
        <v/>
      </c>
      <c r="I1109" s="3" t="str">
        <f>IFERROR(VLOOKUP(E1109,Master!$J:$M,4,0),"")</f>
        <v/>
      </c>
      <c r="J1109" s="3" t="str">
        <f>IFERROR(VLOOKUP($E1109,Master!$J:$M,3,0),"")</f>
        <v/>
      </c>
      <c r="AC1109" s="26">
        <f t="shared" si="34"/>
        <v>0</v>
      </c>
      <c r="AD1109" s="26">
        <f t="shared" si="35"/>
        <v>0</v>
      </c>
    </row>
    <row r="1110" spans="2:30" ht="15" customHeight="1">
      <c r="B1110" s="3" t="str">
        <f>IFERROR(VLOOKUP(C1110,Master!$J:$K,2,0),"")</f>
        <v/>
      </c>
      <c r="D1110" s="4" t="str">
        <f>IFERROR(VLOOKUP(E1110,Master!$J:$K,2,0),"")</f>
        <v/>
      </c>
      <c r="F1110" s="4" t="str">
        <f>IFERROR(VLOOKUP(G1110,Master!B:C,2,0),"")</f>
        <v/>
      </c>
      <c r="I1110" s="3" t="str">
        <f>IFERROR(VLOOKUP(E1110,Master!$J:$M,4,0),"")</f>
        <v/>
      </c>
      <c r="J1110" s="3" t="str">
        <f>IFERROR(VLOOKUP($E1110,Master!$J:$M,3,0),"")</f>
        <v/>
      </c>
      <c r="AC1110" s="26">
        <f t="shared" si="34"/>
        <v>0</v>
      </c>
      <c r="AD1110" s="26">
        <f t="shared" si="35"/>
        <v>0</v>
      </c>
    </row>
    <row r="1111" spans="2:30" ht="15" customHeight="1">
      <c r="B1111" s="3" t="str">
        <f>IFERROR(VLOOKUP(C1111,Master!$J:$K,2,0),"")</f>
        <v/>
      </c>
      <c r="D1111" s="4" t="str">
        <f>IFERROR(VLOOKUP(E1111,Master!$J:$K,2,0),"")</f>
        <v/>
      </c>
      <c r="F1111" s="4" t="str">
        <f>IFERROR(VLOOKUP(G1111,Master!B:C,2,0),"")</f>
        <v/>
      </c>
      <c r="I1111" s="3" t="str">
        <f>IFERROR(VLOOKUP(E1111,Master!$J:$M,4,0),"")</f>
        <v/>
      </c>
      <c r="J1111" s="3" t="str">
        <f>IFERROR(VLOOKUP($E1111,Master!$J:$M,3,0),"")</f>
        <v/>
      </c>
      <c r="AC1111" s="26">
        <f t="shared" si="34"/>
        <v>0</v>
      </c>
      <c r="AD1111" s="26">
        <f t="shared" si="35"/>
        <v>0</v>
      </c>
    </row>
    <row r="1112" spans="2:30" ht="15" customHeight="1">
      <c r="B1112" s="3" t="str">
        <f>IFERROR(VLOOKUP(C1112,Master!$J:$K,2,0),"")</f>
        <v/>
      </c>
      <c r="D1112" s="4" t="str">
        <f>IFERROR(VLOOKUP(E1112,Master!$J:$K,2,0),"")</f>
        <v/>
      </c>
      <c r="F1112" s="4" t="str">
        <f>IFERROR(VLOOKUP(G1112,Master!B:C,2,0),"")</f>
        <v/>
      </c>
      <c r="I1112" s="3" t="str">
        <f>IFERROR(VLOOKUP(E1112,Master!$J:$M,4,0),"")</f>
        <v/>
      </c>
      <c r="J1112" s="3" t="str">
        <f>IFERROR(VLOOKUP($E1112,Master!$J:$M,3,0),"")</f>
        <v/>
      </c>
      <c r="AC1112" s="26">
        <f t="shared" si="34"/>
        <v>0</v>
      </c>
      <c r="AD1112" s="26">
        <f t="shared" si="35"/>
        <v>0</v>
      </c>
    </row>
    <row r="1113" spans="2:30" ht="15" customHeight="1">
      <c r="B1113" s="3" t="str">
        <f>IFERROR(VLOOKUP(C1113,Master!$J:$K,2,0),"")</f>
        <v/>
      </c>
      <c r="D1113" s="4" t="str">
        <f>IFERROR(VLOOKUP(E1113,Master!$J:$K,2,0),"")</f>
        <v/>
      </c>
      <c r="F1113" s="4" t="str">
        <f>IFERROR(VLOOKUP(G1113,Master!B:C,2,0),"")</f>
        <v/>
      </c>
      <c r="I1113" s="3" t="str">
        <f>IFERROR(VLOOKUP(E1113,Master!$J:$M,4,0),"")</f>
        <v/>
      </c>
      <c r="J1113" s="3" t="str">
        <f>IFERROR(VLOOKUP($E1113,Master!$J:$M,3,0),"")</f>
        <v/>
      </c>
      <c r="AC1113" s="26">
        <f t="shared" si="34"/>
        <v>0</v>
      </c>
      <c r="AD1113" s="26">
        <f t="shared" si="35"/>
        <v>0</v>
      </c>
    </row>
    <row r="1114" spans="2:30" ht="15" customHeight="1">
      <c r="B1114" s="3" t="str">
        <f>IFERROR(VLOOKUP(C1114,Master!$J:$K,2,0),"")</f>
        <v/>
      </c>
      <c r="D1114" s="4" t="str">
        <f>IFERROR(VLOOKUP(E1114,Master!$J:$K,2,0),"")</f>
        <v/>
      </c>
      <c r="F1114" s="4" t="str">
        <f>IFERROR(VLOOKUP(G1114,Master!B:C,2,0),"")</f>
        <v/>
      </c>
      <c r="I1114" s="3" t="str">
        <f>IFERROR(VLOOKUP(E1114,Master!$J:$M,4,0),"")</f>
        <v/>
      </c>
      <c r="J1114" s="3" t="str">
        <f>IFERROR(VLOOKUP($E1114,Master!$J:$M,3,0),"")</f>
        <v/>
      </c>
      <c r="AC1114" s="26">
        <f t="shared" si="34"/>
        <v>0</v>
      </c>
      <c r="AD1114" s="26">
        <f t="shared" si="35"/>
        <v>0</v>
      </c>
    </row>
    <row r="1115" spans="2:30" ht="15" customHeight="1">
      <c r="B1115" s="3" t="str">
        <f>IFERROR(VLOOKUP(C1115,Master!$J:$K,2,0),"")</f>
        <v/>
      </c>
      <c r="D1115" s="4" t="str">
        <f>IFERROR(VLOOKUP(E1115,Master!$J:$K,2,0),"")</f>
        <v/>
      </c>
      <c r="F1115" s="4" t="str">
        <f>IFERROR(VLOOKUP(G1115,Master!B:C,2,0),"")</f>
        <v/>
      </c>
      <c r="I1115" s="3" t="str">
        <f>IFERROR(VLOOKUP(E1115,Master!$J:$M,4,0),"")</f>
        <v/>
      </c>
      <c r="J1115" s="3" t="str">
        <f>IFERROR(VLOOKUP($E1115,Master!$J:$M,3,0),"")</f>
        <v/>
      </c>
      <c r="AC1115" s="26">
        <f t="shared" si="34"/>
        <v>0</v>
      </c>
      <c r="AD1115" s="26">
        <f t="shared" si="35"/>
        <v>0</v>
      </c>
    </row>
    <row r="1116" spans="2:30" ht="15" customHeight="1">
      <c r="B1116" s="3" t="str">
        <f>IFERROR(VLOOKUP(C1116,Master!$J:$K,2,0),"")</f>
        <v/>
      </c>
      <c r="D1116" s="4" t="str">
        <f>IFERROR(VLOOKUP(E1116,Master!$J:$K,2,0),"")</f>
        <v/>
      </c>
      <c r="F1116" s="4" t="str">
        <f>IFERROR(VLOOKUP(G1116,Master!B:C,2,0),"")</f>
        <v/>
      </c>
      <c r="I1116" s="3" t="str">
        <f>IFERROR(VLOOKUP(E1116,Master!$J:$M,4,0),"")</f>
        <v/>
      </c>
      <c r="J1116" s="3" t="str">
        <f>IFERROR(VLOOKUP($E1116,Master!$J:$M,3,0),"")</f>
        <v/>
      </c>
      <c r="AC1116" s="26">
        <f t="shared" si="34"/>
        <v>0</v>
      </c>
      <c r="AD1116" s="26">
        <f t="shared" si="35"/>
        <v>0</v>
      </c>
    </row>
    <row r="1117" spans="2:30" ht="15" customHeight="1">
      <c r="B1117" s="3" t="str">
        <f>IFERROR(VLOOKUP(C1117,Master!$J:$K,2,0),"")</f>
        <v/>
      </c>
      <c r="D1117" s="4" t="str">
        <f>IFERROR(VLOOKUP(E1117,Master!$J:$K,2,0),"")</f>
        <v/>
      </c>
      <c r="F1117" s="4" t="str">
        <f>IFERROR(VLOOKUP(G1117,Master!B:C,2,0),"")</f>
        <v/>
      </c>
      <c r="I1117" s="3" t="str">
        <f>IFERROR(VLOOKUP(E1117,Master!$J:$M,4,0),"")</f>
        <v/>
      </c>
      <c r="J1117" s="3" t="str">
        <f>IFERROR(VLOOKUP($E1117,Master!$J:$M,3,0),"")</f>
        <v/>
      </c>
      <c r="AC1117" s="26">
        <f t="shared" si="34"/>
        <v>0</v>
      </c>
      <c r="AD1117" s="26">
        <f t="shared" si="35"/>
        <v>0</v>
      </c>
    </row>
    <row r="1118" spans="2:30" ht="15" customHeight="1">
      <c r="B1118" s="3" t="str">
        <f>IFERROR(VLOOKUP(C1118,Master!$J:$K,2,0),"")</f>
        <v/>
      </c>
      <c r="D1118" s="4" t="str">
        <f>IFERROR(VLOOKUP(E1118,Master!$J:$K,2,0),"")</f>
        <v/>
      </c>
      <c r="F1118" s="4" t="str">
        <f>IFERROR(VLOOKUP(G1118,Master!B:C,2,0),"")</f>
        <v/>
      </c>
      <c r="I1118" s="3" t="str">
        <f>IFERROR(VLOOKUP(E1118,Master!$J:$M,4,0),"")</f>
        <v/>
      </c>
      <c r="J1118" s="3" t="str">
        <f>IFERROR(VLOOKUP($E1118,Master!$J:$M,3,0),"")</f>
        <v/>
      </c>
      <c r="AC1118" s="26">
        <f t="shared" si="34"/>
        <v>0</v>
      </c>
      <c r="AD1118" s="26">
        <f t="shared" si="35"/>
        <v>0</v>
      </c>
    </row>
    <row r="1119" spans="2:30" ht="15" customHeight="1">
      <c r="B1119" s="3" t="str">
        <f>IFERROR(VLOOKUP(C1119,Master!$J:$K,2,0),"")</f>
        <v/>
      </c>
      <c r="D1119" s="4" t="str">
        <f>IFERROR(VLOOKUP(E1119,Master!$J:$K,2,0),"")</f>
        <v/>
      </c>
      <c r="F1119" s="4" t="str">
        <f>IFERROR(VLOOKUP(G1119,Master!B:C,2,0),"")</f>
        <v/>
      </c>
      <c r="I1119" s="3" t="str">
        <f>IFERROR(VLOOKUP(E1119,Master!$J:$M,4,0),"")</f>
        <v/>
      </c>
      <c r="J1119" s="3" t="str">
        <f>IFERROR(VLOOKUP($E1119,Master!$J:$M,3,0),"")</f>
        <v/>
      </c>
      <c r="AC1119" s="26">
        <f t="shared" si="34"/>
        <v>0</v>
      </c>
      <c r="AD1119" s="26">
        <f t="shared" si="35"/>
        <v>0</v>
      </c>
    </row>
    <row r="1120" spans="2:30" ht="15" customHeight="1">
      <c r="B1120" s="3" t="str">
        <f>IFERROR(VLOOKUP(C1120,Master!$J:$K,2,0),"")</f>
        <v/>
      </c>
      <c r="D1120" s="4" t="str">
        <f>IFERROR(VLOOKUP(E1120,Master!$J:$K,2,0),"")</f>
        <v/>
      </c>
      <c r="F1120" s="4" t="str">
        <f>IFERROR(VLOOKUP(G1120,Master!B:C,2,0),"")</f>
        <v/>
      </c>
      <c r="I1120" s="3" t="str">
        <f>IFERROR(VLOOKUP(E1120,Master!$J:$M,4,0),"")</f>
        <v/>
      </c>
      <c r="J1120" s="3" t="str">
        <f>IFERROR(VLOOKUP($E1120,Master!$J:$M,3,0),"")</f>
        <v/>
      </c>
      <c r="AC1120" s="26">
        <f t="shared" si="34"/>
        <v>0</v>
      </c>
      <c r="AD1120" s="26">
        <f t="shared" si="35"/>
        <v>0</v>
      </c>
    </row>
    <row r="1121" spans="2:30" ht="15" customHeight="1">
      <c r="B1121" s="3" t="str">
        <f>IFERROR(VLOOKUP(C1121,Master!$J:$K,2,0),"")</f>
        <v/>
      </c>
      <c r="D1121" s="4" t="str">
        <f>IFERROR(VLOOKUP(E1121,Master!$J:$K,2,0),"")</f>
        <v/>
      </c>
      <c r="F1121" s="4" t="str">
        <f>IFERROR(VLOOKUP(G1121,Master!B:C,2,0),"")</f>
        <v/>
      </c>
      <c r="I1121" s="3" t="str">
        <f>IFERROR(VLOOKUP(E1121,Master!$J:$M,4,0),"")</f>
        <v/>
      </c>
      <c r="J1121" s="3" t="str">
        <f>IFERROR(VLOOKUP($E1121,Master!$J:$M,3,0),"")</f>
        <v/>
      </c>
      <c r="AC1121" s="26">
        <f t="shared" si="34"/>
        <v>0</v>
      </c>
      <c r="AD1121" s="26">
        <f t="shared" si="35"/>
        <v>0</v>
      </c>
    </row>
    <row r="1122" spans="2:30" ht="15" customHeight="1">
      <c r="B1122" s="3" t="str">
        <f>IFERROR(VLOOKUP(C1122,Master!$J:$K,2,0),"")</f>
        <v/>
      </c>
      <c r="D1122" s="4" t="str">
        <f>IFERROR(VLOOKUP(E1122,Master!$J:$K,2,0),"")</f>
        <v/>
      </c>
      <c r="F1122" s="4" t="str">
        <f>IFERROR(VLOOKUP(G1122,Master!B:C,2,0),"")</f>
        <v/>
      </c>
      <c r="I1122" s="3" t="str">
        <f>IFERROR(VLOOKUP(E1122,Master!$J:$M,4,0),"")</f>
        <v/>
      </c>
      <c r="J1122" s="3" t="str">
        <f>IFERROR(VLOOKUP($E1122,Master!$J:$M,3,0),"")</f>
        <v/>
      </c>
      <c r="AC1122" s="26">
        <f t="shared" si="34"/>
        <v>0</v>
      </c>
      <c r="AD1122" s="26">
        <f t="shared" si="35"/>
        <v>0</v>
      </c>
    </row>
    <row r="1123" spans="2:30" ht="15" customHeight="1">
      <c r="B1123" s="3" t="str">
        <f>IFERROR(VLOOKUP(C1123,Master!$J:$K,2,0),"")</f>
        <v/>
      </c>
      <c r="D1123" s="4" t="str">
        <f>IFERROR(VLOOKUP(E1123,Master!$J:$K,2,0),"")</f>
        <v/>
      </c>
      <c r="F1123" s="4" t="str">
        <f>IFERROR(VLOOKUP(G1123,Master!B:C,2,0),"")</f>
        <v/>
      </c>
      <c r="I1123" s="3" t="str">
        <f>IFERROR(VLOOKUP(E1123,Master!$J:$M,4,0),"")</f>
        <v/>
      </c>
      <c r="J1123" s="3" t="str">
        <f>IFERROR(VLOOKUP($E1123,Master!$J:$M,3,0),"")</f>
        <v/>
      </c>
      <c r="AC1123" s="26">
        <f t="shared" si="34"/>
        <v>0</v>
      </c>
      <c r="AD1123" s="26">
        <f t="shared" si="35"/>
        <v>0</v>
      </c>
    </row>
    <row r="1124" spans="2:30" ht="15" customHeight="1">
      <c r="B1124" s="3" t="str">
        <f>IFERROR(VLOOKUP(C1124,Master!$J:$K,2,0),"")</f>
        <v/>
      </c>
      <c r="D1124" s="4" t="str">
        <f>IFERROR(VLOOKUP(E1124,Master!$J:$K,2,0),"")</f>
        <v/>
      </c>
      <c r="F1124" s="4" t="str">
        <f>IFERROR(VLOOKUP(G1124,Master!B:C,2,0),"")</f>
        <v/>
      </c>
      <c r="I1124" s="3" t="str">
        <f>IFERROR(VLOOKUP(E1124,Master!$J:$M,4,0),"")</f>
        <v/>
      </c>
      <c r="J1124" s="3" t="str">
        <f>IFERROR(VLOOKUP($E1124,Master!$J:$M,3,0),"")</f>
        <v/>
      </c>
      <c r="AC1124" s="26">
        <f t="shared" si="34"/>
        <v>0</v>
      </c>
      <c r="AD1124" s="26">
        <f t="shared" si="35"/>
        <v>0</v>
      </c>
    </row>
    <row r="1125" spans="2:30" ht="15" customHeight="1">
      <c r="B1125" s="3" t="str">
        <f>IFERROR(VLOOKUP(C1125,Master!$J:$K,2,0),"")</f>
        <v/>
      </c>
      <c r="D1125" s="4" t="str">
        <f>IFERROR(VLOOKUP(E1125,Master!$J:$K,2,0),"")</f>
        <v/>
      </c>
      <c r="F1125" s="4" t="str">
        <f>IFERROR(VLOOKUP(G1125,Master!B:C,2,0),"")</f>
        <v/>
      </c>
      <c r="I1125" s="3" t="str">
        <f>IFERROR(VLOOKUP(E1125,Master!$J:$M,4,0),"")</f>
        <v/>
      </c>
      <c r="J1125" s="3" t="str">
        <f>IFERROR(VLOOKUP($E1125,Master!$J:$M,3,0),"")</f>
        <v/>
      </c>
      <c r="AC1125" s="26">
        <f t="shared" si="34"/>
        <v>0</v>
      </c>
      <c r="AD1125" s="26">
        <f t="shared" si="35"/>
        <v>0</v>
      </c>
    </row>
    <row r="1126" spans="2:30" ht="15" customHeight="1">
      <c r="B1126" s="3" t="str">
        <f>IFERROR(VLOOKUP(C1126,Master!$J:$K,2,0),"")</f>
        <v/>
      </c>
      <c r="D1126" s="4" t="str">
        <f>IFERROR(VLOOKUP(E1126,Master!$J:$K,2,0),"")</f>
        <v/>
      </c>
      <c r="F1126" s="4" t="str">
        <f>IFERROR(VLOOKUP(G1126,Master!B:C,2,0),"")</f>
        <v/>
      </c>
      <c r="I1126" s="3" t="str">
        <f>IFERROR(VLOOKUP(E1126,Master!$J:$M,4,0),"")</f>
        <v/>
      </c>
      <c r="J1126" s="3" t="str">
        <f>IFERROR(VLOOKUP($E1126,Master!$J:$M,3,0),"")</f>
        <v/>
      </c>
      <c r="AC1126" s="26">
        <f t="shared" si="34"/>
        <v>0</v>
      </c>
      <c r="AD1126" s="26">
        <f t="shared" si="35"/>
        <v>0</v>
      </c>
    </row>
    <row r="1127" spans="2:30" ht="15" customHeight="1">
      <c r="B1127" s="3" t="str">
        <f>IFERROR(VLOOKUP(C1127,Master!$J:$K,2,0),"")</f>
        <v/>
      </c>
      <c r="D1127" s="4" t="str">
        <f>IFERROR(VLOOKUP(E1127,Master!$J:$K,2,0),"")</f>
        <v/>
      </c>
      <c r="F1127" s="4" t="str">
        <f>IFERROR(VLOOKUP(G1127,Master!B:C,2,0),"")</f>
        <v/>
      </c>
      <c r="I1127" s="3" t="str">
        <f>IFERROR(VLOOKUP(E1127,Master!$J:$M,4,0),"")</f>
        <v/>
      </c>
      <c r="J1127" s="3" t="str">
        <f>IFERROR(VLOOKUP($E1127,Master!$J:$M,3,0),"")</f>
        <v/>
      </c>
      <c r="AC1127" s="26">
        <f t="shared" si="34"/>
        <v>0</v>
      </c>
      <c r="AD1127" s="26">
        <f t="shared" si="35"/>
        <v>0</v>
      </c>
    </row>
    <row r="1128" spans="2:30" ht="15" customHeight="1">
      <c r="B1128" s="3" t="str">
        <f>IFERROR(VLOOKUP(C1128,Master!$J:$K,2,0),"")</f>
        <v/>
      </c>
      <c r="D1128" s="4" t="str">
        <f>IFERROR(VLOOKUP(E1128,Master!$J:$K,2,0),"")</f>
        <v/>
      </c>
      <c r="F1128" s="4" t="str">
        <f>IFERROR(VLOOKUP(G1128,Master!B:C,2,0),"")</f>
        <v/>
      </c>
      <c r="I1128" s="3" t="str">
        <f>IFERROR(VLOOKUP(E1128,Master!$J:$M,4,0),"")</f>
        <v/>
      </c>
      <c r="J1128" s="3" t="str">
        <f>IFERROR(VLOOKUP($E1128,Master!$J:$M,3,0),"")</f>
        <v/>
      </c>
      <c r="AC1128" s="26">
        <f t="shared" si="34"/>
        <v>0</v>
      </c>
      <c r="AD1128" s="26">
        <f t="shared" si="35"/>
        <v>0</v>
      </c>
    </row>
    <row r="1129" spans="2:30" ht="15" customHeight="1">
      <c r="B1129" s="3" t="str">
        <f>IFERROR(VLOOKUP(C1129,Master!$J:$K,2,0),"")</f>
        <v/>
      </c>
      <c r="D1129" s="4" t="str">
        <f>IFERROR(VLOOKUP(E1129,Master!$J:$K,2,0),"")</f>
        <v/>
      </c>
      <c r="F1129" s="4" t="str">
        <f>IFERROR(VLOOKUP(G1129,Master!B:C,2,0),"")</f>
        <v/>
      </c>
      <c r="I1129" s="3" t="str">
        <f>IFERROR(VLOOKUP(E1129,Master!$J:$M,4,0),"")</f>
        <v/>
      </c>
      <c r="J1129" s="3" t="str">
        <f>IFERROR(VLOOKUP($E1129,Master!$J:$M,3,0),"")</f>
        <v/>
      </c>
      <c r="AC1129" s="26">
        <f t="shared" ref="AC1129:AC1192" si="36">SUM(K1129:P1129)</f>
        <v>0</v>
      </c>
      <c r="AD1129" s="26">
        <f t="shared" ref="AD1129:AD1192" si="37">SUM(Q1129:AB1129)</f>
        <v>0</v>
      </c>
    </row>
    <row r="1130" spans="2:30" ht="15" customHeight="1">
      <c r="B1130" s="3" t="str">
        <f>IFERROR(VLOOKUP(C1130,Master!$J:$K,2,0),"")</f>
        <v/>
      </c>
      <c r="D1130" s="4" t="str">
        <f>IFERROR(VLOOKUP(E1130,Master!$J:$K,2,0),"")</f>
        <v/>
      </c>
      <c r="F1130" s="4" t="str">
        <f>IFERROR(VLOOKUP(G1130,Master!B:C,2,0),"")</f>
        <v/>
      </c>
      <c r="I1130" s="3" t="str">
        <f>IFERROR(VLOOKUP(E1130,Master!$J:$M,4,0),"")</f>
        <v/>
      </c>
      <c r="J1130" s="3" t="str">
        <f>IFERROR(VLOOKUP($E1130,Master!$J:$M,3,0),"")</f>
        <v/>
      </c>
      <c r="AC1130" s="26">
        <f t="shared" si="36"/>
        <v>0</v>
      </c>
      <c r="AD1130" s="26">
        <f t="shared" si="37"/>
        <v>0</v>
      </c>
    </row>
    <row r="1131" spans="2:30" ht="15" customHeight="1">
      <c r="B1131" s="3" t="str">
        <f>IFERROR(VLOOKUP(C1131,Master!$J:$K,2,0),"")</f>
        <v/>
      </c>
      <c r="D1131" s="4" t="str">
        <f>IFERROR(VLOOKUP(E1131,Master!$J:$K,2,0),"")</f>
        <v/>
      </c>
      <c r="F1131" s="4" t="str">
        <f>IFERROR(VLOOKUP(G1131,Master!B:C,2,0),"")</f>
        <v/>
      </c>
      <c r="I1131" s="3" t="str">
        <f>IFERROR(VLOOKUP(E1131,Master!$J:$M,4,0),"")</f>
        <v/>
      </c>
      <c r="J1131" s="3" t="str">
        <f>IFERROR(VLOOKUP($E1131,Master!$J:$M,3,0),"")</f>
        <v/>
      </c>
      <c r="AC1131" s="26">
        <f t="shared" si="36"/>
        <v>0</v>
      </c>
      <c r="AD1131" s="26">
        <f t="shared" si="37"/>
        <v>0</v>
      </c>
    </row>
    <row r="1132" spans="2:30" ht="15" customHeight="1">
      <c r="B1132" s="3" t="str">
        <f>IFERROR(VLOOKUP(C1132,Master!$J:$K,2,0),"")</f>
        <v/>
      </c>
      <c r="D1132" s="4" t="str">
        <f>IFERROR(VLOOKUP(E1132,Master!$J:$K,2,0),"")</f>
        <v/>
      </c>
      <c r="F1132" s="4" t="str">
        <f>IFERROR(VLOOKUP(G1132,Master!B:C,2,0),"")</f>
        <v/>
      </c>
      <c r="I1132" s="3" t="str">
        <f>IFERROR(VLOOKUP(E1132,Master!$J:$M,4,0),"")</f>
        <v/>
      </c>
      <c r="J1132" s="3" t="str">
        <f>IFERROR(VLOOKUP($E1132,Master!$J:$M,3,0),"")</f>
        <v/>
      </c>
      <c r="AC1132" s="26">
        <f t="shared" si="36"/>
        <v>0</v>
      </c>
      <c r="AD1132" s="26">
        <f t="shared" si="37"/>
        <v>0</v>
      </c>
    </row>
    <row r="1133" spans="2:30" ht="15" customHeight="1">
      <c r="B1133" s="3" t="str">
        <f>IFERROR(VLOOKUP(C1133,Master!$J:$K,2,0),"")</f>
        <v/>
      </c>
      <c r="D1133" s="4" t="str">
        <f>IFERROR(VLOOKUP(E1133,Master!$J:$K,2,0),"")</f>
        <v/>
      </c>
      <c r="F1133" s="4" t="str">
        <f>IFERROR(VLOOKUP(G1133,Master!B:C,2,0),"")</f>
        <v/>
      </c>
      <c r="I1133" s="3" t="str">
        <f>IFERROR(VLOOKUP(E1133,Master!$J:$M,4,0),"")</f>
        <v/>
      </c>
      <c r="J1133" s="3" t="str">
        <f>IFERROR(VLOOKUP($E1133,Master!$J:$M,3,0),"")</f>
        <v/>
      </c>
      <c r="AC1133" s="26">
        <f t="shared" si="36"/>
        <v>0</v>
      </c>
      <c r="AD1133" s="26">
        <f t="shared" si="37"/>
        <v>0</v>
      </c>
    </row>
    <row r="1134" spans="2:30" ht="15" customHeight="1">
      <c r="B1134" s="3" t="str">
        <f>IFERROR(VLOOKUP(C1134,Master!$J:$K,2,0),"")</f>
        <v/>
      </c>
      <c r="D1134" s="4" t="str">
        <f>IFERROR(VLOOKUP(E1134,Master!$J:$K,2,0),"")</f>
        <v/>
      </c>
      <c r="F1134" s="4" t="str">
        <f>IFERROR(VLOOKUP(G1134,Master!B:C,2,0),"")</f>
        <v/>
      </c>
      <c r="I1134" s="3" t="str">
        <f>IFERROR(VLOOKUP(E1134,Master!$J:$M,4,0),"")</f>
        <v/>
      </c>
      <c r="J1134" s="3" t="str">
        <f>IFERROR(VLOOKUP($E1134,Master!$J:$M,3,0),"")</f>
        <v/>
      </c>
      <c r="AC1134" s="26">
        <f t="shared" si="36"/>
        <v>0</v>
      </c>
      <c r="AD1134" s="26">
        <f t="shared" si="37"/>
        <v>0</v>
      </c>
    </row>
    <row r="1135" spans="2:30" ht="15" customHeight="1">
      <c r="B1135" s="3" t="str">
        <f>IFERROR(VLOOKUP(C1135,Master!$J:$K,2,0),"")</f>
        <v/>
      </c>
      <c r="D1135" s="4" t="str">
        <f>IFERROR(VLOOKUP(E1135,Master!$J:$K,2,0),"")</f>
        <v/>
      </c>
      <c r="F1135" s="4" t="str">
        <f>IFERROR(VLOOKUP(G1135,Master!B:C,2,0),"")</f>
        <v/>
      </c>
      <c r="I1135" s="3" t="str">
        <f>IFERROR(VLOOKUP(E1135,Master!$J:$M,4,0),"")</f>
        <v/>
      </c>
      <c r="J1135" s="3" t="str">
        <f>IFERROR(VLOOKUP($E1135,Master!$J:$M,3,0),"")</f>
        <v/>
      </c>
      <c r="AC1135" s="26">
        <f t="shared" si="36"/>
        <v>0</v>
      </c>
      <c r="AD1135" s="26">
        <f t="shared" si="37"/>
        <v>0</v>
      </c>
    </row>
    <row r="1136" spans="2:30" ht="15" customHeight="1">
      <c r="B1136" s="3" t="str">
        <f>IFERROR(VLOOKUP(C1136,Master!$J:$K,2,0),"")</f>
        <v/>
      </c>
      <c r="D1136" s="4" t="str">
        <f>IFERROR(VLOOKUP(E1136,Master!$J:$K,2,0),"")</f>
        <v/>
      </c>
      <c r="F1136" s="4" t="str">
        <f>IFERROR(VLOOKUP(G1136,Master!B:C,2,0),"")</f>
        <v/>
      </c>
      <c r="I1136" s="3" t="str">
        <f>IFERROR(VLOOKUP(E1136,Master!$J:$M,4,0),"")</f>
        <v/>
      </c>
      <c r="J1136" s="3" t="str">
        <f>IFERROR(VLOOKUP($E1136,Master!$J:$M,3,0),"")</f>
        <v/>
      </c>
      <c r="AC1136" s="26">
        <f t="shared" si="36"/>
        <v>0</v>
      </c>
      <c r="AD1136" s="26">
        <f t="shared" si="37"/>
        <v>0</v>
      </c>
    </row>
    <row r="1137" spans="2:30" ht="15" customHeight="1">
      <c r="B1137" s="3" t="str">
        <f>IFERROR(VLOOKUP(C1137,Master!$J:$K,2,0),"")</f>
        <v/>
      </c>
      <c r="D1137" s="4" t="str">
        <f>IFERROR(VLOOKUP(E1137,Master!$J:$K,2,0),"")</f>
        <v/>
      </c>
      <c r="F1137" s="4" t="str">
        <f>IFERROR(VLOOKUP(G1137,Master!B:C,2,0),"")</f>
        <v/>
      </c>
      <c r="I1137" s="3" t="str">
        <f>IFERROR(VLOOKUP(E1137,Master!$J:$M,4,0),"")</f>
        <v/>
      </c>
      <c r="J1137" s="3" t="str">
        <f>IFERROR(VLOOKUP($E1137,Master!$J:$M,3,0),"")</f>
        <v/>
      </c>
      <c r="AC1137" s="26">
        <f t="shared" si="36"/>
        <v>0</v>
      </c>
      <c r="AD1137" s="26">
        <f t="shared" si="37"/>
        <v>0</v>
      </c>
    </row>
    <row r="1138" spans="2:30" ht="15" customHeight="1">
      <c r="B1138" s="3" t="str">
        <f>IFERROR(VLOOKUP(C1138,Master!$J:$K,2,0),"")</f>
        <v/>
      </c>
      <c r="D1138" s="4" t="str">
        <f>IFERROR(VLOOKUP(E1138,Master!$J:$K,2,0),"")</f>
        <v/>
      </c>
      <c r="F1138" s="4" t="str">
        <f>IFERROR(VLOOKUP(G1138,Master!B:C,2,0),"")</f>
        <v/>
      </c>
      <c r="I1138" s="3" t="str">
        <f>IFERROR(VLOOKUP(E1138,Master!$J:$M,4,0),"")</f>
        <v/>
      </c>
      <c r="J1138" s="3" t="str">
        <f>IFERROR(VLOOKUP($E1138,Master!$J:$M,3,0),"")</f>
        <v/>
      </c>
      <c r="AC1138" s="26">
        <f t="shared" si="36"/>
        <v>0</v>
      </c>
      <c r="AD1138" s="26">
        <f t="shared" si="37"/>
        <v>0</v>
      </c>
    </row>
    <row r="1139" spans="2:30" ht="15" customHeight="1">
      <c r="B1139" s="3" t="str">
        <f>IFERROR(VLOOKUP(C1139,Master!$J:$K,2,0),"")</f>
        <v/>
      </c>
      <c r="D1139" s="4" t="str">
        <f>IFERROR(VLOOKUP(E1139,Master!$J:$K,2,0),"")</f>
        <v/>
      </c>
      <c r="F1139" s="4" t="str">
        <f>IFERROR(VLOOKUP(G1139,Master!B:C,2,0),"")</f>
        <v/>
      </c>
      <c r="I1139" s="3" t="str">
        <f>IFERROR(VLOOKUP(E1139,Master!$J:$M,4,0),"")</f>
        <v/>
      </c>
      <c r="J1139" s="3" t="str">
        <f>IFERROR(VLOOKUP($E1139,Master!$J:$M,3,0),"")</f>
        <v/>
      </c>
      <c r="AC1139" s="26">
        <f t="shared" si="36"/>
        <v>0</v>
      </c>
      <c r="AD1139" s="26">
        <f t="shared" si="37"/>
        <v>0</v>
      </c>
    </row>
    <row r="1140" spans="2:30" ht="15" customHeight="1">
      <c r="B1140" s="3" t="str">
        <f>IFERROR(VLOOKUP(C1140,Master!$J:$K,2,0),"")</f>
        <v/>
      </c>
      <c r="D1140" s="4" t="str">
        <f>IFERROR(VLOOKUP(E1140,Master!$J:$K,2,0),"")</f>
        <v/>
      </c>
      <c r="F1140" s="4" t="str">
        <f>IFERROR(VLOOKUP(G1140,Master!B:C,2,0),"")</f>
        <v/>
      </c>
      <c r="I1140" s="3" t="str">
        <f>IFERROR(VLOOKUP(E1140,Master!$J:$M,4,0),"")</f>
        <v/>
      </c>
      <c r="J1140" s="3" t="str">
        <f>IFERROR(VLOOKUP($E1140,Master!$J:$M,3,0),"")</f>
        <v/>
      </c>
      <c r="AC1140" s="26">
        <f t="shared" si="36"/>
        <v>0</v>
      </c>
      <c r="AD1140" s="26">
        <f t="shared" si="37"/>
        <v>0</v>
      </c>
    </row>
    <row r="1141" spans="2:30" ht="15" customHeight="1">
      <c r="B1141" s="3" t="str">
        <f>IFERROR(VLOOKUP(C1141,Master!$J:$K,2,0),"")</f>
        <v/>
      </c>
      <c r="D1141" s="4" t="str">
        <f>IFERROR(VLOOKUP(E1141,Master!$J:$K,2,0),"")</f>
        <v/>
      </c>
      <c r="F1141" s="4" t="str">
        <f>IFERROR(VLOOKUP(G1141,Master!B:C,2,0),"")</f>
        <v/>
      </c>
      <c r="I1141" s="3" t="str">
        <f>IFERROR(VLOOKUP(E1141,Master!$J:$M,4,0),"")</f>
        <v/>
      </c>
      <c r="J1141" s="3" t="str">
        <f>IFERROR(VLOOKUP($E1141,Master!$J:$M,3,0),"")</f>
        <v/>
      </c>
      <c r="AC1141" s="26">
        <f t="shared" si="36"/>
        <v>0</v>
      </c>
      <c r="AD1141" s="26">
        <f t="shared" si="37"/>
        <v>0</v>
      </c>
    </row>
    <row r="1142" spans="2:30" ht="15" customHeight="1">
      <c r="B1142" s="3" t="str">
        <f>IFERROR(VLOOKUP(C1142,Master!$J:$K,2,0),"")</f>
        <v/>
      </c>
      <c r="D1142" s="4" t="str">
        <f>IFERROR(VLOOKUP(E1142,Master!$J:$K,2,0),"")</f>
        <v/>
      </c>
      <c r="F1142" s="4" t="str">
        <f>IFERROR(VLOOKUP(G1142,Master!B:C,2,0),"")</f>
        <v/>
      </c>
      <c r="I1142" s="3" t="str">
        <f>IFERROR(VLOOKUP(E1142,Master!$J:$M,4,0),"")</f>
        <v/>
      </c>
      <c r="J1142" s="3" t="str">
        <f>IFERROR(VLOOKUP($E1142,Master!$J:$M,3,0),"")</f>
        <v/>
      </c>
      <c r="AC1142" s="26">
        <f t="shared" si="36"/>
        <v>0</v>
      </c>
      <c r="AD1142" s="26">
        <f t="shared" si="37"/>
        <v>0</v>
      </c>
    </row>
    <row r="1143" spans="2:30" ht="15" customHeight="1">
      <c r="B1143" s="3" t="str">
        <f>IFERROR(VLOOKUP(C1143,Master!$J:$K,2,0),"")</f>
        <v/>
      </c>
      <c r="D1143" s="4" t="str">
        <f>IFERROR(VLOOKUP(E1143,Master!$J:$K,2,0),"")</f>
        <v/>
      </c>
      <c r="F1143" s="4" t="str">
        <f>IFERROR(VLOOKUP(G1143,Master!B:C,2,0),"")</f>
        <v/>
      </c>
      <c r="I1143" s="3" t="str">
        <f>IFERROR(VLOOKUP(E1143,Master!$J:$M,4,0),"")</f>
        <v/>
      </c>
      <c r="J1143" s="3" t="str">
        <f>IFERROR(VLOOKUP($E1143,Master!$J:$M,3,0),"")</f>
        <v/>
      </c>
      <c r="AC1143" s="26">
        <f t="shared" si="36"/>
        <v>0</v>
      </c>
      <c r="AD1143" s="26">
        <f t="shared" si="37"/>
        <v>0</v>
      </c>
    </row>
    <row r="1144" spans="2:30" ht="15" customHeight="1">
      <c r="B1144" s="3" t="str">
        <f>IFERROR(VLOOKUP(C1144,Master!$J:$K,2,0),"")</f>
        <v/>
      </c>
      <c r="D1144" s="4" t="str">
        <f>IFERROR(VLOOKUP(E1144,Master!$J:$K,2,0),"")</f>
        <v/>
      </c>
      <c r="F1144" s="4" t="str">
        <f>IFERROR(VLOOKUP(G1144,Master!B:C,2,0),"")</f>
        <v/>
      </c>
      <c r="I1144" s="3" t="str">
        <f>IFERROR(VLOOKUP(E1144,Master!$J:$M,4,0),"")</f>
        <v/>
      </c>
      <c r="J1144" s="3" t="str">
        <f>IFERROR(VLOOKUP($E1144,Master!$J:$M,3,0),"")</f>
        <v/>
      </c>
      <c r="AC1144" s="26">
        <f t="shared" si="36"/>
        <v>0</v>
      </c>
      <c r="AD1144" s="26">
        <f t="shared" si="37"/>
        <v>0</v>
      </c>
    </row>
    <row r="1145" spans="2:30" ht="15" customHeight="1">
      <c r="B1145" s="3" t="str">
        <f>IFERROR(VLOOKUP(C1145,Master!$J:$K,2,0),"")</f>
        <v/>
      </c>
      <c r="D1145" s="4" t="str">
        <f>IFERROR(VLOOKUP(E1145,Master!$J:$K,2,0),"")</f>
        <v/>
      </c>
      <c r="F1145" s="4" t="str">
        <f>IFERROR(VLOOKUP(G1145,Master!B:C,2,0),"")</f>
        <v/>
      </c>
      <c r="I1145" s="3" t="str">
        <f>IFERROR(VLOOKUP(E1145,Master!$J:$M,4,0),"")</f>
        <v/>
      </c>
      <c r="J1145" s="3" t="str">
        <f>IFERROR(VLOOKUP($E1145,Master!$J:$M,3,0),"")</f>
        <v/>
      </c>
      <c r="AC1145" s="26">
        <f t="shared" si="36"/>
        <v>0</v>
      </c>
      <c r="AD1145" s="26">
        <f t="shared" si="37"/>
        <v>0</v>
      </c>
    </row>
    <row r="1146" spans="2:30" ht="15" customHeight="1">
      <c r="B1146" s="3" t="str">
        <f>IFERROR(VLOOKUP(C1146,Master!$J:$K,2,0),"")</f>
        <v/>
      </c>
      <c r="D1146" s="4" t="str">
        <f>IFERROR(VLOOKUP(E1146,Master!$J:$K,2,0),"")</f>
        <v/>
      </c>
      <c r="F1146" s="4" t="str">
        <f>IFERROR(VLOOKUP(G1146,Master!B:C,2,0),"")</f>
        <v/>
      </c>
      <c r="I1146" s="3" t="str">
        <f>IFERROR(VLOOKUP(E1146,Master!$J:$M,4,0),"")</f>
        <v/>
      </c>
      <c r="J1146" s="3" t="str">
        <f>IFERROR(VLOOKUP($E1146,Master!$J:$M,3,0),"")</f>
        <v/>
      </c>
      <c r="AC1146" s="26">
        <f t="shared" si="36"/>
        <v>0</v>
      </c>
      <c r="AD1146" s="26">
        <f t="shared" si="37"/>
        <v>0</v>
      </c>
    </row>
    <row r="1147" spans="2:30" ht="15" customHeight="1">
      <c r="B1147" s="3" t="str">
        <f>IFERROR(VLOOKUP(C1147,Master!$J:$K,2,0),"")</f>
        <v/>
      </c>
      <c r="D1147" s="4" t="str">
        <f>IFERROR(VLOOKUP(E1147,Master!$J:$K,2,0),"")</f>
        <v/>
      </c>
      <c r="F1147" s="4" t="str">
        <f>IFERROR(VLOOKUP(G1147,Master!B:C,2,0),"")</f>
        <v/>
      </c>
      <c r="I1147" s="3" t="str">
        <f>IFERROR(VLOOKUP(E1147,Master!$J:$M,4,0),"")</f>
        <v/>
      </c>
      <c r="J1147" s="3" t="str">
        <f>IFERROR(VLOOKUP($E1147,Master!$J:$M,3,0),"")</f>
        <v/>
      </c>
      <c r="AC1147" s="26">
        <f t="shared" si="36"/>
        <v>0</v>
      </c>
      <c r="AD1147" s="26">
        <f t="shared" si="37"/>
        <v>0</v>
      </c>
    </row>
    <row r="1148" spans="2:30" ht="15" customHeight="1">
      <c r="B1148" s="3" t="str">
        <f>IFERROR(VLOOKUP(C1148,Master!$J:$K,2,0),"")</f>
        <v/>
      </c>
      <c r="D1148" s="4" t="str">
        <f>IFERROR(VLOOKUP(E1148,Master!$J:$K,2,0),"")</f>
        <v/>
      </c>
      <c r="F1148" s="4" t="str">
        <f>IFERROR(VLOOKUP(G1148,Master!B:C,2,0),"")</f>
        <v/>
      </c>
      <c r="I1148" s="3" t="str">
        <f>IFERROR(VLOOKUP(E1148,Master!$J:$M,4,0),"")</f>
        <v/>
      </c>
      <c r="J1148" s="3" t="str">
        <f>IFERROR(VLOOKUP($E1148,Master!$J:$M,3,0),"")</f>
        <v/>
      </c>
      <c r="AC1148" s="26">
        <f t="shared" si="36"/>
        <v>0</v>
      </c>
      <c r="AD1148" s="26">
        <f t="shared" si="37"/>
        <v>0</v>
      </c>
    </row>
    <row r="1149" spans="2:30" ht="15" customHeight="1">
      <c r="B1149" s="3" t="str">
        <f>IFERROR(VLOOKUP(C1149,Master!$J:$K,2,0),"")</f>
        <v/>
      </c>
      <c r="D1149" s="4" t="str">
        <f>IFERROR(VLOOKUP(E1149,Master!$J:$K,2,0),"")</f>
        <v/>
      </c>
      <c r="F1149" s="4" t="str">
        <f>IFERROR(VLOOKUP(G1149,Master!B:C,2,0),"")</f>
        <v/>
      </c>
      <c r="I1149" s="3" t="str">
        <f>IFERROR(VLOOKUP(E1149,Master!$J:$M,4,0),"")</f>
        <v/>
      </c>
      <c r="J1149" s="3" t="str">
        <f>IFERROR(VLOOKUP($E1149,Master!$J:$M,3,0),"")</f>
        <v/>
      </c>
      <c r="AC1149" s="26">
        <f t="shared" si="36"/>
        <v>0</v>
      </c>
      <c r="AD1149" s="26">
        <f t="shared" si="37"/>
        <v>0</v>
      </c>
    </row>
    <row r="1150" spans="2:30" ht="15" customHeight="1">
      <c r="B1150" s="3" t="str">
        <f>IFERROR(VLOOKUP(C1150,Master!$J:$K,2,0),"")</f>
        <v/>
      </c>
      <c r="D1150" s="4" t="str">
        <f>IFERROR(VLOOKUP(E1150,Master!$J:$K,2,0),"")</f>
        <v/>
      </c>
      <c r="F1150" s="4" t="str">
        <f>IFERROR(VLOOKUP(G1150,Master!B:C,2,0),"")</f>
        <v/>
      </c>
      <c r="I1150" s="3" t="str">
        <f>IFERROR(VLOOKUP(E1150,Master!$J:$M,4,0),"")</f>
        <v/>
      </c>
      <c r="J1150" s="3" t="str">
        <f>IFERROR(VLOOKUP($E1150,Master!$J:$M,3,0),"")</f>
        <v/>
      </c>
      <c r="AC1150" s="26">
        <f t="shared" si="36"/>
        <v>0</v>
      </c>
      <c r="AD1150" s="26">
        <f t="shared" si="37"/>
        <v>0</v>
      </c>
    </row>
    <row r="1151" spans="2:30" ht="15" customHeight="1">
      <c r="B1151" s="3" t="str">
        <f>IFERROR(VLOOKUP(C1151,Master!$J:$K,2,0),"")</f>
        <v/>
      </c>
      <c r="D1151" s="4" t="str">
        <f>IFERROR(VLOOKUP(E1151,Master!$J:$K,2,0),"")</f>
        <v/>
      </c>
      <c r="F1151" s="4" t="str">
        <f>IFERROR(VLOOKUP(G1151,Master!B:C,2,0),"")</f>
        <v/>
      </c>
      <c r="I1151" s="3" t="str">
        <f>IFERROR(VLOOKUP(E1151,Master!$J:$M,4,0),"")</f>
        <v/>
      </c>
      <c r="J1151" s="3" t="str">
        <f>IFERROR(VLOOKUP($E1151,Master!$J:$M,3,0),"")</f>
        <v/>
      </c>
      <c r="AC1151" s="26">
        <f t="shared" si="36"/>
        <v>0</v>
      </c>
      <c r="AD1151" s="26">
        <f t="shared" si="37"/>
        <v>0</v>
      </c>
    </row>
    <row r="1152" spans="2:30" ht="15" customHeight="1">
      <c r="B1152" s="3" t="str">
        <f>IFERROR(VLOOKUP(C1152,Master!$J:$K,2,0),"")</f>
        <v/>
      </c>
      <c r="D1152" s="4" t="str">
        <f>IFERROR(VLOOKUP(E1152,Master!$J:$K,2,0),"")</f>
        <v/>
      </c>
      <c r="F1152" s="4" t="str">
        <f>IFERROR(VLOOKUP(G1152,Master!B:C,2,0),"")</f>
        <v/>
      </c>
      <c r="I1152" s="3" t="str">
        <f>IFERROR(VLOOKUP(E1152,Master!$J:$M,4,0),"")</f>
        <v/>
      </c>
      <c r="J1152" s="3" t="str">
        <f>IFERROR(VLOOKUP($E1152,Master!$J:$M,3,0),"")</f>
        <v/>
      </c>
      <c r="AC1152" s="26">
        <f t="shared" si="36"/>
        <v>0</v>
      </c>
      <c r="AD1152" s="26">
        <f t="shared" si="37"/>
        <v>0</v>
      </c>
    </row>
    <row r="1153" spans="2:30" ht="15" customHeight="1">
      <c r="B1153" s="3" t="str">
        <f>IFERROR(VLOOKUP(C1153,Master!$J:$K,2,0),"")</f>
        <v/>
      </c>
      <c r="D1153" s="4" t="str">
        <f>IFERROR(VLOOKUP(E1153,Master!$J:$K,2,0),"")</f>
        <v/>
      </c>
      <c r="F1153" s="4" t="str">
        <f>IFERROR(VLOOKUP(G1153,Master!B:C,2,0),"")</f>
        <v/>
      </c>
      <c r="I1153" s="3" t="str">
        <f>IFERROR(VLOOKUP(E1153,Master!$J:$M,4,0),"")</f>
        <v/>
      </c>
      <c r="J1153" s="3" t="str">
        <f>IFERROR(VLOOKUP($E1153,Master!$J:$M,3,0),"")</f>
        <v/>
      </c>
      <c r="AC1153" s="26">
        <f t="shared" si="36"/>
        <v>0</v>
      </c>
      <c r="AD1153" s="26">
        <f t="shared" si="37"/>
        <v>0</v>
      </c>
    </row>
    <row r="1154" spans="2:30" ht="15" customHeight="1">
      <c r="B1154" s="3" t="str">
        <f>IFERROR(VLOOKUP(C1154,Master!$J:$K,2,0),"")</f>
        <v/>
      </c>
      <c r="D1154" s="4" t="str">
        <f>IFERROR(VLOOKUP(E1154,Master!$J:$K,2,0),"")</f>
        <v/>
      </c>
      <c r="F1154" s="4" t="str">
        <f>IFERROR(VLOOKUP(G1154,Master!B:C,2,0),"")</f>
        <v/>
      </c>
      <c r="I1154" s="3" t="str">
        <f>IFERROR(VLOOKUP(E1154,Master!$J:$M,4,0),"")</f>
        <v/>
      </c>
      <c r="J1154" s="3" t="str">
        <f>IFERROR(VLOOKUP($E1154,Master!$J:$M,3,0),"")</f>
        <v/>
      </c>
      <c r="AC1154" s="26">
        <f t="shared" si="36"/>
        <v>0</v>
      </c>
      <c r="AD1154" s="26">
        <f t="shared" si="37"/>
        <v>0</v>
      </c>
    </row>
    <row r="1155" spans="2:30" ht="15" customHeight="1">
      <c r="B1155" s="3" t="str">
        <f>IFERROR(VLOOKUP(C1155,Master!$J:$K,2,0),"")</f>
        <v/>
      </c>
      <c r="D1155" s="4" t="str">
        <f>IFERROR(VLOOKUP(E1155,Master!$J:$K,2,0),"")</f>
        <v/>
      </c>
      <c r="F1155" s="4" t="str">
        <f>IFERROR(VLOOKUP(G1155,Master!B:C,2,0),"")</f>
        <v/>
      </c>
      <c r="I1155" s="3" t="str">
        <f>IFERROR(VLOOKUP(E1155,Master!$J:$M,4,0),"")</f>
        <v/>
      </c>
      <c r="J1155" s="3" t="str">
        <f>IFERROR(VLOOKUP($E1155,Master!$J:$M,3,0),"")</f>
        <v/>
      </c>
      <c r="AC1155" s="26">
        <f t="shared" si="36"/>
        <v>0</v>
      </c>
      <c r="AD1155" s="26">
        <f t="shared" si="37"/>
        <v>0</v>
      </c>
    </row>
    <row r="1156" spans="2:30" ht="15" customHeight="1">
      <c r="B1156" s="3" t="str">
        <f>IFERROR(VLOOKUP(C1156,Master!$J:$K,2,0),"")</f>
        <v/>
      </c>
      <c r="D1156" s="4" t="str">
        <f>IFERROR(VLOOKUP(E1156,Master!$J:$K,2,0),"")</f>
        <v/>
      </c>
      <c r="F1156" s="4" t="str">
        <f>IFERROR(VLOOKUP(G1156,Master!B:C,2,0),"")</f>
        <v/>
      </c>
      <c r="I1156" s="3" t="str">
        <f>IFERROR(VLOOKUP(E1156,Master!$J:$M,4,0),"")</f>
        <v/>
      </c>
      <c r="J1156" s="3" t="str">
        <f>IFERROR(VLOOKUP($E1156,Master!$J:$M,3,0),"")</f>
        <v/>
      </c>
      <c r="AC1156" s="26">
        <f t="shared" si="36"/>
        <v>0</v>
      </c>
      <c r="AD1156" s="26">
        <f t="shared" si="37"/>
        <v>0</v>
      </c>
    </row>
    <row r="1157" spans="2:30" ht="15" customHeight="1">
      <c r="B1157" s="3" t="str">
        <f>IFERROR(VLOOKUP(C1157,Master!$J:$K,2,0),"")</f>
        <v/>
      </c>
      <c r="D1157" s="4" t="str">
        <f>IFERROR(VLOOKUP(E1157,Master!$J:$K,2,0),"")</f>
        <v/>
      </c>
      <c r="F1157" s="4" t="str">
        <f>IFERROR(VLOOKUP(G1157,Master!B:C,2,0),"")</f>
        <v/>
      </c>
      <c r="I1157" s="3" t="str">
        <f>IFERROR(VLOOKUP(E1157,Master!$J:$M,4,0),"")</f>
        <v/>
      </c>
      <c r="J1157" s="3" t="str">
        <f>IFERROR(VLOOKUP($E1157,Master!$J:$M,3,0),"")</f>
        <v/>
      </c>
      <c r="AC1157" s="26">
        <f t="shared" si="36"/>
        <v>0</v>
      </c>
      <c r="AD1157" s="26">
        <f t="shared" si="37"/>
        <v>0</v>
      </c>
    </row>
    <row r="1158" spans="2:30" ht="15" customHeight="1">
      <c r="B1158" s="3" t="str">
        <f>IFERROR(VLOOKUP(C1158,Master!$J:$K,2,0),"")</f>
        <v/>
      </c>
      <c r="D1158" s="4" t="str">
        <f>IFERROR(VLOOKUP(E1158,Master!$J:$K,2,0),"")</f>
        <v/>
      </c>
      <c r="F1158" s="4" t="str">
        <f>IFERROR(VLOOKUP(G1158,Master!B:C,2,0),"")</f>
        <v/>
      </c>
      <c r="I1158" s="3" t="str">
        <f>IFERROR(VLOOKUP(E1158,Master!$J:$M,4,0),"")</f>
        <v/>
      </c>
      <c r="J1158" s="3" t="str">
        <f>IFERROR(VLOOKUP($E1158,Master!$J:$M,3,0),"")</f>
        <v/>
      </c>
      <c r="AC1158" s="26">
        <f t="shared" si="36"/>
        <v>0</v>
      </c>
      <c r="AD1158" s="26">
        <f t="shared" si="37"/>
        <v>0</v>
      </c>
    </row>
    <row r="1159" spans="2:30" ht="15" customHeight="1">
      <c r="B1159" s="3" t="str">
        <f>IFERROR(VLOOKUP(C1159,Master!$J:$K,2,0),"")</f>
        <v/>
      </c>
      <c r="D1159" s="4" t="str">
        <f>IFERROR(VLOOKUP(E1159,Master!$J:$K,2,0),"")</f>
        <v/>
      </c>
      <c r="F1159" s="4" t="str">
        <f>IFERROR(VLOOKUP(G1159,Master!B:C,2,0),"")</f>
        <v/>
      </c>
      <c r="I1159" s="3" t="str">
        <f>IFERROR(VLOOKUP(E1159,Master!$J:$M,4,0),"")</f>
        <v/>
      </c>
      <c r="J1159" s="3" t="str">
        <f>IFERROR(VLOOKUP($E1159,Master!$J:$M,3,0),"")</f>
        <v/>
      </c>
      <c r="AC1159" s="26">
        <f t="shared" si="36"/>
        <v>0</v>
      </c>
      <c r="AD1159" s="26">
        <f t="shared" si="37"/>
        <v>0</v>
      </c>
    </row>
    <row r="1160" spans="2:30" ht="15" customHeight="1">
      <c r="B1160" s="3" t="str">
        <f>IFERROR(VLOOKUP(C1160,Master!$J:$K,2,0),"")</f>
        <v/>
      </c>
      <c r="D1160" s="4" t="str">
        <f>IFERROR(VLOOKUP(E1160,Master!$J:$K,2,0),"")</f>
        <v/>
      </c>
      <c r="F1160" s="4" t="str">
        <f>IFERROR(VLOOKUP(G1160,Master!B:C,2,0),"")</f>
        <v/>
      </c>
      <c r="I1160" s="3" t="str">
        <f>IFERROR(VLOOKUP(E1160,Master!$J:$M,4,0),"")</f>
        <v/>
      </c>
      <c r="J1160" s="3" t="str">
        <f>IFERROR(VLOOKUP($E1160,Master!$J:$M,3,0),"")</f>
        <v/>
      </c>
      <c r="AC1160" s="26">
        <f t="shared" si="36"/>
        <v>0</v>
      </c>
      <c r="AD1160" s="26">
        <f t="shared" si="37"/>
        <v>0</v>
      </c>
    </row>
    <row r="1161" spans="2:30" ht="15" customHeight="1">
      <c r="B1161" s="3" t="str">
        <f>IFERROR(VLOOKUP(C1161,Master!$J:$K,2,0),"")</f>
        <v/>
      </c>
      <c r="D1161" s="4" t="str">
        <f>IFERROR(VLOOKUP(E1161,Master!$J:$K,2,0),"")</f>
        <v/>
      </c>
      <c r="F1161" s="4" t="str">
        <f>IFERROR(VLOOKUP(G1161,Master!B:C,2,0),"")</f>
        <v/>
      </c>
      <c r="I1161" s="3" t="str">
        <f>IFERROR(VLOOKUP(E1161,Master!$J:$M,4,0),"")</f>
        <v/>
      </c>
      <c r="J1161" s="3" t="str">
        <f>IFERROR(VLOOKUP($E1161,Master!$J:$M,3,0),"")</f>
        <v/>
      </c>
      <c r="AC1161" s="26">
        <f t="shared" si="36"/>
        <v>0</v>
      </c>
      <c r="AD1161" s="26">
        <f t="shared" si="37"/>
        <v>0</v>
      </c>
    </row>
    <row r="1162" spans="2:30" ht="15" customHeight="1">
      <c r="B1162" s="3" t="str">
        <f>IFERROR(VLOOKUP(C1162,Master!$J:$K,2,0),"")</f>
        <v/>
      </c>
      <c r="D1162" s="4" t="str">
        <f>IFERROR(VLOOKUP(E1162,Master!$J:$K,2,0),"")</f>
        <v/>
      </c>
      <c r="F1162" s="4" t="str">
        <f>IFERROR(VLOOKUP(G1162,Master!B:C,2,0),"")</f>
        <v/>
      </c>
      <c r="I1162" s="3" t="str">
        <f>IFERROR(VLOOKUP(E1162,Master!$J:$M,4,0),"")</f>
        <v/>
      </c>
      <c r="J1162" s="3" t="str">
        <f>IFERROR(VLOOKUP($E1162,Master!$J:$M,3,0),"")</f>
        <v/>
      </c>
      <c r="AC1162" s="26">
        <f t="shared" si="36"/>
        <v>0</v>
      </c>
      <c r="AD1162" s="26">
        <f t="shared" si="37"/>
        <v>0</v>
      </c>
    </row>
    <row r="1163" spans="2:30" ht="15" customHeight="1">
      <c r="B1163" s="3" t="str">
        <f>IFERROR(VLOOKUP(C1163,Master!$J:$K,2,0),"")</f>
        <v/>
      </c>
      <c r="D1163" s="4" t="str">
        <f>IFERROR(VLOOKUP(E1163,Master!$J:$K,2,0),"")</f>
        <v/>
      </c>
      <c r="F1163" s="4" t="str">
        <f>IFERROR(VLOOKUP(G1163,Master!B:C,2,0),"")</f>
        <v/>
      </c>
      <c r="I1163" s="3" t="str">
        <f>IFERROR(VLOOKUP(E1163,Master!$J:$M,4,0),"")</f>
        <v/>
      </c>
      <c r="J1163" s="3" t="str">
        <f>IFERROR(VLOOKUP($E1163,Master!$J:$M,3,0),"")</f>
        <v/>
      </c>
      <c r="AC1163" s="26">
        <f t="shared" si="36"/>
        <v>0</v>
      </c>
      <c r="AD1163" s="26">
        <f t="shared" si="37"/>
        <v>0</v>
      </c>
    </row>
    <row r="1164" spans="2:30" ht="15" customHeight="1">
      <c r="B1164" s="3" t="str">
        <f>IFERROR(VLOOKUP(C1164,Master!$J:$K,2,0),"")</f>
        <v/>
      </c>
      <c r="D1164" s="4" t="str">
        <f>IFERROR(VLOOKUP(E1164,Master!$J:$K,2,0),"")</f>
        <v/>
      </c>
      <c r="F1164" s="4" t="str">
        <f>IFERROR(VLOOKUP(G1164,Master!B:C,2,0),"")</f>
        <v/>
      </c>
      <c r="I1164" s="3" t="str">
        <f>IFERROR(VLOOKUP(E1164,Master!$J:$M,4,0),"")</f>
        <v/>
      </c>
      <c r="J1164" s="3" t="str">
        <f>IFERROR(VLOOKUP($E1164,Master!$J:$M,3,0),"")</f>
        <v/>
      </c>
      <c r="AC1164" s="26">
        <f t="shared" si="36"/>
        <v>0</v>
      </c>
      <c r="AD1164" s="26">
        <f t="shared" si="37"/>
        <v>0</v>
      </c>
    </row>
    <row r="1165" spans="2:30" ht="15" customHeight="1">
      <c r="B1165" s="3" t="str">
        <f>IFERROR(VLOOKUP(C1165,Master!$J:$K,2,0),"")</f>
        <v/>
      </c>
      <c r="D1165" s="4" t="str">
        <f>IFERROR(VLOOKUP(E1165,Master!$J:$K,2,0),"")</f>
        <v/>
      </c>
      <c r="F1165" s="4" t="str">
        <f>IFERROR(VLOOKUP(G1165,Master!B:C,2,0),"")</f>
        <v/>
      </c>
      <c r="I1165" s="3" t="str">
        <f>IFERROR(VLOOKUP(E1165,Master!$J:$M,4,0),"")</f>
        <v/>
      </c>
      <c r="J1165" s="3" t="str">
        <f>IFERROR(VLOOKUP($E1165,Master!$J:$M,3,0),"")</f>
        <v/>
      </c>
      <c r="AC1165" s="26">
        <f t="shared" si="36"/>
        <v>0</v>
      </c>
      <c r="AD1165" s="26">
        <f t="shared" si="37"/>
        <v>0</v>
      </c>
    </row>
    <row r="1166" spans="2:30" ht="15" customHeight="1">
      <c r="B1166" s="3" t="str">
        <f>IFERROR(VLOOKUP(C1166,Master!$J:$K,2,0),"")</f>
        <v/>
      </c>
      <c r="D1166" s="4" t="str">
        <f>IFERROR(VLOOKUP(E1166,Master!$J:$K,2,0),"")</f>
        <v/>
      </c>
      <c r="F1166" s="4" t="str">
        <f>IFERROR(VLOOKUP(G1166,Master!B:C,2,0),"")</f>
        <v/>
      </c>
      <c r="I1166" s="3" t="str">
        <f>IFERROR(VLOOKUP(E1166,Master!$J:$M,4,0),"")</f>
        <v/>
      </c>
      <c r="J1166" s="3" t="str">
        <f>IFERROR(VLOOKUP($E1166,Master!$J:$M,3,0),"")</f>
        <v/>
      </c>
      <c r="AC1166" s="26">
        <f t="shared" si="36"/>
        <v>0</v>
      </c>
      <c r="AD1166" s="26">
        <f t="shared" si="37"/>
        <v>0</v>
      </c>
    </row>
    <row r="1167" spans="2:30" ht="15" customHeight="1">
      <c r="B1167" s="3" t="str">
        <f>IFERROR(VLOOKUP(C1167,Master!$J:$K,2,0),"")</f>
        <v/>
      </c>
      <c r="D1167" s="4" t="str">
        <f>IFERROR(VLOOKUP(E1167,Master!$J:$K,2,0),"")</f>
        <v/>
      </c>
      <c r="F1167" s="4" t="str">
        <f>IFERROR(VLOOKUP(G1167,Master!B:C,2,0),"")</f>
        <v/>
      </c>
      <c r="I1167" s="3" t="str">
        <f>IFERROR(VLOOKUP(E1167,Master!$J:$M,4,0),"")</f>
        <v/>
      </c>
      <c r="J1167" s="3" t="str">
        <f>IFERROR(VLOOKUP($E1167,Master!$J:$M,3,0),"")</f>
        <v/>
      </c>
      <c r="AC1167" s="26">
        <f t="shared" si="36"/>
        <v>0</v>
      </c>
      <c r="AD1167" s="26">
        <f t="shared" si="37"/>
        <v>0</v>
      </c>
    </row>
    <row r="1168" spans="2:30" ht="15" customHeight="1">
      <c r="B1168" s="3" t="str">
        <f>IFERROR(VLOOKUP(C1168,Master!$J:$K,2,0),"")</f>
        <v/>
      </c>
      <c r="D1168" s="4" t="str">
        <f>IFERROR(VLOOKUP(E1168,Master!$J:$K,2,0),"")</f>
        <v/>
      </c>
      <c r="F1168" s="4" t="str">
        <f>IFERROR(VLOOKUP(G1168,Master!B:C,2,0),"")</f>
        <v/>
      </c>
      <c r="I1168" s="3" t="str">
        <f>IFERROR(VLOOKUP(E1168,Master!$J:$M,4,0),"")</f>
        <v/>
      </c>
      <c r="J1168" s="3" t="str">
        <f>IFERROR(VLOOKUP($E1168,Master!$J:$M,3,0),"")</f>
        <v/>
      </c>
      <c r="AC1168" s="26">
        <f t="shared" si="36"/>
        <v>0</v>
      </c>
      <c r="AD1168" s="26">
        <f t="shared" si="37"/>
        <v>0</v>
      </c>
    </row>
    <row r="1169" spans="2:30" ht="15" customHeight="1">
      <c r="B1169" s="3" t="str">
        <f>IFERROR(VLOOKUP(C1169,Master!$J:$K,2,0),"")</f>
        <v/>
      </c>
      <c r="D1169" s="4" t="str">
        <f>IFERROR(VLOOKUP(E1169,Master!$J:$K,2,0),"")</f>
        <v/>
      </c>
      <c r="F1169" s="4" t="str">
        <f>IFERROR(VLOOKUP(G1169,Master!B:C,2,0),"")</f>
        <v/>
      </c>
      <c r="I1169" s="3" t="str">
        <f>IFERROR(VLOOKUP(E1169,Master!$J:$M,4,0),"")</f>
        <v/>
      </c>
      <c r="J1169" s="3" t="str">
        <f>IFERROR(VLOOKUP($E1169,Master!$J:$M,3,0),"")</f>
        <v/>
      </c>
      <c r="AC1169" s="26">
        <f t="shared" si="36"/>
        <v>0</v>
      </c>
      <c r="AD1169" s="26">
        <f t="shared" si="37"/>
        <v>0</v>
      </c>
    </row>
    <row r="1170" spans="2:30" ht="15" customHeight="1">
      <c r="B1170" s="3" t="str">
        <f>IFERROR(VLOOKUP(C1170,Master!$J:$K,2,0),"")</f>
        <v/>
      </c>
      <c r="D1170" s="4" t="str">
        <f>IFERROR(VLOOKUP(E1170,Master!$J:$K,2,0),"")</f>
        <v/>
      </c>
      <c r="F1170" s="4" t="str">
        <f>IFERROR(VLOOKUP(G1170,Master!B:C,2,0),"")</f>
        <v/>
      </c>
      <c r="I1170" s="3" t="str">
        <f>IFERROR(VLOOKUP(E1170,Master!$J:$M,4,0),"")</f>
        <v/>
      </c>
      <c r="J1170" s="3" t="str">
        <f>IFERROR(VLOOKUP($E1170,Master!$J:$M,3,0),"")</f>
        <v/>
      </c>
      <c r="AC1170" s="26">
        <f t="shared" si="36"/>
        <v>0</v>
      </c>
      <c r="AD1170" s="26">
        <f t="shared" si="37"/>
        <v>0</v>
      </c>
    </row>
    <row r="1171" spans="2:30" ht="15" customHeight="1">
      <c r="B1171" s="3" t="str">
        <f>IFERROR(VLOOKUP(C1171,Master!$J:$K,2,0),"")</f>
        <v/>
      </c>
      <c r="D1171" s="4" t="str">
        <f>IFERROR(VLOOKUP(E1171,Master!$J:$K,2,0),"")</f>
        <v/>
      </c>
      <c r="F1171" s="4" t="str">
        <f>IFERROR(VLOOKUP(G1171,Master!B:C,2,0),"")</f>
        <v/>
      </c>
      <c r="I1171" s="3" t="str">
        <f>IFERROR(VLOOKUP(E1171,Master!$J:$M,4,0),"")</f>
        <v/>
      </c>
      <c r="J1171" s="3" t="str">
        <f>IFERROR(VLOOKUP($E1171,Master!$J:$M,3,0),"")</f>
        <v/>
      </c>
      <c r="AC1171" s="26">
        <f t="shared" si="36"/>
        <v>0</v>
      </c>
      <c r="AD1171" s="26">
        <f t="shared" si="37"/>
        <v>0</v>
      </c>
    </row>
    <row r="1172" spans="2:30" ht="15" customHeight="1">
      <c r="B1172" s="3" t="str">
        <f>IFERROR(VLOOKUP(C1172,Master!$J:$K,2,0),"")</f>
        <v/>
      </c>
      <c r="D1172" s="4" t="str">
        <f>IFERROR(VLOOKUP(E1172,Master!$J:$K,2,0),"")</f>
        <v/>
      </c>
      <c r="F1172" s="4" t="str">
        <f>IFERROR(VLOOKUP(G1172,Master!B:C,2,0),"")</f>
        <v/>
      </c>
      <c r="I1172" s="3" t="str">
        <f>IFERROR(VLOOKUP(E1172,Master!$J:$M,4,0),"")</f>
        <v/>
      </c>
      <c r="J1172" s="3" t="str">
        <f>IFERROR(VLOOKUP($E1172,Master!$J:$M,3,0),"")</f>
        <v/>
      </c>
      <c r="AC1172" s="26">
        <f t="shared" si="36"/>
        <v>0</v>
      </c>
      <c r="AD1172" s="26">
        <f t="shared" si="37"/>
        <v>0</v>
      </c>
    </row>
    <row r="1173" spans="2:30" ht="15" customHeight="1">
      <c r="B1173" s="3" t="str">
        <f>IFERROR(VLOOKUP(C1173,Master!$J:$K,2,0),"")</f>
        <v/>
      </c>
      <c r="D1173" s="4" t="str">
        <f>IFERROR(VLOOKUP(E1173,Master!$J:$K,2,0),"")</f>
        <v/>
      </c>
      <c r="F1173" s="4" t="str">
        <f>IFERROR(VLOOKUP(G1173,Master!B:C,2,0),"")</f>
        <v/>
      </c>
      <c r="I1173" s="3" t="str">
        <f>IFERROR(VLOOKUP(E1173,Master!$J:$M,4,0),"")</f>
        <v/>
      </c>
      <c r="J1173" s="3" t="str">
        <f>IFERROR(VLOOKUP($E1173,Master!$J:$M,3,0),"")</f>
        <v/>
      </c>
      <c r="AC1173" s="26">
        <f t="shared" si="36"/>
        <v>0</v>
      </c>
      <c r="AD1173" s="26">
        <f t="shared" si="37"/>
        <v>0</v>
      </c>
    </row>
    <row r="1174" spans="2:30" ht="15" customHeight="1">
      <c r="B1174" s="3" t="str">
        <f>IFERROR(VLOOKUP(C1174,Master!$J:$K,2,0),"")</f>
        <v/>
      </c>
      <c r="D1174" s="4" t="str">
        <f>IFERROR(VLOOKUP(E1174,Master!$J:$K,2,0),"")</f>
        <v/>
      </c>
      <c r="F1174" s="4" t="str">
        <f>IFERROR(VLOOKUP(G1174,Master!B:C,2,0),"")</f>
        <v/>
      </c>
      <c r="I1174" s="3" t="str">
        <f>IFERROR(VLOOKUP(E1174,Master!$J:$M,4,0),"")</f>
        <v/>
      </c>
      <c r="J1174" s="3" t="str">
        <f>IFERROR(VLOOKUP($E1174,Master!$J:$M,3,0),"")</f>
        <v/>
      </c>
      <c r="AC1174" s="26">
        <f t="shared" si="36"/>
        <v>0</v>
      </c>
      <c r="AD1174" s="26">
        <f t="shared" si="37"/>
        <v>0</v>
      </c>
    </row>
    <row r="1175" spans="2:30" ht="15" customHeight="1">
      <c r="B1175" s="3" t="str">
        <f>IFERROR(VLOOKUP(C1175,Master!$J:$K,2,0),"")</f>
        <v/>
      </c>
      <c r="D1175" s="4" t="str">
        <f>IFERROR(VLOOKUP(E1175,Master!$J:$K,2,0),"")</f>
        <v/>
      </c>
      <c r="F1175" s="4" t="str">
        <f>IFERROR(VLOOKUP(G1175,Master!B:C,2,0),"")</f>
        <v/>
      </c>
      <c r="I1175" s="3" t="str">
        <f>IFERROR(VLOOKUP(E1175,Master!$J:$M,4,0),"")</f>
        <v/>
      </c>
      <c r="J1175" s="3" t="str">
        <f>IFERROR(VLOOKUP($E1175,Master!$J:$M,3,0),"")</f>
        <v/>
      </c>
      <c r="AC1175" s="26">
        <f t="shared" si="36"/>
        <v>0</v>
      </c>
      <c r="AD1175" s="26">
        <f t="shared" si="37"/>
        <v>0</v>
      </c>
    </row>
    <row r="1176" spans="2:30" ht="15" customHeight="1">
      <c r="B1176" s="3" t="str">
        <f>IFERROR(VLOOKUP(C1176,Master!$J:$K,2,0),"")</f>
        <v/>
      </c>
      <c r="D1176" s="4" t="str">
        <f>IFERROR(VLOOKUP(E1176,Master!$J:$K,2,0),"")</f>
        <v/>
      </c>
      <c r="F1176" s="4" t="str">
        <f>IFERROR(VLOOKUP(G1176,Master!B:C,2,0),"")</f>
        <v/>
      </c>
      <c r="I1176" s="3" t="str">
        <f>IFERROR(VLOOKUP(E1176,Master!$J:$M,4,0),"")</f>
        <v/>
      </c>
      <c r="J1176" s="3" t="str">
        <f>IFERROR(VLOOKUP($E1176,Master!$J:$M,3,0),"")</f>
        <v/>
      </c>
      <c r="AC1176" s="26">
        <f t="shared" si="36"/>
        <v>0</v>
      </c>
      <c r="AD1176" s="26">
        <f t="shared" si="37"/>
        <v>0</v>
      </c>
    </row>
    <row r="1177" spans="2:30" ht="15" customHeight="1">
      <c r="B1177" s="3" t="str">
        <f>IFERROR(VLOOKUP(C1177,Master!$J:$K,2,0),"")</f>
        <v/>
      </c>
      <c r="D1177" s="4" t="str">
        <f>IFERROR(VLOOKUP(E1177,Master!$J:$K,2,0),"")</f>
        <v/>
      </c>
      <c r="F1177" s="4" t="str">
        <f>IFERROR(VLOOKUP(G1177,Master!B:C,2,0),"")</f>
        <v/>
      </c>
      <c r="I1177" s="3" t="str">
        <f>IFERROR(VLOOKUP(E1177,Master!$J:$M,4,0),"")</f>
        <v/>
      </c>
      <c r="J1177" s="3" t="str">
        <f>IFERROR(VLOOKUP($E1177,Master!$J:$M,3,0),"")</f>
        <v/>
      </c>
      <c r="AC1177" s="26">
        <f t="shared" si="36"/>
        <v>0</v>
      </c>
      <c r="AD1177" s="26">
        <f t="shared" si="37"/>
        <v>0</v>
      </c>
    </row>
    <row r="1178" spans="2:30" ht="15" customHeight="1">
      <c r="B1178" s="3" t="str">
        <f>IFERROR(VLOOKUP(C1178,Master!$J:$K,2,0),"")</f>
        <v/>
      </c>
      <c r="D1178" s="4" t="str">
        <f>IFERROR(VLOOKUP(E1178,Master!$J:$K,2,0),"")</f>
        <v/>
      </c>
      <c r="F1178" s="4" t="str">
        <f>IFERROR(VLOOKUP(G1178,Master!B:C,2,0),"")</f>
        <v/>
      </c>
      <c r="I1178" s="3" t="str">
        <f>IFERROR(VLOOKUP(E1178,Master!$J:$M,4,0),"")</f>
        <v/>
      </c>
      <c r="J1178" s="3" t="str">
        <f>IFERROR(VLOOKUP($E1178,Master!$J:$M,3,0),"")</f>
        <v/>
      </c>
      <c r="AC1178" s="26">
        <f t="shared" si="36"/>
        <v>0</v>
      </c>
      <c r="AD1178" s="26">
        <f t="shared" si="37"/>
        <v>0</v>
      </c>
    </row>
    <row r="1179" spans="2:30" ht="15" customHeight="1">
      <c r="B1179" s="3" t="str">
        <f>IFERROR(VLOOKUP(C1179,Master!$J:$K,2,0),"")</f>
        <v/>
      </c>
      <c r="D1179" s="4" t="str">
        <f>IFERROR(VLOOKUP(E1179,Master!$J:$K,2,0),"")</f>
        <v/>
      </c>
      <c r="F1179" s="4" t="str">
        <f>IFERROR(VLOOKUP(G1179,Master!B:C,2,0),"")</f>
        <v/>
      </c>
      <c r="I1179" s="3" t="str">
        <f>IFERROR(VLOOKUP(E1179,Master!$J:$M,4,0),"")</f>
        <v/>
      </c>
      <c r="J1179" s="3" t="str">
        <f>IFERROR(VLOOKUP($E1179,Master!$J:$M,3,0),"")</f>
        <v/>
      </c>
      <c r="AC1179" s="26">
        <f t="shared" si="36"/>
        <v>0</v>
      </c>
      <c r="AD1179" s="26">
        <f t="shared" si="37"/>
        <v>0</v>
      </c>
    </row>
    <row r="1180" spans="2:30" ht="15" customHeight="1">
      <c r="B1180" s="3" t="str">
        <f>IFERROR(VLOOKUP(C1180,Master!$J:$K,2,0),"")</f>
        <v/>
      </c>
      <c r="D1180" s="4" t="str">
        <f>IFERROR(VLOOKUP(E1180,Master!$J:$K,2,0),"")</f>
        <v/>
      </c>
      <c r="F1180" s="4" t="str">
        <f>IFERROR(VLOOKUP(G1180,Master!B:C,2,0),"")</f>
        <v/>
      </c>
      <c r="I1180" s="3" t="str">
        <f>IFERROR(VLOOKUP(E1180,Master!$J:$M,4,0),"")</f>
        <v/>
      </c>
      <c r="J1180" s="3" t="str">
        <f>IFERROR(VLOOKUP($E1180,Master!$J:$M,3,0),"")</f>
        <v/>
      </c>
      <c r="AC1180" s="26">
        <f t="shared" si="36"/>
        <v>0</v>
      </c>
      <c r="AD1180" s="26">
        <f t="shared" si="37"/>
        <v>0</v>
      </c>
    </row>
    <row r="1181" spans="2:30" ht="15" customHeight="1">
      <c r="B1181" s="3" t="str">
        <f>IFERROR(VLOOKUP(C1181,Master!$J:$K,2,0),"")</f>
        <v/>
      </c>
      <c r="D1181" s="4" t="str">
        <f>IFERROR(VLOOKUP(E1181,Master!$J:$K,2,0),"")</f>
        <v/>
      </c>
      <c r="F1181" s="4" t="str">
        <f>IFERROR(VLOOKUP(G1181,Master!B:C,2,0),"")</f>
        <v/>
      </c>
      <c r="I1181" s="3" t="str">
        <f>IFERROR(VLOOKUP(E1181,Master!$J:$M,4,0),"")</f>
        <v/>
      </c>
      <c r="J1181" s="3" t="str">
        <f>IFERROR(VLOOKUP($E1181,Master!$J:$M,3,0),"")</f>
        <v/>
      </c>
      <c r="AC1181" s="26">
        <f t="shared" si="36"/>
        <v>0</v>
      </c>
      <c r="AD1181" s="26">
        <f t="shared" si="37"/>
        <v>0</v>
      </c>
    </row>
    <row r="1182" spans="2:30" ht="15" customHeight="1">
      <c r="B1182" s="3" t="str">
        <f>IFERROR(VLOOKUP(C1182,Master!$J:$K,2,0),"")</f>
        <v/>
      </c>
      <c r="D1182" s="4" t="str">
        <f>IFERROR(VLOOKUP(E1182,Master!$J:$K,2,0),"")</f>
        <v/>
      </c>
      <c r="F1182" s="4" t="str">
        <f>IFERROR(VLOOKUP(G1182,Master!B:C,2,0),"")</f>
        <v/>
      </c>
      <c r="I1182" s="3" t="str">
        <f>IFERROR(VLOOKUP(E1182,Master!$J:$M,4,0),"")</f>
        <v/>
      </c>
      <c r="J1182" s="3" t="str">
        <f>IFERROR(VLOOKUP($E1182,Master!$J:$M,3,0),"")</f>
        <v/>
      </c>
      <c r="AC1182" s="26">
        <f t="shared" si="36"/>
        <v>0</v>
      </c>
      <c r="AD1182" s="26">
        <f t="shared" si="37"/>
        <v>0</v>
      </c>
    </row>
    <row r="1183" spans="2:30" ht="15" customHeight="1">
      <c r="B1183" s="3" t="str">
        <f>IFERROR(VLOOKUP(C1183,Master!$J:$K,2,0),"")</f>
        <v/>
      </c>
      <c r="D1183" s="4" t="str">
        <f>IFERROR(VLOOKUP(E1183,Master!$J:$K,2,0),"")</f>
        <v/>
      </c>
      <c r="F1183" s="4" t="str">
        <f>IFERROR(VLOOKUP(G1183,Master!B:C,2,0),"")</f>
        <v/>
      </c>
      <c r="I1183" s="3" t="str">
        <f>IFERROR(VLOOKUP(E1183,Master!$J:$M,4,0),"")</f>
        <v/>
      </c>
      <c r="J1183" s="3" t="str">
        <f>IFERROR(VLOOKUP($E1183,Master!$J:$M,3,0),"")</f>
        <v/>
      </c>
      <c r="AC1183" s="26">
        <f t="shared" si="36"/>
        <v>0</v>
      </c>
      <c r="AD1183" s="26">
        <f t="shared" si="37"/>
        <v>0</v>
      </c>
    </row>
    <row r="1184" spans="2:30" ht="15" customHeight="1">
      <c r="B1184" s="3" t="str">
        <f>IFERROR(VLOOKUP(C1184,Master!$J:$K,2,0),"")</f>
        <v/>
      </c>
      <c r="D1184" s="4" t="str">
        <f>IFERROR(VLOOKUP(E1184,Master!$J:$K,2,0),"")</f>
        <v/>
      </c>
      <c r="F1184" s="4" t="str">
        <f>IFERROR(VLOOKUP(G1184,Master!B:C,2,0),"")</f>
        <v/>
      </c>
      <c r="I1184" s="3" t="str">
        <f>IFERROR(VLOOKUP(E1184,Master!$J:$M,4,0),"")</f>
        <v/>
      </c>
      <c r="J1184" s="3" t="str">
        <f>IFERROR(VLOOKUP($E1184,Master!$J:$M,3,0),"")</f>
        <v/>
      </c>
      <c r="AC1184" s="26">
        <f t="shared" si="36"/>
        <v>0</v>
      </c>
      <c r="AD1184" s="26">
        <f t="shared" si="37"/>
        <v>0</v>
      </c>
    </row>
    <row r="1185" spans="2:30" ht="15" customHeight="1">
      <c r="B1185" s="3" t="str">
        <f>IFERROR(VLOOKUP(C1185,Master!$J:$K,2,0),"")</f>
        <v/>
      </c>
      <c r="D1185" s="4" t="str">
        <f>IFERROR(VLOOKUP(E1185,Master!$J:$K,2,0),"")</f>
        <v/>
      </c>
      <c r="F1185" s="4" t="str">
        <f>IFERROR(VLOOKUP(G1185,Master!B:C,2,0),"")</f>
        <v/>
      </c>
      <c r="I1185" s="3" t="str">
        <f>IFERROR(VLOOKUP(E1185,Master!$J:$M,4,0),"")</f>
        <v/>
      </c>
      <c r="J1185" s="3" t="str">
        <f>IFERROR(VLOOKUP($E1185,Master!$J:$M,3,0),"")</f>
        <v/>
      </c>
      <c r="AC1185" s="26">
        <f t="shared" si="36"/>
        <v>0</v>
      </c>
      <c r="AD1185" s="26">
        <f t="shared" si="37"/>
        <v>0</v>
      </c>
    </row>
    <row r="1186" spans="2:30" ht="15" customHeight="1">
      <c r="B1186" s="3" t="str">
        <f>IFERROR(VLOOKUP(C1186,Master!$J:$K,2,0),"")</f>
        <v/>
      </c>
      <c r="D1186" s="4" t="str">
        <f>IFERROR(VLOOKUP(E1186,Master!$J:$K,2,0),"")</f>
        <v/>
      </c>
      <c r="F1186" s="4" t="str">
        <f>IFERROR(VLOOKUP(G1186,Master!B:C,2,0),"")</f>
        <v/>
      </c>
      <c r="I1186" s="3" t="str">
        <f>IFERROR(VLOOKUP(E1186,Master!$J:$M,4,0),"")</f>
        <v/>
      </c>
      <c r="J1186" s="3" t="str">
        <f>IFERROR(VLOOKUP($E1186,Master!$J:$M,3,0),"")</f>
        <v/>
      </c>
      <c r="AC1186" s="26">
        <f t="shared" si="36"/>
        <v>0</v>
      </c>
      <c r="AD1186" s="26">
        <f t="shared" si="37"/>
        <v>0</v>
      </c>
    </row>
    <row r="1187" spans="2:30" ht="15" customHeight="1">
      <c r="B1187" s="3" t="str">
        <f>IFERROR(VLOOKUP(C1187,Master!$J:$K,2,0),"")</f>
        <v/>
      </c>
      <c r="D1187" s="4" t="str">
        <f>IFERROR(VLOOKUP(E1187,Master!$J:$K,2,0),"")</f>
        <v/>
      </c>
      <c r="F1187" s="4" t="str">
        <f>IFERROR(VLOOKUP(G1187,Master!B:C,2,0),"")</f>
        <v/>
      </c>
      <c r="I1187" s="3" t="str">
        <f>IFERROR(VLOOKUP(E1187,Master!$J:$M,4,0),"")</f>
        <v/>
      </c>
      <c r="J1187" s="3" t="str">
        <f>IFERROR(VLOOKUP($E1187,Master!$J:$M,3,0),"")</f>
        <v/>
      </c>
      <c r="AC1187" s="26">
        <f t="shared" si="36"/>
        <v>0</v>
      </c>
      <c r="AD1187" s="26">
        <f t="shared" si="37"/>
        <v>0</v>
      </c>
    </row>
    <row r="1188" spans="2:30" ht="15" customHeight="1">
      <c r="B1188" s="3" t="str">
        <f>IFERROR(VLOOKUP(C1188,Master!$J:$K,2,0),"")</f>
        <v/>
      </c>
      <c r="D1188" s="4" t="str">
        <f>IFERROR(VLOOKUP(E1188,Master!$J:$K,2,0),"")</f>
        <v/>
      </c>
      <c r="F1188" s="4" t="str">
        <f>IFERROR(VLOOKUP(G1188,Master!B:C,2,0),"")</f>
        <v/>
      </c>
      <c r="I1188" s="3" t="str">
        <f>IFERROR(VLOOKUP(E1188,Master!$J:$M,4,0),"")</f>
        <v/>
      </c>
      <c r="J1188" s="3" t="str">
        <f>IFERROR(VLOOKUP($E1188,Master!$J:$M,3,0),"")</f>
        <v/>
      </c>
      <c r="AC1188" s="26">
        <f t="shared" si="36"/>
        <v>0</v>
      </c>
      <c r="AD1188" s="26">
        <f t="shared" si="37"/>
        <v>0</v>
      </c>
    </row>
    <row r="1189" spans="2:30" ht="15" customHeight="1">
      <c r="B1189" s="3" t="str">
        <f>IFERROR(VLOOKUP(C1189,Master!$J:$K,2,0),"")</f>
        <v/>
      </c>
      <c r="D1189" s="4" t="str">
        <f>IFERROR(VLOOKUP(E1189,Master!$J:$K,2,0),"")</f>
        <v/>
      </c>
      <c r="F1189" s="4" t="str">
        <f>IFERROR(VLOOKUP(G1189,Master!B:C,2,0),"")</f>
        <v/>
      </c>
      <c r="I1189" s="3" t="str">
        <f>IFERROR(VLOOKUP(E1189,Master!$J:$M,4,0),"")</f>
        <v/>
      </c>
      <c r="J1189" s="3" t="str">
        <f>IFERROR(VLOOKUP($E1189,Master!$J:$M,3,0),"")</f>
        <v/>
      </c>
      <c r="AC1189" s="26">
        <f t="shared" si="36"/>
        <v>0</v>
      </c>
      <c r="AD1189" s="26">
        <f t="shared" si="37"/>
        <v>0</v>
      </c>
    </row>
    <row r="1190" spans="2:30" ht="15" customHeight="1">
      <c r="B1190" s="3" t="str">
        <f>IFERROR(VLOOKUP(C1190,Master!$J:$K,2,0),"")</f>
        <v/>
      </c>
      <c r="D1190" s="4" t="str">
        <f>IFERROR(VLOOKUP(E1190,Master!$J:$K,2,0),"")</f>
        <v/>
      </c>
      <c r="F1190" s="4" t="str">
        <f>IFERROR(VLOOKUP(G1190,Master!B:C,2,0),"")</f>
        <v/>
      </c>
      <c r="I1190" s="3" t="str">
        <f>IFERROR(VLOOKUP(E1190,Master!$J:$M,4,0),"")</f>
        <v/>
      </c>
      <c r="J1190" s="3" t="str">
        <f>IFERROR(VLOOKUP($E1190,Master!$J:$M,3,0),"")</f>
        <v/>
      </c>
      <c r="AC1190" s="26">
        <f t="shared" si="36"/>
        <v>0</v>
      </c>
      <c r="AD1190" s="26">
        <f t="shared" si="37"/>
        <v>0</v>
      </c>
    </row>
    <row r="1191" spans="2:30" ht="15" customHeight="1">
      <c r="B1191" s="3" t="str">
        <f>IFERROR(VLOOKUP(C1191,Master!$J:$K,2,0),"")</f>
        <v/>
      </c>
      <c r="D1191" s="4" t="str">
        <f>IFERROR(VLOOKUP(E1191,Master!$J:$K,2,0),"")</f>
        <v/>
      </c>
      <c r="F1191" s="4" t="str">
        <f>IFERROR(VLOOKUP(G1191,Master!B:C,2,0),"")</f>
        <v/>
      </c>
      <c r="I1191" s="3" t="str">
        <f>IFERROR(VLOOKUP(E1191,Master!$J:$M,4,0),"")</f>
        <v/>
      </c>
      <c r="J1191" s="3" t="str">
        <f>IFERROR(VLOOKUP($E1191,Master!$J:$M,3,0),"")</f>
        <v/>
      </c>
      <c r="AC1191" s="26">
        <f t="shared" si="36"/>
        <v>0</v>
      </c>
      <c r="AD1191" s="26">
        <f t="shared" si="37"/>
        <v>0</v>
      </c>
    </row>
    <row r="1192" spans="2:30" ht="15" customHeight="1">
      <c r="B1192" s="3" t="str">
        <f>IFERROR(VLOOKUP(C1192,Master!$J:$K,2,0),"")</f>
        <v/>
      </c>
      <c r="D1192" s="4" t="str">
        <f>IFERROR(VLOOKUP(E1192,Master!$J:$K,2,0),"")</f>
        <v/>
      </c>
      <c r="F1192" s="4" t="str">
        <f>IFERROR(VLOOKUP(G1192,Master!B:C,2,0),"")</f>
        <v/>
      </c>
      <c r="I1192" s="3" t="str">
        <f>IFERROR(VLOOKUP(E1192,Master!$J:$M,4,0),"")</f>
        <v/>
      </c>
      <c r="J1192" s="3" t="str">
        <f>IFERROR(VLOOKUP($E1192,Master!$J:$M,3,0),"")</f>
        <v/>
      </c>
      <c r="AC1192" s="26">
        <f t="shared" si="36"/>
        <v>0</v>
      </c>
      <c r="AD1192" s="26">
        <f t="shared" si="37"/>
        <v>0</v>
      </c>
    </row>
    <row r="1193" spans="2:30" ht="15" customHeight="1">
      <c r="B1193" s="3" t="str">
        <f>IFERROR(VLOOKUP(C1193,Master!$J:$K,2,0),"")</f>
        <v/>
      </c>
      <c r="D1193" s="4" t="str">
        <f>IFERROR(VLOOKUP(E1193,Master!$J:$K,2,0),"")</f>
        <v/>
      </c>
      <c r="F1193" s="4" t="str">
        <f>IFERROR(VLOOKUP(G1193,Master!B:C,2,0),"")</f>
        <v/>
      </c>
      <c r="I1193" s="3" t="str">
        <f>IFERROR(VLOOKUP(E1193,Master!$J:$M,4,0),"")</f>
        <v/>
      </c>
      <c r="J1193" s="3" t="str">
        <f>IFERROR(VLOOKUP($E1193,Master!$J:$M,3,0),"")</f>
        <v/>
      </c>
      <c r="AC1193" s="26">
        <f t="shared" ref="AC1193:AC1256" si="38">SUM(K1193:P1193)</f>
        <v>0</v>
      </c>
      <c r="AD1193" s="26">
        <f t="shared" ref="AD1193:AD1256" si="39">SUM(Q1193:AB1193)</f>
        <v>0</v>
      </c>
    </row>
    <row r="1194" spans="2:30" ht="15" customHeight="1">
      <c r="B1194" s="3" t="str">
        <f>IFERROR(VLOOKUP(C1194,Master!$J:$K,2,0),"")</f>
        <v/>
      </c>
      <c r="D1194" s="4" t="str">
        <f>IFERROR(VLOOKUP(E1194,Master!$J:$K,2,0),"")</f>
        <v/>
      </c>
      <c r="F1194" s="4" t="str">
        <f>IFERROR(VLOOKUP(G1194,Master!B:C,2,0),"")</f>
        <v/>
      </c>
      <c r="I1194" s="3" t="str">
        <f>IFERROR(VLOOKUP(E1194,Master!$J:$M,4,0),"")</f>
        <v/>
      </c>
      <c r="J1194" s="3" t="str">
        <f>IFERROR(VLOOKUP($E1194,Master!$J:$M,3,0),"")</f>
        <v/>
      </c>
      <c r="AC1194" s="26">
        <f t="shared" si="38"/>
        <v>0</v>
      </c>
      <c r="AD1194" s="26">
        <f t="shared" si="39"/>
        <v>0</v>
      </c>
    </row>
    <row r="1195" spans="2:30" ht="15" customHeight="1">
      <c r="B1195" s="3" t="str">
        <f>IFERROR(VLOOKUP(C1195,Master!$J:$K,2,0),"")</f>
        <v/>
      </c>
      <c r="D1195" s="4" t="str">
        <f>IFERROR(VLOOKUP(E1195,Master!$J:$K,2,0),"")</f>
        <v/>
      </c>
      <c r="F1195" s="4" t="str">
        <f>IFERROR(VLOOKUP(G1195,Master!B:C,2,0),"")</f>
        <v/>
      </c>
      <c r="I1195" s="3" t="str">
        <f>IFERROR(VLOOKUP(E1195,Master!$J:$M,4,0),"")</f>
        <v/>
      </c>
      <c r="J1195" s="3" t="str">
        <f>IFERROR(VLOOKUP($E1195,Master!$J:$M,3,0),"")</f>
        <v/>
      </c>
      <c r="AC1195" s="26">
        <f t="shared" si="38"/>
        <v>0</v>
      </c>
      <c r="AD1195" s="26">
        <f t="shared" si="39"/>
        <v>0</v>
      </c>
    </row>
    <row r="1196" spans="2:30" ht="15" customHeight="1">
      <c r="B1196" s="3" t="str">
        <f>IFERROR(VLOOKUP(C1196,Master!$J:$K,2,0),"")</f>
        <v/>
      </c>
      <c r="D1196" s="4" t="str">
        <f>IFERROR(VLOOKUP(E1196,Master!$J:$K,2,0),"")</f>
        <v/>
      </c>
      <c r="F1196" s="4" t="str">
        <f>IFERROR(VLOOKUP(G1196,Master!B:C,2,0),"")</f>
        <v/>
      </c>
      <c r="I1196" s="3" t="str">
        <f>IFERROR(VLOOKUP(E1196,Master!$J:$M,4,0),"")</f>
        <v/>
      </c>
      <c r="J1196" s="3" t="str">
        <f>IFERROR(VLOOKUP($E1196,Master!$J:$M,3,0),"")</f>
        <v/>
      </c>
      <c r="AC1196" s="26">
        <f t="shared" si="38"/>
        <v>0</v>
      </c>
      <c r="AD1196" s="26">
        <f t="shared" si="39"/>
        <v>0</v>
      </c>
    </row>
    <row r="1197" spans="2:30" ht="15" customHeight="1">
      <c r="B1197" s="3" t="str">
        <f>IFERROR(VLOOKUP(C1197,Master!$J:$K,2,0),"")</f>
        <v/>
      </c>
      <c r="D1197" s="4" t="str">
        <f>IFERROR(VLOOKUP(E1197,Master!$J:$K,2,0),"")</f>
        <v/>
      </c>
      <c r="F1197" s="4" t="str">
        <f>IFERROR(VLOOKUP(G1197,Master!B:C,2,0),"")</f>
        <v/>
      </c>
      <c r="I1197" s="3" t="str">
        <f>IFERROR(VLOOKUP(E1197,Master!$J:$M,4,0),"")</f>
        <v/>
      </c>
      <c r="J1197" s="3" t="str">
        <f>IFERROR(VLOOKUP($E1197,Master!$J:$M,3,0),"")</f>
        <v/>
      </c>
      <c r="AC1197" s="26">
        <f t="shared" si="38"/>
        <v>0</v>
      </c>
      <c r="AD1197" s="26">
        <f t="shared" si="39"/>
        <v>0</v>
      </c>
    </row>
    <row r="1198" spans="2:30" ht="15" customHeight="1">
      <c r="B1198" s="3" t="str">
        <f>IFERROR(VLOOKUP(C1198,Master!$J:$K,2,0),"")</f>
        <v/>
      </c>
      <c r="D1198" s="4" t="str">
        <f>IFERROR(VLOOKUP(E1198,Master!$J:$K,2,0),"")</f>
        <v/>
      </c>
      <c r="F1198" s="4" t="str">
        <f>IFERROR(VLOOKUP(G1198,Master!B:C,2,0),"")</f>
        <v/>
      </c>
      <c r="I1198" s="3" t="str">
        <f>IFERROR(VLOOKUP(E1198,Master!$J:$M,4,0),"")</f>
        <v/>
      </c>
      <c r="J1198" s="3" t="str">
        <f>IFERROR(VLOOKUP($E1198,Master!$J:$M,3,0),"")</f>
        <v/>
      </c>
      <c r="AC1198" s="26">
        <f t="shared" si="38"/>
        <v>0</v>
      </c>
      <c r="AD1198" s="26">
        <f t="shared" si="39"/>
        <v>0</v>
      </c>
    </row>
    <row r="1199" spans="2:30" ht="15" customHeight="1">
      <c r="B1199" s="3" t="str">
        <f>IFERROR(VLOOKUP(C1199,Master!$J:$K,2,0),"")</f>
        <v/>
      </c>
      <c r="D1199" s="4" t="str">
        <f>IFERROR(VLOOKUP(E1199,Master!$J:$K,2,0),"")</f>
        <v/>
      </c>
      <c r="F1199" s="4" t="str">
        <f>IFERROR(VLOOKUP(G1199,Master!B:C,2,0),"")</f>
        <v/>
      </c>
      <c r="I1199" s="3" t="str">
        <f>IFERROR(VLOOKUP(E1199,Master!$J:$M,4,0),"")</f>
        <v/>
      </c>
      <c r="J1199" s="3" t="str">
        <f>IFERROR(VLOOKUP($E1199,Master!$J:$M,3,0),"")</f>
        <v/>
      </c>
      <c r="AC1199" s="26">
        <f t="shared" si="38"/>
        <v>0</v>
      </c>
      <c r="AD1199" s="26">
        <f t="shared" si="39"/>
        <v>0</v>
      </c>
    </row>
    <row r="1200" spans="2:30" ht="15" customHeight="1">
      <c r="B1200" s="3" t="str">
        <f>IFERROR(VLOOKUP(C1200,Master!$J:$K,2,0),"")</f>
        <v/>
      </c>
      <c r="D1200" s="4" t="str">
        <f>IFERROR(VLOOKUP(E1200,Master!$J:$K,2,0),"")</f>
        <v/>
      </c>
      <c r="F1200" s="4" t="str">
        <f>IFERROR(VLOOKUP(G1200,Master!B:C,2,0),"")</f>
        <v/>
      </c>
      <c r="I1200" s="3" t="str">
        <f>IFERROR(VLOOKUP(E1200,Master!$J:$M,4,0),"")</f>
        <v/>
      </c>
      <c r="J1200" s="3" t="str">
        <f>IFERROR(VLOOKUP($E1200,Master!$J:$M,3,0),"")</f>
        <v/>
      </c>
      <c r="AC1200" s="26">
        <f t="shared" si="38"/>
        <v>0</v>
      </c>
      <c r="AD1200" s="26">
        <f t="shared" si="39"/>
        <v>0</v>
      </c>
    </row>
    <row r="1201" spans="2:30" ht="15" customHeight="1">
      <c r="B1201" s="3" t="str">
        <f>IFERROR(VLOOKUP(C1201,Master!$J:$K,2,0),"")</f>
        <v/>
      </c>
      <c r="D1201" s="4" t="str">
        <f>IFERROR(VLOOKUP(E1201,Master!$J:$K,2,0),"")</f>
        <v/>
      </c>
      <c r="F1201" s="4" t="str">
        <f>IFERROR(VLOOKUP(G1201,Master!B:C,2,0),"")</f>
        <v/>
      </c>
      <c r="I1201" s="3" t="str">
        <f>IFERROR(VLOOKUP(E1201,Master!$J:$M,4,0),"")</f>
        <v/>
      </c>
      <c r="J1201" s="3" t="str">
        <f>IFERROR(VLOOKUP($E1201,Master!$J:$M,3,0),"")</f>
        <v/>
      </c>
      <c r="AC1201" s="26">
        <f t="shared" si="38"/>
        <v>0</v>
      </c>
      <c r="AD1201" s="26">
        <f t="shared" si="39"/>
        <v>0</v>
      </c>
    </row>
    <row r="1202" spans="2:30" ht="15" customHeight="1">
      <c r="B1202" s="3" t="str">
        <f>IFERROR(VLOOKUP(C1202,Master!$J:$K,2,0),"")</f>
        <v/>
      </c>
      <c r="D1202" s="4" t="str">
        <f>IFERROR(VLOOKUP(E1202,Master!$J:$K,2,0),"")</f>
        <v/>
      </c>
      <c r="F1202" s="4" t="str">
        <f>IFERROR(VLOOKUP(G1202,Master!B:C,2,0),"")</f>
        <v/>
      </c>
      <c r="I1202" s="3" t="str">
        <f>IFERROR(VLOOKUP(E1202,Master!$J:$M,4,0),"")</f>
        <v/>
      </c>
      <c r="J1202" s="3" t="str">
        <f>IFERROR(VLOOKUP($E1202,Master!$J:$M,3,0),"")</f>
        <v/>
      </c>
      <c r="AC1202" s="26">
        <f t="shared" si="38"/>
        <v>0</v>
      </c>
      <c r="AD1202" s="26">
        <f t="shared" si="39"/>
        <v>0</v>
      </c>
    </row>
    <row r="1203" spans="2:30" ht="15" customHeight="1">
      <c r="B1203" s="3" t="str">
        <f>IFERROR(VLOOKUP(C1203,Master!$J:$K,2,0),"")</f>
        <v/>
      </c>
      <c r="D1203" s="4" t="str">
        <f>IFERROR(VLOOKUP(E1203,Master!$J:$K,2,0),"")</f>
        <v/>
      </c>
      <c r="F1203" s="4" t="str">
        <f>IFERROR(VLOOKUP(G1203,Master!B:C,2,0),"")</f>
        <v/>
      </c>
      <c r="I1203" s="3" t="str">
        <f>IFERROR(VLOOKUP(E1203,Master!$J:$M,4,0),"")</f>
        <v/>
      </c>
      <c r="J1203" s="3" t="str">
        <f>IFERROR(VLOOKUP($E1203,Master!$J:$M,3,0),"")</f>
        <v/>
      </c>
      <c r="AC1203" s="26">
        <f t="shared" si="38"/>
        <v>0</v>
      </c>
      <c r="AD1203" s="26">
        <f t="shared" si="39"/>
        <v>0</v>
      </c>
    </row>
    <row r="1204" spans="2:30" ht="15" customHeight="1">
      <c r="B1204" s="3" t="str">
        <f>IFERROR(VLOOKUP(C1204,Master!$J:$K,2,0),"")</f>
        <v/>
      </c>
      <c r="D1204" s="4" t="str">
        <f>IFERROR(VLOOKUP(E1204,Master!$J:$K,2,0),"")</f>
        <v/>
      </c>
      <c r="F1204" s="4" t="str">
        <f>IFERROR(VLOOKUP(G1204,Master!B:C,2,0),"")</f>
        <v/>
      </c>
      <c r="I1204" s="3" t="str">
        <f>IFERROR(VLOOKUP(E1204,Master!$J:$M,4,0),"")</f>
        <v/>
      </c>
      <c r="J1204" s="3" t="str">
        <f>IFERROR(VLOOKUP($E1204,Master!$J:$M,3,0),"")</f>
        <v/>
      </c>
      <c r="AC1204" s="26">
        <f t="shared" si="38"/>
        <v>0</v>
      </c>
      <c r="AD1204" s="26">
        <f t="shared" si="39"/>
        <v>0</v>
      </c>
    </row>
    <row r="1205" spans="2:30" ht="15" customHeight="1">
      <c r="B1205" s="3" t="str">
        <f>IFERROR(VLOOKUP(C1205,Master!$J:$K,2,0),"")</f>
        <v/>
      </c>
      <c r="D1205" s="4" t="str">
        <f>IFERROR(VLOOKUP(E1205,Master!$J:$K,2,0),"")</f>
        <v/>
      </c>
      <c r="F1205" s="4" t="str">
        <f>IFERROR(VLOOKUP(G1205,Master!B:C,2,0),"")</f>
        <v/>
      </c>
      <c r="I1205" s="3" t="str">
        <f>IFERROR(VLOOKUP(E1205,Master!$J:$M,4,0),"")</f>
        <v/>
      </c>
      <c r="J1205" s="3" t="str">
        <f>IFERROR(VLOOKUP($E1205,Master!$J:$M,3,0),"")</f>
        <v/>
      </c>
      <c r="AC1205" s="26">
        <f t="shared" si="38"/>
        <v>0</v>
      </c>
      <c r="AD1205" s="26">
        <f t="shared" si="39"/>
        <v>0</v>
      </c>
    </row>
    <row r="1206" spans="2:30" ht="15" customHeight="1">
      <c r="B1206" s="3" t="str">
        <f>IFERROR(VLOOKUP(C1206,Master!$J:$K,2,0),"")</f>
        <v/>
      </c>
      <c r="D1206" s="4" t="str">
        <f>IFERROR(VLOOKUP(E1206,Master!$J:$K,2,0),"")</f>
        <v/>
      </c>
      <c r="F1206" s="4" t="str">
        <f>IFERROR(VLOOKUP(G1206,Master!B:C,2,0),"")</f>
        <v/>
      </c>
      <c r="I1206" s="3" t="str">
        <f>IFERROR(VLOOKUP(E1206,Master!$J:$M,4,0),"")</f>
        <v/>
      </c>
      <c r="J1206" s="3" t="str">
        <f>IFERROR(VLOOKUP($E1206,Master!$J:$M,3,0),"")</f>
        <v/>
      </c>
      <c r="AC1206" s="26">
        <f t="shared" si="38"/>
        <v>0</v>
      </c>
      <c r="AD1206" s="26">
        <f t="shared" si="39"/>
        <v>0</v>
      </c>
    </row>
    <row r="1207" spans="2:30" ht="15" customHeight="1">
      <c r="B1207" s="3" t="str">
        <f>IFERROR(VLOOKUP(C1207,Master!$J:$K,2,0),"")</f>
        <v/>
      </c>
      <c r="D1207" s="4" t="str">
        <f>IFERROR(VLOOKUP(E1207,Master!$J:$K,2,0),"")</f>
        <v/>
      </c>
      <c r="F1207" s="4" t="str">
        <f>IFERROR(VLOOKUP(G1207,Master!B:C,2,0),"")</f>
        <v/>
      </c>
      <c r="I1207" s="3" t="str">
        <f>IFERROR(VLOOKUP(E1207,Master!$J:$M,4,0),"")</f>
        <v/>
      </c>
      <c r="J1207" s="3" t="str">
        <f>IFERROR(VLOOKUP($E1207,Master!$J:$M,3,0),"")</f>
        <v/>
      </c>
      <c r="AC1207" s="26">
        <f t="shared" si="38"/>
        <v>0</v>
      </c>
      <c r="AD1207" s="26">
        <f t="shared" si="39"/>
        <v>0</v>
      </c>
    </row>
    <row r="1208" spans="2:30" ht="15" customHeight="1">
      <c r="B1208" s="3" t="str">
        <f>IFERROR(VLOOKUP(C1208,Master!$J:$K,2,0),"")</f>
        <v/>
      </c>
      <c r="D1208" s="4" t="str">
        <f>IFERROR(VLOOKUP(E1208,Master!$J:$K,2,0),"")</f>
        <v/>
      </c>
      <c r="F1208" s="4" t="str">
        <f>IFERROR(VLOOKUP(G1208,Master!B:C,2,0),"")</f>
        <v/>
      </c>
      <c r="I1208" s="3" t="str">
        <f>IFERROR(VLOOKUP(E1208,Master!$J:$M,4,0),"")</f>
        <v/>
      </c>
      <c r="J1208" s="3" t="str">
        <f>IFERROR(VLOOKUP($E1208,Master!$J:$M,3,0),"")</f>
        <v/>
      </c>
      <c r="AC1208" s="26">
        <f t="shared" si="38"/>
        <v>0</v>
      </c>
      <c r="AD1208" s="26">
        <f t="shared" si="39"/>
        <v>0</v>
      </c>
    </row>
    <row r="1209" spans="2:30" ht="15" customHeight="1">
      <c r="B1209" s="3" t="str">
        <f>IFERROR(VLOOKUP(C1209,Master!$J:$K,2,0),"")</f>
        <v/>
      </c>
      <c r="D1209" s="4" t="str">
        <f>IFERROR(VLOOKUP(E1209,Master!$J:$K,2,0),"")</f>
        <v/>
      </c>
      <c r="F1209" s="4" t="str">
        <f>IFERROR(VLOOKUP(G1209,Master!B:C,2,0),"")</f>
        <v/>
      </c>
      <c r="I1209" s="3" t="str">
        <f>IFERROR(VLOOKUP(E1209,Master!$J:$M,4,0),"")</f>
        <v/>
      </c>
      <c r="J1209" s="3" t="str">
        <f>IFERROR(VLOOKUP($E1209,Master!$J:$M,3,0),"")</f>
        <v/>
      </c>
      <c r="AC1209" s="26">
        <f t="shared" si="38"/>
        <v>0</v>
      </c>
      <c r="AD1209" s="26">
        <f t="shared" si="39"/>
        <v>0</v>
      </c>
    </row>
    <row r="1210" spans="2:30" ht="15" customHeight="1">
      <c r="B1210" s="3" t="str">
        <f>IFERROR(VLOOKUP(C1210,Master!$J:$K,2,0),"")</f>
        <v/>
      </c>
      <c r="D1210" s="4" t="str">
        <f>IFERROR(VLOOKUP(E1210,Master!$J:$K,2,0),"")</f>
        <v/>
      </c>
      <c r="F1210" s="4" t="str">
        <f>IFERROR(VLOOKUP(G1210,Master!B:C,2,0),"")</f>
        <v/>
      </c>
      <c r="I1210" s="3" t="str">
        <f>IFERROR(VLOOKUP(E1210,Master!$J:$M,4,0),"")</f>
        <v/>
      </c>
      <c r="J1210" s="3" t="str">
        <f>IFERROR(VLOOKUP($E1210,Master!$J:$M,3,0),"")</f>
        <v/>
      </c>
      <c r="AC1210" s="26">
        <f t="shared" si="38"/>
        <v>0</v>
      </c>
      <c r="AD1210" s="26">
        <f t="shared" si="39"/>
        <v>0</v>
      </c>
    </row>
    <row r="1211" spans="2:30" ht="15" customHeight="1">
      <c r="B1211" s="3" t="str">
        <f>IFERROR(VLOOKUP(C1211,Master!$J:$K,2,0),"")</f>
        <v/>
      </c>
      <c r="D1211" s="4" t="str">
        <f>IFERROR(VLOOKUP(E1211,Master!$J:$K,2,0),"")</f>
        <v/>
      </c>
      <c r="F1211" s="4" t="str">
        <f>IFERROR(VLOOKUP(G1211,Master!B:C,2,0),"")</f>
        <v/>
      </c>
      <c r="I1211" s="3" t="str">
        <f>IFERROR(VLOOKUP(E1211,Master!$J:$M,4,0),"")</f>
        <v/>
      </c>
      <c r="J1211" s="3" t="str">
        <f>IFERROR(VLOOKUP($E1211,Master!$J:$M,3,0),"")</f>
        <v/>
      </c>
      <c r="AC1211" s="26">
        <f t="shared" si="38"/>
        <v>0</v>
      </c>
      <c r="AD1211" s="26">
        <f t="shared" si="39"/>
        <v>0</v>
      </c>
    </row>
    <row r="1212" spans="2:30" ht="15" customHeight="1">
      <c r="B1212" s="3" t="str">
        <f>IFERROR(VLOOKUP(C1212,Master!$J:$K,2,0),"")</f>
        <v/>
      </c>
      <c r="D1212" s="4" t="str">
        <f>IFERROR(VLOOKUP(E1212,Master!$J:$K,2,0),"")</f>
        <v/>
      </c>
      <c r="F1212" s="4" t="str">
        <f>IFERROR(VLOOKUP(G1212,Master!B:C,2,0),"")</f>
        <v/>
      </c>
      <c r="I1212" s="3" t="str">
        <f>IFERROR(VLOOKUP(E1212,Master!$J:$M,4,0),"")</f>
        <v/>
      </c>
      <c r="J1212" s="3" t="str">
        <f>IFERROR(VLOOKUP($E1212,Master!$J:$M,3,0),"")</f>
        <v/>
      </c>
      <c r="AC1212" s="26">
        <f t="shared" si="38"/>
        <v>0</v>
      </c>
      <c r="AD1212" s="26">
        <f t="shared" si="39"/>
        <v>0</v>
      </c>
    </row>
    <row r="1213" spans="2:30" ht="15" customHeight="1">
      <c r="B1213" s="3" t="str">
        <f>IFERROR(VLOOKUP(C1213,Master!$J:$K,2,0),"")</f>
        <v/>
      </c>
      <c r="D1213" s="4" t="str">
        <f>IFERROR(VLOOKUP(E1213,Master!$J:$K,2,0),"")</f>
        <v/>
      </c>
      <c r="F1213" s="4" t="str">
        <f>IFERROR(VLOOKUP(G1213,Master!B:C,2,0),"")</f>
        <v/>
      </c>
      <c r="I1213" s="3" t="str">
        <f>IFERROR(VLOOKUP(E1213,Master!$J:$M,4,0),"")</f>
        <v/>
      </c>
      <c r="J1213" s="3" t="str">
        <f>IFERROR(VLOOKUP($E1213,Master!$J:$M,3,0),"")</f>
        <v/>
      </c>
      <c r="AC1213" s="26">
        <f t="shared" si="38"/>
        <v>0</v>
      </c>
      <c r="AD1213" s="26">
        <f t="shared" si="39"/>
        <v>0</v>
      </c>
    </row>
    <row r="1214" spans="2:30" ht="15" customHeight="1">
      <c r="B1214" s="3" t="str">
        <f>IFERROR(VLOOKUP(C1214,Master!$J:$K,2,0),"")</f>
        <v/>
      </c>
      <c r="D1214" s="4" t="str">
        <f>IFERROR(VLOOKUP(E1214,Master!$J:$K,2,0),"")</f>
        <v/>
      </c>
      <c r="F1214" s="4" t="str">
        <f>IFERROR(VLOOKUP(G1214,Master!B:C,2,0),"")</f>
        <v/>
      </c>
      <c r="I1214" s="3" t="str">
        <f>IFERROR(VLOOKUP(E1214,Master!$J:$M,4,0),"")</f>
        <v/>
      </c>
      <c r="J1214" s="3" t="str">
        <f>IFERROR(VLOOKUP($E1214,Master!$J:$M,3,0),"")</f>
        <v/>
      </c>
      <c r="AC1214" s="26">
        <f t="shared" si="38"/>
        <v>0</v>
      </c>
      <c r="AD1214" s="26">
        <f t="shared" si="39"/>
        <v>0</v>
      </c>
    </row>
    <row r="1215" spans="2:30" ht="15" customHeight="1">
      <c r="B1215" s="3" t="str">
        <f>IFERROR(VLOOKUP(C1215,Master!$J:$K,2,0),"")</f>
        <v/>
      </c>
      <c r="D1215" s="4" t="str">
        <f>IFERROR(VLOOKUP(E1215,Master!$J:$K,2,0),"")</f>
        <v/>
      </c>
      <c r="F1215" s="4" t="str">
        <f>IFERROR(VLOOKUP(G1215,Master!B:C,2,0),"")</f>
        <v/>
      </c>
      <c r="I1215" s="3" t="str">
        <f>IFERROR(VLOOKUP(E1215,Master!$J:$M,4,0),"")</f>
        <v/>
      </c>
      <c r="J1215" s="3" t="str">
        <f>IFERROR(VLOOKUP($E1215,Master!$J:$M,3,0),"")</f>
        <v/>
      </c>
      <c r="AC1215" s="26">
        <f t="shared" si="38"/>
        <v>0</v>
      </c>
      <c r="AD1215" s="26">
        <f t="shared" si="39"/>
        <v>0</v>
      </c>
    </row>
    <row r="1216" spans="2:30" ht="15" customHeight="1">
      <c r="B1216" s="3" t="str">
        <f>IFERROR(VLOOKUP(C1216,Master!$J:$K,2,0),"")</f>
        <v/>
      </c>
      <c r="D1216" s="4" t="str">
        <f>IFERROR(VLOOKUP(E1216,Master!$J:$K,2,0),"")</f>
        <v/>
      </c>
      <c r="F1216" s="4" t="str">
        <f>IFERROR(VLOOKUP(G1216,Master!B:C,2,0),"")</f>
        <v/>
      </c>
      <c r="I1216" s="3" t="str">
        <f>IFERROR(VLOOKUP(E1216,Master!$J:$M,4,0),"")</f>
        <v/>
      </c>
      <c r="J1216" s="3" t="str">
        <f>IFERROR(VLOOKUP($E1216,Master!$J:$M,3,0),"")</f>
        <v/>
      </c>
      <c r="AC1216" s="26">
        <f t="shared" si="38"/>
        <v>0</v>
      </c>
      <c r="AD1216" s="26">
        <f t="shared" si="39"/>
        <v>0</v>
      </c>
    </row>
    <row r="1217" spans="2:30" ht="15" customHeight="1">
      <c r="B1217" s="3" t="str">
        <f>IFERROR(VLOOKUP(C1217,Master!$J:$K,2,0),"")</f>
        <v/>
      </c>
      <c r="D1217" s="4" t="str">
        <f>IFERROR(VLOOKUP(E1217,Master!$J:$K,2,0),"")</f>
        <v/>
      </c>
      <c r="F1217" s="4" t="str">
        <f>IFERROR(VLOOKUP(G1217,Master!B:C,2,0),"")</f>
        <v/>
      </c>
      <c r="I1217" s="3" t="str">
        <f>IFERROR(VLOOKUP(E1217,Master!$J:$M,4,0),"")</f>
        <v/>
      </c>
      <c r="J1217" s="3" t="str">
        <f>IFERROR(VLOOKUP($E1217,Master!$J:$M,3,0),"")</f>
        <v/>
      </c>
      <c r="AC1217" s="26">
        <f t="shared" si="38"/>
        <v>0</v>
      </c>
      <c r="AD1217" s="26">
        <f t="shared" si="39"/>
        <v>0</v>
      </c>
    </row>
    <row r="1218" spans="2:30" ht="15" customHeight="1">
      <c r="B1218" s="3" t="str">
        <f>IFERROR(VLOOKUP(C1218,Master!$J:$K,2,0),"")</f>
        <v/>
      </c>
      <c r="D1218" s="4" t="str">
        <f>IFERROR(VLOOKUP(E1218,Master!$J:$K,2,0),"")</f>
        <v/>
      </c>
      <c r="F1218" s="4" t="str">
        <f>IFERROR(VLOOKUP(G1218,Master!B:C,2,0),"")</f>
        <v/>
      </c>
      <c r="I1218" s="3" t="str">
        <f>IFERROR(VLOOKUP(E1218,Master!$J:$M,4,0),"")</f>
        <v/>
      </c>
      <c r="J1218" s="3" t="str">
        <f>IFERROR(VLOOKUP($E1218,Master!$J:$M,3,0),"")</f>
        <v/>
      </c>
      <c r="AC1218" s="26">
        <f t="shared" si="38"/>
        <v>0</v>
      </c>
      <c r="AD1218" s="26">
        <f t="shared" si="39"/>
        <v>0</v>
      </c>
    </row>
    <row r="1219" spans="2:30" ht="15" customHeight="1">
      <c r="B1219" s="3" t="str">
        <f>IFERROR(VLOOKUP(C1219,Master!$J:$K,2,0),"")</f>
        <v/>
      </c>
      <c r="D1219" s="4" t="str">
        <f>IFERROR(VLOOKUP(E1219,Master!$J:$K,2,0),"")</f>
        <v/>
      </c>
      <c r="F1219" s="4" t="str">
        <f>IFERROR(VLOOKUP(G1219,Master!B:C,2,0),"")</f>
        <v/>
      </c>
      <c r="I1219" s="3" t="str">
        <f>IFERROR(VLOOKUP(E1219,Master!$J:$M,4,0),"")</f>
        <v/>
      </c>
      <c r="J1219" s="3" t="str">
        <f>IFERROR(VLOOKUP($E1219,Master!$J:$M,3,0),"")</f>
        <v/>
      </c>
      <c r="AC1219" s="26">
        <f t="shared" si="38"/>
        <v>0</v>
      </c>
      <c r="AD1219" s="26">
        <f t="shared" si="39"/>
        <v>0</v>
      </c>
    </row>
    <row r="1220" spans="2:30" ht="15" customHeight="1">
      <c r="B1220" s="3" t="str">
        <f>IFERROR(VLOOKUP(C1220,Master!$J:$K,2,0),"")</f>
        <v/>
      </c>
      <c r="D1220" s="4" t="str">
        <f>IFERROR(VLOOKUP(E1220,Master!$J:$K,2,0),"")</f>
        <v/>
      </c>
      <c r="F1220" s="4" t="str">
        <f>IFERROR(VLOOKUP(G1220,Master!B:C,2,0),"")</f>
        <v/>
      </c>
      <c r="I1220" s="3" t="str">
        <f>IFERROR(VLOOKUP(E1220,Master!$J:$M,4,0),"")</f>
        <v/>
      </c>
      <c r="J1220" s="3" t="str">
        <f>IFERROR(VLOOKUP($E1220,Master!$J:$M,3,0),"")</f>
        <v/>
      </c>
      <c r="AC1220" s="26">
        <f t="shared" si="38"/>
        <v>0</v>
      </c>
      <c r="AD1220" s="26">
        <f t="shared" si="39"/>
        <v>0</v>
      </c>
    </row>
    <row r="1221" spans="2:30" ht="15" customHeight="1">
      <c r="B1221" s="3" t="str">
        <f>IFERROR(VLOOKUP(C1221,Master!$J:$K,2,0),"")</f>
        <v/>
      </c>
      <c r="D1221" s="4" t="str">
        <f>IFERROR(VLOOKUP(E1221,Master!$J:$K,2,0),"")</f>
        <v/>
      </c>
      <c r="F1221" s="4" t="str">
        <f>IFERROR(VLOOKUP(G1221,Master!B:C,2,0),"")</f>
        <v/>
      </c>
      <c r="I1221" s="3" t="str">
        <f>IFERROR(VLOOKUP(E1221,Master!$J:$M,4,0),"")</f>
        <v/>
      </c>
      <c r="J1221" s="3" t="str">
        <f>IFERROR(VLOOKUP($E1221,Master!$J:$M,3,0),"")</f>
        <v/>
      </c>
      <c r="AC1221" s="26">
        <f t="shared" si="38"/>
        <v>0</v>
      </c>
      <c r="AD1221" s="26">
        <f t="shared" si="39"/>
        <v>0</v>
      </c>
    </row>
    <row r="1222" spans="2:30" ht="15" customHeight="1">
      <c r="B1222" s="3" t="str">
        <f>IFERROR(VLOOKUP(C1222,Master!$J:$K,2,0),"")</f>
        <v/>
      </c>
      <c r="D1222" s="4" t="str">
        <f>IFERROR(VLOOKUP(E1222,Master!$J:$K,2,0),"")</f>
        <v/>
      </c>
      <c r="F1222" s="4" t="str">
        <f>IFERROR(VLOOKUP(G1222,Master!B:C,2,0),"")</f>
        <v/>
      </c>
      <c r="I1222" s="3" t="str">
        <f>IFERROR(VLOOKUP(E1222,Master!$J:$M,4,0),"")</f>
        <v/>
      </c>
      <c r="J1222" s="3" t="str">
        <f>IFERROR(VLOOKUP($E1222,Master!$J:$M,3,0),"")</f>
        <v/>
      </c>
      <c r="AC1222" s="26">
        <f t="shared" si="38"/>
        <v>0</v>
      </c>
      <c r="AD1222" s="26">
        <f t="shared" si="39"/>
        <v>0</v>
      </c>
    </row>
    <row r="1223" spans="2:30" ht="15" customHeight="1">
      <c r="B1223" s="3" t="str">
        <f>IFERROR(VLOOKUP(C1223,Master!$J:$K,2,0),"")</f>
        <v/>
      </c>
      <c r="D1223" s="4" t="str">
        <f>IFERROR(VLOOKUP(E1223,Master!$J:$K,2,0),"")</f>
        <v/>
      </c>
      <c r="F1223" s="4" t="str">
        <f>IFERROR(VLOOKUP(G1223,Master!B:C,2,0),"")</f>
        <v/>
      </c>
      <c r="I1223" s="3" t="str">
        <f>IFERROR(VLOOKUP(E1223,Master!$J:$M,4,0),"")</f>
        <v/>
      </c>
      <c r="J1223" s="3" t="str">
        <f>IFERROR(VLOOKUP($E1223,Master!$J:$M,3,0),"")</f>
        <v/>
      </c>
      <c r="AC1223" s="26">
        <f t="shared" si="38"/>
        <v>0</v>
      </c>
      <c r="AD1223" s="26">
        <f t="shared" si="39"/>
        <v>0</v>
      </c>
    </row>
    <row r="1224" spans="2:30" ht="15" customHeight="1">
      <c r="B1224" s="3" t="str">
        <f>IFERROR(VLOOKUP(C1224,Master!$J:$K,2,0),"")</f>
        <v/>
      </c>
      <c r="D1224" s="4" t="str">
        <f>IFERROR(VLOOKUP(E1224,Master!$J:$K,2,0),"")</f>
        <v/>
      </c>
      <c r="F1224" s="4" t="str">
        <f>IFERROR(VLOOKUP(G1224,Master!B:C,2,0),"")</f>
        <v/>
      </c>
      <c r="I1224" s="3" t="str">
        <f>IFERROR(VLOOKUP(E1224,Master!$J:$M,4,0),"")</f>
        <v/>
      </c>
      <c r="J1224" s="3" t="str">
        <f>IFERROR(VLOOKUP($E1224,Master!$J:$M,3,0),"")</f>
        <v/>
      </c>
      <c r="AC1224" s="26">
        <f t="shared" si="38"/>
        <v>0</v>
      </c>
      <c r="AD1224" s="26">
        <f t="shared" si="39"/>
        <v>0</v>
      </c>
    </row>
    <row r="1225" spans="2:30" ht="15" customHeight="1">
      <c r="B1225" s="3" t="str">
        <f>IFERROR(VLOOKUP(C1225,Master!$J:$K,2,0),"")</f>
        <v/>
      </c>
      <c r="D1225" s="4" t="str">
        <f>IFERROR(VLOOKUP(E1225,Master!$J:$K,2,0),"")</f>
        <v/>
      </c>
      <c r="F1225" s="4" t="str">
        <f>IFERROR(VLOOKUP(G1225,Master!B:C,2,0),"")</f>
        <v/>
      </c>
      <c r="I1225" s="3" t="str">
        <f>IFERROR(VLOOKUP(E1225,Master!$J:$M,4,0),"")</f>
        <v/>
      </c>
      <c r="J1225" s="3" t="str">
        <f>IFERROR(VLOOKUP($E1225,Master!$J:$M,3,0),"")</f>
        <v/>
      </c>
      <c r="AC1225" s="26">
        <f t="shared" si="38"/>
        <v>0</v>
      </c>
      <c r="AD1225" s="26">
        <f t="shared" si="39"/>
        <v>0</v>
      </c>
    </row>
    <row r="1226" spans="2:30" ht="15" customHeight="1">
      <c r="B1226" s="3" t="str">
        <f>IFERROR(VLOOKUP(C1226,Master!$J:$K,2,0),"")</f>
        <v/>
      </c>
      <c r="D1226" s="4" t="str">
        <f>IFERROR(VLOOKUP(E1226,Master!$J:$K,2,0),"")</f>
        <v/>
      </c>
      <c r="F1226" s="4" t="str">
        <f>IFERROR(VLOOKUP(G1226,Master!B:C,2,0),"")</f>
        <v/>
      </c>
      <c r="I1226" s="3" t="str">
        <f>IFERROR(VLOOKUP(E1226,Master!$J:$M,4,0),"")</f>
        <v/>
      </c>
      <c r="J1226" s="3" t="str">
        <f>IFERROR(VLOOKUP($E1226,Master!$J:$M,3,0),"")</f>
        <v/>
      </c>
      <c r="AC1226" s="26">
        <f t="shared" si="38"/>
        <v>0</v>
      </c>
      <c r="AD1226" s="26">
        <f t="shared" si="39"/>
        <v>0</v>
      </c>
    </row>
    <row r="1227" spans="2:30" ht="15" customHeight="1">
      <c r="B1227" s="3" t="str">
        <f>IFERROR(VLOOKUP(C1227,Master!$J:$K,2,0),"")</f>
        <v/>
      </c>
      <c r="D1227" s="4" t="str">
        <f>IFERROR(VLOOKUP(E1227,Master!$J:$K,2,0),"")</f>
        <v/>
      </c>
      <c r="F1227" s="4" t="str">
        <f>IFERROR(VLOOKUP(G1227,Master!B:C,2,0),"")</f>
        <v/>
      </c>
      <c r="I1227" s="3" t="str">
        <f>IFERROR(VLOOKUP(E1227,Master!$J:$M,4,0),"")</f>
        <v/>
      </c>
      <c r="J1227" s="3" t="str">
        <f>IFERROR(VLOOKUP($E1227,Master!$J:$M,3,0),"")</f>
        <v/>
      </c>
      <c r="AC1227" s="26">
        <f t="shared" si="38"/>
        <v>0</v>
      </c>
      <c r="AD1227" s="26">
        <f t="shared" si="39"/>
        <v>0</v>
      </c>
    </row>
    <row r="1228" spans="2:30" ht="15" customHeight="1">
      <c r="B1228" s="3" t="str">
        <f>IFERROR(VLOOKUP(C1228,Master!$J:$K,2,0),"")</f>
        <v/>
      </c>
      <c r="D1228" s="4" t="str">
        <f>IFERROR(VLOOKUP(E1228,Master!$J:$K,2,0),"")</f>
        <v/>
      </c>
      <c r="F1228" s="4" t="str">
        <f>IFERROR(VLOOKUP(G1228,Master!B:C,2,0),"")</f>
        <v/>
      </c>
      <c r="I1228" s="3" t="str">
        <f>IFERROR(VLOOKUP(E1228,Master!$J:$M,4,0),"")</f>
        <v/>
      </c>
      <c r="J1228" s="3" t="str">
        <f>IFERROR(VLOOKUP($E1228,Master!$J:$M,3,0),"")</f>
        <v/>
      </c>
      <c r="AC1228" s="26">
        <f t="shared" si="38"/>
        <v>0</v>
      </c>
      <c r="AD1228" s="26">
        <f t="shared" si="39"/>
        <v>0</v>
      </c>
    </row>
    <row r="1229" spans="2:30" ht="15" customHeight="1">
      <c r="B1229" s="3" t="str">
        <f>IFERROR(VLOOKUP(C1229,Master!$J:$K,2,0),"")</f>
        <v/>
      </c>
      <c r="D1229" s="4" t="str">
        <f>IFERROR(VLOOKUP(E1229,Master!$J:$K,2,0),"")</f>
        <v/>
      </c>
      <c r="F1229" s="4" t="str">
        <f>IFERROR(VLOOKUP(G1229,Master!B:C,2,0),"")</f>
        <v/>
      </c>
      <c r="I1229" s="3" t="str">
        <f>IFERROR(VLOOKUP(E1229,Master!$J:$M,4,0),"")</f>
        <v/>
      </c>
      <c r="J1229" s="3" t="str">
        <f>IFERROR(VLOOKUP($E1229,Master!$J:$M,3,0),"")</f>
        <v/>
      </c>
      <c r="AC1229" s="26">
        <f t="shared" si="38"/>
        <v>0</v>
      </c>
      <c r="AD1229" s="26">
        <f t="shared" si="39"/>
        <v>0</v>
      </c>
    </row>
    <row r="1230" spans="2:30" ht="15" customHeight="1">
      <c r="B1230" s="3" t="str">
        <f>IFERROR(VLOOKUP(C1230,Master!$J:$K,2,0),"")</f>
        <v/>
      </c>
      <c r="D1230" s="4" t="str">
        <f>IFERROR(VLOOKUP(E1230,Master!$J:$K,2,0),"")</f>
        <v/>
      </c>
      <c r="F1230" s="4" t="str">
        <f>IFERROR(VLOOKUP(G1230,Master!B:C,2,0),"")</f>
        <v/>
      </c>
      <c r="I1230" s="3" t="str">
        <f>IFERROR(VLOOKUP(E1230,Master!$J:$M,4,0),"")</f>
        <v/>
      </c>
      <c r="J1230" s="3" t="str">
        <f>IFERROR(VLOOKUP($E1230,Master!$J:$M,3,0),"")</f>
        <v/>
      </c>
      <c r="AC1230" s="26">
        <f t="shared" si="38"/>
        <v>0</v>
      </c>
      <c r="AD1230" s="26">
        <f t="shared" si="39"/>
        <v>0</v>
      </c>
    </row>
    <row r="1231" spans="2:30" ht="15" customHeight="1">
      <c r="B1231" s="3" t="str">
        <f>IFERROR(VLOOKUP(C1231,Master!$J:$K,2,0),"")</f>
        <v/>
      </c>
      <c r="D1231" s="4" t="str">
        <f>IFERROR(VLOOKUP(E1231,Master!$J:$K,2,0),"")</f>
        <v/>
      </c>
      <c r="F1231" s="4" t="str">
        <f>IFERROR(VLOOKUP(G1231,Master!B:C,2,0),"")</f>
        <v/>
      </c>
      <c r="I1231" s="3" t="str">
        <f>IFERROR(VLOOKUP(E1231,Master!$J:$M,4,0),"")</f>
        <v/>
      </c>
      <c r="J1231" s="3" t="str">
        <f>IFERROR(VLOOKUP($E1231,Master!$J:$M,3,0),"")</f>
        <v/>
      </c>
      <c r="AC1231" s="26">
        <f t="shared" si="38"/>
        <v>0</v>
      </c>
      <c r="AD1231" s="26">
        <f t="shared" si="39"/>
        <v>0</v>
      </c>
    </row>
    <row r="1232" spans="2:30" ht="15" customHeight="1">
      <c r="B1232" s="3" t="str">
        <f>IFERROR(VLOOKUP(C1232,Master!$J:$K,2,0),"")</f>
        <v/>
      </c>
      <c r="D1232" s="4" t="str">
        <f>IFERROR(VLOOKUP(E1232,Master!$J:$K,2,0),"")</f>
        <v/>
      </c>
      <c r="F1232" s="4" t="str">
        <f>IFERROR(VLOOKUP(G1232,Master!B:C,2,0),"")</f>
        <v/>
      </c>
      <c r="I1232" s="3" t="str">
        <f>IFERROR(VLOOKUP(E1232,Master!$J:$M,4,0),"")</f>
        <v/>
      </c>
      <c r="J1232" s="3" t="str">
        <f>IFERROR(VLOOKUP($E1232,Master!$J:$M,3,0),"")</f>
        <v/>
      </c>
      <c r="AC1232" s="26">
        <f t="shared" si="38"/>
        <v>0</v>
      </c>
      <c r="AD1232" s="26">
        <f t="shared" si="39"/>
        <v>0</v>
      </c>
    </row>
    <row r="1233" spans="2:30" ht="15" customHeight="1">
      <c r="B1233" s="3" t="str">
        <f>IFERROR(VLOOKUP(C1233,Master!$J:$K,2,0),"")</f>
        <v/>
      </c>
      <c r="D1233" s="4" t="str">
        <f>IFERROR(VLOOKUP(E1233,Master!$J:$K,2,0),"")</f>
        <v/>
      </c>
      <c r="F1233" s="4" t="str">
        <f>IFERROR(VLOOKUP(G1233,Master!B:C,2,0),"")</f>
        <v/>
      </c>
      <c r="I1233" s="3" t="str">
        <f>IFERROR(VLOOKUP(E1233,Master!$J:$M,4,0),"")</f>
        <v/>
      </c>
      <c r="J1233" s="3" t="str">
        <f>IFERROR(VLOOKUP($E1233,Master!$J:$M,3,0),"")</f>
        <v/>
      </c>
      <c r="AC1233" s="26">
        <f t="shared" si="38"/>
        <v>0</v>
      </c>
      <c r="AD1233" s="26">
        <f t="shared" si="39"/>
        <v>0</v>
      </c>
    </row>
    <row r="1234" spans="2:30" ht="15" customHeight="1">
      <c r="B1234" s="3" t="str">
        <f>IFERROR(VLOOKUP(C1234,Master!$J:$K,2,0),"")</f>
        <v/>
      </c>
      <c r="D1234" s="4" t="str">
        <f>IFERROR(VLOOKUP(E1234,Master!$J:$K,2,0),"")</f>
        <v/>
      </c>
      <c r="F1234" s="4" t="str">
        <f>IFERROR(VLOOKUP(G1234,Master!B:C,2,0),"")</f>
        <v/>
      </c>
      <c r="I1234" s="3" t="str">
        <f>IFERROR(VLOOKUP(E1234,Master!$J:$M,4,0),"")</f>
        <v/>
      </c>
      <c r="J1234" s="3" t="str">
        <f>IFERROR(VLOOKUP($E1234,Master!$J:$M,3,0),"")</f>
        <v/>
      </c>
      <c r="AC1234" s="26">
        <f t="shared" si="38"/>
        <v>0</v>
      </c>
      <c r="AD1234" s="26">
        <f t="shared" si="39"/>
        <v>0</v>
      </c>
    </row>
    <row r="1235" spans="2:30" ht="15" customHeight="1">
      <c r="B1235" s="3" t="str">
        <f>IFERROR(VLOOKUP(C1235,Master!$J:$K,2,0),"")</f>
        <v/>
      </c>
      <c r="D1235" s="4" t="str">
        <f>IFERROR(VLOOKUP(E1235,Master!$J:$K,2,0),"")</f>
        <v/>
      </c>
      <c r="F1235" s="4" t="str">
        <f>IFERROR(VLOOKUP(G1235,Master!B:C,2,0),"")</f>
        <v/>
      </c>
      <c r="I1235" s="3" t="str">
        <f>IFERROR(VLOOKUP(E1235,Master!$J:$M,4,0),"")</f>
        <v/>
      </c>
      <c r="J1235" s="3" t="str">
        <f>IFERROR(VLOOKUP($E1235,Master!$J:$M,3,0),"")</f>
        <v/>
      </c>
      <c r="AC1235" s="26">
        <f t="shared" si="38"/>
        <v>0</v>
      </c>
      <c r="AD1235" s="26">
        <f t="shared" si="39"/>
        <v>0</v>
      </c>
    </row>
    <row r="1236" spans="2:30" ht="15" customHeight="1">
      <c r="B1236" s="3" t="str">
        <f>IFERROR(VLOOKUP(C1236,Master!$J:$K,2,0),"")</f>
        <v/>
      </c>
      <c r="D1236" s="4" t="str">
        <f>IFERROR(VLOOKUP(E1236,Master!$J:$K,2,0),"")</f>
        <v/>
      </c>
      <c r="F1236" s="4" t="str">
        <f>IFERROR(VLOOKUP(G1236,Master!B:C,2,0),"")</f>
        <v/>
      </c>
      <c r="I1236" s="3" t="str">
        <f>IFERROR(VLOOKUP(E1236,Master!$J:$M,4,0),"")</f>
        <v/>
      </c>
      <c r="J1236" s="3" t="str">
        <f>IFERROR(VLOOKUP($E1236,Master!$J:$M,3,0),"")</f>
        <v/>
      </c>
      <c r="AC1236" s="26">
        <f t="shared" si="38"/>
        <v>0</v>
      </c>
      <c r="AD1236" s="26">
        <f t="shared" si="39"/>
        <v>0</v>
      </c>
    </row>
    <row r="1237" spans="2:30" ht="15" customHeight="1">
      <c r="B1237" s="3" t="str">
        <f>IFERROR(VLOOKUP(C1237,Master!$J:$K,2,0),"")</f>
        <v/>
      </c>
      <c r="D1237" s="4" t="str">
        <f>IFERROR(VLOOKUP(E1237,Master!$J:$K,2,0),"")</f>
        <v/>
      </c>
      <c r="F1237" s="4" t="str">
        <f>IFERROR(VLOOKUP(G1237,Master!B:C,2,0),"")</f>
        <v/>
      </c>
      <c r="I1237" s="3" t="str">
        <f>IFERROR(VLOOKUP(E1237,Master!$J:$M,4,0),"")</f>
        <v/>
      </c>
      <c r="J1237" s="3" t="str">
        <f>IFERROR(VLOOKUP($E1237,Master!$J:$M,3,0),"")</f>
        <v/>
      </c>
      <c r="AC1237" s="26">
        <f t="shared" si="38"/>
        <v>0</v>
      </c>
      <c r="AD1237" s="26">
        <f t="shared" si="39"/>
        <v>0</v>
      </c>
    </row>
    <row r="1238" spans="2:30" ht="15" customHeight="1">
      <c r="B1238" s="3" t="str">
        <f>IFERROR(VLOOKUP(C1238,Master!$J:$K,2,0),"")</f>
        <v/>
      </c>
      <c r="D1238" s="4" t="str">
        <f>IFERROR(VLOOKUP(E1238,Master!$J:$K,2,0),"")</f>
        <v/>
      </c>
      <c r="F1238" s="4" t="str">
        <f>IFERROR(VLOOKUP(G1238,Master!B:C,2,0),"")</f>
        <v/>
      </c>
      <c r="I1238" s="3" t="str">
        <f>IFERROR(VLOOKUP(E1238,Master!$J:$M,4,0),"")</f>
        <v/>
      </c>
      <c r="J1238" s="3" t="str">
        <f>IFERROR(VLOOKUP($E1238,Master!$J:$M,3,0),"")</f>
        <v/>
      </c>
      <c r="AC1238" s="26">
        <f t="shared" si="38"/>
        <v>0</v>
      </c>
      <c r="AD1238" s="26">
        <f t="shared" si="39"/>
        <v>0</v>
      </c>
    </row>
    <row r="1239" spans="2:30" ht="15" customHeight="1">
      <c r="B1239" s="3" t="str">
        <f>IFERROR(VLOOKUP(C1239,Master!$J:$K,2,0),"")</f>
        <v/>
      </c>
      <c r="D1239" s="4" t="str">
        <f>IFERROR(VLOOKUP(E1239,Master!$J:$K,2,0),"")</f>
        <v/>
      </c>
      <c r="F1239" s="4" t="str">
        <f>IFERROR(VLOOKUP(G1239,Master!B:C,2,0),"")</f>
        <v/>
      </c>
      <c r="I1239" s="3" t="str">
        <f>IFERROR(VLOOKUP(E1239,Master!$J:$M,4,0),"")</f>
        <v/>
      </c>
      <c r="J1239" s="3" t="str">
        <f>IFERROR(VLOOKUP($E1239,Master!$J:$M,3,0),"")</f>
        <v/>
      </c>
      <c r="AC1239" s="26">
        <f t="shared" si="38"/>
        <v>0</v>
      </c>
      <c r="AD1239" s="26">
        <f t="shared" si="39"/>
        <v>0</v>
      </c>
    </row>
    <row r="1240" spans="2:30" ht="15" customHeight="1">
      <c r="B1240" s="3" t="str">
        <f>IFERROR(VLOOKUP(C1240,Master!$J:$K,2,0),"")</f>
        <v/>
      </c>
      <c r="D1240" s="4" t="str">
        <f>IFERROR(VLOOKUP(E1240,Master!$J:$K,2,0),"")</f>
        <v/>
      </c>
      <c r="F1240" s="4" t="str">
        <f>IFERROR(VLOOKUP(G1240,Master!B:C,2,0),"")</f>
        <v/>
      </c>
      <c r="I1240" s="3" t="str">
        <f>IFERROR(VLOOKUP(E1240,Master!$J:$M,4,0),"")</f>
        <v/>
      </c>
      <c r="J1240" s="3" t="str">
        <f>IFERROR(VLOOKUP($E1240,Master!$J:$M,3,0),"")</f>
        <v/>
      </c>
      <c r="AC1240" s="26">
        <f t="shared" si="38"/>
        <v>0</v>
      </c>
      <c r="AD1240" s="26">
        <f t="shared" si="39"/>
        <v>0</v>
      </c>
    </row>
    <row r="1241" spans="2:30" ht="15" customHeight="1">
      <c r="B1241" s="3" t="str">
        <f>IFERROR(VLOOKUP(C1241,Master!$J:$K,2,0),"")</f>
        <v/>
      </c>
      <c r="D1241" s="4" t="str">
        <f>IFERROR(VLOOKUP(E1241,Master!$J:$K,2,0),"")</f>
        <v/>
      </c>
      <c r="F1241" s="4" t="str">
        <f>IFERROR(VLOOKUP(G1241,Master!B:C,2,0),"")</f>
        <v/>
      </c>
      <c r="I1241" s="3" t="str">
        <f>IFERROR(VLOOKUP(E1241,Master!$J:$M,4,0),"")</f>
        <v/>
      </c>
      <c r="J1241" s="3" t="str">
        <f>IFERROR(VLOOKUP($E1241,Master!$J:$M,3,0),"")</f>
        <v/>
      </c>
      <c r="AC1241" s="26">
        <f t="shared" si="38"/>
        <v>0</v>
      </c>
      <c r="AD1241" s="26">
        <f t="shared" si="39"/>
        <v>0</v>
      </c>
    </row>
    <row r="1242" spans="2:30" ht="15" customHeight="1">
      <c r="B1242" s="3" t="str">
        <f>IFERROR(VLOOKUP(C1242,Master!$J:$K,2,0),"")</f>
        <v/>
      </c>
      <c r="D1242" s="4" t="str">
        <f>IFERROR(VLOOKUP(E1242,Master!$J:$K,2,0),"")</f>
        <v/>
      </c>
      <c r="F1242" s="4" t="str">
        <f>IFERROR(VLOOKUP(G1242,Master!B:C,2,0),"")</f>
        <v/>
      </c>
      <c r="I1242" s="3" t="str">
        <f>IFERROR(VLOOKUP(E1242,Master!$J:$M,4,0),"")</f>
        <v/>
      </c>
      <c r="J1242" s="3" t="str">
        <f>IFERROR(VLOOKUP($E1242,Master!$J:$M,3,0),"")</f>
        <v/>
      </c>
      <c r="AC1242" s="26">
        <f t="shared" si="38"/>
        <v>0</v>
      </c>
      <c r="AD1242" s="26">
        <f t="shared" si="39"/>
        <v>0</v>
      </c>
    </row>
    <row r="1243" spans="2:30" ht="15" customHeight="1">
      <c r="B1243" s="3" t="str">
        <f>IFERROR(VLOOKUP(C1243,Master!$J:$K,2,0),"")</f>
        <v/>
      </c>
      <c r="D1243" s="4" t="str">
        <f>IFERROR(VLOOKUP(E1243,Master!$J:$K,2,0),"")</f>
        <v/>
      </c>
      <c r="F1243" s="4" t="str">
        <f>IFERROR(VLOOKUP(G1243,Master!B:C,2,0),"")</f>
        <v/>
      </c>
      <c r="I1243" s="3" t="str">
        <f>IFERROR(VLOOKUP(E1243,Master!$J:$M,4,0),"")</f>
        <v/>
      </c>
      <c r="J1243" s="3" t="str">
        <f>IFERROR(VLOOKUP($E1243,Master!$J:$M,3,0),"")</f>
        <v/>
      </c>
      <c r="AC1243" s="26">
        <f t="shared" si="38"/>
        <v>0</v>
      </c>
      <c r="AD1243" s="26">
        <f t="shared" si="39"/>
        <v>0</v>
      </c>
    </row>
    <row r="1244" spans="2:30" ht="15" customHeight="1">
      <c r="B1244" s="3" t="str">
        <f>IFERROR(VLOOKUP(C1244,Master!$J:$K,2,0),"")</f>
        <v/>
      </c>
      <c r="D1244" s="4" t="str">
        <f>IFERROR(VLOOKUP(E1244,Master!$J:$K,2,0),"")</f>
        <v/>
      </c>
      <c r="F1244" s="4" t="str">
        <f>IFERROR(VLOOKUP(G1244,Master!B:C,2,0),"")</f>
        <v/>
      </c>
      <c r="I1244" s="3" t="str">
        <f>IFERROR(VLOOKUP(E1244,Master!$J:$M,4,0),"")</f>
        <v/>
      </c>
      <c r="J1244" s="3" t="str">
        <f>IFERROR(VLOOKUP($E1244,Master!$J:$M,3,0),"")</f>
        <v/>
      </c>
      <c r="AC1244" s="26">
        <f t="shared" si="38"/>
        <v>0</v>
      </c>
      <c r="AD1244" s="26">
        <f t="shared" si="39"/>
        <v>0</v>
      </c>
    </row>
    <row r="1245" spans="2:30" ht="15" customHeight="1">
      <c r="B1245" s="3" t="str">
        <f>IFERROR(VLOOKUP(C1245,Master!$J:$K,2,0),"")</f>
        <v/>
      </c>
      <c r="D1245" s="4" t="str">
        <f>IFERROR(VLOOKUP(E1245,Master!$J:$K,2,0),"")</f>
        <v/>
      </c>
      <c r="F1245" s="4" t="str">
        <f>IFERROR(VLOOKUP(G1245,Master!B:C,2,0),"")</f>
        <v/>
      </c>
      <c r="I1245" s="3" t="str">
        <f>IFERROR(VLOOKUP(E1245,Master!$J:$M,4,0),"")</f>
        <v/>
      </c>
      <c r="J1245" s="3" t="str">
        <f>IFERROR(VLOOKUP($E1245,Master!$J:$M,3,0),"")</f>
        <v/>
      </c>
      <c r="AC1245" s="26">
        <f t="shared" si="38"/>
        <v>0</v>
      </c>
      <c r="AD1245" s="26">
        <f t="shared" si="39"/>
        <v>0</v>
      </c>
    </row>
    <row r="1246" spans="2:30" ht="15" customHeight="1">
      <c r="B1246" s="3" t="str">
        <f>IFERROR(VLOOKUP(C1246,Master!$J:$K,2,0),"")</f>
        <v/>
      </c>
      <c r="D1246" s="4" t="str">
        <f>IFERROR(VLOOKUP(E1246,Master!$J:$K,2,0),"")</f>
        <v/>
      </c>
      <c r="F1246" s="4" t="str">
        <f>IFERROR(VLOOKUP(G1246,Master!B:C,2,0),"")</f>
        <v/>
      </c>
      <c r="I1246" s="3" t="str">
        <f>IFERROR(VLOOKUP(E1246,Master!$J:$M,4,0),"")</f>
        <v/>
      </c>
      <c r="J1246" s="3" t="str">
        <f>IFERROR(VLOOKUP($E1246,Master!$J:$M,3,0),"")</f>
        <v/>
      </c>
      <c r="AC1246" s="26">
        <f t="shared" si="38"/>
        <v>0</v>
      </c>
      <c r="AD1246" s="26">
        <f t="shared" si="39"/>
        <v>0</v>
      </c>
    </row>
    <row r="1247" spans="2:30" ht="15" customHeight="1">
      <c r="B1247" s="3" t="str">
        <f>IFERROR(VLOOKUP(C1247,Master!$J:$K,2,0),"")</f>
        <v/>
      </c>
      <c r="D1247" s="4" t="str">
        <f>IFERROR(VLOOKUP(E1247,Master!$J:$K,2,0),"")</f>
        <v/>
      </c>
      <c r="F1247" s="4" t="str">
        <f>IFERROR(VLOOKUP(G1247,Master!B:C,2,0),"")</f>
        <v/>
      </c>
      <c r="I1247" s="3" t="str">
        <f>IFERROR(VLOOKUP(E1247,Master!$J:$M,4,0),"")</f>
        <v/>
      </c>
      <c r="J1247" s="3" t="str">
        <f>IFERROR(VLOOKUP($E1247,Master!$J:$M,3,0),"")</f>
        <v/>
      </c>
      <c r="AC1247" s="26">
        <f t="shared" si="38"/>
        <v>0</v>
      </c>
      <c r="AD1247" s="26">
        <f t="shared" si="39"/>
        <v>0</v>
      </c>
    </row>
    <row r="1248" spans="2:30" ht="15" customHeight="1">
      <c r="B1248" s="3" t="str">
        <f>IFERROR(VLOOKUP(C1248,Master!$J:$K,2,0),"")</f>
        <v/>
      </c>
      <c r="D1248" s="4" t="str">
        <f>IFERROR(VLOOKUP(E1248,Master!$J:$K,2,0),"")</f>
        <v/>
      </c>
      <c r="F1248" s="4" t="str">
        <f>IFERROR(VLOOKUP(G1248,Master!B:C,2,0),"")</f>
        <v/>
      </c>
      <c r="I1248" s="3" t="str">
        <f>IFERROR(VLOOKUP(E1248,Master!$J:$M,4,0),"")</f>
        <v/>
      </c>
      <c r="J1248" s="3" t="str">
        <f>IFERROR(VLOOKUP($E1248,Master!$J:$M,3,0),"")</f>
        <v/>
      </c>
      <c r="AC1248" s="26">
        <f t="shared" si="38"/>
        <v>0</v>
      </c>
      <c r="AD1248" s="26">
        <f t="shared" si="39"/>
        <v>0</v>
      </c>
    </row>
    <row r="1249" spans="2:30" ht="15" customHeight="1">
      <c r="B1249" s="3" t="str">
        <f>IFERROR(VLOOKUP(C1249,Master!$J:$K,2,0),"")</f>
        <v/>
      </c>
      <c r="D1249" s="4" t="str">
        <f>IFERROR(VLOOKUP(E1249,Master!$J:$K,2,0),"")</f>
        <v/>
      </c>
      <c r="F1249" s="4" t="str">
        <f>IFERROR(VLOOKUP(G1249,Master!B:C,2,0),"")</f>
        <v/>
      </c>
      <c r="I1249" s="3" t="str">
        <f>IFERROR(VLOOKUP(E1249,Master!$J:$M,4,0),"")</f>
        <v/>
      </c>
      <c r="J1249" s="3" t="str">
        <f>IFERROR(VLOOKUP($E1249,Master!$J:$M,3,0),"")</f>
        <v/>
      </c>
      <c r="AC1249" s="26">
        <f t="shared" si="38"/>
        <v>0</v>
      </c>
      <c r="AD1249" s="26">
        <f t="shared" si="39"/>
        <v>0</v>
      </c>
    </row>
    <row r="1250" spans="2:30" ht="15" customHeight="1">
      <c r="B1250" s="3" t="str">
        <f>IFERROR(VLOOKUP(C1250,Master!$J:$K,2,0),"")</f>
        <v/>
      </c>
      <c r="D1250" s="4" t="str">
        <f>IFERROR(VLOOKUP(E1250,Master!$J:$K,2,0),"")</f>
        <v/>
      </c>
      <c r="F1250" s="4" t="str">
        <f>IFERROR(VLOOKUP(G1250,Master!B:C,2,0),"")</f>
        <v/>
      </c>
      <c r="I1250" s="3" t="str">
        <f>IFERROR(VLOOKUP(E1250,Master!$J:$M,4,0),"")</f>
        <v/>
      </c>
      <c r="J1250" s="3" t="str">
        <f>IFERROR(VLOOKUP($E1250,Master!$J:$M,3,0),"")</f>
        <v/>
      </c>
      <c r="AC1250" s="26">
        <f t="shared" si="38"/>
        <v>0</v>
      </c>
      <c r="AD1250" s="26">
        <f t="shared" si="39"/>
        <v>0</v>
      </c>
    </row>
    <row r="1251" spans="2:30" ht="15" customHeight="1">
      <c r="B1251" s="3" t="str">
        <f>IFERROR(VLOOKUP(C1251,Master!$J:$K,2,0),"")</f>
        <v/>
      </c>
      <c r="D1251" s="4" t="str">
        <f>IFERROR(VLOOKUP(E1251,Master!$J:$K,2,0),"")</f>
        <v/>
      </c>
      <c r="F1251" s="4" t="str">
        <f>IFERROR(VLOOKUP(G1251,Master!B:C,2,0),"")</f>
        <v/>
      </c>
      <c r="I1251" s="3" t="str">
        <f>IFERROR(VLOOKUP(E1251,Master!$J:$M,4,0),"")</f>
        <v/>
      </c>
      <c r="J1251" s="3" t="str">
        <f>IFERROR(VLOOKUP($E1251,Master!$J:$M,3,0),"")</f>
        <v/>
      </c>
      <c r="AC1251" s="26">
        <f t="shared" si="38"/>
        <v>0</v>
      </c>
      <c r="AD1251" s="26">
        <f t="shared" si="39"/>
        <v>0</v>
      </c>
    </row>
    <row r="1252" spans="2:30" ht="15" customHeight="1">
      <c r="B1252" s="3" t="str">
        <f>IFERROR(VLOOKUP(C1252,Master!$J:$K,2,0),"")</f>
        <v/>
      </c>
      <c r="D1252" s="4" t="str">
        <f>IFERROR(VLOOKUP(E1252,Master!$J:$K,2,0),"")</f>
        <v/>
      </c>
      <c r="F1252" s="4" t="str">
        <f>IFERROR(VLOOKUP(G1252,Master!B:C,2,0),"")</f>
        <v/>
      </c>
      <c r="I1252" s="3" t="str">
        <f>IFERROR(VLOOKUP(E1252,Master!$J:$M,4,0),"")</f>
        <v/>
      </c>
      <c r="J1252" s="3" t="str">
        <f>IFERROR(VLOOKUP($E1252,Master!$J:$M,3,0),"")</f>
        <v/>
      </c>
      <c r="AC1252" s="26">
        <f t="shared" si="38"/>
        <v>0</v>
      </c>
      <c r="AD1252" s="26">
        <f t="shared" si="39"/>
        <v>0</v>
      </c>
    </row>
    <row r="1253" spans="2:30" ht="15" customHeight="1">
      <c r="B1253" s="3" t="str">
        <f>IFERROR(VLOOKUP(C1253,Master!$J:$K,2,0),"")</f>
        <v/>
      </c>
      <c r="D1253" s="4" t="str">
        <f>IFERROR(VLOOKUP(E1253,Master!$J:$K,2,0),"")</f>
        <v/>
      </c>
      <c r="F1253" s="4" t="str">
        <f>IFERROR(VLOOKUP(G1253,Master!B:C,2,0),"")</f>
        <v/>
      </c>
      <c r="I1253" s="3" t="str">
        <f>IFERROR(VLOOKUP(E1253,Master!$J:$M,4,0),"")</f>
        <v/>
      </c>
      <c r="J1253" s="3" t="str">
        <f>IFERROR(VLOOKUP($E1253,Master!$J:$M,3,0),"")</f>
        <v/>
      </c>
      <c r="AC1253" s="26">
        <f t="shared" si="38"/>
        <v>0</v>
      </c>
      <c r="AD1253" s="26">
        <f t="shared" si="39"/>
        <v>0</v>
      </c>
    </row>
    <row r="1254" spans="2:30" ht="15" customHeight="1">
      <c r="B1254" s="3" t="str">
        <f>IFERROR(VLOOKUP(C1254,Master!$J:$K,2,0),"")</f>
        <v/>
      </c>
      <c r="D1254" s="4" t="str">
        <f>IFERROR(VLOOKUP(E1254,Master!$J:$K,2,0),"")</f>
        <v/>
      </c>
      <c r="F1254" s="4" t="str">
        <f>IFERROR(VLOOKUP(G1254,Master!B:C,2,0),"")</f>
        <v/>
      </c>
      <c r="I1254" s="3" t="str">
        <f>IFERROR(VLOOKUP(E1254,Master!$J:$M,4,0),"")</f>
        <v/>
      </c>
      <c r="J1254" s="3" t="str">
        <f>IFERROR(VLOOKUP($E1254,Master!$J:$M,3,0),"")</f>
        <v/>
      </c>
      <c r="AC1254" s="26">
        <f t="shared" si="38"/>
        <v>0</v>
      </c>
      <c r="AD1254" s="26">
        <f t="shared" si="39"/>
        <v>0</v>
      </c>
    </row>
    <row r="1255" spans="2:30" ht="15" customHeight="1">
      <c r="B1255" s="3" t="str">
        <f>IFERROR(VLOOKUP(C1255,Master!$J:$K,2,0),"")</f>
        <v/>
      </c>
      <c r="D1255" s="4" t="str">
        <f>IFERROR(VLOOKUP(E1255,Master!$J:$K,2,0),"")</f>
        <v/>
      </c>
      <c r="F1255" s="4" t="str">
        <f>IFERROR(VLOOKUP(G1255,Master!B:C,2,0),"")</f>
        <v/>
      </c>
      <c r="I1255" s="3" t="str">
        <f>IFERROR(VLOOKUP(E1255,Master!$J:$M,4,0),"")</f>
        <v/>
      </c>
      <c r="J1255" s="3" t="str">
        <f>IFERROR(VLOOKUP($E1255,Master!$J:$M,3,0),"")</f>
        <v/>
      </c>
      <c r="AC1255" s="26">
        <f t="shared" si="38"/>
        <v>0</v>
      </c>
      <c r="AD1255" s="26">
        <f t="shared" si="39"/>
        <v>0</v>
      </c>
    </row>
    <row r="1256" spans="2:30" ht="15" customHeight="1">
      <c r="B1256" s="3" t="str">
        <f>IFERROR(VLOOKUP(C1256,Master!$J:$K,2,0),"")</f>
        <v/>
      </c>
      <c r="D1256" s="4" t="str">
        <f>IFERROR(VLOOKUP(E1256,Master!$J:$K,2,0),"")</f>
        <v/>
      </c>
      <c r="F1256" s="4" t="str">
        <f>IFERROR(VLOOKUP(G1256,Master!B:C,2,0),"")</f>
        <v/>
      </c>
      <c r="I1256" s="3" t="str">
        <f>IFERROR(VLOOKUP(E1256,Master!$J:$M,4,0),"")</f>
        <v/>
      </c>
      <c r="J1256" s="3" t="str">
        <f>IFERROR(VLOOKUP($E1256,Master!$J:$M,3,0),"")</f>
        <v/>
      </c>
      <c r="AC1256" s="26">
        <f t="shared" si="38"/>
        <v>0</v>
      </c>
      <c r="AD1256" s="26">
        <f t="shared" si="39"/>
        <v>0</v>
      </c>
    </row>
    <row r="1257" spans="2:30" ht="15" customHeight="1">
      <c r="B1257" s="3" t="str">
        <f>IFERROR(VLOOKUP(C1257,Master!$J:$K,2,0),"")</f>
        <v/>
      </c>
      <c r="D1257" s="4" t="str">
        <f>IFERROR(VLOOKUP(E1257,Master!$J:$K,2,0),"")</f>
        <v/>
      </c>
      <c r="F1257" s="4" t="str">
        <f>IFERROR(VLOOKUP(G1257,Master!B:C,2,0),"")</f>
        <v/>
      </c>
      <c r="I1257" s="3" t="str">
        <f>IFERROR(VLOOKUP(E1257,Master!$J:$M,4,0),"")</f>
        <v/>
      </c>
      <c r="J1257" s="3" t="str">
        <f>IFERROR(VLOOKUP($E1257,Master!$J:$M,3,0),"")</f>
        <v/>
      </c>
      <c r="AC1257" s="26">
        <f t="shared" ref="AC1257:AC1320" si="40">SUM(K1257:P1257)</f>
        <v>0</v>
      </c>
      <c r="AD1257" s="26">
        <f t="shared" ref="AD1257:AD1320" si="41">SUM(Q1257:AB1257)</f>
        <v>0</v>
      </c>
    </row>
    <row r="1258" spans="2:30" ht="15" customHeight="1">
      <c r="B1258" s="3" t="str">
        <f>IFERROR(VLOOKUP(C1258,Master!$J:$K,2,0),"")</f>
        <v/>
      </c>
      <c r="D1258" s="4" t="str">
        <f>IFERROR(VLOOKUP(E1258,Master!$J:$K,2,0),"")</f>
        <v/>
      </c>
      <c r="F1258" s="4" t="str">
        <f>IFERROR(VLOOKUP(G1258,Master!B:C,2,0),"")</f>
        <v/>
      </c>
      <c r="I1258" s="3" t="str">
        <f>IFERROR(VLOOKUP(E1258,Master!$J:$M,4,0),"")</f>
        <v/>
      </c>
      <c r="J1258" s="3" t="str">
        <f>IFERROR(VLOOKUP($E1258,Master!$J:$M,3,0),"")</f>
        <v/>
      </c>
      <c r="AC1258" s="26">
        <f t="shared" si="40"/>
        <v>0</v>
      </c>
      <c r="AD1258" s="26">
        <f t="shared" si="41"/>
        <v>0</v>
      </c>
    </row>
    <row r="1259" spans="2:30" ht="15" customHeight="1">
      <c r="B1259" s="3" t="str">
        <f>IFERROR(VLOOKUP(C1259,Master!$J:$K,2,0),"")</f>
        <v/>
      </c>
      <c r="D1259" s="4" t="str">
        <f>IFERROR(VLOOKUP(E1259,Master!$J:$K,2,0),"")</f>
        <v/>
      </c>
      <c r="F1259" s="4" t="str">
        <f>IFERROR(VLOOKUP(G1259,Master!B:C,2,0),"")</f>
        <v/>
      </c>
      <c r="I1259" s="3" t="str">
        <f>IFERROR(VLOOKUP(E1259,Master!$J:$M,4,0),"")</f>
        <v/>
      </c>
      <c r="J1259" s="3" t="str">
        <f>IFERROR(VLOOKUP($E1259,Master!$J:$M,3,0),"")</f>
        <v/>
      </c>
      <c r="AC1259" s="26">
        <f t="shared" si="40"/>
        <v>0</v>
      </c>
      <c r="AD1259" s="26">
        <f t="shared" si="41"/>
        <v>0</v>
      </c>
    </row>
    <row r="1260" spans="2:30" ht="15" customHeight="1">
      <c r="B1260" s="3" t="str">
        <f>IFERROR(VLOOKUP(C1260,Master!$J:$K,2,0),"")</f>
        <v/>
      </c>
      <c r="D1260" s="4" t="str">
        <f>IFERROR(VLOOKUP(E1260,Master!$J:$K,2,0),"")</f>
        <v/>
      </c>
      <c r="F1260" s="4" t="str">
        <f>IFERROR(VLOOKUP(G1260,Master!B:C,2,0),"")</f>
        <v/>
      </c>
      <c r="I1260" s="3" t="str">
        <f>IFERROR(VLOOKUP(E1260,Master!$J:$M,4,0),"")</f>
        <v/>
      </c>
      <c r="J1260" s="3" t="str">
        <f>IFERROR(VLOOKUP($E1260,Master!$J:$M,3,0),"")</f>
        <v/>
      </c>
      <c r="AC1260" s="26">
        <f t="shared" si="40"/>
        <v>0</v>
      </c>
      <c r="AD1260" s="26">
        <f t="shared" si="41"/>
        <v>0</v>
      </c>
    </row>
    <row r="1261" spans="2:30" ht="15" customHeight="1">
      <c r="B1261" s="3" t="str">
        <f>IFERROR(VLOOKUP(C1261,Master!$J:$K,2,0),"")</f>
        <v/>
      </c>
      <c r="D1261" s="4" t="str">
        <f>IFERROR(VLOOKUP(E1261,Master!$J:$K,2,0),"")</f>
        <v/>
      </c>
      <c r="F1261" s="4" t="str">
        <f>IFERROR(VLOOKUP(G1261,Master!B:C,2,0),"")</f>
        <v/>
      </c>
      <c r="I1261" s="3" t="str">
        <f>IFERROR(VLOOKUP(E1261,Master!$J:$M,4,0),"")</f>
        <v/>
      </c>
      <c r="J1261" s="3" t="str">
        <f>IFERROR(VLOOKUP($E1261,Master!$J:$M,3,0),"")</f>
        <v/>
      </c>
      <c r="AC1261" s="26">
        <f t="shared" si="40"/>
        <v>0</v>
      </c>
      <c r="AD1261" s="26">
        <f t="shared" si="41"/>
        <v>0</v>
      </c>
    </row>
    <row r="1262" spans="2:30" ht="15" customHeight="1">
      <c r="B1262" s="3" t="str">
        <f>IFERROR(VLOOKUP(C1262,Master!$J:$K,2,0),"")</f>
        <v/>
      </c>
      <c r="D1262" s="4" t="str">
        <f>IFERROR(VLOOKUP(E1262,Master!$J:$K,2,0),"")</f>
        <v/>
      </c>
      <c r="F1262" s="4" t="str">
        <f>IFERROR(VLOOKUP(G1262,Master!B:C,2,0),"")</f>
        <v/>
      </c>
      <c r="I1262" s="3" t="str">
        <f>IFERROR(VLOOKUP(E1262,Master!$J:$M,4,0),"")</f>
        <v/>
      </c>
      <c r="J1262" s="3" t="str">
        <f>IFERROR(VLOOKUP($E1262,Master!$J:$M,3,0),"")</f>
        <v/>
      </c>
      <c r="AC1262" s="26">
        <f t="shared" si="40"/>
        <v>0</v>
      </c>
      <c r="AD1262" s="26">
        <f t="shared" si="41"/>
        <v>0</v>
      </c>
    </row>
    <row r="1263" spans="2:30" ht="15" customHeight="1">
      <c r="B1263" s="3" t="str">
        <f>IFERROR(VLOOKUP(C1263,Master!$J:$K,2,0),"")</f>
        <v/>
      </c>
      <c r="D1263" s="4" t="str">
        <f>IFERROR(VLOOKUP(E1263,Master!$J:$K,2,0),"")</f>
        <v/>
      </c>
      <c r="F1263" s="4" t="str">
        <f>IFERROR(VLOOKUP(G1263,Master!B:C,2,0),"")</f>
        <v/>
      </c>
      <c r="I1263" s="3" t="str">
        <f>IFERROR(VLOOKUP(E1263,Master!$J:$M,4,0),"")</f>
        <v/>
      </c>
      <c r="J1263" s="3" t="str">
        <f>IFERROR(VLOOKUP($E1263,Master!$J:$M,3,0),"")</f>
        <v/>
      </c>
      <c r="AC1263" s="26">
        <f t="shared" si="40"/>
        <v>0</v>
      </c>
      <c r="AD1263" s="26">
        <f t="shared" si="41"/>
        <v>0</v>
      </c>
    </row>
    <row r="1264" spans="2:30" ht="15" customHeight="1">
      <c r="B1264" s="3" t="str">
        <f>IFERROR(VLOOKUP(C1264,Master!$J:$K,2,0),"")</f>
        <v/>
      </c>
      <c r="D1264" s="4" t="str">
        <f>IFERROR(VLOOKUP(E1264,Master!$J:$K,2,0),"")</f>
        <v/>
      </c>
      <c r="F1264" s="4" t="str">
        <f>IFERROR(VLOOKUP(G1264,Master!B:C,2,0),"")</f>
        <v/>
      </c>
      <c r="I1264" s="3" t="str">
        <f>IFERROR(VLOOKUP(E1264,Master!$J:$M,4,0),"")</f>
        <v/>
      </c>
      <c r="J1264" s="3" t="str">
        <f>IFERROR(VLOOKUP($E1264,Master!$J:$M,3,0),"")</f>
        <v/>
      </c>
      <c r="AC1264" s="26">
        <f t="shared" si="40"/>
        <v>0</v>
      </c>
      <c r="AD1264" s="26">
        <f t="shared" si="41"/>
        <v>0</v>
      </c>
    </row>
    <row r="1265" spans="2:30" ht="15" customHeight="1">
      <c r="B1265" s="3" t="str">
        <f>IFERROR(VLOOKUP(C1265,Master!$J:$K,2,0),"")</f>
        <v/>
      </c>
      <c r="D1265" s="4" t="str">
        <f>IFERROR(VLOOKUP(E1265,Master!$J:$K,2,0),"")</f>
        <v/>
      </c>
      <c r="F1265" s="4" t="str">
        <f>IFERROR(VLOOKUP(G1265,Master!B:C,2,0),"")</f>
        <v/>
      </c>
      <c r="I1265" s="3" t="str">
        <f>IFERROR(VLOOKUP(E1265,Master!$J:$M,4,0),"")</f>
        <v/>
      </c>
      <c r="J1265" s="3" t="str">
        <f>IFERROR(VLOOKUP($E1265,Master!$J:$M,3,0),"")</f>
        <v/>
      </c>
      <c r="AC1265" s="26">
        <f t="shared" si="40"/>
        <v>0</v>
      </c>
      <c r="AD1265" s="26">
        <f t="shared" si="41"/>
        <v>0</v>
      </c>
    </row>
    <row r="1266" spans="2:30" ht="15" customHeight="1">
      <c r="B1266" s="3" t="str">
        <f>IFERROR(VLOOKUP(C1266,Master!$J:$K,2,0),"")</f>
        <v/>
      </c>
      <c r="D1266" s="4" t="str">
        <f>IFERROR(VLOOKUP(E1266,Master!$J:$K,2,0),"")</f>
        <v/>
      </c>
      <c r="F1266" s="4" t="str">
        <f>IFERROR(VLOOKUP(G1266,Master!B:C,2,0),"")</f>
        <v/>
      </c>
      <c r="I1266" s="3" t="str">
        <f>IFERROR(VLOOKUP(E1266,Master!$J:$M,4,0),"")</f>
        <v/>
      </c>
      <c r="J1266" s="3" t="str">
        <f>IFERROR(VLOOKUP($E1266,Master!$J:$M,3,0),"")</f>
        <v/>
      </c>
      <c r="AC1266" s="26">
        <f t="shared" si="40"/>
        <v>0</v>
      </c>
      <c r="AD1266" s="26">
        <f t="shared" si="41"/>
        <v>0</v>
      </c>
    </row>
    <row r="1267" spans="2:30" ht="15" customHeight="1">
      <c r="B1267" s="3" t="str">
        <f>IFERROR(VLOOKUP(C1267,Master!$J:$K,2,0),"")</f>
        <v/>
      </c>
      <c r="D1267" s="4" t="str">
        <f>IFERROR(VLOOKUP(E1267,Master!$J:$K,2,0),"")</f>
        <v/>
      </c>
      <c r="F1267" s="4" t="str">
        <f>IFERROR(VLOOKUP(G1267,Master!B:C,2,0),"")</f>
        <v/>
      </c>
      <c r="I1267" s="3" t="str">
        <f>IFERROR(VLOOKUP(E1267,Master!$J:$M,4,0),"")</f>
        <v/>
      </c>
      <c r="J1267" s="3" t="str">
        <f>IFERROR(VLOOKUP($E1267,Master!$J:$M,3,0),"")</f>
        <v/>
      </c>
      <c r="AC1267" s="26">
        <f t="shared" si="40"/>
        <v>0</v>
      </c>
      <c r="AD1267" s="26">
        <f t="shared" si="41"/>
        <v>0</v>
      </c>
    </row>
    <row r="1268" spans="2:30" ht="15" customHeight="1">
      <c r="B1268" s="3" t="str">
        <f>IFERROR(VLOOKUP(C1268,Master!$J:$K,2,0),"")</f>
        <v/>
      </c>
      <c r="D1268" s="4" t="str">
        <f>IFERROR(VLOOKUP(E1268,Master!$J:$K,2,0),"")</f>
        <v/>
      </c>
      <c r="F1268" s="4" t="str">
        <f>IFERROR(VLOOKUP(G1268,Master!B:C,2,0),"")</f>
        <v/>
      </c>
      <c r="I1268" s="3" t="str">
        <f>IFERROR(VLOOKUP(E1268,Master!$J:$M,4,0),"")</f>
        <v/>
      </c>
      <c r="J1268" s="3" t="str">
        <f>IFERROR(VLOOKUP($E1268,Master!$J:$M,3,0),"")</f>
        <v/>
      </c>
      <c r="AC1268" s="26">
        <f t="shared" si="40"/>
        <v>0</v>
      </c>
      <c r="AD1268" s="26">
        <f t="shared" si="41"/>
        <v>0</v>
      </c>
    </row>
    <row r="1269" spans="2:30" ht="15" customHeight="1">
      <c r="B1269" s="3" t="str">
        <f>IFERROR(VLOOKUP(C1269,Master!$J:$K,2,0),"")</f>
        <v/>
      </c>
      <c r="D1269" s="4" t="str">
        <f>IFERROR(VLOOKUP(E1269,Master!$J:$K,2,0),"")</f>
        <v/>
      </c>
      <c r="F1269" s="4" t="str">
        <f>IFERROR(VLOOKUP(G1269,Master!B:C,2,0),"")</f>
        <v/>
      </c>
      <c r="I1269" s="3" t="str">
        <f>IFERROR(VLOOKUP(E1269,Master!$J:$M,4,0),"")</f>
        <v/>
      </c>
      <c r="J1269" s="3" t="str">
        <f>IFERROR(VLOOKUP($E1269,Master!$J:$M,3,0),"")</f>
        <v/>
      </c>
      <c r="AC1269" s="26">
        <f t="shared" si="40"/>
        <v>0</v>
      </c>
      <c r="AD1269" s="26">
        <f t="shared" si="41"/>
        <v>0</v>
      </c>
    </row>
    <row r="1270" spans="2:30" ht="15" customHeight="1">
      <c r="B1270" s="3" t="str">
        <f>IFERROR(VLOOKUP(C1270,Master!$J:$K,2,0),"")</f>
        <v/>
      </c>
      <c r="D1270" s="4" t="str">
        <f>IFERROR(VLOOKUP(E1270,Master!$J:$K,2,0),"")</f>
        <v/>
      </c>
      <c r="F1270" s="4" t="str">
        <f>IFERROR(VLOOKUP(G1270,Master!B:C,2,0),"")</f>
        <v/>
      </c>
      <c r="I1270" s="3" t="str">
        <f>IFERROR(VLOOKUP(E1270,Master!$J:$M,4,0),"")</f>
        <v/>
      </c>
      <c r="J1270" s="3" t="str">
        <f>IFERROR(VLOOKUP($E1270,Master!$J:$M,3,0),"")</f>
        <v/>
      </c>
      <c r="AC1270" s="26">
        <f t="shared" si="40"/>
        <v>0</v>
      </c>
      <c r="AD1270" s="26">
        <f t="shared" si="41"/>
        <v>0</v>
      </c>
    </row>
    <row r="1271" spans="2:30" ht="15" customHeight="1">
      <c r="B1271" s="3" t="str">
        <f>IFERROR(VLOOKUP(C1271,Master!$J:$K,2,0),"")</f>
        <v/>
      </c>
      <c r="D1271" s="4" t="str">
        <f>IFERROR(VLOOKUP(E1271,Master!$J:$K,2,0),"")</f>
        <v/>
      </c>
      <c r="F1271" s="4" t="str">
        <f>IFERROR(VLOOKUP(G1271,Master!B:C,2,0),"")</f>
        <v/>
      </c>
      <c r="I1271" s="3" t="str">
        <f>IFERROR(VLOOKUP(E1271,Master!$J:$M,4,0),"")</f>
        <v/>
      </c>
      <c r="J1271" s="3" t="str">
        <f>IFERROR(VLOOKUP($E1271,Master!$J:$M,3,0),"")</f>
        <v/>
      </c>
      <c r="AC1271" s="26">
        <f t="shared" si="40"/>
        <v>0</v>
      </c>
      <c r="AD1271" s="26">
        <f t="shared" si="41"/>
        <v>0</v>
      </c>
    </row>
    <row r="1272" spans="2:30" ht="15" customHeight="1">
      <c r="B1272" s="3" t="str">
        <f>IFERROR(VLOOKUP(C1272,Master!$J:$K,2,0),"")</f>
        <v/>
      </c>
      <c r="D1272" s="4" t="str">
        <f>IFERROR(VLOOKUP(E1272,Master!$J:$K,2,0),"")</f>
        <v/>
      </c>
      <c r="F1272" s="4" t="str">
        <f>IFERROR(VLOOKUP(G1272,Master!B:C,2,0),"")</f>
        <v/>
      </c>
      <c r="I1272" s="3" t="str">
        <f>IFERROR(VLOOKUP(E1272,Master!$J:$M,4,0),"")</f>
        <v/>
      </c>
      <c r="J1272" s="3" t="str">
        <f>IFERROR(VLOOKUP($E1272,Master!$J:$M,3,0),"")</f>
        <v/>
      </c>
      <c r="AC1272" s="26">
        <f t="shared" si="40"/>
        <v>0</v>
      </c>
      <c r="AD1272" s="26">
        <f t="shared" si="41"/>
        <v>0</v>
      </c>
    </row>
    <row r="1273" spans="2:30" ht="15" customHeight="1">
      <c r="B1273" s="3" t="str">
        <f>IFERROR(VLOOKUP(C1273,Master!$J:$K,2,0),"")</f>
        <v/>
      </c>
      <c r="D1273" s="4" t="str">
        <f>IFERROR(VLOOKUP(E1273,Master!$J:$K,2,0),"")</f>
        <v/>
      </c>
      <c r="F1273" s="4" t="str">
        <f>IFERROR(VLOOKUP(G1273,Master!B:C,2,0),"")</f>
        <v/>
      </c>
      <c r="I1273" s="3" t="str">
        <f>IFERROR(VLOOKUP(E1273,Master!$J:$M,4,0),"")</f>
        <v/>
      </c>
      <c r="J1273" s="3" t="str">
        <f>IFERROR(VLOOKUP($E1273,Master!$J:$M,3,0),"")</f>
        <v/>
      </c>
      <c r="AC1273" s="26">
        <f t="shared" si="40"/>
        <v>0</v>
      </c>
      <c r="AD1273" s="26">
        <f t="shared" si="41"/>
        <v>0</v>
      </c>
    </row>
    <row r="1274" spans="2:30" ht="15" customHeight="1">
      <c r="B1274" s="3" t="str">
        <f>IFERROR(VLOOKUP(C1274,Master!$J:$K,2,0),"")</f>
        <v/>
      </c>
      <c r="D1274" s="4" t="str">
        <f>IFERROR(VLOOKUP(E1274,Master!$J:$K,2,0),"")</f>
        <v/>
      </c>
      <c r="F1274" s="4" t="str">
        <f>IFERROR(VLOOKUP(G1274,Master!B:C,2,0),"")</f>
        <v/>
      </c>
      <c r="I1274" s="3" t="str">
        <f>IFERROR(VLOOKUP(E1274,Master!$J:$M,4,0),"")</f>
        <v/>
      </c>
      <c r="J1274" s="3" t="str">
        <f>IFERROR(VLOOKUP($E1274,Master!$J:$M,3,0),"")</f>
        <v/>
      </c>
      <c r="AC1274" s="26">
        <f t="shared" si="40"/>
        <v>0</v>
      </c>
      <c r="AD1274" s="26">
        <f t="shared" si="41"/>
        <v>0</v>
      </c>
    </row>
    <row r="1275" spans="2:30" ht="15" customHeight="1">
      <c r="B1275" s="3" t="str">
        <f>IFERROR(VLOOKUP(C1275,Master!$J:$K,2,0),"")</f>
        <v/>
      </c>
      <c r="D1275" s="4" t="str">
        <f>IFERROR(VLOOKUP(E1275,Master!$J:$K,2,0),"")</f>
        <v/>
      </c>
      <c r="F1275" s="4" t="str">
        <f>IFERROR(VLOOKUP(G1275,Master!B:C,2,0),"")</f>
        <v/>
      </c>
      <c r="I1275" s="3" t="str">
        <f>IFERROR(VLOOKUP(E1275,Master!$J:$M,4,0),"")</f>
        <v/>
      </c>
      <c r="J1275" s="3" t="str">
        <f>IFERROR(VLOOKUP($E1275,Master!$J:$M,3,0),"")</f>
        <v/>
      </c>
      <c r="AC1275" s="26">
        <f t="shared" si="40"/>
        <v>0</v>
      </c>
      <c r="AD1275" s="26">
        <f t="shared" si="41"/>
        <v>0</v>
      </c>
    </row>
    <row r="1276" spans="2:30" ht="15" customHeight="1">
      <c r="B1276" s="3" t="str">
        <f>IFERROR(VLOOKUP(C1276,Master!$J:$K,2,0),"")</f>
        <v/>
      </c>
      <c r="D1276" s="4" t="str">
        <f>IFERROR(VLOOKUP(E1276,Master!$J:$K,2,0),"")</f>
        <v/>
      </c>
      <c r="F1276" s="4" t="str">
        <f>IFERROR(VLOOKUP(G1276,Master!B:C,2,0),"")</f>
        <v/>
      </c>
      <c r="I1276" s="3" t="str">
        <f>IFERROR(VLOOKUP(E1276,Master!$J:$M,4,0),"")</f>
        <v/>
      </c>
      <c r="J1276" s="3" t="str">
        <f>IFERROR(VLOOKUP($E1276,Master!$J:$M,3,0),"")</f>
        <v/>
      </c>
      <c r="AC1276" s="26">
        <f t="shared" si="40"/>
        <v>0</v>
      </c>
      <c r="AD1276" s="26">
        <f t="shared" si="41"/>
        <v>0</v>
      </c>
    </row>
    <row r="1277" spans="2:30" ht="15" customHeight="1">
      <c r="B1277" s="3" t="str">
        <f>IFERROR(VLOOKUP(C1277,Master!$J:$K,2,0),"")</f>
        <v/>
      </c>
      <c r="D1277" s="4" t="str">
        <f>IFERROR(VLOOKUP(E1277,Master!$J:$K,2,0),"")</f>
        <v/>
      </c>
      <c r="F1277" s="4" t="str">
        <f>IFERROR(VLOOKUP(G1277,Master!B:C,2,0),"")</f>
        <v/>
      </c>
      <c r="I1277" s="3" t="str">
        <f>IFERROR(VLOOKUP(E1277,Master!$J:$M,4,0),"")</f>
        <v/>
      </c>
      <c r="J1277" s="3" t="str">
        <f>IFERROR(VLOOKUP($E1277,Master!$J:$M,3,0),"")</f>
        <v/>
      </c>
      <c r="AC1277" s="26">
        <f t="shared" si="40"/>
        <v>0</v>
      </c>
      <c r="AD1277" s="26">
        <f t="shared" si="41"/>
        <v>0</v>
      </c>
    </row>
    <row r="1278" spans="2:30" ht="15" customHeight="1">
      <c r="B1278" s="3" t="str">
        <f>IFERROR(VLOOKUP(C1278,Master!$J:$K,2,0),"")</f>
        <v/>
      </c>
      <c r="D1278" s="4" t="str">
        <f>IFERROR(VLOOKUP(E1278,Master!$J:$K,2,0),"")</f>
        <v/>
      </c>
      <c r="F1278" s="4" t="str">
        <f>IFERROR(VLOOKUP(G1278,Master!B:C,2,0),"")</f>
        <v/>
      </c>
      <c r="I1278" s="3" t="str">
        <f>IFERROR(VLOOKUP(E1278,Master!$J:$M,4,0),"")</f>
        <v/>
      </c>
      <c r="J1278" s="3" t="str">
        <f>IFERROR(VLOOKUP($E1278,Master!$J:$M,3,0),"")</f>
        <v/>
      </c>
      <c r="AC1278" s="26">
        <f t="shared" si="40"/>
        <v>0</v>
      </c>
      <c r="AD1278" s="26">
        <f t="shared" si="41"/>
        <v>0</v>
      </c>
    </row>
    <row r="1279" spans="2:30" ht="15" customHeight="1">
      <c r="B1279" s="3" t="str">
        <f>IFERROR(VLOOKUP(C1279,Master!$J:$K,2,0),"")</f>
        <v/>
      </c>
      <c r="D1279" s="4" t="str">
        <f>IFERROR(VLOOKUP(E1279,Master!$J:$K,2,0),"")</f>
        <v/>
      </c>
      <c r="F1279" s="4" t="str">
        <f>IFERROR(VLOOKUP(G1279,Master!B:C,2,0),"")</f>
        <v/>
      </c>
      <c r="I1279" s="3" t="str">
        <f>IFERROR(VLOOKUP(E1279,Master!$J:$M,4,0),"")</f>
        <v/>
      </c>
      <c r="J1279" s="3" t="str">
        <f>IFERROR(VLOOKUP($E1279,Master!$J:$M,3,0),"")</f>
        <v/>
      </c>
      <c r="AC1279" s="26">
        <f t="shared" si="40"/>
        <v>0</v>
      </c>
      <c r="AD1279" s="26">
        <f t="shared" si="41"/>
        <v>0</v>
      </c>
    </row>
    <row r="1280" spans="2:30" ht="15" customHeight="1">
      <c r="B1280" s="3" t="str">
        <f>IFERROR(VLOOKUP(C1280,Master!$J:$K,2,0),"")</f>
        <v/>
      </c>
      <c r="D1280" s="4" t="str">
        <f>IFERROR(VLOOKUP(E1280,Master!$J:$K,2,0),"")</f>
        <v/>
      </c>
      <c r="F1280" s="4" t="str">
        <f>IFERROR(VLOOKUP(G1280,Master!B:C,2,0),"")</f>
        <v/>
      </c>
      <c r="I1280" s="3" t="str">
        <f>IFERROR(VLOOKUP(E1280,Master!$J:$M,4,0),"")</f>
        <v/>
      </c>
      <c r="J1280" s="3" t="str">
        <f>IFERROR(VLOOKUP($E1280,Master!$J:$M,3,0),"")</f>
        <v/>
      </c>
      <c r="AC1280" s="26">
        <f t="shared" si="40"/>
        <v>0</v>
      </c>
      <c r="AD1280" s="26">
        <f t="shared" si="41"/>
        <v>0</v>
      </c>
    </row>
    <row r="1281" spans="2:30" ht="15" customHeight="1">
      <c r="B1281" s="3" t="str">
        <f>IFERROR(VLOOKUP(C1281,Master!$J:$K,2,0),"")</f>
        <v/>
      </c>
      <c r="D1281" s="4" t="str">
        <f>IFERROR(VLOOKUP(E1281,Master!$J:$K,2,0),"")</f>
        <v/>
      </c>
      <c r="F1281" s="4" t="str">
        <f>IFERROR(VLOOKUP(G1281,Master!B:C,2,0),"")</f>
        <v/>
      </c>
      <c r="I1281" s="3" t="str">
        <f>IFERROR(VLOOKUP(E1281,Master!$J:$M,4,0),"")</f>
        <v/>
      </c>
      <c r="J1281" s="3" t="str">
        <f>IFERROR(VLOOKUP($E1281,Master!$J:$M,3,0),"")</f>
        <v/>
      </c>
      <c r="AC1281" s="26">
        <f t="shared" si="40"/>
        <v>0</v>
      </c>
      <c r="AD1281" s="26">
        <f t="shared" si="41"/>
        <v>0</v>
      </c>
    </row>
    <row r="1282" spans="2:30" ht="15" customHeight="1">
      <c r="B1282" s="3" t="str">
        <f>IFERROR(VLOOKUP(C1282,Master!$J:$K,2,0),"")</f>
        <v/>
      </c>
      <c r="D1282" s="4" t="str">
        <f>IFERROR(VLOOKUP(E1282,Master!$J:$K,2,0),"")</f>
        <v/>
      </c>
      <c r="F1282" s="4" t="str">
        <f>IFERROR(VLOOKUP(G1282,Master!B:C,2,0),"")</f>
        <v/>
      </c>
      <c r="I1282" s="3" t="str">
        <f>IFERROR(VLOOKUP(E1282,Master!$J:$M,4,0),"")</f>
        <v/>
      </c>
      <c r="J1282" s="3" t="str">
        <f>IFERROR(VLOOKUP($E1282,Master!$J:$M,3,0),"")</f>
        <v/>
      </c>
      <c r="AC1282" s="26">
        <f t="shared" si="40"/>
        <v>0</v>
      </c>
      <c r="AD1282" s="26">
        <f t="shared" si="41"/>
        <v>0</v>
      </c>
    </row>
    <row r="1283" spans="2:30" ht="15" customHeight="1">
      <c r="B1283" s="3" t="str">
        <f>IFERROR(VLOOKUP(C1283,Master!$J:$K,2,0),"")</f>
        <v/>
      </c>
      <c r="D1283" s="4" t="str">
        <f>IFERROR(VLOOKUP(E1283,Master!$J:$K,2,0),"")</f>
        <v/>
      </c>
      <c r="F1283" s="4" t="str">
        <f>IFERROR(VLOOKUP(G1283,Master!B:C,2,0),"")</f>
        <v/>
      </c>
      <c r="I1283" s="3" t="str">
        <f>IFERROR(VLOOKUP(E1283,Master!$J:$M,4,0),"")</f>
        <v/>
      </c>
      <c r="J1283" s="3" t="str">
        <f>IFERROR(VLOOKUP($E1283,Master!$J:$M,3,0),"")</f>
        <v/>
      </c>
      <c r="AC1283" s="26">
        <f t="shared" si="40"/>
        <v>0</v>
      </c>
      <c r="AD1283" s="26">
        <f t="shared" si="41"/>
        <v>0</v>
      </c>
    </row>
    <row r="1284" spans="2:30" ht="15" customHeight="1">
      <c r="B1284" s="3" t="str">
        <f>IFERROR(VLOOKUP(C1284,Master!$J:$K,2,0),"")</f>
        <v/>
      </c>
      <c r="D1284" s="4" t="str">
        <f>IFERROR(VLOOKUP(E1284,Master!$J:$K,2,0),"")</f>
        <v/>
      </c>
      <c r="F1284" s="4" t="str">
        <f>IFERROR(VLOOKUP(G1284,Master!B:C,2,0),"")</f>
        <v/>
      </c>
      <c r="I1284" s="3" t="str">
        <f>IFERROR(VLOOKUP(E1284,Master!$J:$M,4,0),"")</f>
        <v/>
      </c>
      <c r="J1284" s="3" t="str">
        <f>IFERROR(VLOOKUP($E1284,Master!$J:$M,3,0),"")</f>
        <v/>
      </c>
      <c r="AC1284" s="26">
        <f t="shared" si="40"/>
        <v>0</v>
      </c>
      <c r="AD1284" s="26">
        <f t="shared" si="41"/>
        <v>0</v>
      </c>
    </row>
    <row r="1285" spans="2:30" ht="15" customHeight="1">
      <c r="B1285" s="3" t="str">
        <f>IFERROR(VLOOKUP(C1285,Master!$J:$K,2,0),"")</f>
        <v/>
      </c>
      <c r="D1285" s="4" t="str">
        <f>IFERROR(VLOOKUP(E1285,Master!$J:$K,2,0),"")</f>
        <v/>
      </c>
      <c r="F1285" s="4" t="str">
        <f>IFERROR(VLOOKUP(G1285,Master!B:C,2,0),"")</f>
        <v/>
      </c>
      <c r="I1285" s="3" t="str">
        <f>IFERROR(VLOOKUP(E1285,Master!$J:$M,4,0),"")</f>
        <v/>
      </c>
      <c r="J1285" s="3" t="str">
        <f>IFERROR(VLOOKUP($E1285,Master!$J:$M,3,0),"")</f>
        <v/>
      </c>
      <c r="AC1285" s="26">
        <f t="shared" si="40"/>
        <v>0</v>
      </c>
      <c r="AD1285" s="26">
        <f t="shared" si="41"/>
        <v>0</v>
      </c>
    </row>
    <row r="1286" spans="2:30" ht="15" customHeight="1">
      <c r="B1286" s="3" t="str">
        <f>IFERROR(VLOOKUP(C1286,Master!$J:$K,2,0),"")</f>
        <v/>
      </c>
      <c r="D1286" s="4" t="str">
        <f>IFERROR(VLOOKUP(E1286,Master!$J:$K,2,0),"")</f>
        <v/>
      </c>
      <c r="F1286" s="4" t="str">
        <f>IFERROR(VLOOKUP(G1286,Master!B:C,2,0),"")</f>
        <v/>
      </c>
      <c r="I1286" s="3" t="str">
        <f>IFERROR(VLOOKUP(E1286,Master!$J:$M,4,0),"")</f>
        <v/>
      </c>
      <c r="J1286" s="3" t="str">
        <f>IFERROR(VLOOKUP($E1286,Master!$J:$M,3,0),"")</f>
        <v/>
      </c>
      <c r="AC1286" s="26">
        <f t="shared" si="40"/>
        <v>0</v>
      </c>
      <c r="AD1286" s="26">
        <f t="shared" si="41"/>
        <v>0</v>
      </c>
    </row>
    <row r="1287" spans="2:30" ht="15" customHeight="1">
      <c r="B1287" s="3" t="str">
        <f>IFERROR(VLOOKUP(C1287,Master!$J:$K,2,0),"")</f>
        <v/>
      </c>
      <c r="D1287" s="4" t="str">
        <f>IFERROR(VLOOKUP(E1287,Master!$J:$K,2,0),"")</f>
        <v/>
      </c>
      <c r="F1287" s="4" t="str">
        <f>IFERROR(VLOOKUP(G1287,Master!B:C,2,0),"")</f>
        <v/>
      </c>
      <c r="I1287" s="3" t="str">
        <f>IFERROR(VLOOKUP(E1287,Master!$J:$M,4,0),"")</f>
        <v/>
      </c>
      <c r="J1287" s="3" t="str">
        <f>IFERROR(VLOOKUP($E1287,Master!$J:$M,3,0),"")</f>
        <v/>
      </c>
      <c r="AC1287" s="26">
        <f t="shared" si="40"/>
        <v>0</v>
      </c>
      <c r="AD1287" s="26">
        <f t="shared" si="41"/>
        <v>0</v>
      </c>
    </row>
    <row r="1288" spans="2:30" ht="15" customHeight="1">
      <c r="B1288" s="3" t="str">
        <f>IFERROR(VLOOKUP(C1288,Master!$J:$K,2,0),"")</f>
        <v/>
      </c>
      <c r="D1288" s="4" t="str">
        <f>IFERROR(VLOOKUP(E1288,Master!$J:$K,2,0),"")</f>
        <v/>
      </c>
      <c r="F1288" s="4" t="str">
        <f>IFERROR(VLOOKUP(G1288,Master!B:C,2,0),"")</f>
        <v/>
      </c>
      <c r="I1288" s="3" t="str">
        <f>IFERROR(VLOOKUP(E1288,Master!$J:$M,4,0),"")</f>
        <v/>
      </c>
      <c r="J1288" s="3" t="str">
        <f>IFERROR(VLOOKUP($E1288,Master!$J:$M,3,0),"")</f>
        <v/>
      </c>
      <c r="AC1288" s="26">
        <f t="shared" si="40"/>
        <v>0</v>
      </c>
      <c r="AD1288" s="26">
        <f t="shared" si="41"/>
        <v>0</v>
      </c>
    </row>
    <row r="1289" spans="2:30" ht="15" customHeight="1">
      <c r="B1289" s="3" t="str">
        <f>IFERROR(VLOOKUP(C1289,Master!$J:$K,2,0),"")</f>
        <v/>
      </c>
      <c r="D1289" s="4" t="str">
        <f>IFERROR(VLOOKUP(E1289,Master!$J:$K,2,0),"")</f>
        <v/>
      </c>
      <c r="F1289" s="4" t="str">
        <f>IFERROR(VLOOKUP(G1289,Master!B:C,2,0),"")</f>
        <v/>
      </c>
      <c r="I1289" s="3" t="str">
        <f>IFERROR(VLOOKUP(E1289,Master!$J:$M,4,0),"")</f>
        <v/>
      </c>
      <c r="J1289" s="3" t="str">
        <f>IFERROR(VLOOKUP($E1289,Master!$J:$M,3,0),"")</f>
        <v/>
      </c>
      <c r="AC1289" s="26">
        <f t="shared" si="40"/>
        <v>0</v>
      </c>
      <c r="AD1289" s="26">
        <f t="shared" si="41"/>
        <v>0</v>
      </c>
    </row>
    <row r="1290" spans="2:30" ht="15" customHeight="1">
      <c r="B1290" s="3" t="str">
        <f>IFERROR(VLOOKUP(C1290,Master!$J:$K,2,0),"")</f>
        <v/>
      </c>
      <c r="D1290" s="4" t="str">
        <f>IFERROR(VLOOKUP(E1290,Master!$J:$K,2,0),"")</f>
        <v/>
      </c>
      <c r="F1290" s="4" t="str">
        <f>IFERROR(VLOOKUP(G1290,Master!B:C,2,0),"")</f>
        <v/>
      </c>
      <c r="I1290" s="3" t="str">
        <f>IFERROR(VLOOKUP(E1290,Master!$J:$M,4,0),"")</f>
        <v/>
      </c>
      <c r="J1290" s="3" t="str">
        <f>IFERROR(VLOOKUP($E1290,Master!$J:$M,3,0),"")</f>
        <v/>
      </c>
      <c r="AC1290" s="26">
        <f t="shared" si="40"/>
        <v>0</v>
      </c>
      <c r="AD1290" s="26">
        <f t="shared" si="41"/>
        <v>0</v>
      </c>
    </row>
    <row r="1291" spans="2:30" ht="15" customHeight="1">
      <c r="B1291" s="3" t="str">
        <f>IFERROR(VLOOKUP(C1291,Master!$J:$K,2,0),"")</f>
        <v/>
      </c>
      <c r="D1291" s="4" t="str">
        <f>IFERROR(VLOOKUP(E1291,Master!$J:$K,2,0),"")</f>
        <v/>
      </c>
      <c r="F1291" s="4" t="str">
        <f>IFERROR(VLOOKUP(G1291,Master!B:C,2,0),"")</f>
        <v/>
      </c>
      <c r="I1291" s="3" t="str">
        <f>IFERROR(VLOOKUP(E1291,Master!$J:$M,4,0),"")</f>
        <v/>
      </c>
      <c r="J1291" s="3" t="str">
        <f>IFERROR(VLOOKUP($E1291,Master!$J:$M,3,0),"")</f>
        <v/>
      </c>
      <c r="AC1291" s="26">
        <f t="shared" si="40"/>
        <v>0</v>
      </c>
      <c r="AD1291" s="26">
        <f t="shared" si="41"/>
        <v>0</v>
      </c>
    </row>
    <row r="1292" spans="2:30" ht="15" customHeight="1">
      <c r="B1292" s="3" t="str">
        <f>IFERROR(VLOOKUP(C1292,Master!$J:$K,2,0),"")</f>
        <v/>
      </c>
      <c r="D1292" s="4" t="str">
        <f>IFERROR(VLOOKUP(E1292,Master!$J:$K,2,0),"")</f>
        <v/>
      </c>
      <c r="F1292" s="4" t="str">
        <f>IFERROR(VLOOKUP(G1292,Master!B:C,2,0),"")</f>
        <v/>
      </c>
      <c r="I1292" s="3" t="str">
        <f>IFERROR(VLOOKUP(E1292,Master!$J:$M,4,0),"")</f>
        <v/>
      </c>
      <c r="J1292" s="3" t="str">
        <f>IFERROR(VLOOKUP($E1292,Master!$J:$M,3,0),"")</f>
        <v/>
      </c>
      <c r="AC1292" s="26">
        <f t="shared" si="40"/>
        <v>0</v>
      </c>
      <c r="AD1292" s="26">
        <f t="shared" si="41"/>
        <v>0</v>
      </c>
    </row>
    <row r="1293" spans="2:30" ht="15" customHeight="1">
      <c r="B1293" s="3" t="str">
        <f>IFERROR(VLOOKUP(C1293,Master!$J:$K,2,0),"")</f>
        <v/>
      </c>
      <c r="D1293" s="4" t="str">
        <f>IFERROR(VLOOKUP(E1293,Master!$J:$K,2,0),"")</f>
        <v/>
      </c>
      <c r="F1293" s="4" t="str">
        <f>IFERROR(VLOOKUP(G1293,Master!B:C,2,0),"")</f>
        <v/>
      </c>
      <c r="I1293" s="3" t="str">
        <f>IFERROR(VLOOKUP(E1293,Master!$J:$M,4,0),"")</f>
        <v/>
      </c>
      <c r="J1293" s="3" t="str">
        <f>IFERROR(VLOOKUP($E1293,Master!$J:$M,3,0),"")</f>
        <v/>
      </c>
      <c r="AC1293" s="26">
        <f t="shared" si="40"/>
        <v>0</v>
      </c>
      <c r="AD1293" s="26">
        <f t="shared" si="41"/>
        <v>0</v>
      </c>
    </row>
    <row r="1294" spans="2:30" ht="15" customHeight="1">
      <c r="B1294" s="3" t="str">
        <f>IFERROR(VLOOKUP(C1294,Master!$J:$K,2,0),"")</f>
        <v/>
      </c>
      <c r="D1294" s="4" t="str">
        <f>IFERROR(VLOOKUP(E1294,Master!$J:$K,2,0),"")</f>
        <v/>
      </c>
      <c r="F1294" s="4" t="str">
        <f>IFERROR(VLOOKUP(G1294,Master!B:C,2,0),"")</f>
        <v/>
      </c>
      <c r="I1294" s="3" t="str">
        <f>IFERROR(VLOOKUP(E1294,Master!$J:$M,4,0),"")</f>
        <v/>
      </c>
      <c r="J1294" s="3" t="str">
        <f>IFERROR(VLOOKUP($E1294,Master!$J:$M,3,0),"")</f>
        <v/>
      </c>
      <c r="AC1294" s="26">
        <f t="shared" si="40"/>
        <v>0</v>
      </c>
      <c r="AD1294" s="26">
        <f t="shared" si="41"/>
        <v>0</v>
      </c>
    </row>
    <row r="1295" spans="2:30" ht="15" customHeight="1">
      <c r="B1295" s="3" t="str">
        <f>IFERROR(VLOOKUP(C1295,Master!$J:$K,2,0),"")</f>
        <v/>
      </c>
      <c r="D1295" s="4" t="str">
        <f>IFERROR(VLOOKUP(E1295,Master!$J:$K,2,0),"")</f>
        <v/>
      </c>
      <c r="F1295" s="4" t="str">
        <f>IFERROR(VLOOKUP(G1295,Master!B:C,2,0),"")</f>
        <v/>
      </c>
      <c r="I1295" s="3" t="str">
        <f>IFERROR(VLOOKUP(E1295,Master!$J:$M,4,0),"")</f>
        <v/>
      </c>
      <c r="J1295" s="3" t="str">
        <f>IFERROR(VLOOKUP($E1295,Master!$J:$M,3,0),"")</f>
        <v/>
      </c>
      <c r="AC1295" s="26">
        <f t="shared" si="40"/>
        <v>0</v>
      </c>
      <c r="AD1295" s="26">
        <f t="shared" si="41"/>
        <v>0</v>
      </c>
    </row>
    <row r="1296" spans="2:30" ht="15" customHeight="1">
      <c r="B1296" s="3" t="str">
        <f>IFERROR(VLOOKUP(C1296,Master!$J:$K,2,0),"")</f>
        <v/>
      </c>
      <c r="D1296" s="4" t="str">
        <f>IFERROR(VLOOKUP(E1296,Master!$J:$K,2,0),"")</f>
        <v/>
      </c>
      <c r="F1296" s="4" t="str">
        <f>IFERROR(VLOOKUP(G1296,Master!B:C,2,0),"")</f>
        <v/>
      </c>
      <c r="I1296" s="3" t="str">
        <f>IFERROR(VLOOKUP(E1296,Master!$J:$M,4,0),"")</f>
        <v/>
      </c>
      <c r="J1296" s="3" t="str">
        <f>IFERROR(VLOOKUP($E1296,Master!$J:$M,3,0),"")</f>
        <v/>
      </c>
      <c r="AC1296" s="26">
        <f t="shared" si="40"/>
        <v>0</v>
      </c>
      <c r="AD1296" s="26">
        <f t="shared" si="41"/>
        <v>0</v>
      </c>
    </row>
    <row r="1297" spans="2:30" ht="15" customHeight="1">
      <c r="B1297" s="3" t="str">
        <f>IFERROR(VLOOKUP(C1297,Master!$J:$K,2,0),"")</f>
        <v/>
      </c>
      <c r="D1297" s="4" t="str">
        <f>IFERROR(VLOOKUP(E1297,Master!$J:$K,2,0),"")</f>
        <v/>
      </c>
      <c r="F1297" s="4" t="str">
        <f>IFERROR(VLOOKUP(G1297,Master!B:C,2,0),"")</f>
        <v/>
      </c>
      <c r="I1297" s="3" t="str">
        <f>IFERROR(VLOOKUP(E1297,Master!$J:$M,4,0),"")</f>
        <v/>
      </c>
      <c r="J1297" s="3" t="str">
        <f>IFERROR(VLOOKUP($E1297,Master!$J:$M,3,0),"")</f>
        <v/>
      </c>
      <c r="AC1297" s="26">
        <f t="shared" si="40"/>
        <v>0</v>
      </c>
      <c r="AD1297" s="26">
        <f t="shared" si="41"/>
        <v>0</v>
      </c>
    </row>
    <row r="1298" spans="2:30" ht="15" customHeight="1">
      <c r="B1298" s="3" t="str">
        <f>IFERROR(VLOOKUP(C1298,Master!$J:$K,2,0),"")</f>
        <v/>
      </c>
      <c r="D1298" s="4" t="str">
        <f>IFERROR(VLOOKUP(E1298,Master!$J:$K,2,0),"")</f>
        <v/>
      </c>
      <c r="F1298" s="4" t="str">
        <f>IFERROR(VLOOKUP(G1298,Master!B:C,2,0),"")</f>
        <v/>
      </c>
      <c r="I1298" s="3" t="str">
        <f>IFERROR(VLOOKUP(E1298,Master!$J:$M,4,0),"")</f>
        <v/>
      </c>
      <c r="J1298" s="3" t="str">
        <f>IFERROR(VLOOKUP($E1298,Master!$J:$M,3,0),"")</f>
        <v/>
      </c>
      <c r="AC1298" s="26">
        <f t="shared" si="40"/>
        <v>0</v>
      </c>
      <c r="AD1298" s="26">
        <f t="shared" si="41"/>
        <v>0</v>
      </c>
    </row>
    <row r="1299" spans="2:30" ht="15" customHeight="1">
      <c r="B1299" s="3" t="str">
        <f>IFERROR(VLOOKUP(C1299,Master!$J:$K,2,0),"")</f>
        <v/>
      </c>
      <c r="D1299" s="4" t="str">
        <f>IFERROR(VLOOKUP(E1299,Master!$J:$K,2,0),"")</f>
        <v/>
      </c>
      <c r="F1299" s="4" t="str">
        <f>IFERROR(VLOOKUP(G1299,Master!B:C,2,0),"")</f>
        <v/>
      </c>
      <c r="I1299" s="3" t="str">
        <f>IFERROR(VLOOKUP(E1299,Master!$J:$M,4,0),"")</f>
        <v/>
      </c>
      <c r="J1299" s="3" t="str">
        <f>IFERROR(VLOOKUP($E1299,Master!$J:$M,3,0),"")</f>
        <v/>
      </c>
      <c r="AC1299" s="26">
        <f t="shared" si="40"/>
        <v>0</v>
      </c>
      <c r="AD1299" s="26">
        <f t="shared" si="41"/>
        <v>0</v>
      </c>
    </row>
    <row r="1300" spans="2:30" ht="15" customHeight="1">
      <c r="B1300" s="3" t="str">
        <f>IFERROR(VLOOKUP(C1300,Master!$J:$K,2,0),"")</f>
        <v/>
      </c>
      <c r="D1300" s="4" t="str">
        <f>IFERROR(VLOOKUP(E1300,Master!$J:$K,2,0),"")</f>
        <v/>
      </c>
      <c r="F1300" s="4" t="str">
        <f>IFERROR(VLOOKUP(G1300,Master!B:C,2,0),"")</f>
        <v/>
      </c>
      <c r="I1300" s="3" t="str">
        <f>IFERROR(VLOOKUP(E1300,Master!$J:$M,4,0),"")</f>
        <v/>
      </c>
      <c r="J1300" s="3" t="str">
        <f>IFERROR(VLOOKUP($E1300,Master!$J:$M,3,0),"")</f>
        <v/>
      </c>
      <c r="AC1300" s="26">
        <f t="shared" si="40"/>
        <v>0</v>
      </c>
      <c r="AD1300" s="26">
        <f t="shared" si="41"/>
        <v>0</v>
      </c>
    </row>
    <row r="1301" spans="2:30" ht="15" customHeight="1">
      <c r="B1301" s="3" t="str">
        <f>IFERROR(VLOOKUP(C1301,Master!$J:$K,2,0),"")</f>
        <v/>
      </c>
      <c r="D1301" s="4" t="str">
        <f>IFERROR(VLOOKUP(E1301,Master!$J:$K,2,0),"")</f>
        <v/>
      </c>
      <c r="F1301" s="4" t="str">
        <f>IFERROR(VLOOKUP(G1301,Master!B:C,2,0),"")</f>
        <v/>
      </c>
      <c r="I1301" s="3" t="str">
        <f>IFERROR(VLOOKUP(E1301,Master!$J:$M,4,0),"")</f>
        <v/>
      </c>
      <c r="J1301" s="3" t="str">
        <f>IFERROR(VLOOKUP($E1301,Master!$J:$M,3,0),"")</f>
        <v/>
      </c>
      <c r="AC1301" s="26">
        <f t="shared" si="40"/>
        <v>0</v>
      </c>
      <c r="AD1301" s="26">
        <f t="shared" si="41"/>
        <v>0</v>
      </c>
    </row>
    <row r="1302" spans="2:30" ht="15" customHeight="1">
      <c r="B1302" s="3" t="str">
        <f>IFERROR(VLOOKUP(C1302,Master!$J:$K,2,0),"")</f>
        <v/>
      </c>
      <c r="D1302" s="4" t="str">
        <f>IFERROR(VLOOKUP(E1302,Master!$J:$K,2,0),"")</f>
        <v/>
      </c>
      <c r="F1302" s="4" t="str">
        <f>IFERROR(VLOOKUP(G1302,Master!B:C,2,0),"")</f>
        <v/>
      </c>
      <c r="I1302" s="3" t="str">
        <f>IFERROR(VLOOKUP(E1302,Master!$J:$M,4,0),"")</f>
        <v/>
      </c>
      <c r="J1302" s="3" t="str">
        <f>IFERROR(VLOOKUP($E1302,Master!$J:$M,3,0),"")</f>
        <v/>
      </c>
      <c r="AC1302" s="26">
        <f t="shared" si="40"/>
        <v>0</v>
      </c>
      <c r="AD1302" s="26">
        <f t="shared" si="41"/>
        <v>0</v>
      </c>
    </row>
    <row r="1303" spans="2:30" ht="15" customHeight="1">
      <c r="B1303" s="3" t="str">
        <f>IFERROR(VLOOKUP(C1303,Master!$J:$K,2,0),"")</f>
        <v/>
      </c>
      <c r="D1303" s="4" t="str">
        <f>IFERROR(VLOOKUP(E1303,Master!$J:$K,2,0),"")</f>
        <v/>
      </c>
      <c r="F1303" s="4" t="str">
        <f>IFERROR(VLOOKUP(G1303,Master!B:C,2,0),"")</f>
        <v/>
      </c>
      <c r="I1303" s="3" t="str">
        <f>IFERROR(VLOOKUP(E1303,Master!$J:$M,4,0),"")</f>
        <v/>
      </c>
      <c r="J1303" s="3" t="str">
        <f>IFERROR(VLOOKUP($E1303,Master!$J:$M,3,0),"")</f>
        <v/>
      </c>
      <c r="AC1303" s="26">
        <f t="shared" si="40"/>
        <v>0</v>
      </c>
      <c r="AD1303" s="26">
        <f t="shared" si="41"/>
        <v>0</v>
      </c>
    </row>
    <row r="1304" spans="2:30" ht="15" customHeight="1">
      <c r="B1304" s="3" t="str">
        <f>IFERROR(VLOOKUP(C1304,Master!$J:$K,2,0),"")</f>
        <v/>
      </c>
      <c r="D1304" s="4" t="str">
        <f>IFERROR(VLOOKUP(E1304,Master!$J:$K,2,0),"")</f>
        <v/>
      </c>
      <c r="F1304" s="4" t="str">
        <f>IFERROR(VLOOKUP(G1304,Master!B:C,2,0),"")</f>
        <v/>
      </c>
      <c r="I1304" s="3" t="str">
        <f>IFERROR(VLOOKUP(E1304,Master!$J:$M,4,0),"")</f>
        <v/>
      </c>
      <c r="J1304" s="3" t="str">
        <f>IFERROR(VLOOKUP($E1304,Master!$J:$M,3,0),"")</f>
        <v/>
      </c>
      <c r="AC1304" s="26">
        <f t="shared" si="40"/>
        <v>0</v>
      </c>
      <c r="AD1304" s="26">
        <f t="shared" si="41"/>
        <v>0</v>
      </c>
    </row>
    <row r="1305" spans="2:30" ht="15" customHeight="1">
      <c r="B1305" s="3" t="str">
        <f>IFERROR(VLOOKUP(C1305,Master!$J:$K,2,0),"")</f>
        <v/>
      </c>
      <c r="D1305" s="4" t="str">
        <f>IFERROR(VLOOKUP(E1305,Master!$J:$K,2,0),"")</f>
        <v/>
      </c>
      <c r="F1305" s="4" t="str">
        <f>IFERROR(VLOOKUP(G1305,Master!B:C,2,0),"")</f>
        <v/>
      </c>
      <c r="I1305" s="3" t="str">
        <f>IFERROR(VLOOKUP(E1305,Master!$J:$M,4,0),"")</f>
        <v/>
      </c>
      <c r="J1305" s="3" t="str">
        <f>IFERROR(VLOOKUP($E1305,Master!$J:$M,3,0),"")</f>
        <v/>
      </c>
      <c r="AC1305" s="26">
        <f t="shared" si="40"/>
        <v>0</v>
      </c>
      <c r="AD1305" s="26">
        <f t="shared" si="41"/>
        <v>0</v>
      </c>
    </row>
    <row r="1306" spans="2:30" ht="15" customHeight="1">
      <c r="B1306" s="3" t="str">
        <f>IFERROR(VLOOKUP(C1306,Master!$J:$K,2,0),"")</f>
        <v/>
      </c>
      <c r="D1306" s="4" t="str">
        <f>IFERROR(VLOOKUP(E1306,Master!$J:$K,2,0),"")</f>
        <v/>
      </c>
      <c r="F1306" s="4" t="str">
        <f>IFERROR(VLOOKUP(G1306,Master!B:C,2,0),"")</f>
        <v/>
      </c>
      <c r="I1306" s="3" t="str">
        <f>IFERROR(VLOOKUP(E1306,Master!$J:$M,4,0),"")</f>
        <v/>
      </c>
      <c r="J1306" s="3" t="str">
        <f>IFERROR(VLOOKUP($E1306,Master!$J:$M,3,0),"")</f>
        <v/>
      </c>
      <c r="AC1306" s="26">
        <f t="shared" si="40"/>
        <v>0</v>
      </c>
      <c r="AD1306" s="26">
        <f t="shared" si="41"/>
        <v>0</v>
      </c>
    </row>
    <row r="1307" spans="2:30" ht="15" customHeight="1">
      <c r="B1307" s="3" t="str">
        <f>IFERROR(VLOOKUP(C1307,Master!$J:$K,2,0),"")</f>
        <v/>
      </c>
      <c r="D1307" s="4" t="str">
        <f>IFERROR(VLOOKUP(E1307,Master!$J:$K,2,0),"")</f>
        <v/>
      </c>
      <c r="F1307" s="4" t="str">
        <f>IFERROR(VLOOKUP(G1307,Master!B:C,2,0),"")</f>
        <v/>
      </c>
      <c r="I1307" s="3" t="str">
        <f>IFERROR(VLOOKUP(E1307,Master!$J:$M,4,0),"")</f>
        <v/>
      </c>
      <c r="J1307" s="3" t="str">
        <f>IFERROR(VLOOKUP($E1307,Master!$J:$M,3,0),"")</f>
        <v/>
      </c>
      <c r="AC1307" s="26">
        <f t="shared" si="40"/>
        <v>0</v>
      </c>
      <c r="AD1307" s="26">
        <f t="shared" si="41"/>
        <v>0</v>
      </c>
    </row>
    <row r="1308" spans="2:30" ht="15" customHeight="1">
      <c r="B1308" s="3" t="str">
        <f>IFERROR(VLOOKUP(C1308,Master!$J:$K,2,0),"")</f>
        <v/>
      </c>
      <c r="D1308" s="4" t="str">
        <f>IFERROR(VLOOKUP(E1308,Master!$J:$K,2,0),"")</f>
        <v/>
      </c>
      <c r="F1308" s="4" t="str">
        <f>IFERROR(VLOOKUP(G1308,Master!B:C,2,0),"")</f>
        <v/>
      </c>
      <c r="I1308" s="3" t="str">
        <f>IFERROR(VLOOKUP(E1308,Master!$J:$M,4,0),"")</f>
        <v/>
      </c>
      <c r="J1308" s="3" t="str">
        <f>IFERROR(VLOOKUP($E1308,Master!$J:$M,3,0),"")</f>
        <v/>
      </c>
      <c r="AC1308" s="26">
        <f t="shared" si="40"/>
        <v>0</v>
      </c>
      <c r="AD1308" s="26">
        <f t="shared" si="41"/>
        <v>0</v>
      </c>
    </row>
    <row r="1309" spans="2:30" ht="15" customHeight="1">
      <c r="B1309" s="3" t="str">
        <f>IFERROR(VLOOKUP(C1309,Master!$J:$K,2,0),"")</f>
        <v/>
      </c>
      <c r="D1309" s="4" t="str">
        <f>IFERROR(VLOOKUP(E1309,Master!$J:$K,2,0),"")</f>
        <v/>
      </c>
      <c r="F1309" s="4" t="str">
        <f>IFERROR(VLOOKUP(G1309,Master!B:C,2,0),"")</f>
        <v/>
      </c>
      <c r="I1309" s="3" t="str">
        <f>IFERROR(VLOOKUP(E1309,Master!$J:$M,4,0),"")</f>
        <v/>
      </c>
      <c r="J1309" s="3" t="str">
        <f>IFERROR(VLOOKUP($E1309,Master!$J:$M,3,0),"")</f>
        <v/>
      </c>
      <c r="AC1309" s="26">
        <f t="shared" si="40"/>
        <v>0</v>
      </c>
      <c r="AD1309" s="26">
        <f t="shared" si="41"/>
        <v>0</v>
      </c>
    </row>
    <row r="1310" spans="2:30" ht="15" customHeight="1">
      <c r="B1310" s="3" t="str">
        <f>IFERROR(VLOOKUP(C1310,Master!$J:$K,2,0),"")</f>
        <v/>
      </c>
      <c r="D1310" s="4" t="str">
        <f>IFERROR(VLOOKUP(E1310,Master!$J:$K,2,0),"")</f>
        <v/>
      </c>
      <c r="F1310" s="4" t="str">
        <f>IFERROR(VLOOKUP(G1310,Master!B:C,2,0),"")</f>
        <v/>
      </c>
      <c r="I1310" s="3" t="str">
        <f>IFERROR(VLOOKUP(E1310,Master!$J:$M,4,0),"")</f>
        <v/>
      </c>
      <c r="J1310" s="3" t="str">
        <f>IFERROR(VLOOKUP($E1310,Master!$J:$M,3,0),"")</f>
        <v/>
      </c>
      <c r="AC1310" s="26">
        <f t="shared" si="40"/>
        <v>0</v>
      </c>
      <c r="AD1310" s="26">
        <f t="shared" si="41"/>
        <v>0</v>
      </c>
    </row>
    <row r="1311" spans="2:30" ht="15" customHeight="1">
      <c r="B1311" s="3" t="str">
        <f>IFERROR(VLOOKUP(C1311,Master!$J:$K,2,0),"")</f>
        <v/>
      </c>
      <c r="D1311" s="4" t="str">
        <f>IFERROR(VLOOKUP(E1311,Master!$J:$K,2,0),"")</f>
        <v/>
      </c>
      <c r="F1311" s="4" t="str">
        <f>IFERROR(VLOOKUP(G1311,Master!B:C,2,0),"")</f>
        <v/>
      </c>
      <c r="I1311" s="3" t="str">
        <f>IFERROR(VLOOKUP(E1311,Master!$J:$M,4,0),"")</f>
        <v/>
      </c>
      <c r="J1311" s="3" t="str">
        <f>IFERROR(VLOOKUP($E1311,Master!$J:$M,3,0),"")</f>
        <v/>
      </c>
      <c r="AC1311" s="26">
        <f t="shared" si="40"/>
        <v>0</v>
      </c>
      <c r="AD1311" s="26">
        <f t="shared" si="41"/>
        <v>0</v>
      </c>
    </row>
    <row r="1312" spans="2:30" ht="15" customHeight="1">
      <c r="B1312" s="3" t="str">
        <f>IFERROR(VLOOKUP(C1312,Master!$J:$K,2,0),"")</f>
        <v/>
      </c>
      <c r="D1312" s="4" t="str">
        <f>IFERROR(VLOOKUP(E1312,Master!$J:$K,2,0),"")</f>
        <v/>
      </c>
      <c r="F1312" s="4" t="str">
        <f>IFERROR(VLOOKUP(G1312,Master!B:C,2,0),"")</f>
        <v/>
      </c>
      <c r="I1312" s="3" t="str">
        <f>IFERROR(VLOOKUP(E1312,Master!$J:$M,4,0),"")</f>
        <v/>
      </c>
      <c r="J1312" s="3" t="str">
        <f>IFERROR(VLOOKUP($E1312,Master!$J:$M,3,0),"")</f>
        <v/>
      </c>
      <c r="AC1312" s="26">
        <f t="shared" si="40"/>
        <v>0</v>
      </c>
      <c r="AD1312" s="26">
        <f t="shared" si="41"/>
        <v>0</v>
      </c>
    </row>
    <row r="1313" spans="2:30" ht="15" customHeight="1">
      <c r="B1313" s="3" t="str">
        <f>IFERROR(VLOOKUP(C1313,Master!$J:$K,2,0),"")</f>
        <v/>
      </c>
      <c r="D1313" s="4" t="str">
        <f>IFERROR(VLOOKUP(E1313,Master!$J:$K,2,0),"")</f>
        <v/>
      </c>
      <c r="F1313" s="4" t="str">
        <f>IFERROR(VLOOKUP(G1313,Master!B:C,2,0),"")</f>
        <v/>
      </c>
      <c r="I1313" s="3" t="str">
        <f>IFERROR(VLOOKUP(E1313,Master!$J:$M,4,0),"")</f>
        <v/>
      </c>
      <c r="J1313" s="3" t="str">
        <f>IFERROR(VLOOKUP($E1313,Master!$J:$M,3,0),"")</f>
        <v/>
      </c>
      <c r="AC1313" s="26">
        <f t="shared" si="40"/>
        <v>0</v>
      </c>
      <c r="AD1313" s="26">
        <f t="shared" si="41"/>
        <v>0</v>
      </c>
    </row>
    <row r="1314" spans="2:30" ht="15" customHeight="1">
      <c r="B1314" s="3" t="str">
        <f>IFERROR(VLOOKUP(C1314,Master!$J:$K,2,0),"")</f>
        <v/>
      </c>
      <c r="D1314" s="4" t="str">
        <f>IFERROR(VLOOKUP(E1314,Master!$J:$K,2,0),"")</f>
        <v/>
      </c>
      <c r="F1314" s="4" t="str">
        <f>IFERROR(VLOOKUP(G1314,Master!B:C,2,0),"")</f>
        <v/>
      </c>
      <c r="I1314" s="3" t="str">
        <f>IFERROR(VLOOKUP(E1314,Master!$J:$M,4,0),"")</f>
        <v/>
      </c>
      <c r="J1314" s="3" t="str">
        <f>IFERROR(VLOOKUP($E1314,Master!$J:$M,3,0),"")</f>
        <v/>
      </c>
      <c r="AC1314" s="26">
        <f t="shared" si="40"/>
        <v>0</v>
      </c>
      <c r="AD1314" s="26">
        <f t="shared" si="41"/>
        <v>0</v>
      </c>
    </row>
    <row r="1315" spans="2:30" ht="15" customHeight="1">
      <c r="B1315" s="3" t="str">
        <f>IFERROR(VLOOKUP(C1315,Master!$J:$K,2,0),"")</f>
        <v/>
      </c>
      <c r="D1315" s="4" t="str">
        <f>IFERROR(VLOOKUP(E1315,Master!$J:$K,2,0),"")</f>
        <v/>
      </c>
      <c r="F1315" s="4" t="str">
        <f>IFERROR(VLOOKUP(G1315,Master!B:C,2,0),"")</f>
        <v/>
      </c>
      <c r="I1315" s="3" t="str">
        <f>IFERROR(VLOOKUP(E1315,Master!$J:$M,4,0),"")</f>
        <v/>
      </c>
      <c r="J1315" s="3" t="str">
        <f>IFERROR(VLOOKUP($E1315,Master!$J:$M,3,0),"")</f>
        <v/>
      </c>
      <c r="AC1315" s="26">
        <f t="shared" si="40"/>
        <v>0</v>
      </c>
      <c r="AD1315" s="26">
        <f t="shared" si="41"/>
        <v>0</v>
      </c>
    </row>
    <row r="1316" spans="2:30" ht="15" customHeight="1">
      <c r="B1316" s="3" t="str">
        <f>IFERROR(VLOOKUP(C1316,Master!$J:$K,2,0),"")</f>
        <v/>
      </c>
      <c r="D1316" s="4" t="str">
        <f>IFERROR(VLOOKUP(E1316,Master!$J:$K,2,0),"")</f>
        <v/>
      </c>
      <c r="F1316" s="4" t="str">
        <f>IFERROR(VLOOKUP(G1316,Master!B:C,2,0),"")</f>
        <v/>
      </c>
      <c r="I1316" s="3" t="str">
        <f>IFERROR(VLOOKUP(E1316,Master!$J:$M,4,0),"")</f>
        <v/>
      </c>
      <c r="J1316" s="3" t="str">
        <f>IFERROR(VLOOKUP($E1316,Master!$J:$M,3,0),"")</f>
        <v/>
      </c>
      <c r="AC1316" s="26">
        <f t="shared" si="40"/>
        <v>0</v>
      </c>
      <c r="AD1316" s="26">
        <f t="shared" si="41"/>
        <v>0</v>
      </c>
    </row>
    <row r="1317" spans="2:30" ht="15" customHeight="1">
      <c r="B1317" s="3" t="str">
        <f>IFERROR(VLOOKUP(C1317,Master!$J:$K,2,0),"")</f>
        <v/>
      </c>
      <c r="D1317" s="4" t="str">
        <f>IFERROR(VLOOKUP(E1317,Master!$J:$K,2,0),"")</f>
        <v/>
      </c>
      <c r="F1317" s="4" t="str">
        <f>IFERROR(VLOOKUP(G1317,Master!B:C,2,0),"")</f>
        <v/>
      </c>
      <c r="I1317" s="3" t="str">
        <f>IFERROR(VLOOKUP(E1317,Master!$J:$M,4,0),"")</f>
        <v/>
      </c>
      <c r="J1317" s="3" t="str">
        <f>IFERROR(VLOOKUP($E1317,Master!$J:$M,3,0),"")</f>
        <v/>
      </c>
      <c r="AC1317" s="26">
        <f t="shared" si="40"/>
        <v>0</v>
      </c>
      <c r="AD1317" s="26">
        <f t="shared" si="41"/>
        <v>0</v>
      </c>
    </row>
    <row r="1318" spans="2:30" ht="15" customHeight="1">
      <c r="B1318" s="3" t="str">
        <f>IFERROR(VLOOKUP(C1318,Master!$J:$K,2,0),"")</f>
        <v/>
      </c>
      <c r="D1318" s="4" t="str">
        <f>IFERROR(VLOOKUP(E1318,Master!$J:$K,2,0),"")</f>
        <v/>
      </c>
      <c r="F1318" s="4" t="str">
        <f>IFERROR(VLOOKUP(G1318,Master!B:C,2,0),"")</f>
        <v/>
      </c>
      <c r="I1318" s="3" t="str">
        <f>IFERROR(VLOOKUP(E1318,Master!$J:$M,4,0),"")</f>
        <v/>
      </c>
      <c r="J1318" s="3" t="str">
        <f>IFERROR(VLOOKUP($E1318,Master!$J:$M,3,0),"")</f>
        <v/>
      </c>
      <c r="AC1318" s="26">
        <f t="shared" si="40"/>
        <v>0</v>
      </c>
      <c r="AD1318" s="26">
        <f t="shared" si="41"/>
        <v>0</v>
      </c>
    </row>
    <row r="1319" spans="2:30" ht="15" customHeight="1">
      <c r="B1319" s="3" t="str">
        <f>IFERROR(VLOOKUP(C1319,Master!$J:$K,2,0),"")</f>
        <v/>
      </c>
      <c r="D1319" s="4" t="str">
        <f>IFERROR(VLOOKUP(E1319,Master!$J:$K,2,0),"")</f>
        <v/>
      </c>
      <c r="F1319" s="4" t="str">
        <f>IFERROR(VLOOKUP(G1319,Master!B:C,2,0),"")</f>
        <v/>
      </c>
      <c r="I1319" s="3" t="str">
        <f>IFERROR(VLOOKUP(E1319,Master!$J:$M,4,0),"")</f>
        <v/>
      </c>
      <c r="J1319" s="3" t="str">
        <f>IFERROR(VLOOKUP($E1319,Master!$J:$M,3,0),"")</f>
        <v/>
      </c>
      <c r="AC1319" s="26">
        <f t="shared" si="40"/>
        <v>0</v>
      </c>
      <c r="AD1319" s="26">
        <f t="shared" si="41"/>
        <v>0</v>
      </c>
    </row>
    <row r="1320" spans="2:30" ht="15" customHeight="1">
      <c r="B1320" s="3" t="str">
        <f>IFERROR(VLOOKUP(C1320,Master!$J:$K,2,0),"")</f>
        <v/>
      </c>
      <c r="D1320" s="4" t="str">
        <f>IFERROR(VLOOKUP(E1320,Master!$J:$K,2,0),"")</f>
        <v/>
      </c>
      <c r="F1320" s="4" t="str">
        <f>IFERROR(VLOOKUP(G1320,Master!B:C,2,0),"")</f>
        <v/>
      </c>
      <c r="I1320" s="3" t="str">
        <f>IFERROR(VLOOKUP(E1320,Master!$J:$M,4,0),"")</f>
        <v/>
      </c>
      <c r="J1320" s="3" t="str">
        <f>IFERROR(VLOOKUP($E1320,Master!$J:$M,3,0),"")</f>
        <v/>
      </c>
      <c r="AC1320" s="26">
        <f t="shared" si="40"/>
        <v>0</v>
      </c>
      <c r="AD1320" s="26">
        <f t="shared" si="41"/>
        <v>0</v>
      </c>
    </row>
    <row r="1321" spans="2:30" ht="15" customHeight="1">
      <c r="B1321" s="3" t="str">
        <f>IFERROR(VLOOKUP(C1321,Master!$J:$K,2,0),"")</f>
        <v/>
      </c>
      <c r="D1321" s="4" t="str">
        <f>IFERROR(VLOOKUP(E1321,Master!$J:$K,2,0),"")</f>
        <v/>
      </c>
      <c r="F1321" s="4" t="str">
        <f>IFERROR(VLOOKUP(G1321,Master!B:C,2,0),"")</f>
        <v/>
      </c>
      <c r="I1321" s="3" t="str">
        <f>IFERROR(VLOOKUP(E1321,Master!$J:$M,4,0),"")</f>
        <v/>
      </c>
      <c r="J1321" s="3" t="str">
        <f>IFERROR(VLOOKUP($E1321,Master!$J:$M,3,0),"")</f>
        <v/>
      </c>
      <c r="AC1321" s="26">
        <f t="shared" ref="AC1321:AC1384" si="42">SUM(K1321:P1321)</f>
        <v>0</v>
      </c>
      <c r="AD1321" s="26">
        <f t="shared" ref="AD1321:AD1384" si="43">SUM(Q1321:AB1321)</f>
        <v>0</v>
      </c>
    </row>
    <row r="1322" spans="2:30" ht="15" customHeight="1">
      <c r="B1322" s="3" t="str">
        <f>IFERROR(VLOOKUP(C1322,Master!$J:$K,2,0),"")</f>
        <v/>
      </c>
      <c r="D1322" s="4" t="str">
        <f>IFERROR(VLOOKUP(E1322,Master!$J:$K,2,0),"")</f>
        <v/>
      </c>
      <c r="F1322" s="4" t="str">
        <f>IFERROR(VLOOKUP(G1322,Master!B:C,2,0),"")</f>
        <v/>
      </c>
      <c r="I1322" s="3" t="str">
        <f>IFERROR(VLOOKUP(E1322,Master!$J:$M,4,0),"")</f>
        <v/>
      </c>
      <c r="J1322" s="3" t="str">
        <f>IFERROR(VLOOKUP($E1322,Master!$J:$M,3,0),"")</f>
        <v/>
      </c>
      <c r="AC1322" s="26">
        <f t="shared" si="42"/>
        <v>0</v>
      </c>
      <c r="AD1322" s="26">
        <f t="shared" si="43"/>
        <v>0</v>
      </c>
    </row>
    <row r="1323" spans="2:30" ht="15" customHeight="1">
      <c r="B1323" s="3" t="str">
        <f>IFERROR(VLOOKUP(C1323,Master!$J:$K,2,0),"")</f>
        <v/>
      </c>
      <c r="D1323" s="4" t="str">
        <f>IFERROR(VLOOKUP(E1323,Master!$J:$K,2,0),"")</f>
        <v/>
      </c>
      <c r="F1323" s="4" t="str">
        <f>IFERROR(VLOOKUP(G1323,Master!B:C,2,0),"")</f>
        <v/>
      </c>
      <c r="I1323" s="3" t="str">
        <f>IFERROR(VLOOKUP(E1323,Master!$J:$M,4,0),"")</f>
        <v/>
      </c>
      <c r="J1323" s="3" t="str">
        <f>IFERROR(VLOOKUP($E1323,Master!$J:$M,3,0),"")</f>
        <v/>
      </c>
      <c r="AC1323" s="26">
        <f t="shared" si="42"/>
        <v>0</v>
      </c>
      <c r="AD1323" s="26">
        <f t="shared" si="43"/>
        <v>0</v>
      </c>
    </row>
    <row r="1324" spans="2:30" ht="15" customHeight="1">
      <c r="B1324" s="3" t="str">
        <f>IFERROR(VLOOKUP(C1324,Master!$J:$K,2,0),"")</f>
        <v/>
      </c>
      <c r="D1324" s="4" t="str">
        <f>IFERROR(VLOOKUP(E1324,Master!$J:$K,2,0),"")</f>
        <v/>
      </c>
      <c r="F1324" s="4" t="str">
        <f>IFERROR(VLOOKUP(G1324,Master!B:C,2,0),"")</f>
        <v/>
      </c>
      <c r="I1324" s="3" t="str">
        <f>IFERROR(VLOOKUP(E1324,Master!$J:$M,4,0),"")</f>
        <v/>
      </c>
      <c r="J1324" s="3" t="str">
        <f>IFERROR(VLOOKUP($E1324,Master!$J:$M,3,0),"")</f>
        <v/>
      </c>
      <c r="AC1324" s="26">
        <f t="shared" si="42"/>
        <v>0</v>
      </c>
      <c r="AD1324" s="26">
        <f t="shared" si="43"/>
        <v>0</v>
      </c>
    </row>
    <row r="1325" spans="2:30" ht="15" customHeight="1">
      <c r="B1325" s="3" t="str">
        <f>IFERROR(VLOOKUP(C1325,Master!$J:$K,2,0),"")</f>
        <v/>
      </c>
      <c r="D1325" s="4" t="str">
        <f>IFERROR(VLOOKUP(E1325,Master!$J:$K,2,0),"")</f>
        <v/>
      </c>
      <c r="F1325" s="4" t="str">
        <f>IFERROR(VLOOKUP(G1325,Master!B:C,2,0),"")</f>
        <v/>
      </c>
      <c r="I1325" s="3" t="str">
        <f>IFERROR(VLOOKUP(E1325,Master!$J:$M,4,0),"")</f>
        <v/>
      </c>
      <c r="J1325" s="3" t="str">
        <f>IFERROR(VLOOKUP($E1325,Master!$J:$M,3,0),"")</f>
        <v/>
      </c>
      <c r="AC1325" s="26">
        <f t="shared" si="42"/>
        <v>0</v>
      </c>
      <c r="AD1325" s="26">
        <f t="shared" si="43"/>
        <v>0</v>
      </c>
    </row>
    <row r="1326" spans="2:30" ht="15" customHeight="1">
      <c r="B1326" s="3" t="str">
        <f>IFERROR(VLOOKUP(C1326,Master!$J:$K,2,0),"")</f>
        <v/>
      </c>
      <c r="D1326" s="4" t="str">
        <f>IFERROR(VLOOKUP(E1326,Master!$J:$K,2,0),"")</f>
        <v/>
      </c>
      <c r="F1326" s="4" t="str">
        <f>IFERROR(VLOOKUP(G1326,Master!B:C,2,0),"")</f>
        <v/>
      </c>
      <c r="I1326" s="3" t="str">
        <f>IFERROR(VLOOKUP(E1326,Master!$J:$M,4,0),"")</f>
        <v/>
      </c>
      <c r="J1326" s="3" t="str">
        <f>IFERROR(VLOOKUP($E1326,Master!$J:$M,3,0),"")</f>
        <v/>
      </c>
      <c r="AC1326" s="26">
        <f t="shared" si="42"/>
        <v>0</v>
      </c>
      <c r="AD1326" s="26">
        <f t="shared" si="43"/>
        <v>0</v>
      </c>
    </row>
    <row r="1327" spans="2:30" ht="15" customHeight="1">
      <c r="B1327" s="3" t="str">
        <f>IFERROR(VLOOKUP(C1327,Master!$J:$K,2,0),"")</f>
        <v/>
      </c>
      <c r="D1327" s="4" t="str">
        <f>IFERROR(VLOOKUP(E1327,Master!$J:$K,2,0),"")</f>
        <v/>
      </c>
      <c r="F1327" s="4" t="str">
        <f>IFERROR(VLOOKUP(G1327,Master!B:C,2,0),"")</f>
        <v/>
      </c>
      <c r="I1327" s="3" t="str">
        <f>IFERROR(VLOOKUP(E1327,Master!$J:$M,4,0),"")</f>
        <v/>
      </c>
      <c r="J1327" s="3" t="str">
        <f>IFERROR(VLOOKUP($E1327,Master!$J:$M,3,0),"")</f>
        <v/>
      </c>
      <c r="AC1327" s="26">
        <f t="shared" si="42"/>
        <v>0</v>
      </c>
      <c r="AD1327" s="26">
        <f t="shared" si="43"/>
        <v>0</v>
      </c>
    </row>
    <row r="1328" spans="2:30" ht="15" customHeight="1">
      <c r="B1328" s="3" t="str">
        <f>IFERROR(VLOOKUP(C1328,Master!$J:$K,2,0),"")</f>
        <v/>
      </c>
      <c r="D1328" s="4" t="str">
        <f>IFERROR(VLOOKUP(E1328,Master!$J:$K,2,0),"")</f>
        <v/>
      </c>
      <c r="F1328" s="4" t="str">
        <f>IFERROR(VLOOKUP(G1328,Master!B:C,2,0),"")</f>
        <v/>
      </c>
      <c r="I1328" s="3" t="str">
        <f>IFERROR(VLOOKUP(E1328,Master!$J:$M,4,0),"")</f>
        <v/>
      </c>
      <c r="J1328" s="3" t="str">
        <f>IFERROR(VLOOKUP($E1328,Master!$J:$M,3,0),"")</f>
        <v/>
      </c>
      <c r="AC1328" s="26">
        <f t="shared" si="42"/>
        <v>0</v>
      </c>
      <c r="AD1328" s="26">
        <f t="shared" si="43"/>
        <v>0</v>
      </c>
    </row>
    <row r="1329" spans="2:30" ht="15" customHeight="1">
      <c r="B1329" s="3" t="str">
        <f>IFERROR(VLOOKUP(C1329,Master!$J:$K,2,0),"")</f>
        <v/>
      </c>
      <c r="D1329" s="4" t="str">
        <f>IFERROR(VLOOKUP(E1329,Master!$J:$K,2,0),"")</f>
        <v/>
      </c>
      <c r="F1329" s="4" t="str">
        <f>IFERROR(VLOOKUP(G1329,Master!B:C,2,0),"")</f>
        <v/>
      </c>
      <c r="I1329" s="3" t="str">
        <f>IFERROR(VLOOKUP(E1329,Master!$J:$M,4,0),"")</f>
        <v/>
      </c>
      <c r="J1329" s="3" t="str">
        <f>IFERROR(VLOOKUP($E1329,Master!$J:$M,3,0),"")</f>
        <v/>
      </c>
      <c r="AC1329" s="26">
        <f t="shared" si="42"/>
        <v>0</v>
      </c>
      <c r="AD1329" s="26">
        <f t="shared" si="43"/>
        <v>0</v>
      </c>
    </row>
    <row r="1330" spans="2:30" ht="15" customHeight="1">
      <c r="B1330" s="3" t="str">
        <f>IFERROR(VLOOKUP(C1330,Master!$J:$K,2,0),"")</f>
        <v/>
      </c>
      <c r="D1330" s="4" t="str">
        <f>IFERROR(VLOOKUP(E1330,Master!$J:$K,2,0),"")</f>
        <v/>
      </c>
      <c r="F1330" s="4" t="str">
        <f>IFERROR(VLOOKUP(G1330,Master!B:C,2,0),"")</f>
        <v/>
      </c>
      <c r="I1330" s="3" t="str">
        <f>IFERROR(VLOOKUP(E1330,Master!$J:$M,4,0),"")</f>
        <v/>
      </c>
      <c r="J1330" s="3" t="str">
        <f>IFERROR(VLOOKUP($E1330,Master!$J:$M,3,0),"")</f>
        <v/>
      </c>
      <c r="AC1330" s="26">
        <f t="shared" si="42"/>
        <v>0</v>
      </c>
      <c r="AD1330" s="26">
        <f t="shared" si="43"/>
        <v>0</v>
      </c>
    </row>
    <row r="1331" spans="2:30" ht="15" customHeight="1">
      <c r="B1331" s="3" t="str">
        <f>IFERROR(VLOOKUP(C1331,Master!$J:$K,2,0),"")</f>
        <v/>
      </c>
      <c r="D1331" s="4" t="str">
        <f>IFERROR(VLOOKUP(E1331,Master!$J:$K,2,0),"")</f>
        <v/>
      </c>
      <c r="F1331" s="4" t="str">
        <f>IFERROR(VLOOKUP(G1331,Master!B:C,2,0),"")</f>
        <v/>
      </c>
      <c r="I1331" s="3" t="str">
        <f>IFERROR(VLOOKUP(E1331,Master!$J:$M,4,0),"")</f>
        <v/>
      </c>
      <c r="J1331" s="3" t="str">
        <f>IFERROR(VLOOKUP($E1331,Master!$J:$M,3,0),"")</f>
        <v/>
      </c>
      <c r="AC1331" s="26">
        <f t="shared" si="42"/>
        <v>0</v>
      </c>
      <c r="AD1331" s="26">
        <f t="shared" si="43"/>
        <v>0</v>
      </c>
    </row>
    <row r="1332" spans="2:30" ht="15" customHeight="1">
      <c r="B1332" s="3" t="str">
        <f>IFERROR(VLOOKUP(C1332,Master!$J:$K,2,0),"")</f>
        <v/>
      </c>
      <c r="D1332" s="4" t="str">
        <f>IFERROR(VLOOKUP(E1332,Master!$J:$K,2,0),"")</f>
        <v/>
      </c>
      <c r="F1332" s="4" t="str">
        <f>IFERROR(VLOOKUP(G1332,Master!B:C,2,0),"")</f>
        <v/>
      </c>
      <c r="I1332" s="3" t="str">
        <f>IFERROR(VLOOKUP(E1332,Master!$J:$M,4,0),"")</f>
        <v/>
      </c>
      <c r="J1332" s="3" t="str">
        <f>IFERROR(VLOOKUP($E1332,Master!$J:$M,3,0),"")</f>
        <v/>
      </c>
      <c r="AC1332" s="26">
        <f t="shared" si="42"/>
        <v>0</v>
      </c>
      <c r="AD1332" s="26">
        <f t="shared" si="43"/>
        <v>0</v>
      </c>
    </row>
    <row r="1333" spans="2:30" ht="15" customHeight="1">
      <c r="B1333" s="3" t="str">
        <f>IFERROR(VLOOKUP(C1333,Master!$J:$K,2,0),"")</f>
        <v/>
      </c>
      <c r="D1333" s="4" t="str">
        <f>IFERROR(VLOOKUP(E1333,Master!$J:$K,2,0),"")</f>
        <v/>
      </c>
      <c r="F1333" s="4" t="str">
        <f>IFERROR(VLOOKUP(G1333,Master!B:C,2,0),"")</f>
        <v/>
      </c>
      <c r="I1333" s="3" t="str">
        <f>IFERROR(VLOOKUP(E1333,Master!$J:$M,4,0),"")</f>
        <v/>
      </c>
      <c r="J1333" s="3" t="str">
        <f>IFERROR(VLOOKUP($E1333,Master!$J:$M,3,0),"")</f>
        <v/>
      </c>
      <c r="AC1333" s="26">
        <f t="shared" si="42"/>
        <v>0</v>
      </c>
      <c r="AD1333" s="26">
        <f t="shared" si="43"/>
        <v>0</v>
      </c>
    </row>
    <row r="1334" spans="2:30" ht="15" customHeight="1">
      <c r="B1334" s="3" t="str">
        <f>IFERROR(VLOOKUP(C1334,Master!$J:$K,2,0),"")</f>
        <v/>
      </c>
      <c r="D1334" s="4" t="str">
        <f>IFERROR(VLOOKUP(E1334,Master!$J:$K,2,0),"")</f>
        <v/>
      </c>
      <c r="F1334" s="4" t="str">
        <f>IFERROR(VLOOKUP(G1334,Master!B:C,2,0),"")</f>
        <v/>
      </c>
      <c r="I1334" s="3" t="str">
        <f>IFERROR(VLOOKUP(E1334,Master!$J:$M,4,0),"")</f>
        <v/>
      </c>
      <c r="J1334" s="3" t="str">
        <f>IFERROR(VLOOKUP($E1334,Master!$J:$M,3,0),"")</f>
        <v/>
      </c>
      <c r="AC1334" s="26">
        <f t="shared" si="42"/>
        <v>0</v>
      </c>
      <c r="AD1334" s="26">
        <f t="shared" si="43"/>
        <v>0</v>
      </c>
    </row>
    <row r="1335" spans="2:30" ht="15" customHeight="1">
      <c r="B1335" s="3" t="str">
        <f>IFERROR(VLOOKUP(C1335,Master!$J:$K,2,0),"")</f>
        <v/>
      </c>
      <c r="D1335" s="4" t="str">
        <f>IFERROR(VLOOKUP(E1335,Master!$J:$K,2,0),"")</f>
        <v/>
      </c>
      <c r="F1335" s="4" t="str">
        <f>IFERROR(VLOOKUP(G1335,Master!B:C,2,0),"")</f>
        <v/>
      </c>
      <c r="I1335" s="3" t="str">
        <f>IFERROR(VLOOKUP(E1335,Master!$J:$M,4,0),"")</f>
        <v/>
      </c>
      <c r="J1335" s="3" t="str">
        <f>IFERROR(VLOOKUP($E1335,Master!$J:$M,3,0),"")</f>
        <v/>
      </c>
      <c r="AC1335" s="26">
        <f t="shared" si="42"/>
        <v>0</v>
      </c>
      <c r="AD1335" s="26">
        <f t="shared" si="43"/>
        <v>0</v>
      </c>
    </row>
    <row r="1336" spans="2:30" ht="15" customHeight="1">
      <c r="B1336" s="3" t="str">
        <f>IFERROR(VLOOKUP(C1336,Master!$J:$K,2,0),"")</f>
        <v/>
      </c>
      <c r="D1336" s="4" t="str">
        <f>IFERROR(VLOOKUP(E1336,Master!$J:$K,2,0),"")</f>
        <v/>
      </c>
      <c r="F1336" s="4" t="str">
        <f>IFERROR(VLOOKUP(G1336,Master!B:C,2,0),"")</f>
        <v/>
      </c>
      <c r="I1336" s="3" t="str">
        <f>IFERROR(VLOOKUP(E1336,Master!$J:$M,4,0),"")</f>
        <v/>
      </c>
      <c r="J1336" s="3" t="str">
        <f>IFERROR(VLOOKUP($E1336,Master!$J:$M,3,0),"")</f>
        <v/>
      </c>
      <c r="AC1336" s="26">
        <f t="shared" si="42"/>
        <v>0</v>
      </c>
      <c r="AD1336" s="26">
        <f t="shared" si="43"/>
        <v>0</v>
      </c>
    </row>
    <row r="1337" spans="2:30" ht="15" customHeight="1">
      <c r="B1337" s="3" t="str">
        <f>IFERROR(VLOOKUP(C1337,Master!$J:$K,2,0),"")</f>
        <v/>
      </c>
      <c r="D1337" s="4" t="str">
        <f>IFERROR(VLOOKUP(E1337,Master!$J:$K,2,0),"")</f>
        <v/>
      </c>
      <c r="F1337" s="4" t="str">
        <f>IFERROR(VLOOKUP(G1337,Master!B:C,2,0),"")</f>
        <v/>
      </c>
      <c r="I1337" s="3" t="str">
        <f>IFERROR(VLOOKUP(E1337,Master!$J:$M,4,0),"")</f>
        <v/>
      </c>
      <c r="J1337" s="3" t="str">
        <f>IFERROR(VLOOKUP($E1337,Master!$J:$M,3,0),"")</f>
        <v/>
      </c>
      <c r="AC1337" s="26">
        <f t="shared" si="42"/>
        <v>0</v>
      </c>
      <c r="AD1337" s="26">
        <f t="shared" si="43"/>
        <v>0</v>
      </c>
    </row>
    <row r="1338" spans="2:30" ht="15" customHeight="1">
      <c r="B1338" s="3" t="str">
        <f>IFERROR(VLOOKUP(C1338,Master!$J:$K,2,0),"")</f>
        <v/>
      </c>
      <c r="D1338" s="4" t="str">
        <f>IFERROR(VLOOKUP(E1338,Master!$J:$K,2,0),"")</f>
        <v/>
      </c>
      <c r="F1338" s="4" t="str">
        <f>IFERROR(VLOOKUP(G1338,Master!B:C,2,0),"")</f>
        <v/>
      </c>
      <c r="I1338" s="3" t="str">
        <f>IFERROR(VLOOKUP(E1338,Master!$J:$M,4,0),"")</f>
        <v/>
      </c>
      <c r="J1338" s="3" t="str">
        <f>IFERROR(VLOOKUP($E1338,Master!$J:$M,3,0),"")</f>
        <v/>
      </c>
      <c r="AC1338" s="26">
        <f t="shared" si="42"/>
        <v>0</v>
      </c>
      <c r="AD1338" s="26">
        <f t="shared" si="43"/>
        <v>0</v>
      </c>
    </row>
    <row r="1339" spans="2:30" ht="15" customHeight="1">
      <c r="B1339" s="3" t="str">
        <f>IFERROR(VLOOKUP(C1339,Master!$J:$K,2,0),"")</f>
        <v/>
      </c>
      <c r="D1339" s="4" t="str">
        <f>IFERROR(VLOOKUP(E1339,Master!$J:$K,2,0),"")</f>
        <v/>
      </c>
      <c r="F1339" s="4" t="str">
        <f>IFERROR(VLOOKUP(G1339,Master!B:C,2,0),"")</f>
        <v/>
      </c>
      <c r="I1339" s="3" t="str">
        <f>IFERROR(VLOOKUP(E1339,Master!$J:$M,4,0),"")</f>
        <v/>
      </c>
      <c r="J1339" s="3" t="str">
        <f>IFERROR(VLOOKUP($E1339,Master!$J:$M,3,0),"")</f>
        <v/>
      </c>
      <c r="AC1339" s="26">
        <f t="shared" si="42"/>
        <v>0</v>
      </c>
      <c r="AD1339" s="26">
        <f t="shared" si="43"/>
        <v>0</v>
      </c>
    </row>
    <row r="1340" spans="2:30" ht="15" customHeight="1">
      <c r="B1340" s="3" t="str">
        <f>IFERROR(VLOOKUP(C1340,Master!$J:$K,2,0),"")</f>
        <v/>
      </c>
      <c r="D1340" s="4" t="str">
        <f>IFERROR(VLOOKUP(E1340,Master!$J:$K,2,0),"")</f>
        <v/>
      </c>
      <c r="F1340" s="4" t="str">
        <f>IFERROR(VLOOKUP(G1340,Master!B:C,2,0),"")</f>
        <v/>
      </c>
      <c r="I1340" s="3" t="str">
        <f>IFERROR(VLOOKUP(E1340,Master!$J:$M,4,0),"")</f>
        <v/>
      </c>
      <c r="J1340" s="3" t="str">
        <f>IFERROR(VLOOKUP($E1340,Master!$J:$M,3,0),"")</f>
        <v/>
      </c>
      <c r="AC1340" s="26">
        <f t="shared" si="42"/>
        <v>0</v>
      </c>
      <c r="AD1340" s="26">
        <f t="shared" si="43"/>
        <v>0</v>
      </c>
    </row>
    <row r="1341" spans="2:30" ht="15" customHeight="1">
      <c r="B1341" s="3" t="str">
        <f>IFERROR(VLOOKUP(C1341,Master!$J:$K,2,0),"")</f>
        <v/>
      </c>
      <c r="D1341" s="4" t="str">
        <f>IFERROR(VLOOKUP(E1341,Master!$J:$K,2,0),"")</f>
        <v/>
      </c>
      <c r="F1341" s="4" t="str">
        <f>IFERROR(VLOOKUP(G1341,Master!B:C,2,0),"")</f>
        <v/>
      </c>
      <c r="I1341" s="3" t="str">
        <f>IFERROR(VLOOKUP(E1341,Master!$J:$M,4,0),"")</f>
        <v/>
      </c>
      <c r="J1341" s="3" t="str">
        <f>IFERROR(VLOOKUP($E1341,Master!$J:$M,3,0),"")</f>
        <v/>
      </c>
      <c r="AC1341" s="26">
        <f t="shared" si="42"/>
        <v>0</v>
      </c>
      <c r="AD1341" s="26">
        <f t="shared" si="43"/>
        <v>0</v>
      </c>
    </row>
    <row r="1342" spans="2:30" ht="15" customHeight="1">
      <c r="B1342" s="3" t="str">
        <f>IFERROR(VLOOKUP(C1342,Master!$J:$K,2,0),"")</f>
        <v/>
      </c>
      <c r="D1342" s="4" t="str">
        <f>IFERROR(VLOOKUP(E1342,Master!$J:$K,2,0),"")</f>
        <v/>
      </c>
      <c r="F1342" s="4" t="str">
        <f>IFERROR(VLOOKUP(G1342,Master!B:C,2,0),"")</f>
        <v/>
      </c>
      <c r="I1342" s="3" t="str">
        <f>IFERROR(VLOOKUP(E1342,Master!$J:$M,4,0),"")</f>
        <v/>
      </c>
      <c r="J1342" s="3" t="str">
        <f>IFERROR(VLOOKUP($E1342,Master!$J:$M,3,0),"")</f>
        <v/>
      </c>
      <c r="AC1342" s="26">
        <f t="shared" si="42"/>
        <v>0</v>
      </c>
      <c r="AD1342" s="26">
        <f t="shared" si="43"/>
        <v>0</v>
      </c>
    </row>
    <row r="1343" spans="2:30" ht="15" customHeight="1">
      <c r="B1343" s="3" t="str">
        <f>IFERROR(VLOOKUP(C1343,Master!$J:$K,2,0),"")</f>
        <v/>
      </c>
      <c r="D1343" s="4" t="str">
        <f>IFERROR(VLOOKUP(E1343,Master!$J:$K,2,0),"")</f>
        <v/>
      </c>
      <c r="F1343" s="4" t="str">
        <f>IFERROR(VLOOKUP(G1343,Master!B:C,2,0),"")</f>
        <v/>
      </c>
      <c r="I1343" s="3" t="str">
        <f>IFERROR(VLOOKUP(E1343,Master!$J:$M,4,0),"")</f>
        <v/>
      </c>
      <c r="J1343" s="3" t="str">
        <f>IFERROR(VLOOKUP($E1343,Master!$J:$M,3,0),"")</f>
        <v/>
      </c>
      <c r="AC1343" s="26">
        <f t="shared" si="42"/>
        <v>0</v>
      </c>
      <c r="AD1343" s="26">
        <f t="shared" si="43"/>
        <v>0</v>
      </c>
    </row>
    <row r="1344" spans="2:30" ht="15" customHeight="1">
      <c r="B1344" s="3" t="str">
        <f>IFERROR(VLOOKUP(C1344,Master!$J:$K,2,0),"")</f>
        <v/>
      </c>
      <c r="D1344" s="4" t="str">
        <f>IFERROR(VLOOKUP(E1344,Master!$J:$K,2,0),"")</f>
        <v/>
      </c>
      <c r="F1344" s="4" t="str">
        <f>IFERROR(VLOOKUP(G1344,Master!B:C,2,0),"")</f>
        <v/>
      </c>
      <c r="I1344" s="3" t="str">
        <f>IFERROR(VLOOKUP(E1344,Master!$J:$M,4,0),"")</f>
        <v/>
      </c>
      <c r="J1344" s="3" t="str">
        <f>IFERROR(VLOOKUP($E1344,Master!$J:$M,3,0),"")</f>
        <v/>
      </c>
      <c r="AC1344" s="26">
        <f t="shared" si="42"/>
        <v>0</v>
      </c>
      <c r="AD1344" s="26">
        <f t="shared" si="43"/>
        <v>0</v>
      </c>
    </row>
    <row r="1345" spans="2:30" ht="15" customHeight="1">
      <c r="B1345" s="3" t="str">
        <f>IFERROR(VLOOKUP(C1345,Master!$J:$K,2,0),"")</f>
        <v/>
      </c>
      <c r="D1345" s="4" t="str">
        <f>IFERROR(VLOOKUP(E1345,Master!$J:$K,2,0),"")</f>
        <v/>
      </c>
      <c r="F1345" s="4" t="str">
        <f>IFERROR(VLOOKUP(G1345,Master!B:C,2,0),"")</f>
        <v/>
      </c>
      <c r="I1345" s="3" t="str">
        <f>IFERROR(VLOOKUP(E1345,Master!$J:$M,4,0),"")</f>
        <v/>
      </c>
      <c r="J1345" s="3" t="str">
        <f>IFERROR(VLOOKUP($E1345,Master!$J:$M,3,0),"")</f>
        <v/>
      </c>
      <c r="AC1345" s="26">
        <f t="shared" si="42"/>
        <v>0</v>
      </c>
      <c r="AD1345" s="26">
        <f t="shared" si="43"/>
        <v>0</v>
      </c>
    </row>
    <row r="1346" spans="2:30" ht="15" customHeight="1">
      <c r="B1346" s="3" t="str">
        <f>IFERROR(VLOOKUP(C1346,Master!$J:$K,2,0),"")</f>
        <v/>
      </c>
      <c r="D1346" s="4" t="str">
        <f>IFERROR(VLOOKUP(E1346,Master!$J:$K,2,0),"")</f>
        <v/>
      </c>
      <c r="F1346" s="4" t="str">
        <f>IFERROR(VLOOKUP(G1346,Master!B:C,2,0),"")</f>
        <v/>
      </c>
      <c r="I1346" s="3" t="str">
        <f>IFERROR(VLOOKUP(E1346,Master!$J:$M,4,0),"")</f>
        <v/>
      </c>
      <c r="J1346" s="3" t="str">
        <f>IFERROR(VLOOKUP($E1346,Master!$J:$M,3,0),"")</f>
        <v/>
      </c>
      <c r="AC1346" s="26">
        <f t="shared" si="42"/>
        <v>0</v>
      </c>
      <c r="AD1346" s="26">
        <f t="shared" si="43"/>
        <v>0</v>
      </c>
    </row>
    <row r="1347" spans="2:30" ht="15" customHeight="1">
      <c r="B1347" s="3" t="str">
        <f>IFERROR(VLOOKUP(C1347,Master!$J:$K,2,0),"")</f>
        <v/>
      </c>
      <c r="D1347" s="4" t="str">
        <f>IFERROR(VLOOKUP(E1347,Master!$J:$K,2,0),"")</f>
        <v/>
      </c>
      <c r="F1347" s="4" t="str">
        <f>IFERROR(VLOOKUP(G1347,Master!B:C,2,0),"")</f>
        <v/>
      </c>
      <c r="I1347" s="3" t="str">
        <f>IFERROR(VLOOKUP(E1347,Master!$J:$M,4,0),"")</f>
        <v/>
      </c>
      <c r="J1347" s="3" t="str">
        <f>IFERROR(VLOOKUP($E1347,Master!$J:$M,3,0),"")</f>
        <v/>
      </c>
      <c r="AC1347" s="26">
        <f t="shared" si="42"/>
        <v>0</v>
      </c>
      <c r="AD1347" s="26">
        <f t="shared" si="43"/>
        <v>0</v>
      </c>
    </row>
    <row r="1348" spans="2:30" ht="15" customHeight="1">
      <c r="B1348" s="3" t="str">
        <f>IFERROR(VLOOKUP(C1348,Master!$J:$K,2,0),"")</f>
        <v/>
      </c>
      <c r="D1348" s="4" t="str">
        <f>IFERROR(VLOOKUP(E1348,Master!$J:$K,2,0),"")</f>
        <v/>
      </c>
      <c r="F1348" s="4" t="str">
        <f>IFERROR(VLOOKUP(G1348,Master!B:C,2,0),"")</f>
        <v/>
      </c>
      <c r="I1348" s="3" t="str">
        <f>IFERROR(VLOOKUP(E1348,Master!$J:$M,4,0),"")</f>
        <v/>
      </c>
      <c r="J1348" s="3" t="str">
        <f>IFERROR(VLOOKUP($E1348,Master!$J:$M,3,0),"")</f>
        <v/>
      </c>
      <c r="AC1348" s="26">
        <f t="shared" si="42"/>
        <v>0</v>
      </c>
      <c r="AD1348" s="26">
        <f t="shared" si="43"/>
        <v>0</v>
      </c>
    </row>
    <row r="1349" spans="2:30" ht="15" customHeight="1">
      <c r="B1349" s="3" t="str">
        <f>IFERROR(VLOOKUP(C1349,Master!$J:$K,2,0),"")</f>
        <v/>
      </c>
      <c r="D1349" s="4" t="str">
        <f>IFERROR(VLOOKUP(E1349,Master!$J:$K,2,0),"")</f>
        <v/>
      </c>
      <c r="F1349" s="4" t="str">
        <f>IFERROR(VLOOKUP(G1349,Master!B:C,2,0),"")</f>
        <v/>
      </c>
      <c r="I1349" s="3" t="str">
        <f>IFERROR(VLOOKUP(E1349,Master!$J:$M,4,0),"")</f>
        <v/>
      </c>
      <c r="J1349" s="3" t="str">
        <f>IFERROR(VLOOKUP($E1349,Master!$J:$M,3,0),"")</f>
        <v/>
      </c>
      <c r="AC1349" s="26">
        <f t="shared" si="42"/>
        <v>0</v>
      </c>
      <c r="AD1349" s="26">
        <f t="shared" si="43"/>
        <v>0</v>
      </c>
    </row>
    <row r="1350" spans="2:30" ht="15" customHeight="1">
      <c r="B1350" s="3" t="str">
        <f>IFERROR(VLOOKUP(C1350,Master!$J:$K,2,0),"")</f>
        <v/>
      </c>
      <c r="D1350" s="4" t="str">
        <f>IFERROR(VLOOKUP(E1350,Master!$J:$K,2,0),"")</f>
        <v/>
      </c>
      <c r="F1350" s="4" t="str">
        <f>IFERROR(VLOOKUP(G1350,Master!B:C,2,0),"")</f>
        <v/>
      </c>
      <c r="I1350" s="3" t="str">
        <f>IFERROR(VLOOKUP(E1350,Master!$J:$M,4,0),"")</f>
        <v/>
      </c>
      <c r="J1350" s="3" t="str">
        <f>IFERROR(VLOOKUP($E1350,Master!$J:$M,3,0),"")</f>
        <v/>
      </c>
      <c r="AC1350" s="26">
        <f t="shared" si="42"/>
        <v>0</v>
      </c>
      <c r="AD1350" s="26">
        <f t="shared" si="43"/>
        <v>0</v>
      </c>
    </row>
    <row r="1351" spans="2:30" ht="15" customHeight="1">
      <c r="B1351" s="3" t="str">
        <f>IFERROR(VLOOKUP(C1351,Master!$J:$K,2,0),"")</f>
        <v/>
      </c>
      <c r="D1351" s="4" t="str">
        <f>IFERROR(VLOOKUP(E1351,Master!$J:$K,2,0),"")</f>
        <v/>
      </c>
      <c r="F1351" s="4" t="str">
        <f>IFERROR(VLOOKUP(G1351,Master!B:C,2,0),"")</f>
        <v/>
      </c>
      <c r="I1351" s="3" t="str">
        <f>IFERROR(VLOOKUP(E1351,Master!$J:$M,4,0),"")</f>
        <v/>
      </c>
      <c r="J1351" s="3" t="str">
        <f>IFERROR(VLOOKUP($E1351,Master!$J:$M,3,0),"")</f>
        <v/>
      </c>
      <c r="AC1351" s="26">
        <f t="shared" si="42"/>
        <v>0</v>
      </c>
      <c r="AD1351" s="26">
        <f t="shared" si="43"/>
        <v>0</v>
      </c>
    </row>
    <row r="1352" spans="2:30" ht="15" customHeight="1">
      <c r="B1352" s="3" t="str">
        <f>IFERROR(VLOOKUP(C1352,Master!$J:$K,2,0),"")</f>
        <v/>
      </c>
      <c r="D1352" s="4" t="str">
        <f>IFERROR(VLOOKUP(E1352,Master!$J:$K,2,0),"")</f>
        <v/>
      </c>
      <c r="F1352" s="4" t="str">
        <f>IFERROR(VLOOKUP(G1352,Master!B:C,2,0),"")</f>
        <v/>
      </c>
      <c r="I1352" s="3" t="str">
        <f>IFERROR(VLOOKUP(E1352,Master!$J:$M,4,0),"")</f>
        <v/>
      </c>
      <c r="J1352" s="3" t="str">
        <f>IFERROR(VLOOKUP($E1352,Master!$J:$M,3,0),"")</f>
        <v/>
      </c>
      <c r="AC1352" s="26">
        <f t="shared" si="42"/>
        <v>0</v>
      </c>
      <c r="AD1352" s="26">
        <f t="shared" si="43"/>
        <v>0</v>
      </c>
    </row>
    <row r="1353" spans="2:30" ht="15" customHeight="1">
      <c r="B1353" s="3" t="str">
        <f>IFERROR(VLOOKUP(C1353,Master!$J:$K,2,0),"")</f>
        <v/>
      </c>
      <c r="D1353" s="4" t="str">
        <f>IFERROR(VLOOKUP(E1353,Master!$J:$K,2,0),"")</f>
        <v/>
      </c>
      <c r="F1353" s="4" t="str">
        <f>IFERROR(VLOOKUP(G1353,Master!B:C,2,0),"")</f>
        <v/>
      </c>
      <c r="I1353" s="3" t="str">
        <f>IFERROR(VLOOKUP(E1353,Master!$J:$M,4,0),"")</f>
        <v/>
      </c>
      <c r="J1353" s="3" t="str">
        <f>IFERROR(VLOOKUP($E1353,Master!$J:$M,3,0),"")</f>
        <v/>
      </c>
      <c r="AC1353" s="26">
        <f t="shared" si="42"/>
        <v>0</v>
      </c>
      <c r="AD1353" s="26">
        <f t="shared" si="43"/>
        <v>0</v>
      </c>
    </row>
    <row r="1354" spans="2:30" ht="15" customHeight="1">
      <c r="B1354" s="3" t="str">
        <f>IFERROR(VLOOKUP(C1354,Master!$J:$K,2,0),"")</f>
        <v/>
      </c>
      <c r="D1354" s="4" t="str">
        <f>IFERROR(VLOOKUP(E1354,Master!$J:$K,2,0),"")</f>
        <v/>
      </c>
      <c r="F1354" s="4" t="str">
        <f>IFERROR(VLOOKUP(G1354,Master!B:C,2,0),"")</f>
        <v/>
      </c>
      <c r="I1354" s="3" t="str">
        <f>IFERROR(VLOOKUP(E1354,Master!$J:$M,4,0),"")</f>
        <v/>
      </c>
      <c r="J1354" s="3" t="str">
        <f>IFERROR(VLOOKUP($E1354,Master!$J:$M,3,0),"")</f>
        <v/>
      </c>
      <c r="AC1354" s="26">
        <f t="shared" si="42"/>
        <v>0</v>
      </c>
      <c r="AD1354" s="26">
        <f t="shared" si="43"/>
        <v>0</v>
      </c>
    </row>
    <row r="1355" spans="2:30" ht="15" customHeight="1">
      <c r="B1355" s="3" t="str">
        <f>IFERROR(VLOOKUP(C1355,Master!$J:$K,2,0),"")</f>
        <v/>
      </c>
      <c r="D1355" s="4" t="str">
        <f>IFERROR(VLOOKUP(E1355,Master!$J:$K,2,0),"")</f>
        <v/>
      </c>
      <c r="F1355" s="4" t="str">
        <f>IFERROR(VLOOKUP(G1355,Master!B:C,2,0),"")</f>
        <v/>
      </c>
      <c r="I1355" s="3" t="str">
        <f>IFERROR(VLOOKUP(E1355,Master!$J:$M,4,0),"")</f>
        <v/>
      </c>
      <c r="J1355" s="3" t="str">
        <f>IFERROR(VLOOKUP($E1355,Master!$J:$M,3,0),"")</f>
        <v/>
      </c>
      <c r="AC1355" s="26">
        <f t="shared" si="42"/>
        <v>0</v>
      </c>
      <c r="AD1355" s="26">
        <f t="shared" si="43"/>
        <v>0</v>
      </c>
    </row>
    <row r="1356" spans="2:30" ht="15" customHeight="1">
      <c r="B1356" s="3" t="str">
        <f>IFERROR(VLOOKUP(C1356,Master!$J:$K,2,0),"")</f>
        <v/>
      </c>
      <c r="D1356" s="4" t="str">
        <f>IFERROR(VLOOKUP(E1356,Master!$J:$K,2,0),"")</f>
        <v/>
      </c>
      <c r="F1356" s="4" t="str">
        <f>IFERROR(VLOOKUP(G1356,Master!B:C,2,0),"")</f>
        <v/>
      </c>
      <c r="I1356" s="3" t="str">
        <f>IFERROR(VLOOKUP(E1356,Master!$J:$M,4,0),"")</f>
        <v/>
      </c>
      <c r="J1356" s="3" t="str">
        <f>IFERROR(VLOOKUP($E1356,Master!$J:$M,3,0),"")</f>
        <v/>
      </c>
      <c r="AC1356" s="26">
        <f t="shared" si="42"/>
        <v>0</v>
      </c>
      <c r="AD1356" s="26">
        <f t="shared" si="43"/>
        <v>0</v>
      </c>
    </row>
    <row r="1357" spans="2:30" ht="15" customHeight="1">
      <c r="B1357" s="3" t="str">
        <f>IFERROR(VLOOKUP(C1357,Master!$J:$K,2,0),"")</f>
        <v/>
      </c>
      <c r="D1357" s="4" t="str">
        <f>IFERROR(VLOOKUP(E1357,Master!$J:$K,2,0),"")</f>
        <v/>
      </c>
      <c r="F1357" s="4" t="str">
        <f>IFERROR(VLOOKUP(G1357,Master!B:C,2,0),"")</f>
        <v/>
      </c>
      <c r="I1357" s="3" t="str">
        <f>IFERROR(VLOOKUP(E1357,Master!$J:$M,4,0),"")</f>
        <v/>
      </c>
      <c r="J1357" s="3" t="str">
        <f>IFERROR(VLOOKUP($E1357,Master!$J:$M,3,0),"")</f>
        <v/>
      </c>
      <c r="AC1357" s="26">
        <f t="shared" si="42"/>
        <v>0</v>
      </c>
      <c r="AD1357" s="26">
        <f t="shared" si="43"/>
        <v>0</v>
      </c>
    </row>
    <row r="1358" spans="2:30" ht="15" customHeight="1">
      <c r="B1358" s="3" t="str">
        <f>IFERROR(VLOOKUP(C1358,Master!$J:$K,2,0),"")</f>
        <v/>
      </c>
      <c r="D1358" s="4" t="str">
        <f>IFERROR(VLOOKUP(E1358,Master!$J:$K,2,0),"")</f>
        <v/>
      </c>
      <c r="F1358" s="4" t="str">
        <f>IFERROR(VLOOKUP(G1358,Master!B:C,2,0),"")</f>
        <v/>
      </c>
      <c r="I1358" s="3" t="str">
        <f>IFERROR(VLOOKUP(E1358,Master!$J:$M,4,0),"")</f>
        <v/>
      </c>
      <c r="J1358" s="3" t="str">
        <f>IFERROR(VLOOKUP($E1358,Master!$J:$M,3,0),"")</f>
        <v/>
      </c>
      <c r="AC1358" s="26">
        <f t="shared" si="42"/>
        <v>0</v>
      </c>
      <c r="AD1358" s="26">
        <f t="shared" si="43"/>
        <v>0</v>
      </c>
    </row>
    <row r="1359" spans="2:30" ht="15" customHeight="1">
      <c r="B1359" s="3" t="str">
        <f>IFERROR(VLOOKUP(C1359,Master!$J:$K,2,0),"")</f>
        <v/>
      </c>
      <c r="D1359" s="4" t="str">
        <f>IFERROR(VLOOKUP(E1359,Master!$J:$K,2,0),"")</f>
        <v/>
      </c>
      <c r="F1359" s="4" t="str">
        <f>IFERROR(VLOOKUP(G1359,Master!B:C,2,0),"")</f>
        <v/>
      </c>
      <c r="I1359" s="3" t="str">
        <f>IFERROR(VLOOKUP(E1359,Master!$J:$M,4,0),"")</f>
        <v/>
      </c>
      <c r="J1359" s="3" t="str">
        <f>IFERROR(VLOOKUP($E1359,Master!$J:$M,3,0),"")</f>
        <v/>
      </c>
      <c r="AC1359" s="26">
        <f t="shared" si="42"/>
        <v>0</v>
      </c>
      <c r="AD1359" s="26">
        <f t="shared" si="43"/>
        <v>0</v>
      </c>
    </row>
    <row r="1360" spans="2:30" ht="15" customHeight="1">
      <c r="B1360" s="3" t="str">
        <f>IFERROR(VLOOKUP(C1360,Master!$J:$K,2,0),"")</f>
        <v/>
      </c>
      <c r="D1360" s="4" t="str">
        <f>IFERROR(VLOOKUP(E1360,Master!$J:$K,2,0),"")</f>
        <v/>
      </c>
      <c r="F1360" s="4" t="str">
        <f>IFERROR(VLOOKUP(G1360,Master!B:C,2,0),"")</f>
        <v/>
      </c>
      <c r="I1360" s="3" t="str">
        <f>IFERROR(VLOOKUP(E1360,Master!$J:$M,4,0),"")</f>
        <v/>
      </c>
      <c r="J1360" s="3" t="str">
        <f>IFERROR(VLOOKUP($E1360,Master!$J:$M,3,0),"")</f>
        <v/>
      </c>
      <c r="AC1360" s="26">
        <f t="shared" si="42"/>
        <v>0</v>
      </c>
      <c r="AD1360" s="26">
        <f t="shared" si="43"/>
        <v>0</v>
      </c>
    </row>
    <row r="1361" spans="2:30" ht="15" customHeight="1">
      <c r="B1361" s="3" t="str">
        <f>IFERROR(VLOOKUP(C1361,Master!$J:$K,2,0),"")</f>
        <v/>
      </c>
      <c r="D1361" s="4" t="str">
        <f>IFERROR(VLOOKUP(E1361,Master!$J:$K,2,0),"")</f>
        <v/>
      </c>
      <c r="F1361" s="4" t="str">
        <f>IFERROR(VLOOKUP(G1361,Master!B:C,2,0),"")</f>
        <v/>
      </c>
      <c r="I1361" s="3" t="str">
        <f>IFERROR(VLOOKUP(E1361,Master!$J:$M,4,0),"")</f>
        <v/>
      </c>
      <c r="J1361" s="3" t="str">
        <f>IFERROR(VLOOKUP($E1361,Master!$J:$M,3,0),"")</f>
        <v/>
      </c>
      <c r="AC1361" s="26">
        <f t="shared" si="42"/>
        <v>0</v>
      </c>
      <c r="AD1361" s="26">
        <f t="shared" si="43"/>
        <v>0</v>
      </c>
    </row>
    <row r="1362" spans="2:30" ht="15" customHeight="1">
      <c r="B1362" s="3" t="str">
        <f>IFERROR(VLOOKUP(C1362,Master!$J:$K,2,0),"")</f>
        <v/>
      </c>
      <c r="D1362" s="4" t="str">
        <f>IFERROR(VLOOKUP(E1362,Master!$J:$K,2,0),"")</f>
        <v/>
      </c>
      <c r="F1362" s="4" t="str">
        <f>IFERROR(VLOOKUP(G1362,Master!B:C,2,0),"")</f>
        <v/>
      </c>
      <c r="I1362" s="3" t="str">
        <f>IFERROR(VLOOKUP(E1362,Master!$J:$M,4,0),"")</f>
        <v/>
      </c>
      <c r="J1362" s="3" t="str">
        <f>IFERROR(VLOOKUP($E1362,Master!$J:$M,3,0),"")</f>
        <v/>
      </c>
      <c r="AC1362" s="26">
        <f t="shared" si="42"/>
        <v>0</v>
      </c>
      <c r="AD1362" s="26">
        <f t="shared" si="43"/>
        <v>0</v>
      </c>
    </row>
    <row r="1363" spans="2:30" ht="15" customHeight="1">
      <c r="B1363" s="3" t="str">
        <f>IFERROR(VLOOKUP(C1363,Master!$J:$K,2,0),"")</f>
        <v/>
      </c>
      <c r="D1363" s="4" t="str">
        <f>IFERROR(VLOOKUP(E1363,Master!$J:$K,2,0),"")</f>
        <v/>
      </c>
      <c r="F1363" s="4" t="str">
        <f>IFERROR(VLOOKUP(G1363,Master!B:C,2,0),"")</f>
        <v/>
      </c>
      <c r="I1363" s="3" t="str">
        <f>IFERROR(VLOOKUP(E1363,Master!$J:$M,4,0),"")</f>
        <v/>
      </c>
      <c r="J1363" s="3" t="str">
        <f>IFERROR(VLOOKUP($E1363,Master!$J:$M,3,0),"")</f>
        <v/>
      </c>
      <c r="AC1363" s="26">
        <f t="shared" si="42"/>
        <v>0</v>
      </c>
      <c r="AD1363" s="26">
        <f t="shared" si="43"/>
        <v>0</v>
      </c>
    </row>
    <row r="1364" spans="2:30" ht="15" customHeight="1">
      <c r="B1364" s="3" t="str">
        <f>IFERROR(VLOOKUP(C1364,Master!$J:$K,2,0),"")</f>
        <v/>
      </c>
      <c r="D1364" s="4" t="str">
        <f>IFERROR(VLOOKUP(E1364,Master!$J:$K,2,0),"")</f>
        <v/>
      </c>
      <c r="F1364" s="4" t="str">
        <f>IFERROR(VLOOKUP(G1364,Master!B:C,2,0),"")</f>
        <v/>
      </c>
      <c r="I1364" s="3" t="str">
        <f>IFERROR(VLOOKUP(E1364,Master!$J:$M,4,0),"")</f>
        <v/>
      </c>
      <c r="J1364" s="3" t="str">
        <f>IFERROR(VLOOKUP($E1364,Master!$J:$M,3,0),"")</f>
        <v/>
      </c>
      <c r="AC1364" s="26">
        <f t="shared" si="42"/>
        <v>0</v>
      </c>
      <c r="AD1364" s="26">
        <f t="shared" si="43"/>
        <v>0</v>
      </c>
    </row>
    <row r="1365" spans="2:30" ht="15" customHeight="1">
      <c r="B1365" s="3" t="str">
        <f>IFERROR(VLOOKUP(C1365,Master!$J:$K,2,0),"")</f>
        <v/>
      </c>
      <c r="D1365" s="4" t="str">
        <f>IFERROR(VLOOKUP(E1365,Master!$J:$K,2,0),"")</f>
        <v/>
      </c>
      <c r="F1365" s="4" t="str">
        <f>IFERROR(VLOOKUP(G1365,Master!B:C,2,0),"")</f>
        <v/>
      </c>
      <c r="I1365" s="3" t="str">
        <f>IFERROR(VLOOKUP(E1365,Master!$J:$M,4,0),"")</f>
        <v/>
      </c>
      <c r="J1365" s="3" t="str">
        <f>IFERROR(VLOOKUP($E1365,Master!$J:$M,3,0),"")</f>
        <v/>
      </c>
      <c r="AC1365" s="26">
        <f t="shared" si="42"/>
        <v>0</v>
      </c>
      <c r="AD1365" s="26">
        <f t="shared" si="43"/>
        <v>0</v>
      </c>
    </row>
    <row r="1366" spans="2:30" ht="15" customHeight="1">
      <c r="B1366" s="3" t="str">
        <f>IFERROR(VLOOKUP(C1366,Master!$J:$K,2,0),"")</f>
        <v/>
      </c>
      <c r="D1366" s="4" t="str">
        <f>IFERROR(VLOOKUP(E1366,Master!$J:$K,2,0),"")</f>
        <v/>
      </c>
      <c r="F1366" s="4" t="str">
        <f>IFERROR(VLOOKUP(G1366,Master!B:C,2,0),"")</f>
        <v/>
      </c>
      <c r="I1366" s="3" t="str">
        <f>IFERROR(VLOOKUP(E1366,Master!$J:$M,4,0),"")</f>
        <v/>
      </c>
      <c r="J1366" s="3" t="str">
        <f>IFERROR(VLOOKUP($E1366,Master!$J:$M,3,0),"")</f>
        <v/>
      </c>
      <c r="AC1366" s="26">
        <f t="shared" si="42"/>
        <v>0</v>
      </c>
      <c r="AD1366" s="26">
        <f t="shared" si="43"/>
        <v>0</v>
      </c>
    </row>
    <row r="1367" spans="2:30" ht="15" customHeight="1">
      <c r="B1367" s="3" t="str">
        <f>IFERROR(VLOOKUP(C1367,Master!$J:$K,2,0),"")</f>
        <v/>
      </c>
      <c r="D1367" s="4" t="str">
        <f>IFERROR(VLOOKUP(E1367,Master!$J:$K,2,0),"")</f>
        <v/>
      </c>
      <c r="F1367" s="4" t="str">
        <f>IFERROR(VLOOKUP(G1367,Master!B:C,2,0),"")</f>
        <v/>
      </c>
      <c r="I1367" s="3" t="str">
        <f>IFERROR(VLOOKUP(E1367,Master!$J:$M,4,0),"")</f>
        <v/>
      </c>
      <c r="J1367" s="3" t="str">
        <f>IFERROR(VLOOKUP($E1367,Master!$J:$M,3,0),"")</f>
        <v/>
      </c>
      <c r="AC1367" s="26">
        <f t="shared" si="42"/>
        <v>0</v>
      </c>
      <c r="AD1367" s="26">
        <f t="shared" si="43"/>
        <v>0</v>
      </c>
    </row>
    <row r="1368" spans="2:30" ht="15" customHeight="1">
      <c r="B1368" s="3" t="str">
        <f>IFERROR(VLOOKUP(C1368,Master!$J:$K,2,0),"")</f>
        <v/>
      </c>
      <c r="D1368" s="4" t="str">
        <f>IFERROR(VLOOKUP(E1368,Master!$J:$K,2,0),"")</f>
        <v/>
      </c>
      <c r="F1368" s="4" t="str">
        <f>IFERROR(VLOOKUP(G1368,Master!B:C,2,0),"")</f>
        <v/>
      </c>
      <c r="I1368" s="3" t="str">
        <f>IFERROR(VLOOKUP(E1368,Master!$J:$M,4,0),"")</f>
        <v/>
      </c>
      <c r="J1368" s="3" t="str">
        <f>IFERROR(VLOOKUP($E1368,Master!$J:$M,3,0),"")</f>
        <v/>
      </c>
      <c r="AC1368" s="26">
        <f t="shared" si="42"/>
        <v>0</v>
      </c>
      <c r="AD1368" s="26">
        <f t="shared" si="43"/>
        <v>0</v>
      </c>
    </row>
    <row r="1369" spans="2:30" ht="15" customHeight="1">
      <c r="B1369" s="3" t="str">
        <f>IFERROR(VLOOKUP(C1369,Master!$J:$K,2,0),"")</f>
        <v/>
      </c>
      <c r="D1369" s="4" t="str">
        <f>IFERROR(VLOOKUP(E1369,Master!$J:$K,2,0),"")</f>
        <v/>
      </c>
      <c r="F1369" s="4" t="str">
        <f>IFERROR(VLOOKUP(G1369,Master!B:C,2,0),"")</f>
        <v/>
      </c>
      <c r="I1369" s="3" t="str">
        <f>IFERROR(VLOOKUP(E1369,Master!$J:$M,4,0),"")</f>
        <v/>
      </c>
      <c r="J1369" s="3" t="str">
        <f>IFERROR(VLOOKUP($E1369,Master!$J:$M,3,0),"")</f>
        <v/>
      </c>
      <c r="AC1369" s="26">
        <f t="shared" si="42"/>
        <v>0</v>
      </c>
      <c r="AD1369" s="26">
        <f t="shared" si="43"/>
        <v>0</v>
      </c>
    </row>
    <row r="1370" spans="2:30" ht="15" customHeight="1">
      <c r="B1370" s="3" t="str">
        <f>IFERROR(VLOOKUP(C1370,Master!$J:$K,2,0),"")</f>
        <v/>
      </c>
      <c r="D1370" s="4" t="str">
        <f>IFERROR(VLOOKUP(E1370,Master!$J:$K,2,0),"")</f>
        <v/>
      </c>
      <c r="F1370" s="4" t="str">
        <f>IFERROR(VLOOKUP(G1370,Master!B:C,2,0),"")</f>
        <v/>
      </c>
      <c r="I1370" s="3" t="str">
        <f>IFERROR(VLOOKUP(E1370,Master!$J:$M,4,0),"")</f>
        <v/>
      </c>
      <c r="J1370" s="3" t="str">
        <f>IFERROR(VLOOKUP($E1370,Master!$J:$M,3,0),"")</f>
        <v/>
      </c>
      <c r="AC1370" s="26">
        <f t="shared" si="42"/>
        <v>0</v>
      </c>
      <c r="AD1370" s="26">
        <f t="shared" si="43"/>
        <v>0</v>
      </c>
    </row>
    <row r="1371" spans="2:30" ht="15" customHeight="1">
      <c r="B1371" s="3" t="str">
        <f>IFERROR(VLOOKUP(C1371,Master!$J:$K,2,0),"")</f>
        <v/>
      </c>
      <c r="D1371" s="4" t="str">
        <f>IFERROR(VLOOKUP(E1371,Master!$J:$K,2,0),"")</f>
        <v/>
      </c>
      <c r="F1371" s="4" t="str">
        <f>IFERROR(VLOOKUP(G1371,Master!B:C,2,0),"")</f>
        <v/>
      </c>
      <c r="I1371" s="3" t="str">
        <f>IFERROR(VLOOKUP(E1371,Master!$J:$M,4,0),"")</f>
        <v/>
      </c>
      <c r="J1371" s="3" t="str">
        <f>IFERROR(VLOOKUP($E1371,Master!$J:$M,3,0),"")</f>
        <v/>
      </c>
      <c r="AC1371" s="26">
        <f t="shared" si="42"/>
        <v>0</v>
      </c>
      <c r="AD1371" s="26">
        <f t="shared" si="43"/>
        <v>0</v>
      </c>
    </row>
    <row r="1372" spans="2:30" ht="15" customHeight="1">
      <c r="B1372" s="3" t="str">
        <f>IFERROR(VLOOKUP(C1372,Master!$J:$K,2,0),"")</f>
        <v/>
      </c>
      <c r="D1372" s="4" t="str">
        <f>IFERROR(VLOOKUP(E1372,Master!$J:$K,2,0),"")</f>
        <v/>
      </c>
      <c r="F1372" s="4" t="str">
        <f>IFERROR(VLOOKUP(G1372,Master!B:C,2,0),"")</f>
        <v/>
      </c>
      <c r="I1372" s="3" t="str">
        <f>IFERROR(VLOOKUP(E1372,Master!$J:$M,4,0),"")</f>
        <v/>
      </c>
      <c r="J1372" s="3" t="str">
        <f>IFERROR(VLOOKUP($E1372,Master!$J:$M,3,0),"")</f>
        <v/>
      </c>
      <c r="AC1372" s="26">
        <f t="shared" si="42"/>
        <v>0</v>
      </c>
      <c r="AD1372" s="26">
        <f t="shared" si="43"/>
        <v>0</v>
      </c>
    </row>
    <row r="1373" spans="2:30" ht="15" customHeight="1">
      <c r="B1373" s="3" t="str">
        <f>IFERROR(VLOOKUP(C1373,Master!$J:$K,2,0),"")</f>
        <v/>
      </c>
      <c r="D1373" s="4" t="str">
        <f>IFERROR(VLOOKUP(E1373,Master!$J:$K,2,0),"")</f>
        <v/>
      </c>
      <c r="F1373" s="4" t="str">
        <f>IFERROR(VLOOKUP(G1373,Master!B:C,2,0),"")</f>
        <v/>
      </c>
      <c r="I1373" s="3" t="str">
        <f>IFERROR(VLOOKUP(E1373,Master!$J:$M,4,0),"")</f>
        <v/>
      </c>
      <c r="J1373" s="3" t="str">
        <f>IFERROR(VLOOKUP($E1373,Master!$J:$M,3,0),"")</f>
        <v/>
      </c>
      <c r="AC1373" s="26">
        <f t="shared" si="42"/>
        <v>0</v>
      </c>
      <c r="AD1373" s="26">
        <f t="shared" si="43"/>
        <v>0</v>
      </c>
    </row>
    <row r="1374" spans="2:30" ht="15" customHeight="1">
      <c r="B1374" s="3" t="str">
        <f>IFERROR(VLOOKUP(C1374,Master!$J:$K,2,0),"")</f>
        <v/>
      </c>
      <c r="D1374" s="4" t="str">
        <f>IFERROR(VLOOKUP(E1374,Master!$J:$K,2,0),"")</f>
        <v/>
      </c>
      <c r="F1374" s="4" t="str">
        <f>IFERROR(VLOOKUP(G1374,Master!B:C,2,0),"")</f>
        <v/>
      </c>
      <c r="I1374" s="3" t="str">
        <f>IFERROR(VLOOKUP(E1374,Master!$J:$M,4,0),"")</f>
        <v/>
      </c>
      <c r="J1374" s="3" t="str">
        <f>IFERROR(VLOOKUP($E1374,Master!$J:$M,3,0),"")</f>
        <v/>
      </c>
      <c r="AC1374" s="26">
        <f t="shared" si="42"/>
        <v>0</v>
      </c>
      <c r="AD1374" s="26">
        <f t="shared" si="43"/>
        <v>0</v>
      </c>
    </row>
    <row r="1375" spans="2:30" ht="15" customHeight="1">
      <c r="B1375" s="3" t="str">
        <f>IFERROR(VLOOKUP(C1375,Master!$J:$K,2,0),"")</f>
        <v/>
      </c>
      <c r="D1375" s="4" t="str">
        <f>IFERROR(VLOOKUP(E1375,Master!$J:$K,2,0),"")</f>
        <v/>
      </c>
      <c r="F1375" s="4" t="str">
        <f>IFERROR(VLOOKUP(G1375,Master!B:C,2,0),"")</f>
        <v/>
      </c>
      <c r="I1375" s="3" t="str">
        <f>IFERROR(VLOOKUP(E1375,Master!$J:$M,4,0),"")</f>
        <v/>
      </c>
      <c r="J1375" s="3" t="str">
        <f>IFERROR(VLOOKUP($E1375,Master!$J:$M,3,0),"")</f>
        <v/>
      </c>
      <c r="AC1375" s="26">
        <f t="shared" si="42"/>
        <v>0</v>
      </c>
      <c r="AD1375" s="26">
        <f t="shared" si="43"/>
        <v>0</v>
      </c>
    </row>
    <row r="1376" spans="2:30" ht="15" customHeight="1">
      <c r="B1376" s="3" t="str">
        <f>IFERROR(VLOOKUP(C1376,Master!$J:$K,2,0),"")</f>
        <v/>
      </c>
      <c r="D1376" s="4" t="str">
        <f>IFERROR(VLOOKUP(E1376,Master!$J:$K,2,0),"")</f>
        <v/>
      </c>
      <c r="F1376" s="4" t="str">
        <f>IFERROR(VLOOKUP(G1376,Master!B:C,2,0),"")</f>
        <v/>
      </c>
      <c r="I1376" s="3" t="str">
        <f>IFERROR(VLOOKUP(E1376,Master!$J:$M,4,0),"")</f>
        <v/>
      </c>
      <c r="J1376" s="3" t="str">
        <f>IFERROR(VLOOKUP($E1376,Master!$J:$M,3,0),"")</f>
        <v/>
      </c>
      <c r="AC1376" s="26">
        <f t="shared" si="42"/>
        <v>0</v>
      </c>
      <c r="AD1376" s="26">
        <f t="shared" si="43"/>
        <v>0</v>
      </c>
    </row>
    <row r="1377" spans="2:30" ht="15" customHeight="1">
      <c r="B1377" s="3" t="str">
        <f>IFERROR(VLOOKUP(C1377,Master!$J:$K,2,0),"")</f>
        <v/>
      </c>
      <c r="D1377" s="4" t="str">
        <f>IFERROR(VLOOKUP(E1377,Master!$J:$K,2,0),"")</f>
        <v/>
      </c>
      <c r="F1377" s="4" t="str">
        <f>IFERROR(VLOOKUP(G1377,Master!B:C,2,0),"")</f>
        <v/>
      </c>
      <c r="I1377" s="3" t="str">
        <f>IFERROR(VLOOKUP(E1377,Master!$J:$M,4,0),"")</f>
        <v/>
      </c>
      <c r="J1377" s="3" t="str">
        <f>IFERROR(VLOOKUP($E1377,Master!$J:$M,3,0),"")</f>
        <v/>
      </c>
      <c r="AC1377" s="26">
        <f t="shared" si="42"/>
        <v>0</v>
      </c>
      <c r="AD1377" s="26">
        <f t="shared" si="43"/>
        <v>0</v>
      </c>
    </row>
    <row r="1378" spans="2:30" ht="15" customHeight="1">
      <c r="B1378" s="3" t="str">
        <f>IFERROR(VLOOKUP(C1378,Master!$J:$K,2,0),"")</f>
        <v/>
      </c>
      <c r="D1378" s="4" t="str">
        <f>IFERROR(VLOOKUP(E1378,Master!$J:$K,2,0),"")</f>
        <v/>
      </c>
      <c r="F1378" s="4" t="str">
        <f>IFERROR(VLOOKUP(G1378,Master!B:C,2,0),"")</f>
        <v/>
      </c>
      <c r="I1378" s="3" t="str">
        <f>IFERROR(VLOOKUP(E1378,Master!$J:$M,4,0),"")</f>
        <v/>
      </c>
      <c r="J1378" s="3" t="str">
        <f>IFERROR(VLOOKUP($E1378,Master!$J:$M,3,0),"")</f>
        <v/>
      </c>
      <c r="AC1378" s="26">
        <f t="shared" si="42"/>
        <v>0</v>
      </c>
      <c r="AD1378" s="26">
        <f t="shared" si="43"/>
        <v>0</v>
      </c>
    </row>
    <row r="1379" spans="2:30" ht="15" customHeight="1">
      <c r="B1379" s="3" t="str">
        <f>IFERROR(VLOOKUP(C1379,Master!$J:$K,2,0),"")</f>
        <v/>
      </c>
      <c r="D1379" s="4" t="str">
        <f>IFERROR(VLOOKUP(E1379,Master!$J:$K,2,0),"")</f>
        <v/>
      </c>
      <c r="F1379" s="4" t="str">
        <f>IFERROR(VLOOKUP(G1379,Master!B:C,2,0),"")</f>
        <v/>
      </c>
      <c r="I1379" s="3" t="str">
        <f>IFERROR(VLOOKUP(E1379,Master!$J:$M,4,0),"")</f>
        <v/>
      </c>
      <c r="J1379" s="3" t="str">
        <f>IFERROR(VLOOKUP($E1379,Master!$J:$M,3,0),"")</f>
        <v/>
      </c>
      <c r="AC1379" s="26">
        <f t="shared" si="42"/>
        <v>0</v>
      </c>
      <c r="AD1379" s="26">
        <f t="shared" si="43"/>
        <v>0</v>
      </c>
    </row>
    <row r="1380" spans="2:30" ht="15" customHeight="1">
      <c r="B1380" s="3" t="str">
        <f>IFERROR(VLOOKUP(C1380,Master!$J:$K,2,0),"")</f>
        <v/>
      </c>
      <c r="D1380" s="4" t="str">
        <f>IFERROR(VLOOKUP(E1380,Master!$J:$K,2,0),"")</f>
        <v/>
      </c>
      <c r="F1380" s="4" t="str">
        <f>IFERROR(VLOOKUP(G1380,Master!B:C,2,0),"")</f>
        <v/>
      </c>
      <c r="I1380" s="3" t="str">
        <f>IFERROR(VLOOKUP(E1380,Master!$J:$M,4,0),"")</f>
        <v/>
      </c>
      <c r="J1380" s="3" t="str">
        <f>IFERROR(VLOOKUP($E1380,Master!$J:$M,3,0),"")</f>
        <v/>
      </c>
      <c r="AC1380" s="26">
        <f t="shared" si="42"/>
        <v>0</v>
      </c>
      <c r="AD1380" s="26">
        <f t="shared" si="43"/>
        <v>0</v>
      </c>
    </row>
    <row r="1381" spans="2:30" ht="15" customHeight="1">
      <c r="B1381" s="3" t="str">
        <f>IFERROR(VLOOKUP(C1381,Master!$J:$K,2,0),"")</f>
        <v/>
      </c>
      <c r="D1381" s="4" t="str">
        <f>IFERROR(VLOOKUP(E1381,Master!$J:$K,2,0),"")</f>
        <v/>
      </c>
      <c r="F1381" s="4" t="str">
        <f>IFERROR(VLOOKUP(G1381,Master!B:C,2,0),"")</f>
        <v/>
      </c>
      <c r="I1381" s="3" t="str">
        <f>IFERROR(VLOOKUP(E1381,Master!$J:$M,4,0),"")</f>
        <v/>
      </c>
      <c r="J1381" s="3" t="str">
        <f>IFERROR(VLOOKUP($E1381,Master!$J:$M,3,0),"")</f>
        <v/>
      </c>
      <c r="AC1381" s="26">
        <f t="shared" si="42"/>
        <v>0</v>
      </c>
      <c r="AD1381" s="26">
        <f t="shared" si="43"/>
        <v>0</v>
      </c>
    </row>
    <row r="1382" spans="2:30" ht="15" customHeight="1">
      <c r="B1382" s="3" t="str">
        <f>IFERROR(VLOOKUP(C1382,Master!$J:$K,2,0),"")</f>
        <v/>
      </c>
      <c r="D1382" s="4" t="str">
        <f>IFERROR(VLOOKUP(E1382,Master!$J:$K,2,0),"")</f>
        <v/>
      </c>
      <c r="F1382" s="4" t="str">
        <f>IFERROR(VLOOKUP(G1382,Master!B:C,2,0),"")</f>
        <v/>
      </c>
      <c r="I1382" s="3" t="str">
        <f>IFERROR(VLOOKUP(E1382,Master!$J:$M,4,0),"")</f>
        <v/>
      </c>
      <c r="J1382" s="3" t="str">
        <f>IFERROR(VLOOKUP($E1382,Master!$J:$M,3,0),"")</f>
        <v/>
      </c>
      <c r="AC1382" s="26">
        <f t="shared" si="42"/>
        <v>0</v>
      </c>
      <c r="AD1382" s="26">
        <f t="shared" si="43"/>
        <v>0</v>
      </c>
    </row>
    <row r="1383" spans="2:30" ht="15" customHeight="1">
      <c r="B1383" s="3" t="str">
        <f>IFERROR(VLOOKUP(C1383,Master!$J:$K,2,0),"")</f>
        <v/>
      </c>
      <c r="D1383" s="4" t="str">
        <f>IFERROR(VLOOKUP(E1383,Master!$J:$K,2,0),"")</f>
        <v/>
      </c>
      <c r="F1383" s="4" t="str">
        <f>IFERROR(VLOOKUP(G1383,Master!B:C,2,0),"")</f>
        <v/>
      </c>
      <c r="I1383" s="3" t="str">
        <f>IFERROR(VLOOKUP(E1383,Master!$J:$M,4,0),"")</f>
        <v/>
      </c>
      <c r="J1383" s="3" t="str">
        <f>IFERROR(VLOOKUP($E1383,Master!$J:$M,3,0),"")</f>
        <v/>
      </c>
      <c r="AC1383" s="26">
        <f t="shared" si="42"/>
        <v>0</v>
      </c>
      <c r="AD1383" s="26">
        <f t="shared" si="43"/>
        <v>0</v>
      </c>
    </row>
    <row r="1384" spans="2:30" ht="15" customHeight="1">
      <c r="B1384" s="3" t="str">
        <f>IFERROR(VLOOKUP(C1384,Master!$J:$K,2,0),"")</f>
        <v/>
      </c>
      <c r="D1384" s="4" t="str">
        <f>IFERROR(VLOOKUP(E1384,Master!$J:$K,2,0),"")</f>
        <v/>
      </c>
      <c r="F1384" s="4" t="str">
        <f>IFERROR(VLOOKUP(G1384,Master!B:C,2,0),"")</f>
        <v/>
      </c>
      <c r="I1384" s="3" t="str">
        <f>IFERROR(VLOOKUP(E1384,Master!$J:$M,4,0),"")</f>
        <v/>
      </c>
      <c r="J1384" s="3" t="str">
        <f>IFERROR(VLOOKUP($E1384,Master!$J:$M,3,0),"")</f>
        <v/>
      </c>
      <c r="AC1384" s="26">
        <f t="shared" si="42"/>
        <v>0</v>
      </c>
      <c r="AD1384" s="26">
        <f t="shared" si="43"/>
        <v>0</v>
      </c>
    </row>
    <row r="1385" spans="2:30" ht="15" customHeight="1">
      <c r="B1385" s="3" t="str">
        <f>IFERROR(VLOOKUP(C1385,Master!$J:$K,2,0),"")</f>
        <v/>
      </c>
      <c r="D1385" s="4" t="str">
        <f>IFERROR(VLOOKUP(E1385,Master!$J:$K,2,0),"")</f>
        <v/>
      </c>
      <c r="F1385" s="4" t="str">
        <f>IFERROR(VLOOKUP(G1385,Master!B:C,2,0),"")</f>
        <v/>
      </c>
      <c r="I1385" s="3" t="str">
        <f>IFERROR(VLOOKUP(E1385,Master!$J:$M,4,0),"")</f>
        <v/>
      </c>
      <c r="J1385" s="3" t="str">
        <f>IFERROR(VLOOKUP($E1385,Master!$J:$M,3,0),"")</f>
        <v/>
      </c>
      <c r="AC1385" s="26">
        <f t="shared" ref="AC1385:AC1448" si="44">SUM(K1385:P1385)</f>
        <v>0</v>
      </c>
      <c r="AD1385" s="26">
        <f t="shared" ref="AD1385:AD1448" si="45">SUM(Q1385:AB1385)</f>
        <v>0</v>
      </c>
    </row>
    <row r="1386" spans="2:30" ht="15" customHeight="1">
      <c r="B1386" s="3" t="str">
        <f>IFERROR(VLOOKUP(C1386,Master!$J:$K,2,0),"")</f>
        <v/>
      </c>
      <c r="D1386" s="4" t="str">
        <f>IFERROR(VLOOKUP(E1386,Master!$J:$K,2,0),"")</f>
        <v/>
      </c>
      <c r="F1386" s="4" t="str">
        <f>IFERROR(VLOOKUP(G1386,Master!B:C,2,0),"")</f>
        <v/>
      </c>
      <c r="I1386" s="3" t="str">
        <f>IFERROR(VLOOKUP(E1386,Master!$J:$M,4,0),"")</f>
        <v/>
      </c>
      <c r="J1386" s="3" t="str">
        <f>IFERROR(VLOOKUP($E1386,Master!$J:$M,3,0),"")</f>
        <v/>
      </c>
      <c r="AC1386" s="26">
        <f t="shared" si="44"/>
        <v>0</v>
      </c>
      <c r="AD1386" s="26">
        <f t="shared" si="45"/>
        <v>0</v>
      </c>
    </row>
    <row r="1387" spans="2:30" ht="15" customHeight="1">
      <c r="B1387" s="3" t="str">
        <f>IFERROR(VLOOKUP(C1387,Master!$J:$K,2,0),"")</f>
        <v/>
      </c>
      <c r="D1387" s="4" t="str">
        <f>IFERROR(VLOOKUP(E1387,Master!$J:$K,2,0),"")</f>
        <v/>
      </c>
      <c r="F1387" s="4" t="str">
        <f>IFERROR(VLOOKUP(G1387,Master!B:C,2,0),"")</f>
        <v/>
      </c>
      <c r="I1387" s="3" t="str">
        <f>IFERROR(VLOOKUP(E1387,Master!$J:$M,4,0),"")</f>
        <v/>
      </c>
      <c r="J1387" s="3" t="str">
        <f>IFERROR(VLOOKUP($E1387,Master!$J:$M,3,0),"")</f>
        <v/>
      </c>
      <c r="AC1387" s="26">
        <f t="shared" si="44"/>
        <v>0</v>
      </c>
      <c r="AD1387" s="26">
        <f t="shared" si="45"/>
        <v>0</v>
      </c>
    </row>
    <row r="1388" spans="2:30" ht="15" customHeight="1">
      <c r="B1388" s="3" t="str">
        <f>IFERROR(VLOOKUP(C1388,Master!$J:$K,2,0),"")</f>
        <v/>
      </c>
      <c r="D1388" s="4" t="str">
        <f>IFERROR(VLOOKUP(E1388,Master!$J:$K,2,0),"")</f>
        <v/>
      </c>
      <c r="F1388" s="4" t="str">
        <f>IFERROR(VLOOKUP(G1388,Master!B:C,2,0),"")</f>
        <v/>
      </c>
      <c r="I1388" s="3" t="str">
        <f>IFERROR(VLOOKUP(E1388,Master!$J:$M,4,0),"")</f>
        <v/>
      </c>
      <c r="J1388" s="3" t="str">
        <f>IFERROR(VLOOKUP($E1388,Master!$J:$M,3,0),"")</f>
        <v/>
      </c>
      <c r="AC1388" s="26">
        <f t="shared" si="44"/>
        <v>0</v>
      </c>
      <c r="AD1388" s="26">
        <f t="shared" si="45"/>
        <v>0</v>
      </c>
    </row>
    <row r="1389" spans="2:30" ht="15" customHeight="1">
      <c r="B1389" s="3" t="str">
        <f>IFERROR(VLOOKUP(C1389,Master!$J:$K,2,0),"")</f>
        <v/>
      </c>
      <c r="D1389" s="4" t="str">
        <f>IFERROR(VLOOKUP(E1389,Master!$J:$K,2,0),"")</f>
        <v/>
      </c>
      <c r="F1389" s="4" t="str">
        <f>IFERROR(VLOOKUP(G1389,Master!B:C,2,0),"")</f>
        <v/>
      </c>
      <c r="I1389" s="3" t="str">
        <f>IFERROR(VLOOKUP(E1389,Master!$J:$M,4,0),"")</f>
        <v/>
      </c>
      <c r="J1389" s="3" t="str">
        <f>IFERROR(VLOOKUP($E1389,Master!$J:$M,3,0),"")</f>
        <v/>
      </c>
      <c r="AC1389" s="26">
        <f t="shared" si="44"/>
        <v>0</v>
      </c>
      <c r="AD1389" s="26">
        <f t="shared" si="45"/>
        <v>0</v>
      </c>
    </row>
    <row r="1390" spans="2:30" ht="15" customHeight="1">
      <c r="B1390" s="3" t="str">
        <f>IFERROR(VLOOKUP(C1390,Master!$J:$K,2,0),"")</f>
        <v/>
      </c>
      <c r="D1390" s="4" t="str">
        <f>IFERROR(VLOOKUP(E1390,Master!$J:$K,2,0),"")</f>
        <v/>
      </c>
      <c r="F1390" s="4" t="str">
        <f>IFERROR(VLOOKUP(G1390,Master!B:C,2,0),"")</f>
        <v/>
      </c>
      <c r="I1390" s="3" t="str">
        <f>IFERROR(VLOOKUP(E1390,Master!$J:$M,4,0),"")</f>
        <v/>
      </c>
      <c r="J1390" s="3" t="str">
        <f>IFERROR(VLOOKUP($E1390,Master!$J:$M,3,0),"")</f>
        <v/>
      </c>
      <c r="AC1390" s="26">
        <f t="shared" si="44"/>
        <v>0</v>
      </c>
      <c r="AD1390" s="26">
        <f t="shared" si="45"/>
        <v>0</v>
      </c>
    </row>
    <row r="1391" spans="2:30" ht="15" customHeight="1">
      <c r="B1391" s="3" t="str">
        <f>IFERROR(VLOOKUP(C1391,Master!$J:$K,2,0),"")</f>
        <v/>
      </c>
      <c r="D1391" s="4" t="str">
        <f>IFERROR(VLOOKUP(E1391,Master!$J:$K,2,0),"")</f>
        <v/>
      </c>
      <c r="F1391" s="4" t="str">
        <f>IFERROR(VLOOKUP(G1391,Master!B:C,2,0),"")</f>
        <v/>
      </c>
      <c r="I1391" s="3" t="str">
        <f>IFERROR(VLOOKUP(E1391,Master!$J:$M,4,0),"")</f>
        <v/>
      </c>
      <c r="J1391" s="3" t="str">
        <f>IFERROR(VLOOKUP($E1391,Master!$J:$M,3,0),"")</f>
        <v/>
      </c>
      <c r="AC1391" s="26">
        <f t="shared" si="44"/>
        <v>0</v>
      </c>
      <c r="AD1391" s="26">
        <f t="shared" si="45"/>
        <v>0</v>
      </c>
    </row>
    <row r="1392" spans="2:30" ht="15" customHeight="1">
      <c r="B1392" s="3" t="str">
        <f>IFERROR(VLOOKUP(C1392,Master!$J:$K,2,0),"")</f>
        <v/>
      </c>
      <c r="D1392" s="4" t="str">
        <f>IFERROR(VLOOKUP(E1392,Master!$J:$K,2,0),"")</f>
        <v/>
      </c>
      <c r="F1392" s="4" t="str">
        <f>IFERROR(VLOOKUP(G1392,Master!B:C,2,0),"")</f>
        <v/>
      </c>
      <c r="I1392" s="3" t="str">
        <f>IFERROR(VLOOKUP(E1392,Master!$J:$M,4,0),"")</f>
        <v/>
      </c>
      <c r="J1392" s="3" t="str">
        <f>IFERROR(VLOOKUP($E1392,Master!$J:$M,3,0),"")</f>
        <v/>
      </c>
      <c r="AC1392" s="26">
        <f t="shared" si="44"/>
        <v>0</v>
      </c>
      <c r="AD1392" s="26">
        <f t="shared" si="45"/>
        <v>0</v>
      </c>
    </row>
    <row r="1393" spans="2:30" ht="15" customHeight="1">
      <c r="B1393" s="3" t="str">
        <f>IFERROR(VLOOKUP(C1393,Master!$J:$K,2,0),"")</f>
        <v/>
      </c>
      <c r="D1393" s="4" t="str">
        <f>IFERROR(VLOOKUP(E1393,Master!$J:$K,2,0),"")</f>
        <v/>
      </c>
      <c r="F1393" s="4" t="str">
        <f>IFERROR(VLOOKUP(G1393,Master!B:C,2,0),"")</f>
        <v/>
      </c>
      <c r="I1393" s="3" t="str">
        <f>IFERROR(VLOOKUP(E1393,Master!$J:$M,4,0),"")</f>
        <v/>
      </c>
      <c r="J1393" s="3" t="str">
        <f>IFERROR(VLOOKUP($E1393,Master!$J:$M,3,0),"")</f>
        <v/>
      </c>
      <c r="AC1393" s="26">
        <f t="shared" si="44"/>
        <v>0</v>
      </c>
      <c r="AD1393" s="26">
        <f t="shared" si="45"/>
        <v>0</v>
      </c>
    </row>
    <row r="1394" spans="2:30" ht="15" customHeight="1">
      <c r="B1394" s="3" t="str">
        <f>IFERROR(VLOOKUP(C1394,Master!$J:$K,2,0),"")</f>
        <v/>
      </c>
      <c r="D1394" s="4" t="str">
        <f>IFERROR(VLOOKUP(E1394,Master!$J:$K,2,0),"")</f>
        <v/>
      </c>
      <c r="F1394" s="4" t="str">
        <f>IFERROR(VLOOKUP(G1394,Master!B:C,2,0),"")</f>
        <v/>
      </c>
      <c r="I1394" s="3" t="str">
        <f>IFERROR(VLOOKUP(E1394,Master!$J:$M,4,0),"")</f>
        <v/>
      </c>
      <c r="J1394" s="3" t="str">
        <f>IFERROR(VLOOKUP($E1394,Master!$J:$M,3,0),"")</f>
        <v/>
      </c>
      <c r="AC1394" s="26">
        <f t="shared" si="44"/>
        <v>0</v>
      </c>
      <c r="AD1394" s="26">
        <f t="shared" si="45"/>
        <v>0</v>
      </c>
    </row>
    <row r="1395" spans="2:30" ht="15" customHeight="1">
      <c r="B1395" s="3" t="str">
        <f>IFERROR(VLOOKUP(C1395,Master!$J:$K,2,0),"")</f>
        <v/>
      </c>
      <c r="D1395" s="4" t="str">
        <f>IFERROR(VLOOKUP(E1395,Master!$J:$K,2,0),"")</f>
        <v/>
      </c>
      <c r="F1395" s="4" t="str">
        <f>IFERROR(VLOOKUP(G1395,Master!B:C,2,0),"")</f>
        <v/>
      </c>
      <c r="I1395" s="3" t="str">
        <f>IFERROR(VLOOKUP(E1395,Master!$J:$M,4,0),"")</f>
        <v/>
      </c>
      <c r="J1395" s="3" t="str">
        <f>IFERROR(VLOOKUP($E1395,Master!$J:$M,3,0),"")</f>
        <v/>
      </c>
      <c r="AC1395" s="26">
        <f t="shared" si="44"/>
        <v>0</v>
      </c>
      <c r="AD1395" s="26">
        <f t="shared" si="45"/>
        <v>0</v>
      </c>
    </row>
    <row r="1396" spans="2:30" ht="15" customHeight="1">
      <c r="B1396" s="3" t="str">
        <f>IFERROR(VLOOKUP(C1396,Master!$J:$K,2,0),"")</f>
        <v/>
      </c>
      <c r="D1396" s="4" t="str">
        <f>IFERROR(VLOOKUP(E1396,Master!$J:$K,2,0),"")</f>
        <v/>
      </c>
      <c r="F1396" s="4" t="str">
        <f>IFERROR(VLOOKUP(G1396,Master!B:C,2,0),"")</f>
        <v/>
      </c>
      <c r="I1396" s="3" t="str">
        <f>IFERROR(VLOOKUP(E1396,Master!$J:$M,4,0),"")</f>
        <v/>
      </c>
      <c r="J1396" s="3" t="str">
        <f>IFERROR(VLOOKUP($E1396,Master!$J:$M,3,0),"")</f>
        <v/>
      </c>
      <c r="AC1396" s="26">
        <f t="shared" si="44"/>
        <v>0</v>
      </c>
      <c r="AD1396" s="26">
        <f t="shared" si="45"/>
        <v>0</v>
      </c>
    </row>
    <row r="1397" spans="2:30" ht="15" customHeight="1">
      <c r="B1397" s="3" t="str">
        <f>IFERROR(VLOOKUP(C1397,Master!$J:$K,2,0),"")</f>
        <v/>
      </c>
      <c r="D1397" s="4" t="str">
        <f>IFERROR(VLOOKUP(E1397,Master!$J:$K,2,0),"")</f>
        <v/>
      </c>
      <c r="F1397" s="4" t="str">
        <f>IFERROR(VLOOKUP(G1397,Master!B:C,2,0),"")</f>
        <v/>
      </c>
      <c r="I1397" s="3" t="str">
        <f>IFERROR(VLOOKUP(E1397,Master!$J:$M,4,0),"")</f>
        <v/>
      </c>
      <c r="J1397" s="3" t="str">
        <f>IFERROR(VLOOKUP($E1397,Master!$J:$M,3,0),"")</f>
        <v/>
      </c>
      <c r="AC1397" s="26">
        <f t="shared" si="44"/>
        <v>0</v>
      </c>
      <c r="AD1397" s="26">
        <f t="shared" si="45"/>
        <v>0</v>
      </c>
    </row>
    <row r="1398" spans="2:30" ht="15" customHeight="1">
      <c r="B1398" s="3" t="str">
        <f>IFERROR(VLOOKUP(C1398,Master!$J:$K,2,0),"")</f>
        <v/>
      </c>
      <c r="D1398" s="4" t="str">
        <f>IFERROR(VLOOKUP(E1398,Master!$J:$K,2,0),"")</f>
        <v/>
      </c>
      <c r="F1398" s="4" t="str">
        <f>IFERROR(VLOOKUP(G1398,Master!B:C,2,0),"")</f>
        <v/>
      </c>
      <c r="I1398" s="3" t="str">
        <f>IFERROR(VLOOKUP(E1398,Master!$J:$M,4,0),"")</f>
        <v/>
      </c>
      <c r="J1398" s="3" t="str">
        <f>IFERROR(VLOOKUP($E1398,Master!$J:$M,3,0),"")</f>
        <v/>
      </c>
      <c r="AC1398" s="26">
        <f t="shared" si="44"/>
        <v>0</v>
      </c>
      <c r="AD1398" s="26">
        <f t="shared" si="45"/>
        <v>0</v>
      </c>
    </row>
    <row r="1399" spans="2:30" ht="15" customHeight="1">
      <c r="B1399" s="3" t="str">
        <f>IFERROR(VLOOKUP(C1399,Master!$J:$K,2,0),"")</f>
        <v/>
      </c>
      <c r="D1399" s="4" t="str">
        <f>IFERROR(VLOOKUP(E1399,Master!$J:$K,2,0),"")</f>
        <v/>
      </c>
      <c r="F1399" s="4" t="str">
        <f>IFERROR(VLOOKUP(G1399,Master!B:C,2,0),"")</f>
        <v/>
      </c>
      <c r="I1399" s="3" t="str">
        <f>IFERROR(VLOOKUP(E1399,Master!$J:$M,4,0),"")</f>
        <v/>
      </c>
      <c r="J1399" s="3" t="str">
        <f>IFERROR(VLOOKUP($E1399,Master!$J:$M,3,0),"")</f>
        <v/>
      </c>
      <c r="AC1399" s="26">
        <f t="shared" si="44"/>
        <v>0</v>
      </c>
      <c r="AD1399" s="26">
        <f t="shared" si="45"/>
        <v>0</v>
      </c>
    </row>
    <row r="1400" spans="2:30" ht="15" customHeight="1">
      <c r="B1400" s="3" t="str">
        <f>IFERROR(VLOOKUP(C1400,Master!$J:$K,2,0),"")</f>
        <v/>
      </c>
      <c r="D1400" s="4" t="str">
        <f>IFERROR(VLOOKUP(E1400,Master!$J:$K,2,0),"")</f>
        <v/>
      </c>
      <c r="F1400" s="4" t="str">
        <f>IFERROR(VLOOKUP(G1400,Master!B:C,2,0),"")</f>
        <v/>
      </c>
      <c r="I1400" s="3" t="str">
        <f>IFERROR(VLOOKUP(E1400,Master!$J:$M,4,0),"")</f>
        <v/>
      </c>
      <c r="J1400" s="3" t="str">
        <f>IFERROR(VLOOKUP($E1400,Master!$J:$M,3,0),"")</f>
        <v/>
      </c>
      <c r="AC1400" s="26">
        <f t="shared" si="44"/>
        <v>0</v>
      </c>
      <c r="AD1400" s="26">
        <f t="shared" si="45"/>
        <v>0</v>
      </c>
    </row>
    <row r="1401" spans="2:30" ht="15" customHeight="1">
      <c r="B1401" s="3" t="str">
        <f>IFERROR(VLOOKUP(C1401,Master!$J:$K,2,0),"")</f>
        <v/>
      </c>
      <c r="D1401" s="4" t="str">
        <f>IFERROR(VLOOKUP(E1401,Master!$J:$K,2,0),"")</f>
        <v/>
      </c>
      <c r="F1401" s="4" t="str">
        <f>IFERROR(VLOOKUP(G1401,Master!B:C,2,0),"")</f>
        <v/>
      </c>
      <c r="I1401" s="3" t="str">
        <f>IFERROR(VLOOKUP(E1401,Master!$J:$M,4,0),"")</f>
        <v/>
      </c>
      <c r="J1401" s="3" t="str">
        <f>IFERROR(VLOOKUP($E1401,Master!$J:$M,3,0),"")</f>
        <v/>
      </c>
      <c r="AC1401" s="26">
        <f t="shared" si="44"/>
        <v>0</v>
      </c>
      <c r="AD1401" s="26">
        <f t="shared" si="45"/>
        <v>0</v>
      </c>
    </row>
    <row r="1402" spans="2:30" ht="15" customHeight="1">
      <c r="B1402" s="3" t="str">
        <f>IFERROR(VLOOKUP(C1402,Master!$J:$K,2,0),"")</f>
        <v/>
      </c>
      <c r="D1402" s="4" t="str">
        <f>IFERROR(VLOOKUP(E1402,Master!$J:$K,2,0),"")</f>
        <v/>
      </c>
      <c r="F1402" s="4" t="str">
        <f>IFERROR(VLOOKUP(G1402,Master!B:C,2,0),"")</f>
        <v/>
      </c>
      <c r="I1402" s="3" t="str">
        <f>IFERROR(VLOOKUP(E1402,Master!$J:$M,4,0),"")</f>
        <v/>
      </c>
      <c r="J1402" s="3" t="str">
        <f>IFERROR(VLOOKUP($E1402,Master!$J:$M,3,0),"")</f>
        <v/>
      </c>
      <c r="AC1402" s="26">
        <f t="shared" si="44"/>
        <v>0</v>
      </c>
      <c r="AD1402" s="26">
        <f t="shared" si="45"/>
        <v>0</v>
      </c>
    </row>
    <row r="1403" spans="2:30" ht="15" customHeight="1">
      <c r="B1403" s="3" t="str">
        <f>IFERROR(VLOOKUP(C1403,Master!$J:$K,2,0),"")</f>
        <v/>
      </c>
      <c r="D1403" s="4" t="str">
        <f>IFERROR(VLOOKUP(E1403,Master!$J:$K,2,0),"")</f>
        <v/>
      </c>
      <c r="F1403" s="4" t="str">
        <f>IFERROR(VLOOKUP(G1403,Master!B:C,2,0),"")</f>
        <v/>
      </c>
      <c r="I1403" s="3" t="str">
        <f>IFERROR(VLOOKUP(E1403,Master!$J:$M,4,0),"")</f>
        <v/>
      </c>
      <c r="J1403" s="3" t="str">
        <f>IFERROR(VLOOKUP($E1403,Master!$J:$M,3,0),"")</f>
        <v/>
      </c>
      <c r="AC1403" s="26">
        <f t="shared" si="44"/>
        <v>0</v>
      </c>
      <c r="AD1403" s="26">
        <f t="shared" si="45"/>
        <v>0</v>
      </c>
    </row>
    <row r="1404" spans="2:30" ht="15" customHeight="1">
      <c r="B1404" s="3" t="str">
        <f>IFERROR(VLOOKUP(C1404,Master!$J:$K,2,0),"")</f>
        <v/>
      </c>
      <c r="D1404" s="4" t="str">
        <f>IFERROR(VLOOKUP(E1404,Master!$J:$K,2,0),"")</f>
        <v/>
      </c>
      <c r="F1404" s="4" t="str">
        <f>IFERROR(VLOOKUP(G1404,Master!B:C,2,0),"")</f>
        <v/>
      </c>
      <c r="I1404" s="3" t="str">
        <f>IFERROR(VLOOKUP(E1404,Master!$J:$M,4,0),"")</f>
        <v/>
      </c>
      <c r="J1404" s="3" t="str">
        <f>IFERROR(VLOOKUP($E1404,Master!$J:$M,3,0),"")</f>
        <v/>
      </c>
      <c r="AC1404" s="26">
        <f t="shared" si="44"/>
        <v>0</v>
      </c>
      <c r="AD1404" s="26">
        <f t="shared" si="45"/>
        <v>0</v>
      </c>
    </row>
    <row r="1405" spans="2:30" ht="15" customHeight="1">
      <c r="B1405" s="3" t="str">
        <f>IFERROR(VLOOKUP(C1405,Master!$J:$K,2,0),"")</f>
        <v/>
      </c>
      <c r="D1405" s="4" t="str">
        <f>IFERROR(VLOOKUP(E1405,Master!$J:$K,2,0),"")</f>
        <v/>
      </c>
      <c r="F1405" s="4" t="str">
        <f>IFERROR(VLOOKUP(G1405,Master!B:C,2,0),"")</f>
        <v/>
      </c>
      <c r="I1405" s="3" t="str">
        <f>IFERROR(VLOOKUP(E1405,Master!$J:$M,4,0),"")</f>
        <v/>
      </c>
      <c r="J1405" s="3" t="str">
        <f>IFERROR(VLOOKUP($E1405,Master!$J:$M,3,0),"")</f>
        <v/>
      </c>
      <c r="AC1405" s="26">
        <f t="shared" si="44"/>
        <v>0</v>
      </c>
      <c r="AD1405" s="26">
        <f t="shared" si="45"/>
        <v>0</v>
      </c>
    </row>
    <row r="1406" spans="2:30" ht="15" customHeight="1">
      <c r="B1406" s="3" t="str">
        <f>IFERROR(VLOOKUP(C1406,Master!$J:$K,2,0),"")</f>
        <v/>
      </c>
      <c r="D1406" s="4" t="str">
        <f>IFERROR(VLOOKUP(E1406,Master!$J:$K,2,0),"")</f>
        <v/>
      </c>
      <c r="F1406" s="4" t="str">
        <f>IFERROR(VLOOKUP(G1406,Master!B:C,2,0),"")</f>
        <v/>
      </c>
      <c r="I1406" s="3" t="str">
        <f>IFERROR(VLOOKUP(E1406,Master!$J:$M,4,0),"")</f>
        <v/>
      </c>
      <c r="J1406" s="3" t="str">
        <f>IFERROR(VLOOKUP($E1406,Master!$J:$M,3,0),"")</f>
        <v/>
      </c>
      <c r="AC1406" s="26">
        <f t="shared" si="44"/>
        <v>0</v>
      </c>
      <c r="AD1406" s="26">
        <f t="shared" si="45"/>
        <v>0</v>
      </c>
    </row>
    <row r="1407" spans="2:30" ht="15" customHeight="1">
      <c r="B1407" s="3" t="str">
        <f>IFERROR(VLOOKUP(C1407,Master!$J:$K,2,0),"")</f>
        <v/>
      </c>
      <c r="D1407" s="4" t="str">
        <f>IFERROR(VLOOKUP(E1407,Master!$J:$K,2,0),"")</f>
        <v/>
      </c>
      <c r="F1407" s="4" t="str">
        <f>IFERROR(VLOOKUP(G1407,Master!B:C,2,0),"")</f>
        <v/>
      </c>
      <c r="I1407" s="3" t="str">
        <f>IFERROR(VLOOKUP(E1407,Master!$J:$M,4,0),"")</f>
        <v/>
      </c>
      <c r="J1407" s="3" t="str">
        <f>IFERROR(VLOOKUP($E1407,Master!$J:$M,3,0),"")</f>
        <v/>
      </c>
      <c r="AC1407" s="26">
        <f t="shared" si="44"/>
        <v>0</v>
      </c>
      <c r="AD1407" s="26">
        <f t="shared" si="45"/>
        <v>0</v>
      </c>
    </row>
    <row r="1408" spans="2:30" ht="15" customHeight="1">
      <c r="B1408" s="3" t="str">
        <f>IFERROR(VLOOKUP(C1408,Master!$J:$K,2,0),"")</f>
        <v/>
      </c>
      <c r="D1408" s="4" t="str">
        <f>IFERROR(VLOOKUP(E1408,Master!$J:$K,2,0),"")</f>
        <v/>
      </c>
      <c r="F1408" s="4" t="str">
        <f>IFERROR(VLOOKUP(G1408,Master!B:C,2,0),"")</f>
        <v/>
      </c>
      <c r="I1408" s="3" t="str">
        <f>IFERROR(VLOOKUP(E1408,Master!$J:$M,4,0),"")</f>
        <v/>
      </c>
      <c r="J1408" s="3" t="str">
        <f>IFERROR(VLOOKUP($E1408,Master!$J:$M,3,0),"")</f>
        <v/>
      </c>
      <c r="AC1408" s="26">
        <f t="shared" si="44"/>
        <v>0</v>
      </c>
      <c r="AD1408" s="26">
        <f t="shared" si="45"/>
        <v>0</v>
      </c>
    </row>
    <row r="1409" spans="2:30" ht="15" customHeight="1">
      <c r="B1409" s="3" t="str">
        <f>IFERROR(VLOOKUP(C1409,Master!$J:$K,2,0),"")</f>
        <v/>
      </c>
      <c r="D1409" s="4" t="str">
        <f>IFERROR(VLOOKUP(E1409,Master!$J:$K,2,0),"")</f>
        <v/>
      </c>
      <c r="F1409" s="4" t="str">
        <f>IFERROR(VLOOKUP(G1409,Master!B:C,2,0),"")</f>
        <v/>
      </c>
      <c r="I1409" s="3" t="str">
        <f>IFERROR(VLOOKUP(E1409,Master!$J:$M,4,0),"")</f>
        <v/>
      </c>
      <c r="J1409" s="3" t="str">
        <f>IFERROR(VLOOKUP($E1409,Master!$J:$M,3,0),"")</f>
        <v/>
      </c>
      <c r="AC1409" s="26">
        <f t="shared" si="44"/>
        <v>0</v>
      </c>
      <c r="AD1409" s="26">
        <f t="shared" si="45"/>
        <v>0</v>
      </c>
    </row>
    <row r="1410" spans="2:30" ht="15" customHeight="1">
      <c r="B1410" s="3" t="str">
        <f>IFERROR(VLOOKUP(C1410,Master!$J:$K,2,0),"")</f>
        <v/>
      </c>
      <c r="D1410" s="4" t="str">
        <f>IFERROR(VLOOKUP(E1410,Master!$J:$K,2,0),"")</f>
        <v/>
      </c>
      <c r="F1410" s="4" t="str">
        <f>IFERROR(VLOOKUP(G1410,Master!B:C,2,0),"")</f>
        <v/>
      </c>
      <c r="I1410" s="3" t="str">
        <f>IFERROR(VLOOKUP(E1410,Master!$J:$M,4,0),"")</f>
        <v/>
      </c>
      <c r="J1410" s="3" t="str">
        <f>IFERROR(VLOOKUP($E1410,Master!$J:$M,3,0),"")</f>
        <v/>
      </c>
      <c r="AC1410" s="26">
        <f t="shared" si="44"/>
        <v>0</v>
      </c>
      <c r="AD1410" s="26">
        <f t="shared" si="45"/>
        <v>0</v>
      </c>
    </row>
    <row r="1411" spans="2:30" ht="15" customHeight="1">
      <c r="B1411" s="3" t="str">
        <f>IFERROR(VLOOKUP(C1411,Master!$J:$K,2,0),"")</f>
        <v/>
      </c>
      <c r="D1411" s="4" t="str">
        <f>IFERROR(VLOOKUP(E1411,Master!$J:$K,2,0),"")</f>
        <v/>
      </c>
      <c r="F1411" s="4" t="str">
        <f>IFERROR(VLOOKUP(G1411,Master!B:C,2,0),"")</f>
        <v/>
      </c>
      <c r="I1411" s="3" t="str">
        <f>IFERROR(VLOOKUP(E1411,Master!$J:$M,4,0),"")</f>
        <v/>
      </c>
      <c r="J1411" s="3" t="str">
        <f>IFERROR(VLOOKUP($E1411,Master!$J:$M,3,0),"")</f>
        <v/>
      </c>
      <c r="AC1411" s="26">
        <f t="shared" si="44"/>
        <v>0</v>
      </c>
      <c r="AD1411" s="26">
        <f t="shared" si="45"/>
        <v>0</v>
      </c>
    </row>
    <row r="1412" spans="2:30" ht="15" customHeight="1">
      <c r="B1412" s="3" t="str">
        <f>IFERROR(VLOOKUP(C1412,Master!$J:$K,2,0),"")</f>
        <v/>
      </c>
      <c r="D1412" s="4" t="str">
        <f>IFERROR(VLOOKUP(E1412,Master!$J:$K,2,0),"")</f>
        <v/>
      </c>
      <c r="F1412" s="4" t="str">
        <f>IFERROR(VLOOKUP(G1412,Master!B:C,2,0),"")</f>
        <v/>
      </c>
      <c r="I1412" s="3" t="str">
        <f>IFERROR(VLOOKUP(E1412,Master!$J:$M,4,0),"")</f>
        <v/>
      </c>
      <c r="J1412" s="3" t="str">
        <f>IFERROR(VLOOKUP($E1412,Master!$J:$M,3,0),"")</f>
        <v/>
      </c>
      <c r="AC1412" s="26">
        <f t="shared" si="44"/>
        <v>0</v>
      </c>
      <c r="AD1412" s="26">
        <f t="shared" si="45"/>
        <v>0</v>
      </c>
    </row>
    <row r="1413" spans="2:30" ht="15" customHeight="1">
      <c r="B1413" s="3" t="str">
        <f>IFERROR(VLOOKUP(C1413,Master!$J:$K,2,0),"")</f>
        <v/>
      </c>
      <c r="D1413" s="4" t="str">
        <f>IFERROR(VLOOKUP(E1413,Master!$J:$K,2,0),"")</f>
        <v/>
      </c>
      <c r="F1413" s="4" t="str">
        <f>IFERROR(VLOOKUP(G1413,Master!B:C,2,0),"")</f>
        <v/>
      </c>
      <c r="I1413" s="3" t="str">
        <f>IFERROR(VLOOKUP(E1413,Master!$J:$M,4,0),"")</f>
        <v/>
      </c>
      <c r="J1413" s="3" t="str">
        <f>IFERROR(VLOOKUP($E1413,Master!$J:$M,3,0),"")</f>
        <v/>
      </c>
      <c r="AC1413" s="26">
        <f t="shared" si="44"/>
        <v>0</v>
      </c>
      <c r="AD1413" s="26">
        <f t="shared" si="45"/>
        <v>0</v>
      </c>
    </row>
    <row r="1414" spans="2:30" ht="15" customHeight="1">
      <c r="B1414" s="3" t="str">
        <f>IFERROR(VLOOKUP(C1414,Master!$J:$K,2,0),"")</f>
        <v/>
      </c>
      <c r="D1414" s="4" t="str">
        <f>IFERROR(VLOOKUP(E1414,Master!$J:$K,2,0),"")</f>
        <v/>
      </c>
      <c r="F1414" s="4" t="str">
        <f>IFERROR(VLOOKUP(G1414,Master!B:C,2,0),"")</f>
        <v/>
      </c>
      <c r="I1414" s="3" t="str">
        <f>IFERROR(VLOOKUP(E1414,Master!$J:$M,4,0),"")</f>
        <v/>
      </c>
      <c r="J1414" s="3" t="str">
        <f>IFERROR(VLOOKUP($E1414,Master!$J:$M,3,0),"")</f>
        <v/>
      </c>
      <c r="AC1414" s="26">
        <f t="shared" si="44"/>
        <v>0</v>
      </c>
      <c r="AD1414" s="26">
        <f t="shared" si="45"/>
        <v>0</v>
      </c>
    </row>
    <row r="1415" spans="2:30" ht="15" customHeight="1">
      <c r="B1415" s="3" t="str">
        <f>IFERROR(VLOOKUP(C1415,Master!$J:$K,2,0),"")</f>
        <v/>
      </c>
      <c r="D1415" s="4" t="str">
        <f>IFERROR(VLOOKUP(E1415,Master!$J:$K,2,0),"")</f>
        <v/>
      </c>
      <c r="F1415" s="4" t="str">
        <f>IFERROR(VLOOKUP(G1415,Master!B:C,2,0),"")</f>
        <v/>
      </c>
      <c r="I1415" s="3" t="str">
        <f>IFERROR(VLOOKUP(E1415,Master!$J:$M,4,0),"")</f>
        <v/>
      </c>
      <c r="J1415" s="3" t="str">
        <f>IFERROR(VLOOKUP($E1415,Master!$J:$M,3,0),"")</f>
        <v/>
      </c>
      <c r="AC1415" s="26">
        <f t="shared" si="44"/>
        <v>0</v>
      </c>
      <c r="AD1415" s="26">
        <f t="shared" si="45"/>
        <v>0</v>
      </c>
    </row>
    <row r="1416" spans="2:30" ht="15" customHeight="1">
      <c r="B1416" s="3" t="str">
        <f>IFERROR(VLOOKUP(C1416,Master!$J:$K,2,0),"")</f>
        <v/>
      </c>
      <c r="D1416" s="4" t="str">
        <f>IFERROR(VLOOKUP(E1416,Master!$J:$K,2,0),"")</f>
        <v/>
      </c>
      <c r="F1416" s="4" t="str">
        <f>IFERROR(VLOOKUP(G1416,Master!B:C,2,0),"")</f>
        <v/>
      </c>
      <c r="I1416" s="3" t="str">
        <f>IFERROR(VLOOKUP(E1416,Master!$J:$M,4,0),"")</f>
        <v/>
      </c>
      <c r="J1416" s="3" t="str">
        <f>IFERROR(VLOOKUP($E1416,Master!$J:$M,3,0),"")</f>
        <v/>
      </c>
      <c r="AC1416" s="26">
        <f t="shared" si="44"/>
        <v>0</v>
      </c>
      <c r="AD1416" s="26">
        <f t="shared" si="45"/>
        <v>0</v>
      </c>
    </row>
    <row r="1417" spans="2:30" ht="15" customHeight="1">
      <c r="B1417" s="3" t="str">
        <f>IFERROR(VLOOKUP(C1417,Master!$J:$K,2,0),"")</f>
        <v/>
      </c>
      <c r="D1417" s="4" t="str">
        <f>IFERROR(VLOOKUP(E1417,Master!$J:$K,2,0),"")</f>
        <v/>
      </c>
      <c r="F1417" s="4" t="str">
        <f>IFERROR(VLOOKUP(G1417,Master!B:C,2,0),"")</f>
        <v/>
      </c>
      <c r="I1417" s="3" t="str">
        <f>IFERROR(VLOOKUP(E1417,Master!$J:$M,4,0),"")</f>
        <v/>
      </c>
      <c r="J1417" s="3" t="str">
        <f>IFERROR(VLOOKUP($E1417,Master!$J:$M,3,0),"")</f>
        <v/>
      </c>
      <c r="AC1417" s="26">
        <f t="shared" si="44"/>
        <v>0</v>
      </c>
      <c r="AD1417" s="26">
        <f t="shared" si="45"/>
        <v>0</v>
      </c>
    </row>
    <row r="1418" spans="2:30" ht="15" customHeight="1">
      <c r="B1418" s="3" t="str">
        <f>IFERROR(VLOOKUP(C1418,Master!$J:$K,2,0),"")</f>
        <v/>
      </c>
      <c r="D1418" s="4" t="str">
        <f>IFERROR(VLOOKUP(E1418,Master!$J:$K,2,0),"")</f>
        <v/>
      </c>
      <c r="F1418" s="4" t="str">
        <f>IFERROR(VLOOKUP(G1418,Master!B:C,2,0),"")</f>
        <v/>
      </c>
      <c r="I1418" s="3" t="str">
        <f>IFERROR(VLOOKUP(E1418,Master!$J:$M,4,0),"")</f>
        <v/>
      </c>
      <c r="J1418" s="3" t="str">
        <f>IFERROR(VLOOKUP($E1418,Master!$J:$M,3,0),"")</f>
        <v/>
      </c>
      <c r="AC1418" s="26">
        <f t="shared" si="44"/>
        <v>0</v>
      </c>
      <c r="AD1418" s="26">
        <f t="shared" si="45"/>
        <v>0</v>
      </c>
    </row>
    <row r="1419" spans="2:30" ht="15" customHeight="1">
      <c r="B1419" s="3" t="str">
        <f>IFERROR(VLOOKUP(C1419,Master!$J:$K,2,0),"")</f>
        <v/>
      </c>
      <c r="D1419" s="4" t="str">
        <f>IFERROR(VLOOKUP(E1419,Master!$J:$K,2,0),"")</f>
        <v/>
      </c>
      <c r="F1419" s="4" t="str">
        <f>IFERROR(VLOOKUP(G1419,Master!B:C,2,0),"")</f>
        <v/>
      </c>
      <c r="I1419" s="3" t="str">
        <f>IFERROR(VLOOKUP(E1419,Master!$J:$M,4,0),"")</f>
        <v/>
      </c>
      <c r="J1419" s="3" t="str">
        <f>IFERROR(VLOOKUP($E1419,Master!$J:$M,3,0),"")</f>
        <v/>
      </c>
      <c r="AC1419" s="26">
        <f t="shared" si="44"/>
        <v>0</v>
      </c>
      <c r="AD1419" s="26">
        <f t="shared" si="45"/>
        <v>0</v>
      </c>
    </row>
    <row r="1420" spans="2:30" ht="15" customHeight="1">
      <c r="B1420" s="3" t="str">
        <f>IFERROR(VLOOKUP(C1420,Master!$J:$K,2,0),"")</f>
        <v/>
      </c>
      <c r="D1420" s="4" t="str">
        <f>IFERROR(VLOOKUP(E1420,Master!$J:$K,2,0),"")</f>
        <v/>
      </c>
      <c r="F1420" s="4" t="str">
        <f>IFERROR(VLOOKUP(G1420,Master!B:C,2,0),"")</f>
        <v/>
      </c>
      <c r="I1420" s="3" t="str">
        <f>IFERROR(VLOOKUP(E1420,Master!$J:$M,4,0),"")</f>
        <v/>
      </c>
      <c r="J1420" s="3" t="str">
        <f>IFERROR(VLOOKUP($E1420,Master!$J:$M,3,0),"")</f>
        <v/>
      </c>
      <c r="AC1420" s="26">
        <f t="shared" si="44"/>
        <v>0</v>
      </c>
      <c r="AD1420" s="26">
        <f t="shared" si="45"/>
        <v>0</v>
      </c>
    </row>
    <row r="1421" spans="2:30" ht="15" customHeight="1">
      <c r="B1421" s="3" t="str">
        <f>IFERROR(VLOOKUP(C1421,Master!$J:$K,2,0),"")</f>
        <v/>
      </c>
      <c r="D1421" s="4" t="str">
        <f>IFERROR(VLOOKUP(E1421,Master!$J:$K,2,0),"")</f>
        <v/>
      </c>
      <c r="F1421" s="4" t="str">
        <f>IFERROR(VLOOKUP(G1421,Master!B:C,2,0),"")</f>
        <v/>
      </c>
      <c r="I1421" s="3" t="str">
        <f>IFERROR(VLOOKUP(E1421,Master!$J:$M,4,0),"")</f>
        <v/>
      </c>
      <c r="J1421" s="3" t="str">
        <f>IFERROR(VLOOKUP($E1421,Master!$J:$M,3,0),"")</f>
        <v/>
      </c>
      <c r="AC1421" s="26">
        <f t="shared" si="44"/>
        <v>0</v>
      </c>
      <c r="AD1421" s="26">
        <f t="shared" si="45"/>
        <v>0</v>
      </c>
    </row>
    <row r="1422" spans="2:30" ht="15" customHeight="1">
      <c r="B1422" s="3" t="str">
        <f>IFERROR(VLOOKUP(C1422,Master!$J:$K,2,0),"")</f>
        <v/>
      </c>
      <c r="D1422" s="4" t="str">
        <f>IFERROR(VLOOKUP(E1422,Master!$J:$K,2,0),"")</f>
        <v/>
      </c>
      <c r="F1422" s="4" t="str">
        <f>IFERROR(VLOOKUP(G1422,Master!B:C,2,0),"")</f>
        <v/>
      </c>
      <c r="I1422" s="3" t="str">
        <f>IFERROR(VLOOKUP(E1422,Master!$J:$M,4,0),"")</f>
        <v/>
      </c>
      <c r="J1422" s="3" t="str">
        <f>IFERROR(VLOOKUP($E1422,Master!$J:$M,3,0),"")</f>
        <v/>
      </c>
      <c r="AC1422" s="26">
        <f t="shared" si="44"/>
        <v>0</v>
      </c>
      <c r="AD1422" s="26">
        <f t="shared" si="45"/>
        <v>0</v>
      </c>
    </row>
    <row r="1423" spans="2:30" ht="15" customHeight="1">
      <c r="B1423" s="3" t="str">
        <f>IFERROR(VLOOKUP(C1423,Master!$J:$K,2,0),"")</f>
        <v/>
      </c>
      <c r="D1423" s="4" t="str">
        <f>IFERROR(VLOOKUP(E1423,Master!$J:$K,2,0),"")</f>
        <v/>
      </c>
      <c r="F1423" s="4" t="str">
        <f>IFERROR(VLOOKUP(G1423,Master!B:C,2,0),"")</f>
        <v/>
      </c>
      <c r="I1423" s="3" t="str">
        <f>IFERROR(VLOOKUP(E1423,Master!$J:$M,4,0),"")</f>
        <v/>
      </c>
      <c r="J1423" s="3" t="str">
        <f>IFERROR(VLOOKUP($E1423,Master!$J:$M,3,0),"")</f>
        <v/>
      </c>
      <c r="AC1423" s="26">
        <f t="shared" si="44"/>
        <v>0</v>
      </c>
      <c r="AD1423" s="26">
        <f t="shared" si="45"/>
        <v>0</v>
      </c>
    </row>
    <row r="1424" spans="2:30" ht="15" customHeight="1">
      <c r="B1424" s="3" t="str">
        <f>IFERROR(VLOOKUP(C1424,Master!$J:$K,2,0),"")</f>
        <v/>
      </c>
      <c r="D1424" s="4" t="str">
        <f>IFERROR(VLOOKUP(E1424,Master!$J:$K,2,0),"")</f>
        <v/>
      </c>
      <c r="F1424" s="4" t="str">
        <f>IFERROR(VLOOKUP(G1424,Master!B:C,2,0),"")</f>
        <v/>
      </c>
      <c r="I1424" s="3" t="str">
        <f>IFERROR(VLOOKUP(E1424,Master!$J:$M,4,0),"")</f>
        <v/>
      </c>
      <c r="J1424" s="3" t="str">
        <f>IFERROR(VLOOKUP($E1424,Master!$J:$M,3,0),"")</f>
        <v/>
      </c>
      <c r="AC1424" s="26">
        <f t="shared" si="44"/>
        <v>0</v>
      </c>
      <c r="AD1424" s="26">
        <f t="shared" si="45"/>
        <v>0</v>
      </c>
    </row>
    <row r="1425" spans="2:30" ht="15" customHeight="1">
      <c r="B1425" s="3" t="str">
        <f>IFERROR(VLOOKUP(C1425,Master!$J:$K,2,0),"")</f>
        <v/>
      </c>
      <c r="D1425" s="4" t="str">
        <f>IFERROR(VLOOKUP(E1425,Master!$J:$K,2,0),"")</f>
        <v/>
      </c>
      <c r="F1425" s="4" t="str">
        <f>IFERROR(VLOOKUP(G1425,Master!B:C,2,0),"")</f>
        <v/>
      </c>
      <c r="I1425" s="3" t="str">
        <f>IFERROR(VLOOKUP(E1425,Master!$J:$M,4,0),"")</f>
        <v/>
      </c>
      <c r="J1425" s="3" t="str">
        <f>IFERROR(VLOOKUP($E1425,Master!$J:$M,3,0),"")</f>
        <v/>
      </c>
      <c r="AC1425" s="26">
        <f t="shared" si="44"/>
        <v>0</v>
      </c>
      <c r="AD1425" s="26">
        <f t="shared" si="45"/>
        <v>0</v>
      </c>
    </row>
    <row r="1426" spans="2:30" ht="15" customHeight="1">
      <c r="B1426" s="3" t="str">
        <f>IFERROR(VLOOKUP(C1426,Master!$J:$K,2,0),"")</f>
        <v/>
      </c>
      <c r="D1426" s="4" t="str">
        <f>IFERROR(VLOOKUP(E1426,Master!$J:$K,2,0),"")</f>
        <v/>
      </c>
      <c r="F1426" s="4" t="str">
        <f>IFERROR(VLOOKUP(G1426,Master!B:C,2,0),"")</f>
        <v/>
      </c>
      <c r="I1426" s="3" t="str">
        <f>IFERROR(VLOOKUP(E1426,Master!$J:$M,4,0),"")</f>
        <v/>
      </c>
      <c r="J1426" s="3" t="str">
        <f>IFERROR(VLOOKUP($E1426,Master!$J:$M,3,0),"")</f>
        <v/>
      </c>
      <c r="AC1426" s="26">
        <f t="shared" si="44"/>
        <v>0</v>
      </c>
      <c r="AD1426" s="26">
        <f t="shared" si="45"/>
        <v>0</v>
      </c>
    </row>
    <row r="1427" spans="2:30" ht="15" customHeight="1">
      <c r="B1427" s="3" t="str">
        <f>IFERROR(VLOOKUP(C1427,Master!$J:$K,2,0),"")</f>
        <v/>
      </c>
      <c r="D1427" s="4" t="str">
        <f>IFERROR(VLOOKUP(E1427,Master!$J:$K,2,0),"")</f>
        <v/>
      </c>
      <c r="F1427" s="4" t="str">
        <f>IFERROR(VLOOKUP(G1427,Master!B:C,2,0),"")</f>
        <v/>
      </c>
      <c r="I1427" s="3" t="str">
        <f>IFERROR(VLOOKUP(E1427,Master!$J:$M,4,0),"")</f>
        <v/>
      </c>
      <c r="J1427" s="3" t="str">
        <f>IFERROR(VLOOKUP($E1427,Master!$J:$M,3,0),"")</f>
        <v/>
      </c>
      <c r="AC1427" s="26">
        <f t="shared" si="44"/>
        <v>0</v>
      </c>
      <c r="AD1427" s="26">
        <f t="shared" si="45"/>
        <v>0</v>
      </c>
    </row>
    <row r="1428" spans="2:30" ht="15" customHeight="1">
      <c r="B1428" s="3" t="str">
        <f>IFERROR(VLOOKUP(C1428,Master!$J:$K,2,0),"")</f>
        <v/>
      </c>
      <c r="D1428" s="4" t="str">
        <f>IFERROR(VLOOKUP(E1428,Master!$J:$K,2,0),"")</f>
        <v/>
      </c>
      <c r="F1428" s="4" t="str">
        <f>IFERROR(VLOOKUP(G1428,Master!B:C,2,0),"")</f>
        <v/>
      </c>
      <c r="I1428" s="3" t="str">
        <f>IFERROR(VLOOKUP(E1428,Master!$J:$M,4,0),"")</f>
        <v/>
      </c>
      <c r="J1428" s="3" t="str">
        <f>IFERROR(VLOOKUP($E1428,Master!$J:$M,3,0),"")</f>
        <v/>
      </c>
      <c r="AC1428" s="26">
        <f t="shared" si="44"/>
        <v>0</v>
      </c>
      <c r="AD1428" s="26">
        <f t="shared" si="45"/>
        <v>0</v>
      </c>
    </row>
    <row r="1429" spans="2:30" ht="15" customHeight="1">
      <c r="B1429" s="3" t="str">
        <f>IFERROR(VLOOKUP(C1429,Master!$J:$K,2,0),"")</f>
        <v/>
      </c>
      <c r="D1429" s="4" t="str">
        <f>IFERROR(VLOOKUP(E1429,Master!$J:$K,2,0),"")</f>
        <v/>
      </c>
      <c r="F1429" s="4" t="str">
        <f>IFERROR(VLOOKUP(G1429,Master!B:C,2,0),"")</f>
        <v/>
      </c>
      <c r="I1429" s="3" t="str">
        <f>IFERROR(VLOOKUP(E1429,Master!$J:$M,4,0),"")</f>
        <v/>
      </c>
      <c r="J1429" s="3" t="str">
        <f>IFERROR(VLOOKUP($E1429,Master!$J:$M,3,0),"")</f>
        <v/>
      </c>
      <c r="AC1429" s="26">
        <f t="shared" si="44"/>
        <v>0</v>
      </c>
      <c r="AD1429" s="26">
        <f t="shared" si="45"/>
        <v>0</v>
      </c>
    </row>
    <row r="1430" spans="2:30" ht="15" customHeight="1">
      <c r="B1430" s="3" t="str">
        <f>IFERROR(VLOOKUP(C1430,Master!$J:$K,2,0),"")</f>
        <v/>
      </c>
      <c r="D1430" s="4" t="str">
        <f>IFERROR(VLOOKUP(E1430,Master!$J:$K,2,0),"")</f>
        <v/>
      </c>
      <c r="F1430" s="4" t="str">
        <f>IFERROR(VLOOKUP(G1430,Master!B:C,2,0),"")</f>
        <v/>
      </c>
      <c r="I1430" s="3" t="str">
        <f>IFERROR(VLOOKUP(E1430,Master!$J:$M,4,0),"")</f>
        <v/>
      </c>
      <c r="J1430" s="3" t="str">
        <f>IFERROR(VLOOKUP($E1430,Master!$J:$M,3,0),"")</f>
        <v/>
      </c>
      <c r="AC1430" s="26">
        <f t="shared" si="44"/>
        <v>0</v>
      </c>
      <c r="AD1430" s="26">
        <f t="shared" si="45"/>
        <v>0</v>
      </c>
    </row>
    <row r="1431" spans="2:30" ht="15" customHeight="1">
      <c r="B1431" s="3" t="str">
        <f>IFERROR(VLOOKUP(C1431,Master!$J:$K,2,0),"")</f>
        <v/>
      </c>
      <c r="D1431" s="4" t="str">
        <f>IFERROR(VLOOKUP(E1431,Master!$J:$K,2,0),"")</f>
        <v/>
      </c>
      <c r="F1431" s="4" t="str">
        <f>IFERROR(VLOOKUP(G1431,Master!B:C,2,0),"")</f>
        <v/>
      </c>
      <c r="I1431" s="3" t="str">
        <f>IFERROR(VLOOKUP(E1431,Master!$J:$M,4,0),"")</f>
        <v/>
      </c>
      <c r="J1431" s="3" t="str">
        <f>IFERROR(VLOOKUP($E1431,Master!$J:$M,3,0),"")</f>
        <v/>
      </c>
      <c r="AC1431" s="26">
        <f t="shared" si="44"/>
        <v>0</v>
      </c>
      <c r="AD1431" s="26">
        <f t="shared" si="45"/>
        <v>0</v>
      </c>
    </row>
    <row r="1432" spans="2:30" ht="15" customHeight="1">
      <c r="B1432" s="3" t="str">
        <f>IFERROR(VLOOKUP(C1432,Master!$J:$K,2,0),"")</f>
        <v/>
      </c>
      <c r="D1432" s="4" t="str">
        <f>IFERROR(VLOOKUP(E1432,Master!$J:$K,2,0),"")</f>
        <v/>
      </c>
      <c r="F1432" s="4" t="str">
        <f>IFERROR(VLOOKUP(G1432,Master!B:C,2,0),"")</f>
        <v/>
      </c>
      <c r="I1432" s="3" t="str">
        <f>IFERROR(VLOOKUP(E1432,Master!$J:$M,4,0),"")</f>
        <v/>
      </c>
      <c r="J1432" s="3" t="str">
        <f>IFERROR(VLOOKUP($E1432,Master!$J:$M,3,0),"")</f>
        <v/>
      </c>
      <c r="AC1432" s="26">
        <f t="shared" si="44"/>
        <v>0</v>
      </c>
      <c r="AD1432" s="26">
        <f t="shared" si="45"/>
        <v>0</v>
      </c>
    </row>
    <row r="1433" spans="2:30" ht="15" customHeight="1">
      <c r="B1433" s="3" t="str">
        <f>IFERROR(VLOOKUP(C1433,Master!$J:$K,2,0),"")</f>
        <v/>
      </c>
      <c r="D1433" s="4" t="str">
        <f>IFERROR(VLOOKUP(E1433,Master!$J:$K,2,0),"")</f>
        <v/>
      </c>
      <c r="F1433" s="4" t="str">
        <f>IFERROR(VLOOKUP(G1433,Master!B:C,2,0),"")</f>
        <v/>
      </c>
      <c r="I1433" s="3" t="str">
        <f>IFERROR(VLOOKUP(E1433,Master!$J:$M,4,0),"")</f>
        <v/>
      </c>
      <c r="J1433" s="3" t="str">
        <f>IFERROR(VLOOKUP($E1433,Master!$J:$M,3,0),"")</f>
        <v/>
      </c>
      <c r="AC1433" s="26">
        <f t="shared" si="44"/>
        <v>0</v>
      </c>
      <c r="AD1433" s="26">
        <f t="shared" si="45"/>
        <v>0</v>
      </c>
    </row>
    <row r="1434" spans="2:30" ht="15" customHeight="1">
      <c r="B1434" s="3" t="str">
        <f>IFERROR(VLOOKUP(C1434,Master!$J:$K,2,0),"")</f>
        <v/>
      </c>
      <c r="D1434" s="4" t="str">
        <f>IFERROR(VLOOKUP(E1434,Master!$J:$K,2,0),"")</f>
        <v/>
      </c>
      <c r="F1434" s="4" t="str">
        <f>IFERROR(VLOOKUP(G1434,Master!B:C,2,0),"")</f>
        <v/>
      </c>
      <c r="I1434" s="3" t="str">
        <f>IFERROR(VLOOKUP(E1434,Master!$J:$M,4,0),"")</f>
        <v/>
      </c>
      <c r="J1434" s="3" t="str">
        <f>IFERROR(VLOOKUP($E1434,Master!$J:$M,3,0),"")</f>
        <v/>
      </c>
      <c r="AC1434" s="26">
        <f t="shared" si="44"/>
        <v>0</v>
      </c>
      <c r="AD1434" s="26">
        <f t="shared" si="45"/>
        <v>0</v>
      </c>
    </row>
    <row r="1435" spans="2:30" ht="15" customHeight="1">
      <c r="B1435" s="3" t="str">
        <f>IFERROR(VLOOKUP(C1435,Master!$J:$K,2,0),"")</f>
        <v/>
      </c>
      <c r="D1435" s="4" t="str">
        <f>IFERROR(VLOOKUP(E1435,Master!$J:$K,2,0),"")</f>
        <v/>
      </c>
      <c r="F1435" s="4" t="str">
        <f>IFERROR(VLOOKUP(G1435,Master!B:C,2,0),"")</f>
        <v/>
      </c>
      <c r="I1435" s="3" t="str">
        <f>IFERROR(VLOOKUP(E1435,Master!$J:$M,4,0),"")</f>
        <v/>
      </c>
      <c r="J1435" s="3" t="str">
        <f>IFERROR(VLOOKUP($E1435,Master!$J:$M,3,0),"")</f>
        <v/>
      </c>
      <c r="AC1435" s="26">
        <f t="shared" si="44"/>
        <v>0</v>
      </c>
      <c r="AD1435" s="26">
        <f t="shared" si="45"/>
        <v>0</v>
      </c>
    </row>
    <row r="1436" spans="2:30" ht="15" customHeight="1">
      <c r="B1436" s="3" t="str">
        <f>IFERROR(VLOOKUP(C1436,Master!$J:$K,2,0),"")</f>
        <v/>
      </c>
      <c r="D1436" s="4" t="str">
        <f>IFERROR(VLOOKUP(E1436,Master!$J:$K,2,0),"")</f>
        <v/>
      </c>
      <c r="F1436" s="4" t="str">
        <f>IFERROR(VLOOKUP(G1436,Master!B:C,2,0),"")</f>
        <v/>
      </c>
      <c r="I1436" s="3" t="str">
        <f>IFERROR(VLOOKUP(E1436,Master!$J:$M,4,0),"")</f>
        <v/>
      </c>
      <c r="J1436" s="3" t="str">
        <f>IFERROR(VLOOKUP($E1436,Master!$J:$M,3,0),"")</f>
        <v/>
      </c>
      <c r="AC1436" s="26">
        <f t="shared" si="44"/>
        <v>0</v>
      </c>
      <c r="AD1436" s="26">
        <f t="shared" si="45"/>
        <v>0</v>
      </c>
    </row>
    <row r="1437" spans="2:30" ht="15" customHeight="1">
      <c r="B1437" s="3" t="str">
        <f>IFERROR(VLOOKUP(C1437,Master!$J:$K,2,0),"")</f>
        <v/>
      </c>
      <c r="D1437" s="4" t="str">
        <f>IFERROR(VLOOKUP(E1437,Master!$J:$K,2,0),"")</f>
        <v/>
      </c>
      <c r="F1437" s="4" t="str">
        <f>IFERROR(VLOOKUP(G1437,Master!B:C,2,0),"")</f>
        <v/>
      </c>
      <c r="I1437" s="3" t="str">
        <f>IFERROR(VLOOKUP(E1437,Master!$J:$M,4,0),"")</f>
        <v/>
      </c>
      <c r="J1437" s="3" t="str">
        <f>IFERROR(VLOOKUP($E1437,Master!$J:$M,3,0),"")</f>
        <v/>
      </c>
      <c r="AC1437" s="26">
        <f t="shared" si="44"/>
        <v>0</v>
      </c>
      <c r="AD1437" s="26">
        <f t="shared" si="45"/>
        <v>0</v>
      </c>
    </row>
    <row r="1438" spans="2:30" ht="15" customHeight="1">
      <c r="B1438" s="3" t="str">
        <f>IFERROR(VLOOKUP(C1438,Master!$J:$K,2,0),"")</f>
        <v/>
      </c>
      <c r="D1438" s="4" t="str">
        <f>IFERROR(VLOOKUP(E1438,Master!$J:$K,2,0),"")</f>
        <v/>
      </c>
      <c r="F1438" s="4" t="str">
        <f>IFERROR(VLOOKUP(G1438,Master!B:C,2,0),"")</f>
        <v/>
      </c>
      <c r="I1438" s="3" t="str">
        <f>IFERROR(VLOOKUP(E1438,Master!$J:$M,4,0),"")</f>
        <v/>
      </c>
      <c r="J1438" s="3" t="str">
        <f>IFERROR(VLOOKUP($E1438,Master!$J:$M,3,0),"")</f>
        <v/>
      </c>
      <c r="AC1438" s="26">
        <f t="shared" si="44"/>
        <v>0</v>
      </c>
      <c r="AD1438" s="26">
        <f t="shared" si="45"/>
        <v>0</v>
      </c>
    </row>
    <row r="1439" spans="2:30" ht="15" customHeight="1">
      <c r="B1439" s="3" t="str">
        <f>IFERROR(VLOOKUP(C1439,Master!$J:$K,2,0),"")</f>
        <v/>
      </c>
      <c r="D1439" s="4" t="str">
        <f>IFERROR(VLOOKUP(E1439,Master!$J:$K,2,0),"")</f>
        <v/>
      </c>
      <c r="F1439" s="4" t="str">
        <f>IFERROR(VLOOKUP(G1439,Master!B:C,2,0),"")</f>
        <v/>
      </c>
      <c r="I1439" s="3" t="str">
        <f>IFERROR(VLOOKUP(E1439,Master!$J:$M,4,0),"")</f>
        <v/>
      </c>
      <c r="J1439" s="3" t="str">
        <f>IFERROR(VLOOKUP($E1439,Master!$J:$M,3,0),"")</f>
        <v/>
      </c>
      <c r="AC1439" s="26">
        <f t="shared" si="44"/>
        <v>0</v>
      </c>
      <c r="AD1439" s="26">
        <f t="shared" si="45"/>
        <v>0</v>
      </c>
    </row>
    <row r="1440" spans="2:30" ht="15" customHeight="1">
      <c r="B1440" s="3" t="str">
        <f>IFERROR(VLOOKUP(C1440,Master!$J:$K,2,0),"")</f>
        <v/>
      </c>
      <c r="D1440" s="4" t="str">
        <f>IFERROR(VLOOKUP(E1440,Master!$J:$K,2,0),"")</f>
        <v/>
      </c>
      <c r="F1440" s="4" t="str">
        <f>IFERROR(VLOOKUP(G1440,Master!B:C,2,0),"")</f>
        <v/>
      </c>
      <c r="I1440" s="3" t="str">
        <f>IFERROR(VLOOKUP(E1440,Master!$J:$M,4,0),"")</f>
        <v/>
      </c>
      <c r="J1440" s="3" t="str">
        <f>IFERROR(VLOOKUP($E1440,Master!$J:$M,3,0),"")</f>
        <v/>
      </c>
      <c r="AC1440" s="26">
        <f t="shared" si="44"/>
        <v>0</v>
      </c>
      <c r="AD1440" s="26">
        <f t="shared" si="45"/>
        <v>0</v>
      </c>
    </row>
    <row r="1441" spans="2:30" ht="15" customHeight="1">
      <c r="B1441" s="3" t="str">
        <f>IFERROR(VLOOKUP(C1441,Master!$J:$K,2,0),"")</f>
        <v/>
      </c>
      <c r="D1441" s="4" t="str">
        <f>IFERROR(VLOOKUP(E1441,Master!$J:$K,2,0),"")</f>
        <v/>
      </c>
      <c r="F1441" s="4" t="str">
        <f>IFERROR(VLOOKUP(G1441,Master!B:C,2,0),"")</f>
        <v/>
      </c>
      <c r="I1441" s="3" t="str">
        <f>IFERROR(VLOOKUP(E1441,Master!$J:$M,4,0),"")</f>
        <v/>
      </c>
      <c r="J1441" s="3" t="str">
        <f>IFERROR(VLOOKUP($E1441,Master!$J:$M,3,0),"")</f>
        <v/>
      </c>
      <c r="AC1441" s="26">
        <f t="shared" si="44"/>
        <v>0</v>
      </c>
      <c r="AD1441" s="26">
        <f t="shared" si="45"/>
        <v>0</v>
      </c>
    </row>
    <row r="1442" spans="2:30" ht="15" customHeight="1">
      <c r="B1442" s="3" t="str">
        <f>IFERROR(VLOOKUP(C1442,Master!$J:$K,2,0),"")</f>
        <v/>
      </c>
      <c r="D1442" s="4" t="str">
        <f>IFERROR(VLOOKUP(E1442,Master!$J:$K,2,0),"")</f>
        <v/>
      </c>
      <c r="F1442" s="4" t="str">
        <f>IFERROR(VLOOKUP(G1442,Master!B:C,2,0),"")</f>
        <v/>
      </c>
      <c r="I1442" s="3" t="str">
        <f>IFERROR(VLOOKUP(E1442,Master!$J:$M,4,0),"")</f>
        <v/>
      </c>
      <c r="J1442" s="3" t="str">
        <f>IFERROR(VLOOKUP($E1442,Master!$J:$M,3,0),"")</f>
        <v/>
      </c>
      <c r="AC1442" s="26">
        <f t="shared" si="44"/>
        <v>0</v>
      </c>
      <c r="AD1442" s="26">
        <f t="shared" si="45"/>
        <v>0</v>
      </c>
    </row>
    <row r="1443" spans="2:30" ht="15" customHeight="1">
      <c r="B1443" s="3" t="str">
        <f>IFERROR(VLOOKUP(C1443,Master!$J:$K,2,0),"")</f>
        <v/>
      </c>
      <c r="D1443" s="4" t="str">
        <f>IFERROR(VLOOKUP(E1443,Master!$J:$K,2,0),"")</f>
        <v/>
      </c>
      <c r="F1443" s="4" t="str">
        <f>IFERROR(VLOOKUP(G1443,Master!B:C,2,0),"")</f>
        <v/>
      </c>
      <c r="I1443" s="3" t="str">
        <f>IFERROR(VLOOKUP(E1443,Master!$J:$M,4,0),"")</f>
        <v/>
      </c>
      <c r="J1443" s="3" t="str">
        <f>IFERROR(VLOOKUP($E1443,Master!$J:$M,3,0),"")</f>
        <v/>
      </c>
      <c r="AC1443" s="26">
        <f t="shared" si="44"/>
        <v>0</v>
      </c>
      <c r="AD1443" s="26">
        <f t="shared" si="45"/>
        <v>0</v>
      </c>
    </row>
    <row r="1444" spans="2:30" ht="15" customHeight="1">
      <c r="B1444" s="3" t="str">
        <f>IFERROR(VLOOKUP(C1444,Master!$J:$K,2,0),"")</f>
        <v/>
      </c>
      <c r="D1444" s="4" t="str">
        <f>IFERROR(VLOOKUP(E1444,Master!$J:$K,2,0),"")</f>
        <v/>
      </c>
      <c r="F1444" s="4" t="str">
        <f>IFERROR(VLOOKUP(G1444,Master!B:C,2,0),"")</f>
        <v/>
      </c>
      <c r="I1444" s="3" t="str">
        <f>IFERROR(VLOOKUP(E1444,Master!$J:$M,4,0),"")</f>
        <v/>
      </c>
      <c r="J1444" s="3" t="str">
        <f>IFERROR(VLOOKUP($E1444,Master!$J:$M,3,0),"")</f>
        <v/>
      </c>
      <c r="AC1444" s="26">
        <f t="shared" si="44"/>
        <v>0</v>
      </c>
      <c r="AD1444" s="26">
        <f t="shared" si="45"/>
        <v>0</v>
      </c>
    </row>
    <row r="1445" spans="2:30" ht="15" customHeight="1">
      <c r="B1445" s="3" t="str">
        <f>IFERROR(VLOOKUP(C1445,Master!$J:$K,2,0),"")</f>
        <v/>
      </c>
      <c r="D1445" s="4" t="str">
        <f>IFERROR(VLOOKUP(E1445,Master!$J:$K,2,0),"")</f>
        <v/>
      </c>
      <c r="F1445" s="4" t="str">
        <f>IFERROR(VLOOKUP(G1445,Master!B:C,2,0),"")</f>
        <v/>
      </c>
      <c r="I1445" s="3" t="str">
        <f>IFERROR(VLOOKUP(E1445,Master!$J:$M,4,0),"")</f>
        <v/>
      </c>
      <c r="J1445" s="3" t="str">
        <f>IFERROR(VLOOKUP($E1445,Master!$J:$M,3,0),"")</f>
        <v/>
      </c>
      <c r="AC1445" s="26">
        <f t="shared" si="44"/>
        <v>0</v>
      </c>
      <c r="AD1445" s="26">
        <f t="shared" si="45"/>
        <v>0</v>
      </c>
    </row>
    <row r="1446" spans="2:30" ht="15" customHeight="1">
      <c r="B1446" s="3" t="str">
        <f>IFERROR(VLOOKUP(C1446,Master!$J:$K,2,0),"")</f>
        <v/>
      </c>
      <c r="D1446" s="4" t="str">
        <f>IFERROR(VLOOKUP(E1446,Master!$J:$K,2,0),"")</f>
        <v/>
      </c>
      <c r="F1446" s="4" t="str">
        <f>IFERROR(VLOOKUP(G1446,Master!B:C,2,0),"")</f>
        <v/>
      </c>
      <c r="I1446" s="3" t="str">
        <f>IFERROR(VLOOKUP(E1446,Master!$J:$M,4,0),"")</f>
        <v/>
      </c>
      <c r="J1446" s="3" t="str">
        <f>IFERROR(VLOOKUP($E1446,Master!$J:$M,3,0),"")</f>
        <v/>
      </c>
      <c r="AC1446" s="26">
        <f t="shared" si="44"/>
        <v>0</v>
      </c>
      <c r="AD1446" s="26">
        <f t="shared" si="45"/>
        <v>0</v>
      </c>
    </row>
    <row r="1447" spans="2:30" ht="15" customHeight="1">
      <c r="B1447" s="3" t="str">
        <f>IFERROR(VLOOKUP(C1447,Master!$J:$K,2,0),"")</f>
        <v/>
      </c>
      <c r="D1447" s="4" t="str">
        <f>IFERROR(VLOOKUP(E1447,Master!$J:$K,2,0),"")</f>
        <v/>
      </c>
      <c r="F1447" s="4" t="str">
        <f>IFERROR(VLOOKUP(G1447,Master!B:C,2,0),"")</f>
        <v/>
      </c>
      <c r="I1447" s="3" t="str">
        <f>IFERROR(VLOOKUP(E1447,Master!$J:$M,4,0),"")</f>
        <v/>
      </c>
      <c r="J1447" s="3" t="str">
        <f>IFERROR(VLOOKUP($E1447,Master!$J:$M,3,0),"")</f>
        <v/>
      </c>
      <c r="AC1447" s="26">
        <f t="shared" si="44"/>
        <v>0</v>
      </c>
      <c r="AD1447" s="26">
        <f t="shared" si="45"/>
        <v>0</v>
      </c>
    </row>
    <row r="1448" spans="2:30" ht="15" customHeight="1">
      <c r="B1448" s="3" t="str">
        <f>IFERROR(VLOOKUP(C1448,Master!$J:$K,2,0),"")</f>
        <v/>
      </c>
      <c r="D1448" s="4" t="str">
        <f>IFERROR(VLOOKUP(E1448,Master!$J:$K,2,0),"")</f>
        <v/>
      </c>
      <c r="F1448" s="4" t="str">
        <f>IFERROR(VLOOKUP(G1448,Master!B:C,2,0),"")</f>
        <v/>
      </c>
      <c r="I1448" s="3" t="str">
        <f>IFERROR(VLOOKUP(E1448,Master!$J:$M,4,0),"")</f>
        <v/>
      </c>
      <c r="J1448" s="3" t="str">
        <f>IFERROR(VLOOKUP($E1448,Master!$J:$M,3,0),"")</f>
        <v/>
      </c>
      <c r="AC1448" s="26">
        <f t="shared" si="44"/>
        <v>0</v>
      </c>
      <c r="AD1448" s="26">
        <f t="shared" si="45"/>
        <v>0</v>
      </c>
    </row>
    <row r="1449" spans="2:30" ht="15" customHeight="1">
      <c r="B1449" s="3" t="str">
        <f>IFERROR(VLOOKUP(C1449,Master!$J:$K,2,0),"")</f>
        <v/>
      </c>
      <c r="D1449" s="4" t="str">
        <f>IFERROR(VLOOKUP(E1449,Master!$J:$K,2,0),"")</f>
        <v/>
      </c>
      <c r="F1449" s="4" t="str">
        <f>IFERROR(VLOOKUP(G1449,Master!B:C,2,0),"")</f>
        <v/>
      </c>
      <c r="I1449" s="3" t="str">
        <f>IFERROR(VLOOKUP(E1449,Master!$J:$M,4,0),"")</f>
        <v/>
      </c>
      <c r="J1449" s="3" t="str">
        <f>IFERROR(VLOOKUP($E1449,Master!$J:$M,3,0),"")</f>
        <v/>
      </c>
      <c r="AC1449" s="26">
        <f t="shared" ref="AC1449:AC1500" si="46">SUM(K1449:P1449)</f>
        <v>0</v>
      </c>
      <c r="AD1449" s="26">
        <f t="shared" ref="AD1449:AD1500" si="47">SUM(Q1449:AB1449)</f>
        <v>0</v>
      </c>
    </row>
    <row r="1450" spans="2:30" ht="15" customHeight="1">
      <c r="B1450" s="3" t="str">
        <f>IFERROR(VLOOKUP(C1450,Master!$J:$K,2,0),"")</f>
        <v/>
      </c>
      <c r="D1450" s="4" t="str">
        <f>IFERROR(VLOOKUP(E1450,Master!$J:$K,2,0),"")</f>
        <v/>
      </c>
      <c r="F1450" s="4" t="str">
        <f>IFERROR(VLOOKUP(G1450,Master!B:C,2,0),"")</f>
        <v/>
      </c>
      <c r="I1450" s="3" t="str">
        <f>IFERROR(VLOOKUP(E1450,Master!$J:$M,4,0),"")</f>
        <v/>
      </c>
      <c r="J1450" s="3" t="str">
        <f>IFERROR(VLOOKUP($E1450,Master!$J:$M,3,0),"")</f>
        <v/>
      </c>
      <c r="AC1450" s="26">
        <f t="shared" si="46"/>
        <v>0</v>
      </c>
      <c r="AD1450" s="26">
        <f t="shared" si="47"/>
        <v>0</v>
      </c>
    </row>
    <row r="1451" spans="2:30" ht="15" customHeight="1">
      <c r="B1451" s="3" t="str">
        <f>IFERROR(VLOOKUP(C1451,Master!$J:$K,2,0),"")</f>
        <v/>
      </c>
      <c r="D1451" s="4" t="str">
        <f>IFERROR(VLOOKUP(E1451,Master!$J:$K,2,0),"")</f>
        <v/>
      </c>
      <c r="F1451" s="4" t="str">
        <f>IFERROR(VLOOKUP(G1451,Master!B:C,2,0),"")</f>
        <v/>
      </c>
      <c r="I1451" s="3" t="str">
        <f>IFERROR(VLOOKUP(E1451,Master!$J:$M,4,0),"")</f>
        <v/>
      </c>
      <c r="J1451" s="3" t="str">
        <f>IFERROR(VLOOKUP($E1451,Master!$J:$M,3,0),"")</f>
        <v/>
      </c>
      <c r="AC1451" s="26">
        <f t="shared" si="46"/>
        <v>0</v>
      </c>
      <c r="AD1451" s="26">
        <f t="shared" si="47"/>
        <v>0</v>
      </c>
    </row>
    <row r="1452" spans="2:30" ht="15" customHeight="1">
      <c r="B1452" s="3" t="str">
        <f>IFERROR(VLOOKUP(C1452,Master!$J:$K,2,0),"")</f>
        <v/>
      </c>
      <c r="D1452" s="4" t="str">
        <f>IFERROR(VLOOKUP(E1452,Master!$J:$K,2,0),"")</f>
        <v/>
      </c>
      <c r="F1452" s="4" t="str">
        <f>IFERROR(VLOOKUP(G1452,Master!B:C,2,0),"")</f>
        <v/>
      </c>
      <c r="I1452" s="3" t="str">
        <f>IFERROR(VLOOKUP(E1452,Master!$J:$M,4,0),"")</f>
        <v/>
      </c>
      <c r="J1452" s="3" t="str">
        <f>IFERROR(VLOOKUP($E1452,Master!$J:$M,3,0),"")</f>
        <v/>
      </c>
      <c r="AC1452" s="26">
        <f t="shared" si="46"/>
        <v>0</v>
      </c>
      <c r="AD1452" s="26">
        <f t="shared" si="47"/>
        <v>0</v>
      </c>
    </row>
    <row r="1453" spans="2:30" ht="15" customHeight="1">
      <c r="B1453" s="3" t="str">
        <f>IFERROR(VLOOKUP(C1453,Master!$J:$K,2,0),"")</f>
        <v/>
      </c>
      <c r="D1453" s="4" t="str">
        <f>IFERROR(VLOOKUP(E1453,Master!$J:$K,2,0),"")</f>
        <v/>
      </c>
      <c r="F1453" s="4" t="str">
        <f>IFERROR(VLOOKUP(G1453,Master!B:C,2,0),"")</f>
        <v/>
      </c>
      <c r="I1453" s="3" t="str">
        <f>IFERROR(VLOOKUP(E1453,Master!$J:$M,4,0),"")</f>
        <v/>
      </c>
      <c r="J1453" s="3" t="str">
        <f>IFERROR(VLOOKUP($E1453,Master!$J:$M,3,0),"")</f>
        <v/>
      </c>
      <c r="AC1453" s="26">
        <f t="shared" si="46"/>
        <v>0</v>
      </c>
      <c r="AD1453" s="26">
        <f t="shared" si="47"/>
        <v>0</v>
      </c>
    </row>
    <row r="1454" spans="2:30" ht="15" customHeight="1">
      <c r="B1454" s="3" t="str">
        <f>IFERROR(VLOOKUP(C1454,Master!$J:$K,2,0),"")</f>
        <v/>
      </c>
      <c r="D1454" s="4" t="str">
        <f>IFERROR(VLOOKUP(E1454,Master!$J:$K,2,0),"")</f>
        <v/>
      </c>
      <c r="F1454" s="4" t="str">
        <f>IFERROR(VLOOKUP(G1454,Master!B:C,2,0),"")</f>
        <v/>
      </c>
      <c r="I1454" s="3" t="str">
        <f>IFERROR(VLOOKUP(E1454,Master!$J:$M,4,0),"")</f>
        <v/>
      </c>
      <c r="J1454" s="3" t="str">
        <f>IFERROR(VLOOKUP($E1454,Master!$J:$M,3,0),"")</f>
        <v/>
      </c>
      <c r="AC1454" s="26">
        <f t="shared" si="46"/>
        <v>0</v>
      </c>
      <c r="AD1454" s="26">
        <f t="shared" si="47"/>
        <v>0</v>
      </c>
    </row>
    <row r="1455" spans="2:30" ht="15" customHeight="1">
      <c r="B1455" s="3" t="str">
        <f>IFERROR(VLOOKUP(C1455,Master!$J:$K,2,0),"")</f>
        <v/>
      </c>
      <c r="D1455" s="4" t="str">
        <f>IFERROR(VLOOKUP(E1455,Master!$J:$K,2,0),"")</f>
        <v/>
      </c>
      <c r="F1455" s="4" t="str">
        <f>IFERROR(VLOOKUP(G1455,Master!B:C,2,0),"")</f>
        <v/>
      </c>
      <c r="I1455" s="3" t="str">
        <f>IFERROR(VLOOKUP(E1455,Master!$J:$M,4,0),"")</f>
        <v/>
      </c>
      <c r="J1455" s="3" t="str">
        <f>IFERROR(VLOOKUP($E1455,Master!$J:$M,3,0),"")</f>
        <v/>
      </c>
      <c r="AC1455" s="26">
        <f t="shared" si="46"/>
        <v>0</v>
      </c>
      <c r="AD1455" s="26">
        <f t="shared" si="47"/>
        <v>0</v>
      </c>
    </row>
    <row r="1456" spans="2:30" ht="15" customHeight="1">
      <c r="B1456" s="3" t="str">
        <f>IFERROR(VLOOKUP(C1456,Master!$J:$K,2,0),"")</f>
        <v/>
      </c>
      <c r="D1456" s="4" t="str">
        <f>IFERROR(VLOOKUP(E1456,Master!$J:$K,2,0),"")</f>
        <v/>
      </c>
      <c r="F1456" s="4" t="str">
        <f>IFERROR(VLOOKUP(G1456,Master!B:C,2,0),"")</f>
        <v/>
      </c>
      <c r="I1456" s="3" t="str">
        <f>IFERROR(VLOOKUP(E1456,Master!$J:$M,4,0),"")</f>
        <v/>
      </c>
      <c r="J1456" s="3" t="str">
        <f>IFERROR(VLOOKUP($E1456,Master!$J:$M,3,0),"")</f>
        <v/>
      </c>
      <c r="AC1456" s="26">
        <f t="shared" si="46"/>
        <v>0</v>
      </c>
      <c r="AD1456" s="26">
        <f t="shared" si="47"/>
        <v>0</v>
      </c>
    </row>
    <row r="1457" spans="2:30" ht="15" customHeight="1">
      <c r="B1457" s="3" t="str">
        <f>IFERROR(VLOOKUP(C1457,Master!$J:$K,2,0),"")</f>
        <v/>
      </c>
      <c r="D1457" s="4" t="str">
        <f>IFERROR(VLOOKUP(E1457,Master!$J:$K,2,0),"")</f>
        <v/>
      </c>
      <c r="F1457" s="4" t="str">
        <f>IFERROR(VLOOKUP(G1457,Master!B:C,2,0),"")</f>
        <v/>
      </c>
      <c r="I1457" s="3" t="str">
        <f>IFERROR(VLOOKUP(E1457,Master!$J:$M,4,0),"")</f>
        <v/>
      </c>
      <c r="J1457" s="3" t="str">
        <f>IFERROR(VLOOKUP($E1457,Master!$J:$M,3,0),"")</f>
        <v/>
      </c>
      <c r="AC1457" s="26">
        <f t="shared" si="46"/>
        <v>0</v>
      </c>
      <c r="AD1457" s="26">
        <f t="shared" si="47"/>
        <v>0</v>
      </c>
    </row>
    <row r="1458" spans="2:30" ht="15" customHeight="1">
      <c r="B1458" s="3" t="str">
        <f>IFERROR(VLOOKUP(C1458,Master!$J:$K,2,0),"")</f>
        <v/>
      </c>
      <c r="D1458" s="4" t="str">
        <f>IFERROR(VLOOKUP(E1458,Master!$J:$K,2,0),"")</f>
        <v/>
      </c>
      <c r="F1458" s="4" t="str">
        <f>IFERROR(VLOOKUP(G1458,Master!B:C,2,0),"")</f>
        <v/>
      </c>
      <c r="I1458" s="3" t="str">
        <f>IFERROR(VLOOKUP(E1458,Master!$J:$M,4,0),"")</f>
        <v/>
      </c>
      <c r="J1458" s="3" t="str">
        <f>IFERROR(VLOOKUP($E1458,Master!$J:$M,3,0),"")</f>
        <v/>
      </c>
      <c r="AC1458" s="26">
        <f t="shared" si="46"/>
        <v>0</v>
      </c>
      <c r="AD1458" s="26">
        <f t="shared" si="47"/>
        <v>0</v>
      </c>
    </row>
    <row r="1459" spans="2:30" ht="15" customHeight="1">
      <c r="B1459" s="3" t="str">
        <f>IFERROR(VLOOKUP(C1459,Master!$J:$K,2,0),"")</f>
        <v/>
      </c>
      <c r="D1459" s="4" t="str">
        <f>IFERROR(VLOOKUP(E1459,Master!$J:$K,2,0),"")</f>
        <v/>
      </c>
      <c r="F1459" s="4" t="str">
        <f>IFERROR(VLOOKUP(G1459,Master!B:C,2,0),"")</f>
        <v/>
      </c>
      <c r="I1459" s="3" t="str">
        <f>IFERROR(VLOOKUP(E1459,Master!$J:$M,4,0),"")</f>
        <v/>
      </c>
      <c r="J1459" s="3" t="str">
        <f>IFERROR(VLOOKUP($E1459,Master!$J:$M,3,0),"")</f>
        <v/>
      </c>
      <c r="AC1459" s="26">
        <f t="shared" si="46"/>
        <v>0</v>
      </c>
      <c r="AD1459" s="26">
        <f t="shared" si="47"/>
        <v>0</v>
      </c>
    </row>
    <row r="1460" spans="2:30" ht="15" customHeight="1">
      <c r="B1460" s="3" t="str">
        <f>IFERROR(VLOOKUP(C1460,Master!$J:$K,2,0),"")</f>
        <v/>
      </c>
      <c r="D1460" s="4" t="str">
        <f>IFERROR(VLOOKUP(E1460,Master!$J:$K,2,0),"")</f>
        <v/>
      </c>
      <c r="F1460" s="4" t="str">
        <f>IFERROR(VLOOKUP(G1460,Master!B:C,2,0),"")</f>
        <v/>
      </c>
      <c r="I1460" s="3" t="str">
        <f>IFERROR(VLOOKUP(E1460,Master!$J:$M,4,0),"")</f>
        <v/>
      </c>
      <c r="J1460" s="3" t="str">
        <f>IFERROR(VLOOKUP($E1460,Master!$J:$M,3,0),"")</f>
        <v/>
      </c>
      <c r="AC1460" s="26">
        <f t="shared" si="46"/>
        <v>0</v>
      </c>
      <c r="AD1460" s="26">
        <f t="shared" si="47"/>
        <v>0</v>
      </c>
    </row>
    <row r="1461" spans="2:30" ht="15" customHeight="1">
      <c r="B1461" s="3" t="str">
        <f>IFERROR(VLOOKUP(C1461,Master!$J:$K,2,0),"")</f>
        <v/>
      </c>
      <c r="D1461" s="4" t="str">
        <f>IFERROR(VLOOKUP(E1461,Master!$J:$K,2,0),"")</f>
        <v/>
      </c>
      <c r="F1461" s="4" t="str">
        <f>IFERROR(VLOOKUP(G1461,Master!B:C,2,0),"")</f>
        <v/>
      </c>
      <c r="I1461" s="3" t="str">
        <f>IFERROR(VLOOKUP(E1461,Master!$J:$M,4,0),"")</f>
        <v/>
      </c>
      <c r="J1461" s="3" t="str">
        <f>IFERROR(VLOOKUP($E1461,Master!$J:$M,3,0),"")</f>
        <v/>
      </c>
      <c r="AC1461" s="26">
        <f t="shared" si="46"/>
        <v>0</v>
      </c>
      <c r="AD1461" s="26">
        <f t="shared" si="47"/>
        <v>0</v>
      </c>
    </row>
    <row r="1462" spans="2:30" ht="15" customHeight="1">
      <c r="B1462" s="3" t="str">
        <f>IFERROR(VLOOKUP(C1462,Master!$J:$K,2,0),"")</f>
        <v/>
      </c>
      <c r="D1462" s="4" t="str">
        <f>IFERROR(VLOOKUP(E1462,Master!$J:$K,2,0),"")</f>
        <v/>
      </c>
      <c r="F1462" s="4" t="str">
        <f>IFERROR(VLOOKUP(G1462,Master!B:C,2,0),"")</f>
        <v/>
      </c>
      <c r="I1462" s="3" t="str">
        <f>IFERROR(VLOOKUP(E1462,Master!$J:$M,4,0),"")</f>
        <v/>
      </c>
      <c r="J1462" s="3" t="str">
        <f>IFERROR(VLOOKUP($E1462,Master!$J:$M,3,0),"")</f>
        <v/>
      </c>
      <c r="AC1462" s="26">
        <f t="shared" si="46"/>
        <v>0</v>
      </c>
      <c r="AD1462" s="26">
        <f t="shared" si="47"/>
        <v>0</v>
      </c>
    </row>
    <row r="1463" spans="2:30" ht="15" customHeight="1">
      <c r="B1463" s="3" t="str">
        <f>IFERROR(VLOOKUP(C1463,Master!$J:$K,2,0),"")</f>
        <v/>
      </c>
      <c r="D1463" s="4" t="str">
        <f>IFERROR(VLOOKUP(E1463,Master!$J:$K,2,0),"")</f>
        <v/>
      </c>
      <c r="F1463" s="4" t="str">
        <f>IFERROR(VLOOKUP(G1463,Master!B:C,2,0),"")</f>
        <v/>
      </c>
      <c r="I1463" s="3" t="str">
        <f>IFERROR(VLOOKUP(E1463,Master!$J:$M,4,0),"")</f>
        <v/>
      </c>
      <c r="J1463" s="3" t="str">
        <f>IFERROR(VLOOKUP($E1463,Master!$J:$M,3,0),"")</f>
        <v/>
      </c>
      <c r="AC1463" s="26">
        <f t="shared" si="46"/>
        <v>0</v>
      </c>
      <c r="AD1463" s="26">
        <f t="shared" si="47"/>
        <v>0</v>
      </c>
    </row>
    <row r="1464" spans="2:30" ht="15" customHeight="1">
      <c r="B1464" s="3" t="str">
        <f>IFERROR(VLOOKUP(C1464,Master!$J:$K,2,0),"")</f>
        <v/>
      </c>
      <c r="D1464" s="4" t="str">
        <f>IFERROR(VLOOKUP(E1464,Master!$J:$K,2,0),"")</f>
        <v/>
      </c>
      <c r="F1464" s="4" t="str">
        <f>IFERROR(VLOOKUP(G1464,Master!B:C,2,0),"")</f>
        <v/>
      </c>
      <c r="I1464" s="3" t="str">
        <f>IFERROR(VLOOKUP(E1464,Master!$J:$M,4,0),"")</f>
        <v/>
      </c>
      <c r="J1464" s="3" t="str">
        <f>IFERROR(VLOOKUP($E1464,Master!$J:$M,3,0),"")</f>
        <v/>
      </c>
      <c r="AC1464" s="26">
        <f t="shared" si="46"/>
        <v>0</v>
      </c>
      <c r="AD1464" s="26">
        <f t="shared" si="47"/>
        <v>0</v>
      </c>
    </row>
    <row r="1465" spans="2:30" ht="15" customHeight="1">
      <c r="B1465" s="3" t="str">
        <f>IFERROR(VLOOKUP(C1465,Master!$J:$K,2,0),"")</f>
        <v/>
      </c>
      <c r="D1465" s="4" t="str">
        <f>IFERROR(VLOOKUP(E1465,Master!$J:$K,2,0),"")</f>
        <v/>
      </c>
      <c r="F1465" s="4" t="str">
        <f>IFERROR(VLOOKUP(G1465,Master!B:C,2,0),"")</f>
        <v/>
      </c>
      <c r="I1465" s="3" t="str">
        <f>IFERROR(VLOOKUP(E1465,Master!$J:$M,4,0),"")</f>
        <v/>
      </c>
      <c r="J1465" s="3" t="str">
        <f>IFERROR(VLOOKUP($E1465,Master!$J:$M,3,0),"")</f>
        <v/>
      </c>
      <c r="AC1465" s="26">
        <f t="shared" si="46"/>
        <v>0</v>
      </c>
      <c r="AD1465" s="26">
        <f t="shared" si="47"/>
        <v>0</v>
      </c>
    </row>
    <row r="1466" spans="2:30" ht="15" customHeight="1">
      <c r="B1466" s="3" t="str">
        <f>IFERROR(VLOOKUP(C1466,Master!$J:$K,2,0),"")</f>
        <v/>
      </c>
      <c r="D1466" s="4" t="str">
        <f>IFERROR(VLOOKUP(E1466,Master!$J:$K,2,0),"")</f>
        <v/>
      </c>
      <c r="F1466" s="4" t="str">
        <f>IFERROR(VLOOKUP(G1466,Master!B:C,2,0),"")</f>
        <v/>
      </c>
      <c r="I1466" s="3" t="str">
        <f>IFERROR(VLOOKUP(E1466,Master!$J:$M,4,0),"")</f>
        <v/>
      </c>
      <c r="J1466" s="3" t="str">
        <f>IFERROR(VLOOKUP($E1466,Master!$J:$M,3,0),"")</f>
        <v/>
      </c>
      <c r="AC1466" s="26">
        <f t="shared" si="46"/>
        <v>0</v>
      </c>
      <c r="AD1466" s="26">
        <f t="shared" si="47"/>
        <v>0</v>
      </c>
    </row>
    <row r="1467" spans="2:30" ht="15" customHeight="1">
      <c r="B1467" s="3" t="str">
        <f>IFERROR(VLOOKUP(C1467,Master!$J:$K,2,0),"")</f>
        <v/>
      </c>
      <c r="D1467" s="4" t="str">
        <f>IFERROR(VLOOKUP(E1467,Master!$J:$K,2,0),"")</f>
        <v/>
      </c>
      <c r="F1467" s="4" t="str">
        <f>IFERROR(VLOOKUP(G1467,Master!B:C,2,0),"")</f>
        <v/>
      </c>
      <c r="I1467" s="3" t="str">
        <f>IFERROR(VLOOKUP(E1467,Master!$J:$M,4,0),"")</f>
        <v/>
      </c>
      <c r="J1467" s="3" t="str">
        <f>IFERROR(VLOOKUP($E1467,Master!$J:$M,3,0),"")</f>
        <v/>
      </c>
      <c r="AC1467" s="26">
        <f t="shared" si="46"/>
        <v>0</v>
      </c>
      <c r="AD1467" s="26">
        <f t="shared" si="47"/>
        <v>0</v>
      </c>
    </row>
    <row r="1468" spans="2:30" ht="15" customHeight="1">
      <c r="B1468" s="3" t="str">
        <f>IFERROR(VLOOKUP(C1468,Master!$J:$K,2,0),"")</f>
        <v/>
      </c>
      <c r="D1468" s="4" t="str">
        <f>IFERROR(VLOOKUP(E1468,Master!$J:$K,2,0),"")</f>
        <v/>
      </c>
      <c r="F1468" s="4" t="str">
        <f>IFERROR(VLOOKUP(G1468,Master!B:C,2,0),"")</f>
        <v/>
      </c>
      <c r="I1468" s="3" t="str">
        <f>IFERROR(VLOOKUP(E1468,Master!$J:$M,4,0),"")</f>
        <v/>
      </c>
      <c r="J1468" s="3" t="str">
        <f>IFERROR(VLOOKUP($E1468,Master!$J:$M,3,0),"")</f>
        <v/>
      </c>
      <c r="AC1468" s="26">
        <f t="shared" si="46"/>
        <v>0</v>
      </c>
      <c r="AD1468" s="26">
        <f t="shared" si="47"/>
        <v>0</v>
      </c>
    </row>
    <row r="1469" spans="2:30" ht="15" customHeight="1">
      <c r="B1469" s="3" t="str">
        <f>IFERROR(VLOOKUP(C1469,Master!$J:$K,2,0),"")</f>
        <v/>
      </c>
      <c r="D1469" s="4" t="str">
        <f>IFERROR(VLOOKUP(E1469,Master!$J:$K,2,0),"")</f>
        <v/>
      </c>
      <c r="F1469" s="4" t="str">
        <f>IFERROR(VLOOKUP(G1469,Master!B:C,2,0),"")</f>
        <v/>
      </c>
      <c r="I1469" s="3" t="str">
        <f>IFERROR(VLOOKUP(E1469,Master!$J:$M,4,0),"")</f>
        <v/>
      </c>
      <c r="J1469" s="3" t="str">
        <f>IFERROR(VLOOKUP($E1469,Master!$J:$M,3,0),"")</f>
        <v/>
      </c>
      <c r="AC1469" s="26">
        <f t="shared" si="46"/>
        <v>0</v>
      </c>
      <c r="AD1469" s="26">
        <f t="shared" si="47"/>
        <v>0</v>
      </c>
    </row>
    <row r="1470" spans="2:30" ht="15" customHeight="1">
      <c r="B1470" s="3" t="str">
        <f>IFERROR(VLOOKUP(C1470,Master!$J:$K,2,0),"")</f>
        <v/>
      </c>
      <c r="D1470" s="4" t="str">
        <f>IFERROR(VLOOKUP(E1470,Master!$J:$K,2,0),"")</f>
        <v/>
      </c>
      <c r="F1470" s="4" t="str">
        <f>IFERROR(VLOOKUP(G1470,Master!B:C,2,0),"")</f>
        <v/>
      </c>
      <c r="I1470" s="3" t="str">
        <f>IFERROR(VLOOKUP(E1470,Master!$J:$M,4,0),"")</f>
        <v/>
      </c>
      <c r="J1470" s="3" t="str">
        <f>IFERROR(VLOOKUP($E1470,Master!$J:$M,3,0),"")</f>
        <v/>
      </c>
      <c r="AC1470" s="26">
        <f t="shared" si="46"/>
        <v>0</v>
      </c>
      <c r="AD1470" s="26">
        <f t="shared" si="47"/>
        <v>0</v>
      </c>
    </row>
    <row r="1471" spans="2:30" ht="15" customHeight="1">
      <c r="B1471" s="3" t="str">
        <f>IFERROR(VLOOKUP(C1471,Master!$J:$K,2,0),"")</f>
        <v/>
      </c>
      <c r="D1471" s="4" t="str">
        <f>IFERROR(VLOOKUP(E1471,Master!$J:$K,2,0),"")</f>
        <v/>
      </c>
      <c r="F1471" s="4" t="str">
        <f>IFERROR(VLOOKUP(G1471,Master!B:C,2,0),"")</f>
        <v/>
      </c>
      <c r="I1471" s="3" t="str">
        <f>IFERROR(VLOOKUP(E1471,Master!$J:$M,4,0),"")</f>
        <v/>
      </c>
      <c r="J1471" s="3" t="str">
        <f>IFERROR(VLOOKUP($E1471,Master!$J:$M,3,0),"")</f>
        <v/>
      </c>
      <c r="AC1471" s="26">
        <f t="shared" si="46"/>
        <v>0</v>
      </c>
      <c r="AD1471" s="26">
        <f t="shared" si="47"/>
        <v>0</v>
      </c>
    </row>
    <row r="1472" spans="2:30" ht="15" customHeight="1">
      <c r="B1472" s="3" t="str">
        <f>IFERROR(VLOOKUP(C1472,Master!$J:$K,2,0),"")</f>
        <v/>
      </c>
      <c r="D1472" s="4" t="str">
        <f>IFERROR(VLOOKUP(E1472,Master!$J:$K,2,0),"")</f>
        <v/>
      </c>
      <c r="F1472" s="4" t="str">
        <f>IFERROR(VLOOKUP(G1472,Master!B:C,2,0),"")</f>
        <v/>
      </c>
      <c r="I1472" s="3" t="str">
        <f>IFERROR(VLOOKUP(E1472,Master!$J:$M,4,0),"")</f>
        <v/>
      </c>
      <c r="J1472" s="3" t="str">
        <f>IFERROR(VLOOKUP($E1472,Master!$J:$M,3,0),"")</f>
        <v/>
      </c>
      <c r="AC1472" s="26">
        <f t="shared" si="46"/>
        <v>0</v>
      </c>
      <c r="AD1472" s="26">
        <f t="shared" si="47"/>
        <v>0</v>
      </c>
    </row>
    <row r="1473" spans="2:30" ht="15" customHeight="1">
      <c r="B1473" s="3" t="str">
        <f>IFERROR(VLOOKUP(C1473,Master!$J:$K,2,0),"")</f>
        <v/>
      </c>
      <c r="D1473" s="4" t="str">
        <f>IFERROR(VLOOKUP(E1473,Master!$J:$K,2,0),"")</f>
        <v/>
      </c>
      <c r="F1473" s="4" t="str">
        <f>IFERROR(VLOOKUP(G1473,Master!B:C,2,0),"")</f>
        <v/>
      </c>
      <c r="I1473" s="3" t="str">
        <f>IFERROR(VLOOKUP(E1473,Master!$J:$M,4,0),"")</f>
        <v/>
      </c>
      <c r="J1473" s="3" t="str">
        <f>IFERROR(VLOOKUP($E1473,Master!$J:$M,3,0),"")</f>
        <v/>
      </c>
      <c r="AC1473" s="26">
        <f t="shared" si="46"/>
        <v>0</v>
      </c>
      <c r="AD1473" s="26">
        <f t="shared" si="47"/>
        <v>0</v>
      </c>
    </row>
    <row r="1474" spans="2:30" ht="15" customHeight="1">
      <c r="B1474" s="3" t="str">
        <f>IFERROR(VLOOKUP(C1474,Master!$J:$K,2,0),"")</f>
        <v/>
      </c>
      <c r="D1474" s="4" t="str">
        <f>IFERROR(VLOOKUP(E1474,Master!$J:$K,2,0),"")</f>
        <v/>
      </c>
      <c r="F1474" s="4" t="str">
        <f>IFERROR(VLOOKUP(G1474,Master!B:C,2,0),"")</f>
        <v/>
      </c>
      <c r="I1474" s="3" t="str">
        <f>IFERROR(VLOOKUP(E1474,Master!$J:$M,4,0),"")</f>
        <v/>
      </c>
      <c r="J1474" s="3" t="str">
        <f>IFERROR(VLOOKUP($E1474,Master!$J:$M,3,0),"")</f>
        <v/>
      </c>
      <c r="AC1474" s="26">
        <f t="shared" si="46"/>
        <v>0</v>
      </c>
      <c r="AD1474" s="26">
        <f t="shared" si="47"/>
        <v>0</v>
      </c>
    </row>
    <row r="1475" spans="2:30" ht="15" customHeight="1">
      <c r="B1475" s="3" t="str">
        <f>IFERROR(VLOOKUP(C1475,Master!$J:$K,2,0),"")</f>
        <v/>
      </c>
      <c r="D1475" s="4" t="str">
        <f>IFERROR(VLOOKUP(E1475,Master!$J:$K,2,0),"")</f>
        <v/>
      </c>
      <c r="F1475" s="4" t="str">
        <f>IFERROR(VLOOKUP(G1475,Master!B:C,2,0),"")</f>
        <v/>
      </c>
      <c r="I1475" s="3" t="str">
        <f>IFERROR(VLOOKUP(E1475,Master!$J:$M,4,0),"")</f>
        <v/>
      </c>
      <c r="J1475" s="3" t="str">
        <f>IFERROR(VLOOKUP($E1475,Master!$J:$M,3,0),"")</f>
        <v/>
      </c>
      <c r="AC1475" s="26">
        <f t="shared" si="46"/>
        <v>0</v>
      </c>
      <c r="AD1475" s="26">
        <f t="shared" si="47"/>
        <v>0</v>
      </c>
    </row>
    <row r="1476" spans="2:30" ht="15" customHeight="1">
      <c r="B1476" s="3" t="str">
        <f>IFERROR(VLOOKUP(C1476,Master!$J:$K,2,0),"")</f>
        <v/>
      </c>
      <c r="D1476" s="4" t="str">
        <f>IFERROR(VLOOKUP(E1476,Master!$J:$K,2,0),"")</f>
        <v/>
      </c>
      <c r="F1476" s="4" t="str">
        <f>IFERROR(VLOOKUP(G1476,Master!B:C,2,0),"")</f>
        <v/>
      </c>
      <c r="I1476" s="3" t="str">
        <f>IFERROR(VLOOKUP(E1476,Master!$J:$M,4,0),"")</f>
        <v/>
      </c>
      <c r="J1476" s="3" t="str">
        <f>IFERROR(VLOOKUP($E1476,Master!$J:$M,3,0),"")</f>
        <v/>
      </c>
      <c r="AC1476" s="26">
        <f t="shared" si="46"/>
        <v>0</v>
      </c>
      <c r="AD1476" s="26">
        <f t="shared" si="47"/>
        <v>0</v>
      </c>
    </row>
    <row r="1477" spans="2:30" ht="15" customHeight="1">
      <c r="B1477" s="3" t="str">
        <f>IFERROR(VLOOKUP(C1477,Master!$J:$K,2,0),"")</f>
        <v/>
      </c>
      <c r="D1477" s="4" t="str">
        <f>IFERROR(VLOOKUP(E1477,Master!$J:$K,2,0),"")</f>
        <v/>
      </c>
      <c r="F1477" s="4" t="str">
        <f>IFERROR(VLOOKUP(G1477,Master!B:C,2,0),"")</f>
        <v/>
      </c>
      <c r="I1477" s="3" t="str">
        <f>IFERROR(VLOOKUP(E1477,Master!$J:$M,4,0),"")</f>
        <v/>
      </c>
      <c r="J1477" s="3" t="str">
        <f>IFERROR(VLOOKUP($E1477,Master!$J:$M,3,0),"")</f>
        <v/>
      </c>
      <c r="AC1477" s="26">
        <f t="shared" si="46"/>
        <v>0</v>
      </c>
      <c r="AD1477" s="26">
        <f t="shared" si="47"/>
        <v>0</v>
      </c>
    </row>
    <row r="1478" spans="2:30" ht="15" customHeight="1">
      <c r="B1478" s="3" t="str">
        <f>IFERROR(VLOOKUP(C1478,Master!$J:$K,2,0),"")</f>
        <v/>
      </c>
      <c r="D1478" s="4" t="str">
        <f>IFERROR(VLOOKUP(E1478,Master!$J:$K,2,0),"")</f>
        <v/>
      </c>
      <c r="F1478" s="4" t="str">
        <f>IFERROR(VLOOKUP(G1478,Master!B:C,2,0),"")</f>
        <v/>
      </c>
      <c r="I1478" s="3" t="str">
        <f>IFERROR(VLOOKUP(E1478,Master!$J:$M,4,0),"")</f>
        <v/>
      </c>
      <c r="J1478" s="3" t="str">
        <f>IFERROR(VLOOKUP($E1478,Master!$J:$M,3,0),"")</f>
        <v/>
      </c>
      <c r="AC1478" s="26">
        <f t="shared" si="46"/>
        <v>0</v>
      </c>
      <c r="AD1478" s="26">
        <f t="shared" si="47"/>
        <v>0</v>
      </c>
    </row>
    <row r="1479" spans="2:30" ht="15" customHeight="1">
      <c r="B1479" s="3" t="str">
        <f>IFERROR(VLOOKUP(C1479,Master!$J:$K,2,0),"")</f>
        <v/>
      </c>
      <c r="D1479" s="4" t="str">
        <f>IFERROR(VLOOKUP(E1479,Master!$J:$K,2,0),"")</f>
        <v/>
      </c>
      <c r="F1479" s="4" t="str">
        <f>IFERROR(VLOOKUP(G1479,Master!B:C,2,0),"")</f>
        <v/>
      </c>
      <c r="I1479" s="3" t="str">
        <f>IFERROR(VLOOKUP(E1479,Master!$J:$M,4,0),"")</f>
        <v/>
      </c>
      <c r="J1479" s="3" t="str">
        <f>IFERROR(VLOOKUP($E1479,Master!$J:$M,3,0),"")</f>
        <v/>
      </c>
      <c r="AC1479" s="26">
        <f t="shared" si="46"/>
        <v>0</v>
      </c>
      <c r="AD1479" s="26">
        <f t="shared" si="47"/>
        <v>0</v>
      </c>
    </row>
    <row r="1480" spans="2:30" ht="15" customHeight="1">
      <c r="B1480" s="3" t="str">
        <f>IFERROR(VLOOKUP(C1480,Master!$J:$K,2,0),"")</f>
        <v/>
      </c>
      <c r="D1480" s="4" t="str">
        <f>IFERROR(VLOOKUP(E1480,Master!$J:$K,2,0),"")</f>
        <v/>
      </c>
      <c r="F1480" s="4" t="str">
        <f>IFERROR(VLOOKUP(G1480,Master!B:C,2,0),"")</f>
        <v/>
      </c>
      <c r="I1480" s="3" t="str">
        <f>IFERROR(VLOOKUP(E1480,Master!$J:$M,4,0),"")</f>
        <v/>
      </c>
      <c r="J1480" s="3" t="str">
        <f>IFERROR(VLOOKUP($E1480,Master!$J:$M,3,0),"")</f>
        <v/>
      </c>
      <c r="AC1480" s="26">
        <f t="shared" si="46"/>
        <v>0</v>
      </c>
      <c r="AD1480" s="26">
        <f t="shared" si="47"/>
        <v>0</v>
      </c>
    </row>
    <row r="1481" spans="2:30" ht="15" customHeight="1">
      <c r="B1481" s="3" t="str">
        <f>IFERROR(VLOOKUP(C1481,Master!$J:$K,2,0),"")</f>
        <v/>
      </c>
      <c r="D1481" s="4" t="str">
        <f>IFERROR(VLOOKUP(E1481,Master!$J:$K,2,0),"")</f>
        <v/>
      </c>
      <c r="F1481" s="4" t="str">
        <f>IFERROR(VLOOKUP(G1481,Master!B:C,2,0),"")</f>
        <v/>
      </c>
      <c r="I1481" s="3" t="str">
        <f>IFERROR(VLOOKUP(E1481,Master!$J:$M,4,0),"")</f>
        <v/>
      </c>
      <c r="J1481" s="3" t="str">
        <f>IFERROR(VLOOKUP($E1481,Master!$J:$M,3,0),"")</f>
        <v/>
      </c>
      <c r="AC1481" s="26">
        <f t="shared" si="46"/>
        <v>0</v>
      </c>
      <c r="AD1481" s="26">
        <f t="shared" si="47"/>
        <v>0</v>
      </c>
    </row>
    <row r="1482" spans="2:30" ht="15" customHeight="1">
      <c r="B1482" s="3" t="str">
        <f>IFERROR(VLOOKUP(C1482,Master!$J:$K,2,0),"")</f>
        <v/>
      </c>
      <c r="D1482" s="4" t="str">
        <f>IFERROR(VLOOKUP(E1482,Master!$J:$K,2,0),"")</f>
        <v/>
      </c>
      <c r="F1482" s="4" t="str">
        <f>IFERROR(VLOOKUP(G1482,Master!B:C,2,0),"")</f>
        <v/>
      </c>
      <c r="I1482" s="3" t="str">
        <f>IFERROR(VLOOKUP(E1482,Master!$J:$M,4,0),"")</f>
        <v/>
      </c>
      <c r="J1482" s="3" t="str">
        <f>IFERROR(VLOOKUP($E1482,Master!$J:$M,3,0),"")</f>
        <v/>
      </c>
      <c r="AC1482" s="26">
        <f t="shared" si="46"/>
        <v>0</v>
      </c>
      <c r="AD1482" s="26">
        <f t="shared" si="47"/>
        <v>0</v>
      </c>
    </row>
    <row r="1483" spans="2:30" ht="15" customHeight="1">
      <c r="B1483" s="3" t="str">
        <f>IFERROR(VLOOKUP(C1483,Master!$J:$K,2,0),"")</f>
        <v/>
      </c>
      <c r="D1483" s="4" t="str">
        <f>IFERROR(VLOOKUP(E1483,Master!$J:$K,2,0),"")</f>
        <v/>
      </c>
      <c r="F1483" s="4" t="str">
        <f>IFERROR(VLOOKUP(G1483,Master!B:C,2,0),"")</f>
        <v/>
      </c>
      <c r="I1483" s="3" t="str">
        <f>IFERROR(VLOOKUP(E1483,Master!$J:$M,4,0),"")</f>
        <v/>
      </c>
      <c r="J1483" s="3" t="str">
        <f>IFERROR(VLOOKUP($E1483,Master!$J:$M,3,0),"")</f>
        <v/>
      </c>
      <c r="AC1483" s="26">
        <f t="shared" si="46"/>
        <v>0</v>
      </c>
      <c r="AD1483" s="26">
        <f t="shared" si="47"/>
        <v>0</v>
      </c>
    </row>
    <row r="1484" spans="2:30" ht="15" customHeight="1">
      <c r="B1484" s="3" t="str">
        <f>IFERROR(VLOOKUP(C1484,Master!$J:$K,2,0),"")</f>
        <v/>
      </c>
      <c r="D1484" s="4" t="str">
        <f>IFERROR(VLOOKUP(E1484,Master!$J:$K,2,0),"")</f>
        <v/>
      </c>
      <c r="F1484" s="4" t="str">
        <f>IFERROR(VLOOKUP(G1484,Master!B:C,2,0),"")</f>
        <v/>
      </c>
      <c r="I1484" s="3" t="str">
        <f>IFERROR(VLOOKUP(E1484,Master!$J:$M,4,0),"")</f>
        <v/>
      </c>
      <c r="J1484" s="3" t="str">
        <f>IFERROR(VLOOKUP($E1484,Master!$J:$M,3,0),"")</f>
        <v/>
      </c>
      <c r="AC1484" s="26">
        <f t="shared" si="46"/>
        <v>0</v>
      </c>
      <c r="AD1484" s="26">
        <f t="shared" si="47"/>
        <v>0</v>
      </c>
    </row>
    <row r="1485" spans="2:30" ht="15" customHeight="1">
      <c r="B1485" s="3" t="str">
        <f>IFERROR(VLOOKUP(C1485,Master!$J:$K,2,0),"")</f>
        <v/>
      </c>
      <c r="D1485" s="4" t="str">
        <f>IFERROR(VLOOKUP(E1485,Master!$J:$K,2,0),"")</f>
        <v/>
      </c>
      <c r="F1485" s="4" t="str">
        <f>IFERROR(VLOOKUP(G1485,Master!B:C,2,0),"")</f>
        <v/>
      </c>
      <c r="I1485" s="3" t="str">
        <f>IFERROR(VLOOKUP(E1485,Master!$J:$M,4,0),"")</f>
        <v/>
      </c>
      <c r="J1485" s="3" t="str">
        <f>IFERROR(VLOOKUP($E1485,Master!$J:$M,3,0),"")</f>
        <v/>
      </c>
      <c r="AC1485" s="26">
        <f t="shared" si="46"/>
        <v>0</v>
      </c>
      <c r="AD1485" s="26">
        <f t="shared" si="47"/>
        <v>0</v>
      </c>
    </row>
    <row r="1486" spans="2:30" ht="15" customHeight="1">
      <c r="B1486" s="3" t="str">
        <f>IFERROR(VLOOKUP(C1486,Master!$J:$K,2,0),"")</f>
        <v/>
      </c>
      <c r="D1486" s="4" t="str">
        <f>IFERROR(VLOOKUP(E1486,Master!$J:$K,2,0),"")</f>
        <v/>
      </c>
      <c r="F1486" s="4" t="str">
        <f>IFERROR(VLOOKUP(G1486,Master!B:C,2,0),"")</f>
        <v/>
      </c>
      <c r="I1486" s="3" t="str">
        <f>IFERROR(VLOOKUP(E1486,Master!$J:$M,4,0),"")</f>
        <v/>
      </c>
      <c r="J1486" s="3" t="str">
        <f>IFERROR(VLOOKUP($E1486,Master!$J:$M,3,0),"")</f>
        <v/>
      </c>
      <c r="AC1486" s="26">
        <f t="shared" si="46"/>
        <v>0</v>
      </c>
      <c r="AD1486" s="26">
        <f t="shared" si="47"/>
        <v>0</v>
      </c>
    </row>
    <row r="1487" spans="2:30" ht="15" customHeight="1">
      <c r="B1487" s="3" t="str">
        <f>IFERROR(VLOOKUP(C1487,Master!$J:$K,2,0),"")</f>
        <v/>
      </c>
      <c r="D1487" s="4" t="str">
        <f>IFERROR(VLOOKUP(E1487,Master!$J:$K,2,0),"")</f>
        <v/>
      </c>
      <c r="F1487" s="4" t="str">
        <f>IFERROR(VLOOKUP(G1487,Master!B:C,2,0),"")</f>
        <v/>
      </c>
      <c r="I1487" s="3" t="str">
        <f>IFERROR(VLOOKUP(E1487,Master!$J:$M,4,0),"")</f>
        <v/>
      </c>
      <c r="J1487" s="3" t="str">
        <f>IFERROR(VLOOKUP($E1487,Master!$J:$M,3,0),"")</f>
        <v/>
      </c>
      <c r="AC1487" s="26">
        <f t="shared" si="46"/>
        <v>0</v>
      </c>
      <c r="AD1487" s="26">
        <f t="shared" si="47"/>
        <v>0</v>
      </c>
    </row>
    <row r="1488" spans="2:30" ht="15" customHeight="1">
      <c r="B1488" s="3" t="str">
        <f>IFERROR(VLOOKUP(C1488,Master!$J:$K,2,0),"")</f>
        <v/>
      </c>
      <c r="D1488" s="4" t="str">
        <f>IFERROR(VLOOKUP(E1488,Master!$J:$K,2,0),"")</f>
        <v/>
      </c>
      <c r="F1488" s="4" t="str">
        <f>IFERROR(VLOOKUP(G1488,Master!B:C,2,0),"")</f>
        <v/>
      </c>
      <c r="I1488" s="3" t="str">
        <f>IFERROR(VLOOKUP(E1488,Master!$J:$M,4,0),"")</f>
        <v/>
      </c>
      <c r="J1488" s="3" t="str">
        <f>IFERROR(VLOOKUP($E1488,Master!$J:$M,3,0),"")</f>
        <v/>
      </c>
      <c r="AC1488" s="26">
        <f t="shared" si="46"/>
        <v>0</v>
      </c>
      <c r="AD1488" s="26">
        <f t="shared" si="47"/>
        <v>0</v>
      </c>
    </row>
    <row r="1489" spans="2:30" ht="15" customHeight="1">
      <c r="B1489" s="3" t="str">
        <f>IFERROR(VLOOKUP(C1489,Master!$J:$K,2,0),"")</f>
        <v/>
      </c>
      <c r="D1489" s="4" t="str">
        <f>IFERROR(VLOOKUP(E1489,Master!$J:$K,2,0),"")</f>
        <v/>
      </c>
      <c r="F1489" s="4" t="str">
        <f>IFERROR(VLOOKUP(G1489,Master!B:C,2,0),"")</f>
        <v/>
      </c>
      <c r="I1489" s="3" t="str">
        <f>IFERROR(VLOOKUP(E1489,Master!$J:$M,4,0),"")</f>
        <v/>
      </c>
      <c r="J1489" s="3" t="str">
        <f>IFERROR(VLOOKUP($E1489,Master!$J:$M,3,0),"")</f>
        <v/>
      </c>
      <c r="AC1489" s="26">
        <f t="shared" si="46"/>
        <v>0</v>
      </c>
      <c r="AD1489" s="26">
        <f t="shared" si="47"/>
        <v>0</v>
      </c>
    </row>
    <row r="1490" spans="2:30" ht="15" customHeight="1">
      <c r="B1490" s="3" t="str">
        <f>IFERROR(VLOOKUP(C1490,Master!$J:$K,2,0),"")</f>
        <v/>
      </c>
      <c r="D1490" s="4" t="str">
        <f>IFERROR(VLOOKUP(E1490,Master!$J:$K,2,0),"")</f>
        <v/>
      </c>
      <c r="F1490" s="4" t="str">
        <f>IFERROR(VLOOKUP(G1490,Master!B:C,2,0),"")</f>
        <v/>
      </c>
      <c r="I1490" s="3" t="str">
        <f>IFERROR(VLOOKUP(E1490,Master!$J:$M,4,0),"")</f>
        <v/>
      </c>
      <c r="J1490" s="3" t="str">
        <f>IFERROR(VLOOKUP($E1490,Master!$J:$M,3,0),"")</f>
        <v/>
      </c>
      <c r="AC1490" s="26">
        <f t="shared" si="46"/>
        <v>0</v>
      </c>
      <c r="AD1490" s="26">
        <f t="shared" si="47"/>
        <v>0</v>
      </c>
    </row>
    <row r="1491" spans="2:30" ht="15" customHeight="1">
      <c r="B1491" s="3" t="str">
        <f>IFERROR(VLOOKUP(C1491,Master!$J:$K,2,0),"")</f>
        <v/>
      </c>
      <c r="D1491" s="4" t="str">
        <f>IFERROR(VLOOKUP(E1491,Master!$J:$K,2,0),"")</f>
        <v/>
      </c>
      <c r="F1491" s="4" t="str">
        <f>IFERROR(VLOOKUP(G1491,Master!B:C,2,0),"")</f>
        <v/>
      </c>
      <c r="I1491" s="3" t="str">
        <f>IFERROR(VLOOKUP(E1491,Master!$J:$M,4,0),"")</f>
        <v/>
      </c>
      <c r="J1491" s="3" t="str">
        <f>IFERROR(VLOOKUP($E1491,Master!$J:$M,3,0),"")</f>
        <v/>
      </c>
      <c r="AC1491" s="26">
        <f t="shared" si="46"/>
        <v>0</v>
      </c>
      <c r="AD1491" s="26">
        <f t="shared" si="47"/>
        <v>0</v>
      </c>
    </row>
    <row r="1492" spans="2:30" ht="15" customHeight="1">
      <c r="B1492" s="3" t="str">
        <f>IFERROR(VLOOKUP(C1492,Master!$J:$K,2,0),"")</f>
        <v/>
      </c>
      <c r="D1492" s="4" t="str">
        <f>IFERROR(VLOOKUP(E1492,Master!$J:$K,2,0),"")</f>
        <v/>
      </c>
      <c r="F1492" s="4" t="str">
        <f>IFERROR(VLOOKUP(G1492,Master!B:C,2,0),"")</f>
        <v/>
      </c>
      <c r="I1492" s="3" t="str">
        <f>IFERROR(VLOOKUP(E1492,Master!$J:$M,4,0),"")</f>
        <v/>
      </c>
      <c r="J1492" s="3" t="str">
        <f>IFERROR(VLOOKUP($E1492,Master!$J:$M,3,0),"")</f>
        <v/>
      </c>
      <c r="AC1492" s="26">
        <f t="shared" si="46"/>
        <v>0</v>
      </c>
      <c r="AD1492" s="26">
        <f t="shared" si="47"/>
        <v>0</v>
      </c>
    </row>
    <row r="1493" spans="2:30" ht="15" customHeight="1">
      <c r="B1493" s="3" t="str">
        <f>IFERROR(VLOOKUP(C1493,Master!$J:$K,2,0),"")</f>
        <v/>
      </c>
      <c r="D1493" s="4" t="str">
        <f>IFERROR(VLOOKUP(E1493,Master!$J:$K,2,0),"")</f>
        <v/>
      </c>
      <c r="F1493" s="4" t="str">
        <f>IFERROR(VLOOKUP(G1493,Master!B:C,2,0),"")</f>
        <v/>
      </c>
      <c r="I1493" s="3" t="str">
        <f>IFERROR(VLOOKUP(E1493,Master!$J:$M,4,0),"")</f>
        <v/>
      </c>
      <c r="J1493" s="3" t="str">
        <f>IFERROR(VLOOKUP($E1493,Master!$J:$M,3,0),"")</f>
        <v/>
      </c>
      <c r="AC1493" s="26">
        <f t="shared" si="46"/>
        <v>0</v>
      </c>
      <c r="AD1493" s="26">
        <f t="shared" si="47"/>
        <v>0</v>
      </c>
    </row>
    <row r="1494" spans="2:30" ht="15" customHeight="1">
      <c r="B1494" s="3" t="str">
        <f>IFERROR(VLOOKUP(C1494,Master!$J:$K,2,0),"")</f>
        <v/>
      </c>
      <c r="D1494" s="4" t="str">
        <f>IFERROR(VLOOKUP(E1494,Master!$J:$K,2,0),"")</f>
        <v/>
      </c>
      <c r="F1494" s="4" t="str">
        <f>IFERROR(VLOOKUP(G1494,Master!B:C,2,0),"")</f>
        <v/>
      </c>
      <c r="I1494" s="3" t="str">
        <f>IFERROR(VLOOKUP(E1494,Master!$J:$M,4,0),"")</f>
        <v/>
      </c>
      <c r="J1494" s="3" t="str">
        <f>IFERROR(VLOOKUP($E1494,Master!$J:$M,3,0),"")</f>
        <v/>
      </c>
      <c r="AC1494" s="26">
        <f t="shared" si="46"/>
        <v>0</v>
      </c>
      <c r="AD1494" s="26">
        <f t="shared" si="47"/>
        <v>0</v>
      </c>
    </row>
    <row r="1495" spans="2:30" ht="15" customHeight="1">
      <c r="B1495" s="3" t="str">
        <f>IFERROR(VLOOKUP(C1495,Master!$J:$K,2,0),"")</f>
        <v/>
      </c>
      <c r="D1495" s="4" t="str">
        <f>IFERROR(VLOOKUP(E1495,Master!$J:$K,2,0),"")</f>
        <v/>
      </c>
      <c r="F1495" s="4" t="str">
        <f>IFERROR(VLOOKUP(G1495,Master!B:C,2,0),"")</f>
        <v/>
      </c>
      <c r="I1495" s="3" t="str">
        <f>IFERROR(VLOOKUP(E1495,Master!$J:$M,4,0),"")</f>
        <v/>
      </c>
      <c r="J1495" s="3" t="str">
        <f>IFERROR(VLOOKUP($E1495,Master!$J:$M,3,0),"")</f>
        <v/>
      </c>
      <c r="AC1495" s="26">
        <f t="shared" si="46"/>
        <v>0</v>
      </c>
      <c r="AD1495" s="26">
        <f t="shared" si="47"/>
        <v>0</v>
      </c>
    </row>
    <row r="1496" spans="2:30" ht="15" customHeight="1">
      <c r="B1496" s="3" t="str">
        <f>IFERROR(VLOOKUP(C1496,Master!$J:$K,2,0),"")</f>
        <v/>
      </c>
      <c r="D1496" s="4" t="str">
        <f>IFERROR(VLOOKUP(E1496,Master!$J:$K,2,0),"")</f>
        <v/>
      </c>
      <c r="F1496" s="4" t="str">
        <f>IFERROR(VLOOKUP(G1496,Master!B:C,2,0),"")</f>
        <v/>
      </c>
      <c r="I1496" s="3" t="str">
        <f>IFERROR(VLOOKUP(E1496,Master!$J:$M,4,0),"")</f>
        <v/>
      </c>
      <c r="J1496" s="3" t="str">
        <f>IFERROR(VLOOKUP($E1496,Master!$J:$M,3,0),"")</f>
        <v/>
      </c>
      <c r="AC1496" s="26">
        <f t="shared" si="46"/>
        <v>0</v>
      </c>
      <c r="AD1496" s="26">
        <f t="shared" si="47"/>
        <v>0</v>
      </c>
    </row>
    <row r="1497" spans="2:30" ht="15" customHeight="1">
      <c r="B1497" s="3" t="str">
        <f>IFERROR(VLOOKUP(C1497,Master!$J:$K,2,0),"")</f>
        <v/>
      </c>
      <c r="D1497" s="4" t="str">
        <f>IFERROR(VLOOKUP(E1497,Master!$J:$K,2,0),"")</f>
        <v/>
      </c>
      <c r="F1497" s="4" t="str">
        <f>IFERROR(VLOOKUP(G1497,Master!B:C,2,0),"")</f>
        <v/>
      </c>
      <c r="I1497" s="3" t="str">
        <f>IFERROR(VLOOKUP(E1497,Master!$J:$M,4,0),"")</f>
        <v/>
      </c>
      <c r="J1497" s="3" t="str">
        <f>IFERROR(VLOOKUP($E1497,Master!$J:$M,3,0),"")</f>
        <v/>
      </c>
      <c r="AC1497" s="26">
        <f t="shared" si="46"/>
        <v>0</v>
      </c>
      <c r="AD1497" s="26">
        <f t="shared" si="47"/>
        <v>0</v>
      </c>
    </row>
    <row r="1498" spans="2:30" ht="15" customHeight="1">
      <c r="B1498" s="3" t="str">
        <f>IFERROR(VLOOKUP(C1498,Master!$J:$K,2,0),"")</f>
        <v/>
      </c>
      <c r="D1498" s="4" t="str">
        <f>IFERROR(VLOOKUP(E1498,Master!$J:$K,2,0),"")</f>
        <v/>
      </c>
      <c r="F1498" s="4" t="str">
        <f>IFERROR(VLOOKUP(G1498,Master!B:C,2,0),"")</f>
        <v/>
      </c>
      <c r="I1498" s="3" t="str">
        <f>IFERROR(VLOOKUP(E1498,Master!$J:$M,4,0),"")</f>
        <v/>
      </c>
      <c r="J1498" s="3" t="str">
        <f>IFERROR(VLOOKUP($E1498,Master!$J:$M,3,0),"")</f>
        <v/>
      </c>
      <c r="AC1498" s="26">
        <f t="shared" si="46"/>
        <v>0</v>
      </c>
      <c r="AD1498" s="26">
        <f t="shared" si="47"/>
        <v>0</v>
      </c>
    </row>
    <row r="1499" spans="2:30" ht="15" customHeight="1">
      <c r="B1499" s="3" t="str">
        <f>IFERROR(VLOOKUP(C1499,Master!$J:$K,2,0),"")</f>
        <v/>
      </c>
      <c r="D1499" s="4" t="str">
        <f>IFERROR(VLOOKUP(E1499,Master!$J:$K,2,0),"")</f>
        <v/>
      </c>
      <c r="F1499" s="4" t="str">
        <f>IFERROR(VLOOKUP(G1499,Master!B:C,2,0),"")</f>
        <v/>
      </c>
      <c r="I1499" s="3" t="str">
        <f>IFERROR(VLOOKUP(E1499,Master!$J:$M,4,0),"")</f>
        <v/>
      </c>
      <c r="J1499" s="3" t="str">
        <f>IFERROR(VLOOKUP($E1499,Master!$J:$M,3,0),"")</f>
        <v/>
      </c>
      <c r="AC1499" s="26">
        <f t="shared" si="46"/>
        <v>0</v>
      </c>
      <c r="AD1499" s="26">
        <f t="shared" si="47"/>
        <v>0</v>
      </c>
    </row>
    <row r="1500" spans="2:30" ht="15" customHeight="1">
      <c r="B1500" s="3" t="str">
        <f>IFERROR(VLOOKUP(C1500,Master!$J:$K,2,0),"")</f>
        <v/>
      </c>
      <c r="D1500" s="4" t="str">
        <f>IFERROR(VLOOKUP(E1500,Master!$J:$K,2,0),"")</f>
        <v/>
      </c>
      <c r="F1500" s="4" t="str">
        <f>IFERROR(VLOOKUP(G1500,Master!B:C,2,0),"")</f>
        <v/>
      </c>
      <c r="I1500" s="3" t="str">
        <f>IFERROR(VLOOKUP(E1500,Master!$J:$M,4,0),"")</f>
        <v/>
      </c>
      <c r="J1500" s="3" t="str">
        <f>IFERROR(VLOOKUP($E1500,Master!$J:$M,3,0),"")</f>
        <v/>
      </c>
      <c r="AC1500" s="26">
        <f t="shared" si="46"/>
        <v>0</v>
      </c>
      <c r="AD1500" s="26">
        <f t="shared" si="47"/>
        <v>0</v>
      </c>
    </row>
  </sheetData>
  <phoneticPr fontId="7" type="noConversion"/>
  <conditionalFormatting sqref="A1:A1048576 C1:C1048576 E1:E1048576 G1:H1048576 AE1:AG1048576">
    <cfRule type="containsBlanks" dxfId="3" priority="3">
      <formula>LEN(TRIM(A1))=0</formula>
    </cfRule>
  </conditionalFormatting>
  <conditionalFormatting sqref="AC1:AD1048576 AH1:AH1048576 F1:F1048576 D1:D1048576 B1:B1048576 I1:J1048576">
    <cfRule type="containsBlanks" dxfId="2" priority="2">
      <formula>LEN(TRIM(B1))=0</formula>
    </cfRule>
  </conditionalFormatting>
  <conditionalFormatting sqref="K1:AB1048576">
    <cfRule type="expression" priority="4">
      <formula>#REF! &gt; 0</formula>
    </cfRule>
    <cfRule type="containsBlanks" dxfId="1" priority="5">
      <formula>LEN(TRIM(K1))=0</formula>
    </cfRule>
  </conditionalFormatting>
  <conditionalFormatting sqref="AC1:AD1048576">
    <cfRule type="cellIs" dxfId="0" priority="1" operator="equal">
      <formula>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6E0DD80-CD35-4C25-9DC8-E570F3D90499}">
          <x14:formula1>
            <xm:f>Master!$S$2:$S$4</xm:f>
          </x14:formula1>
          <xm:sqref>AG2:AG1048576</xm:sqref>
        </x14:dataValidation>
        <x14:dataValidation type="list" allowBlank="1" showInputMessage="1" showErrorMessage="1" xr:uid="{B2D72DC4-0A7F-4D53-BA81-97C7B67C5AC7}">
          <x14:formula1>
            <xm:f>Master!$P$6:$P$7</xm:f>
          </x14:formula1>
          <xm:sqref>A2:A1048576</xm:sqref>
        </x14:dataValidation>
        <x14:dataValidation type="list" allowBlank="1" showInputMessage="1" showErrorMessage="1" xr:uid="{E7A2D90E-BC03-4668-96C5-2D0778242D9A}">
          <x14:formula1>
            <xm:f>Master!$J$2:$J$42</xm:f>
          </x14:formula1>
          <xm:sqref>C2:C1048576 E2:E1048576</xm:sqref>
        </x14:dataValidation>
        <x14:dataValidation type="list" allowBlank="1" showInputMessage="1" showErrorMessage="1" xr:uid="{9DA95747-580A-4CFA-8FE3-28C4B7AA5D8C}">
          <x14:formula1>
            <xm:f>Master!$B$2:$B$174</xm:f>
          </x14:formula1>
          <xm:sqref>G2:G1048576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3CC09-F54F-4602-9602-D049D82F822B}">
  <sheetPr>
    <pageSetUpPr fitToPage="1"/>
  </sheetPr>
  <dimension ref="A1:U174"/>
  <sheetViews>
    <sheetView zoomScale="80" zoomScaleNormal="80" workbookViewId="0">
      <pane xSplit="2" ySplit="1" topLeftCell="C2" activePane="bottomRight" state="frozenSplit"/>
      <selection activeCell="B16" sqref="B16"/>
      <selection pane="topRight"/>
      <selection pane="bottomLeft"/>
      <selection pane="bottomRight" activeCell="B16" sqref="B16"/>
    </sheetView>
  </sheetViews>
  <sheetFormatPr defaultColWidth="8.85546875" defaultRowHeight="18" customHeight="1"/>
  <cols>
    <col min="1" max="1" width="10.5703125" style="9" bestFit="1" customWidth="1"/>
    <col min="2" max="2" width="56.140625" style="8" bestFit="1" customWidth="1"/>
    <col min="3" max="3" width="10.5703125" style="9" bestFit="1" customWidth="1"/>
    <col min="4" max="4" width="10.5703125" style="9" hidden="1" customWidth="1"/>
    <col min="5" max="5" width="12.5703125" style="10" bestFit="1" customWidth="1"/>
    <col min="6" max="6" width="12.42578125" style="10" bestFit="1" customWidth="1"/>
    <col min="7" max="7" width="13.85546875" style="10" bestFit="1" customWidth="1"/>
    <col min="8" max="8" width="50.5703125" style="8" customWidth="1"/>
    <col min="9" max="9" width="0.85546875" style="32" customWidth="1"/>
    <col min="10" max="10" width="28.5703125" style="8" bestFit="1" customWidth="1"/>
    <col min="11" max="11" width="11.42578125" style="9" bestFit="1" customWidth="1"/>
    <col min="12" max="12" width="15.85546875" style="8" bestFit="1" customWidth="1"/>
    <col min="13" max="13" width="19.42578125" style="8" bestFit="1" customWidth="1"/>
    <col min="14" max="14" width="28.5703125" style="8" bestFit="1" customWidth="1"/>
    <col min="15" max="15" width="0.85546875" style="32" customWidth="1"/>
    <col min="16" max="16" width="9.85546875" style="8" bestFit="1" customWidth="1"/>
    <col min="17" max="17" width="19.5703125" style="8" bestFit="1" customWidth="1"/>
    <col min="18" max="18" width="0.85546875" style="32" customWidth="1"/>
    <col min="19" max="19" width="18.42578125" style="19" bestFit="1" customWidth="1"/>
    <col min="20" max="20" width="19" style="20" bestFit="1" customWidth="1"/>
    <col min="21" max="21" width="72.5703125" style="21" bestFit="1" customWidth="1"/>
    <col min="22" max="22" width="8.85546875" style="8" customWidth="1"/>
    <col min="23" max="16384" width="8.85546875" style="8"/>
  </cols>
  <sheetData>
    <row r="1" spans="1:21" s="7" customFormat="1" ht="60" customHeight="1">
      <c r="A1" s="33" t="s">
        <v>34</v>
      </c>
      <c r="B1" s="33" t="s">
        <v>35</v>
      </c>
      <c r="C1" s="33" t="s">
        <v>34</v>
      </c>
      <c r="D1" s="33" t="s">
        <v>34</v>
      </c>
      <c r="E1" s="34" t="s">
        <v>36</v>
      </c>
      <c r="F1" s="34" t="s">
        <v>37</v>
      </c>
      <c r="G1" s="34" t="s">
        <v>38</v>
      </c>
      <c r="H1" s="33" t="s">
        <v>39</v>
      </c>
      <c r="I1" s="35"/>
      <c r="J1" s="5" t="s">
        <v>40</v>
      </c>
      <c r="K1" s="5" t="s">
        <v>41</v>
      </c>
      <c r="L1" s="36" t="s">
        <v>9</v>
      </c>
      <c r="M1" s="36" t="s">
        <v>8</v>
      </c>
      <c r="N1" s="5" t="s">
        <v>42</v>
      </c>
      <c r="O1" s="37"/>
      <c r="P1" s="52" t="s">
        <v>43</v>
      </c>
      <c r="Q1" s="52" t="s">
        <v>44</v>
      </c>
      <c r="R1" s="37"/>
      <c r="S1" s="5" t="s">
        <v>45</v>
      </c>
      <c r="T1" s="5" t="s">
        <v>46</v>
      </c>
      <c r="U1" s="6" t="s">
        <v>39</v>
      </c>
    </row>
    <row r="2" spans="1:21" ht="18" customHeight="1">
      <c r="A2" s="9">
        <v>7511101</v>
      </c>
      <c r="B2" s="8" t="s">
        <v>47</v>
      </c>
      <c r="C2" s="9">
        <v>7511101</v>
      </c>
      <c r="D2" s="9">
        <v>7511101</v>
      </c>
      <c r="E2" s="10" t="s">
        <v>48</v>
      </c>
      <c r="F2" s="11" t="s">
        <v>49</v>
      </c>
      <c r="G2" s="10" t="s">
        <v>50</v>
      </c>
      <c r="H2" s="8" t="s">
        <v>47</v>
      </c>
      <c r="J2" s="12" t="s">
        <v>51</v>
      </c>
      <c r="K2" s="13" t="s">
        <v>52</v>
      </c>
      <c r="L2" s="14" t="s">
        <v>48</v>
      </c>
      <c r="M2" s="15" t="s">
        <v>53</v>
      </c>
      <c r="N2" s="15" t="s">
        <v>51</v>
      </c>
      <c r="P2" s="15">
        <v>53450</v>
      </c>
      <c r="Q2" s="15" t="s">
        <v>54</v>
      </c>
      <c r="S2" s="16" t="s">
        <v>55</v>
      </c>
      <c r="T2" s="17" t="s">
        <v>56</v>
      </c>
      <c r="U2" s="18" t="s">
        <v>57</v>
      </c>
    </row>
    <row r="3" spans="1:21" ht="18" customHeight="1">
      <c r="A3" s="9">
        <v>7511102</v>
      </c>
      <c r="B3" s="8" t="s">
        <v>58</v>
      </c>
      <c r="C3" s="9">
        <v>7511102</v>
      </c>
      <c r="D3" s="9">
        <v>7511102</v>
      </c>
      <c r="E3" s="10" t="s">
        <v>48</v>
      </c>
      <c r="F3" s="11" t="s">
        <v>59</v>
      </c>
      <c r="G3" s="10" t="s">
        <v>50</v>
      </c>
      <c r="H3" s="8" t="s">
        <v>60</v>
      </c>
      <c r="J3" s="12" t="s">
        <v>61</v>
      </c>
      <c r="K3" s="13" t="s">
        <v>62</v>
      </c>
      <c r="L3" s="14" t="s">
        <v>48</v>
      </c>
      <c r="M3" s="15" t="s">
        <v>53</v>
      </c>
      <c r="N3" s="15" t="s">
        <v>61</v>
      </c>
      <c r="P3" s="15"/>
      <c r="Q3" s="15"/>
      <c r="S3" s="16" t="s">
        <v>63</v>
      </c>
      <c r="T3" s="17" t="s">
        <v>64</v>
      </c>
      <c r="U3" s="18" t="s">
        <v>65</v>
      </c>
    </row>
    <row r="4" spans="1:21" ht="18" customHeight="1">
      <c r="A4" s="9">
        <v>7511103</v>
      </c>
      <c r="B4" s="8" t="s">
        <v>66</v>
      </c>
      <c r="C4" s="9">
        <v>7511103</v>
      </c>
      <c r="D4" s="9">
        <v>7511103</v>
      </c>
      <c r="E4" s="10" t="s">
        <v>48</v>
      </c>
      <c r="F4" s="11" t="s">
        <v>67</v>
      </c>
      <c r="G4" s="10" t="s">
        <v>68</v>
      </c>
      <c r="H4" s="8" t="s">
        <v>69</v>
      </c>
      <c r="J4" s="12" t="s">
        <v>70</v>
      </c>
      <c r="K4" s="13" t="s">
        <v>71</v>
      </c>
      <c r="L4" s="14" t="s">
        <v>48</v>
      </c>
      <c r="M4" s="15" t="s">
        <v>53</v>
      </c>
      <c r="N4" s="15" t="s">
        <v>70</v>
      </c>
      <c r="P4" s="15"/>
      <c r="Q4" s="15"/>
      <c r="S4" s="16" t="s">
        <v>72</v>
      </c>
      <c r="T4" s="17" t="s">
        <v>73</v>
      </c>
      <c r="U4" s="18" t="s">
        <v>74</v>
      </c>
    </row>
    <row r="5" spans="1:21" ht="18" customHeight="1">
      <c r="A5" s="9">
        <v>7511111</v>
      </c>
      <c r="B5" s="8" t="s">
        <v>75</v>
      </c>
      <c r="C5" s="9">
        <v>7511111</v>
      </c>
      <c r="D5" s="9">
        <v>7511111</v>
      </c>
      <c r="E5" s="10" t="s">
        <v>48</v>
      </c>
      <c r="F5" s="11" t="s">
        <v>76</v>
      </c>
      <c r="G5" s="10" t="s">
        <v>68</v>
      </c>
      <c r="H5" s="8" t="s">
        <v>77</v>
      </c>
      <c r="J5" s="12" t="s">
        <v>78</v>
      </c>
      <c r="K5" s="13" t="s">
        <v>79</v>
      </c>
      <c r="L5" s="14" t="s">
        <v>48</v>
      </c>
      <c r="M5" s="15" t="s">
        <v>53</v>
      </c>
      <c r="N5" s="15" t="s">
        <v>78</v>
      </c>
    </row>
    <row r="6" spans="1:21" ht="18" customHeight="1">
      <c r="A6" s="9">
        <v>7511112</v>
      </c>
      <c r="B6" s="8" t="s">
        <v>80</v>
      </c>
      <c r="C6" s="9">
        <v>7511112</v>
      </c>
      <c r="D6" s="9">
        <v>7511112</v>
      </c>
      <c r="E6" s="10" t="s">
        <v>48</v>
      </c>
      <c r="F6" s="11" t="s">
        <v>81</v>
      </c>
      <c r="G6" s="10" t="s">
        <v>68</v>
      </c>
      <c r="H6" s="8" t="s">
        <v>82</v>
      </c>
      <c r="J6" s="12" t="s">
        <v>83</v>
      </c>
      <c r="K6" s="13" t="s">
        <v>84</v>
      </c>
      <c r="L6" s="14" t="s">
        <v>48</v>
      </c>
      <c r="M6" s="15" t="s">
        <v>53</v>
      </c>
      <c r="N6" s="15" t="s">
        <v>83</v>
      </c>
      <c r="P6" s="8" t="s">
        <v>85</v>
      </c>
    </row>
    <row r="7" spans="1:21" ht="18" customHeight="1">
      <c r="A7" s="9">
        <v>7511121</v>
      </c>
      <c r="B7" s="8" t="s">
        <v>86</v>
      </c>
      <c r="C7" s="9">
        <v>7511121</v>
      </c>
      <c r="D7" s="9">
        <v>7511121</v>
      </c>
      <c r="E7" s="10" t="s">
        <v>48</v>
      </c>
      <c r="F7" s="11" t="s">
        <v>87</v>
      </c>
      <c r="G7" s="10" t="s">
        <v>68</v>
      </c>
      <c r="H7" s="8" t="s">
        <v>88</v>
      </c>
      <c r="J7" s="12" t="s">
        <v>89</v>
      </c>
      <c r="K7" s="13" t="s">
        <v>90</v>
      </c>
      <c r="L7" s="14" t="s">
        <v>48</v>
      </c>
      <c r="M7" s="15" t="s">
        <v>53</v>
      </c>
      <c r="N7" s="15" t="s">
        <v>89</v>
      </c>
      <c r="P7" s="8" t="s">
        <v>91</v>
      </c>
    </row>
    <row r="8" spans="1:21" ht="18" customHeight="1">
      <c r="A8" s="9">
        <v>7511122</v>
      </c>
      <c r="B8" s="8" t="s">
        <v>92</v>
      </c>
      <c r="C8" s="9">
        <v>7511122</v>
      </c>
      <c r="D8" s="9">
        <v>7511122</v>
      </c>
      <c r="E8" s="10" t="s">
        <v>48</v>
      </c>
      <c r="F8" s="11" t="s">
        <v>93</v>
      </c>
      <c r="G8" s="10" t="s">
        <v>68</v>
      </c>
      <c r="H8" s="8" t="s">
        <v>94</v>
      </c>
      <c r="J8" s="12" t="s">
        <v>95</v>
      </c>
      <c r="K8" s="13" t="s">
        <v>96</v>
      </c>
      <c r="L8" s="14" t="s">
        <v>48</v>
      </c>
      <c r="M8" s="15" t="s">
        <v>53</v>
      </c>
      <c r="N8" s="15" t="s">
        <v>95</v>
      </c>
    </row>
    <row r="9" spans="1:21" ht="18" customHeight="1">
      <c r="A9" s="9">
        <v>7511201</v>
      </c>
      <c r="B9" s="8" t="s">
        <v>97</v>
      </c>
      <c r="C9" s="9">
        <v>7511201</v>
      </c>
      <c r="D9" s="9">
        <v>7511201</v>
      </c>
      <c r="E9" s="10" t="s">
        <v>48</v>
      </c>
      <c r="F9" s="11" t="s">
        <v>98</v>
      </c>
      <c r="G9" s="10" t="s">
        <v>99</v>
      </c>
      <c r="H9" s="8" t="s">
        <v>100</v>
      </c>
      <c r="J9" s="12" t="s">
        <v>101</v>
      </c>
      <c r="K9" s="13" t="s">
        <v>102</v>
      </c>
      <c r="L9" s="14" t="s">
        <v>48</v>
      </c>
      <c r="M9" s="15" t="s">
        <v>53</v>
      </c>
      <c r="N9" s="15" t="s">
        <v>101</v>
      </c>
    </row>
    <row r="10" spans="1:21" ht="18" customHeight="1">
      <c r="A10" s="9">
        <v>7512111</v>
      </c>
      <c r="B10" s="8" t="s">
        <v>103</v>
      </c>
      <c r="C10" s="9">
        <v>7512111</v>
      </c>
      <c r="D10" s="9">
        <v>7512111</v>
      </c>
      <c r="E10" s="10" t="s">
        <v>48</v>
      </c>
      <c r="F10" s="11" t="s">
        <v>104</v>
      </c>
      <c r="G10" s="10" t="s">
        <v>105</v>
      </c>
      <c r="H10" s="8" t="s">
        <v>106</v>
      </c>
      <c r="J10" s="12" t="s">
        <v>107</v>
      </c>
      <c r="K10" s="13" t="s">
        <v>108</v>
      </c>
      <c r="L10" s="14" t="s">
        <v>48</v>
      </c>
      <c r="M10" s="15" t="s">
        <v>53</v>
      </c>
      <c r="N10" s="15" t="s">
        <v>107</v>
      </c>
    </row>
    <row r="11" spans="1:21" ht="18" customHeight="1">
      <c r="A11" s="9">
        <v>7512112</v>
      </c>
      <c r="B11" s="8" t="s">
        <v>109</v>
      </c>
      <c r="C11" s="9">
        <v>7512112</v>
      </c>
      <c r="D11" s="9">
        <v>7512112</v>
      </c>
      <c r="E11" s="10" t="s">
        <v>48</v>
      </c>
      <c r="F11" s="11" t="s">
        <v>110</v>
      </c>
      <c r="G11" s="10" t="s">
        <v>105</v>
      </c>
      <c r="H11" s="8" t="s">
        <v>111</v>
      </c>
      <c r="J11" s="12" t="s">
        <v>112</v>
      </c>
      <c r="K11" s="13" t="s">
        <v>113</v>
      </c>
      <c r="L11" s="14" t="s">
        <v>48</v>
      </c>
      <c r="M11" s="15" t="s">
        <v>53</v>
      </c>
      <c r="N11" s="15" t="s">
        <v>112</v>
      </c>
    </row>
    <row r="12" spans="1:21" ht="18" customHeight="1">
      <c r="A12" s="9">
        <v>7514101</v>
      </c>
      <c r="B12" s="8" t="s">
        <v>114</v>
      </c>
      <c r="C12" s="9">
        <v>7514101</v>
      </c>
      <c r="D12" s="9">
        <v>7514101</v>
      </c>
      <c r="E12" s="10" t="s">
        <v>48</v>
      </c>
      <c r="F12" s="11" t="s">
        <v>115</v>
      </c>
      <c r="G12" s="10" t="s">
        <v>68</v>
      </c>
      <c r="H12" s="8" t="s">
        <v>116</v>
      </c>
      <c r="J12" s="12" t="s">
        <v>117</v>
      </c>
      <c r="K12" s="13" t="s">
        <v>118</v>
      </c>
      <c r="L12" s="14" t="s">
        <v>48</v>
      </c>
      <c r="M12" s="15" t="s">
        <v>53</v>
      </c>
      <c r="N12" s="15" t="s">
        <v>117</v>
      </c>
    </row>
    <row r="13" spans="1:21" ht="18" customHeight="1">
      <c r="A13" s="9">
        <v>7514102</v>
      </c>
      <c r="B13" s="8" t="s">
        <v>119</v>
      </c>
      <c r="C13" s="9">
        <v>7514102</v>
      </c>
      <c r="D13" s="9">
        <v>7514102</v>
      </c>
      <c r="E13" s="10" t="s">
        <v>48</v>
      </c>
      <c r="F13" s="11" t="s">
        <v>120</v>
      </c>
      <c r="G13" s="10" t="s">
        <v>68</v>
      </c>
      <c r="H13" s="8" t="s">
        <v>121</v>
      </c>
      <c r="J13" s="12" t="s">
        <v>122</v>
      </c>
      <c r="K13" s="13" t="s">
        <v>123</v>
      </c>
      <c r="L13" s="14" t="s">
        <v>48</v>
      </c>
      <c r="M13" s="15" t="s">
        <v>53</v>
      </c>
      <c r="N13" s="15" t="s">
        <v>122</v>
      </c>
    </row>
    <row r="14" spans="1:21" ht="18" customHeight="1">
      <c r="A14" s="9">
        <v>7515401</v>
      </c>
      <c r="B14" s="8" t="s">
        <v>124</v>
      </c>
      <c r="C14" s="9">
        <v>7515401</v>
      </c>
      <c r="D14" s="9">
        <v>7515401</v>
      </c>
      <c r="E14" s="10" t="s">
        <v>48</v>
      </c>
      <c r="F14" s="11" t="s">
        <v>125</v>
      </c>
      <c r="G14" s="10" t="s">
        <v>105</v>
      </c>
      <c r="H14" s="8" t="s">
        <v>126</v>
      </c>
      <c r="J14" s="12" t="s">
        <v>127</v>
      </c>
      <c r="K14" s="13" t="s">
        <v>128</v>
      </c>
      <c r="L14" s="14" t="s">
        <v>48</v>
      </c>
      <c r="M14" s="15" t="s">
        <v>53</v>
      </c>
      <c r="N14" s="15" t="s">
        <v>127</v>
      </c>
    </row>
    <row r="15" spans="1:21" ht="18" customHeight="1">
      <c r="A15" s="9">
        <v>7515402</v>
      </c>
      <c r="B15" s="8" t="s">
        <v>129</v>
      </c>
      <c r="C15" s="9">
        <v>7515402</v>
      </c>
      <c r="D15" s="9">
        <v>7515402</v>
      </c>
      <c r="E15" s="10" t="s">
        <v>48</v>
      </c>
      <c r="F15" s="11" t="s">
        <v>130</v>
      </c>
      <c r="G15" s="10" t="s">
        <v>105</v>
      </c>
      <c r="H15" s="8" t="s">
        <v>131</v>
      </c>
      <c r="J15" s="12" t="s">
        <v>132</v>
      </c>
      <c r="K15" s="13" t="s">
        <v>133</v>
      </c>
      <c r="L15" s="14" t="s">
        <v>48</v>
      </c>
      <c r="M15" s="15" t="s">
        <v>53</v>
      </c>
      <c r="N15" s="15" t="s">
        <v>132</v>
      </c>
    </row>
    <row r="16" spans="1:21" customFormat="1" ht="18" customHeight="1">
      <c r="A16" s="9">
        <v>7515403</v>
      </c>
      <c r="B16" s="8" t="s">
        <v>134</v>
      </c>
      <c r="C16" s="9">
        <v>7515403</v>
      </c>
      <c r="D16" s="9">
        <v>7515403</v>
      </c>
      <c r="E16" s="10" t="s">
        <v>48</v>
      </c>
      <c r="F16" s="11" t="s">
        <v>135</v>
      </c>
      <c r="G16" s="10" t="s">
        <v>105</v>
      </c>
      <c r="H16" s="8" t="s">
        <v>136</v>
      </c>
      <c r="I16" s="38"/>
      <c r="J16" s="12" t="s">
        <v>137</v>
      </c>
      <c r="K16" s="13" t="s">
        <v>138</v>
      </c>
      <c r="L16" s="15" t="s">
        <v>139</v>
      </c>
      <c r="M16" s="15" t="s">
        <v>140</v>
      </c>
      <c r="N16" s="15" t="s">
        <v>137</v>
      </c>
      <c r="O16" s="38"/>
      <c r="R16" s="38"/>
    </row>
    <row r="17" spans="1:18" ht="18" customHeight="1">
      <c r="A17" s="9">
        <v>7515404</v>
      </c>
      <c r="B17" s="8" t="s">
        <v>141</v>
      </c>
      <c r="C17" s="9">
        <v>7515404</v>
      </c>
      <c r="D17" s="9">
        <v>7515404</v>
      </c>
      <c r="E17" s="10" t="s">
        <v>48</v>
      </c>
      <c r="F17" s="11" t="s">
        <v>142</v>
      </c>
      <c r="G17" s="10" t="s">
        <v>105</v>
      </c>
      <c r="H17" s="8" t="s">
        <v>143</v>
      </c>
      <c r="I17" s="38"/>
      <c r="J17" s="12" t="s">
        <v>144</v>
      </c>
      <c r="K17" s="13" t="s">
        <v>145</v>
      </c>
      <c r="L17" s="15" t="s">
        <v>139</v>
      </c>
      <c r="M17" s="15" t="s">
        <v>140</v>
      </c>
      <c r="N17" s="15" t="s">
        <v>144</v>
      </c>
      <c r="O17" s="38"/>
      <c r="R17" s="38"/>
    </row>
    <row r="18" spans="1:18" ht="18" customHeight="1">
      <c r="A18" s="9">
        <v>7515405</v>
      </c>
      <c r="B18" s="8" t="s">
        <v>146</v>
      </c>
      <c r="C18" s="9">
        <v>7515405</v>
      </c>
      <c r="D18" s="9">
        <v>7515405</v>
      </c>
      <c r="E18" s="10" t="s">
        <v>48</v>
      </c>
      <c r="F18" s="11" t="s">
        <v>147</v>
      </c>
      <c r="G18" s="10" t="s">
        <v>105</v>
      </c>
      <c r="H18" s="8" t="s">
        <v>148</v>
      </c>
      <c r="J18" s="12" t="s">
        <v>149</v>
      </c>
      <c r="K18" s="13" t="s">
        <v>150</v>
      </c>
      <c r="L18" s="15" t="s">
        <v>139</v>
      </c>
      <c r="M18" s="15" t="s">
        <v>140</v>
      </c>
      <c r="N18" s="15" t="s">
        <v>149</v>
      </c>
    </row>
    <row r="19" spans="1:18" ht="18" customHeight="1">
      <c r="A19" s="9">
        <v>7515406</v>
      </c>
      <c r="B19" s="8" t="s">
        <v>151</v>
      </c>
      <c r="C19" s="9">
        <v>7515406</v>
      </c>
      <c r="D19" s="9">
        <v>7515406</v>
      </c>
      <c r="E19" s="10" t="s">
        <v>48</v>
      </c>
      <c r="F19" s="11" t="s">
        <v>152</v>
      </c>
      <c r="G19" s="10" t="s">
        <v>105</v>
      </c>
      <c r="H19" s="8" t="s">
        <v>153</v>
      </c>
      <c r="J19" s="12" t="s">
        <v>154</v>
      </c>
      <c r="K19" s="13" t="s">
        <v>155</v>
      </c>
      <c r="L19" s="15" t="s">
        <v>139</v>
      </c>
      <c r="M19" s="15" t="s">
        <v>140</v>
      </c>
      <c r="N19" s="15" t="s">
        <v>154</v>
      </c>
    </row>
    <row r="20" spans="1:18" ht="18" customHeight="1">
      <c r="A20" s="9">
        <v>7515407</v>
      </c>
      <c r="B20" s="8" t="s">
        <v>156</v>
      </c>
      <c r="C20" s="9">
        <v>7515407</v>
      </c>
      <c r="D20" s="9">
        <v>7515407</v>
      </c>
      <c r="E20" s="10" t="s">
        <v>48</v>
      </c>
      <c r="F20" s="11" t="s">
        <v>157</v>
      </c>
      <c r="G20" s="10" t="s">
        <v>105</v>
      </c>
      <c r="J20" s="12" t="s">
        <v>158</v>
      </c>
      <c r="K20" s="13" t="s">
        <v>159</v>
      </c>
      <c r="L20" s="15" t="s">
        <v>139</v>
      </c>
      <c r="M20" s="15" t="s">
        <v>140</v>
      </c>
      <c r="N20" s="15" t="s">
        <v>158</v>
      </c>
    </row>
    <row r="21" spans="1:18" ht="18" customHeight="1">
      <c r="A21" s="9">
        <v>7515408</v>
      </c>
      <c r="B21" s="8" t="s">
        <v>160</v>
      </c>
      <c r="C21" s="9">
        <v>7515408</v>
      </c>
      <c r="D21" s="9">
        <v>7515408</v>
      </c>
      <c r="E21" s="10" t="s">
        <v>48</v>
      </c>
      <c r="F21" s="11" t="s">
        <v>161</v>
      </c>
      <c r="G21" s="10" t="s">
        <v>105</v>
      </c>
      <c r="H21" s="8" t="s">
        <v>162</v>
      </c>
      <c r="J21" s="12" t="s">
        <v>163</v>
      </c>
      <c r="K21" s="13" t="s">
        <v>164</v>
      </c>
      <c r="L21" s="15" t="s">
        <v>139</v>
      </c>
      <c r="M21" s="15" t="s">
        <v>140</v>
      </c>
      <c r="N21" s="15" t="s">
        <v>163</v>
      </c>
    </row>
    <row r="22" spans="1:18" ht="18" customHeight="1">
      <c r="A22" s="9">
        <v>7515409</v>
      </c>
      <c r="B22" s="8" t="s">
        <v>165</v>
      </c>
      <c r="C22" s="9">
        <v>7515409</v>
      </c>
      <c r="D22" s="9">
        <v>7515409</v>
      </c>
      <c r="E22" s="10" t="s">
        <v>48</v>
      </c>
      <c r="F22" s="11" t="s">
        <v>166</v>
      </c>
      <c r="G22" s="10" t="s">
        <v>105</v>
      </c>
      <c r="H22" s="8" t="s">
        <v>167</v>
      </c>
      <c r="J22" s="12" t="s">
        <v>168</v>
      </c>
      <c r="K22" s="13" t="s">
        <v>169</v>
      </c>
      <c r="L22" s="15" t="s">
        <v>139</v>
      </c>
      <c r="M22" s="15" t="s">
        <v>140</v>
      </c>
      <c r="N22" s="15" t="s">
        <v>168</v>
      </c>
    </row>
    <row r="23" spans="1:18" ht="18" customHeight="1">
      <c r="A23" s="9">
        <v>7515410</v>
      </c>
      <c r="B23" s="8" t="s">
        <v>170</v>
      </c>
      <c r="C23" s="9">
        <v>7515410</v>
      </c>
      <c r="D23" s="9">
        <v>7515410</v>
      </c>
      <c r="E23" s="10" t="s">
        <v>48</v>
      </c>
      <c r="F23" s="11" t="s">
        <v>171</v>
      </c>
      <c r="G23" s="10" t="s">
        <v>105</v>
      </c>
      <c r="H23" s="8" t="s">
        <v>172</v>
      </c>
      <c r="J23" s="12" t="s">
        <v>173</v>
      </c>
      <c r="K23" s="13" t="s">
        <v>174</v>
      </c>
      <c r="L23" s="15" t="s">
        <v>139</v>
      </c>
      <c r="M23" s="15" t="s">
        <v>140</v>
      </c>
      <c r="N23" s="15" t="s">
        <v>173</v>
      </c>
    </row>
    <row r="24" spans="1:18" ht="18" customHeight="1">
      <c r="A24" s="9">
        <v>7515499</v>
      </c>
      <c r="B24" s="8" t="s">
        <v>175</v>
      </c>
      <c r="C24" s="9">
        <v>7515499</v>
      </c>
      <c r="D24" s="9">
        <v>7515499</v>
      </c>
      <c r="E24" s="10" t="s">
        <v>48</v>
      </c>
      <c r="F24" s="11" t="s">
        <v>176</v>
      </c>
      <c r="G24" s="10" t="s">
        <v>105</v>
      </c>
      <c r="H24" s="8" t="s">
        <v>177</v>
      </c>
      <c r="J24" s="12" t="s">
        <v>178</v>
      </c>
      <c r="K24" s="13" t="s">
        <v>179</v>
      </c>
      <c r="L24" s="15" t="s">
        <v>139</v>
      </c>
      <c r="M24" s="15" t="s">
        <v>140</v>
      </c>
      <c r="N24" s="15" t="s">
        <v>178</v>
      </c>
    </row>
    <row r="25" spans="1:18" ht="18" customHeight="1">
      <c r="A25" s="9">
        <v>7516102</v>
      </c>
      <c r="B25" s="8" t="s">
        <v>180</v>
      </c>
      <c r="C25" s="9">
        <v>7516102</v>
      </c>
      <c r="D25" s="9">
        <v>7516102</v>
      </c>
      <c r="E25" s="10" t="s">
        <v>48</v>
      </c>
      <c r="F25" s="11" t="s">
        <v>181</v>
      </c>
      <c r="G25" s="10" t="s">
        <v>182</v>
      </c>
      <c r="H25" s="8" t="s">
        <v>183</v>
      </c>
      <c r="J25" s="12" t="s">
        <v>184</v>
      </c>
      <c r="K25" s="13" t="s">
        <v>185</v>
      </c>
      <c r="L25" s="15" t="s">
        <v>139</v>
      </c>
      <c r="M25" s="15" t="s">
        <v>140</v>
      </c>
      <c r="N25" s="15" t="s">
        <v>184</v>
      </c>
    </row>
    <row r="26" spans="1:18" ht="18" customHeight="1">
      <c r="A26" s="9">
        <v>7519101</v>
      </c>
      <c r="B26" s="8" t="s">
        <v>186</v>
      </c>
      <c r="C26" s="9">
        <v>7519101</v>
      </c>
      <c r="D26" s="9">
        <v>7519101</v>
      </c>
      <c r="E26" s="10" t="s">
        <v>48</v>
      </c>
      <c r="F26" s="11" t="s">
        <v>187</v>
      </c>
      <c r="G26" s="10" t="s">
        <v>50</v>
      </c>
      <c r="H26" s="8" t="s">
        <v>188</v>
      </c>
      <c r="J26" s="12" t="s">
        <v>189</v>
      </c>
      <c r="K26" s="13" t="s">
        <v>190</v>
      </c>
      <c r="L26" s="15" t="s">
        <v>139</v>
      </c>
      <c r="M26" s="15" t="s">
        <v>140</v>
      </c>
      <c r="N26" s="15" t="s">
        <v>189</v>
      </c>
    </row>
    <row r="27" spans="1:18" ht="18" customHeight="1">
      <c r="A27" s="9">
        <v>7521101</v>
      </c>
      <c r="B27" s="8" t="s">
        <v>191</v>
      </c>
      <c r="C27" s="9">
        <v>7521101</v>
      </c>
      <c r="D27" s="9">
        <v>7521101</v>
      </c>
      <c r="E27" s="10" t="s">
        <v>48</v>
      </c>
      <c r="F27" s="11" t="s">
        <v>192</v>
      </c>
      <c r="G27" s="10" t="s">
        <v>68</v>
      </c>
      <c r="H27" s="8" t="s">
        <v>193</v>
      </c>
      <c r="J27" s="12" t="s">
        <v>194</v>
      </c>
      <c r="K27" s="13" t="s">
        <v>195</v>
      </c>
      <c r="L27" s="15" t="s">
        <v>139</v>
      </c>
      <c r="M27" s="15" t="s">
        <v>140</v>
      </c>
      <c r="N27" s="15" t="s">
        <v>194</v>
      </c>
    </row>
    <row r="28" spans="1:18" ht="18" customHeight="1">
      <c r="A28" s="9">
        <v>7521102</v>
      </c>
      <c r="B28" s="8" t="s">
        <v>196</v>
      </c>
      <c r="C28" s="9">
        <v>7521102</v>
      </c>
      <c r="D28" s="9">
        <v>7521102</v>
      </c>
      <c r="E28" s="10" t="s">
        <v>48</v>
      </c>
      <c r="F28" s="11" t="s">
        <v>197</v>
      </c>
      <c r="G28" s="10" t="s">
        <v>99</v>
      </c>
      <c r="H28" s="8" t="s">
        <v>198</v>
      </c>
      <c r="J28" s="12" t="s">
        <v>199</v>
      </c>
      <c r="K28" s="13" t="s">
        <v>200</v>
      </c>
      <c r="L28" s="15" t="s">
        <v>139</v>
      </c>
      <c r="M28" s="15" t="s">
        <v>140</v>
      </c>
      <c r="N28" s="15" t="s">
        <v>199</v>
      </c>
    </row>
    <row r="29" spans="1:18" ht="18" customHeight="1">
      <c r="A29" s="9">
        <v>7571101</v>
      </c>
      <c r="B29" s="8" t="s">
        <v>201</v>
      </c>
      <c r="C29" s="9">
        <v>7571101</v>
      </c>
      <c r="D29" s="9">
        <v>7571101</v>
      </c>
      <c r="E29" s="10" t="s">
        <v>48</v>
      </c>
      <c r="F29" s="11" t="s">
        <v>202</v>
      </c>
      <c r="G29" s="10" t="s">
        <v>203</v>
      </c>
      <c r="H29" s="8" t="s">
        <v>204</v>
      </c>
      <c r="J29" s="12" t="s">
        <v>205</v>
      </c>
      <c r="K29" s="13" t="s">
        <v>206</v>
      </c>
      <c r="L29" s="15" t="s">
        <v>139</v>
      </c>
      <c r="M29" s="15" t="s">
        <v>140</v>
      </c>
      <c r="N29" s="15" t="s">
        <v>205</v>
      </c>
    </row>
    <row r="30" spans="1:18" ht="18" customHeight="1">
      <c r="A30" s="9">
        <v>7611100</v>
      </c>
      <c r="B30" s="8" t="s">
        <v>207</v>
      </c>
      <c r="C30" s="9">
        <v>7611100</v>
      </c>
      <c r="D30" s="9">
        <v>7611100</v>
      </c>
      <c r="E30" s="10" t="s">
        <v>48</v>
      </c>
      <c r="F30" s="11" t="s">
        <v>208</v>
      </c>
      <c r="G30" s="10" t="s">
        <v>209</v>
      </c>
      <c r="H30" s="8" t="s">
        <v>210</v>
      </c>
      <c r="J30" s="12" t="s">
        <v>211</v>
      </c>
      <c r="K30" s="13" t="s">
        <v>212</v>
      </c>
      <c r="L30" s="15" t="s">
        <v>139</v>
      </c>
      <c r="M30" s="15" t="s">
        <v>213</v>
      </c>
      <c r="N30" s="15" t="s">
        <v>211</v>
      </c>
    </row>
    <row r="31" spans="1:18" ht="18" customHeight="1">
      <c r="A31" s="9">
        <v>7611300</v>
      </c>
      <c r="B31" s="8" t="s">
        <v>214</v>
      </c>
      <c r="C31" s="9">
        <v>7611300</v>
      </c>
      <c r="D31" s="9">
        <v>7611300</v>
      </c>
      <c r="E31" s="10" t="s">
        <v>48</v>
      </c>
      <c r="F31" s="11" t="s">
        <v>215</v>
      </c>
      <c r="G31" s="10" t="s">
        <v>209</v>
      </c>
      <c r="H31" s="8" t="s">
        <v>216</v>
      </c>
      <c r="J31" s="12" t="s">
        <v>217</v>
      </c>
      <c r="K31" s="13" t="s">
        <v>218</v>
      </c>
      <c r="L31" s="15" t="s">
        <v>139</v>
      </c>
      <c r="M31" s="15" t="s">
        <v>213</v>
      </c>
      <c r="N31" s="15" t="s">
        <v>217</v>
      </c>
    </row>
    <row r="32" spans="1:18" ht="18" customHeight="1">
      <c r="A32" s="9">
        <v>7611400</v>
      </c>
      <c r="B32" s="8" t="s">
        <v>219</v>
      </c>
      <c r="C32" s="9">
        <v>7611400</v>
      </c>
      <c r="D32" s="9">
        <v>7611400</v>
      </c>
      <c r="E32" s="10" t="s">
        <v>48</v>
      </c>
      <c r="F32" s="11" t="s">
        <v>220</v>
      </c>
      <c r="G32" s="10" t="s">
        <v>209</v>
      </c>
      <c r="H32" s="8" t="s">
        <v>221</v>
      </c>
      <c r="J32" s="12" t="s">
        <v>222</v>
      </c>
      <c r="K32" s="13" t="s">
        <v>223</v>
      </c>
      <c r="L32" s="15" t="s">
        <v>139</v>
      </c>
      <c r="M32" s="15" t="s">
        <v>213</v>
      </c>
      <c r="N32" s="15" t="s">
        <v>222</v>
      </c>
    </row>
    <row r="33" spans="1:14" ht="18" customHeight="1">
      <c r="A33" s="9">
        <v>7611500</v>
      </c>
      <c r="B33" s="8" t="s">
        <v>224</v>
      </c>
      <c r="C33" s="9">
        <v>7611500</v>
      </c>
      <c r="D33" s="9">
        <v>7611500</v>
      </c>
      <c r="E33" s="10" t="s">
        <v>48</v>
      </c>
      <c r="F33" s="11" t="s">
        <v>225</v>
      </c>
      <c r="G33" s="10" t="s">
        <v>209</v>
      </c>
      <c r="H33" s="8" t="s">
        <v>226</v>
      </c>
      <c r="J33" s="12" t="s">
        <v>227</v>
      </c>
      <c r="K33" s="13" t="s">
        <v>228</v>
      </c>
      <c r="L33" s="15" t="s">
        <v>139</v>
      </c>
      <c r="M33" s="15" t="s">
        <v>213</v>
      </c>
      <c r="N33" s="15" t="s">
        <v>227</v>
      </c>
    </row>
    <row r="34" spans="1:14" ht="18" customHeight="1">
      <c r="A34" s="9">
        <v>7611600</v>
      </c>
      <c r="B34" s="8" t="s">
        <v>229</v>
      </c>
      <c r="C34" s="9">
        <v>7611600</v>
      </c>
      <c r="D34" s="9">
        <v>7611600</v>
      </c>
      <c r="E34" s="10" t="s">
        <v>48</v>
      </c>
      <c r="F34" s="11" t="s">
        <v>230</v>
      </c>
      <c r="G34" s="10" t="s">
        <v>209</v>
      </c>
      <c r="H34" s="8" t="s">
        <v>231</v>
      </c>
      <c r="J34" s="12" t="s">
        <v>232</v>
      </c>
      <c r="K34" s="13" t="s">
        <v>233</v>
      </c>
      <c r="L34" s="15" t="s">
        <v>139</v>
      </c>
      <c r="M34" s="15" t="s">
        <v>213</v>
      </c>
      <c r="N34" s="15" t="s">
        <v>232</v>
      </c>
    </row>
    <row r="35" spans="1:14" ht="18" customHeight="1">
      <c r="A35" s="9">
        <v>7611700</v>
      </c>
      <c r="B35" s="8" t="s">
        <v>234</v>
      </c>
      <c r="C35" s="9">
        <v>7611700</v>
      </c>
      <c r="D35" s="9">
        <v>7611700</v>
      </c>
      <c r="E35" s="10" t="s">
        <v>48</v>
      </c>
      <c r="F35" s="11" t="s">
        <v>235</v>
      </c>
      <c r="G35" s="10" t="s">
        <v>209</v>
      </c>
      <c r="H35" s="8" t="s">
        <v>236</v>
      </c>
      <c r="J35" s="12" t="s">
        <v>237</v>
      </c>
      <c r="K35" s="13" t="s">
        <v>238</v>
      </c>
      <c r="L35" s="15" t="s">
        <v>139</v>
      </c>
      <c r="M35" s="15" t="s">
        <v>213</v>
      </c>
      <c r="N35" s="15" t="s">
        <v>237</v>
      </c>
    </row>
    <row r="36" spans="1:14" ht="18" customHeight="1">
      <c r="A36" s="9">
        <v>7611800</v>
      </c>
      <c r="B36" s="8" t="s">
        <v>239</v>
      </c>
      <c r="C36" s="9">
        <v>7611800</v>
      </c>
      <c r="D36" s="9">
        <v>7611800</v>
      </c>
      <c r="E36" s="10" t="s">
        <v>48</v>
      </c>
      <c r="F36" s="11" t="s">
        <v>240</v>
      </c>
      <c r="G36" s="10" t="s">
        <v>209</v>
      </c>
      <c r="H36" s="8" t="s">
        <v>241</v>
      </c>
      <c r="J36" s="12" t="s">
        <v>242</v>
      </c>
      <c r="K36" s="13" t="s">
        <v>243</v>
      </c>
      <c r="L36" s="15" t="s">
        <v>139</v>
      </c>
      <c r="M36" s="15" t="s">
        <v>213</v>
      </c>
      <c r="N36" s="15" t="s">
        <v>242</v>
      </c>
    </row>
    <row r="37" spans="1:14" ht="18" customHeight="1">
      <c r="A37" s="9">
        <v>7621101</v>
      </c>
      <c r="B37" s="8" t="s">
        <v>244</v>
      </c>
      <c r="C37" s="9">
        <v>7621101</v>
      </c>
      <c r="D37" s="9">
        <v>7621101</v>
      </c>
      <c r="E37" s="10" t="s">
        <v>48</v>
      </c>
      <c r="F37" s="11" t="s">
        <v>245</v>
      </c>
      <c r="G37" s="10" t="s">
        <v>246</v>
      </c>
      <c r="H37" s="8" t="s">
        <v>247</v>
      </c>
      <c r="J37" s="12" t="s">
        <v>248</v>
      </c>
      <c r="K37" s="13" t="s">
        <v>249</v>
      </c>
      <c r="L37" s="15" t="s">
        <v>139</v>
      </c>
      <c r="M37" s="15" t="s">
        <v>213</v>
      </c>
      <c r="N37" s="15" t="s">
        <v>248</v>
      </c>
    </row>
    <row r="38" spans="1:14" ht="18" customHeight="1">
      <c r="A38" s="9">
        <v>7621199</v>
      </c>
      <c r="B38" s="8" t="s">
        <v>250</v>
      </c>
      <c r="C38" s="9">
        <v>7621199</v>
      </c>
      <c r="D38" s="9">
        <v>7621199</v>
      </c>
      <c r="E38" s="10" t="s">
        <v>48</v>
      </c>
      <c r="F38" s="11" t="s">
        <v>251</v>
      </c>
      <c r="G38" s="10" t="s">
        <v>252</v>
      </c>
      <c r="H38" s="8" t="s">
        <v>253</v>
      </c>
      <c r="J38" s="12" t="s">
        <v>254</v>
      </c>
      <c r="K38" s="13" t="s">
        <v>255</v>
      </c>
      <c r="L38" s="15" t="s">
        <v>139</v>
      </c>
      <c r="M38" s="15" t="s">
        <v>213</v>
      </c>
      <c r="N38" s="15" t="s">
        <v>254</v>
      </c>
    </row>
    <row r="39" spans="1:14" ht="18" customHeight="1">
      <c r="A39" s="9">
        <v>7631101</v>
      </c>
      <c r="B39" s="8" t="s">
        <v>256</v>
      </c>
      <c r="C39" s="9">
        <v>7631101</v>
      </c>
      <c r="D39" s="9">
        <v>7631101</v>
      </c>
      <c r="E39" s="10" t="s">
        <v>48</v>
      </c>
      <c r="F39" s="11" t="s">
        <v>257</v>
      </c>
      <c r="G39" s="10" t="s">
        <v>258</v>
      </c>
      <c r="H39" s="8" t="s">
        <v>259</v>
      </c>
      <c r="J39" s="12" t="s">
        <v>260</v>
      </c>
      <c r="K39" s="13" t="s">
        <v>261</v>
      </c>
      <c r="L39" s="15" t="s">
        <v>139</v>
      </c>
      <c r="M39" s="15" t="s">
        <v>213</v>
      </c>
      <c r="N39" s="15" t="s">
        <v>260</v>
      </c>
    </row>
    <row r="40" spans="1:14" ht="18" customHeight="1">
      <c r="A40" s="9">
        <v>7631102</v>
      </c>
      <c r="B40" s="8" t="s">
        <v>262</v>
      </c>
      <c r="C40" s="9">
        <v>7631102</v>
      </c>
      <c r="D40" s="9">
        <v>7631102</v>
      </c>
      <c r="E40" s="10" t="s">
        <v>48</v>
      </c>
      <c r="F40" s="11" t="s">
        <v>263</v>
      </c>
      <c r="G40" s="10" t="s">
        <v>264</v>
      </c>
      <c r="H40" s="8" t="s">
        <v>265</v>
      </c>
      <c r="J40" s="39" t="s">
        <v>266</v>
      </c>
      <c r="K40" s="40" t="s">
        <v>267</v>
      </c>
      <c r="L40" s="39" t="s">
        <v>48</v>
      </c>
      <c r="M40" s="39" t="s">
        <v>53</v>
      </c>
      <c r="N40" s="39" t="s">
        <v>266</v>
      </c>
    </row>
    <row r="41" spans="1:14" ht="18" customHeight="1">
      <c r="A41" s="9">
        <v>7641101</v>
      </c>
      <c r="B41" s="8" t="s">
        <v>268</v>
      </c>
      <c r="C41" s="9">
        <v>7641101</v>
      </c>
      <c r="D41" s="9">
        <v>7641101</v>
      </c>
      <c r="E41" s="10" t="s">
        <v>48</v>
      </c>
      <c r="F41" s="11" t="s">
        <v>269</v>
      </c>
      <c r="G41" s="10" t="s">
        <v>270</v>
      </c>
      <c r="H41" s="8" t="s">
        <v>271</v>
      </c>
      <c r="J41" s="12" t="s">
        <v>272</v>
      </c>
      <c r="K41" s="13" t="s">
        <v>273</v>
      </c>
      <c r="L41" s="15" t="s">
        <v>139</v>
      </c>
      <c r="M41" s="15" t="s">
        <v>213</v>
      </c>
      <c r="N41" s="15" t="s">
        <v>272</v>
      </c>
    </row>
    <row r="42" spans="1:14" ht="18" customHeight="1">
      <c r="A42" s="9">
        <v>7641102</v>
      </c>
      <c r="B42" s="8" t="s">
        <v>274</v>
      </c>
      <c r="C42" s="9">
        <v>7641102</v>
      </c>
      <c r="D42" s="9">
        <v>7641102</v>
      </c>
      <c r="E42" s="10" t="s">
        <v>48</v>
      </c>
      <c r="F42" s="11" t="s">
        <v>275</v>
      </c>
      <c r="G42" s="10" t="s">
        <v>270</v>
      </c>
      <c r="H42" s="8" t="s">
        <v>276</v>
      </c>
      <c r="J42" s="12" t="s">
        <v>277</v>
      </c>
      <c r="K42" s="13" t="s">
        <v>278</v>
      </c>
      <c r="L42" s="15" t="s">
        <v>139</v>
      </c>
      <c r="M42" s="15" t="s">
        <v>213</v>
      </c>
      <c r="N42" s="15" t="s">
        <v>277</v>
      </c>
    </row>
    <row r="43" spans="1:14" ht="18" customHeight="1">
      <c r="A43" s="9">
        <v>7641103</v>
      </c>
      <c r="B43" s="8" t="s">
        <v>279</v>
      </c>
      <c r="C43" s="9">
        <v>7641103</v>
      </c>
      <c r="D43" s="9">
        <v>7641103</v>
      </c>
      <c r="E43" s="10" t="s">
        <v>48</v>
      </c>
      <c r="F43" s="11" t="s">
        <v>280</v>
      </c>
      <c r="G43" s="10" t="s">
        <v>281</v>
      </c>
      <c r="H43" s="8" t="s">
        <v>282</v>
      </c>
      <c r="J43" s="8" t="s">
        <v>283</v>
      </c>
      <c r="K43" s="9" t="s">
        <v>284</v>
      </c>
      <c r="N43" s="8" t="s">
        <v>283</v>
      </c>
    </row>
    <row r="44" spans="1:14" ht="18" customHeight="1">
      <c r="A44" s="9">
        <v>7641104</v>
      </c>
      <c r="B44" s="8" t="s">
        <v>285</v>
      </c>
      <c r="C44" s="9">
        <v>7641104</v>
      </c>
      <c r="D44" s="9">
        <v>7641104</v>
      </c>
      <c r="E44" s="10" t="s">
        <v>48</v>
      </c>
      <c r="F44" s="11" t="s">
        <v>286</v>
      </c>
      <c r="G44" s="10" t="s">
        <v>281</v>
      </c>
      <c r="H44" s="8" t="s">
        <v>287</v>
      </c>
    </row>
    <row r="45" spans="1:14" ht="18" customHeight="1">
      <c r="A45" s="9">
        <v>7651101</v>
      </c>
      <c r="B45" s="8" t="s">
        <v>288</v>
      </c>
      <c r="C45" s="9">
        <v>7651101</v>
      </c>
      <c r="D45" s="9">
        <v>7651101</v>
      </c>
      <c r="E45" s="10" t="s">
        <v>48</v>
      </c>
      <c r="F45" s="11" t="s">
        <v>289</v>
      </c>
      <c r="G45" s="10" t="s">
        <v>246</v>
      </c>
      <c r="H45" s="8" t="s">
        <v>290</v>
      </c>
    </row>
    <row r="46" spans="1:14" ht="18" customHeight="1">
      <c r="A46" s="9">
        <v>7651102</v>
      </c>
      <c r="B46" s="8" t="s">
        <v>291</v>
      </c>
      <c r="C46" s="9">
        <v>7651102</v>
      </c>
      <c r="D46" s="9">
        <v>7651102</v>
      </c>
      <c r="E46" s="10" t="s">
        <v>48</v>
      </c>
      <c r="F46" s="11" t="s">
        <v>292</v>
      </c>
      <c r="G46" s="10" t="s">
        <v>246</v>
      </c>
      <c r="H46" s="8" t="s">
        <v>293</v>
      </c>
    </row>
    <row r="47" spans="1:14" ht="18" customHeight="1">
      <c r="A47" s="9">
        <v>7651103</v>
      </c>
      <c r="B47" s="8" t="s">
        <v>294</v>
      </c>
      <c r="C47" s="9">
        <v>7651103</v>
      </c>
      <c r="D47" s="9">
        <v>7651103</v>
      </c>
      <c r="E47" s="10" t="s">
        <v>48</v>
      </c>
      <c r="F47" s="11" t="s">
        <v>295</v>
      </c>
      <c r="G47" s="10" t="s">
        <v>246</v>
      </c>
      <c r="H47" s="8" t="s">
        <v>296</v>
      </c>
    </row>
    <row r="48" spans="1:14" ht="18" customHeight="1">
      <c r="A48" s="9">
        <v>7661101</v>
      </c>
      <c r="B48" s="8" t="s">
        <v>297</v>
      </c>
      <c r="C48" s="9">
        <v>7661101</v>
      </c>
      <c r="D48" s="9">
        <v>7661101</v>
      </c>
      <c r="E48" s="10" t="s">
        <v>48</v>
      </c>
      <c r="F48" s="11" t="s">
        <v>298</v>
      </c>
      <c r="G48" s="10" t="s">
        <v>299</v>
      </c>
      <c r="H48" s="8" t="s">
        <v>300</v>
      </c>
    </row>
    <row r="49" spans="1:8" ht="18" customHeight="1">
      <c r="A49" s="9">
        <v>7671102</v>
      </c>
      <c r="B49" s="8" t="s">
        <v>301</v>
      </c>
      <c r="C49" s="9">
        <v>7671102</v>
      </c>
      <c r="D49" s="9">
        <v>7671102</v>
      </c>
      <c r="E49" s="10" t="s">
        <v>48</v>
      </c>
      <c r="F49" s="11" t="s">
        <v>302</v>
      </c>
      <c r="G49" s="10" t="s">
        <v>281</v>
      </c>
      <c r="H49" s="8" t="s">
        <v>303</v>
      </c>
    </row>
    <row r="50" spans="1:8" ht="18" customHeight="1">
      <c r="A50" s="9">
        <v>7671103</v>
      </c>
      <c r="B50" s="8" t="s">
        <v>304</v>
      </c>
      <c r="C50" s="9">
        <v>7671103</v>
      </c>
      <c r="D50" s="9">
        <v>7671103</v>
      </c>
      <c r="E50" s="10" t="s">
        <v>48</v>
      </c>
      <c r="F50" s="11" t="s">
        <v>305</v>
      </c>
      <c r="G50" s="10" t="s">
        <v>281</v>
      </c>
      <c r="H50" s="8" t="s">
        <v>306</v>
      </c>
    </row>
    <row r="51" spans="1:8" ht="18" customHeight="1">
      <c r="A51" s="9">
        <v>7681101</v>
      </c>
      <c r="B51" s="8" t="s">
        <v>307</v>
      </c>
      <c r="C51" s="9">
        <v>7681101</v>
      </c>
      <c r="D51" s="9">
        <v>7681101</v>
      </c>
      <c r="E51" s="10" t="s">
        <v>48</v>
      </c>
      <c r="F51" s="11" t="s">
        <v>308</v>
      </c>
      <c r="G51" s="10" t="s">
        <v>281</v>
      </c>
      <c r="H51" s="8" t="s">
        <v>309</v>
      </c>
    </row>
    <row r="52" spans="1:8" ht="18" customHeight="1">
      <c r="A52" s="9">
        <v>7691000</v>
      </c>
      <c r="B52" s="8" t="s">
        <v>310</v>
      </c>
      <c r="C52" s="9">
        <v>7691000</v>
      </c>
      <c r="D52" s="9">
        <v>7691000</v>
      </c>
      <c r="E52" s="10" t="s">
        <v>48</v>
      </c>
      <c r="F52" s="11" t="s">
        <v>311</v>
      </c>
      <c r="G52" s="10" t="s">
        <v>281</v>
      </c>
      <c r="H52" s="8" t="s">
        <v>312</v>
      </c>
    </row>
    <row r="53" spans="1:8" ht="18" customHeight="1">
      <c r="A53" s="9">
        <v>7711101</v>
      </c>
      <c r="B53" s="8" t="s">
        <v>313</v>
      </c>
      <c r="C53" s="9">
        <v>7711101</v>
      </c>
      <c r="D53" s="9">
        <v>7711101</v>
      </c>
      <c r="E53" s="10" t="s">
        <v>48</v>
      </c>
      <c r="F53" s="11" t="s">
        <v>314</v>
      </c>
      <c r="G53" s="10" t="s">
        <v>281</v>
      </c>
      <c r="H53" s="8" t="s">
        <v>315</v>
      </c>
    </row>
    <row r="54" spans="1:8" ht="18" customHeight="1">
      <c r="A54" s="9">
        <v>7711102</v>
      </c>
      <c r="B54" s="8" t="s">
        <v>316</v>
      </c>
      <c r="C54" s="9">
        <v>7711102</v>
      </c>
      <c r="D54" s="9">
        <v>7711102</v>
      </c>
      <c r="E54" s="10" t="s">
        <v>48</v>
      </c>
      <c r="F54" s="11" t="s">
        <v>317</v>
      </c>
      <c r="G54" s="10" t="s">
        <v>318</v>
      </c>
      <c r="H54" s="8" t="s">
        <v>319</v>
      </c>
    </row>
    <row r="55" spans="1:8" ht="18" customHeight="1">
      <c r="A55" s="9">
        <v>7711103</v>
      </c>
      <c r="B55" s="8" t="s">
        <v>320</v>
      </c>
      <c r="C55" s="9">
        <v>7711103</v>
      </c>
      <c r="D55" s="9">
        <v>7711103</v>
      </c>
      <c r="E55" s="10" t="s">
        <v>48</v>
      </c>
      <c r="F55" s="11" t="s">
        <v>321</v>
      </c>
      <c r="G55" s="10" t="s">
        <v>281</v>
      </c>
      <c r="H55" s="8" t="s">
        <v>322</v>
      </c>
    </row>
    <row r="56" spans="1:8" ht="18" customHeight="1">
      <c r="A56" s="9">
        <v>7721101</v>
      </c>
      <c r="B56" s="8" t="s">
        <v>323</v>
      </c>
      <c r="C56" s="9">
        <v>7721101</v>
      </c>
      <c r="D56" s="9">
        <v>7721101</v>
      </c>
      <c r="E56" s="10" t="s">
        <v>48</v>
      </c>
      <c r="F56" s="11" t="s">
        <v>324</v>
      </c>
      <c r="G56" s="10" t="s">
        <v>281</v>
      </c>
      <c r="H56" s="8" t="s">
        <v>325</v>
      </c>
    </row>
    <row r="57" spans="1:8" ht="18" customHeight="1">
      <c r="A57" s="9">
        <v>7729101</v>
      </c>
      <c r="B57" s="8" t="s">
        <v>326</v>
      </c>
      <c r="C57" s="9">
        <v>7729101</v>
      </c>
      <c r="D57" s="9">
        <v>7729101</v>
      </c>
      <c r="E57" s="10" t="s">
        <v>48</v>
      </c>
      <c r="F57" s="11" t="s">
        <v>327</v>
      </c>
      <c r="G57" s="10" t="s">
        <v>328</v>
      </c>
      <c r="H57" s="8" t="s">
        <v>329</v>
      </c>
    </row>
    <row r="58" spans="1:8" ht="18" customHeight="1">
      <c r="A58" s="9">
        <v>7729103</v>
      </c>
      <c r="B58" s="8" t="s">
        <v>330</v>
      </c>
      <c r="C58" s="9">
        <v>7729103</v>
      </c>
      <c r="D58" s="9">
        <v>7729103</v>
      </c>
      <c r="E58" s="10" t="s">
        <v>48</v>
      </c>
      <c r="F58" s="11" t="s">
        <v>331</v>
      </c>
      <c r="G58" s="10" t="s">
        <v>332</v>
      </c>
      <c r="H58" s="8" t="s">
        <v>333</v>
      </c>
    </row>
    <row r="59" spans="1:8" ht="18" customHeight="1">
      <c r="A59" s="9">
        <v>7729105</v>
      </c>
      <c r="B59" s="8" t="s">
        <v>334</v>
      </c>
      <c r="C59" s="9">
        <v>7729105</v>
      </c>
      <c r="D59" s="9">
        <v>7729105</v>
      </c>
      <c r="E59" s="10" t="s">
        <v>48</v>
      </c>
      <c r="F59" s="11" t="s">
        <v>335</v>
      </c>
      <c r="G59" s="10" t="s">
        <v>281</v>
      </c>
      <c r="H59" s="8" t="s">
        <v>336</v>
      </c>
    </row>
    <row r="60" spans="1:8" ht="18" customHeight="1">
      <c r="A60" s="9">
        <v>7781101</v>
      </c>
      <c r="B60" s="8" t="s">
        <v>337</v>
      </c>
      <c r="C60" s="9">
        <v>7781101</v>
      </c>
      <c r="D60" s="9">
        <v>7781101</v>
      </c>
      <c r="E60" s="10" t="s">
        <v>48</v>
      </c>
      <c r="F60" s="11" t="s">
        <v>338</v>
      </c>
      <c r="G60" s="10" t="s">
        <v>281</v>
      </c>
      <c r="H60" s="8" t="s">
        <v>339</v>
      </c>
    </row>
    <row r="61" spans="1:8" ht="18" customHeight="1">
      <c r="A61" s="9">
        <v>7781103</v>
      </c>
      <c r="B61" s="8" t="s">
        <v>340</v>
      </c>
      <c r="C61" s="9">
        <v>7781103</v>
      </c>
      <c r="D61" s="9">
        <v>7781103</v>
      </c>
      <c r="E61" s="10" t="s">
        <v>48</v>
      </c>
      <c r="F61" s="11" t="s">
        <v>341</v>
      </c>
      <c r="G61" s="10" t="s">
        <v>281</v>
      </c>
      <c r="H61" s="8" t="s">
        <v>342</v>
      </c>
    </row>
    <row r="62" spans="1:8" ht="18" customHeight="1">
      <c r="A62" s="9">
        <v>7781104</v>
      </c>
      <c r="B62" s="8" t="s">
        <v>343</v>
      </c>
      <c r="C62" s="9">
        <v>7781104</v>
      </c>
      <c r="D62" s="9">
        <v>7781104</v>
      </c>
      <c r="E62" s="10" t="s">
        <v>48</v>
      </c>
      <c r="F62" s="11" t="s">
        <v>344</v>
      </c>
      <c r="G62" s="10" t="s">
        <v>281</v>
      </c>
      <c r="H62" s="8" t="s">
        <v>345</v>
      </c>
    </row>
    <row r="63" spans="1:8" ht="18" customHeight="1">
      <c r="A63" s="9">
        <v>7781105</v>
      </c>
      <c r="B63" s="8" t="s">
        <v>346</v>
      </c>
      <c r="C63" s="9">
        <v>7781105</v>
      </c>
      <c r="D63" s="9">
        <v>7781105</v>
      </c>
      <c r="E63" s="10" t="s">
        <v>48</v>
      </c>
      <c r="F63" s="11" t="s">
        <v>347</v>
      </c>
      <c r="G63" s="10" t="s">
        <v>281</v>
      </c>
      <c r="H63" s="8" t="s">
        <v>348</v>
      </c>
    </row>
    <row r="64" spans="1:8" ht="18" customHeight="1">
      <c r="A64" s="9">
        <v>7781106</v>
      </c>
      <c r="B64" s="8" t="s">
        <v>349</v>
      </c>
      <c r="C64" s="9">
        <v>7781106</v>
      </c>
      <c r="D64" s="9">
        <v>7781106</v>
      </c>
      <c r="E64" s="10" t="s">
        <v>48</v>
      </c>
      <c r="F64" s="11" t="s">
        <v>350</v>
      </c>
      <c r="G64" s="10" t="s">
        <v>281</v>
      </c>
      <c r="H64" s="8" t="s">
        <v>351</v>
      </c>
    </row>
    <row r="65" spans="1:8" ht="18" customHeight="1">
      <c r="A65" s="9">
        <v>7781107</v>
      </c>
      <c r="B65" s="8" t="s">
        <v>352</v>
      </c>
      <c r="C65" s="9">
        <v>7781107</v>
      </c>
      <c r="D65" s="9">
        <v>7781107</v>
      </c>
      <c r="E65" s="10" t="s">
        <v>48</v>
      </c>
      <c r="F65" s="11" t="s">
        <v>353</v>
      </c>
      <c r="G65" s="10" t="s">
        <v>354</v>
      </c>
      <c r="H65" s="8" t="s">
        <v>355</v>
      </c>
    </row>
    <row r="66" spans="1:8" ht="18" customHeight="1">
      <c r="A66" s="9">
        <v>7781111</v>
      </c>
      <c r="B66" s="8" t="s">
        <v>356</v>
      </c>
      <c r="C66" s="9">
        <v>7781111</v>
      </c>
      <c r="D66" s="9">
        <v>7781111</v>
      </c>
      <c r="E66" s="10" t="s">
        <v>48</v>
      </c>
      <c r="F66" s="11" t="s">
        <v>357</v>
      </c>
      <c r="G66" s="10" t="s">
        <v>281</v>
      </c>
      <c r="H66" s="8" t="s">
        <v>358</v>
      </c>
    </row>
    <row r="67" spans="1:8" ht="18" customHeight="1">
      <c r="A67" s="9">
        <v>7781112</v>
      </c>
      <c r="B67" s="8" t="s">
        <v>359</v>
      </c>
      <c r="C67" s="9">
        <v>7781112</v>
      </c>
      <c r="D67" s="9">
        <v>7781112</v>
      </c>
      <c r="E67" s="10" t="s">
        <v>48</v>
      </c>
      <c r="F67" s="11" t="s">
        <v>360</v>
      </c>
      <c r="G67" s="10" t="s">
        <v>281</v>
      </c>
      <c r="H67" s="8" t="s">
        <v>361</v>
      </c>
    </row>
    <row r="68" spans="1:8" ht="18" customHeight="1">
      <c r="A68" s="9">
        <v>7781113</v>
      </c>
      <c r="B68" s="8" t="s">
        <v>362</v>
      </c>
      <c r="C68" s="9">
        <v>7781113</v>
      </c>
      <c r="D68" s="9">
        <v>7781113</v>
      </c>
      <c r="E68" s="10" t="s">
        <v>48</v>
      </c>
      <c r="F68" s="11" t="s">
        <v>363</v>
      </c>
      <c r="G68" s="10" t="s">
        <v>281</v>
      </c>
      <c r="H68" s="8" t="s">
        <v>364</v>
      </c>
    </row>
    <row r="69" spans="1:8" ht="18" customHeight="1">
      <c r="A69" s="9">
        <v>7411101</v>
      </c>
      <c r="B69" s="8" t="s">
        <v>365</v>
      </c>
      <c r="C69" s="9">
        <v>7411101</v>
      </c>
      <c r="D69" s="9">
        <v>7411101</v>
      </c>
      <c r="E69" s="10" t="s">
        <v>48</v>
      </c>
      <c r="F69" s="11" t="s">
        <v>366</v>
      </c>
      <c r="G69" s="10" t="s">
        <v>367</v>
      </c>
      <c r="H69" s="8" t="s">
        <v>368</v>
      </c>
    </row>
    <row r="70" spans="1:8" ht="18" customHeight="1">
      <c r="A70" s="9">
        <v>7411103</v>
      </c>
      <c r="B70" s="8" t="s">
        <v>369</v>
      </c>
      <c r="C70" s="9">
        <v>7411103</v>
      </c>
      <c r="D70" s="9">
        <v>7411103</v>
      </c>
      <c r="E70" s="10" t="s">
        <v>48</v>
      </c>
      <c r="F70" s="11" t="s">
        <v>370</v>
      </c>
      <c r="G70" s="10" t="s">
        <v>371</v>
      </c>
      <c r="H70" s="8" t="s">
        <v>372</v>
      </c>
    </row>
    <row r="71" spans="1:8" ht="18" customHeight="1">
      <c r="A71" s="9">
        <v>7411104</v>
      </c>
      <c r="B71" s="8" t="s">
        <v>373</v>
      </c>
      <c r="C71" s="9">
        <v>7411104</v>
      </c>
      <c r="D71" s="9">
        <v>7411104</v>
      </c>
      <c r="E71" s="10" t="s">
        <v>48</v>
      </c>
      <c r="F71" s="11" t="s">
        <v>374</v>
      </c>
      <c r="G71" s="10" t="s">
        <v>375</v>
      </c>
      <c r="H71" s="8" t="s">
        <v>376</v>
      </c>
    </row>
    <row r="72" spans="1:8" ht="18" customHeight="1">
      <c r="A72" s="9">
        <v>7431101</v>
      </c>
      <c r="B72" s="8" t="s">
        <v>377</v>
      </c>
      <c r="C72" s="9">
        <v>7431101</v>
      </c>
      <c r="D72" s="9">
        <v>7431101</v>
      </c>
      <c r="E72" s="10" t="s">
        <v>48</v>
      </c>
      <c r="F72" s="11" t="s">
        <v>378</v>
      </c>
      <c r="G72" s="10" t="s">
        <v>379</v>
      </c>
      <c r="H72" s="8" t="s">
        <v>380</v>
      </c>
    </row>
    <row r="73" spans="1:8" ht="18" customHeight="1">
      <c r="A73" s="9">
        <v>7451101</v>
      </c>
      <c r="B73" s="8" t="s">
        <v>381</v>
      </c>
      <c r="C73" s="9">
        <v>7451101</v>
      </c>
      <c r="D73" s="9">
        <v>7451101</v>
      </c>
      <c r="E73" s="10" t="s">
        <v>48</v>
      </c>
      <c r="F73" s="11" t="s">
        <v>382</v>
      </c>
      <c r="G73" s="10" t="s">
        <v>383</v>
      </c>
      <c r="H73" s="8" t="s">
        <v>384</v>
      </c>
    </row>
    <row r="74" spans="1:8" ht="18" customHeight="1">
      <c r="A74" s="9">
        <v>7451102</v>
      </c>
      <c r="B74" s="8" t="s">
        <v>385</v>
      </c>
      <c r="C74" s="9">
        <v>7451102</v>
      </c>
      <c r="D74" s="9">
        <v>7451102</v>
      </c>
      <c r="E74" s="10" t="s">
        <v>48</v>
      </c>
      <c r="F74" s="11" t="s">
        <v>386</v>
      </c>
      <c r="G74" s="10" t="s">
        <v>387</v>
      </c>
      <c r="H74" s="8" t="s">
        <v>388</v>
      </c>
    </row>
    <row r="75" spans="1:8" ht="18" customHeight="1">
      <c r="A75" s="9">
        <v>7451103</v>
      </c>
      <c r="B75" s="8" t="s">
        <v>389</v>
      </c>
      <c r="C75" s="9">
        <v>7451103</v>
      </c>
      <c r="D75" s="9">
        <v>7451103</v>
      </c>
      <c r="E75" s="10" t="s">
        <v>48</v>
      </c>
      <c r="F75" s="11" t="s">
        <v>390</v>
      </c>
      <c r="G75" s="10" t="s">
        <v>391</v>
      </c>
      <c r="H75" s="8" t="s">
        <v>392</v>
      </c>
    </row>
    <row r="76" spans="1:8" ht="18" customHeight="1">
      <c r="A76" s="9">
        <v>7461101</v>
      </c>
      <c r="B76" s="8" t="s">
        <v>393</v>
      </c>
      <c r="C76" s="9">
        <v>7461101</v>
      </c>
      <c r="D76" s="9">
        <v>7461101</v>
      </c>
      <c r="E76" s="10" t="s">
        <v>48</v>
      </c>
      <c r="F76" s="11" t="s">
        <v>394</v>
      </c>
      <c r="G76" s="10" t="s">
        <v>395</v>
      </c>
      <c r="H76" s="8" t="s">
        <v>393</v>
      </c>
    </row>
    <row r="77" spans="1:8" ht="18" customHeight="1">
      <c r="A77" s="9">
        <v>7411105</v>
      </c>
      <c r="B77" s="8" t="s">
        <v>396</v>
      </c>
      <c r="C77" s="9">
        <v>7411105</v>
      </c>
      <c r="D77" s="9">
        <v>7411105</v>
      </c>
      <c r="E77" s="10" t="s">
        <v>48</v>
      </c>
      <c r="F77" s="10" t="s">
        <v>397</v>
      </c>
      <c r="G77" s="41" t="s">
        <v>398</v>
      </c>
    </row>
    <row r="78" spans="1:8" ht="18" customHeight="1">
      <c r="A78" s="9">
        <v>7471201</v>
      </c>
      <c r="B78" s="8" t="s">
        <v>399</v>
      </c>
      <c r="C78" s="9">
        <v>7471201</v>
      </c>
      <c r="D78" s="9">
        <v>7471201</v>
      </c>
      <c r="E78" s="10" t="s">
        <v>48</v>
      </c>
      <c r="F78" s="10" t="s">
        <v>400</v>
      </c>
      <c r="G78" s="41" t="s">
        <v>401</v>
      </c>
    </row>
    <row r="79" spans="1:8" ht="18" customHeight="1">
      <c r="A79" s="9">
        <v>7751101</v>
      </c>
      <c r="B79" s="8" t="s">
        <v>402</v>
      </c>
      <c r="C79" s="9">
        <v>7751101</v>
      </c>
      <c r="D79" s="9">
        <v>7751101</v>
      </c>
      <c r="E79" s="10" t="s">
        <v>48</v>
      </c>
      <c r="F79" s="10" t="s">
        <v>403</v>
      </c>
    </row>
    <row r="80" spans="1:8" ht="18" customHeight="1">
      <c r="A80" s="9">
        <v>7751102</v>
      </c>
      <c r="B80" s="8" t="s">
        <v>404</v>
      </c>
      <c r="C80" s="9">
        <v>7751102</v>
      </c>
      <c r="D80" s="9">
        <v>7751102</v>
      </c>
      <c r="E80" s="10" t="s">
        <v>48</v>
      </c>
      <c r="F80" s="10" t="s">
        <v>405</v>
      </c>
    </row>
    <row r="81" spans="1:8" ht="18" customHeight="1">
      <c r="A81" s="22">
        <v>7111211</v>
      </c>
      <c r="B81" s="8" t="s">
        <v>406</v>
      </c>
      <c r="C81" s="22">
        <v>7111211</v>
      </c>
      <c r="D81" s="22">
        <v>7111211</v>
      </c>
      <c r="E81" s="22" t="s">
        <v>139</v>
      </c>
      <c r="F81" s="22" t="s">
        <v>407</v>
      </c>
    </row>
    <row r="82" spans="1:8" ht="18" customHeight="1">
      <c r="A82" s="22">
        <v>7111212</v>
      </c>
      <c r="B82" s="8" t="s">
        <v>408</v>
      </c>
      <c r="C82" s="22">
        <v>7111212</v>
      </c>
      <c r="D82" s="22">
        <v>7111212</v>
      </c>
      <c r="E82" s="22" t="s">
        <v>139</v>
      </c>
      <c r="F82" s="22" t="s">
        <v>409</v>
      </c>
    </row>
    <row r="83" spans="1:8" ht="18" customHeight="1">
      <c r="A83" s="22">
        <v>7111221</v>
      </c>
      <c r="B83" s="8" t="s">
        <v>410</v>
      </c>
      <c r="C83" s="22">
        <v>7111221</v>
      </c>
      <c r="D83" s="22">
        <v>7111221</v>
      </c>
      <c r="E83" s="22" t="s">
        <v>139</v>
      </c>
      <c r="F83" s="22" t="s">
        <v>411</v>
      </c>
    </row>
    <row r="84" spans="1:8" ht="18" customHeight="1">
      <c r="A84" s="22">
        <v>7111222</v>
      </c>
      <c r="B84" s="8" t="s">
        <v>412</v>
      </c>
      <c r="C84" s="22">
        <v>7111222</v>
      </c>
      <c r="D84" s="22">
        <v>7111222</v>
      </c>
      <c r="E84" s="22" t="s">
        <v>139</v>
      </c>
      <c r="F84" s="22" t="s">
        <v>413</v>
      </c>
    </row>
    <row r="85" spans="1:8" ht="18" customHeight="1">
      <c r="A85" s="22">
        <v>7111223</v>
      </c>
      <c r="B85" s="8" t="s">
        <v>414</v>
      </c>
      <c r="C85" s="22">
        <v>7111223</v>
      </c>
      <c r="D85" s="22">
        <v>7111223</v>
      </c>
      <c r="E85" s="22" t="s">
        <v>139</v>
      </c>
      <c r="F85" s="22" t="s">
        <v>415</v>
      </c>
    </row>
    <row r="86" spans="1:8" ht="18" customHeight="1">
      <c r="A86" s="22">
        <v>7111311</v>
      </c>
      <c r="B86" s="8" t="s">
        <v>416</v>
      </c>
      <c r="C86" s="22">
        <v>7111311</v>
      </c>
      <c r="D86" s="22">
        <v>7111311</v>
      </c>
      <c r="E86" s="22" t="s">
        <v>139</v>
      </c>
      <c r="F86" s="22" t="s">
        <v>417</v>
      </c>
    </row>
    <row r="87" spans="1:8" ht="18" customHeight="1">
      <c r="A87" s="22">
        <v>7111312</v>
      </c>
      <c r="B87" s="8" t="s">
        <v>418</v>
      </c>
      <c r="C87" s="22">
        <v>7111312</v>
      </c>
      <c r="D87" s="22">
        <v>7111312</v>
      </c>
      <c r="E87" s="22" t="s">
        <v>139</v>
      </c>
      <c r="F87" s="22" t="s">
        <v>419</v>
      </c>
    </row>
    <row r="88" spans="1:8" ht="18" customHeight="1">
      <c r="A88" s="22">
        <v>7111321</v>
      </c>
      <c r="B88" s="8" t="s">
        <v>420</v>
      </c>
      <c r="C88" s="22">
        <v>7111321</v>
      </c>
      <c r="D88" s="22">
        <v>7111321</v>
      </c>
      <c r="E88" s="22" t="s">
        <v>139</v>
      </c>
      <c r="F88" s="22" t="s">
        <v>421</v>
      </c>
    </row>
    <row r="89" spans="1:8" ht="18" customHeight="1">
      <c r="A89" s="22">
        <v>7111322</v>
      </c>
      <c r="B89" s="8" t="s">
        <v>422</v>
      </c>
      <c r="C89" s="22">
        <v>7111322</v>
      </c>
      <c r="D89" s="22">
        <v>7111322</v>
      </c>
      <c r="E89" s="22" t="s">
        <v>139</v>
      </c>
      <c r="F89" s="22" t="s">
        <v>423</v>
      </c>
    </row>
    <row r="90" spans="1:8" ht="18" customHeight="1">
      <c r="A90" s="22">
        <v>7111323</v>
      </c>
      <c r="B90" s="8" t="s">
        <v>424</v>
      </c>
      <c r="C90" s="22">
        <v>7111323</v>
      </c>
      <c r="D90" s="22">
        <v>7111323</v>
      </c>
      <c r="E90" s="22" t="s">
        <v>139</v>
      </c>
      <c r="F90" s="22" t="s">
        <v>425</v>
      </c>
    </row>
    <row r="91" spans="1:8" ht="18" customHeight="1">
      <c r="A91" s="22">
        <v>7111411</v>
      </c>
      <c r="B91" s="8" t="s">
        <v>426</v>
      </c>
      <c r="C91" s="22">
        <v>7111411</v>
      </c>
      <c r="D91" s="22">
        <v>7111411</v>
      </c>
      <c r="E91" s="22" t="s">
        <v>139</v>
      </c>
      <c r="F91" s="22" t="s">
        <v>427</v>
      </c>
    </row>
    <row r="92" spans="1:8" ht="18" customHeight="1">
      <c r="A92" s="22">
        <v>7151101</v>
      </c>
      <c r="B92" s="8" t="s">
        <v>428</v>
      </c>
      <c r="C92" s="22">
        <v>7151101</v>
      </c>
      <c r="D92" s="22">
        <v>7151101</v>
      </c>
      <c r="E92" s="22" t="s">
        <v>139</v>
      </c>
      <c r="F92" s="22" t="s">
        <v>429</v>
      </c>
    </row>
    <row r="93" spans="1:8" ht="18" customHeight="1">
      <c r="A93" s="22">
        <v>7200000</v>
      </c>
      <c r="B93" s="8" t="s">
        <v>430</v>
      </c>
      <c r="C93" s="22">
        <v>7200000</v>
      </c>
      <c r="D93" s="22">
        <v>7200000</v>
      </c>
      <c r="E93" s="22" t="s">
        <v>139</v>
      </c>
      <c r="F93" s="22" t="s">
        <v>431</v>
      </c>
    </row>
    <row r="94" spans="1:8" ht="18" customHeight="1">
      <c r="A94" s="22">
        <v>7211101</v>
      </c>
      <c r="B94" s="8" t="s">
        <v>432</v>
      </c>
      <c r="C94" s="22">
        <v>7211101</v>
      </c>
      <c r="D94" s="22">
        <v>7211101</v>
      </c>
      <c r="E94" s="22" t="s">
        <v>139</v>
      </c>
      <c r="F94" s="22" t="s">
        <v>433</v>
      </c>
    </row>
    <row r="95" spans="1:8" ht="18" customHeight="1">
      <c r="A95" s="22">
        <v>7211102</v>
      </c>
      <c r="B95" s="8" t="s">
        <v>434</v>
      </c>
      <c r="C95" s="22">
        <v>7211102</v>
      </c>
      <c r="D95" s="22">
        <v>7211102</v>
      </c>
      <c r="E95" s="22" t="s">
        <v>139</v>
      </c>
      <c r="F95" s="22" t="s">
        <v>435</v>
      </c>
      <c r="G95" s="22">
        <v>901</v>
      </c>
      <c r="H95" s="8" t="s">
        <v>436</v>
      </c>
    </row>
    <row r="96" spans="1:8" ht="18" customHeight="1">
      <c r="A96" s="22">
        <v>7211103</v>
      </c>
      <c r="B96" s="8" t="s">
        <v>437</v>
      </c>
      <c r="C96" s="22">
        <v>7211103</v>
      </c>
      <c r="D96" s="22">
        <v>7211103</v>
      </c>
      <c r="E96" s="22" t="s">
        <v>139</v>
      </c>
      <c r="F96" s="22" t="s">
        <v>438</v>
      </c>
      <c r="G96" s="22"/>
    </row>
    <row r="97" spans="1:8" ht="18" customHeight="1">
      <c r="A97" s="22">
        <v>7211104</v>
      </c>
      <c r="B97" s="8" t="s">
        <v>439</v>
      </c>
      <c r="C97" s="22">
        <v>7211104</v>
      </c>
      <c r="D97" s="22">
        <v>7211104</v>
      </c>
      <c r="E97" s="22" t="s">
        <v>139</v>
      </c>
      <c r="F97" s="22" t="s">
        <v>440</v>
      </c>
      <c r="G97" s="22">
        <v>302</v>
      </c>
    </row>
    <row r="98" spans="1:8" ht="18" customHeight="1">
      <c r="A98" s="22">
        <v>7221101</v>
      </c>
      <c r="B98" s="8" t="s">
        <v>441</v>
      </c>
      <c r="C98" s="22">
        <v>7221101</v>
      </c>
      <c r="D98" s="22">
        <v>7221101</v>
      </c>
      <c r="E98" s="22" t="s">
        <v>139</v>
      </c>
      <c r="F98" s="22" t="s">
        <v>442</v>
      </c>
      <c r="G98" s="22">
        <v>302</v>
      </c>
      <c r="H98" s="8" t="s">
        <v>443</v>
      </c>
    </row>
    <row r="99" spans="1:8" ht="18" customHeight="1">
      <c r="A99" s="22">
        <v>7221102</v>
      </c>
      <c r="B99" s="8" t="s">
        <v>444</v>
      </c>
      <c r="C99" s="22">
        <v>7221102</v>
      </c>
      <c r="D99" s="22">
        <v>7221102</v>
      </c>
      <c r="E99" s="22" t="s">
        <v>139</v>
      </c>
      <c r="F99" s="22" t="s">
        <v>445</v>
      </c>
      <c r="G99" s="22">
        <v>301</v>
      </c>
      <c r="H99" s="8" t="s">
        <v>446</v>
      </c>
    </row>
    <row r="100" spans="1:8" ht="18" customHeight="1">
      <c r="A100" s="22">
        <v>7511101</v>
      </c>
      <c r="B100" s="8" t="s">
        <v>47</v>
      </c>
      <c r="C100" s="22">
        <v>7511101</v>
      </c>
      <c r="D100" s="22">
        <v>7511101</v>
      </c>
      <c r="E100" s="22" t="s">
        <v>139</v>
      </c>
      <c r="F100" s="22" t="s">
        <v>447</v>
      </c>
      <c r="G100" s="22">
        <v>602</v>
      </c>
      <c r="H100" s="8" t="s">
        <v>47</v>
      </c>
    </row>
    <row r="101" spans="1:8" ht="18" customHeight="1">
      <c r="A101" s="22">
        <v>7511102</v>
      </c>
      <c r="B101" s="8" t="s">
        <v>58</v>
      </c>
      <c r="C101" s="22">
        <v>7511102</v>
      </c>
      <c r="D101" s="22">
        <v>7511102</v>
      </c>
      <c r="E101" s="22" t="s">
        <v>139</v>
      </c>
      <c r="F101" s="22" t="s">
        <v>448</v>
      </c>
      <c r="G101" s="22">
        <v>602</v>
      </c>
      <c r="H101" s="8" t="s">
        <v>60</v>
      </c>
    </row>
    <row r="102" spans="1:8" ht="18" customHeight="1">
      <c r="A102" s="22">
        <v>7511103</v>
      </c>
      <c r="B102" s="8" t="s">
        <v>66</v>
      </c>
      <c r="C102" s="22">
        <v>7511103</v>
      </c>
      <c r="D102" s="22">
        <v>7511103</v>
      </c>
      <c r="E102" s="22" t="s">
        <v>139</v>
      </c>
      <c r="F102" s="22" t="s">
        <v>449</v>
      </c>
      <c r="G102" s="22">
        <v>601</v>
      </c>
      <c r="H102" s="8" t="s">
        <v>69</v>
      </c>
    </row>
    <row r="103" spans="1:8" ht="18" customHeight="1">
      <c r="A103" s="22">
        <v>7511111</v>
      </c>
      <c r="B103" s="8" t="s">
        <v>75</v>
      </c>
      <c r="C103" s="22">
        <v>7511111</v>
      </c>
      <c r="D103" s="22">
        <v>7511111</v>
      </c>
      <c r="E103" s="22" t="s">
        <v>139</v>
      </c>
      <c r="F103" s="22" t="s">
        <v>450</v>
      </c>
      <c r="G103" s="22">
        <v>601</v>
      </c>
      <c r="H103" s="8" t="s">
        <v>77</v>
      </c>
    </row>
    <row r="104" spans="1:8" ht="18" customHeight="1">
      <c r="A104" s="22">
        <v>7511112</v>
      </c>
      <c r="B104" s="8" t="s">
        <v>80</v>
      </c>
      <c r="C104" s="22">
        <v>7511112</v>
      </c>
      <c r="D104" s="22">
        <v>7511112</v>
      </c>
      <c r="E104" s="22" t="s">
        <v>139</v>
      </c>
      <c r="F104" s="22" t="s">
        <v>451</v>
      </c>
      <c r="G104" s="22">
        <v>601</v>
      </c>
      <c r="H104" s="8" t="s">
        <v>82</v>
      </c>
    </row>
    <row r="105" spans="1:8" ht="18" customHeight="1">
      <c r="A105" s="22">
        <v>7511121</v>
      </c>
      <c r="B105" s="8" t="s">
        <v>86</v>
      </c>
      <c r="C105" s="22">
        <v>7511121</v>
      </c>
      <c r="D105" s="22">
        <v>7511121</v>
      </c>
      <c r="E105" s="22" t="s">
        <v>139</v>
      </c>
      <c r="F105" s="22" t="s">
        <v>452</v>
      </c>
      <c r="G105" s="22">
        <v>601</v>
      </c>
      <c r="H105" s="8" t="s">
        <v>88</v>
      </c>
    </row>
    <row r="106" spans="1:8" ht="18" customHeight="1">
      <c r="A106" s="22">
        <v>7511122</v>
      </c>
      <c r="B106" s="8" t="s">
        <v>92</v>
      </c>
      <c r="C106" s="22">
        <v>7511122</v>
      </c>
      <c r="D106" s="22">
        <v>7511122</v>
      </c>
      <c r="E106" s="22" t="s">
        <v>139</v>
      </c>
      <c r="F106" s="22" t="s">
        <v>453</v>
      </c>
      <c r="G106" s="22">
        <v>601</v>
      </c>
      <c r="H106" s="8" t="s">
        <v>94</v>
      </c>
    </row>
    <row r="107" spans="1:8" ht="18" customHeight="1">
      <c r="A107" s="22">
        <v>7511201</v>
      </c>
      <c r="B107" s="8" t="s">
        <v>97</v>
      </c>
      <c r="C107" s="22">
        <v>7511201</v>
      </c>
      <c r="D107" s="22">
        <v>7511201</v>
      </c>
      <c r="E107" s="22" t="s">
        <v>139</v>
      </c>
      <c r="F107" s="22" t="s">
        <v>454</v>
      </c>
      <c r="G107" s="22">
        <v>603</v>
      </c>
      <c r="H107" s="8" t="s">
        <v>100</v>
      </c>
    </row>
    <row r="108" spans="1:8" ht="18" customHeight="1">
      <c r="A108" s="22">
        <v>7512111</v>
      </c>
      <c r="B108" s="8" t="s">
        <v>103</v>
      </c>
      <c r="C108" s="22">
        <v>7512111</v>
      </c>
      <c r="D108" s="22">
        <v>7512111</v>
      </c>
      <c r="E108" s="22" t="s">
        <v>139</v>
      </c>
      <c r="F108" s="22" t="s">
        <v>455</v>
      </c>
      <c r="G108" s="22">
        <v>604</v>
      </c>
      <c r="H108" s="8" t="s">
        <v>106</v>
      </c>
    </row>
    <row r="109" spans="1:8" ht="18" customHeight="1">
      <c r="A109" s="22">
        <v>7512112</v>
      </c>
      <c r="B109" s="8" t="s">
        <v>109</v>
      </c>
      <c r="C109" s="22">
        <v>7512112</v>
      </c>
      <c r="D109" s="22">
        <v>7512112</v>
      </c>
      <c r="E109" s="22" t="s">
        <v>139</v>
      </c>
      <c r="F109" s="22" t="s">
        <v>456</v>
      </c>
      <c r="G109" s="22">
        <v>604</v>
      </c>
      <c r="H109" s="8" t="s">
        <v>111</v>
      </c>
    </row>
    <row r="110" spans="1:8" ht="18" customHeight="1">
      <c r="A110" s="22">
        <v>7514101</v>
      </c>
      <c r="B110" s="8" t="s">
        <v>114</v>
      </c>
      <c r="C110" s="22">
        <v>7514101</v>
      </c>
      <c r="D110" s="22">
        <v>7514101</v>
      </c>
      <c r="E110" s="22" t="s">
        <v>139</v>
      </c>
      <c r="F110" s="22" t="s">
        <v>457</v>
      </c>
      <c r="G110" s="22">
        <v>601</v>
      </c>
      <c r="H110" s="8" t="s">
        <v>116</v>
      </c>
    </row>
    <row r="111" spans="1:8" ht="18" customHeight="1">
      <c r="A111" s="22">
        <v>7514102</v>
      </c>
      <c r="B111" s="8" t="s">
        <v>119</v>
      </c>
      <c r="C111" s="22">
        <v>7514102</v>
      </c>
      <c r="D111" s="22">
        <v>7514102</v>
      </c>
      <c r="E111" s="22" t="s">
        <v>139</v>
      </c>
      <c r="F111" s="22" t="s">
        <v>458</v>
      </c>
      <c r="G111" s="22">
        <v>601</v>
      </c>
      <c r="H111" s="8" t="s">
        <v>121</v>
      </c>
    </row>
    <row r="112" spans="1:8" ht="18" customHeight="1">
      <c r="A112" s="22">
        <v>7515401</v>
      </c>
      <c r="B112" s="8" t="s">
        <v>124</v>
      </c>
      <c r="C112" s="22">
        <v>7515401</v>
      </c>
      <c r="D112" s="22">
        <v>7515401</v>
      </c>
      <c r="E112" s="22" t="s">
        <v>139</v>
      </c>
      <c r="F112" s="22" t="s">
        <v>459</v>
      </c>
      <c r="G112" s="22">
        <v>604</v>
      </c>
      <c r="H112" s="8" t="s">
        <v>126</v>
      </c>
    </row>
    <row r="113" spans="1:8" ht="18" customHeight="1">
      <c r="A113" s="22">
        <v>7515402</v>
      </c>
      <c r="B113" s="8" t="s">
        <v>129</v>
      </c>
      <c r="C113" s="22">
        <v>7515402</v>
      </c>
      <c r="D113" s="22">
        <v>7515402</v>
      </c>
      <c r="E113" s="22" t="s">
        <v>139</v>
      </c>
      <c r="F113" s="22" t="s">
        <v>460</v>
      </c>
      <c r="G113" s="22">
        <v>604</v>
      </c>
      <c r="H113" s="8" t="s">
        <v>131</v>
      </c>
    </row>
    <row r="114" spans="1:8" ht="18" customHeight="1">
      <c r="A114" s="22">
        <v>7515403</v>
      </c>
      <c r="B114" s="8" t="s">
        <v>134</v>
      </c>
      <c r="C114" s="22">
        <v>7515403</v>
      </c>
      <c r="D114" s="22">
        <v>7515403</v>
      </c>
      <c r="E114" s="22" t="s">
        <v>139</v>
      </c>
      <c r="F114" s="22" t="s">
        <v>461</v>
      </c>
      <c r="G114" s="22">
        <v>604</v>
      </c>
      <c r="H114" s="8" t="s">
        <v>136</v>
      </c>
    </row>
    <row r="115" spans="1:8" ht="18" customHeight="1">
      <c r="A115" s="22">
        <v>7515404</v>
      </c>
      <c r="B115" s="8" t="s">
        <v>141</v>
      </c>
      <c r="C115" s="22">
        <v>7515404</v>
      </c>
      <c r="D115" s="22">
        <v>7515404</v>
      </c>
      <c r="E115" s="22" t="s">
        <v>139</v>
      </c>
      <c r="F115" s="22" t="s">
        <v>462</v>
      </c>
      <c r="G115" s="22">
        <v>604</v>
      </c>
      <c r="H115" s="8" t="s">
        <v>143</v>
      </c>
    </row>
    <row r="116" spans="1:8" ht="18" customHeight="1">
      <c r="A116" s="22">
        <v>7515405</v>
      </c>
      <c r="B116" s="8" t="s">
        <v>146</v>
      </c>
      <c r="C116" s="22">
        <v>7515405</v>
      </c>
      <c r="D116" s="22">
        <v>7515405</v>
      </c>
      <c r="E116" s="22" t="s">
        <v>139</v>
      </c>
      <c r="F116" s="22" t="s">
        <v>463</v>
      </c>
      <c r="G116" s="22">
        <v>604</v>
      </c>
      <c r="H116" s="8" t="s">
        <v>148</v>
      </c>
    </row>
    <row r="117" spans="1:8" ht="18" customHeight="1">
      <c r="A117" s="22">
        <v>7515406</v>
      </c>
      <c r="B117" s="8" t="s">
        <v>151</v>
      </c>
      <c r="C117" s="22">
        <v>7515406</v>
      </c>
      <c r="D117" s="22">
        <v>7515406</v>
      </c>
      <c r="E117" s="22" t="s">
        <v>139</v>
      </c>
      <c r="F117" s="22" t="s">
        <v>464</v>
      </c>
      <c r="G117" s="22">
        <v>604</v>
      </c>
      <c r="H117" s="8" t="s">
        <v>153</v>
      </c>
    </row>
    <row r="118" spans="1:8" ht="18" customHeight="1">
      <c r="A118" s="22">
        <v>7515407</v>
      </c>
      <c r="B118" s="8" t="s">
        <v>156</v>
      </c>
      <c r="C118" s="22">
        <v>7515407</v>
      </c>
      <c r="D118" s="22">
        <v>7515407</v>
      </c>
      <c r="E118" s="22" t="s">
        <v>139</v>
      </c>
      <c r="F118" s="22" t="s">
        <v>465</v>
      </c>
      <c r="G118" s="22">
        <v>604</v>
      </c>
    </row>
    <row r="119" spans="1:8" ht="18" customHeight="1">
      <c r="A119" s="22">
        <v>7515408</v>
      </c>
      <c r="B119" s="8" t="s">
        <v>160</v>
      </c>
      <c r="C119" s="22">
        <v>7515408</v>
      </c>
      <c r="D119" s="22">
        <v>7515408</v>
      </c>
      <c r="E119" s="22" t="s">
        <v>139</v>
      </c>
      <c r="F119" s="22" t="s">
        <v>466</v>
      </c>
      <c r="G119" s="22">
        <v>604</v>
      </c>
      <c r="H119" s="8" t="s">
        <v>162</v>
      </c>
    </row>
    <row r="120" spans="1:8" ht="18" customHeight="1">
      <c r="A120" s="22">
        <v>7515409</v>
      </c>
      <c r="B120" s="8" t="s">
        <v>165</v>
      </c>
      <c r="C120" s="22">
        <v>7515409</v>
      </c>
      <c r="D120" s="22">
        <v>7515409</v>
      </c>
      <c r="E120" s="22" t="s">
        <v>139</v>
      </c>
      <c r="F120" s="22" t="s">
        <v>467</v>
      </c>
      <c r="G120" s="22">
        <v>604</v>
      </c>
      <c r="H120" s="8" t="s">
        <v>167</v>
      </c>
    </row>
    <row r="121" spans="1:8" ht="18" customHeight="1">
      <c r="A121" s="22">
        <v>7515410</v>
      </c>
      <c r="B121" s="8" t="s">
        <v>170</v>
      </c>
      <c r="C121" s="22">
        <v>7515410</v>
      </c>
      <c r="D121" s="22">
        <v>7515410</v>
      </c>
      <c r="E121" s="22" t="s">
        <v>139</v>
      </c>
      <c r="F121" s="22" t="s">
        <v>468</v>
      </c>
      <c r="G121" s="22">
        <v>604</v>
      </c>
      <c r="H121" s="8" t="s">
        <v>172</v>
      </c>
    </row>
    <row r="122" spans="1:8" ht="18" customHeight="1">
      <c r="A122" s="22">
        <v>7515499</v>
      </c>
      <c r="B122" s="8" t="s">
        <v>175</v>
      </c>
      <c r="C122" s="22">
        <v>7515499</v>
      </c>
      <c r="D122" s="22">
        <v>7515499</v>
      </c>
      <c r="E122" s="22" t="s">
        <v>139</v>
      </c>
      <c r="F122" s="22" t="s">
        <v>469</v>
      </c>
      <c r="G122" s="22">
        <v>604</v>
      </c>
      <c r="H122" s="8" t="s">
        <v>177</v>
      </c>
    </row>
    <row r="123" spans="1:8" ht="18" customHeight="1">
      <c r="A123" s="22">
        <v>7516102</v>
      </c>
      <c r="B123" s="8" t="s">
        <v>180</v>
      </c>
      <c r="C123" s="22">
        <v>7516102</v>
      </c>
      <c r="D123" s="22">
        <v>7516102</v>
      </c>
      <c r="E123" s="22" t="s">
        <v>139</v>
      </c>
      <c r="F123" s="22" t="s">
        <v>470</v>
      </c>
      <c r="G123" s="22">
        <v>605</v>
      </c>
      <c r="H123" s="8" t="s">
        <v>183</v>
      </c>
    </row>
    <row r="124" spans="1:8" ht="18" customHeight="1">
      <c r="A124" s="22">
        <v>7519101</v>
      </c>
      <c r="B124" s="8" t="s">
        <v>186</v>
      </c>
      <c r="C124" s="22">
        <v>7519101</v>
      </c>
      <c r="D124" s="22">
        <v>7519101</v>
      </c>
      <c r="E124" s="22" t="s">
        <v>139</v>
      </c>
      <c r="F124" s="22" t="s">
        <v>471</v>
      </c>
      <c r="G124" s="22">
        <v>602</v>
      </c>
      <c r="H124" s="8" t="s">
        <v>188</v>
      </c>
    </row>
    <row r="125" spans="1:8" ht="18" customHeight="1">
      <c r="A125" s="22">
        <v>7521101</v>
      </c>
      <c r="B125" s="8" t="s">
        <v>191</v>
      </c>
      <c r="C125" s="22">
        <v>7521101</v>
      </c>
      <c r="D125" s="22">
        <v>7521101</v>
      </c>
      <c r="E125" s="22" t="s">
        <v>139</v>
      </c>
      <c r="F125" s="22" t="s">
        <v>472</v>
      </c>
      <c r="G125" s="22">
        <v>601</v>
      </c>
      <c r="H125" s="8" t="s">
        <v>193</v>
      </c>
    </row>
    <row r="126" spans="1:8" ht="18" customHeight="1">
      <c r="A126" s="22">
        <v>7521102</v>
      </c>
      <c r="B126" s="8" t="s">
        <v>196</v>
      </c>
      <c r="C126" s="22">
        <v>7521102</v>
      </c>
      <c r="D126" s="22">
        <v>7521102</v>
      </c>
      <c r="E126" s="22" t="s">
        <v>139</v>
      </c>
      <c r="F126" s="22" t="s">
        <v>473</v>
      </c>
      <c r="G126" s="22">
        <v>603</v>
      </c>
      <c r="H126" s="8" t="s">
        <v>198</v>
      </c>
    </row>
    <row r="127" spans="1:8" ht="18" customHeight="1">
      <c r="A127" s="22">
        <v>7571101</v>
      </c>
      <c r="B127" s="8" t="s">
        <v>201</v>
      </c>
      <c r="C127" s="22">
        <v>7571101</v>
      </c>
      <c r="D127" s="22">
        <v>7571101</v>
      </c>
      <c r="E127" s="22" t="s">
        <v>139</v>
      </c>
      <c r="F127" s="22" t="s">
        <v>474</v>
      </c>
      <c r="G127" s="22">
        <v>606</v>
      </c>
      <c r="H127" s="8" t="s">
        <v>204</v>
      </c>
    </row>
    <row r="128" spans="1:8" ht="18" customHeight="1">
      <c r="A128" s="22">
        <v>7611100</v>
      </c>
      <c r="B128" s="8" t="s">
        <v>207</v>
      </c>
      <c r="C128" s="22">
        <v>7611100</v>
      </c>
      <c r="D128" s="22">
        <v>7611100</v>
      </c>
      <c r="E128" s="22" t="s">
        <v>139</v>
      </c>
      <c r="F128" s="22" t="s">
        <v>475</v>
      </c>
      <c r="G128" s="22">
        <v>701</v>
      </c>
      <c r="H128" s="8" t="s">
        <v>210</v>
      </c>
    </row>
    <row r="129" spans="1:8" ht="18" customHeight="1">
      <c r="A129" s="22">
        <v>7611300</v>
      </c>
      <c r="B129" s="8" t="s">
        <v>214</v>
      </c>
      <c r="C129" s="22">
        <v>7611300</v>
      </c>
      <c r="D129" s="22">
        <v>7611300</v>
      </c>
      <c r="E129" s="22" t="s">
        <v>139</v>
      </c>
      <c r="F129" s="22" t="s">
        <v>476</v>
      </c>
      <c r="G129" s="22">
        <v>701</v>
      </c>
      <c r="H129" s="8" t="s">
        <v>216</v>
      </c>
    </row>
    <row r="130" spans="1:8" ht="18" customHeight="1">
      <c r="A130" s="22">
        <v>7611400</v>
      </c>
      <c r="B130" s="8" t="s">
        <v>219</v>
      </c>
      <c r="C130" s="22">
        <v>7611400</v>
      </c>
      <c r="D130" s="22">
        <v>7611400</v>
      </c>
      <c r="E130" s="22" t="s">
        <v>139</v>
      </c>
      <c r="F130" s="22" t="s">
        <v>477</v>
      </c>
      <c r="G130" s="22">
        <v>701</v>
      </c>
      <c r="H130" s="8" t="s">
        <v>221</v>
      </c>
    </row>
    <row r="131" spans="1:8" ht="18" customHeight="1">
      <c r="A131" s="22">
        <v>7611500</v>
      </c>
      <c r="B131" s="8" t="s">
        <v>224</v>
      </c>
      <c r="C131" s="22">
        <v>7611500</v>
      </c>
      <c r="D131" s="22">
        <v>7611500</v>
      </c>
      <c r="E131" s="22" t="s">
        <v>139</v>
      </c>
      <c r="F131" s="22" t="s">
        <v>478</v>
      </c>
      <c r="G131" s="22">
        <v>701</v>
      </c>
      <c r="H131" s="8" t="s">
        <v>226</v>
      </c>
    </row>
    <row r="132" spans="1:8" ht="18" customHeight="1">
      <c r="A132" s="22">
        <v>7611600</v>
      </c>
      <c r="B132" s="8" t="s">
        <v>229</v>
      </c>
      <c r="C132" s="22">
        <v>7611600</v>
      </c>
      <c r="D132" s="22">
        <v>7611600</v>
      </c>
      <c r="E132" s="22" t="s">
        <v>139</v>
      </c>
      <c r="F132" s="22" t="s">
        <v>479</v>
      </c>
      <c r="G132" s="22">
        <v>701</v>
      </c>
      <c r="H132" s="8" t="s">
        <v>231</v>
      </c>
    </row>
    <row r="133" spans="1:8" ht="18" customHeight="1">
      <c r="A133" s="22">
        <v>7611700</v>
      </c>
      <c r="B133" s="8" t="s">
        <v>234</v>
      </c>
      <c r="C133" s="22">
        <v>7611700</v>
      </c>
      <c r="D133" s="22">
        <v>7611700</v>
      </c>
      <c r="E133" s="22" t="s">
        <v>139</v>
      </c>
      <c r="F133" s="22" t="s">
        <v>480</v>
      </c>
      <c r="G133" s="22">
        <v>701</v>
      </c>
      <c r="H133" s="8" t="s">
        <v>481</v>
      </c>
    </row>
    <row r="134" spans="1:8" ht="18" customHeight="1">
      <c r="A134" s="22">
        <v>7611800</v>
      </c>
      <c r="B134" s="8" t="s">
        <v>239</v>
      </c>
      <c r="C134" s="22">
        <v>7611800</v>
      </c>
      <c r="D134" s="22">
        <v>7611800</v>
      </c>
      <c r="E134" s="22" t="s">
        <v>139</v>
      </c>
      <c r="F134" s="22" t="s">
        <v>482</v>
      </c>
      <c r="G134" s="22">
        <v>701</v>
      </c>
      <c r="H134" s="8" t="s">
        <v>241</v>
      </c>
    </row>
    <row r="135" spans="1:8" ht="18" customHeight="1">
      <c r="A135" s="22">
        <v>7621101</v>
      </c>
      <c r="B135" s="8" t="s">
        <v>244</v>
      </c>
      <c r="C135" s="22">
        <v>7621101</v>
      </c>
      <c r="D135" s="22">
        <v>7621101</v>
      </c>
      <c r="E135" s="22" t="s">
        <v>139</v>
      </c>
      <c r="F135" s="22" t="s">
        <v>483</v>
      </c>
      <c r="G135" s="22">
        <v>903</v>
      </c>
      <c r="H135" s="8" t="s">
        <v>247</v>
      </c>
    </row>
    <row r="136" spans="1:8" ht="18" customHeight="1">
      <c r="A136" s="42">
        <v>7621199</v>
      </c>
      <c r="B136" s="8" t="s">
        <v>250</v>
      </c>
      <c r="C136" s="42">
        <v>7621199</v>
      </c>
      <c r="D136" s="42">
        <v>7621199</v>
      </c>
      <c r="E136" s="22" t="s">
        <v>139</v>
      </c>
      <c r="F136" s="22" t="s">
        <v>484</v>
      </c>
      <c r="G136" s="22">
        <v>801</v>
      </c>
      <c r="H136" s="8" t="s">
        <v>253</v>
      </c>
    </row>
    <row r="137" spans="1:8" ht="18" customHeight="1">
      <c r="A137" s="22">
        <v>7631101</v>
      </c>
      <c r="B137" s="8" t="s">
        <v>256</v>
      </c>
      <c r="C137" s="22">
        <v>7631101</v>
      </c>
      <c r="D137" s="22">
        <v>7631101</v>
      </c>
      <c r="E137" s="22" t="s">
        <v>139</v>
      </c>
      <c r="F137" s="22" t="s">
        <v>485</v>
      </c>
      <c r="G137" s="22">
        <v>501</v>
      </c>
      <c r="H137" s="8" t="s">
        <v>259</v>
      </c>
    </row>
    <row r="138" spans="1:8" ht="18" customHeight="1">
      <c r="A138" s="22">
        <v>7631102</v>
      </c>
      <c r="B138" s="8" t="s">
        <v>262</v>
      </c>
      <c r="C138" s="22">
        <v>7631102</v>
      </c>
      <c r="D138" s="22">
        <v>7631102</v>
      </c>
      <c r="E138" s="22" t="s">
        <v>139</v>
      </c>
      <c r="F138" s="22" t="s">
        <v>486</v>
      </c>
      <c r="G138" s="22">
        <v>502</v>
      </c>
      <c r="H138" s="8" t="s">
        <v>265</v>
      </c>
    </row>
    <row r="139" spans="1:8" ht="18" customHeight="1">
      <c r="A139" s="22">
        <v>7641101</v>
      </c>
      <c r="B139" s="8" t="s">
        <v>268</v>
      </c>
      <c r="C139" s="22">
        <v>7641101</v>
      </c>
      <c r="D139" s="22">
        <v>7641101</v>
      </c>
      <c r="E139" s="22" t="s">
        <v>139</v>
      </c>
      <c r="F139" s="22" t="s">
        <v>487</v>
      </c>
      <c r="G139" s="22">
        <v>401</v>
      </c>
      <c r="H139" s="8" t="s">
        <v>271</v>
      </c>
    </row>
    <row r="140" spans="1:8" ht="18" customHeight="1">
      <c r="A140" s="22">
        <v>7641102</v>
      </c>
      <c r="B140" s="8" t="s">
        <v>274</v>
      </c>
      <c r="C140" s="22">
        <v>7641102</v>
      </c>
      <c r="D140" s="22">
        <v>7641102</v>
      </c>
      <c r="E140" s="22" t="s">
        <v>139</v>
      </c>
      <c r="F140" s="22" t="s">
        <v>488</v>
      </c>
      <c r="G140" s="22">
        <v>401</v>
      </c>
      <c r="H140" s="8" t="s">
        <v>276</v>
      </c>
    </row>
    <row r="141" spans="1:8" ht="18" customHeight="1">
      <c r="A141" s="22">
        <v>7641103</v>
      </c>
      <c r="B141" s="8" t="s">
        <v>279</v>
      </c>
      <c r="C141" s="22">
        <v>7641103</v>
      </c>
      <c r="D141" s="22">
        <v>7641103</v>
      </c>
      <c r="E141" s="22" t="s">
        <v>139</v>
      </c>
      <c r="F141" s="22" t="s">
        <v>489</v>
      </c>
      <c r="G141" s="22">
        <v>902</v>
      </c>
      <c r="H141" s="8" t="s">
        <v>282</v>
      </c>
    </row>
    <row r="142" spans="1:8" ht="18" customHeight="1">
      <c r="A142" s="22">
        <v>7641104</v>
      </c>
      <c r="B142" s="8" t="s">
        <v>285</v>
      </c>
      <c r="C142" s="22">
        <v>7641104</v>
      </c>
      <c r="D142" s="22">
        <v>7641104</v>
      </c>
      <c r="E142" s="22" t="s">
        <v>139</v>
      </c>
      <c r="F142" s="22" t="s">
        <v>490</v>
      </c>
      <c r="G142" s="22">
        <v>999</v>
      </c>
      <c r="H142" s="8" t="s">
        <v>287</v>
      </c>
    </row>
    <row r="143" spans="1:8" ht="18" customHeight="1">
      <c r="A143" s="22">
        <v>7651101</v>
      </c>
      <c r="B143" s="8" t="s">
        <v>288</v>
      </c>
      <c r="C143" s="22">
        <v>7651101</v>
      </c>
      <c r="D143" s="22">
        <v>7651101</v>
      </c>
      <c r="E143" s="22" t="s">
        <v>139</v>
      </c>
      <c r="F143" s="22" t="s">
        <v>491</v>
      </c>
      <c r="G143" s="22">
        <v>903</v>
      </c>
      <c r="H143" s="8" t="s">
        <v>290</v>
      </c>
    </row>
    <row r="144" spans="1:8" ht="18" customHeight="1">
      <c r="A144" s="22">
        <v>7651102</v>
      </c>
      <c r="B144" s="8" t="s">
        <v>291</v>
      </c>
      <c r="C144" s="22">
        <v>7651102</v>
      </c>
      <c r="D144" s="22">
        <v>7651102</v>
      </c>
      <c r="E144" s="22" t="s">
        <v>139</v>
      </c>
      <c r="F144" s="22" t="s">
        <v>492</v>
      </c>
      <c r="G144" s="22">
        <v>903</v>
      </c>
      <c r="H144" s="8" t="s">
        <v>293</v>
      </c>
    </row>
    <row r="145" spans="1:8" ht="18" customHeight="1">
      <c r="A145" s="22">
        <v>7651103</v>
      </c>
      <c r="B145" s="8" t="s">
        <v>294</v>
      </c>
      <c r="C145" s="22">
        <v>7651103</v>
      </c>
      <c r="D145" s="22">
        <v>7651103</v>
      </c>
      <c r="E145" s="22" t="s">
        <v>139</v>
      </c>
      <c r="F145" s="22" t="s">
        <v>493</v>
      </c>
      <c r="G145" s="22">
        <v>903</v>
      </c>
      <c r="H145" s="8" t="s">
        <v>296</v>
      </c>
    </row>
    <row r="146" spans="1:8" ht="18" customHeight="1">
      <c r="A146" s="22">
        <v>7661101</v>
      </c>
      <c r="B146" s="8" t="s">
        <v>297</v>
      </c>
      <c r="C146" s="22">
        <v>7661101</v>
      </c>
      <c r="D146" s="22">
        <v>7661101</v>
      </c>
      <c r="E146" s="22" t="s">
        <v>139</v>
      </c>
      <c r="F146" s="22" t="s">
        <v>494</v>
      </c>
      <c r="G146" s="22">
        <v>999</v>
      </c>
      <c r="H146" s="8" t="s">
        <v>300</v>
      </c>
    </row>
    <row r="147" spans="1:8" ht="18" customHeight="1">
      <c r="A147" s="22">
        <v>7671102</v>
      </c>
      <c r="B147" s="8" t="s">
        <v>301</v>
      </c>
      <c r="C147" s="22">
        <v>7671102</v>
      </c>
      <c r="D147" s="22">
        <v>7671102</v>
      </c>
      <c r="E147" s="22" t="s">
        <v>139</v>
      </c>
      <c r="F147" s="22" t="s">
        <v>495</v>
      </c>
      <c r="G147" s="22">
        <v>999</v>
      </c>
      <c r="H147" s="8" t="s">
        <v>303</v>
      </c>
    </row>
    <row r="148" spans="1:8" ht="18" customHeight="1">
      <c r="A148" s="22">
        <v>7671103</v>
      </c>
      <c r="B148" s="8" t="s">
        <v>304</v>
      </c>
      <c r="C148" s="22">
        <v>7671103</v>
      </c>
      <c r="D148" s="22">
        <v>7671103</v>
      </c>
      <c r="E148" s="22" t="s">
        <v>139</v>
      </c>
      <c r="F148" s="22" t="s">
        <v>496</v>
      </c>
      <c r="G148" s="22">
        <v>999</v>
      </c>
      <c r="H148" s="8" t="s">
        <v>306</v>
      </c>
    </row>
    <row r="149" spans="1:8" ht="18" customHeight="1">
      <c r="A149" s="22">
        <v>7681101</v>
      </c>
      <c r="B149" s="8" t="s">
        <v>307</v>
      </c>
      <c r="C149" s="22">
        <v>7681101</v>
      </c>
      <c r="D149" s="22">
        <v>7681101</v>
      </c>
      <c r="E149" s="22" t="s">
        <v>139</v>
      </c>
      <c r="F149" s="22" t="s">
        <v>497</v>
      </c>
      <c r="G149" s="22">
        <v>999</v>
      </c>
      <c r="H149" s="8" t="s">
        <v>309</v>
      </c>
    </row>
    <row r="150" spans="1:8" ht="18" customHeight="1">
      <c r="A150" s="22">
        <v>7691000</v>
      </c>
      <c r="B150" s="8" t="s">
        <v>310</v>
      </c>
      <c r="C150" s="22">
        <v>7691000</v>
      </c>
      <c r="D150" s="22">
        <v>7691000</v>
      </c>
      <c r="E150" s="22" t="s">
        <v>139</v>
      </c>
      <c r="F150" s="22" t="s">
        <v>498</v>
      </c>
      <c r="G150" s="22">
        <v>999</v>
      </c>
      <c r="H150" s="8" t="s">
        <v>312</v>
      </c>
    </row>
    <row r="151" spans="1:8" ht="18" customHeight="1">
      <c r="A151" s="22">
        <v>7711101</v>
      </c>
      <c r="B151" s="8" t="s">
        <v>313</v>
      </c>
      <c r="C151" s="22">
        <v>7711101</v>
      </c>
      <c r="D151" s="22">
        <v>7711101</v>
      </c>
      <c r="E151" s="22" t="s">
        <v>139</v>
      </c>
      <c r="F151" s="22" t="s">
        <v>499</v>
      </c>
      <c r="G151" s="22">
        <v>999</v>
      </c>
      <c r="H151" s="8" t="s">
        <v>315</v>
      </c>
    </row>
    <row r="152" spans="1:8" ht="18" customHeight="1">
      <c r="A152" s="22">
        <v>7711102</v>
      </c>
      <c r="B152" s="8" t="s">
        <v>316</v>
      </c>
      <c r="C152" s="22">
        <v>7711102</v>
      </c>
      <c r="D152" s="22">
        <v>7711102</v>
      </c>
      <c r="E152" s="22" t="s">
        <v>139</v>
      </c>
      <c r="F152" s="22" t="s">
        <v>500</v>
      </c>
      <c r="G152" s="22">
        <v>904</v>
      </c>
      <c r="H152" s="8" t="s">
        <v>319</v>
      </c>
    </row>
    <row r="153" spans="1:8" ht="18" customHeight="1">
      <c r="A153" s="22">
        <v>7711103</v>
      </c>
      <c r="B153" s="8" t="s">
        <v>320</v>
      </c>
      <c r="C153" s="22">
        <v>7711103</v>
      </c>
      <c r="D153" s="22">
        <v>7711103</v>
      </c>
      <c r="E153" s="22" t="s">
        <v>139</v>
      </c>
      <c r="F153" s="22" t="s">
        <v>501</v>
      </c>
      <c r="G153" s="22">
        <v>999</v>
      </c>
      <c r="H153" s="8" t="s">
        <v>322</v>
      </c>
    </row>
    <row r="154" spans="1:8" ht="18" customHeight="1">
      <c r="A154" s="22">
        <v>7721101</v>
      </c>
      <c r="B154" s="8" t="s">
        <v>323</v>
      </c>
      <c r="C154" s="22">
        <v>7721101</v>
      </c>
      <c r="D154" s="22">
        <v>7721101</v>
      </c>
      <c r="E154" s="22" t="s">
        <v>139</v>
      </c>
      <c r="F154" s="22" t="s">
        <v>502</v>
      </c>
      <c r="G154" s="22">
        <v>999</v>
      </c>
      <c r="H154" s="8" t="s">
        <v>325</v>
      </c>
    </row>
    <row r="155" spans="1:8" ht="18" customHeight="1">
      <c r="A155" s="22">
        <v>7729101</v>
      </c>
      <c r="B155" s="8" t="s">
        <v>326</v>
      </c>
      <c r="C155" s="22">
        <v>7729101</v>
      </c>
      <c r="D155" s="22">
        <v>7729101</v>
      </c>
      <c r="E155" s="22" t="s">
        <v>139</v>
      </c>
      <c r="F155" s="22" t="s">
        <v>503</v>
      </c>
      <c r="G155" s="22">
        <v>905</v>
      </c>
      <c r="H155" s="8" t="s">
        <v>329</v>
      </c>
    </row>
    <row r="156" spans="1:8" ht="18" customHeight="1">
      <c r="A156" s="22">
        <v>7729103</v>
      </c>
      <c r="B156" s="8" t="s">
        <v>330</v>
      </c>
      <c r="C156" s="22">
        <v>7729103</v>
      </c>
      <c r="D156" s="22">
        <v>7729103</v>
      </c>
      <c r="E156" s="22" t="s">
        <v>139</v>
      </c>
      <c r="F156" s="22" t="s">
        <v>504</v>
      </c>
      <c r="G156" s="22">
        <v>907</v>
      </c>
      <c r="H156" s="8" t="s">
        <v>333</v>
      </c>
    </row>
    <row r="157" spans="1:8" ht="18" customHeight="1">
      <c r="A157" s="22">
        <v>7729105</v>
      </c>
      <c r="B157" s="8" t="s">
        <v>334</v>
      </c>
      <c r="C157" s="22">
        <v>7729105</v>
      </c>
      <c r="D157" s="22">
        <v>7729105</v>
      </c>
      <c r="E157" s="22" t="s">
        <v>139</v>
      </c>
      <c r="F157" s="22" t="s">
        <v>505</v>
      </c>
      <c r="G157" s="22">
        <v>999</v>
      </c>
      <c r="H157" s="8" t="s">
        <v>336</v>
      </c>
    </row>
    <row r="158" spans="1:8" ht="18" customHeight="1">
      <c r="A158" s="22">
        <v>7781101</v>
      </c>
      <c r="B158" s="8" t="s">
        <v>337</v>
      </c>
      <c r="C158" s="22">
        <v>7781101</v>
      </c>
      <c r="D158" s="22">
        <v>7781101</v>
      </c>
      <c r="E158" s="22" t="s">
        <v>139</v>
      </c>
      <c r="F158" s="22" t="s">
        <v>506</v>
      </c>
      <c r="G158" s="22">
        <v>999</v>
      </c>
      <c r="H158" s="8" t="s">
        <v>339</v>
      </c>
    </row>
    <row r="159" spans="1:8" ht="18" customHeight="1">
      <c r="A159" s="22">
        <v>7781103</v>
      </c>
      <c r="B159" s="8" t="s">
        <v>340</v>
      </c>
      <c r="C159" s="22">
        <v>7781103</v>
      </c>
      <c r="D159" s="22">
        <v>7781103</v>
      </c>
      <c r="E159" s="22" t="s">
        <v>139</v>
      </c>
      <c r="F159" s="22" t="s">
        <v>507</v>
      </c>
      <c r="G159" s="22">
        <v>999</v>
      </c>
      <c r="H159" s="8" t="s">
        <v>342</v>
      </c>
    </row>
    <row r="160" spans="1:8" ht="18" customHeight="1">
      <c r="A160" s="22">
        <v>7781104</v>
      </c>
      <c r="B160" s="8" t="s">
        <v>343</v>
      </c>
      <c r="C160" s="22">
        <v>7781104</v>
      </c>
      <c r="D160" s="22">
        <v>7781104</v>
      </c>
      <c r="E160" s="22" t="s">
        <v>139</v>
      </c>
      <c r="F160" s="22" t="s">
        <v>508</v>
      </c>
      <c r="G160" s="22">
        <v>999</v>
      </c>
      <c r="H160" s="8" t="s">
        <v>345</v>
      </c>
    </row>
    <row r="161" spans="1:8" ht="18" customHeight="1">
      <c r="A161" s="22">
        <v>7781105</v>
      </c>
      <c r="B161" s="8" t="s">
        <v>346</v>
      </c>
      <c r="C161" s="22">
        <v>7781105</v>
      </c>
      <c r="D161" s="22">
        <v>7781105</v>
      </c>
      <c r="E161" s="22" t="s">
        <v>139</v>
      </c>
      <c r="F161" s="22" t="s">
        <v>509</v>
      </c>
      <c r="G161" s="22">
        <v>999</v>
      </c>
      <c r="H161" s="8" t="s">
        <v>348</v>
      </c>
    </row>
    <row r="162" spans="1:8" ht="18" customHeight="1">
      <c r="A162" s="22">
        <v>7781106</v>
      </c>
      <c r="B162" s="8" t="s">
        <v>349</v>
      </c>
      <c r="C162" s="22">
        <v>7781106</v>
      </c>
      <c r="D162" s="22">
        <v>7781106</v>
      </c>
      <c r="E162" s="22" t="s">
        <v>139</v>
      </c>
      <c r="F162" s="22" t="s">
        <v>510</v>
      </c>
      <c r="G162" s="22">
        <v>999</v>
      </c>
      <c r="H162" s="8" t="s">
        <v>351</v>
      </c>
    </row>
    <row r="163" spans="1:8" ht="18" customHeight="1">
      <c r="A163" s="22">
        <v>7781107</v>
      </c>
      <c r="B163" s="8" t="s">
        <v>352</v>
      </c>
      <c r="C163" s="22">
        <v>7781107</v>
      </c>
      <c r="D163" s="22">
        <v>7781107</v>
      </c>
      <c r="E163" s="22" t="s">
        <v>139</v>
      </c>
      <c r="F163" s="22" t="s">
        <v>511</v>
      </c>
      <c r="G163" s="22">
        <v>906</v>
      </c>
      <c r="H163" s="8" t="s">
        <v>355</v>
      </c>
    </row>
    <row r="164" spans="1:8" ht="18" customHeight="1">
      <c r="A164" s="22">
        <v>7781111</v>
      </c>
      <c r="B164" s="8" t="s">
        <v>356</v>
      </c>
      <c r="C164" s="22">
        <v>7781111</v>
      </c>
      <c r="D164" s="22">
        <v>7781111</v>
      </c>
      <c r="E164" s="22" t="s">
        <v>139</v>
      </c>
      <c r="F164" s="22" t="s">
        <v>512</v>
      </c>
      <c r="G164" s="22">
        <v>999</v>
      </c>
      <c r="H164" s="8" t="s">
        <v>358</v>
      </c>
    </row>
    <row r="165" spans="1:8" ht="18" customHeight="1">
      <c r="A165" s="22">
        <v>7781112</v>
      </c>
      <c r="B165" s="8" t="s">
        <v>359</v>
      </c>
      <c r="C165" s="22">
        <v>7781112</v>
      </c>
      <c r="D165" s="22">
        <v>7781112</v>
      </c>
      <c r="E165" s="22" t="s">
        <v>139</v>
      </c>
      <c r="F165" s="22" t="s">
        <v>513</v>
      </c>
      <c r="G165" s="22">
        <v>999</v>
      </c>
      <c r="H165" s="8" t="s">
        <v>361</v>
      </c>
    </row>
    <row r="166" spans="1:8" ht="18" customHeight="1">
      <c r="A166" s="22">
        <v>7781113</v>
      </c>
      <c r="B166" s="8" t="s">
        <v>362</v>
      </c>
      <c r="C166" s="22">
        <v>7781113</v>
      </c>
      <c r="D166" s="22">
        <v>7781113</v>
      </c>
      <c r="E166" s="22" t="s">
        <v>139</v>
      </c>
      <c r="F166" s="22" t="s">
        <v>514</v>
      </c>
      <c r="G166" s="22">
        <v>999</v>
      </c>
      <c r="H166" s="8" t="s">
        <v>364</v>
      </c>
    </row>
    <row r="167" spans="1:8" ht="18" customHeight="1">
      <c r="A167" s="9">
        <v>8291101</v>
      </c>
      <c r="B167" s="8" t="s">
        <v>515</v>
      </c>
      <c r="C167" s="9">
        <v>8291101</v>
      </c>
      <c r="D167" s="9">
        <v>8291101</v>
      </c>
      <c r="E167" s="10" t="s">
        <v>516</v>
      </c>
      <c r="F167" s="10" t="s">
        <v>517</v>
      </c>
    </row>
    <row r="168" spans="1:8" ht="18" customHeight="1">
      <c r="A168" s="9">
        <v>8291102</v>
      </c>
      <c r="B168" s="8" t="s">
        <v>518</v>
      </c>
      <c r="C168" s="9">
        <v>8291102</v>
      </c>
      <c r="D168" s="9">
        <v>8291102</v>
      </c>
      <c r="E168" s="10" t="s">
        <v>516</v>
      </c>
      <c r="F168" s="10" t="s">
        <v>519</v>
      </c>
    </row>
    <row r="169" spans="1:8" ht="18" customHeight="1">
      <c r="A169" s="9">
        <v>8291201</v>
      </c>
      <c r="B169" s="8" t="s">
        <v>520</v>
      </c>
      <c r="C169" s="9">
        <v>8291201</v>
      </c>
      <c r="D169" s="9">
        <v>8291201</v>
      </c>
      <c r="E169" s="10" t="s">
        <v>516</v>
      </c>
      <c r="F169" s="10" t="s">
        <v>521</v>
      </c>
    </row>
    <row r="170" spans="1:8" ht="18" customHeight="1">
      <c r="A170" s="9">
        <v>8291202</v>
      </c>
      <c r="B170" s="8" t="s">
        <v>522</v>
      </c>
      <c r="C170" s="9">
        <v>8291202</v>
      </c>
      <c r="D170" s="9">
        <v>8291202</v>
      </c>
      <c r="E170" s="10" t="s">
        <v>516</v>
      </c>
      <c r="F170" s="10" t="s">
        <v>523</v>
      </c>
    </row>
    <row r="171" spans="1:8" ht="18" customHeight="1">
      <c r="A171" s="9">
        <v>8291203</v>
      </c>
      <c r="B171" s="8" t="s">
        <v>524</v>
      </c>
      <c r="C171" s="9">
        <v>8291203</v>
      </c>
      <c r="D171" s="9">
        <v>8291203</v>
      </c>
      <c r="E171" s="10" t="s">
        <v>516</v>
      </c>
      <c r="F171" s="10" t="s">
        <v>525</v>
      </c>
    </row>
    <row r="172" spans="1:8" ht="18" customHeight="1">
      <c r="A172" s="9">
        <v>8191101</v>
      </c>
      <c r="B172" s="8" t="s">
        <v>526</v>
      </c>
      <c r="C172" s="9">
        <v>8191101</v>
      </c>
      <c r="D172" s="9">
        <v>8191101</v>
      </c>
      <c r="E172" s="10" t="s">
        <v>516</v>
      </c>
      <c r="F172" s="10" t="s">
        <v>527</v>
      </c>
    </row>
    <row r="173" spans="1:8" ht="18" customHeight="1">
      <c r="A173" s="9">
        <v>8311101</v>
      </c>
      <c r="B173" s="8" t="s">
        <v>528</v>
      </c>
      <c r="C173" s="9">
        <v>8311101</v>
      </c>
      <c r="E173" s="10" t="s">
        <v>516</v>
      </c>
      <c r="F173" s="10" t="s">
        <v>529</v>
      </c>
      <c r="G173" s="3"/>
    </row>
    <row r="174" spans="1:8" ht="18" customHeight="1">
      <c r="A174" s="9">
        <v>8413101</v>
      </c>
      <c r="B174" s="8" t="s">
        <v>530</v>
      </c>
      <c r="C174" s="9">
        <v>8413101</v>
      </c>
      <c r="E174" s="10" t="s">
        <v>516</v>
      </c>
      <c r="F174" s="10" t="s">
        <v>531</v>
      </c>
    </row>
  </sheetData>
  <pageMargins left="0.25" right="0.25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BAEA9-42B9-4502-A70E-3E4296AF1E93}">
  <dimension ref="A1:C4"/>
  <sheetViews>
    <sheetView showGridLines="0" workbookViewId="0">
      <selection activeCell="B13" sqref="B13 B13:B14"/>
    </sheetView>
  </sheetViews>
  <sheetFormatPr defaultRowHeight="15"/>
  <cols>
    <col min="1" max="1" width="13.42578125" bestFit="1" customWidth="1"/>
    <col min="2" max="2" width="14.140625" bestFit="1" customWidth="1"/>
    <col min="3" max="3" width="72.5703125" bestFit="1" customWidth="1"/>
  </cols>
  <sheetData>
    <row r="1" spans="1:3">
      <c r="A1" s="5" t="s">
        <v>45</v>
      </c>
      <c r="B1" s="5" t="s">
        <v>46</v>
      </c>
      <c r="C1" s="5" t="s">
        <v>39</v>
      </c>
    </row>
    <row r="2" spans="1:3">
      <c r="A2" s="51" t="s">
        <v>55</v>
      </c>
      <c r="B2" s="17" t="s">
        <v>56</v>
      </c>
      <c r="C2" s="17" t="s">
        <v>57</v>
      </c>
    </row>
    <row r="3" spans="1:3">
      <c r="A3" s="51" t="s">
        <v>63</v>
      </c>
      <c r="B3" s="17" t="s">
        <v>64</v>
      </c>
      <c r="C3" s="17" t="s">
        <v>65</v>
      </c>
    </row>
    <row r="4" spans="1:3">
      <c r="A4" s="51" t="s">
        <v>72</v>
      </c>
      <c r="B4" s="17" t="s">
        <v>73</v>
      </c>
      <c r="C4" s="17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47DA-F776-4ABC-B96F-D3EAEDA413FE}">
  <dimension ref="A1"/>
  <sheetViews>
    <sheetView workbookViewId="0"/>
  </sheetViews>
  <sheetFormatPr defaultRowHeight="15"/>
  <cols>
    <col min="1" max="1" width="53.42578125" bestFit="1" customWidth="1"/>
  </cols>
  <sheetData>
    <row r="1" spans="1:1">
      <c r="A1" t="s">
        <v>532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64225-FA68-499F-B6EE-9E0C1CDAF318}">
  <dimension ref="A1"/>
  <sheetViews>
    <sheetView workbookViewId="0">
      <selection activeCell="B16" sqref="B16"/>
    </sheetView>
  </sheetViews>
  <sheetFormatPr defaultRowHeight="15"/>
  <sheetData>
    <row r="1" spans="1:1">
      <c r="A1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Master</vt:lpstr>
      <vt:lpstr>Priority</vt:lpstr>
      <vt:lpstr>V1</vt:lpstr>
      <vt:lpstr>Password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Wiyani Utari</dc:creator>
  <cp:lastModifiedBy>User 54 NGK BUSI</cp:lastModifiedBy>
  <dcterms:created xsi:type="dcterms:W3CDTF">2020-12-08T03:20:39Z</dcterms:created>
  <dcterms:modified xsi:type="dcterms:W3CDTF">2024-10-31T07:40:57Z</dcterms:modified>
</cp:coreProperties>
</file>